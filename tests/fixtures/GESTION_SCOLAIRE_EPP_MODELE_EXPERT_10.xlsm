
<file path=[Content_Types].xml><?xml version="1.0" encoding="utf-8"?>
<Types xmlns="http://schemas.openxmlformats.org/package/2006/content-types">
  <Default Extension="bin" ContentType="application/vnd.ms-office.vbaProject"/>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comments5.xml" ContentType="application/vnd.openxmlformats-officedocument.spreadsheetml.comments+xml"/>
  <Override PartName="/xl/comments15.xml" ContentType="application/vnd.openxmlformats-officedocument.spreadsheetml.comments+xml"/>
  <Override PartName="/xl/comments4.xml" ContentType="application/vnd.openxmlformats-officedocument.spreadsheetml.comments+xml"/>
  <Override PartName="/xl/comments14.xml" ContentType="application/vnd.openxmlformats-officedocument.spreadsheetml.comments+xml"/>
  <Override PartName="/xl/comments2.xml" ContentType="application/vnd.openxmlformats-officedocument.spreadsheetml.comments+xml"/>
  <Override PartName="/xl/workbook.xml" ContentType="application/vnd.ms-excel.sheet.macroEnabled.main+xml"/>
  <Override PartName="/xl/comments7.xml" ContentType="application/vnd.openxmlformats-officedocument.spreadsheetml.comments+xml"/>
  <Override PartName="/xl/comments17.xml" ContentType="application/vnd.openxmlformats-officedocument.spreadsheetml.comments+xml"/>
  <Override PartName="/xl/comments8.xml" ContentType="application/vnd.openxmlformats-officedocument.spreadsheetml.comments+xml"/>
  <Override PartName="/xl/theme/theme1.xml" ContentType="application/vnd.openxmlformats-officedocument.theme+xml"/>
  <Override PartName="/xl/comments3.xml" ContentType="application/vnd.openxmlformats-officedocument.spreadsheetml.comments+xml"/>
  <Override PartName="/xl/comments13.xml" ContentType="application/vnd.openxmlformats-officedocument.spreadsheetml.comments+xml"/>
  <Override PartName="/xl/drawings/drawing7.xml" ContentType="application/vnd.openxmlformats-officedocument.drawing+xml"/>
  <Override PartName="/xl/drawings/vmlDrawing6.vml" ContentType="application/vnd.openxmlformats-officedocument.vmlDrawing"/>
  <Override PartName="/xl/drawings/drawing6.xml" ContentType="application/vnd.openxmlformats-officedocument.drawing+xml"/>
  <Override PartName="/xl/drawings/vmlDrawing5.vml" ContentType="application/vnd.openxmlformats-officedocument.vmlDrawing"/>
  <Override PartName="/xl/drawings/drawing5.xml" ContentType="application/vnd.openxmlformats-officedocument.drawing+xml"/>
  <Override PartName="/xl/drawings/vmlDrawing4.vml" ContentType="application/vnd.openxmlformats-officedocument.vmlDrawing"/>
  <Override PartName="/xl/drawings/drawing4.xml" ContentType="application/vnd.openxmlformats-officedocument.drawing+xml"/>
  <Override PartName="/xl/drawings/vmlDrawing3.vml" ContentType="application/vnd.openxmlformats-officedocument.vmlDrawing"/>
  <Override PartName="/xl/drawings/_rels/drawing1.xml.rels" ContentType="application/vnd.openxmlformats-package.relationships+xml"/>
  <Override PartName="/xl/drawings/drawing3.xml" ContentType="application/vnd.openxmlformats-officedocument.drawing+xml"/>
  <Override PartName="/xl/drawings/vmlDrawing2.vml" ContentType="application/vnd.openxmlformats-officedocument.vmlDrawing"/>
  <Override PartName="/xl/drawings/vmlDrawing13.vml" ContentType="application/vnd.openxmlformats-officedocument.vmlDrawing"/>
  <Override PartName="/xl/drawings/vmlDrawing12.vml" ContentType="application/vnd.openxmlformats-officedocument.vmlDrawing"/>
  <Override PartName="/xl/drawings/vmlDrawing11.vml" ContentType="application/vnd.openxmlformats-officedocument.vmlDrawing"/>
  <Override PartName="/xl/drawings/vmlDrawing10.vml" ContentType="application/vnd.openxmlformats-officedocument.vmlDrawing"/>
  <Override PartName="/xl/drawings/vmlDrawing9.vml" ContentType="application/vnd.openxmlformats-officedocument.vmlDrawing"/>
  <Override PartName="/xl/drawings/drawing9.xml" ContentType="application/vnd.openxmlformats-officedocument.drawing+xml"/>
  <Override PartName="/xl/drawings/vmlDrawing8.vml" ContentType="application/vnd.openxmlformats-officedocument.vmlDrawing"/>
  <Override PartName="/xl/drawings/drawing8.xml" ContentType="application/vnd.openxmlformats-officedocument.drawing+xml"/>
  <Override PartName="/xl/drawings/vmlDrawing7.vml" ContentType="application/vnd.openxmlformats-officedocument.vmlDrawing"/>
  <Override PartName="/xl/drawings/drawing10.xml" ContentType="application/vnd.openxmlformats-officedocument.drawing+xml"/>
  <Override PartName="/xl/drawings/drawing1.xml" ContentType="application/vnd.openxmlformats-officedocument.drawing+xml"/>
  <Override PartName="/xl/drawings/vmlDrawing1.vml" ContentType="application/vnd.openxmlformats-officedocument.vmlDrawing"/>
  <Override PartName="/xl/drawings/drawing2.xml" ContentType="application/vnd.openxmlformats-officedocument.drawing+xml"/>
  <Override PartName="/xl/comments9.xml" ContentType="application/vnd.openxmlformats-officedocument.spreadsheetml.comments+xml"/>
  <Override PartName="/xl/worksheets/_rels/sheet5.xml.rels" ContentType="application/vnd.openxmlformats-package.relationships+xml"/>
  <Override PartName="/xl/worksheets/_rels/sheet6.xml.rels" ContentType="application/vnd.openxmlformats-package.relationships+xml"/>
  <Override PartName="/xl/worksheets/_rels/sheet17.xml.rels" ContentType="application/vnd.openxmlformats-package.relationships+xml"/>
  <Override PartName="/xl/worksheets/_rels/sheet16.xml.rels" ContentType="application/vnd.openxmlformats-package.relationships+xml"/>
  <Override PartName="/xl/worksheets/_rels/sheet15.xml.rels" ContentType="application/vnd.openxmlformats-package.relationships+xml"/>
  <Override PartName="/xl/worksheets/_rels/sheet9.xml.rels" ContentType="application/vnd.openxmlformats-package.relationships+xml"/>
  <Override PartName="/xl/worksheets/_rels/sheet1.xml.rels" ContentType="application/vnd.openxmlformats-package.relationships+xml"/>
  <Override PartName="/xl/worksheets/_rels/sheet2.xml.rels" ContentType="application/vnd.openxmlformats-package.relationships+xml"/>
  <Override PartName="/xl/worksheets/_rels/sheet3.xml.rels" ContentType="application/vnd.openxmlformats-package.relationships+xml"/>
  <Override PartName="/xl/worksheets/_rels/sheet4.xml.rels" ContentType="application/vnd.openxmlformats-package.relationships+xml"/>
  <Override PartName="/xl/worksheets/_rels/sheet7.xml.rels" ContentType="application/vnd.openxmlformats-package.relationships+xml"/>
  <Override PartName="/xl/worksheets/_rels/sheet13.xml.rels" ContentType="application/vnd.openxmlformats-package.relationships+xml"/>
  <Override PartName="/xl/worksheets/_rels/sheet8.xml.rels" ContentType="application/vnd.openxmlformats-package.relationships+xml"/>
  <Override PartName="/xl/worksheets/_rels/sheet14.xml.rels" ContentType="application/vnd.openxmlformats-package.relationships+xml"/>
  <Override PartName="/xl/worksheets/sheet11.xml" ContentType="application/vnd.openxmlformats-officedocument.spreadsheetml.worksheet+xml"/>
  <Override PartName="/xl/worksheets/sheet6.xml" ContentType="application/vnd.openxmlformats-officedocument.spreadsheetml.worksheet+xml"/>
  <Override PartName="/xl/worksheets/sheet10.xml" ContentType="application/vnd.openxmlformats-officedocument.spreadsheetml.worksheet+xml"/>
  <Override PartName="/xl/worksheets/sheet5.xml" ContentType="application/vnd.openxmlformats-officedocument.spreadsheetml.worksheet+xml"/>
  <Override PartName="/xl/worksheets/sheet9.xml" ContentType="application/vnd.openxmlformats-officedocument.spreadsheetml.worksheet+xml"/>
  <Override PartName="/xl/worksheets/sheet14.xml" ContentType="application/vnd.openxmlformats-officedocument.spreadsheetml.worksheet+xml"/>
  <Override PartName="/xl/worksheets/sheet19.xml" ContentType="application/vnd.openxmlformats-officedocument.spreadsheetml.worksheet+xml"/>
  <Override PartName="/xl/worksheets/sheet18.xml" ContentType="application/vnd.openxmlformats-officedocument.spreadsheetml.worksheet+xml"/>
  <Override PartName="/xl/worksheets/sheet17.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4.xml" ContentType="application/vnd.openxmlformats-officedocument.spreadsheetml.worksheet+xml"/>
  <Override PartName="/xl/worksheets/sheet1.xml" ContentType="application/vnd.openxmlformats-officedocument.spreadsheetml.worksheet+xml"/>
  <Override PartName="/xl/worksheets/sheet7.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8.xml" ContentType="application/vnd.openxmlformats-officedocument.spreadsheetml.worksheet+xml"/>
  <Override PartName="/xl/worksheets/sheet13.xml" ContentType="application/vnd.openxmlformats-officedocument.spreadsheetml.worksheet+xml"/>
  <Override PartName="/xl/worksheets/sheet3.xml" ContentType="application/vnd.openxmlformats-officedocument.spreadsheetml.worksheet+xml"/>
  <Override PartName="/xl/sharedStrings.xml" ContentType="application/vnd.openxmlformats-officedocument.spreadsheetml.sharedStrings+xml"/>
  <Override PartName="/xl/charts/chart1.xml" ContentType="application/vnd.openxmlformats-officedocument.drawingml.chart+xml"/>
  <Override PartName="/xl/charts/chart2.xml" ContentType="application/vnd.openxmlformats-officedocument.drawingml.chart+xml"/>
  <Override PartName="/xl/comments6.xml" ContentType="application/vnd.openxmlformats-officedocument.spreadsheetml.comments+xml"/>
  <Override PartName="/xl/styles.xml" ContentType="application/vnd.openxmlformats-officedocument.spreadsheetml.styles+xml"/>
  <Override PartName="/xl/comments16.xml" ContentType="application/vnd.openxmlformats-officedocument.spreadsheetml.comment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codeName="ThisWorkbook" backupFile="false" showObjects="all" date1904="false"/>
  <workbookProtection/>
  <bookViews>
    <workbookView showHorizontalScroll="true" showVerticalScroll="true" showSheetTabs="true" xWindow="0" yWindow="0" windowWidth="16384" windowHeight="8192" tabRatio="500" firstSheet="0" activeTab="0"/>
  </bookViews>
  <sheets>
    <sheet name="TABLEAU DE BORD" sheetId="1" state="visible" r:id="rId3"/>
    <sheet name="PARAMETRES" sheetId="2" state="visible" r:id="rId4"/>
    <sheet name="REGISTRE ELEVES" sheetId="3" state="visible" r:id="rId5"/>
    <sheet name="NOTES CP" sheetId="4" state="visible" r:id="rId6"/>
    <sheet name="NOTES CE1" sheetId="5" state="visible" r:id="rId7"/>
    <sheet name="NOTES CE2-CM1" sheetId="6" state="visible" r:id="rId8"/>
    <sheet name="NOTES CM2" sheetId="7" state="visible" r:id="rId9"/>
    <sheet name="RESULTATS" sheetId="8" state="hidden" r:id="rId10"/>
    <sheet name="RESULTATS CM2" sheetId="9" state="hidden" r:id="rId11"/>
    <sheet name="ETAT PAR CLASSE" sheetId="10" state="hidden" r:id="rId12"/>
    <sheet name="EFFECTIFS" sheetId="11" state="hidden" r:id="rId13"/>
    <sheet name="SYNTHESE FIN D'ANNEE" sheetId="12" state="hidden" r:id="rId14"/>
    <sheet name="RAPPORT DE COMPOSITION" sheetId="13" state="visible" r:id="rId15"/>
    <sheet name="RAPPORT DE RENTREE" sheetId="14" state="visible" r:id="rId16"/>
    <sheet name="ABSENCES ELEVES" sheetId="15" state="visible" r:id="rId17"/>
    <sheet name="ABSENCES PERSONNEL" sheetId="16" state="visible" r:id="rId18"/>
    <sheet name="RAPPORT MENSUEL" sheetId="17" state="visible" r:id="rId19"/>
    <sheet name="PERSONNEL" sheetId="18" state="visible" r:id="rId20"/>
    <sheet name="NOTICE" sheetId="19" state="hidden" r:id="rId21"/>
  </sheets>
  <definedNames>
    <definedName function="false" hidden="false" localSheetId="14" name="_xlnm.Print_Area" vbProcedure="false">'ABSENCES ELEVES'!$A$1:$L$31</definedName>
    <definedName function="false" hidden="false" localSheetId="14" name="_xlnm.Print_Titles" vbProcedure="false">'ABSENCES ELEVES'!$9:$9</definedName>
    <definedName function="false" hidden="true" localSheetId="14" name="_xlnm._FilterDatabase" vbProcedure="false">'ABSENCES ELEVES'!$A$9:$L$250</definedName>
    <definedName function="false" hidden="false" localSheetId="15" name="_xlnm.Print_Area" vbProcedure="false">'ABSENCES PERSONNEL'!$A$1:$L$15</definedName>
    <definedName function="false" hidden="false" localSheetId="15" name="_xlnm.Print_Titles" vbProcedure="false">'ABSENCES PERSONNEL'!$9:$9</definedName>
    <definedName function="false" hidden="true" localSheetId="15" name="_xlnm._FilterDatabase" vbProcedure="false">'ABSENCES PERSONNEL'!$A$9:$L$250</definedName>
    <definedName function="false" hidden="false" localSheetId="10" name="_xlnm.Print_Area" vbProcedure="false">EFFECTIFS!$A$1:$Y$26</definedName>
    <definedName function="false" hidden="false" localSheetId="9" name="_xlnm.Print_Area" vbProcedure="false">'ETAT PAR CLASSE'!$A$1:$N$112</definedName>
    <definedName function="false" hidden="false" localSheetId="9" name="_xlnm.Print_Titles" vbProcedure="false">'ETAT PAR CLASSE'!$9:$9</definedName>
    <definedName function="false" hidden="false" localSheetId="4" name="_xlnm.Print_Area" vbProcedure="false">'NOTES CE1'!$A$1:$AH$18</definedName>
    <definedName function="false" hidden="false" localSheetId="4" name="_xlnm.Print_Titles" vbProcedure="false">'NOTES CE1'!$A:$F,'NOTES CE1'!$7:$9</definedName>
    <definedName function="false" hidden="true" localSheetId="4" name="_xlnm._FilterDatabase" vbProcedure="false">'NOTES CE1'!$A$9:$AH$250</definedName>
    <definedName function="false" hidden="false" localSheetId="5" name="_xlnm.Print_Area" vbProcedure="false">'NOTES CE2-CM1'!$A$1:$AH$32</definedName>
    <definedName function="false" hidden="false" localSheetId="5" name="_xlnm.Print_Titles" vbProcedure="false">'NOTES CE2-CM1'!$A:$F,'NOTES CE2-CM1'!$7:$9</definedName>
    <definedName function="false" hidden="true" localSheetId="5" name="_xlnm._FilterDatabase" vbProcedure="false">'NOTES CE2-CM1'!$A$9:$AH$250</definedName>
    <definedName function="false" hidden="false" localSheetId="6" name="_xlnm.Print_Area" vbProcedure="false">'NOTES CM2'!$A$1:$AJ$18</definedName>
    <definedName function="false" hidden="false" localSheetId="6" name="_xlnm.Print_Titles" vbProcedure="false">'NOTES CM2'!$A:$F,'NOTES CM2'!$7:$9</definedName>
    <definedName function="false" hidden="true" localSheetId="6" name="_xlnm._FilterDatabase" vbProcedure="false">'NOTES CM2'!$A$9:$AJ$250</definedName>
    <definedName function="false" hidden="false" localSheetId="3" name="_xlnm.Print_Area" vbProcedure="false">'NOTES CP'!$A$1:$AT$32</definedName>
    <definedName function="false" hidden="false" localSheetId="3" name="_xlnm.Print_Titles" vbProcedure="false">'NOTES CP'!$A:$F,'NOTES CP'!$7:$9</definedName>
    <definedName function="false" hidden="true" localSheetId="3" name="_xlnm._FilterDatabase" vbProcedure="false">'NOTES CP'!$A$9:$AT$250</definedName>
    <definedName function="false" hidden="false" localSheetId="18" name="_xlnm.Print_Area" vbProcedure="false">NOTICE!$A$1:$B$30</definedName>
    <definedName function="false" hidden="false" localSheetId="1" name="_xlnm.Print_Area" vbProcedure="false">PARAMETRES!$A$1:$J$50</definedName>
    <definedName function="false" hidden="false" localSheetId="17" name="_xlnm.Print_Area" vbProcedure="false">PERSONNEL!$A$1:$P$17</definedName>
    <definedName function="false" hidden="false" localSheetId="17" name="_xlnm.Print_Titles" vbProcedure="false">PERSONNEL!$9:$9</definedName>
    <definedName function="false" hidden="false" localSheetId="12" name="_xlnm.Print_Area" vbProcedure="false">'RAPPORT DE COMPOSITION'!$A$1:$V$43</definedName>
    <definedName function="false" hidden="false" localSheetId="13" name="_xlnm.Print_Area" vbProcedure="false">'RAPPORT DE RENTREE'!$A$1:$V$47</definedName>
    <definedName function="false" hidden="false" localSheetId="16" name="_xlnm.Print_Area" vbProcedure="false">'RAPPORT MENSUEL'!$A$1:$N$105</definedName>
    <definedName function="false" hidden="false" localSheetId="16" name="_xlnm.Print_Titles" vbProcedure="false">'RAPPORT MENSUEL'!$1:$8</definedName>
    <definedName function="false" hidden="false" localSheetId="2" name="_xlnm.Print_Area" vbProcedure="false">'REGISTRE ELEVES'!$A$1:$AF$73</definedName>
    <definedName function="false" hidden="false" localSheetId="2" name="_xlnm.Print_Titles" vbProcedure="false">'REGISTRE ELEVES'!$9:$9</definedName>
    <definedName function="false" hidden="true" localSheetId="2" name="_xlnm._FilterDatabase" vbProcedure="false">'REGISTRE ELEVES'!$A$9:$AF$250</definedName>
    <definedName function="false" hidden="false" localSheetId="7" name="_xlnm.Print_Area" vbProcedure="false">RESULTATS!$A$1:$Q$64</definedName>
    <definedName function="false" hidden="false" localSheetId="7" name="_xlnm.Print_Titles" vbProcedure="false">RESULTATS!$9:$9</definedName>
    <definedName function="false" hidden="true" localSheetId="7" name="_xlnm._FilterDatabase" vbProcedure="false">RESULTATS!$A$9:$Q$250</definedName>
    <definedName function="false" hidden="false" localSheetId="8" name="_xlnm.Print_Area" vbProcedure="false">'RESULTATS CM2'!$A$1:$O$18</definedName>
    <definedName function="false" hidden="false" localSheetId="8" name="_xlnm.Print_Titles" vbProcedure="false">'RESULTATS CM2'!$9:$9</definedName>
    <definedName function="false" hidden="true" localSheetId="8" name="_xlnm._FilterDatabase" vbProcedure="false">'RESULTATS CM2'!$A$9:$O$250</definedName>
    <definedName function="false" hidden="false" localSheetId="11" name="_xlnm.Print_Area" vbProcedure="false">'SYNTHESE FIN D''ANNEE'!$A$1:$W$30</definedName>
    <definedName function="false" hidden="false" localSheetId="0" name="_xlnm.Print_Area" vbProcedure="false">'TABLEAU DE BORD'!$A$1:$N$40</definedName>
    <definedName function="false" hidden="false" localSheetId="3" name="_xlnm.Print_Titles" vbProcedure="false">'NOTES CP'!$7:$9,'NOTES CP'!$A:$F</definedName>
    <definedName function="false" hidden="false" localSheetId="4" name="_xlnm.Print_Titles" vbProcedure="false">'NOTES CE1'!$7:$9,'NOTES CE1'!$A:$F</definedName>
    <definedName function="false" hidden="false" localSheetId="5" name="_xlnm.Print_Titles" vbProcedure="false">'NOTES CE2-CM1'!$7:$9,'NOTES CE2-CM1'!$A:$F</definedName>
    <definedName function="false" hidden="false" localSheetId="6" name="_xlnm.Print_Titles" vbProcedure="false">'NOTES CM2'!$7:$9,'NOTES CM2'!$A:$F</definedName>
  </definedNames>
  <calcPr iterateCount="100" refMode="A1" iterate="false" iterateDelta="0.0001"/>
  <extLst>
    <ext xmlns:loext="http://schemas.libreoffice.org/" uri="{7626C862-2A13-11E5-B345-FEFF819CDC9F}">
      <loext:extCalcPr stringRefSyntax="ExcelA1"/>
    </ext>
  </extLst>
</workbook>
</file>

<file path=xl/comments2.xml><?xml version="1.0" encoding="utf-8"?>
<comments xmlns="http://schemas.openxmlformats.org/spreadsheetml/2006/main" xmlns:xdr="http://schemas.openxmlformats.org/drawingml/2006/spreadsheetDrawing">
  <authors>
    <author>Unknown Author</author>
  </authors>
  <commentList>
    <comment ref="C13" authorId="0">
      <text>
        <r>
          <rPr>
            <sz val="10"/>
            <rFont val="Arial"/>
            <family val="2"/>
          </rPr>
          <t xml:space="preserve">L'âge est calculé à cette date fixe (et non avec AUJOURDHUI()) pour que les états restent identiques d'une ouverture à l'autre.</t>
        </r>
      </text>
    </comment>
    <comment ref="C14" authorId="0">
      <text>
        <r>
          <rPr>
            <sz val="10"/>
            <rFont val="Arial"/>
            <family val="2"/>
          </rPr>
          <t xml:space="preserve">Estimation saisie par le directeur ; sert à projeter l'effectif CP1 de l'année suivante.</t>
        </r>
      </text>
    </comment>
  </commentList>
</comments>
</file>

<file path=xl/comments3.xml><?xml version="1.0" encoding="utf-8"?>
<comments xmlns="http://schemas.openxmlformats.org/spreadsheetml/2006/main" xmlns:xdr="http://schemas.openxmlformats.org/drawingml/2006/spreadsheetDrawing">
  <authors>
    <author>Unknown Author</author>
  </authors>
  <commentList>
    <comment ref="B9" authorId="0">
      <text>
        <r>
          <rPr>
            <sz val="10"/>
            <rFont val="Arial"/>
            <family val="2"/>
          </rPr>
          <t xml:space="preserve">Matricule ECOLE, généré automatiquement dès que la classe est choisie : CLASSE-numéro d'ordre dans la classe-année (ex. CE1-007-25). Ne pas saisir dans cette colonne.</t>
        </r>
      </text>
    </comment>
    <comment ref="C9" authorId="0">
      <text>
        <r>
          <rPr>
            <sz val="10"/>
            <rFont val="Arial"/>
            <family val="2"/>
          </rPr>
          <t xml:space="preserve">Matricule DESPS / Identifiant attribué par l'administration. A SAISIR : les cases sont volontairement vides. Deux règles : exactement 9 caractères, et une LETTRE MAJUSCULE en première ou en dernière position (ex. A12345678 ou 12345678B). Toute autre forme est refusée à la frappe ; une valeur collée non conforme s'affiche en rouge. Colonne au format texte : les zéros de tête sont conservés.</t>
        </r>
      </text>
    </comment>
  </commentList>
</comments>
</file>

<file path=xl/comments4.xml><?xml version="1.0" encoding="utf-8"?>
<comments xmlns="http://schemas.openxmlformats.org/spreadsheetml/2006/main" xmlns:xdr="http://schemas.openxmlformats.org/drawingml/2006/spreadsheetDrawing">
  <authors>
    <author>Unknown Author</author>
  </authors>
  <commentList>
    <comment ref="A9" authorId="0">
      <text>
        <r>
          <rPr>
            <sz val="10"/>
            <rFont val="Arial"/>
            <family val="2"/>
          </rPr>
          <t xml:space="preserve">Classes de CP1 et CP2 – 8 matières notées sur 10 pour chacune des 3 compositions et la composition de passage. La MOYENNE de chaque évaluation alimente automatiquement la feuille RESULTATS.</t>
        </r>
      </text>
    </comment>
    <comment ref="P9" authorId="0">
      <text>
        <r>
          <rPr>
            <sz val="10"/>
            <rFont val="Arial"/>
            <family val="2"/>
          </rPr>
          <t xml:space="preserve">Moyenne de l'évaluation. Un élève absent (« Présent ? » = NON) obtient automatiquement 0, affiché sur fond rouge.</t>
        </r>
      </text>
    </comment>
    <comment ref="Z9" authorId="0">
      <text>
        <r>
          <rPr>
            <sz val="10"/>
            <rFont val="Arial"/>
            <family val="2"/>
          </rPr>
          <t xml:space="preserve">Moyenne de l'évaluation. Un élève absent (« Présent ? » = NON) obtient automatiquement 0, affiché sur fond rouge.</t>
        </r>
      </text>
    </comment>
    <comment ref="AJ9" authorId="0">
      <text>
        <r>
          <rPr>
            <sz val="10"/>
            <rFont val="Arial"/>
            <family val="2"/>
          </rPr>
          <t xml:space="preserve">Moyenne de l'évaluation. Un élève absent (« Présent ? » = NON) obtient automatiquement 0, affiché sur fond rouge.</t>
        </r>
      </text>
    </comment>
    <comment ref="AT9" authorId="0">
      <text>
        <r>
          <rPr>
            <sz val="10"/>
            <rFont val="Arial"/>
            <family val="2"/>
          </rPr>
          <t xml:space="preserve">Moyenne de l'évaluation. Un élève absent (« Présent ? » = NON) obtient automatiquement 0, affiché sur fond rouge.</t>
        </r>
      </text>
    </comment>
  </commentList>
</comments>
</file>

<file path=xl/comments5.xml><?xml version="1.0" encoding="utf-8"?>
<comments xmlns="http://schemas.openxmlformats.org/spreadsheetml/2006/main" xmlns:xdr="http://schemas.openxmlformats.org/drawingml/2006/spreadsheetDrawing">
  <authors>
    <author>Unknown Author</author>
  </authors>
  <commentList>
    <comment ref="A9" authorId="0">
      <text>
        <r>
          <rPr>
            <sz val="10"/>
            <rFont val="Arial"/>
            <family val="2"/>
          </rPr>
          <t xml:space="preserve">Classe de CE1 – exploitation de texte /50, éveil au milieu /40, mathématiques /40, dictée /10 (total /140) pour les 3 compositions et la composition de passage. MOYENNE = total ÷ barème × 10 ; elle alimente RESULTATS.</t>
        </r>
      </text>
    </comment>
    <comment ref="M9" authorId="0">
      <text>
        <r>
          <rPr>
            <sz val="10"/>
            <rFont val="Arial"/>
            <family val="2"/>
          </rPr>
          <t xml:space="preserve">Moyenne de l'évaluation. Un élève absent (« Présent ? » = NON) obtient automatiquement 0, affiché sur fond rouge.</t>
        </r>
      </text>
    </comment>
    <comment ref="T9" authorId="0">
      <text>
        <r>
          <rPr>
            <sz val="10"/>
            <rFont val="Arial"/>
            <family val="2"/>
          </rPr>
          <t xml:space="preserve">Moyenne de l'évaluation. Un élève absent (« Présent ? » = NON) obtient automatiquement 0, affiché sur fond rouge.</t>
        </r>
      </text>
    </comment>
    <comment ref="AA9" authorId="0">
      <text>
        <r>
          <rPr>
            <sz val="10"/>
            <rFont val="Arial"/>
            <family val="2"/>
          </rPr>
          <t xml:space="preserve">Moyenne de l'évaluation. Un élève absent (« Présent ? » = NON) obtient automatiquement 0, affiché sur fond rouge.</t>
        </r>
      </text>
    </comment>
    <comment ref="AH9" authorId="0">
      <text>
        <r>
          <rPr>
            <sz val="10"/>
            <rFont val="Arial"/>
            <family val="2"/>
          </rPr>
          <t xml:space="preserve">Moyenne de l'évaluation. Un élève absent (« Présent ? » = NON) obtient automatiquement 0, affiché sur fond rouge.</t>
        </r>
      </text>
    </comment>
  </commentList>
</comments>
</file>

<file path=xl/comments6.xml><?xml version="1.0" encoding="utf-8"?>
<comments xmlns="http://schemas.openxmlformats.org/spreadsheetml/2006/main" xmlns:xdr="http://schemas.openxmlformats.org/drawingml/2006/spreadsheetDrawing">
  <authors>
    <author>Unknown Author</author>
  </authors>
  <commentList>
    <comment ref="A9" authorId="0">
      <text>
        <r>
          <rPr>
            <sz val="10"/>
            <rFont val="Arial"/>
            <family val="2"/>
          </rPr>
          <t xml:space="preserve">Classes de CE2 et CM1 – exploitation de texte /50, éveil au milieu /50, mathématiques /50, dictée /20 (total /170) pour les 3 compositions et la composition de passage. MOYENNE = total ÷ barème × 10 ; elle alimente RESULTATS.</t>
        </r>
      </text>
    </comment>
    <comment ref="M9" authorId="0">
      <text>
        <r>
          <rPr>
            <sz val="10"/>
            <rFont val="Arial"/>
            <family val="2"/>
          </rPr>
          <t xml:space="preserve">Moyenne de l'évaluation. Un élève absent (« Présent ? » = NON) obtient automatiquement 0, affiché sur fond rouge.</t>
        </r>
      </text>
    </comment>
    <comment ref="T9" authorId="0">
      <text>
        <r>
          <rPr>
            <sz val="10"/>
            <rFont val="Arial"/>
            <family val="2"/>
          </rPr>
          <t xml:space="preserve">Moyenne de l'évaluation. Un élève absent (« Présent ? » = NON) obtient automatiquement 0, affiché sur fond rouge.</t>
        </r>
      </text>
    </comment>
    <comment ref="AA9" authorId="0">
      <text>
        <r>
          <rPr>
            <sz val="10"/>
            <rFont val="Arial"/>
            <family val="2"/>
          </rPr>
          <t xml:space="preserve">Moyenne de l'évaluation. Un élève absent (« Présent ? » = NON) obtient automatiquement 0, affiché sur fond rouge.</t>
        </r>
      </text>
    </comment>
    <comment ref="AH9" authorId="0">
      <text>
        <r>
          <rPr>
            <sz val="10"/>
            <rFont val="Arial"/>
            <family val="2"/>
          </rPr>
          <t xml:space="preserve">Moyenne de l'évaluation. Un élève absent (« Présent ? » = NON) obtient automatiquement 0, affiché sur fond rouge.</t>
        </r>
      </text>
    </comment>
  </commentList>
</comments>
</file>

<file path=xl/comments7.xml><?xml version="1.0" encoding="utf-8"?>
<comments xmlns="http://schemas.openxmlformats.org/spreadsheetml/2006/main" xmlns:xdr="http://schemas.openxmlformats.org/drawingml/2006/spreadsheetDrawing">
  <authors>
    <author>Unknown Author</author>
  </authors>
  <commentList>
    <comment ref="A9" authorId="0">
      <text>
        <r>
          <rPr>
            <sz val="10"/>
            <rFont val="Arial"/>
            <family val="2"/>
          </rPr>
          <t xml:space="preserve">Classe de CM2 – compositions : exploitation de texte /50, éveil au milieu /50, mathématiques /50, dictée /20 (total /170) ; examens blancs : les mêmes + épreuves physiques /20 (total /190). MOYENNE = total ÷ barème × 20 ; elle alimente RESULTATS CM2.</t>
        </r>
      </text>
    </comment>
    <comment ref="M9" authorId="0">
      <text>
        <r>
          <rPr>
            <sz val="10"/>
            <rFont val="Arial"/>
            <family val="2"/>
          </rPr>
          <t xml:space="preserve">Moyenne de l'évaluation. Un élève absent (« Présent ? » = NON) obtient automatiquement 0, affiché sur fond rouge.</t>
        </r>
      </text>
    </comment>
    <comment ref="T9" authorId="0">
      <text>
        <r>
          <rPr>
            <sz val="10"/>
            <rFont val="Arial"/>
            <family val="2"/>
          </rPr>
          <t xml:space="preserve">Moyenne de l'évaluation. Un élève absent (« Présent ? » = NON) obtient automatiquement 0, affiché sur fond rouge.</t>
        </r>
      </text>
    </comment>
    <comment ref="AB9" authorId="0">
      <text>
        <r>
          <rPr>
            <sz val="10"/>
            <rFont val="Arial"/>
            <family val="2"/>
          </rPr>
          <t xml:space="preserve">Moyenne de l'évaluation. Un élève absent (« Présent ? » = NON) obtient automatiquement 0, affiché sur fond rouge.</t>
        </r>
      </text>
    </comment>
    <comment ref="AJ9" authorId="0">
      <text>
        <r>
          <rPr>
            <sz val="10"/>
            <rFont val="Arial"/>
            <family val="2"/>
          </rPr>
          <t xml:space="preserve">Moyenne de l'évaluation. Un élève absent (« Présent ? » = NON) obtient automatiquement 0, affiché sur fond rouge.</t>
        </r>
      </text>
    </comment>
  </commentList>
</comments>
</file>

<file path=xl/comments8.xml><?xml version="1.0" encoding="utf-8"?>
<comments xmlns="http://schemas.openxmlformats.org/spreadsheetml/2006/main" xmlns:xdr="http://schemas.openxmlformats.org/drawingml/2006/spreadsheetDrawing">
  <authors>
    <author>Unknown Author</author>
  </authors>
  <commentList>
    <comment ref="L9" authorId="0">
      <text>
        <r>
          <rPr>
            <sz val="10"/>
            <rFont val="Arial"/>
            <family val="2"/>
          </rPr>
          <t xml:space="preserve">Moyenne Générale Annuelle = (moyenne des 3 compositions + 2 × moyenne de la composition de passage) / 3.</t>
        </r>
      </text>
    </comment>
  </commentList>
</comments>
</file>

<file path=xl/comments9.xml><?xml version="1.0" encoding="utf-8"?>
<comments xmlns="http://schemas.openxmlformats.org/spreadsheetml/2006/main" xmlns:xdr="http://schemas.openxmlformats.org/drawingml/2006/spreadsheetDrawing">
  <authors>
    <author>Unknown Author</author>
  </authors>
  <commentList>
    <comment ref="J9" authorId="0">
      <text>
        <r>
          <rPr>
            <sz val="10"/>
            <rFont val="Arial"/>
            <family val="2"/>
          </rPr>
          <t xml:space="preserve">Moyenne Générale Annuelle CM2 = (compo 1 + compo 2 + examen blanc 1 + examen blanc 2) / 4. Elle n'est calculée que lorsque les 4 notes sont saisies.</t>
        </r>
      </text>
    </comment>
  </commentList>
</comments>
</file>

<file path=xl/comments13.xml><?xml version="1.0" encoding="utf-8"?>
<comments xmlns="http://schemas.openxmlformats.org/spreadsheetml/2006/main" xmlns:xdr="http://schemas.openxmlformats.org/drawingml/2006/spreadsheetDrawing">
  <authors>
    <author>Unknown Author</author>
  </authors>
  <commentList>
    <comment ref="A15" authorId="0">
      <text>
        <r>
          <rPr>
            <sz val="10"/>
            <rFont val="Arial"/>
            <family val="2"/>
          </rPr>
          <t xml:space="preserve">INSCRITS : registre (statut confondu). PRÉSENTS : élèves ayant une moyenne à cette composition. ABSENTS : colonne « Présent ? » = NON dans la feuille de notes, pour cette composition ; ils comptent 0 dans la MGA mais ne figurent ni dans les présents ni dans les admis. ADMIS : moyenne ≥ seuil de la classe (PARAMETRES : 5/10, CM2 10/20). TAUX = admis ÷ présents.</t>
        </r>
      </text>
    </comment>
    <comment ref="A25" authorId="0">
      <text>
        <r>
          <rPr>
            <sz val="10"/>
            <rFont val="Arial"/>
            <family val="2"/>
          </rPr>
          <t xml:space="preserve">Classement sur la moyenne de la composition choisie ; en cas d'ex æquo, le premier inscrit au registre est cité en premier. Moyennes sur 10 (CM2 : sur 20).</t>
        </r>
      </text>
    </comment>
  </commentList>
</comments>
</file>

<file path=xl/comments14.xml><?xml version="1.0" encoding="utf-8"?>
<comments xmlns="http://schemas.openxmlformats.org/spreadsheetml/2006/main" xmlns:xdr="http://schemas.openxmlformats.org/drawingml/2006/spreadsheetDrawing">
  <authors>
    <author>Unknown Author</author>
  </authors>
  <commentList>
    <comment ref="A31" authorId="0">
      <text>
        <r>
          <rPr>
            <sz val="10"/>
            <rFont val="Arial"/>
            <family val="2"/>
          </rPr>
          <t xml:space="preserve">N.RED = non redoublants ; RED = redoublants (colonne Redoublant du registre). Tous les inscrits sont comptés, quel que soit leur statut en cours d'année.</t>
        </r>
      </text>
    </comment>
  </commentList>
</comments>
</file>

<file path=xl/comments15.xml><?xml version="1.0" encoding="utf-8"?>
<comments xmlns="http://schemas.openxmlformats.org/spreadsheetml/2006/main" xmlns:xdr="http://schemas.openxmlformats.org/drawingml/2006/spreadsheetDrawing">
  <authors>
    <author>Unknown Author</author>
  </authors>
  <commentList>
    <comment ref="C9" authorId="0">
      <text>
        <r>
          <rPr>
            <sz val="10"/>
            <rFont val="Arial"/>
            <family val="2"/>
          </rPr>
          <t xml:space="preserve">Matricule (élève, voir le registre). Le nom s'affiche pour contrôle ; « Matricule inconnu » en rouge en cas d'erreur.</t>
        </r>
      </text>
    </comment>
    <comment ref="H9" authorId="0">
      <text>
        <r>
          <rPr>
            <sz val="10"/>
            <rFont val="Arial"/>
            <family val="2"/>
          </rPr>
          <t xml:space="preserve">Pour une ABSENCE : nombre de jours (0,5 = demi-journée). Laisser vide pour un retard.</t>
        </r>
      </text>
    </comment>
  </commentList>
</comments>
</file>

<file path=xl/comments16.xml><?xml version="1.0" encoding="utf-8"?>
<comments xmlns="http://schemas.openxmlformats.org/spreadsheetml/2006/main" xmlns:xdr="http://schemas.openxmlformats.org/drawingml/2006/spreadsheetDrawing">
  <authors>
    <author>Unknown Author</author>
  </authors>
  <commentList>
    <comment ref="C9" authorId="0">
      <text>
        <r>
          <rPr>
            <sz val="10"/>
            <rFont val="Arial"/>
            <family val="2"/>
          </rPr>
          <t xml:space="preserve">Matricule (membre du personnel, voir la feuille PERSONNEL). Le nom s'affiche pour contrôle ; « Matricule inconnu » en rouge en cas d'erreur.</t>
        </r>
      </text>
    </comment>
    <comment ref="H9" authorId="0">
      <text>
        <r>
          <rPr>
            <sz val="10"/>
            <rFont val="Arial"/>
            <family val="2"/>
          </rPr>
          <t xml:space="preserve">Pour une ABSENCE : nombre de jours (0,5 = demi-journée). Laisser vide pour un retard.</t>
        </r>
      </text>
    </comment>
  </commentList>
</comments>
</file>

<file path=xl/comments17.xml><?xml version="1.0" encoding="utf-8"?>
<comments xmlns="http://schemas.openxmlformats.org/spreadsheetml/2006/main" xmlns:xdr="http://schemas.openxmlformats.org/drawingml/2006/spreadsheetDrawing">
  <authors>
    <author>Unknown Author</author>
  </authors>
  <commentList>
    <comment ref="E48" authorId="0">
      <text>
        <r>
          <rPr>
            <sz val="10"/>
            <rFont val="Arial"/>
            <family val="2"/>
          </rPr>
          <t xml:space="preserve">« Ont composé » = élèves ayant une moyenne à l'évaluation du mois ; « ont obtenu la moyenne » = moyenne ≥ seuil de la classe (PARAMETRES). L'évaluation est celle dont la date (calendrier PARAMETRES) tombe dans le mois choisi ; pour le CM2, les examens blancs ont leurs propres dates.</t>
        </r>
      </text>
    </comment>
    <comment ref="H13" authorId="0">
      <text>
        <r>
          <rPr>
            <sz val="10"/>
            <rFont val="Arial"/>
            <family val="2"/>
          </rPr>
          <t xml:space="preserve">Taux de fréquentation = 1 − jours d'absence des élèves du mois (ABSENCES ELEVES) ÷ (effectif × jours de classe du mois, PARAMETRES). PS/MS/GS restent à 0 tant qu'aucune classe de préscolaire n'existe dans le registre.</t>
        </r>
      </text>
    </comment>
  </commentList>
</comments>
</file>

<file path=xl/sharedStrings.xml><?xml version="1.0" encoding="utf-8"?>
<sst xmlns="http://schemas.openxmlformats.org/spreadsheetml/2006/main" count="2726" uniqueCount="864">
  <si>
    <t xml:space="preserve">ETATS IMPRIMABLES (feuilles calculées, masquées)</t>
  </si>
  <si>
    <t xml:space="preserve">Ces feuilles ne demandent aucune saisie : elles sont masquées pour ne laisser que les feuilles à remplir. Les boutons ci-dessous les impriment ou les exportent sans avoir à les afficher.</t>
  </si>
  <si>
    <t xml:space="preserve">Effectif inscrit</t>
  </si>
  <si>
    <t xml:space="preserve">Filles (%)</t>
  </si>
  <si>
    <t xml:space="preserve">Présents fin d'année</t>
  </si>
  <si>
    <t xml:space="preserve">Taux d'abandon</t>
  </si>
  <si>
    <t xml:space="preserve">Taux d'admission</t>
  </si>
  <si>
    <t xml:space="preserve">Sans extrait de naissance</t>
  </si>
  <si>
    <t xml:space="preserve">Enseignants</t>
  </si>
  <si>
    <t xml:space="preserve">Ratio élèves / enseignant</t>
  </si>
  <si>
    <t xml:space="preserve">EFFECTIFS ET RESULTATS PAR CLASSE</t>
  </si>
  <si>
    <t xml:space="preserve">ALERTES DE GESTION</t>
  </si>
  <si>
    <t xml:space="preserve">Classe</t>
  </si>
  <si>
    <t xml:space="preserve">Garçons</t>
  </si>
  <si>
    <t xml:space="preserve">Filles</t>
  </si>
  <si>
    <t xml:space="preserve">Total</t>
  </si>
  <si>
    <t xml:space="preserve">Admis</t>
  </si>
  <si>
    <t xml:space="preserve">Abandons</t>
  </si>
  <si>
    <t xml:space="preserve">CP1</t>
  </si>
  <si>
    <t xml:space="preserve">CP2</t>
  </si>
  <si>
    <t xml:space="preserve">CE1</t>
  </si>
  <si>
    <t xml:space="preserve">CE2</t>
  </si>
  <si>
    <t xml:space="preserve">CM1</t>
  </si>
  <si>
    <t xml:space="preserve">CM2</t>
  </si>
  <si>
    <t xml:space="preserve">TOTAL</t>
  </si>
  <si>
    <t xml:space="preserve">Légende : PARAMETRES (orange) = à renseigner en premier • REGISTRE ELEVES = base unique • RESULTATS = saisie des compositions • les autres feuilles sont 100 % calculées.</t>
  </si>
  <si>
    <t xml:space="preserve">Version sans macro (.xlsx) : les boutons sont inactifs. Pour consulter ou imprimer un état, faire un clic droit sur un onglet ▸ Afficher, puis choisir la feuille voulue.</t>
  </si>
  <si>
    <t xml:space="preserve">ALLER A UNE FEUILLE</t>
  </si>
  <si>
    <t xml:space="preserve">Les liens ▸ fonctionnent même si les macros sont désactivées ; les boutons, eux, demandent d'activer le contenu à l'ouverture.</t>
  </si>
  <si>
    <t xml:space="preserve">PARAMETRES DE L'ETABLISSEMENT</t>
  </si>
  <si>
    <t xml:space="preserve">LISTES DE CHOIX (validation des données)</t>
  </si>
  <si>
    <t xml:space="preserve">Les cellules en jaune sont à renseigner. Tout le classeur s'alimente ici : aucune autre feuille ne doit contenir d'entête saisie à la main.</t>
  </si>
  <si>
    <t xml:space="preserve">Sexe</t>
  </si>
  <si>
    <t xml:space="preserve">Nationalité</t>
  </si>
  <si>
    <t xml:space="preserve">Oui/Non</t>
  </si>
  <si>
    <t xml:space="preserve">Orphelin de</t>
  </si>
  <si>
    <t xml:space="preserve">Statut</t>
  </si>
  <si>
    <t xml:space="preserve">M</t>
  </si>
  <si>
    <t xml:space="preserve">IVOIRIENNE</t>
  </si>
  <si>
    <t xml:space="preserve">OUI</t>
  </si>
  <si>
    <t xml:space="preserve">-</t>
  </si>
  <si>
    <t xml:space="preserve">PRESENT</t>
  </si>
  <si>
    <t xml:space="preserve">Ministère</t>
  </si>
  <si>
    <t xml:space="preserve">MINISTERE DE L'EDUCATION NATIONALE ET DE L'ALPHABETISATION</t>
  </si>
  <si>
    <t xml:space="preserve">F</t>
  </si>
  <si>
    <t xml:space="preserve">BURKINABE</t>
  </si>
  <si>
    <t xml:space="preserve">NON</t>
  </si>
  <si>
    <t xml:space="preserve">PERE</t>
  </si>
  <si>
    <t xml:space="preserve">ABANDON</t>
  </si>
  <si>
    <t xml:space="preserve">Direction régionale (DREN)</t>
  </si>
  <si>
    <t xml:space="preserve">DIRECTION REGIONALE DE L'EDUCATION NATIONALE DE GAGNOA</t>
  </si>
  <si>
    <t xml:space="preserve">MALIENNE</t>
  </si>
  <si>
    <t xml:space="preserve">MERE</t>
  </si>
  <si>
    <t xml:space="preserve">TRANSFERE</t>
  </si>
  <si>
    <t xml:space="preserve">Inspection (IEPP)</t>
  </si>
  <si>
    <t xml:space="preserve">IEPP GAGNOA 2</t>
  </si>
  <si>
    <t xml:space="preserve">GUINEENNE</t>
  </si>
  <si>
    <t xml:space="preserve">PERE ET MERE</t>
  </si>
  <si>
    <t xml:space="preserve">Nom de l'établissement</t>
  </si>
  <si>
    <t xml:space="preserve">EPP LIGUIYO</t>
  </si>
  <si>
    <t xml:space="preserve">GHANEENNE</t>
  </si>
  <si>
    <t xml:space="preserve">Code établissement</t>
  </si>
  <si>
    <t xml:space="preserve">EPP-GAG-0123</t>
  </si>
  <si>
    <t xml:space="preserve">NIGERIENNE</t>
  </si>
  <si>
    <t xml:space="preserve">Année scolaire</t>
  </si>
  <si>
    <t xml:space="preserve">2026-2027</t>
  </si>
  <si>
    <t xml:space="preserve">TOGOLAISE</t>
  </si>
  <si>
    <t xml:space="preserve">Localité</t>
  </si>
  <si>
    <t xml:space="preserve">LIGUIYO</t>
  </si>
  <si>
    <t xml:space="preserve">BENINOISE</t>
  </si>
  <si>
    <t xml:space="preserve">Nom du directeur</t>
  </si>
  <si>
    <t xml:space="preserve">M. KOUAME Kouadio Ernest</t>
  </si>
  <si>
    <t xml:space="preserve">AUTRE</t>
  </si>
  <si>
    <t xml:space="preserve">Date d'édition des états</t>
  </si>
  <si>
    <t xml:space="preserve">Date de référence pour le calcul des âges</t>
  </si>
  <si>
    <t xml:space="preserve">Fonctions (personnel)</t>
  </si>
  <si>
    <t xml:space="preserve">Nouveaux inscrits CP1 attendus (année suivante)</t>
  </si>
  <si>
    <t xml:space="preserve">DIRECTEUR</t>
  </si>
  <si>
    <t xml:space="preserve">Secteur pédagogique</t>
  </si>
  <si>
    <t xml:space="preserve">SECTEUR 3</t>
  </si>
  <si>
    <t xml:space="preserve">DIRECTEUR ADJOINT</t>
  </si>
  <si>
    <t xml:space="preserve">INSTITUTEUR ORDINAIRE</t>
  </si>
  <si>
    <t xml:space="preserve">SEUILS D'ADMISSION PAR CLASSE</t>
  </si>
  <si>
    <t xml:space="preserve">Moy. compo de passage (seuil)</t>
  </si>
  <si>
    <t xml:space="preserve">Barème (/10 ou /20)</t>
  </si>
  <si>
    <t xml:space="preserve">INSTITUTEUR ADJOINT</t>
  </si>
  <si>
    <t xml:space="preserve">INSTITUTEUR STAGIAIRE</t>
  </si>
  <si>
    <t xml:space="preserve">GARDIEN</t>
  </si>
  <si>
    <t xml:space="preserve">CANTINIERE</t>
  </si>
  <si>
    <t xml:space="preserve">CP1 à CM1 : moyennes notées sur 10, admission si moy. compo de passage ≥ 5/10. CM2 : moyennes sur 20, admission (entrée en 6ème) si ≥ 10/20.</t>
  </si>
  <si>
    <t xml:space="preserve">CALENDRIER DES EVALUATIONS – DATES (modifiables)</t>
  </si>
  <si>
    <t xml:space="preserve">Evaluation</t>
  </si>
  <si>
    <t xml:space="preserve">Date – CP1 à CM1</t>
  </si>
  <si>
    <t xml:space="preserve">Date – CM2</t>
  </si>
  <si>
    <t xml:space="preserve">1 – 1re composition</t>
  </si>
  <si>
    <t xml:space="preserve">2 – 2e composition</t>
  </si>
  <si>
    <t xml:space="preserve">3 – 3e composition / 1er examen blanc CM2</t>
  </si>
  <si>
    <t xml:space="preserve">4 – Composition de passage / 2e examen blanc CM2</t>
  </si>
  <si>
    <t xml:space="preserve">Dates PROVISOIRES fixées d'après le découpage officiel 2026-2027 (rentrée 14/09/2026, Noël 23/12–03/01, Pâques 09–18/04, fin 16/07/2027) et le rythme des années précédentes ; à remplacer par les dates arrêtées par la DECO / l'IEPP. Le rapport mensuel sélectionne automatiquement l'évaluation dont la date tombe dans le mois choisi.</t>
  </si>
  <si>
    <t xml:space="preserve">JOURS DE CLASSE PAR MOIS (taux de fréquentation)</t>
  </si>
  <si>
    <t xml:space="preserve">Mois</t>
  </si>
  <si>
    <t xml:space="preserve">N° du mois</t>
  </si>
  <si>
    <t xml:space="preserve">Jours de classe</t>
  </si>
  <si>
    <t xml:space="preserve">Septembre</t>
  </si>
  <si>
    <t xml:space="preserve">Octobre</t>
  </si>
  <si>
    <t xml:space="preserve">Novembre</t>
  </si>
  <si>
    <t xml:space="preserve">Décembre</t>
  </si>
  <si>
    <t xml:space="preserve">Janvier</t>
  </si>
  <si>
    <t xml:space="preserve">Février</t>
  </si>
  <si>
    <t xml:space="preserve">Mars</t>
  </si>
  <si>
    <t xml:space="preserve">Avril</t>
  </si>
  <si>
    <t xml:space="preserve">Mai</t>
  </si>
  <si>
    <t xml:space="preserve">Juin</t>
  </si>
  <si>
    <t xml:space="preserve">Juillet</t>
  </si>
  <si>
    <t xml:space="preserve">Jours de classe effectifs du mois (lundi à vendredi hors congés 2026-2027), modifiables selon les jours fériés et pauses locales. Taux de fréquentation = 1 − jours d'absence des élèves ÷ (effectif × jours de classe).</t>
  </si>
  <si>
    <t xml:space="preserve">REPUBLIQUE DE COTE D'IVOIRE</t>
  </si>
  <si>
    <t xml:space="preserve">Union - Discipline - Travail</t>
  </si>
  <si>
    <t xml:space="preserve">REGISTRE GENERAL DES ELEVES (TOUTES CLASSES)</t>
  </si>
  <si>
    <t xml:space="preserve">Base unique : chaque élève est saisi une seule fois ; les états par classe, effectifs et synthèses se calculent automatiquement.</t>
  </si>
  <si>
    <t xml:space="preserve">Légende : Extrait = NON surligné en jaune • ABANDON en rose • TRANSFERE en gris. N°, Matricule Ecole (CLASSE-NNN-AA, généré dès que la classe est choisie) et Age sont calculés automatiquement : ne pas saisir. Matricule DESPS / Identifiant : à saisir (cases vides au départ), exactement 9 caractères dont une lettre MAJUSCULE au début ou à la fin, ex. A12345678 ou 12345678B — toute autre forme est refusée, une valeur collée non conforme apparaît en rouge. Ajouter les nouveaux élèves en fin de liste, sans insérer ni supprimer de lignes. Capacité pré-formatée : 241 élèves (lignes 10 à 250). Données d'exemple fictives.</t>
  </si>
  <si>
    <t xml:space="preserve">N°</t>
  </si>
  <si>
    <t xml:space="preserve">Matricule Ecole</t>
  </si>
  <si>
    <t xml:space="preserve">Matricule DESPS / Identifiant</t>
  </si>
  <si>
    <t xml:space="preserve">Nom et Prénoms</t>
  </si>
  <si>
    <t xml:space="preserve">Date de naissance</t>
  </si>
  <si>
    <t xml:space="preserve">Age</t>
  </si>
  <si>
    <t xml:space="preserve">Sous-préfecture</t>
  </si>
  <si>
    <t xml:space="preserve">Extrait ?</t>
  </si>
  <si>
    <t xml:space="preserve">Acte N°</t>
  </si>
  <si>
    <t xml:space="preserve">Du</t>
  </si>
  <si>
    <t xml:space="preserve">Centre d'état civil</t>
  </si>
  <si>
    <t xml:space="preserve">Orphelin</t>
  </si>
  <si>
    <t xml:space="preserve">Nom et Prénoms du père</t>
  </si>
  <si>
    <t xml:space="preserve">Profession père</t>
  </si>
  <si>
    <t xml:space="preserve">Résidence père</t>
  </si>
  <si>
    <t xml:space="preserve">Tél. père</t>
  </si>
  <si>
    <t xml:space="preserve">Nom et Prénoms de la mère</t>
  </si>
  <si>
    <t xml:space="preserve">Profession mère</t>
  </si>
  <si>
    <t xml:space="preserve">Résidence mère</t>
  </si>
  <si>
    <t xml:space="preserve">Tél. mère</t>
  </si>
  <si>
    <t xml:space="preserve">Nom et Prénoms du tuteur(trice)</t>
  </si>
  <si>
    <t xml:space="preserve">Profession tuteur</t>
  </si>
  <si>
    <t xml:space="preserve">Résidence tuteur</t>
  </si>
  <si>
    <t xml:space="preserve">Tél. tuteur</t>
  </si>
  <si>
    <t xml:space="preserve">Redoublant</t>
  </si>
  <si>
    <t xml:space="preserve">Observations</t>
  </si>
  <si>
    <t xml:space="preserve">clé</t>
  </si>
  <si>
    <t xml:space="preserve">clé résultats</t>
  </si>
  <si>
    <t xml:space="preserve">clé notes</t>
  </si>
  <si>
    <t xml:space="preserve">DIGBEU Ismaël Kouadio</t>
  </si>
  <si>
    <t xml:space="preserve">GAGNOA</t>
  </si>
  <si>
    <t xml:space="preserve">946</t>
  </si>
  <si>
    <t xml:space="preserve">YAO Konan</t>
  </si>
  <si>
    <t xml:space="preserve">PLANTEUR</t>
  </si>
  <si>
    <t xml:space="preserve">07 38 90 90 84</t>
  </si>
  <si>
    <t xml:space="preserve">YAO Grâce</t>
  </si>
  <si>
    <t xml:space="preserve">MENAGERE</t>
  </si>
  <si>
    <t xml:space="preserve">05 83 84 60 16</t>
  </si>
  <si>
    <t xml:space="preserve">KONAN Franck Koffi</t>
  </si>
  <si>
    <t xml:space="preserve">829</t>
  </si>
  <si>
    <t xml:space="preserve">DJEDJE Ismaël</t>
  </si>
  <si>
    <t xml:space="preserve">CULTIVATEUR</t>
  </si>
  <si>
    <t xml:space="preserve">07 89 36 73 97</t>
  </si>
  <si>
    <t xml:space="preserve">TRAORE Marie-Ange</t>
  </si>
  <si>
    <t xml:space="preserve">COIFFEUSE</t>
  </si>
  <si>
    <t xml:space="preserve">05 64 50 69 84</t>
  </si>
  <si>
    <t xml:space="preserve">ZADI Aya Akissi</t>
  </si>
  <si>
    <t xml:space="preserve">268</t>
  </si>
  <si>
    <t xml:space="preserve">DIABATE Sylvain</t>
  </si>
  <si>
    <t xml:space="preserve">ENSEIGNANT</t>
  </si>
  <si>
    <t xml:space="preserve">07 29 72 63 15</t>
  </si>
  <si>
    <t xml:space="preserve">YAO Affoué</t>
  </si>
  <si>
    <t xml:space="preserve">ENSEIGNANTE</t>
  </si>
  <si>
    <t xml:space="preserve">05 19 81 83 50</t>
  </si>
  <si>
    <t xml:space="preserve">ZADI Estelle Mariam</t>
  </si>
  <si>
    <t xml:space="preserve">833</t>
  </si>
  <si>
    <t xml:space="preserve">SORO Sylvain</t>
  </si>
  <si>
    <t xml:space="preserve">07 12 69 55 31</t>
  </si>
  <si>
    <t xml:space="preserve">COULIBALY Clarisse</t>
  </si>
  <si>
    <t xml:space="preserve">05 24 73 17 37</t>
  </si>
  <si>
    <t xml:space="preserve">KOFFI Awa Akissi</t>
  </si>
  <si>
    <t xml:space="preserve">489</t>
  </si>
  <si>
    <t xml:space="preserve">SERI Cédric</t>
  </si>
  <si>
    <t xml:space="preserve">COMMERCANT</t>
  </si>
  <si>
    <t xml:space="preserve">07 20 32 29 39</t>
  </si>
  <si>
    <t xml:space="preserve">GBOGOU Aya</t>
  </si>
  <si>
    <t xml:space="preserve">05 39 11 72 85</t>
  </si>
  <si>
    <t xml:space="preserve">ZADI Mariam</t>
  </si>
  <si>
    <t xml:space="preserve">01 43 46 10 28</t>
  </si>
  <si>
    <t xml:space="preserve">GBOGOU Marie-Ange Estelle</t>
  </si>
  <si>
    <t xml:space="preserve">503</t>
  </si>
  <si>
    <t xml:space="preserve">COULIBALY Emmanuel</t>
  </si>
  <si>
    <t xml:space="preserve">MENUISIER</t>
  </si>
  <si>
    <t xml:space="preserve">07 91 61 17 34</t>
  </si>
  <si>
    <t xml:space="preserve">GBOGOU Fatoumata</t>
  </si>
  <si>
    <t xml:space="preserve">05 36 66 30 24</t>
  </si>
  <si>
    <t xml:space="preserve">LOBA Amenan Affoué</t>
  </si>
  <si>
    <t xml:space="preserve">DIGBEU Koffi</t>
  </si>
  <si>
    <t xml:space="preserve">07 25 24 72 69</t>
  </si>
  <si>
    <t xml:space="preserve">SORO Aya</t>
  </si>
  <si>
    <t xml:space="preserve">COUTURIERE</t>
  </si>
  <si>
    <t xml:space="preserve">05 71 49 20 28</t>
  </si>
  <si>
    <t xml:space="preserve">LOBA Junior</t>
  </si>
  <si>
    <t xml:space="preserve">01 53 43 71 98</t>
  </si>
  <si>
    <t xml:space="preserve">TANOH Kouadio Konan</t>
  </si>
  <si>
    <t xml:space="preserve">YAO Junior</t>
  </si>
  <si>
    <t xml:space="preserve">07 55 38 78 79</t>
  </si>
  <si>
    <t xml:space="preserve">KONE Grâce</t>
  </si>
  <si>
    <t xml:space="preserve">05 52 91 38 88</t>
  </si>
  <si>
    <t xml:space="preserve">BAMBA Cédric Abdoulaye</t>
  </si>
  <si>
    <t xml:space="preserve">840</t>
  </si>
  <si>
    <t xml:space="preserve">TRAORE Junior</t>
  </si>
  <si>
    <t xml:space="preserve">07 20 38 23 39</t>
  </si>
  <si>
    <t xml:space="preserve">LOBA Marie-Ange</t>
  </si>
  <si>
    <t xml:space="preserve">05 35 53 36 71</t>
  </si>
  <si>
    <t xml:space="preserve">AKA Ismaël Jean-Marc</t>
  </si>
  <si>
    <t xml:space="preserve">OUATTARA Abdoulaye</t>
  </si>
  <si>
    <t xml:space="preserve">INFIRMIER</t>
  </si>
  <si>
    <t xml:space="preserve">07 69 61 20 30</t>
  </si>
  <si>
    <t xml:space="preserve">SORO Marie-Ange</t>
  </si>
  <si>
    <t xml:space="preserve">COMMERCANTE</t>
  </si>
  <si>
    <t xml:space="preserve">05 26 13 29 85</t>
  </si>
  <si>
    <t xml:space="preserve">SORO Adjoua Estelle</t>
  </si>
  <si>
    <t xml:space="preserve">299</t>
  </si>
  <si>
    <t xml:space="preserve">SORO Yao</t>
  </si>
  <si>
    <t xml:space="preserve">CHAUFFEUR</t>
  </si>
  <si>
    <t xml:space="preserve">07 13 42 37 47</t>
  </si>
  <si>
    <t xml:space="preserve">TANOH Awa</t>
  </si>
  <si>
    <t xml:space="preserve">05 40 85 51 43</t>
  </si>
  <si>
    <t xml:space="preserve">SERI Clarisse</t>
  </si>
  <si>
    <t xml:space="preserve">01 26 17 55 68</t>
  </si>
  <si>
    <t xml:space="preserve">GBOGOU Koffi Franck</t>
  </si>
  <si>
    <t xml:space="preserve">643</t>
  </si>
  <si>
    <t xml:space="preserve">N'GUESSAN Franck</t>
  </si>
  <si>
    <t xml:space="preserve">07 23 81 17 41</t>
  </si>
  <si>
    <t xml:space="preserve">KONAN Marie-Ange</t>
  </si>
  <si>
    <t xml:space="preserve">05 45 15 22 74</t>
  </si>
  <si>
    <t xml:space="preserve">GBOGOU Amenan Rebecca</t>
  </si>
  <si>
    <t xml:space="preserve">672</t>
  </si>
  <si>
    <t xml:space="preserve">GBOGOU Emmanuel</t>
  </si>
  <si>
    <t xml:space="preserve">07 27 63 25 60</t>
  </si>
  <si>
    <t xml:space="preserve">AKA Grâce</t>
  </si>
  <si>
    <t xml:space="preserve">05 50 19 95 40</t>
  </si>
  <si>
    <t xml:space="preserve">TANOH Franck</t>
  </si>
  <si>
    <t xml:space="preserve">01 19 37 95 48</t>
  </si>
  <si>
    <t xml:space="preserve">KOFFI Junior Ismaël</t>
  </si>
  <si>
    <t xml:space="preserve">823</t>
  </si>
  <si>
    <t xml:space="preserve">AKA Koffi</t>
  </si>
  <si>
    <t xml:space="preserve">07 53 63 35 55</t>
  </si>
  <si>
    <t xml:space="preserve">CULTIVATRICE</t>
  </si>
  <si>
    <t xml:space="preserve">05 21 56 12 53</t>
  </si>
  <si>
    <t xml:space="preserve">BOHOUSSOU Awa Amenan</t>
  </si>
  <si>
    <t xml:space="preserve">792</t>
  </si>
  <si>
    <t xml:space="preserve">KONE Kouadio</t>
  </si>
  <si>
    <t xml:space="preserve">MACON</t>
  </si>
  <si>
    <t xml:space="preserve">07 61 29 78 75</t>
  </si>
  <si>
    <t xml:space="preserve">OUATTARA Aya</t>
  </si>
  <si>
    <t xml:space="preserve">05 73 99 51 21</t>
  </si>
  <si>
    <t xml:space="preserve">01 17 98 33 64</t>
  </si>
  <si>
    <t xml:space="preserve">A quitté l'école en mars</t>
  </si>
  <si>
    <t xml:space="preserve">KONE Kouadio Ismaël</t>
  </si>
  <si>
    <t xml:space="preserve">639</t>
  </si>
  <si>
    <t xml:space="preserve">GBOGOU Abdoulaye</t>
  </si>
  <si>
    <t xml:space="preserve">07 24 30 43 16</t>
  </si>
  <si>
    <t xml:space="preserve">KONE Estelle</t>
  </si>
  <si>
    <t xml:space="preserve">05 35 49 90 49</t>
  </si>
  <si>
    <t xml:space="preserve">DIABATE Moussa Franck</t>
  </si>
  <si>
    <t xml:space="preserve">557</t>
  </si>
  <si>
    <t xml:space="preserve">GBOGOU Konan</t>
  </si>
  <si>
    <t xml:space="preserve">07 94 73 79 60</t>
  </si>
  <si>
    <t xml:space="preserve">TANOH Mariam</t>
  </si>
  <si>
    <t xml:space="preserve">05 49 98 37 39</t>
  </si>
  <si>
    <t xml:space="preserve">TRAORE Clarisse Awa</t>
  </si>
  <si>
    <t xml:space="preserve">961</t>
  </si>
  <si>
    <t xml:space="preserve">KONE Abdoulaye</t>
  </si>
  <si>
    <t xml:space="preserve">07 86 41 98 47</t>
  </si>
  <si>
    <t xml:space="preserve">OUATTARA Amenan</t>
  </si>
  <si>
    <t xml:space="preserve">05 68 33 30 44</t>
  </si>
  <si>
    <t xml:space="preserve">KOUASSI Aya Marie-Ange</t>
  </si>
  <si>
    <t xml:space="preserve">DIGBEU Yao</t>
  </si>
  <si>
    <t xml:space="preserve">07 41 74 10 21</t>
  </si>
  <si>
    <t xml:space="preserve">AKA Aya</t>
  </si>
  <si>
    <t xml:space="preserve">05 21 28 61 85</t>
  </si>
  <si>
    <t xml:space="preserve">DIGBEU Kouadio Kouakou</t>
  </si>
  <si>
    <t xml:space="preserve">LOBA Abdoulaye</t>
  </si>
  <si>
    <t xml:space="preserve">07 15 75 90 64</t>
  </si>
  <si>
    <t xml:space="preserve">GNAGNE Awa</t>
  </si>
  <si>
    <t xml:space="preserve">05 99 74 27 77</t>
  </si>
  <si>
    <t xml:space="preserve">KOFFI Sylvain</t>
  </si>
  <si>
    <t xml:space="preserve">01 97 84 97 98</t>
  </si>
  <si>
    <t xml:space="preserve">YAO Kouadio Cédric</t>
  </si>
  <si>
    <t xml:space="preserve">916</t>
  </si>
  <si>
    <t xml:space="preserve">COULIBALY Konan</t>
  </si>
  <si>
    <t xml:space="preserve">07 94 77 18 70</t>
  </si>
  <si>
    <t xml:space="preserve">05 19 43 40 36</t>
  </si>
  <si>
    <t xml:space="preserve">SORO Moussa Cédric</t>
  </si>
  <si>
    <t xml:space="preserve">681</t>
  </si>
  <si>
    <t xml:space="preserve">KOFFI Jean-Marc</t>
  </si>
  <si>
    <t xml:space="preserve">07 71 17 72 44</t>
  </si>
  <si>
    <t xml:space="preserve">KONE Nadège</t>
  </si>
  <si>
    <t xml:space="preserve">05 22 98 37 96</t>
  </si>
  <si>
    <t xml:space="preserve">DIABATE Marie-Ange</t>
  </si>
  <si>
    <t xml:space="preserve">01 47 76 46 69</t>
  </si>
  <si>
    <t xml:space="preserve">BOHOUSSOU Rebecca Affoué</t>
  </si>
  <si>
    <t xml:space="preserve">695</t>
  </si>
  <si>
    <t xml:space="preserve">BOHOUSSOU Kouakou</t>
  </si>
  <si>
    <t xml:space="preserve">07 77 43 56 26</t>
  </si>
  <si>
    <t xml:space="preserve">DIGBEU Akissi</t>
  </si>
  <si>
    <t xml:space="preserve">05 90 75 45 24</t>
  </si>
  <si>
    <t xml:space="preserve">TRAORE Koffi</t>
  </si>
  <si>
    <t xml:space="preserve">01 39 73 72 60</t>
  </si>
  <si>
    <t xml:space="preserve">KOUASSI Moussa Ismaël</t>
  </si>
  <si>
    <t xml:space="preserve">300</t>
  </si>
  <si>
    <t xml:space="preserve">GNAGNE Emmanuel</t>
  </si>
  <si>
    <t xml:space="preserve">07 47 42 57 18</t>
  </si>
  <si>
    <t xml:space="preserve">GNAGNE Clarisse</t>
  </si>
  <si>
    <t xml:space="preserve">05 59 85 19 56</t>
  </si>
  <si>
    <t xml:space="preserve">KONE Clarisse Amenan</t>
  </si>
  <si>
    <t xml:space="preserve">879</t>
  </si>
  <si>
    <t xml:space="preserve">TRAORE Emmanuel</t>
  </si>
  <si>
    <t xml:space="preserve">07 80 80 36 20</t>
  </si>
  <si>
    <t xml:space="preserve">ZADI Rebecca</t>
  </si>
  <si>
    <t xml:space="preserve">05 62 67 88 27</t>
  </si>
  <si>
    <t xml:space="preserve">KOUASSI Awa</t>
  </si>
  <si>
    <t xml:space="preserve">01 72 16 80 26</t>
  </si>
  <si>
    <t xml:space="preserve">AKA Abdoulaye Jean-Marc</t>
  </si>
  <si>
    <t xml:space="preserve">GBOGOU Ismaël</t>
  </si>
  <si>
    <t xml:space="preserve">07 19 36 74 73</t>
  </si>
  <si>
    <t xml:space="preserve">DIGBEU Affoué</t>
  </si>
  <si>
    <t xml:space="preserve">05 38 67 52 67</t>
  </si>
  <si>
    <t xml:space="preserve">KOFFI Grâce Akissi</t>
  </si>
  <si>
    <t xml:space="preserve">636</t>
  </si>
  <si>
    <t xml:space="preserve">KOUASSI Junior</t>
  </si>
  <si>
    <t xml:space="preserve">07 44 53 17 73</t>
  </si>
  <si>
    <t xml:space="preserve">SERI Fatoumata</t>
  </si>
  <si>
    <t xml:space="preserve">05 83 56 26 97</t>
  </si>
  <si>
    <t xml:space="preserve">YAO Kouakou Konan</t>
  </si>
  <si>
    <t xml:space="preserve">KONAN Abdoulaye</t>
  </si>
  <si>
    <t xml:space="preserve">07 60 77 69 67</t>
  </si>
  <si>
    <t xml:space="preserve">AKA Estelle</t>
  </si>
  <si>
    <t xml:space="preserve">05 23 38 29 29</t>
  </si>
  <si>
    <t xml:space="preserve">SORO Cédric Emmanuel</t>
  </si>
  <si>
    <t xml:space="preserve">547</t>
  </si>
  <si>
    <t xml:space="preserve">DIABATE Koffi</t>
  </si>
  <si>
    <t xml:space="preserve">07 22 19 48 77</t>
  </si>
  <si>
    <t xml:space="preserve">05 34 59 43 38</t>
  </si>
  <si>
    <t xml:space="preserve">KOUASSI Franck Kouakou</t>
  </si>
  <si>
    <t xml:space="preserve">SERI Junior</t>
  </si>
  <si>
    <t xml:space="preserve">07 73 96 92 63</t>
  </si>
  <si>
    <t xml:space="preserve">05 42 39 95 64</t>
  </si>
  <si>
    <t xml:space="preserve">BAMBA Mariam Amenan</t>
  </si>
  <si>
    <t xml:space="preserve">939</t>
  </si>
  <si>
    <t xml:space="preserve">TANOH Yao</t>
  </si>
  <si>
    <t xml:space="preserve">07 69 38 43 47</t>
  </si>
  <si>
    <t xml:space="preserve">TRAORE Mariam</t>
  </si>
  <si>
    <t xml:space="preserve">05 89 73 88 33</t>
  </si>
  <si>
    <t xml:space="preserve">DIABATE Nadège</t>
  </si>
  <si>
    <t xml:space="preserve">01 72 63 95 17</t>
  </si>
  <si>
    <t xml:space="preserve">DIGBEU Kouadio Konan</t>
  </si>
  <si>
    <t xml:space="preserve">289</t>
  </si>
  <si>
    <t xml:space="preserve">GNAGNE Junior</t>
  </si>
  <si>
    <t xml:space="preserve">07 14 49 95 58</t>
  </si>
  <si>
    <t xml:space="preserve">N'GUESSAN Affoué</t>
  </si>
  <si>
    <t xml:space="preserve">05 52 66 31 23</t>
  </si>
  <si>
    <t xml:space="preserve">GNAGNE Abdoulaye</t>
  </si>
  <si>
    <t xml:space="preserve">01 20 45 20 54</t>
  </si>
  <si>
    <t xml:space="preserve">GBOGOU Emmanuel Konan</t>
  </si>
  <si>
    <t xml:space="preserve">746</t>
  </si>
  <si>
    <t xml:space="preserve">BOHOUSSOU Konan</t>
  </si>
  <si>
    <t xml:space="preserve">07 90 61 15 58</t>
  </si>
  <si>
    <t xml:space="preserve">GNAGNE Marie-Ange</t>
  </si>
  <si>
    <t xml:space="preserve">05 69 18 17 42</t>
  </si>
  <si>
    <t xml:space="preserve">AKA Kouadio</t>
  </si>
  <si>
    <t xml:space="preserve">01 18 87 53 56</t>
  </si>
  <si>
    <t xml:space="preserve">GNAGNE Estelle Amenan</t>
  </si>
  <si>
    <t xml:space="preserve">07 69 59 42 65</t>
  </si>
  <si>
    <t xml:space="preserve">KOUASSI Clarisse</t>
  </si>
  <si>
    <t xml:space="preserve">05 26 73 33 11</t>
  </si>
  <si>
    <t xml:space="preserve">KOFFI Estelle Akissi</t>
  </si>
  <si>
    <t xml:space="preserve">657</t>
  </si>
  <si>
    <t xml:space="preserve">SERI Yao</t>
  </si>
  <si>
    <t xml:space="preserve">07 64 23 19 43</t>
  </si>
  <si>
    <t xml:space="preserve">SORO Amenan</t>
  </si>
  <si>
    <t xml:space="preserve">05 20 36 22 63</t>
  </si>
  <si>
    <t xml:space="preserve">BOHOUSSOU Adjoua Akissi</t>
  </si>
  <si>
    <t xml:space="preserve">374</t>
  </si>
  <si>
    <t xml:space="preserve">N'GUESSAN Emmanuel</t>
  </si>
  <si>
    <t xml:space="preserve">07 43 35 66 41</t>
  </si>
  <si>
    <t xml:space="preserve">DIABATE Aya</t>
  </si>
  <si>
    <t xml:space="preserve">05 41 40 29 46</t>
  </si>
  <si>
    <t xml:space="preserve">GNAGNE Yao Abdoulaye</t>
  </si>
  <si>
    <t xml:space="preserve">400</t>
  </si>
  <si>
    <t xml:space="preserve">BAMBA Cédric</t>
  </si>
  <si>
    <t xml:space="preserve">07 16 34 86 84</t>
  </si>
  <si>
    <t xml:space="preserve">BOHOUSSOU Marie-Ange</t>
  </si>
  <si>
    <t xml:space="preserve">05 19 57 75 32</t>
  </si>
  <si>
    <t xml:space="preserve">LOBA Aya Rebecca</t>
  </si>
  <si>
    <t xml:space="preserve">767</t>
  </si>
  <si>
    <t xml:space="preserve">KONAN Konan</t>
  </si>
  <si>
    <t xml:space="preserve">07 51 62 96 57</t>
  </si>
  <si>
    <t xml:space="preserve">KONE Amenan</t>
  </si>
  <si>
    <t xml:space="preserve">05 89 49 19 36</t>
  </si>
  <si>
    <t xml:space="preserve">AKA Franck Moussa</t>
  </si>
  <si>
    <t xml:space="preserve">527</t>
  </si>
  <si>
    <t xml:space="preserve">DIGBEU Junior</t>
  </si>
  <si>
    <t xml:space="preserve">07 82 55 63 63</t>
  </si>
  <si>
    <t xml:space="preserve">KONE Fatoumata</t>
  </si>
  <si>
    <t xml:space="preserve">05 56 92 35 60</t>
  </si>
  <si>
    <t xml:space="preserve">COULIBALY Sylvain</t>
  </si>
  <si>
    <t xml:space="preserve">01 36 10 65 30</t>
  </si>
  <si>
    <t xml:space="preserve">N'GUESSAN Clarisse Affoué</t>
  </si>
  <si>
    <t xml:space="preserve">249</t>
  </si>
  <si>
    <t xml:space="preserve">07 30 76 31 18</t>
  </si>
  <si>
    <t xml:space="preserve">DJEDJE Estelle</t>
  </si>
  <si>
    <t xml:space="preserve">05 59 72 35 48</t>
  </si>
  <si>
    <t xml:space="preserve">TANOH Jean-Marc</t>
  </si>
  <si>
    <t xml:space="preserve">01 15 71 50 16</t>
  </si>
  <si>
    <t xml:space="preserve">YAO Awa Estelle</t>
  </si>
  <si>
    <t xml:space="preserve">630</t>
  </si>
  <si>
    <t xml:space="preserve">OUATTARA Sylvain</t>
  </si>
  <si>
    <t xml:space="preserve">07 55 25 29 41</t>
  </si>
  <si>
    <t xml:space="preserve">TRAORE Amenan</t>
  </si>
  <si>
    <t xml:space="preserve">05 34 15 81 96</t>
  </si>
  <si>
    <t xml:space="preserve">COULIBALY Cédric Jean-Marc</t>
  </si>
  <si>
    <t xml:space="preserve">615</t>
  </si>
  <si>
    <t xml:space="preserve">BAMBA Abdoulaye</t>
  </si>
  <si>
    <t xml:space="preserve">07 12 10 89 72</t>
  </si>
  <si>
    <t xml:space="preserve">DIGBEU Nadège</t>
  </si>
  <si>
    <t xml:space="preserve">05 40 67 89 68</t>
  </si>
  <si>
    <t xml:space="preserve">AKA Abdoulaye Yao</t>
  </si>
  <si>
    <t xml:space="preserve">837</t>
  </si>
  <si>
    <t xml:space="preserve">SORO Koffi</t>
  </si>
  <si>
    <t xml:space="preserve">07 16 74 58 93</t>
  </si>
  <si>
    <t xml:space="preserve">YAO Awa</t>
  </si>
  <si>
    <t xml:space="preserve">05 13 18 88 98</t>
  </si>
  <si>
    <t xml:space="preserve">TRAORE Koffi Moussa</t>
  </si>
  <si>
    <t xml:space="preserve">GNAGNE Sylvain</t>
  </si>
  <si>
    <t xml:space="preserve">07 74 71 36 85</t>
  </si>
  <si>
    <t xml:space="preserve">KONE Clarisse</t>
  </si>
  <si>
    <t xml:space="preserve">05 88 74 40 50</t>
  </si>
  <si>
    <t xml:space="preserve">TRAORE Koffi Abdoulaye</t>
  </si>
  <si>
    <t xml:space="preserve">TANOH Kouadio</t>
  </si>
  <si>
    <t xml:space="preserve">07 81 76 84 98</t>
  </si>
  <si>
    <t xml:space="preserve">SORO Clarisse</t>
  </si>
  <si>
    <t xml:space="preserve">05 42 78 90 60</t>
  </si>
  <si>
    <t xml:space="preserve">KONE Fatoumata Marie-Ange</t>
  </si>
  <si>
    <t xml:space="preserve">991</t>
  </si>
  <si>
    <t xml:space="preserve">DIABATE Cédric</t>
  </si>
  <si>
    <t xml:space="preserve">07 10 14 38 29</t>
  </si>
  <si>
    <t xml:space="preserve">TANOH Aya</t>
  </si>
  <si>
    <t xml:space="preserve">05 88 90 65 63</t>
  </si>
  <si>
    <t xml:space="preserve">KONAN Adjoua Mariam</t>
  </si>
  <si>
    <t xml:space="preserve">236</t>
  </si>
  <si>
    <t xml:space="preserve">07 89 70 30 27</t>
  </si>
  <si>
    <t xml:space="preserve">SERI Estelle</t>
  </si>
  <si>
    <t xml:space="preserve">05 41 29 67 22</t>
  </si>
  <si>
    <t xml:space="preserve">SORO Koffi Ismaël</t>
  </si>
  <si>
    <t xml:space="preserve">269</t>
  </si>
  <si>
    <t xml:space="preserve">07 17 78 13 61</t>
  </si>
  <si>
    <t xml:space="preserve">BOHOUSSOU Estelle</t>
  </si>
  <si>
    <t xml:space="preserve">05 40 30 17 23</t>
  </si>
  <si>
    <t xml:space="preserve">AKA Moussa</t>
  </si>
  <si>
    <t xml:space="preserve">01 88 80 94 35</t>
  </si>
  <si>
    <t xml:space="preserve">SERI Konan Franck</t>
  </si>
  <si>
    <t xml:space="preserve">484</t>
  </si>
  <si>
    <t xml:space="preserve">SORO Kouadio</t>
  </si>
  <si>
    <t xml:space="preserve">07 69 20 93 67</t>
  </si>
  <si>
    <t xml:space="preserve">AKA Awa</t>
  </si>
  <si>
    <t xml:space="preserve">05 38 23 43 39</t>
  </si>
  <si>
    <t xml:space="preserve">N'GUESSAN Jean-Marc Junior</t>
  </si>
  <si>
    <t xml:space="preserve">619</t>
  </si>
  <si>
    <t xml:space="preserve">KONE Kouakou</t>
  </si>
  <si>
    <t xml:space="preserve">07 43 40 35 30</t>
  </si>
  <si>
    <t xml:space="preserve">SORO Akissi</t>
  </si>
  <si>
    <t xml:space="preserve">05 51 34 59 52</t>
  </si>
  <si>
    <t xml:space="preserve">DIGBEU Cédric Ismaël</t>
  </si>
  <si>
    <t xml:space="preserve">737</t>
  </si>
  <si>
    <t xml:space="preserve">BAMBA Sylvain</t>
  </si>
  <si>
    <t xml:space="preserve">07 82 31 28 14</t>
  </si>
  <si>
    <t xml:space="preserve">DIABATE Rebecca</t>
  </si>
  <si>
    <t xml:space="preserve">05 24 23 89 30</t>
  </si>
  <si>
    <t xml:space="preserve">KOFFI Awa Amenan</t>
  </si>
  <si>
    <t xml:space="preserve">167</t>
  </si>
  <si>
    <t xml:space="preserve">DJEDJE Emmanuel</t>
  </si>
  <si>
    <t xml:space="preserve">07 23 41 36 36</t>
  </si>
  <si>
    <t xml:space="preserve">ZADI Akissi</t>
  </si>
  <si>
    <t xml:space="preserve">05 14 14 91 21</t>
  </si>
  <si>
    <t xml:space="preserve">GBOGOU Mariam</t>
  </si>
  <si>
    <t xml:space="preserve">01 71 22 26 22</t>
  </si>
  <si>
    <t xml:space="preserve">DIABATE Jean-Marc Cédric</t>
  </si>
  <si>
    <t xml:space="preserve">LOBA Franck</t>
  </si>
  <si>
    <t xml:space="preserve">07 62 13 65 76</t>
  </si>
  <si>
    <t xml:space="preserve">AKA Clarisse</t>
  </si>
  <si>
    <t xml:space="preserve">05 54 70 16 78</t>
  </si>
  <si>
    <t xml:space="preserve">YAO Sylvain Kouakou</t>
  </si>
  <si>
    <t xml:space="preserve">951</t>
  </si>
  <si>
    <t xml:space="preserve">N'GUESSAN Moussa</t>
  </si>
  <si>
    <t xml:space="preserve">07 83 30 46 37</t>
  </si>
  <si>
    <t xml:space="preserve">OUATTARA Mariam</t>
  </si>
  <si>
    <t xml:space="preserve">05 39 73 31 24</t>
  </si>
  <si>
    <t xml:space="preserve">AKA Emmanuel Junior</t>
  </si>
  <si>
    <t xml:space="preserve">369</t>
  </si>
  <si>
    <t xml:space="preserve">SERI Ismaël</t>
  </si>
  <si>
    <t xml:space="preserve">07 58 90 39 68</t>
  </si>
  <si>
    <t xml:space="preserve">KOUASSI Marie-Ange</t>
  </si>
  <si>
    <t xml:space="preserve">05 78 86 98 87</t>
  </si>
  <si>
    <t xml:space="preserve">DJEDJE Marie-Ange Grâce</t>
  </si>
  <si>
    <t xml:space="preserve">813</t>
  </si>
  <si>
    <t xml:space="preserve">BAMBA Koffi</t>
  </si>
  <si>
    <t xml:space="preserve">07 44 48 89 29</t>
  </si>
  <si>
    <t xml:space="preserve">GNAGNE Mariam</t>
  </si>
  <si>
    <t xml:space="preserve">05 29 41 51 87</t>
  </si>
  <si>
    <t xml:space="preserve">OUATTARA Akissi Marie-Ange</t>
  </si>
  <si>
    <t xml:space="preserve">DIABATE Junior</t>
  </si>
  <si>
    <t xml:space="preserve">07 91 23 45 36</t>
  </si>
  <si>
    <t xml:space="preserve">DIABATE Fatoumata</t>
  </si>
  <si>
    <t xml:space="preserve">05 69 14 11 61</t>
  </si>
  <si>
    <t xml:space="preserve">BAMBA Grâce Nadège</t>
  </si>
  <si>
    <t xml:space="preserve">334</t>
  </si>
  <si>
    <t xml:space="preserve">07 96 33 92 25</t>
  </si>
  <si>
    <t xml:space="preserve">05 65 50 43 90</t>
  </si>
  <si>
    <t xml:space="preserve">01 63 41 61 90</t>
  </si>
  <si>
    <t xml:space="preserve">KONE Cédric Abdoulaye</t>
  </si>
  <si>
    <t xml:space="preserve">357</t>
  </si>
  <si>
    <t xml:space="preserve">07 30 35 76 54</t>
  </si>
  <si>
    <t xml:space="preserve">KOUASSI Fatoumata</t>
  </si>
  <si>
    <t xml:space="preserve">05 83 68 79 36</t>
  </si>
  <si>
    <t xml:space="preserve">N'GUESSAN Yao</t>
  </si>
  <si>
    <t xml:space="preserve">01 75 12 91 57</t>
  </si>
  <si>
    <t xml:space="preserve">SERI Awa Mariam</t>
  </si>
  <si>
    <t xml:space="preserve">176</t>
  </si>
  <si>
    <t xml:space="preserve">07 90 99 96 55</t>
  </si>
  <si>
    <t xml:space="preserve">DIGBEU Fatoumata</t>
  </si>
  <si>
    <t xml:space="preserve">05 43 23 38 48</t>
  </si>
  <si>
    <t xml:space="preserve">TANOH Akissi Rebecca</t>
  </si>
  <si>
    <t xml:space="preserve">07 69 47 80 93</t>
  </si>
  <si>
    <t xml:space="preserve">KOFFI Marie-Ange</t>
  </si>
  <si>
    <t xml:space="preserve">05 70 55 39 44</t>
  </si>
  <si>
    <t xml:space="preserve">COULIBALY Aya Fatoumata</t>
  </si>
  <si>
    <t xml:space="preserve">775</t>
  </si>
  <si>
    <t xml:space="preserve">07 48 59 17 20</t>
  </si>
  <si>
    <t xml:space="preserve">05 51 27 77 54</t>
  </si>
  <si>
    <t xml:space="preserve">COULIBALY Kouadio Konan</t>
  </si>
  <si>
    <t xml:space="preserve">724</t>
  </si>
  <si>
    <t xml:space="preserve">ZADI Emmanuel</t>
  </si>
  <si>
    <t xml:space="preserve">07 95 80 91 48</t>
  </si>
  <si>
    <t xml:space="preserve">KOFFI Akissi</t>
  </si>
  <si>
    <t xml:space="preserve">05 73 98 37 77</t>
  </si>
  <si>
    <t xml:space="preserve">GBOGOU Jean-Marc</t>
  </si>
  <si>
    <t xml:space="preserve">01 66 95 24 81</t>
  </si>
  <si>
    <t xml:space="preserve">KONE Abdoulaye Konan</t>
  </si>
  <si>
    <t xml:space="preserve">428</t>
  </si>
  <si>
    <t xml:space="preserve">OUATTARA Franck</t>
  </si>
  <si>
    <t xml:space="preserve">07 95 47 69 57</t>
  </si>
  <si>
    <t xml:space="preserve">LOBA Clarisse</t>
  </si>
  <si>
    <t xml:space="preserve">05 63 96 19 33</t>
  </si>
  <si>
    <t xml:space="preserve">OUATTARA Rebecca</t>
  </si>
  <si>
    <t xml:space="preserve">01 91 92 13 12</t>
  </si>
  <si>
    <t xml:space="preserve">FEUILLE DE NOTES – CP</t>
  </si>
  <si>
    <t xml:space="preserve">1re COMPOSITION</t>
  </si>
  <si>
    <t xml:space="preserve">2e COMPOSITION</t>
  </si>
  <si>
    <t xml:space="preserve">3e COMPOSITION</t>
  </si>
  <si>
    <t xml:space="preserve">COMPOSITION DE PASSAGE</t>
  </si>
  <si>
    <t xml:space="preserve">Coefficients ►</t>
  </si>
  <si>
    <t xml:space="preserve">Coefficients modifiables (jaune) ; coefficient 0 = matière ignorée. Notes par matière en jaune, moyennes calculées en gris.  •  Colonne « Présent ? » : NON grise la ligne de l'évaluation, interdit la saisie des notes et donne automatiquement 0 à cette évaluation (vide = présent).</t>
  </si>
  <si>
    <t xml:space="preserve">OUI/NON</t>
  </si>
  <si>
    <t xml:space="preserve">Présent ?</t>
  </si>
  <si>
    <t xml:space="preserve">ECRITURE</t>
  </si>
  <si>
    <t xml:space="preserve">E.D.H.C</t>
  </si>
  <si>
    <t xml:space="preserve">EXPRESSION ECRITE</t>
  </si>
  <si>
    <t xml:space="preserve">MATHEMATIQUE</t>
  </si>
  <si>
    <t xml:space="preserve">ORTHOGRAPHE</t>
  </si>
  <si>
    <t xml:space="preserve">DESSIN</t>
  </si>
  <si>
    <t xml:space="preserve">CHANT ET POESIE</t>
  </si>
  <si>
    <t xml:space="preserve">LECTURE</t>
  </si>
  <si>
    <t xml:space="preserve">MOYENNE</t>
  </si>
  <si>
    <t xml:space="preserve">idx</t>
  </si>
  <si>
    <t xml:space="preserve">FEUILLE DE NOTES – CE1</t>
  </si>
  <si>
    <t xml:space="preserve">Barèmes ►</t>
  </si>
  <si>
    <t xml:space="preserve">Barème de chaque matière (jaune, modifiable). TOTAL = points obtenus ; MOYENNE = total ÷ barème des matières notées × 10.  •  Colonne « Présent ? » : NON grise la ligne de l'évaluation, interdit la saisie des notes et donne automatiquement 0 à cette évaluation (vide = présent).</t>
  </si>
  <si>
    <t xml:space="preserve">EXPLOITATION DE TEXTE
(/50)</t>
  </si>
  <si>
    <t xml:space="preserve">EVEIL AU MILIEU
(/40)</t>
  </si>
  <si>
    <t xml:space="preserve">MATHEMATIQUES
(/40)</t>
  </si>
  <si>
    <t xml:space="preserve">DICTEE
(/10)</t>
  </si>
  <si>
    <t xml:space="preserve">MOYENNE (/10)</t>
  </si>
  <si>
    <t xml:space="preserve">FEUILLE DE NOTES – CE2-CM1</t>
  </si>
  <si>
    <t xml:space="preserve">EVEIL AU MILIEU
(/50)</t>
  </si>
  <si>
    <t xml:space="preserve">MATHEMATIQUES
(/50)</t>
  </si>
  <si>
    <t xml:space="preserve">DICTEE
(/20)</t>
  </si>
  <si>
    <t xml:space="preserve">FEUILLE DE NOTES – CM2</t>
  </si>
  <si>
    <t xml:space="preserve">1er EXAMEN BLANC</t>
  </si>
  <si>
    <t xml:space="preserve">2e EXAMEN BLANC</t>
  </si>
  <si>
    <t xml:space="preserve">Barème de chaque matière (jaune, modifiable). TOTAL = points obtenus ; MOYENNE = total ÷ barème des matières notées × 20.  •  Colonne « Présent ? » : NON grise la ligne de l'évaluation, interdit la saisie des notes et donne automatiquement 0 à cette évaluation (vide = présent).</t>
  </si>
  <si>
    <t xml:space="preserve">MOYENNE (/20)</t>
  </si>
  <si>
    <t xml:space="preserve">EPREUVES PHYSIQUES
(/20)</t>
  </si>
  <si>
    <t xml:space="preserve">RESULTATS DES COMPOSITIONS</t>
  </si>
  <si>
    <t xml:space="preserve">Classes de CP1 à CM1 – liste tirée du registre ; les moyennes des évaluations viennent des feuilles NOTES CP, NOTES CE1 et NOTES CE2-CM1 (aucune saisie ici). MGA = (moyenne des 3 compos + 2 × compo de passage) / 3.</t>
  </si>
  <si>
    <t xml:space="preserve">Décision : ABANDON / TRANSFERE si statut ≠ PRESENT ; ADMIS si MGA ≥ seuil de la classe (PARAMETRES) ; sinon REDOUBLE. Le rang est établi sur la MGA, parmi les présents de la classe.</t>
  </si>
  <si>
    <t xml:space="preserve">Moy. 1re compo.</t>
  </si>
  <si>
    <t xml:space="preserve">Moy. 2e compo.</t>
  </si>
  <si>
    <t xml:space="preserve">Moy. 3e compo.</t>
  </si>
  <si>
    <t xml:space="preserve">Moyenne des 3 compos.</t>
  </si>
  <si>
    <t xml:space="preserve">Moy. compo de passage</t>
  </si>
  <si>
    <t xml:space="preserve">MGA</t>
  </si>
  <si>
    <t xml:space="preserve">Barème</t>
  </si>
  <si>
    <t xml:space="preserve">Seuil</t>
  </si>
  <si>
    <t xml:space="preserve">Décision</t>
  </si>
  <si>
    <t xml:space="preserve">Rang (MGA)</t>
  </si>
  <si>
    <t xml:space="preserve">Observation</t>
  </si>
  <si>
    <t xml:space="preserve">RESULTATS DES COMPOSITIONS CM2</t>
  </si>
  <si>
    <t xml:space="preserve">Classe de CM2 – liste tirée du registre ; les moyennes viennent de la feuille NOTES CM2 (aucune saisie ici). MGA = (compo 1 + compo 2 + examen blanc 1 + examen blanc 2) / 4.</t>
  </si>
  <si>
    <t xml:space="preserve">Décision : ABANDON / TRANSFERE si statut ≠ PRESENT ; ADMIS (entrée en 6ème) si MGA ≥ seuil CM2 (PARAMETRES, 10/20 par défaut) ; sinon REDOUBLE. Rang établi sur la MGA parmi les présents.</t>
  </si>
  <si>
    <t xml:space="preserve">Moy. 1re compo. (/20)</t>
  </si>
  <si>
    <t xml:space="preserve">Moy. 2e compo. (/20)</t>
  </si>
  <si>
    <t xml:space="preserve">Moy. 1er examen blanc (/20)</t>
  </si>
  <si>
    <t xml:space="preserve">Moy. 2e examen blanc (/20)</t>
  </si>
  <si>
    <t xml:space="preserve">MGA (/20)</t>
  </si>
  <si>
    <t xml:space="preserve">Classe :</t>
  </si>
  <si>
    <t xml:space="preserve">◄ choisir la classe dans la liste : l'état, les statistiques et la zone d'impression se mettent à jour.</t>
  </si>
  <si>
    <t xml:space="preserve">Père</t>
  </si>
  <si>
    <t xml:space="preserve">Mère</t>
  </si>
  <si>
    <t xml:space="preserve">GARÇONS</t>
  </si>
  <si>
    <t xml:space="preserve">FILLES</t>
  </si>
  <si>
    <t xml:space="preserve">EFFECTIF INSCRIT</t>
  </si>
  <si>
    <t xml:space="preserve">PRESENTS (fin d'année)</t>
  </si>
  <si>
    <t xml:space="preserve">ABANDONS</t>
  </si>
  <si>
    <t xml:space="preserve">IVOIRIENS</t>
  </si>
  <si>
    <t xml:space="preserve">ETRANGERS</t>
  </si>
  <si>
    <t xml:space="preserve">ORPHELINS</t>
  </si>
  <si>
    <t xml:space="preserve">  dont de père</t>
  </si>
  <si>
    <t xml:space="preserve">  dont de mère</t>
  </si>
  <si>
    <t xml:space="preserve">  dont de père et mère</t>
  </si>
  <si>
    <t xml:space="preserve">AVEC EXTRAIT</t>
  </si>
  <si>
    <t xml:space="preserve">SANS EXTRAIT</t>
  </si>
  <si>
    <t xml:space="preserve">REDOUBLANTS (cette année)</t>
  </si>
  <si>
    <t xml:space="preserve">LE DIRECTEUR</t>
  </si>
  <si>
    <t xml:space="preserve">TABLEAU DES EFFECTIFS DES ELEVES</t>
  </si>
  <si>
    <t xml:space="preserve">CLASSE</t>
  </si>
  <si>
    <t xml:space="preserve">REDOUBLANTS</t>
  </si>
  <si>
    <t xml:space="preserve">G</t>
  </si>
  <si>
    <t xml:space="preserve">T</t>
  </si>
  <si>
    <t xml:space="preserve">Contrôle :</t>
  </si>
  <si>
    <t xml:space="preserve">TABLEAU DE SYNTHESE DE FIN D'ANNEE</t>
  </si>
  <si>
    <t xml:space="preserve">COURS</t>
  </si>
  <si>
    <t xml:space="preserve">EFFECTIF PRESENT</t>
  </si>
  <si>
    <t xml:space="preserve">SEUIL MGA</t>
  </si>
  <si>
    <t xml:space="preserve">ADMIS</t>
  </si>
  <si>
    <t xml:space="preserve">TAUX D'ADMISSION (%)</t>
  </si>
  <si>
    <t xml:space="preserve">EFFECTIF PROBABLE ANNEE SUIVANTE</t>
  </si>
  <si>
    <t xml:space="preserve">Notes :</t>
  </si>
  <si>
    <t xml:space="preserve">• Le taux d'admission global est calculé sur les effectifs présents (admis ÷ présents), et non par moyenne des taux de classe.</t>
  </si>
  <si>
    <t xml:space="preserve">• Effectif probable = redoublants de la classe + admis de la classe précédente ; CP1 = redoublants + nouveaux inscrits attendus (PARAMETRES, répartis G/F à parts égales).</t>
  </si>
  <si>
    <t xml:space="preserve">• Les admis du CM2 sont les sortants (entrée en 6ème) ; ils ne figurent dans aucun effectif probable.</t>
  </si>
  <si>
    <t xml:space="preserve">• Contrôle : Effectif inscrit = Présents + Abandons (+ transferts, comptés avec les abandons dans ce tableau).</t>
  </si>
  <si>
    <t xml:space="preserve">RAPPORT DE COMPOSITION</t>
  </si>
  <si>
    <t xml:space="preserve">Composition N° :</t>
  </si>
  <si>
    <t xml:space="preserve">Date :</t>
  </si>
  <si>
    <t xml:space="preserve">INSCRITS</t>
  </si>
  <si>
    <t xml:space="preserve">PRÉSENTS</t>
  </si>
  <si>
    <t xml:space="preserve">ABSENTS</t>
  </si>
  <si>
    <t xml:space="preserve">TAUX D'ADMIS (%)</t>
  </si>
  <si>
    <t xml:space="preserve">LISTE DES TROIS MEILLEURS PAR NIVEAU</t>
  </si>
  <si>
    <t xml:space="preserve">PREMIER</t>
  </si>
  <si>
    <t xml:space="preserve">DEUXIÈME</t>
  </si>
  <si>
    <t xml:space="preserve">TROISIÈME</t>
  </si>
  <si>
    <t xml:space="preserve">NIVEAU</t>
  </si>
  <si>
    <t xml:space="preserve">NOM &amp; PRÉNOMS</t>
  </si>
  <si>
    <t xml:space="preserve">MOY</t>
  </si>
  <si>
    <t xml:space="preserve">OBSERVATIONS DU DIRECTEUR :</t>
  </si>
  <si>
    <t xml:space="preserve">CP1 idx</t>
  </si>
  <si>
    <t xml:space="preserve">CP1 matricule</t>
  </si>
  <si>
    <t xml:space="preserve">CP1 nom</t>
  </si>
  <si>
    <t xml:space="preserve">CP1 sexe</t>
  </si>
  <si>
    <t xml:space="preserve">CP1 moy</t>
  </si>
  <si>
    <t xml:space="preserve">CP1 tri</t>
  </si>
  <si>
    <t xml:space="preserve">CP1 présence</t>
  </si>
  <si>
    <t xml:space="preserve">CP2 idx</t>
  </si>
  <si>
    <t xml:space="preserve">CP2 matricule</t>
  </si>
  <si>
    <t xml:space="preserve">CP2 nom</t>
  </si>
  <si>
    <t xml:space="preserve">CP2 sexe</t>
  </si>
  <si>
    <t xml:space="preserve">CP2 moy</t>
  </si>
  <si>
    <t xml:space="preserve">CP2 tri</t>
  </si>
  <si>
    <t xml:space="preserve">CP2 présence</t>
  </si>
  <si>
    <t xml:space="preserve">CE1 idx</t>
  </si>
  <si>
    <t xml:space="preserve">CE1 matricule</t>
  </si>
  <si>
    <t xml:space="preserve">CE1 nom</t>
  </si>
  <si>
    <t xml:space="preserve">CE1 sexe</t>
  </si>
  <si>
    <t xml:space="preserve">CE1 moy</t>
  </si>
  <si>
    <t xml:space="preserve">CE1 tri</t>
  </si>
  <si>
    <t xml:space="preserve">CE1 présence</t>
  </si>
  <si>
    <t xml:space="preserve">CE2 idx</t>
  </si>
  <si>
    <t xml:space="preserve">CE2 matricule</t>
  </si>
  <si>
    <t xml:space="preserve">CE2 nom</t>
  </si>
  <si>
    <t xml:space="preserve">CE2 sexe</t>
  </si>
  <si>
    <t xml:space="preserve">CE2 moy</t>
  </si>
  <si>
    <t xml:space="preserve">CE2 tri</t>
  </si>
  <si>
    <t xml:space="preserve">CE2 présence</t>
  </si>
  <si>
    <t xml:space="preserve">CM1 idx</t>
  </si>
  <si>
    <t xml:space="preserve">CM1 matricule</t>
  </si>
  <si>
    <t xml:space="preserve">CM1 nom</t>
  </si>
  <si>
    <t xml:space="preserve">CM1 sexe</t>
  </si>
  <si>
    <t xml:space="preserve">CM1 moy</t>
  </si>
  <si>
    <t xml:space="preserve">CM1 tri</t>
  </si>
  <si>
    <t xml:space="preserve">CM1 présence</t>
  </si>
  <si>
    <t xml:space="preserve">CM2 idx</t>
  </si>
  <si>
    <t xml:space="preserve">CM2 matricule</t>
  </si>
  <si>
    <t xml:space="preserve">CM2 nom</t>
  </si>
  <si>
    <t xml:space="preserve">CM2 sexe</t>
  </si>
  <si>
    <t xml:space="preserve">CM2 moy</t>
  </si>
  <si>
    <t xml:space="preserve">CM2 tri</t>
  </si>
  <si>
    <t xml:space="preserve">CM2 présence</t>
  </si>
  <si>
    <t xml:space="preserve">RAPPORT DE RENTREE – EFFECTIFS ET PERSONNEL</t>
  </si>
  <si>
    <t xml:space="preserve">1. LISTE DES ENSEIGNANTS (alimentée par la feuille PERSONNEL)</t>
  </si>
  <si>
    <t xml:space="preserve">NOM ET PRENOMS</t>
  </si>
  <si>
    <t xml:space="preserve">MATRICULE</t>
  </si>
  <si>
    <t xml:space="preserve">FONCTION</t>
  </si>
  <si>
    <t xml:space="preserve">GENRE (H/F)</t>
  </si>
  <si>
    <t xml:space="preserve">CORPS ET GRADE</t>
  </si>
  <si>
    <t xml:space="preserve">COURS TENU</t>
  </si>
  <si>
    <t xml:space="preserve">CONTACT</t>
  </si>
  <si>
    <t xml:space="preserve">Personnel enseignant : </t>
  </si>
  <si>
    <t xml:space="preserve">2. TABLEAU DES EFFECTIFS ELEVES (alimenté par le registre : redoublants / non redoublants)</t>
  </si>
  <si>
    <t xml:space="preserve">N.RED</t>
  </si>
  <si>
    <t xml:space="preserve">RED</t>
  </si>
  <si>
    <t xml:space="preserve">OBSERVATIONS :</t>
  </si>
  <si>
    <t xml:space="preserve">CONTROLE DES RETARDS ET ABSENCES – ELEVES</t>
  </si>
  <si>
    <t xml:space="preserve">Journal chronologique : une ligne par événement. Saisir la date, le matricule (nom, classe et sexe se remplissent seuls), la nature, la durée et le motif. Alimente le RAPPORT MENSUEL.</t>
  </si>
  <si>
    <t xml:space="preserve">Date</t>
  </si>
  <si>
    <t xml:space="preserve">Nature</t>
  </si>
  <si>
    <t xml:space="preserve">Jours d'absence</t>
  </si>
  <si>
    <t xml:space="preserve">Retard (minutes)</t>
  </si>
  <si>
    <t xml:space="preserve">Motif</t>
  </si>
  <si>
    <t xml:space="preserve">Justifié ?</t>
  </si>
  <si>
    <t xml:space="preserve">mois</t>
  </si>
  <si>
    <t xml:space="preserve">année</t>
  </si>
  <si>
    <t xml:space="preserve">RETARD</t>
  </si>
  <si>
    <t xml:space="preserve">Sans motif</t>
  </si>
  <si>
    <t xml:space="preserve">ABSENCE</t>
  </si>
  <si>
    <t xml:space="preserve">Pluie / route coupée</t>
  </si>
  <si>
    <t xml:space="preserve">Deuil familial</t>
  </si>
  <si>
    <t xml:space="preserve">Voyage</t>
  </si>
  <si>
    <t xml:space="preserve">Travaux champêtres</t>
  </si>
  <si>
    <t xml:space="preserve">Maladie</t>
  </si>
  <si>
    <t xml:space="preserve">CONTROLE DES RETARDS ET ABSENCES – PERSONNEL</t>
  </si>
  <si>
    <t xml:space="preserve">Journal chronologique : une ligne par événement. Saisir la date, le matricule (nom, cours tenu et sexe se remplissent seuls), la nature, la durée et le motif. Alimente le RAPPORT MENSUEL.</t>
  </si>
  <si>
    <t xml:space="preserve">Matricule</t>
  </si>
  <si>
    <t xml:space="preserve">Cours tenu</t>
  </si>
  <si>
    <t xml:space="preserve">Convocation IEPP</t>
  </si>
  <si>
    <t xml:space="preserve">Formation</t>
  </si>
  <si>
    <t xml:space="preserve">n° mois</t>
  </si>
  <si>
    <t xml:space="preserve">jours de classe</t>
  </si>
  <si>
    <t xml:space="preserve">RAPPORT MENSUEL DU DIRECTEUR</t>
  </si>
  <si>
    <t xml:space="preserve">éval. CP1-CM1</t>
  </si>
  <si>
    <t xml:space="preserve">Mois :</t>
  </si>
  <si>
    <t xml:space="preserve">Cellules jaunes à rédiger ; tout le reste est calculé (registre, personnel, journaux d'absences, feuilles de notes, paramètres).</t>
  </si>
  <si>
    <t xml:space="preserve">éval. CM2</t>
  </si>
  <si>
    <t xml:space="preserve">1. EFFECTIFS ET FREQUENTATION</t>
  </si>
  <si>
    <t xml:space="preserve">EFFECTIFS / RENTREE</t>
  </si>
  <si>
    <t xml:space="preserve">TAUX DE FREQUENTATION (%)</t>
  </si>
  <si>
    <t xml:space="preserve">OBSERVATIONS</t>
  </si>
  <si>
    <t xml:space="preserve">PS</t>
  </si>
  <si>
    <t xml:space="preserve">MS</t>
  </si>
  <si>
    <t xml:space="preserve">GS</t>
  </si>
  <si>
    <t xml:space="preserve">2. ASSIDUITE ET PONCTUALITE DU PERSONNEL ENSEIGNANT (mois choisi)</t>
  </si>
  <si>
    <t xml:space="preserve">RETARD OU ABSENCE</t>
  </si>
  <si>
    <t xml:space="preserve">DUREE DU RETARD / ABSENCE</t>
  </si>
  <si>
    <t xml:space="preserve">MOTIF DU RETARD / ABSENCE</t>
  </si>
  <si>
    <t xml:space="preserve">EMARGEMENT</t>
  </si>
  <si>
    <t xml:space="preserve">3. ACTIVITES MENEES</t>
  </si>
  <si>
    <t xml:space="preserve">a. Animations pédagogiques :</t>
  </si>
  <si>
    <t xml:space="preserve">EFFECTIF</t>
  </si>
  <si>
    <t xml:space="preserve">ONT COMPOSE</t>
  </si>
  <si>
    <t xml:space="preserve">ONT OBTENU LA MOYENNE</t>
  </si>
  <si>
    <t xml:space="preserve">% DES ADMIS</t>
  </si>
  <si>
    <t xml:space="preserve">c. Activités extra-scolaires :</t>
  </si>
  <si>
    <t xml:space="preserve">ACTIVITES COOPERATIVES</t>
  </si>
  <si>
    <t xml:space="preserve">BIBLIOTHEQUE</t>
  </si>
  <si>
    <t xml:space="preserve">CANTINE</t>
  </si>
  <si>
    <t xml:space="preserve">4. RELATIONS HUMAINES</t>
  </si>
  <si>
    <t xml:space="preserve">Entre les enseignants :</t>
  </si>
  <si>
    <t xml:space="preserve">Entre maîtres et élèves :</t>
  </si>
  <si>
    <t xml:space="preserve">Entre maîtres et autorités politiques et administratives :</t>
  </si>
  <si>
    <t xml:space="preserve">5. EVENEMENTS AYANT MARQUE LA VIE DE L'ECOLE</t>
  </si>
  <si>
    <t xml:space="preserve">6. DIFFICULTES RENCONTREES AU COURS DU MOIS</t>
  </si>
  <si>
    <t xml:space="preserve">Nombre de filles en grossesse :</t>
  </si>
  <si>
    <t xml:space="preserve">Nombre d'élèves décédés :</t>
  </si>
  <si>
    <t xml:space="preserve">Autres difficultés :</t>
  </si>
  <si>
    <t xml:space="preserve">7. SATISFACTIONS</t>
  </si>
  <si>
    <t xml:space="preserve">8. CONCLUSION</t>
  </si>
  <si>
    <t xml:space="preserve">LISTE DU PERSONNEL</t>
  </si>
  <si>
    <t xml:space="preserve">Fonction</t>
  </si>
  <si>
    <t xml:space="preserve">Grade / Emploi</t>
  </si>
  <si>
    <t xml:space="preserve">Classe tenue</t>
  </si>
  <si>
    <t xml:space="preserve">Diplôme le plus élevé</t>
  </si>
  <si>
    <t xml:space="preserve">Date de prise de service</t>
  </si>
  <si>
    <t xml:space="preserve">Ancienneté (ans)</t>
  </si>
  <si>
    <t xml:space="preserve">Date d'arrivée dans l'école</t>
  </si>
  <si>
    <t xml:space="preserve">Tél.</t>
  </si>
  <si>
    <t xml:space="preserve">Situation matrimoniale</t>
  </si>
  <si>
    <t xml:space="preserve">860627D</t>
  </si>
  <si>
    <t xml:space="preserve">KOUAME Kouadio Ernest</t>
  </si>
  <si>
    <t xml:space="preserve">IO / A3</t>
  </si>
  <si>
    <t xml:space="preserve">CAP-CP</t>
  </si>
  <si>
    <t xml:space="preserve">07 30 90 80 35</t>
  </si>
  <si>
    <t xml:space="preserve">MARIE(E)</t>
  </si>
  <si>
    <t xml:space="preserve">820344G</t>
  </si>
  <si>
    <t xml:space="preserve">N'DRI Affoué Solange</t>
  </si>
  <si>
    <t xml:space="preserve">07 71 87 20 63</t>
  </si>
  <si>
    <t xml:space="preserve">149704B</t>
  </si>
  <si>
    <t xml:space="preserve">BAKAYOKO Issouf</t>
  </si>
  <si>
    <t xml:space="preserve">IA / B3</t>
  </si>
  <si>
    <t xml:space="preserve">CEAP</t>
  </si>
  <si>
    <t xml:space="preserve">07 23 14 75 42</t>
  </si>
  <si>
    <t xml:space="preserve">CELIBATAIRE</t>
  </si>
  <si>
    <t xml:space="preserve">349988G</t>
  </si>
  <si>
    <t xml:space="preserve">GNAGNE Marie-Louise</t>
  </si>
  <si>
    <t xml:space="preserve">07 42 63 86 72</t>
  </si>
  <si>
    <t xml:space="preserve">407689C</t>
  </si>
  <si>
    <t xml:space="preserve">YAPO Jean-Baptiste</t>
  </si>
  <si>
    <t xml:space="preserve">07 18 26 39 71</t>
  </si>
  <si>
    <t xml:space="preserve">686538B</t>
  </si>
  <si>
    <t xml:space="preserve">IS</t>
  </si>
  <si>
    <t xml:space="preserve">CEAP (en cours)</t>
  </si>
  <si>
    <t xml:space="preserve">07 45 37 36 12</t>
  </si>
  <si>
    <t xml:space="preserve">172513E</t>
  </si>
  <si>
    <t xml:space="preserve">ZADI Serge Pacôme</t>
  </si>
  <si>
    <t xml:space="preserve">07 62 67 41 17</t>
  </si>
  <si>
    <t xml:space="preserve">148861C</t>
  </si>
  <si>
    <t xml:space="preserve">KONE Drissa</t>
  </si>
  <si>
    <t xml:space="preserve">07 46 57 77 83</t>
  </si>
  <si>
    <t xml:space="preserve">RECAPITULATIF</t>
  </si>
  <si>
    <t xml:space="preserve">Hommes</t>
  </si>
  <si>
    <t xml:space="preserve">Femmes</t>
  </si>
  <si>
    <t xml:space="preserve">Classes sans enseignant :</t>
  </si>
  <si>
    <t xml:space="preserve">(0 = toutes les classes sont pourvues)</t>
  </si>
  <si>
    <t xml:space="preserve">NOTICE D'UTILISATION DU CLASSEUR</t>
  </si>
  <si>
    <t xml:space="preserve">Principe</t>
  </si>
  <si>
    <t xml:space="preserve">Une seule base d'élèves (REGISTRE ELEVES) et une seule base de personnel (PERSONNEL). Toutes les autres feuilles sont des vues calculées : aucun total n'est saisi à la main, aucune formule ne pointe vers un fichier externe (contrairement au modèle d'origine dont la synthèse dépendait de 6 classeurs [1]..[6]).</t>
  </si>
  <si>
    <t xml:space="preserve">Etape 1 – PARAMETRES</t>
  </si>
  <si>
    <t xml:space="preserve">Renseigner l'identité de l'école, l'année scolaire (2026-2027), le directeur, la date d'édition et la date de référence des âges. Ajuster si besoin les moyennes de passage, les listes de choix (nationalités, fonctions…), le calendrier des évaluations (dates provisoires à confirmer par la DECO / l'IEPP) et les jours de classe de chaque mois.</t>
  </si>
  <si>
    <t xml:space="preserve">Deux matricules</t>
  </si>
  <si>
    <t xml:space="preserve">Le REGISTRE ELEVES porte deux identifiants. Le Matricule Ecole est calculé par le classeur dès que la classe est choisie (CLASSE-NNN-AA) : il sert de clé interne et se retrouve dans les feuilles de notes, les résultats et les journaux d'absences. Le Matricule DESPS / Identifiant est attribué par l'administration et se saisit à la main : les cases sont livrées vides. Deux règles s'appliquent : exactement 9 caractères, et une lettre majuscule en première ou en dernière position (A12345678, 12345678B). Toute autre forme est refusée à la frappe, et une valeur collée non conforme apparaît en rouge — la validation d'Excel ne contrôlant pas les collages. La colonne est au format texte, de sorte que les zéros de tête sont conservés.</t>
  </si>
  <si>
    <t xml:space="preserve">Etape 2 – REGISTRE ELEVES</t>
  </si>
  <si>
    <t xml:space="preserve">Saisir chaque élève une seule fois, avec sa classe. Les listes déroulantes évitent les fautes de frappe (M/F, OUI/NON, classes…). Le N° et l'âge se calculent seuls. En cours d'année, passer le Statut à ABANDON ou TRANSFERE au lieu de supprimer la ligne : l'historique est conservé et les abandons sont comptés.</t>
  </si>
  <si>
    <t xml:space="preserve">Etape 3 – FEUILLES DE NOTES</t>
  </si>
  <si>
    <t xml:space="preserve">Quatre feuilles (NOTES CP, NOTES CE1, NOTES CE2-CM1, NOTES CM2), listes tirées du registre : on saisit les notes par matière, la moyenne de chaque évaluation est calculée. Chaque évaluation commence par une colonne « Présent ? » : mettre NON pour un élève absent à cette évaluation – sa ligne est alors grisée pour cette évaluation, la saisie des notes y est refusée, la moyenne de l'évaluation est automatiquement fixée à 0 (affichée sur fond rouge) et l'élève est compté dans la ligne ABSENTS du rapport de composition, sans figurer parmi les présents ni les admis (vide ou OUI = présent).</t>
  </si>
  <si>
    <t xml:space="preserve">Etape 4 – RESULTATS</t>
  </si>
  <si>
    <t xml:space="preserve">Aucune saisie : les moyennes viennent des feuilles de notes (recherche par matricule). MGA, décision (ADMIS / REDOUBLE / ABANDON), rang dans la classe et observation sont calculés. Un élève absent à une évaluation compte 0 pour celle-ci : sa MGA est donc calculée normalement, avec ce 0.</t>
  </si>
  <si>
    <t xml:space="preserve">Etape 5 – Editions</t>
  </si>
  <si>
    <t xml:space="preserve">RAPPORT DE RENTREE : liste des enseignants (depuis PERSONNEL) et tableau des effectifs redoublants / non redoublants par classe et par sexe (depuis le registre) ; seules les observations sont à écrire. ABSENCES ELEVES et ABSENCES PERSONNEL : deux journaux des retards et absences : date, matricule (nom, classe ou cours tenu, sexe se remplissent seuls), nature, jours d'absence, minutes de retard, motif, justifié. RAPPORT MENSUEL : choisir le mois ; tout le reste est calculé : effectifs, abandons, taux de fréquentation (1 − jours d'absence ÷ (effectif × jours de classe du mois, PARAMETRES)), assiduité du personnel (retards, absences, durées, motifs du mois, depuis ABSENCES PERSONNEL), et résultats de l'évaluation dont la date (PARAMETRES, calendrier) tombe dans le mois choisi – CM2 compris avec ses examens blancs. À rédiger : activités, relations humaines, événements, difficultés, satisfactions, conclusion. RAPPORT DE COMPOSITION : choisir le numéro de composition (1 à 4, 4 = passage ; pour le CM2, 3 et 4 = examens blancs) et la date : inscrits, présents, admis, taux par classe et par sexe et les trois meilleurs par niveau se remplissent seuls, il ne reste que les observations à écrire. ETAT PAR CLASSE : choisir la classe dans la liste déroulante puis imprimer (zone d'impression et en-têtes de page déjà réglés). EFFECTIFS, SYNTHESE FIN D'ANNEE et PERSONNEL s'impriment tels quels sur une page paysage.</t>
  </si>
  <si>
    <t xml:space="preserve">Feuilles masquées</t>
  </si>
  <si>
    <t xml:space="preserve">Les feuilles qui ne demandent aucune saisie (RESULTATS, RESULTATS CM2, EFFECTIFS, SYNTHESE FIN D'ANNEE, ETAT PAR CLASSE, NOTICE) sont masquées : le classeur ne présente que les feuilles à remplir, et s'ouvre plus vite. Le TABLEAU DE BORD comporte un bouton par état (aperçu, impression, PDF) et un bouton « Afficher / masquer les feuilles calculées ». Sans macro (.xlsx) : clic droit sur un onglet ▸ Afficher.</t>
  </si>
  <si>
    <t xml:space="preserve">Impression</t>
  </si>
  <si>
    <t xml:space="preserve">Toutes les feuilles sont reglees sur du papier A4, avec des marges etroites (0,8 cm a gauche et a droite) et un centrage horizontal. Les colonnes de la zone d'impression sont ajustees a la largeur de la page : aucune colonne ne part sur une feuille supplementaire. Les lignes, elles, se poursuivent librement sur les pages suivantes, la ligne d'en-tete etant repetee en haut de chacune. La zone d'impression s'arrete a la derniere ligne renseignee : un classeur de 30 eleves n'imprime pas les 241 lignes reservees. Cet ajustement est refait automatiquement a chaque impression, ainsi que par le bouton « Ajuster les zones d'impression » du tableau de bord. Les feuilles de notes conservent leurs sauts de colonne, qui donnent une page par evaluation.</t>
  </si>
  <si>
    <t xml:space="preserve">Contrôles intégrés</t>
  </si>
  <si>
    <t xml:space="preserve">Homonymes, extraits manquants (jaune), écart entre total des effectifs et nombre d'élèves, classes sans enseignant, moyennes manquantes, élèves en sur-âge : tout remonte dans le TABLEAU DE BORD.</t>
  </si>
  <si>
    <t xml:space="preserve">Ajouter une classe ou un niveau</t>
  </si>
  <si>
    <t xml:space="preserve">Ajouter le libellé dans PARAMETRES (liste Classe et seuils), puis une ligne dans EFFECTIFS / SYNTHESE / TABLEAU DE BORD en recopiant la ligne du dessus.</t>
  </si>
  <si>
    <t xml:space="preserve">Capacité</t>
  </si>
  <si>
    <t xml:space="preserve">241 élèves et 60 agents sont pré-formatés (lignes 10 à 250) : c'est la capacité qui rend le classeur rapide à ouvrir et à recalculer. Pour aller au-delà, sélectionner la dernière ligne de chaque feuille et la recopier vers le bas (les formules et les listes suivent), puis étendre les plages dans les formules de synthèse.</t>
  </si>
  <si>
    <t xml:space="preserve">Compatibilité</t>
  </si>
  <si>
    <t xml:space="preserve">Fonctions utilisées : COUNTIFS, INDEX/MATCH, DATEDIF, SUMPRODUCT – compatibles Excel 2010 et plus, et LibreOffice Calc. Aucune macro.</t>
  </si>
  <si>
    <t xml:space="preserve">Données</t>
  </si>
  <si>
    <t xml:space="preserve">Toutes les données d'élèves et de personnel de ce fichier sont FICTIVES et servent uniquement d'exemple de format.</t>
  </si>
</sst>
</file>

<file path=xl/styles.xml><?xml version="1.0" encoding="utf-8"?>
<styleSheet xmlns="http://schemas.openxmlformats.org/spreadsheetml/2006/main">
  <numFmts count="10">
    <numFmt numFmtId="164" formatCode="General"/>
    <numFmt numFmtId="165" formatCode="0"/>
    <numFmt numFmtId="166" formatCode="0.0%"/>
    <numFmt numFmtId="167" formatCode="0.0"/>
    <numFmt numFmtId="168" formatCode="General"/>
    <numFmt numFmtId="169" formatCode="0%"/>
    <numFmt numFmtId="170" formatCode="dd/mm/yyyy"/>
    <numFmt numFmtId="171" formatCode="0.00"/>
    <numFmt numFmtId="172" formatCode="@"/>
    <numFmt numFmtId="173" formatCode="\/0"/>
  </numFmts>
  <fonts count="47">
    <font>
      <sz val="11"/>
      <color theme="1"/>
      <name val="Calibri"/>
      <family val="2"/>
      <charset val="1"/>
    </font>
    <font>
      <sz val="10"/>
      <name val="Arial"/>
      <family val="0"/>
    </font>
    <font>
      <sz val="10"/>
      <name val="Arial"/>
      <family val="0"/>
    </font>
    <font>
      <sz val="10"/>
      <name val="Arial"/>
      <family val="0"/>
    </font>
    <font>
      <b val="true"/>
      <sz val="16"/>
      <color rgb="FFFFFFFF"/>
      <name val="Arial"/>
      <family val="0"/>
      <charset val="1"/>
    </font>
    <font>
      <i val="true"/>
      <sz val="9"/>
      <color rgb="FF595959"/>
      <name val="Arial"/>
      <family val="0"/>
      <charset val="1"/>
    </font>
    <font>
      <b val="true"/>
      <sz val="11"/>
      <color rgb="FFFFFFFF"/>
      <name val="Arial"/>
      <family val="0"/>
      <charset val="1"/>
    </font>
    <font>
      <b val="true"/>
      <sz val="9"/>
      <color rgb="FFFFFFFF"/>
      <name val="Arial"/>
      <family val="0"/>
      <charset val="1"/>
    </font>
    <font>
      <b val="true"/>
      <sz val="20"/>
      <color rgb="FF1F3864"/>
      <name val="Arial"/>
      <family val="0"/>
      <charset val="1"/>
    </font>
    <font>
      <b val="true"/>
      <sz val="20"/>
      <color rgb="FF2E5597"/>
      <name val="Arial"/>
      <family val="0"/>
      <charset val="1"/>
    </font>
    <font>
      <b val="true"/>
      <sz val="20"/>
      <color rgb="FF1E8449"/>
      <name val="Arial"/>
      <family val="0"/>
      <charset val="1"/>
    </font>
    <font>
      <b val="true"/>
      <sz val="20"/>
      <color rgb="FFC00000"/>
      <name val="Arial"/>
      <family val="0"/>
      <charset val="1"/>
    </font>
    <font>
      <b val="true"/>
      <sz val="20"/>
      <color rgb="FFF2A900"/>
      <name val="Arial"/>
      <family val="0"/>
      <charset val="1"/>
    </font>
    <font>
      <b val="true"/>
      <sz val="20"/>
      <color rgb="FF7030A0"/>
      <name val="Arial"/>
      <family val="0"/>
      <charset val="1"/>
    </font>
    <font>
      <b val="true"/>
      <sz val="10"/>
      <color rgb="FFFFFFFF"/>
      <name val="Arial"/>
      <family val="0"/>
      <charset val="1"/>
    </font>
    <font>
      <b val="true"/>
      <sz val="10"/>
      <color rgb="FF000000"/>
      <name val="Arial"/>
      <family val="0"/>
      <charset val="1"/>
    </font>
    <font>
      <sz val="10"/>
      <name val="Arial"/>
      <family val="0"/>
      <charset val="1"/>
    </font>
    <font>
      <b val="true"/>
      <sz val="10"/>
      <name val="Arial"/>
      <family val="0"/>
      <charset val="1"/>
    </font>
    <font>
      <i val="true"/>
      <sz val="8"/>
      <color rgb="FFC00000"/>
      <name val="Arial"/>
      <family val="0"/>
      <charset val="1"/>
    </font>
    <font>
      <u val="single"/>
      <sz val="10"/>
      <color rgb="FF1F3864"/>
      <name val="Arial"/>
      <family val="0"/>
      <charset val="1"/>
    </font>
    <font>
      <b val="true"/>
      <sz val="18"/>
      <color rgb="FF000000"/>
      <name val="Calibri"/>
      <family val="2"/>
    </font>
    <font>
      <sz val="10"/>
      <color rgb="FF000000"/>
      <name val="Calibri"/>
      <family val="2"/>
    </font>
    <font>
      <b val="true"/>
      <sz val="10"/>
      <color rgb="FF000000"/>
      <name val="Calibri"/>
      <family val="2"/>
    </font>
    <font>
      <b val="true"/>
      <sz val="14"/>
      <color rgb="FFFFFFFF"/>
      <name val="Arial"/>
      <family val="0"/>
      <charset val="1"/>
    </font>
    <font>
      <sz val="10"/>
      <color rgb="FF0000FF"/>
      <name val="Arial"/>
      <family val="0"/>
      <charset val="1"/>
    </font>
    <font>
      <i val="true"/>
      <sz val="9"/>
      <name val="Arial"/>
      <family val="0"/>
      <charset val="1"/>
    </font>
    <font>
      <b val="true"/>
      <sz val="9"/>
      <name val="Arial"/>
      <family val="0"/>
      <charset val="1"/>
    </font>
    <font>
      <sz val="9"/>
      <name val="Arial"/>
      <family val="0"/>
      <charset val="1"/>
    </font>
    <font>
      <sz val="10"/>
      <name val="Arial"/>
      <family val="2"/>
    </font>
    <font>
      <sz val="8"/>
      <color rgb="FFA6A6A6"/>
      <name val="Arial"/>
      <family val="0"/>
      <charset val="1"/>
    </font>
    <font>
      <sz val="9"/>
      <color rgb="FF000000"/>
      <name val="Arial"/>
      <family val="0"/>
      <charset val="1"/>
    </font>
    <font>
      <sz val="9"/>
      <color rgb="FF595959"/>
      <name val="Arial"/>
      <family val="0"/>
      <charset val="1"/>
    </font>
    <font>
      <i val="true"/>
      <sz val="8"/>
      <color rgb="FF595959"/>
      <name val="Arial"/>
      <family val="0"/>
      <charset val="1"/>
    </font>
    <font>
      <i val="true"/>
      <sz val="8"/>
      <color rgb="FFA6A6A6"/>
      <name val="Arial"/>
      <family val="0"/>
      <charset val="1"/>
    </font>
    <font>
      <b val="true"/>
      <sz val="9"/>
      <color rgb="FF0000FF"/>
      <name val="Arial"/>
      <family val="0"/>
      <charset val="1"/>
    </font>
    <font>
      <b val="true"/>
      <sz val="8"/>
      <color rgb="FFFFFFFF"/>
      <name val="Arial"/>
      <family val="0"/>
      <charset val="1"/>
    </font>
    <font>
      <sz val="9"/>
      <color rgb="FF0000FF"/>
      <name val="Arial"/>
      <family val="0"/>
      <charset val="1"/>
    </font>
    <font>
      <b val="true"/>
      <sz val="12"/>
      <color rgb="FF0000FF"/>
      <name val="Arial"/>
      <family val="0"/>
      <charset val="1"/>
    </font>
    <font>
      <i val="true"/>
      <sz val="10"/>
      <name val="Arial"/>
      <family val="0"/>
      <charset val="1"/>
    </font>
    <font>
      <b val="true"/>
      <u val="single"/>
      <sz val="10"/>
      <name val="Arial"/>
      <family val="0"/>
      <charset val="1"/>
    </font>
    <font>
      <i val="true"/>
      <sz val="9"/>
      <color rgb="FF1E8449"/>
      <name val="Arial"/>
      <family val="0"/>
      <charset val="1"/>
    </font>
    <font>
      <b val="true"/>
      <sz val="10"/>
      <color rgb="FF0000FF"/>
      <name val="Arial"/>
      <family val="0"/>
      <charset val="1"/>
    </font>
    <font>
      <b val="true"/>
      <sz val="13"/>
      <name val="Arial"/>
      <family val="0"/>
      <charset val="1"/>
    </font>
    <font>
      <b val="true"/>
      <sz val="11"/>
      <color rgb="FF0000FF"/>
      <name val="Arial"/>
      <family val="0"/>
      <charset val="1"/>
    </font>
    <font>
      <i val="true"/>
      <sz val="8"/>
      <name val="Arial"/>
      <family val="0"/>
      <charset val="1"/>
    </font>
    <font>
      <b val="true"/>
      <sz val="9"/>
      <color rgb="FFC00000"/>
      <name val="Arial"/>
      <family val="0"/>
      <charset val="1"/>
    </font>
    <font>
      <b val="true"/>
      <sz val="11"/>
      <color rgb="FF1F3864"/>
      <name val="Arial"/>
      <family val="0"/>
      <charset val="1"/>
    </font>
  </fonts>
  <fills count="14">
    <fill>
      <patternFill patternType="none"/>
    </fill>
    <fill>
      <patternFill patternType="gray125"/>
    </fill>
    <fill>
      <patternFill patternType="solid">
        <fgColor rgb="FF1F3864"/>
        <bgColor rgb="FF333333"/>
      </patternFill>
    </fill>
    <fill>
      <patternFill patternType="solid">
        <fgColor rgb="FF2E5597"/>
        <bgColor rgb="FF1F3864"/>
      </patternFill>
    </fill>
    <fill>
      <patternFill patternType="solid">
        <fgColor rgb="FF1E8449"/>
        <bgColor rgb="FF008080"/>
      </patternFill>
    </fill>
    <fill>
      <patternFill patternType="solid">
        <fgColor rgb="FFC00000"/>
        <bgColor rgb="FF9C0006"/>
      </patternFill>
    </fill>
    <fill>
      <patternFill patternType="solid">
        <fgColor rgb="FFEAF0F8"/>
        <bgColor rgb="FFF9F9F9"/>
      </patternFill>
    </fill>
    <fill>
      <patternFill patternType="solid">
        <fgColor rgb="FFF2A900"/>
        <bgColor rgb="FFFFCC00"/>
      </patternFill>
    </fill>
    <fill>
      <patternFill patternType="solid">
        <fgColor rgb="FF7030A0"/>
        <bgColor rgb="FF800080"/>
      </patternFill>
    </fill>
    <fill>
      <patternFill patternType="solid">
        <fgColor rgb="FFD9D9D9"/>
        <bgColor rgb="FFD6DCE4"/>
      </patternFill>
    </fill>
    <fill>
      <patternFill patternType="solid">
        <fgColor rgb="FFFFF2CC"/>
        <bgColor rgb="FFFCE4D6"/>
      </patternFill>
    </fill>
    <fill>
      <patternFill patternType="solid">
        <fgColor rgb="FF595959"/>
        <bgColor rgb="FF2E5597"/>
      </patternFill>
    </fill>
    <fill>
      <patternFill patternType="solid">
        <fgColor rgb="FFFCE4D6"/>
        <bgColor rgb="FFFFF2CC"/>
      </patternFill>
    </fill>
    <fill>
      <patternFill patternType="solid">
        <fgColor rgb="FF7F7F7F"/>
        <bgColor rgb="FF808080"/>
      </patternFill>
    </fill>
  </fills>
  <borders count="5">
    <border diagonalUp="false" diagonalDown="false">
      <left/>
      <right/>
      <top/>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right/>
      <top/>
      <bottom style="hair">
        <color rgb="FFBFBFBF"/>
      </bottom>
      <diagonal/>
    </border>
    <border diagonalUp="false" diagonalDown="false">
      <left style="thin">
        <color rgb="FF808080"/>
      </left>
      <right/>
      <top style="thin">
        <color rgb="FF808080"/>
      </top>
      <bottom style="thin">
        <color rgb="FF808080"/>
      </bottom>
      <diagonal/>
    </border>
    <border diagonalUp="false" diagonalDown="false">
      <left style="thin">
        <color rgb="FF808080"/>
      </left>
      <right/>
      <top style="thin">
        <color rgb="FF808080"/>
      </top>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135">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2" borderId="0" xfId="0" applyFont="true" applyBorder="true" applyAlignment="true" applyProtection="false">
      <alignment horizontal="center" vertical="center" textRotation="0" wrapText="true" indent="0" shrinkToFit="false"/>
      <protection locked="true" hidden="false"/>
    </xf>
    <xf numFmtId="164" fontId="5" fillId="0" borderId="0" xfId="0" applyFont="true" applyBorder="true" applyAlignment="true" applyProtection="false">
      <alignment horizontal="center" vertical="center" textRotation="0" wrapText="true" indent="0" shrinkToFit="false"/>
      <protection locked="true" hidden="false"/>
    </xf>
    <xf numFmtId="164" fontId="6" fillId="2" borderId="0" xfId="0" applyFont="true" applyBorder="true" applyAlignment="true" applyProtection="false">
      <alignment horizontal="center" vertical="center" textRotation="0" wrapText="true" indent="0" shrinkToFit="false"/>
      <protection locked="true" hidden="false"/>
    </xf>
    <xf numFmtId="164" fontId="5" fillId="0" borderId="0" xfId="0" applyFont="true" applyBorder="true" applyAlignment="true" applyProtection="false">
      <alignment horizontal="left" vertical="center" textRotation="0" wrapText="true" indent="0" shrinkToFit="false"/>
      <protection locked="true" hidden="false"/>
    </xf>
    <xf numFmtId="164" fontId="7" fillId="2" borderId="0" xfId="0" applyFont="true" applyBorder="true" applyAlignment="true" applyProtection="false">
      <alignment horizontal="center" vertical="center" textRotation="0" wrapText="true" indent="0" shrinkToFit="false"/>
      <protection locked="true" hidden="false"/>
    </xf>
    <xf numFmtId="164" fontId="7" fillId="3" borderId="0" xfId="0" applyFont="true" applyBorder="true" applyAlignment="true" applyProtection="false">
      <alignment horizontal="center" vertical="center" textRotation="0" wrapText="true" indent="0" shrinkToFit="false"/>
      <protection locked="true" hidden="false"/>
    </xf>
    <xf numFmtId="164" fontId="7" fillId="4" borderId="0" xfId="0" applyFont="true" applyBorder="true" applyAlignment="true" applyProtection="false">
      <alignment horizontal="center" vertical="center" textRotation="0" wrapText="true" indent="0" shrinkToFit="false"/>
      <protection locked="true" hidden="false"/>
    </xf>
    <xf numFmtId="164" fontId="7" fillId="5" borderId="0" xfId="0" applyFont="true" applyBorder="true" applyAlignment="true" applyProtection="false">
      <alignment horizontal="center" vertical="center" textRotation="0" wrapText="true" indent="0" shrinkToFit="false"/>
      <protection locked="true" hidden="false"/>
    </xf>
    <xf numFmtId="165" fontId="8" fillId="6" borderId="0" xfId="0" applyFont="true" applyBorder="true" applyAlignment="true" applyProtection="false">
      <alignment horizontal="center" vertical="center" textRotation="0" wrapText="true" indent="0" shrinkToFit="false"/>
      <protection locked="true" hidden="false"/>
    </xf>
    <xf numFmtId="166" fontId="9" fillId="6" borderId="0" xfId="0" applyFont="true" applyBorder="true" applyAlignment="true" applyProtection="false">
      <alignment horizontal="center" vertical="center" textRotation="0" wrapText="true" indent="0" shrinkToFit="false"/>
      <protection locked="true" hidden="false"/>
    </xf>
    <xf numFmtId="165" fontId="10" fillId="6" borderId="0" xfId="0" applyFont="true" applyBorder="true" applyAlignment="true" applyProtection="false">
      <alignment horizontal="center" vertical="center" textRotation="0" wrapText="true" indent="0" shrinkToFit="false"/>
      <protection locked="true" hidden="false"/>
    </xf>
    <xf numFmtId="166" fontId="11" fillId="6" borderId="0" xfId="0" applyFont="true" applyBorder="true" applyAlignment="true" applyProtection="false">
      <alignment horizontal="center" vertical="center" textRotation="0" wrapText="true" indent="0" shrinkToFit="false"/>
      <protection locked="true" hidden="false"/>
    </xf>
    <xf numFmtId="164" fontId="7" fillId="7" borderId="0" xfId="0" applyFont="true" applyBorder="true" applyAlignment="true" applyProtection="false">
      <alignment horizontal="center" vertical="center" textRotation="0" wrapText="true" indent="0" shrinkToFit="false"/>
      <protection locked="true" hidden="false"/>
    </xf>
    <xf numFmtId="164" fontId="7" fillId="8" borderId="0" xfId="0" applyFont="true" applyBorder="true" applyAlignment="true" applyProtection="false">
      <alignment horizontal="center" vertical="center" textRotation="0" wrapText="true" indent="0" shrinkToFit="false"/>
      <protection locked="true" hidden="false"/>
    </xf>
    <xf numFmtId="166" fontId="10" fillId="6" borderId="0" xfId="0" applyFont="true" applyBorder="true" applyAlignment="true" applyProtection="false">
      <alignment horizontal="center" vertical="center" textRotation="0" wrapText="true" indent="0" shrinkToFit="false"/>
      <protection locked="true" hidden="false"/>
    </xf>
    <xf numFmtId="165" fontId="12" fillId="6" borderId="0" xfId="0" applyFont="true" applyBorder="true" applyAlignment="true" applyProtection="false">
      <alignment horizontal="center" vertical="center" textRotation="0" wrapText="true" indent="0" shrinkToFit="false"/>
      <protection locked="true" hidden="false"/>
    </xf>
    <xf numFmtId="165" fontId="13" fillId="6" borderId="0" xfId="0" applyFont="true" applyBorder="true" applyAlignment="true" applyProtection="false">
      <alignment horizontal="center" vertical="center" textRotation="0" wrapText="true" indent="0" shrinkToFit="false"/>
      <protection locked="true" hidden="false"/>
    </xf>
    <xf numFmtId="167" fontId="13" fillId="6" borderId="0" xfId="0" applyFont="true" applyBorder="true" applyAlignment="true" applyProtection="false">
      <alignment horizontal="center" vertical="center" textRotation="0" wrapText="true" indent="0" shrinkToFit="false"/>
      <protection locked="true" hidden="false"/>
    </xf>
    <xf numFmtId="164" fontId="14" fillId="2" borderId="0" xfId="0" applyFont="true" applyBorder="true" applyAlignment="false" applyProtection="false">
      <alignment horizontal="general" vertical="bottom" textRotation="0" wrapText="false" indent="0" shrinkToFit="false"/>
      <protection locked="true" hidden="false"/>
    </xf>
    <xf numFmtId="164" fontId="14" fillId="5" borderId="0" xfId="0" applyFont="true" applyBorder="true" applyAlignment="false" applyProtection="false">
      <alignment horizontal="general" vertical="bottom" textRotation="0" wrapText="false" indent="0" shrinkToFit="false"/>
      <protection locked="true" hidden="false"/>
    </xf>
    <xf numFmtId="164" fontId="15" fillId="9" borderId="1" xfId="0" applyFont="true" applyBorder="true" applyAlignment="true" applyProtection="false">
      <alignment horizontal="center" vertical="center" textRotation="0" wrapText="true" indent="0" shrinkToFit="false"/>
      <protection locked="true" hidden="false"/>
    </xf>
    <xf numFmtId="164" fontId="16" fillId="0" borderId="2" xfId="0" applyFont="true" applyBorder="true" applyAlignment="true" applyProtection="false">
      <alignment horizontal="left" vertical="center" textRotation="0" wrapText="true" indent="0" shrinkToFit="false"/>
      <protection locked="true" hidden="false"/>
    </xf>
    <xf numFmtId="164" fontId="17" fillId="0" borderId="1" xfId="0" applyFont="true" applyBorder="true" applyAlignment="true" applyProtection="false">
      <alignment horizontal="center" vertical="center" textRotation="0" wrapText="true" indent="0" shrinkToFit="false"/>
      <protection locked="true" hidden="false"/>
    </xf>
    <xf numFmtId="168" fontId="0" fillId="0" borderId="1" xfId="0" applyFont="false" applyBorder="true" applyAlignment="true" applyProtection="false">
      <alignment horizontal="center" vertical="center" textRotation="0" wrapText="true" indent="0" shrinkToFit="false"/>
      <protection locked="true" hidden="false"/>
    </xf>
    <xf numFmtId="166" fontId="0" fillId="0" borderId="1" xfId="0" applyFont="false" applyBorder="true" applyAlignment="true" applyProtection="false">
      <alignment horizontal="center" vertical="center" textRotation="0" wrapText="true" indent="0" shrinkToFit="false"/>
      <protection locked="true" hidden="false"/>
    </xf>
    <xf numFmtId="164" fontId="17" fillId="6" borderId="1" xfId="0" applyFont="true" applyBorder="true" applyAlignment="true" applyProtection="false">
      <alignment horizontal="center" vertical="center" textRotation="0" wrapText="true" indent="0" shrinkToFit="false"/>
      <protection locked="true" hidden="false"/>
    </xf>
    <xf numFmtId="166" fontId="0" fillId="6" borderId="1" xfId="0" applyFont="false" applyBorder="true" applyAlignment="true" applyProtection="false">
      <alignment horizontal="center" vertical="center" textRotation="0" wrapText="true" indent="0" shrinkToFit="false"/>
      <protection locked="true" hidden="false"/>
    </xf>
    <xf numFmtId="164" fontId="18" fillId="0" borderId="0" xfId="0" applyFont="true" applyBorder="true" applyAlignment="true" applyProtection="false">
      <alignment horizontal="left" vertical="center" textRotation="0" wrapText="true" indent="0" shrinkToFit="false"/>
      <protection locked="true" hidden="false"/>
    </xf>
    <xf numFmtId="164" fontId="19" fillId="0" borderId="3" xfId="0" applyFont="true" applyBorder="true" applyAlignment="true" applyProtection="false">
      <alignment horizontal="left" vertical="center" textRotation="0" wrapText="true" indent="0" shrinkToFit="false"/>
      <protection locked="true" hidden="false"/>
    </xf>
    <xf numFmtId="164" fontId="23" fillId="2" borderId="0" xfId="0" applyFont="true" applyBorder="true" applyAlignment="true" applyProtection="false">
      <alignment horizontal="center" vertical="center" textRotation="0" wrapText="true" indent="0" shrinkToFit="false"/>
      <protection locked="true" hidden="false"/>
    </xf>
    <xf numFmtId="164" fontId="17" fillId="9" borderId="1" xfId="0" applyFont="true" applyBorder="true" applyAlignment="false" applyProtection="false">
      <alignment horizontal="general" vertical="bottom" textRotation="0" wrapText="fals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4" fontId="17" fillId="0" borderId="1" xfId="0" applyFont="true" applyBorder="true" applyAlignment="false" applyProtection="false">
      <alignment horizontal="general" vertical="bottom" textRotation="0" wrapText="false" indent="0" shrinkToFit="false"/>
      <protection locked="true" hidden="false"/>
    </xf>
    <xf numFmtId="164" fontId="24" fillId="10" borderId="1" xfId="0" applyFont="true" applyBorder="true" applyAlignment="true" applyProtection="false">
      <alignment horizontal="left" vertical="center" textRotation="0" wrapText="true" indent="0" shrinkToFit="false"/>
      <protection locked="true" hidden="false"/>
    </xf>
    <xf numFmtId="170" fontId="24" fillId="10" borderId="1" xfId="0" applyFont="true" applyBorder="true" applyAlignment="true" applyProtection="false">
      <alignment horizontal="left" vertical="center" textRotation="0" wrapText="true" indent="0" shrinkToFit="false"/>
      <protection locked="true" hidden="false"/>
    </xf>
    <xf numFmtId="164" fontId="14" fillId="2" borderId="0" xfId="0" applyFont="true" applyBorder="false" applyAlignment="false" applyProtection="false">
      <alignment horizontal="general" vertical="bottom" textRotation="0" wrapText="false" indent="0" shrinkToFit="false"/>
      <protection locked="true" hidden="false"/>
    </xf>
    <xf numFmtId="164" fontId="14" fillId="2" borderId="0" xfId="0" applyFont="true" applyBorder="false" applyAlignment="true" applyProtection="false">
      <alignment horizontal="center" vertical="center" textRotation="0" wrapText="true" indent="0" shrinkToFit="false"/>
      <protection locked="true" hidden="false"/>
    </xf>
    <xf numFmtId="171" fontId="24" fillId="10" borderId="1" xfId="0" applyFont="true" applyBorder="true" applyAlignment="true" applyProtection="false">
      <alignment horizontal="center" vertical="center" textRotation="0" wrapText="true" indent="0" shrinkToFit="false"/>
      <protection locked="true" hidden="false"/>
    </xf>
    <xf numFmtId="165" fontId="24" fillId="10" borderId="1" xfId="0" applyFont="true" applyBorder="true" applyAlignment="true" applyProtection="false">
      <alignment horizontal="center" vertical="center" textRotation="0" wrapText="true" indent="0" shrinkToFit="false"/>
      <protection locked="true" hidden="false"/>
    </xf>
    <xf numFmtId="164" fontId="25" fillId="0" borderId="0" xfId="0" applyFont="true" applyBorder="true" applyAlignment="true" applyProtection="false">
      <alignment horizontal="left" vertical="center" textRotation="0" wrapText="true" indent="0" shrinkToFit="false"/>
      <protection locked="true" hidden="false"/>
    </xf>
    <xf numFmtId="164" fontId="14" fillId="2" borderId="0" xfId="0" applyFont="true" applyBorder="true" applyAlignment="true" applyProtection="false">
      <alignment horizontal="center" vertical="center" textRotation="0" wrapText="true" indent="0" shrinkToFit="false"/>
      <protection locked="true" hidden="false"/>
    </xf>
    <xf numFmtId="164" fontId="7" fillId="3" borderId="1" xfId="0" applyFont="true" applyBorder="true" applyAlignment="true" applyProtection="false">
      <alignment horizontal="center" vertical="center" textRotation="0" wrapText="true" indent="0" shrinkToFit="false"/>
      <protection locked="true" hidden="false"/>
    </xf>
    <xf numFmtId="164" fontId="26" fillId="0" borderId="1" xfId="0" applyFont="true" applyBorder="true" applyAlignment="false" applyProtection="false">
      <alignment horizontal="general" vertical="bottom" textRotation="0" wrapText="false" indent="0" shrinkToFit="false"/>
      <protection locked="true" hidden="false"/>
    </xf>
    <xf numFmtId="170" fontId="24" fillId="10" borderId="1" xfId="0" applyFont="true" applyBorder="true" applyAlignment="true" applyProtection="false">
      <alignment horizontal="center" vertical="center" textRotation="0" wrapText="true" indent="0" shrinkToFit="false"/>
      <protection locked="true" hidden="false"/>
    </xf>
    <xf numFmtId="164" fontId="27" fillId="0" borderId="1" xfId="0" applyFont="true" applyBorder="true" applyAlignment="true" applyProtection="false">
      <alignment horizontal="center" vertical="center" textRotation="0" wrapText="true" indent="0" shrinkToFit="false"/>
      <protection locked="true" hidden="false"/>
    </xf>
    <xf numFmtId="164" fontId="24" fillId="10" borderId="1" xfId="0" applyFont="true" applyBorder="true" applyAlignment="true" applyProtection="false">
      <alignment horizontal="center" vertical="center" textRotation="0" wrapText="true" indent="0" shrinkToFit="false"/>
      <protection locked="true" hidden="false"/>
    </xf>
    <xf numFmtId="164" fontId="26" fillId="0" borderId="0" xfId="0" applyFont="true" applyBorder="true" applyAlignment="true" applyProtection="false">
      <alignment horizontal="center" vertical="center" textRotation="0" wrapText="true" indent="0" shrinkToFit="false"/>
      <protection locked="true" hidden="false"/>
    </xf>
    <xf numFmtId="164" fontId="27" fillId="0" borderId="0" xfId="0" applyFont="true" applyBorder="true" applyAlignment="true" applyProtection="false">
      <alignment horizontal="center" vertical="center" textRotation="0" wrapText="true" indent="0" shrinkToFit="false"/>
      <protection locked="true" hidden="false"/>
    </xf>
    <xf numFmtId="164" fontId="27" fillId="0" borderId="0" xfId="0" applyFont="true" applyBorder="false" applyAlignment="true" applyProtection="false">
      <alignment horizontal="center" vertical="center" textRotation="0" wrapText="true" indent="0" shrinkToFit="false"/>
      <protection locked="true" hidden="false"/>
    </xf>
    <xf numFmtId="164" fontId="14" fillId="2" borderId="1" xfId="0" applyFont="true" applyBorder="true" applyAlignment="true" applyProtection="false">
      <alignment horizontal="center" vertical="center" textRotation="0" wrapText="true" indent="0" shrinkToFit="false"/>
      <protection locked="true" hidden="false"/>
    </xf>
    <xf numFmtId="164" fontId="29" fillId="0" borderId="0" xfId="0" applyFont="true" applyBorder="false" applyAlignment="false" applyProtection="false">
      <alignment horizontal="general" vertical="bottom" textRotation="0" wrapText="false" indent="0" shrinkToFit="false"/>
      <protection locked="true" hidden="false"/>
    </xf>
    <xf numFmtId="168" fontId="30" fillId="0" borderId="1" xfId="0" applyFont="true" applyBorder="true" applyAlignment="true" applyProtection="false">
      <alignment horizontal="center" vertical="center" textRotation="0" wrapText="true" indent="0" shrinkToFit="false"/>
      <protection locked="true" hidden="false"/>
    </xf>
    <xf numFmtId="164" fontId="31" fillId="0" borderId="1" xfId="0" applyFont="true" applyBorder="true" applyAlignment="true" applyProtection="false">
      <alignment horizontal="center" vertical="center" textRotation="0" wrapText="true" indent="0" shrinkToFit="false"/>
      <protection locked="true" hidden="false"/>
    </xf>
    <xf numFmtId="172" fontId="30" fillId="0" borderId="1" xfId="0" applyFont="true" applyBorder="true" applyAlignment="true" applyProtection="false">
      <alignment horizontal="center" vertical="center" textRotation="0" wrapText="true" indent="0" shrinkToFit="false"/>
      <protection locked="true" hidden="false"/>
    </xf>
    <xf numFmtId="164" fontId="30" fillId="0" borderId="1" xfId="0" applyFont="true" applyBorder="true" applyAlignment="true" applyProtection="false">
      <alignment horizontal="left" vertical="center" textRotation="0" wrapText="true" indent="0" shrinkToFit="false"/>
      <protection locked="true" hidden="false"/>
    </xf>
    <xf numFmtId="164" fontId="30" fillId="0" borderId="1" xfId="0" applyFont="true" applyBorder="true" applyAlignment="true" applyProtection="false">
      <alignment horizontal="center" vertical="center" textRotation="0" wrapText="true" indent="0" shrinkToFit="false"/>
      <protection locked="true" hidden="false"/>
    </xf>
    <xf numFmtId="170" fontId="30" fillId="0" borderId="1" xfId="0" applyFont="true" applyBorder="true" applyAlignment="true" applyProtection="false">
      <alignment horizontal="center" vertical="center" textRotation="0" wrapText="true" indent="0" shrinkToFit="false"/>
      <protection locked="true" hidden="false"/>
    </xf>
    <xf numFmtId="172" fontId="27" fillId="0" borderId="1" xfId="0" applyFont="true" applyBorder="true" applyAlignment="true" applyProtection="false">
      <alignment horizontal="center" vertical="center" textRotation="0" wrapText="true" indent="0" shrinkToFit="false"/>
      <protection locked="true" hidden="false"/>
    </xf>
    <xf numFmtId="170" fontId="27" fillId="0" borderId="1" xfId="0" applyFont="true" applyBorder="true" applyAlignment="true" applyProtection="false">
      <alignment horizontal="center" vertical="center" textRotation="0" wrapText="true" indent="0" shrinkToFit="false"/>
      <protection locked="true" hidden="false"/>
    </xf>
    <xf numFmtId="164" fontId="14" fillId="3" borderId="0" xfId="0" applyFont="true" applyBorder="true" applyAlignment="true" applyProtection="false">
      <alignment horizontal="center" vertical="center" textRotation="0" wrapText="true" indent="0" shrinkToFit="false"/>
      <protection locked="true" hidden="false"/>
    </xf>
    <xf numFmtId="164" fontId="14" fillId="4" borderId="0" xfId="0" applyFont="true" applyBorder="true" applyAlignment="true" applyProtection="false">
      <alignment horizontal="center" vertical="center" textRotation="0" wrapText="true" indent="0" shrinkToFit="false"/>
      <protection locked="true" hidden="false"/>
    </xf>
    <xf numFmtId="164" fontId="14" fillId="8" borderId="0" xfId="0" applyFont="true" applyBorder="true" applyAlignment="true" applyProtection="false">
      <alignment horizontal="center" vertical="center" textRotation="0" wrapText="true" indent="0" shrinkToFit="false"/>
      <protection locked="true" hidden="false"/>
    </xf>
    <xf numFmtId="164" fontId="26" fillId="0" borderId="0" xfId="0" applyFont="true" applyBorder="false" applyAlignment="true" applyProtection="false">
      <alignment horizontal="right" vertical="bottom" textRotation="0" wrapText="false" indent="0" shrinkToFit="false"/>
      <protection locked="true" hidden="false"/>
    </xf>
    <xf numFmtId="164" fontId="32" fillId="0" borderId="0" xfId="0" applyFont="true" applyBorder="true" applyAlignment="false" applyProtection="false">
      <alignment horizontal="general" vertical="bottom" textRotation="0" wrapText="false" indent="0" shrinkToFit="false"/>
      <protection locked="true" hidden="false"/>
    </xf>
    <xf numFmtId="164" fontId="33" fillId="0" borderId="0" xfId="0" applyFont="true" applyBorder="false" applyAlignment="true" applyProtection="false">
      <alignment horizontal="center" vertical="center" textRotation="0" wrapText="true" indent="0" shrinkToFit="false"/>
      <protection locked="true" hidden="false"/>
    </xf>
    <xf numFmtId="164" fontId="34" fillId="10" borderId="1" xfId="0" applyFont="true" applyBorder="true" applyAlignment="true" applyProtection="false">
      <alignment horizontal="center" vertical="center" textRotation="0" wrapText="true" indent="0" shrinkToFit="false"/>
      <protection locked="true" hidden="false"/>
    </xf>
    <xf numFmtId="164" fontId="35" fillId="5" borderId="1" xfId="0" applyFont="true" applyBorder="true" applyAlignment="true" applyProtection="false">
      <alignment horizontal="center" vertical="center" textRotation="0" wrapText="true" indent="0" shrinkToFit="false"/>
      <protection locked="true" hidden="false"/>
    </xf>
    <xf numFmtId="164" fontId="35" fillId="2" borderId="1" xfId="0" applyFont="true" applyBorder="true" applyAlignment="true" applyProtection="false">
      <alignment horizontal="center" vertical="center" textRotation="0" wrapText="true" indent="0" shrinkToFit="false"/>
      <protection locked="true" hidden="false"/>
    </xf>
    <xf numFmtId="164" fontId="7" fillId="11" borderId="1" xfId="0" applyFont="true" applyBorder="true" applyAlignment="true" applyProtection="false">
      <alignment horizontal="center" vertical="center" textRotation="0" wrapText="true" indent="0" shrinkToFit="false"/>
      <protection locked="true" hidden="false"/>
    </xf>
    <xf numFmtId="164" fontId="35" fillId="3" borderId="1" xfId="0" applyFont="true" applyBorder="true" applyAlignment="true" applyProtection="false">
      <alignment horizontal="center" vertical="center" textRotation="0" wrapText="true" indent="0" shrinkToFit="false"/>
      <protection locked="true" hidden="false"/>
    </xf>
    <xf numFmtId="164" fontId="35" fillId="4" borderId="1" xfId="0" applyFont="true" applyBorder="true" applyAlignment="true" applyProtection="false">
      <alignment horizontal="center" vertical="center" textRotation="0" wrapText="true" indent="0" shrinkToFit="false"/>
      <protection locked="true" hidden="false"/>
    </xf>
    <xf numFmtId="164" fontId="35" fillId="8" borderId="1" xfId="0" applyFont="true" applyBorder="true" applyAlignment="true" applyProtection="false">
      <alignment horizontal="center" vertical="center" textRotation="0" wrapText="true" indent="0" shrinkToFit="false"/>
      <protection locked="true" hidden="false"/>
    </xf>
    <xf numFmtId="168" fontId="27" fillId="0" borderId="1" xfId="0" applyFont="true" applyBorder="true" applyAlignment="true" applyProtection="false">
      <alignment horizontal="center" vertical="center" textRotation="0" wrapText="true" indent="0" shrinkToFit="false"/>
      <protection locked="true" hidden="false"/>
    </xf>
    <xf numFmtId="164" fontId="27" fillId="0" borderId="1" xfId="0" applyFont="true" applyBorder="true" applyAlignment="true" applyProtection="false">
      <alignment horizontal="left" vertical="center" textRotation="0" wrapText="true" indent="0" shrinkToFit="false"/>
      <protection locked="true" hidden="false"/>
    </xf>
    <xf numFmtId="164" fontId="34" fillId="12" borderId="1" xfId="0" applyFont="true" applyBorder="true" applyAlignment="true" applyProtection="false">
      <alignment horizontal="center" vertical="center" textRotation="0" wrapText="true" indent="0" shrinkToFit="false"/>
      <protection locked="true" hidden="false"/>
    </xf>
    <xf numFmtId="171" fontId="36" fillId="10" borderId="1" xfId="0" applyFont="true" applyBorder="true" applyAlignment="true" applyProtection="false">
      <alignment horizontal="center" vertical="center" textRotation="0" wrapText="true" indent="0" shrinkToFit="false"/>
      <protection locked="true" hidden="false"/>
    </xf>
    <xf numFmtId="171" fontId="26" fillId="6" borderId="1" xfId="0" applyFont="true" applyBorder="true" applyAlignment="true" applyProtection="false">
      <alignment horizontal="center" vertical="center" textRotation="0" wrapText="true" indent="0" shrinkToFit="false"/>
      <protection locked="true" hidden="false"/>
    </xf>
    <xf numFmtId="164" fontId="7" fillId="13" borderId="1" xfId="0" applyFont="true" applyBorder="true" applyAlignment="true" applyProtection="false">
      <alignment horizontal="center" vertical="center" textRotation="0" wrapText="true" indent="0" shrinkToFit="false"/>
      <protection locked="true" hidden="false"/>
    </xf>
    <xf numFmtId="171" fontId="27" fillId="9" borderId="1" xfId="0" applyFont="true" applyBorder="true" applyAlignment="true" applyProtection="false">
      <alignment horizontal="center" vertical="center" textRotation="0" wrapText="true" indent="0" shrinkToFit="false"/>
      <protection locked="true" hidden="false"/>
    </xf>
    <xf numFmtId="171" fontId="27" fillId="6" borderId="1" xfId="0" applyFont="true" applyBorder="true" applyAlignment="true" applyProtection="false">
      <alignment horizontal="center" vertical="center" textRotation="0" wrapText="true" indent="0" shrinkToFit="false"/>
      <protection locked="true" hidden="false"/>
    </xf>
    <xf numFmtId="171" fontId="27" fillId="0" borderId="1" xfId="0" applyFont="true" applyBorder="true" applyAlignment="true" applyProtection="false">
      <alignment horizontal="center" vertical="center" textRotation="0" wrapText="true" indent="0" shrinkToFit="false"/>
      <protection locked="true" hidden="false"/>
    </xf>
    <xf numFmtId="171" fontId="26" fillId="0" borderId="1" xfId="0" applyFont="true" applyBorder="true" applyAlignment="true" applyProtection="false">
      <alignment horizontal="center" vertical="center" textRotation="0" wrapText="true" indent="0" shrinkToFit="false"/>
      <protection locked="true" hidden="false"/>
    </xf>
    <xf numFmtId="173" fontId="27" fillId="0" borderId="1" xfId="0" applyFont="true" applyBorder="true" applyAlignment="true" applyProtection="false">
      <alignment horizontal="center" vertical="center" textRotation="0" wrapText="true" indent="0" shrinkToFit="false"/>
      <protection locked="true" hidden="false"/>
    </xf>
    <xf numFmtId="164" fontId="17" fillId="0" borderId="0" xfId="0" applyFont="true" applyBorder="false" applyAlignment="true" applyProtection="false">
      <alignment horizontal="right" vertical="bottom" textRotation="0" wrapText="false" indent="0" shrinkToFit="false"/>
      <protection locked="true" hidden="false"/>
    </xf>
    <xf numFmtId="164" fontId="37" fillId="10" borderId="1" xfId="0" applyFont="true" applyBorder="true" applyAlignment="true" applyProtection="false">
      <alignment horizontal="center" vertical="center" textRotation="0" wrapText="tru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8" fontId="0" fillId="0" borderId="0" xfId="0" applyFont="false" applyBorder="false" applyAlignment="false" applyProtection="false">
      <alignment horizontal="general" vertical="bottom" textRotation="0" wrapText="false" indent="0" shrinkToFit="false"/>
      <protection locked="true" hidden="false"/>
    </xf>
    <xf numFmtId="164" fontId="26" fillId="0" borderId="1" xfId="0" applyFont="true" applyBorder="true" applyAlignment="true" applyProtection="false">
      <alignment horizontal="left" vertical="center" textRotation="0" wrapText="true" indent="0" shrinkToFit="false"/>
      <protection locked="true" hidden="false"/>
    </xf>
    <xf numFmtId="168" fontId="26" fillId="0" borderId="1" xfId="0" applyFont="true" applyBorder="true" applyAlignment="true" applyProtection="false">
      <alignment horizontal="center" vertical="center" textRotation="0" wrapText="true" indent="0" shrinkToFit="false"/>
      <protection locked="true" hidden="false"/>
    </xf>
    <xf numFmtId="164" fontId="38" fillId="0" borderId="0" xfId="0" applyFont="true" applyBorder="true" applyAlignment="false" applyProtection="false">
      <alignment horizontal="general" vertical="bottom" textRotation="0" wrapText="false" indent="0" shrinkToFit="false"/>
      <protection locked="true" hidden="false"/>
    </xf>
    <xf numFmtId="164" fontId="17" fillId="0" borderId="0" xfId="0" applyFont="true" applyBorder="true" applyAlignment="true" applyProtection="false">
      <alignment horizontal="center" vertical="center" textRotation="0" wrapText="true" indent="0" shrinkToFit="false"/>
      <protection locked="true" hidden="false"/>
    </xf>
    <xf numFmtId="164" fontId="39" fillId="0" borderId="0" xfId="0" applyFont="true" applyBorder="true" applyAlignment="true" applyProtection="false">
      <alignment horizontal="center" vertical="center" textRotation="0" wrapText="true" indent="0" shrinkToFit="false"/>
      <protection locked="true" hidden="false"/>
    </xf>
    <xf numFmtId="164" fontId="7" fillId="2" borderId="1" xfId="0" applyFont="true" applyBorder="true" applyAlignment="true" applyProtection="false">
      <alignment horizontal="center" vertical="center" textRotation="0" wrapText="true" indent="0" shrinkToFit="false"/>
      <protection locked="true" hidden="false"/>
    </xf>
    <xf numFmtId="164" fontId="26" fillId="0" borderId="0" xfId="0" applyFont="true" applyBorder="false" applyAlignment="false" applyProtection="false">
      <alignment horizontal="general" vertical="bottom" textRotation="0" wrapText="false" indent="0" shrinkToFit="false"/>
      <protection locked="true" hidden="false"/>
    </xf>
    <xf numFmtId="164" fontId="40" fillId="0" borderId="0" xfId="0" applyFont="true" applyBorder="true" applyAlignment="false" applyProtection="false">
      <alignment horizontal="general" vertical="bottom" textRotation="0" wrapText="false" indent="0" shrinkToFit="false"/>
      <protection locked="true" hidden="false"/>
    </xf>
    <xf numFmtId="166" fontId="17" fillId="0" borderId="1" xfId="0" applyFont="true" applyBorder="true" applyAlignment="true" applyProtection="false">
      <alignment horizontal="center" vertical="center" textRotation="0" wrapText="true" indent="0" shrinkToFit="false"/>
      <protection locked="true" hidden="false"/>
    </xf>
    <xf numFmtId="164" fontId="0" fillId="6" borderId="1" xfId="0" applyFont="false" applyBorder="true" applyAlignment="true" applyProtection="false">
      <alignment horizontal="center" vertical="center" textRotation="0" wrapText="true" indent="0" shrinkToFit="false"/>
      <protection locked="true" hidden="false"/>
    </xf>
    <xf numFmtId="166" fontId="17" fillId="6" borderId="1" xfId="0" applyFont="true" applyBorder="true" applyAlignment="true" applyProtection="false">
      <alignment horizontal="center" vertical="center" textRotation="0" wrapText="true" indent="0" shrinkToFit="false"/>
      <protection locked="true" hidden="false"/>
    </xf>
    <xf numFmtId="164" fontId="25" fillId="0" borderId="0" xfId="0" applyFont="true" applyBorder="true" applyAlignment="false" applyProtection="false">
      <alignment horizontal="general" vertical="bottom" textRotation="0" wrapText="false" indent="0" shrinkToFit="false"/>
      <protection locked="true" hidden="false"/>
    </xf>
    <xf numFmtId="170" fontId="41" fillId="10" borderId="3" xfId="0" applyFont="true" applyBorder="true" applyAlignment="true" applyProtection="false">
      <alignment horizontal="center" vertical="center" textRotation="0" wrapText="true" indent="0" shrinkToFit="false"/>
      <protection locked="true" hidden="false"/>
    </xf>
    <xf numFmtId="164" fontId="42" fillId="0" borderId="0" xfId="0" applyFont="true" applyBorder="true" applyAlignment="true" applyProtection="false">
      <alignment horizontal="center" vertical="center" textRotation="0" wrapText="true" indent="0" shrinkToFit="false"/>
      <protection locked="true" hidden="false"/>
    </xf>
    <xf numFmtId="168" fontId="27" fillId="6" borderId="1" xfId="0" applyFont="true" applyBorder="true" applyAlignment="true" applyProtection="false">
      <alignment horizontal="center" vertical="center" textRotation="0" wrapText="true" indent="0" shrinkToFit="false"/>
      <protection locked="true" hidden="false"/>
    </xf>
    <xf numFmtId="168" fontId="26" fillId="6" borderId="1" xfId="0" applyFont="true" applyBorder="true" applyAlignment="true" applyProtection="false">
      <alignment horizontal="center" vertical="center" textRotation="0" wrapText="true" indent="0" shrinkToFit="false"/>
      <protection locked="true" hidden="false"/>
    </xf>
    <xf numFmtId="166" fontId="27" fillId="0" borderId="1" xfId="0" applyFont="true" applyBorder="true" applyAlignment="true" applyProtection="false">
      <alignment horizontal="left" vertical="center" textRotation="0" wrapText="true" indent="0" shrinkToFit="false"/>
      <protection locked="true" hidden="false"/>
    </xf>
    <xf numFmtId="166" fontId="27" fillId="0" borderId="1" xfId="0" applyFont="true" applyBorder="true" applyAlignment="true" applyProtection="false">
      <alignment horizontal="center" vertical="center" textRotation="0" wrapText="true" indent="0" shrinkToFit="false"/>
      <protection locked="true" hidden="false"/>
    </xf>
    <xf numFmtId="166" fontId="26" fillId="0" borderId="1" xfId="0" applyFont="true" applyBorder="true" applyAlignment="true" applyProtection="false">
      <alignment horizontal="center" vertical="center" textRotation="0" wrapText="true" indent="0" shrinkToFit="false"/>
      <protection locked="true" hidden="false"/>
    </xf>
    <xf numFmtId="166" fontId="27" fillId="6" borderId="1" xfId="0" applyFont="true" applyBorder="true" applyAlignment="true" applyProtection="false">
      <alignment horizontal="center" vertical="center" textRotation="0" wrapText="true" indent="0" shrinkToFit="false"/>
      <protection locked="true" hidden="false"/>
    </xf>
    <xf numFmtId="166" fontId="26" fillId="6" borderId="1" xfId="0" applyFont="true" applyBorder="true" applyAlignment="true" applyProtection="false">
      <alignment horizontal="center" vertical="center" textRotation="0" wrapText="true" indent="0" shrinkToFit="false"/>
      <protection locked="true" hidden="false"/>
    </xf>
    <xf numFmtId="164" fontId="24" fillId="10" borderId="4" xfId="0" applyFont="true" applyBorder="true" applyAlignment="true" applyProtection="false">
      <alignment horizontal="general" vertical="top" textRotation="0" wrapText="true" indent="0" shrinkToFit="false"/>
      <protection locked="true" hidden="false"/>
    </xf>
    <xf numFmtId="171" fontId="29" fillId="0" borderId="0" xfId="0" applyFont="true" applyBorder="false" applyAlignment="false" applyProtection="false">
      <alignment horizontal="general" vertical="bottom" textRotation="0" wrapText="false" indent="0" shrinkToFit="false"/>
      <protection locked="true" hidden="false"/>
    </xf>
    <xf numFmtId="164" fontId="14" fillId="2" borderId="0" xfId="0" applyFont="true" applyBorder="true" applyAlignment="true" applyProtection="false">
      <alignment horizontal="left" vertical="center" textRotation="0" wrapText="true" indent="0" shrinkToFit="false"/>
      <protection locked="true" hidden="false"/>
    </xf>
    <xf numFmtId="164" fontId="26" fillId="6" borderId="1" xfId="0" applyFont="true" applyBorder="true" applyAlignment="true" applyProtection="false">
      <alignment horizontal="left" vertical="center" textRotation="0" wrapText="true" indent="0" shrinkToFit="false"/>
      <protection locked="true" hidden="false"/>
    </xf>
    <xf numFmtId="164" fontId="36" fillId="10" borderId="1" xfId="0" applyFont="true" applyBorder="true" applyAlignment="true" applyProtection="false">
      <alignment horizontal="general" vertical="top" textRotation="0" wrapText="true" indent="0" shrinkToFit="false"/>
      <protection locked="true" hidden="false"/>
    </xf>
    <xf numFmtId="164" fontId="5" fillId="0" borderId="0" xfId="0" applyFont="true" applyBorder="true" applyAlignment="false" applyProtection="false">
      <alignment horizontal="general" vertical="bottom" textRotation="0" wrapText="false" indent="0" shrinkToFit="false"/>
      <protection locked="true" hidden="false"/>
    </xf>
    <xf numFmtId="170" fontId="36" fillId="10" borderId="1" xfId="0" applyFont="true" applyBorder="true" applyAlignment="true" applyProtection="false">
      <alignment horizontal="center" vertical="center" textRotation="0" wrapText="true" indent="0" shrinkToFit="false"/>
      <protection locked="true" hidden="false"/>
    </xf>
    <xf numFmtId="164" fontId="36" fillId="10" borderId="1" xfId="0" applyFont="true" applyBorder="true" applyAlignment="true" applyProtection="false">
      <alignment horizontal="center" vertical="center" textRotation="0" wrapText="true" indent="0" shrinkToFit="false"/>
      <protection locked="true" hidden="false"/>
    </xf>
    <xf numFmtId="167" fontId="36" fillId="10" borderId="1" xfId="0" applyFont="true" applyBorder="true" applyAlignment="true" applyProtection="false">
      <alignment horizontal="center" vertical="center" textRotation="0" wrapText="true" indent="0" shrinkToFit="false"/>
      <protection locked="true" hidden="false"/>
    </xf>
    <xf numFmtId="164" fontId="36" fillId="10" borderId="1" xfId="0" applyFont="true" applyBorder="true" applyAlignment="true" applyProtection="false">
      <alignment horizontal="left" vertical="center" textRotation="0" wrapText="true" indent="0" shrinkToFit="false"/>
      <protection locked="true" hidden="false"/>
    </xf>
    <xf numFmtId="164" fontId="43" fillId="10" borderId="1" xfId="0" applyFont="true" applyBorder="true" applyAlignment="true" applyProtection="false">
      <alignment horizontal="center" vertical="center" textRotation="0" wrapText="true" indent="0" shrinkToFit="false"/>
      <protection locked="true" hidden="false"/>
    </xf>
    <xf numFmtId="164" fontId="17" fillId="0" borderId="0" xfId="0" applyFont="true" applyBorder="true" applyAlignment="true" applyProtection="false">
      <alignment horizontal="left" vertical="center" textRotation="0" wrapText="true" indent="0" shrinkToFit="false"/>
      <protection locked="true" hidden="false"/>
    </xf>
    <xf numFmtId="164" fontId="32" fillId="0" borderId="0" xfId="0" applyFont="true" applyBorder="false" applyAlignment="false" applyProtection="false">
      <alignment horizontal="general" vertical="bottom" textRotation="0" wrapText="false" indent="0" shrinkToFit="false"/>
      <protection locked="true" hidden="false"/>
    </xf>
    <xf numFmtId="164" fontId="44" fillId="0" borderId="1" xfId="0" applyFont="true" applyBorder="true" applyAlignment="true" applyProtection="false">
      <alignment horizontal="left" vertical="center" textRotation="0" wrapText="true" indent="0" shrinkToFit="false"/>
      <protection locked="true" hidden="false"/>
    </xf>
    <xf numFmtId="164" fontId="27" fillId="10" borderId="1" xfId="0" applyFont="true" applyBorder="true" applyAlignment="true" applyProtection="false">
      <alignment horizontal="center" vertical="center" textRotation="0" wrapText="true" indent="0" shrinkToFit="false"/>
      <protection locked="true" hidden="false"/>
    </xf>
    <xf numFmtId="164" fontId="26" fillId="0" borderId="0" xfId="0" applyFont="true" applyBorder="true" applyAlignment="true" applyProtection="false">
      <alignment horizontal="left" vertical="center" textRotation="0" wrapText="true" indent="0" shrinkToFit="false"/>
      <protection locked="true" hidden="false"/>
    </xf>
    <xf numFmtId="164" fontId="36" fillId="6" borderId="1" xfId="0" applyFont="true" applyBorder="true" applyAlignment="true" applyProtection="false">
      <alignment horizontal="center" vertical="center" textRotation="0" wrapText="true" indent="0" shrinkToFit="false"/>
      <protection locked="true" hidden="false"/>
    </xf>
    <xf numFmtId="164" fontId="26" fillId="0" borderId="0" xfId="0" applyFont="true" applyBorder="true" applyAlignment="false" applyProtection="false">
      <alignment horizontal="general" vertical="bottom" textRotation="0" wrapText="false" indent="0" shrinkToFit="false"/>
      <protection locked="true" hidden="false"/>
    </xf>
    <xf numFmtId="164" fontId="41" fillId="10" borderId="1" xfId="0" applyFont="true" applyBorder="true" applyAlignment="true" applyProtection="false">
      <alignment horizontal="center" vertical="center" textRotation="0" wrapText="true" indent="0" shrinkToFit="false"/>
      <protection locked="true" hidden="false"/>
    </xf>
    <xf numFmtId="164" fontId="27" fillId="0" borderId="1" xfId="0" applyFont="true" applyBorder="true" applyAlignment="false" applyProtection="false">
      <alignment horizontal="general" vertical="bottom" textRotation="0" wrapText="false" indent="0" shrinkToFit="false"/>
      <protection locked="true" hidden="false"/>
    </xf>
    <xf numFmtId="164" fontId="17" fillId="6" borderId="1" xfId="0" applyFont="true" applyBorder="true" applyAlignment="false" applyProtection="false">
      <alignment horizontal="general" vertical="bottom" textRotation="0" wrapText="false" indent="0" shrinkToFit="false"/>
      <protection locked="true" hidden="false"/>
    </xf>
    <xf numFmtId="168" fontId="45" fillId="0" borderId="0" xfId="0" applyFont="true" applyBorder="false" applyAlignment="false" applyProtection="false">
      <alignment horizontal="general" vertical="bottom" textRotation="0" wrapText="false" indent="0" shrinkToFit="false"/>
      <protection locked="true" hidden="false"/>
    </xf>
    <xf numFmtId="164" fontId="44" fillId="0" borderId="0" xfId="0" applyFont="true" applyBorder="false" applyAlignment="false" applyProtection="false">
      <alignment horizontal="general" vertical="bottom" textRotation="0" wrapText="false" indent="0" shrinkToFit="false"/>
      <protection locked="true" hidden="false"/>
    </xf>
    <xf numFmtId="164" fontId="23" fillId="2" borderId="0" xfId="0" applyFont="true" applyBorder="false" applyAlignment="false" applyProtection="false">
      <alignment horizontal="general" vertical="bottom" textRotation="0" wrapText="false" indent="0" shrinkToFit="false"/>
      <protection locked="true" hidden="false"/>
    </xf>
    <xf numFmtId="164" fontId="46" fillId="0" borderId="0" xfId="0" applyFont="true" applyBorder="false" applyAlignment="false" applyProtection="false">
      <alignment horizontal="general" vertical="bottom" textRotation="0" wrapText="false" indent="0" shrinkToFit="false"/>
      <protection locked="true" hidden="false"/>
    </xf>
    <xf numFmtId="164" fontId="16" fillId="0" borderId="0" xfId="0" applyFont="true" applyBorder="false" applyAlignment="true" applyProtection="false">
      <alignment horizontal="left" vertical="center" textRotation="0" wrapText="tru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46">
    <dxf>
      <fill>
        <patternFill>
          <bgColor rgb="FFFFC7CE"/>
        </patternFill>
      </fill>
    </dxf>
    <dxf>
      <fill>
        <patternFill patternType="solid">
          <fgColor rgb="FF1F3864"/>
          <bgColor rgb="FF000000"/>
        </patternFill>
      </fill>
    </dxf>
    <dxf>
      <fill>
        <patternFill patternType="solid">
          <fgColor rgb="FFF8CBAD"/>
          <bgColor rgb="FF000000"/>
        </patternFill>
      </fill>
    </dxf>
    <dxf>
      <fill>
        <patternFill patternType="solid">
          <bgColor rgb="FF000000"/>
        </patternFill>
      </fill>
    </dxf>
    <dxf>
      <fill>
        <patternFill patternType="solid">
          <fgColor rgb="FF000000"/>
          <bgColor rgb="FF000000"/>
        </patternFill>
      </fill>
    </dxf>
    <dxf>
      <fill>
        <patternFill patternType="solid">
          <fgColor rgb="FF7B241C"/>
          <bgColor rgb="FF000000"/>
        </patternFill>
      </fill>
    </dxf>
    <dxf>
      <fill>
        <patternFill patternType="solid">
          <fgColor rgb="FFFFFFFF"/>
          <bgColor rgb="FF000000"/>
        </patternFill>
      </fill>
    </dxf>
    <dxf>
      <fill>
        <patternFill patternType="solid">
          <fgColor rgb="FF595959"/>
          <bgColor rgb="FF000000"/>
        </patternFill>
      </fill>
    </dxf>
    <dxf>
      <fill>
        <patternFill patternType="solid">
          <fgColor rgb="FFFFE699"/>
          <bgColor rgb="FF000000"/>
        </patternFill>
      </fill>
    </dxf>
    <dxf>
      <fill>
        <patternFill patternType="solid">
          <fgColor rgb="FF7F6000"/>
          <bgColor rgb="FF000000"/>
        </patternFill>
      </fill>
    </dxf>
    <dxf>
      <font>
        <name val="Arial"/>
        <charset val="1"/>
        <family val="0"/>
        <color rgb="FF7B241C"/>
        <sz val="9"/>
      </font>
      <fill>
        <patternFill>
          <bgColor rgb="FFF8CBAD"/>
        </patternFill>
      </fill>
    </dxf>
    <dxf>
      <font>
        <name val="Arial"/>
        <charset val="1"/>
        <family val="0"/>
        <color rgb="FF595959"/>
        <sz val="9"/>
      </font>
      <fill>
        <patternFill>
          <bgColor rgb="FFD6DCE4"/>
        </patternFill>
      </fill>
    </dxf>
    <dxf>
      <font>
        <name val="Arial"/>
        <charset val="1"/>
        <family val="0"/>
        <b val="1"/>
        <color rgb="FF7F6000"/>
        <sz val="9"/>
      </font>
      <fill>
        <patternFill>
          <bgColor rgb="FFFFE699"/>
        </patternFill>
      </fill>
    </dxf>
    <dxf>
      <font>
        <name val="Arial"/>
        <charset val="1"/>
        <family val="0"/>
        <b val="1"/>
        <color rgb="FF1F3864"/>
        <sz val="9"/>
      </font>
    </dxf>
    <dxf>
      <font>
        <name val="Arial"/>
        <charset val="1"/>
        <family val="0"/>
        <b val="1"/>
        <color rgb="FF7B241C"/>
        <sz val="9"/>
      </font>
      <fill>
        <patternFill>
          <bgColor rgb="FFFF7C80"/>
        </patternFill>
      </fill>
    </dxf>
    <dxf>
      <fill>
        <patternFill patternType="solid">
          <fgColor rgb="FFC00000"/>
          <bgColor rgb="FF000000"/>
        </patternFill>
      </fill>
    </dxf>
    <dxf>
      <fill>
        <patternFill patternType="solid">
          <fgColor rgb="FFFCE4D6"/>
          <bgColor rgb="FF000000"/>
        </patternFill>
      </fill>
    </dxf>
    <dxf>
      <fill>
        <patternFill patternType="solid">
          <fgColor rgb="FF0000FF"/>
          <bgColor rgb="FF000000"/>
        </patternFill>
      </fill>
    </dxf>
    <dxf>
      <fill>
        <patternFill patternType="solid">
          <fgColor rgb="FFBFBFBF"/>
          <bgColor rgb="FF000000"/>
        </patternFill>
      </fill>
    </dxf>
    <dxf>
      <fill>
        <patternFill patternType="solid">
          <fgColor rgb="FFFFF2CC"/>
          <bgColor rgb="FF000000"/>
        </patternFill>
      </fill>
    </dxf>
    <dxf>
      <fill>
        <patternFill patternType="solid">
          <fgColor rgb="FF808080"/>
          <bgColor rgb="FF000000"/>
        </patternFill>
      </fill>
    </dxf>
    <dxf>
      <fill>
        <patternFill patternType="solid">
          <fgColor rgb="FFEAF0F8"/>
          <bgColor rgb="FF000000"/>
        </patternFill>
      </fill>
    </dxf>
    <dxf>
      <fill>
        <patternFill patternType="solid">
          <fgColor rgb="FF2E5597"/>
          <bgColor rgb="FF000000"/>
        </patternFill>
      </fill>
    </dxf>
    <dxf>
      <fill>
        <patternFill patternType="solid">
          <fgColor rgb="FF1E8449"/>
          <bgColor rgb="FF000000"/>
        </patternFill>
      </fill>
    </dxf>
    <dxf>
      <fill>
        <patternFill patternType="solid">
          <fgColor rgb="FF7030A0"/>
          <bgColor rgb="FF000000"/>
        </patternFill>
      </fill>
    </dxf>
    <dxf>
      <font>
        <name val="Arial"/>
        <charset val="1"/>
        <family val="0"/>
        <color rgb="FF808080"/>
        <sz val="9"/>
      </font>
      <fill>
        <patternFill>
          <bgColor rgb="FFBFBFBF"/>
        </patternFill>
      </fill>
    </dxf>
    <dxf>
      <font>
        <name val="Arial"/>
        <charset val="1"/>
        <family val="0"/>
        <b val="1"/>
        <color rgb="FFFFFFFF"/>
        <sz val="9"/>
      </font>
      <fill>
        <patternFill>
          <bgColor rgb="FFC00000"/>
        </patternFill>
      </fill>
    </dxf>
    <dxf>
      <font>
        <name val="Arial"/>
        <charset val="1"/>
        <family val="0"/>
        <b val="1"/>
        <color rgb="FFC00000"/>
        <sz val="9"/>
      </font>
    </dxf>
    <dxf>
      <fill>
        <patternFill>
          <bgColor rgb="FFF8CBAD"/>
        </patternFill>
      </fill>
    </dxf>
    <dxf>
      <fill>
        <patternFill>
          <bgColor rgb="FFFF7C80"/>
        </patternFill>
      </fill>
    </dxf>
    <dxf>
      <font>
        <name val="Arial"/>
        <charset val="1"/>
        <family val="0"/>
        <color rgb="FFC00000"/>
        <sz val="9"/>
      </font>
    </dxf>
    <dxf>
      <fill>
        <patternFill patternType="solid">
          <fgColor rgb="FF7F7F7F"/>
          <bgColor rgb="FF000000"/>
        </patternFill>
      </fill>
    </dxf>
    <dxf>
      <fill>
        <patternFill patternType="solid">
          <fgColor rgb="FFD9D9D9"/>
          <bgColor rgb="FF000000"/>
        </patternFill>
      </fill>
    </dxf>
    <dxf>
      <fill>
        <patternFill patternType="solid">
          <fgColor rgb="FFC6EFCE"/>
          <bgColor rgb="FF000000"/>
        </patternFill>
      </fill>
    </dxf>
    <dxf>
      <fill>
        <patternFill patternType="solid">
          <fgColor rgb="FFFFC7CE"/>
          <bgColor rgb="FF000000"/>
        </patternFill>
      </fill>
    </dxf>
    <dxf>
      <fill>
        <patternFill patternType="solid">
          <fgColor rgb="FF006100"/>
          <bgColor rgb="FF000000"/>
        </patternFill>
      </fill>
    </dxf>
    <dxf>
      <fill>
        <patternFill patternType="solid">
          <fgColor rgb="FF9C0006"/>
          <bgColor rgb="FF000000"/>
        </patternFill>
      </fill>
    </dxf>
    <dxf>
      <font>
        <name val="Arial"/>
        <charset val="1"/>
        <family val="0"/>
        <b val="1"/>
        <color rgb="FF006100"/>
        <sz val="9"/>
      </font>
      <fill>
        <patternFill>
          <bgColor rgb="FFC6EFCE"/>
        </patternFill>
      </fill>
    </dxf>
    <dxf>
      <font>
        <name val="Arial"/>
        <charset val="1"/>
        <family val="0"/>
        <b val="1"/>
        <color rgb="FF9C0006"/>
        <sz val="9"/>
      </font>
      <fill>
        <patternFill>
          <bgColor rgb="FFFFC7CE"/>
        </patternFill>
      </fill>
    </dxf>
    <dxf>
      <font>
        <name val="Arial"/>
        <charset val="1"/>
        <family val="0"/>
        <color rgb="FF595959"/>
        <sz val="9"/>
      </font>
      <fill>
        <patternFill>
          <bgColor rgb="FFD9D9D9"/>
        </patternFill>
      </fill>
    </dxf>
    <dxf>
      <font>
        <name val="Arial"/>
        <charset val="1"/>
        <family val="0"/>
        <b val="1"/>
        <sz val="9"/>
      </font>
      <fill>
        <patternFill>
          <bgColor rgb="FFFFF2CC"/>
        </patternFill>
      </fill>
    </dxf>
    <dxf>
      <fill>
        <patternFill>
          <bgColor rgb="FFFFE699"/>
        </patternFill>
      </fill>
    </dxf>
    <dxf>
      <font>
        <name val="Arial"/>
        <charset val="1"/>
        <family val="0"/>
        <b val="1"/>
        <color rgb="FF9C0006"/>
        <sz val="10"/>
      </font>
      <fill>
        <patternFill>
          <bgColor rgb="FFFFC7CE"/>
        </patternFill>
      </fill>
    </dxf>
    <dxf>
      <font>
        <name val="Arial"/>
        <charset val="1"/>
        <family val="0"/>
        <b val="1"/>
        <color rgb="FF006100"/>
        <sz val="10"/>
      </font>
      <fill>
        <patternFill>
          <bgColor rgb="FFC6EFCE"/>
        </patternFill>
      </fill>
    </dxf>
    <dxf>
      <font>
        <name val="Arial"/>
        <charset val="1"/>
        <family val="0"/>
        <b val="1"/>
        <color rgb="FF006100"/>
        <sz val="9"/>
      </font>
    </dxf>
    <dxf>
      <fill>
        <patternFill>
          <bgColor rgb="FFFFF2CC"/>
        </patternFill>
      </fill>
    </dxf>
  </dxfs>
  <colors>
    <indexedColors>
      <rgbColor rgb="FF000000"/>
      <rgbColor rgb="FFFFFFFF"/>
      <rgbColor rgb="FFC00000"/>
      <rgbColor rgb="FF00FF00"/>
      <rgbColor rgb="FF0000FF"/>
      <rgbColor rgb="FFFFFF00"/>
      <rgbColor rgb="FFFF00FF"/>
      <rgbColor rgb="FF00FFFF"/>
      <rgbColor rgb="FF9C0006"/>
      <rgbColor rgb="FF006100"/>
      <rgbColor rgb="FF000080"/>
      <rgbColor rgb="FF7F6000"/>
      <rgbColor rgb="FF800080"/>
      <rgbColor rgb="FF008080"/>
      <rgbColor rgb="FFBFBFBF"/>
      <rgbColor rgb="FF808080"/>
      <rgbColor rgb="FFA6A6A6"/>
      <rgbColor rgb="FF7030A0"/>
      <rgbColor rgb="FFFFF2CC"/>
      <rgbColor rgb="FFEAF0F8"/>
      <rgbColor rgb="FF660066"/>
      <rgbColor rgb="FFFF7C80"/>
      <rgbColor rgb="FF0066CC"/>
      <rgbColor rgb="FFD6DCE4"/>
      <rgbColor rgb="FF000080"/>
      <rgbColor rgb="FFFF00FF"/>
      <rgbColor rgb="FFFFFF00"/>
      <rgbColor rgb="FF00FFFF"/>
      <rgbColor rgb="FF800080"/>
      <rgbColor rgb="FF800000"/>
      <rgbColor rgb="FF008080"/>
      <rgbColor rgb="FF0000FF"/>
      <rgbColor rgb="FF00CCFF"/>
      <rgbColor rgb="FFF9F9F9"/>
      <rgbColor rgb="FFC6EFCE"/>
      <rgbColor rgb="FFFFE699"/>
      <rgbColor rgb="FFD9D9D9"/>
      <rgbColor rgb="FFFFC7CE"/>
      <rgbColor rgb="FFFCE4D6"/>
      <rgbColor rgb="FFF8CBAD"/>
      <rgbColor rgb="FF3366FF"/>
      <rgbColor rgb="FF33CCCC"/>
      <rgbColor rgb="FF99CC00"/>
      <rgbColor rgb="FFFFCC00"/>
      <rgbColor rgb="FFF2A900"/>
      <rgbColor rgb="FFFF6600"/>
      <rgbColor rgb="FF595959"/>
      <rgbColor rgb="FF878787"/>
      <rgbColor rgb="FF1F3864"/>
      <rgbColor rgb="FF1E8449"/>
      <rgbColor rgb="FF003300"/>
      <rgbColor rgb="FF333300"/>
      <rgbColor rgb="FF7B241C"/>
      <rgbColor rgb="FF7F7F7F"/>
      <rgbColor rgb="FF2E5597"/>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worksheet" Target="worksheets/sheet16.xml"/><Relationship Id="rId19" Type="http://schemas.openxmlformats.org/officeDocument/2006/relationships/worksheet" Target="worksheets/sheet17.xml"/><Relationship Id="rId20" Type="http://schemas.openxmlformats.org/officeDocument/2006/relationships/worksheet" Target="worksheets/sheet18.xml"/><Relationship Id="rId21" Type="http://schemas.openxmlformats.org/officeDocument/2006/relationships/worksheet" Target="worksheets/sheet19.xml"/><Relationship Id="rId22" Type="http://schemas.openxmlformats.org/officeDocument/2006/relationships/sharedStrings" Target="sharedStrings.xml"/>
<Relationship Id="rIdVBA"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latin typeface="Calibri"/>
              </a:defRPr>
            </a:pPr>
            <a:r>
              <a:rPr b="1" sz="1800" spc="-1" strike="noStrike">
                <a:solidFill>
                  <a:srgbClr val="000000"/>
                </a:solidFill>
                <a:latin typeface="Calibri"/>
              </a:rPr>
              <a:t>Effectifs par classe (garçons / filles)</a:t>
            </a:r>
          </a:p>
        </c:rich>
      </c:tx>
      <c:overlay val="0"/>
      <c:spPr>
        <a:noFill/>
        <a:ln w="0">
          <a:noFill/>
        </a:ln>
      </c:spPr>
    </c:title>
    <c:autoTitleDeleted val="0"/>
    <c:plotArea>
      <c:barChart>
        <c:barDir val="col"/>
        <c:grouping val="stacked"/>
        <c:varyColors val="0"/>
        <c:ser>
          <c:idx val="0"/>
          <c:order val="0"/>
          <c:tx>
            <c:strRef>
              <c:f>'TABLEAU DE BORD'!C12</c:f>
              <c:strCache>
                <c:ptCount val="1"/>
                <c:pt idx="0">
                  <c:v>Garçons</c:v>
                </c:pt>
              </c:strCache>
            </c:strRef>
          </c:tx>
          <c:spPr>
            <a:solidFill>
              <a:srgbClr val="1f3864"/>
            </a:solidFill>
            <a:ln w="9360">
              <a:solidFill>
                <a:srgbClr val="f9f9f9"/>
              </a:solidFill>
              <a:round/>
            </a:ln>
          </c:spPr>
          <c:invertIfNegative val="0"/>
          <c:dLbls>
            <c:txPr>
              <a:bodyPr wrap="none"/>
              <a:lstStyle/>
              <a:p>
                <a:pPr>
                  <a:defRPr b="0" sz="1000" spc="-1" strike="noStrike">
                    <a:latin typeface="Arial"/>
                  </a:defRPr>
                </a:pPr>
              </a:p>
            </c:txP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'TABLEAU DE BORD'!$B$13:$B$18</c:f>
              <c:strCache>
                <c:ptCount val="6"/>
                <c:pt idx="0">
                  <c:v>CP1</c:v>
                </c:pt>
                <c:pt idx="1">
                  <c:v>CP2</c:v>
                </c:pt>
                <c:pt idx="2">
                  <c:v>CE1</c:v>
                </c:pt>
                <c:pt idx="3">
                  <c:v>CE2</c:v>
                </c:pt>
                <c:pt idx="4">
                  <c:v>CM1</c:v>
                </c:pt>
                <c:pt idx="5">
                  <c:v>CM2</c:v>
                </c:pt>
              </c:strCache>
            </c:strRef>
          </c:cat>
          <c:val>
            <c:numRef>
              <c:f>'TABLEAU DE BORD'!$C$13:$C$18</c:f>
              <c:numCache>
                <c:formatCode>General</c:formatCode>
                <c:ptCount val="6"/>
                <c:pt idx="0">
                  <c:v>5</c:v>
                </c:pt>
                <c:pt idx="1">
                  <c:v>7</c:v>
                </c:pt>
                <c:pt idx="2">
                  <c:v>6</c:v>
                </c:pt>
                <c:pt idx="3">
                  <c:v>6</c:v>
                </c:pt>
                <c:pt idx="4">
                  <c:v>8</c:v>
                </c:pt>
                <c:pt idx="5">
                  <c:v>3</c:v>
                </c:pt>
              </c:numCache>
            </c:numRef>
          </c:val>
        </c:ser>
        <c:ser>
          <c:idx val="1"/>
          <c:order val="1"/>
          <c:tx>
            <c:strRef>
              <c:f>'TABLEAU DE BORD'!D12</c:f>
              <c:strCache>
                <c:ptCount val="1"/>
                <c:pt idx="0">
                  <c:v>Filles</c:v>
                </c:pt>
              </c:strCache>
            </c:strRef>
          </c:tx>
          <c:spPr>
            <a:solidFill>
              <a:srgbClr val="f2a900"/>
            </a:solidFill>
            <a:ln w="9360">
              <a:solidFill>
                <a:srgbClr val="f9f9f9"/>
              </a:solidFill>
              <a:round/>
            </a:ln>
          </c:spPr>
          <c:invertIfNegative val="0"/>
          <c:dLbls>
            <c:txPr>
              <a:bodyPr wrap="none"/>
              <a:lstStyle/>
              <a:p>
                <a:pPr>
                  <a:defRPr b="0" sz="1000" spc="-1" strike="noStrike">
                    <a:latin typeface="Arial"/>
                  </a:defRPr>
                </a:pPr>
              </a:p>
            </c:txP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'TABLEAU DE BORD'!$B$13:$B$18</c:f>
              <c:strCache>
                <c:ptCount val="6"/>
                <c:pt idx="0">
                  <c:v>CP1</c:v>
                </c:pt>
                <c:pt idx="1">
                  <c:v>CP2</c:v>
                </c:pt>
                <c:pt idx="2">
                  <c:v>CE1</c:v>
                </c:pt>
                <c:pt idx="3">
                  <c:v>CE2</c:v>
                </c:pt>
                <c:pt idx="4">
                  <c:v>CM1</c:v>
                </c:pt>
                <c:pt idx="5">
                  <c:v>CM2</c:v>
                </c:pt>
              </c:strCache>
            </c:strRef>
          </c:cat>
          <c:val>
            <c:numRef>
              <c:f>'TABLEAU DE BORD'!$D$13:$D$18</c:f>
              <c:numCache>
                <c:formatCode>General</c:formatCode>
                <c:ptCount val="6"/>
                <c:pt idx="0">
                  <c:v>6</c:v>
                </c:pt>
                <c:pt idx="1">
                  <c:v>5</c:v>
                </c:pt>
                <c:pt idx="2">
                  <c:v>3</c:v>
                </c:pt>
                <c:pt idx="3">
                  <c:v>6</c:v>
                </c:pt>
                <c:pt idx="4">
                  <c:v>3</c:v>
                </c:pt>
                <c:pt idx="5">
                  <c:v>6</c:v>
                </c:pt>
              </c:numCache>
            </c:numRef>
          </c:val>
        </c:ser>
        <c:gapWidth val="150"/>
        <c:overlap val="100"/>
        <c:axId val="56009087"/>
        <c:axId val="11676867"/>
      </c:barChart>
      <c:catAx>
        <c:axId val="56009087"/>
        <c:scaling>
          <c:orientation val="minMax"/>
        </c:scaling>
        <c:delete val="0"/>
        <c:axPos val="b"/>
        <c:numFmt formatCode="General" sourceLinked="1"/>
        <c:majorTickMark val="none"/>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11676867"/>
        <c:crosses val="autoZero"/>
        <c:auto val="1"/>
        <c:lblAlgn val="ctr"/>
        <c:lblOffset val="100"/>
        <c:noMultiLvlLbl val="0"/>
      </c:catAx>
      <c:valAx>
        <c:axId val="11676867"/>
        <c:scaling>
          <c:orientation val="minMax"/>
        </c:scaling>
        <c:delete val="0"/>
        <c:axPos val="l"/>
        <c:majorGridlines>
          <c:spPr>
            <a:ln w="9360">
              <a:solidFill>
                <a:srgbClr val="878787"/>
              </a:solidFill>
              <a:round/>
            </a:ln>
          </c:spPr>
        </c:majorGridlines>
        <c:title>
          <c:tx>
            <c:rich>
              <a:bodyPr rot="-5400000"/>
              <a:lstStyle/>
              <a:p>
                <a:pPr>
                  <a:defRPr b="1" sz="1000" spc="-1" strike="noStrike">
                    <a:solidFill>
                      <a:srgbClr val="000000"/>
                    </a:solidFill>
                    <a:latin typeface="Calibri"/>
                  </a:defRPr>
                </a:pPr>
                <a:r>
                  <a:rPr b="1" sz="1000" spc="-1" strike="noStrike">
                    <a:solidFill>
                      <a:srgbClr val="000000"/>
                    </a:solidFill>
                    <a:latin typeface="Calibri"/>
                  </a:rPr>
                  <a:t>Elèves</a:t>
                </a:r>
              </a:p>
            </c:rich>
          </c:tx>
          <c:overlay val="0"/>
          <c:spPr>
            <a:noFill/>
            <a:ln w="0">
              <a:noFill/>
            </a:ln>
          </c:spPr>
        </c:title>
        <c:numFmt formatCode="General" sourceLinked="1"/>
        <c:majorTickMark val="none"/>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56009087"/>
        <c:crosses val="autoZero"/>
        <c:crossBetween val="between"/>
      </c:valAx>
      <c:spPr>
        <a:noFill/>
        <a:ln w="0">
          <a:noFill/>
        </a:ln>
      </c:spPr>
    </c:plotArea>
    <c:legend>
      <c:legendPos val="r"/>
      <c:overlay val="0"/>
      <c:spPr>
        <a:noFill/>
        <a:ln w="0">
          <a:noFill/>
        </a:ln>
      </c:spPr>
      <c:txPr>
        <a:bodyPr/>
        <a:lstStyle/>
        <a:p>
          <a:pPr>
            <a:defRPr b="0" sz="1000" spc="-1" strike="noStrike">
              <a:solidFill>
                <a:srgbClr val="000000"/>
              </a:solidFill>
              <a:latin typeface="Calibri"/>
            </a:defRPr>
          </a:pPr>
        </a:p>
      </c:txPr>
    </c:legend>
    <c:plotVisOnly val="1"/>
    <c:dispBlanksAs val="gap"/>
  </c:chart>
  <c:spPr>
    <a:solidFill>
      <a:srgbClr val="ffffff"/>
    </a:solidFill>
    <a:ln w="9360">
      <a:solidFill>
        <a:srgbClr val="d9d9d9"/>
      </a:solidFill>
      <a:round/>
    </a:ln>
  </c:spPr>
</c:chartSpace>
</file>

<file path=xl/charts/chart2.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latin typeface="Calibri"/>
              </a:defRPr>
            </a:pPr>
            <a:r>
              <a:rPr b="1" sz="1800" spc="-1" strike="noStrike">
                <a:solidFill>
                  <a:srgbClr val="000000"/>
                </a:solidFill>
                <a:latin typeface="Calibri"/>
              </a:rPr>
              <a:t>Taux d'admission par classe</a:t>
            </a:r>
          </a:p>
        </c:rich>
      </c:tx>
      <c:overlay val="0"/>
      <c:spPr>
        <a:noFill/>
        <a:ln w="0">
          <a:noFill/>
        </a:ln>
      </c:spPr>
    </c:title>
    <c:autoTitleDeleted val="0"/>
    <c:plotArea>
      <c:barChart>
        <c:barDir val="col"/>
        <c:grouping val="clustered"/>
        <c:varyColors val="0"/>
        <c:ser>
          <c:idx val="0"/>
          <c:order val="0"/>
          <c:tx>
            <c:strRef>
              <c:f>'TABLEAU DE BORD'!G12</c:f>
              <c:strCache>
                <c:ptCount val="1"/>
                <c:pt idx="0">
                  <c:v>Taux d'admission</c:v>
                </c:pt>
              </c:strCache>
            </c:strRef>
          </c:tx>
          <c:spPr>
            <a:solidFill>
              <a:srgbClr val="1e8449"/>
            </a:solidFill>
            <a:ln w="9360">
              <a:solidFill>
                <a:srgbClr val="f9f9f9"/>
              </a:solidFill>
              <a:round/>
            </a:ln>
          </c:spPr>
          <c:invertIfNegative val="0"/>
          <c:dLbls>
            <c:txPr>
              <a:bodyPr wrap="none"/>
              <a:lstStyle/>
              <a:p>
                <a:pPr>
                  <a:defRPr b="0" sz="1000" spc="-1" strike="noStrike">
                    <a:latin typeface="Arial"/>
                  </a:defRPr>
                </a:pPr>
              </a:p>
            </c:txP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cat>
            <c:strRef>
              <c:f>'TABLEAU DE BORD'!$B$13:$B$18</c:f>
              <c:strCache>
                <c:ptCount val="6"/>
                <c:pt idx="0">
                  <c:v>CP1</c:v>
                </c:pt>
                <c:pt idx="1">
                  <c:v>CP2</c:v>
                </c:pt>
                <c:pt idx="2">
                  <c:v>CE1</c:v>
                </c:pt>
                <c:pt idx="3">
                  <c:v>CE2</c:v>
                </c:pt>
                <c:pt idx="4">
                  <c:v>CM1</c:v>
                </c:pt>
                <c:pt idx="5">
                  <c:v>CM2</c:v>
                </c:pt>
              </c:strCache>
            </c:strRef>
          </c:cat>
          <c:val>
            <c:numRef>
              <c:f>'TABLEAU DE BORD'!$G$13:$G$18</c:f>
              <c:numCache>
                <c:formatCode>0.0%</c:formatCode>
                <c:ptCount val="6"/>
                <c:pt idx="0">
                  <c:v>0.545454545454545</c:v>
                </c:pt>
                <c:pt idx="1">
                  <c:v>0.636363636363636</c:v>
                </c:pt>
                <c:pt idx="2">
                  <c:v>0.75</c:v>
                </c:pt>
                <c:pt idx="3">
                  <c:v>0.363636363636364</c:v>
                </c:pt>
                <c:pt idx="4">
                  <c:v>0.454545454545455</c:v>
                </c:pt>
                <c:pt idx="5">
                  <c:v>0.571428571428571</c:v>
                </c:pt>
              </c:numCache>
            </c:numRef>
          </c:val>
        </c:ser>
        <c:gapWidth val="150"/>
        <c:overlap val="0"/>
        <c:axId val="93351927"/>
        <c:axId val="88137798"/>
      </c:barChart>
      <c:catAx>
        <c:axId val="93351927"/>
        <c:scaling>
          <c:orientation val="minMax"/>
        </c:scaling>
        <c:delete val="0"/>
        <c:axPos val="b"/>
        <c:numFmt formatCode="General" sourceLinked="1"/>
        <c:majorTickMark val="none"/>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88137798"/>
        <c:crosses val="autoZero"/>
        <c:auto val="1"/>
        <c:lblAlgn val="ctr"/>
        <c:lblOffset val="100"/>
        <c:noMultiLvlLbl val="0"/>
      </c:catAx>
      <c:valAx>
        <c:axId val="88137798"/>
        <c:scaling>
          <c:orientation val="minMax"/>
          <c:max val="1"/>
          <c:min val="0"/>
        </c:scaling>
        <c:delete val="0"/>
        <c:axPos val="l"/>
        <c:majorGridlines>
          <c:spPr>
            <a:ln w="9360">
              <a:solidFill>
                <a:srgbClr val="878787"/>
              </a:solidFill>
              <a:round/>
            </a:ln>
          </c:spPr>
        </c:majorGridlines>
        <c:numFmt formatCode="0%" sourceLinked="0"/>
        <c:majorTickMark val="none"/>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93351927"/>
        <c:crosses val="autoZero"/>
        <c:crossBetween val="between"/>
      </c:valAx>
      <c:spPr>
        <a:noFill/>
        <a:ln w="0">
          <a:noFill/>
        </a:ln>
      </c:spPr>
    </c:plotArea>
    <c:plotVisOnly val="1"/>
    <c:dispBlanksAs val="gap"/>
  </c:chart>
  <c:spPr>
    <a:solidFill>
      <a:srgbClr val="ffffff"/>
    </a:solidFill>
    <a:ln w="9360">
      <a:solidFill>
        <a:srgbClr val="d9d9d9"/>
      </a:solidFill>
      <a:round/>
    </a:ln>
  </c:spPr>
</c:chartSpace>
</file>

<file path=xl/drawings/_rels/drawing1.xml.rels><?xml version="1.0" encoding="UTF-8"?>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0</xdr:colOff>
      <xdr:row>22</xdr:row>
      <xdr:rowOff>0</xdr:rowOff>
    </xdr:from>
    <xdr:to>
      <xdr:col>6</xdr:col>
      <xdr:colOff>465840</xdr:colOff>
      <xdr:row>37</xdr:row>
      <xdr:rowOff>22320</xdr:rowOff>
    </xdr:to>
    <xdr:graphicFrame>
      <xdr:nvGraphicFramePr>
        <xdr:cNvPr id="0" name="Chart 1"/>
        <xdr:cNvGraphicFramePr/>
      </xdr:nvGraphicFramePr>
      <xdr:xfrm>
        <a:off x="141120" y="5019840"/>
        <a:ext cx="5399640" cy="287964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0</xdr:colOff>
      <xdr:row>22</xdr:row>
      <xdr:rowOff>0</xdr:rowOff>
    </xdr:from>
    <xdr:to>
      <xdr:col>14</xdr:col>
      <xdr:colOff>309600</xdr:colOff>
      <xdr:row>37</xdr:row>
      <xdr:rowOff>22320</xdr:rowOff>
    </xdr:to>
    <xdr:graphicFrame>
      <xdr:nvGraphicFramePr>
        <xdr:cNvPr id="1" name="Chart 2"/>
        <xdr:cNvGraphicFramePr/>
      </xdr:nvGraphicFramePr>
      <xdr:xfrm>
        <a:off x="6907680" y="5019840"/>
        <a:ext cx="4679640" cy="287964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10</xdr:col>
      <xdr:colOff>38000</xdr:colOff>
      <xdr:row>3</xdr:row>
      <xdr:rowOff>28000</xdr:rowOff>
    </xdr:from>
    <xdr:to>
      <xdr:col>14</xdr:col>
      <xdr:colOff>0</xdr:colOff>
      <xdr:row>5</xdr:row>
      <xdr:rowOff>0</xdr:rowOff>
    </xdr:to>
    <xdr:sp macro="[0]!ImprimerDossierFinAnnee" textlink="">
      <xdr:nvSpPr>
        <xdr:cNvPr id="101" name="btnDossier"/>
        <xdr:cNvSpPr/>
      </xdr:nvSpPr>
      <xdr:spPr>
        <a:xfrm>
          <a:off x="0" y="0"/>
          <a:ext cx="0" cy="0"/>
        </a:xfrm>
        <a:prstGeom prst="roundRect">
          <a:avLst/>
        </a:prstGeom>
        <a:solidFill>
          <a:srgbClr val="C00000"/>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Imprimer le dossier de fin d'année</a:t>
          </a:r>
        </a:p>
      </xdr:txBody>
    </xdr:sp>
    <xdr:clientData fPrintsWithSheet="0"/>
  </xdr:twoCellAnchor>
  <xdr:twoCellAnchor editAs="oneCell">
    <xdr:from>
      <xdr:col>10</xdr:col>
      <xdr:colOff>38000</xdr:colOff>
      <xdr:row>6</xdr:row>
      <xdr:rowOff>28000</xdr:rowOff>
    </xdr:from>
    <xdr:to>
      <xdr:col>14</xdr:col>
      <xdr:colOff>0</xdr:colOff>
      <xdr:row>8</xdr:row>
      <xdr:rowOff>0</xdr:rowOff>
    </xdr:to>
    <xdr:sp macro="[0]!ExporterToutesLesClassesPDF" textlink="">
      <xdr:nvSpPr>
        <xdr:cNvPr id="102" name="btnPDFTous"/>
        <xdr:cNvSpPr/>
      </xdr:nvSpPr>
      <xdr:spPr>
        <a:xfrm>
          <a:off x="0" y="0"/>
          <a:ext cx="0" cy="0"/>
        </a:xfrm>
        <a:prstGeom prst="roundRect">
          <a:avLst/>
        </a:prstGeom>
        <a:solidFill>
          <a:srgbClr val="1E8449"/>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Un PDF par classe (états d'élèves)</a:t>
          </a:r>
        </a:p>
      </xdr:txBody>
    </xdr:sp>
    <xdr:clientData fPrintsWithSheet="0"/>
  </xdr:twoCellAnchor>
  <xdr:twoCellAnchor editAs="oneCell">
    <xdr:from>
      <xdr:col>15</xdr:col>
      <xdr:colOff>38000</xdr:colOff>
      <xdr:row>4</xdr:row>
      <xdr:rowOff>28000</xdr:rowOff>
    </xdr:from>
    <xdr:to>
      <xdr:col>20</xdr:col>
      <xdr:colOff>0</xdr:colOff>
      <xdr:row>6</xdr:row>
      <xdr:rowOff>0</xdr:rowOff>
    </xdr:to>
    <xdr:sp macro="[0]!AfficherMasquerFeuillesCalculees" textlink="">
      <xdr:nvSpPr>
        <xdr:cNvPr id="103" name="btnAfficher"/>
        <xdr:cNvSpPr/>
      </xdr:nvSpPr>
      <xdr:spPr>
        <a:xfrm>
          <a:off x="0" y="0"/>
          <a:ext cx="0" cy="0"/>
        </a:xfrm>
        <a:prstGeom prst="roundRect">
          <a:avLst/>
        </a:prstGeom>
        <a:solidFill>
          <a:srgbClr val="7030A0"/>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Afficher / masquer les feuilles calculées</a:t>
          </a:r>
        </a:p>
      </xdr:txBody>
    </xdr:sp>
    <xdr:clientData fPrintsWithSheet="0"/>
  </xdr:twoCellAnchor>
  <xdr:twoCellAnchor editAs="oneCell">
    <xdr:from>
      <xdr:col>15</xdr:col>
      <xdr:colOff>38000</xdr:colOff>
      <xdr:row>6</xdr:row>
      <xdr:rowOff>28000</xdr:rowOff>
    </xdr:from>
    <xdr:to>
      <xdr:col>20</xdr:col>
      <xdr:colOff>0</xdr:colOff>
      <xdr:row>8</xdr:row>
      <xdr:rowOff>0</xdr:rowOff>
    </xdr:to>
    <xdr:sp macro="[0]!ImprimerResultats" textlink="">
      <xdr:nvSpPr>
        <xdr:cNvPr id="104" name="btnResultats"/>
        <xdr:cNvSpPr/>
      </xdr:nvSpPr>
      <xdr:spPr>
        <a:xfrm>
          <a:off x="0" y="0"/>
          <a:ext cx="0" cy="0"/>
        </a:xfrm>
        <a:prstGeom prst="roundRect">
          <a:avLst/>
        </a:prstGeom>
        <a:solidFill>
          <a:srgbClr val="1F3864"/>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Résultats (classes + CM2)</a:t>
          </a:r>
        </a:p>
      </xdr:txBody>
    </xdr:sp>
    <xdr:clientData fPrintsWithSheet="0"/>
  </xdr:twoCellAnchor>
  <xdr:twoCellAnchor editAs="oneCell">
    <xdr:from>
      <xdr:col>15</xdr:col>
      <xdr:colOff>38000</xdr:colOff>
      <xdr:row>8</xdr:row>
      <xdr:rowOff>28000</xdr:rowOff>
    </xdr:from>
    <xdr:to>
      <xdr:col>20</xdr:col>
      <xdr:colOff>0</xdr:colOff>
      <xdr:row>10</xdr:row>
      <xdr:rowOff>0</xdr:rowOff>
    </xdr:to>
    <xdr:sp macro="[0]!ImprimerSyntheseAnnee" textlink="">
      <xdr:nvSpPr>
        <xdr:cNvPr id="105" name="btnSynthese"/>
        <xdr:cNvSpPr/>
      </xdr:nvSpPr>
      <xdr:spPr>
        <a:xfrm>
          <a:off x="0" y="0"/>
          <a:ext cx="0" cy="0"/>
        </a:xfrm>
        <a:prstGeom prst="roundRect">
          <a:avLst/>
        </a:prstGeom>
        <a:solidFill>
          <a:srgbClr val="1F3864"/>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Synthèse de fin d'année</a:t>
          </a:r>
        </a:p>
      </xdr:txBody>
    </xdr:sp>
    <xdr:clientData fPrintsWithSheet="0"/>
  </xdr:twoCellAnchor>
  <xdr:twoCellAnchor editAs="oneCell">
    <xdr:from>
      <xdr:col>15</xdr:col>
      <xdr:colOff>38000</xdr:colOff>
      <xdr:row>10</xdr:row>
      <xdr:rowOff>28000</xdr:rowOff>
    </xdr:from>
    <xdr:to>
      <xdr:col>20</xdr:col>
      <xdr:colOff>0</xdr:colOff>
      <xdr:row>12</xdr:row>
      <xdr:rowOff>0</xdr:rowOff>
    </xdr:to>
    <xdr:sp macro="[0]!ImprimerEffectifs" textlink="">
      <xdr:nvSpPr>
        <xdr:cNvPr id="106" name="btnEffectifs"/>
        <xdr:cNvSpPr/>
      </xdr:nvSpPr>
      <xdr:spPr>
        <a:xfrm>
          <a:off x="0" y="0"/>
          <a:ext cx="0" cy="0"/>
        </a:xfrm>
        <a:prstGeom prst="roundRect">
          <a:avLst/>
        </a:prstGeom>
        <a:solidFill>
          <a:srgbClr val="1F3864"/>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Tableau des effectifs</a:t>
          </a:r>
        </a:p>
      </xdr:txBody>
    </xdr:sp>
    <xdr:clientData fPrintsWithSheet="0"/>
  </xdr:twoCellAnchor>
  <xdr:twoCellAnchor editAs="oneCell">
    <xdr:from>
      <xdr:col>15</xdr:col>
      <xdr:colOff>38000</xdr:colOff>
      <xdr:row>12</xdr:row>
      <xdr:rowOff>28000</xdr:rowOff>
    </xdr:from>
    <xdr:to>
      <xdr:col>20</xdr:col>
      <xdr:colOff>0</xdr:colOff>
      <xdr:row>14</xdr:row>
      <xdr:rowOff>0</xdr:rowOff>
    </xdr:to>
    <xdr:sp macro="[0]!ImprimerEtatClasse" textlink="">
      <xdr:nvSpPr>
        <xdr:cNvPr id="107" name="btnEtatClasse"/>
        <xdr:cNvSpPr/>
      </xdr:nvSpPr>
      <xdr:spPr>
        <a:xfrm>
          <a:off x="0" y="0"/>
          <a:ext cx="0" cy="0"/>
        </a:xfrm>
        <a:prstGeom prst="roundRect">
          <a:avLst/>
        </a:prstGeom>
        <a:solidFill>
          <a:srgbClr val="2E5597"/>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Etat des élèves d'une classe</a:t>
          </a:r>
        </a:p>
      </xdr:txBody>
    </xdr:sp>
    <xdr:clientData fPrintsWithSheet="0"/>
  </xdr:twoCellAnchor>
  <xdr:twoCellAnchor editAs="oneCell">
    <xdr:from>
      <xdr:col>15</xdr:col>
      <xdr:colOff>38000</xdr:colOff>
      <xdr:row>14</xdr:row>
      <xdr:rowOff>28000</xdr:rowOff>
    </xdr:from>
    <xdr:to>
      <xdr:col>20</xdr:col>
      <xdr:colOff>0</xdr:colOff>
      <xdr:row>16</xdr:row>
      <xdr:rowOff>0</xdr:rowOff>
    </xdr:to>
    <xdr:sp macro="[0]!ImprimerNotice" textlink="">
      <xdr:nvSpPr>
        <xdr:cNvPr id="108" name="btnNoticeImp"/>
        <xdr:cNvSpPr/>
      </xdr:nvSpPr>
      <xdr:spPr>
        <a:xfrm>
          <a:off x="0" y="0"/>
          <a:ext cx="0" cy="0"/>
        </a:xfrm>
        <a:prstGeom prst="roundRect">
          <a:avLst/>
        </a:prstGeom>
        <a:solidFill>
          <a:srgbClr val="2E5597"/>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Notice d'utilisation</a:t>
          </a:r>
        </a:p>
      </xdr:txBody>
    </xdr:sp>
    <xdr:clientData fPrintsWithSheet="0"/>
  </xdr:twoCellAnchor>
  <xdr:twoCellAnchor editAs="oneCell">
    <xdr:from>
      <xdr:col>15</xdr:col>
      <xdr:colOff>38000</xdr:colOff>
      <xdr:row>16</xdr:row>
      <xdr:rowOff>28000</xdr:rowOff>
    </xdr:from>
    <xdr:to>
      <xdr:col>20</xdr:col>
      <xdr:colOff>0</xdr:colOff>
      <xdr:row>18</xdr:row>
      <xdr:rowOff>0</xdr:rowOff>
    </xdr:to>
    <xdr:sp macro="[0]!ExporterEtatsPDF" textlink="">
      <xdr:nvSpPr>
        <xdr:cNvPr id="109" name="btnEtatsPDF"/>
        <xdr:cNvSpPr/>
      </xdr:nvSpPr>
      <xdr:spPr>
        <a:xfrm>
          <a:off x="0" y="0"/>
          <a:ext cx="0" cy="0"/>
        </a:xfrm>
        <a:prstGeom prst="roundRect">
          <a:avLst/>
        </a:prstGeom>
        <a:solidFill>
          <a:srgbClr val="1E8449"/>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Tous les états en PDF</a:t>
          </a:r>
        </a:p>
      </xdr:txBody>
    </xdr:sp>
    <xdr:clientData fPrintsWithSheet="0"/>
  </xdr:twoCellAnchor>
  <xdr:twoCellAnchor editAs="oneCell">
    <xdr:from>
      <xdr:col>15</xdr:col>
      <xdr:colOff>38000</xdr:colOff>
      <xdr:row>18</xdr:row>
      <xdr:rowOff>28000</xdr:rowOff>
    </xdr:from>
    <xdr:to>
      <xdr:col>20</xdr:col>
      <xdr:colOff>0</xdr:colOff>
      <xdr:row>20</xdr:row>
      <xdr:rowOff>0</xdr:rowOff>
    </xdr:to>
    <xdr:sp macro="[0]!AjusterImpressionEtInformer" textlink="">
      <xdr:nvSpPr>
        <xdr:cNvPr id="118" name="btnZones"/>
        <xdr:cNvSpPr/>
      </xdr:nvSpPr>
      <xdr:spPr>
        <a:xfrm>
          <a:off x="0" y="0"/>
          <a:ext cx="0" cy="0"/>
        </a:xfrm>
        <a:prstGeom prst="roundRect">
          <a:avLst/>
        </a:prstGeom>
        <a:solidFill>
          <a:srgbClr val="7030A0"/>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Ajuster les zones d'impression</a:t>
          </a:r>
        </a:p>
      </xdr:txBody>
    </xdr:sp>
    <xdr:clientData fPrintsWithSheet="0"/>
  </xdr:twoCellAnchor>
  <xdr:twoCellAnchor editAs="oneCell">
    <xdr:from>
      <xdr:col>21</xdr:col>
      <xdr:colOff>38000</xdr:colOff>
      <xdr:row>5</xdr:row>
      <xdr:rowOff>28000</xdr:rowOff>
    </xdr:from>
    <xdr:to>
      <xdr:col>27</xdr:col>
      <xdr:colOff>0</xdr:colOff>
      <xdr:row>7</xdr:row>
      <xdr:rowOff>0</xdr:rowOff>
    </xdr:to>
    <xdr:sp macro="[0]!OuvrirRegistreLie" textlink="">
      <xdr:nvSpPr>
        <xdr:cNvPr id="110" name="btnLie1"/>
        <xdr:cNvSpPr/>
      </xdr:nvSpPr>
      <xdr:spPr>
        <a:xfrm>
          <a:off x="0" y="0"/>
          <a:ext cx="0" cy="0"/>
        </a:xfrm>
        <a:prstGeom prst="roundRect">
          <a:avLst/>
        </a:prstGeom>
        <a:solidFill>
          <a:srgbClr val="1F3864"/>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1 · Registre et effectifs</a:t>
          </a:r>
        </a:p>
      </xdr:txBody>
    </xdr:sp>
    <xdr:clientData fPrintsWithSheet="0"/>
  </xdr:twoCellAnchor>
  <xdr:twoCellAnchor editAs="oneCell">
    <xdr:from>
      <xdr:col>21</xdr:col>
      <xdr:colOff>38000</xdr:colOff>
      <xdr:row>8</xdr:row>
      <xdr:rowOff>28000</xdr:rowOff>
    </xdr:from>
    <xdr:to>
      <xdr:col>27</xdr:col>
      <xdr:colOff>0</xdr:colOff>
      <xdr:row>10</xdr:row>
      <xdr:rowOff>0</xdr:rowOff>
    </xdr:to>
    <xdr:sp macro="[0]!OuvrirNotesLie" textlink="">
      <xdr:nvSpPr>
        <xdr:cNvPr id="111" name="btnLie2"/>
        <xdr:cNvSpPr/>
      </xdr:nvSpPr>
      <xdr:spPr>
        <a:xfrm>
          <a:off x="0" y="0"/>
          <a:ext cx="0" cy="0"/>
        </a:xfrm>
        <a:prstGeom prst="roundRect">
          <a:avLst/>
        </a:prstGeom>
        <a:solidFill>
          <a:srgbClr val="1F3864"/>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2 · Notes et moyennes</a:t>
          </a:r>
        </a:p>
      </xdr:txBody>
    </xdr:sp>
    <xdr:clientData fPrintsWithSheet="0"/>
  </xdr:twoCellAnchor>
  <xdr:twoCellAnchor editAs="oneCell">
    <xdr:from>
      <xdr:col>21</xdr:col>
      <xdr:colOff>38000</xdr:colOff>
      <xdr:row>11</xdr:row>
      <xdr:rowOff>28000</xdr:rowOff>
    </xdr:from>
    <xdr:to>
      <xdr:col>27</xdr:col>
      <xdr:colOff>0</xdr:colOff>
      <xdr:row>13</xdr:row>
      <xdr:rowOff>0</xdr:rowOff>
    </xdr:to>
    <xdr:sp macro="[0]!OuvrirResultatsLie" textlink="">
      <xdr:nvSpPr>
        <xdr:cNvPr id="112" name="btnLie3"/>
        <xdr:cNvSpPr/>
      </xdr:nvSpPr>
      <xdr:spPr>
        <a:xfrm>
          <a:off x="0" y="0"/>
          <a:ext cx="0" cy="0"/>
        </a:xfrm>
        <a:prstGeom prst="roundRect">
          <a:avLst/>
        </a:prstGeom>
        <a:solidFill>
          <a:srgbClr val="1F3864"/>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3 · Résultats et délibérations</a:t>
          </a:r>
        </a:p>
      </xdr:txBody>
    </xdr:sp>
    <xdr:clientData fPrintsWithSheet="0"/>
  </xdr:twoCellAnchor>
  <xdr:twoCellAnchor editAs="oneCell">
    <xdr:from>
      <xdr:col>21</xdr:col>
      <xdr:colOff>38000</xdr:colOff>
      <xdr:row>14</xdr:row>
      <xdr:rowOff>28000</xdr:rowOff>
    </xdr:from>
    <xdr:to>
      <xdr:col>27</xdr:col>
      <xdr:colOff>0</xdr:colOff>
      <xdr:row>16</xdr:row>
      <xdr:rowOff>0</xdr:rowOff>
    </xdr:to>
    <xdr:sp macro="[0]!OuvrirRapportsLie" textlink="">
      <xdr:nvSpPr>
        <xdr:cNvPr id="113" name="btnLie4"/>
        <xdr:cNvSpPr/>
      </xdr:nvSpPr>
      <xdr:spPr>
        <a:xfrm>
          <a:off x="0" y="0"/>
          <a:ext cx="0" cy="0"/>
        </a:xfrm>
        <a:prstGeom prst="roundRect">
          <a:avLst/>
        </a:prstGeom>
        <a:solidFill>
          <a:srgbClr val="1F3864"/>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4 · Rapports et états</a:t>
          </a:r>
        </a:p>
      </xdr:txBody>
    </xdr:sp>
    <xdr:clientData fPrintsWithSheet="0"/>
  </xdr:twoCellAnchor>
  <xdr:twoCellAnchor editAs="oneCell">
    <xdr:from>
      <xdr:col>21</xdr:col>
      <xdr:colOff>38000</xdr:colOff>
      <xdr:row>17</xdr:row>
      <xdr:rowOff>28000</xdr:rowOff>
    </xdr:from>
    <xdr:to>
      <xdr:col>27</xdr:col>
      <xdr:colOff>0</xdr:colOff>
      <xdr:row>19</xdr:row>
      <xdr:rowOff>0</xdr:rowOff>
    </xdr:to>
    <xdr:sp macro="[0]!OuvrirPersonnelLie" textlink="">
      <xdr:nvSpPr>
        <xdr:cNvPr id="114" name="btnLie5"/>
        <xdr:cNvSpPr/>
      </xdr:nvSpPr>
      <xdr:spPr>
        <a:xfrm>
          <a:off x="0" y="0"/>
          <a:ext cx="0" cy="0"/>
        </a:xfrm>
        <a:prstGeom prst="roundRect">
          <a:avLst/>
        </a:prstGeom>
        <a:solidFill>
          <a:srgbClr val="1F3864"/>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5 · Personnel et absences</a:t>
          </a:r>
        </a:p>
      </xdr:txBody>
    </xdr:sp>
    <xdr:clientData fPrintsWithSheet="0"/>
  </xdr:twoCellAnchor>
  <xdr:twoCellAnchor editAs="oneCell">
    <xdr:from>
      <xdr:col>21</xdr:col>
      <xdr:colOff>38000</xdr:colOff>
      <xdr:row>20</xdr:row>
      <xdr:rowOff>28000</xdr:rowOff>
    </xdr:from>
    <xdr:to>
      <xdr:col>27</xdr:col>
      <xdr:colOff>0</xdr:colOff>
      <xdr:row>22</xdr:row>
      <xdr:rowOff>0</xdr:rowOff>
    </xdr:to>
    <xdr:sp macro="[0]!OuvrirNoticeLie" textlink="">
      <xdr:nvSpPr>
        <xdr:cNvPr id="115" name="btnLie6"/>
        <xdr:cNvSpPr/>
      </xdr:nvSpPr>
      <xdr:spPr>
        <a:xfrm>
          <a:off x="0" y="0"/>
          <a:ext cx="0" cy="0"/>
        </a:xfrm>
        <a:prstGeom prst="roundRect">
          <a:avLst/>
        </a:prstGeom>
        <a:solidFill>
          <a:srgbClr val="1F3864"/>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6 · Notice et paramètres</a:t>
          </a:r>
        </a:p>
      </xdr:txBody>
    </xdr:sp>
    <xdr:clientData fPrintsWithSheet="0"/>
  </xdr:twoCellAnchor>
  <xdr:twoCellAnchor editAs="oneCell">
    <xdr:from>
      <xdr:col>21</xdr:col>
      <xdr:colOff>38000</xdr:colOff>
      <xdr:row>23</xdr:row>
      <xdr:rowOff>28000</xdr:rowOff>
    </xdr:from>
    <xdr:to>
      <xdr:col>27</xdr:col>
      <xdr:colOff>0</xdr:colOff>
      <xdr:row>25</xdr:row>
      <xdr:rowOff>0</xdr:rowOff>
    </xdr:to>
    <xdr:sp macro="[0]!MettreAJourDossier" textlink="">
      <xdr:nvSpPr>
        <xdr:cNvPr id="116" name="btnMajDossier"/>
        <xdr:cNvSpPr/>
      </xdr:nvSpPr>
      <xdr:spPr>
        <a:xfrm>
          <a:off x="0" y="0"/>
          <a:ext cx="0" cy="0"/>
        </a:xfrm>
        <a:prstGeom prst="roundRect">
          <a:avLst/>
        </a:prstGeom>
        <a:solidFill>
          <a:srgbClr val="C00000"/>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Mettre à jour les fichiers liés</a:t>
          </a:r>
        </a:p>
      </xdr:txBody>
    </xdr:sp>
    <xdr:clientData fPrintsWithSheet="0"/>
  </xdr:twoCellAnchor>
  <xdr:twoCellAnchor editAs="oneCell">
    <xdr:from>
      <xdr:col>21</xdr:col>
      <xdr:colOff>38000</xdr:colOff>
      <xdr:row>26</xdr:row>
      <xdr:rowOff>28000</xdr:rowOff>
    </xdr:from>
    <xdr:to>
      <xdr:col>27</xdr:col>
      <xdr:colOff>0</xdr:colOff>
      <xdr:row>28</xdr:row>
      <xdr:rowOff>0</xdr:rowOff>
    </xdr:to>
    <xdr:sp macro="[0]!OuvrirDossierDeTravail" textlink="">
      <xdr:nvSpPr>
        <xdr:cNvPr id="117" name="btnOuvrirDossier"/>
        <xdr:cNvSpPr/>
      </xdr:nvSpPr>
      <xdr:spPr>
        <a:xfrm>
          <a:off x="0" y="0"/>
          <a:ext cx="0" cy="0"/>
        </a:xfrm>
        <a:prstGeom prst="roundRect">
          <a:avLst/>
        </a:prstGeom>
        <a:solidFill>
          <a:srgbClr val="7030A0"/>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Ouvrir le dossier</a:t>
          </a:r>
        </a:p>
      </xdr:txBody>
    </xdr:sp>
    <xdr:clientData fPrintsWithSheet="0"/>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33</xdr:col>
      <xdr:colOff>38000</xdr:colOff>
      <xdr:row>1</xdr:row>
      <xdr:rowOff>28000</xdr:rowOff>
    </xdr:from>
    <xdr:to>
      <xdr:col>40</xdr:col>
      <xdr:colOff>0</xdr:colOff>
      <xdr:row>3</xdr:row>
      <xdr:rowOff>0</xdr:rowOff>
    </xdr:to>
    <xdr:sp macro="[0]!RetourTableauDeBord" textlink="">
      <xdr:nvSpPr>
        <xdr:cNvPr id="202" name="btn202"/>
        <xdr:cNvSpPr/>
      </xdr:nvSpPr>
      <xdr:spPr>
        <a:xfrm>
          <a:off x="0" y="0"/>
          <a:ext cx="0" cy="0"/>
        </a:xfrm>
        <a:prstGeom prst="roundRect">
          <a:avLst/>
        </a:prstGeom>
        <a:solidFill>
          <a:srgbClr val="7030A0"/>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Retour au tableau de bord</a:t>
          </a:r>
        </a:p>
      </xdr:txBody>
    </xdr:sp>
    <xdr:clientData fPrintsWithSheet="0"/>
  </xdr:twoCellAnchor>
  <xdr:twoCellAnchor editAs="oneCell">
    <xdr:from>
      <xdr:col>33</xdr:col>
      <xdr:colOff>38000</xdr:colOff>
      <xdr:row>4</xdr:row>
      <xdr:rowOff>28000</xdr:rowOff>
    </xdr:from>
    <xdr:to>
      <xdr:col>40</xdr:col>
      <xdr:colOff>0</xdr:colOff>
      <xdr:row>6</xdr:row>
      <xdr:rowOff>0</xdr:rowOff>
    </xdr:to>
    <xdr:sp macro="[0]!ImprimerEtatClasse" textlink="">
      <xdr:nvSpPr>
        <xdr:cNvPr id="203" name="btn203"/>
        <xdr:cNvSpPr/>
      </xdr:nvSpPr>
      <xdr:spPr>
        <a:xfrm>
          <a:off x="0" y="0"/>
          <a:ext cx="0" cy="0"/>
        </a:xfrm>
        <a:prstGeom prst="roundRect">
          <a:avLst/>
        </a:prstGeom>
        <a:solidFill>
          <a:srgbClr val="1F3864"/>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Etat des élèves d'une classe</a:t>
          </a:r>
        </a:p>
      </xdr:txBody>
    </xdr:sp>
    <xdr:clientData fPrintsWithSheet="0"/>
  </xdr:twoCellAnchor>
  <xdr:twoCellAnchor editAs="oneCell">
    <xdr:from>
      <xdr:col>33</xdr:col>
      <xdr:colOff>38000</xdr:colOff>
      <xdr:row>7</xdr:row>
      <xdr:rowOff>28000</xdr:rowOff>
    </xdr:from>
    <xdr:to>
      <xdr:col>40</xdr:col>
      <xdr:colOff>0</xdr:colOff>
      <xdr:row>9</xdr:row>
      <xdr:rowOff>0</xdr:rowOff>
    </xdr:to>
    <xdr:sp macro="[0]!ImprimerEffectifs" textlink="">
      <xdr:nvSpPr>
        <xdr:cNvPr id="204" name="btn204"/>
        <xdr:cNvSpPr/>
      </xdr:nvSpPr>
      <xdr:spPr>
        <a:xfrm>
          <a:off x="0" y="0"/>
          <a:ext cx="0" cy="0"/>
        </a:xfrm>
        <a:prstGeom prst="roundRect">
          <a:avLst/>
        </a:prstGeom>
        <a:solidFill>
          <a:srgbClr val="2E5597"/>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Tableau des effectifs</a:t>
          </a:r>
        </a:p>
      </xdr:txBody>
    </xdr:sp>
    <xdr:clientData fPrintsWithSheet="0"/>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47</xdr:col>
      <xdr:colOff>38000</xdr:colOff>
      <xdr:row>1</xdr:row>
      <xdr:rowOff>28000</xdr:rowOff>
    </xdr:from>
    <xdr:to>
      <xdr:col>54</xdr:col>
      <xdr:colOff>0</xdr:colOff>
      <xdr:row>3</xdr:row>
      <xdr:rowOff>0</xdr:rowOff>
    </xdr:to>
    <xdr:sp macro="[0]!RetourTableauDeBord" textlink="">
      <xdr:nvSpPr>
        <xdr:cNvPr id="205" name="btn205"/>
        <xdr:cNvSpPr/>
      </xdr:nvSpPr>
      <xdr:spPr>
        <a:xfrm>
          <a:off x="0" y="0"/>
          <a:ext cx="0" cy="0"/>
        </a:xfrm>
        <a:prstGeom prst="roundRect">
          <a:avLst/>
        </a:prstGeom>
        <a:solidFill>
          <a:srgbClr val="7030A0"/>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Retour au tableau de bord</a:t>
          </a:r>
        </a:p>
      </xdr:txBody>
    </xdr:sp>
    <xdr:clientData fPrintsWithSheet="0"/>
  </xdr:twoCellAnchor>
  <xdr:twoCellAnchor editAs="oneCell">
    <xdr:from>
      <xdr:col>47</xdr:col>
      <xdr:colOff>38000</xdr:colOff>
      <xdr:row>4</xdr:row>
      <xdr:rowOff>28000</xdr:rowOff>
    </xdr:from>
    <xdr:to>
      <xdr:col>54</xdr:col>
      <xdr:colOff>0</xdr:colOff>
      <xdr:row>6</xdr:row>
      <xdr:rowOff>0</xdr:rowOff>
    </xdr:to>
    <xdr:sp macro="[0]!ImpNotesClasse" textlink="">
      <xdr:nvSpPr>
        <xdr:cNvPr id="206" name="btn206"/>
        <xdr:cNvSpPr/>
      </xdr:nvSpPr>
      <xdr:spPr>
        <a:xfrm>
          <a:off x="0" y="0"/>
          <a:ext cx="0" cy="0"/>
        </a:xfrm>
        <a:prstGeom prst="roundRect">
          <a:avLst/>
        </a:prstGeom>
        <a:solidFill>
          <a:srgbClr val="1F3864"/>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Imprimer cette feuille de notes</a:t>
          </a:r>
        </a:p>
      </xdr:txBody>
    </xdr:sp>
    <xdr:clientData fPrintsWithSheet="0"/>
  </xdr:twoCellAnchor>
  <xdr:twoCellAnchor editAs="oneCell">
    <xdr:from>
      <xdr:col>47</xdr:col>
      <xdr:colOff>38000</xdr:colOff>
      <xdr:row>7</xdr:row>
      <xdr:rowOff>28000</xdr:rowOff>
    </xdr:from>
    <xdr:to>
      <xdr:col>54</xdr:col>
      <xdr:colOff>0</xdr:colOff>
      <xdr:row>9</xdr:row>
      <xdr:rowOff>0</xdr:rowOff>
    </xdr:to>
    <xdr:sp macro="[0]!ImprimerResultats" textlink="">
      <xdr:nvSpPr>
        <xdr:cNvPr id="207" name="btn207"/>
        <xdr:cNvSpPr/>
      </xdr:nvSpPr>
      <xdr:spPr>
        <a:xfrm>
          <a:off x="0" y="0"/>
          <a:ext cx="0" cy="0"/>
        </a:xfrm>
        <a:prstGeom prst="roundRect">
          <a:avLst/>
        </a:prstGeom>
        <a:solidFill>
          <a:srgbClr val="2E5597"/>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Résultats</a:t>
          </a:r>
        </a:p>
      </xdr:txBody>
    </xdr:sp>
    <xdr:clientData fPrintsWithSheet="0"/>
  </xdr:twoCellAnchor>
  <xdr:twoCellAnchor editAs="oneCell">
    <xdr:from>
      <xdr:col>47</xdr:col>
      <xdr:colOff>38000</xdr:colOff>
      <xdr:row>10</xdr:row>
      <xdr:rowOff>28000</xdr:rowOff>
    </xdr:from>
    <xdr:to>
      <xdr:col>54</xdr:col>
      <xdr:colOff>0</xdr:colOff>
      <xdr:row>12</xdr:row>
      <xdr:rowOff>0</xdr:rowOff>
    </xdr:to>
    <xdr:sp macro="[0]!ImprimerRapportComposition" textlink="">
      <xdr:nvSpPr>
        <xdr:cNvPr id="208" name="btn208"/>
        <xdr:cNvSpPr/>
      </xdr:nvSpPr>
      <xdr:spPr>
        <a:xfrm>
          <a:off x="0" y="0"/>
          <a:ext cx="0" cy="0"/>
        </a:xfrm>
        <a:prstGeom prst="roundRect">
          <a:avLst/>
        </a:prstGeom>
        <a:solidFill>
          <a:srgbClr val="2E5597"/>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Rapport de composition</a:t>
          </a:r>
        </a:p>
      </xdr:txBody>
    </xdr:sp>
    <xdr:clientData fPrintsWithSheet="0"/>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35</xdr:col>
      <xdr:colOff>38000</xdr:colOff>
      <xdr:row>1</xdr:row>
      <xdr:rowOff>28000</xdr:rowOff>
    </xdr:from>
    <xdr:to>
      <xdr:col>42</xdr:col>
      <xdr:colOff>0</xdr:colOff>
      <xdr:row>3</xdr:row>
      <xdr:rowOff>0</xdr:rowOff>
    </xdr:to>
    <xdr:sp macro="[0]!RetourTableauDeBord" textlink="">
      <xdr:nvSpPr>
        <xdr:cNvPr id="209" name="btn209"/>
        <xdr:cNvSpPr/>
      </xdr:nvSpPr>
      <xdr:spPr>
        <a:xfrm>
          <a:off x="0" y="0"/>
          <a:ext cx="0" cy="0"/>
        </a:xfrm>
        <a:prstGeom prst="roundRect">
          <a:avLst/>
        </a:prstGeom>
        <a:solidFill>
          <a:srgbClr val="7030A0"/>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Retour au tableau de bord</a:t>
          </a:r>
        </a:p>
      </xdr:txBody>
    </xdr:sp>
    <xdr:clientData fPrintsWithSheet="0"/>
  </xdr:twoCellAnchor>
  <xdr:twoCellAnchor editAs="oneCell">
    <xdr:from>
      <xdr:col>35</xdr:col>
      <xdr:colOff>38000</xdr:colOff>
      <xdr:row>4</xdr:row>
      <xdr:rowOff>28000</xdr:rowOff>
    </xdr:from>
    <xdr:to>
      <xdr:col>42</xdr:col>
      <xdr:colOff>0</xdr:colOff>
      <xdr:row>6</xdr:row>
      <xdr:rowOff>0</xdr:rowOff>
    </xdr:to>
    <xdr:sp macro="[0]!ImpNotesClasse" textlink="">
      <xdr:nvSpPr>
        <xdr:cNvPr id="210" name="btn210"/>
        <xdr:cNvSpPr/>
      </xdr:nvSpPr>
      <xdr:spPr>
        <a:xfrm>
          <a:off x="0" y="0"/>
          <a:ext cx="0" cy="0"/>
        </a:xfrm>
        <a:prstGeom prst="roundRect">
          <a:avLst/>
        </a:prstGeom>
        <a:solidFill>
          <a:srgbClr val="1F3864"/>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Imprimer cette feuille de notes</a:t>
          </a:r>
        </a:p>
      </xdr:txBody>
    </xdr:sp>
    <xdr:clientData fPrintsWithSheet="0"/>
  </xdr:twoCellAnchor>
  <xdr:twoCellAnchor editAs="oneCell">
    <xdr:from>
      <xdr:col>35</xdr:col>
      <xdr:colOff>38000</xdr:colOff>
      <xdr:row>7</xdr:row>
      <xdr:rowOff>28000</xdr:rowOff>
    </xdr:from>
    <xdr:to>
      <xdr:col>42</xdr:col>
      <xdr:colOff>0</xdr:colOff>
      <xdr:row>9</xdr:row>
      <xdr:rowOff>0</xdr:rowOff>
    </xdr:to>
    <xdr:sp macro="[0]!ImprimerResultats" textlink="">
      <xdr:nvSpPr>
        <xdr:cNvPr id="211" name="btn211"/>
        <xdr:cNvSpPr/>
      </xdr:nvSpPr>
      <xdr:spPr>
        <a:xfrm>
          <a:off x="0" y="0"/>
          <a:ext cx="0" cy="0"/>
        </a:xfrm>
        <a:prstGeom prst="roundRect">
          <a:avLst/>
        </a:prstGeom>
        <a:solidFill>
          <a:srgbClr val="2E5597"/>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Résultats</a:t>
          </a:r>
        </a:p>
      </xdr:txBody>
    </xdr:sp>
    <xdr:clientData fPrintsWithSheet="0"/>
  </xdr:twoCellAnchor>
  <xdr:twoCellAnchor editAs="oneCell">
    <xdr:from>
      <xdr:col>35</xdr:col>
      <xdr:colOff>38000</xdr:colOff>
      <xdr:row>10</xdr:row>
      <xdr:rowOff>28000</xdr:rowOff>
    </xdr:from>
    <xdr:to>
      <xdr:col>42</xdr:col>
      <xdr:colOff>0</xdr:colOff>
      <xdr:row>12</xdr:row>
      <xdr:rowOff>0</xdr:rowOff>
    </xdr:to>
    <xdr:sp macro="[0]!ImprimerRapportComposition" textlink="">
      <xdr:nvSpPr>
        <xdr:cNvPr id="212" name="btn212"/>
        <xdr:cNvSpPr/>
      </xdr:nvSpPr>
      <xdr:spPr>
        <a:xfrm>
          <a:off x="0" y="0"/>
          <a:ext cx="0" cy="0"/>
        </a:xfrm>
        <a:prstGeom prst="roundRect">
          <a:avLst/>
        </a:prstGeom>
        <a:solidFill>
          <a:srgbClr val="2E5597"/>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Rapport de composition</a:t>
          </a:r>
        </a:p>
      </xdr:txBody>
    </xdr:sp>
    <xdr:clientData fPrintsWithSheet="0"/>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xdr:twoCellAnchor editAs="oneCell">
    <xdr:from>
      <xdr:col>35</xdr:col>
      <xdr:colOff>38000</xdr:colOff>
      <xdr:row>1</xdr:row>
      <xdr:rowOff>28000</xdr:rowOff>
    </xdr:from>
    <xdr:to>
      <xdr:col>42</xdr:col>
      <xdr:colOff>0</xdr:colOff>
      <xdr:row>3</xdr:row>
      <xdr:rowOff>0</xdr:rowOff>
    </xdr:to>
    <xdr:sp macro="[0]!RetourTableauDeBord" textlink="">
      <xdr:nvSpPr>
        <xdr:cNvPr id="213" name="btn213"/>
        <xdr:cNvSpPr/>
      </xdr:nvSpPr>
      <xdr:spPr>
        <a:xfrm>
          <a:off x="0" y="0"/>
          <a:ext cx="0" cy="0"/>
        </a:xfrm>
        <a:prstGeom prst="roundRect">
          <a:avLst/>
        </a:prstGeom>
        <a:solidFill>
          <a:srgbClr val="7030A0"/>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Retour au tableau de bord</a:t>
          </a:r>
        </a:p>
      </xdr:txBody>
    </xdr:sp>
    <xdr:clientData fPrintsWithSheet="0"/>
  </xdr:twoCellAnchor>
  <xdr:twoCellAnchor editAs="oneCell">
    <xdr:from>
      <xdr:col>35</xdr:col>
      <xdr:colOff>38000</xdr:colOff>
      <xdr:row>4</xdr:row>
      <xdr:rowOff>28000</xdr:rowOff>
    </xdr:from>
    <xdr:to>
      <xdr:col>42</xdr:col>
      <xdr:colOff>0</xdr:colOff>
      <xdr:row>6</xdr:row>
      <xdr:rowOff>0</xdr:rowOff>
    </xdr:to>
    <xdr:sp macro="[0]!ImpNotesClasse" textlink="">
      <xdr:nvSpPr>
        <xdr:cNvPr id="214" name="btn214"/>
        <xdr:cNvSpPr/>
      </xdr:nvSpPr>
      <xdr:spPr>
        <a:xfrm>
          <a:off x="0" y="0"/>
          <a:ext cx="0" cy="0"/>
        </a:xfrm>
        <a:prstGeom prst="roundRect">
          <a:avLst/>
        </a:prstGeom>
        <a:solidFill>
          <a:srgbClr val="1F3864"/>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Imprimer cette feuille de notes</a:t>
          </a:r>
        </a:p>
      </xdr:txBody>
    </xdr:sp>
    <xdr:clientData fPrintsWithSheet="0"/>
  </xdr:twoCellAnchor>
  <xdr:twoCellAnchor editAs="oneCell">
    <xdr:from>
      <xdr:col>35</xdr:col>
      <xdr:colOff>38000</xdr:colOff>
      <xdr:row>7</xdr:row>
      <xdr:rowOff>28000</xdr:rowOff>
    </xdr:from>
    <xdr:to>
      <xdr:col>42</xdr:col>
      <xdr:colOff>0</xdr:colOff>
      <xdr:row>9</xdr:row>
      <xdr:rowOff>0</xdr:rowOff>
    </xdr:to>
    <xdr:sp macro="[0]!ImprimerResultats" textlink="">
      <xdr:nvSpPr>
        <xdr:cNvPr id="215" name="btn215"/>
        <xdr:cNvSpPr/>
      </xdr:nvSpPr>
      <xdr:spPr>
        <a:xfrm>
          <a:off x="0" y="0"/>
          <a:ext cx="0" cy="0"/>
        </a:xfrm>
        <a:prstGeom prst="roundRect">
          <a:avLst/>
        </a:prstGeom>
        <a:solidFill>
          <a:srgbClr val="2E5597"/>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Résultats</a:t>
          </a:r>
        </a:p>
      </xdr:txBody>
    </xdr:sp>
    <xdr:clientData fPrintsWithSheet="0"/>
  </xdr:twoCellAnchor>
  <xdr:twoCellAnchor editAs="oneCell">
    <xdr:from>
      <xdr:col>35</xdr:col>
      <xdr:colOff>38000</xdr:colOff>
      <xdr:row>10</xdr:row>
      <xdr:rowOff>28000</xdr:rowOff>
    </xdr:from>
    <xdr:to>
      <xdr:col>42</xdr:col>
      <xdr:colOff>0</xdr:colOff>
      <xdr:row>12</xdr:row>
      <xdr:rowOff>0</xdr:rowOff>
    </xdr:to>
    <xdr:sp macro="[0]!ImprimerRapportComposition" textlink="">
      <xdr:nvSpPr>
        <xdr:cNvPr id="216" name="btn216"/>
        <xdr:cNvSpPr/>
      </xdr:nvSpPr>
      <xdr:spPr>
        <a:xfrm>
          <a:off x="0" y="0"/>
          <a:ext cx="0" cy="0"/>
        </a:xfrm>
        <a:prstGeom prst="roundRect">
          <a:avLst/>
        </a:prstGeom>
        <a:solidFill>
          <a:srgbClr val="2E5597"/>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Rapport de composition</a:t>
          </a:r>
        </a:p>
      </xdr:txBody>
    </xdr:sp>
    <xdr:clientData fPrintsWithSheet="0"/>
  </xdr:twoCellAnchor>
</xdr:wsDr>
</file>

<file path=xl/drawings/drawing6.xml><?xml version="1.0" encoding="utf-8"?>
<xdr:wsDr xmlns:xdr="http://schemas.openxmlformats.org/drawingml/2006/spreadsheetDrawing" xmlns:a="http://schemas.openxmlformats.org/drawingml/2006/main" xmlns:r="http://schemas.openxmlformats.org/officeDocument/2006/relationships">
  <xdr:twoCellAnchor editAs="oneCell">
    <xdr:from>
      <xdr:col>37</xdr:col>
      <xdr:colOff>38000</xdr:colOff>
      <xdr:row>1</xdr:row>
      <xdr:rowOff>28000</xdr:rowOff>
    </xdr:from>
    <xdr:to>
      <xdr:col>44</xdr:col>
      <xdr:colOff>0</xdr:colOff>
      <xdr:row>3</xdr:row>
      <xdr:rowOff>0</xdr:rowOff>
    </xdr:to>
    <xdr:sp macro="[0]!RetourTableauDeBord" textlink="">
      <xdr:nvSpPr>
        <xdr:cNvPr id="217" name="btn217"/>
        <xdr:cNvSpPr/>
      </xdr:nvSpPr>
      <xdr:spPr>
        <a:xfrm>
          <a:off x="0" y="0"/>
          <a:ext cx="0" cy="0"/>
        </a:xfrm>
        <a:prstGeom prst="roundRect">
          <a:avLst/>
        </a:prstGeom>
        <a:solidFill>
          <a:srgbClr val="7030A0"/>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Retour au tableau de bord</a:t>
          </a:r>
        </a:p>
      </xdr:txBody>
    </xdr:sp>
    <xdr:clientData fPrintsWithSheet="0"/>
  </xdr:twoCellAnchor>
  <xdr:twoCellAnchor editAs="oneCell">
    <xdr:from>
      <xdr:col>37</xdr:col>
      <xdr:colOff>38000</xdr:colOff>
      <xdr:row>4</xdr:row>
      <xdr:rowOff>28000</xdr:rowOff>
    </xdr:from>
    <xdr:to>
      <xdr:col>44</xdr:col>
      <xdr:colOff>0</xdr:colOff>
      <xdr:row>6</xdr:row>
      <xdr:rowOff>0</xdr:rowOff>
    </xdr:to>
    <xdr:sp macro="[0]!ImpNotesClasse" textlink="">
      <xdr:nvSpPr>
        <xdr:cNvPr id="218" name="btn218"/>
        <xdr:cNvSpPr/>
      </xdr:nvSpPr>
      <xdr:spPr>
        <a:xfrm>
          <a:off x="0" y="0"/>
          <a:ext cx="0" cy="0"/>
        </a:xfrm>
        <a:prstGeom prst="roundRect">
          <a:avLst/>
        </a:prstGeom>
        <a:solidFill>
          <a:srgbClr val="1F3864"/>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Imprimer cette feuille de notes</a:t>
          </a:r>
        </a:p>
      </xdr:txBody>
    </xdr:sp>
    <xdr:clientData fPrintsWithSheet="0"/>
  </xdr:twoCellAnchor>
  <xdr:twoCellAnchor editAs="oneCell">
    <xdr:from>
      <xdr:col>37</xdr:col>
      <xdr:colOff>38000</xdr:colOff>
      <xdr:row>7</xdr:row>
      <xdr:rowOff>28000</xdr:rowOff>
    </xdr:from>
    <xdr:to>
      <xdr:col>44</xdr:col>
      <xdr:colOff>0</xdr:colOff>
      <xdr:row>9</xdr:row>
      <xdr:rowOff>0</xdr:rowOff>
    </xdr:to>
    <xdr:sp macro="[0]!ImpResultatsCM2" textlink="">
      <xdr:nvSpPr>
        <xdr:cNvPr id="219" name="btn219"/>
        <xdr:cNvSpPr/>
      </xdr:nvSpPr>
      <xdr:spPr>
        <a:xfrm>
          <a:off x="0" y="0"/>
          <a:ext cx="0" cy="0"/>
        </a:xfrm>
        <a:prstGeom prst="roundRect">
          <a:avLst/>
        </a:prstGeom>
        <a:solidFill>
          <a:srgbClr val="2E5597"/>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Résultats CM2</a:t>
          </a:r>
        </a:p>
      </xdr:txBody>
    </xdr:sp>
    <xdr:clientData fPrintsWithSheet="0"/>
  </xdr:twoCellAnchor>
  <xdr:twoCellAnchor editAs="oneCell">
    <xdr:from>
      <xdr:col>37</xdr:col>
      <xdr:colOff>38000</xdr:colOff>
      <xdr:row>10</xdr:row>
      <xdr:rowOff>28000</xdr:rowOff>
    </xdr:from>
    <xdr:to>
      <xdr:col>44</xdr:col>
      <xdr:colOff>0</xdr:colOff>
      <xdr:row>12</xdr:row>
      <xdr:rowOff>0</xdr:rowOff>
    </xdr:to>
    <xdr:sp macro="[0]!ImprimerRapportComposition" textlink="">
      <xdr:nvSpPr>
        <xdr:cNvPr id="220" name="btn220"/>
        <xdr:cNvSpPr/>
      </xdr:nvSpPr>
      <xdr:spPr>
        <a:xfrm>
          <a:off x="0" y="0"/>
          <a:ext cx="0" cy="0"/>
        </a:xfrm>
        <a:prstGeom prst="roundRect">
          <a:avLst/>
        </a:prstGeom>
        <a:solidFill>
          <a:srgbClr val="2E5597"/>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Rapport de composition</a:t>
          </a:r>
        </a:p>
      </xdr:txBody>
    </xdr:sp>
    <xdr:clientData fPrintsWithSheet="0"/>
  </xdr:twoCellAnchor>
</xdr:wsDr>
</file>

<file path=xl/drawings/drawing7.xml><?xml version="1.0" encoding="utf-8"?>
<xdr:wsDr xmlns:xdr="http://schemas.openxmlformats.org/drawingml/2006/spreadsheetDrawing" xmlns:a="http://schemas.openxmlformats.org/drawingml/2006/main" xmlns:r="http://schemas.openxmlformats.org/officeDocument/2006/relationships">
  <xdr:twoCellAnchor editAs="oneCell">
    <xdr:from>
      <xdr:col>18</xdr:col>
      <xdr:colOff>38000</xdr:colOff>
      <xdr:row>1</xdr:row>
      <xdr:rowOff>28000</xdr:rowOff>
    </xdr:from>
    <xdr:to>
      <xdr:col>25</xdr:col>
      <xdr:colOff>0</xdr:colOff>
      <xdr:row>3</xdr:row>
      <xdr:rowOff>0</xdr:rowOff>
    </xdr:to>
    <xdr:sp macro="[0]!RetourTableauDeBord" textlink="">
      <xdr:nvSpPr>
        <xdr:cNvPr id="221" name="btn221"/>
        <xdr:cNvSpPr/>
      </xdr:nvSpPr>
      <xdr:spPr>
        <a:xfrm>
          <a:off x="0" y="0"/>
          <a:ext cx="0" cy="0"/>
        </a:xfrm>
        <a:prstGeom prst="roundRect">
          <a:avLst/>
        </a:prstGeom>
        <a:solidFill>
          <a:srgbClr val="7030A0"/>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Retour au tableau de bord</a:t>
          </a:r>
        </a:p>
      </xdr:txBody>
    </xdr:sp>
    <xdr:clientData fPrintsWithSheet="0"/>
  </xdr:twoCellAnchor>
  <xdr:twoCellAnchor editAs="oneCell">
    <xdr:from>
      <xdr:col>18</xdr:col>
      <xdr:colOff>38000</xdr:colOff>
      <xdr:row>4</xdr:row>
      <xdr:rowOff>28000</xdr:rowOff>
    </xdr:from>
    <xdr:to>
      <xdr:col>25</xdr:col>
      <xdr:colOff>0</xdr:colOff>
      <xdr:row>6</xdr:row>
      <xdr:rowOff>0</xdr:rowOff>
    </xdr:to>
    <xdr:sp macro="[0]!ImprimerResultats" textlink="">
      <xdr:nvSpPr>
        <xdr:cNvPr id="222" name="btn222"/>
        <xdr:cNvSpPr/>
      </xdr:nvSpPr>
      <xdr:spPr>
        <a:xfrm>
          <a:off x="0" y="0"/>
          <a:ext cx="0" cy="0"/>
        </a:xfrm>
        <a:prstGeom prst="roundRect">
          <a:avLst/>
        </a:prstGeom>
        <a:solidFill>
          <a:srgbClr val="1F3864"/>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Imprimer les résultats</a:t>
          </a:r>
        </a:p>
      </xdr:txBody>
    </xdr:sp>
    <xdr:clientData fPrintsWithSheet="0"/>
  </xdr:twoCellAnchor>
  <xdr:twoCellAnchor editAs="oneCell">
    <xdr:from>
      <xdr:col>18</xdr:col>
      <xdr:colOff>38000</xdr:colOff>
      <xdr:row>7</xdr:row>
      <xdr:rowOff>28000</xdr:rowOff>
    </xdr:from>
    <xdr:to>
      <xdr:col>25</xdr:col>
      <xdr:colOff>0</xdr:colOff>
      <xdr:row>9</xdr:row>
      <xdr:rowOff>0</xdr:rowOff>
    </xdr:to>
    <xdr:sp macro="[0]!ImprimerSyntheseAnnee" textlink="">
      <xdr:nvSpPr>
        <xdr:cNvPr id="223" name="btn223"/>
        <xdr:cNvSpPr/>
      </xdr:nvSpPr>
      <xdr:spPr>
        <a:xfrm>
          <a:off x="0" y="0"/>
          <a:ext cx="0" cy="0"/>
        </a:xfrm>
        <a:prstGeom prst="roundRect">
          <a:avLst/>
        </a:prstGeom>
        <a:solidFill>
          <a:srgbClr val="2E5597"/>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Synthèse de fin d'année</a:t>
          </a:r>
        </a:p>
      </xdr:txBody>
    </xdr:sp>
    <xdr:clientData fPrintsWithSheet="0"/>
  </xdr:twoCellAnchor>
  <xdr:twoCellAnchor editAs="oneCell">
    <xdr:from>
      <xdr:col>18</xdr:col>
      <xdr:colOff>38000</xdr:colOff>
      <xdr:row>10</xdr:row>
      <xdr:rowOff>28000</xdr:rowOff>
    </xdr:from>
    <xdr:to>
      <xdr:col>25</xdr:col>
      <xdr:colOff>0</xdr:colOff>
      <xdr:row>12</xdr:row>
      <xdr:rowOff>0</xdr:rowOff>
    </xdr:to>
    <xdr:sp macro="[0]!ImprimerRapportComposition" textlink="">
      <xdr:nvSpPr>
        <xdr:cNvPr id="224" name="btn224"/>
        <xdr:cNvSpPr/>
      </xdr:nvSpPr>
      <xdr:spPr>
        <a:xfrm>
          <a:off x="0" y="0"/>
          <a:ext cx="0" cy="0"/>
        </a:xfrm>
        <a:prstGeom prst="roundRect">
          <a:avLst/>
        </a:prstGeom>
        <a:solidFill>
          <a:srgbClr val="2E5597"/>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Rapport de composition</a:t>
          </a:r>
        </a:p>
      </xdr:txBody>
    </xdr:sp>
    <xdr:clientData fPrintsWithSheet="0"/>
  </xdr:twoCellAnchor>
</xdr:wsDr>
</file>

<file path=xl/drawings/drawing8.xml><?xml version="1.0" encoding="utf-8"?>
<xdr:wsDr xmlns:xdr="http://schemas.openxmlformats.org/drawingml/2006/spreadsheetDrawing" xmlns:a="http://schemas.openxmlformats.org/drawingml/2006/main" xmlns:r="http://schemas.openxmlformats.org/officeDocument/2006/relationships">
  <xdr:twoCellAnchor editAs="oneCell">
    <xdr:from>
      <xdr:col>16</xdr:col>
      <xdr:colOff>38000</xdr:colOff>
      <xdr:row>1</xdr:row>
      <xdr:rowOff>28000</xdr:rowOff>
    </xdr:from>
    <xdr:to>
      <xdr:col>23</xdr:col>
      <xdr:colOff>0</xdr:colOff>
      <xdr:row>3</xdr:row>
      <xdr:rowOff>0</xdr:rowOff>
    </xdr:to>
    <xdr:sp macro="[0]!RetourTableauDeBord" textlink="">
      <xdr:nvSpPr>
        <xdr:cNvPr id="225" name="btn225"/>
        <xdr:cNvSpPr/>
      </xdr:nvSpPr>
      <xdr:spPr>
        <a:xfrm>
          <a:off x="0" y="0"/>
          <a:ext cx="0" cy="0"/>
        </a:xfrm>
        <a:prstGeom prst="roundRect">
          <a:avLst/>
        </a:prstGeom>
        <a:solidFill>
          <a:srgbClr val="7030A0"/>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Retour au tableau de bord</a:t>
          </a:r>
        </a:p>
      </xdr:txBody>
    </xdr:sp>
    <xdr:clientData fPrintsWithSheet="0"/>
  </xdr:twoCellAnchor>
  <xdr:twoCellAnchor editAs="oneCell">
    <xdr:from>
      <xdr:col>16</xdr:col>
      <xdr:colOff>38000</xdr:colOff>
      <xdr:row>4</xdr:row>
      <xdr:rowOff>28000</xdr:rowOff>
    </xdr:from>
    <xdr:to>
      <xdr:col>23</xdr:col>
      <xdr:colOff>0</xdr:colOff>
      <xdr:row>6</xdr:row>
      <xdr:rowOff>0</xdr:rowOff>
    </xdr:to>
    <xdr:sp macro="[0]!ImpResultatsCM2" textlink="">
      <xdr:nvSpPr>
        <xdr:cNvPr id="226" name="btn226"/>
        <xdr:cNvSpPr/>
      </xdr:nvSpPr>
      <xdr:spPr>
        <a:xfrm>
          <a:off x="0" y="0"/>
          <a:ext cx="0" cy="0"/>
        </a:xfrm>
        <a:prstGeom prst="roundRect">
          <a:avLst/>
        </a:prstGeom>
        <a:solidFill>
          <a:srgbClr val="1F3864"/>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Imprimer les résultats CM2</a:t>
          </a:r>
        </a:p>
      </xdr:txBody>
    </xdr:sp>
    <xdr:clientData fPrintsWithSheet="0"/>
  </xdr:twoCellAnchor>
  <xdr:twoCellAnchor editAs="oneCell">
    <xdr:from>
      <xdr:col>16</xdr:col>
      <xdr:colOff>38000</xdr:colOff>
      <xdr:row>7</xdr:row>
      <xdr:rowOff>28000</xdr:rowOff>
    </xdr:from>
    <xdr:to>
      <xdr:col>23</xdr:col>
      <xdr:colOff>0</xdr:colOff>
      <xdr:row>9</xdr:row>
      <xdr:rowOff>0</xdr:rowOff>
    </xdr:to>
    <xdr:sp macro="[0]!ImprimerSyntheseAnnee" textlink="">
      <xdr:nvSpPr>
        <xdr:cNvPr id="227" name="btn227"/>
        <xdr:cNvSpPr/>
      </xdr:nvSpPr>
      <xdr:spPr>
        <a:xfrm>
          <a:off x="0" y="0"/>
          <a:ext cx="0" cy="0"/>
        </a:xfrm>
        <a:prstGeom prst="roundRect">
          <a:avLst/>
        </a:prstGeom>
        <a:solidFill>
          <a:srgbClr val="2E5597"/>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Synthèse de fin d'année</a:t>
          </a:r>
        </a:p>
      </xdr:txBody>
    </xdr:sp>
    <xdr:clientData fPrintsWithSheet="0"/>
  </xdr:twoCellAnchor>
</xdr:wsDr>
</file>

<file path=xl/drawings/drawing9.xml><?xml version="1.0" encoding="utf-8"?>
<xdr:wsDr xmlns:xdr="http://schemas.openxmlformats.org/drawingml/2006/spreadsheetDrawing" xmlns:a="http://schemas.openxmlformats.org/drawingml/2006/main" xmlns:r="http://schemas.openxmlformats.org/officeDocument/2006/relationships">
  <xdr:twoCellAnchor editAs="oneCell">
    <xdr:from>
      <xdr:col>13</xdr:col>
      <xdr:colOff>38000</xdr:colOff>
      <xdr:row>1</xdr:row>
      <xdr:rowOff>28000</xdr:rowOff>
    </xdr:from>
    <xdr:to>
      <xdr:col>20</xdr:col>
      <xdr:colOff>0</xdr:colOff>
      <xdr:row>3</xdr:row>
      <xdr:rowOff>0</xdr:rowOff>
    </xdr:to>
    <xdr:sp macro="[0]!RetourTableauDeBord" textlink="">
      <xdr:nvSpPr>
        <xdr:cNvPr id="250" name="btn250"/>
        <xdr:cNvSpPr/>
      </xdr:nvSpPr>
      <xdr:spPr>
        <a:xfrm>
          <a:off x="0" y="0"/>
          <a:ext cx="0" cy="0"/>
        </a:xfrm>
        <a:prstGeom prst="roundRect">
          <a:avLst/>
        </a:prstGeom>
        <a:solidFill>
          <a:srgbClr val="7030A0"/>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Retour au tableau de bord</a:t>
          </a:r>
        </a:p>
      </xdr:txBody>
    </xdr:sp>
    <xdr:clientData fPrintsWithSheet="0"/>
  </xdr:twoCellAnchor>
  <xdr:twoCellAnchor editAs="oneCell">
    <xdr:from>
      <xdr:col>13</xdr:col>
      <xdr:colOff>38000</xdr:colOff>
      <xdr:row>4</xdr:row>
      <xdr:rowOff>28000</xdr:rowOff>
    </xdr:from>
    <xdr:to>
      <xdr:col>20</xdr:col>
      <xdr:colOff>0</xdr:colOff>
      <xdr:row>6</xdr:row>
      <xdr:rowOff>0</xdr:rowOff>
    </xdr:to>
    <xdr:sp macro="[0]!ImpAbsencesEleves" textlink="">
      <xdr:nvSpPr>
        <xdr:cNvPr id="251" name="btn251"/>
        <xdr:cNvSpPr/>
      </xdr:nvSpPr>
      <xdr:spPr>
        <a:xfrm>
          <a:off x="0" y="0"/>
          <a:ext cx="0" cy="0"/>
        </a:xfrm>
        <a:prstGeom prst="roundRect">
          <a:avLst/>
        </a:prstGeom>
        <a:solidFill>
          <a:srgbClr val="1F3864"/>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Imprimer ce journal</a:t>
          </a:r>
        </a:p>
      </xdr:txBody>
    </xdr:sp>
    <xdr:clientData fPrintsWithSheet="0"/>
  </xdr:twoCellAnchor>
  <xdr:twoCellAnchor editAs="oneCell">
    <xdr:from>
      <xdr:col>13</xdr:col>
      <xdr:colOff>38000</xdr:colOff>
      <xdr:row>7</xdr:row>
      <xdr:rowOff>28000</xdr:rowOff>
    </xdr:from>
    <xdr:to>
      <xdr:col>20</xdr:col>
      <xdr:colOff>0</xdr:colOff>
      <xdr:row>9</xdr:row>
      <xdr:rowOff>0</xdr:rowOff>
    </xdr:to>
    <xdr:sp macro="[0]!ImprimerRapportMensuel" textlink="">
      <xdr:nvSpPr>
        <xdr:cNvPr id="252" name="btn252"/>
        <xdr:cNvSpPr/>
      </xdr:nvSpPr>
      <xdr:spPr>
        <a:xfrm>
          <a:off x="0" y="0"/>
          <a:ext cx="0" cy="0"/>
        </a:xfrm>
        <a:prstGeom prst="roundRect">
          <a:avLst/>
        </a:prstGeom>
        <a:solidFill>
          <a:srgbClr val="2E5597"/>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Rapport mensuel</a:t>
          </a:r>
        </a:p>
      </xdr:txBody>
    </xdr:sp>
    <xdr:clientData fPrintsWithSheet="0"/>
  </xdr:twoCellAnchor>
</xdr:wsDr>
</file>

<file path=xl/drawings/drawing10.xml><?xml version="1.0" encoding="utf-8"?>
<xdr:wsDr xmlns:xdr="http://schemas.openxmlformats.org/drawingml/2006/spreadsheetDrawing" xmlns:a="http://schemas.openxmlformats.org/drawingml/2006/main" xmlns:r="http://schemas.openxmlformats.org/officeDocument/2006/relationships">
  <xdr:twoCellAnchor editAs="oneCell">
    <xdr:from>
      <xdr:col>13</xdr:col>
      <xdr:colOff>38000</xdr:colOff>
      <xdr:row>1</xdr:row>
      <xdr:rowOff>28000</xdr:rowOff>
    </xdr:from>
    <xdr:to>
      <xdr:col>20</xdr:col>
      <xdr:colOff>0</xdr:colOff>
      <xdr:row>3</xdr:row>
      <xdr:rowOff>0</xdr:rowOff>
    </xdr:to>
    <xdr:sp macro="[0]!RetourTableauDeBord" textlink="">
      <xdr:nvSpPr>
        <xdr:cNvPr id="253" name="btn253"/>
        <xdr:cNvSpPr/>
      </xdr:nvSpPr>
      <xdr:spPr>
        <a:xfrm>
          <a:off x="0" y="0"/>
          <a:ext cx="0" cy="0"/>
        </a:xfrm>
        <a:prstGeom prst="roundRect">
          <a:avLst/>
        </a:prstGeom>
        <a:solidFill>
          <a:srgbClr val="7030A0"/>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Retour au tableau de bord</a:t>
          </a:r>
        </a:p>
      </xdr:txBody>
    </xdr:sp>
    <xdr:clientData fPrintsWithSheet="0"/>
  </xdr:twoCellAnchor>
  <xdr:twoCellAnchor editAs="oneCell">
    <xdr:from>
      <xdr:col>13</xdr:col>
      <xdr:colOff>38000</xdr:colOff>
      <xdr:row>4</xdr:row>
      <xdr:rowOff>28000</xdr:rowOff>
    </xdr:from>
    <xdr:to>
      <xdr:col>20</xdr:col>
      <xdr:colOff>0</xdr:colOff>
      <xdr:row>6</xdr:row>
      <xdr:rowOff>0</xdr:rowOff>
    </xdr:to>
    <xdr:sp macro="[0]!ImpAbsencesPersonnel" textlink="">
      <xdr:nvSpPr>
        <xdr:cNvPr id="254" name="btn254"/>
        <xdr:cNvSpPr/>
      </xdr:nvSpPr>
      <xdr:spPr>
        <a:xfrm>
          <a:off x="0" y="0"/>
          <a:ext cx="0" cy="0"/>
        </a:xfrm>
        <a:prstGeom prst="roundRect">
          <a:avLst/>
        </a:prstGeom>
        <a:solidFill>
          <a:srgbClr val="1F3864"/>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Imprimer ce journal</a:t>
          </a:r>
        </a:p>
      </xdr:txBody>
    </xdr:sp>
    <xdr:clientData fPrintsWithSheet="0"/>
  </xdr:twoCellAnchor>
  <xdr:twoCellAnchor editAs="oneCell">
    <xdr:from>
      <xdr:col>13</xdr:col>
      <xdr:colOff>38000</xdr:colOff>
      <xdr:row>7</xdr:row>
      <xdr:rowOff>28000</xdr:rowOff>
    </xdr:from>
    <xdr:to>
      <xdr:col>20</xdr:col>
      <xdr:colOff>0</xdr:colOff>
      <xdr:row>9</xdr:row>
      <xdr:rowOff>0</xdr:rowOff>
    </xdr:to>
    <xdr:sp macro="[0]!ImprimerRapportMensuel" textlink="">
      <xdr:nvSpPr>
        <xdr:cNvPr id="255" name="btn255"/>
        <xdr:cNvSpPr/>
      </xdr:nvSpPr>
      <xdr:spPr>
        <a:xfrm>
          <a:off x="0" y="0"/>
          <a:ext cx="0" cy="0"/>
        </a:xfrm>
        <a:prstGeom prst="roundRect">
          <a:avLst/>
        </a:prstGeom>
        <a:solidFill>
          <a:srgbClr val="2E5597"/>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Rapport mensuel</a:t>
          </a:r>
        </a:p>
      </xdr:txBody>
    </xdr:sp>
    <xdr:clientData fPrintsWithSheet="0"/>
  </xdr:twoCellAnchor>
  <xdr:twoCellAnchor editAs="oneCell">
    <xdr:from>
      <xdr:col>13</xdr:col>
      <xdr:colOff>38000</xdr:colOff>
      <xdr:row>10</xdr:row>
      <xdr:rowOff>28000</xdr:rowOff>
    </xdr:from>
    <xdr:to>
      <xdr:col>20</xdr:col>
      <xdr:colOff>0</xdr:colOff>
      <xdr:row>12</xdr:row>
      <xdr:rowOff>0</xdr:rowOff>
    </xdr:to>
    <xdr:sp macro="[0]!ImpPersonnel" textlink="">
      <xdr:nvSpPr>
        <xdr:cNvPr id="256" name="btn256"/>
        <xdr:cNvSpPr/>
      </xdr:nvSpPr>
      <xdr:spPr>
        <a:xfrm>
          <a:off x="0" y="0"/>
          <a:ext cx="0" cy="0"/>
        </a:xfrm>
        <a:prstGeom prst="roundRect">
          <a:avLst/>
        </a:prstGeom>
        <a:solidFill>
          <a:srgbClr val="2E5597"/>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Liste du personnel</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10</xdr:col>
      <xdr:colOff>38000</xdr:colOff>
      <xdr:row>1</xdr:row>
      <xdr:rowOff>28000</xdr:rowOff>
    </xdr:from>
    <xdr:to>
      <xdr:col>17</xdr:col>
      <xdr:colOff>0</xdr:colOff>
      <xdr:row>3</xdr:row>
      <xdr:rowOff>0</xdr:rowOff>
    </xdr:to>
    <xdr:sp macro="[0]!RetourTableauDeBord" textlink="">
      <xdr:nvSpPr>
        <xdr:cNvPr id="201" name="btn201"/>
        <xdr:cNvSpPr/>
      </xdr:nvSpPr>
      <xdr:spPr>
        <a:xfrm>
          <a:off x="0" y="0"/>
          <a:ext cx="0" cy="0"/>
        </a:xfrm>
        <a:prstGeom prst="roundRect">
          <a:avLst/>
        </a:prstGeom>
        <a:solidFill>
          <a:srgbClr val="7030A0"/>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Retour au tableau de bord</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15</xdr:col>
      <xdr:colOff>38000</xdr:colOff>
      <xdr:row>1</xdr:row>
      <xdr:rowOff>28000</xdr:rowOff>
    </xdr:from>
    <xdr:to>
      <xdr:col>22</xdr:col>
      <xdr:colOff>0</xdr:colOff>
      <xdr:row>3</xdr:row>
      <xdr:rowOff>0</xdr:rowOff>
    </xdr:to>
    <xdr:sp macro="[0]!RetourTableauDeBord" textlink="">
      <xdr:nvSpPr>
        <xdr:cNvPr id="228" name="btn228"/>
        <xdr:cNvSpPr/>
      </xdr:nvSpPr>
      <xdr:spPr>
        <a:xfrm>
          <a:off x="0" y="0"/>
          <a:ext cx="0" cy="0"/>
        </a:xfrm>
        <a:prstGeom prst="roundRect">
          <a:avLst/>
        </a:prstGeom>
        <a:solidFill>
          <a:srgbClr val="7030A0"/>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Retour au tableau de bord</a:t>
          </a:r>
        </a:p>
      </xdr:txBody>
    </xdr:sp>
    <xdr:clientData fPrintsWithSheet="0"/>
  </xdr:twoCellAnchor>
  <xdr:twoCellAnchor editAs="oneCell">
    <xdr:from>
      <xdr:col>15</xdr:col>
      <xdr:colOff>38000</xdr:colOff>
      <xdr:row>4</xdr:row>
      <xdr:rowOff>28000</xdr:rowOff>
    </xdr:from>
    <xdr:to>
      <xdr:col>22</xdr:col>
      <xdr:colOff>0</xdr:colOff>
      <xdr:row>6</xdr:row>
      <xdr:rowOff>0</xdr:rowOff>
    </xdr:to>
    <xdr:sp macro="[0]!ImprimerClasse" textlink="">
      <xdr:nvSpPr>
        <xdr:cNvPr id="229" name="btn229"/>
        <xdr:cNvSpPr/>
      </xdr:nvSpPr>
      <xdr:spPr>
        <a:xfrm>
          <a:off x="0" y="0"/>
          <a:ext cx="0" cy="0"/>
        </a:xfrm>
        <a:prstGeom prst="roundRect">
          <a:avLst/>
        </a:prstGeom>
        <a:solidFill>
          <a:srgbClr val="1F3864"/>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Imprimer cette classe</a:t>
          </a:r>
        </a:p>
      </xdr:txBody>
    </xdr:sp>
    <xdr:clientData fPrintsWithSheet="0"/>
  </xdr:twoCellAnchor>
  <xdr:twoCellAnchor editAs="oneCell">
    <xdr:from>
      <xdr:col>15</xdr:col>
      <xdr:colOff>38000</xdr:colOff>
      <xdr:row>7</xdr:row>
      <xdr:rowOff>28000</xdr:rowOff>
    </xdr:from>
    <xdr:to>
      <xdr:col>22</xdr:col>
      <xdr:colOff>0</xdr:colOff>
      <xdr:row>9</xdr:row>
      <xdr:rowOff>0</xdr:rowOff>
    </xdr:to>
    <xdr:sp macro="[0]!ImprimerToutesLesClasses" textlink="">
      <xdr:nvSpPr>
        <xdr:cNvPr id="230" name="btn230"/>
        <xdr:cNvSpPr/>
      </xdr:nvSpPr>
      <xdr:spPr>
        <a:xfrm>
          <a:off x="0" y="0"/>
          <a:ext cx="0" cy="0"/>
        </a:xfrm>
        <a:prstGeom prst="roundRect">
          <a:avLst/>
        </a:prstGeom>
        <a:solidFill>
          <a:srgbClr val="2E5597"/>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Toutes les classes</a:t>
          </a:r>
        </a:p>
      </xdr:txBody>
    </xdr:sp>
    <xdr:clientData fPrintsWithSheet="0"/>
  </xdr:twoCellAnchor>
  <xdr:twoCellAnchor editAs="oneCell">
    <xdr:from>
      <xdr:col>15</xdr:col>
      <xdr:colOff>38000</xdr:colOff>
      <xdr:row>10</xdr:row>
      <xdr:rowOff>28000</xdr:rowOff>
    </xdr:from>
    <xdr:to>
      <xdr:col>22</xdr:col>
      <xdr:colOff>0</xdr:colOff>
      <xdr:row>12</xdr:row>
      <xdr:rowOff>0</xdr:rowOff>
    </xdr:to>
    <xdr:sp macro="[0]!ExporterPDFClasse" textlink="">
      <xdr:nvSpPr>
        <xdr:cNvPr id="231" name="btn231"/>
        <xdr:cNvSpPr/>
      </xdr:nvSpPr>
      <xdr:spPr>
        <a:xfrm>
          <a:off x="0" y="0"/>
          <a:ext cx="0" cy="0"/>
        </a:xfrm>
        <a:prstGeom prst="roundRect">
          <a:avLst/>
        </a:prstGeom>
        <a:solidFill>
          <a:srgbClr val="1E8449"/>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Exporter en PDF</a:t>
          </a:r>
        </a:p>
      </xdr:txBody>
    </xdr:sp>
    <xdr:clientData fPrintsWithSheet="0"/>
  </xdr:twoCellAnchor>
  <xdr:twoCellAnchor editAs="oneCell">
    <xdr:from>
      <xdr:col>15</xdr:col>
      <xdr:colOff>38000</xdr:colOff>
      <xdr:row>13</xdr:row>
      <xdr:rowOff>28000</xdr:rowOff>
    </xdr:from>
    <xdr:to>
      <xdr:col>22</xdr:col>
      <xdr:colOff>0</xdr:colOff>
      <xdr:row>15</xdr:row>
      <xdr:rowOff>0</xdr:rowOff>
    </xdr:to>
    <xdr:sp macro="[0]!ImprimerEffectifs" textlink="">
      <xdr:nvSpPr>
        <xdr:cNvPr id="232" name="btn232"/>
        <xdr:cNvSpPr/>
      </xdr:nvSpPr>
      <xdr:spPr>
        <a:xfrm>
          <a:off x="0" y="0"/>
          <a:ext cx="0" cy="0"/>
        </a:xfrm>
        <a:prstGeom prst="roundRect">
          <a:avLst/>
        </a:prstGeom>
        <a:solidFill>
          <a:srgbClr val="2E5597"/>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Tableau des effectifs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25</xdr:col>
      <xdr:colOff>38000</xdr:colOff>
      <xdr:row>1</xdr:row>
      <xdr:rowOff>28000</xdr:rowOff>
    </xdr:from>
    <xdr:to>
      <xdr:col>32</xdr:col>
      <xdr:colOff>0</xdr:colOff>
      <xdr:row>3</xdr:row>
      <xdr:rowOff>0</xdr:rowOff>
    </xdr:to>
    <xdr:sp macro="[0]!RetourTableauDeBord" textlink="">
      <xdr:nvSpPr>
        <xdr:cNvPr id="233" name="btn233"/>
        <xdr:cNvSpPr/>
      </xdr:nvSpPr>
      <xdr:spPr>
        <a:xfrm>
          <a:off x="0" y="0"/>
          <a:ext cx="0" cy="0"/>
        </a:xfrm>
        <a:prstGeom prst="roundRect">
          <a:avLst/>
        </a:prstGeom>
        <a:solidFill>
          <a:srgbClr val="7030A0"/>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Retour au tableau de bord</a:t>
          </a:r>
        </a:p>
      </xdr:txBody>
    </xdr:sp>
    <xdr:clientData fPrintsWithSheet="0"/>
  </xdr:twoCellAnchor>
  <xdr:twoCellAnchor editAs="oneCell">
    <xdr:from>
      <xdr:col>25</xdr:col>
      <xdr:colOff>38000</xdr:colOff>
      <xdr:row>4</xdr:row>
      <xdr:rowOff>28000</xdr:rowOff>
    </xdr:from>
    <xdr:to>
      <xdr:col>32</xdr:col>
      <xdr:colOff>0</xdr:colOff>
      <xdr:row>6</xdr:row>
      <xdr:rowOff>0</xdr:rowOff>
    </xdr:to>
    <xdr:sp macro="[0]!ImprimerEffectifs" textlink="">
      <xdr:nvSpPr>
        <xdr:cNvPr id="234" name="btn234"/>
        <xdr:cNvSpPr/>
      </xdr:nvSpPr>
      <xdr:spPr>
        <a:xfrm>
          <a:off x="0" y="0"/>
          <a:ext cx="0" cy="0"/>
        </a:xfrm>
        <a:prstGeom prst="roundRect">
          <a:avLst/>
        </a:prstGeom>
        <a:solidFill>
          <a:srgbClr val="1F3864"/>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Imprimer les effectifs</a:t>
          </a:r>
        </a:p>
      </xdr:txBody>
    </xdr:sp>
    <xdr:clientData fPrintsWithSheet="0"/>
  </xdr:twoCellAnchor>
  <xdr:twoCellAnchor editAs="oneCell">
    <xdr:from>
      <xdr:col>25</xdr:col>
      <xdr:colOff>38000</xdr:colOff>
      <xdr:row>7</xdr:row>
      <xdr:rowOff>28000</xdr:rowOff>
    </xdr:from>
    <xdr:to>
      <xdr:col>32</xdr:col>
      <xdr:colOff>0</xdr:colOff>
      <xdr:row>9</xdr:row>
      <xdr:rowOff>0</xdr:rowOff>
    </xdr:to>
    <xdr:sp macro="[0]!ImprimerSyntheseAnnee" textlink="">
      <xdr:nvSpPr>
        <xdr:cNvPr id="235" name="btn235"/>
        <xdr:cNvSpPr/>
      </xdr:nvSpPr>
      <xdr:spPr>
        <a:xfrm>
          <a:off x="0" y="0"/>
          <a:ext cx="0" cy="0"/>
        </a:xfrm>
        <a:prstGeom prst="roundRect">
          <a:avLst/>
        </a:prstGeom>
        <a:solidFill>
          <a:srgbClr val="2E5597"/>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Synthèse de fin d'année</a:t>
          </a:r>
        </a:p>
      </xdr:txBody>
    </xdr:sp>
    <xdr:clientData fPrintsWithSheet="0"/>
  </xdr:twoCellAnchor>
  <xdr:twoCellAnchor editAs="oneCell">
    <xdr:from>
      <xdr:col>25</xdr:col>
      <xdr:colOff>38000</xdr:colOff>
      <xdr:row>10</xdr:row>
      <xdr:rowOff>28000</xdr:rowOff>
    </xdr:from>
    <xdr:to>
      <xdr:col>32</xdr:col>
      <xdr:colOff>0</xdr:colOff>
      <xdr:row>12</xdr:row>
      <xdr:rowOff>0</xdr:rowOff>
    </xdr:to>
    <xdr:sp macro="[0]!ImprimerRapportRentree" textlink="">
      <xdr:nvSpPr>
        <xdr:cNvPr id="236" name="btn236"/>
        <xdr:cNvSpPr/>
      </xdr:nvSpPr>
      <xdr:spPr>
        <a:xfrm>
          <a:off x="0" y="0"/>
          <a:ext cx="0" cy="0"/>
        </a:xfrm>
        <a:prstGeom prst="roundRect">
          <a:avLst/>
        </a:prstGeom>
        <a:solidFill>
          <a:srgbClr val="2E5597"/>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Rapport de rentrée</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23</xdr:col>
      <xdr:colOff>38000</xdr:colOff>
      <xdr:row>1</xdr:row>
      <xdr:rowOff>28000</xdr:rowOff>
    </xdr:from>
    <xdr:to>
      <xdr:col>30</xdr:col>
      <xdr:colOff>0</xdr:colOff>
      <xdr:row>3</xdr:row>
      <xdr:rowOff>0</xdr:rowOff>
    </xdr:to>
    <xdr:sp macro="[0]!RetourTableauDeBord" textlink="">
      <xdr:nvSpPr>
        <xdr:cNvPr id="237" name="btn237"/>
        <xdr:cNvSpPr/>
      </xdr:nvSpPr>
      <xdr:spPr>
        <a:xfrm>
          <a:off x="0" y="0"/>
          <a:ext cx="0" cy="0"/>
        </a:xfrm>
        <a:prstGeom prst="roundRect">
          <a:avLst/>
        </a:prstGeom>
        <a:solidFill>
          <a:srgbClr val="7030A0"/>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Retour au tableau de bord</a:t>
          </a:r>
        </a:p>
      </xdr:txBody>
    </xdr:sp>
    <xdr:clientData fPrintsWithSheet="0"/>
  </xdr:twoCellAnchor>
  <xdr:twoCellAnchor editAs="oneCell">
    <xdr:from>
      <xdr:col>23</xdr:col>
      <xdr:colOff>38000</xdr:colOff>
      <xdr:row>4</xdr:row>
      <xdr:rowOff>28000</xdr:rowOff>
    </xdr:from>
    <xdr:to>
      <xdr:col>30</xdr:col>
      <xdr:colOff>0</xdr:colOff>
      <xdr:row>6</xdr:row>
      <xdr:rowOff>0</xdr:rowOff>
    </xdr:to>
    <xdr:sp macro="[0]!ImprimerSyntheseAnnee" textlink="">
      <xdr:nvSpPr>
        <xdr:cNvPr id="238" name="btn238"/>
        <xdr:cNvSpPr/>
      </xdr:nvSpPr>
      <xdr:spPr>
        <a:xfrm>
          <a:off x="0" y="0"/>
          <a:ext cx="0" cy="0"/>
        </a:xfrm>
        <a:prstGeom prst="roundRect">
          <a:avLst/>
        </a:prstGeom>
        <a:solidFill>
          <a:srgbClr val="1F3864"/>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Imprimer la synthèse</a:t>
          </a:r>
        </a:p>
      </xdr:txBody>
    </xdr:sp>
    <xdr:clientData fPrintsWithSheet="0"/>
  </xdr:twoCellAnchor>
  <xdr:twoCellAnchor editAs="oneCell">
    <xdr:from>
      <xdr:col>23</xdr:col>
      <xdr:colOff>38000</xdr:colOff>
      <xdr:row>7</xdr:row>
      <xdr:rowOff>28000</xdr:rowOff>
    </xdr:from>
    <xdr:to>
      <xdr:col>30</xdr:col>
      <xdr:colOff>0</xdr:colOff>
      <xdr:row>9</xdr:row>
      <xdr:rowOff>0</xdr:rowOff>
    </xdr:to>
    <xdr:sp macro="[0]!ImprimerResultats" textlink="">
      <xdr:nvSpPr>
        <xdr:cNvPr id="239" name="btn239"/>
        <xdr:cNvSpPr/>
      </xdr:nvSpPr>
      <xdr:spPr>
        <a:xfrm>
          <a:off x="0" y="0"/>
          <a:ext cx="0" cy="0"/>
        </a:xfrm>
        <a:prstGeom prst="roundRect">
          <a:avLst/>
        </a:prstGeom>
        <a:solidFill>
          <a:srgbClr val="2E5597"/>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Résultats</a:t>
          </a:r>
        </a:p>
      </xdr:txBody>
    </xdr:sp>
    <xdr:clientData fPrintsWithSheet="0"/>
  </xdr:twoCellAnchor>
  <xdr:twoCellAnchor editAs="oneCell">
    <xdr:from>
      <xdr:col>23</xdr:col>
      <xdr:colOff>38000</xdr:colOff>
      <xdr:row>10</xdr:row>
      <xdr:rowOff>28000</xdr:rowOff>
    </xdr:from>
    <xdr:to>
      <xdr:col>30</xdr:col>
      <xdr:colOff>0</xdr:colOff>
      <xdr:row>12</xdr:row>
      <xdr:rowOff>0</xdr:rowOff>
    </xdr:to>
    <xdr:sp macro="[0]!ImprimerEffectifs" textlink="">
      <xdr:nvSpPr>
        <xdr:cNvPr id="240" name="btn240"/>
        <xdr:cNvSpPr/>
      </xdr:nvSpPr>
      <xdr:spPr>
        <a:xfrm>
          <a:off x="0" y="0"/>
          <a:ext cx="0" cy="0"/>
        </a:xfrm>
        <a:prstGeom prst="roundRect">
          <a:avLst/>
        </a:prstGeom>
        <a:solidFill>
          <a:srgbClr val="2E5597"/>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Tableau des effectifs</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22</xdr:col>
      <xdr:colOff>38000</xdr:colOff>
      <xdr:row>1</xdr:row>
      <xdr:rowOff>28000</xdr:rowOff>
    </xdr:from>
    <xdr:to>
      <xdr:col>30</xdr:col>
      <xdr:colOff>0</xdr:colOff>
      <xdr:row>3</xdr:row>
      <xdr:rowOff>0</xdr:rowOff>
    </xdr:to>
    <xdr:sp macro="[0]!RetourTableauDeBord" textlink="">
      <xdr:nvSpPr>
        <xdr:cNvPr id="241" name="btn241"/>
        <xdr:cNvSpPr/>
      </xdr:nvSpPr>
      <xdr:spPr>
        <a:xfrm>
          <a:off x="0" y="0"/>
          <a:ext cx="0" cy="0"/>
        </a:xfrm>
        <a:prstGeom prst="roundRect">
          <a:avLst/>
        </a:prstGeom>
        <a:solidFill>
          <a:srgbClr val="7030A0"/>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Retour au tableau de bord</a:t>
          </a:r>
        </a:p>
      </xdr:txBody>
    </xdr:sp>
    <xdr:clientData fPrintsWithSheet="0"/>
  </xdr:twoCellAnchor>
  <xdr:twoCellAnchor editAs="oneCell">
    <xdr:from>
      <xdr:col>22</xdr:col>
      <xdr:colOff>38000</xdr:colOff>
      <xdr:row>4</xdr:row>
      <xdr:rowOff>28000</xdr:rowOff>
    </xdr:from>
    <xdr:to>
      <xdr:col>30</xdr:col>
      <xdr:colOff>0</xdr:colOff>
      <xdr:row>6</xdr:row>
      <xdr:rowOff>0</xdr:rowOff>
    </xdr:to>
    <xdr:sp macro="[0]!ImprimerRapportComposition" textlink="">
      <xdr:nvSpPr>
        <xdr:cNvPr id="242" name="btn242"/>
        <xdr:cNvSpPr/>
      </xdr:nvSpPr>
      <xdr:spPr>
        <a:xfrm>
          <a:off x="0" y="0"/>
          <a:ext cx="0" cy="0"/>
        </a:xfrm>
        <a:prstGeom prst="roundRect">
          <a:avLst/>
        </a:prstGeom>
        <a:solidFill>
          <a:srgbClr val="1F3864"/>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Imprimer le rapport</a:t>
          </a:r>
        </a:p>
      </xdr:txBody>
    </xdr:sp>
    <xdr:clientData fPrintsWithSheet="0"/>
  </xdr:twoCellAnchor>
  <xdr:twoCellAnchor editAs="oneCell">
    <xdr:from>
      <xdr:col>22</xdr:col>
      <xdr:colOff>38000</xdr:colOff>
      <xdr:row>7</xdr:row>
      <xdr:rowOff>28000</xdr:rowOff>
    </xdr:from>
    <xdr:to>
      <xdr:col>30</xdr:col>
      <xdr:colOff>0</xdr:colOff>
      <xdr:row>9</xdr:row>
      <xdr:rowOff>0</xdr:rowOff>
    </xdr:to>
    <xdr:sp macro="[0]!ExporterRapportCompositionPDF" textlink="">
      <xdr:nvSpPr>
        <xdr:cNvPr id="243" name="btn243"/>
        <xdr:cNvSpPr/>
      </xdr:nvSpPr>
      <xdr:spPr>
        <a:xfrm>
          <a:off x="0" y="0"/>
          <a:ext cx="0" cy="0"/>
        </a:xfrm>
        <a:prstGeom prst="roundRect">
          <a:avLst/>
        </a:prstGeom>
        <a:solidFill>
          <a:srgbClr val="1E8449"/>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Exporter en PDF</a:t>
          </a:r>
        </a:p>
      </xdr:txBody>
    </xdr:sp>
    <xdr:clientData fPrintsWithSheet="0"/>
  </xdr:twoCellAnchor>
  <xdr:twoCellAnchor editAs="oneCell">
    <xdr:from>
      <xdr:col>22</xdr:col>
      <xdr:colOff>38000</xdr:colOff>
      <xdr:row>10</xdr:row>
      <xdr:rowOff>28000</xdr:rowOff>
    </xdr:from>
    <xdr:to>
      <xdr:col>30</xdr:col>
      <xdr:colOff>0</xdr:colOff>
      <xdr:row>12</xdr:row>
      <xdr:rowOff>0</xdr:rowOff>
    </xdr:to>
    <xdr:sp macro="[0]!ImprimerResultats" textlink="">
      <xdr:nvSpPr>
        <xdr:cNvPr id="244" name="btn244"/>
        <xdr:cNvSpPr/>
      </xdr:nvSpPr>
      <xdr:spPr>
        <a:xfrm>
          <a:off x="0" y="0"/>
          <a:ext cx="0" cy="0"/>
        </a:xfrm>
        <a:prstGeom prst="roundRect">
          <a:avLst/>
        </a:prstGeom>
        <a:solidFill>
          <a:srgbClr val="2E5597"/>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Résultats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22</xdr:col>
      <xdr:colOff>38000</xdr:colOff>
      <xdr:row>1</xdr:row>
      <xdr:rowOff>28000</xdr:rowOff>
    </xdr:from>
    <xdr:to>
      <xdr:col>29</xdr:col>
      <xdr:colOff>0</xdr:colOff>
      <xdr:row>3</xdr:row>
      <xdr:rowOff>0</xdr:rowOff>
    </xdr:to>
    <xdr:sp macro="[0]!RetourTableauDeBord" textlink="">
      <xdr:nvSpPr>
        <xdr:cNvPr id="245" name="btn245"/>
        <xdr:cNvSpPr/>
      </xdr:nvSpPr>
      <xdr:spPr>
        <a:xfrm>
          <a:off x="0" y="0"/>
          <a:ext cx="0" cy="0"/>
        </a:xfrm>
        <a:prstGeom prst="roundRect">
          <a:avLst/>
        </a:prstGeom>
        <a:solidFill>
          <a:srgbClr val="7030A0"/>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Retour au tableau de bord</a:t>
          </a:r>
        </a:p>
      </xdr:txBody>
    </xdr:sp>
    <xdr:clientData fPrintsWithSheet="0"/>
  </xdr:twoCellAnchor>
  <xdr:twoCellAnchor editAs="oneCell">
    <xdr:from>
      <xdr:col>22</xdr:col>
      <xdr:colOff>38000</xdr:colOff>
      <xdr:row>4</xdr:row>
      <xdr:rowOff>28000</xdr:rowOff>
    </xdr:from>
    <xdr:to>
      <xdr:col>29</xdr:col>
      <xdr:colOff>0</xdr:colOff>
      <xdr:row>6</xdr:row>
      <xdr:rowOff>0</xdr:rowOff>
    </xdr:to>
    <xdr:sp macro="[0]!ImprimerRapportRentree" textlink="">
      <xdr:nvSpPr>
        <xdr:cNvPr id="246" name="btn246"/>
        <xdr:cNvSpPr/>
      </xdr:nvSpPr>
      <xdr:spPr>
        <a:xfrm>
          <a:off x="0" y="0"/>
          <a:ext cx="0" cy="0"/>
        </a:xfrm>
        <a:prstGeom prst="roundRect">
          <a:avLst/>
        </a:prstGeom>
        <a:solidFill>
          <a:srgbClr val="1F3864"/>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Imprimer le rapport</a:t>
          </a:r>
        </a:p>
      </xdr:txBody>
    </xdr:sp>
    <xdr:clientData fPrintsWithSheet="0"/>
  </xdr:twoCellAnchor>
  <xdr:twoCellAnchor editAs="oneCell">
    <xdr:from>
      <xdr:col>22</xdr:col>
      <xdr:colOff>38000</xdr:colOff>
      <xdr:row>7</xdr:row>
      <xdr:rowOff>28000</xdr:rowOff>
    </xdr:from>
    <xdr:to>
      <xdr:col>29</xdr:col>
      <xdr:colOff>0</xdr:colOff>
      <xdr:row>9</xdr:row>
      <xdr:rowOff>0</xdr:rowOff>
    </xdr:to>
    <xdr:sp macro="[0]!ExporterRapportRentreePDF" textlink="">
      <xdr:nvSpPr>
        <xdr:cNvPr id="247" name="btn247"/>
        <xdr:cNvSpPr/>
      </xdr:nvSpPr>
      <xdr:spPr>
        <a:xfrm>
          <a:off x="0" y="0"/>
          <a:ext cx="0" cy="0"/>
        </a:xfrm>
        <a:prstGeom prst="roundRect">
          <a:avLst/>
        </a:prstGeom>
        <a:solidFill>
          <a:srgbClr val="1E8449"/>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Exporter en PDF</a:t>
          </a:r>
        </a:p>
      </xdr:txBody>
    </xdr:sp>
    <xdr:clientData fPrintsWithSheet="0"/>
  </xdr:twoCellAnchor>
  <xdr:twoCellAnchor editAs="oneCell">
    <xdr:from>
      <xdr:col>22</xdr:col>
      <xdr:colOff>38000</xdr:colOff>
      <xdr:row>10</xdr:row>
      <xdr:rowOff>28000</xdr:rowOff>
    </xdr:from>
    <xdr:to>
      <xdr:col>29</xdr:col>
      <xdr:colOff>0</xdr:colOff>
      <xdr:row>12</xdr:row>
      <xdr:rowOff>0</xdr:rowOff>
    </xdr:to>
    <xdr:sp macro="[0]!ImpPersonnel" textlink="">
      <xdr:nvSpPr>
        <xdr:cNvPr id="248" name="btn248"/>
        <xdr:cNvSpPr/>
      </xdr:nvSpPr>
      <xdr:spPr>
        <a:xfrm>
          <a:off x="0" y="0"/>
          <a:ext cx="0" cy="0"/>
        </a:xfrm>
        <a:prstGeom prst="roundRect">
          <a:avLst/>
        </a:prstGeom>
        <a:solidFill>
          <a:srgbClr val="2E5597"/>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Liste du personnel</a:t>
          </a:r>
        </a:p>
      </xdr:txBody>
    </xdr:sp>
    <xdr:clientData fPrintsWithSheet="0"/>
  </xdr:twoCellAnchor>
  <xdr:twoCellAnchor editAs="oneCell">
    <xdr:from>
      <xdr:col>22</xdr:col>
      <xdr:colOff>38000</xdr:colOff>
      <xdr:row>13</xdr:row>
      <xdr:rowOff>28000</xdr:rowOff>
    </xdr:from>
    <xdr:to>
      <xdr:col>29</xdr:col>
      <xdr:colOff>0</xdr:colOff>
      <xdr:row>15</xdr:row>
      <xdr:rowOff>0</xdr:rowOff>
    </xdr:to>
    <xdr:sp macro="[0]!ImprimerEffectifs" textlink="">
      <xdr:nvSpPr>
        <xdr:cNvPr id="249" name="btn249"/>
        <xdr:cNvSpPr/>
      </xdr:nvSpPr>
      <xdr:spPr>
        <a:xfrm>
          <a:off x="0" y="0"/>
          <a:ext cx="0" cy="0"/>
        </a:xfrm>
        <a:prstGeom prst="roundRect">
          <a:avLst/>
        </a:prstGeom>
        <a:solidFill>
          <a:srgbClr val="2E5597"/>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Tableau des effectifs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oneCell">
    <xdr:from>
      <xdr:col>14</xdr:col>
      <xdr:colOff>38000</xdr:colOff>
      <xdr:row>1</xdr:row>
      <xdr:rowOff>28000</xdr:rowOff>
    </xdr:from>
    <xdr:to>
      <xdr:col>23</xdr:col>
      <xdr:colOff>0</xdr:colOff>
      <xdr:row>3</xdr:row>
      <xdr:rowOff>0</xdr:rowOff>
    </xdr:to>
    <xdr:sp macro="[0]!RetourTableauDeBord" textlink="">
      <xdr:nvSpPr>
        <xdr:cNvPr id="257" name="btn257"/>
        <xdr:cNvSpPr/>
      </xdr:nvSpPr>
      <xdr:spPr>
        <a:xfrm>
          <a:off x="0" y="0"/>
          <a:ext cx="0" cy="0"/>
        </a:xfrm>
        <a:prstGeom prst="roundRect">
          <a:avLst/>
        </a:prstGeom>
        <a:solidFill>
          <a:srgbClr val="7030A0"/>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Retour au tableau de bord</a:t>
          </a:r>
        </a:p>
      </xdr:txBody>
    </xdr:sp>
    <xdr:clientData fPrintsWithSheet="0"/>
  </xdr:twoCellAnchor>
  <xdr:twoCellAnchor editAs="oneCell">
    <xdr:from>
      <xdr:col>14</xdr:col>
      <xdr:colOff>38000</xdr:colOff>
      <xdr:row>4</xdr:row>
      <xdr:rowOff>28000</xdr:rowOff>
    </xdr:from>
    <xdr:to>
      <xdr:col>23</xdr:col>
      <xdr:colOff>0</xdr:colOff>
      <xdr:row>6</xdr:row>
      <xdr:rowOff>0</xdr:rowOff>
    </xdr:to>
    <xdr:sp macro="[0]!ImprimerRapportMensuel" textlink="">
      <xdr:nvSpPr>
        <xdr:cNvPr id="258" name="btn258"/>
        <xdr:cNvSpPr/>
      </xdr:nvSpPr>
      <xdr:spPr>
        <a:xfrm>
          <a:off x="0" y="0"/>
          <a:ext cx="0" cy="0"/>
        </a:xfrm>
        <a:prstGeom prst="roundRect">
          <a:avLst/>
        </a:prstGeom>
        <a:solidFill>
          <a:srgbClr val="1F3864"/>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Imprimer le rapport</a:t>
          </a:r>
        </a:p>
      </xdr:txBody>
    </xdr:sp>
    <xdr:clientData fPrintsWithSheet="0"/>
  </xdr:twoCellAnchor>
  <xdr:twoCellAnchor editAs="oneCell">
    <xdr:from>
      <xdr:col>14</xdr:col>
      <xdr:colOff>38000</xdr:colOff>
      <xdr:row>7</xdr:row>
      <xdr:rowOff>28000</xdr:rowOff>
    </xdr:from>
    <xdr:to>
      <xdr:col>23</xdr:col>
      <xdr:colOff>0</xdr:colOff>
      <xdr:row>9</xdr:row>
      <xdr:rowOff>0</xdr:rowOff>
    </xdr:to>
    <xdr:sp macro="[0]!ExporterRapportMensuelPDF" textlink="">
      <xdr:nvSpPr>
        <xdr:cNvPr id="259" name="btn259"/>
        <xdr:cNvSpPr/>
      </xdr:nvSpPr>
      <xdr:spPr>
        <a:xfrm>
          <a:off x="0" y="0"/>
          <a:ext cx="0" cy="0"/>
        </a:xfrm>
        <a:prstGeom prst="roundRect">
          <a:avLst/>
        </a:prstGeom>
        <a:solidFill>
          <a:srgbClr val="1E8449"/>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Exporter en PDF</a:t>
          </a:r>
        </a:p>
      </xdr:txBody>
    </xdr:sp>
    <xdr:clientData fPrintsWithSheet="0"/>
  </xdr:twoCellAnchor>
  <xdr:twoCellAnchor editAs="oneCell">
    <xdr:from>
      <xdr:col>14</xdr:col>
      <xdr:colOff>38000</xdr:colOff>
      <xdr:row>10</xdr:row>
      <xdr:rowOff>28000</xdr:rowOff>
    </xdr:from>
    <xdr:to>
      <xdr:col>23</xdr:col>
      <xdr:colOff>0</xdr:colOff>
      <xdr:row>12</xdr:row>
      <xdr:rowOff>0</xdr:rowOff>
    </xdr:to>
    <xdr:sp macro="[0]!ImpAbsencesEleves" textlink="">
      <xdr:nvSpPr>
        <xdr:cNvPr id="260" name="btn260"/>
        <xdr:cNvSpPr/>
      </xdr:nvSpPr>
      <xdr:spPr>
        <a:xfrm>
          <a:off x="0" y="0"/>
          <a:ext cx="0" cy="0"/>
        </a:xfrm>
        <a:prstGeom prst="roundRect">
          <a:avLst/>
        </a:prstGeom>
        <a:solidFill>
          <a:srgbClr val="2E5597"/>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Journal des absences élèves</a:t>
          </a:r>
        </a:p>
      </xdr:txBody>
    </xdr:sp>
    <xdr:clientData fPrintsWithSheet="0"/>
  </xdr:twoCellAnchor>
  <xdr:twoCellAnchor editAs="oneCell">
    <xdr:from>
      <xdr:col>14</xdr:col>
      <xdr:colOff>38000</xdr:colOff>
      <xdr:row>13</xdr:row>
      <xdr:rowOff>28000</xdr:rowOff>
    </xdr:from>
    <xdr:to>
      <xdr:col>23</xdr:col>
      <xdr:colOff>0</xdr:colOff>
      <xdr:row>15</xdr:row>
      <xdr:rowOff>0</xdr:rowOff>
    </xdr:to>
    <xdr:sp macro="[0]!ImpAbsencesPersonnel" textlink="">
      <xdr:nvSpPr>
        <xdr:cNvPr id="261" name="btn261"/>
        <xdr:cNvSpPr/>
      </xdr:nvSpPr>
      <xdr:spPr>
        <a:xfrm>
          <a:off x="0" y="0"/>
          <a:ext cx="0" cy="0"/>
        </a:xfrm>
        <a:prstGeom prst="roundRect">
          <a:avLst/>
        </a:prstGeom>
        <a:solidFill>
          <a:srgbClr val="2E5597"/>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Journal des absences personnel</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editAs="oneCell">
    <xdr:from>
      <xdr:col>16</xdr:col>
      <xdr:colOff>38000</xdr:colOff>
      <xdr:row>1</xdr:row>
      <xdr:rowOff>28000</xdr:rowOff>
    </xdr:from>
    <xdr:to>
      <xdr:col>23</xdr:col>
      <xdr:colOff>0</xdr:colOff>
      <xdr:row>3</xdr:row>
      <xdr:rowOff>0</xdr:rowOff>
    </xdr:to>
    <xdr:sp macro="[0]!RetourTableauDeBord" textlink="">
      <xdr:nvSpPr>
        <xdr:cNvPr id="262" name="btn262"/>
        <xdr:cNvSpPr/>
      </xdr:nvSpPr>
      <xdr:spPr>
        <a:xfrm>
          <a:off x="0" y="0"/>
          <a:ext cx="0" cy="0"/>
        </a:xfrm>
        <a:prstGeom prst="roundRect">
          <a:avLst/>
        </a:prstGeom>
        <a:solidFill>
          <a:srgbClr val="7030A0"/>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Retour au tableau de bord</a:t>
          </a:r>
        </a:p>
      </xdr:txBody>
    </xdr:sp>
    <xdr:clientData fPrintsWithSheet="0"/>
  </xdr:twoCellAnchor>
  <xdr:twoCellAnchor editAs="oneCell">
    <xdr:from>
      <xdr:col>16</xdr:col>
      <xdr:colOff>38000</xdr:colOff>
      <xdr:row>4</xdr:row>
      <xdr:rowOff>28000</xdr:rowOff>
    </xdr:from>
    <xdr:to>
      <xdr:col>23</xdr:col>
      <xdr:colOff>0</xdr:colOff>
      <xdr:row>6</xdr:row>
      <xdr:rowOff>0</xdr:rowOff>
    </xdr:to>
    <xdr:sp macro="[0]!ImpPersonnel" textlink="">
      <xdr:nvSpPr>
        <xdr:cNvPr id="263" name="btn263"/>
        <xdr:cNvSpPr/>
      </xdr:nvSpPr>
      <xdr:spPr>
        <a:xfrm>
          <a:off x="0" y="0"/>
          <a:ext cx="0" cy="0"/>
        </a:xfrm>
        <a:prstGeom prst="roundRect">
          <a:avLst/>
        </a:prstGeom>
        <a:solidFill>
          <a:srgbClr val="1F3864"/>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Imprimer la liste</a:t>
          </a:r>
        </a:p>
      </xdr:txBody>
    </xdr:sp>
    <xdr:clientData fPrintsWithSheet="0"/>
  </xdr:twoCellAnchor>
  <xdr:twoCellAnchor editAs="oneCell">
    <xdr:from>
      <xdr:col>16</xdr:col>
      <xdr:colOff>38000</xdr:colOff>
      <xdr:row>7</xdr:row>
      <xdr:rowOff>28000</xdr:rowOff>
    </xdr:from>
    <xdr:to>
      <xdr:col>23</xdr:col>
      <xdr:colOff>0</xdr:colOff>
      <xdr:row>9</xdr:row>
      <xdr:rowOff>0</xdr:rowOff>
    </xdr:to>
    <xdr:sp macro="[0]!ImprimerRapportRentree" textlink="">
      <xdr:nvSpPr>
        <xdr:cNvPr id="264" name="btn264"/>
        <xdr:cNvSpPr/>
      </xdr:nvSpPr>
      <xdr:spPr>
        <a:xfrm>
          <a:off x="0" y="0"/>
          <a:ext cx="0" cy="0"/>
        </a:xfrm>
        <a:prstGeom prst="roundRect">
          <a:avLst/>
        </a:prstGeom>
        <a:solidFill>
          <a:srgbClr val="2E5597"/>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Rapport de rentrée</a:t>
          </a:r>
        </a:p>
      </xdr:txBody>
    </xdr:sp>
    <xdr:clientData fPrintsWithSheet="0"/>
  </xdr:twoCellAnchor>
  <xdr:twoCellAnchor editAs="oneCell">
    <xdr:from>
      <xdr:col>16</xdr:col>
      <xdr:colOff>38000</xdr:colOff>
      <xdr:row>10</xdr:row>
      <xdr:rowOff>28000</xdr:rowOff>
    </xdr:from>
    <xdr:to>
      <xdr:col>23</xdr:col>
      <xdr:colOff>0</xdr:colOff>
      <xdr:row>12</xdr:row>
      <xdr:rowOff>0</xdr:rowOff>
    </xdr:to>
    <xdr:sp macro="[0]!ImpAbsencesPersonnel" textlink="">
      <xdr:nvSpPr>
        <xdr:cNvPr id="265" name="btn265"/>
        <xdr:cNvSpPr/>
      </xdr:nvSpPr>
      <xdr:spPr>
        <a:xfrm>
          <a:off x="0" y="0"/>
          <a:ext cx="0" cy="0"/>
        </a:xfrm>
        <a:prstGeom prst="roundRect">
          <a:avLst/>
        </a:prstGeom>
        <a:solidFill>
          <a:srgbClr val="2E5597"/>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Absences du personnel</a:t>
          </a:r>
        </a:p>
      </xdr:txBody>
    </xdr:sp>
    <xdr:clientData fPrintsWithSheet="0"/>
  </xdr:twoCellAnchor>
</xdr:wsDr>
</file>

<file path=xl/drawings/drawing19.xml><?xml version="1.0" encoding="utf-8"?>
<xdr:wsDr xmlns:xdr="http://schemas.openxmlformats.org/drawingml/2006/spreadsheetDrawing" xmlns:a="http://schemas.openxmlformats.org/drawingml/2006/main">
  <xdr:twoCellAnchor editAs="oneCell">
    <xdr:from>
      <xdr:col>2</xdr:col>
      <xdr:colOff>38000</xdr:colOff>
      <xdr:row>1</xdr:row>
      <xdr:rowOff>28000</xdr:rowOff>
    </xdr:from>
    <xdr:to>
      <xdr:col>9</xdr:col>
      <xdr:colOff>0</xdr:colOff>
      <xdr:row>3</xdr:row>
      <xdr:rowOff>0</xdr:rowOff>
    </xdr:to>
    <xdr:sp macro="[0]!RetourTableauDeBord" textlink="">
      <xdr:nvSpPr>
        <xdr:cNvPr id="266" name="btn266"/>
        <xdr:cNvSpPr/>
      </xdr:nvSpPr>
      <xdr:spPr>
        <a:xfrm>
          <a:off x="0" y="0"/>
          <a:ext cx="0" cy="0"/>
        </a:xfrm>
        <a:prstGeom prst="roundRect">
          <a:avLst/>
        </a:prstGeom>
        <a:solidFill>
          <a:srgbClr val="7030A0"/>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Retour au tableau de bord</a:t>
          </a:r>
        </a:p>
      </xdr:txBody>
    </xdr:sp>
    <xdr:clientData fPrintsWithSheet="0"/>
  </xdr:twoCellAnchor>
  <xdr:twoCellAnchor editAs="oneCell">
    <xdr:from>
      <xdr:col>2</xdr:col>
      <xdr:colOff>38000</xdr:colOff>
      <xdr:row>4</xdr:row>
      <xdr:rowOff>28000</xdr:rowOff>
    </xdr:from>
    <xdr:to>
      <xdr:col>9</xdr:col>
      <xdr:colOff>0</xdr:colOff>
      <xdr:row>6</xdr:row>
      <xdr:rowOff>0</xdr:rowOff>
    </xdr:to>
    <xdr:sp macro="[0]!ImprimerNotice" textlink="">
      <xdr:nvSpPr>
        <xdr:cNvPr id="267" name="btn267"/>
        <xdr:cNvSpPr/>
      </xdr:nvSpPr>
      <xdr:spPr>
        <a:xfrm>
          <a:off x="0" y="0"/>
          <a:ext cx="0" cy="0"/>
        </a:xfrm>
        <a:prstGeom prst="roundRect">
          <a:avLst/>
        </a:prstGeom>
        <a:solidFill>
          <a:srgbClr val="1F3864"/>
        </a:solidFill>
        <a:ln w="9525">
          <a:solidFill>
            <a:srgbClr val="FFFFFF"/>
          </a:solidFill>
        </a:ln>
        <a:effectLst>
          <a:outerShdw blurRad="38100" dist="25400" dir="5400000" rotWithShape="0">
            <a:srgbClr val="000000">
              <a:alpha val="35000"/>
            </a:srgbClr>
          </a:outerShdw>
        </a:effectLst>
      </xdr:spPr>
      <xdr:txBody>
        <a:bodyPr vertOverflow="clip" wrap="square" lIns="36000" rIns="36000" anchor="ctr" rtlCol="0"/>
        <a:lstStyle/>
        <a:p>
          <a:pPr algn="ctr"/>
          <a:r>
            <a:rPr lang="fr-FR" sz="900" b="1">
              <a:solidFill>
                <a:srgbClr val="FFFFFF"/>
              </a:solidFill>
              <a:latin typeface="Arial"/>
            </a:rPr>
            <a:t>🖨 Imprimer la notice</a:t>
          </a:r>
        </a:p>
      </xdr:txBody>
    </xdr:sp>
    <xdr:clientData fPrintsWithSheet="0"/>
  </xdr:twoCellAnchor>
</xdr:wsDr>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comments" Target="../comments2.xml"/><Relationship Id="rId2" Type="http://schemas.openxmlformats.org/officeDocument/2006/relationships/vmlDrawing" Target="../drawings/vmlDrawing1.vml"/>
<Relationship Id="rIdBtn" Type="http://schemas.openxmlformats.org/officeDocument/2006/relationships/drawing" Target="../drawings/drawing11.xml"/></Relationships>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2.xml"/><Relationship Id="rId3" Type="http://schemas.openxmlformats.org/officeDocument/2006/relationships/vmlDrawing" Target="../drawings/vmlDrawing2.vm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3.xml"/><Relationship Id="rId3" Type="http://schemas.openxmlformats.org/officeDocument/2006/relationships/vmlDrawing" Target="../drawings/vmlDrawing3.v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drawing" Target="../drawings/drawing4.xml"/><Relationship Id="rId3" Type="http://schemas.openxmlformats.org/officeDocument/2006/relationships/vmlDrawing" Target="../drawings/vmlDrawing4.vml"/>
</Relationships>
</file>

<file path=xl/worksheets/_rels/sheet6.xml.rels><?xml version="1.0" encoding="UTF-8"?>
<Relationships xmlns="http://schemas.openxmlformats.org/package/2006/relationships"><Relationship Id="rId1" Type="http://schemas.openxmlformats.org/officeDocument/2006/relationships/comments" Target="../comments6.xml"/><Relationship Id="rId2" Type="http://schemas.openxmlformats.org/officeDocument/2006/relationships/drawing" Target="../drawings/drawing5.xml"/><Relationship Id="rId3" Type="http://schemas.openxmlformats.org/officeDocument/2006/relationships/vmlDrawing" Target="../drawings/vmlDrawing5.vml"/>
</Relationships>
</file>

<file path=xl/worksheets/_rels/sheet7.xml.rels><?xml version="1.0" encoding="UTF-8"?>
<Relationships xmlns="http://schemas.openxmlformats.org/package/2006/relationships"><Relationship Id="rId1" Type="http://schemas.openxmlformats.org/officeDocument/2006/relationships/comments" Target="../comments7.xml"/><Relationship Id="rId2" Type="http://schemas.openxmlformats.org/officeDocument/2006/relationships/drawing" Target="../drawings/drawing6.xml"/><Relationship Id="rId3" Type="http://schemas.openxmlformats.org/officeDocument/2006/relationships/vmlDrawing" Target="../drawings/vmlDrawing6.vml"/>
</Relationships>
</file>

<file path=xl/worksheets/_rels/sheet8.xml.rels><?xml version="1.0" encoding="UTF-8"?>
<Relationships xmlns="http://schemas.openxmlformats.org/package/2006/relationships"><Relationship Id="rId1" Type="http://schemas.openxmlformats.org/officeDocument/2006/relationships/comments" Target="../comments8.xml"/><Relationship Id="rId2" Type="http://schemas.openxmlformats.org/officeDocument/2006/relationships/drawing" Target="../drawings/drawing7.xml"/><Relationship Id="rId3" Type="http://schemas.openxmlformats.org/officeDocument/2006/relationships/vmlDrawing" Target="../drawings/vmlDrawing7.vml"/>
</Relationships>
</file>

<file path=xl/worksheets/_rels/sheet9.xml.rels><?xml version="1.0" encoding="UTF-8"?>
<Relationships xmlns="http://schemas.openxmlformats.org/package/2006/relationships"><Relationship Id="rId1" Type="http://schemas.openxmlformats.org/officeDocument/2006/relationships/comments" Target="../comments9.xml"/><Relationship Id="rId2" Type="http://schemas.openxmlformats.org/officeDocument/2006/relationships/drawing" Target="../drawings/drawing8.xml"/><Relationship Id="rId3" Type="http://schemas.openxmlformats.org/officeDocument/2006/relationships/vmlDrawing" Target="../drawings/vmlDrawing8.vml"/>
</Relationships>
</file>

<file path=xl/worksheets/_rels/sheet10.xml.rels><?xml version="1.0" encoding="UTF-8" standalone="yes"?>
<Relationships xmlns="http://schemas.openxmlformats.org/package/2006/relationships"><Relationship Id="rIdBtn" Type="http://schemas.openxmlformats.org/officeDocument/2006/relationships/drawing" Target="../drawings/drawing12.xml"/></Relationships>
</file>

<file path=xl/worksheets/_rels/sheet11.xml.rels><?xml version="1.0" encoding="UTF-8" standalone="yes"?>
<Relationships xmlns="http://schemas.openxmlformats.org/package/2006/relationships"><Relationship Id="rIdBtn" Type="http://schemas.openxmlformats.org/officeDocument/2006/relationships/drawing" Target="../drawings/drawing13.xml"/></Relationships>
</file>

<file path=xl/worksheets/_rels/sheet12.xml.rels><?xml version="1.0" encoding="UTF-8" standalone="yes"?>
<Relationships xmlns="http://schemas.openxmlformats.org/package/2006/relationships"><Relationship Id="rIdBtn" Type="http://schemas.openxmlformats.org/officeDocument/2006/relationships/drawing" Target="../drawings/drawing14.xml"/></Relationships>
</file>

<file path=xl/worksheets/_rels/sheet13.xml.rels><?xml version="1.0" encoding="UTF-8"?>
<Relationships xmlns="http://schemas.openxmlformats.org/package/2006/relationships"><Relationship Id="rId1" Type="http://schemas.openxmlformats.org/officeDocument/2006/relationships/comments" Target="../comments13.xml"/><Relationship Id="rId2" Type="http://schemas.openxmlformats.org/officeDocument/2006/relationships/vmlDrawing" Target="../drawings/vmlDrawing9.vml"/>
<Relationship Id="rIdBtn" Type="http://schemas.openxmlformats.org/officeDocument/2006/relationships/drawing" Target="../drawings/drawing15.xml"/></Relationships>
</file>

<file path=xl/worksheets/_rels/sheet14.xml.rels><?xml version="1.0" encoding="UTF-8"?>
<Relationships xmlns="http://schemas.openxmlformats.org/package/2006/relationships"><Relationship Id="rId1" Type="http://schemas.openxmlformats.org/officeDocument/2006/relationships/comments" Target="../comments14.xml"/><Relationship Id="rId2" Type="http://schemas.openxmlformats.org/officeDocument/2006/relationships/vmlDrawing" Target="../drawings/vmlDrawing10.vml"/>
<Relationship Id="rIdBtn" Type="http://schemas.openxmlformats.org/officeDocument/2006/relationships/drawing" Target="../drawings/drawing16.xml"/></Relationships>
</file>

<file path=xl/worksheets/_rels/sheet15.xml.rels><?xml version="1.0" encoding="UTF-8"?>
<Relationships xmlns="http://schemas.openxmlformats.org/package/2006/relationships"><Relationship Id="rId1" Type="http://schemas.openxmlformats.org/officeDocument/2006/relationships/comments" Target="../comments15.xml"/><Relationship Id="rId2" Type="http://schemas.openxmlformats.org/officeDocument/2006/relationships/drawing" Target="../drawings/drawing9.xml"/><Relationship Id="rId3" Type="http://schemas.openxmlformats.org/officeDocument/2006/relationships/vmlDrawing" Target="../drawings/vmlDrawing11.vml"/>
</Relationships>
</file>

<file path=xl/worksheets/_rels/sheet16.xml.rels><?xml version="1.0" encoding="UTF-8"?>
<Relationships xmlns="http://schemas.openxmlformats.org/package/2006/relationships"><Relationship Id="rId1" Type="http://schemas.openxmlformats.org/officeDocument/2006/relationships/comments" Target="../comments16.xml"/><Relationship Id="rId2" Type="http://schemas.openxmlformats.org/officeDocument/2006/relationships/drawing" Target="../drawings/drawing10.xml"/><Relationship Id="rId3" Type="http://schemas.openxmlformats.org/officeDocument/2006/relationships/vmlDrawing" Target="../drawings/vmlDrawing12.vml"/>
</Relationships>
</file>

<file path=xl/worksheets/_rels/sheet17.xml.rels><?xml version="1.0" encoding="UTF-8"?>
<Relationships xmlns="http://schemas.openxmlformats.org/package/2006/relationships"><Relationship Id="rId1" Type="http://schemas.openxmlformats.org/officeDocument/2006/relationships/comments" Target="../comments17.xml"/><Relationship Id="rId2" Type="http://schemas.openxmlformats.org/officeDocument/2006/relationships/vmlDrawing" Target="../drawings/vmlDrawing13.vml"/>
<Relationship Id="rIdBtn"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Btn"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Btn"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Feuil1" filterMode="false">
    <tabColor rgb="FFC00000"/>
    <pageSetUpPr fitToPage="true"/>
  </sheetPr>
  <dimension ref="B1:T37"/>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1" min="1" style="0" width="2"/>
    <col collapsed="false" customWidth="true" hidden="false" outlineLevel="0" max="2" min="2" style="0" width="22"/>
    <col collapsed="false" customWidth="true" hidden="false" outlineLevel="0" max="8" min="3" style="0" width="12"/>
    <col collapsed="false" customWidth="true" hidden="false" outlineLevel="0" max="9" min="9" style="0" width="2"/>
    <col collapsed="false" customWidth="true" hidden="false" outlineLevel="0" max="10" min="10" style="0" width="14"/>
    <col collapsed="false" customWidth="true" hidden="false" outlineLevel="0" max="14" min="11" style="0" width="12"/>
    <col collapsed="false" customWidth="true" hidden="false" outlineLevel="0" max="16" min="16" style="0" width="14"/>
    <col collapsed="false" customWidth="true" hidden="false" outlineLevel="0" max="20" min="17" style="0" width="12"/>
  </cols>
  <sheetData>
    <row r="1" customFormat="false" ht="33.75" hidden="false" customHeight="true" outlineLevel="0" collapsed="false">
      <c r="B1" s="1" t="str">
        <f aca="false">"TABLEAU DE BORD  •  "&amp;PARAMETRES!$C$7&amp;"  •  Année scolaire "&amp;PARAMETRES!$C$9</f>
        <v>TABLEAU DE BORD  •  EPP LIGUIYO  •  Année scolaire 2026-2027</v>
      </c>
      <c r="C1" s="1"/>
      <c r="D1" s="1"/>
      <c r="E1" s="1"/>
      <c r="F1" s="1"/>
      <c r="G1" s="1"/>
      <c r="H1" s="1"/>
      <c r="I1" s="1"/>
      <c r="J1" s="1"/>
      <c r="K1" s="1"/>
      <c r="L1" s="1"/>
      <c r="M1" s="1"/>
      <c r="N1" s="1"/>
    </row>
    <row r="2" customFormat="false" ht="15" hidden="false" customHeight="true" outlineLevel="0" collapsed="false">
      <c r="B2" s="2" t="str">
        <f aca="false">"Directeur : "&amp;PARAMETRES!$C$11&amp;"   •   IEPP : "&amp;PARAMETRES!$C$6&amp;"   •   Edité le "&amp;TEXT(DAY(PARAMETRES!$C$12),"00")&amp;"/"&amp;TEXT(MONTH(PARAMETRES!$C$12),"00")&amp;"/"&amp;YEAR(PARAMETRES!$C$12)</f>
        <v>Directeur : M. KOUAME Kouadio Ernest   •   IEPP : IEPP GAGNOA 2   •   Edité le 30/06/2027</v>
      </c>
      <c r="C2" s="2"/>
      <c r="D2" s="2"/>
      <c r="E2" s="2"/>
      <c r="F2" s="2"/>
      <c r="G2" s="2"/>
      <c r="H2" s="2"/>
      <c r="I2" s="2"/>
      <c r="J2" s="2"/>
      <c r="K2" s="2"/>
      <c r="L2" s="2"/>
      <c r="M2" s="2"/>
      <c r="N2" s="2"/>
      <c r="P2" s="3" t="s">
        <v>0</v>
      </c>
      <c r="Q2" s="3"/>
      <c r="R2" s="3"/>
      <c r="S2" s="3"/>
      <c r="T2" s="3"/>
    </row>
    <row r="3" customFormat="false" ht="15" hidden="false" customHeight="true" outlineLevel="0" collapsed="false">
      <c r="P3" s="4" t="s">
        <v>1</v>
      </c>
      <c r="Q3" s="4"/>
      <c r="R3" s="4"/>
      <c r="S3" s="4"/>
      <c r="T3" s="4"/>
    </row>
    <row r="4" customFormat="false" ht="15" hidden="false" customHeight="true" outlineLevel="0" collapsed="false">
      <c r="B4" s="5" t="s">
        <v>2</v>
      </c>
      <c r="C4" s="5"/>
      <c r="D4" s="6" t="s">
        <v>3</v>
      </c>
      <c r="E4" s="6"/>
      <c r="F4" s="7" t="s">
        <v>4</v>
      </c>
      <c r="G4" s="7"/>
      <c r="H4" s="8" t="s">
        <v>5</v>
      </c>
      <c r="I4" s="8"/>
      <c r="J4" s="8"/>
      <c r="P4" s="4"/>
      <c r="Q4" s="4"/>
      <c r="R4" s="4"/>
      <c r="S4" s="4"/>
      <c r="T4" s="4"/>
    </row>
    <row r="5" customFormat="false" ht="36" hidden="false" customHeight="true" outlineLevel="0" collapsed="false">
      <c r="B5" s="9" t="n">
        <f aca="false">COUNTA('REGISTRE ELEVES'!$D$10:$D$250)</f>
        <v>64</v>
      </c>
      <c r="C5" s="9"/>
      <c r="D5" s="10" t="n">
        <f aca="false">IF(COUNTA('REGISTRE ELEVES'!$D$10:$D$250)=0,0,COUNTIF('REGISTRE ELEVES'!$E$10:$E$250,"F")/COUNTA('REGISTRE ELEVES'!$D$10:$D$250))</f>
        <v>0.453125</v>
      </c>
      <c r="E5" s="10"/>
      <c r="F5" s="11" t="n">
        <f aca="false">COUNTIF('REGISTRE ELEVES'!$AE$10:$AE$250,"PRESENT")</f>
        <v>59</v>
      </c>
      <c r="G5" s="11"/>
      <c r="H5" s="12" t="n">
        <f aca="false">IF(COUNTA('REGISTRE ELEVES'!$D$10:$D$250)=0,0,COUNTIF('REGISTRE ELEVES'!$AE$10:$AE$250,"ABANDON")/COUNTA('REGISTRE ELEVES'!$D$10:$D$250))</f>
        <v>0.078125</v>
      </c>
      <c r="I5" s="12"/>
      <c r="J5" s="12"/>
    </row>
    <row r="7" customFormat="false" ht="15" hidden="false" customHeight="true" outlineLevel="0" collapsed="false">
      <c r="B7" s="7" t="s">
        <v>6</v>
      </c>
      <c r="C7" s="7"/>
      <c r="D7" s="13" t="s">
        <v>7</v>
      </c>
      <c r="E7" s="13"/>
      <c r="F7" s="14" t="s">
        <v>8</v>
      </c>
      <c r="G7" s="14"/>
      <c r="H7" s="14" t="s">
        <v>9</v>
      </c>
      <c r="I7" s="14"/>
      <c r="J7" s="14"/>
    </row>
    <row r="8" customFormat="false" ht="36" hidden="false" customHeight="true" outlineLevel="0" collapsed="false">
      <c r="B8" s="15" t="n">
        <f aca="false">IF((COUNTIF(RESULTATS!$F$10:$F$250,"PRESENT")+COUNTIF('RESULTATS CM2'!$E$10:$E$250,"PRESENT"))=0,0,(COUNTIF(RESULTATS!$O$10:$O$250,"ADMIS")+COUNTIF('RESULTATS CM2'!$M$10:$M$250,"ADMIS"))/(COUNTIF(RESULTATS!$F$10:$F$250,"PRESENT")+COUNTIF('RESULTATS CM2'!$E$10:$E$250,"PRESENT")))</f>
        <v>0.542372881355932</v>
      </c>
      <c r="C8" s="15"/>
      <c r="D8" s="16" t="n">
        <f aca="false">COUNTIF('REGISTRE ELEVES'!$L$10:$L$250,"NON")</f>
        <v>14</v>
      </c>
      <c r="E8" s="16"/>
      <c r="F8" s="17" t="n">
        <f aca="false">COUNTIFS(PERSONNEL!$G$10:$G$69,"INSTITUTEUR*")+COUNTIFS(PERSONNEL!$G$10:$G$69,"DIRECTEUR*")</f>
        <v>7</v>
      </c>
      <c r="G8" s="17"/>
      <c r="H8" s="18" t="n">
        <f aca="false">IF(F8=0,0,B5/F8)</f>
        <v>9.14285714285714</v>
      </c>
      <c r="I8" s="18"/>
      <c r="J8" s="18"/>
    </row>
    <row r="11" customFormat="false" ht="15" hidden="false" customHeight="false" outlineLevel="0" collapsed="false">
      <c r="B11" s="19" t="s">
        <v>10</v>
      </c>
      <c r="C11" s="19"/>
      <c r="D11" s="19"/>
      <c r="E11" s="19"/>
      <c r="F11" s="19"/>
      <c r="G11" s="19"/>
      <c r="H11" s="19"/>
      <c r="J11" s="20" t="s">
        <v>11</v>
      </c>
      <c r="K11" s="20"/>
      <c r="L11" s="20"/>
      <c r="M11" s="20"/>
      <c r="N11" s="20"/>
    </row>
    <row r="12" customFormat="false" ht="19.5" hidden="false" customHeight="true" outlineLevel="0" collapsed="false">
      <c r="B12" s="21" t="s">
        <v>12</v>
      </c>
      <c r="C12" s="21" t="s">
        <v>13</v>
      </c>
      <c r="D12" s="21" t="s">
        <v>14</v>
      </c>
      <c r="E12" s="21" t="s">
        <v>15</v>
      </c>
      <c r="F12" s="21" t="s">
        <v>16</v>
      </c>
      <c r="G12" s="21" t="s">
        <v>6</v>
      </c>
      <c r="H12" s="21" t="s">
        <v>17</v>
      </c>
      <c r="J12" s="22" t="str">
        <f aca="false">"Elèves sans extrait de naissance : "&amp;COUNTIF('REGISTRE ELEVES'!$L$10:$L$250,"NON")</f>
        <v>Elèves sans extrait de naissance : 14</v>
      </c>
      <c r="K12" s="22"/>
      <c r="L12" s="22"/>
      <c r="M12" s="22"/>
      <c r="N12" s="22"/>
    </row>
    <row r="13" customFormat="false" ht="15" hidden="false" customHeight="false" outlineLevel="0" collapsed="false">
      <c r="B13" s="23" t="s">
        <v>18</v>
      </c>
      <c r="C13" s="24" t="n">
        <f aca="false">COUNTIFS('REGISTRE ELEVES'!$F$10:$F$250,$B13,'REGISTRE ELEVES'!$E$10:$E$250,"M")</f>
        <v>5</v>
      </c>
      <c r="D13" s="24" t="n">
        <f aca="false">COUNTIFS('REGISTRE ELEVES'!$F$10:$F$250,$B13,'REGISTRE ELEVES'!$E$10:$E$250,"F")</f>
        <v>6</v>
      </c>
      <c r="E13" s="24" t="n">
        <f aca="false">C13+D13</f>
        <v>11</v>
      </c>
      <c r="F13" s="24" t="n">
        <f aca="false">IF($B13="CM2",COUNTIFS('RESULTATS CM2'!$M$10:$M$250,"ADMIS"),COUNTIFS(RESULTATS!$E$10:$E$250,$B13,RESULTATS!$O$10:$O$250,"ADMIS"))</f>
        <v>6</v>
      </c>
      <c r="G13" s="25" t="n">
        <f aca="false">IF(IF($B13="CM2",COUNTIF('RESULTATS CM2'!$E$10:$E$250,"PRESENT"),COUNTIFS(RESULTATS!$E$10:$E$250,$B13,RESULTATS!$F$10:$F$250,"PRESENT"))=0,0,F13/IF($B13="CM2",COUNTIF('RESULTATS CM2'!$E$10:$E$250,"PRESENT"),COUNTIFS(RESULTATS!$E$10:$E$250,$B13,RESULTATS!$F$10:$F$250,"PRESENT")))</f>
        <v>0.545454545454545</v>
      </c>
      <c r="H13" s="24" t="n">
        <f aca="false">COUNTIFS('REGISTRE ELEVES'!$F$10:$F$250,$B13,'REGISTRE ELEVES'!$AE$10:$AE$250,"ABANDON")</f>
        <v>0</v>
      </c>
      <c r="J13" s="22" t="str">
        <f aca="false">"Homonymes (même nom saisi 2 fois, à vérifier) : "&amp;SUMPRODUCT(('REGISTRE ELEVES'!$D$10:$D$250&lt;&gt;"")*(COUNTIF('REGISTRE ELEVES'!$D$10:$D$250,'REGISTRE ELEVES'!$D$10:$D$250)&gt;1))</f>
        <v>Homonymes (même nom saisi 2 fois, à vérifier) : 0</v>
      </c>
      <c r="K13" s="22"/>
      <c r="L13" s="22"/>
      <c r="M13" s="22"/>
      <c r="N13" s="22"/>
    </row>
    <row r="14" customFormat="false" ht="15" hidden="false" customHeight="false" outlineLevel="0" collapsed="false">
      <c r="B14" s="23" t="s">
        <v>19</v>
      </c>
      <c r="C14" s="24" t="n">
        <f aca="false">COUNTIFS('REGISTRE ELEVES'!$F$10:$F$250,$B14,'REGISTRE ELEVES'!$E$10:$E$250,"M")</f>
        <v>7</v>
      </c>
      <c r="D14" s="24" t="n">
        <f aca="false">COUNTIFS('REGISTRE ELEVES'!$F$10:$F$250,$B14,'REGISTRE ELEVES'!$E$10:$E$250,"F")</f>
        <v>5</v>
      </c>
      <c r="E14" s="24" t="n">
        <f aca="false">C14+D14</f>
        <v>12</v>
      </c>
      <c r="F14" s="24" t="n">
        <f aca="false">IF($B14="CM2",COUNTIFS('RESULTATS CM2'!$M$10:$M$250,"ADMIS"),COUNTIFS(RESULTATS!$E$10:$E$250,$B14,RESULTATS!$O$10:$O$250,"ADMIS"))</f>
        <v>7</v>
      </c>
      <c r="G14" s="25" t="n">
        <f aca="false">IF(IF($B14="CM2",COUNTIF('RESULTATS CM2'!$E$10:$E$250,"PRESENT"),COUNTIFS(RESULTATS!$E$10:$E$250,$B14,RESULTATS!$F$10:$F$250,"PRESENT"))=0,0,F14/IF($B14="CM2",COUNTIF('RESULTATS CM2'!$E$10:$E$250,"PRESENT"),COUNTIFS(RESULTATS!$E$10:$E$250,$B14,RESULTATS!$F$10:$F$250,"PRESENT")))</f>
        <v>0.636363636363636</v>
      </c>
      <c r="H14" s="24" t="n">
        <f aca="false">COUNTIFS('REGISTRE ELEVES'!$F$10:$F$250,$B14,'REGISTRE ELEVES'!$AE$10:$AE$250,"ABANDON")</f>
        <v>1</v>
      </c>
      <c r="J14" s="22" t="str">
        <f aca="false">"Elèves sans classe : "&amp;COUNTIFS('REGISTRE ELEVES'!$D$10:$D$250,"&lt;&gt;",'REGISTRE ELEVES'!$F$10:$F$250,"")</f>
        <v>Elèves sans classe : 0</v>
      </c>
      <c r="K14" s="22"/>
      <c r="L14" s="22"/>
      <c r="M14" s="22"/>
      <c r="N14" s="22"/>
    </row>
    <row r="15" customFormat="false" ht="15" hidden="false" customHeight="false" outlineLevel="0" collapsed="false">
      <c r="B15" s="23" t="s">
        <v>20</v>
      </c>
      <c r="C15" s="24" t="n">
        <f aca="false">COUNTIFS('REGISTRE ELEVES'!$F$10:$F$250,$B15,'REGISTRE ELEVES'!$E$10:$E$250,"M")</f>
        <v>6</v>
      </c>
      <c r="D15" s="24" t="n">
        <f aca="false">COUNTIFS('REGISTRE ELEVES'!$F$10:$F$250,$B15,'REGISTRE ELEVES'!$E$10:$E$250,"F")</f>
        <v>3</v>
      </c>
      <c r="E15" s="24" t="n">
        <f aca="false">C15+D15</f>
        <v>9</v>
      </c>
      <c r="F15" s="24" t="n">
        <f aca="false">IF($B15="CM2",COUNTIFS('RESULTATS CM2'!$M$10:$M$250,"ADMIS"),COUNTIFS(RESULTATS!$E$10:$E$250,$B15,RESULTATS!$O$10:$O$250,"ADMIS"))</f>
        <v>6</v>
      </c>
      <c r="G15" s="25" t="n">
        <f aca="false">IF(IF($B15="CM2",COUNTIF('RESULTATS CM2'!$E$10:$E$250,"PRESENT"),COUNTIFS(RESULTATS!$E$10:$E$250,$B15,RESULTATS!$F$10:$F$250,"PRESENT"))=0,0,F15/IF($B15="CM2",COUNTIF('RESULTATS CM2'!$E$10:$E$250,"PRESENT"),COUNTIFS(RESULTATS!$E$10:$E$250,$B15,RESULTATS!$F$10:$F$250,"PRESENT")))</f>
        <v>0.75</v>
      </c>
      <c r="H15" s="24" t="n">
        <f aca="false">COUNTIFS('REGISTRE ELEVES'!$F$10:$F$250,$B15,'REGISTRE ELEVES'!$AE$10:$AE$250,"ABANDON")</f>
        <v>1</v>
      </c>
      <c r="J15" s="22" t="str">
        <f aca="false">"MGA manquantes (élèves présents) : "&amp;(COUNTIFS(RESULTATS!$F$10:$F$250,"PRESENT",RESULTATS!$L$10:$L$250,"")+COUNTIFS('RESULTATS CM2'!$E$10:$E$250,"PRESENT",'RESULTATS CM2'!$J$10:$J$250,""))</f>
        <v>MGA manquantes (élèves présents) : 0</v>
      </c>
      <c r="K15" s="22"/>
      <c r="L15" s="22"/>
      <c r="M15" s="22"/>
      <c r="N15" s="22"/>
    </row>
    <row r="16" customFormat="false" ht="15" hidden="false" customHeight="false" outlineLevel="0" collapsed="false">
      <c r="B16" s="23" t="s">
        <v>21</v>
      </c>
      <c r="C16" s="24" t="n">
        <f aca="false">COUNTIFS('REGISTRE ELEVES'!$F$10:$F$250,$B16,'REGISTRE ELEVES'!$E$10:$E$250,"M")</f>
        <v>6</v>
      </c>
      <c r="D16" s="24" t="n">
        <f aca="false">COUNTIFS('REGISTRE ELEVES'!$F$10:$F$250,$B16,'REGISTRE ELEVES'!$E$10:$E$250,"F")</f>
        <v>6</v>
      </c>
      <c r="E16" s="24" t="n">
        <f aca="false">C16+D16</f>
        <v>12</v>
      </c>
      <c r="F16" s="24" t="n">
        <f aca="false">IF($B16="CM2",COUNTIFS('RESULTATS CM2'!$M$10:$M$250,"ADMIS"),COUNTIFS(RESULTATS!$E$10:$E$250,$B16,RESULTATS!$O$10:$O$250,"ADMIS"))</f>
        <v>4</v>
      </c>
      <c r="G16" s="25" t="n">
        <f aca="false">IF(IF($B16="CM2",COUNTIF('RESULTATS CM2'!$E$10:$E$250,"PRESENT"),COUNTIFS(RESULTATS!$E$10:$E$250,$B16,RESULTATS!$F$10:$F$250,"PRESENT"))=0,0,F16/IF($B16="CM2",COUNTIF('RESULTATS CM2'!$E$10:$E$250,"PRESENT"),COUNTIFS(RESULTATS!$E$10:$E$250,$B16,RESULTATS!$F$10:$F$250,"PRESENT")))</f>
        <v>0.363636363636364</v>
      </c>
      <c r="H16" s="24" t="n">
        <f aca="false">COUNTIFS('REGISTRE ELEVES'!$F$10:$F$250,$B16,'REGISTRE ELEVES'!$AE$10:$AE$250,"ABANDON")</f>
        <v>1</v>
      </c>
      <c r="J16" s="22" t="str">
        <f aca="false">"Classes sans enseignant : "&amp;PERSONNEL!C81</f>
        <v>Classes sans enseignant : 0</v>
      </c>
      <c r="K16" s="22"/>
      <c r="L16" s="22"/>
      <c r="M16" s="22"/>
      <c r="N16" s="22"/>
    </row>
    <row r="17" customFormat="false" ht="15" hidden="false" customHeight="false" outlineLevel="0" collapsed="false">
      <c r="B17" s="23" t="s">
        <v>22</v>
      </c>
      <c r="C17" s="24" t="n">
        <f aca="false">COUNTIFS('REGISTRE ELEVES'!$F$10:$F$250,$B17,'REGISTRE ELEVES'!$E$10:$E$250,"M")</f>
        <v>8</v>
      </c>
      <c r="D17" s="24" t="n">
        <f aca="false">COUNTIFS('REGISTRE ELEVES'!$F$10:$F$250,$B17,'REGISTRE ELEVES'!$E$10:$E$250,"F")</f>
        <v>3</v>
      </c>
      <c r="E17" s="24" t="n">
        <f aca="false">C17+D17</f>
        <v>11</v>
      </c>
      <c r="F17" s="24" t="n">
        <f aca="false">IF($B17="CM2",COUNTIFS('RESULTATS CM2'!$M$10:$M$250,"ADMIS"),COUNTIFS(RESULTATS!$E$10:$E$250,$B17,RESULTATS!$O$10:$O$250,"ADMIS"))</f>
        <v>5</v>
      </c>
      <c r="G17" s="25" t="n">
        <f aca="false">IF(IF($B17="CM2",COUNTIF('RESULTATS CM2'!$E$10:$E$250,"PRESENT"),COUNTIFS(RESULTATS!$E$10:$E$250,$B17,RESULTATS!$F$10:$F$250,"PRESENT"))=0,0,F17/IF($B17="CM2",COUNTIF('RESULTATS CM2'!$E$10:$E$250,"PRESENT"),COUNTIFS(RESULTATS!$E$10:$E$250,$B17,RESULTATS!$F$10:$F$250,"PRESENT")))</f>
        <v>0.454545454545455</v>
      </c>
      <c r="H17" s="24" t="n">
        <f aca="false">COUNTIFS('REGISTRE ELEVES'!$F$10:$F$250,$B17,'REGISTRE ELEVES'!$AE$10:$AE$250,"ABANDON")</f>
        <v>0</v>
      </c>
      <c r="J17" s="22" t="str">
        <f aca="false">"Elèves en sur-âge (≥ 3 ans au-dessus de l'âge normal) : "&amp;COUNTIFS('REGISTRE ELEVES'!$F$10:$F$250,"CP1",'REGISTRE ELEVES'!$G$10:$G$250,"&gt;="&amp;9)+COUNTIFS('REGISTRE ELEVES'!$F$10:$F$250,"CP2",'REGISTRE ELEVES'!$G$10:$G$250,"&gt;="&amp;10)+COUNTIFS('REGISTRE ELEVES'!$F$10:$F$250,"CE1",'REGISTRE ELEVES'!$G$10:$G$250,"&gt;="&amp;11)+COUNTIFS('REGISTRE ELEVES'!$F$10:$F$250,"CE2",'REGISTRE ELEVES'!$G$10:$G$250,"&gt;="&amp;12)+COUNTIFS('REGISTRE ELEVES'!$F$10:$F$250,"CM1",'REGISTRE ELEVES'!$G$10:$G$250,"&gt;="&amp;13)+COUNTIFS('REGISTRE ELEVES'!$F$10:$F$250,"CM2",'REGISTRE ELEVES'!$G$10:$G$250,"&gt;="&amp;14)</f>
        <v>Elèves en sur-âge (≥ 3 ans au-dessus de l'âge normal) : 64</v>
      </c>
      <c r="K17" s="22"/>
      <c r="L17" s="22"/>
      <c r="M17" s="22"/>
      <c r="N17" s="22"/>
    </row>
    <row r="18" customFormat="false" ht="15" hidden="false" customHeight="false" outlineLevel="0" collapsed="false">
      <c r="B18" s="23" t="s">
        <v>23</v>
      </c>
      <c r="C18" s="24" t="n">
        <f aca="false">COUNTIFS('REGISTRE ELEVES'!$F$10:$F$250,$B18,'REGISTRE ELEVES'!$E$10:$E$250,"M")</f>
        <v>3</v>
      </c>
      <c r="D18" s="24" t="n">
        <f aca="false">COUNTIFS('REGISTRE ELEVES'!$F$10:$F$250,$B18,'REGISTRE ELEVES'!$E$10:$E$250,"F")</f>
        <v>6</v>
      </c>
      <c r="E18" s="24" t="n">
        <f aca="false">C18+D18</f>
        <v>9</v>
      </c>
      <c r="F18" s="24" t="n">
        <f aca="false">IF($B18="CM2",COUNTIFS('RESULTATS CM2'!$M$10:$M$250,"ADMIS"),COUNTIFS(RESULTATS!$E$10:$E$250,$B18,RESULTATS!$O$10:$O$250,"ADMIS"))</f>
        <v>4</v>
      </c>
      <c r="G18" s="25" t="n">
        <f aca="false">IF(IF($B18="CM2",COUNTIF('RESULTATS CM2'!$E$10:$E$250,"PRESENT"),COUNTIFS(RESULTATS!$E$10:$E$250,$B18,RESULTATS!$F$10:$F$250,"PRESENT"))=0,0,F18/IF($B18="CM2",COUNTIF('RESULTATS CM2'!$E$10:$E$250,"PRESENT"),COUNTIFS(RESULTATS!$E$10:$E$250,$B18,RESULTATS!$F$10:$F$250,"PRESENT")))</f>
        <v>0.571428571428571</v>
      </c>
      <c r="H18" s="24" t="n">
        <f aca="false">COUNTIFS('REGISTRE ELEVES'!$F$10:$F$250,$B18,'REGISTRE ELEVES'!$AE$10:$AE$250,"ABANDON")</f>
        <v>2</v>
      </c>
    </row>
    <row r="19" customFormat="false" ht="15" hidden="false" customHeight="true" outlineLevel="0" collapsed="false">
      <c r="B19" s="26" t="s">
        <v>24</v>
      </c>
      <c r="C19" s="26" t="n">
        <f aca="false">SUM(C13:C18)</f>
        <v>35</v>
      </c>
      <c r="D19" s="26" t="n">
        <f aca="false">SUM(D13:D18)</f>
        <v>29</v>
      </c>
      <c r="E19" s="26" t="n">
        <f aca="false">SUM(E13:E18)</f>
        <v>64</v>
      </c>
      <c r="F19" s="26" t="n">
        <f aca="false">SUM(F13:F18)</f>
        <v>32</v>
      </c>
      <c r="G19" s="27" t="n">
        <f aca="false">IF((COUNTIF(RESULTATS!$F$10:$F$250,"PRESENT")+COUNTIF('RESULTATS CM2'!$E$10:$E$250,"PRESENT"))=0,0,F19/(COUNTIF(RESULTATS!$F$10:$F$250,"PRESENT")+COUNTIF('RESULTATS CM2'!$E$10:$E$250,"PRESENT")))</f>
        <v>0.542372881355932</v>
      </c>
      <c r="H19" s="26" t="n">
        <f aca="false">SUM(H13:H18)</f>
        <v>5</v>
      </c>
      <c r="J19" s="4" t="s">
        <v>25</v>
      </c>
      <c r="K19" s="4"/>
      <c r="L19" s="4"/>
      <c r="M19" s="4"/>
      <c r="N19" s="4"/>
      <c r="P19" s="28" t="s">
        <v>26</v>
      </c>
      <c r="Q19" s="28"/>
      <c r="R19" s="28"/>
      <c r="S19" s="28"/>
      <c r="T19" s="28"/>
    </row>
    <row r="20" customFormat="false" ht="15" hidden="false" customHeight="false" outlineLevel="0" collapsed="false">
      <c r="J20" s="4"/>
      <c r="K20" s="4"/>
      <c r="L20" s="4"/>
      <c r="M20" s="4"/>
      <c r="N20" s="4"/>
      <c r="P20" s="28"/>
      <c r="Q20" s="28"/>
      <c r="R20" s="28"/>
      <c r="S20" s="28"/>
      <c r="T20" s="28"/>
    </row>
    <row r="21" customFormat="false" ht="15" hidden="false" customHeight="false" outlineLevel="0" collapsed="false">
      <c r="J21" s="4"/>
      <c r="K21" s="4"/>
      <c r="L21" s="4"/>
      <c r="M21" s="4"/>
      <c r="N21" s="4"/>
      <c r="P21" s="28"/>
      <c r="Q21" s="28"/>
      <c r="R21" s="28"/>
      <c r="S21" s="28"/>
      <c r="T21" s="28"/>
    </row>
    <row r="22" customFormat="false" ht="15" hidden="false" customHeight="true" outlineLevel="0" collapsed="false">
      <c r="P22" s="3" t="s">
        <v>27</v>
      </c>
      <c r="Q22" s="3"/>
      <c r="R22" s="3"/>
      <c r="S22" s="3"/>
      <c r="T22" s="3"/>
    </row>
    <row r="23" customFormat="false" ht="15" hidden="false" customHeight="false" outlineLevel="0" collapsed="false">
      <c r="P23" s="29" t="str">
        <f aca="false">HYPERLINK("#'PARAMETRES'!A1","▸ PARAMETRES")</f>
        <v>▸ PARAMETRES</v>
      </c>
      <c r="Q23" s="29"/>
      <c r="R23" s="29"/>
      <c r="S23" s="29"/>
      <c r="T23" s="29"/>
    </row>
    <row r="24" customFormat="false" ht="15" hidden="false" customHeight="false" outlineLevel="0" collapsed="false">
      <c r="P24" s="29" t="str">
        <f aca="false">HYPERLINK("#'REGISTRE ELEVES'!A1","▸ REGISTRE ELEVES")</f>
        <v>▸ REGISTRE ELEVES</v>
      </c>
      <c r="Q24" s="29"/>
      <c r="R24" s="29"/>
      <c r="S24" s="29"/>
      <c r="T24" s="29"/>
    </row>
    <row r="25" customFormat="false" ht="15" hidden="false" customHeight="false" outlineLevel="0" collapsed="false">
      <c r="P25" s="29" t="str">
        <f aca="false">HYPERLINK("#'NOTES CP'!A1","▸ NOTES CP")</f>
        <v>▸ NOTES CP</v>
      </c>
      <c r="Q25" s="29"/>
      <c r="R25" s="29"/>
      <c r="S25" s="29"/>
      <c r="T25" s="29"/>
    </row>
    <row r="26" customFormat="false" ht="15" hidden="false" customHeight="false" outlineLevel="0" collapsed="false">
      <c r="P26" s="29" t="str">
        <f aca="false">HYPERLINK("#'NOTES CE1'!A1","▸ NOTES CE1")</f>
        <v>▸ NOTES CE1</v>
      </c>
      <c r="Q26" s="29"/>
      <c r="R26" s="29"/>
      <c r="S26" s="29"/>
      <c r="T26" s="29"/>
    </row>
    <row r="27" customFormat="false" ht="15" hidden="false" customHeight="false" outlineLevel="0" collapsed="false">
      <c r="P27" s="29" t="str">
        <f aca="false">HYPERLINK("#'NOTES CE2-CM1'!A1","▸ NOTES CE2-CM1")</f>
        <v>▸ NOTES CE2-CM1</v>
      </c>
      <c r="Q27" s="29"/>
      <c r="R27" s="29"/>
      <c r="S27" s="29"/>
      <c r="T27" s="29"/>
    </row>
    <row r="28" customFormat="false" ht="15" hidden="false" customHeight="false" outlineLevel="0" collapsed="false">
      <c r="P28" s="29" t="str">
        <f aca="false">HYPERLINK("#'NOTES CM2'!A1","▸ NOTES CM2")</f>
        <v>▸ NOTES CM2</v>
      </c>
      <c r="Q28" s="29"/>
      <c r="R28" s="29"/>
      <c r="S28" s="29"/>
      <c r="T28" s="29"/>
    </row>
    <row r="29" customFormat="false" ht="15" hidden="false" customHeight="false" outlineLevel="0" collapsed="false">
      <c r="P29" s="29" t="str">
        <f aca="false">HYPERLINK("#'ABSENCES ELEVES'!A1","▸ ABSENCES ELEVES")</f>
        <v>▸ ABSENCES ELEVES</v>
      </c>
      <c r="Q29" s="29"/>
      <c r="R29" s="29"/>
      <c r="S29" s="29"/>
      <c r="T29" s="29"/>
    </row>
    <row r="30" customFormat="false" ht="15" hidden="false" customHeight="false" outlineLevel="0" collapsed="false">
      <c r="P30" s="29" t="str">
        <f aca="false">HYPERLINK("#'ABSENCES PERSONNEL'!A1","▸ ABSENCES PERSONNEL")</f>
        <v>▸ ABSENCES PERSONNEL</v>
      </c>
      <c r="Q30" s="29"/>
      <c r="R30" s="29"/>
      <c r="S30" s="29"/>
      <c r="T30" s="29"/>
    </row>
    <row r="31" customFormat="false" ht="15" hidden="false" customHeight="false" outlineLevel="0" collapsed="false">
      <c r="P31" s="29" t="str">
        <f aca="false">HYPERLINK("#'PERSONNEL'!A1","▸ PERSONNEL")</f>
        <v>▸ PERSONNEL</v>
      </c>
      <c r="Q31" s="29"/>
      <c r="R31" s="29"/>
      <c r="S31" s="29"/>
      <c r="T31" s="29"/>
    </row>
    <row r="32" customFormat="false" ht="15" hidden="false" customHeight="false" outlineLevel="0" collapsed="false">
      <c r="P32" s="29" t="str">
        <f aca="false">HYPERLINK("#'RAPPORT DE COMPOSITION'!A1","▸ RAPPORT DE COMPOSITION")</f>
        <v>▸ RAPPORT DE COMPOSITION</v>
      </c>
      <c r="Q32" s="29"/>
      <c r="R32" s="29"/>
      <c r="S32" s="29"/>
      <c r="T32" s="29"/>
    </row>
    <row r="33" customFormat="false" ht="15" hidden="false" customHeight="false" outlineLevel="0" collapsed="false">
      <c r="P33" s="29" t="str">
        <f aca="false">HYPERLINK("#'RAPPORT DE RENTREE'!A1","▸ RAPPORT DE RENTREE")</f>
        <v>▸ RAPPORT DE RENTREE</v>
      </c>
      <c r="Q33" s="29"/>
      <c r="R33" s="29"/>
      <c r="S33" s="29"/>
      <c r="T33" s="29"/>
    </row>
    <row r="34" customFormat="false" ht="15" hidden="false" customHeight="false" outlineLevel="0" collapsed="false">
      <c r="P34" s="29" t="str">
        <f aca="false">HYPERLINK("#'RAPPORT MENSUEL'!A1","▸ RAPPORT MENSUEL")</f>
        <v>▸ RAPPORT MENSUEL</v>
      </c>
      <c r="Q34" s="29"/>
      <c r="R34" s="29"/>
      <c r="S34" s="29"/>
      <c r="T34" s="29"/>
    </row>
    <row r="36" customFormat="false" ht="15" hidden="false" customHeight="true" outlineLevel="0" collapsed="false">
      <c r="P36" s="4" t="s">
        <v>28</v>
      </c>
      <c r="Q36" s="4"/>
      <c r="R36" s="4"/>
      <c r="S36" s="4"/>
      <c r="T36" s="4"/>
    </row>
    <row r="37" customFormat="false" ht="15" hidden="false" customHeight="false" outlineLevel="0" collapsed="false">
      <c r="P37" s="4"/>
      <c r="Q37" s="4"/>
      <c r="R37" s="4"/>
      <c r="S37" s="4"/>
      <c r="T37" s="4"/>
    </row>
  </sheetData>
  <mergeCells count="44">
    <mergeCell ref="B1:N1"/>
    <mergeCell ref="B2:N2"/>
    <mergeCell ref="P2:T2"/>
    <mergeCell ref="P3:T4"/>
    <mergeCell ref="B4:C4"/>
    <mergeCell ref="D4:E4"/>
    <mergeCell ref="F4:G4"/>
    <mergeCell ref="H4:J4"/>
    <mergeCell ref="B5:C5"/>
    <mergeCell ref="D5:E5"/>
    <mergeCell ref="F5:G5"/>
    <mergeCell ref="H5:J5"/>
    <mergeCell ref="B7:C7"/>
    <mergeCell ref="D7:E7"/>
    <mergeCell ref="F7:G7"/>
    <mergeCell ref="H7:J7"/>
    <mergeCell ref="B8:C8"/>
    <mergeCell ref="D8:E8"/>
    <mergeCell ref="F8:G8"/>
    <mergeCell ref="H8:J8"/>
    <mergeCell ref="B11:H11"/>
    <mergeCell ref="J11:N11"/>
    <mergeCell ref="J12:N12"/>
    <mergeCell ref="J13:N13"/>
    <mergeCell ref="J14:N14"/>
    <mergeCell ref="J15:N15"/>
    <mergeCell ref="J16:N16"/>
    <mergeCell ref="J17:N17"/>
    <mergeCell ref="J19:N21"/>
    <mergeCell ref="P19:T21"/>
    <mergeCell ref="P22:T22"/>
    <mergeCell ref="P23:T23"/>
    <mergeCell ref="P24:T24"/>
    <mergeCell ref="P25:T25"/>
    <mergeCell ref="P26:T26"/>
    <mergeCell ref="P27:T27"/>
    <mergeCell ref="P28:T28"/>
    <mergeCell ref="P29:T29"/>
    <mergeCell ref="P30:T30"/>
    <mergeCell ref="P31:T31"/>
    <mergeCell ref="P32:T32"/>
    <mergeCell ref="P33:T33"/>
    <mergeCell ref="P34:T34"/>
    <mergeCell ref="P36:T37"/>
  </mergeCells>
  <conditionalFormatting sqref="G13:G18">
    <cfRule type="cellIs" priority="2" operator="lessThan" aboveAverage="0" equalAverage="0" bottom="0" percent="0" rank="0" text="" dxfId="0">
      <formula>0.5</formula>
    </cfRule>
  </conditionalFormatting>
  <printOptions headings="false" gridLines="false" gridLinesSet="true" horizontalCentered="true" verticalCentered="false"/>
  <pageMargins left="0.309722222222222" right="0.309722222222222" top="0.470138888888889" bottom="0.470138888888889"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Feuil2" filterMode="false">
    <tabColor rgb="FFF2A900"/>
    <pageSetUpPr fitToPage="true"/>
  </sheetPr>
  <dimension ref="B1:J5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2" topLeftCell="A3" activePane="bottomLeft" state="frozen"/>
      <selection pane="topLeft" activeCell="A1" activeCellId="0" sqref="A1"/>
      <selection pane="bottomLeft" activeCell="A1" activeCellId="0" sqref="A1"/>
    </sheetView>
  </sheetViews>
  <sheetFormatPr defaultColWidth="8.6796875" defaultRowHeight="15" zeroHeight="false" outlineLevelRow="0" outlineLevelCol="0"/>
  <cols>
    <col collapsed="false" customWidth="true" hidden="false" outlineLevel="0" max="1" min="1" style="0" width="3"/>
    <col collapsed="false" customWidth="true" hidden="false" outlineLevel="0" max="2" min="2" style="0" width="36"/>
    <col collapsed="false" customWidth="true" hidden="false" outlineLevel="0" max="3" min="3" style="0" width="40"/>
    <col collapsed="false" customWidth="true" hidden="false" outlineLevel="0" max="10" min="4" style="0" width="18"/>
  </cols>
  <sheetData>
    <row r="1" customFormat="false" ht="17.35" hidden="false" customHeight="true" outlineLevel="0" collapsed="false">
      <c r="B1" s="30" t="s">
        <v>29</v>
      </c>
      <c r="C1" s="30"/>
      <c r="E1" s="19" t="s">
        <v>30</v>
      </c>
      <c r="F1" s="19"/>
      <c r="G1" s="19"/>
      <c r="H1" s="19"/>
      <c r="I1" s="19"/>
      <c r="J1" s="19"/>
    </row>
    <row r="2" customFormat="false" ht="30" hidden="false" customHeight="true" outlineLevel="0" collapsed="false">
      <c r="B2" s="4" t="s">
        <v>31</v>
      </c>
      <c r="C2" s="4"/>
      <c r="E2" s="31" t="s">
        <v>12</v>
      </c>
      <c r="F2" s="31" t="s">
        <v>32</v>
      </c>
      <c r="G2" s="31" t="s">
        <v>33</v>
      </c>
      <c r="H2" s="31" t="s">
        <v>34</v>
      </c>
      <c r="I2" s="31" t="s">
        <v>35</v>
      </c>
      <c r="J2" s="31" t="s">
        <v>36</v>
      </c>
    </row>
    <row r="3" customFormat="false" ht="15" hidden="false" customHeight="false" outlineLevel="0" collapsed="false">
      <c r="E3" s="32" t="s">
        <v>18</v>
      </c>
      <c r="F3" s="32" t="s">
        <v>37</v>
      </c>
      <c r="G3" s="32" t="s">
        <v>38</v>
      </c>
      <c r="H3" s="32" t="s">
        <v>39</v>
      </c>
      <c r="I3" s="32" t="s">
        <v>40</v>
      </c>
      <c r="J3" s="32" t="s">
        <v>41</v>
      </c>
    </row>
    <row r="4" customFormat="false" ht="23.85" hidden="false" customHeight="false" outlineLevel="0" collapsed="false">
      <c r="B4" s="33" t="s">
        <v>42</v>
      </c>
      <c r="C4" s="34" t="s">
        <v>43</v>
      </c>
      <c r="E4" s="32" t="s">
        <v>19</v>
      </c>
      <c r="F4" s="32" t="s">
        <v>44</v>
      </c>
      <c r="G4" s="32" t="s">
        <v>45</v>
      </c>
      <c r="H4" s="32" t="s">
        <v>46</v>
      </c>
      <c r="I4" s="32" t="s">
        <v>47</v>
      </c>
      <c r="J4" s="32" t="s">
        <v>48</v>
      </c>
    </row>
    <row r="5" customFormat="false" ht="23.85" hidden="false" customHeight="false" outlineLevel="0" collapsed="false">
      <c r="B5" s="33" t="s">
        <v>49</v>
      </c>
      <c r="C5" s="34" t="s">
        <v>50</v>
      </c>
      <c r="E5" s="32" t="s">
        <v>20</v>
      </c>
      <c r="G5" s="32" t="s">
        <v>51</v>
      </c>
      <c r="I5" s="32" t="s">
        <v>52</v>
      </c>
      <c r="J5" s="32" t="s">
        <v>53</v>
      </c>
    </row>
    <row r="6" customFormat="false" ht="15" hidden="false" customHeight="false" outlineLevel="0" collapsed="false">
      <c r="B6" s="33" t="s">
        <v>54</v>
      </c>
      <c r="C6" s="34" t="s">
        <v>55</v>
      </c>
      <c r="E6" s="32" t="s">
        <v>21</v>
      </c>
      <c r="G6" s="32" t="s">
        <v>56</v>
      </c>
      <c r="I6" s="32" t="s">
        <v>57</v>
      </c>
    </row>
    <row r="7" customFormat="false" ht="15" hidden="false" customHeight="false" outlineLevel="0" collapsed="false">
      <c r="B7" s="33" t="s">
        <v>58</v>
      </c>
      <c r="C7" s="34" t="s">
        <v>59</v>
      </c>
      <c r="E7" s="32" t="s">
        <v>22</v>
      </c>
      <c r="G7" s="32" t="s">
        <v>60</v>
      </c>
    </row>
    <row r="8" customFormat="false" ht="15" hidden="false" customHeight="false" outlineLevel="0" collapsed="false">
      <c r="B8" s="33" t="s">
        <v>61</v>
      </c>
      <c r="C8" s="34" t="s">
        <v>62</v>
      </c>
      <c r="E8" s="32" t="s">
        <v>23</v>
      </c>
      <c r="G8" s="32" t="s">
        <v>63</v>
      </c>
    </row>
    <row r="9" customFormat="false" ht="15" hidden="false" customHeight="false" outlineLevel="0" collapsed="false">
      <c r="B9" s="33" t="s">
        <v>64</v>
      </c>
      <c r="C9" s="34" t="s">
        <v>65</v>
      </c>
      <c r="G9" s="32" t="s">
        <v>66</v>
      </c>
    </row>
    <row r="10" customFormat="false" ht="15" hidden="false" customHeight="false" outlineLevel="0" collapsed="false">
      <c r="B10" s="33" t="s">
        <v>67</v>
      </c>
      <c r="C10" s="34" t="s">
        <v>68</v>
      </c>
      <c r="G10" s="32" t="s">
        <v>69</v>
      </c>
    </row>
    <row r="11" customFormat="false" ht="15" hidden="false" customHeight="false" outlineLevel="0" collapsed="false">
      <c r="B11" s="33" t="s">
        <v>70</v>
      </c>
      <c r="C11" s="34" t="s">
        <v>71</v>
      </c>
      <c r="G11" s="32" t="s">
        <v>72</v>
      </c>
    </row>
    <row r="12" customFormat="false" ht="15" hidden="false" customHeight="false" outlineLevel="0" collapsed="false">
      <c r="B12" s="33" t="s">
        <v>73</v>
      </c>
      <c r="C12" s="35" t="n">
        <v>46568</v>
      </c>
    </row>
    <row r="13" customFormat="false" ht="15" hidden="false" customHeight="false" outlineLevel="0" collapsed="false">
      <c r="B13" s="33" t="s">
        <v>74</v>
      </c>
      <c r="C13" s="35" t="n">
        <v>46387</v>
      </c>
      <c r="E13" s="31" t="s">
        <v>75</v>
      </c>
    </row>
    <row r="14" customFormat="false" ht="15" hidden="false" customHeight="false" outlineLevel="0" collapsed="false">
      <c r="B14" s="33" t="s">
        <v>76</v>
      </c>
      <c r="C14" s="34" t="n">
        <v>24</v>
      </c>
      <c r="E14" s="32" t="s">
        <v>77</v>
      </c>
    </row>
    <row r="15" customFormat="false" ht="15" hidden="false" customHeight="false" outlineLevel="0" collapsed="false">
      <c r="B15" s="33" t="s">
        <v>78</v>
      </c>
      <c r="C15" s="34" t="s">
        <v>79</v>
      </c>
      <c r="E15" s="32" t="s">
        <v>80</v>
      </c>
    </row>
    <row r="16" customFormat="false" ht="15" hidden="false" customHeight="false" outlineLevel="0" collapsed="false">
      <c r="E16" s="32" t="s">
        <v>81</v>
      </c>
    </row>
    <row r="17" customFormat="false" ht="15" hidden="false" customHeight="false" outlineLevel="0" collapsed="false">
      <c r="B17" s="36" t="s">
        <v>82</v>
      </c>
      <c r="C17" s="37" t="s">
        <v>83</v>
      </c>
      <c r="D17" s="37" t="s">
        <v>84</v>
      </c>
      <c r="E17" s="32" t="s">
        <v>85</v>
      </c>
    </row>
    <row r="18" customFormat="false" ht="15" hidden="false" customHeight="false" outlineLevel="0" collapsed="false">
      <c r="B18" s="33" t="s">
        <v>18</v>
      </c>
      <c r="C18" s="38" t="n">
        <v>5</v>
      </c>
      <c r="D18" s="39" t="n">
        <v>10</v>
      </c>
      <c r="E18" s="32" t="s">
        <v>86</v>
      </c>
    </row>
    <row r="19" customFormat="false" ht="15" hidden="false" customHeight="false" outlineLevel="0" collapsed="false">
      <c r="B19" s="33" t="s">
        <v>19</v>
      </c>
      <c r="C19" s="38" t="n">
        <v>5</v>
      </c>
      <c r="D19" s="39" t="n">
        <v>10</v>
      </c>
      <c r="E19" s="32" t="s">
        <v>87</v>
      </c>
    </row>
    <row r="20" customFormat="false" ht="15" hidden="false" customHeight="false" outlineLevel="0" collapsed="false">
      <c r="B20" s="33" t="s">
        <v>20</v>
      </c>
      <c r="C20" s="38" t="n">
        <v>5</v>
      </c>
      <c r="D20" s="39" t="n">
        <v>10</v>
      </c>
      <c r="E20" s="32" t="s">
        <v>88</v>
      </c>
    </row>
    <row r="21" customFormat="false" ht="15" hidden="false" customHeight="false" outlineLevel="0" collapsed="false">
      <c r="B21" s="33" t="s">
        <v>21</v>
      </c>
      <c r="C21" s="38" t="n">
        <v>5</v>
      </c>
      <c r="D21" s="39" t="n">
        <v>10</v>
      </c>
    </row>
    <row r="22" customFormat="false" ht="15" hidden="false" customHeight="false" outlineLevel="0" collapsed="false">
      <c r="B22" s="33" t="s">
        <v>22</v>
      </c>
      <c r="C22" s="38" t="n">
        <v>5</v>
      </c>
      <c r="D22" s="39" t="n">
        <v>10</v>
      </c>
    </row>
    <row r="23" customFormat="false" ht="15" hidden="false" customHeight="false" outlineLevel="0" collapsed="false">
      <c r="B23" s="33" t="s">
        <v>23</v>
      </c>
      <c r="C23" s="38" t="n">
        <v>10</v>
      </c>
      <c r="D23" s="39" t="n">
        <v>20</v>
      </c>
    </row>
    <row r="24" customFormat="false" ht="15" hidden="false" customHeight="true" outlineLevel="0" collapsed="false">
      <c r="B24" s="40" t="s">
        <v>89</v>
      </c>
      <c r="C24" s="40"/>
      <c r="D24" s="40"/>
    </row>
    <row r="25" customFormat="false" ht="15" hidden="false" customHeight="false" outlineLevel="0" collapsed="false">
      <c r="B25" s="40"/>
      <c r="C25" s="40"/>
      <c r="D25" s="40"/>
    </row>
    <row r="27" customFormat="false" ht="15" hidden="false" customHeight="true" outlineLevel="0" collapsed="false">
      <c r="B27" s="41" t="s">
        <v>90</v>
      </c>
      <c r="C27" s="41"/>
      <c r="D27" s="41"/>
    </row>
    <row r="28" customFormat="false" ht="15" hidden="false" customHeight="false" outlineLevel="0" collapsed="false">
      <c r="B28" s="42" t="s">
        <v>91</v>
      </c>
      <c r="C28" s="42" t="s">
        <v>92</v>
      </c>
      <c r="D28" s="42" t="s">
        <v>93</v>
      </c>
    </row>
    <row r="29" customFormat="false" ht="15" hidden="false" customHeight="false" outlineLevel="0" collapsed="false">
      <c r="B29" s="43" t="s">
        <v>94</v>
      </c>
      <c r="C29" s="44" t="n">
        <v>46365</v>
      </c>
      <c r="D29" s="44" t="n">
        <v>46365</v>
      </c>
    </row>
    <row r="30" customFormat="false" ht="15" hidden="false" customHeight="false" outlineLevel="0" collapsed="false">
      <c r="B30" s="43" t="s">
        <v>95</v>
      </c>
      <c r="C30" s="44" t="n">
        <v>46456</v>
      </c>
      <c r="D30" s="44" t="n">
        <v>46456</v>
      </c>
    </row>
    <row r="31" customFormat="false" ht="15" hidden="false" customHeight="false" outlineLevel="0" collapsed="false">
      <c r="B31" s="43" t="s">
        <v>96</v>
      </c>
      <c r="C31" s="44" t="n">
        <v>46533</v>
      </c>
      <c r="D31" s="44" t="n">
        <v>46450</v>
      </c>
    </row>
    <row r="32" customFormat="false" ht="15" hidden="false" customHeight="false" outlineLevel="0" collapsed="false">
      <c r="B32" s="43" t="s">
        <v>97</v>
      </c>
      <c r="C32" s="44" t="n">
        <v>46554</v>
      </c>
      <c r="D32" s="44" t="n">
        <v>46504</v>
      </c>
    </row>
    <row r="33" customFormat="false" ht="15" hidden="false" customHeight="true" outlineLevel="0" collapsed="false">
      <c r="B33" s="40" t="s">
        <v>98</v>
      </c>
      <c r="C33" s="40"/>
      <c r="D33" s="40"/>
    </row>
    <row r="34" customFormat="false" ht="15" hidden="false" customHeight="false" outlineLevel="0" collapsed="false">
      <c r="B34" s="40"/>
      <c r="C34" s="40"/>
      <c r="D34" s="40"/>
    </row>
    <row r="36" customFormat="false" ht="15" hidden="false" customHeight="true" outlineLevel="0" collapsed="false">
      <c r="B36" s="41" t="s">
        <v>99</v>
      </c>
      <c r="C36" s="41"/>
      <c r="D36" s="41"/>
    </row>
    <row r="37" customFormat="false" ht="15" hidden="false" customHeight="false" outlineLevel="0" collapsed="false">
      <c r="B37" s="42" t="s">
        <v>100</v>
      </c>
      <c r="C37" s="42" t="s">
        <v>101</v>
      </c>
      <c r="D37" s="42" t="s">
        <v>102</v>
      </c>
    </row>
    <row r="38" customFormat="false" ht="15" hidden="false" customHeight="false" outlineLevel="0" collapsed="false">
      <c r="B38" s="43" t="s">
        <v>103</v>
      </c>
      <c r="C38" s="45" t="n">
        <v>9</v>
      </c>
      <c r="D38" s="46" t="n">
        <v>13</v>
      </c>
    </row>
    <row r="39" customFormat="false" ht="15" hidden="false" customHeight="false" outlineLevel="0" collapsed="false">
      <c r="B39" s="43" t="s">
        <v>104</v>
      </c>
      <c r="C39" s="45" t="n">
        <v>10</v>
      </c>
      <c r="D39" s="46" t="n">
        <v>22</v>
      </c>
    </row>
    <row r="40" customFormat="false" ht="15" hidden="false" customHeight="false" outlineLevel="0" collapsed="false">
      <c r="B40" s="43" t="s">
        <v>105</v>
      </c>
      <c r="C40" s="45" t="n">
        <v>11</v>
      </c>
      <c r="D40" s="46" t="n">
        <v>21</v>
      </c>
    </row>
    <row r="41" customFormat="false" ht="15" hidden="false" customHeight="false" outlineLevel="0" collapsed="false">
      <c r="B41" s="43" t="s">
        <v>106</v>
      </c>
      <c r="C41" s="45" t="n">
        <v>12</v>
      </c>
      <c r="D41" s="46" t="n">
        <v>17</v>
      </c>
    </row>
    <row r="42" customFormat="false" ht="15" hidden="false" customHeight="false" outlineLevel="0" collapsed="false">
      <c r="B42" s="43" t="s">
        <v>107</v>
      </c>
      <c r="C42" s="45" t="n">
        <v>1</v>
      </c>
      <c r="D42" s="46" t="n">
        <v>20</v>
      </c>
    </row>
    <row r="43" customFormat="false" ht="15" hidden="false" customHeight="false" outlineLevel="0" collapsed="false">
      <c r="B43" s="43" t="s">
        <v>108</v>
      </c>
      <c r="C43" s="45" t="n">
        <v>2</v>
      </c>
      <c r="D43" s="46" t="n">
        <v>15</v>
      </c>
    </row>
    <row r="44" customFormat="false" ht="15" hidden="false" customHeight="false" outlineLevel="0" collapsed="false">
      <c r="B44" s="43" t="s">
        <v>109</v>
      </c>
      <c r="C44" s="45" t="n">
        <v>3</v>
      </c>
      <c r="D44" s="46" t="n">
        <v>23</v>
      </c>
    </row>
    <row r="45" customFormat="false" ht="15" hidden="false" customHeight="false" outlineLevel="0" collapsed="false">
      <c r="B45" s="43" t="s">
        <v>110</v>
      </c>
      <c r="C45" s="45" t="n">
        <v>4</v>
      </c>
      <c r="D45" s="46" t="n">
        <v>15</v>
      </c>
    </row>
    <row r="46" customFormat="false" ht="15" hidden="false" customHeight="false" outlineLevel="0" collapsed="false">
      <c r="B46" s="43" t="s">
        <v>111</v>
      </c>
      <c r="C46" s="45" t="n">
        <v>5</v>
      </c>
      <c r="D46" s="46" t="n">
        <v>21</v>
      </c>
    </row>
    <row r="47" customFormat="false" ht="15" hidden="false" customHeight="false" outlineLevel="0" collapsed="false">
      <c r="B47" s="43" t="s">
        <v>112</v>
      </c>
      <c r="C47" s="45" t="n">
        <v>6</v>
      </c>
      <c r="D47" s="46" t="n">
        <v>22</v>
      </c>
    </row>
    <row r="48" customFormat="false" ht="15" hidden="false" customHeight="false" outlineLevel="0" collapsed="false">
      <c r="B48" s="43" t="s">
        <v>113</v>
      </c>
      <c r="C48" s="45" t="n">
        <v>7</v>
      </c>
      <c r="D48" s="46" t="n">
        <v>12</v>
      </c>
    </row>
    <row r="49" customFormat="false" ht="15" hidden="false" customHeight="true" outlineLevel="0" collapsed="false">
      <c r="B49" s="40" t="s">
        <v>114</v>
      </c>
      <c r="C49" s="40"/>
      <c r="D49" s="40"/>
    </row>
    <row r="50" customFormat="false" ht="15" hidden="false" customHeight="false" outlineLevel="0" collapsed="false">
      <c r="B50" s="40"/>
      <c r="C50" s="40"/>
      <c r="D50" s="40"/>
    </row>
  </sheetData>
  <mergeCells count="8">
    <mergeCell ref="B1:C1"/>
    <mergeCell ref="E1:J1"/>
    <mergeCell ref="B2:C2"/>
    <mergeCell ref="B24:D25"/>
    <mergeCell ref="B27:D27"/>
    <mergeCell ref="B33:D34"/>
    <mergeCell ref="B36:D36"/>
    <mergeCell ref="B49:D50"/>
  </mergeCells>
  <dataValidations count="1">
    <dataValidation allowBlank="false" error="10 ou 20" errorStyle="stop" errorTitle="Barème" operator="between" showDropDown="false" showErrorMessage="true" showInputMessage="false" sqref="D18:D23" type="list">
      <formula1>"10,20"</formula1>
      <formula2>0</formula2>
    </dataValidation>
  </dataValidations>
  <printOptions headings="false" gridLines="false" gridLinesSet="true" horizontalCentered="true" verticalCentered="false"/>
  <pageMargins left="0.309722222222222" right="0.309722222222222" top="0.470138888888889" bottom="0.470138888888889" header="0.511811023622047" footer="0.511811023622047"/>
  <pageSetup paperSize="9" scale="100" fitToWidth="1" fitToHeight="0" pageOrder="downThenOver" orientation="portrait" blackAndWhite="false" draft="false" cellComments="none" horizontalDpi="300" verticalDpi="300" copies="1"/>
  <headerFooter differentFirst="false" differentOddEven="false">
    <oddHeader/>
    <oddFooter/>
  </headerFooter>
  <drawing r:id="rIdBtn"/>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Feuil3" filterMode="false">
    <tabColor rgb="FF1F3864"/>
    <pageSetUpPr fitToPage="true"/>
  </sheetPr>
  <dimension ref="A1:AI25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A1" activeCellId="0" sqref="A1"/>
    </sheetView>
  </sheetViews>
  <sheetFormatPr defaultColWidth="8.6796875" defaultRowHeight="15" zeroHeight="false" outlineLevelRow="0" outlineLevelCol="0"/>
  <cols>
    <col collapsed="false" customWidth="true" hidden="false" outlineLevel="0" max="1" min="1" style="0" width="5"/>
    <col collapsed="false" customWidth="true" hidden="false" outlineLevel="0" max="2" min="2" style="0" width="13"/>
    <col collapsed="false" customWidth="true" hidden="false" outlineLevel="0" max="3" min="3" style="0" width="17"/>
    <col collapsed="false" customWidth="true" hidden="false" outlineLevel="0" max="4" min="4" style="0" width="30"/>
    <col collapsed="false" customWidth="true" hidden="false" outlineLevel="0" max="5" min="5" style="0" width="6"/>
    <col collapsed="false" customWidth="true" hidden="false" outlineLevel="0" max="6" min="6" style="0" width="7"/>
    <col collapsed="false" customWidth="true" hidden="false" outlineLevel="0" max="7" min="7" style="0" width="13"/>
    <col collapsed="false" customWidth="true" hidden="false" outlineLevel="0" max="8" min="8" style="0" width="6"/>
    <col collapsed="false" customWidth="true" hidden="false" outlineLevel="0" max="9" min="9" style="0" width="13"/>
    <col collapsed="false" customWidth="true" hidden="false" outlineLevel="0" max="10" min="10" style="0" width="14"/>
    <col collapsed="false" customWidth="true" hidden="false" outlineLevel="0" max="11" min="11" style="0" width="15"/>
    <col collapsed="false" customWidth="true" hidden="false" outlineLevel="0" max="12" min="12" style="0" width="8"/>
    <col collapsed="false" customWidth="true" hidden="false" outlineLevel="0" max="13" min="13" style="0" width="10"/>
    <col collapsed="false" customWidth="true" hidden="false" outlineLevel="0" max="14" min="14" style="0" width="11"/>
    <col collapsed="false" customWidth="true" hidden="false" outlineLevel="0" max="15" min="15" style="0" width="16"/>
    <col collapsed="false" customWidth="true" hidden="false" outlineLevel="0" max="16" min="16" style="0" width="8"/>
    <col collapsed="false" customWidth="true" hidden="false" outlineLevel="0" max="17" min="17" style="0" width="12"/>
    <col collapsed="false" customWidth="true" hidden="false" outlineLevel="0" max="18" min="18" style="0" width="26"/>
    <col collapsed="false" customWidth="true" hidden="false" outlineLevel="0" max="19" min="19" style="0" width="14"/>
    <col collapsed="false" customWidth="true" hidden="false" outlineLevel="0" max="21" min="20" style="0" width="12"/>
    <col collapsed="false" customWidth="true" hidden="false" outlineLevel="0" max="22" min="22" style="0" width="26"/>
    <col collapsed="false" customWidth="true" hidden="false" outlineLevel="0" max="23" min="23" style="0" width="14"/>
    <col collapsed="false" customWidth="true" hidden="false" outlineLevel="0" max="25" min="24" style="0" width="12"/>
    <col collapsed="false" customWidth="true" hidden="false" outlineLevel="0" max="26" min="26" style="0" width="26"/>
    <col collapsed="false" customWidth="true" hidden="false" outlineLevel="0" max="27" min="27" style="0" width="14"/>
    <col collapsed="false" customWidth="true" hidden="false" outlineLevel="0" max="29" min="28" style="0" width="12"/>
    <col collapsed="false" customWidth="true" hidden="false" outlineLevel="0" max="31" min="30" style="0" width="10"/>
    <col collapsed="false" customWidth="true" hidden="false" outlineLevel="0" max="32" min="32" style="0" width="20"/>
    <col collapsed="false" customWidth="true" hidden="true" outlineLevel="0" max="35" min="33" style="0" width="13"/>
  </cols>
  <sheetData>
    <row r="1" customFormat="false" ht="15" hidden="false" customHeight="true" outlineLevel="0" collapsed="false">
      <c r="A1" s="47" t="str">
        <f aca="false">PARAMETRES!$C$4</f>
        <v>MINISTERE DE L'EDUCATION NATIONALE ET DE L'ALPHABETISATION</v>
      </c>
      <c r="B1" s="47"/>
      <c r="C1" s="47"/>
      <c r="D1" s="47"/>
      <c r="E1" s="47"/>
      <c r="F1" s="47"/>
      <c r="G1" s="47"/>
      <c r="H1" s="47"/>
      <c r="I1" s="47"/>
      <c r="J1" s="47"/>
      <c r="K1" s="47"/>
      <c r="L1" s="47"/>
      <c r="M1" s="47"/>
      <c r="N1" s="47"/>
      <c r="O1" s="47"/>
      <c r="P1" s="47"/>
      <c r="Q1" s="47" t="s">
        <v>115</v>
      </c>
      <c r="R1" s="47"/>
      <c r="S1" s="47"/>
      <c r="T1" s="47"/>
      <c r="U1" s="47"/>
      <c r="V1" s="47"/>
      <c r="W1" s="47"/>
      <c r="X1" s="47"/>
      <c r="Y1" s="47"/>
      <c r="Z1" s="47"/>
      <c r="AA1" s="47"/>
      <c r="AB1" s="47"/>
      <c r="AC1" s="47"/>
      <c r="AD1" s="47"/>
      <c r="AE1" s="47"/>
      <c r="AF1" s="47"/>
    </row>
    <row r="2" customFormat="false" ht="15" hidden="false" customHeight="true" outlineLevel="0" collapsed="false">
      <c r="A2" s="48" t="str">
        <f aca="false">PARAMETRES!$C$5</f>
        <v>DIRECTION REGIONALE DE L'EDUCATION NATIONALE DE GAGNOA</v>
      </c>
      <c r="B2" s="48"/>
      <c r="C2" s="48"/>
      <c r="D2" s="48"/>
      <c r="E2" s="48"/>
      <c r="F2" s="48"/>
      <c r="G2" s="48"/>
      <c r="H2" s="48"/>
      <c r="I2" s="48"/>
      <c r="J2" s="48"/>
      <c r="K2" s="48"/>
      <c r="L2" s="48"/>
      <c r="M2" s="48"/>
      <c r="N2" s="48"/>
      <c r="O2" s="48"/>
      <c r="P2" s="48"/>
      <c r="Q2" s="48" t="s">
        <v>116</v>
      </c>
      <c r="R2" s="48"/>
      <c r="S2" s="48"/>
      <c r="T2" s="48"/>
      <c r="U2" s="48"/>
      <c r="V2" s="48"/>
      <c r="W2" s="48"/>
      <c r="X2" s="48"/>
      <c r="Y2" s="48"/>
      <c r="Z2" s="48"/>
      <c r="AA2" s="48"/>
      <c r="AB2" s="48"/>
      <c r="AC2" s="48"/>
      <c r="AD2" s="48"/>
      <c r="AE2" s="48"/>
      <c r="AF2" s="48"/>
    </row>
    <row r="3" customFormat="false" ht="15" hidden="false" customHeight="false" outlineLevel="0" collapsed="false">
      <c r="A3" s="47" t="str">
        <f aca="false">PARAMETRES!$C$6</f>
        <v>IEPP GAGNOA 2</v>
      </c>
      <c r="B3" s="47"/>
      <c r="C3" s="47"/>
      <c r="D3" s="47"/>
      <c r="E3" s="47"/>
      <c r="F3" s="47"/>
      <c r="G3" s="47"/>
      <c r="H3" s="47"/>
      <c r="I3" s="47"/>
      <c r="J3" s="47"/>
      <c r="K3" s="47"/>
      <c r="L3" s="47"/>
      <c r="M3" s="47"/>
      <c r="N3" s="47"/>
      <c r="O3" s="47"/>
      <c r="P3" s="47"/>
      <c r="Q3" s="47" t="str">
        <f aca="false">"ANNEE SCOLAIRE : "&amp;PARAMETRES!$C$9</f>
        <v>ANNEE SCOLAIRE : 2026-2027</v>
      </c>
      <c r="R3" s="47"/>
      <c r="S3" s="47"/>
      <c r="T3" s="47"/>
      <c r="U3" s="47"/>
      <c r="V3" s="47"/>
      <c r="W3" s="47"/>
      <c r="X3" s="47"/>
      <c r="Y3" s="47"/>
      <c r="Z3" s="47"/>
      <c r="AA3" s="47"/>
      <c r="AB3" s="47"/>
      <c r="AC3" s="47"/>
      <c r="AD3" s="47"/>
      <c r="AE3" s="47"/>
      <c r="AF3" s="47"/>
    </row>
    <row r="4" customFormat="false" ht="15" hidden="false" customHeight="false" outlineLevel="0" collapsed="false">
      <c r="A4" s="48" t="str">
        <f aca="false">PARAMETRES!$C$7&amp;"  -  Code : "&amp;PARAMETRES!$C$8</f>
        <v>EPP LIGUIYO  -  Code : EPP-GAG-0123</v>
      </c>
      <c r="B4" s="48"/>
      <c r="C4" s="48"/>
      <c r="D4" s="48"/>
      <c r="E4" s="48"/>
      <c r="F4" s="48"/>
      <c r="G4" s="48"/>
      <c r="H4" s="48"/>
      <c r="I4" s="48"/>
      <c r="J4" s="48"/>
      <c r="K4" s="48"/>
      <c r="L4" s="48"/>
      <c r="M4" s="48"/>
      <c r="N4" s="48"/>
      <c r="O4" s="48"/>
      <c r="P4" s="48"/>
      <c r="Q4" s="49"/>
    </row>
    <row r="6" customFormat="false" ht="27.75" hidden="false" customHeight="true" outlineLevel="0" collapsed="false">
      <c r="A6" s="30" t="s">
        <v>117</v>
      </c>
      <c r="B6" s="30"/>
      <c r="C6" s="30"/>
      <c r="D6" s="30"/>
      <c r="E6" s="30"/>
      <c r="F6" s="30"/>
      <c r="G6" s="30"/>
      <c r="H6" s="30"/>
      <c r="I6" s="30"/>
      <c r="J6" s="30"/>
      <c r="K6" s="30"/>
      <c r="L6" s="30"/>
      <c r="M6" s="30"/>
      <c r="N6" s="30"/>
      <c r="O6" s="30"/>
      <c r="P6" s="30"/>
      <c r="Q6" s="30"/>
      <c r="R6" s="30"/>
      <c r="S6" s="30"/>
      <c r="T6" s="30"/>
      <c r="U6" s="30"/>
      <c r="V6" s="30"/>
      <c r="W6" s="30"/>
      <c r="X6" s="30"/>
      <c r="Y6" s="30"/>
      <c r="Z6" s="30"/>
      <c r="AA6" s="30"/>
      <c r="AB6" s="30"/>
      <c r="AC6" s="30"/>
      <c r="AD6" s="30"/>
      <c r="AE6" s="30"/>
      <c r="AF6" s="30"/>
    </row>
    <row r="7" customFormat="false" ht="15" hidden="false" customHeight="true" outlineLevel="0" collapsed="false">
      <c r="A7" s="2" t="s">
        <v>118</v>
      </c>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row>
    <row r="8" customFormat="false" ht="22.35" hidden="false" customHeight="true" outlineLevel="0" collapsed="false">
      <c r="A8" s="4" t="s">
        <v>119</v>
      </c>
      <c r="B8" s="4"/>
      <c r="C8" s="4"/>
      <c r="D8" s="4"/>
      <c r="E8" s="4"/>
      <c r="F8" s="4"/>
      <c r="G8" s="4"/>
      <c r="H8" s="4"/>
      <c r="I8" s="4"/>
      <c r="J8" s="4"/>
      <c r="K8" s="4"/>
      <c r="L8" s="4"/>
      <c r="M8" s="4"/>
      <c r="N8" s="4"/>
      <c r="O8" s="4"/>
      <c r="P8" s="4"/>
      <c r="Q8" s="4"/>
      <c r="R8" s="4"/>
      <c r="S8" s="4"/>
      <c r="T8" s="4"/>
      <c r="U8" s="4"/>
      <c r="V8" s="4"/>
      <c r="W8" s="4"/>
      <c r="X8" s="4"/>
      <c r="Y8" s="4"/>
      <c r="Z8" s="4"/>
      <c r="AA8" s="4"/>
      <c r="AB8" s="4"/>
      <c r="AC8" s="4"/>
      <c r="AD8" s="4"/>
      <c r="AE8" s="4"/>
      <c r="AF8" s="4"/>
    </row>
    <row r="9" customFormat="false" ht="39.75" hidden="false" customHeight="true" outlineLevel="0" collapsed="false">
      <c r="A9" s="50" t="s">
        <v>120</v>
      </c>
      <c r="B9" s="50" t="s">
        <v>121</v>
      </c>
      <c r="C9" s="50" t="s">
        <v>122</v>
      </c>
      <c r="D9" s="50" t="s">
        <v>123</v>
      </c>
      <c r="E9" s="50" t="s">
        <v>32</v>
      </c>
      <c r="F9" s="50" t="s">
        <v>12</v>
      </c>
      <c r="G9" s="50" t="s">
        <v>124</v>
      </c>
      <c r="H9" s="50" t="s">
        <v>125</v>
      </c>
      <c r="I9" s="50" t="s">
        <v>33</v>
      </c>
      <c r="J9" s="50" t="s">
        <v>67</v>
      </c>
      <c r="K9" s="50" t="s">
        <v>126</v>
      </c>
      <c r="L9" s="50" t="s">
        <v>127</v>
      </c>
      <c r="M9" s="50" t="s">
        <v>128</v>
      </c>
      <c r="N9" s="50" t="s">
        <v>129</v>
      </c>
      <c r="O9" s="50" t="s">
        <v>130</v>
      </c>
      <c r="P9" s="50" t="s">
        <v>131</v>
      </c>
      <c r="Q9" s="50" t="s">
        <v>35</v>
      </c>
      <c r="R9" s="50" t="s">
        <v>132</v>
      </c>
      <c r="S9" s="50" t="s">
        <v>133</v>
      </c>
      <c r="T9" s="50" t="s">
        <v>134</v>
      </c>
      <c r="U9" s="50" t="s">
        <v>135</v>
      </c>
      <c r="V9" s="50" t="s">
        <v>136</v>
      </c>
      <c r="W9" s="50" t="s">
        <v>137</v>
      </c>
      <c r="X9" s="50" t="s">
        <v>138</v>
      </c>
      <c r="Y9" s="50" t="s">
        <v>139</v>
      </c>
      <c r="Z9" s="50" t="s">
        <v>140</v>
      </c>
      <c r="AA9" s="50" t="s">
        <v>141</v>
      </c>
      <c r="AB9" s="50" t="s">
        <v>142</v>
      </c>
      <c r="AC9" s="50" t="s">
        <v>143</v>
      </c>
      <c r="AD9" s="50" t="s">
        <v>144</v>
      </c>
      <c r="AE9" s="50" t="s">
        <v>36</v>
      </c>
      <c r="AF9" s="50" t="s">
        <v>145</v>
      </c>
      <c r="AG9" s="51" t="s">
        <v>146</v>
      </c>
      <c r="AH9" s="51" t="s">
        <v>147</v>
      </c>
      <c r="AI9" s="51" t="s">
        <v>148</v>
      </c>
    </row>
    <row r="10" customFormat="false" ht="15" hidden="false" customHeight="false" outlineLevel="0" collapsed="false">
      <c r="A10" s="52" t="n">
        <f aca="false">IF(D10="","",ROW()-9)</f>
        <v>1</v>
      </c>
      <c r="B10" s="53" t="str">
        <f aca="false">IF(F10="","",F10&amp;"-"&amp;TEXT(COUNTIF($F$10:F10,F10),"000")&amp;"-"&amp;RIGHT(LEFT(PARAMETRES!$C$9,4),2))</f>
        <v>CP1-001-26</v>
      </c>
      <c r="C10" s="54"/>
      <c r="D10" s="55" t="s">
        <v>149</v>
      </c>
      <c r="E10" s="56" t="s">
        <v>37</v>
      </c>
      <c r="F10" s="56" t="s">
        <v>18</v>
      </c>
      <c r="G10" s="57" t="n">
        <v>44078</v>
      </c>
      <c r="H10" s="52" t="n">
        <f aca="false">IF(G10="","",DATEDIF(G10,PARAMETRES!$C$13,"y"))</f>
        <v>6</v>
      </c>
      <c r="I10" s="56" t="s">
        <v>38</v>
      </c>
      <c r="J10" s="52" t="s">
        <v>68</v>
      </c>
      <c r="K10" s="52" t="s">
        <v>150</v>
      </c>
      <c r="L10" s="56" t="s">
        <v>39</v>
      </c>
      <c r="M10" s="52" t="s">
        <v>151</v>
      </c>
      <c r="N10" s="57" t="n">
        <v>44119</v>
      </c>
      <c r="O10" s="52" t="s">
        <v>150</v>
      </c>
      <c r="P10" s="56" t="s">
        <v>46</v>
      </c>
      <c r="Q10" s="56" t="s">
        <v>40</v>
      </c>
      <c r="R10" s="55" t="s">
        <v>152</v>
      </c>
      <c r="S10" s="52" t="s">
        <v>153</v>
      </c>
      <c r="T10" s="52" t="s">
        <v>68</v>
      </c>
      <c r="U10" s="52" t="s">
        <v>154</v>
      </c>
      <c r="V10" s="55" t="s">
        <v>155</v>
      </c>
      <c r="W10" s="52" t="s">
        <v>156</v>
      </c>
      <c r="X10" s="52" t="s">
        <v>68</v>
      </c>
      <c r="Y10" s="52" t="s">
        <v>157</v>
      </c>
      <c r="Z10" s="55"/>
      <c r="AA10" s="52"/>
      <c r="AB10" s="52"/>
      <c r="AC10" s="52"/>
      <c r="AD10" s="56" t="s">
        <v>46</v>
      </c>
      <c r="AE10" s="56" t="s">
        <v>41</v>
      </c>
      <c r="AF10" s="55"/>
      <c r="AG10" s="51" t="str">
        <f aca="false">IF(F10="","",F10&amp;"-"&amp;COUNTIF($F$10:F10,F10))</f>
        <v>CP1-1</v>
      </c>
      <c r="AH10" s="51" t="str">
        <f aca="false">IF(F10="","",IF(F10="CM2","CM2-"&amp;COUNTIF($F$10:F10,"CM2"),"P-"&amp;COUNTIFS($F$10:F10,"&lt;&gt;CM2",$F$10:F10,"&lt;&gt;")))</f>
        <v>P-1</v>
      </c>
      <c r="AI10" s="51" t="str">
        <f aca="false">IF(F10="","",IF(LEFT(F10,2)="CP","CP-"&amp;COUNTIF($F$10:F10,"CP*"),IF(F10="CE1","CE1-"&amp;COUNTIF($F$10:F10,"CE1"),IF(F10="CM2","CM2-"&amp;COUNTIF($F$10:F10,"CM2"),"CEM-"&amp;(COUNTIF($F$10:F10,"CE2")+COUNTIF($F$10:F10,"CM1"))))))</f>
        <v>CP-1</v>
      </c>
    </row>
    <row r="11" customFormat="false" ht="15" hidden="false" customHeight="false" outlineLevel="0" collapsed="false">
      <c r="A11" s="52" t="n">
        <f aca="false">IF(D11="","",ROW()-9)</f>
        <v>2</v>
      </c>
      <c r="B11" s="53" t="str">
        <f aca="false">IF(F11="","",F11&amp;"-"&amp;TEXT(COUNTIF($F$10:F11,F11),"000")&amp;"-"&amp;RIGHT(LEFT(PARAMETRES!$C$9,4),2))</f>
        <v>CP1-002-26</v>
      </c>
      <c r="C11" s="54"/>
      <c r="D11" s="55" t="s">
        <v>158</v>
      </c>
      <c r="E11" s="56" t="s">
        <v>37</v>
      </c>
      <c r="F11" s="56" t="s">
        <v>18</v>
      </c>
      <c r="G11" s="57" t="n">
        <v>44017</v>
      </c>
      <c r="H11" s="52" t="n">
        <f aca="false">IF(G11="","",DATEDIF(G11,PARAMETRES!$C$13,"y"))</f>
        <v>6</v>
      </c>
      <c r="I11" s="56" t="s">
        <v>38</v>
      </c>
      <c r="J11" s="52" t="s">
        <v>68</v>
      </c>
      <c r="K11" s="52" t="s">
        <v>150</v>
      </c>
      <c r="L11" s="56" t="s">
        <v>39</v>
      </c>
      <c r="M11" s="52" t="s">
        <v>159</v>
      </c>
      <c r="N11" s="57" t="n">
        <v>44026</v>
      </c>
      <c r="O11" s="52" t="s">
        <v>150</v>
      </c>
      <c r="P11" s="56" t="s">
        <v>46</v>
      </c>
      <c r="Q11" s="56" t="s">
        <v>40</v>
      </c>
      <c r="R11" s="55" t="s">
        <v>160</v>
      </c>
      <c r="S11" s="52" t="s">
        <v>161</v>
      </c>
      <c r="T11" s="52" t="s">
        <v>68</v>
      </c>
      <c r="U11" s="52" t="s">
        <v>162</v>
      </c>
      <c r="V11" s="55" t="s">
        <v>163</v>
      </c>
      <c r="W11" s="52" t="s">
        <v>164</v>
      </c>
      <c r="X11" s="52" t="s">
        <v>68</v>
      </c>
      <c r="Y11" s="52" t="s">
        <v>165</v>
      </c>
      <c r="Z11" s="55"/>
      <c r="AA11" s="52"/>
      <c r="AB11" s="52"/>
      <c r="AC11" s="52"/>
      <c r="AD11" s="56" t="s">
        <v>39</v>
      </c>
      <c r="AE11" s="56" t="s">
        <v>41</v>
      </c>
      <c r="AF11" s="55"/>
      <c r="AG11" s="51" t="str">
        <f aca="false">IF(F11="","",F11&amp;"-"&amp;COUNTIF($F$10:F11,F11))</f>
        <v>CP1-2</v>
      </c>
      <c r="AH11" s="51" t="str">
        <f aca="false">IF(F11="","",IF(F11="CM2","CM2-"&amp;COUNTIF($F$10:F11,"CM2"),"P-"&amp;COUNTIFS($F$10:F11,"&lt;&gt;CM2",$F$10:F11,"&lt;&gt;")))</f>
        <v>P-2</v>
      </c>
      <c r="AI11" s="51" t="str">
        <f aca="false">IF(F11="","",IF(LEFT(F11,2)="CP","CP-"&amp;COUNTIF($F$10:F11,"CP*"),IF(F11="CE1","CE1-"&amp;COUNTIF($F$10:F11,"CE1"),IF(F11="CM2","CM2-"&amp;COUNTIF($F$10:F11,"CM2"),"CEM-"&amp;(COUNTIF($F$10:F11,"CE2")+COUNTIF($F$10:F11,"CM1"))))))</f>
        <v>CP-2</v>
      </c>
    </row>
    <row r="12" customFormat="false" ht="15" hidden="false" customHeight="false" outlineLevel="0" collapsed="false">
      <c r="A12" s="52" t="n">
        <f aca="false">IF(D12="","",ROW()-9)</f>
        <v>3</v>
      </c>
      <c r="B12" s="53" t="str">
        <f aca="false">IF(F12="","",F12&amp;"-"&amp;TEXT(COUNTIF($F$10:F12,F12),"000")&amp;"-"&amp;RIGHT(LEFT(PARAMETRES!$C$9,4),2))</f>
        <v>CP1-003-26</v>
      </c>
      <c r="C12" s="54"/>
      <c r="D12" s="55" t="s">
        <v>166</v>
      </c>
      <c r="E12" s="56" t="s">
        <v>44</v>
      </c>
      <c r="F12" s="56" t="s">
        <v>18</v>
      </c>
      <c r="G12" s="57" t="n">
        <v>44190</v>
      </c>
      <c r="H12" s="52" t="n">
        <f aca="false">IF(G12="","",DATEDIF(G12,PARAMETRES!$C$13,"y"))</f>
        <v>6</v>
      </c>
      <c r="I12" s="56" t="s">
        <v>38</v>
      </c>
      <c r="J12" s="52" t="s">
        <v>68</v>
      </c>
      <c r="K12" s="52" t="s">
        <v>150</v>
      </c>
      <c r="L12" s="56" t="s">
        <v>39</v>
      </c>
      <c r="M12" s="52" t="s">
        <v>167</v>
      </c>
      <c r="N12" s="57" t="n">
        <v>44243</v>
      </c>
      <c r="O12" s="52" t="s">
        <v>150</v>
      </c>
      <c r="P12" s="56" t="s">
        <v>46</v>
      </c>
      <c r="Q12" s="56" t="s">
        <v>40</v>
      </c>
      <c r="R12" s="55" t="s">
        <v>168</v>
      </c>
      <c r="S12" s="52" t="s">
        <v>169</v>
      </c>
      <c r="T12" s="52" t="s">
        <v>68</v>
      </c>
      <c r="U12" s="52" t="s">
        <v>170</v>
      </c>
      <c r="V12" s="55" t="s">
        <v>171</v>
      </c>
      <c r="W12" s="52" t="s">
        <v>172</v>
      </c>
      <c r="X12" s="52" t="s">
        <v>68</v>
      </c>
      <c r="Y12" s="52" t="s">
        <v>173</v>
      </c>
      <c r="Z12" s="55"/>
      <c r="AA12" s="52"/>
      <c r="AB12" s="52"/>
      <c r="AC12" s="52"/>
      <c r="AD12" s="56" t="s">
        <v>46</v>
      </c>
      <c r="AE12" s="56" t="s">
        <v>41</v>
      </c>
      <c r="AF12" s="55"/>
      <c r="AG12" s="51" t="str">
        <f aca="false">IF(F12="","",F12&amp;"-"&amp;COUNTIF($F$10:F12,F12))</f>
        <v>CP1-3</v>
      </c>
      <c r="AH12" s="51" t="str">
        <f aca="false">IF(F12="","",IF(F12="CM2","CM2-"&amp;COUNTIF($F$10:F12,"CM2"),"P-"&amp;COUNTIFS($F$10:F12,"&lt;&gt;CM2",$F$10:F12,"&lt;&gt;")))</f>
        <v>P-3</v>
      </c>
      <c r="AI12" s="51" t="str">
        <f aca="false">IF(F12="","",IF(LEFT(F12,2)="CP","CP-"&amp;COUNTIF($F$10:F12,"CP*"),IF(F12="CE1","CE1-"&amp;COUNTIF($F$10:F12,"CE1"),IF(F12="CM2","CM2-"&amp;COUNTIF($F$10:F12,"CM2"),"CEM-"&amp;(COUNTIF($F$10:F12,"CE2")+COUNTIF($F$10:F12,"CM1"))))))</f>
        <v>CP-3</v>
      </c>
    </row>
    <row r="13" customFormat="false" ht="15" hidden="false" customHeight="false" outlineLevel="0" collapsed="false">
      <c r="A13" s="52" t="n">
        <f aca="false">IF(D13="","",ROW()-9)</f>
        <v>4</v>
      </c>
      <c r="B13" s="53" t="str">
        <f aca="false">IF(F13="","",F13&amp;"-"&amp;TEXT(COUNTIF($F$10:F13,F13),"000")&amp;"-"&amp;RIGHT(LEFT(PARAMETRES!$C$9,4),2))</f>
        <v>CP1-004-26</v>
      </c>
      <c r="C13" s="54"/>
      <c r="D13" s="55" t="s">
        <v>174</v>
      </c>
      <c r="E13" s="56" t="s">
        <v>44</v>
      </c>
      <c r="F13" s="56" t="s">
        <v>18</v>
      </c>
      <c r="G13" s="57" t="n">
        <v>43680</v>
      </c>
      <c r="H13" s="52" t="n">
        <f aca="false">IF(G13="","",DATEDIF(G13,PARAMETRES!$C$13,"y"))</f>
        <v>7</v>
      </c>
      <c r="I13" s="56" t="s">
        <v>56</v>
      </c>
      <c r="J13" s="52" t="s">
        <v>68</v>
      </c>
      <c r="K13" s="52" t="s">
        <v>150</v>
      </c>
      <c r="L13" s="56" t="s">
        <v>39</v>
      </c>
      <c r="M13" s="52" t="s">
        <v>175</v>
      </c>
      <c r="N13" s="57" t="n">
        <v>43709</v>
      </c>
      <c r="O13" s="52" t="s">
        <v>150</v>
      </c>
      <c r="P13" s="56" t="s">
        <v>46</v>
      </c>
      <c r="Q13" s="56" t="s">
        <v>40</v>
      </c>
      <c r="R13" s="55" t="s">
        <v>176</v>
      </c>
      <c r="S13" s="52" t="s">
        <v>169</v>
      </c>
      <c r="T13" s="52" t="s">
        <v>68</v>
      </c>
      <c r="U13" s="52" t="s">
        <v>177</v>
      </c>
      <c r="V13" s="55" t="s">
        <v>178</v>
      </c>
      <c r="W13" s="52" t="s">
        <v>164</v>
      </c>
      <c r="X13" s="52" t="s">
        <v>68</v>
      </c>
      <c r="Y13" s="52" t="s">
        <v>179</v>
      </c>
      <c r="Z13" s="55"/>
      <c r="AA13" s="52"/>
      <c r="AB13" s="52"/>
      <c r="AC13" s="52"/>
      <c r="AD13" s="56" t="s">
        <v>46</v>
      </c>
      <c r="AE13" s="56" t="s">
        <v>41</v>
      </c>
      <c r="AF13" s="55"/>
      <c r="AG13" s="51" t="str">
        <f aca="false">IF(F13="","",F13&amp;"-"&amp;COUNTIF($F$10:F13,F13))</f>
        <v>CP1-4</v>
      </c>
      <c r="AH13" s="51" t="str">
        <f aca="false">IF(F13="","",IF(F13="CM2","CM2-"&amp;COUNTIF($F$10:F13,"CM2"),"P-"&amp;COUNTIFS($F$10:F13,"&lt;&gt;CM2",$F$10:F13,"&lt;&gt;")))</f>
        <v>P-4</v>
      </c>
      <c r="AI13" s="51" t="str">
        <f aca="false">IF(F13="","",IF(LEFT(F13,2)="CP","CP-"&amp;COUNTIF($F$10:F13,"CP*"),IF(F13="CE1","CE1-"&amp;COUNTIF($F$10:F13,"CE1"),IF(F13="CM2","CM2-"&amp;COUNTIF($F$10:F13,"CM2"),"CEM-"&amp;(COUNTIF($F$10:F13,"CE2")+COUNTIF($F$10:F13,"CM1"))))))</f>
        <v>CP-4</v>
      </c>
    </row>
    <row r="14" customFormat="false" ht="15" hidden="false" customHeight="false" outlineLevel="0" collapsed="false">
      <c r="A14" s="52" t="n">
        <f aca="false">IF(D14="","",ROW()-9)</f>
        <v>5</v>
      </c>
      <c r="B14" s="53" t="str">
        <f aca="false">IF(F14="","",F14&amp;"-"&amp;TEXT(COUNTIF($F$10:F14,F14),"000")&amp;"-"&amp;RIGHT(LEFT(PARAMETRES!$C$9,4),2))</f>
        <v>CP1-005-26</v>
      </c>
      <c r="C14" s="54"/>
      <c r="D14" s="55" t="s">
        <v>180</v>
      </c>
      <c r="E14" s="56" t="s">
        <v>44</v>
      </c>
      <c r="F14" s="56" t="s">
        <v>18</v>
      </c>
      <c r="G14" s="57" t="n">
        <v>43674</v>
      </c>
      <c r="H14" s="52" t="n">
        <f aca="false">IF(G14="","",DATEDIF(G14,PARAMETRES!$C$13,"y"))</f>
        <v>7</v>
      </c>
      <c r="I14" s="56" t="s">
        <v>38</v>
      </c>
      <c r="J14" s="52" t="s">
        <v>68</v>
      </c>
      <c r="K14" s="52" t="s">
        <v>150</v>
      </c>
      <c r="L14" s="56" t="s">
        <v>39</v>
      </c>
      <c r="M14" s="52" t="s">
        <v>181</v>
      </c>
      <c r="N14" s="57" t="n">
        <v>43693</v>
      </c>
      <c r="O14" s="52" t="s">
        <v>150</v>
      </c>
      <c r="P14" s="56" t="s">
        <v>46</v>
      </c>
      <c r="Q14" s="56" t="s">
        <v>40</v>
      </c>
      <c r="R14" s="55" t="s">
        <v>182</v>
      </c>
      <c r="S14" s="52" t="s">
        <v>183</v>
      </c>
      <c r="T14" s="52" t="s">
        <v>68</v>
      </c>
      <c r="U14" s="52" t="s">
        <v>184</v>
      </c>
      <c r="V14" s="55" t="s">
        <v>185</v>
      </c>
      <c r="W14" s="52" t="s">
        <v>172</v>
      </c>
      <c r="X14" s="52" t="s">
        <v>68</v>
      </c>
      <c r="Y14" s="52" t="s">
        <v>186</v>
      </c>
      <c r="Z14" s="55" t="s">
        <v>187</v>
      </c>
      <c r="AA14" s="52" t="s">
        <v>183</v>
      </c>
      <c r="AB14" s="52" t="s">
        <v>68</v>
      </c>
      <c r="AC14" s="52" t="s">
        <v>188</v>
      </c>
      <c r="AD14" s="56" t="s">
        <v>39</v>
      </c>
      <c r="AE14" s="56" t="s">
        <v>41</v>
      </c>
      <c r="AF14" s="55"/>
      <c r="AG14" s="51" t="str">
        <f aca="false">IF(F14="","",F14&amp;"-"&amp;COUNTIF($F$10:F14,F14))</f>
        <v>CP1-5</v>
      </c>
      <c r="AH14" s="51" t="str">
        <f aca="false">IF(F14="","",IF(F14="CM2","CM2-"&amp;COUNTIF($F$10:F14,"CM2"),"P-"&amp;COUNTIFS($F$10:F14,"&lt;&gt;CM2",$F$10:F14,"&lt;&gt;")))</f>
        <v>P-5</v>
      </c>
      <c r="AI14" s="51" t="str">
        <f aca="false">IF(F14="","",IF(LEFT(F14,2)="CP","CP-"&amp;COUNTIF($F$10:F14,"CP*"),IF(F14="CE1","CE1-"&amp;COUNTIF($F$10:F14,"CE1"),IF(F14="CM2","CM2-"&amp;COUNTIF($F$10:F14,"CM2"),"CEM-"&amp;(COUNTIF($F$10:F14,"CE2")+COUNTIF($F$10:F14,"CM1"))))))</f>
        <v>CP-5</v>
      </c>
    </row>
    <row r="15" customFormat="false" ht="15" hidden="false" customHeight="false" outlineLevel="0" collapsed="false">
      <c r="A15" s="52" t="n">
        <f aca="false">IF(D15="","",ROW()-9)</f>
        <v>6</v>
      </c>
      <c r="B15" s="53" t="str">
        <f aca="false">IF(F15="","",F15&amp;"-"&amp;TEXT(COUNTIF($F$10:F15,F15),"000")&amp;"-"&amp;RIGHT(LEFT(PARAMETRES!$C$9,4),2))</f>
        <v>CP1-006-26</v>
      </c>
      <c r="C15" s="54"/>
      <c r="D15" s="55" t="s">
        <v>189</v>
      </c>
      <c r="E15" s="56" t="s">
        <v>44</v>
      </c>
      <c r="F15" s="56" t="s">
        <v>18</v>
      </c>
      <c r="G15" s="57" t="n">
        <v>43621</v>
      </c>
      <c r="H15" s="52" t="n">
        <f aca="false">IF(G15="","",DATEDIF(G15,PARAMETRES!$C$13,"y"))</f>
        <v>7</v>
      </c>
      <c r="I15" s="56" t="s">
        <v>38</v>
      </c>
      <c r="J15" s="52" t="s">
        <v>68</v>
      </c>
      <c r="K15" s="52" t="s">
        <v>150</v>
      </c>
      <c r="L15" s="56" t="s">
        <v>39</v>
      </c>
      <c r="M15" s="52" t="s">
        <v>190</v>
      </c>
      <c r="N15" s="57" t="n">
        <v>43632</v>
      </c>
      <c r="O15" s="52" t="s">
        <v>150</v>
      </c>
      <c r="P15" s="56" t="s">
        <v>46</v>
      </c>
      <c r="Q15" s="56" t="s">
        <v>40</v>
      </c>
      <c r="R15" s="55" t="s">
        <v>191</v>
      </c>
      <c r="S15" s="52" t="s">
        <v>192</v>
      </c>
      <c r="T15" s="52" t="s">
        <v>68</v>
      </c>
      <c r="U15" s="52" t="s">
        <v>193</v>
      </c>
      <c r="V15" s="55" t="s">
        <v>194</v>
      </c>
      <c r="W15" s="52" t="s">
        <v>156</v>
      </c>
      <c r="X15" s="52" t="s">
        <v>68</v>
      </c>
      <c r="Y15" s="52" t="s">
        <v>195</v>
      </c>
      <c r="Z15" s="55"/>
      <c r="AA15" s="52"/>
      <c r="AB15" s="52"/>
      <c r="AC15" s="52"/>
      <c r="AD15" s="56" t="s">
        <v>39</v>
      </c>
      <c r="AE15" s="56" t="s">
        <v>41</v>
      </c>
      <c r="AF15" s="55"/>
      <c r="AG15" s="51" t="str">
        <f aca="false">IF(F15="","",F15&amp;"-"&amp;COUNTIF($F$10:F15,F15))</f>
        <v>CP1-6</v>
      </c>
      <c r="AH15" s="51" t="str">
        <f aca="false">IF(F15="","",IF(F15="CM2","CM2-"&amp;COUNTIF($F$10:F15,"CM2"),"P-"&amp;COUNTIFS($F$10:F15,"&lt;&gt;CM2",$F$10:F15,"&lt;&gt;")))</f>
        <v>P-6</v>
      </c>
      <c r="AI15" s="51" t="str">
        <f aca="false">IF(F15="","",IF(LEFT(F15,2)="CP","CP-"&amp;COUNTIF($F$10:F15,"CP*"),IF(F15="CE1","CE1-"&amp;COUNTIF($F$10:F15,"CE1"),IF(F15="CM2","CM2-"&amp;COUNTIF($F$10:F15,"CM2"),"CEM-"&amp;(COUNTIF($F$10:F15,"CE2")+COUNTIF($F$10:F15,"CM1"))))))</f>
        <v>CP-6</v>
      </c>
    </row>
    <row r="16" customFormat="false" ht="15" hidden="false" customHeight="false" outlineLevel="0" collapsed="false">
      <c r="A16" s="52" t="n">
        <f aca="false">IF(D16="","",ROW()-9)</f>
        <v>7</v>
      </c>
      <c r="B16" s="53" t="str">
        <f aca="false">IF(F16="","",F16&amp;"-"&amp;TEXT(COUNTIF($F$10:F16,F16),"000")&amp;"-"&amp;RIGHT(LEFT(PARAMETRES!$C$9,4),2))</f>
        <v>CP1-007-26</v>
      </c>
      <c r="C16" s="54"/>
      <c r="D16" s="55" t="s">
        <v>196</v>
      </c>
      <c r="E16" s="56" t="s">
        <v>44</v>
      </c>
      <c r="F16" s="56" t="s">
        <v>18</v>
      </c>
      <c r="G16" s="57" t="n">
        <v>44109</v>
      </c>
      <c r="H16" s="52" t="n">
        <f aca="false">IF(G16="","",DATEDIF(G16,PARAMETRES!$C$13,"y"))</f>
        <v>6</v>
      </c>
      <c r="I16" s="56" t="s">
        <v>38</v>
      </c>
      <c r="J16" s="52" t="s">
        <v>68</v>
      </c>
      <c r="K16" s="52" t="s">
        <v>150</v>
      </c>
      <c r="L16" s="56" t="s">
        <v>46</v>
      </c>
      <c r="M16" s="52"/>
      <c r="N16" s="57"/>
      <c r="O16" s="52"/>
      <c r="P16" s="56" t="s">
        <v>46</v>
      </c>
      <c r="Q16" s="56" t="s">
        <v>40</v>
      </c>
      <c r="R16" s="55" t="s">
        <v>197</v>
      </c>
      <c r="S16" s="52" t="s">
        <v>192</v>
      </c>
      <c r="T16" s="52" t="s">
        <v>68</v>
      </c>
      <c r="U16" s="52" t="s">
        <v>198</v>
      </c>
      <c r="V16" s="55" t="s">
        <v>199</v>
      </c>
      <c r="W16" s="52" t="s">
        <v>200</v>
      </c>
      <c r="X16" s="52" t="s">
        <v>68</v>
      </c>
      <c r="Y16" s="52" t="s">
        <v>201</v>
      </c>
      <c r="Z16" s="55" t="s">
        <v>202</v>
      </c>
      <c r="AA16" s="52" t="s">
        <v>153</v>
      </c>
      <c r="AB16" s="52" t="s">
        <v>68</v>
      </c>
      <c r="AC16" s="52" t="s">
        <v>203</v>
      </c>
      <c r="AD16" s="56" t="s">
        <v>46</v>
      </c>
      <c r="AE16" s="56" t="s">
        <v>41</v>
      </c>
      <c r="AF16" s="55"/>
      <c r="AG16" s="51" t="str">
        <f aca="false">IF(F16="","",F16&amp;"-"&amp;COUNTIF($F$10:F16,F16))</f>
        <v>CP1-7</v>
      </c>
      <c r="AH16" s="51" t="str">
        <f aca="false">IF(F16="","",IF(F16="CM2","CM2-"&amp;COUNTIF($F$10:F16,"CM2"),"P-"&amp;COUNTIFS($F$10:F16,"&lt;&gt;CM2",$F$10:F16,"&lt;&gt;")))</f>
        <v>P-7</v>
      </c>
      <c r="AI16" s="51" t="str">
        <f aca="false">IF(F16="","",IF(LEFT(F16,2)="CP","CP-"&amp;COUNTIF($F$10:F16,"CP*"),IF(F16="CE1","CE1-"&amp;COUNTIF($F$10:F16,"CE1"),IF(F16="CM2","CM2-"&amp;COUNTIF($F$10:F16,"CM2"),"CEM-"&amp;(COUNTIF($F$10:F16,"CE2")+COUNTIF($F$10:F16,"CM1"))))))</f>
        <v>CP-7</v>
      </c>
    </row>
    <row r="17" customFormat="false" ht="15" hidden="false" customHeight="false" outlineLevel="0" collapsed="false">
      <c r="A17" s="52" t="n">
        <f aca="false">IF(D17="","",ROW()-9)</f>
        <v>8</v>
      </c>
      <c r="B17" s="53" t="str">
        <f aca="false">IF(F17="","",F17&amp;"-"&amp;TEXT(COUNTIF($F$10:F17,F17),"000")&amp;"-"&amp;RIGHT(LEFT(PARAMETRES!$C$9,4),2))</f>
        <v>CP1-008-26</v>
      </c>
      <c r="C17" s="54"/>
      <c r="D17" s="55" t="s">
        <v>204</v>
      </c>
      <c r="E17" s="56" t="s">
        <v>37</v>
      </c>
      <c r="F17" s="56" t="s">
        <v>18</v>
      </c>
      <c r="G17" s="57" t="n">
        <v>43621</v>
      </c>
      <c r="H17" s="52" t="n">
        <f aca="false">IF(G17="","",DATEDIF(G17,PARAMETRES!$C$13,"y"))</f>
        <v>7</v>
      </c>
      <c r="I17" s="56" t="s">
        <v>38</v>
      </c>
      <c r="J17" s="52" t="s">
        <v>68</v>
      </c>
      <c r="K17" s="52" t="s">
        <v>150</v>
      </c>
      <c r="L17" s="56" t="s">
        <v>46</v>
      </c>
      <c r="M17" s="52"/>
      <c r="N17" s="57"/>
      <c r="O17" s="52"/>
      <c r="P17" s="56" t="s">
        <v>46</v>
      </c>
      <c r="Q17" s="56" t="s">
        <v>40</v>
      </c>
      <c r="R17" s="55" t="s">
        <v>205</v>
      </c>
      <c r="S17" s="52" t="s">
        <v>183</v>
      </c>
      <c r="T17" s="52" t="s">
        <v>68</v>
      </c>
      <c r="U17" s="52" t="s">
        <v>206</v>
      </c>
      <c r="V17" s="55" t="s">
        <v>207</v>
      </c>
      <c r="W17" s="52" t="s">
        <v>164</v>
      </c>
      <c r="X17" s="52" t="s">
        <v>68</v>
      </c>
      <c r="Y17" s="52" t="s">
        <v>208</v>
      </c>
      <c r="Z17" s="55"/>
      <c r="AA17" s="52"/>
      <c r="AB17" s="52"/>
      <c r="AC17" s="52"/>
      <c r="AD17" s="56" t="s">
        <v>46</v>
      </c>
      <c r="AE17" s="56" t="s">
        <v>41</v>
      </c>
      <c r="AF17" s="55"/>
      <c r="AG17" s="51" t="str">
        <f aca="false">IF(F17="","",F17&amp;"-"&amp;COUNTIF($F$10:F17,F17))</f>
        <v>CP1-8</v>
      </c>
      <c r="AH17" s="51" t="str">
        <f aca="false">IF(F17="","",IF(F17="CM2","CM2-"&amp;COUNTIF($F$10:F17,"CM2"),"P-"&amp;COUNTIFS($F$10:F17,"&lt;&gt;CM2",$F$10:F17,"&lt;&gt;")))</f>
        <v>P-8</v>
      </c>
      <c r="AI17" s="51" t="str">
        <f aca="false">IF(F17="","",IF(LEFT(F17,2)="CP","CP-"&amp;COUNTIF($F$10:F17,"CP*"),IF(F17="CE1","CE1-"&amp;COUNTIF($F$10:F17,"CE1"),IF(F17="CM2","CM2-"&amp;COUNTIF($F$10:F17,"CM2"),"CEM-"&amp;(COUNTIF($F$10:F17,"CE2")+COUNTIF($F$10:F17,"CM1"))))))</f>
        <v>CP-8</v>
      </c>
    </row>
    <row r="18" customFormat="false" ht="15" hidden="false" customHeight="false" outlineLevel="0" collapsed="false">
      <c r="A18" s="52" t="n">
        <f aca="false">IF(D18="","",ROW()-9)</f>
        <v>9</v>
      </c>
      <c r="B18" s="53" t="str">
        <f aca="false">IF(F18="","",F18&amp;"-"&amp;TEXT(COUNTIF($F$10:F18,F18),"000")&amp;"-"&amp;RIGHT(LEFT(PARAMETRES!$C$9,4),2))</f>
        <v>CP1-009-26</v>
      </c>
      <c r="C18" s="54"/>
      <c r="D18" s="55" t="s">
        <v>209</v>
      </c>
      <c r="E18" s="56" t="s">
        <v>37</v>
      </c>
      <c r="F18" s="56" t="s">
        <v>18</v>
      </c>
      <c r="G18" s="57" t="n">
        <v>43197</v>
      </c>
      <c r="H18" s="52" t="n">
        <f aca="false">IF(G18="","",DATEDIF(G18,PARAMETRES!$C$13,"y"))</f>
        <v>8</v>
      </c>
      <c r="I18" s="56" t="s">
        <v>38</v>
      </c>
      <c r="J18" s="52" t="s">
        <v>68</v>
      </c>
      <c r="K18" s="52" t="s">
        <v>150</v>
      </c>
      <c r="L18" s="56" t="s">
        <v>39</v>
      </c>
      <c r="M18" s="52" t="s">
        <v>210</v>
      </c>
      <c r="N18" s="57" t="n">
        <v>43224</v>
      </c>
      <c r="O18" s="52" t="s">
        <v>150</v>
      </c>
      <c r="P18" s="56" t="s">
        <v>39</v>
      </c>
      <c r="Q18" s="56" t="s">
        <v>47</v>
      </c>
      <c r="R18" s="55" t="s">
        <v>211</v>
      </c>
      <c r="S18" s="52" t="s">
        <v>169</v>
      </c>
      <c r="T18" s="52" t="s">
        <v>68</v>
      </c>
      <c r="U18" s="52" t="s">
        <v>212</v>
      </c>
      <c r="V18" s="55" t="s">
        <v>213</v>
      </c>
      <c r="W18" s="52" t="s">
        <v>200</v>
      </c>
      <c r="X18" s="52" t="s">
        <v>68</v>
      </c>
      <c r="Y18" s="52" t="s">
        <v>214</v>
      </c>
      <c r="Z18" s="55"/>
      <c r="AA18" s="52"/>
      <c r="AB18" s="52"/>
      <c r="AC18" s="52"/>
      <c r="AD18" s="56" t="s">
        <v>46</v>
      </c>
      <c r="AE18" s="56" t="s">
        <v>41</v>
      </c>
      <c r="AF18" s="55"/>
      <c r="AG18" s="51" t="str">
        <f aca="false">IF(F18="","",F18&amp;"-"&amp;COUNTIF($F$10:F18,F18))</f>
        <v>CP1-9</v>
      </c>
      <c r="AH18" s="51" t="str">
        <f aca="false">IF(F18="","",IF(F18="CM2","CM2-"&amp;COUNTIF($F$10:F18,"CM2"),"P-"&amp;COUNTIFS($F$10:F18,"&lt;&gt;CM2",$F$10:F18,"&lt;&gt;")))</f>
        <v>P-9</v>
      </c>
      <c r="AI18" s="51" t="str">
        <f aca="false">IF(F18="","",IF(LEFT(F18,2)="CP","CP-"&amp;COUNTIF($F$10:F18,"CP*"),IF(F18="CE1","CE1-"&amp;COUNTIF($F$10:F18,"CE1"),IF(F18="CM2","CM2-"&amp;COUNTIF($F$10:F18,"CM2"),"CEM-"&amp;(COUNTIF($F$10:F18,"CE2")+COUNTIF($F$10:F18,"CM1"))))))</f>
        <v>CP-9</v>
      </c>
    </row>
    <row r="19" customFormat="false" ht="15" hidden="false" customHeight="false" outlineLevel="0" collapsed="false">
      <c r="A19" s="52" t="n">
        <f aca="false">IF(D19="","",ROW()-9)</f>
        <v>10</v>
      </c>
      <c r="B19" s="53" t="str">
        <f aca="false">IF(F19="","",F19&amp;"-"&amp;TEXT(COUNTIF($F$10:F19,F19),"000")&amp;"-"&amp;RIGHT(LEFT(PARAMETRES!$C$9,4),2))</f>
        <v>CP1-010-26</v>
      </c>
      <c r="C19" s="54"/>
      <c r="D19" s="55" t="s">
        <v>215</v>
      </c>
      <c r="E19" s="56" t="s">
        <v>37</v>
      </c>
      <c r="F19" s="56" t="s">
        <v>18</v>
      </c>
      <c r="G19" s="57" t="n">
        <v>43158</v>
      </c>
      <c r="H19" s="52" t="n">
        <f aca="false">IF(G19="","",DATEDIF(G19,PARAMETRES!$C$13,"y"))</f>
        <v>8</v>
      </c>
      <c r="I19" s="56" t="s">
        <v>38</v>
      </c>
      <c r="J19" s="52" t="s">
        <v>68</v>
      </c>
      <c r="K19" s="52" t="s">
        <v>150</v>
      </c>
      <c r="L19" s="56" t="s">
        <v>46</v>
      </c>
      <c r="M19" s="52"/>
      <c r="N19" s="57"/>
      <c r="O19" s="52"/>
      <c r="P19" s="56" t="s">
        <v>46</v>
      </c>
      <c r="Q19" s="56" t="s">
        <v>40</v>
      </c>
      <c r="R19" s="55" t="s">
        <v>216</v>
      </c>
      <c r="S19" s="52" t="s">
        <v>217</v>
      </c>
      <c r="T19" s="52" t="s">
        <v>68</v>
      </c>
      <c r="U19" s="52" t="s">
        <v>218</v>
      </c>
      <c r="V19" s="55" t="s">
        <v>219</v>
      </c>
      <c r="W19" s="52" t="s">
        <v>220</v>
      </c>
      <c r="X19" s="52" t="s">
        <v>68</v>
      </c>
      <c r="Y19" s="52" t="s">
        <v>221</v>
      </c>
      <c r="Z19" s="55"/>
      <c r="AA19" s="52"/>
      <c r="AB19" s="52"/>
      <c r="AC19" s="52"/>
      <c r="AD19" s="56" t="s">
        <v>46</v>
      </c>
      <c r="AE19" s="56" t="s">
        <v>41</v>
      </c>
      <c r="AF19" s="55"/>
      <c r="AG19" s="51" t="str">
        <f aca="false">IF(F19="","",F19&amp;"-"&amp;COUNTIF($F$10:F19,F19))</f>
        <v>CP1-10</v>
      </c>
      <c r="AH19" s="51" t="str">
        <f aca="false">IF(F19="","",IF(F19="CM2","CM2-"&amp;COUNTIF($F$10:F19,"CM2"),"P-"&amp;COUNTIFS($F$10:F19,"&lt;&gt;CM2",$F$10:F19,"&lt;&gt;")))</f>
        <v>P-10</v>
      </c>
      <c r="AI19" s="51" t="str">
        <f aca="false">IF(F19="","",IF(LEFT(F19,2)="CP","CP-"&amp;COUNTIF($F$10:F19,"CP*"),IF(F19="CE1","CE1-"&amp;COUNTIF($F$10:F19,"CE1"),IF(F19="CM2","CM2-"&amp;COUNTIF($F$10:F19,"CM2"),"CEM-"&amp;(COUNTIF($F$10:F19,"CE2")+COUNTIF($F$10:F19,"CM1"))))))</f>
        <v>CP-10</v>
      </c>
    </row>
    <row r="20" customFormat="false" ht="15" hidden="false" customHeight="false" outlineLevel="0" collapsed="false">
      <c r="A20" s="52" t="n">
        <f aca="false">IF(D20="","",ROW()-9)</f>
        <v>11</v>
      </c>
      <c r="B20" s="53" t="str">
        <f aca="false">IF(F20="","",F20&amp;"-"&amp;TEXT(COUNTIF($F$10:F20,F20),"000")&amp;"-"&amp;RIGHT(LEFT(PARAMETRES!$C$9,4),2))</f>
        <v>CP1-011-26</v>
      </c>
      <c r="C20" s="54"/>
      <c r="D20" s="55" t="s">
        <v>222</v>
      </c>
      <c r="E20" s="56" t="s">
        <v>44</v>
      </c>
      <c r="F20" s="56" t="s">
        <v>18</v>
      </c>
      <c r="G20" s="57" t="n">
        <v>43699</v>
      </c>
      <c r="H20" s="52" t="n">
        <f aca="false">IF(G20="","",DATEDIF(G20,PARAMETRES!$C$13,"y"))</f>
        <v>7</v>
      </c>
      <c r="I20" s="56" t="s">
        <v>51</v>
      </c>
      <c r="J20" s="52" t="s">
        <v>68</v>
      </c>
      <c r="K20" s="52" t="s">
        <v>150</v>
      </c>
      <c r="L20" s="56" t="s">
        <v>39</v>
      </c>
      <c r="M20" s="52" t="s">
        <v>223</v>
      </c>
      <c r="N20" s="57" t="n">
        <v>43756</v>
      </c>
      <c r="O20" s="52" t="s">
        <v>150</v>
      </c>
      <c r="P20" s="56" t="s">
        <v>46</v>
      </c>
      <c r="Q20" s="56" t="s">
        <v>40</v>
      </c>
      <c r="R20" s="55" t="s">
        <v>224</v>
      </c>
      <c r="S20" s="52" t="s">
        <v>225</v>
      </c>
      <c r="T20" s="52" t="s">
        <v>68</v>
      </c>
      <c r="U20" s="52" t="s">
        <v>226</v>
      </c>
      <c r="V20" s="55" t="s">
        <v>227</v>
      </c>
      <c r="W20" s="52" t="s">
        <v>164</v>
      </c>
      <c r="X20" s="52" t="s">
        <v>68</v>
      </c>
      <c r="Y20" s="52" t="s">
        <v>228</v>
      </c>
      <c r="Z20" s="55" t="s">
        <v>229</v>
      </c>
      <c r="AA20" s="52" t="s">
        <v>217</v>
      </c>
      <c r="AB20" s="52" t="s">
        <v>68</v>
      </c>
      <c r="AC20" s="52" t="s">
        <v>230</v>
      </c>
      <c r="AD20" s="56" t="s">
        <v>46</v>
      </c>
      <c r="AE20" s="56" t="s">
        <v>41</v>
      </c>
      <c r="AF20" s="55"/>
      <c r="AG20" s="51" t="str">
        <f aca="false">IF(F20="","",F20&amp;"-"&amp;COUNTIF($F$10:F20,F20))</f>
        <v>CP1-11</v>
      </c>
      <c r="AH20" s="51" t="str">
        <f aca="false">IF(F20="","",IF(F20="CM2","CM2-"&amp;COUNTIF($F$10:F20,"CM2"),"P-"&amp;COUNTIFS($F$10:F20,"&lt;&gt;CM2",$F$10:F20,"&lt;&gt;")))</f>
        <v>P-11</v>
      </c>
      <c r="AI20" s="51" t="str">
        <f aca="false">IF(F20="","",IF(LEFT(F20,2)="CP","CP-"&amp;COUNTIF($F$10:F20,"CP*"),IF(F20="CE1","CE1-"&amp;COUNTIF($F$10:F20,"CE1"),IF(F20="CM2","CM2-"&amp;COUNTIF($F$10:F20,"CM2"),"CEM-"&amp;(COUNTIF($F$10:F20,"CE2")+COUNTIF($F$10:F20,"CM1"))))))</f>
        <v>CP-11</v>
      </c>
    </row>
    <row r="21" customFormat="false" ht="15" hidden="false" customHeight="false" outlineLevel="0" collapsed="false">
      <c r="A21" s="52" t="n">
        <f aca="false">IF(D21="","",ROW()-9)</f>
        <v>12</v>
      </c>
      <c r="B21" s="53" t="str">
        <f aca="false">IF(F21="","",F21&amp;"-"&amp;TEXT(COUNTIF($F$10:F21,F21),"000")&amp;"-"&amp;RIGHT(LEFT(PARAMETRES!$C$9,4),2))</f>
        <v>CP2-001-26</v>
      </c>
      <c r="C21" s="54"/>
      <c r="D21" s="55" t="s">
        <v>231</v>
      </c>
      <c r="E21" s="56" t="s">
        <v>37</v>
      </c>
      <c r="F21" s="56" t="s">
        <v>19</v>
      </c>
      <c r="G21" s="57" t="n">
        <v>43128</v>
      </c>
      <c r="H21" s="52" t="n">
        <f aca="false">IF(G21="","",DATEDIF(G21,PARAMETRES!$C$13,"y"))</f>
        <v>8</v>
      </c>
      <c r="I21" s="56" t="s">
        <v>38</v>
      </c>
      <c r="J21" s="52" t="s">
        <v>68</v>
      </c>
      <c r="K21" s="52" t="s">
        <v>150</v>
      </c>
      <c r="L21" s="56" t="s">
        <v>39</v>
      </c>
      <c r="M21" s="52" t="s">
        <v>232</v>
      </c>
      <c r="N21" s="57" t="n">
        <v>43168</v>
      </c>
      <c r="O21" s="52" t="s">
        <v>150</v>
      </c>
      <c r="P21" s="56" t="s">
        <v>39</v>
      </c>
      <c r="Q21" s="56" t="s">
        <v>47</v>
      </c>
      <c r="R21" s="55" t="s">
        <v>233</v>
      </c>
      <c r="S21" s="52" t="s">
        <v>192</v>
      </c>
      <c r="T21" s="52" t="s">
        <v>68</v>
      </c>
      <c r="U21" s="52" t="s">
        <v>234</v>
      </c>
      <c r="V21" s="55" t="s">
        <v>235</v>
      </c>
      <c r="W21" s="52" t="s">
        <v>220</v>
      </c>
      <c r="X21" s="52" t="s">
        <v>68</v>
      </c>
      <c r="Y21" s="52" t="s">
        <v>236</v>
      </c>
      <c r="Z21" s="55"/>
      <c r="AA21" s="52"/>
      <c r="AB21" s="52"/>
      <c r="AC21" s="52"/>
      <c r="AD21" s="56" t="s">
        <v>46</v>
      </c>
      <c r="AE21" s="56" t="s">
        <v>41</v>
      </c>
      <c r="AF21" s="55"/>
      <c r="AG21" s="51" t="str">
        <f aca="false">IF(F21="","",F21&amp;"-"&amp;COUNTIF($F$10:F21,F21))</f>
        <v>CP2-1</v>
      </c>
      <c r="AH21" s="51" t="str">
        <f aca="false">IF(F21="","",IF(F21="CM2","CM2-"&amp;COUNTIF($F$10:F21,"CM2"),"P-"&amp;COUNTIFS($F$10:F21,"&lt;&gt;CM2",$F$10:F21,"&lt;&gt;")))</f>
        <v>P-12</v>
      </c>
      <c r="AI21" s="51" t="str">
        <f aca="false">IF(F21="","",IF(LEFT(F21,2)="CP","CP-"&amp;COUNTIF($F$10:F21,"CP*"),IF(F21="CE1","CE1-"&amp;COUNTIF($F$10:F21,"CE1"),IF(F21="CM2","CM2-"&amp;COUNTIF($F$10:F21,"CM2"),"CEM-"&amp;(COUNTIF($F$10:F21,"CE2")+COUNTIF($F$10:F21,"CM1"))))))</f>
        <v>CP-12</v>
      </c>
    </row>
    <row r="22" customFormat="false" ht="15" hidden="false" customHeight="false" outlineLevel="0" collapsed="false">
      <c r="A22" s="52" t="n">
        <f aca="false">IF(D22="","",ROW()-9)</f>
        <v>13</v>
      </c>
      <c r="B22" s="53" t="str">
        <f aca="false">IF(F22="","",F22&amp;"-"&amp;TEXT(COUNTIF($F$10:F22,F22),"000")&amp;"-"&amp;RIGHT(LEFT(PARAMETRES!$C$9,4),2))</f>
        <v>CP2-002-26</v>
      </c>
      <c r="C22" s="54"/>
      <c r="D22" s="55" t="s">
        <v>237</v>
      </c>
      <c r="E22" s="56" t="s">
        <v>44</v>
      </c>
      <c r="F22" s="56" t="s">
        <v>19</v>
      </c>
      <c r="G22" s="57" t="n">
        <v>43688</v>
      </c>
      <c r="H22" s="52" t="n">
        <f aca="false">IF(G22="","",DATEDIF(G22,PARAMETRES!$C$13,"y"))</f>
        <v>7</v>
      </c>
      <c r="I22" s="56" t="s">
        <v>38</v>
      </c>
      <c r="J22" s="52" t="s">
        <v>68</v>
      </c>
      <c r="K22" s="52" t="s">
        <v>150</v>
      </c>
      <c r="L22" s="56" t="s">
        <v>39</v>
      </c>
      <c r="M22" s="52" t="s">
        <v>238</v>
      </c>
      <c r="N22" s="57" t="n">
        <v>43705</v>
      </c>
      <c r="O22" s="52" t="s">
        <v>150</v>
      </c>
      <c r="P22" s="56" t="s">
        <v>46</v>
      </c>
      <c r="Q22" s="56" t="s">
        <v>40</v>
      </c>
      <c r="R22" s="55" t="s">
        <v>239</v>
      </c>
      <c r="S22" s="52" t="s">
        <v>192</v>
      </c>
      <c r="T22" s="52" t="s">
        <v>68</v>
      </c>
      <c r="U22" s="52" t="s">
        <v>240</v>
      </c>
      <c r="V22" s="55" t="s">
        <v>241</v>
      </c>
      <c r="W22" s="52" t="s">
        <v>200</v>
      </c>
      <c r="X22" s="52" t="s">
        <v>68</v>
      </c>
      <c r="Y22" s="52" t="s">
        <v>242</v>
      </c>
      <c r="Z22" s="55" t="s">
        <v>243</v>
      </c>
      <c r="AA22" s="52" t="s">
        <v>217</v>
      </c>
      <c r="AB22" s="52" t="s">
        <v>68</v>
      </c>
      <c r="AC22" s="52" t="s">
        <v>244</v>
      </c>
      <c r="AD22" s="56" t="s">
        <v>46</v>
      </c>
      <c r="AE22" s="56" t="s">
        <v>41</v>
      </c>
      <c r="AF22" s="55"/>
      <c r="AG22" s="51" t="str">
        <f aca="false">IF(F22="","",F22&amp;"-"&amp;COUNTIF($F$10:F22,F22))</f>
        <v>CP2-2</v>
      </c>
      <c r="AH22" s="51" t="str">
        <f aca="false">IF(F22="","",IF(F22="CM2","CM2-"&amp;COUNTIF($F$10:F22,"CM2"),"P-"&amp;COUNTIFS($F$10:F22,"&lt;&gt;CM2",$F$10:F22,"&lt;&gt;")))</f>
        <v>P-13</v>
      </c>
      <c r="AI22" s="51" t="str">
        <f aca="false">IF(F22="","",IF(LEFT(F22,2)="CP","CP-"&amp;COUNTIF($F$10:F22,"CP*"),IF(F22="CE1","CE1-"&amp;COUNTIF($F$10:F22,"CE1"),IF(F22="CM2","CM2-"&amp;COUNTIF($F$10:F22,"CM2"),"CEM-"&amp;(COUNTIF($F$10:F22,"CE2")+COUNTIF($F$10:F22,"CM1"))))))</f>
        <v>CP-13</v>
      </c>
    </row>
    <row r="23" customFormat="false" ht="15" hidden="false" customHeight="false" outlineLevel="0" collapsed="false">
      <c r="A23" s="52" t="n">
        <f aca="false">IF(D23="","",ROW()-9)</f>
        <v>14</v>
      </c>
      <c r="B23" s="53" t="str">
        <f aca="false">IF(F23="","",F23&amp;"-"&amp;TEXT(COUNTIF($F$10:F23,F23),"000")&amp;"-"&amp;RIGHT(LEFT(PARAMETRES!$C$9,4),2))</f>
        <v>CP2-003-26</v>
      </c>
      <c r="C23" s="54"/>
      <c r="D23" s="55" t="s">
        <v>245</v>
      </c>
      <c r="E23" s="56" t="s">
        <v>37</v>
      </c>
      <c r="F23" s="56" t="s">
        <v>19</v>
      </c>
      <c r="G23" s="57" t="n">
        <v>42891</v>
      </c>
      <c r="H23" s="52" t="n">
        <f aca="false">IF(G23="","",DATEDIF(G23,PARAMETRES!$C$13,"y"))</f>
        <v>9</v>
      </c>
      <c r="I23" s="56" t="s">
        <v>38</v>
      </c>
      <c r="J23" s="52" t="s">
        <v>68</v>
      </c>
      <c r="K23" s="52" t="s">
        <v>150</v>
      </c>
      <c r="L23" s="56" t="s">
        <v>39</v>
      </c>
      <c r="M23" s="52" t="s">
        <v>246</v>
      </c>
      <c r="N23" s="57" t="n">
        <v>42923</v>
      </c>
      <c r="O23" s="52" t="s">
        <v>150</v>
      </c>
      <c r="P23" s="56" t="s">
        <v>46</v>
      </c>
      <c r="Q23" s="56" t="s">
        <v>40</v>
      </c>
      <c r="R23" s="55" t="s">
        <v>247</v>
      </c>
      <c r="S23" s="52" t="s">
        <v>217</v>
      </c>
      <c r="T23" s="52" t="s">
        <v>68</v>
      </c>
      <c r="U23" s="52" t="s">
        <v>248</v>
      </c>
      <c r="V23" s="55" t="s">
        <v>178</v>
      </c>
      <c r="W23" s="52" t="s">
        <v>249</v>
      </c>
      <c r="X23" s="52" t="s">
        <v>68</v>
      </c>
      <c r="Y23" s="52" t="s">
        <v>250</v>
      </c>
      <c r="Z23" s="55"/>
      <c r="AA23" s="52"/>
      <c r="AB23" s="52"/>
      <c r="AC23" s="52"/>
      <c r="AD23" s="56" t="s">
        <v>39</v>
      </c>
      <c r="AE23" s="56" t="s">
        <v>41</v>
      </c>
      <c r="AF23" s="55"/>
      <c r="AG23" s="51" t="str">
        <f aca="false">IF(F23="","",F23&amp;"-"&amp;COUNTIF($F$10:F23,F23))</f>
        <v>CP2-3</v>
      </c>
      <c r="AH23" s="51" t="str">
        <f aca="false">IF(F23="","",IF(F23="CM2","CM2-"&amp;COUNTIF($F$10:F23,"CM2"),"P-"&amp;COUNTIFS($F$10:F23,"&lt;&gt;CM2",$F$10:F23,"&lt;&gt;")))</f>
        <v>P-14</v>
      </c>
      <c r="AI23" s="51" t="str">
        <f aca="false">IF(F23="","",IF(LEFT(F23,2)="CP","CP-"&amp;COUNTIF($F$10:F23,"CP*"),IF(F23="CE1","CE1-"&amp;COUNTIF($F$10:F23,"CE1"),IF(F23="CM2","CM2-"&amp;COUNTIF($F$10:F23,"CM2"),"CEM-"&amp;(COUNTIF($F$10:F23,"CE2")+COUNTIF($F$10:F23,"CM1"))))))</f>
        <v>CP-14</v>
      </c>
    </row>
    <row r="24" customFormat="false" ht="15" hidden="false" customHeight="false" outlineLevel="0" collapsed="false">
      <c r="A24" s="52" t="n">
        <f aca="false">IF(D24="","",ROW()-9)</f>
        <v>15</v>
      </c>
      <c r="B24" s="53" t="str">
        <f aca="false">IF(F24="","",F24&amp;"-"&amp;TEXT(COUNTIF($F$10:F24,F24),"000")&amp;"-"&amp;RIGHT(LEFT(PARAMETRES!$C$9,4),2))</f>
        <v>CP2-004-26</v>
      </c>
      <c r="C24" s="54"/>
      <c r="D24" s="55" t="s">
        <v>251</v>
      </c>
      <c r="E24" s="56" t="s">
        <v>44</v>
      </c>
      <c r="F24" s="56" t="s">
        <v>19</v>
      </c>
      <c r="G24" s="57" t="n">
        <v>43268</v>
      </c>
      <c r="H24" s="52" t="n">
        <f aca="false">IF(G24="","",DATEDIF(G24,PARAMETRES!$C$13,"y"))</f>
        <v>8</v>
      </c>
      <c r="I24" s="56" t="s">
        <v>38</v>
      </c>
      <c r="J24" s="52" t="s">
        <v>68</v>
      </c>
      <c r="K24" s="52" t="s">
        <v>150</v>
      </c>
      <c r="L24" s="56" t="s">
        <v>39</v>
      </c>
      <c r="M24" s="52" t="s">
        <v>252</v>
      </c>
      <c r="N24" s="57" t="n">
        <v>43325</v>
      </c>
      <c r="O24" s="52" t="s">
        <v>150</v>
      </c>
      <c r="P24" s="56" t="s">
        <v>39</v>
      </c>
      <c r="Q24" s="56" t="s">
        <v>47</v>
      </c>
      <c r="R24" s="55" t="s">
        <v>253</v>
      </c>
      <c r="S24" s="52" t="s">
        <v>254</v>
      </c>
      <c r="T24" s="52" t="s">
        <v>68</v>
      </c>
      <c r="U24" s="52" t="s">
        <v>255</v>
      </c>
      <c r="V24" s="55" t="s">
        <v>256</v>
      </c>
      <c r="W24" s="52" t="s">
        <v>164</v>
      </c>
      <c r="X24" s="52" t="s">
        <v>68</v>
      </c>
      <c r="Y24" s="52" t="s">
        <v>257</v>
      </c>
      <c r="Z24" s="55" t="s">
        <v>229</v>
      </c>
      <c r="AA24" s="52" t="s">
        <v>254</v>
      </c>
      <c r="AB24" s="52" t="s">
        <v>68</v>
      </c>
      <c r="AC24" s="52" t="s">
        <v>258</v>
      </c>
      <c r="AD24" s="56" t="s">
        <v>39</v>
      </c>
      <c r="AE24" s="56" t="s">
        <v>48</v>
      </c>
      <c r="AF24" s="55" t="s">
        <v>259</v>
      </c>
      <c r="AG24" s="51" t="str">
        <f aca="false">IF(F24="","",F24&amp;"-"&amp;COUNTIF($F$10:F24,F24))</f>
        <v>CP2-4</v>
      </c>
      <c r="AH24" s="51" t="str">
        <f aca="false">IF(F24="","",IF(F24="CM2","CM2-"&amp;COUNTIF($F$10:F24,"CM2"),"P-"&amp;COUNTIFS($F$10:F24,"&lt;&gt;CM2",$F$10:F24,"&lt;&gt;")))</f>
        <v>P-15</v>
      </c>
      <c r="AI24" s="51" t="str">
        <f aca="false">IF(F24="","",IF(LEFT(F24,2)="CP","CP-"&amp;COUNTIF($F$10:F24,"CP*"),IF(F24="CE1","CE1-"&amp;COUNTIF($F$10:F24,"CE1"),IF(F24="CM2","CM2-"&amp;COUNTIF($F$10:F24,"CM2"),"CEM-"&amp;(COUNTIF($F$10:F24,"CE2")+COUNTIF($F$10:F24,"CM1"))))))</f>
        <v>CP-15</v>
      </c>
    </row>
    <row r="25" customFormat="false" ht="15" hidden="false" customHeight="false" outlineLevel="0" collapsed="false">
      <c r="A25" s="52" t="n">
        <f aca="false">IF(D25="","",ROW()-9)</f>
        <v>16</v>
      </c>
      <c r="B25" s="53" t="str">
        <f aca="false">IF(F25="","",F25&amp;"-"&amp;TEXT(COUNTIF($F$10:F25,F25),"000")&amp;"-"&amp;RIGHT(LEFT(PARAMETRES!$C$9,4),2))</f>
        <v>CP2-005-26</v>
      </c>
      <c r="C25" s="54"/>
      <c r="D25" s="55" t="s">
        <v>260</v>
      </c>
      <c r="E25" s="56" t="s">
        <v>37</v>
      </c>
      <c r="F25" s="56" t="s">
        <v>19</v>
      </c>
      <c r="G25" s="57" t="n">
        <v>43588</v>
      </c>
      <c r="H25" s="52" t="n">
        <f aca="false">IF(G25="","",DATEDIF(G25,PARAMETRES!$C$13,"y"))</f>
        <v>7</v>
      </c>
      <c r="I25" s="56" t="s">
        <v>38</v>
      </c>
      <c r="J25" s="52" t="s">
        <v>68</v>
      </c>
      <c r="K25" s="52" t="s">
        <v>150</v>
      </c>
      <c r="L25" s="56" t="s">
        <v>39</v>
      </c>
      <c r="M25" s="52" t="s">
        <v>261</v>
      </c>
      <c r="N25" s="57" t="n">
        <v>43638</v>
      </c>
      <c r="O25" s="52" t="s">
        <v>150</v>
      </c>
      <c r="P25" s="56" t="s">
        <v>46</v>
      </c>
      <c r="Q25" s="56" t="s">
        <v>40</v>
      </c>
      <c r="R25" s="55" t="s">
        <v>262</v>
      </c>
      <c r="S25" s="52" t="s">
        <v>225</v>
      </c>
      <c r="T25" s="52" t="s">
        <v>68</v>
      </c>
      <c r="U25" s="52" t="s">
        <v>263</v>
      </c>
      <c r="V25" s="55" t="s">
        <v>264</v>
      </c>
      <c r="W25" s="52" t="s">
        <v>220</v>
      </c>
      <c r="X25" s="52" t="s">
        <v>68</v>
      </c>
      <c r="Y25" s="52" t="s">
        <v>265</v>
      </c>
      <c r="Z25" s="55"/>
      <c r="AA25" s="52"/>
      <c r="AB25" s="52"/>
      <c r="AC25" s="52"/>
      <c r="AD25" s="56" t="s">
        <v>39</v>
      </c>
      <c r="AE25" s="56" t="s">
        <v>41</v>
      </c>
      <c r="AF25" s="55"/>
      <c r="AG25" s="51" t="str">
        <f aca="false">IF(F25="","",F25&amp;"-"&amp;COUNTIF($F$10:F25,F25))</f>
        <v>CP2-5</v>
      </c>
      <c r="AH25" s="51" t="str">
        <f aca="false">IF(F25="","",IF(F25="CM2","CM2-"&amp;COUNTIF($F$10:F25,"CM2"),"P-"&amp;COUNTIFS($F$10:F25,"&lt;&gt;CM2",$F$10:F25,"&lt;&gt;")))</f>
        <v>P-16</v>
      </c>
      <c r="AI25" s="51" t="str">
        <f aca="false">IF(F25="","",IF(LEFT(F25,2)="CP","CP-"&amp;COUNTIF($F$10:F25,"CP*"),IF(F25="CE1","CE1-"&amp;COUNTIF($F$10:F25,"CE1"),IF(F25="CM2","CM2-"&amp;COUNTIF($F$10:F25,"CM2"),"CEM-"&amp;(COUNTIF($F$10:F25,"CE2")+COUNTIF($F$10:F25,"CM1"))))))</f>
        <v>CP-16</v>
      </c>
    </row>
    <row r="26" customFormat="false" ht="15" hidden="false" customHeight="false" outlineLevel="0" collapsed="false">
      <c r="A26" s="52" t="n">
        <f aca="false">IF(D26="","",ROW()-9)</f>
        <v>17</v>
      </c>
      <c r="B26" s="53" t="str">
        <f aca="false">IF(F26="","",F26&amp;"-"&amp;TEXT(COUNTIF($F$10:F26,F26),"000")&amp;"-"&amp;RIGHT(LEFT(PARAMETRES!$C$9,4),2))</f>
        <v>CP2-006-26</v>
      </c>
      <c r="C26" s="54"/>
      <c r="D26" s="55" t="s">
        <v>266</v>
      </c>
      <c r="E26" s="56" t="s">
        <v>37</v>
      </c>
      <c r="F26" s="56" t="s">
        <v>19</v>
      </c>
      <c r="G26" s="57" t="n">
        <v>42803</v>
      </c>
      <c r="H26" s="52" t="n">
        <f aca="false">IF(G26="","",DATEDIF(G26,PARAMETRES!$C$13,"y"))</f>
        <v>9</v>
      </c>
      <c r="I26" s="56" t="s">
        <v>38</v>
      </c>
      <c r="J26" s="52" t="s">
        <v>68</v>
      </c>
      <c r="K26" s="52" t="s">
        <v>150</v>
      </c>
      <c r="L26" s="56" t="s">
        <v>39</v>
      </c>
      <c r="M26" s="52" t="s">
        <v>267</v>
      </c>
      <c r="N26" s="57" t="n">
        <v>42814</v>
      </c>
      <c r="O26" s="52" t="s">
        <v>150</v>
      </c>
      <c r="P26" s="56" t="s">
        <v>46</v>
      </c>
      <c r="Q26" s="56" t="s">
        <v>40</v>
      </c>
      <c r="R26" s="55" t="s">
        <v>268</v>
      </c>
      <c r="S26" s="52" t="s">
        <v>217</v>
      </c>
      <c r="T26" s="52" t="s">
        <v>68</v>
      </c>
      <c r="U26" s="52" t="s">
        <v>269</v>
      </c>
      <c r="V26" s="55" t="s">
        <v>270</v>
      </c>
      <c r="W26" s="52" t="s">
        <v>164</v>
      </c>
      <c r="X26" s="52" t="s">
        <v>68</v>
      </c>
      <c r="Y26" s="52" t="s">
        <v>271</v>
      </c>
      <c r="Z26" s="55"/>
      <c r="AA26" s="52"/>
      <c r="AB26" s="52"/>
      <c r="AC26" s="52"/>
      <c r="AD26" s="56" t="s">
        <v>46</v>
      </c>
      <c r="AE26" s="56" t="s">
        <v>41</v>
      </c>
      <c r="AF26" s="55"/>
      <c r="AG26" s="51" t="str">
        <f aca="false">IF(F26="","",F26&amp;"-"&amp;COUNTIF($F$10:F26,F26))</f>
        <v>CP2-6</v>
      </c>
      <c r="AH26" s="51" t="str">
        <f aca="false">IF(F26="","",IF(F26="CM2","CM2-"&amp;COUNTIF($F$10:F26,"CM2"),"P-"&amp;COUNTIFS($F$10:F26,"&lt;&gt;CM2",$F$10:F26,"&lt;&gt;")))</f>
        <v>P-17</v>
      </c>
      <c r="AI26" s="51" t="str">
        <f aca="false">IF(F26="","",IF(LEFT(F26,2)="CP","CP-"&amp;COUNTIF($F$10:F26,"CP*"),IF(F26="CE1","CE1-"&amp;COUNTIF($F$10:F26,"CE1"),IF(F26="CM2","CM2-"&amp;COUNTIF($F$10:F26,"CM2"),"CEM-"&amp;(COUNTIF($F$10:F26,"CE2")+COUNTIF($F$10:F26,"CM1"))))))</f>
        <v>CP-17</v>
      </c>
    </row>
    <row r="27" customFormat="false" ht="15" hidden="false" customHeight="false" outlineLevel="0" collapsed="false">
      <c r="A27" s="52" t="n">
        <f aca="false">IF(D27="","",ROW()-9)</f>
        <v>18</v>
      </c>
      <c r="B27" s="53" t="str">
        <f aca="false">IF(F27="","",F27&amp;"-"&amp;TEXT(COUNTIF($F$10:F27,F27),"000")&amp;"-"&amp;RIGHT(LEFT(PARAMETRES!$C$9,4),2))</f>
        <v>CP2-007-26</v>
      </c>
      <c r="C27" s="54"/>
      <c r="D27" s="55" t="s">
        <v>272</v>
      </c>
      <c r="E27" s="56" t="s">
        <v>44</v>
      </c>
      <c r="F27" s="56" t="s">
        <v>19</v>
      </c>
      <c r="G27" s="57" t="n">
        <v>43044</v>
      </c>
      <c r="H27" s="52" t="n">
        <f aca="false">IF(G27="","",DATEDIF(G27,PARAMETRES!$C$13,"y"))</f>
        <v>9</v>
      </c>
      <c r="I27" s="56" t="s">
        <v>38</v>
      </c>
      <c r="J27" s="52" t="s">
        <v>68</v>
      </c>
      <c r="K27" s="52" t="s">
        <v>150</v>
      </c>
      <c r="L27" s="56" t="s">
        <v>39</v>
      </c>
      <c r="M27" s="52" t="s">
        <v>273</v>
      </c>
      <c r="N27" s="57" t="n">
        <v>43073</v>
      </c>
      <c r="O27" s="52" t="s">
        <v>150</v>
      </c>
      <c r="P27" s="56" t="s">
        <v>39</v>
      </c>
      <c r="Q27" s="56" t="s">
        <v>47</v>
      </c>
      <c r="R27" s="55" t="s">
        <v>274</v>
      </c>
      <c r="S27" s="52" t="s">
        <v>254</v>
      </c>
      <c r="T27" s="52" t="s">
        <v>68</v>
      </c>
      <c r="U27" s="52" t="s">
        <v>275</v>
      </c>
      <c r="V27" s="55" t="s">
        <v>276</v>
      </c>
      <c r="W27" s="52" t="s">
        <v>156</v>
      </c>
      <c r="X27" s="52" t="s">
        <v>68</v>
      </c>
      <c r="Y27" s="52" t="s">
        <v>277</v>
      </c>
      <c r="Z27" s="55"/>
      <c r="AA27" s="52"/>
      <c r="AB27" s="52"/>
      <c r="AC27" s="52"/>
      <c r="AD27" s="56" t="s">
        <v>46</v>
      </c>
      <c r="AE27" s="56" t="s">
        <v>41</v>
      </c>
      <c r="AF27" s="55"/>
      <c r="AG27" s="51" t="str">
        <f aca="false">IF(F27="","",F27&amp;"-"&amp;COUNTIF($F$10:F27,F27))</f>
        <v>CP2-7</v>
      </c>
      <c r="AH27" s="51" t="str">
        <f aca="false">IF(F27="","",IF(F27="CM2","CM2-"&amp;COUNTIF($F$10:F27,"CM2"),"P-"&amp;COUNTIFS($F$10:F27,"&lt;&gt;CM2",$F$10:F27,"&lt;&gt;")))</f>
        <v>P-18</v>
      </c>
      <c r="AI27" s="51" t="str">
        <f aca="false">IF(F27="","",IF(LEFT(F27,2)="CP","CP-"&amp;COUNTIF($F$10:F27,"CP*"),IF(F27="CE1","CE1-"&amp;COUNTIF($F$10:F27,"CE1"),IF(F27="CM2","CM2-"&amp;COUNTIF($F$10:F27,"CM2"),"CEM-"&amp;(COUNTIF($F$10:F27,"CE2")+COUNTIF($F$10:F27,"CM1"))))))</f>
        <v>CP-18</v>
      </c>
    </row>
    <row r="28" customFormat="false" ht="15" hidden="false" customHeight="false" outlineLevel="0" collapsed="false">
      <c r="A28" s="52" t="n">
        <f aca="false">IF(D28="","",ROW()-9)</f>
        <v>19</v>
      </c>
      <c r="B28" s="53" t="str">
        <f aca="false">IF(F28="","",F28&amp;"-"&amp;TEXT(COUNTIF($F$10:F28,F28),"000")&amp;"-"&amp;RIGHT(LEFT(PARAMETRES!$C$9,4),2))</f>
        <v>CP2-008-26</v>
      </c>
      <c r="C28" s="54"/>
      <c r="D28" s="55" t="s">
        <v>278</v>
      </c>
      <c r="E28" s="56" t="s">
        <v>44</v>
      </c>
      <c r="F28" s="56" t="s">
        <v>19</v>
      </c>
      <c r="G28" s="57" t="n">
        <v>43719</v>
      </c>
      <c r="H28" s="52" t="n">
        <f aca="false">IF(G28="","",DATEDIF(G28,PARAMETRES!$C$13,"y"))</f>
        <v>7</v>
      </c>
      <c r="I28" s="56" t="s">
        <v>38</v>
      </c>
      <c r="J28" s="52" t="s">
        <v>68</v>
      </c>
      <c r="K28" s="52" t="s">
        <v>150</v>
      </c>
      <c r="L28" s="56" t="s">
        <v>46</v>
      </c>
      <c r="M28" s="52"/>
      <c r="N28" s="57"/>
      <c r="O28" s="52"/>
      <c r="P28" s="56" t="s">
        <v>46</v>
      </c>
      <c r="Q28" s="56" t="s">
        <v>40</v>
      </c>
      <c r="R28" s="55" t="s">
        <v>279</v>
      </c>
      <c r="S28" s="52" t="s">
        <v>225</v>
      </c>
      <c r="T28" s="52" t="s">
        <v>68</v>
      </c>
      <c r="U28" s="52" t="s">
        <v>280</v>
      </c>
      <c r="V28" s="55" t="s">
        <v>281</v>
      </c>
      <c r="W28" s="52" t="s">
        <v>249</v>
      </c>
      <c r="X28" s="52" t="s">
        <v>68</v>
      </c>
      <c r="Y28" s="52" t="s">
        <v>282</v>
      </c>
      <c r="Z28" s="55"/>
      <c r="AA28" s="52"/>
      <c r="AB28" s="52"/>
      <c r="AC28" s="52"/>
      <c r="AD28" s="56" t="s">
        <v>39</v>
      </c>
      <c r="AE28" s="56" t="s">
        <v>41</v>
      </c>
      <c r="AF28" s="55"/>
      <c r="AG28" s="51" t="str">
        <f aca="false">IF(F28="","",F28&amp;"-"&amp;COUNTIF($F$10:F28,F28))</f>
        <v>CP2-8</v>
      </c>
      <c r="AH28" s="51" t="str">
        <f aca="false">IF(F28="","",IF(F28="CM2","CM2-"&amp;COUNTIF($F$10:F28,"CM2"),"P-"&amp;COUNTIFS($F$10:F28,"&lt;&gt;CM2",$F$10:F28,"&lt;&gt;")))</f>
        <v>P-19</v>
      </c>
      <c r="AI28" s="51" t="str">
        <f aca="false">IF(F28="","",IF(LEFT(F28,2)="CP","CP-"&amp;COUNTIF($F$10:F28,"CP*"),IF(F28="CE1","CE1-"&amp;COUNTIF($F$10:F28,"CE1"),IF(F28="CM2","CM2-"&amp;COUNTIF($F$10:F28,"CM2"),"CEM-"&amp;(COUNTIF($F$10:F28,"CE2")+COUNTIF($F$10:F28,"CM1"))))))</f>
        <v>CP-19</v>
      </c>
    </row>
    <row r="29" customFormat="false" ht="15" hidden="false" customHeight="false" outlineLevel="0" collapsed="false">
      <c r="A29" s="52" t="n">
        <f aca="false">IF(D29="","",ROW()-9)</f>
        <v>20</v>
      </c>
      <c r="B29" s="53" t="str">
        <f aca="false">IF(F29="","",F29&amp;"-"&amp;TEXT(COUNTIF($F$10:F29,F29),"000")&amp;"-"&amp;RIGHT(LEFT(PARAMETRES!$C$9,4),2))</f>
        <v>CP2-009-26</v>
      </c>
      <c r="C29" s="54"/>
      <c r="D29" s="55" t="s">
        <v>283</v>
      </c>
      <c r="E29" s="56" t="s">
        <v>37</v>
      </c>
      <c r="F29" s="56" t="s">
        <v>19</v>
      </c>
      <c r="G29" s="57" t="n">
        <v>43777</v>
      </c>
      <c r="H29" s="52" t="n">
        <f aca="false">IF(G29="","",DATEDIF(G29,PARAMETRES!$C$13,"y"))</f>
        <v>7</v>
      </c>
      <c r="I29" s="56" t="s">
        <v>38</v>
      </c>
      <c r="J29" s="52" t="s">
        <v>68</v>
      </c>
      <c r="K29" s="52" t="s">
        <v>150</v>
      </c>
      <c r="L29" s="56" t="s">
        <v>46</v>
      </c>
      <c r="M29" s="52"/>
      <c r="N29" s="57"/>
      <c r="O29" s="52"/>
      <c r="P29" s="56" t="s">
        <v>46</v>
      </c>
      <c r="Q29" s="56" t="s">
        <v>40</v>
      </c>
      <c r="R29" s="55" t="s">
        <v>284</v>
      </c>
      <c r="S29" s="52" t="s">
        <v>183</v>
      </c>
      <c r="T29" s="52" t="s">
        <v>68</v>
      </c>
      <c r="U29" s="52" t="s">
        <v>285</v>
      </c>
      <c r="V29" s="55" t="s">
        <v>286</v>
      </c>
      <c r="W29" s="52" t="s">
        <v>172</v>
      </c>
      <c r="X29" s="52" t="s">
        <v>68</v>
      </c>
      <c r="Y29" s="52" t="s">
        <v>287</v>
      </c>
      <c r="Z29" s="55" t="s">
        <v>288</v>
      </c>
      <c r="AA29" s="52" t="s">
        <v>161</v>
      </c>
      <c r="AB29" s="52" t="s">
        <v>68</v>
      </c>
      <c r="AC29" s="52" t="s">
        <v>289</v>
      </c>
      <c r="AD29" s="56" t="s">
        <v>46</v>
      </c>
      <c r="AE29" s="56" t="s">
        <v>41</v>
      </c>
      <c r="AF29" s="55"/>
      <c r="AG29" s="51" t="str">
        <f aca="false">IF(F29="","",F29&amp;"-"&amp;COUNTIF($F$10:F29,F29))</f>
        <v>CP2-9</v>
      </c>
      <c r="AH29" s="51" t="str">
        <f aca="false">IF(F29="","",IF(F29="CM2","CM2-"&amp;COUNTIF($F$10:F29,"CM2"),"P-"&amp;COUNTIFS($F$10:F29,"&lt;&gt;CM2",$F$10:F29,"&lt;&gt;")))</f>
        <v>P-20</v>
      </c>
      <c r="AI29" s="51" t="str">
        <f aca="false">IF(F29="","",IF(LEFT(F29,2)="CP","CP-"&amp;COUNTIF($F$10:F29,"CP*"),IF(F29="CE1","CE1-"&amp;COUNTIF($F$10:F29,"CE1"),IF(F29="CM2","CM2-"&amp;COUNTIF($F$10:F29,"CM2"),"CEM-"&amp;(COUNTIF($F$10:F29,"CE2")+COUNTIF($F$10:F29,"CM1"))))))</f>
        <v>CP-20</v>
      </c>
    </row>
    <row r="30" customFormat="false" ht="15" hidden="false" customHeight="false" outlineLevel="0" collapsed="false">
      <c r="A30" s="52" t="n">
        <f aca="false">IF(D30="","",ROW()-9)</f>
        <v>21</v>
      </c>
      <c r="B30" s="53" t="str">
        <f aca="false">IF(F30="","",F30&amp;"-"&amp;TEXT(COUNTIF($F$10:F30,F30),"000")&amp;"-"&amp;RIGHT(LEFT(PARAMETRES!$C$9,4),2))</f>
        <v>CP2-010-26</v>
      </c>
      <c r="C30" s="54"/>
      <c r="D30" s="55" t="s">
        <v>290</v>
      </c>
      <c r="E30" s="56" t="s">
        <v>37</v>
      </c>
      <c r="F30" s="56" t="s">
        <v>19</v>
      </c>
      <c r="G30" s="57" t="n">
        <v>43781</v>
      </c>
      <c r="H30" s="52" t="n">
        <f aca="false">IF(G30="","",DATEDIF(G30,PARAMETRES!$C$13,"y"))</f>
        <v>7</v>
      </c>
      <c r="I30" s="56" t="s">
        <v>60</v>
      </c>
      <c r="J30" s="52" t="s">
        <v>68</v>
      </c>
      <c r="K30" s="52" t="s">
        <v>150</v>
      </c>
      <c r="L30" s="56" t="s">
        <v>39</v>
      </c>
      <c r="M30" s="52" t="s">
        <v>291</v>
      </c>
      <c r="N30" s="57" t="n">
        <v>43790</v>
      </c>
      <c r="O30" s="52" t="s">
        <v>150</v>
      </c>
      <c r="P30" s="56" t="s">
        <v>46</v>
      </c>
      <c r="Q30" s="56" t="s">
        <v>40</v>
      </c>
      <c r="R30" s="55" t="s">
        <v>292</v>
      </c>
      <c r="S30" s="52" t="s">
        <v>153</v>
      </c>
      <c r="T30" s="52" t="s">
        <v>68</v>
      </c>
      <c r="U30" s="52" t="s">
        <v>293</v>
      </c>
      <c r="V30" s="55" t="s">
        <v>281</v>
      </c>
      <c r="W30" s="52" t="s">
        <v>249</v>
      </c>
      <c r="X30" s="52" t="s">
        <v>68</v>
      </c>
      <c r="Y30" s="52" t="s">
        <v>294</v>
      </c>
      <c r="Z30" s="55"/>
      <c r="AA30" s="52"/>
      <c r="AB30" s="52"/>
      <c r="AC30" s="52"/>
      <c r="AD30" s="56" t="s">
        <v>46</v>
      </c>
      <c r="AE30" s="56" t="s">
        <v>41</v>
      </c>
      <c r="AF30" s="55"/>
      <c r="AG30" s="51" t="str">
        <f aca="false">IF(F30="","",F30&amp;"-"&amp;COUNTIF($F$10:F30,F30))</f>
        <v>CP2-10</v>
      </c>
      <c r="AH30" s="51" t="str">
        <f aca="false">IF(F30="","",IF(F30="CM2","CM2-"&amp;COUNTIF($F$10:F30,"CM2"),"P-"&amp;COUNTIFS($F$10:F30,"&lt;&gt;CM2",$F$10:F30,"&lt;&gt;")))</f>
        <v>P-21</v>
      </c>
      <c r="AI30" s="51" t="str">
        <f aca="false">IF(F30="","",IF(LEFT(F30,2)="CP","CP-"&amp;COUNTIF($F$10:F30,"CP*"),IF(F30="CE1","CE1-"&amp;COUNTIF($F$10:F30,"CE1"),IF(F30="CM2","CM2-"&amp;COUNTIF($F$10:F30,"CM2"),"CEM-"&amp;(COUNTIF($F$10:F30,"CE2")+COUNTIF($F$10:F30,"CM1"))))))</f>
        <v>CP-21</v>
      </c>
    </row>
    <row r="31" customFormat="false" ht="15" hidden="false" customHeight="false" outlineLevel="0" collapsed="false">
      <c r="A31" s="52" t="n">
        <f aca="false">IF(D31="","",ROW()-9)</f>
        <v>22</v>
      </c>
      <c r="B31" s="53" t="str">
        <f aca="false">IF(F31="","",F31&amp;"-"&amp;TEXT(COUNTIF($F$10:F31,F31),"000")&amp;"-"&amp;RIGHT(LEFT(PARAMETRES!$C$9,4),2))</f>
        <v>CP2-011-26</v>
      </c>
      <c r="C31" s="54"/>
      <c r="D31" s="55" t="s">
        <v>295</v>
      </c>
      <c r="E31" s="56" t="s">
        <v>37</v>
      </c>
      <c r="F31" s="56" t="s">
        <v>19</v>
      </c>
      <c r="G31" s="57" t="n">
        <v>43147</v>
      </c>
      <c r="H31" s="52" t="n">
        <f aca="false">IF(G31="","",DATEDIF(G31,PARAMETRES!$C$13,"y"))</f>
        <v>8</v>
      </c>
      <c r="I31" s="56" t="s">
        <v>56</v>
      </c>
      <c r="J31" s="52" t="s">
        <v>68</v>
      </c>
      <c r="K31" s="52" t="s">
        <v>150</v>
      </c>
      <c r="L31" s="56" t="s">
        <v>39</v>
      </c>
      <c r="M31" s="52" t="s">
        <v>296</v>
      </c>
      <c r="N31" s="57" t="n">
        <v>43160</v>
      </c>
      <c r="O31" s="52" t="s">
        <v>150</v>
      </c>
      <c r="P31" s="56" t="s">
        <v>46</v>
      </c>
      <c r="Q31" s="56" t="s">
        <v>40</v>
      </c>
      <c r="R31" s="55" t="s">
        <v>297</v>
      </c>
      <c r="S31" s="52" t="s">
        <v>161</v>
      </c>
      <c r="T31" s="52" t="s">
        <v>68</v>
      </c>
      <c r="U31" s="52" t="s">
        <v>298</v>
      </c>
      <c r="V31" s="55" t="s">
        <v>299</v>
      </c>
      <c r="W31" s="52" t="s">
        <v>172</v>
      </c>
      <c r="X31" s="52" t="s">
        <v>68</v>
      </c>
      <c r="Y31" s="52" t="s">
        <v>300</v>
      </c>
      <c r="Z31" s="55" t="s">
        <v>301</v>
      </c>
      <c r="AA31" s="52" t="s">
        <v>192</v>
      </c>
      <c r="AB31" s="52" t="s">
        <v>68</v>
      </c>
      <c r="AC31" s="52" t="s">
        <v>302</v>
      </c>
      <c r="AD31" s="56" t="s">
        <v>39</v>
      </c>
      <c r="AE31" s="56" t="s">
        <v>41</v>
      </c>
      <c r="AF31" s="55"/>
      <c r="AG31" s="51" t="str">
        <f aca="false">IF(F31="","",F31&amp;"-"&amp;COUNTIF($F$10:F31,F31))</f>
        <v>CP2-11</v>
      </c>
      <c r="AH31" s="51" t="str">
        <f aca="false">IF(F31="","",IF(F31="CM2","CM2-"&amp;COUNTIF($F$10:F31,"CM2"),"P-"&amp;COUNTIFS($F$10:F31,"&lt;&gt;CM2",$F$10:F31,"&lt;&gt;")))</f>
        <v>P-22</v>
      </c>
      <c r="AI31" s="51" t="str">
        <f aca="false">IF(F31="","",IF(LEFT(F31,2)="CP","CP-"&amp;COUNTIF($F$10:F31,"CP*"),IF(F31="CE1","CE1-"&amp;COUNTIF($F$10:F31,"CE1"),IF(F31="CM2","CM2-"&amp;COUNTIF($F$10:F31,"CM2"),"CEM-"&amp;(COUNTIF($F$10:F31,"CE2")+COUNTIF($F$10:F31,"CM1"))))))</f>
        <v>CP-22</v>
      </c>
    </row>
    <row r="32" customFormat="false" ht="15" hidden="false" customHeight="false" outlineLevel="0" collapsed="false">
      <c r="A32" s="52" t="n">
        <f aca="false">IF(D32="","",ROW()-9)</f>
        <v>23</v>
      </c>
      <c r="B32" s="53" t="str">
        <f aca="false">IF(F32="","",F32&amp;"-"&amp;TEXT(COUNTIF($F$10:F32,F32),"000")&amp;"-"&amp;RIGHT(LEFT(PARAMETRES!$C$9,4),2))</f>
        <v>CP2-012-26</v>
      </c>
      <c r="C32" s="54"/>
      <c r="D32" s="55" t="s">
        <v>303</v>
      </c>
      <c r="E32" s="56" t="s">
        <v>44</v>
      </c>
      <c r="F32" s="56" t="s">
        <v>19</v>
      </c>
      <c r="G32" s="57" t="n">
        <v>43200</v>
      </c>
      <c r="H32" s="52" t="n">
        <f aca="false">IF(G32="","",DATEDIF(G32,PARAMETRES!$C$13,"y"))</f>
        <v>8</v>
      </c>
      <c r="I32" s="56" t="s">
        <v>60</v>
      </c>
      <c r="J32" s="52" t="s">
        <v>68</v>
      </c>
      <c r="K32" s="52" t="s">
        <v>150</v>
      </c>
      <c r="L32" s="56" t="s">
        <v>39</v>
      </c>
      <c r="M32" s="52" t="s">
        <v>304</v>
      </c>
      <c r="N32" s="57" t="n">
        <v>43210</v>
      </c>
      <c r="O32" s="52" t="s">
        <v>150</v>
      </c>
      <c r="P32" s="56" t="s">
        <v>46</v>
      </c>
      <c r="Q32" s="56" t="s">
        <v>40</v>
      </c>
      <c r="R32" s="55" t="s">
        <v>305</v>
      </c>
      <c r="S32" s="52" t="s">
        <v>183</v>
      </c>
      <c r="T32" s="52" t="s">
        <v>68</v>
      </c>
      <c r="U32" s="52" t="s">
        <v>306</v>
      </c>
      <c r="V32" s="55" t="s">
        <v>307</v>
      </c>
      <c r="W32" s="52" t="s">
        <v>164</v>
      </c>
      <c r="X32" s="52" t="s">
        <v>68</v>
      </c>
      <c r="Y32" s="52" t="s">
        <v>308</v>
      </c>
      <c r="Z32" s="55" t="s">
        <v>309</v>
      </c>
      <c r="AA32" s="52" t="s">
        <v>169</v>
      </c>
      <c r="AB32" s="52" t="s">
        <v>68</v>
      </c>
      <c r="AC32" s="52" t="s">
        <v>310</v>
      </c>
      <c r="AD32" s="56" t="s">
        <v>46</v>
      </c>
      <c r="AE32" s="56" t="s">
        <v>41</v>
      </c>
      <c r="AF32" s="55"/>
      <c r="AG32" s="51" t="str">
        <f aca="false">IF(F32="","",F32&amp;"-"&amp;COUNTIF($F$10:F32,F32))</f>
        <v>CP2-12</v>
      </c>
      <c r="AH32" s="51" t="str">
        <f aca="false">IF(F32="","",IF(F32="CM2","CM2-"&amp;COUNTIF($F$10:F32,"CM2"),"P-"&amp;COUNTIFS($F$10:F32,"&lt;&gt;CM2",$F$10:F32,"&lt;&gt;")))</f>
        <v>P-23</v>
      </c>
      <c r="AI32" s="51" t="str">
        <f aca="false">IF(F32="","",IF(LEFT(F32,2)="CP","CP-"&amp;COUNTIF($F$10:F32,"CP*"),IF(F32="CE1","CE1-"&amp;COUNTIF($F$10:F32,"CE1"),IF(F32="CM2","CM2-"&amp;COUNTIF($F$10:F32,"CM2"),"CEM-"&amp;(COUNTIF($F$10:F32,"CE2")+COUNTIF($F$10:F32,"CM1"))))))</f>
        <v>CP-23</v>
      </c>
    </row>
    <row r="33" customFormat="false" ht="15" hidden="false" customHeight="false" outlineLevel="0" collapsed="false">
      <c r="A33" s="52" t="n">
        <f aca="false">IF(D33="","",ROW()-9)</f>
        <v>24</v>
      </c>
      <c r="B33" s="53" t="str">
        <f aca="false">IF(F33="","",F33&amp;"-"&amp;TEXT(COUNTIF($F$10:F33,F33),"000")&amp;"-"&amp;RIGHT(LEFT(PARAMETRES!$C$9,4),2))</f>
        <v>CE1-001-26</v>
      </c>
      <c r="C33" s="54"/>
      <c r="D33" s="55" t="s">
        <v>311</v>
      </c>
      <c r="E33" s="56" t="s">
        <v>37</v>
      </c>
      <c r="F33" s="56" t="s">
        <v>20</v>
      </c>
      <c r="G33" s="57" t="n">
        <v>42926</v>
      </c>
      <c r="H33" s="52" t="n">
        <f aca="false">IF(G33="","",DATEDIF(G33,PARAMETRES!$C$13,"y"))</f>
        <v>9</v>
      </c>
      <c r="I33" s="56" t="s">
        <v>38</v>
      </c>
      <c r="J33" s="52" t="s">
        <v>68</v>
      </c>
      <c r="K33" s="52" t="s">
        <v>150</v>
      </c>
      <c r="L33" s="56" t="s">
        <v>39</v>
      </c>
      <c r="M33" s="52" t="s">
        <v>312</v>
      </c>
      <c r="N33" s="57" t="n">
        <v>42976</v>
      </c>
      <c r="O33" s="52" t="s">
        <v>150</v>
      </c>
      <c r="P33" s="56" t="s">
        <v>46</v>
      </c>
      <c r="Q33" s="56" t="s">
        <v>40</v>
      </c>
      <c r="R33" s="55" t="s">
        <v>313</v>
      </c>
      <c r="S33" s="52" t="s">
        <v>161</v>
      </c>
      <c r="T33" s="52" t="s">
        <v>68</v>
      </c>
      <c r="U33" s="52" t="s">
        <v>314</v>
      </c>
      <c r="V33" s="55" t="s">
        <v>315</v>
      </c>
      <c r="W33" s="52" t="s">
        <v>200</v>
      </c>
      <c r="X33" s="52" t="s">
        <v>68</v>
      </c>
      <c r="Y33" s="52" t="s">
        <v>316</v>
      </c>
      <c r="Z33" s="55"/>
      <c r="AA33" s="52"/>
      <c r="AB33" s="52"/>
      <c r="AC33" s="52"/>
      <c r="AD33" s="56" t="s">
        <v>46</v>
      </c>
      <c r="AE33" s="56" t="s">
        <v>41</v>
      </c>
      <c r="AF33" s="55"/>
      <c r="AG33" s="51" t="str">
        <f aca="false">IF(F33="","",F33&amp;"-"&amp;COUNTIF($F$10:F33,F33))</f>
        <v>CE1-1</v>
      </c>
      <c r="AH33" s="51" t="str">
        <f aca="false">IF(F33="","",IF(F33="CM2","CM2-"&amp;COUNTIF($F$10:F33,"CM2"),"P-"&amp;COUNTIFS($F$10:F33,"&lt;&gt;CM2",$F$10:F33,"&lt;&gt;")))</f>
        <v>P-24</v>
      </c>
      <c r="AI33" s="51" t="str">
        <f aca="false">IF(F33="","",IF(LEFT(F33,2)="CP","CP-"&amp;COUNTIF($F$10:F33,"CP*"),IF(F33="CE1","CE1-"&amp;COUNTIF($F$10:F33,"CE1"),IF(F33="CM2","CM2-"&amp;COUNTIF($F$10:F33,"CM2"),"CEM-"&amp;(COUNTIF($F$10:F33,"CE2")+COUNTIF($F$10:F33,"CM1"))))))</f>
        <v>CE1-1</v>
      </c>
    </row>
    <row r="34" customFormat="false" ht="15" hidden="false" customHeight="false" outlineLevel="0" collapsed="false">
      <c r="A34" s="52" t="n">
        <f aca="false">IF(D34="","",ROW()-9)</f>
        <v>25</v>
      </c>
      <c r="B34" s="53" t="str">
        <f aca="false">IF(F34="","",F34&amp;"-"&amp;TEXT(COUNTIF($F$10:F34,F34),"000")&amp;"-"&amp;RIGHT(LEFT(PARAMETRES!$C$9,4),2))</f>
        <v>CE1-002-26</v>
      </c>
      <c r="C34" s="54"/>
      <c r="D34" s="55" t="s">
        <v>317</v>
      </c>
      <c r="E34" s="56" t="s">
        <v>44</v>
      </c>
      <c r="F34" s="56" t="s">
        <v>20</v>
      </c>
      <c r="G34" s="57" t="n">
        <v>43133</v>
      </c>
      <c r="H34" s="52" t="n">
        <f aca="false">IF(G34="","",DATEDIF(G34,PARAMETRES!$C$13,"y"))</f>
        <v>8</v>
      </c>
      <c r="I34" s="56" t="s">
        <v>56</v>
      </c>
      <c r="J34" s="52" t="s">
        <v>68</v>
      </c>
      <c r="K34" s="52" t="s">
        <v>150</v>
      </c>
      <c r="L34" s="56" t="s">
        <v>39</v>
      </c>
      <c r="M34" s="52" t="s">
        <v>318</v>
      </c>
      <c r="N34" s="57" t="n">
        <v>43178</v>
      </c>
      <c r="O34" s="52" t="s">
        <v>150</v>
      </c>
      <c r="P34" s="56" t="s">
        <v>46</v>
      </c>
      <c r="Q34" s="56" t="s">
        <v>40</v>
      </c>
      <c r="R34" s="55" t="s">
        <v>319</v>
      </c>
      <c r="S34" s="52" t="s">
        <v>217</v>
      </c>
      <c r="T34" s="52" t="s">
        <v>68</v>
      </c>
      <c r="U34" s="52" t="s">
        <v>320</v>
      </c>
      <c r="V34" s="55" t="s">
        <v>321</v>
      </c>
      <c r="W34" s="52" t="s">
        <v>156</v>
      </c>
      <c r="X34" s="52" t="s">
        <v>68</v>
      </c>
      <c r="Y34" s="52" t="s">
        <v>322</v>
      </c>
      <c r="Z34" s="55" t="s">
        <v>323</v>
      </c>
      <c r="AA34" s="52" t="s">
        <v>254</v>
      </c>
      <c r="AB34" s="52" t="s">
        <v>68</v>
      </c>
      <c r="AC34" s="52" t="s">
        <v>324</v>
      </c>
      <c r="AD34" s="56" t="s">
        <v>46</v>
      </c>
      <c r="AE34" s="56" t="s">
        <v>48</v>
      </c>
      <c r="AF34" s="55" t="s">
        <v>259</v>
      </c>
      <c r="AG34" s="51" t="str">
        <f aca="false">IF(F34="","",F34&amp;"-"&amp;COUNTIF($F$10:F34,F34))</f>
        <v>CE1-2</v>
      </c>
      <c r="AH34" s="51" t="str">
        <f aca="false">IF(F34="","",IF(F34="CM2","CM2-"&amp;COUNTIF($F$10:F34,"CM2"),"P-"&amp;COUNTIFS($F$10:F34,"&lt;&gt;CM2",$F$10:F34,"&lt;&gt;")))</f>
        <v>P-25</v>
      </c>
      <c r="AI34" s="51" t="str">
        <f aca="false">IF(F34="","",IF(LEFT(F34,2)="CP","CP-"&amp;COUNTIF($F$10:F34,"CP*"),IF(F34="CE1","CE1-"&amp;COUNTIF($F$10:F34,"CE1"),IF(F34="CM2","CM2-"&amp;COUNTIF($F$10:F34,"CM2"),"CEM-"&amp;(COUNTIF($F$10:F34,"CE2")+COUNTIF($F$10:F34,"CM1"))))))</f>
        <v>CE1-2</v>
      </c>
    </row>
    <row r="35" customFormat="false" ht="15" hidden="false" customHeight="false" outlineLevel="0" collapsed="false">
      <c r="A35" s="52" t="n">
        <f aca="false">IF(D35="","",ROW()-9)</f>
        <v>26</v>
      </c>
      <c r="B35" s="53" t="str">
        <f aca="false">IF(F35="","",F35&amp;"-"&amp;TEXT(COUNTIF($F$10:F35,F35),"000")&amp;"-"&amp;RIGHT(LEFT(PARAMETRES!$C$9,4),2))</f>
        <v>CE1-003-26</v>
      </c>
      <c r="C35" s="54"/>
      <c r="D35" s="55" t="s">
        <v>325</v>
      </c>
      <c r="E35" s="56" t="s">
        <v>37</v>
      </c>
      <c r="F35" s="56" t="s">
        <v>20</v>
      </c>
      <c r="G35" s="57" t="n">
        <v>43229</v>
      </c>
      <c r="H35" s="52" t="n">
        <f aca="false">IF(G35="","",DATEDIF(G35,PARAMETRES!$C$13,"y"))</f>
        <v>8</v>
      </c>
      <c r="I35" s="56" t="s">
        <v>38</v>
      </c>
      <c r="J35" s="52" t="s">
        <v>68</v>
      </c>
      <c r="K35" s="52" t="s">
        <v>150</v>
      </c>
      <c r="L35" s="56" t="s">
        <v>46</v>
      </c>
      <c r="M35" s="52"/>
      <c r="N35" s="57"/>
      <c r="O35" s="52"/>
      <c r="P35" s="56" t="s">
        <v>46</v>
      </c>
      <c r="Q35" s="56" t="s">
        <v>40</v>
      </c>
      <c r="R35" s="55" t="s">
        <v>326</v>
      </c>
      <c r="S35" s="52" t="s">
        <v>183</v>
      </c>
      <c r="T35" s="52" t="s">
        <v>68</v>
      </c>
      <c r="U35" s="52" t="s">
        <v>327</v>
      </c>
      <c r="V35" s="55" t="s">
        <v>328</v>
      </c>
      <c r="W35" s="52" t="s">
        <v>164</v>
      </c>
      <c r="X35" s="52" t="s">
        <v>68</v>
      </c>
      <c r="Y35" s="52" t="s">
        <v>329</v>
      </c>
      <c r="Z35" s="55"/>
      <c r="AA35" s="52"/>
      <c r="AB35" s="52"/>
      <c r="AC35" s="52"/>
      <c r="AD35" s="56" t="s">
        <v>46</v>
      </c>
      <c r="AE35" s="56" t="s">
        <v>41</v>
      </c>
      <c r="AF35" s="55"/>
      <c r="AG35" s="51" t="str">
        <f aca="false">IF(F35="","",F35&amp;"-"&amp;COUNTIF($F$10:F35,F35))</f>
        <v>CE1-3</v>
      </c>
      <c r="AH35" s="51" t="str">
        <f aca="false">IF(F35="","",IF(F35="CM2","CM2-"&amp;COUNTIF($F$10:F35,"CM2"),"P-"&amp;COUNTIFS($F$10:F35,"&lt;&gt;CM2",$F$10:F35,"&lt;&gt;")))</f>
        <v>P-26</v>
      </c>
      <c r="AI35" s="51" t="str">
        <f aca="false">IF(F35="","",IF(LEFT(F35,2)="CP","CP-"&amp;COUNTIF($F$10:F35,"CP*"),IF(F35="CE1","CE1-"&amp;COUNTIF($F$10:F35,"CE1"),IF(F35="CM2","CM2-"&amp;COUNTIF($F$10:F35,"CM2"),"CEM-"&amp;(COUNTIF($F$10:F35,"CE2")+COUNTIF($F$10:F35,"CM1"))))))</f>
        <v>CE1-3</v>
      </c>
    </row>
    <row r="36" customFormat="false" ht="15" hidden="false" customHeight="false" outlineLevel="0" collapsed="false">
      <c r="A36" s="52" t="n">
        <f aca="false">IF(D36="","",ROW()-9)</f>
        <v>27</v>
      </c>
      <c r="B36" s="53" t="str">
        <f aca="false">IF(F36="","",F36&amp;"-"&amp;TEXT(COUNTIF($F$10:F36,F36),"000")&amp;"-"&amp;RIGHT(LEFT(PARAMETRES!$C$9,4),2))</f>
        <v>CE1-004-26</v>
      </c>
      <c r="C36" s="54"/>
      <c r="D36" s="55" t="s">
        <v>330</v>
      </c>
      <c r="E36" s="56" t="s">
        <v>44</v>
      </c>
      <c r="F36" s="56" t="s">
        <v>20</v>
      </c>
      <c r="G36" s="57" t="n">
        <v>43137</v>
      </c>
      <c r="H36" s="52" t="n">
        <f aca="false">IF(G36="","",DATEDIF(G36,PARAMETRES!$C$13,"y"))</f>
        <v>8</v>
      </c>
      <c r="I36" s="56" t="s">
        <v>38</v>
      </c>
      <c r="J36" s="52" t="s">
        <v>68</v>
      </c>
      <c r="K36" s="52" t="s">
        <v>150</v>
      </c>
      <c r="L36" s="56" t="s">
        <v>39</v>
      </c>
      <c r="M36" s="52" t="s">
        <v>331</v>
      </c>
      <c r="N36" s="57" t="n">
        <v>43155</v>
      </c>
      <c r="O36" s="52" t="s">
        <v>150</v>
      </c>
      <c r="P36" s="56" t="s">
        <v>46</v>
      </c>
      <c r="Q36" s="56" t="s">
        <v>40</v>
      </c>
      <c r="R36" s="55" t="s">
        <v>332</v>
      </c>
      <c r="S36" s="52" t="s">
        <v>217</v>
      </c>
      <c r="T36" s="52" t="s">
        <v>68</v>
      </c>
      <c r="U36" s="52" t="s">
        <v>333</v>
      </c>
      <c r="V36" s="55" t="s">
        <v>334</v>
      </c>
      <c r="W36" s="52" t="s">
        <v>249</v>
      </c>
      <c r="X36" s="52" t="s">
        <v>68</v>
      </c>
      <c r="Y36" s="52" t="s">
        <v>335</v>
      </c>
      <c r="Z36" s="55"/>
      <c r="AA36" s="52"/>
      <c r="AB36" s="52"/>
      <c r="AC36" s="52"/>
      <c r="AD36" s="56" t="s">
        <v>46</v>
      </c>
      <c r="AE36" s="56" t="s">
        <v>41</v>
      </c>
      <c r="AF36" s="55"/>
      <c r="AG36" s="51" t="str">
        <f aca="false">IF(F36="","",F36&amp;"-"&amp;COUNTIF($F$10:F36,F36))</f>
        <v>CE1-4</v>
      </c>
      <c r="AH36" s="51" t="str">
        <f aca="false">IF(F36="","",IF(F36="CM2","CM2-"&amp;COUNTIF($F$10:F36,"CM2"),"P-"&amp;COUNTIFS($F$10:F36,"&lt;&gt;CM2",$F$10:F36,"&lt;&gt;")))</f>
        <v>P-27</v>
      </c>
      <c r="AI36" s="51" t="str">
        <f aca="false">IF(F36="","",IF(LEFT(F36,2)="CP","CP-"&amp;COUNTIF($F$10:F36,"CP*"),IF(F36="CE1","CE1-"&amp;COUNTIF($F$10:F36,"CE1"),IF(F36="CM2","CM2-"&amp;COUNTIF($F$10:F36,"CM2"),"CEM-"&amp;(COUNTIF($F$10:F36,"CE2")+COUNTIF($F$10:F36,"CM1"))))))</f>
        <v>CE1-4</v>
      </c>
    </row>
    <row r="37" customFormat="false" ht="15" hidden="false" customHeight="false" outlineLevel="0" collapsed="false">
      <c r="A37" s="52" t="n">
        <f aca="false">IF(D37="","",ROW()-9)</f>
        <v>28</v>
      </c>
      <c r="B37" s="53" t="str">
        <f aca="false">IF(F37="","",F37&amp;"-"&amp;TEXT(COUNTIF($F$10:F37,F37),"000")&amp;"-"&amp;RIGHT(LEFT(PARAMETRES!$C$9,4),2))</f>
        <v>CE1-005-26</v>
      </c>
      <c r="C37" s="54"/>
      <c r="D37" s="55" t="s">
        <v>336</v>
      </c>
      <c r="E37" s="56" t="s">
        <v>37</v>
      </c>
      <c r="F37" s="56" t="s">
        <v>20</v>
      </c>
      <c r="G37" s="57" t="n">
        <v>42937</v>
      </c>
      <c r="H37" s="52" t="n">
        <f aca="false">IF(G37="","",DATEDIF(G37,PARAMETRES!$C$13,"y"))</f>
        <v>9</v>
      </c>
      <c r="I37" s="56" t="s">
        <v>38</v>
      </c>
      <c r="J37" s="52" t="s">
        <v>68</v>
      </c>
      <c r="K37" s="52" t="s">
        <v>150</v>
      </c>
      <c r="L37" s="56" t="s">
        <v>46</v>
      </c>
      <c r="M37" s="52"/>
      <c r="N37" s="57"/>
      <c r="O37" s="52"/>
      <c r="P37" s="56" t="s">
        <v>46</v>
      </c>
      <c r="Q37" s="56" t="s">
        <v>40</v>
      </c>
      <c r="R37" s="55" t="s">
        <v>337</v>
      </c>
      <c r="S37" s="52" t="s">
        <v>153</v>
      </c>
      <c r="T37" s="52" t="s">
        <v>68</v>
      </c>
      <c r="U37" s="52" t="s">
        <v>338</v>
      </c>
      <c r="V37" s="55" t="s">
        <v>339</v>
      </c>
      <c r="W37" s="52" t="s">
        <v>220</v>
      </c>
      <c r="X37" s="52" t="s">
        <v>68</v>
      </c>
      <c r="Y37" s="52" t="s">
        <v>340</v>
      </c>
      <c r="Z37" s="55"/>
      <c r="AA37" s="52"/>
      <c r="AB37" s="52"/>
      <c r="AC37" s="52"/>
      <c r="AD37" s="56" t="s">
        <v>39</v>
      </c>
      <c r="AE37" s="56" t="s">
        <v>41</v>
      </c>
      <c r="AF37" s="55"/>
      <c r="AG37" s="51" t="str">
        <f aca="false">IF(F37="","",F37&amp;"-"&amp;COUNTIF($F$10:F37,F37))</f>
        <v>CE1-5</v>
      </c>
      <c r="AH37" s="51" t="str">
        <f aca="false">IF(F37="","",IF(F37="CM2","CM2-"&amp;COUNTIF($F$10:F37,"CM2"),"P-"&amp;COUNTIFS($F$10:F37,"&lt;&gt;CM2",$F$10:F37,"&lt;&gt;")))</f>
        <v>P-28</v>
      </c>
      <c r="AI37" s="51" t="str">
        <f aca="false">IF(F37="","",IF(LEFT(F37,2)="CP","CP-"&amp;COUNTIF($F$10:F37,"CP*"),IF(F37="CE1","CE1-"&amp;COUNTIF($F$10:F37,"CE1"),IF(F37="CM2","CM2-"&amp;COUNTIF($F$10:F37,"CM2"),"CEM-"&amp;(COUNTIF($F$10:F37,"CE2")+COUNTIF($F$10:F37,"CM1"))))))</f>
        <v>CE1-5</v>
      </c>
    </row>
    <row r="38" customFormat="false" ht="15" hidden="false" customHeight="false" outlineLevel="0" collapsed="false">
      <c r="A38" s="52" t="n">
        <f aca="false">IF(D38="","",ROW()-9)</f>
        <v>29</v>
      </c>
      <c r="B38" s="53" t="str">
        <f aca="false">IF(F38="","",F38&amp;"-"&amp;TEXT(COUNTIF($F$10:F38,F38),"000")&amp;"-"&amp;RIGHT(LEFT(PARAMETRES!$C$9,4),2))</f>
        <v>CE1-006-26</v>
      </c>
      <c r="C38" s="54"/>
      <c r="D38" s="55" t="s">
        <v>341</v>
      </c>
      <c r="E38" s="56" t="s">
        <v>37</v>
      </c>
      <c r="F38" s="56" t="s">
        <v>20</v>
      </c>
      <c r="G38" s="57" t="n">
        <v>42784</v>
      </c>
      <c r="H38" s="52" t="n">
        <f aca="false">IF(G38="","",DATEDIF(G38,PARAMETRES!$C$13,"y"))</f>
        <v>9</v>
      </c>
      <c r="I38" s="56" t="s">
        <v>38</v>
      </c>
      <c r="J38" s="52" t="s">
        <v>68</v>
      </c>
      <c r="K38" s="52" t="s">
        <v>150</v>
      </c>
      <c r="L38" s="56" t="s">
        <v>39</v>
      </c>
      <c r="M38" s="52" t="s">
        <v>342</v>
      </c>
      <c r="N38" s="57" t="n">
        <v>42833</v>
      </c>
      <c r="O38" s="52" t="s">
        <v>150</v>
      </c>
      <c r="P38" s="56" t="s">
        <v>46</v>
      </c>
      <c r="Q38" s="56" t="s">
        <v>40</v>
      </c>
      <c r="R38" s="55" t="s">
        <v>343</v>
      </c>
      <c r="S38" s="52" t="s">
        <v>153</v>
      </c>
      <c r="T38" s="52" t="s">
        <v>68</v>
      </c>
      <c r="U38" s="52" t="s">
        <v>344</v>
      </c>
      <c r="V38" s="55" t="s">
        <v>199</v>
      </c>
      <c r="W38" s="52" t="s">
        <v>164</v>
      </c>
      <c r="X38" s="52" t="s">
        <v>68</v>
      </c>
      <c r="Y38" s="52" t="s">
        <v>345</v>
      </c>
      <c r="Z38" s="55"/>
      <c r="AA38" s="52"/>
      <c r="AB38" s="52"/>
      <c r="AC38" s="52"/>
      <c r="AD38" s="56" t="s">
        <v>39</v>
      </c>
      <c r="AE38" s="56" t="s">
        <v>41</v>
      </c>
      <c r="AF38" s="55"/>
      <c r="AG38" s="51" t="str">
        <f aca="false">IF(F38="","",F38&amp;"-"&amp;COUNTIF($F$10:F38,F38))</f>
        <v>CE1-6</v>
      </c>
      <c r="AH38" s="51" t="str">
        <f aca="false">IF(F38="","",IF(F38="CM2","CM2-"&amp;COUNTIF($F$10:F38,"CM2"),"P-"&amp;COUNTIFS($F$10:F38,"&lt;&gt;CM2",$F$10:F38,"&lt;&gt;")))</f>
        <v>P-29</v>
      </c>
      <c r="AI38" s="51" t="str">
        <f aca="false">IF(F38="","",IF(LEFT(F38,2)="CP","CP-"&amp;COUNTIF($F$10:F38,"CP*"),IF(F38="CE1","CE1-"&amp;COUNTIF($F$10:F38,"CE1"),IF(F38="CM2","CM2-"&amp;COUNTIF($F$10:F38,"CM2"),"CEM-"&amp;(COUNTIF($F$10:F38,"CE2")+COUNTIF($F$10:F38,"CM1"))))))</f>
        <v>CE1-6</v>
      </c>
    </row>
    <row r="39" customFormat="false" ht="15" hidden="false" customHeight="false" outlineLevel="0" collapsed="false">
      <c r="A39" s="52" t="n">
        <f aca="false">IF(D39="","",ROW()-9)</f>
        <v>30</v>
      </c>
      <c r="B39" s="53" t="str">
        <f aca="false">IF(F39="","",F39&amp;"-"&amp;TEXT(COUNTIF($F$10:F39,F39),"000")&amp;"-"&amp;RIGHT(LEFT(PARAMETRES!$C$9,4),2))</f>
        <v>CE1-007-26</v>
      </c>
      <c r="C39" s="54"/>
      <c r="D39" s="55" t="s">
        <v>346</v>
      </c>
      <c r="E39" s="56" t="s">
        <v>37</v>
      </c>
      <c r="F39" s="56" t="s">
        <v>20</v>
      </c>
      <c r="G39" s="57" t="n">
        <v>42866</v>
      </c>
      <c r="H39" s="52" t="n">
        <f aca="false">IF(G39="","",DATEDIF(G39,PARAMETRES!$C$13,"y"))</f>
        <v>9</v>
      </c>
      <c r="I39" s="56" t="s">
        <v>38</v>
      </c>
      <c r="J39" s="52" t="s">
        <v>68</v>
      </c>
      <c r="K39" s="52" t="s">
        <v>150</v>
      </c>
      <c r="L39" s="56" t="s">
        <v>46</v>
      </c>
      <c r="M39" s="52"/>
      <c r="N39" s="57"/>
      <c r="O39" s="52"/>
      <c r="P39" s="56" t="s">
        <v>46</v>
      </c>
      <c r="Q39" s="56" t="s">
        <v>40</v>
      </c>
      <c r="R39" s="55" t="s">
        <v>347</v>
      </c>
      <c r="S39" s="52" t="s">
        <v>225</v>
      </c>
      <c r="T39" s="52" t="s">
        <v>68</v>
      </c>
      <c r="U39" s="52" t="s">
        <v>348</v>
      </c>
      <c r="V39" s="55" t="s">
        <v>199</v>
      </c>
      <c r="W39" s="52" t="s">
        <v>156</v>
      </c>
      <c r="X39" s="52" t="s">
        <v>68</v>
      </c>
      <c r="Y39" s="52" t="s">
        <v>349</v>
      </c>
      <c r="Z39" s="55"/>
      <c r="AA39" s="52"/>
      <c r="AB39" s="52"/>
      <c r="AC39" s="52"/>
      <c r="AD39" s="56" t="s">
        <v>46</v>
      </c>
      <c r="AE39" s="56" t="s">
        <v>41</v>
      </c>
      <c r="AF39" s="55"/>
      <c r="AG39" s="51" t="str">
        <f aca="false">IF(F39="","",F39&amp;"-"&amp;COUNTIF($F$10:F39,F39))</f>
        <v>CE1-7</v>
      </c>
      <c r="AH39" s="51" t="str">
        <f aca="false">IF(F39="","",IF(F39="CM2","CM2-"&amp;COUNTIF($F$10:F39,"CM2"),"P-"&amp;COUNTIFS($F$10:F39,"&lt;&gt;CM2",$F$10:F39,"&lt;&gt;")))</f>
        <v>P-30</v>
      </c>
      <c r="AI39" s="51" t="str">
        <f aca="false">IF(F39="","",IF(LEFT(F39,2)="CP","CP-"&amp;COUNTIF($F$10:F39,"CP*"),IF(F39="CE1","CE1-"&amp;COUNTIF($F$10:F39,"CE1"),IF(F39="CM2","CM2-"&amp;COUNTIF($F$10:F39,"CM2"),"CEM-"&amp;(COUNTIF($F$10:F39,"CE2")+COUNTIF($F$10:F39,"CM1"))))))</f>
        <v>CE1-7</v>
      </c>
    </row>
    <row r="40" customFormat="false" ht="15" hidden="false" customHeight="false" outlineLevel="0" collapsed="false">
      <c r="A40" s="52" t="n">
        <f aca="false">IF(D40="","",ROW()-9)</f>
        <v>31</v>
      </c>
      <c r="B40" s="53" t="str">
        <f aca="false">IF(F40="","",F40&amp;"-"&amp;TEXT(COUNTIF($F$10:F40,F40),"000")&amp;"-"&amp;RIGHT(LEFT(PARAMETRES!$C$9,4),2))</f>
        <v>CE1-008-26</v>
      </c>
      <c r="C40" s="54"/>
      <c r="D40" s="55" t="s">
        <v>350</v>
      </c>
      <c r="E40" s="56" t="s">
        <v>44</v>
      </c>
      <c r="F40" s="56" t="s">
        <v>20</v>
      </c>
      <c r="G40" s="57" t="n">
        <v>42544</v>
      </c>
      <c r="H40" s="52" t="n">
        <f aca="false">IF(G40="","",DATEDIF(G40,PARAMETRES!$C$13,"y"))</f>
        <v>10</v>
      </c>
      <c r="I40" s="56" t="s">
        <v>38</v>
      </c>
      <c r="J40" s="52" t="s">
        <v>68</v>
      </c>
      <c r="K40" s="52" t="s">
        <v>150</v>
      </c>
      <c r="L40" s="56" t="s">
        <v>39</v>
      </c>
      <c r="M40" s="52" t="s">
        <v>351</v>
      </c>
      <c r="N40" s="57" t="n">
        <v>42561</v>
      </c>
      <c r="O40" s="52" t="s">
        <v>150</v>
      </c>
      <c r="P40" s="56" t="s">
        <v>46</v>
      </c>
      <c r="Q40" s="56" t="s">
        <v>40</v>
      </c>
      <c r="R40" s="55" t="s">
        <v>352</v>
      </c>
      <c r="S40" s="52" t="s">
        <v>225</v>
      </c>
      <c r="T40" s="52" t="s">
        <v>68</v>
      </c>
      <c r="U40" s="52" t="s">
        <v>353</v>
      </c>
      <c r="V40" s="55" t="s">
        <v>354</v>
      </c>
      <c r="W40" s="52" t="s">
        <v>156</v>
      </c>
      <c r="X40" s="52" t="s">
        <v>68</v>
      </c>
      <c r="Y40" s="52" t="s">
        <v>355</v>
      </c>
      <c r="Z40" s="55" t="s">
        <v>356</v>
      </c>
      <c r="AA40" s="52" t="s">
        <v>225</v>
      </c>
      <c r="AB40" s="52" t="s">
        <v>68</v>
      </c>
      <c r="AC40" s="52" t="s">
        <v>357</v>
      </c>
      <c r="AD40" s="56" t="s">
        <v>46</v>
      </c>
      <c r="AE40" s="56" t="s">
        <v>41</v>
      </c>
      <c r="AF40" s="55"/>
      <c r="AG40" s="51" t="str">
        <f aca="false">IF(F40="","",F40&amp;"-"&amp;COUNTIF($F$10:F40,F40))</f>
        <v>CE1-8</v>
      </c>
      <c r="AH40" s="51" t="str">
        <f aca="false">IF(F40="","",IF(F40="CM2","CM2-"&amp;COUNTIF($F$10:F40,"CM2"),"P-"&amp;COUNTIFS($F$10:F40,"&lt;&gt;CM2",$F$10:F40,"&lt;&gt;")))</f>
        <v>P-31</v>
      </c>
      <c r="AI40" s="51" t="str">
        <f aca="false">IF(F40="","",IF(LEFT(F40,2)="CP","CP-"&amp;COUNTIF($F$10:F40,"CP*"),IF(F40="CE1","CE1-"&amp;COUNTIF($F$10:F40,"CE1"),IF(F40="CM2","CM2-"&amp;COUNTIF($F$10:F40,"CM2"),"CEM-"&amp;(COUNTIF($F$10:F40,"CE2")+COUNTIF($F$10:F40,"CM1"))))))</f>
        <v>CE1-8</v>
      </c>
    </row>
    <row r="41" customFormat="false" ht="15" hidden="false" customHeight="false" outlineLevel="0" collapsed="false">
      <c r="A41" s="52" t="n">
        <f aca="false">IF(D41="","",ROW()-9)</f>
        <v>32</v>
      </c>
      <c r="B41" s="53" t="str">
        <f aca="false">IF(F41="","",F41&amp;"-"&amp;TEXT(COUNTIF($F$10:F41,F41),"000")&amp;"-"&amp;RIGHT(LEFT(PARAMETRES!$C$9,4),2))</f>
        <v>CE1-009-26</v>
      </c>
      <c r="C41" s="54"/>
      <c r="D41" s="55" t="s">
        <v>358</v>
      </c>
      <c r="E41" s="56" t="s">
        <v>37</v>
      </c>
      <c r="F41" s="56" t="s">
        <v>20</v>
      </c>
      <c r="G41" s="57" t="n">
        <v>43378</v>
      </c>
      <c r="H41" s="52" t="n">
        <f aca="false">IF(G41="","",DATEDIF(G41,PARAMETRES!$C$13,"y"))</f>
        <v>8</v>
      </c>
      <c r="I41" s="56" t="s">
        <v>38</v>
      </c>
      <c r="J41" s="52" t="s">
        <v>68</v>
      </c>
      <c r="K41" s="52" t="s">
        <v>150</v>
      </c>
      <c r="L41" s="56" t="s">
        <v>39</v>
      </c>
      <c r="M41" s="52" t="s">
        <v>359</v>
      </c>
      <c r="N41" s="57" t="n">
        <v>43424</v>
      </c>
      <c r="O41" s="52" t="s">
        <v>150</v>
      </c>
      <c r="P41" s="56" t="s">
        <v>46</v>
      </c>
      <c r="Q41" s="56" t="s">
        <v>40</v>
      </c>
      <c r="R41" s="55" t="s">
        <v>360</v>
      </c>
      <c r="S41" s="52" t="s">
        <v>192</v>
      </c>
      <c r="T41" s="52" t="s">
        <v>68</v>
      </c>
      <c r="U41" s="52" t="s">
        <v>361</v>
      </c>
      <c r="V41" s="55" t="s">
        <v>362</v>
      </c>
      <c r="W41" s="52" t="s">
        <v>249</v>
      </c>
      <c r="X41" s="52" t="s">
        <v>68</v>
      </c>
      <c r="Y41" s="52" t="s">
        <v>363</v>
      </c>
      <c r="Z41" s="55" t="s">
        <v>364</v>
      </c>
      <c r="AA41" s="52" t="s">
        <v>161</v>
      </c>
      <c r="AB41" s="52" t="s">
        <v>68</v>
      </c>
      <c r="AC41" s="52" t="s">
        <v>365</v>
      </c>
      <c r="AD41" s="56" t="s">
        <v>46</v>
      </c>
      <c r="AE41" s="56" t="s">
        <v>41</v>
      </c>
      <c r="AF41" s="55"/>
      <c r="AG41" s="51" t="str">
        <f aca="false">IF(F41="","",F41&amp;"-"&amp;COUNTIF($F$10:F41,F41))</f>
        <v>CE1-9</v>
      </c>
      <c r="AH41" s="51" t="str">
        <f aca="false">IF(F41="","",IF(F41="CM2","CM2-"&amp;COUNTIF($F$10:F41,"CM2"),"P-"&amp;COUNTIFS($F$10:F41,"&lt;&gt;CM2",$F$10:F41,"&lt;&gt;")))</f>
        <v>P-32</v>
      </c>
      <c r="AI41" s="51" t="str">
        <f aca="false">IF(F41="","",IF(LEFT(F41,2)="CP","CP-"&amp;COUNTIF($F$10:F41,"CP*"),IF(F41="CE1","CE1-"&amp;COUNTIF($F$10:F41,"CE1"),IF(F41="CM2","CM2-"&amp;COUNTIF($F$10:F41,"CM2"),"CEM-"&amp;(COUNTIF($F$10:F41,"CE2")+COUNTIF($F$10:F41,"CM1"))))))</f>
        <v>CE1-9</v>
      </c>
    </row>
    <row r="42" customFormat="false" ht="15" hidden="false" customHeight="false" outlineLevel="0" collapsed="false">
      <c r="A42" s="52" t="n">
        <f aca="false">IF(D42="","",ROW()-9)</f>
        <v>33</v>
      </c>
      <c r="B42" s="53" t="str">
        <f aca="false">IF(F42="","",F42&amp;"-"&amp;TEXT(COUNTIF($F$10:F42,F42),"000")&amp;"-"&amp;RIGHT(LEFT(PARAMETRES!$C$9,4),2))</f>
        <v>CE2-001-26</v>
      </c>
      <c r="C42" s="54"/>
      <c r="D42" s="55" t="s">
        <v>366</v>
      </c>
      <c r="E42" s="56" t="s">
        <v>37</v>
      </c>
      <c r="F42" s="56" t="s">
        <v>21</v>
      </c>
      <c r="G42" s="57" t="n">
        <v>42546</v>
      </c>
      <c r="H42" s="52" t="n">
        <f aca="false">IF(G42="","",DATEDIF(G42,PARAMETRES!$C$13,"y"))</f>
        <v>10</v>
      </c>
      <c r="I42" s="56" t="s">
        <v>60</v>
      </c>
      <c r="J42" s="52" t="s">
        <v>68</v>
      </c>
      <c r="K42" s="52" t="s">
        <v>150</v>
      </c>
      <c r="L42" s="56" t="s">
        <v>39</v>
      </c>
      <c r="M42" s="52" t="s">
        <v>367</v>
      </c>
      <c r="N42" s="57" t="n">
        <v>42577</v>
      </c>
      <c r="O42" s="52" t="s">
        <v>150</v>
      </c>
      <c r="P42" s="56" t="s">
        <v>46</v>
      </c>
      <c r="Q42" s="56" t="s">
        <v>40</v>
      </c>
      <c r="R42" s="55" t="s">
        <v>368</v>
      </c>
      <c r="S42" s="52" t="s">
        <v>225</v>
      </c>
      <c r="T42" s="52" t="s">
        <v>68</v>
      </c>
      <c r="U42" s="52" t="s">
        <v>369</v>
      </c>
      <c r="V42" s="55" t="s">
        <v>370</v>
      </c>
      <c r="W42" s="52" t="s">
        <v>156</v>
      </c>
      <c r="X42" s="52" t="s">
        <v>68</v>
      </c>
      <c r="Y42" s="52" t="s">
        <v>371</v>
      </c>
      <c r="Z42" s="55" t="s">
        <v>372</v>
      </c>
      <c r="AA42" s="52" t="s">
        <v>225</v>
      </c>
      <c r="AB42" s="52" t="s">
        <v>68</v>
      </c>
      <c r="AC42" s="52" t="s">
        <v>373</v>
      </c>
      <c r="AD42" s="56" t="s">
        <v>46</v>
      </c>
      <c r="AE42" s="56" t="s">
        <v>41</v>
      </c>
      <c r="AF42" s="55"/>
      <c r="AG42" s="51" t="str">
        <f aca="false">IF(F42="","",F42&amp;"-"&amp;COUNTIF($F$10:F42,F42))</f>
        <v>CE2-1</v>
      </c>
      <c r="AH42" s="51" t="str">
        <f aca="false">IF(F42="","",IF(F42="CM2","CM2-"&amp;COUNTIF($F$10:F42,"CM2"),"P-"&amp;COUNTIFS($F$10:F42,"&lt;&gt;CM2",$F$10:F42,"&lt;&gt;")))</f>
        <v>P-33</v>
      </c>
      <c r="AI42" s="51" t="str">
        <f aca="false">IF(F42="","",IF(LEFT(F42,2)="CP","CP-"&amp;COUNTIF($F$10:F42,"CP*"),IF(F42="CE1","CE1-"&amp;COUNTIF($F$10:F42,"CE1"),IF(F42="CM2","CM2-"&amp;COUNTIF($F$10:F42,"CM2"),"CEM-"&amp;(COUNTIF($F$10:F42,"CE2")+COUNTIF($F$10:F42,"CM1"))))))</f>
        <v>CEM-1</v>
      </c>
    </row>
    <row r="43" customFormat="false" ht="15" hidden="false" customHeight="false" outlineLevel="0" collapsed="false">
      <c r="A43" s="52" t="n">
        <f aca="false">IF(D43="","",ROW()-9)</f>
        <v>34</v>
      </c>
      <c r="B43" s="53" t="str">
        <f aca="false">IF(F43="","",F43&amp;"-"&amp;TEXT(COUNTIF($F$10:F43,F43),"000")&amp;"-"&amp;RIGHT(LEFT(PARAMETRES!$C$9,4),2))</f>
        <v>CE2-002-26</v>
      </c>
      <c r="C43" s="54"/>
      <c r="D43" s="55" t="s">
        <v>374</v>
      </c>
      <c r="E43" s="56" t="s">
        <v>44</v>
      </c>
      <c r="F43" s="56" t="s">
        <v>21</v>
      </c>
      <c r="G43" s="57" t="n">
        <v>43092</v>
      </c>
      <c r="H43" s="52" t="n">
        <f aca="false">IF(G43="","",DATEDIF(G43,PARAMETRES!$C$13,"y"))</f>
        <v>9</v>
      </c>
      <c r="I43" s="56" t="s">
        <v>38</v>
      </c>
      <c r="J43" s="52" t="s">
        <v>68</v>
      </c>
      <c r="K43" s="52" t="s">
        <v>150</v>
      </c>
      <c r="L43" s="56" t="s">
        <v>46</v>
      </c>
      <c r="M43" s="52"/>
      <c r="N43" s="57"/>
      <c r="O43" s="52"/>
      <c r="P43" s="56" t="s">
        <v>46</v>
      </c>
      <c r="Q43" s="56" t="s">
        <v>40</v>
      </c>
      <c r="R43" s="55" t="s">
        <v>224</v>
      </c>
      <c r="S43" s="52" t="s">
        <v>192</v>
      </c>
      <c r="T43" s="52" t="s">
        <v>68</v>
      </c>
      <c r="U43" s="52" t="s">
        <v>375</v>
      </c>
      <c r="V43" s="55" t="s">
        <v>376</v>
      </c>
      <c r="W43" s="52" t="s">
        <v>200</v>
      </c>
      <c r="X43" s="52" t="s">
        <v>68</v>
      </c>
      <c r="Y43" s="52" t="s">
        <v>377</v>
      </c>
      <c r="Z43" s="55"/>
      <c r="AA43" s="52"/>
      <c r="AB43" s="52"/>
      <c r="AC43" s="52"/>
      <c r="AD43" s="56" t="s">
        <v>46</v>
      </c>
      <c r="AE43" s="56" t="s">
        <v>41</v>
      </c>
      <c r="AF43" s="55"/>
      <c r="AG43" s="51" t="str">
        <f aca="false">IF(F43="","",F43&amp;"-"&amp;COUNTIF($F$10:F43,F43))</f>
        <v>CE2-2</v>
      </c>
      <c r="AH43" s="51" t="str">
        <f aca="false">IF(F43="","",IF(F43="CM2","CM2-"&amp;COUNTIF($F$10:F43,"CM2"),"P-"&amp;COUNTIFS($F$10:F43,"&lt;&gt;CM2",$F$10:F43,"&lt;&gt;")))</f>
        <v>P-34</v>
      </c>
      <c r="AI43" s="51" t="str">
        <f aca="false">IF(F43="","",IF(LEFT(F43,2)="CP","CP-"&amp;COUNTIF($F$10:F43,"CP*"),IF(F43="CE1","CE1-"&amp;COUNTIF($F$10:F43,"CE1"),IF(F43="CM2","CM2-"&amp;COUNTIF($F$10:F43,"CM2"),"CEM-"&amp;(COUNTIF($F$10:F43,"CE2")+COUNTIF($F$10:F43,"CM1"))))))</f>
        <v>CEM-2</v>
      </c>
    </row>
    <row r="44" customFormat="false" ht="15" hidden="false" customHeight="false" outlineLevel="0" collapsed="false">
      <c r="A44" s="52" t="n">
        <f aca="false">IF(D44="","",ROW()-9)</f>
        <v>35</v>
      </c>
      <c r="B44" s="53" t="str">
        <f aca="false">IF(F44="","",F44&amp;"-"&amp;TEXT(COUNTIF($F$10:F44,F44),"000")&amp;"-"&amp;RIGHT(LEFT(PARAMETRES!$C$9,4),2))</f>
        <v>CE2-003-26</v>
      </c>
      <c r="C44" s="54"/>
      <c r="D44" s="55" t="s">
        <v>378</v>
      </c>
      <c r="E44" s="56" t="s">
        <v>44</v>
      </c>
      <c r="F44" s="56" t="s">
        <v>21</v>
      </c>
      <c r="G44" s="57" t="n">
        <v>42901</v>
      </c>
      <c r="H44" s="52" t="n">
        <f aca="false">IF(G44="","",DATEDIF(G44,PARAMETRES!$C$13,"y"))</f>
        <v>9</v>
      </c>
      <c r="I44" s="56" t="s">
        <v>38</v>
      </c>
      <c r="J44" s="52" t="s">
        <v>68</v>
      </c>
      <c r="K44" s="52" t="s">
        <v>150</v>
      </c>
      <c r="L44" s="56" t="s">
        <v>39</v>
      </c>
      <c r="M44" s="52" t="s">
        <v>379</v>
      </c>
      <c r="N44" s="57" t="n">
        <v>42926</v>
      </c>
      <c r="O44" s="52" t="s">
        <v>150</v>
      </c>
      <c r="P44" s="56" t="s">
        <v>39</v>
      </c>
      <c r="Q44" s="56" t="s">
        <v>47</v>
      </c>
      <c r="R44" s="55" t="s">
        <v>380</v>
      </c>
      <c r="S44" s="52" t="s">
        <v>183</v>
      </c>
      <c r="T44" s="52" t="s">
        <v>68</v>
      </c>
      <c r="U44" s="52" t="s">
        <v>381</v>
      </c>
      <c r="V44" s="55" t="s">
        <v>382</v>
      </c>
      <c r="W44" s="52" t="s">
        <v>164</v>
      </c>
      <c r="X44" s="52" t="s">
        <v>68</v>
      </c>
      <c r="Y44" s="52" t="s">
        <v>383</v>
      </c>
      <c r="Z44" s="55"/>
      <c r="AA44" s="52"/>
      <c r="AB44" s="52"/>
      <c r="AC44" s="52"/>
      <c r="AD44" s="56" t="s">
        <v>46</v>
      </c>
      <c r="AE44" s="56" t="s">
        <v>41</v>
      </c>
      <c r="AF44" s="55"/>
      <c r="AG44" s="51" t="str">
        <f aca="false">IF(F44="","",F44&amp;"-"&amp;COUNTIF($F$10:F44,F44))</f>
        <v>CE2-3</v>
      </c>
      <c r="AH44" s="51" t="str">
        <f aca="false">IF(F44="","",IF(F44="CM2","CM2-"&amp;COUNTIF($F$10:F44,"CM2"),"P-"&amp;COUNTIFS($F$10:F44,"&lt;&gt;CM2",$F$10:F44,"&lt;&gt;")))</f>
        <v>P-35</v>
      </c>
      <c r="AI44" s="51" t="str">
        <f aca="false">IF(F44="","",IF(LEFT(F44,2)="CP","CP-"&amp;COUNTIF($F$10:F44,"CP*"),IF(F44="CE1","CE1-"&amp;COUNTIF($F$10:F44,"CE1"),IF(F44="CM2","CM2-"&amp;COUNTIF($F$10:F44,"CM2"),"CEM-"&amp;(COUNTIF($F$10:F44,"CE2")+COUNTIF($F$10:F44,"CM1"))))))</f>
        <v>CEM-3</v>
      </c>
    </row>
    <row r="45" customFormat="false" ht="15" hidden="false" customHeight="false" outlineLevel="0" collapsed="false">
      <c r="A45" s="52" t="n">
        <f aca="false">IF(D45="","",ROW()-9)</f>
        <v>36</v>
      </c>
      <c r="B45" s="53" t="str">
        <f aca="false">IF(F45="","",F45&amp;"-"&amp;TEXT(COUNTIF($F$10:F45,F45),"000")&amp;"-"&amp;RIGHT(LEFT(PARAMETRES!$C$9,4),2))</f>
        <v>CE2-004-26</v>
      </c>
      <c r="C45" s="54"/>
      <c r="D45" s="55" t="s">
        <v>384</v>
      </c>
      <c r="E45" s="56" t="s">
        <v>44</v>
      </c>
      <c r="F45" s="56" t="s">
        <v>21</v>
      </c>
      <c r="G45" s="57" t="n">
        <v>42931</v>
      </c>
      <c r="H45" s="52" t="n">
        <f aca="false">IF(G45="","",DATEDIF(G45,PARAMETRES!$C$13,"y"))</f>
        <v>9</v>
      </c>
      <c r="I45" s="56" t="s">
        <v>38</v>
      </c>
      <c r="J45" s="52" t="s">
        <v>68</v>
      </c>
      <c r="K45" s="52" t="s">
        <v>150</v>
      </c>
      <c r="L45" s="56" t="s">
        <v>39</v>
      </c>
      <c r="M45" s="52" t="s">
        <v>385</v>
      </c>
      <c r="N45" s="57" t="n">
        <v>42959</v>
      </c>
      <c r="O45" s="52" t="s">
        <v>150</v>
      </c>
      <c r="P45" s="56" t="s">
        <v>46</v>
      </c>
      <c r="Q45" s="56" t="s">
        <v>40</v>
      </c>
      <c r="R45" s="55" t="s">
        <v>386</v>
      </c>
      <c r="S45" s="52" t="s">
        <v>254</v>
      </c>
      <c r="T45" s="52" t="s">
        <v>68</v>
      </c>
      <c r="U45" s="52" t="s">
        <v>387</v>
      </c>
      <c r="V45" s="55" t="s">
        <v>388</v>
      </c>
      <c r="W45" s="52" t="s">
        <v>220</v>
      </c>
      <c r="X45" s="52" t="s">
        <v>68</v>
      </c>
      <c r="Y45" s="52" t="s">
        <v>389</v>
      </c>
      <c r="Z45" s="55"/>
      <c r="AA45" s="52"/>
      <c r="AB45" s="52"/>
      <c r="AC45" s="52"/>
      <c r="AD45" s="56" t="s">
        <v>46</v>
      </c>
      <c r="AE45" s="56" t="s">
        <v>41</v>
      </c>
      <c r="AF45" s="55"/>
      <c r="AG45" s="51" t="str">
        <f aca="false">IF(F45="","",F45&amp;"-"&amp;COUNTIF($F$10:F45,F45))</f>
        <v>CE2-4</v>
      </c>
      <c r="AH45" s="51" t="str">
        <f aca="false">IF(F45="","",IF(F45="CM2","CM2-"&amp;COUNTIF($F$10:F45,"CM2"),"P-"&amp;COUNTIFS($F$10:F45,"&lt;&gt;CM2",$F$10:F45,"&lt;&gt;")))</f>
        <v>P-36</v>
      </c>
      <c r="AI45" s="51" t="str">
        <f aca="false">IF(F45="","",IF(LEFT(F45,2)="CP","CP-"&amp;COUNTIF($F$10:F45,"CP*"),IF(F45="CE1","CE1-"&amp;COUNTIF($F$10:F45,"CE1"),IF(F45="CM2","CM2-"&amp;COUNTIF($F$10:F45,"CM2"),"CEM-"&amp;(COUNTIF($F$10:F45,"CE2")+COUNTIF($F$10:F45,"CM1"))))))</f>
        <v>CEM-4</v>
      </c>
    </row>
    <row r="46" customFormat="false" ht="15" hidden="false" customHeight="false" outlineLevel="0" collapsed="false">
      <c r="A46" s="52" t="n">
        <f aca="false">IF(D46="","",ROW()-9)</f>
        <v>37</v>
      </c>
      <c r="B46" s="53" t="str">
        <f aca="false">IF(F46="","",F46&amp;"-"&amp;TEXT(COUNTIF($F$10:F46,F46),"000")&amp;"-"&amp;RIGHT(LEFT(PARAMETRES!$C$9,4),2))</f>
        <v>CE2-005-26</v>
      </c>
      <c r="C46" s="54"/>
      <c r="D46" s="55" t="s">
        <v>390</v>
      </c>
      <c r="E46" s="56" t="s">
        <v>37</v>
      </c>
      <c r="F46" s="56" t="s">
        <v>21</v>
      </c>
      <c r="G46" s="57" t="n">
        <v>42842</v>
      </c>
      <c r="H46" s="52" t="n">
        <f aca="false">IF(G46="","",DATEDIF(G46,PARAMETRES!$C$13,"y"))</f>
        <v>9</v>
      </c>
      <c r="I46" s="56" t="s">
        <v>38</v>
      </c>
      <c r="J46" s="52" t="s">
        <v>68</v>
      </c>
      <c r="K46" s="52" t="s">
        <v>150</v>
      </c>
      <c r="L46" s="56" t="s">
        <v>39</v>
      </c>
      <c r="M46" s="52" t="s">
        <v>391</v>
      </c>
      <c r="N46" s="57" t="n">
        <v>42861</v>
      </c>
      <c r="O46" s="52" t="s">
        <v>150</v>
      </c>
      <c r="P46" s="56" t="s">
        <v>39</v>
      </c>
      <c r="Q46" s="56" t="s">
        <v>52</v>
      </c>
      <c r="R46" s="55" t="s">
        <v>392</v>
      </c>
      <c r="S46" s="52" t="s">
        <v>153</v>
      </c>
      <c r="T46" s="52" t="s">
        <v>68</v>
      </c>
      <c r="U46" s="52" t="s">
        <v>393</v>
      </c>
      <c r="V46" s="55" t="s">
        <v>394</v>
      </c>
      <c r="W46" s="52" t="s">
        <v>220</v>
      </c>
      <c r="X46" s="52" t="s">
        <v>68</v>
      </c>
      <c r="Y46" s="52" t="s">
        <v>395</v>
      </c>
      <c r="Z46" s="55"/>
      <c r="AA46" s="52"/>
      <c r="AB46" s="52"/>
      <c r="AC46" s="52"/>
      <c r="AD46" s="56" t="s">
        <v>39</v>
      </c>
      <c r="AE46" s="56" t="s">
        <v>48</v>
      </c>
      <c r="AF46" s="55" t="s">
        <v>259</v>
      </c>
      <c r="AG46" s="51" t="str">
        <f aca="false">IF(F46="","",F46&amp;"-"&amp;COUNTIF($F$10:F46,F46))</f>
        <v>CE2-5</v>
      </c>
      <c r="AH46" s="51" t="str">
        <f aca="false">IF(F46="","",IF(F46="CM2","CM2-"&amp;COUNTIF($F$10:F46,"CM2"),"P-"&amp;COUNTIFS($F$10:F46,"&lt;&gt;CM2",$F$10:F46,"&lt;&gt;")))</f>
        <v>P-37</v>
      </c>
      <c r="AI46" s="51" t="str">
        <f aca="false">IF(F46="","",IF(LEFT(F46,2)="CP","CP-"&amp;COUNTIF($F$10:F46,"CP*"),IF(F46="CE1","CE1-"&amp;COUNTIF($F$10:F46,"CE1"),IF(F46="CM2","CM2-"&amp;COUNTIF($F$10:F46,"CM2"),"CEM-"&amp;(COUNTIF($F$10:F46,"CE2")+COUNTIF($F$10:F46,"CM1"))))))</f>
        <v>CEM-5</v>
      </c>
    </row>
    <row r="47" customFormat="false" ht="15" hidden="false" customHeight="false" outlineLevel="0" collapsed="false">
      <c r="A47" s="52" t="n">
        <f aca="false">IF(D47="","",ROW()-9)</f>
        <v>38</v>
      </c>
      <c r="B47" s="53" t="str">
        <f aca="false">IF(F47="","",F47&amp;"-"&amp;TEXT(COUNTIF($F$10:F47,F47),"000")&amp;"-"&amp;RIGHT(LEFT(PARAMETRES!$C$9,4),2))</f>
        <v>CE2-006-26</v>
      </c>
      <c r="C47" s="54"/>
      <c r="D47" s="55" t="s">
        <v>396</v>
      </c>
      <c r="E47" s="56" t="s">
        <v>44</v>
      </c>
      <c r="F47" s="56" t="s">
        <v>21</v>
      </c>
      <c r="G47" s="57" t="n">
        <v>42008</v>
      </c>
      <c r="H47" s="52" t="n">
        <f aca="false">IF(G47="","",DATEDIF(G47,PARAMETRES!$C$13,"y"))</f>
        <v>11</v>
      </c>
      <c r="I47" s="56" t="s">
        <v>38</v>
      </c>
      <c r="J47" s="52" t="s">
        <v>68</v>
      </c>
      <c r="K47" s="52" t="s">
        <v>150</v>
      </c>
      <c r="L47" s="56" t="s">
        <v>39</v>
      </c>
      <c r="M47" s="52" t="s">
        <v>397</v>
      </c>
      <c r="N47" s="57" t="n">
        <v>42026</v>
      </c>
      <c r="O47" s="52" t="s">
        <v>150</v>
      </c>
      <c r="P47" s="56" t="s">
        <v>46</v>
      </c>
      <c r="Q47" s="56" t="s">
        <v>40</v>
      </c>
      <c r="R47" s="55" t="s">
        <v>398</v>
      </c>
      <c r="S47" s="52" t="s">
        <v>161</v>
      </c>
      <c r="T47" s="52" t="s">
        <v>68</v>
      </c>
      <c r="U47" s="52" t="s">
        <v>399</v>
      </c>
      <c r="V47" s="55" t="s">
        <v>400</v>
      </c>
      <c r="W47" s="52" t="s">
        <v>220</v>
      </c>
      <c r="X47" s="52" t="s">
        <v>68</v>
      </c>
      <c r="Y47" s="52" t="s">
        <v>401</v>
      </c>
      <c r="Z47" s="55"/>
      <c r="AA47" s="52"/>
      <c r="AB47" s="52"/>
      <c r="AC47" s="52"/>
      <c r="AD47" s="56" t="s">
        <v>46</v>
      </c>
      <c r="AE47" s="56" t="s">
        <v>41</v>
      </c>
      <c r="AF47" s="55"/>
      <c r="AG47" s="51" t="str">
        <f aca="false">IF(F47="","",F47&amp;"-"&amp;COUNTIF($F$10:F47,F47))</f>
        <v>CE2-6</v>
      </c>
      <c r="AH47" s="51" t="str">
        <f aca="false">IF(F47="","",IF(F47="CM2","CM2-"&amp;COUNTIF($F$10:F47,"CM2"),"P-"&amp;COUNTIFS($F$10:F47,"&lt;&gt;CM2",$F$10:F47,"&lt;&gt;")))</f>
        <v>P-38</v>
      </c>
      <c r="AI47" s="51" t="str">
        <f aca="false">IF(F47="","",IF(LEFT(F47,2)="CP","CP-"&amp;COUNTIF($F$10:F47,"CP*"),IF(F47="CE1","CE1-"&amp;COUNTIF($F$10:F47,"CE1"),IF(F47="CM2","CM2-"&amp;COUNTIF($F$10:F47,"CM2"),"CEM-"&amp;(COUNTIF($F$10:F47,"CE2")+COUNTIF($F$10:F47,"CM1"))))))</f>
        <v>CEM-6</v>
      </c>
    </row>
    <row r="48" customFormat="false" ht="15" hidden="false" customHeight="false" outlineLevel="0" collapsed="false">
      <c r="A48" s="52" t="n">
        <f aca="false">IF(D48="","",ROW()-9)</f>
        <v>39</v>
      </c>
      <c r="B48" s="53" t="str">
        <f aca="false">IF(F48="","",F48&amp;"-"&amp;TEXT(COUNTIF($F$10:F48,F48),"000")&amp;"-"&amp;RIGHT(LEFT(PARAMETRES!$C$9,4),2))</f>
        <v>CE2-007-26</v>
      </c>
      <c r="C48" s="54"/>
      <c r="D48" s="55" t="s">
        <v>402</v>
      </c>
      <c r="E48" s="56" t="s">
        <v>37</v>
      </c>
      <c r="F48" s="56" t="s">
        <v>21</v>
      </c>
      <c r="G48" s="57" t="n">
        <v>42920</v>
      </c>
      <c r="H48" s="52" t="n">
        <f aca="false">IF(G48="","",DATEDIF(G48,PARAMETRES!$C$13,"y"))</f>
        <v>9</v>
      </c>
      <c r="I48" s="56" t="s">
        <v>38</v>
      </c>
      <c r="J48" s="52" t="s">
        <v>68</v>
      </c>
      <c r="K48" s="52" t="s">
        <v>150</v>
      </c>
      <c r="L48" s="56" t="s">
        <v>39</v>
      </c>
      <c r="M48" s="52" t="s">
        <v>403</v>
      </c>
      <c r="N48" s="57" t="n">
        <v>42928</v>
      </c>
      <c r="O48" s="52" t="s">
        <v>150</v>
      </c>
      <c r="P48" s="56" t="s">
        <v>46</v>
      </c>
      <c r="Q48" s="56" t="s">
        <v>40</v>
      </c>
      <c r="R48" s="55" t="s">
        <v>404</v>
      </c>
      <c r="S48" s="52" t="s">
        <v>254</v>
      </c>
      <c r="T48" s="52" t="s">
        <v>68</v>
      </c>
      <c r="U48" s="52" t="s">
        <v>405</v>
      </c>
      <c r="V48" s="55" t="s">
        <v>406</v>
      </c>
      <c r="W48" s="52" t="s">
        <v>156</v>
      </c>
      <c r="X48" s="52" t="s">
        <v>68</v>
      </c>
      <c r="Y48" s="52" t="s">
        <v>407</v>
      </c>
      <c r="Z48" s="55" t="s">
        <v>408</v>
      </c>
      <c r="AA48" s="52" t="s">
        <v>217</v>
      </c>
      <c r="AB48" s="52" t="s">
        <v>68</v>
      </c>
      <c r="AC48" s="52" t="s">
        <v>409</v>
      </c>
      <c r="AD48" s="56" t="s">
        <v>46</v>
      </c>
      <c r="AE48" s="56" t="s">
        <v>41</v>
      </c>
      <c r="AF48" s="55"/>
      <c r="AG48" s="51" t="str">
        <f aca="false">IF(F48="","",F48&amp;"-"&amp;COUNTIF($F$10:F48,F48))</f>
        <v>CE2-7</v>
      </c>
      <c r="AH48" s="51" t="str">
        <f aca="false">IF(F48="","",IF(F48="CM2","CM2-"&amp;COUNTIF($F$10:F48,"CM2"),"P-"&amp;COUNTIFS($F$10:F48,"&lt;&gt;CM2",$F$10:F48,"&lt;&gt;")))</f>
        <v>P-39</v>
      </c>
      <c r="AI48" s="51" t="str">
        <f aca="false">IF(F48="","",IF(LEFT(F48,2)="CP","CP-"&amp;COUNTIF($F$10:F48,"CP*"),IF(F48="CE1","CE1-"&amp;COUNTIF($F$10:F48,"CE1"),IF(F48="CM2","CM2-"&amp;COUNTIF($F$10:F48,"CM2"),"CEM-"&amp;(COUNTIF($F$10:F48,"CE2")+COUNTIF($F$10:F48,"CM1"))))))</f>
        <v>CEM-7</v>
      </c>
    </row>
    <row r="49" customFormat="false" ht="22.35" hidden="false" customHeight="false" outlineLevel="0" collapsed="false">
      <c r="A49" s="52" t="n">
        <f aca="false">IF(D49="","",ROW()-9)</f>
        <v>40</v>
      </c>
      <c r="B49" s="53" t="str">
        <f aca="false">IF(F49="","",F49&amp;"-"&amp;TEXT(COUNTIF($F$10:F49,F49),"000")&amp;"-"&amp;RIGHT(LEFT(PARAMETRES!$C$9,4),2))</f>
        <v>CE2-008-26</v>
      </c>
      <c r="C49" s="54"/>
      <c r="D49" s="55" t="s">
        <v>410</v>
      </c>
      <c r="E49" s="56" t="s">
        <v>44</v>
      </c>
      <c r="F49" s="56" t="s">
        <v>21</v>
      </c>
      <c r="G49" s="57" t="n">
        <v>42655</v>
      </c>
      <c r="H49" s="52" t="n">
        <f aca="false">IF(G49="","",DATEDIF(G49,PARAMETRES!$C$13,"y"))</f>
        <v>10</v>
      </c>
      <c r="I49" s="56" t="s">
        <v>38</v>
      </c>
      <c r="J49" s="52" t="s">
        <v>68</v>
      </c>
      <c r="K49" s="52" t="s">
        <v>150</v>
      </c>
      <c r="L49" s="56" t="s">
        <v>39</v>
      </c>
      <c r="M49" s="52" t="s">
        <v>411</v>
      </c>
      <c r="N49" s="57" t="n">
        <v>42682</v>
      </c>
      <c r="O49" s="52" t="s">
        <v>150</v>
      </c>
      <c r="P49" s="56" t="s">
        <v>39</v>
      </c>
      <c r="Q49" s="56" t="s">
        <v>57</v>
      </c>
      <c r="R49" s="55" t="s">
        <v>279</v>
      </c>
      <c r="S49" s="52" t="s">
        <v>254</v>
      </c>
      <c r="T49" s="52" t="s">
        <v>68</v>
      </c>
      <c r="U49" s="52" t="s">
        <v>412</v>
      </c>
      <c r="V49" s="55" t="s">
        <v>413</v>
      </c>
      <c r="W49" s="52" t="s">
        <v>156</v>
      </c>
      <c r="X49" s="52" t="s">
        <v>68</v>
      </c>
      <c r="Y49" s="52" t="s">
        <v>414</v>
      </c>
      <c r="Z49" s="55" t="s">
        <v>415</v>
      </c>
      <c r="AA49" s="52" t="s">
        <v>183</v>
      </c>
      <c r="AB49" s="52" t="s">
        <v>68</v>
      </c>
      <c r="AC49" s="52" t="s">
        <v>416</v>
      </c>
      <c r="AD49" s="56" t="s">
        <v>46</v>
      </c>
      <c r="AE49" s="56" t="s">
        <v>41</v>
      </c>
      <c r="AF49" s="55"/>
      <c r="AG49" s="51" t="str">
        <f aca="false">IF(F49="","",F49&amp;"-"&amp;COUNTIF($F$10:F49,F49))</f>
        <v>CE2-8</v>
      </c>
      <c r="AH49" s="51" t="str">
        <f aca="false">IF(F49="","",IF(F49="CM2","CM2-"&amp;COUNTIF($F$10:F49,"CM2"),"P-"&amp;COUNTIFS($F$10:F49,"&lt;&gt;CM2",$F$10:F49,"&lt;&gt;")))</f>
        <v>P-40</v>
      </c>
      <c r="AI49" s="51" t="str">
        <f aca="false">IF(F49="","",IF(LEFT(F49,2)="CP","CP-"&amp;COUNTIF($F$10:F49,"CP*"),IF(F49="CE1","CE1-"&amp;COUNTIF($F$10:F49,"CE1"),IF(F49="CM2","CM2-"&amp;COUNTIF($F$10:F49,"CM2"),"CEM-"&amp;(COUNTIF($F$10:F49,"CE2")+COUNTIF($F$10:F49,"CM1"))))))</f>
        <v>CEM-8</v>
      </c>
    </row>
    <row r="50" customFormat="false" ht="15" hidden="false" customHeight="false" outlineLevel="0" collapsed="false">
      <c r="A50" s="52" t="n">
        <f aca="false">IF(D50="","",ROW()-9)</f>
        <v>41</v>
      </c>
      <c r="B50" s="53" t="str">
        <f aca="false">IF(F50="","",F50&amp;"-"&amp;TEXT(COUNTIF($F$10:F50,F50),"000")&amp;"-"&amp;RIGHT(LEFT(PARAMETRES!$C$9,4),2))</f>
        <v>CE2-009-26</v>
      </c>
      <c r="C50" s="54"/>
      <c r="D50" s="55" t="s">
        <v>417</v>
      </c>
      <c r="E50" s="56" t="s">
        <v>44</v>
      </c>
      <c r="F50" s="56" t="s">
        <v>21</v>
      </c>
      <c r="G50" s="57" t="n">
        <v>42084</v>
      </c>
      <c r="H50" s="52" t="n">
        <f aca="false">IF(G50="","",DATEDIF(G50,PARAMETRES!$C$13,"y"))</f>
        <v>11</v>
      </c>
      <c r="I50" s="56" t="s">
        <v>38</v>
      </c>
      <c r="J50" s="52" t="s">
        <v>68</v>
      </c>
      <c r="K50" s="52" t="s">
        <v>150</v>
      </c>
      <c r="L50" s="56" t="s">
        <v>39</v>
      </c>
      <c r="M50" s="52" t="s">
        <v>418</v>
      </c>
      <c r="N50" s="57" t="n">
        <v>42099</v>
      </c>
      <c r="O50" s="52" t="s">
        <v>150</v>
      </c>
      <c r="P50" s="56" t="s">
        <v>46</v>
      </c>
      <c r="Q50" s="56" t="s">
        <v>40</v>
      </c>
      <c r="R50" s="55" t="s">
        <v>419</v>
      </c>
      <c r="S50" s="52" t="s">
        <v>217</v>
      </c>
      <c r="T50" s="52" t="s">
        <v>68</v>
      </c>
      <c r="U50" s="52" t="s">
        <v>420</v>
      </c>
      <c r="V50" s="55" t="s">
        <v>421</v>
      </c>
      <c r="W50" s="52" t="s">
        <v>172</v>
      </c>
      <c r="X50" s="52" t="s">
        <v>68</v>
      </c>
      <c r="Y50" s="52" t="s">
        <v>422</v>
      </c>
      <c r="Z50" s="55"/>
      <c r="AA50" s="52"/>
      <c r="AB50" s="52"/>
      <c r="AC50" s="52"/>
      <c r="AD50" s="56" t="s">
        <v>46</v>
      </c>
      <c r="AE50" s="56" t="s">
        <v>41</v>
      </c>
      <c r="AF50" s="55"/>
      <c r="AG50" s="51" t="str">
        <f aca="false">IF(F50="","",F50&amp;"-"&amp;COUNTIF($F$10:F50,F50))</f>
        <v>CE2-9</v>
      </c>
      <c r="AH50" s="51" t="str">
        <f aca="false">IF(F50="","",IF(F50="CM2","CM2-"&amp;COUNTIF($F$10:F50,"CM2"),"P-"&amp;COUNTIFS($F$10:F50,"&lt;&gt;CM2",$F$10:F50,"&lt;&gt;")))</f>
        <v>P-41</v>
      </c>
      <c r="AI50" s="51" t="str">
        <f aca="false">IF(F50="","",IF(LEFT(F50,2)="CP","CP-"&amp;COUNTIF($F$10:F50,"CP*"),IF(F50="CE1","CE1-"&amp;COUNTIF($F$10:F50,"CE1"),IF(F50="CM2","CM2-"&amp;COUNTIF($F$10:F50,"CM2"),"CEM-"&amp;(COUNTIF($F$10:F50,"CE2")+COUNTIF($F$10:F50,"CM1"))))))</f>
        <v>CEM-9</v>
      </c>
    </row>
    <row r="51" customFormat="false" ht="15" hidden="false" customHeight="false" outlineLevel="0" collapsed="false">
      <c r="A51" s="52" t="n">
        <f aca="false">IF(D51="","",ROW()-9)</f>
        <v>42</v>
      </c>
      <c r="B51" s="53" t="str">
        <f aca="false">IF(F51="","",F51&amp;"-"&amp;TEXT(COUNTIF($F$10:F51,F51),"000")&amp;"-"&amp;RIGHT(LEFT(PARAMETRES!$C$9,4),2))</f>
        <v>CE2-010-26</v>
      </c>
      <c r="C51" s="54"/>
      <c r="D51" s="55" t="s">
        <v>423</v>
      </c>
      <c r="E51" s="56" t="s">
        <v>37</v>
      </c>
      <c r="F51" s="56" t="s">
        <v>21</v>
      </c>
      <c r="G51" s="57" t="n">
        <v>42936</v>
      </c>
      <c r="H51" s="52" t="n">
        <f aca="false">IF(G51="","",DATEDIF(G51,PARAMETRES!$C$13,"y"))</f>
        <v>9</v>
      </c>
      <c r="I51" s="56" t="s">
        <v>38</v>
      </c>
      <c r="J51" s="52" t="s">
        <v>68</v>
      </c>
      <c r="K51" s="52" t="s">
        <v>150</v>
      </c>
      <c r="L51" s="56" t="s">
        <v>39</v>
      </c>
      <c r="M51" s="52" t="s">
        <v>424</v>
      </c>
      <c r="N51" s="57" t="n">
        <v>42969</v>
      </c>
      <c r="O51" s="52" t="s">
        <v>150</v>
      </c>
      <c r="P51" s="56" t="s">
        <v>46</v>
      </c>
      <c r="Q51" s="56" t="s">
        <v>40</v>
      </c>
      <c r="R51" s="55" t="s">
        <v>425</v>
      </c>
      <c r="S51" s="52" t="s">
        <v>183</v>
      </c>
      <c r="T51" s="52" t="s">
        <v>68</v>
      </c>
      <c r="U51" s="52" t="s">
        <v>426</v>
      </c>
      <c r="V51" s="55" t="s">
        <v>427</v>
      </c>
      <c r="W51" s="52" t="s">
        <v>200</v>
      </c>
      <c r="X51" s="52" t="s">
        <v>68</v>
      </c>
      <c r="Y51" s="52" t="s">
        <v>428</v>
      </c>
      <c r="Z51" s="55"/>
      <c r="AA51" s="52"/>
      <c r="AB51" s="52"/>
      <c r="AC51" s="52"/>
      <c r="AD51" s="56" t="s">
        <v>46</v>
      </c>
      <c r="AE51" s="56" t="s">
        <v>41</v>
      </c>
      <c r="AF51" s="55"/>
      <c r="AG51" s="51" t="str">
        <f aca="false">IF(F51="","",F51&amp;"-"&amp;COUNTIF($F$10:F51,F51))</f>
        <v>CE2-10</v>
      </c>
      <c r="AH51" s="51" t="str">
        <f aca="false">IF(F51="","",IF(F51="CM2","CM2-"&amp;COUNTIF($F$10:F51,"CM2"),"P-"&amp;COUNTIFS($F$10:F51,"&lt;&gt;CM2",$F$10:F51,"&lt;&gt;")))</f>
        <v>P-42</v>
      </c>
      <c r="AI51" s="51" t="str">
        <f aca="false">IF(F51="","",IF(LEFT(F51,2)="CP","CP-"&amp;COUNTIF($F$10:F51,"CP*"),IF(F51="CE1","CE1-"&amp;COUNTIF($F$10:F51,"CE1"),IF(F51="CM2","CM2-"&amp;COUNTIF($F$10:F51,"CM2"),"CEM-"&amp;(COUNTIF($F$10:F51,"CE2")+COUNTIF($F$10:F51,"CM1"))))))</f>
        <v>CEM-10</v>
      </c>
    </row>
    <row r="52" customFormat="false" ht="15" hidden="false" customHeight="false" outlineLevel="0" collapsed="false">
      <c r="A52" s="52" t="n">
        <f aca="false">IF(D52="","",ROW()-9)</f>
        <v>43</v>
      </c>
      <c r="B52" s="53" t="str">
        <f aca="false">IF(F52="","",F52&amp;"-"&amp;TEXT(COUNTIF($F$10:F52,F52),"000")&amp;"-"&amp;RIGHT(LEFT(PARAMETRES!$C$9,4),2))</f>
        <v>CE2-011-26</v>
      </c>
      <c r="C52" s="54"/>
      <c r="D52" s="55" t="s">
        <v>429</v>
      </c>
      <c r="E52" s="56" t="s">
        <v>37</v>
      </c>
      <c r="F52" s="56" t="s">
        <v>21</v>
      </c>
      <c r="G52" s="57" t="n">
        <v>42806</v>
      </c>
      <c r="H52" s="52" t="n">
        <f aca="false">IF(G52="","",DATEDIF(G52,PARAMETRES!$C$13,"y"))</f>
        <v>9</v>
      </c>
      <c r="I52" s="56" t="s">
        <v>38</v>
      </c>
      <c r="J52" s="52" t="s">
        <v>68</v>
      </c>
      <c r="K52" s="52" t="s">
        <v>150</v>
      </c>
      <c r="L52" s="56" t="s">
        <v>39</v>
      </c>
      <c r="M52" s="52" t="s">
        <v>430</v>
      </c>
      <c r="N52" s="57" t="n">
        <v>42843</v>
      </c>
      <c r="O52" s="52" t="s">
        <v>150</v>
      </c>
      <c r="P52" s="56" t="s">
        <v>46</v>
      </c>
      <c r="Q52" s="56" t="s">
        <v>40</v>
      </c>
      <c r="R52" s="55" t="s">
        <v>431</v>
      </c>
      <c r="S52" s="52" t="s">
        <v>153</v>
      </c>
      <c r="T52" s="52" t="s">
        <v>68</v>
      </c>
      <c r="U52" s="52" t="s">
        <v>432</v>
      </c>
      <c r="V52" s="55" t="s">
        <v>433</v>
      </c>
      <c r="W52" s="52" t="s">
        <v>220</v>
      </c>
      <c r="X52" s="52" t="s">
        <v>68</v>
      </c>
      <c r="Y52" s="52" t="s">
        <v>434</v>
      </c>
      <c r="Z52" s="55"/>
      <c r="AA52" s="52"/>
      <c r="AB52" s="52"/>
      <c r="AC52" s="52"/>
      <c r="AD52" s="56" t="s">
        <v>39</v>
      </c>
      <c r="AE52" s="56" t="s">
        <v>41</v>
      </c>
      <c r="AF52" s="55"/>
      <c r="AG52" s="51" t="str">
        <f aca="false">IF(F52="","",F52&amp;"-"&amp;COUNTIF($F$10:F52,F52))</f>
        <v>CE2-11</v>
      </c>
      <c r="AH52" s="51" t="str">
        <f aca="false">IF(F52="","",IF(F52="CM2","CM2-"&amp;COUNTIF($F$10:F52,"CM2"),"P-"&amp;COUNTIFS($F$10:F52,"&lt;&gt;CM2",$F$10:F52,"&lt;&gt;")))</f>
        <v>P-43</v>
      </c>
      <c r="AI52" s="51" t="str">
        <f aca="false">IF(F52="","",IF(LEFT(F52,2)="CP","CP-"&amp;COUNTIF($F$10:F52,"CP*"),IF(F52="CE1","CE1-"&amp;COUNTIF($F$10:F52,"CE1"),IF(F52="CM2","CM2-"&amp;COUNTIF($F$10:F52,"CM2"),"CEM-"&amp;(COUNTIF($F$10:F52,"CE2")+COUNTIF($F$10:F52,"CM1"))))))</f>
        <v>CEM-11</v>
      </c>
    </row>
    <row r="53" customFormat="false" ht="15" hidden="false" customHeight="false" outlineLevel="0" collapsed="false">
      <c r="A53" s="52" t="n">
        <f aca="false">IF(D53="","",ROW()-9)</f>
        <v>44</v>
      </c>
      <c r="B53" s="53" t="str">
        <f aca="false">IF(F53="","",F53&amp;"-"&amp;TEXT(COUNTIF($F$10:F53,F53),"000")&amp;"-"&amp;RIGHT(LEFT(PARAMETRES!$C$9,4),2))</f>
        <v>CE2-012-26</v>
      </c>
      <c r="C53" s="54"/>
      <c r="D53" s="55" t="s">
        <v>435</v>
      </c>
      <c r="E53" s="56" t="s">
        <v>37</v>
      </c>
      <c r="F53" s="56" t="s">
        <v>21</v>
      </c>
      <c r="G53" s="57" t="n">
        <v>42816</v>
      </c>
      <c r="H53" s="52" t="n">
        <f aca="false">IF(G53="","",DATEDIF(G53,PARAMETRES!$C$13,"y"))</f>
        <v>9</v>
      </c>
      <c r="I53" s="56" t="s">
        <v>38</v>
      </c>
      <c r="J53" s="52" t="s">
        <v>68</v>
      </c>
      <c r="K53" s="52" t="s">
        <v>150</v>
      </c>
      <c r="L53" s="56" t="s">
        <v>46</v>
      </c>
      <c r="M53" s="52"/>
      <c r="N53" s="57"/>
      <c r="O53" s="52"/>
      <c r="P53" s="56" t="s">
        <v>39</v>
      </c>
      <c r="Q53" s="56" t="s">
        <v>52</v>
      </c>
      <c r="R53" s="55" t="s">
        <v>436</v>
      </c>
      <c r="S53" s="52" t="s">
        <v>254</v>
      </c>
      <c r="T53" s="52" t="s">
        <v>68</v>
      </c>
      <c r="U53" s="52" t="s">
        <v>437</v>
      </c>
      <c r="V53" s="55" t="s">
        <v>438</v>
      </c>
      <c r="W53" s="52" t="s">
        <v>249</v>
      </c>
      <c r="X53" s="52" t="s">
        <v>68</v>
      </c>
      <c r="Y53" s="52" t="s">
        <v>439</v>
      </c>
      <c r="Z53" s="55"/>
      <c r="AA53" s="52"/>
      <c r="AB53" s="52"/>
      <c r="AC53" s="52"/>
      <c r="AD53" s="56" t="s">
        <v>46</v>
      </c>
      <c r="AE53" s="56" t="s">
        <v>41</v>
      </c>
      <c r="AF53" s="55"/>
      <c r="AG53" s="51" t="str">
        <f aca="false">IF(F53="","",F53&amp;"-"&amp;COUNTIF($F$10:F53,F53))</f>
        <v>CE2-12</v>
      </c>
      <c r="AH53" s="51" t="str">
        <f aca="false">IF(F53="","",IF(F53="CM2","CM2-"&amp;COUNTIF($F$10:F53,"CM2"),"P-"&amp;COUNTIFS($F$10:F53,"&lt;&gt;CM2",$F$10:F53,"&lt;&gt;")))</f>
        <v>P-44</v>
      </c>
      <c r="AI53" s="51" t="str">
        <f aca="false">IF(F53="","",IF(LEFT(F53,2)="CP","CP-"&amp;COUNTIF($F$10:F53,"CP*"),IF(F53="CE1","CE1-"&amp;COUNTIF($F$10:F53,"CE1"),IF(F53="CM2","CM2-"&amp;COUNTIF($F$10:F53,"CM2"),"CEM-"&amp;(COUNTIF($F$10:F53,"CE2")+COUNTIF($F$10:F53,"CM1"))))))</f>
        <v>CEM-12</v>
      </c>
    </row>
    <row r="54" customFormat="false" ht="15" hidden="false" customHeight="false" outlineLevel="0" collapsed="false">
      <c r="A54" s="52" t="n">
        <f aca="false">IF(D54="","",ROW()-9)</f>
        <v>45</v>
      </c>
      <c r="B54" s="53" t="str">
        <f aca="false">IF(F54="","",F54&amp;"-"&amp;TEXT(COUNTIF($F$10:F54,F54),"000")&amp;"-"&amp;RIGHT(LEFT(PARAMETRES!$C$9,4),2))</f>
        <v>CM1-001-26</v>
      </c>
      <c r="C54" s="54"/>
      <c r="D54" s="55" t="s">
        <v>440</v>
      </c>
      <c r="E54" s="56" t="s">
        <v>37</v>
      </c>
      <c r="F54" s="56" t="s">
        <v>22</v>
      </c>
      <c r="G54" s="57" t="n">
        <v>42683</v>
      </c>
      <c r="H54" s="52" t="n">
        <f aca="false">IF(G54="","",DATEDIF(G54,PARAMETRES!$C$13,"y"))</f>
        <v>10</v>
      </c>
      <c r="I54" s="56" t="s">
        <v>38</v>
      </c>
      <c r="J54" s="52" t="s">
        <v>68</v>
      </c>
      <c r="K54" s="52" t="s">
        <v>150</v>
      </c>
      <c r="L54" s="56" t="s">
        <v>46</v>
      </c>
      <c r="M54" s="52"/>
      <c r="N54" s="57"/>
      <c r="O54" s="52"/>
      <c r="P54" s="56" t="s">
        <v>46</v>
      </c>
      <c r="Q54" s="56" t="s">
        <v>40</v>
      </c>
      <c r="R54" s="55" t="s">
        <v>441</v>
      </c>
      <c r="S54" s="52" t="s">
        <v>192</v>
      </c>
      <c r="T54" s="52" t="s">
        <v>68</v>
      </c>
      <c r="U54" s="52" t="s">
        <v>442</v>
      </c>
      <c r="V54" s="55" t="s">
        <v>443</v>
      </c>
      <c r="W54" s="52" t="s">
        <v>156</v>
      </c>
      <c r="X54" s="52" t="s">
        <v>68</v>
      </c>
      <c r="Y54" s="52" t="s">
        <v>444</v>
      </c>
      <c r="Z54" s="55"/>
      <c r="AA54" s="52"/>
      <c r="AB54" s="52"/>
      <c r="AC54" s="52"/>
      <c r="AD54" s="56" t="s">
        <v>39</v>
      </c>
      <c r="AE54" s="56" t="s">
        <v>41</v>
      </c>
      <c r="AF54" s="55"/>
      <c r="AG54" s="51" t="str">
        <f aca="false">IF(F54="","",F54&amp;"-"&amp;COUNTIF($F$10:F54,F54))</f>
        <v>CM1-1</v>
      </c>
      <c r="AH54" s="51" t="str">
        <f aca="false">IF(F54="","",IF(F54="CM2","CM2-"&amp;COUNTIF($F$10:F54,"CM2"),"P-"&amp;COUNTIFS($F$10:F54,"&lt;&gt;CM2",$F$10:F54,"&lt;&gt;")))</f>
        <v>P-45</v>
      </c>
      <c r="AI54" s="51" t="str">
        <f aca="false">IF(F54="","",IF(LEFT(F54,2)="CP","CP-"&amp;COUNTIF($F$10:F54,"CP*"),IF(F54="CE1","CE1-"&amp;COUNTIF($F$10:F54,"CE1"),IF(F54="CM2","CM2-"&amp;COUNTIF($F$10:F54,"CM2"),"CEM-"&amp;(COUNTIF($F$10:F54,"CE2")+COUNTIF($F$10:F54,"CM1"))))))</f>
        <v>CEM-13</v>
      </c>
    </row>
    <row r="55" customFormat="false" ht="15" hidden="false" customHeight="false" outlineLevel="0" collapsed="false">
      <c r="A55" s="52" t="n">
        <f aca="false">IF(D55="","",ROW()-9)</f>
        <v>46</v>
      </c>
      <c r="B55" s="53" t="str">
        <f aca="false">IF(F55="","",F55&amp;"-"&amp;TEXT(COUNTIF($F$10:F55,F55),"000")&amp;"-"&amp;RIGHT(LEFT(PARAMETRES!$C$9,4),2))</f>
        <v>CM1-002-26</v>
      </c>
      <c r="C55" s="54"/>
      <c r="D55" s="55" t="s">
        <v>445</v>
      </c>
      <c r="E55" s="56" t="s">
        <v>44</v>
      </c>
      <c r="F55" s="56" t="s">
        <v>22</v>
      </c>
      <c r="G55" s="57" t="n">
        <v>42075</v>
      </c>
      <c r="H55" s="52" t="n">
        <f aca="false">IF(G55="","",DATEDIF(G55,PARAMETRES!$C$13,"y"))</f>
        <v>11</v>
      </c>
      <c r="I55" s="56" t="s">
        <v>38</v>
      </c>
      <c r="J55" s="52" t="s">
        <v>68</v>
      </c>
      <c r="K55" s="52" t="s">
        <v>150</v>
      </c>
      <c r="L55" s="56" t="s">
        <v>39</v>
      </c>
      <c r="M55" s="52" t="s">
        <v>446</v>
      </c>
      <c r="N55" s="57" t="n">
        <v>42117</v>
      </c>
      <c r="O55" s="52" t="s">
        <v>150</v>
      </c>
      <c r="P55" s="56" t="s">
        <v>46</v>
      </c>
      <c r="Q55" s="56" t="s">
        <v>40</v>
      </c>
      <c r="R55" s="55" t="s">
        <v>447</v>
      </c>
      <c r="S55" s="52" t="s">
        <v>169</v>
      </c>
      <c r="T55" s="52" t="s">
        <v>68</v>
      </c>
      <c r="U55" s="52" t="s">
        <v>448</v>
      </c>
      <c r="V55" s="55" t="s">
        <v>449</v>
      </c>
      <c r="W55" s="52" t="s">
        <v>249</v>
      </c>
      <c r="X55" s="52" t="s">
        <v>68</v>
      </c>
      <c r="Y55" s="52" t="s">
        <v>450</v>
      </c>
      <c r="Z55" s="55"/>
      <c r="AA55" s="52"/>
      <c r="AB55" s="52"/>
      <c r="AC55" s="52"/>
      <c r="AD55" s="56" t="s">
        <v>46</v>
      </c>
      <c r="AE55" s="56" t="s">
        <v>41</v>
      </c>
      <c r="AF55" s="55"/>
      <c r="AG55" s="51" t="str">
        <f aca="false">IF(F55="","",F55&amp;"-"&amp;COUNTIF($F$10:F55,F55))</f>
        <v>CM1-2</v>
      </c>
      <c r="AH55" s="51" t="str">
        <f aca="false">IF(F55="","",IF(F55="CM2","CM2-"&amp;COUNTIF($F$10:F55,"CM2"),"P-"&amp;COUNTIFS($F$10:F55,"&lt;&gt;CM2",$F$10:F55,"&lt;&gt;")))</f>
        <v>P-46</v>
      </c>
      <c r="AI55" s="51" t="str">
        <f aca="false">IF(F55="","",IF(LEFT(F55,2)="CP","CP-"&amp;COUNTIF($F$10:F55,"CP*"),IF(F55="CE1","CE1-"&amp;COUNTIF($F$10:F55,"CE1"),IF(F55="CM2","CM2-"&amp;COUNTIF($F$10:F55,"CM2"),"CEM-"&amp;(COUNTIF($F$10:F55,"CE2")+COUNTIF($F$10:F55,"CM1"))))))</f>
        <v>CEM-14</v>
      </c>
    </row>
    <row r="56" customFormat="false" ht="15" hidden="false" customHeight="false" outlineLevel="0" collapsed="false">
      <c r="A56" s="52" t="n">
        <f aca="false">IF(D56="","",ROW()-9)</f>
        <v>47</v>
      </c>
      <c r="B56" s="53" t="str">
        <f aca="false">IF(F56="","",F56&amp;"-"&amp;TEXT(COUNTIF($F$10:F56,F56),"000")&amp;"-"&amp;RIGHT(LEFT(PARAMETRES!$C$9,4),2))</f>
        <v>CM1-003-26</v>
      </c>
      <c r="C56" s="54"/>
      <c r="D56" s="55" t="s">
        <v>451</v>
      </c>
      <c r="E56" s="56" t="s">
        <v>44</v>
      </c>
      <c r="F56" s="56" t="s">
        <v>22</v>
      </c>
      <c r="G56" s="57" t="n">
        <v>42664</v>
      </c>
      <c r="H56" s="52" t="n">
        <f aca="false">IF(G56="","",DATEDIF(G56,PARAMETRES!$C$13,"y"))</f>
        <v>10</v>
      </c>
      <c r="I56" s="56" t="s">
        <v>38</v>
      </c>
      <c r="J56" s="52" t="s">
        <v>68</v>
      </c>
      <c r="K56" s="52" t="s">
        <v>150</v>
      </c>
      <c r="L56" s="56" t="s">
        <v>39</v>
      </c>
      <c r="M56" s="52" t="s">
        <v>452</v>
      </c>
      <c r="N56" s="57" t="n">
        <v>42682</v>
      </c>
      <c r="O56" s="52" t="s">
        <v>150</v>
      </c>
      <c r="P56" s="56" t="s">
        <v>46</v>
      </c>
      <c r="Q56" s="56" t="s">
        <v>40</v>
      </c>
      <c r="R56" s="55" t="s">
        <v>268</v>
      </c>
      <c r="S56" s="52" t="s">
        <v>169</v>
      </c>
      <c r="T56" s="52" t="s">
        <v>68</v>
      </c>
      <c r="U56" s="52" t="s">
        <v>453</v>
      </c>
      <c r="V56" s="55" t="s">
        <v>454</v>
      </c>
      <c r="W56" s="52" t="s">
        <v>156</v>
      </c>
      <c r="X56" s="52" t="s">
        <v>68</v>
      </c>
      <c r="Y56" s="52" t="s">
        <v>455</v>
      </c>
      <c r="Z56" s="55"/>
      <c r="AA56" s="52"/>
      <c r="AB56" s="52"/>
      <c r="AC56" s="52"/>
      <c r="AD56" s="56" t="s">
        <v>46</v>
      </c>
      <c r="AE56" s="56" t="s">
        <v>41</v>
      </c>
      <c r="AF56" s="55"/>
      <c r="AG56" s="51" t="str">
        <f aca="false">IF(F56="","",F56&amp;"-"&amp;COUNTIF($F$10:F56,F56))</f>
        <v>CM1-3</v>
      </c>
      <c r="AH56" s="51" t="str">
        <f aca="false">IF(F56="","",IF(F56="CM2","CM2-"&amp;COUNTIF($F$10:F56,"CM2"),"P-"&amp;COUNTIFS($F$10:F56,"&lt;&gt;CM2",$F$10:F56,"&lt;&gt;")))</f>
        <v>P-47</v>
      </c>
      <c r="AI56" s="51" t="str">
        <f aca="false">IF(F56="","",IF(LEFT(F56,2)="CP","CP-"&amp;COUNTIF($F$10:F56,"CP*"),IF(F56="CE1","CE1-"&amp;COUNTIF($F$10:F56,"CE1"),IF(F56="CM2","CM2-"&amp;COUNTIF($F$10:F56,"CM2"),"CEM-"&amp;(COUNTIF($F$10:F56,"CE2")+COUNTIF($F$10:F56,"CM1"))))))</f>
        <v>CEM-15</v>
      </c>
    </row>
    <row r="57" customFormat="false" ht="15" hidden="false" customHeight="false" outlineLevel="0" collapsed="false">
      <c r="A57" s="52" t="n">
        <f aca="false">IF(D57="","",ROW()-9)</f>
        <v>48</v>
      </c>
      <c r="B57" s="53" t="str">
        <f aca="false">IF(F57="","",F57&amp;"-"&amp;TEXT(COUNTIF($F$10:F57,F57),"000")&amp;"-"&amp;RIGHT(LEFT(PARAMETRES!$C$9,4),2))</f>
        <v>CM1-004-26</v>
      </c>
      <c r="C57" s="54"/>
      <c r="D57" s="55" t="s">
        <v>456</v>
      </c>
      <c r="E57" s="56" t="s">
        <v>37</v>
      </c>
      <c r="F57" s="56" t="s">
        <v>22</v>
      </c>
      <c r="G57" s="57" t="n">
        <v>42577</v>
      </c>
      <c r="H57" s="52" t="n">
        <f aca="false">IF(G57="","",DATEDIF(G57,PARAMETRES!$C$13,"y"))</f>
        <v>10</v>
      </c>
      <c r="I57" s="56" t="s">
        <v>38</v>
      </c>
      <c r="J57" s="52" t="s">
        <v>68</v>
      </c>
      <c r="K57" s="52" t="s">
        <v>150</v>
      </c>
      <c r="L57" s="56" t="s">
        <v>39</v>
      </c>
      <c r="M57" s="52" t="s">
        <v>457</v>
      </c>
      <c r="N57" s="57" t="n">
        <v>42582</v>
      </c>
      <c r="O57" s="52" t="s">
        <v>150</v>
      </c>
      <c r="P57" s="56" t="s">
        <v>46</v>
      </c>
      <c r="Q57" s="56" t="s">
        <v>40</v>
      </c>
      <c r="R57" s="55" t="s">
        <v>176</v>
      </c>
      <c r="S57" s="52" t="s">
        <v>161</v>
      </c>
      <c r="T57" s="52" t="s">
        <v>68</v>
      </c>
      <c r="U57" s="52" t="s">
        <v>458</v>
      </c>
      <c r="V57" s="55" t="s">
        <v>459</v>
      </c>
      <c r="W57" s="52" t="s">
        <v>220</v>
      </c>
      <c r="X57" s="52" t="s">
        <v>68</v>
      </c>
      <c r="Y57" s="52" t="s">
        <v>460</v>
      </c>
      <c r="Z57" s="55" t="s">
        <v>461</v>
      </c>
      <c r="AA57" s="52" t="s">
        <v>161</v>
      </c>
      <c r="AB57" s="52" t="s">
        <v>68</v>
      </c>
      <c r="AC57" s="52" t="s">
        <v>462</v>
      </c>
      <c r="AD57" s="56" t="s">
        <v>46</v>
      </c>
      <c r="AE57" s="56" t="s">
        <v>41</v>
      </c>
      <c r="AF57" s="55"/>
      <c r="AG57" s="51" t="str">
        <f aca="false">IF(F57="","",F57&amp;"-"&amp;COUNTIF($F$10:F57,F57))</f>
        <v>CM1-4</v>
      </c>
      <c r="AH57" s="51" t="str">
        <f aca="false">IF(F57="","",IF(F57="CM2","CM2-"&amp;COUNTIF($F$10:F57,"CM2"),"P-"&amp;COUNTIFS($F$10:F57,"&lt;&gt;CM2",$F$10:F57,"&lt;&gt;")))</f>
        <v>P-48</v>
      </c>
      <c r="AI57" s="51" t="str">
        <f aca="false">IF(F57="","",IF(LEFT(F57,2)="CP","CP-"&amp;COUNTIF($F$10:F57,"CP*"),IF(F57="CE1","CE1-"&amp;COUNTIF($F$10:F57,"CE1"),IF(F57="CM2","CM2-"&amp;COUNTIF($F$10:F57,"CM2"),"CEM-"&amp;(COUNTIF($F$10:F57,"CE2")+COUNTIF($F$10:F57,"CM1"))))))</f>
        <v>CEM-16</v>
      </c>
    </row>
    <row r="58" customFormat="false" ht="15" hidden="false" customHeight="false" outlineLevel="0" collapsed="false">
      <c r="A58" s="52" t="n">
        <f aca="false">IF(D58="","",ROW()-9)</f>
        <v>49</v>
      </c>
      <c r="B58" s="53" t="str">
        <f aca="false">IF(F58="","",F58&amp;"-"&amp;TEXT(COUNTIF($F$10:F58,F58),"000")&amp;"-"&amp;RIGHT(LEFT(PARAMETRES!$C$9,4),2))</f>
        <v>CM1-005-26</v>
      </c>
      <c r="C58" s="54"/>
      <c r="D58" s="55" t="s">
        <v>463</v>
      </c>
      <c r="E58" s="56" t="s">
        <v>37</v>
      </c>
      <c r="F58" s="56" t="s">
        <v>22</v>
      </c>
      <c r="G58" s="57" t="n">
        <v>42325</v>
      </c>
      <c r="H58" s="52" t="n">
        <f aca="false">IF(G58="","",DATEDIF(G58,PARAMETRES!$C$13,"y"))</f>
        <v>11</v>
      </c>
      <c r="I58" s="56" t="s">
        <v>38</v>
      </c>
      <c r="J58" s="52" t="s">
        <v>68</v>
      </c>
      <c r="K58" s="52" t="s">
        <v>150</v>
      </c>
      <c r="L58" s="56" t="s">
        <v>39</v>
      </c>
      <c r="M58" s="52" t="s">
        <v>464</v>
      </c>
      <c r="N58" s="57" t="n">
        <v>42384</v>
      </c>
      <c r="O58" s="52" t="s">
        <v>150</v>
      </c>
      <c r="P58" s="56" t="s">
        <v>46</v>
      </c>
      <c r="Q58" s="56" t="s">
        <v>40</v>
      </c>
      <c r="R58" s="55" t="s">
        <v>465</v>
      </c>
      <c r="S58" s="52" t="s">
        <v>217</v>
      </c>
      <c r="T58" s="52" t="s">
        <v>68</v>
      </c>
      <c r="U58" s="52" t="s">
        <v>466</v>
      </c>
      <c r="V58" s="55" t="s">
        <v>467</v>
      </c>
      <c r="W58" s="52" t="s">
        <v>220</v>
      </c>
      <c r="X58" s="52" t="s">
        <v>68</v>
      </c>
      <c r="Y58" s="52" t="s">
        <v>468</v>
      </c>
      <c r="Z58" s="55"/>
      <c r="AA58" s="52"/>
      <c r="AB58" s="52"/>
      <c r="AC58" s="52"/>
      <c r="AD58" s="56" t="s">
        <v>39</v>
      </c>
      <c r="AE58" s="56" t="s">
        <v>41</v>
      </c>
      <c r="AF58" s="55"/>
      <c r="AG58" s="51" t="str">
        <f aca="false">IF(F58="","",F58&amp;"-"&amp;COUNTIF($F$10:F58,F58))</f>
        <v>CM1-5</v>
      </c>
      <c r="AH58" s="51" t="str">
        <f aca="false">IF(F58="","",IF(F58="CM2","CM2-"&amp;COUNTIF($F$10:F58,"CM2"),"P-"&amp;COUNTIFS($F$10:F58,"&lt;&gt;CM2",$F$10:F58,"&lt;&gt;")))</f>
        <v>P-49</v>
      </c>
      <c r="AI58" s="51" t="str">
        <f aca="false">IF(F58="","",IF(LEFT(F58,2)="CP","CP-"&amp;COUNTIF($F$10:F58,"CP*"),IF(F58="CE1","CE1-"&amp;COUNTIF($F$10:F58,"CE1"),IF(F58="CM2","CM2-"&amp;COUNTIF($F$10:F58,"CM2"),"CEM-"&amp;(COUNTIF($F$10:F58,"CE2")+COUNTIF($F$10:F58,"CM1"))))))</f>
        <v>CEM-17</v>
      </c>
    </row>
    <row r="59" customFormat="false" ht="15" hidden="false" customHeight="false" outlineLevel="0" collapsed="false">
      <c r="A59" s="52" t="n">
        <f aca="false">IF(D59="","",ROW()-9)</f>
        <v>50</v>
      </c>
      <c r="B59" s="53" t="str">
        <f aca="false">IF(F59="","",F59&amp;"-"&amp;TEXT(COUNTIF($F$10:F59,F59),"000")&amp;"-"&amp;RIGHT(LEFT(PARAMETRES!$C$9,4),2))</f>
        <v>CM1-006-26</v>
      </c>
      <c r="C59" s="54"/>
      <c r="D59" s="55" t="s">
        <v>469</v>
      </c>
      <c r="E59" s="56" t="s">
        <v>37</v>
      </c>
      <c r="F59" s="56" t="s">
        <v>22</v>
      </c>
      <c r="G59" s="57" t="n">
        <v>41782</v>
      </c>
      <c r="H59" s="52" t="n">
        <f aca="false">IF(G59="","",DATEDIF(G59,PARAMETRES!$C$13,"y"))</f>
        <v>12</v>
      </c>
      <c r="I59" s="56" t="s">
        <v>38</v>
      </c>
      <c r="J59" s="52" t="s">
        <v>68</v>
      </c>
      <c r="K59" s="52" t="s">
        <v>150</v>
      </c>
      <c r="L59" s="56" t="s">
        <v>39</v>
      </c>
      <c r="M59" s="52" t="s">
        <v>470</v>
      </c>
      <c r="N59" s="57" t="n">
        <v>41787</v>
      </c>
      <c r="O59" s="52" t="s">
        <v>150</v>
      </c>
      <c r="P59" s="56" t="s">
        <v>46</v>
      </c>
      <c r="Q59" s="56" t="s">
        <v>40</v>
      </c>
      <c r="R59" s="55" t="s">
        <v>471</v>
      </c>
      <c r="S59" s="52" t="s">
        <v>183</v>
      </c>
      <c r="T59" s="52" t="s">
        <v>68</v>
      </c>
      <c r="U59" s="52" t="s">
        <v>472</v>
      </c>
      <c r="V59" s="55" t="s">
        <v>473</v>
      </c>
      <c r="W59" s="52" t="s">
        <v>172</v>
      </c>
      <c r="X59" s="52" t="s">
        <v>68</v>
      </c>
      <c r="Y59" s="52" t="s">
        <v>474</v>
      </c>
      <c r="Z59" s="55"/>
      <c r="AA59" s="52"/>
      <c r="AB59" s="52"/>
      <c r="AC59" s="52"/>
      <c r="AD59" s="56" t="s">
        <v>46</v>
      </c>
      <c r="AE59" s="56" t="s">
        <v>41</v>
      </c>
      <c r="AF59" s="55"/>
      <c r="AG59" s="51" t="str">
        <f aca="false">IF(F59="","",F59&amp;"-"&amp;COUNTIF($F$10:F59,F59))</f>
        <v>CM1-6</v>
      </c>
      <c r="AH59" s="51" t="str">
        <f aca="false">IF(F59="","",IF(F59="CM2","CM2-"&amp;COUNTIF($F$10:F59,"CM2"),"P-"&amp;COUNTIFS($F$10:F59,"&lt;&gt;CM2",$F$10:F59,"&lt;&gt;")))</f>
        <v>P-50</v>
      </c>
      <c r="AI59" s="51" t="str">
        <f aca="false">IF(F59="","",IF(LEFT(F59,2)="CP","CP-"&amp;COUNTIF($F$10:F59,"CP*"),IF(F59="CE1","CE1-"&amp;COUNTIF($F$10:F59,"CE1"),IF(F59="CM2","CM2-"&amp;COUNTIF($F$10:F59,"CM2"),"CEM-"&amp;(COUNTIF($F$10:F59,"CE2")+COUNTIF($F$10:F59,"CM1"))))))</f>
        <v>CEM-18</v>
      </c>
    </row>
    <row r="60" customFormat="false" ht="15" hidden="false" customHeight="false" outlineLevel="0" collapsed="false">
      <c r="A60" s="52" t="n">
        <f aca="false">IF(D60="","",ROW()-9)</f>
        <v>51</v>
      </c>
      <c r="B60" s="53" t="str">
        <f aca="false">IF(F60="","",F60&amp;"-"&amp;TEXT(COUNTIF($F$10:F60,F60),"000")&amp;"-"&amp;RIGHT(LEFT(PARAMETRES!$C$9,4),2))</f>
        <v>CM1-007-26</v>
      </c>
      <c r="C60" s="54"/>
      <c r="D60" s="55" t="s">
        <v>475</v>
      </c>
      <c r="E60" s="56" t="s">
        <v>37</v>
      </c>
      <c r="F60" s="56" t="s">
        <v>22</v>
      </c>
      <c r="G60" s="57" t="n">
        <v>41970</v>
      </c>
      <c r="H60" s="52" t="n">
        <f aca="false">IF(G60="","",DATEDIF(G60,PARAMETRES!$C$13,"y"))</f>
        <v>12</v>
      </c>
      <c r="I60" s="56" t="s">
        <v>60</v>
      </c>
      <c r="J60" s="52" t="s">
        <v>68</v>
      </c>
      <c r="K60" s="52" t="s">
        <v>150</v>
      </c>
      <c r="L60" s="56" t="s">
        <v>39</v>
      </c>
      <c r="M60" s="52" t="s">
        <v>476</v>
      </c>
      <c r="N60" s="57" t="n">
        <v>42012</v>
      </c>
      <c r="O60" s="52" t="s">
        <v>150</v>
      </c>
      <c r="P60" s="56" t="s">
        <v>46</v>
      </c>
      <c r="Q60" s="56" t="s">
        <v>40</v>
      </c>
      <c r="R60" s="55" t="s">
        <v>477</v>
      </c>
      <c r="S60" s="52" t="s">
        <v>153</v>
      </c>
      <c r="T60" s="52" t="s">
        <v>68</v>
      </c>
      <c r="U60" s="52" t="s">
        <v>478</v>
      </c>
      <c r="V60" s="55" t="s">
        <v>479</v>
      </c>
      <c r="W60" s="52" t="s">
        <v>156</v>
      </c>
      <c r="X60" s="52" t="s">
        <v>68</v>
      </c>
      <c r="Y60" s="52" t="s">
        <v>480</v>
      </c>
      <c r="Z60" s="55"/>
      <c r="AA60" s="52"/>
      <c r="AB60" s="52"/>
      <c r="AC60" s="52"/>
      <c r="AD60" s="56" t="s">
        <v>39</v>
      </c>
      <c r="AE60" s="56" t="s">
        <v>41</v>
      </c>
      <c r="AF60" s="55"/>
      <c r="AG60" s="51" t="str">
        <f aca="false">IF(F60="","",F60&amp;"-"&amp;COUNTIF($F$10:F60,F60))</f>
        <v>CM1-7</v>
      </c>
      <c r="AH60" s="51" t="str">
        <f aca="false">IF(F60="","",IF(F60="CM2","CM2-"&amp;COUNTIF($F$10:F60,"CM2"),"P-"&amp;COUNTIFS($F$10:F60,"&lt;&gt;CM2",$F$10:F60,"&lt;&gt;")))</f>
        <v>P-51</v>
      </c>
      <c r="AI60" s="51" t="str">
        <f aca="false">IF(F60="","",IF(LEFT(F60,2)="CP","CP-"&amp;COUNTIF($F$10:F60,"CP*"),IF(F60="CE1","CE1-"&amp;COUNTIF($F$10:F60,"CE1"),IF(F60="CM2","CM2-"&amp;COUNTIF($F$10:F60,"CM2"),"CEM-"&amp;(COUNTIF($F$10:F60,"CE2")+COUNTIF($F$10:F60,"CM1"))))))</f>
        <v>CEM-19</v>
      </c>
    </row>
    <row r="61" customFormat="false" ht="15" hidden="false" customHeight="false" outlineLevel="0" collapsed="false">
      <c r="A61" s="52" t="n">
        <f aca="false">IF(D61="","",ROW()-9)</f>
        <v>52</v>
      </c>
      <c r="B61" s="53" t="str">
        <f aca="false">IF(F61="","",F61&amp;"-"&amp;TEXT(COUNTIF($F$10:F61,F61),"000")&amp;"-"&amp;RIGHT(LEFT(PARAMETRES!$C$9,4),2))</f>
        <v>CM1-008-26</v>
      </c>
      <c r="C61" s="54"/>
      <c r="D61" s="55" t="s">
        <v>481</v>
      </c>
      <c r="E61" s="56" t="s">
        <v>44</v>
      </c>
      <c r="F61" s="56" t="s">
        <v>22</v>
      </c>
      <c r="G61" s="57" t="n">
        <v>42374</v>
      </c>
      <c r="H61" s="52" t="n">
        <f aca="false">IF(G61="","",DATEDIF(G61,PARAMETRES!$C$13,"y"))</f>
        <v>10</v>
      </c>
      <c r="I61" s="56" t="s">
        <v>38</v>
      </c>
      <c r="J61" s="52" t="s">
        <v>68</v>
      </c>
      <c r="K61" s="52" t="s">
        <v>150</v>
      </c>
      <c r="L61" s="56" t="s">
        <v>39</v>
      </c>
      <c r="M61" s="52" t="s">
        <v>482</v>
      </c>
      <c r="N61" s="57" t="n">
        <v>42434</v>
      </c>
      <c r="O61" s="52" t="s">
        <v>150</v>
      </c>
      <c r="P61" s="56" t="s">
        <v>46</v>
      </c>
      <c r="Q61" s="56" t="s">
        <v>40</v>
      </c>
      <c r="R61" s="55" t="s">
        <v>483</v>
      </c>
      <c r="S61" s="52" t="s">
        <v>217</v>
      </c>
      <c r="T61" s="52" t="s">
        <v>68</v>
      </c>
      <c r="U61" s="52" t="s">
        <v>484</v>
      </c>
      <c r="V61" s="55" t="s">
        <v>485</v>
      </c>
      <c r="W61" s="52" t="s">
        <v>156</v>
      </c>
      <c r="X61" s="52" t="s">
        <v>68</v>
      </c>
      <c r="Y61" s="52" t="s">
        <v>486</v>
      </c>
      <c r="Z61" s="55" t="s">
        <v>487</v>
      </c>
      <c r="AA61" s="52" t="s">
        <v>254</v>
      </c>
      <c r="AB61" s="52" t="s">
        <v>68</v>
      </c>
      <c r="AC61" s="52" t="s">
        <v>488</v>
      </c>
      <c r="AD61" s="56" t="s">
        <v>39</v>
      </c>
      <c r="AE61" s="56" t="s">
        <v>41</v>
      </c>
      <c r="AF61" s="55"/>
      <c r="AG61" s="51" t="str">
        <f aca="false">IF(F61="","",F61&amp;"-"&amp;COUNTIF($F$10:F61,F61))</f>
        <v>CM1-8</v>
      </c>
      <c r="AH61" s="51" t="str">
        <f aca="false">IF(F61="","",IF(F61="CM2","CM2-"&amp;COUNTIF($F$10:F61,"CM2"),"P-"&amp;COUNTIFS($F$10:F61,"&lt;&gt;CM2",$F$10:F61,"&lt;&gt;")))</f>
        <v>P-52</v>
      </c>
      <c r="AI61" s="51" t="str">
        <f aca="false">IF(F61="","",IF(LEFT(F61,2)="CP","CP-"&amp;COUNTIF($F$10:F61,"CP*"),IF(F61="CE1","CE1-"&amp;COUNTIF($F$10:F61,"CE1"),IF(F61="CM2","CM2-"&amp;COUNTIF($F$10:F61,"CM2"),"CEM-"&amp;(COUNTIF($F$10:F61,"CE2")+COUNTIF($F$10:F61,"CM1"))))))</f>
        <v>CEM-20</v>
      </c>
    </row>
    <row r="62" customFormat="false" ht="15" hidden="false" customHeight="false" outlineLevel="0" collapsed="false">
      <c r="A62" s="52" t="n">
        <f aca="false">IF(D62="","",ROW()-9)</f>
        <v>53</v>
      </c>
      <c r="B62" s="53" t="str">
        <f aca="false">IF(F62="","",F62&amp;"-"&amp;TEXT(COUNTIF($F$10:F62,F62),"000")&amp;"-"&amp;RIGHT(LEFT(PARAMETRES!$C$9,4),2))</f>
        <v>CM1-009-26</v>
      </c>
      <c r="C62" s="54"/>
      <c r="D62" s="55" t="s">
        <v>489</v>
      </c>
      <c r="E62" s="56" t="s">
        <v>37</v>
      </c>
      <c r="F62" s="56" t="s">
        <v>22</v>
      </c>
      <c r="G62" s="57" t="n">
        <v>42125</v>
      </c>
      <c r="H62" s="52" t="n">
        <f aca="false">IF(G62="","",DATEDIF(G62,PARAMETRES!$C$13,"y"))</f>
        <v>11</v>
      </c>
      <c r="I62" s="56" t="s">
        <v>38</v>
      </c>
      <c r="J62" s="52" t="s">
        <v>68</v>
      </c>
      <c r="K62" s="52" t="s">
        <v>150</v>
      </c>
      <c r="L62" s="56" t="s">
        <v>46</v>
      </c>
      <c r="M62" s="52"/>
      <c r="N62" s="57"/>
      <c r="O62" s="52"/>
      <c r="P62" s="56" t="s">
        <v>39</v>
      </c>
      <c r="Q62" s="56" t="s">
        <v>52</v>
      </c>
      <c r="R62" s="55" t="s">
        <v>490</v>
      </c>
      <c r="S62" s="52" t="s">
        <v>161</v>
      </c>
      <c r="T62" s="52" t="s">
        <v>68</v>
      </c>
      <c r="U62" s="52" t="s">
        <v>491</v>
      </c>
      <c r="V62" s="55" t="s">
        <v>492</v>
      </c>
      <c r="W62" s="52" t="s">
        <v>156</v>
      </c>
      <c r="X62" s="52" t="s">
        <v>68</v>
      </c>
      <c r="Y62" s="52" t="s">
        <v>493</v>
      </c>
      <c r="Z62" s="55"/>
      <c r="AA62" s="52"/>
      <c r="AB62" s="52"/>
      <c r="AC62" s="52"/>
      <c r="AD62" s="56" t="s">
        <v>46</v>
      </c>
      <c r="AE62" s="56" t="s">
        <v>41</v>
      </c>
      <c r="AF62" s="55"/>
      <c r="AG62" s="51" t="str">
        <f aca="false">IF(F62="","",F62&amp;"-"&amp;COUNTIF($F$10:F62,F62))</f>
        <v>CM1-9</v>
      </c>
      <c r="AH62" s="51" t="str">
        <f aca="false">IF(F62="","",IF(F62="CM2","CM2-"&amp;COUNTIF($F$10:F62,"CM2"),"P-"&amp;COUNTIFS($F$10:F62,"&lt;&gt;CM2",$F$10:F62,"&lt;&gt;")))</f>
        <v>P-53</v>
      </c>
      <c r="AI62" s="51" t="str">
        <f aca="false">IF(F62="","",IF(LEFT(F62,2)="CP","CP-"&amp;COUNTIF($F$10:F62,"CP*"),IF(F62="CE1","CE1-"&amp;COUNTIF($F$10:F62,"CE1"),IF(F62="CM2","CM2-"&amp;COUNTIF($F$10:F62,"CM2"),"CEM-"&amp;(COUNTIF($F$10:F62,"CE2")+COUNTIF($F$10:F62,"CM1"))))))</f>
        <v>CEM-21</v>
      </c>
    </row>
    <row r="63" customFormat="false" ht="15" hidden="false" customHeight="false" outlineLevel="0" collapsed="false">
      <c r="A63" s="52" t="n">
        <f aca="false">IF(D63="","",ROW()-9)</f>
        <v>54</v>
      </c>
      <c r="B63" s="53" t="str">
        <f aca="false">IF(F63="","",F63&amp;"-"&amp;TEXT(COUNTIF($F$10:F63,F63),"000")&amp;"-"&amp;RIGHT(LEFT(PARAMETRES!$C$9,4),2))</f>
        <v>CM1-010-26</v>
      </c>
      <c r="C63" s="54"/>
      <c r="D63" s="55" t="s">
        <v>494</v>
      </c>
      <c r="E63" s="56" t="s">
        <v>37</v>
      </c>
      <c r="F63" s="56" t="s">
        <v>22</v>
      </c>
      <c r="G63" s="57" t="n">
        <v>42552</v>
      </c>
      <c r="H63" s="52" t="n">
        <f aca="false">IF(G63="","",DATEDIF(G63,PARAMETRES!$C$13,"y"))</f>
        <v>10</v>
      </c>
      <c r="I63" s="56" t="s">
        <v>38</v>
      </c>
      <c r="J63" s="52" t="s">
        <v>68</v>
      </c>
      <c r="K63" s="52" t="s">
        <v>150</v>
      </c>
      <c r="L63" s="56" t="s">
        <v>39</v>
      </c>
      <c r="M63" s="52" t="s">
        <v>495</v>
      </c>
      <c r="N63" s="57" t="n">
        <v>42589</v>
      </c>
      <c r="O63" s="52" t="s">
        <v>150</v>
      </c>
      <c r="P63" s="56" t="s">
        <v>46</v>
      </c>
      <c r="Q63" s="56" t="s">
        <v>40</v>
      </c>
      <c r="R63" s="55" t="s">
        <v>496</v>
      </c>
      <c r="S63" s="52" t="s">
        <v>254</v>
      </c>
      <c r="T63" s="52" t="s">
        <v>68</v>
      </c>
      <c r="U63" s="52" t="s">
        <v>497</v>
      </c>
      <c r="V63" s="55" t="s">
        <v>498</v>
      </c>
      <c r="W63" s="52" t="s">
        <v>172</v>
      </c>
      <c r="X63" s="52" t="s">
        <v>68</v>
      </c>
      <c r="Y63" s="52" t="s">
        <v>499</v>
      </c>
      <c r="Z63" s="55"/>
      <c r="AA63" s="52"/>
      <c r="AB63" s="52"/>
      <c r="AC63" s="52"/>
      <c r="AD63" s="56" t="s">
        <v>46</v>
      </c>
      <c r="AE63" s="56" t="s">
        <v>41</v>
      </c>
      <c r="AF63" s="55"/>
      <c r="AG63" s="51" t="str">
        <f aca="false">IF(F63="","",F63&amp;"-"&amp;COUNTIF($F$10:F63,F63))</f>
        <v>CM1-10</v>
      </c>
      <c r="AH63" s="51" t="str">
        <f aca="false">IF(F63="","",IF(F63="CM2","CM2-"&amp;COUNTIF($F$10:F63,"CM2"),"P-"&amp;COUNTIFS($F$10:F63,"&lt;&gt;CM2",$F$10:F63,"&lt;&gt;")))</f>
        <v>P-54</v>
      </c>
      <c r="AI63" s="51" t="str">
        <f aca="false">IF(F63="","",IF(LEFT(F63,2)="CP","CP-"&amp;COUNTIF($F$10:F63,"CP*"),IF(F63="CE1","CE1-"&amp;COUNTIF($F$10:F63,"CE1"),IF(F63="CM2","CM2-"&amp;COUNTIF($F$10:F63,"CM2"),"CEM-"&amp;(COUNTIF($F$10:F63,"CE2")+COUNTIF($F$10:F63,"CM1"))))))</f>
        <v>CEM-22</v>
      </c>
    </row>
    <row r="64" customFormat="false" ht="15" hidden="false" customHeight="false" outlineLevel="0" collapsed="false">
      <c r="A64" s="52" t="n">
        <f aca="false">IF(D64="","",ROW()-9)</f>
        <v>55</v>
      </c>
      <c r="B64" s="53" t="str">
        <f aca="false">IF(F64="","",F64&amp;"-"&amp;TEXT(COUNTIF($F$10:F64,F64),"000")&amp;"-"&amp;RIGHT(LEFT(PARAMETRES!$C$9,4),2))</f>
        <v>CM1-011-26</v>
      </c>
      <c r="C64" s="54"/>
      <c r="D64" s="55" t="s">
        <v>500</v>
      </c>
      <c r="E64" s="56" t="s">
        <v>37</v>
      </c>
      <c r="F64" s="56" t="s">
        <v>22</v>
      </c>
      <c r="G64" s="57" t="n">
        <v>42056</v>
      </c>
      <c r="H64" s="52" t="n">
        <f aca="false">IF(G64="","",DATEDIF(G64,PARAMETRES!$C$13,"y"))</f>
        <v>11</v>
      </c>
      <c r="I64" s="56" t="s">
        <v>38</v>
      </c>
      <c r="J64" s="52" t="s">
        <v>68</v>
      </c>
      <c r="K64" s="52" t="s">
        <v>150</v>
      </c>
      <c r="L64" s="56" t="s">
        <v>39</v>
      </c>
      <c r="M64" s="52" t="s">
        <v>501</v>
      </c>
      <c r="N64" s="57" t="n">
        <v>42088</v>
      </c>
      <c r="O64" s="52" t="s">
        <v>150</v>
      </c>
      <c r="P64" s="56" t="s">
        <v>46</v>
      </c>
      <c r="Q64" s="56" t="s">
        <v>40</v>
      </c>
      <c r="R64" s="55" t="s">
        <v>502</v>
      </c>
      <c r="S64" s="52" t="s">
        <v>183</v>
      </c>
      <c r="T64" s="52" t="s">
        <v>68</v>
      </c>
      <c r="U64" s="52" t="s">
        <v>503</v>
      </c>
      <c r="V64" s="55" t="s">
        <v>504</v>
      </c>
      <c r="W64" s="52" t="s">
        <v>220</v>
      </c>
      <c r="X64" s="52" t="s">
        <v>68</v>
      </c>
      <c r="Y64" s="52" t="s">
        <v>505</v>
      </c>
      <c r="Z64" s="55"/>
      <c r="AA64" s="52"/>
      <c r="AB64" s="52"/>
      <c r="AC64" s="52"/>
      <c r="AD64" s="56" t="s">
        <v>46</v>
      </c>
      <c r="AE64" s="56" t="s">
        <v>41</v>
      </c>
      <c r="AF64" s="55"/>
      <c r="AG64" s="51" t="str">
        <f aca="false">IF(F64="","",F64&amp;"-"&amp;COUNTIF($F$10:F64,F64))</f>
        <v>CM1-11</v>
      </c>
      <c r="AH64" s="51" t="str">
        <f aca="false">IF(F64="","",IF(F64="CM2","CM2-"&amp;COUNTIF($F$10:F64,"CM2"),"P-"&amp;COUNTIFS($F$10:F64,"&lt;&gt;CM2",$F$10:F64,"&lt;&gt;")))</f>
        <v>P-55</v>
      </c>
      <c r="AI64" s="51" t="str">
        <f aca="false">IF(F64="","",IF(LEFT(F64,2)="CP","CP-"&amp;COUNTIF($F$10:F64,"CP*"),IF(F64="CE1","CE1-"&amp;COUNTIF($F$10:F64,"CE1"),IF(F64="CM2","CM2-"&amp;COUNTIF($F$10:F64,"CM2"),"CEM-"&amp;(COUNTIF($F$10:F64,"CE2")+COUNTIF($F$10:F64,"CM1"))))))</f>
        <v>CEM-23</v>
      </c>
    </row>
    <row r="65" customFormat="false" ht="15" hidden="false" customHeight="false" outlineLevel="0" collapsed="false">
      <c r="A65" s="52" t="n">
        <f aca="false">IF(D65="","",ROW()-9)</f>
        <v>56</v>
      </c>
      <c r="B65" s="53" t="str">
        <f aca="false">IF(F65="","",F65&amp;"-"&amp;TEXT(COUNTIF($F$10:F65,F65),"000")&amp;"-"&amp;RIGHT(LEFT(PARAMETRES!$C$9,4),2))</f>
        <v>CM2-001-26</v>
      </c>
      <c r="C65" s="54"/>
      <c r="D65" s="55" t="s">
        <v>506</v>
      </c>
      <c r="E65" s="56" t="s">
        <v>44</v>
      </c>
      <c r="F65" s="56" t="s">
        <v>23</v>
      </c>
      <c r="G65" s="57" t="n">
        <v>42238</v>
      </c>
      <c r="H65" s="52" t="n">
        <f aca="false">IF(G65="","",DATEDIF(G65,PARAMETRES!$C$13,"y"))</f>
        <v>11</v>
      </c>
      <c r="I65" s="56" t="s">
        <v>38</v>
      </c>
      <c r="J65" s="52" t="s">
        <v>68</v>
      </c>
      <c r="K65" s="52" t="s">
        <v>150</v>
      </c>
      <c r="L65" s="56" t="s">
        <v>39</v>
      </c>
      <c r="M65" s="52" t="s">
        <v>507</v>
      </c>
      <c r="N65" s="57" t="n">
        <v>42258</v>
      </c>
      <c r="O65" s="52" t="s">
        <v>150</v>
      </c>
      <c r="P65" s="56" t="s">
        <v>46</v>
      </c>
      <c r="Q65" s="56" t="s">
        <v>40</v>
      </c>
      <c r="R65" s="55" t="s">
        <v>508</v>
      </c>
      <c r="S65" s="52" t="s">
        <v>225</v>
      </c>
      <c r="T65" s="52" t="s">
        <v>68</v>
      </c>
      <c r="U65" s="52" t="s">
        <v>509</v>
      </c>
      <c r="V65" s="55" t="s">
        <v>510</v>
      </c>
      <c r="W65" s="52" t="s">
        <v>172</v>
      </c>
      <c r="X65" s="52" t="s">
        <v>68</v>
      </c>
      <c r="Y65" s="52" t="s">
        <v>511</v>
      </c>
      <c r="Z65" s="55"/>
      <c r="AA65" s="52"/>
      <c r="AB65" s="52"/>
      <c r="AC65" s="52"/>
      <c r="AD65" s="56" t="s">
        <v>46</v>
      </c>
      <c r="AE65" s="56" t="s">
        <v>41</v>
      </c>
      <c r="AF65" s="55"/>
      <c r="AG65" s="51" t="str">
        <f aca="false">IF(F65="","",F65&amp;"-"&amp;COUNTIF($F$10:F65,F65))</f>
        <v>CM2-1</v>
      </c>
      <c r="AH65" s="51" t="str">
        <f aca="false">IF(F65="","",IF(F65="CM2","CM2-"&amp;COUNTIF($F$10:F65,"CM2"),"P-"&amp;COUNTIFS($F$10:F65,"&lt;&gt;CM2",$F$10:F65,"&lt;&gt;")))</f>
        <v>CM2-1</v>
      </c>
      <c r="AI65" s="51" t="str">
        <f aca="false">IF(F65="","",IF(LEFT(F65,2)="CP","CP-"&amp;COUNTIF($F$10:F65,"CP*"),IF(F65="CE1","CE1-"&amp;COUNTIF($F$10:F65,"CE1"),IF(F65="CM2","CM2-"&amp;COUNTIF($F$10:F65,"CM2"),"CEM-"&amp;(COUNTIF($F$10:F65,"CE2")+COUNTIF($F$10:F65,"CM1"))))))</f>
        <v>CM2-1</v>
      </c>
    </row>
    <row r="66" customFormat="false" ht="15" hidden="false" customHeight="false" outlineLevel="0" collapsed="false">
      <c r="A66" s="52" t="n">
        <f aca="false">IF(D66="","",ROW()-9)</f>
        <v>57</v>
      </c>
      <c r="B66" s="53" t="str">
        <f aca="false">IF(F66="","",F66&amp;"-"&amp;TEXT(COUNTIF($F$10:F66,F66),"000")&amp;"-"&amp;RIGHT(LEFT(PARAMETRES!$C$9,4),2))</f>
        <v>CM2-002-26</v>
      </c>
      <c r="C66" s="54"/>
      <c r="D66" s="55" t="s">
        <v>512</v>
      </c>
      <c r="E66" s="56" t="s">
        <v>44</v>
      </c>
      <c r="F66" s="56" t="s">
        <v>23</v>
      </c>
      <c r="G66" s="57" t="n">
        <v>42148</v>
      </c>
      <c r="H66" s="52" t="n">
        <f aca="false">IF(G66="","",DATEDIF(G66,PARAMETRES!$C$13,"y"))</f>
        <v>11</v>
      </c>
      <c r="I66" s="56" t="s">
        <v>51</v>
      </c>
      <c r="J66" s="52" t="s">
        <v>68</v>
      </c>
      <c r="K66" s="52" t="s">
        <v>150</v>
      </c>
      <c r="L66" s="56" t="s">
        <v>46</v>
      </c>
      <c r="M66" s="52"/>
      <c r="N66" s="57"/>
      <c r="O66" s="52"/>
      <c r="P66" s="56" t="s">
        <v>39</v>
      </c>
      <c r="Q66" s="56" t="s">
        <v>52</v>
      </c>
      <c r="R66" s="55" t="s">
        <v>513</v>
      </c>
      <c r="S66" s="52" t="s">
        <v>153</v>
      </c>
      <c r="T66" s="52" t="s">
        <v>68</v>
      </c>
      <c r="U66" s="52" t="s">
        <v>514</v>
      </c>
      <c r="V66" s="55" t="s">
        <v>515</v>
      </c>
      <c r="W66" s="52" t="s">
        <v>200</v>
      </c>
      <c r="X66" s="52" t="s">
        <v>68</v>
      </c>
      <c r="Y66" s="52" t="s">
        <v>516</v>
      </c>
      <c r="Z66" s="55"/>
      <c r="AA66" s="52"/>
      <c r="AB66" s="52"/>
      <c r="AC66" s="52"/>
      <c r="AD66" s="56" t="s">
        <v>39</v>
      </c>
      <c r="AE66" s="56" t="s">
        <v>41</v>
      </c>
      <c r="AF66" s="55"/>
      <c r="AG66" s="51" t="str">
        <f aca="false">IF(F66="","",F66&amp;"-"&amp;COUNTIF($F$10:F66,F66))</f>
        <v>CM2-2</v>
      </c>
      <c r="AH66" s="51" t="str">
        <f aca="false">IF(F66="","",IF(F66="CM2","CM2-"&amp;COUNTIF($F$10:F66,"CM2"),"P-"&amp;COUNTIFS($F$10:F66,"&lt;&gt;CM2",$F$10:F66,"&lt;&gt;")))</f>
        <v>CM2-2</v>
      </c>
      <c r="AI66" s="51" t="str">
        <f aca="false">IF(F66="","",IF(LEFT(F66,2)="CP","CP-"&amp;COUNTIF($F$10:F66,"CP*"),IF(F66="CE1","CE1-"&amp;COUNTIF($F$10:F66,"CE1"),IF(F66="CM2","CM2-"&amp;COUNTIF($F$10:F66,"CM2"),"CEM-"&amp;(COUNTIF($F$10:F66,"CE2")+COUNTIF($F$10:F66,"CM1"))))))</f>
        <v>CM2-2</v>
      </c>
    </row>
    <row r="67" customFormat="false" ht="15" hidden="false" customHeight="false" outlineLevel="0" collapsed="false">
      <c r="A67" s="52" t="n">
        <f aca="false">IF(D67="","",ROW()-9)</f>
        <v>58</v>
      </c>
      <c r="B67" s="53" t="str">
        <f aca="false">IF(F67="","",F67&amp;"-"&amp;TEXT(COUNTIF($F$10:F67,F67),"000")&amp;"-"&amp;RIGHT(LEFT(PARAMETRES!$C$9,4),2))</f>
        <v>CM2-003-26</v>
      </c>
      <c r="C67" s="54"/>
      <c r="D67" s="55" t="s">
        <v>517</v>
      </c>
      <c r="E67" s="56" t="s">
        <v>44</v>
      </c>
      <c r="F67" s="56" t="s">
        <v>23</v>
      </c>
      <c r="G67" s="57" t="n">
        <v>42217</v>
      </c>
      <c r="H67" s="52" t="n">
        <f aca="false">IF(G67="","",DATEDIF(G67,PARAMETRES!$C$13,"y"))</f>
        <v>11</v>
      </c>
      <c r="I67" s="56" t="s">
        <v>38</v>
      </c>
      <c r="J67" s="52" t="s">
        <v>68</v>
      </c>
      <c r="K67" s="52" t="s">
        <v>150</v>
      </c>
      <c r="L67" s="56" t="s">
        <v>39</v>
      </c>
      <c r="M67" s="52" t="s">
        <v>518</v>
      </c>
      <c r="N67" s="57" t="n">
        <v>42264</v>
      </c>
      <c r="O67" s="52" t="s">
        <v>150</v>
      </c>
      <c r="P67" s="56" t="s">
        <v>46</v>
      </c>
      <c r="Q67" s="56" t="s">
        <v>40</v>
      </c>
      <c r="R67" s="55" t="s">
        <v>347</v>
      </c>
      <c r="S67" s="52" t="s">
        <v>225</v>
      </c>
      <c r="T67" s="52" t="s">
        <v>68</v>
      </c>
      <c r="U67" s="52" t="s">
        <v>519</v>
      </c>
      <c r="V67" s="55" t="s">
        <v>413</v>
      </c>
      <c r="W67" s="52" t="s">
        <v>200</v>
      </c>
      <c r="X67" s="52" t="s">
        <v>68</v>
      </c>
      <c r="Y67" s="52" t="s">
        <v>520</v>
      </c>
      <c r="Z67" s="55" t="s">
        <v>229</v>
      </c>
      <c r="AA67" s="52" t="s">
        <v>153</v>
      </c>
      <c r="AB67" s="52" t="s">
        <v>68</v>
      </c>
      <c r="AC67" s="52" t="s">
        <v>521</v>
      </c>
      <c r="AD67" s="56" t="s">
        <v>46</v>
      </c>
      <c r="AE67" s="56" t="s">
        <v>41</v>
      </c>
      <c r="AF67" s="55"/>
      <c r="AG67" s="51" t="str">
        <f aca="false">IF(F67="","",F67&amp;"-"&amp;COUNTIF($F$10:F67,F67))</f>
        <v>CM2-3</v>
      </c>
      <c r="AH67" s="51" t="str">
        <f aca="false">IF(F67="","",IF(F67="CM2","CM2-"&amp;COUNTIF($F$10:F67,"CM2"),"P-"&amp;COUNTIFS($F$10:F67,"&lt;&gt;CM2",$F$10:F67,"&lt;&gt;")))</f>
        <v>CM2-3</v>
      </c>
      <c r="AI67" s="51" t="str">
        <f aca="false">IF(F67="","",IF(LEFT(F67,2)="CP","CP-"&amp;COUNTIF($F$10:F67,"CP*"),IF(F67="CE1","CE1-"&amp;COUNTIF($F$10:F67,"CE1"),IF(F67="CM2","CM2-"&amp;COUNTIF($F$10:F67,"CM2"),"CEM-"&amp;(COUNTIF($F$10:F67,"CE2")+COUNTIF($F$10:F67,"CM1"))))))</f>
        <v>CM2-3</v>
      </c>
    </row>
    <row r="68" customFormat="false" ht="15" hidden="false" customHeight="false" outlineLevel="0" collapsed="false">
      <c r="A68" s="52" t="n">
        <f aca="false">IF(D68="","",ROW()-9)</f>
        <v>59</v>
      </c>
      <c r="B68" s="53" t="str">
        <f aca="false">IF(F68="","",F68&amp;"-"&amp;TEXT(COUNTIF($F$10:F68,F68),"000")&amp;"-"&amp;RIGHT(LEFT(PARAMETRES!$C$9,4),2))</f>
        <v>CM2-004-26</v>
      </c>
      <c r="C68" s="54"/>
      <c r="D68" s="55" t="s">
        <v>522</v>
      </c>
      <c r="E68" s="56" t="s">
        <v>37</v>
      </c>
      <c r="F68" s="56" t="s">
        <v>23</v>
      </c>
      <c r="G68" s="57" t="n">
        <v>41852</v>
      </c>
      <c r="H68" s="52" t="n">
        <f aca="false">IF(G68="","",DATEDIF(G68,PARAMETRES!$C$13,"y"))</f>
        <v>12</v>
      </c>
      <c r="I68" s="56" t="s">
        <v>38</v>
      </c>
      <c r="J68" s="52" t="s">
        <v>68</v>
      </c>
      <c r="K68" s="52" t="s">
        <v>150</v>
      </c>
      <c r="L68" s="56" t="s">
        <v>39</v>
      </c>
      <c r="M68" s="52" t="s">
        <v>523</v>
      </c>
      <c r="N68" s="57" t="n">
        <v>41891</v>
      </c>
      <c r="O68" s="52" t="s">
        <v>150</v>
      </c>
      <c r="P68" s="56" t="s">
        <v>46</v>
      </c>
      <c r="Q68" s="56" t="s">
        <v>40</v>
      </c>
      <c r="R68" s="55" t="s">
        <v>313</v>
      </c>
      <c r="S68" s="52" t="s">
        <v>225</v>
      </c>
      <c r="T68" s="52" t="s">
        <v>68</v>
      </c>
      <c r="U68" s="52" t="s">
        <v>524</v>
      </c>
      <c r="V68" s="55" t="s">
        <v>525</v>
      </c>
      <c r="W68" s="52" t="s">
        <v>156</v>
      </c>
      <c r="X68" s="52" t="s">
        <v>68</v>
      </c>
      <c r="Y68" s="52" t="s">
        <v>526</v>
      </c>
      <c r="Z68" s="55" t="s">
        <v>527</v>
      </c>
      <c r="AA68" s="52" t="s">
        <v>192</v>
      </c>
      <c r="AB68" s="52" t="s">
        <v>68</v>
      </c>
      <c r="AC68" s="52" t="s">
        <v>528</v>
      </c>
      <c r="AD68" s="56" t="s">
        <v>46</v>
      </c>
      <c r="AE68" s="56" t="s">
        <v>48</v>
      </c>
      <c r="AF68" s="55" t="s">
        <v>259</v>
      </c>
      <c r="AG68" s="51" t="str">
        <f aca="false">IF(F68="","",F68&amp;"-"&amp;COUNTIF($F$10:F68,F68))</f>
        <v>CM2-4</v>
      </c>
      <c r="AH68" s="51" t="str">
        <f aca="false">IF(F68="","",IF(F68="CM2","CM2-"&amp;COUNTIF($F$10:F68,"CM2"),"P-"&amp;COUNTIFS($F$10:F68,"&lt;&gt;CM2",$F$10:F68,"&lt;&gt;")))</f>
        <v>CM2-4</v>
      </c>
      <c r="AI68" s="51" t="str">
        <f aca="false">IF(F68="","",IF(LEFT(F68,2)="CP","CP-"&amp;COUNTIF($F$10:F68,"CP*"),IF(F68="CE1","CE1-"&amp;COUNTIF($F$10:F68,"CE1"),IF(F68="CM2","CM2-"&amp;COUNTIF($F$10:F68,"CM2"),"CEM-"&amp;(COUNTIF($F$10:F68,"CE2")+COUNTIF($F$10:F68,"CM1"))))))</f>
        <v>CM2-4</v>
      </c>
    </row>
    <row r="69" customFormat="false" ht="15" hidden="false" customHeight="false" outlineLevel="0" collapsed="false">
      <c r="A69" s="52" t="n">
        <f aca="false">IF(D69="","",ROW()-9)</f>
        <v>60</v>
      </c>
      <c r="B69" s="53" t="str">
        <f aca="false">IF(F69="","",F69&amp;"-"&amp;TEXT(COUNTIF($F$10:F69,F69),"000")&amp;"-"&amp;RIGHT(LEFT(PARAMETRES!$C$9,4),2))</f>
        <v>CM2-005-26</v>
      </c>
      <c r="C69" s="54"/>
      <c r="D69" s="55" t="s">
        <v>529</v>
      </c>
      <c r="E69" s="56" t="s">
        <v>44</v>
      </c>
      <c r="F69" s="56" t="s">
        <v>23</v>
      </c>
      <c r="G69" s="57" t="n">
        <v>42314</v>
      </c>
      <c r="H69" s="52" t="n">
        <f aca="false">IF(G69="","",DATEDIF(G69,PARAMETRES!$C$13,"y"))</f>
        <v>11</v>
      </c>
      <c r="I69" s="56" t="s">
        <v>38</v>
      </c>
      <c r="J69" s="52" t="s">
        <v>68</v>
      </c>
      <c r="K69" s="52" t="s">
        <v>150</v>
      </c>
      <c r="L69" s="56" t="s">
        <v>39</v>
      </c>
      <c r="M69" s="52" t="s">
        <v>530</v>
      </c>
      <c r="N69" s="57" t="n">
        <v>42345</v>
      </c>
      <c r="O69" s="52" t="s">
        <v>150</v>
      </c>
      <c r="P69" s="56" t="s">
        <v>46</v>
      </c>
      <c r="Q69" s="56" t="s">
        <v>40</v>
      </c>
      <c r="R69" s="55" t="s">
        <v>471</v>
      </c>
      <c r="S69" s="52" t="s">
        <v>217</v>
      </c>
      <c r="T69" s="52" t="s">
        <v>68</v>
      </c>
      <c r="U69" s="52" t="s">
        <v>531</v>
      </c>
      <c r="V69" s="55" t="s">
        <v>532</v>
      </c>
      <c r="W69" s="52" t="s">
        <v>164</v>
      </c>
      <c r="X69" s="52" t="s">
        <v>68</v>
      </c>
      <c r="Y69" s="52" t="s">
        <v>533</v>
      </c>
      <c r="Z69" s="55"/>
      <c r="AA69" s="52"/>
      <c r="AB69" s="52"/>
      <c r="AC69" s="52"/>
      <c r="AD69" s="56" t="s">
        <v>46</v>
      </c>
      <c r="AE69" s="56" t="s">
        <v>48</v>
      </c>
      <c r="AF69" s="55" t="s">
        <v>259</v>
      </c>
      <c r="AG69" s="51" t="str">
        <f aca="false">IF(F69="","",F69&amp;"-"&amp;COUNTIF($F$10:F69,F69))</f>
        <v>CM2-5</v>
      </c>
      <c r="AH69" s="51" t="str">
        <f aca="false">IF(F69="","",IF(F69="CM2","CM2-"&amp;COUNTIF($F$10:F69,"CM2"),"P-"&amp;COUNTIFS($F$10:F69,"&lt;&gt;CM2",$F$10:F69,"&lt;&gt;")))</f>
        <v>CM2-5</v>
      </c>
      <c r="AI69" s="51" t="str">
        <f aca="false">IF(F69="","",IF(LEFT(F69,2)="CP","CP-"&amp;COUNTIF($F$10:F69,"CP*"),IF(F69="CE1","CE1-"&amp;COUNTIF($F$10:F69,"CE1"),IF(F69="CM2","CM2-"&amp;COUNTIF($F$10:F69,"CM2"),"CEM-"&amp;(COUNTIF($F$10:F69,"CE2")+COUNTIF($F$10:F69,"CM1"))))))</f>
        <v>CM2-5</v>
      </c>
    </row>
    <row r="70" customFormat="false" ht="22.35" hidden="false" customHeight="false" outlineLevel="0" collapsed="false">
      <c r="A70" s="52" t="n">
        <f aca="false">IF(D70="","",ROW()-9)</f>
        <v>61</v>
      </c>
      <c r="B70" s="53" t="str">
        <f aca="false">IF(F70="","",F70&amp;"-"&amp;TEXT(COUNTIF($F$10:F70,F70),"000")&amp;"-"&amp;RIGHT(LEFT(PARAMETRES!$C$9,4),2))</f>
        <v>CM2-006-26</v>
      </c>
      <c r="C70" s="54"/>
      <c r="D70" s="55" t="s">
        <v>534</v>
      </c>
      <c r="E70" s="56" t="s">
        <v>44</v>
      </c>
      <c r="F70" s="56" t="s">
        <v>23</v>
      </c>
      <c r="G70" s="57" t="n">
        <v>41858</v>
      </c>
      <c r="H70" s="52" t="n">
        <f aca="false">IF(G70="","",DATEDIF(G70,PARAMETRES!$C$13,"y"))</f>
        <v>12</v>
      </c>
      <c r="I70" s="56" t="s">
        <v>38</v>
      </c>
      <c r="J70" s="52" t="s">
        <v>68</v>
      </c>
      <c r="K70" s="52" t="s">
        <v>150</v>
      </c>
      <c r="L70" s="56" t="s">
        <v>46</v>
      </c>
      <c r="M70" s="52"/>
      <c r="N70" s="57"/>
      <c r="O70" s="52"/>
      <c r="P70" s="56" t="s">
        <v>39</v>
      </c>
      <c r="Q70" s="56" t="s">
        <v>57</v>
      </c>
      <c r="R70" s="55" t="s">
        <v>392</v>
      </c>
      <c r="S70" s="52" t="s">
        <v>217</v>
      </c>
      <c r="T70" s="52" t="s">
        <v>68</v>
      </c>
      <c r="U70" s="52" t="s">
        <v>535</v>
      </c>
      <c r="V70" s="55" t="s">
        <v>536</v>
      </c>
      <c r="W70" s="52" t="s">
        <v>220</v>
      </c>
      <c r="X70" s="52" t="s">
        <v>68</v>
      </c>
      <c r="Y70" s="52" t="s">
        <v>537</v>
      </c>
      <c r="Z70" s="55"/>
      <c r="AA70" s="52"/>
      <c r="AB70" s="52"/>
      <c r="AC70" s="52"/>
      <c r="AD70" s="56" t="s">
        <v>46</v>
      </c>
      <c r="AE70" s="56" t="s">
        <v>41</v>
      </c>
      <c r="AF70" s="55"/>
      <c r="AG70" s="51" t="str">
        <f aca="false">IF(F70="","",F70&amp;"-"&amp;COUNTIF($F$10:F70,F70))</f>
        <v>CM2-6</v>
      </c>
      <c r="AH70" s="51" t="str">
        <f aca="false">IF(F70="","",IF(F70="CM2","CM2-"&amp;COUNTIF($F$10:F70,"CM2"),"P-"&amp;COUNTIFS($F$10:F70,"&lt;&gt;CM2",$F$10:F70,"&lt;&gt;")))</f>
        <v>CM2-6</v>
      </c>
      <c r="AI70" s="51" t="str">
        <f aca="false">IF(F70="","",IF(LEFT(F70,2)="CP","CP-"&amp;COUNTIF($F$10:F70,"CP*"),IF(F70="CE1","CE1-"&amp;COUNTIF($F$10:F70,"CE1"),IF(F70="CM2","CM2-"&amp;COUNTIF($F$10:F70,"CM2"),"CEM-"&amp;(COUNTIF($F$10:F70,"CE2")+COUNTIF($F$10:F70,"CM1"))))))</f>
        <v>CM2-6</v>
      </c>
    </row>
    <row r="71" customFormat="false" ht="15" hidden="false" customHeight="false" outlineLevel="0" collapsed="false">
      <c r="A71" s="52" t="n">
        <f aca="false">IF(D71="","",ROW()-9)</f>
        <v>62</v>
      </c>
      <c r="B71" s="53" t="str">
        <f aca="false">IF(F71="","",F71&amp;"-"&amp;TEXT(COUNTIF($F$10:F71,F71),"000")&amp;"-"&amp;RIGHT(LEFT(PARAMETRES!$C$9,4),2))</f>
        <v>CM2-007-26</v>
      </c>
      <c r="C71" s="54"/>
      <c r="D71" s="55" t="s">
        <v>538</v>
      </c>
      <c r="E71" s="56" t="s">
        <v>44</v>
      </c>
      <c r="F71" s="56" t="s">
        <v>23</v>
      </c>
      <c r="G71" s="57" t="n">
        <v>41349</v>
      </c>
      <c r="H71" s="52" t="n">
        <f aca="false">IF(G71="","",DATEDIF(G71,PARAMETRES!$C$13,"y"))</f>
        <v>13</v>
      </c>
      <c r="I71" s="56" t="s">
        <v>38</v>
      </c>
      <c r="J71" s="52" t="s">
        <v>68</v>
      </c>
      <c r="K71" s="52" t="s">
        <v>150</v>
      </c>
      <c r="L71" s="56" t="s">
        <v>39</v>
      </c>
      <c r="M71" s="52" t="s">
        <v>539</v>
      </c>
      <c r="N71" s="57" t="n">
        <v>41377</v>
      </c>
      <c r="O71" s="52" t="s">
        <v>150</v>
      </c>
      <c r="P71" s="56" t="s">
        <v>46</v>
      </c>
      <c r="Q71" s="56" t="s">
        <v>40</v>
      </c>
      <c r="R71" s="55" t="s">
        <v>461</v>
      </c>
      <c r="S71" s="52" t="s">
        <v>183</v>
      </c>
      <c r="T71" s="52" t="s">
        <v>68</v>
      </c>
      <c r="U71" s="52" t="s">
        <v>540</v>
      </c>
      <c r="V71" s="55" t="s">
        <v>454</v>
      </c>
      <c r="W71" s="52" t="s">
        <v>164</v>
      </c>
      <c r="X71" s="52" t="s">
        <v>68</v>
      </c>
      <c r="Y71" s="52" t="s">
        <v>541</v>
      </c>
      <c r="Z71" s="55"/>
      <c r="AA71" s="52"/>
      <c r="AB71" s="52"/>
      <c r="AC71" s="52"/>
      <c r="AD71" s="56" t="s">
        <v>46</v>
      </c>
      <c r="AE71" s="56" t="s">
        <v>41</v>
      </c>
      <c r="AF71" s="55"/>
      <c r="AG71" s="51" t="str">
        <f aca="false">IF(F71="","",F71&amp;"-"&amp;COUNTIF($F$10:F71,F71))</f>
        <v>CM2-7</v>
      </c>
      <c r="AH71" s="51" t="str">
        <f aca="false">IF(F71="","",IF(F71="CM2","CM2-"&amp;COUNTIF($F$10:F71,"CM2"),"P-"&amp;COUNTIFS($F$10:F71,"&lt;&gt;CM2",$F$10:F71,"&lt;&gt;")))</f>
        <v>CM2-7</v>
      </c>
      <c r="AI71" s="51" t="str">
        <f aca="false">IF(F71="","",IF(LEFT(F71,2)="CP","CP-"&amp;COUNTIF($F$10:F71,"CP*"),IF(F71="CE1","CE1-"&amp;COUNTIF($F$10:F71,"CE1"),IF(F71="CM2","CM2-"&amp;COUNTIF($F$10:F71,"CM2"),"CEM-"&amp;(COUNTIF($F$10:F71,"CE2")+COUNTIF($F$10:F71,"CM1"))))))</f>
        <v>CM2-7</v>
      </c>
    </row>
    <row r="72" customFormat="false" ht="15" hidden="false" customHeight="false" outlineLevel="0" collapsed="false">
      <c r="A72" s="52" t="n">
        <f aca="false">IF(D72="","",ROW()-9)</f>
        <v>63</v>
      </c>
      <c r="B72" s="53" t="str">
        <f aca="false">IF(F72="","",F72&amp;"-"&amp;TEXT(COUNTIF($F$10:F72,F72),"000")&amp;"-"&amp;RIGHT(LEFT(PARAMETRES!$C$9,4),2))</f>
        <v>CM2-008-26</v>
      </c>
      <c r="C72" s="54"/>
      <c r="D72" s="55" t="s">
        <v>542</v>
      </c>
      <c r="E72" s="56" t="s">
        <v>37</v>
      </c>
      <c r="F72" s="56" t="s">
        <v>23</v>
      </c>
      <c r="G72" s="57" t="n">
        <v>42318</v>
      </c>
      <c r="H72" s="52" t="n">
        <f aca="false">IF(G72="","",DATEDIF(G72,PARAMETRES!$C$13,"y"))</f>
        <v>11</v>
      </c>
      <c r="I72" s="56" t="s">
        <v>38</v>
      </c>
      <c r="J72" s="52" t="s">
        <v>68</v>
      </c>
      <c r="K72" s="52" t="s">
        <v>150</v>
      </c>
      <c r="L72" s="56" t="s">
        <v>39</v>
      </c>
      <c r="M72" s="52" t="s">
        <v>543</v>
      </c>
      <c r="N72" s="57" t="n">
        <v>42367</v>
      </c>
      <c r="O72" s="52" t="s">
        <v>150</v>
      </c>
      <c r="P72" s="56" t="s">
        <v>46</v>
      </c>
      <c r="Q72" s="56" t="s">
        <v>40</v>
      </c>
      <c r="R72" s="55" t="s">
        <v>544</v>
      </c>
      <c r="S72" s="52" t="s">
        <v>153</v>
      </c>
      <c r="T72" s="52" t="s">
        <v>68</v>
      </c>
      <c r="U72" s="52" t="s">
        <v>545</v>
      </c>
      <c r="V72" s="55" t="s">
        <v>546</v>
      </c>
      <c r="W72" s="52" t="s">
        <v>220</v>
      </c>
      <c r="X72" s="52" t="s">
        <v>68</v>
      </c>
      <c r="Y72" s="52" t="s">
        <v>547</v>
      </c>
      <c r="Z72" s="55" t="s">
        <v>548</v>
      </c>
      <c r="AA72" s="52" t="s">
        <v>153</v>
      </c>
      <c r="AB72" s="52" t="s">
        <v>68</v>
      </c>
      <c r="AC72" s="52" t="s">
        <v>549</v>
      </c>
      <c r="AD72" s="56" t="s">
        <v>46</v>
      </c>
      <c r="AE72" s="56" t="s">
        <v>41</v>
      </c>
      <c r="AF72" s="55"/>
      <c r="AG72" s="51" t="str">
        <f aca="false">IF(F72="","",F72&amp;"-"&amp;COUNTIF($F$10:F72,F72))</f>
        <v>CM2-8</v>
      </c>
      <c r="AH72" s="51" t="str">
        <f aca="false">IF(F72="","",IF(F72="CM2","CM2-"&amp;COUNTIF($F$10:F72,"CM2"),"P-"&amp;COUNTIFS($F$10:F72,"&lt;&gt;CM2",$F$10:F72,"&lt;&gt;")))</f>
        <v>CM2-8</v>
      </c>
      <c r="AI72" s="51" t="str">
        <f aca="false">IF(F72="","",IF(LEFT(F72,2)="CP","CP-"&amp;COUNTIF($F$10:F72,"CP*"),IF(F72="CE1","CE1-"&amp;COUNTIF($F$10:F72,"CE1"),IF(F72="CM2","CM2-"&amp;COUNTIF($F$10:F72,"CM2"),"CEM-"&amp;(COUNTIF($F$10:F72,"CE2")+COUNTIF($F$10:F72,"CM1"))))))</f>
        <v>CM2-8</v>
      </c>
    </row>
    <row r="73" customFormat="false" ht="15" hidden="false" customHeight="false" outlineLevel="0" collapsed="false">
      <c r="A73" s="52" t="n">
        <f aca="false">IF(D73="","",ROW()-9)</f>
        <v>64</v>
      </c>
      <c r="B73" s="53" t="str">
        <f aca="false">IF(F73="","",F73&amp;"-"&amp;TEXT(COUNTIF($F$10:F73,F73),"000")&amp;"-"&amp;RIGHT(LEFT(PARAMETRES!$C$9,4),2))</f>
        <v>CM2-009-26</v>
      </c>
      <c r="C73" s="54"/>
      <c r="D73" s="55" t="s">
        <v>550</v>
      </c>
      <c r="E73" s="56" t="s">
        <v>37</v>
      </c>
      <c r="F73" s="56" t="s">
        <v>23</v>
      </c>
      <c r="G73" s="57" t="n">
        <v>42232</v>
      </c>
      <c r="H73" s="52" t="n">
        <f aca="false">IF(G73="","",DATEDIF(G73,PARAMETRES!$C$13,"y"))</f>
        <v>11</v>
      </c>
      <c r="I73" s="56" t="s">
        <v>38</v>
      </c>
      <c r="J73" s="52" t="s">
        <v>68</v>
      </c>
      <c r="K73" s="52" t="s">
        <v>150</v>
      </c>
      <c r="L73" s="56" t="s">
        <v>39</v>
      </c>
      <c r="M73" s="52" t="s">
        <v>551</v>
      </c>
      <c r="N73" s="57" t="n">
        <v>42266</v>
      </c>
      <c r="O73" s="52" t="s">
        <v>150</v>
      </c>
      <c r="P73" s="56" t="s">
        <v>46</v>
      </c>
      <c r="Q73" s="56" t="s">
        <v>40</v>
      </c>
      <c r="R73" s="55" t="s">
        <v>552</v>
      </c>
      <c r="S73" s="52" t="s">
        <v>192</v>
      </c>
      <c r="T73" s="52" t="s">
        <v>68</v>
      </c>
      <c r="U73" s="52" t="s">
        <v>553</v>
      </c>
      <c r="V73" s="55" t="s">
        <v>554</v>
      </c>
      <c r="W73" s="52" t="s">
        <v>200</v>
      </c>
      <c r="X73" s="52" t="s">
        <v>68</v>
      </c>
      <c r="Y73" s="52" t="s">
        <v>555</v>
      </c>
      <c r="Z73" s="55" t="s">
        <v>556</v>
      </c>
      <c r="AA73" s="52" t="s">
        <v>169</v>
      </c>
      <c r="AB73" s="52" t="s">
        <v>68</v>
      </c>
      <c r="AC73" s="52" t="s">
        <v>557</v>
      </c>
      <c r="AD73" s="56" t="s">
        <v>46</v>
      </c>
      <c r="AE73" s="56" t="s">
        <v>41</v>
      </c>
      <c r="AF73" s="55"/>
      <c r="AG73" s="51" t="str">
        <f aca="false">IF(F73="","",F73&amp;"-"&amp;COUNTIF($F$10:F73,F73))</f>
        <v>CM2-9</v>
      </c>
      <c r="AH73" s="51" t="str">
        <f aca="false">IF(F73="","",IF(F73="CM2","CM2-"&amp;COUNTIF($F$10:F73,"CM2"),"P-"&amp;COUNTIFS($F$10:F73,"&lt;&gt;CM2",$F$10:F73,"&lt;&gt;")))</f>
        <v>CM2-9</v>
      </c>
      <c r="AI73" s="51" t="str">
        <f aca="false">IF(F73="","",IF(LEFT(F73,2)="CP","CP-"&amp;COUNTIF($F$10:F73,"CP*"),IF(F73="CE1","CE1-"&amp;COUNTIF($F$10:F73,"CE1"),IF(F73="CM2","CM2-"&amp;COUNTIF($F$10:F73,"CM2"),"CEM-"&amp;(COUNTIF($F$10:F73,"CE2")+COUNTIF($F$10:F73,"CM1"))))))</f>
        <v>CM2-9</v>
      </c>
    </row>
    <row r="74" customFormat="false" ht="15" hidden="false" customHeight="false" outlineLevel="0" collapsed="false">
      <c r="A74" s="45" t="str">
        <f aca="false">IF(D74="","",ROW()-9)</f>
        <v/>
      </c>
      <c r="B74" s="45" t="str">
        <f aca="false">IF(F74="","",F74&amp;"-"&amp;TEXT(COUNTIF($F$10:F74,F74),"000")&amp;"-"&amp;RIGHT(LEFT(PARAMETRES!$C$9,4),2))</f>
        <v/>
      </c>
      <c r="C74" s="58"/>
      <c r="D74" s="45"/>
      <c r="E74" s="45"/>
      <c r="F74" s="45"/>
      <c r="G74" s="59"/>
      <c r="H74" s="45" t="str">
        <f aca="false">IF(G74="","",DATEDIF(G74,PARAMETRES!$C$13,"y"))</f>
        <v/>
      </c>
      <c r="I74" s="45"/>
      <c r="J74" s="45"/>
      <c r="K74" s="45"/>
      <c r="L74" s="45"/>
      <c r="M74" s="45"/>
      <c r="N74" s="59"/>
      <c r="O74" s="45"/>
      <c r="P74" s="45"/>
      <c r="Q74" s="45"/>
      <c r="R74" s="45"/>
      <c r="S74" s="45"/>
      <c r="T74" s="45"/>
      <c r="U74" s="45"/>
      <c r="V74" s="45"/>
      <c r="W74" s="45"/>
      <c r="X74" s="45"/>
      <c r="Y74" s="45"/>
      <c r="Z74" s="45"/>
      <c r="AA74" s="45"/>
      <c r="AB74" s="45"/>
      <c r="AC74" s="45"/>
      <c r="AD74" s="45"/>
      <c r="AE74" s="45"/>
      <c r="AF74" s="45"/>
      <c r="AG74" s="51" t="str">
        <f aca="false">IF(F74="","",F74&amp;"-"&amp;COUNTIF($F$10:F74,F74))</f>
        <v/>
      </c>
      <c r="AH74" s="51" t="str">
        <f aca="false">IF(F74="","",IF(F74="CM2","CM2-"&amp;COUNTIF($F$10:F74,"CM2"),"P-"&amp;COUNTIFS($F$10:F74,"&lt;&gt;CM2",$F$10:F74,"&lt;&gt;")))</f>
        <v/>
      </c>
      <c r="AI74" s="51" t="str">
        <f aca="false">IF(F74="","",IF(LEFT(F74,2)="CP","CP-"&amp;COUNTIF($F$10:F74,"CP*"),IF(F74="CE1","CE1-"&amp;COUNTIF($F$10:F74,"CE1"),IF(F74="CM2","CM2-"&amp;COUNTIF($F$10:F74,"CM2"),"CEM-"&amp;(COUNTIF($F$10:F74,"CE2")+COUNTIF($F$10:F74,"CM1"))))))</f>
        <v/>
      </c>
    </row>
    <row r="75" customFormat="false" ht="15" hidden="false" customHeight="false" outlineLevel="0" collapsed="false">
      <c r="A75" s="45" t="str">
        <f aca="false">IF(D75="","",ROW()-9)</f>
        <v/>
      </c>
      <c r="B75" s="45" t="str">
        <f aca="false">IF(F75="","",F75&amp;"-"&amp;TEXT(COUNTIF($F$10:F75,F75),"000")&amp;"-"&amp;RIGHT(LEFT(PARAMETRES!$C$9,4),2))</f>
        <v/>
      </c>
      <c r="C75" s="58"/>
      <c r="D75" s="45"/>
      <c r="E75" s="45"/>
      <c r="F75" s="45"/>
      <c r="G75" s="59"/>
      <c r="H75" s="45" t="str">
        <f aca="false">IF(G75="","",DATEDIF(G75,PARAMETRES!$C$13,"y"))</f>
        <v/>
      </c>
      <c r="I75" s="45"/>
      <c r="J75" s="45"/>
      <c r="K75" s="45"/>
      <c r="L75" s="45"/>
      <c r="M75" s="45"/>
      <c r="N75" s="59"/>
      <c r="O75" s="45"/>
      <c r="P75" s="45"/>
      <c r="Q75" s="45"/>
      <c r="R75" s="45"/>
      <c r="S75" s="45"/>
      <c r="T75" s="45"/>
      <c r="U75" s="45"/>
      <c r="V75" s="45"/>
      <c r="W75" s="45"/>
      <c r="X75" s="45"/>
      <c r="Y75" s="45"/>
      <c r="Z75" s="45"/>
      <c r="AA75" s="45"/>
      <c r="AB75" s="45"/>
      <c r="AC75" s="45"/>
      <c r="AD75" s="45"/>
      <c r="AE75" s="45"/>
      <c r="AF75" s="45"/>
      <c r="AG75" s="51" t="str">
        <f aca="false">IF(F75="","",F75&amp;"-"&amp;COUNTIF($F$10:F75,F75))</f>
        <v/>
      </c>
      <c r="AH75" s="51" t="str">
        <f aca="false">IF(F75="","",IF(F75="CM2","CM2-"&amp;COUNTIF($F$10:F75,"CM2"),"P-"&amp;COUNTIFS($F$10:F75,"&lt;&gt;CM2",$F$10:F75,"&lt;&gt;")))</f>
        <v/>
      </c>
      <c r="AI75" s="51" t="str">
        <f aca="false">IF(F75="","",IF(LEFT(F75,2)="CP","CP-"&amp;COUNTIF($F$10:F75,"CP*"),IF(F75="CE1","CE1-"&amp;COUNTIF($F$10:F75,"CE1"),IF(F75="CM2","CM2-"&amp;COUNTIF($F$10:F75,"CM2"),"CEM-"&amp;(COUNTIF($F$10:F75,"CE2")+COUNTIF($F$10:F75,"CM1"))))))</f>
        <v/>
      </c>
    </row>
    <row r="76" customFormat="false" ht="15" hidden="false" customHeight="false" outlineLevel="0" collapsed="false">
      <c r="A76" s="45" t="str">
        <f aca="false">IF(D76="","",ROW()-9)</f>
        <v/>
      </c>
      <c r="B76" s="45" t="str">
        <f aca="false">IF(F76="","",F76&amp;"-"&amp;TEXT(COUNTIF($F$10:F76,F76),"000")&amp;"-"&amp;RIGHT(LEFT(PARAMETRES!$C$9,4),2))</f>
        <v/>
      </c>
      <c r="C76" s="58"/>
      <c r="D76" s="45"/>
      <c r="E76" s="45"/>
      <c r="F76" s="45"/>
      <c r="G76" s="59"/>
      <c r="H76" s="45" t="str">
        <f aca="false">IF(G76="","",DATEDIF(G76,PARAMETRES!$C$13,"y"))</f>
        <v/>
      </c>
      <c r="I76" s="45"/>
      <c r="J76" s="45"/>
      <c r="K76" s="45"/>
      <c r="L76" s="45"/>
      <c r="M76" s="45"/>
      <c r="N76" s="59"/>
      <c r="O76" s="45"/>
      <c r="P76" s="45"/>
      <c r="Q76" s="45"/>
      <c r="R76" s="45"/>
      <c r="S76" s="45"/>
      <c r="T76" s="45"/>
      <c r="U76" s="45"/>
      <c r="V76" s="45"/>
      <c r="W76" s="45"/>
      <c r="X76" s="45"/>
      <c r="Y76" s="45"/>
      <c r="Z76" s="45"/>
      <c r="AA76" s="45"/>
      <c r="AB76" s="45"/>
      <c r="AC76" s="45"/>
      <c r="AD76" s="45"/>
      <c r="AE76" s="45"/>
      <c r="AF76" s="45"/>
      <c r="AG76" s="51" t="str">
        <f aca="false">IF(F76="","",F76&amp;"-"&amp;COUNTIF($F$10:F76,F76))</f>
        <v/>
      </c>
      <c r="AH76" s="51" t="str">
        <f aca="false">IF(F76="","",IF(F76="CM2","CM2-"&amp;COUNTIF($F$10:F76,"CM2"),"P-"&amp;COUNTIFS($F$10:F76,"&lt;&gt;CM2",$F$10:F76,"&lt;&gt;")))</f>
        <v/>
      </c>
      <c r="AI76" s="51" t="str">
        <f aca="false">IF(F76="","",IF(LEFT(F76,2)="CP","CP-"&amp;COUNTIF($F$10:F76,"CP*"),IF(F76="CE1","CE1-"&amp;COUNTIF($F$10:F76,"CE1"),IF(F76="CM2","CM2-"&amp;COUNTIF($F$10:F76,"CM2"),"CEM-"&amp;(COUNTIF($F$10:F76,"CE2")+COUNTIF($F$10:F76,"CM1"))))))</f>
        <v/>
      </c>
    </row>
    <row r="77" customFormat="false" ht="15" hidden="false" customHeight="false" outlineLevel="0" collapsed="false">
      <c r="A77" s="45" t="str">
        <f aca="false">IF(D77="","",ROW()-9)</f>
        <v/>
      </c>
      <c r="B77" s="45" t="str">
        <f aca="false">IF(F77="","",F77&amp;"-"&amp;TEXT(COUNTIF($F$10:F77,F77),"000")&amp;"-"&amp;RIGHT(LEFT(PARAMETRES!$C$9,4),2))</f>
        <v/>
      </c>
      <c r="C77" s="58"/>
      <c r="D77" s="45"/>
      <c r="E77" s="45"/>
      <c r="F77" s="45"/>
      <c r="G77" s="59"/>
      <c r="H77" s="45" t="str">
        <f aca="false">IF(G77="","",DATEDIF(G77,PARAMETRES!$C$13,"y"))</f>
        <v/>
      </c>
      <c r="I77" s="45"/>
      <c r="J77" s="45"/>
      <c r="K77" s="45"/>
      <c r="L77" s="45"/>
      <c r="M77" s="45"/>
      <c r="N77" s="59"/>
      <c r="O77" s="45"/>
      <c r="P77" s="45"/>
      <c r="Q77" s="45"/>
      <c r="R77" s="45"/>
      <c r="S77" s="45"/>
      <c r="T77" s="45"/>
      <c r="U77" s="45"/>
      <c r="V77" s="45"/>
      <c r="W77" s="45"/>
      <c r="X77" s="45"/>
      <c r="Y77" s="45"/>
      <c r="Z77" s="45"/>
      <c r="AA77" s="45"/>
      <c r="AB77" s="45"/>
      <c r="AC77" s="45"/>
      <c r="AD77" s="45"/>
      <c r="AE77" s="45"/>
      <c r="AF77" s="45"/>
      <c r="AG77" s="51" t="str">
        <f aca="false">IF(F77="","",F77&amp;"-"&amp;COUNTIF($F$10:F77,F77))</f>
        <v/>
      </c>
      <c r="AH77" s="51" t="str">
        <f aca="false">IF(F77="","",IF(F77="CM2","CM2-"&amp;COUNTIF($F$10:F77,"CM2"),"P-"&amp;COUNTIFS($F$10:F77,"&lt;&gt;CM2",$F$10:F77,"&lt;&gt;")))</f>
        <v/>
      </c>
      <c r="AI77" s="51" t="str">
        <f aca="false">IF(F77="","",IF(LEFT(F77,2)="CP","CP-"&amp;COUNTIF($F$10:F77,"CP*"),IF(F77="CE1","CE1-"&amp;COUNTIF($F$10:F77,"CE1"),IF(F77="CM2","CM2-"&amp;COUNTIF($F$10:F77,"CM2"),"CEM-"&amp;(COUNTIF($F$10:F77,"CE2")+COUNTIF($F$10:F77,"CM1"))))))</f>
        <v/>
      </c>
    </row>
    <row r="78" customFormat="false" ht="15" hidden="false" customHeight="false" outlineLevel="0" collapsed="false">
      <c r="A78" s="45" t="str">
        <f aca="false">IF(D78="","",ROW()-9)</f>
        <v/>
      </c>
      <c r="B78" s="45" t="str">
        <f aca="false">IF(F78="","",F78&amp;"-"&amp;TEXT(COUNTIF($F$10:F78,F78),"000")&amp;"-"&amp;RIGHT(LEFT(PARAMETRES!$C$9,4),2))</f>
        <v/>
      </c>
      <c r="C78" s="58"/>
      <c r="D78" s="45"/>
      <c r="E78" s="45"/>
      <c r="F78" s="45"/>
      <c r="G78" s="59"/>
      <c r="H78" s="45" t="str">
        <f aca="false">IF(G78="","",DATEDIF(G78,PARAMETRES!$C$13,"y"))</f>
        <v/>
      </c>
      <c r="I78" s="45"/>
      <c r="J78" s="45"/>
      <c r="K78" s="45"/>
      <c r="L78" s="45"/>
      <c r="M78" s="45"/>
      <c r="N78" s="59"/>
      <c r="O78" s="45"/>
      <c r="P78" s="45"/>
      <c r="Q78" s="45"/>
      <c r="R78" s="45"/>
      <c r="S78" s="45"/>
      <c r="T78" s="45"/>
      <c r="U78" s="45"/>
      <c r="V78" s="45"/>
      <c r="W78" s="45"/>
      <c r="X78" s="45"/>
      <c r="Y78" s="45"/>
      <c r="Z78" s="45"/>
      <c r="AA78" s="45"/>
      <c r="AB78" s="45"/>
      <c r="AC78" s="45"/>
      <c r="AD78" s="45"/>
      <c r="AE78" s="45"/>
      <c r="AF78" s="45"/>
      <c r="AG78" s="51" t="str">
        <f aca="false">IF(F78="","",F78&amp;"-"&amp;COUNTIF($F$10:F78,F78))</f>
        <v/>
      </c>
      <c r="AH78" s="51" t="str">
        <f aca="false">IF(F78="","",IF(F78="CM2","CM2-"&amp;COUNTIF($F$10:F78,"CM2"),"P-"&amp;COUNTIFS($F$10:F78,"&lt;&gt;CM2",$F$10:F78,"&lt;&gt;")))</f>
        <v/>
      </c>
      <c r="AI78" s="51" t="str">
        <f aca="false">IF(F78="","",IF(LEFT(F78,2)="CP","CP-"&amp;COUNTIF($F$10:F78,"CP*"),IF(F78="CE1","CE1-"&amp;COUNTIF($F$10:F78,"CE1"),IF(F78="CM2","CM2-"&amp;COUNTIF($F$10:F78,"CM2"),"CEM-"&amp;(COUNTIF($F$10:F78,"CE2")+COUNTIF($F$10:F78,"CM1"))))))</f>
        <v/>
      </c>
    </row>
    <row r="79" customFormat="false" ht="15" hidden="false" customHeight="false" outlineLevel="0" collapsed="false">
      <c r="A79" s="45" t="str">
        <f aca="false">IF(D79="","",ROW()-9)</f>
        <v/>
      </c>
      <c r="B79" s="45" t="str">
        <f aca="false">IF(F79="","",F79&amp;"-"&amp;TEXT(COUNTIF($F$10:F79,F79),"000")&amp;"-"&amp;RIGHT(LEFT(PARAMETRES!$C$9,4),2))</f>
        <v/>
      </c>
      <c r="C79" s="58"/>
      <c r="D79" s="45"/>
      <c r="E79" s="45"/>
      <c r="F79" s="45"/>
      <c r="G79" s="59"/>
      <c r="H79" s="45" t="str">
        <f aca="false">IF(G79="","",DATEDIF(G79,PARAMETRES!$C$13,"y"))</f>
        <v/>
      </c>
      <c r="I79" s="45"/>
      <c r="J79" s="45"/>
      <c r="K79" s="45"/>
      <c r="L79" s="45"/>
      <c r="M79" s="45"/>
      <c r="N79" s="59"/>
      <c r="O79" s="45"/>
      <c r="P79" s="45"/>
      <c r="Q79" s="45"/>
      <c r="R79" s="45"/>
      <c r="S79" s="45"/>
      <c r="T79" s="45"/>
      <c r="U79" s="45"/>
      <c r="V79" s="45"/>
      <c r="W79" s="45"/>
      <c r="X79" s="45"/>
      <c r="Y79" s="45"/>
      <c r="Z79" s="45"/>
      <c r="AA79" s="45"/>
      <c r="AB79" s="45"/>
      <c r="AC79" s="45"/>
      <c r="AD79" s="45"/>
      <c r="AE79" s="45"/>
      <c r="AF79" s="45"/>
      <c r="AG79" s="51" t="str">
        <f aca="false">IF(F79="","",F79&amp;"-"&amp;COUNTIF($F$10:F79,F79))</f>
        <v/>
      </c>
      <c r="AH79" s="51" t="str">
        <f aca="false">IF(F79="","",IF(F79="CM2","CM2-"&amp;COUNTIF($F$10:F79,"CM2"),"P-"&amp;COUNTIFS($F$10:F79,"&lt;&gt;CM2",$F$10:F79,"&lt;&gt;")))</f>
        <v/>
      </c>
      <c r="AI79" s="51" t="str">
        <f aca="false">IF(F79="","",IF(LEFT(F79,2)="CP","CP-"&amp;COUNTIF($F$10:F79,"CP*"),IF(F79="CE1","CE1-"&amp;COUNTIF($F$10:F79,"CE1"),IF(F79="CM2","CM2-"&amp;COUNTIF($F$10:F79,"CM2"),"CEM-"&amp;(COUNTIF($F$10:F79,"CE2")+COUNTIF($F$10:F79,"CM1"))))))</f>
        <v/>
      </c>
    </row>
    <row r="80" customFormat="false" ht="15" hidden="false" customHeight="false" outlineLevel="0" collapsed="false">
      <c r="A80" s="45" t="str">
        <f aca="false">IF(D80="","",ROW()-9)</f>
        <v/>
      </c>
      <c r="B80" s="45" t="str">
        <f aca="false">IF(F80="","",F80&amp;"-"&amp;TEXT(COUNTIF($F$10:F80,F80),"000")&amp;"-"&amp;RIGHT(LEFT(PARAMETRES!$C$9,4),2))</f>
        <v/>
      </c>
      <c r="C80" s="58"/>
      <c r="D80" s="45"/>
      <c r="E80" s="45"/>
      <c r="F80" s="45"/>
      <c r="G80" s="59"/>
      <c r="H80" s="45" t="str">
        <f aca="false">IF(G80="","",DATEDIF(G80,PARAMETRES!$C$13,"y"))</f>
        <v/>
      </c>
      <c r="I80" s="45"/>
      <c r="J80" s="45"/>
      <c r="K80" s="45"/>
      <c r="L80" s="45"/>
      <c r="M80" s="45"/>
      <c r="N80" s="59"/>
      <c r="O80" s="45"/>
      <c r="P80" s="45"/>
      <c r="Q80" s="45"/>
      <c r="R80" s="45"/>
      <c r="S80" s="45"/>
      <c r="T80" s="45"/>
      <c r="U80" s="45"/>
      <c r="V80" s="45"/>
      <c r="W80" s="45"/>
      <c r="X80" s="45"/>
      <c r="Y80" s="45"/>
      <c r="Z80" s="45"/>
      <c r="AA80" s="45"/>
      <c r="AB80" s="45"/>
      <c r="AC80" s="45"/>
      <c r="AD80" s="45"/>
      <c r="AE80" s="45"/>
      <c r="AF80" s="45"/>
      <c r="AG80" s="51" t="str">
        <f aca="false">IF(F80="","",F80&amp;"-"&amp;COUNTIF($F$10:F80,F80))</f>
        <v/>
      </c>
      <c r="AH80" s="51" t="str">
        <f aca="false">IF(F80="","",IF(F80="CM2","CM2-"&amp;COUNTIF($F$10:F80,"CM2"),"P-"&amp;COUNTIFS($F$10:F80,"&lt;&gt;CM2",$F$10:F80,"&lt;&gt;")))</f>
        <v/>
      </c>
      <c r="AI80" s="51" t="str">
        <f aca="false">IF(F80="","",IF(LEFT(F80,2)="CP","CP-"&amp;COUNTIF($F$10:F80,"CP*"),IF(F80="CE1","CE1-"&amp;COUNTIF($F$10:F80,"CE1"),IF(F80="CM2","CM2-"&amp;COUNTIF($F$10:F80,"CM2"),"CEM-"&amp;(COUNTIF($F$10:F80,"CE2")+COUNTIF($F$10:F80,"CM1"))))))</f>
        <v/>
      </c>
    </row>
    <row r="81" customFormat="false" ht="15" hidden="false" customHeight="false" outlineLevel="0" collapsed="false">
      <c r="A81" s="45" t="str">
        <f aca="false">IF(D81="","",ROW()-9)</f>
        <v/>
      </c>
      <c r="B81" s="45" t="str">
        <f aca="false">IF(F81="","",F81&amp;"-"&amp;TEXT(COUNTIF($F$10:F81,F81),"000")&amp;"-"&amp;RIGHT(LEFT(PARAMETRES!$C$9,4),2))</f>
        <v/>
      </c>
      <c r="C81" s="58"/>
      <c r="D81" s="45"/>
      <c r="E81" s="45"/>
      <c r="F81" s="45"/>
      <c r="G81" s="59"/>
      <c r="H81" s="45" t="str">
        <f aca="false">IF(G81="","",DATEDIF(G81,PARAMETRES!$C$13,"y"))</f>
        <v/>
      </c>
      <c r="I81" s="45"/>
      <c r="J81" s="45"/>
      <c r="K81" s="45"/>
      <c r="L81" s="45"/>
      <c r="M81" s="45"/>
      <c r="N81" s="59"/>
      <c r="O81" s="45"/>
      <c r="P81" s="45"/>
      <c r="Q81" s="45"/>
      <c r="R81" s="45"/>
      <c r="S81" s="45"/>
      <c r="T81" s="45"/>
      <c r="U81" s="45"/>
      <c r="V81" s="45"/>
      <c r="W81" s="45"/>
      <c r="X81" s="45"/>
      <c r="Y81" s="45"/>
      <c r="Z81" s="45"/>
      <c r="AA81" s="45"/>
      <c r="AB81" s="45"/>
      <c r="AC81" s="45"/>
      <c r="AD81" s="45"/>
      <c r="AE81" s="45"/>
      <c r="AF81" s="45"/>
      <c r="AG81" s="51" t="str">
        <f aca="false">IF(F81="","",F81&amp;"-"&amp;COUNTIF($F$10:F81,F81))</f>
        <v/>
      </c>
      <c r="AH81" s="51" t="str">
        <f aca="false">IF(F81="","",IF(F81="CM2","CM2-"&amp;COUNTIF($F$10:F81,"CM2"),"P-"&amp;COUNTIFS($F$10:F81,"&lt;&gt;CM2",$F$10:F81,"&lt;&gt;")))</f>
        <v/>
      </c>
      <c r="AI81" s="51" t="str">
        <f aca="false">IF(F81="","",IF(LEFT(F81,2)="CP","CP-"&amp;COUNTIF($F$10:F81,"CP*"),IF(F81="CE1","CE1-"&amp;COUNTIF($F$10:F81,"CE1"),IF(F81="CM2","CM2-"&amp;COUNTIF($F$10:F81,"CM2"),"CEM-"&amp;(COUNTIF($F$10:F81,"CE2")+COUNTIF($F$10:F81,"CM1"))))))</f>
        <v/>
      </c>
    </row>
    <row r="82" customFormat="false" ht="15" hidden="false" customHeight="false" outlineLevel="0" collapsed="false">
      <c r="A82" s="45" t="str">
        <f aca="false">IF(D82="","",ROW()-9)</f>
        <v/>
      </c>
      <c r="B82" s="45" t="str">
        <f aca="false">IF(F82="","",F82&amp;"-"&amp;TEXT(COUNTIF($F$10:F82,F82),"000")&amp;"-"&amp;RIGHT(LEFT(PARAMETRES!$C$9,4),2))</f>
        <v/>
      </c>
      <c r="C82" s="58"/>
      <c r="D82" s="45"/>
      <c r="E82" s="45"/>
      <c r="F82" s="45"/>
      <c r="G82" s="59"/>
      <c r="H82" s="45" t="str">
        <f aca="false">IF(G82="","",DATEDIF(G82,PARAMETRES!$C$13,"y"))</f>
        <v/>
      </c>
      <c r="I82" s="45"/>
      <c r="J82" s="45"/>
      <c r="K82" s="45"/>
      <c r="L82" s="45"/>
      <c r="M82" s="45"/>
      <c r="N82" s="59"/>
      <c r="O82" s="45"/>
      <c r="P82" s="45"/>
      <c r="Q82" s="45"/>
      <c r="R82" s="45"/>
      <c r="S82" s="45"/>
      <c r="T82" s="45"/>
      <c r="U82" s="45"/>
      <c r="V82" s="45"/>
      <c r="W82" s="45"/>
      <c r="X82" s="45"/>
      <c r="Y82" s="45"/>
      <c r="Z82" s="45"/>
      <c r="AA82" s="45"/>
      <c r="AB82" s="45"/>
      <c r="AC82" s="45"/>
      <c r="AD82" s="45"/>
      <c r="AE82" s="45"/>
      <c r="AF82" s="45"/>
      <c r="AG82" s="51" t="str">
        <f aca="false">IF(F82="","",F82&amp;"-"&amp;COUNTIF($F$10:F82,F82))</f>
        <v/>
      </c>
      <c r="AH82" s="51" t="str">
        <f aca="false">IF(F82="","",IF(F82="CM2","CM2-"&amp;COUNTIF($F$10:F82,"CM2"),"P-"&amp;COUNTIFS($F$10:F82,"&lt;&gt;CM2",$F$10:F82,"&lt;&gt;")))</f>
        <v/>
      </c>
      <c r="AI82" s="51" t="str">
        <f aca="false">IF(F82="","",IF(LEFT(F82,2)="CP","CP-"&amp;COUNTIF($F$10:F82,"CP*"),IF(F82="CE1","CE1-"&amp;COUNTIF($F$10:F82,"CE1"),IF(F82="CM2","CM2-"&amp;COUNTIF($F$10:F82,"CM2"),"CEM-"&amp;(COUNTIF($F$10:F82,"CE2")+COUNTIF($F$10:F82,"CM1"))))))</f>
        <v/>
      </c>
    </row>
    <row r="83" customFormat="false" ht="15" hidden="false" customHeight="false" outlineLevel="0" collapsed="false">
      <c r="A83" s="45" t="str">
        <f aca="false">IF(D83="","",ROW()-9)</f>
        <v/>
      </c>
      <c r="B83" s="45" t="str">
        <f aca="false">IF(F83="","",F83&amp;"-"&amp;TEXT(COUNTIF($F$10:F83,F83),"000")&amp;"-"&amp;RIGHT(LEFT(PARAMETRES!$C$9,4),2))</f>
        <v/>
      </c>
      <c r="C83" s="58"/>
      <c r="D83" s="45"/>
      <c r="E83" s="45"/>
      <c r="F83" s="45"/>
      <c r="G83" s="59"/>
      <c r="H83" s="45" t="str">
        <f aca="false">IF(G83="","",DATEDIF(G83,PARAMETRES!$C$13,"y"))</f>
        <v/>
      </c>
      <c r="I83" s="45"/>
      <c r="J83" s="45"/>
      <c r="K83" s="45"/>
      <c r="L83" s="45"/>
      <c r="M83" s="45"/>
      <c r="N83" s="59"/>
      <c r="O83" s="45"/>
      <c r="P83" s="45"/>
      <c r="Q83" s="45"/>
      <c r="R83" s="45"/>
      <c r="S83" s="45"/>
      <c r="T83" s="45"/>
      <c r="U83" s="45"/>
      <c r="V83" s="45"/>
      <c r="W83" s="45"/>
      <c r="X83" s="45"/>
      <c r="Y83" s="45"/>
      <c r="Z83" s="45"/>
      <c r="AA83" s="45"/>
      <c r="AB83" s="45"/>
      <c r="AC83" s="45"/>
      <c r="AD83" s="45"/>
      <c r="AE83" s="45"/>
      <c r="AF83" s="45"/>
      <c r="AG83" s="51" t="str">
        <f aca="false">IF(F83="","",F83&amp;"-"&amp;COUNTIF($F$10:F83,F83))</f>
        <v/>
      </c>
      <c r="AH83" s="51" t="str">
        <f aca="false">IF(F83="","",IF(F83="CM2","CM2-"&amp;COUNTIF($F$10:F83,"CM2"),"P-"&amp;COUNTIFS($F$10:F83,"&lt;&gt;CM2",$F$10:F83,"&lt;&gt;")))</f>
        <v/>
      </c>
      <c r="AI83" s="51" t="str">
        <f aca="false">IF(F83="","",IF(LEFT(F83,2)="CP","CP-"&amp;COUNTIF($F$10:F83,"CP*"),IF(F83="CE1","CE1-"&amp;COUNTIF($F$10:F83,"CE1"),IF(F83="CM2","CM2-"&amp;COUNTIF($F$10:F83,"CM2"),"CEM-"&amp;(COUNTIF($F$10:F83,"CE2")+COUNTIF($F$10:F83,"CM1"))))))</f>
        <v/>
      </c>
    </row>
    <row r="84" customFormat="false" ht="15" hidden="false" customHeight="false" outlineLevel="0" collapsed="false">
      <c r="A84" s="45" t="str">
        <f aca="false">IF(D84="","",ROW()-9)</f>
        <v/>
      </c>
      <c r="B84" s="45" t="str">
        <f aca="false">IF(F84="","",F84&amp;"-"&amp;TEXT(COUNTIF($F$10:F84,F84),"000")&amp;"-"&amp;RIGHT(LEFT(PARAMETRES!$C$9,4),2))</f>
        <v/>
      </c>
      <c r="C84" s="58"/>
      <c r="D84" s="45"/>
      <c r="E84" s="45"/>
      <c r="F84" s="45"/>
      <c r="G84" s="59"/>
      <c r="H84" s="45" t="str">
        <f aca="false">IF(G84="","",DATEDIF(G84,PARAMETRES!$C$13,"y"))</f>
        <v/>
      </c>
      <c r="I84" s="45"/>
      <c r="J84" s="45"/>
      <c r="K84" s="45"/>
      <c r="L84" s="45"/>
      <c r="M84" s="45"/>
      <c r="N84" s="59"/>
      <c r="O84" s="45"/>
      <c r="P84" s="45"/>
      <c r="Q84" s="45"/>
      <c r="R84" s="45"/>
      <c r="S84" s="45"/>
      <c r="T84" s="45"/>
      <c r="U84" s="45"/>
      <c r="V84" s="45"/>
      <c r="W84" s="45"/>
      <c r="X84" s="45"/>
      <c r="Y84" s="45"/>
      <c r="Z84" s="45"/>
      <c r="AA84" s="45"/>
      <c r="AB84" s="45"/>
      <c r="AC84" s="45"/>
      <c r="AD84" s="45"/>
      <c r="AE84" s="45"/>
      <c r="AF84" s="45"/>
      <c r="AG84" s="51" t="str">
        <f aca="false">IF(F84="","",F84&amp;"-"&amp;COUNTIF($F$10:F84,F84))</f>
        <v/>
      </c>
      <c r="AH84" s="51" t="str">
        <f aca="false">IF(F84="","",IF(F84="CM2","CM2-"&amp;COUNTIF($F$10:F84,"CM2"),"P-"&amp;COUNTIFS($F$10:F84,"&lt;&gt;CM2",$F$10:F84,"&lt;&gt;")))</f>
        <v/>
      </c>
      <c r="AI84" s="51" t="str">
        <f aca="false">IF(F84="","",IF(LEFT(F84,2)="CP","CP-"&amp;COUNTIF($F$10:F84,"CP*"),IF(F84="CE1","CE1-"&amp;COUNTIF($F$10:F84,"CE1"),IF(F84="CM2","CM2-"&amp;COUNTIF($F$10:F84,"CM2"),"CEM-"&amp;(COUNTIF($F$10:F84,"CE2")+COUNTIF($F$10:F84,"CM1"))))))</f>
        <v/>
      </c>
    </row>
    <row r="85" customFormat="false" ht="15" hidden="false" customHeight="false" outlineLevel="0" collapsed="false">
      <c r="A85" s="45" t="str">
        <f aca="false">IF(D85="","",ROW()-9)</f>
        <v/>
      </c>
      <c r="B85" s="45" t="str">
        <f aca="false">IF(F85="","",F85&amp;"-"&amp;TEXT(COUNTIF($F$10:F85,F85),"000")&amp;"-"&amp;RIGHT(LEFT(PARAMETRES!$C$9,4),2))</f>
        <v/>
      </c>
      <c r="C85" s="58"/>
      <c r="D85" s="45"/>
      <c r="E85" s="45"/>
      <c r="F85" s="45"/>
      <c r="G85" s="59"/>
      <c r="H85" s="45" t="str">
        <f aca="false">IF(G85="","",DATEDIF(G85,PARAMETRES!$C$13,"y"))</f>
        <v/>
      </c>
      <c r="I85" s="45"/>
      <c r="J85" s="45"/>
      <c r="K85" s="45"/>
      <c r="L85" s="45"/>
      <c r="M85" s="45"/>
      <c r="N85" s="59"/>
      <c r="O85" s="45"/>
      <c r="P85" s="45"/>
      <c r="Q85" s="45"/>
      <c r="R85" s="45"/>
      <c r="S85" s="45"/>
      <c r="T85" s="45"/>
      <c r="U85" s="45"/>
      <c r="V85" s="45"/>
      <c r="W85" s="45"/>
      <c r="X85" s="45"/>
      <c r="Y85" s="45"/>
      <c r="Z85" s="45"/>
      <c r="AA85" s="45"/>
      <c r="AB85" s="45"/>
      <c r="AC85" s="45"/>
      <c r="AD85" s="45"/>
      <c r="AE85" s="45"/>
      <c r="AF85" s="45"/>
      <c r="AG85" s="51" t="str">
        <f aca="false">IF(F85="","",F85&amp;"-"&amp;COUNTIF($F$10:F85,F85))</f>
        <v/>
      </c>
      <c r="AH85" s="51" t="str">
        <f aca="false">IF(F85="","",IF(F85="CM2","CM2-"&amp;COUNTIF($F$10:F85,"CM2"),"P-"&amp;COUNTIFS($F$10:F85,"&lt;&gt;CM2",$F$10:F85,"&lt;&gt;")))</f>
        <v/>
      </c>
      <c r="AI85" s="51" t="str">
        <f aca="false">IF(F85="","",IF(LEFT(F85,2)="CP","CP-"&amp;COUNTIF($F$10:F85,"CP*"),IF(F85="CE1","CE1-"&amp;COUNTIF($F$10:F85,"CE1"),IF(F85="CM2","CM2-"&amp;COUNTIF($F$10:F85,"CM2"),"CEM-"&amp;(COUNTIF($F$10:F85,"CE2")+COUNTIF($F$10:F85,"CM1"))))))</f>
        <v/>
      </c>
    </row>
    <row r="86" customFormat="false" ht="15" hidden="false" customHeight="false" outlineLevel="0" collapsed="false">
      <c r="A86" s="45" t="str">
        <f aca="false">IF(D86="","",ROW()-9)</f>
        <v/>
      </c>
      <c r="B86" s="45" t="str">
        <f aca="false">IF(F86="","",F86&amp;"-"&amp;TEXT(COUNTIF($F$10:F86,F86),"000")&amp;"-"&amp;RIGHT(LEFT(PARAMETRES!$C$9,4),2))</f>
        <v/>
      </c>
      <c r="C86" s="58"/>
      <c r="D86" s="45"/>
      <c r="E86" s="45"/>
      <c r="F86" s="45"/>
      <c r="G86" s="59"/>
      <c r="H86" s="45" t="str">
        <f aca="false">IF(G86="","",DATEDIF(G86,PARAMETRES!$C$13,"y"))</f>
        <v/>
      </c>
      <c r="I86" s="45"/>
      <c r="J86" s="45"/>
      <c r="K86" s="45"/>
      <c r="L86" s="45"/>
      <c r="M86" s="45"/>
      <c r="N86" s="59"/>
      <c r="O86" s="45"/>
      <c r="P86" s="45"/>
      <c r="Q86" s="45"/>
      <c r="R86" s="45"/>
      <c r="S86" s="45"/>
      <c r="T86" s="45"/>
      <c r="U86" s="45"/>
      <c r="V86" s="45"/>
      <c r="W86" s="45"/>
      <c r="X86" s="45"/>
      <c r="Y86" s="45"/>
      <c r="Z86" s="45"/>
      <c r="AA86" s="45"/>
      <c r="AB86" s="45"/>
      <c r="AC86" s="45"/>
      <c r="AD86" s="45"/>
      <c r="AE86" s="45"/>
      <c r="AF86" s="45"/>
      <c r="AG86" s="51" t="str">
        <f aca="false">IF(F86="","",F86&amp;"-"&amp;COUNTIF($F$10:F86,F86))</f>
        <v/>
      </c>
      <c r="AH86" s="51" t="str">
        <f aca="false">IF(F86="","",IF(F86="CM2","CM2-"&amp;COUNTIF($F$10:F86,"CM2"),"P-"&amp;COUNTIFS($F$10:F86,"&lt;&gt;CM2",$F$10:F86,"&lt;&gt;")))</f>
        <v/>
      </c>
      <c r="AI86" s="51" t="str">
        <f aca="false">IF(F86="","",IF(LEFT(F86,2)="CP","CP-"&amp;COUNTIF($F$10:F86,"CP*"),IF(F86="CE1","CE1-"&amp;COUNTIF($F$10:F86,"CE1"),IF(F86="CM2","CM2-"&amp;COUNTIF($F$10:F86,"CM2"),"CEM-"&amp;(COUNTIF($F$10:F86,"CE2")+COUNTIF($F$10:F86,"CM1"))))))</f>
        <v/>
      </c>
    </row>
    <row r="87" customFormat="false" ht="15" hidden="false" customHeight="false" outlineLevel="0" collapsed="false">
      <c r="A87" s="45" t="str">
        <f aca="false">IF(D87="","",ROW()-9)</f>
        <v/>
      </c>
      <c r="B87" s="45" t="str">
        <f aca="false">IF(F87="","",F87&amp;"-"&amp;TEXT(COUNTIF($F$10:F87,F87),"000")&amp;"-"&amp;RIGHT(LEFT(PARAMETRES!$C$9,4),2))</f>
        <v/>
      </c>
      <c r="C87" s="58"/>
      <c r="D87" s="45"/>
      <c r="E87" s="45"/>
      <c r="F87" s="45"/>
      <c r="G87" s="59"/>
      <c r="H87" s="45" t="str">
        <f aca="false">IF(G87="","",DATEDIF(G87,PARAMETRES!$C$13,"y"))</f>
        <v/>
      </c>
      <c r="I87" s="45"/>
      <c r="J87" s="45"/>
      <c r="K87" s="45"/>
      <c r="L87" s="45"/>
      <c r="M87" s="45"/>
      <c r="N87" s="59"/>
      <c r="O87" s="45"/>
      <c r="P87" s="45"/>
      <c r="Q87" s="45"/>
      <c r="R87" s="45"/>
      <c r="S87" s="45"/>
      <c r="T87" s="45"/>
      <c r="U87" s="45"/>
      <c r="V87" s="45"/>
      <c r="W87" s="45"/>
      <c r="X87" s="45"/>
      <c r="Y87" s="45"/>
      <c r="Z87" s="45"/>
      <c r="AA87" s="45"/>
      <c r="AB87" s="45"/>
      <c r="AC87" s="45"/>
      <c r="AD87" s="45"/>
      <c r="AE87" s="45"/>
      <c r="AF87" s="45"/>
      <c r="AG87" s="51" t="str">
        <f aca="false">IF(F87="","",F87&amp;"-"&amp;COUNTIF($F$10:F87,F87))</f>
        <v/>
      </c>
      <c r="AH87" s="51" t="str">
        <f aca="false">IF(F87="","",IF(F87="CM2","CM2-"&amp;COUNTIF($F$10:F87,"CM2"),"P-"&amp;COUNTIFS($F$10:F87,"&lt;&gt;CM2",$F$10:F87,"&lt;&gt;")))</f>
        <v/>
      </c>
      <c r="AI87" s="51" t="str">
        <f aca="false">IF(F87="","",IF(LEFT(F87,2)="CP","CP-"&amp;COUNTIF($F$10:F87,"CP*"),IF(F87="CE1","CE1-"&amp;COUNTIF($F$10:F87,"CE1"),IF(F87="CM2","CM2-"&amp;COUNTIF($F$10:F87,"CM2"),"CEM-"&amp;(COUNTIF($F$10:F87,"CE2")+COUNTIF($F$10:F87,"CM1"))))))</f>
        <v/>
      </c>
    </row>
    <row r="88" customFormat="false" ht="15" hidden="false" customHeight="false" outlineLevel="0" collapsed="false">
      <c r="A88" s="45" t="str">
        <f aca="false">IF(D88="","",ROW()-9)</f>
        <v/>
      </c>
      <c r="B88" s="45" t="str">
        <f aca="false">IF(F88="","",F88&amp;"-"&amp;TEXT(COUNTIF($F$10:F88,F88),"000")&amp;"-"&amp;RIGHT(LEFT(PARAMETRES!$C$9,4),2))</f>
        <v/>
      </c>
      <c r="C88" s="58"/>
      <c r="D88" s="45"/>
      <c r="E88" s="45"/>
      <c r="F88" s="45"/>
      <c r="G88" s="59"/>
      <c r="H88" s="45" t="str">
        <f aca="false">IF(G88="","",DATEDIF(G88,PARAMETRES!$C$13,"y"))</f>
        <v/>
      </c>
      <c r="I88" s="45"/>
      <c r="J88" s="45"/>
      <c r="K88" s="45"/>
      <c r="L88" s="45"/>
      <c r="M88" s="45"/>
      <c r="N88" s="59"/>
      <c r="O88" s="45"/>
      <c r="P88" s="45"/>
      <c r="Q88" s="45"/>
      <c r="R88" s="45"/>
      <c r="S88" s="45"/>
      <c r="T88" s="45"/>
      <c r="U88" s="45"/>
      <c r="V88" s="45"/>
      <c r="W88" s="45"/>
      <c r="X88" s="45"/>
      <c r="Y88" s="45"/>
      <c r="Z88" s="45"/>
      <c r="AA88" s="45"/>
      <c r="AB88" s="45"/>
      <c r="AC88" s="45"/>
      <c r="AD88" s="45"/>
      <c r="AE88" s="45"/>
      <c r="AF88" s="45"/>
      <c r="AG88" s="51" t="str">
        <f aca="false">IF(F88="","",F88&amp;"-"&amp;COUNTIF($F$10:F88,F88))</f>
        <v/>
      </c>
      <c r="AH88" s="51" t="str">
        <f aca="false">IF(F88="","",IF(F88="CM2","CM2-"&amp;COUNTIF($F$10:F88,"CM2"),"P-"&amp;COUNTIFS($F$10:F88,"&lt;&gt;CM2",$F$10:F88,"&lt;&gt;")))</f>
        <v/>
      </c>
      <c r="AI88" s="51" t="str">
        <f aca="false">IF(F88="","",IF(LEFT(F88,2)="CP","CP-"&amp;COUNTIF($F$10:F88,"CP*"),IF(F88="CE1","CE1-"&amp;COUNTIF($F$10:F88,"CE1"),IF(F88="CM2","CM2-"&amp;COUNTIF($F$10:F88,"CM2"),"CEM-"&amp;(COUNTIF($F$10:F88,"CE2")+COUNTIF($F$10:F88,"CM1"))))))</f>
        <v/>
      </c>
    </row>
    <row r="89" customFormat="false" ht="15" hidden="false" customHeight="false" outlineLevel="0" collapsed="false">
      <c r="A89" s="45" t="str">
        <f aca="false">IF(D89="","",ROW()-9)</f>
        <v/>
      </c>
      <c r="B89" s="45" t="str">
        <f aca="false">IF(F89="","",F89&amp;"-"&amp;TEXT(COUNTIF($F$10:F89,F89),"000")&amp;"-"&amp;RIGHT(LEFT(PARAMETRES!$C$9,4),2))</f>
        <v/>
      </c>
      <c r="C89" s="58"/>
      <c r="D89" s="45"/>
      <c r="E89" s="45"/>
      <c r="F89" s="45"/>
      <c r="G89" s="59"/>
      <c r="H89" s="45" t="str">
        <f aca="false">IF(G89="","",DATEDIF(G89,PARAMETRES!$C$13,"y"))</f>
        <v/>
      </c>
      <c r="I89" s="45"/>
      <c r="J89" s="45"/>
      <c r="K89" s="45"/>
      <c r="L89" s="45"/>
      <c r="M89" s="45"/>
      <c r="N89" s="59"/>
      <c r="O89" s="45"/>
      <c r="P89" s="45"/>
      <c r="Q89" s="45"/>
      <c r="R89" s="45"/>
      <c r="S89" s="45"/>
      <c r="T89" s="45"/>
      <c r="U89" s="45"/>
      <c r="V89" s="45"/>
      <c r="W89" s="45"/>
      <c r="X89" s="45"/>
      <c r="Y89" s="45"/>
      <c r="Z89" s="45"/>
      <c r="AA89" s="45"/>
      <c r="AB89" s="45"/>
      <c r="AC89" s="45"/>
      <c r="AD89" s="45"/>
      <c r="AE89" s="45"/>
      <c r="AF89" s="45"/>
      <c r="AG89" s="51" t="str">
        <f aca="false">IF(F89="","",F89&amp;"-"&amp;COUNTIF($F$10:F89,F89))</f>
        <v/>
      </c>
      <c r="AH89" s="51" t="str">
        <f aca="false">IF(F89="","",IF(F89="CM2","CM2-"&amp;COUNTIF($F$10:F89,"CM2"),"P-"&amp;COUNTIFS($F$10:F89,"&lt;&gt;CM2",$F$10:F89,"&lt;&gt;")))</f>
        <v/>
      </c>
      <c r="AI89" s="51" t="str">
        <f aca="false">IF(F89="","",IF(LEFT(F89,2)="CP","CP-"&amp;COUNTIF($F$10:F89,"CP*"),IF(F89="CE1","CE1-"&amp;COUNTIF($F$10:F89,"CE1"),IF(F89="CM2","CM2-"&amp;COUNTIF($F$10:F89,"CM2"),"CEM-"&amp;(COUNTIF($F$10:F89,"CE2")+COUNTIF($F$10:F89,"CM1"))))))</f>
        <v/>
      </c>
    </row>
    <row r="90" customFormat="false" ht="15" hidden="false" customHeight="false" outlineLevel="0" collapsed="false">
      <c r="A90" s="45" t="str">
        <f aca="false">IF(D90="","",ROW()-9)</f>
        <v/>
      </c>
      <c r="B90" s="45" t="str">
        <f aca="false">IF(F90="","",F90&amp;"-"&amp;TEXT(COUNTIF($F$10:F90,F90),"000")&amp;"-"&amp;RIGHT(LEFT(PARAMETRES!$C$9,4),2))</f>
        <v/>
      </c>
      <c r="C90" s="58"/>
      <c r="D90" s="45"/>
      <c r="E90" s="45"/>
      <c r="F90" s="45"/>
      <c r="G90" s="59"/>
      <c r="H90" s="45" t="str">
        <f aca="false">IF(G90="","",DATEDIF(G90,PARAMETRES!$C$13,"y"))</f>
        <v/>
      </c>
      <c r="I90" s="45"/>
      <c r="J90" s="45"/>
      <c r="K90" s="45"/>
      <c r="L90" s="45"/>
      <c r="M90" s="45"/>
      <c r="N90" s="59"/>
      <c r="O90" s="45"/>
      <c r="P90" s="45"/>
      <c r="Q90" s="45"/>
      <c r="R90" s="45"/>
      <c r="S90" s="45"/>
      <c r="T90" s="45"/>
      <c r="U90" s="45"/>
      <c r="V90" s="45"/>
      <c r="W90" s="45"/>
      <c r="X90" s="45"/>
      <c r="Y90" s="45"/>
      <c r="Z90" s="45"/>
      <c r="AA90" s="45"/>
      <c r="AB90" s="45"/>
      <c r="AC90" s="45"/>
      <c r="AD90" s="45"/>
      <c r="AE90" s="45"/>
      <c r="AF90" s="45"/>
      <c r="AG90" s="51" t="str">
        <f aca="false">IF(F90="","",F90&amp;"-"&amp;COUNTIF($F$10:F90,F90))</f>
        <v/>
      </c>
      <c r="AH90" s="51" t="str">
        <f aca="false">IF(F90="","",IF(F90="CM2","CM2-"&amp;COUNTIF($F$10:F90,"CM2"),"P-"&amp;COUNTIFS($F$10:F90,"&lt;&gt;CM2",$F$10:F90,"&lt;&gt;")))</f>
        <v/>
      </c>
      <c r="AI90" s="51" t="str">
        <f aca="false">IF(F90="","",IF(LEFT(F90,2)="CP","CP-"&amp;COUNTIF($F$10:F90,"CP*"),IF(F90="CE1","CE1-"&amp;COUNTIF($F$10:F90,"CE1"),IF(F90="CM2","CM2-"&amp;COUNTIF($F$10:F90,"CM2"),"CEM-"&amp;(COUNTIF($F$10:F90,"CE2")+COUNTIF($F$10:F90,"CM1"))))))</f>
        <v/>
      </c>
    </row>
    <row r="91" customFormat="false" ht="15" hidden="false" customHeight="false" outlineLevel="0" collapsed="false">
      <c r="A91" s="45" t="str">
        <f aca="false">IF(D91="","",ROW()-9)</f>
        <v/>
      </c>
      <c r="B91" s="45" t="str">
        <f aca="false">IF(F91="","",F91&amp;"-"&amp;TEXT(COUNTIF($F$10:F91,F91),"000")&amp;"-"&amp;RIGHT(LEFT(PARAMETRES!$C$9,4),2))</f>
        <v/>
      </c>
      <c r="C91" s="58"/>
      <c r="D91" s="45"/>
      <c r="E91" s="45"/>
      <c r="F91" s="45"/>
      <c r="G91" s="59"/>
      <c r="H91" s="45" t="str">
        <f aca="false">IF(G91="","",DATEDIF(G91,PARAMETRES!$C$13,"y"))</f>
        <v/>
      </c>
      <c r="I91" s="45"/>
      <c r="J91" s="45"/>
      <c r="K91" s="45"/>
      <c r="L91" s="45"/>
      <c r="M91" s="45"/>
      <c r="N91" s="59"/>
      <c r="O91" s="45"/>
      <c r="P91" s="45"/>
      <c r="Q91" s="45"/>
      <c r="R91" s="45"/>
      <c r="S91" s="45"/>
      <c r="T91" s="45"/>
      <c r="U91" s="45"/>
      <c r="V91" s="45"/>
      <c r="W91" s="45"/>
      <c r="X91" s="45"/>
      <c r="Y91" s="45"/>
      <c r="Z91" s="45"/>
      <c r="AA91" s="45"/>
      <c r="AB91" s="45"/>
      <c r="AC91" s="45"/>
      <c r="AD91" s="45"/>
      <c r="AE91" s="45"/>
      <c r="AF91" s="45"/>
      <c r="AG91" s="51" t="str">
        <f aca="false">IF(F91="","",F91&amp;"-"&amp;COUNTIF($F$10:F91,F91))</f>
        <v/>
      </c>
      <c r="AH91" s="51" t="str">
        <f aca="false">IF(F91="","",IF(F91="CM2","CM2-"&amp;COUNTIF($F$10:F91,"CM2"),"P-"&amp;COUNTIFS($F$10:F91,"&lt;&gt;CM2",$F$10:F91,"&lt;&gt;")))</f>
        <v/>
      </c>
      <c r="AI91" s="51" t="str">
        <f aca="false">IF(F91="","",IF(LEFT(F91,2)="CP","CP-"&amp;COUNTIF($F$10:F91,"CP*"),IF(F91="CE1","CE1-"&amp;COUNTIF($F$10:F91,"CE1"),IF(F91="CM2","CM2-"&amp;COUNTIF($F$10:F91,"CM2"),"CEM-"&amp;(COUNTIF($F$10:F91,"CE2")+COUNTIF($F$10:F91,"CM1"))))))</f>
        <v/>
      </c>
    </row>
    <row r="92" customFormat="false" ht="15" hidden="false" customHeight="false" outlineLevel="0" collapsed="false">
      <c r="A92" s="45" t="str">
        <f aca="false">IF(D92="","",ROW()-9)</f>
        <v/>
      </c>
      <c r="B92" s="45" t="str">
        <f aca="false">IF(F92="","",F92&amp;"-"&amp;TEXT(COUNTIF($F$10:F92,F92),"000")&amp;"-"&amp;RIGHT(LEFT(PARAMETRES!$C$9,4),2))</f>
        <v/>
      </c>
      <c r="C92" s="58"/>
      <c r="D92" s="45"/>
      <c r="E92" s="45"/>
      <c r="F92" s="45"/>
      <c r="G92" s="59"/>
      <c r="H92" s="45" t="str">
        <f aca="false">IF(G92="","",DATEDIF(G92,PARAMETRES!$C$13,"y"))</f>
        <v/>
      </c>
      <c r="I92" s="45"/>
      <c r="J92" s="45"/>
      <c r="K92" s="45"/>
      <c r="L92" s="45"/>
      <c r="M92" s="45"/>
      <c r="N92" s="59"/>
      <c r="O92" s="45"/>
      <c r="P92" s="45"/>
      <c r="Q92" s="45"/>
      <c r="R92" s="45"/>
      <c r="S92" s="45"/>
      <c r="T92" s="45"/>
      <c r="U92" s="45"/>
      <c r="V92" s="45"/>
      <c r="W92" s="45"/>
      <c r="X92" s="45"/>
      <c r="Y92" s="45"/>
      <c r="Z92" s="45"/>
      <c r="AA92" s="45"/>
      <c r="AB92" s="45"/>
      <c r="AC92" s="45"/>
      <c r="AD92" s="45"/>
      <c r="AE92" s="45"/>
      <c r="AF92" s="45"/>
      <c r="AG92" s="51" t="str">
        <f aca="false">IF(F92="","",F92&amp;"-"&amp;COUNTIF($F$10:F92,F92))</f>
        <v/>
      </c>
      <c r="AH92" s="51" t="str">
        <f aca="false">IF(F92="","",IF(F92="CM2","CM2-"&amp;COUNTIF($F$10:F92,"CM2"),"P-"&amp;COUNTIFS($F$10:F92,"&lt;&gt;CM2",$F$10:F92,"&lt;&gt;")))</f>
        <v/>
      </c>
      <c r="AI92" s="51" t="str">
        <f aca="false">IF(F92="","",IF(LEFT(F92,2)="CP","CP-"&amp;COUNTIF($F$10:F92,"CP*"),IF(F92="CE1","CE1-"&amp;COUNTIF($F$10:F92,"CE1"),IF(F92="CM2","CM2-"&amp;COUNTIF($F$10:F92,"CM2"),"CEM-"&amp;(COUNTIF($F$10:F92,"CE2")+COUNTIF($F$10:F92,"CM1"))))))</f>
        <v/>
      </c>
    </row>
    <row r="93" customFormat="false" ht="15" hidden="false" customHeight="false" outlineLevel="0" collapsed="false">
      <c r="A93" s="45" t="str">
        <f aca="false">IF(D93="","",ROW()-9)</f>
        <v/>
      </c>
      <c r="B93" s="45" t="str">
        <f aca="false">IF(F93="","",F93&amp;"-"&amp;TEXT(COUNTIF($F$10:F93,F93),"000")&amp;"-"&amp;RIGHT(LEFT(PARAMETRES!$C$9,4),2))</f>
        <v/>
      </c>
      <c r="C93" s="58"/>
      <c r="D93" s="45"/>
      <c r="E93" s="45"/>
      <c r="F93" s="45"/>
      <c r="G93" s="59"/>
      <c r="H93" s="45" t="str">
        <f aca="false">IF(G93="","",DATEDIF(G93,PARAMETRES!$C$13,"y"))</f>
        <v/>
      </c>
      <c r="I93" s="45"/>
      <c r="J93" s="45"/>
      <c r="K93" s="45"/>
      <c r="L93" s="45"/>
      <c r="M93" s="45"/>
      <c r="N93" s="59"/>
      <c r="O93" s="45"/>
      <c r="P93" s="45"/>
      <c r="Q93" s="45"/>
      <c r="R93" s="45"/>
      <c r="S93" s="45"/>
      <c r="T93" s="45"/>
      <c r="U93" s="45"/>
      <c r="V93" s="45"/>
      <c r="W93" s="45"/>
      <c r="X93" s="45"/>
      <c r="Y93" s="45"/>
      <c r="Z93" s="45"/>
      <c r="AA93" s="45"/>
      <c r="AB93" s="45"/>
      <c r="AC93" s="45"/>
      <c r="AD93" s="45"/>
      <c r="AE93" s="45"/>
      <c r="AF93" s="45"/>
      <c r="AG93" s="51" t="str">
        <f aca="false">IF(F93="","",F93&amp;"-"&amp;COUNTIF($F$10:F93,F93))</f>
        <v/>
      </c>
      <c r="AH93" s="51" t="str">
        <f aca="false">IF(F93="","",IF(F93="CM2","CM2-"&amp;COUNTIF($F$10:F93,"CM2"),"P-"&amp;COUNTIFS($F$10:F93,"&lt;&gt;CM2",$F$10:F93,"&lt;&gt;")))</f>
        <v/>
      </c>
      <c r="AI93" s="51" t="str">
        <f aca="false">IF(F93="","",IF(LEFT(F93,2)="CP","CP-"&amp;COUNTIF($F$10:F93,"CP*"),IF(F93="CE1","CE1-"&amp;COUNTIF($F$10:F93,"CE1"),IF(F93="CM2","CM2-"&amp;COUNTIF($F$10:F93,"CM2"),"CEM-"&amp;(COUNTIF($F$10:F93,"CE2")+COUNTIF($F$10:F93,"CM1"))))))</f>
        <v/>
      </c>
    </row>
    <row r="94" customFormat="false" ht="15" hidden="false" customHeight="false" outlineLevel="0" collapsed="false">
      <c r="A94" s="45" t="str">
        <f aca="false">IF(D94="","",ROW()-9)</f>
        <v/>
      </c>
      <c r="B94" s="45" t="str">
        <f aca="false">IF(F94="","",F94&amp;"-"&amp;TEXT(COUNTIF($F$10:F94,F94),"000")&amp;"-"&amp;RIGHT(LEFT(PARAMETRES!$C$9,4),2))</f>
        <v/>
      </c>
      <c r="C94" s="58"/>
      <c r="D94" s="45"/>
      <c r="E94" s="45"/>
      <c r="F94" s="45"/>
      <c r="G94" s="59"/>
      <c r="H94" s="45" t="str">
        <f aca="false">IF(G94="","",DATEDIF(G94,PARAMETRES!$C$13,"y"))</f>
        <v/>
      </c>
      <c r="I94" s="45"/>
      <c r="J94" s="45"/>
      <c r="K94" s="45"/>
      <c r="L94" s="45"/>
      <c r="M94" s="45"/>
      <c r="N94" s="59"/>
      <c r="O94" s="45"/>
      <c r="P94" s="45"/>
      <c r="Q94" s="45"/>
      <c r="R94" s="45"/>
      <c r="S94" s="45"/>
      <c r="T94" s="45"/>
      <c r="U94" s="45"/>
      <c r="V94" s="45"/>
      <c r="W94" s="45"/>
      <c r="X94" s="45"/>
      <c r="Y94" s="45"/>
      <c r="Z94" s="45"/>
      <c r="AA94" s="45"/>
      <c r="AB94" s="45"/>
      <c r="AC94" s="45"/>
      <c r="AD94" s="45"/>
      <c r="AE94" s="45"/>
      <c r="AF94" s="45"/>
      <c r="AG94" s="51" t="str">
        <f aca="false">IF(F94="","",F94&amp;"-"&amp;COUNTIF($F$10:F94,F94))</f>
        <v/>
      </c>
      <c r="AH94" s="51" t="str">
        <f aca="false">IF(F94="","",IF(F94="CM2","CM2-"&amp;COUNTIF($F$10:F94,"CM2"),"P-"&amp;COUNTIFS($F$10:F94,"&lt;&gt;CM2",$F$10:F94,"&lt;&gt;")))</f>
        <v/>
      </c>
      <c r="AI94" s="51" t="str">
        <f aca="false">IF(F94="","",IF(LEFT(F94,2)="CP","CP-"&amp;COUNTIF($F$10:F94,"CP*"),IF(F94="CE1","CE1-"&amp;COUNTIF($F$10:F94,"CE1"),IF(F94="CM2","CM2-"&amp;COUNTIF($F$10:F94,"CM2"),"CEM-"&amp;(COUNTIF($F$10:F94,"CE2")+COUNTIF($F$10:F94,"CM1"))))))</f>
        <v/>
      </c>
    </row>
    <row r="95" customFormat="false" ht="15" hidden="false" customHeight="false" outlineLevel="0" collapsed="false">
      <c r="A95" s="45" t="str">
        <f aca="false">IF(D95="","",ROW()-9)</f>
        <v/>
      </c>
      <c r="B95" s="45" t="str">
        <f aca="false">IF(F95="","",F95&amp;"-"&amp;TEXT(COUNTIF($F$10:F95,F95),"000")&amp;"-"&amp;RIGHT(LEFT(PARAMETRES!$C$9,4),2))</f>
        <v/>
      </c>
      <c r="C95" s="58"/>
      <c r="D95" s="45"/>
      <c r="E95" s="45"/>
      <c r="F95" s="45"/>
      <c r="G95" s="59"/>
      <c r="H95" s="45" t="str">
        <f aca="false">IF(G95="","",DATEDIF(G95,PARAMETRES!$C$13,"y"))</f>
        <v/>
      </c>
      <c r="I95" s="45"/>
      <c r="J95" s="45"/>
      <c r="K95" s="45"/>
      <c r="L95" s="45"/>
      <c r="M95" s="45"/>
      <c r="N95" s="59"/>
      <c r="O95" s="45"/>
      <c r="P95" s="45"/>
      <c r="Q95" s="45"/>
      <c r="R95" s="45"/>
      <c r="S95" s="45"/>
      <c r="T95" s="45"/>
      <c r="U95" s="45"/>
      <c r="V95" s="45"/>
      <c r="W95" s="45"/>
      <c r="X95" s="45"/>
      <c r="Y95" s="45"/>
      <c r="Z95" s="45"/>
      <c r="AA95" s="45"/>
      <c r="AB95" s="45"/>
      <c r="AC95" s="45"/>
      <c r="AD95" s="45"/>
      <c r="AE95" s="45"/>
      <c r="AF95" s="45"/>
      <c r="AG95" s="51" t="str">
        <f aca="false">IF(F95="","",F95&amp;"-"&amp;COUNTIF($F$10:F95,F95))</f>
        <v/>
      </c>
      <c r="AH95" s="51" t="str">
        <f aca="false">IF(F95="","",IF(F95="CM2","CM2-"&amp;COUNTIF($F$10:F95,"CM2"),"P-"&amp;COUNTIFS($F$10:F95,"&lt;&gt;CM2",$F$10:F95,"&lt;&gt;")))</f>
        <v/>
      </c>
      <c r="AI95" s="51" t="str">
        <f aca="false">IF(F95="","",IF(LEFT(F95,2)="CP","CP-"&amp;COUNTIF($F$10:F95,"CP*"),IF(F95="CE1","CE1-"&amp;COUNTIF($F$10:F95,"CE1"),IF(F95="CM2","CM2-"&amp;COUNTIF($F$10:F95,"CM2"),"CEM-"&amp;(COUNTIF($F$10:F95,"CE2")+COUNTIF($F$10:F95,"CM1"))))))</f>
        <v/>
      </c>
    </row>
    <row r="96" customFormat="false" ht="15" hidden="false" customHeight="false" outlineLevel="0" collapsed="false">
      <c r="A96" s="45" t="str">
        <f aca="false">IF(D96="","",ROW()-9)</f>
        <v/>
      </c>
      <c r="B96" s="45" t="str">
        <f aca="false">IF(F96="","",F96&amp;"-"&amp;TEXT(COUNTIF($F$10:F96,F96),"000")&amp;"-"&amp;RIGHT(LEFT(PARAMETRES!$C$9,4),2))</f>
        <v/>
      </c>
      <c r="C96" s="58"/>
      <c r="D96" s="45"/>
      <c r="E96" s="45"/>
      <c r="F96" s="45"/>
      <c r="G96" s="59"/>
      <c r="H96" s="45" t="str">
        <f aca="false">IF(G96="","",DATEDIF(G96,PARAMETRES!$C$13,"y"))</f>
        <v/>
      </c>
      <c r="I96" s="45"/>
      <c r="J96" s="45"/>
      <c r="K96" s="45"/>
      <c r="L96" s="45"/>
      <c r="M96" s="45"/>
      <c r="N96" s="59"/>
      <c r="O96" s="45"/>
      <c r="P96" s="45"/>
      <c r="Q96" s="45"/>
      <c r="R96" s="45"/>
      <c r="S96" s="45"/>
      <c r="T96" s="45"/>
      <c r="U96" s="45"/>
      <c r="V96" s="45"/>
      <c r="W96" s="45"/>
      <c r="X96" s="45"/>
      <c r="Y96" s="45"/>
      <c r="Z96" s="45"/>
      <c r="AA96" s="45"/>
      <c r="AB96" s="45"/>
      <c r="AC96" s="45"/>
      <c r="AD96" s="45"/>
      <c r="AE96" s="45"/>
      <c r="AF96" s="45"/>
      <c r="AG96" s="51" t="str">
        <f aca="false">IF(F96="","",F96&amp;"-"&amp;COUNTIF($F$10:F96,F96))</f>
        <v/>
      </c>
      <c r="AH96" s="51" t="str">
        <f aca="false">IF(F96="","",IF(F96="CM2","CM2-"&amp;COUNTIF($F$10:F96,"CM2"),"P-"&amp;COUNTIFS($F$10:F96,"&lt;&gt;CM2",$F$10:F96,"&lt;&gt;")))</f>
        <v/>
      </c>
      <c r="AI96" s="51" t="str">
        <f aca="false">IF(F96="","",IF(LEFT(F96,2)="CP","CP-"&amp;COUNTIF($F$10:F96,"CP*"),IF(F96="CE1","CE1-"&amp;COUNTIF($F$10:F96,"CE1"),IF(F96="CM2","CM2-"&amp;COUNTIF($F$10:F96,"CM2"),"CEM-"&amp;(COUNTIF($F$10:F96,"CE2")+COUNTIF($F$10:F96,"CM1"))))))</f>
        <v/>
      </c>
    </row>
    <row r="97" customFormat="false" ht="15" hidden="false" customHeight="false" outlineLevel="0" collapsed="false">
      <c r="A97" s="45" t="str">
        <f aca="false">IF(D97="","",ROW()-9)</f>
        <v/>
      </c>
      <c r="B97" s="45" t="str">
        <f aca="false">IF(F97="","",F97&amp;"-"&amp;TEXT(COUNTIF($F$10:F97,F97),"000")&amp;"-"&amp;RIGHT(LEFT(PARAMETRES!$C$9,4),2))</f>
        <v/>
      </c>
      <c r="C97" s="58"/>
      <c r="D97" s="45"/>
      <c r="E97" s="45"/>
      <c r="F97" s="45"/>
      <c r="G97" s="59"/>
      <c r="H97" s="45" t="str">
        <f aca="false">IF(G97="","",DATEDIF(G97,PARAMETRES!$C$13,"y"))</f>
        <v/>
      </c>
      <c r="I97" s="45"/>
      <c r="J97" s="45"/>
      <c r="K97" s="45"/>
      <c r="L97" s="45"/>
      <c r="M97" s="45"/>
      <c r="N97" s="59"/>
      <c r="O97" s="45"/>
      <c r="P97" s="45"/>
      <c r="Q97" s="45"/>
      <c r="R97" s="45"/>
      <c r="S97" s="45"/>
      <c r="T97" s="45"/>
      <c r="U97" s="45"/>
      <c r="V97" s="45"/>
      <c r="W97" s="45"/>
      <c r="X97" s="45"/>
      <c r="Y97" s="45"/>
      <c r="Z97" s="45"/>
      <c r="AA97" s="45"/>
      <c r="AB97" s="45"/>
      <c r="AC97" s="45"/>
      <c r="AD97" s="45"/>
      <c r="AE97" s="45"/>
      <c r="AF97" s="45"/>
      <c r="AG97" s="51" t="str">
        <f aca="false">IF(F97="","",F97&amp;"-"&amp;COUNTIF($F$10:F97,F97))</f>
        <v/>
      </c>
      <c r="AH97" s="51" t="str">
        <f aca="false">IF(F97="","",IF(F97="CM2","CM2-"&amp;COUNTIF($F$10:F97,"CM2"),"P-"&amp;COUNTIFS($F$10:F97,"&lt;&gt;CM2",$F$10:F97,"&lt;&gt;")))</f>
        <v/>
      </c>
      <c r="AI97" s="51" t="str">
        <f aca="false">IF(F97="","",IF(LEFT(F97,2)="CP","CP-"&amp;COUNTIF($F$10:F97,"CP*"),IF(F97="CE1","CE1-"&amp;COUNTIF($F$10:F97,"CE1"),IF(F97="CM2","CM2-"&amp;COUNTIF($F$10:F97,"CM2"),"CEM-"&amp;(COUNTIF($F$10:F97,"CE2")+COUNTIF($F$10:F97,"CM1"))))))</f>
        <v/>
      </c>
    </row>
    <row r="98" customFormat="false" ht="15" hidden="false" customHeight="false" outlineLevel="0" collapsed="false">
      <c r="A98" s="45" t="str">
        <f aca="false">IF(D98="","",ROW()-9)</f>
        <v/>
      </c>
      <c r="B98" s="45" t="str">
        <f aca="false">IF(F98="","",F98&amp;"-"&amp;TEXT(COUNTIF($F$10:F98,F98),"000")&amp;"-"&amp;RIGHT(LEFT(PARAMETRES!$C$9,4),2))</f>
        <v/>
      </c>
      <c r="C98" s="58"/>
      <c r="D98" s="45"/>
      <c r="E98" s="45"/>
      <c r="F98" s="45"/>
      <c r="G98" s="59"/>
      <c r="H98" s="45" t="str">
        <f aca="false">IF(G98="","",DATEDIF(G98,PARAMETRES!$C$13,"y"))</f>
        <v/>
      </c>
      <c r="I98" s="45"/>
      <c r="J98" s="45"/>
      <c r="K98" s="45"/>
      <c r="L98" s="45"/>
      <c r="M98" s="45"/>
      <c r="N98" s="59"/>
      <c r="O98" s="45"/>
      <c r="P98" s="45"/>
      <c r="Q98" s="45"/>
      <c r="R98" s="45"/>
      <c r="S98" s="45"/>
      <c r="T98" s="45"/>
      <c r="U98" s="45"/>
      <c r="V98" s="45"/>
      <c r="W98" s="45"/>
      <c r="X98" s="45"/>
      <c r="Y98" s="45"/>
      <c r="Z98" s="45"/>
      <c r="AA98" s="45"/>
      <c r="AB98" s="45"/>
      <c r="AC98" s="45"/>
      <c r="AD98" s="45"/>
      <c r="AE98" s="45"/>
      <c r="AF98" s="45"/>
      <c r="AG98" s="51" t="str">
        <f aca="false">IF(F98="","",F98&amp;"-"&amp;COUNTIF($F$10:F98,F98))</f>
        <v/>
      </c>
      <c r="AH98" s="51" t="str">
        <f aca="false">IF(F98="","",IF(F98="CM2","CM2-"&amp;COUNTIF($F$10:F98,"CM2"),"P-"&amp;COUNTIFS($F$10:F98,"&lt;&gt;CM2",$F$10:F98,"&lt;&gt;")))</f>
        <v/>
      </c>
      <c r="AI98" s="51" t="str">
        <f aca="false">IF(F98="","",IF(LEFT(F98,2)="CP","CP-"&amp;COUNTIF($F$10:F98,"CP*"),IF(F98="CE1","CE1-"&amp;COUNTIF($F$10:F98,"CE1"),IF(F98="CM2","CM2-"&amp;COUNTIF($F$10:F98,"CM2"),"CEM-"&amp;(COUNTIF($F$10:F98,"CE2")+COUNTIF($F$10:F98,"CM1"))))))</f>
        <v/>
      </c>
    </row>
    <row r="99" customFormat="false" ht="15" hidden="false" customHeight="false" outlineLevel="0" collapsed="false">
      <c r="A99" s="45" t="str">
        <f aca="false">IF(D99="","",ROW()-9)</f>
        <v/>
      </c>
      <c r="B99" s="45" t="str">
        <f aca="false">IF(F99="","",F99&amp;"-"&amp;TEXT(COUNTIF($F$10:F99,F99),"000")&amp;"-"&amp;RIGHT(LEFT(PARAMETRES!$C$9,4),2))</f>
        <v/>
      </c>
      <c r="C99" s="58"/>
      <c r="D99" s="45"/>
      <c r="E99" s="45"/>
      <c r="F99" s="45"/>
      <c r="G99" s="59"/>
      <c r="H99" s="45" t="str">
        <f aca="false">IF(G99="","",DATEDIF(G99,PARAMETRES!$C$13,"y"))</f>
        <v/>
      </c>
      <c r="I99" s="45"/>
      <c r="J99" s="45"/>
      <c r="K99" s="45"/>
      <c r="L99" s="45"/>
      <c r="M99" s="45"/>
      <c r="N99" s="59"/>
      <c r="O99" s="45"/>
      <c r="P99" s="45"/>
      <c r="Q99" s="45"/>
      <c r="R99" s="45"/>
      <c r="S99" s="45"/>
      <c r="T99" s="45"/>
      <c r="U99" s="45"/>
      <c r="V99" s="45"/>
      <c r="W99" s="45"/>
      <c r="X99" s="45"/>
      <c r="Y99" s="45"/>
      <c r="Z99" s="45"/>
      <c r="AA99" s="45"/>
      <c r="AB99" s="45"/>
      <c r="AC99" s="45"/>
      <c r="AD99" s="45"/>
      <c r="AE99" s="45"/>
      <c r="AF99" s="45"/>
      <c r="AG99" s="51" t="str">
        <f aca="false">IF(F99="","",F99&amp;"-"&amp;COUNTIF($F$10:F99,F99))</f>
        <v/>
      </c>
      <c r="AH99" s="51" t="str">
        <f aca="false">IF(F99="","",IF(F99="CM2","CM2-"&amp;COUNTIF($F$10:F99,"CM2"),"P-"&amp;COUNTIFS($F$10:F99,"&lt;&gt;CM2",$F$10:F99,"&lt;&gt;")))</f>
        <v/>
      </c>
      <c r="AI99" s="51" t="str">
        <f aca="false">IF(F99="","",IF(LEFT(F99,2)="CP","CP-"&amp;COUNTIF($F$10:F99,"CP*"),IF(F99="CE1","CE1-"&amp;COUNTIF($F$10:F99,"CE1"),IF(F99="CM2","CM2-"&amp;COUNTIF($F$10:F99,"CM2"),"CEM-"&amp;(COUNTIF($F$10:F99,"CE2")+COUNTIF($F$10:F99,"CM1"))))))</f>
        <v/>
      </c>
    </row>
    <row r="100" customFormat="false" ht="15" hidden="false" customHeight="false" outlineLevel="0" collapsed="false">
      <c r="A100" s="45" t="str">
        <f aca="false">IF(D100="","",ROW()-9)</f>
        <v/>
      </c>
      <c r="B100" s="45" t="str">
        <f aca="false">IF(F100="","",F100&amp;"-"&amp;TEXT(COUNTIF($F$10:F100,F100),"000")&amp;"-"&amp;RIGHT(LEFT(PARAMETRES!$C$9,4),2))</f>
        <v/>
      </c>
      <c r="C100" s="58"/>
      <c r="D100" s="45"/>
      <c r="E100" s="45"/>
      <c r="F100" s="45"/>
      <c r="G100" s="59"/>
      <c r="H100" s="45" t="str">
        <f aca="false">IF(G100="","",DATEDIF(G100,PARAMETRES!$C$13,"y"))</f>
        <v/>
      </c>
      <c r="I100" s="45"/>
      <c r="J100" s="45"/>
      <c r="K100" s="45"/>
      <c r="L100" s="45"/>
      <c r="M100" s="45"/>
      <c r="N100" s="59"/>
      <c r="O100" s="45"/>
      <c r="P100" s="45"/>
      <c r="Q100" s="45"/>
      <c r="R100" s="45"/>
      <c r="S100" s="45"/>
      <c r="T100" s="45"/>
      <c r="U100" s="45"/>
      <c r="V100" s="45"/>
      <c r="W100" s="45"/>
      <c r="X100" s="45"/>
      <c r="Y100" s="45"/>
      <c r="Z100" s="45"/>
      <c r="AA100" s="45"/>
      <c r="AB100" s="45"/>
      <c r="AC100" s="45"/>
      <c r="AD100" s="45"/>
      <c r="AE100" s="45"/>
      <c r="AF100" s="45"/>
      <c r="AG100" s="51" t="str">
        <f aca="false">IF(F100="","",F100&amp;"-"&amp;COUNTIF($F$10:F100,F100))</f>
        <v/>
      </c>
      <c r="AH100" s="51" t="str">
        <f aca="false">IF(F100="","",IF(F100="CM2","CM2-"&amp;COUNTIF($F$10:F100,"CM2"),"P-"&amp;COUNTIFS($F$10:F100,"&lt;&gt;CM2",$F$10:F100,"&lt;&gt;")))</f>
        <v/>
      </c>
      <c r="AI100" s="51" t="str">
        <f aca="false">IF(F100="","",IF(LEFT(F100,2)="CP","CP-"&amp;COUNTIF($F$10:F100,"CP*"),IF(F100="CE1","CE1-"&amp;COUNTIF($F$10:F100,"CE1"),IF(F100="CM2","CM2-"&amp;COUNTIF($F$10:F100,"CM2"),"CEM-"&amp;(COUNTIF($F$10:F100,"CE2")+COUNTIF($F$10:F100,"CM1"))))))</f>
        <v/>
      </c>
    </row>
    <row r="101" customFormat="false" ht="15" hidden="false" customHeight="false" outlineLevel="0" collapsed="false">
      <c r="A101" s="45" t="str">
        <f aca="false">IF(D101="","",ROW()-9)</f>
        <v/>
      </c>
      <c r="B101" s="45" t="str">
        <f aca="false">IF(F101="","",F101&amp;"-"&amp;TEXT(COUNTIF($F$10:F101,F101),"000")&amp;"-"&amp;RIGHT(LEFT(PARAMETRES!$C$9,4),2))</f>
        <v/>
      </c>
      <c r="C101" s="58"/>
      <c r="D101" s="45"/>
      <c r="E101" s="45"/>
      <c r="F101" s="45"/>
      <c r="G101" s="59"/>
      <c r="H101" s="45" t="str">
        <f aca="false">IF(G101="","",DATEDIF(G101,PARAMETRES!$C$13,"y"))</f>
        <v/>
      </c>
      <c r="I101" s="45"/>
      <c r="J101" s="45"/>
      <c r="K101" s="45"/>
      <c r="L101" s="45"/>
      <c r="M101" s="45"/>
      <c r="N101" s="59"/>
      <c r="O101" s="45"/>
      <c r="P101" s="45"/>
      <c r="Q101" s="45"/>
      <c r="R101" s="45"/>
      <c r="S101" s="45"/>
      <c r="T101" s="45"/>
      <c r="U101" s="45"/>
      <c r="V101" s="45"/>
      <c r="W101" s="45"/>
      <c r="X101" s="45"/>
      <c r="Y101" s="45"/>
      <c r="Z101" s="45"/>
      <c r="AA101" s="45"/>
      <c r="AB101" s="45"/>
      <c r="AC101" s="45"/>
      <c r="AD101" s="45"/>
      <c r="AE101" s="45"/>
      <c r="AF101" s="45"/>
      <c r="AG101" s="51" t="str">
        <f aca="false">IF(F101="","",F101&amp;"-"&amp;COUNTIF($F$10:F101,F101))</f>
        <v/>
      </c>
      <c r="AH101" s="51" t="str">
        <f aca="false">IF(F101="","",IF(F101="CM2","CM2-"&amp;COUNTIF($F$10:F101,"CM2"),"P-"&amp;COUNTIFS($F$10:F101,"&lt;&gt;CM2",$F$10:F101,"&lt;&gt;")))</f>
        <v/>
      </c>
      <c r="AI101" s="51" t="str">
        <f aca="false">IF(F101="","",IF(LEFT(F101,2)="CP","CP-"&amp;COUNTIF($F$10:F101,"CP*"),IF(F101="CE1","CE1-"&amp;COUNTIF($F$10:F101,"CE1"),IF(F101="CM2","CM2-"&amp;COUNTIF($F$10:F101,"CM2"),"CEM-"&amp;(COUNTIF($F$10:F101,"CE2")+COUNTIF($F$10:F101,"CM1"))))))</f>
        <v/>
      </c>
    </row>
    <row r="102" customFormat="false" ht="15" hidden="false" customHeight="false" outlineLevel="0" collapsed="false">
      <c r="A102" s="45" t="str">
        <f aca="false">IF(D102="","",ROW()-9)</f>
        <v/>
      </c>
      <c r="B102" s="45" t="str">
        <f aca="false">IF(F102="","",F102&amp;"-"&amp;TEXT(COUNTIF($F$10:F102,F102),"000")&amp;"-"&amp;RIGHT(LEFT(PARAMETRES!$C$9,4),2))</f>
        <v/>
      </c>
      <c r="C102" s="58"/>
      <c r="D102" s="45"/>
      <c r="E102" s="45"/>
      <c r="F102" s="45"/>
      <c r="G102" s="59"/>
      <c r="H102" s="45" t="str">
        <f aca="false">IF(G102="","",DATEDIF(G102,PARAMETRES!$C$13,"y"))</f>
        <v/>
      </c>
      <c r="I102" s="45"/>
      <c r="J102" s="45"/>
      <c r="K102" s="45"/>
      <c r="L102" s="45"/>
      <c r="M102" s="45"/>
      <c r="N102" s="59"/>
      <c r="O102" s="45"/>
      <c r="P102" s="45"/>
      <c r="Q102" s="45"/>
      <c r="R102" s="45"/>
      <c r="S102" s="45"/>
      <c r="T102" s="45"/>
      <c r="U102" s="45"/>
      <c r="V102" s="45"/>
      <c r="W102" s="45"/>
      <c r="X102" s="45"/>
      <c r="Y102" s="45"/>
      <c r="Z102" s="45"/>
      <c r="AA102" s="45"/>
      <c r="AB102" s="45"/>
      <c r="AC102" s="45"/>
      <c r="AD102" s="45"/>
      <c r="AE102" s="45"/>
      <c r="AF102" s="45"/>
      <c r="AG102" s="51" t="str">
        <f aca="false">IF(F102="","",F102&amp;"-"&amp;COUNTIF($F$10:F102,F102))</f>
        <v/>
      </c>
      <c r="AH102" s="51" t="str">
        <f aca="false">IF(F102="","",IF(F102="CM2","CM2-"&amp;COUNTIF($F$10:F102,"CM2"),"P-"&amp;COUNTIFS($F$10:F102,"&lt;&gt;CM2",$F$10:F102,"&lt;&gt;")))</f>
        <v/>
      </c>
      <c r="AI102" s="51" t="str">
        <f aca="false">IF(F102="","",IF(LEFT(F102,2)="CP","CP-"&amp;COUNTIF($F$10:F102,"CP*"),IF(F102="CE1","CE1-"&amp;COUNTIF($F$10:F102,"CE1"),IF(F102="CM2","CM2-"&amp;COUNTIF($F$10:F102,"CM2"),"CEM-"&amp;(COUNTIF($F$10:F102,"CE2")+COUNTIF($F$10:F102,"CM1"))))))</f>
        <v/>
      </c>
    </row>
    <row r="103" customFormat="false" ht="15" hidden="false" customHeight="false" outlineLevel="0" collapsed="false">
      <c r="A103" s="45" t="str">
        <f aca="false">IF(D103="","",ROW()-9)</f>
        <v/>
      </c>
      <c r="B103" s="45" t="str">
        <f aca="false">IF(F103="","",F103&amp;"-"&amp;TEXT(COUNTIF($F$10:F103,F103),"000")&amp;"-"&amp;RIGHT(LEFT(PARAMETRES!$C$9,4),2))</f>
        <v/>
      </c>
      <c r="C103" s="58"/>
      <c r="D103" s="45"/>
      <c r="E103" s="45"/>
      <c r="F103" s="45"/>
      <c r="G103" s="59"/>
      <c r="H103" s="45" t="str">
        <f aca="false">IF(G103="","",DATEDIF(G103,PARAMETRES!$C$13,"y"))</f>
        <v/>
      </c>
      <c r="I103" s="45"/>
      <c r="J103" s="45"/>
      <c r="K103" s="45"/>
      <c r="L103" s="45"/>
      <c r="M103" s="45"/>
      <c r="N103" s="59"/>
      <c r="O103" s="45"/>
      <c r="P103" s="45"/>
      <c r="Q103" s="45"/>
      <c r="R103" s="45"/>
      <c r="S103" s="45"/>
      <c r="T103" s="45"/>
      <c r="U103" s="45"/>
      <c r="V103" s="45"/>
      <c r="W103" s="45"/>
      <c r="X103" s="45"/>
      <c r="Y103" s="45"/>
      <c r="Z103" s="45"/>
      <c r="AA103" s="45"/>
      <c r="AB103" s="45"/>
      <c r="AC103" s="45"/>
      <c r="AD103" s="45"/>
      <c r="AE103" s="45"/>
      <c r="AF103" s="45"/>
      <c r="AG103" s="51" t="str">
        <f aca="false">IF(F103="","",F103&amp;"-"&amp;COUNTIF($F$10:F103,F103))</f>
        <v/>
      </c>
      <c r="AH103" s="51" t="str">
        <f aca="false">IF(F103="","",IF(F103="CM2","CM2-"&amp;COUNTIF($F$10:F103,"CM2"),"P-"&amp;COUNTIFS($F$10:F103,"&lt;&gt;CM2",$F$10:F103,"&lt;&gt;")))</f>
        <v/>
      </c>
      <c r="AI103" s="51" t="str">
        <f aca="false">IF(F103="","",IF(LEFT(F103,2)="CP","CP-"&amp;COUNTIF($F$10:F103,"CP*"),IF(F103="CE1","CE1-"&amp;COUNTIF($F$10:F103,"CE1"),IF(F103="CM2","CM2-"&amp;COUNTIF($F$10:F103,"CM2"),"CEM-"&amp;(COUNTIF($F$10:F103,"CE2")+COUNTIF($F$10:F103,"CM1"))))))</f>
        <v/>
      </c>
    </row>
    <row r="104" customFormat="false" ht="15" hidden="false" customHeight="false" outlineLevel="0" collapsed="false">
      <c r="A104" s="45" t="str">
        <f aca="false">IF(D104="","",ROW()-9)</f>
        <v/>
      </c>
      <c r="B104" s="45" t="str">
        <f aca="false">IF(F104="","",F104&amp;"-"&amp;TEXT(COUNTIF($F$10:F104,F104),"000")&amp;"-"&amp;RIGHT(LEFT(PARAMETRES!$C$9,4),2))</f>
        <v/>
      </c>
      <c r="C104" s="58"/>
      <c r="D104" s="45"/>
      <c r="E104" s="45"/>
      <c r="F104" s="45"/>
      <c r="G104" s="59"/>
      <c r="H104" s="45" t="str">
        <f aca="false">IF(G104="","",DATEDIF(G104,PARAMETRES!$C$13,"y"))</f>
        <v/>
      </c>
      <c r="I104" s="45"/>
      <c r="J104" s="45"/>
      <c r="K104" s="45"/>
      <c r="L104" s="45"/>
      <c r="M104" s="45"/>
      <c r="N104" s="59"/>
      <c r="O104" s="45"/>
      <c r="P104" s="45"/>
      <c r="Q104" s="45"/>
      <c r="R104" s="45"/>
      <c r="S104" s="45"/>
      <c r="T104" s="45"/>
      <c r="U104" s="45"/>
      <c r="V104" s="45"/>
      <c r="W104" s="45"/>
      <c r="X104" s="45"/>
      <c r="Y104" s="45"/>
      <c r="Z104" s="45"/>
      <c r="AA104" s="45"/>
      <c r="AB104" s="45"/>
      <c r="AC104" s="45"/>
      <c r="AD104" s="45"/>
      <c r="AE104" s="45"/>
      <c r="AF104" s="45"/>
      <c r="AG104" s="51" t="str">
        <f aca="false">IF(F104="","",F104&amp;"-"&amp;COUNTIF($F$10:F104,F104))</f>
        <v/>
      </c>
      <c r="AH104" s="51" t="str">
        <f aca="false">IF(F104="","",IF(F104="CM2","CM2-"&amp;COUNTIF($F$10:F104,"CM2"),"P-"&amp;COUNTIFS($F$10:F104,"&lt;&gt;CM2",$F$10:F104,"&lt;&gt;")))</f>
        <v/>
      </c>
      <c r="AI104" s="51" t="str">
        <f aca="false">IF(F104="","",IF(LEFT(F104,2)="CP","CP-"&amp;COUNTIF($F$10:F104,"CP*"),IF(F104="CE1","CE1-"&amp;COUNTIF($F$10:F104,"CE1"),IF(F104="CM2","CM2-"&amp;COUNTIF($F$10:F104,"CM2"),"CEM-"&amp;(COUNTIF($F$10:F104,"CE2")+COUNTIF($F$10:F104,"CM1"))))))</f>
        <v/>
      </c>
    </row>
    <row r="105" customFormat="false" ht="15" hidden="false" customHeight="false" outlineLevel="0" collapsed="false">
      <c r="A105" s="45" t="str">
        <f aca="false">IF(D105="","",ROW()-9)</f>
        <v/>
      </c>
      <c r="B105" s="45" t="str">
        <f aca="false">IF(F105="","",F105&amp;"-"&amp;TEXT(COUNTIF($F$10:F105,F105),"000")&amp;"-"&amp;RIGHT(LEFT(PARAMETRES!$C$9,4),2))</f>
        <v/>
      </c>
      <c r="C105" s="58"/>
      <c r="D105" s="45"/>
      <c r="E105" s="45"/>
      <c r="F105" s="45"/>
      <c r="G105" s="59"/>
      <c r="H105" s="45" t="str">
        <f aca="false">IF(G105="","",DATEDIF(G105,PARAMETRES!$C$13,"y"))</f>
        <v/>
      </c>
      <c r="I105" s="45"/>
      <c r="J105" s="45"/>
      <c r="K105" s="45"/>
      <c r="L105" s="45"/>
      <c r="M105" s="45"/>
      <c r="N105" s="59"/>
      <c r="O105" s="45"/>
      <c r="P105" s="45"/>
      <c r="Q105" s="45"/>
      <c r="R105" s="45"/>
      <c r="S105" s="45"/>
      <c r="T105" s="45"/>
      <c r="U105" s="45"/>
      <c r="V105" s="45"/>
      <c r="W105" s="45"/>
      <c r="X105" s="45"/>
      <c r="Y105" s="45"/>
      <c r="Z105" s="45"/>
      <c r="AA105" s="45"/>
      <c r="AB105" s="45"/>
      <c r="AC105" s="45"/>
      <c r="AD105" s="45"/>
      <c r="AE105" s="45"/>
      <c r="AF105" s="45"/>
      <c r="AG105" s="51" t="str">
        <f aca="false">IF(F105="","",F105&amp;"-"&amp;COUNTIF($F$10:F105,F105))</f>
        <v/>
      </c>
      <c r="AH105" s="51" t="str">
        <f aca="false">IF(F105="","",IF(F105="CM2","CM2-"&amp;COUNTIF($F$10:F105,"CM2"),"P-"&amp;COUNTIFS($F$10:F105,"&lt;&gt;CM2",$F$10:F105,"&lt;&gt;")))</f>
        <v/>
      </c>
      <c r="AI105" s="51" t="str">
        <f aca="false">IF(F105="","",IF(LEFT(F105,2)="CP","CP-"&amp;COUNTIF($F$10:F105,"CP*"),IF(F105="CE1","CE1-"&amp;COUNTIF($F$10:F105,"CE1"),IF(F105="CM2","CM2-"&amp;COUNTIF($F$10:F105,"CM2"),"CEM-"&amp;(COUNTIF($F$10:F105,"CE2")+COUNTIF($F$10:F105,"CM1"))))))</f>
        <v/>
      </c>
    </row>
    <row r="106" customFormat="false" ht="15" hidden="false" customHeight="false" outlineLevel="0" collapsed="false">
      <c r="A106" s="45" t="str">
        <f aca="false">IF(D106="","",ROW()-9)</f>
        <v/>
      </c>
      <c r="B106" s="45" t="str">
        <f aca="false">IF(F106="","",F106&amp;"-"&amp;TEXT(COUNTIF($F$10:F106,F106),"000")&amp;"-"&amp;RIGHT(LEFT(PARAMETRES!$C$9,4),2))</f>
        <v/>
      </c>
      <c r="C106" s="58"/>
      <c r="D106" s="45"/>
      <c r="E106" s="45"/>
      <c r="F106" s="45"/>
      <c r="G106" s="59"/>
      <c r="H106" s="45" t="str">
        <f aca="false">IF(G106="","",DATEDIF(G106,PARAMETRES!$C$13,"y"))</f>
        <v/>
      </c>
      <c r="I106" s="45"/>
      <c r="J106" s="45"/>
      <c r="K106" s="45"/>
      <c r="L106" s="45"/>
      <c r="M106" s="45"/>
      <c r="N106" s="59"/>
      <c r="O106" s="45"/>
      <c r="P106" s="45"/>
      <c r="Q106" s="45"/>
      <c r="R106" s="45"/>
      <c r="S106" s="45"/>
      <c r="T106" s="45"/>
      <c r="U106" s="45"/>
      <c r="V106" s="45"/>
      <c r="W106" s="45"/>
      <c r="X106" s="45"/>
      <c r="Y106" s="45"/>
      <c r="Z106" s="45"/>
      <c r="AA106" s="45"/>
      <c r="AB106" s="45"/>
      <c r="AC106" s="45"/>
      <c r="AD106" s="45"/>
      <c r="AE106" s="45"/>
      <c r="AF106" s="45"/>
      <c r="AG106" s="51" t="str">
        <f aca="false">IF(F106="","",F106&amp;"-"&amp;COUNTIF($F$10:F106,F106))</f>
        <v/>
      </c>
      <c r="AH106" s="51" t="str">
        <f aca="false">IF(F106="","",IF(F106="CM2","CM2-"&amp;COUNTIF($F$10:F106,"CM2"),"P-"&amp;COUNTIFS($F$10:F106,"&lt;&gt;CM2",$F$10:F106,"&lt;&gt;")))</f>
        <v/>
      </c>
      <c r="AI106" s="51" t="str">
        <f aca="false">IF(F106="","",IF(LEFT(F106,2)="CP","CP-"&amp;COUNTIF($F$10:F106,"CP*"),IF(F106="CE1","CE1-"&amp;COUNTIF($F$10:F106,"CE1"),IF(F106="CM2","CM2-"&amp;COUNTIF($F$10:F106,"CM2"),"CEM-"&amp;(COUNTIF($F$10:F106,"CE2")+COUNTIF($F$10:F106,"CM1"))))))</f>
        <v/>
      </c>
    </row>
    <row r="107" customFormat="false" ht="15" hidden="false" customHeight="false" outlineLevel="0" collapsed="false">
      <c r="A107" s="45" t="str">
        <f aca="false">IF(D107="","",ROW()-9)</f>
        <v/>
      </c>
      <c r="B107" s="45" t="str">
        <f aca="false">IF(F107="","",F107&amp;"-"&amp;TEXT(COUNTIF($F$10:F107,F107),"000")&amp;"-"&amp;RIGHT(LEFT(PARAMETRES!$C$9,4),2))</f>
        <v/>
      </c>
      <c r="C107" s="58"/>
      <c r="D107" s="45"/>
      <c r="E107" s="45"/>
      <c r="F107" s="45"/>
      <c r="G107" s="59"/>
      <c r="H107" s="45" t="str">
        <f aca="false">IF(G107="","",DATEDIF(G107,PARAMETRES!$C$13,"y"))</f>
        <v/>
      </c>
      <c r="I107" s="45"/>
      <c r="J107" s="45"/>
      <c r="K107" s="45"/>
      <c r="L107" s="45"/>
      <c r="M107" s="45"/>
      <c r="N107" s="59"/>
      <c r="O107" s="45"/>
      <c r="P107" s="45"/>
      <c r="Q107" s="45"/>
      <c r="R107" s="45"/>
      <c r="S107" s="45"/>
      <c r="T107" s="45"/>
      <c r="U107" s="45"/>
      <c r="V107" s="45"/>
      <c r="W107" s="45"/>
      <c r="X107" s="45"/>
      <c r="Y107" s="45"/>
      <c r="Z107" s="45"/>
      <c r="AA107" s="45"/>
      <c r="AB107" s="45"/>
      <c r="AC107" s="45"/>
      <c r="AD107" s="45"/>
      <c r="AE107" s="45"/>
      <c r="AF107" s="45"/>
      <c r="AG107" s="51" t="str">
        <f aca="false">IF(F107="","",F107&amp;"-"&amp;COUNTIF($F$10:F107,F107))</f>
        <v/>
      </c>
      <c r="AH107" s="51" t="str">
        <f aca="false">IF(F107="","",IF(F107="CM2","CM2-"&amp;COUNTIF($F$10:F107,"CM2"),"P-"&amp;COUNTIFS($F$10:F107,"&lt;&gt;CM2",$F$10:F107,"&lt;&gt;")))</f>
        <v/>
      </c>
      <c r="AI107" s="51" t="str">
        <f aca="false">IF(F107="","",IF(LEFT(F107,2)="CP","CP-"&amp;COUNTIF($F$10:F107,"CP*"),IF(F107="CE1","CE1-"&amp;COUNTIF($F$10:F107,"CE1"),IF(F107="CM2","CM2-"&amp;COUNTIF($F$10:F107,"CM2"),"CEM-"&amp;(COUNTIF($F$10:F107,"CE2")+COUNTIF($F$10:F107,"CM1"))))))</f>
        <v/>
      </c>
    </row>
    <row r="108" customFormat="false" ht="15" hidden="false" customHeight="false" outlineLevel="0" collapsed="false">
      <c r="A108" s="45" t="str">
        <f aca="false">IF(D108="","",ROW()-9)</f>
        <v/>
      </c>
      <c r="B108" s="45" t="str">
        <f aca="false">IF(F108="","",F108&amp;"-"&amp;TEXT(COUNTIF($F$10:F108,F108),"000")&amp;"-"&amp;RIGHT(LEFT(PARAMETRES!$C$9,4),2))</f>
        <v/>
      </c>
      <c r="C108" s="58"/>
      <c r="D108" s="45"/>
      <c r="E108" s="45"/>
      <c r="F108" s="45"/>
      <c r="G108" s="59"/>
      <c r="H108" s="45" t="str">
        <f aca="false">IF(G108="","",DATEDIF(G108,PARAMETRES!$C$13,"y"))</f>
        <v/>
      </c>
      <c r="I108" s="45"/>
      <c r="J108" s="45"/>
      <c r="K108" s="45"/>
      <c r="L108" s="45"/>
      <c r="M108" s="45"/>
      <c r="N108" s="59"/>
      <c r="O108" s="45"/>
      <c r="P108" s="45"/>
      <c r="Q108" s="45"/>
      <c r="R108" s="45"/>
      <c r="S108" s="45"/>
      <c r="T108" s="45"/>
      <c r="U108" s="45"/>
      <c r="V108" s="45"/>
      <c r="W108" s="45"/>
      <c r="X108" s="45"/>
      <c r="Y108" s="45"/>
      <c r="Z108" s="45"/>
      <c r="AA108" s="45"/>
      <c r="AB108" s="45"/>
      <c r="AC108" s="45"/>
      <c r="AD108" s="45"/>
      <c r="AE108" s="45"/>
      <c r="AF108" s="45"/>
      <c r="AG108" s="51" t="str">
        <f aca="false">IF(F108="","",F108&amp;"-"&amp;COUNTIF($F$10:F108,F108))</f>
        <v/>
      </c>
      <c r="AH108" s="51" t="str">
        <f aca="false">IF(F108="","",IF(F108="CM2","CM2-"&amp;COUNTIF($F$10:F108,"CM2"),"P-"&amp;COUNTIFS($F$10:F108,"&lt;&gt;CM2",$F$10:F108,"&lt;&gt;")))</f>
        <v/>
      </c>
      <c r="AI108" s="51" t="str">
        <f aca="false">IF(F108="","",IF(LEFT(F108,2)="CP","CP-"&amp;COUNTIF($F$10:F108,"CP*"),IF(F108="CE1","CE1-"&amp;COUNTIF($F$10:F108,"CE1"),IF(F108="CM2","CM2-"&amp;COUNTIF($F$10:F108,"CM2"),"CEM-"&amp;(COUNTIF($F$10:F108,"CE2")+COUNTIF($F$10:F108,"CM1"))))))</f>
        <v/>
      </c>
    </row>
    <row r="109" customFormat="false" ht="15" hidden="false" customHeight="false" outlineLevel="0" collapsed="false">
      <c r="A109" s="45" t="str">
        <f aca="false">IF(D109="","",ROW()-9)</f>
        <v/>
      </c>
      <c r="B109" s="45" t="str">
        <f aca="false">IF(F109="","",F109&amp;"-"&amp;TEXT(COUNTIF($F$10:F109,F109),"000")&amp;"-"&amp;RIGHT(LEFT(PARAMETRES!$C$9,4),2))</f>
        <v/>
      </c>
      <c r="C109" s="58"/>
      <c r="D109" s="45"/>
      <c r="E109" s="45"/>
      <c r="F109" s="45"/>
      <c r="G109" s="59"/>
      <c r="H109" s="45" t="str">
        <f aca="false">IF(G109="","",DATEDIF(G109,PARAMETRES!$C$13,"y"))</f>
        <v/>
      </c>
      <c r="I109" s="45"/>
      <c r="J109" s="45"/>
      <c r="K109" s="45"/>
      <c r="L109" s="45"/>
      <c r="M109" s="45"/>
      <c r="N109" s="59"/>
      <c r="O109" s="45"/>
      <c r="P109" s="45"/>
      <c r="Q109" s="45"/>
      <c r="R109" s="45"/>
      <c r="S109" s="45"/>
      <c r="T109" s="45"/>
      <c r="U109" s="45"/>
      <c r="V109" s="45"/>
      <c r="W109" s="45"/>
      <c r="X109" s="45"/>
      <c r="Y109" s="45"/>
      <c r="Z109" s="45"/>
      <c r="AA109" s="45"/>
      <c r="AB109" s="45"/>
      <c r="AC109" s="45"/>
      <c r="AD109" s="45"/>
      <c r="AE109" s="45"/>
      <c r="AF109" s="45"/>
      <c r="AG109" s="51" t="str">
        <f aca="false">IF(F109="","",F109&amp;"-"&amp;COUNTIF($F$10:F109,F109))</f>
        <v/>
      </c>
      <c r="AH109" s="51" t="str">
        <f aca="false">IF(F109="","",IF(F109="CM2","CM2-"&amp;COUNTIF($F$10:F109,"CM2"),"P-"&amp;COUNTIFS($F$10:F109,"&lt;&gt;CM2",$F$10:F109,"&lt;&gt;")))</f>
        <v/>
      </c>
      <c r="AI109" s="51" t="str">
        <f aca="false">IF(F109="","",IF(LEFT(F109,2)="CP","CP-"&amp;COUNTIF($F$10:F109,"CP*"),IF(F109="CE1","CE1-"&amp;COUNTIF($F$10:F109,"CE1"),IF(F109="CM2","CM2-"&amp;COUNTIF($F$10:F109,"CM2"),"CEM-"&amp;(COUNTIF($F$10:F109,"CE2")+COUNTIF($F$10:F109,"CM1"))))))</f>
        <v/>
      </c>
    </row>
    <row r="110" customFormat="false" ht="15" hidden="false" customHeight="false" outlineLevel="0" collapsed="false">
      <c r="A110" s="45" t="str">
        <f aca="false">IF(D110="","",ROW()-9)</f>
        <v/>
      </c>
      <c r="B110" s="45" t="str">
        <f aca="false">IF(F110="","",F110&amp;"-"&amp;TEXT(COUNTIF($F$10:F110,F110),"000")&amp;"-"&amp;RIGHT(LEFT(PARAMETRES!$C$9,4),2))</f>
        <v/>
      </c>
      <c r="C110" s="58"/>
      <c r="D110" s="45"/>
      <c r="E110" s="45"/>
      <c r="F110" s="45"/>
      <c r="G110" s="59"/>
      <c r="H110" s="45" t="str">
        <f aca="false">IF(G110="","",DATEDIF(G110,PARAMETRES!$C$13,"y"))</f>
        <v/>
      </c>
      <c r="I110" s="45"/>
      <c r="J110" s="45"/>
      <c r="K110" s="45"/>
      <c r="L110" s="45"/>
      <c r="M110" s="45"/>
      <c r="N110" s="59"/>
      <c r="O110" s="45"/>
      <c r="P110" s="45"/>
      <c r="Q110" s="45"/>
      <c r="R110" s="45"/>
      <c r="S110" s="45"/>
      <c r="T110" s="45"/>
      <c r="U110" s="45"/>
      <c r="V110" s="45"/>
      <c r="W110" s="45"/>
      <c r="X110" s="45"/>
      <c r="Y110" s="45"/>
      <c r="Z110" s="45"/>
      <c r="AA110" s="45"/>
      <c r="AB110" s="45"/>
      <c r="AC110" s="45"/>
      <c r="AD110" s="45"/>
      <c r="AE110" s="45"/>
      <c r="AF110" s="45"/>
      <c r="AG110" s="51" t="str">
        <f aca="false">IF(F110="","",F110&amp;"-"&amp;COUNTIF($F$10:F110,F110))</f>
        <v/>
      </c>
      <c r="AH110" s="51" t="str">
        <f aca="false">IF(F110="","",IF(F110="CM2","CM2-"&amp;COUNTIF($F$10:F110,"CM2"),"P-"&amp;COUNTIFS($F$10:F110,"&lt;&gt;CM2",$F$10:F110,"&lt;&gt;")))</f>
        <v/>
      </c>
      <c r="AI110" s="51" t="str">
        <f aca="false">IF(F110="","",IF(LEFT(F110,2)="CP","CP-"&amp;COUNTIF($F$10:F110,"CP*"),IF(F110="CE1","CE1-"&amp;COUNTIF($F$10:F110,"CE1"),IF(F110="CM2","CM2-"&amp;COUNTIF($F$10:F110,"CM2"),"CEM-"&amp;(COUNTIF($F$10:F110,"CE2")+COUNTIF($F$10:F110,"CM1"))))))</f>
        <v/>
      </c>
    </row>
    <row r="111" customFormat="false" ht="15" hidden="false" customHeight="false" outlineLevel="0" collapsed="false">
      <c r="A111" s="45" t="str">
        <f aca="false">IF(D111="","",ROW()-9)</f>
        <v/>
      </c>
      <c r="B111" s="45" t="str">
        <f aca="false">IF(F111="","",F111&amp;"-"&amp;TEXT(COUNTIF($F$10:F111,F111),"000")&amp;"-"&amp;RIGHT(LEFT(PARAMETRES!$C$9,4),2))</f>
        <v/>
      </c>
      <c r="C111" s="58"/>
      <c r="D111" s="45"/>
      <c r="E111" s="45"/>
      <c r="F111" s="45"/>
      <c r="G111" s="59"/>
      <c r="H111" s="45" t="str">
        <f aca="false">IF(G111="","",DATEDIF(G111,PARAMETRES!$C$13,"y"))</f>
        <v/>
      </c>
      <c r="I111" s="45"/>
      <c r="J111" s="45"/>
      <c r="K111" s="45"/>
      <c r="L111" s="45"/>
      <c r="M111" s="45"/>
      <c r="N111" s="59"/>
      <c r="O111" s="45"/>
      <c r="P111" s="45"/>
      <c r="Q111" s="45"/>
      <c r="R111" s="45"/>
      <c r="S111" s="45"/>
      <c r="T111" s="45"/>
      <c r="U111" s="45"/>
      <c r="V111" s="45"/>
      <c r="W111" s="45"/>
      <c r="X111" s="45"/>
      <c r="Y111" s="45"/>
      <c r="Z111" s="45"/>
      <c r="AA111" s="45"/>
      <c r="AB111" s="45"/>
      <c r="AC111" s="45"/>
      <c r="AD111" s="45"/>
      <c r="AE111" s="45"/>
      <c r="AF111" s="45"/>
      <c r="AG111" s="51" t="str">
        <f aca="false">IF(F111="","",F111&amp;"-"&amp;COUNTIF($F$10:F111,F111))</f>
        <v/>
      </c>
      <c r="AH111" s="51" t="str">
        <f aca="false">IF(F111="","",IF(F111="CM2","CM2-"&amp;COUNTIF($F$10:F111,"CM2"),"P-"&amp;COUNTIFS($F$10:F111,"&lt;&gt;CM2",$F$10:F111,"&lt;&gt;")))</f>
        <v/>
      </c>
      <c r="AI111" s="51" t="str">
        <f aca="false">IF(F111="","",IF(LEFT(F111,2)="CP","CP-"&amp;COUNTIF($F$10:F111,"CP*"),IF(F111="CE1","CE1-"&amp;COUNTIF($F$10:F111,"CE1"),IF(F111="CM2","CM2-"&amp;COUNTIF($F$10:F111,"CM2"),"CEM-"&amp;(COUNTIF($F$10:F111,"CE2")+COUNTIF($F$10:F111,"CM1"))))))</f>
        <v/>
      </c>
    </row>
    <row r="112" customFormat="false" ht="15" hidden="false" customHeight="false" outlineLevel="0" collapsed="false">
      <c r="A112" s="45" t="str">
        <f aca="false">IF(D112="","",ROW()-9)</f>
        <v/>
      </c>
      <c r="B112" s="45" t="str">
        <f aca="false">IF(F112="","",F112&amp;"-"&amp;TEXT(COUNTIF($F$10:F112,F112),"000")&amp;"-"&amp;RIGHT(LEFT(PARAMETRES!$C$9,4),2))</f>
        <v/>
      </c>
      <c r="C112" s="58"/>
      <c r="D112" s="45"/>
      <c r="E112" s="45"/>
      <c r="F112" s="45"/>
      <c r="G112" s="59"/>
      <c r="H112" s="45" t="str">
        <f aca="false">IF(G112="","",DATEDIF(G112,PARAMETRES!$C$13,"y"))</f>
        <v/>
      </c>
      <c r="I112" s="45"/>
      <c r="J112" s="45"/>
      <c r="K112" s="45"/>
      <c r="L112" s="45"/>
      <c r="M112" s="45"/>
      <c r="N112" s="59"/>
      <c r="O112" s="45"/>
      <c r="P112" s="45"/>
      <c r="Q112" s="45"/>
      <c r="R112" s="45"/>
      <c r="S112" s="45"/>
      <c r="T112" s="45"/>
      <c r="U112" s="45"/>
      <c r="V112" s="45"/>
      <c r="W112" s="45"/>
      <c r="X112" s="45"/>
      <c r="Y112" s="45"/>
      <c r="Z112" s="45"/>
      <c r="AA112" s="45"/>
      <c r="AB112" s="45"/>
      <c r="AC112" s="45"/>
      <c r="AD112" s="45"/>
      <c r="AE112" s="45"/>
      <c r="AF112" s="45"/>
      <c r="AG112" s="51" t="str">
        <f aca="false">IF(F112="","",F112&amp;"-"&amp;COUNTIF($F$10:F112,F112))</f>
        <v/>
      </c>
      <c r="AH112" s="51" t="str">
        <f aca="false">IF(F112="","",IF(F112="CM2","CM2-"&amp;COUNTIF($F$10:F112,"CM2"),"P-"&amp;COUNTIFS($F$10:F112,"&lt;&gt;CM2",$F$10:F112,"&lt;&gt;")))</f>
        <v/>
      </c>
      <c r="AI112" s="51" t="str">
        <f aca="false">IF(F112="","",IF(LEFT(F112,2)="CP","CP-"&amp;COUNTIF($F$10:F112,"CP*"),IF(F112="CE1","CE1-"&amp;COUNTIF($F$10:F112,"CE1"),IF(F112="CM2","CM2-"&amp;COUNTIF($F$10:F112,"CM2"),"CEM-"&amp;(COUNTIF($F$10:F112,"CE2")+COUNTIF($F$10:F112,"CM1"))))))</f>
        <v/>
      </c>
    </row>
    <row r="113" customFormat="false" ht="15" hidden="false" customHeight="false" outlineLevel="0" collapsed="false">
      <c r="A113" s="45" t="str">
        <f aca="false">IF(D113="","",ROW()-9)</f>
        <v/>
      </c>
      <c r="B113" s="45" t="str">
        <f aca="false">IF(F113="","",F113&amp;"-"&amp;TEXT(COUNTIF($F$10:F113,F113),"000")&amp;"-"&amp;RIGHT(LEFT(PARAMETRES!$C$9,4),2))</f>
        <v/>
      </c>
      <c r="C113" s="58"/>
      <c r="D113" s="45"/>
      <c r="E113" s="45"/>
      <c r="F113" s="45"/>
      <c r="G113" s="59"/>
      <c r="H113" s="45" t="str">
        <f aca="false">IF(G113="","",DATEDIF(G113,PARAMETRES!$C$13,"y"))</f>
        <v/>
      </c>
      <c r="I113" s="45"/>
      <c r="J113" s="45"/>
      <c r="K113" s="45"/>
      <c r="L113" s="45"/>
      <c r="M113" s="45"/>
      <c r="N113" s="59"/>
      <c r="O113" s="45"/>
      <c r="P113" s="45"/>
      <c r="Q113" s="45"/>
      <c r="R113" s="45"/>
      <c r="S113" s="45"/>
      <c r="T113" s="45"/>
      <c r="U113" s="45"/>
      <c r="V113" s="45"/>
      <c r="W113" s="45"/>
      <c r="X113" s="45"/>
      <c r="Y113" s="45"/>
      <c r="Z113" s="45"/>
      <c r="AA113" s="45"/>
      <c r="AB113" s="45"/>
      <c r="AC113" s="45"/>
      <c r="AD113" s="45"/>
      <c r="AE113" s="45"/>
      <c r="AF113" s="45"/>
      <c r="AG113" s="51" t="str">
        <f aca="false">IF(F113="","",F113&amp;"-"&amp;COUNTIF($F$10:F113,F113))</f>
        <v/>
      </c>
      <c r="AH113" s="51" t="str">
        <f aca="false">IF(F113="","",IF(F113="CM2","CM2-"&amp;COUNTIF($F$10:F113,"CM2"),"P-"&amp;COUNTIFS($F$10:F113,"&lt;&gt;CM2",$F$10:F113,"&lt;&gt;")))</f>
        <v/>
      </c>
      <c r="AI113" s="51" t="str">
        <f aca="false">IF(F113="","",IF(LEFT(F113,2)="CP","CP-"&amp;COUNTIF($F$10:F113,"CP*"),IF(F113="CE1","CE1-"&amp;COUNTIF($F$10:F113,"CE1"),IF(F113="CM2","CM2-"&amp;COUNTIF($F$10:F113,"CM2"),"CEM-"&amp;(COUNTIF($F$10:F113,"CE2")+COUNTIF($F$10:F113,"CM1"))))))</f>
        <v/>
      </c>
    </row>
    <row r="114" customFormat="false" ht="15" hidden="false" customHeight="false" outlineLevel="0" collapsed="false">
      <c r="A114" s="45" t="str">
        <f aca="false">IF(D114="","",ROW()-9)</f>
        <v/>
      </c>
      <c r="B114" s="45" t="str">
        <f aca="false">IF(F114="","",F114&amp;"-"&amp;TEXT(COUNTIF($F$10:F114,F114),"000")&amp;"-"&amp;RIGHT(LEFT(PARAMETRES!$C$9,4),2))</f>
        <v/>
      </c>
      <c r="C114" s="58"/>
      <c r="D114" s="45"/>
      <c r="E114" s="45"/>
      <c r="F114" s="45"/>
      <c r="G114" s="59"/>
      <c r="H114" s="45" t="str">
        <f aca="false">IF(G114="","",DATEDIF(G114,PARAMETRES!$C$13,"y"))</f>
        <v/>
      </c>
      <c r="I114" s="45"/>
      <c r="J114" s="45"/>
      <c r="K114" s="45"/>
      <c r="L114" s="45"/>
      <c r="M114" s="45"/>
      <c r="N114" s="59"/>
      <c r="O114" s="45"/>
      <c r="P114" s="45"/>
      <c r="Q114" s="45"/>
      <c r="R114" s="45"/>
      <c r="S114" s="45"/>
      <c r="T114" s="45"/>
      <c r="U114" s="45"/>
      <c r="V114" s="45"/>
      <c r="W114" s="45"/>
      <c r="X114" s="45"/>
      <c r="Y114" s="45"/>
      <c r="Z114" s="45"/>
      <c r="AA114" s="45"/>
      <c r="AB114" s="45"/>
      <c r="AC114" s="45"/>
      <c r="AD114" s="45"/>
      <c r="AE114" s="45"/>
      <c r="AF114" s="45"/>
      <c r="AG114" s="51" t="str">
        <f aca="false">IF(F114="","",F114&amp;"-"&amp;COUNTIF($F$10:F114,F114))</f>
        <v/>
      </c>
      <c r="AH114" s="51" t="str">
        <f aca="false">IF(F114="","",IF(F114="CM2","CM2-"&amp;COUNTIF($F$10:F114,"CM2"),"P-"&amp;COUNTIFS($F$10:F114,"&lt;&gt;CM2",$F$10:F114,"&lt;&gt;")))</f>
        <v/>
      </c>
      <c r="AI114" s="51" t="str">
        <f aca="false">IF(F114="","",IF(LEFT(F114,2)="CP","CP-"&amp;COUNTIF($F$10:F114,"CP*"),IF(F114="CE1","CE1-"&amp;COUNTIF($F$10:F114,"CE1"),IF(F114="CM2","CM2-"&amp;COUNTIF($F$10:F114,"CM2"),"CEM-"&amp;(COUNTIF($F$10:F114,"CE2")+COUNTIF($F$10:F114,"CM1"))))))</f>
        <v/>
      </c>
    </row>
    <row r="115" customFormat="false" ht="15" hidden="false" customHeight="false" outlineLevel="0" collapsed="false">
      <c r="A115" s="45" t="str">
        <f aca="false">IF(D115="","",ROW()-9)</f>
        <v/>
      </c>
      <c r="B115" s="45" t="str">
        <f aca="false">IF(F115="","",F115&amp;"-"&amp;TEXT(COUNTIF($F$10:F115,F115),"000")&amp;"-"&amp;RIGHT(LEFT(PARAMETRES!$C$9,4),2))</f>
        <v/>
      </c>
      <c r="C115" s="58"/>
      <c r="D115" s="45"/>
      <c r="E115" s="45"/>
      <c r="F115" s="45"/>
      <c r="G115" s="59"/>
      <c r="H115" s="45" t="str">
        <f aca="false">IF(G115="","",DATEDIF(G115,PARAMETRES!$C$13,"y"))</f>
        <v/>
      </c>
      <c r="I115" s="45"/>
      <c r="J115" s="45"/>
      <c r="K115" s="45"/>
      <c r="L115" s="45"/>
      <c r="M115" s="45"/>
      <c r="N115" s="59"/>
      <c r="O115" s="45"/>
      <c r="P115" s="45"/>
      <c r="Q115" s="45"/>
      <c r="R115" s="45"/>
      <c r="S115" s="45"/>
      <c r="T115" s="45"/>
      <c r="U115" s="45"/>
      <c r="V115" s="45"/>
      <c r="W115" s="45"/>
      <c r="X115" s="45"/>
      <c r="Y115" s="45"/>
      <c r="Z115" s="45"/>
      <c r="AA115" s="45"/>
      <c r="AB115" s="45"/>
      <c r="AC115" s="45"/>
      <c r="AD115" s="45"/>
      <c r="AE115" s="45"/>
      <c r="AF115" s="45"/>
      <c r="AG115" s="51" t="str">
        <f aca="false">IF(F115="","",F115&amp;"-"&amp;COUNTIF($F$10:F115,F115))</f>
        <v/>
      </c>
      <c r="AH115" s="51" t="str">
        <f aca="false">IF(F115="","",IF(F115="CM2","CM2-"&amp;COUNTIF($F$10:F115,"CM2"),"P-"&amp;COUNTIFS($F$10:F115,"&lt;&gt;CM2",$F$10:F115,"&lt;&gt;")))</f>
        <v/>
      </c>
      <c r="AI115" s="51" t="str">
        <f aca="false">IF(F115="","",IF(LEFT(F115,2)="CP","CP-"&amp;COUNTIF($F$10:F115,"CP*"),IF(F115="CE1","CE1-"&amp;COUNTIF($F$10:F115,"CE1"),IF(F115="CM2","CM2-"&amp;COUNTIF($F$10:F115,"CM2"),"CEM-"&amp;(COUNTIF($F$10:F115,"CE2")+COUNTIF($F$10:F115,"CM1"))))))</f>
        <v/>
      </c>
    </row>
    <row r="116" customFormat="false" ht="15" hidden="false" customHeight="false" outlineLevel="0" collapsed="false">
      <c r="A116" s="45" t="str">
        <f aca="false">IF(D116="","",ROW()-9)</f>
        <v/>
      </c>
      <c r="B116" s="45" t="str">
        <f aca="false">IF(F116="","",F116&amp;"-"&amp;TEXT(COUNTIF($F$10:F116,F116),"000")&amp;"-"&amp;RIGHT(LEFT(PARAMETRES!$C$9,4),2))</f>
        <v/>
      </c>
      <c r="C116" s="58"/>
      <c r="D116" s="45"/>
      <c r="E116" s="45"/>
      <c r="F116" s="45"/>
      <c r="G116" s="59"/>
      <c r="H116" s="45" t="str">
        <f aca="false">IF(G116="","",DATEDIF(G116,PARAMETRES!$C$13,"y"))</f>
        <v/>
      </c>
      <c r="I116" s="45"/>
      <c r="J116" s="45"/>
      <c r="K116" s="45"/>
      <c r="L116" s="45"/>
      <c r="M116" s="45"/>
      <c r="N116" s="59"/>
      <c r="O116" s="45"/>
      <c r="P116" s="45"/>
      <c r="Q116" s="45"/>
      <c r="R116" s="45"/>
      <c r="S116" s="45"/>
      <c r="T116" s="45"/>
      <c r="U116" s="45"/>
      <c r="V116" s="45"/>
      <c r="W116" s="45"/>
      <c r="X116" s="45"/>
      <c r="Y116" s="45"/>
      <c r="Z116" s="45"/>
      <c r="AA116" s="45"/>
      <c r="AB116" s="45"/>
      <c r="AC116" s="45"/>
      <c r="AD116" s="45"/>
      <c r="AE116" s="45"/>
      <c r="AF116" s="45"/>
      <c r="AG116" s="51" t="str">
        <f aca="false">IF(F116="","",F116&amp;"-"&amp;COUNTIF($F$10:F116,F116))</f>
        <v/>
      </c>
      <c r="AH116" s="51" t="str">
        <f aca="false">IF(F116="","",IF(F116="CM2","CM2-"&amp;COUNTIF($F$10:F116,"CM2"),"P-"&amp;COUNTIFS($F$10:F116,"&lt;&gt;CM2",$F$10:F116,"&lt;&gt;")))</f>
        <v/>
      </c>
      <c r="AI116" s="51" t="str">
        <f aca="false">IF(F116="","",IF(LEFT(F116,2)="CP","CP-"&amp;COUNTIF($F$10:F116,"CP*"),IF(F116="CE1","CE1-"&amp;COUNTIF($F$10:F116,"CE1"),IF(F116="CM2","CM2-"&amp;COUNTIF($F$10:F116,"CM2"),"CEM-"&amp;(COUNTIF($F$10:F116,"CE2")+COUNTIF($F$10:F116,"CM1"))))))</f>
        <v/>
      </c>
    </row>
    <row r="117" customFormat="false" ht="15" hidden="false" customHeight="false" outlineLevel="0" collapsed="false">
      <c r="A117" s="45" t="str">
        <f aca="false">IF(D117="","",ROW()-9)</f>
        <v/>
      </c>
      <c r="B117" s="45" t="str">
        <f aca="false">IF(F117="","",F117&amp;"-"&amp;TEXT(COUNTIF($F$10:F117,F117),"000")&amp;"-"&amp;RIGHT(LEFT(PARAMETRES!$C$9,4),2))</f>
        <v/>
      </c>
      <c r="C117" s="58"/>
      <c r="D117" s="45"/>
      <c r="E117" s="45"/>
      <c r="F117" s="45"/>
      <c r="G117" s="59"/>
      <c r="H117" s="45" t="str">
        <f aca="false">IF(G117="","",DATEDIF(G117,PARAMETRES!$C$13,"y"))</f>
        <v/>
      </c>
      <c r="I117" s="45"/>
      <c r="J117" s="45"/>
      <c r="K117" s="45"/>
      <c r="L117" s="45"/>
      <c r="M117" s="45"/>
      <c r="N117" s="59"/>
      <c r="O117" s="45"/>
      <c r="P117" s="45"/>
      <c r="Q117" s="45"/>
      <c r="R117" s="45"/>
      <c r="S117" s="45"/>
      <c r="T117" s="45"/>
      <c r="U117" s="45"/>
      <c r="V117" s="45"/>
      <c r="W117" s="45"/>
      <c r="X117" s="45"/>
      <c r="Y117" s="45"/>
      <c r="Z117" s="45"/>
      <c r="AA117" s="45"/>
      <c r="AB117" s="45"/>
      <c r="AC117" s="45"/>
      <c r="AD117" s="45"/>
      <c r="AE117" s="45"/>
      <c r="AF117" s="45"/>
      <c r="AG117" s="51" t="str">
        <f aca="false">IF(F117="","",F117&amp;"-"&amp;COUNTIF($F$10:F117,F117))</f>
        <v/>
      </c>
      <c r="AH117" s="51" t="str">
        <f aca="false">IF(F117="","",IF(F117="CM2","CM2-"&amp;COUNTIF($F$10:F117,"CM2"),"P-"&amp;COUNTIFS($F$10:F117,"&lt;&gt;CM2",$F$10:F117,"&lt;&gt;")))</f>
        <v/>
      </c>
      <c r="AI117" s="51" t="str">
        <f aca="false">IF(F117="","",IF(LEFT(F117,2)="CP","CP-"&amp;COUNTIF($F$10:F117,"CP*"),IF(F117="CE1","CE1-"&amp;COUNTIF($F$10:F117,"CE1"),IF(F117="CM2","CM2-"&amp;COUNTIF($F$10:F117,"CM2"),"CEM-"&amp;(COUNTIF($F$10:F117,"CE2")+COUNTIF($F$10:F117,"CM1"))))))</f>
        <v/>
      </c>
    </row>
    <row r="118" customFormat="false" ht="15" hidden="false" customHeight="false" outlineLevel="0" collapsed="false">
      <c r="A118" s="45" t="str">
        <f aca="false">IF(D118="","",ROW()-9)</f>
        <v/>
      </c>
      <c r="B118" s="45" t="str">
        <f aca="false">IF(F118="","",F118&amp;"-"&amp;TEXT(COUNTIF($F$10:F118,F118),"000")&amp;"-"&amp;RIGHT(LEFT(PARAMETRES!$C$9,4),2))</f>
        <v/>
      </c>
      <c r="C118" s="58"/>
      <c r="D118" s="45"/>
      <c r="E118" s="45"/>
      <c r="F118" s="45"/>
      <c r="G118" s="59"/>
      <c r="H118" s="45" t="str">
        <f aca="false">IF(G118="","",DATEDIF(G118,PARAMETRES!$C$13,"y"))</f>
        <v/>
      </c>
      <c r="I118" s="45"/>
      <c r="J118" s="45"/>
      <c r="K118" s="45"/>
      <c r="L118" s="45"/>
      <c r="M118" s="45"/>
      <c r="N118" s="59"/>
      <c r="O118" s="45"/>
      <c r="P118" s="45"/>
      <c r="Q118" s="45"/>
      <c r="R118" s="45"/>
      <c r="S118" s="45"/>
      <c r="T118" s="45"/>
      <c r="U118" s="45"/>
      <c r="V118" s="45"/>
      <c r="W118" s="45"/>
      <c r="X118" s="45"/>
      <c r="Y118" s="45"/>
      <c r="Z118" s="45"/>
      <c r="AA118" s="45"/>
      <c r="AB118" s="45"/>
      <c r="AC118" s="45"/>
      <c r="AD118" s="45"/>
      <c r="AE118" s="45"/>
      <c r="AF118" s="45"/>
      <c r="AG118" s="51" t="str">
        <f aca="false">IF(F118="","",F118&amp;"-"&amp;COUNTIF($F$10:F118,F118))</f>
        <v/>
      </c>
      <c r="AH118" s="51" t="str">
        <f aca="false">IF(F118="","",IF(F118="CM2","CM2-"&amp;COUNTIF($F$10:F118,"CM2"),"P-"&amp;COUNTIFS($F$10:F118,"&lt;&gt;CM2",$F$10:F118,"&lt;&gt;")))</f>
        <v/>
      </c>
      <c r="AI118" s="51" t="str">
        <f aca="false">IF(F118="","",IF(LEFT(F118,2)="CP","CP-"&amp;COUNTIF($F$10:F118,"CP*"),IF(F118="CE1","CE1-"&amp;COUNTIF($F$10:F118,"CE1"),IF(F118="CM2","CM2-"&amp;COUNTIF($F$10:F118,"CM2"),"CEM-"&amp;(COUNTIF($F$10:F118,"CE2")+COUNTIF($F$10:F118,"CM1"))))))</f>
        <v/>
      </c>
    </row>
    <row r="119" customFormat="false" ht="15" hidden="false" customHeight="false" outlineLevel="0" collapsed="false">
      <c r="A119" s="45" t="str">
        <f aca="false">IF(D119="","",ROW()-9)</f>
        <v/>
      </c>
      <c r="B119" s="45" t="str">
        <f aca="false">IF(F119="","",F119&amp;"-"&amp;TEXT(COUNTIF($F$10:F119,F119),"000")&amp;"-"&amp;RIGHT(LEFT(PARAMETRES!$C$9,4),2))</f>
        <v/>
      </c>
      <c r="C119" s="58"/>
      <c r="D119" s="45"/>
      <c r="E119" s="45"/>
      <c r="F119" s="45"/>
      <c r="G119" s="59"/>
      <c r="H119" s="45" t="str">
        <f aca="false">IF(G119="","",DATEDIF(G119,PARAMETRES!$C$13,"y"))</f>
        <v/>
      </c>
      <c r="I119" s="45"/>
      <c r="J119" s="45"/>
      <c r="K119" s="45"/>
      <c r="L119" s="45"/>
      <c r="M119" s="45"/>
      <c r="N119" s="59"/>
      <c r="O119" s="45"/>
      <c r="P119" s="45"/>
      <c r="Q119" s="45"/>
      <c r="R119" s="45"/>
      <c r="S119" s="45"/>
      <c r="T119" s="45"/>
      <c r="U119" s="45"/>
      <c r="V119" s="45"/>
      <c r="W119" s="45"/>
      <c r="X119" s="45"/>
      <c r="Y119" s="45"/>
      <c r="Z119" s="45"/>
      <c r="AA119" s="45"/>
      <c r="AB119" s="45"/>
      <c r="AC119" s="45"/>
      <c r="AD119" s="45"/>
      <c r="AE119" s="45"/>
      <c r="AF119" s="45"/>
      <c r="AG119" s="51" t="str">
        <f aca="false">IF(F119="","",F119&amp;"-"&amp;COUNTIF($F$10:F119,F119))</f>
        <v/>
      </c>
      <c r="AH119" s="51" t="str">
        <f aca="false">IF(F119="","",IF(F119="CM2","CM2-"&amp;COUNTIF($F$10:F119,"CM2"),"P-"&amp;COUNTIFS($F$10:F119,"&lt;&gt;CM2",$F$10:F119,"&lt;&gt;")))</f>
        <v/>
      </c>
      <c r="AI119" s="51" t="str">
        <f aca="false">IF(F119="","",IF(LEFT(F119,2)="CP","CP-"&amp;COUNTIF($F$10:F119,"CP*"),IF(F119="CE1","CE1-"&amp;COUNTIF($F$10:F119,"CE1"),IF(F119="CM2","CM2-"&amp;COUNTIF($F$10:F119,"CM2"),"CEM-"&amp;(COUNTIF($F$10:F119,"CE2")+COUNTIF($F$10:F119,"CM1"))))))</f>
        <v/>
      </c>
    </row>
    <row r="120" customFormat="false" ht="15" hidden="false" customHeight="false" outlineLevel="0" collapsed="false">
      <c r="A120" s="45" t="str">
        <f aca="false">IF(D120="","",ROW()-9)</f>
        <v/>
      </c>
      <c r="B120" s="45" t="str">
        <f aca="false">IF(F120="","",F120&amp;"-"&amp;TEXT(COUNTIF($F$10:F120,F120),"000")&amp;"-"&amp;RIGHT(LEFT(PARAMETRES!$C$9,4),2))</f>
        <v/>
      </c>
      <c r="C120" s="58"/>
      <c r="D120" s="45"/>
      <c r="E120" s="45"/>
      <c r="F120" s="45"/>
      <c r="G120" s="59"/>
      <c r="H120" s="45" t="str">
        <f aca="false">IF(G120="","",DATEDIF(G120,PARAMETRES!$C$13,"y"))</f>
        <v/>
      </c>
      <c r="I120" s="45"/>
      <c r="J120" s="45"/>
      <c r="K120" s="45"/>
      <c r="L120" s="45"/>
      <c r="M120" s="45"/>
      <c r="N120" s="59"/>
      <c r="O120" s="45"/>
      <c r="P120" s="45"/>
      <c r="Q120" s="45"/>
      <c r="R120" s="45"/>
      <c r="S120" s="45"/>
      <c r="T120" s="45"/>
      <c r="U120" s="45"/>
      <c r="V120" s="45"/>
      <c r="W120" s="45"/>
      <c r="X120" s="45"/>
      <c r="Y120" s="45"/>
      <c r="Z120" s="45"/>
      <c r="AA120" s="45"/>
      <c r="AB120" s="45"/>
      <c r="AC120" s="45"/>
      <c r="AD120" s="45"/>
      <c r="AE120" s="45"/>
      <c r="AF120" s="45"/>
      <c r="AG120" s="51" t="str">
        <f aca="false">IF(F120="","",F120&amp;"-"&amp;COUNTIF($F$10:F120,F120))</f>
        <v/>
      </c>
      <c r="AH120" s="51" t="str">
        <f aca="false">IF(F120="","",IF(F120="CM2","CM2-"&amp;COUNTIF($F$10:F120,"CM2"),"P-"&amp;COUNTIFS($F$10:F120,"&lt;&gt;CM2",$F$10:F120,"&lt;&gt;")))</f>
        <v/>
      </c>
      <c r="AI120" s="51" t="str">
        <f aca="false">IF(F120="","",IF(LEFT(F120,2)="CP","CP-"&amp;COUNTIF($F$10:F120,"CP*"),IF(F120="CE1","CE1-"&amp;COUNTIF($F$10:F120,"CE1"),IF(F120="CM2","CM2-"&amp;COUNTIF($F$10:F120,"CM2"),"CEM-"&amp;(COUNTIF($F$10:F120,"CE2")+COUNTIF($F$10:F120,"CM1"))))))</f>
        <v/>
      </c>
    </row>
    <row r="121" customFormat="false" ht="15" hidden="false" customHeight="false" outlineLevel="0" collapsed="false">
      <c r="A121" s="45" t="str">
        <f aca="false">IF(D121="","",ROW()-9)</f>
        <v/>
      </c>
      <c r="B121" s="45" t="str">
        <f aca="false">IF(F121="","",F121&amp;"-"&amp;TEXT(COUNTIF($F$10:F121,F121),"000")&amp;"-"&amp;RIGHT(LEFT(PARAMETRES!$C$9,4),2))</f>
        <v/>
      </c>
      <c r="C121" s="58"/>
      <c r="D121" s="45"/>
      <c r="E121" s="45"/>
      <c r="F121" s="45"/>
      <c r="G121" s="59"/>
      <c r="H121" s="45" t="str">
        <f aca="false">IF(G121="","",DATEDIF(G121,PARAMETRES!$C$13,"y"))</f>
        <v/>
      </c>
      <c r="I121" s="45"/>
      <c r="J121" s="45"/>
      <c r="K121" s="45"/>
      <c r="L121" s="45"/>
      <c r="M121" s="45"/>
      <c r="N121" s="59"/>
      <c r="O121" s="45"/>
      <c r="P121" s="45"/>
      <c r="Q121" s="45"/>
      <c r="R121" s="45"/>
      <c r="S121" s="45"/>
      <c r="T121" s="45"/>
      <c r="U121" s="45"/>
      <c r="V121" s="45"/>
      <c r="W121" s="45"/>
      <c r="X121" s="45"/>
      <c r="Y121" s="45"/>
      <c r="Z121" s="45"/>
      <c r="AA121" s="45"/>
      <c r="AB121" s="45"/>
      <c r="AC121" s="45"/>
      <c r="AD121" s="45"/>
      <c r="AE121" s="45"/>
      <c r="AF121" s="45"/>
      <c r="AG121" s="51" t="str">
        <f aca="false">IF(F121="","",F121&amp;"-"&amp;COUNTIF($F$10:F121,F121))</f>
        <v/>
      </c>
      <c r="AH121" s="51" t="str">
        <f aca="false">IF(F121="","",IF(F121="CM2","CM2-"&amp;COUNTIF($F$10:F121,"CM2"),"P-"&amp;COUNTIFS($F$10:F121,"&lt;&gt;CM2",$F$10:F121,"&lt;&gt;")))</f>
        <v/>
      </c>
      <c r="AI121" s="51" t="str">
        <f aca="false">IF(F121="","",IF(LEFT(F121,2)="CP","CP-"&amp;COUNTIF($F$10:F121,"CP*"),IF(F121="CE1","CE1-"&amp;COUNTIF($F$10:F121,"CE1"),IF(F121="CM2","CM2-"&amp;COUNTIF($F$10:F121,"CM2"),"CEM-"&amp;(COUNTIF($F$10:F121,"CE2")+COUNTIF($F$10:F121,"CM1"))))))</f>
        <v/>
      </c>
    </row>
    <row r="122" customFormat="false" ht="15" hidden="false" customHeight="false" outlineLevel="0" collapsed="false">
      <c r="A122" s="45" t="str">
        <f aca="false">IF(D122="","",ROW()-9)</f>
        <v/>
      </c>
      <c r="B122" s="45" t="str">
        <f aca="false">IF(F122="","",F122&amp;"-"&amp;TEXT(COUNTIF($F$10:F122,F122),"000")&amp;"-"&amp;RIGHT(LEFT(PARAMETRES!$C$9,4),2))</f>
        <v/>
      </c>
      <c r="C122" s="58"/>
      <c r="D122" s="45"/>
      <c r="E122" s="45"/>
      <c r="F122" s="45"/>
      <c r="G122" s="59"/>
      <c r="H122" s="45" t="str">
        <f aca="false">IF(G122="","",DATEDIF(G122,PARAMETRES!$C$13,"y"))</f>
        <v/>
      </c>
      <c r="I122" s="45"/>
      <c r="J122" s="45"/>
      <c r="K122" s="45"/>
      <c r="L122" s="45"/>
      <c r="M122" s="45"/>
      <c r="N122" s="59"/>
      <c r="O122" s="45"/>
      <c r="P122" s="45"/>
      <c r="Q122" s="45"/>
      <c r="R122" s="45"/>
      <c r="S122" s="45"/>
      <c r="T122" s="45"/>
      <c r="U122" s="45"/>
      <c r="V122" s="45"/>
      <c r="W122" s="45"/>
      <c r="X122" s="45"/>
      <c r="Y122" s="45"/>
      <c r="Z122" s="45"/>
      <c r="AA122" s="45"/>
      <c r="AB122" s="45"/>
      <c r="AC122" s="45"/>
      <c r="AD122" s="45"/>
      <c r="AE122" s="45"/>
      <c r="AF122" s="45"/>
      <c r="AG122" s="51" t="str">
        <f aca="false">IF(F122="","",F122&amp;"-"&amp;COUNTIF($F$10:F122,F122))</f>
        <v/>
      </c>
      <c r="AH122" s="51" t="str">
        <f aca="false">IF(F122="","",IF(F122="CM2","CM2-"&amp;COUNTIF($F$10:F122,"CM2"),"P-"&amp;COUNTIFS($F$10:F122,"&lt;&gt;CM2",$F$10:F122,"&lt;&gt;")))</f>
        <v/>
      </c>
      <c r="AI122" s="51" t="str">
        <f aca="false">IF(F122="","",IF(LEFT(F122,2)="CP","CP-"&amp;COUNTIF($F$10:F122,"CP*"),IF(F122="CE1","CE1-"&amp;COUNTIF($F$10:F122,"CE1"),IF(F122="CM2","CM2-"&amp;COUNTIF($F$10:F122,"CM2"),"CEM-"&amp;(COUNTIF($F$10:F122,"CE2")+COUNTIF($F$10:F122,"CM1"))))))</f>
        <v/>
      </c>
    </row>
    <row r="123" customFormat="false" ht="15" hidden="false" customHeight="false" outlineLevel="0" collapsed="false">
      <c r="A123" s="45" t="str">
        <f aca="false">IF(D123="","",ROW()-9)</f>
        <v/>
      </c>
      <c r="B123" s="45" t="str">
        <f aca="false">IF(F123="","",F123&amp;"-"&amp;TEXT(COUNTIF($F$10:F123,F123),"000")&amp;"-"&amp;RIGHT(LEFT(PARAMETRES!$C$9,4),2))</f>
        <v/>
      </c>
      <c r="C123" s="58"/>
      <c r="D123" s="45"/>
      <c r="E123" s="45"/>
      <c r="F123" s="45"/>
      <c r="G123" s="59"/>
      <c r="H123" s="45" t="str">
        <f aca="false">IF(G123="","",DATEDIF(G123,PARAMETRES!$C$13,"y"))</f>
        <v/>
      </c>
      <c r="I123" s="45"/>
      <c r="J123" s="45"/>
      <c r="K123" s="45"/>
      <c r="L123" s="45"/>
      <c r="M123" s="45"/>
      <c r="N123" s="59"/>
      <c r="O123" s="45"/>
      <c r="P123" s="45"/>
      <c r="Q123" s="45"/>
      <c r="R123" s="45"/>
      <c r="S123" s="45"/>
      <c r="T123" s="45"/>
      <c r="U123" s="45"/>
      <c r="V123" s="45"/>
      <c r="W123" s="45"/>
      <c r="X123" s="45"/>
      <c r="Y123" s="45"/>
      <c r="Z123" s="45"/>
      <c r="AA123" s="45"/>
      <c r="AB123" s="45"/>
      <c r="AC123" s="45"/>
      <c r="AD123" s="45"/>
      <c r="AE123" s="45"/>
      <c r="AF123" s="45"/>
      <c r="AG123" s="51" t="str">
        <f aca="false">IF(F123="","",F123&amp;"-"&amp;COUNTIF($F$10:F123,F123))</f>
        <v/>
      </c>
      <c r="AH123" s="51" t="str">
        <f aca="false">IF(F123="","",IF(F123="CM2","CM2-"&amp;COUNTIF($F$10:F123,"CM2"),"P-"&amp;COUNTIFS($F$10:F123,"&lt;&gt;CM2",$F$10:F123,"&lt;&gt;")))</f>
        <v/>
      </c>
      <c r="AI123" s="51" t="str">
        <f aca="false">IF(F123="","",IF(LEFT(F123,2)="CP","CP-"&amp;COUNTIF($F$10:F123,"CP*"),IF(F123="CE1","CE1-"&amp;COUNTIF($F$10:F123,"CE1"),IF(F123="CM2","CM2-"&amp;COUNTIF($F$10:F123,"CM2"),"CEM-"&amp;(COUNTIF($F$10:F123,"CE2")+COUNTIF($F$10:F123,"CM1"))))))</f>
        <v/>
      </c>
    </row>
    <row r="124" customFormat="false" ht="15" hidden="false" customHeight="false" outlineLevel="0" collapsed="false">
      <c r="A124" s="45" t="str">
        <f aca="false">IF(D124="","",ROW()-9)</f>
        <v/>
      </c>
      <c r="B124" s="45" t="str">
        <f aca="false">IF(F124="","",F124&amp;"-"&amp;TEXT(COUNTIF($F$10:F124,F124),"000")&amp;"-"&amp;RIGHT(LEFT(PARAMETRES!$C$9,4),2))</f>
        <v/>
      </c>
      <c r="C124" s="58"/>
      <c r="D124" s="45"/>
      <c r="E124" s="45"/>
      <c r="F124" s="45"/>
      <c r="G124" s="59"/>
      <c r="H124" s="45" t="str">
        <f aca="false">IF(G124="","",DATEDIF(G124,PARAMETRES!$C$13,"y"))</f>
        <v/>
      </c>
      <c r="I124" s="45"/>
      <c r="J124" s="45"/>
      <c r="K124" s="45"/>
      <c r="L124" s="45"/>
      <c r="M124" s="45"/>
      <c r="N124" s="59"/>
      <c r="O124" s="45"/>
      <c r="P124" s="45"/>
      <c r="Q124" s="45"/>
      <c r="R124" s="45"/>
      <c r="S124" s="45"/>
      <c r="T124" s="45"/>
      <c r="U124" s="45"/>
      <c r="V124" s="45"/>
      <c r="W124" s="45"/>
      <c r="X124" s="45"/>
      <c r="Y124" s="45"/>
      <c r="Z124" s="45"/>
      <c r="AA124" s="45"/>
      <c r="AB124" s="45"/>
      <c r="AC124" s="45"/>
      <c r="AD124" s="45"/>
      <c r="AE124" s="45"/>
      <c r="AF124" s="45"/>
      <c r="AG124" s="51" t="str">
        <f aca="false">IF(F124="","",F124&amp;"-"&amp;COUNTIF($F$10:F124,F124))</f>
        <v/>
      </c>
      <c r="AH124" s="51" t="str">
        <f aca="false">IF(F124="","",IF(F124="CM2","CM2-"&amp;COUNTIF($F$10:F124,"CM2"),"P-"&amp;COUNTIFS($F$10:F124,"&lt;&gt;CM2",$F$10:F124,"&lt;&gt;")))</f>
        <v/>
      </c>
      <c r="AI124" s="51" t="str">
        <f aca="false">IF(F124="","",IF(LEFT(F124,2)="CP","CP-"&amp;COUNTIF($F$10:F124,"CP*"),IF(F124="CE1","CE1-"&amp;COUNTIF($F$10:F124,"CE1"),IF(F124="CM2","CM2-"&amp;COUNTIF($F$10:F124,"CM2"),"CEM-"&amp;(COUNTIF($F$10:F124,"CE2")+COUNTIF($F$10:F124,"CM1"))))))</f>
        <v/>
      </c>
    </row>
    <row r="125" customFormat="false" ht="15" hidden="false" customHeight="false" outlineLevel="0" collapsed="false">
      <c r="A125" s="45" t="str">
        <f aca="false">IF(D125="","",ROW()-9)</f>
        <v/>
      </c>
      <c r="B125" s="45" t="str">
        <f aca="false">IF(F125="","",F125&amp;"-"&amp;TEXT(COUNTIF($F$10:F125,F125),"000")&amp;"-"&amp;RIGHT(LEFT(PARAMETRES!$C$9,4),2))</f>
        <v/>
      </c>
      <c r="C125" s="58"/>
      <c r="D125" s="45"/>
      <c r="E125" s="45"/>
      <c r="F125" s="45"/>
      <c r="G125" s="59"/>
      <c r="H125" s="45" t="str">
        <f aca="false">IF(G125="","",DATEDIF(G125,PARAMETRES!$C$13,"y"))</f>
        <v/>
      </c>
      <c r="I125" s="45"/>
      <c r="J125" s="45"/>
      <c r="K125" s="45"/>
      <c r="L125" s="45"/>
      <c r="M125" s="45"/>
      <c r="N125" s="59"/>
      <c r="O125" s="45"/>
      <c r="P125" s="45"/>
      <c r="Q125" s="45"/>
      <c r="R125" s="45"/>
      <c r="S125" s="45"/>
      <c r="T125" s="45"/>
      <c r="U125" s="45"/>
      <c r="V125" s="45"/>
      <c r="W125" s="45"/>
      <c r="X125" s="45"/>
      <c r="Y125" s="45"/>
      <c r="Z125" s="45"/>
      <c r="AA125" s="45"/>
      <c r="AB125" s="45"/>
      <c r="AC125" s="45"/>
      <c r="AD125" s="45"/>
      <c r="AE125" s="45"/>
      <c r="AF125" s="45"/>
      <c r="AG125" s="51" t="str">
        <f aca="false">IF(F125="","",F125&amp;"-"&amp;COUNTIF($F$10:F125,F125))</f>
        <v/>
      </c>
      <c r="AH125" s="51" t="str">
        <f aca="false">IF(F125="","",IF(F125="CM2","CM2-"&amp;COUNTIF($F$10:F125,"CM2"),"P-"&amp;COUNTIFS($F$10:F125,"&lt;&gt;CM2",$F$10:F125,"&lt;&gt;")))</f>
        <v/>
      </c>
      <c r="AI125" s="51" t="str">
        <f aca="false">IF(F125="","",IF(LEFT(F125,2)="CP","CP-"&amp;COUNTIF($F$10:F125,"CP*"),IF(F125="CE1","CE1-"&amp;COUNTIF($F$10:F125,"CE1"),IF(F125="CM2","CM2-"&amp;COUNTIF($F$10:F125,"CM2"),"CEM-"&amp;(COUNTIF($F$10:F125,"CE2")+COUNTIF($F$10:F125,"CM1"))))))</f>
        <v/>
      </c>
    </row>
    <row r="126" customFormat="false" ht="15" hidden="false" customHeight="false" outlineLevel="0" collapsed="false">
      <c r="A126" s="45" t="str">
        <f aca="false">IF(D126="","",ROW()-9)</f>
        <v/>
      </c>
      <c r="B126" s="45" t="str">
        <f aca="false">IF(F126="","",F126&amp;"-"&amp;TEXT(COUNTIF($F$10:F126,F126),"000")&amp;"-"&amp;RIGHT(LEFT(PARAMETRES!$C$9,4),2))</f>
        <v/>
      </c>
      <c r="C126" s="58"/>
      <c r="D126" s="45"/>
      <c r="E126" s="45"/>
      <c r="F126" s="45"/>
      <c r="G126" s="59"/>
      <c r="H126" s="45" t="str">
        <f aca="false">IF(G126="","",DATEDIF(G126,PARAMETRES!$C$13,"y"))</f>
        <v/>
      </c>
      <c r="I126" s="45"/>
      <c r="J126" s="45"/>
      <c r="K126" s="45"/>
      <c r="L126" s="45"/>
      <c r="M126" s="45"/>
      <c r="N126" s="59"/>
      <c r="O126" s="45"/>
      <c r="P126" s="45"/>
      <c r="Q126" s="45"/>
      <c r="R126" s="45"/>
      <c r="S126" s="45"/>
      <c r="T126" s="45"/>
      <c r="U126" s="45"/>
      <c r="V126" s="45"/>
      <c r="W126" s="45"/>
      <c r="X126" s="45"/>
      <c r="Y126" s="45"/>
      <c r="Z126" s="45"/>
      <c r="AA126" s="45"/>
      <c r="AB126" s="45"/>
      <c r="AC126" s="45"/>
      <c r="AD126" s="45"/>
      <c r="AE126" s="45"/>
      <c r="AF126" s="45"/>
      <c r="AG126" s="51" t="str">
        <f aca="false">IF(F126="","",F126&amp;"-"&amp;COUNTIF($F$10:F126,F126))</f>
        <v/>
      </c>
      <c r="AH126" s="51" t="str">
        <f aca="false">IF(F126="","",IF(F126="CM2","CM2-"&amp;COUNTIF($F$10:F126,"CM2"),"P-"&amp;COUNTIFS($F$10:F126,"&lt;&gt;CM2",$F$10:F126,"&lt;&gt;")))</f>
        <v/>
      </c>
      <c r="AI126" s="51" t="str">
        <f aca="false">IF(F126="","",IF(LEFT(F126,2)="CP","CP-"&amp;COUNTIF($F$10:F126,"CP*"),IF(F126="CE1","CE1-"&amp;COUNTIF($F$10:F126,"CE1"),IF(F126="CM2","CM2-"&amp;COUNTIF($F$10:F126,"CM2"),"CEM-"&amp;(COUNTIF($F$10:F126,"CE2")+COUNTIF($F$10:F126,"CM1"))))))</f>
        <v/>
      </c>
    </row>
    <row r="127" customFormat="false" ht="15" hidden="false" customHeight="false" outlineLevel="0" collapsed="false">
      <c r="A127" s="45" t="str">
        <f aca="false">IF(D127="","",ROW()-9)</f>
        <v/>
      </c>
      <c r="B127" s="45" t="str">
        <f aca="false">IF(F127="","",F127&amp;"-"&amp;TEXT(COUNTIF($F$10:F127,F127),"000")&amp;"-"&amp;RIGHT(LEFT(PARAMETRES!$C$9,4),2))</f>
        <v/>
      </c>
      <c r="C127" s="58"/>
      <c r="D127" s="45"/>
      <c r="E127" s="45"/>
      <c r="F127" s="45"/>
      <c r="G127" s="59"/>
      <c r="H127" s="45" t="str">
        <f aca="false">IF(G127="","",DATEDIF(G127,PARAMETRES!$C$13,"y"))</f>
        <v/>
      </c>
      <c r="I127" s="45"/>
      <c r="J127" s="45"/>
      <c r="K127" s="45"/>
      <c r="L127" s="45"/>
      <c r="M127" s="45"/>
      <c r="N127" s="59"/>
      <c r="O127" s="45"/>
      <c r="P127" s="45"/>
      <c r="Q127" s="45"/>
      <c r="R127" s="45"/>
      <c r="S127" s="45"/>
      <c r="T127" s="45"/>
      <c r="U127" s="45"/>
      <c r="V127" s="45"/>
      <c r="W127" s="45"/>
      <c r="X127" s="45"/>
      <c r="Y127" s="45"/>
      <c r="Z127" s="45"/>
      <c r="AA127" s="45"/>
      <c r="AB127" s="45"/>
      <c r="AC127" s="45"/>
      <c r="AD127" s="45"/>
      <c r="AE127" s="45"/>
      <c r="AF127" s="45"/>
      <c r="AG127" s="51" t="str">
        <f aca="false">IF(F127="","",F127&amp;"-"&amp;COUNTIF($F$10:F127,F127))</f>
        <v/>
      </c>
      <c r="AH127" s="51" t="str">
        <f aca="false">IF(F127="","",IF(F127="CM2","CM2-"&amp;COUNTIF($F$10:F127,"CM2"),"P-"&amp;COUNTIFS($F$10:F127,"&lt;&gt;CM2",$F$10:F127,"&lt;&gt;")))</f>
        <v/>
      </c>
      <c r="AI127" s="51" t="str">
        <f aca="false">IF(F127="","",IF(LEFT(F127,2)="CP","CP-"&amp;COUNTIF($F$10:F127,"CP*"),IF(F127="CE1","CE1-"&amp;COUNTIF($F$10:F127,"CE1"),IF(F127="CM2","CM2-"&amp;COUNTIF($F$10:F127,"CM2"),"CEM-"&amp;(COUNTIF($F$10:F127,"CE2")+COUNTIF($F$10:F127,"CM1"))))))</f>
        <v/>
      </c>
    </row>
    <row r="128" customFormat="false" ht="15" hidden="false" customHeight="false" outlineLevel="0" collapsed="false">
      <c r="A128" s="45" t="str">
        <f aca="false">IF(D128="","",ROW()-9)</f>
        <v/>
      </c>
      <c r="B128" s="45" t="str">
        <f aca="false">IF(F128="","",F128&amp;"-"&amp;TEXT(COUNTIF($F$10:F128,F128),"000")&amp;"-"&amp;RIGHT(LEFT(PARAMETRES!$C$9,4),2))</f>
        <v/>
      </c>
      <c r="C128" s="58"/>
      <c r="D128" s="45"/>
      <c r="E128" s="45"/>
      <c r="F128" s="45"/>
      <c r="G128" s="59"/>
      <c r="H128" s="45" t="str">
        <f aca="false">IF(G128="","",DATEDIF(G128,PARAMETRES!$C$13,"y"))</f>
        <v/>
      </c>
      <c r="I128" s="45"/>
      <c r="J128" s="45"/>
      <c r="K128" s="45"/>
      <c r="L128" s="45"/>
      <c r="M128" s="45"/>
      <c r="N128" s="59"/>
      <c r="O128" s="45"/>
      <c r="P128" s="45"/>
      <c r="Q128" s="45"/>
      <c r="R128" s="45"/>
      <c r="S128" s="45"/>
      <c r="T128" s="45"/>
      <c r="U128" s="45"/>
      <c r="V128" s="45"/>
      <c r="W128" s="45"/>
      <c r="X128" s="45"/>
      <c r="Y128" s="45"/>
      <c r="Z128" s="45"/>
      <c r="AA128" s="45"/>
      <c r="AB128" s="45"/>
      <c r="AC128" s="45"/>
      <c r="AD128" s="45"/>
      <c r="AE128" s="45"/>
      <c r="AF128" s="45"/>
      <c r="AG128" s="51" t="str">
        <f aca="false">IF(F128="","",F128&amp;"-"&amp;COUNTIF($F$10:F128,F128))</f>
        <v/>
      </c>
      <c r="AH128" s="51" t="str">
        <f aca="false">IF(F128="","",IF(F128="CM2","CM2-"&amp;COUNTIF($F$10:F128,"CM2"),"P-"&amp;COUNTIFS($F$10:F128,"&lt;&gt;CM2",$F$10:F128,"&lt;&gt;")))</f>
        <v/>
      </c>
      <c r="AI128" s="51" t="str">
        <f aca="false">IF(F128="","",IF(LEFT(F128,2)="CP","CP-"&amp;COUNTIF($F$10:F128,"CP*"),IF(F128="CE1","CE1-"&amp;COUNTIF($F$10:F128,"CE1"),IF(F128="CM2","CM2-"&amp;COUNTIF($F$10:F128,"CM2"),"CEM-"&amp;(COUNTIF($F$10:F128,"CE2")+COUNTIF($F$10:F128,"CM1"))))))</f>
        <v/>
      </c>
    </row>
    <row r="129" customFormat="false" ht="15" hidden="false" customHeight="false" outlineLevel="0" collapsed="false">
      <c r="A129" s="45" t="str">
        <f aca="false">IF(D129="","",ROW()-9)</f>
        <v/>
      </c>
      <c r="B129" s="45" t="str">
        <f aca="false">IF(F129="","",F129&amp;"-"&amp;TEXT(COUNTIF($F$10:F129,F129),"000")&amp;"-"&amp;RIGHT(LEFT(PARAMETRES!$C$9,4),2))</f>
        <v/>
      </c>
      <c r="C129" s="58"/>
      <c r="D129" s="45"/>
      <c r="E129" s="45"/>
      <c r="F129" s="45"/>
      <c r="G129" s="59"/>
      <c r="H129" s="45" t="str">
        <f aca="false">IF(G129="","",DATEDIF(G129,PARAMETRES!$C$13,"y"))</f>
        <v/>
      </c>
      <c r="I129" s="45"/>
      <c r="J129" s="45"/>
      <c r="K129" s="45"/>
      <c r="L129" s="45"/>
      <c r="M129" s="45"/>
      <c r="N129" s="59"/>
      <c r="O129" s="45"/>
      <c r="P129" s="45"/>
      <c r="Q129" s="45"/>
      <c r="R129" s="45"/>
      <c r="S129" s="45"/>
      <c r="T129" s="45"/>
      <c r="U129" s="45"/>
      <c r="V129" s="45"/>
      <c r="W129" s="45"/>
      <c r="X129" s="45"/>
      <c r="Y129" s="45"/>
      <c r="Z129" s="45"/>
      <c r="AA129" s="45"/>
      <c r="AB129" s="45"/>
      <c r="AC129" s="45"/>
      <c r="AD129" s="45"/>
      <c r="AE129" s="45"/>
      <c r="AF129" s="45"/>
      <c r="AG129" s="51" t="str">
        <f aca="false">IF(F129="","",F129&amp;"-"&amp;COUNTIF($F$10:F129,F129))</f>
        <v/>
      </c>
      <c r="AH129" s="51" t="str">
        <f aca="false">IF(F129="","",IF(F129="CM2","CM2-"&amp;COUNTIF($F$10:F129,"CM2"),"P-"&amp;COUNTIFS($F$10:F129,"&lt;&gt;CM2",$F$10:F129,"&lt;&gt;")))</f>
        <v/>
      </c>
      <c r="AI129" s="51" t="str">
        <f aca="false">IF(F129="","",IF(LEFT(F129,2)="CP","CP-"&amp;COUNTIF($F$10:F129,"CP*"),IF(F129="CE1","CE1-"&amp;COUNTIF($F$10:F129,"CE1"),IF(F129="CM2","CM2-"&amp;COUNTIF($F$10:F129,"CM2"),"CEM-"&amp;(COUNTIF($F$10:F129,"CE2")+COUNTIF($F$10:F129,"CM1"))))))</f>
        <v/>
      </c>
    </row>
    <row r="130" customFormat="false" ht="15" hidden="false" customHeight="false" outlineLevel="0" collapsed="false">
      <c r="A130" s="45" t="str">
        <f aca="false">IF(D130="","",ROW()-9)</f>
        <v/>
      </c>
      <c r="B130" s="45" t="str">
        <f aca="false">IF(F130="","",F130&amp;"-"&amp;TEXT(COUNTIF($F$10:F130,F130),"000")&amp;"-"&amp;RIGHT(LEFT(PARAMETRES!$C$9,4),2))</f>
        <v/>
      </c>
      <c r="C130" s="58"/>
      <c r="D130" s="45"/>
      <c r="E130" s="45"/>
      <c r="F130" s="45"/>
      <c r="G130" s="59"/>
      <c r="H130" s="45" t="str">
        <f aca="false">IF(G130="","",DATEDIF(G130,PARAMETRES!$C$13,"y"))</f>
        <v/>
      </c>
      <c r="I130" s="45"/>
      <c r="J130" s="45"/>
      <c r="K130" s="45"/>
      <c r="L130" s="45"/>
      <c r="M130" s="45"/>
      <c r="N130" s="59"/>
      <c r="O130" s="45"/>
      <c r="P130" s="45"/>
      <c r="Q130" s="45"/>
      <c r="R130" s="45"/>
      <c r="S130" s="45"/>
      <c r="T130" s="45"/>
      <c r="U130" s="45"/>
      <c r="V130" s="45"/>
      <c r="W130" s="45"/>
      <c r="X130" s="45"/>
      <c r="Y130" s="45"/>
      <c r="Z130" s="45"/>
      <c r="AA130" s="45"/>
      <c r="AB130" s="45"/>
      <c r="AC130" s="45"/>
      <c r="AD130" s="45"/>
      <c r="AE130" s="45"/>
      <c r="AF130" s="45"/>
      <c r="AG130" s="51" t="str">
        <f aca="false">IF(F130="","",F130&amp;"-"&amp;COUNTIF($F$10:F130,F130))</f>
        <v/>
      </c>
      <c r="AH130" s="51" t="str">
        <f aca="false">IF(F130="","",IF(F130="CM2","CM2-"&amp;COUNTIF($F$10:F130,"CM2"),"P-"&amp;COUNTIFS($F$10:F130,"&lt;&gt;CM2",$F$10:F130,"&lt;&gt;")))</f>
        <v/>
      </c>
      <c r="AI130" s="51" t="str">
        <f aca="false">IF(F130="","",IF(LEFT(F130,2)="CP","CP-"&amp;COUNTIF($F$10:F130,"CP*"),IF(F130="CE1","CE1-"&amp;COUNTIF($F$10:F130,"CE1"),IF(F130="CM2","CM2-"&amp;COUNTIF($F$10:F130,"CM2"),"CEM-"&amp;(COUNTIF($F$10:F130,"CE2")+COUNTIF($F$10:F130,"CM1"))))))</f>
        <v/>
      </c>
    </row>
    <row r="131" customFormat="false" ht="15" hidden="false" customHeight="false" outlineLevel="0" collapsed="false">
      <c r="A131" s="45" t="str">
        <f aca="false">IF(D131="","",ROW()-9)</f>
        <v/>
      </c>
      <c r="B131" s="45" t="str">
        <f aca="false">IF(F131="","",F131&amp;"-"&amp;TEXT(COUNTIF($F$10:F131,F131),"000")&amp;"-"&amp;RIGHT(LEFT(PARAMETRES!$C$9,4),2))</f>
        <v/>
      </c>
      <c r="C131" s="58"/>
      <c r="D131" s="45"/>
      <c r="E131" s="45"/>
      <c r="F131" s="45"/>
      <c r="G131" s="59"/>
      <c r="H131" s="45" t="str">
        <f aca="false">IF(G131="","",DATEDIF(G131,PARAMETRES!$C$13,"y"))</f>
        <v/>
      </c>
      <c r="I131" s="45"/>
      <c r="J131" s="45"/>
      <c r="K131" s="45"/>
      <c r="L131" s="45"/>
      <c r="M131" s="45"/>
      <c r="N131" s="59"/>
      <c r="O131" s="45"/>
      <c r="P131" s="45"/>
      <c r="Q131" s="45"/>
      <c r="R131" s="45"/>
      <c r="S131" s="45"/>
      <c r="T131" s="45"/>
      <c r="U131" s="45"/>
      <c r="V131" s="45"/>
      <c r="W131" s="45"/>
      <c r="X131" s="45"/>
      <c r="Y131" s="45"/>
      <c r="Z131" s="45"/>
      <c r="AA131" s="45"/>
      <c r="AB131" s="45"/>
      <c r="AC131" s="45"/>
      <c r="AD131" s="45"/>
      <c r="AE131" s="45"/>
      <c r="AF131" s="45"/>
      <c r="AG131" s="51" t="str">
        <f aca="false">IF(F131="","",F131&amp;"-"&amp;COUNTIF($F$10:F131,F131))</f>
        <v/>
      </c>
      <c r="AH131" s="51" t="str">
        <f aca="false">IF(F131="","",IF(F131="CM2","CM2-"&amp;COUNTIF($F$10:F131,"CM2"),"P-"&amp;COUNTIFS($F$10:F131,"&lt;&gt;CM2",$F$10:F131,"&lt;&gt;")))</f>
        <v/>
      </c>
      <c r="AI131" s="51" t="str">
        <f aca="false">IF(F131="","",IF(LEFT(F131,2)="CP","CP-"&amp;COUNTIF($F$10:F131,"CP*"),IF(F131="CE1","CE1-"&amp;COUNTIF($F$10:F131,"CE1"),IF(F131="CM2","CM2-"&amp;COUNTIF($F$10:F131,"CM2"),"CEM-"&amp;(COUNTIF($F$10:F131,"CE2")+COUNTIF($F$10:F131,"CM1"))))))</f>
        <v/>
      </c>
    </row>
    <row r="132" customFormat="false" ht="15" hidden="false" customHeight="false" outlineLevel="0" collapsed="false">
      <c r="A132" s="45" t="str">
        <f aca="false">IF(D132="","",ROW()-9)</f>
        <v/>
      </c>
      <c r="B132" s="45" t="str">
        <f aca="false">IF(F132="","",F132&amp;"-"&amp;TEXT(COUNTIF($F$10:F132,F132),"000")&amp;"-"&amp;RIGHT(LEFT(PARAMETRES!$C$9,4),2))</f>
        <v/>
      </c>
      <c r="C132" s="58"/>
      <c r="D132" s="45"/>
      <c r="E132" s="45"/>
      <c r="F132" s="45"/>
      <c r="G132" s="59"/>
      <c r="H132" s="45" t="str">
        <f aca="false">IF(G132="","",DATEDIF(G132,PARAMETRES!$C$13,"y"))</f>
        <v/>
      </c>
      <c r="I132" s="45"/>
      <c r="J132" s="45"/>
      <c r="K132" s="45"/>
      <c r="L132" s="45"/>
      <c r="M132" s="45"/>
      <c r="N132" s="59"/>
      <c r="O132" s="45"/>
      <c r="P132" s="45"/>
      <c r="Q132" s="45"/>
      <c r="R132" s="45"/>
      <c r="S132" s="45"/>
      <c r="T132" s="45"/>
      <c r="U132" s="45"/>
      <c r="V132" s="45"/>
      <c r="W132" s="45"/>
      <c r="X132" s="45"/>
      <c r="Y132" s="45"/>
      <c r="Z132" s="45"/>
      <c r="AA132" s="45"/>
      <c r="AB132" s="45"/>
      <c r="AC132" s="45"/>
      <c r="AD132" s="45"/>
      <c r="AE132" s="45"/>
      <c r="AF132" s="45"/>
      <c r="AG132" s="51" t="str">
        <f aca="false">IF(F132="","",F132&amp;"-"&amp;COUNTIF($F$10:F132,F132))</f>
        <v/>
      </c>
      <c r="AH132" s="51" t="str">
        <f aca="false">IF(F132="","",IF(F132="CM2","CM2-"&amp;COUNTIF($F$10:F132,"CM2"),"P-"&amp;COUNTIFS($F$10:F132,"&lt;&gt;CM2",$F$10:F132,"&lt;&gt;")))</f>
        <v/>
      </c>
      <c r="AI132" s="51" t="str">
        <f aca="false">IF(F132="","",IF(LEFT(F132,2)="CP","CP-"&amp;COUNTIF($F$10:F132,"CP*"),IF(F132="CE1","CE1-"&amp;COUNTIF($F$10:F132,"CE1"),IF(F132="CM2","CM2-"&amp;COUNTIF($F$10:F132,"CM2"),"CEM-"&amp;(COUNTIF($F$10:F132,"CE2")+COUNTIF($F$10:F132,"CM1"))))))</f>
        <v/>
      </c>
    </row>
    <row r="133" customFormat="false" ht="15" hidden="false" customHeight="false" outlineLevel="0" collapsed="false">
      <c r="A133" s="45" t="str">
        <f aca="false">IF(D133="","",ROW()-9)</f>
        <v/>
      </c>
      <c r="B133" s="45" t="str">
        <f aca="false">IF(F133="","",F133&amp;"-"&amp;TEXT(COUNTIF($F$10:F133,F133),"000")&amp;"-"&amp;RIGHT(LEFT(PARAMETRES!$C$9,4),2))</f>
        <v/>
      </c>
      <c r="C133" s="58"/>
      <c r="D133" s="45"/>
      <c r="E133" s="45"/>
      <c r="F133" s="45"/>
      <c r="G133" s="59"/>
      <c r="H133" s="45" t="str">
        <f aca="false">IF(G133="","",DATEDIF(G133,PARAMETRES!$C$13,"y"))</f>
        <v/>
      </c>
      <c r="I133" s="45"/>
      <c r="J133" s="45"/>
      <c r="K133" s="45"/>
      <c r="L133" s="45"/>
      <c r="M133" s="45"/>
      <c r="N133" s="59"/>
      <c r="O133" s="45"/>
      <c r="P133" s="45"/>
      <c r="Q133" s="45"/>
      <c r="R133" s="45"/>
      <c r="S133" s="45"/>
      <c r="T133" s="45"/>
      <c r="U133" s="45"/>
      <c r="V133" s="45"/>
      <c r="W133" s="45"/>
      <c r="X133" s="45"/>
      <c r="Y133" s="45"/>
      <c r="Z133" s="45"/>
      <c r="AA133" s="45"/>
      <c r="AB133" s="45"/>
      <c r="AC133" s="45"/>
      <c r="AD133" s="45"/>
      <c r="AE133" s="45"/>
      <c r="AF133" s="45"/>
      <c r="AG133" s="51" t="str">
        <f aca="false">IF(F133="","",F133&amp;"-"&amp;COUNTIF($F$10:F133,F133))</f>
        <v/>
      </c>
      <c r="AH133" s="51" t="str">
        <f aca="false">IF(F133="","",IF(F133="CM2","CM2-"&amp;COUNTIF($F$10:F133,"CM2"),"P-"&amp;COUNTIFS($F$10:F133,"&lt;&gt;CM2",$F$10:F133,"&lt;&gt;")))</f>
        <v/>
      </c>
      <c r="AI133" s="51" t="str">
        <f aca="false">IF(F133="","",IF(LEFT(F133,2)="CP","CP-"&amp;COUNTIF($F$10:F133,"CP*"),IF(F133="CE1","CE1-"&amp;COUNTIF($F$10:F133,"CE1"),IF(F133="CM2","CM2-"&amp;COUNTIF($F$10:F133,"CM2"),"CEM-"&amp;(COUNTIF($F$10:F133,"CE2")+COUNTIF($F$10:F133,"CM1"))))))</f>
        <v/>
      </c>
    </row>
    <row r="134" customFormat="false" ht="15" hidden="false" customHeight="false" outlineLevel="0" collapsed="false">
      <c r="A134" s="45" t="str">
        <f aca="false">IF(D134="","",ROW()-9)</f>
        <v/>
      </c>
      <c r="B134" s="45" t="str">
        <f aca="false">IF(F134="","",F134&amp;"-"&amp;TEXT(COUNTIF($F$10:F134,F134),"000")&amp;"-"&amp;RIGHT(LEFT(PARAMETRES!$C$9,4),2))</f>
        <v/>
      </c>
      <c r="C134" s="58"/>
      <c r="D134" s="45"/>
      <c r="E134" s="45"/>
      <c r="F134" s="45"/>
      <c r="G134" s="59"/>
      <c r="H134" s="45" t="str">
        <f aca="false">IF(G134="","",DATEDIF(G134,PARAMETRES!$C$13,"y"))</f>
        <v/>
      </c>
      <c r="I134" s="45"/>
      <c r="J134" s="45"/>
      <c r="K134" s="45"/>
      <c r="L134" s="45"/>
      <c r="M134" s="45"/>
      <c r="N134" s="59"/>
      <c r="O134" s="45"/>
      <c r="P134" s="45"/>
      <c r="Q134" s="45"/>
      <c r="R134" s="45"/>
      <c r="S134" s="45"/>
      <c r="T134" s="45"/>
      <c r="U134" s="45"/>
      <c r="V134" s="45"/>
      <c r="W134" s="45"/>
      <c r="X134" s="45"/>
      <c r="Y134" s="45"/>
      <c r="Z134" s="45"/>
      <c r="AA134" s="45"/>
      <c r="AB134" s="45"/>
      <c r="AC134" s="45"/>
      <c r="AD134" s="45"/>
      <c r="AE134" s="45"/>
      <c r="AF134" s="45"/>
      <c r="AG134" s="51" t="str">
        <f aca="false">IF(F134="","",F134&amp;"-"&amp;COUNTIF($F$10:F134,F134))</f>
        <v/>
      </c>
      <c r="AH134" s="51" t="str">
        <f aca="false">IF(F134="","",IF(F134="CM2","CM2-"&amp;COUNTIF($F$10:F134,"CM2"),"P-"&amp;COUNTIFS($F$10:F134,"&lt;&gt;CM2",$F$10:F134,"&lt;&gt;")))</f>
        <v/>
      </c>
      <c r="AI134" s="51" t="str">
        <f aca="false">IF(F134="","",IF(LEFT(F134,2)="CP","CP-"&amp;COUNTIF($F$10:F134,"CP*"),IF(F134="CE1","CE1-"&amp;COUNTIF($F$10:F134,"CE1"),IF(F134="CM2","CM2-"&amp;COUNTIF($F$10:F134,"CM2"),"CEM-"&amp;(COUNTIF($F$10:F134,"CE2")+COUNTIF($F$10:F134,"CM1"))))))</f>
        <v/>
      </c>
    </row>
    <row r="135" customFormat="false" ht="15" hidden="false" customHeight="false" outlineLevel="0" collapsed="false">
      <c r="A135" s="45" t="str">
        <f aca="false">IF(D135="","",ROW()-9)</f>
        <v/>
      </c>
      <c r="B135" s="45" t="str">
        <f aca="false">IF(F135="","",F135&amp;"-"&amp;TEXT(COUNTIF($F$10:F135,F135),"000")&amp;"-"&amp;RIGHT(LEFT(PARAMETRES!$C$9,4),2))</f>
        <v/>
      </c>
      <c r="C135" s="58"/>
      <c r="D135" s="45"/>
      <c r="E135" s="45"/>
      <c r="F135" s="45"/>
      <c r="G135" s="59"/>
      <c r="H135" s="45" t="str">
        <f aca="false">IF(G135="","",DATEDIF(G135,PARAMETRES!$C$13,"y"))</f>
        <v/>
      </c>
      <c r="I135" s="45"/>
      <c r="J135" s="45"/>
      <c r="K135" s="45"/>
      <c r="L135" s="45"/>
      <c r="M135" s="45"/>
      <c r="N135" s="59"/>
      <c r="O135" s="45"/>
      <c r="P135" s="45"/>
      <c r="Q135" s="45"/>
      <c r="R135" s="45"/>
      <c r="S135" s="45"/>
      <c r="T135" s="45"/>
      <c r="U135" s="45"/>
      <c r="V135" s="45"/>
      <c r="W135" s="45"/>
      <c r="X135" s="45"/>
      <c r="Y135" s="45"/>
      <c r="Z135" s="45"/>
      <c r="AA135" s="45"/>
      <c r="AB135" s="45"/>
      <c r="AC135" s="45"/>
      <c r="AD135" s="45"/>
      <c r="AE135" s="45"/>
      <c r="AF135" s="45"/>
      <c r="AG135" s="51" t="str">
        <f aca="false">IF(F135="","",F135&amp;"-"&amp;COUNTIF($F$10:F135,F135))</f>
        <v/>
      </c>
      <c r="AH135" s="51" t="str">
        <f aca="false">IF(F135="","",IF(F135="CM2","CM2-"&amp;COUNTIF($F$10:F135,"CM2"),"P-"&amp;COUNTIFS($F$10:F135,"&lt;&gt;CM2",$F$10:F135,"&lt;&gt;")))</f>
        <v/>
      </c>
      <c r="AI135" s="51" t="str">
        <f aca="false">IF(F135="","",IF(LEFT(F135,2)="CP","CP-"&amp;COUNTIF($F$10:F135,"CP*"),IF(F135="CE1","CE1-"&amp;COUNTIF($F$10:F135,"CE1"),IF(F135="CM2","CM2-"&amp;COUNTIF($F$10:F135,"CM2"),"CEM-"&amp;(COUNTIF($F$10:F135,"CE2")+COUNTIF($F$10:F135,"CM1"))))))</f>
        <v/>
      </c>
    </row>
    <row r="136" customFormat="false" ht="15" hidden="false" customHeight="false" outlineLevel="0" collapsed="false">
      <c r="A136" s="45" t="str">
        <f aca="false">IF(D136="","",ROW()-9)</f>
        <v/>
      </c>
      <c r="B136" s="45" t="str">
        <f aca="false">IF(F136="","",F136&amp;"-"&amp;TEXT(COUNTIF($F$10:F136,F136),"000")&amp;"-"&amp;RIGHT(LEFT(PARAMETRES!$C$9,4),2))</f>
        <v/>
      </c>
      <c r="C136" s="58"/>
      <c r="D136" s="45"/>
      <c r="E136" s="45"/>
      <c r="F136" s="45"/>
      <c r="G136" s="59"/>
      <c r="H136" s="45" t="str">
        <f aca="false">IF(G136="","",DATEDIF(G136,PARAMETRES!$C$13,"y"))</f>
        <v/>
      </c>
      <c r="I136" s="45"/>
      <c r="J136" s="45"/>
      <c r="K136" s="45"/>
      <c r="L136" s="45"/>
      <c r="M136" s="45"/>
      <c r="N136" s="59"/>
      <c r="O136" s="45"/>
      <c r="P136" s="45"/>
      <c r="Q136" s="45"/>
      <c r="R136" s="45"/>
      <c r="S136" s="45"/>
      <c r="T136" s="45"/>
      <c r="U136" s="45"/>
      <c r="V136" s="45"/>
      <c r="W136" s="45"/>
      <c r="X136" s="45"/>
      <c r="Y136" s="45"/>
      <c r="Z136" s="45"/>
      <c r="AA136" s="45"/>
      <c r="AB136" s="45"/>
      <c r="AC136" s="45"/>
      <c r="AD136" s="45"/>
      <c r="AE136" s="45"/>
      <c r="AF136" s="45"/>
      <c r="AG136" s="51" t="str">
        <f aca="false">IF(F136="","",F136&amp;"-"&amp;COUNTIF($F$10:F136,F136))</f>
        <v/>
      </c>
      <c r="AH136" s="51" t="str">
        <f aca="false">IF(F136="","",IF(F136="CM2","CM2-"&amp;COUNTIF($F$10:F136,"CM2"),"P-"&amp;COUNTIFS($F$10:F136,"&lt;&gt;CM2",$F$10:F136,"&lt;&gt;")))</f>
        <v/>
      </c>
      <c r="AI136" s="51" t="str">
        <f aca="false">IF(F136="","",IF(LEFT(F136,2)="CP","CP-"&amp;COUNTIF($F$10:F136,"CP*"),IF(F136="CE1","CE1-"&amp;COUNTIF($F$10:F136,"CE1"),IF(F136="CM2","CM2-"&amp;COUNTIF($F$10:F136,"CM2"),"CEM-"&amp;(COUNTIF($F$10:F136,"CE2")+COUNTIF($F$10:F136,"CM1"))))))</f>
        <v/>
      </c>
    </row>
    <row r="137" customFormat="false" ht="15" hidden="false" customHeight="false" outlineLevel="0" collapsed="false">
      <c r="A137" s="45" t="str">
        <f aca="false">IF(D137="","",ROW()-9)</f>
        <v/>
      </c>
      <c r="B137" s="45" t="str">
        <f aca="false">IF(F137="","",F137&amp;"-"&amp;TEXT(COUNTIF($F$10:F137,F137),"000")&amp;"-"&amp;RIGHT(LEFT(PARAMETRES!$C$9,4),2))</f>
        <v/>
      </c>
      <c r="C137" s="58"/>
      <c r="D137" s="45"/>
      <c r="E137" s="45"/>
      <c r="F137" s="45"/>
      <c r="G137" s="59"/>
      <c r="H137" s="45" t="str">
        <f aca="false">IF(G137="","",DATEDIF(G137,PARAMETRES!$C$13,"y"))</f>
        <v/>
      </c>
      <c r="I137" s="45"/>
      <c r="J137" s="45"/>
      <c r="K137" s="45"/>
      <c r="L137" s="45"/>
      <c r="M137" s="45"/>
      <c r="N137" s="59"/>
      <c r="O137" s="45"/>
      <c r="P137" s="45"/>
      <c r="Q137" s="45"/>
      <c r="R137" s="45"/>
      <c r="S137" s="45"/>
      <c r="T137" s="45"/>
      <c r="U137" s="45"/>
      <c r="V137" s="45"/>
      <c r="W137" s="45"/>
      <c r="X137" s="45"/>
      <c r="Y137" s="45"/>
      <c r="Z137" s="45"/>
      <c r="AA137" s="45"/>
      <c r="AB137" s="45"/>
      <c r="AC137" s="45"/>
      <c r="AD137" s="45"/>
      <c r="AE137" s="45"/>
      <c r="AF137" s="45"/>
      <c r="AG137" s="51" t="str">
        <f aca="false">IF(F137="","",F137&amp;"-"&amp;COUNTIF($F$10:F137,F137))</f>
        <v/>
      </c>
      <c r="AH137" s="51" t="str">
        <f aca="false">IF(F137="","",IF(F137="CM2","CM2-"&amp;COUNTIF($F$10:F137,"CM2"),"P-"&amp;COUNTIFS($F$10:F137,"&lt;&gt;CM2",$F$10:F137,"&lt;&gt;")))</f>
        <v/>
      </c>
      <c r="AI137" s="51" t="str">
        <f aca="false">IF(F137="","",IF(LEFT(F137,2)="CP","CP-"&amp;COUNTIF($F$10:F137,"CP*"),IF(F137="CE1","CE1-"&amp;COUNTIF($F$10:F137,"CE1"),IF(F137="CM2","CM2-"&amp;COUNTIF($F$10:F137,"CM2"),"CEM-"&amp;(COUNTIF($F$10:F137,"CE2")+COUNTIF($F$10:F137,"CM1"))))))</f>
        <v/>
      </c>
    </row>
    <row r="138" customFormat="false" ht="15" hidden="false" customHeight="false" outlineLevel="0" collapsed="false">
      <c r="A138" s="45" t="str">
        <f aca="false">IF(D138="","",ROW()-9)</f>
        <v/>
      </c>
      <c r="B138" s="45" t="str">
        <f aca="false">IF(F138="","",F138&amp;"-"&amp;TEXT(COUNTIF($F$10:F138,F138),"000")&amp;"-"&amp;RIGHT(LEFT(PARAMETRES!$C$9,4),2))</f>
        <v/>
      </c>
      <c r="C138" s="58"/>
      <c r="D138" s="45"/>
      <c r="E138" s="45"/>
      <c r="F138" s="45"/>
      <c r="G138" s="59"/>
      <c r="H138" s="45" t="str">
        <f aca="false">IF(G138="","",DATEDIF(G138,PARAMETRES!$C$13,"y"))</f>
        <v/>
      </c>
      <c r="I138" s="45"/>
      <c r="J138" s="45"/>
      <c r="K138" s="45"/>
      <c r="L138" s="45"/>
      <c r="M138" s="45"/>
      <c r="N138" s="59"/>
      <c r="O138" s="45"/>
      <c r="P138" s="45"/>
      <c r="Q138" s="45"/>
      <c r="R138" s="45"/>
      <c r="S138" s="45"/>
      <c r="T138" s="45"/>
      <c r="U138" s="45"/>
      <c r="V138" s="45"/>
      <c r="W138" s="45"/>
      <c r="X138" s="45"/>
      <c r="Y138" s="45"/>
      <c r="Z138" s="45"/>
      <c r="AA138" s="45"/>
      <c r="AB138" s="45"/>
      <c r="AC138" s="45"/>
      <c r="AD138" s="45"/>
      <c r="AE138" s="45"/>
      <c r="AF138" s="45"/>
      <c r="AG138" s="51" t="str">
        <f aca="false">IF(F138="","",F138&amp;"-"&amp;COUNTIF($F$10:F138,F138))</f>
        <v/>
      </c>
      <c r="AH138" s="51" t="str">
        <f aca="false">IF(F138="","",IF(F138="CM2","CM2-"&amp;COUNTIF($F$10:F138,"CM2"),"P-"&amp;COUNTIFS($F$10:F138,"&lt;&gt;CM2",$F$10:F138,"&lt;&gt;")))</f>
        <v/>
      </c>
      <c r="AI138" s="51" t="str">
        <f aca="false">IF(F138="","",IF(LEFT(F138,2)="CP","CP-"&amp;COUNTIF($F$10:F138,"CP*"),IF(F138="CE1","CE1-"&amp;COUNTIF($F$10:F138,"CE1"),IF(F138="CM2","CM2-"&amp;COUNTIF($F$10:F138,"CM2"),"CEM-"&amp;(COUNTIF($F$10:F138,"CE2")+COUNTIF($F$10:F138,"CM1"))))))</f>
        <v/>
      </c>
    </row>
    <row r="139" customFormat="false" ht="15" hidden="false" customHeight="false" outlineLevel="0" collapsed="false">
      <c r="A139" s="45" t="str">
        <f aca="false">IF(D139="","",ROW()-9)</f>
        <v/>
      </c>
      <c r="B139" s="45" t="str">
        <f aca="false">IF(F139="","",F139&amp;"-"&amp;TEXT(COUNTIF($F$10:F139,F139),"000")&amp;"-"&amp;RIGHT(LEFT(PARAMETRES!$C$9,4),2))</f>
        <v/>
      </c>
      <c r="C139" s="58"/>
      <c r="D139" s="45"/>
      <c r="E139" s="45"/>
      <c r="F139" s="45"/>
      <c r="G139" s="59"/>
      <c r="H139" s="45" t="str">
        <f aca="false">IF(G139="","",DATEDIF(G139,PARAMETRES!$C$13,"y"))</f>
        <v/>
      </c>
      <c r="I139" s="45"/>
      <c r="J139" s="45"/>
      <c r="K139" s="45"/>
      <c r="L139" s="45"/>
      <c r="M139" s="45"/>
      <c r="N139" s="59"/>
      <c r="O139" s="45"/>
      <c r="P139" s="45"/>
      <c r="Q139" s="45"/>
      <c r="R139" s="45"/>
      <c r="S139" s="45"/>
      <c r="T139" s="45"/>
      <c r="U139" s="45"/>
      <c r="V139" s="45"/>
      <c r="W139" s="45"/>
      <c r="X139" s="45"/>
      <c r="Y139" s="45"/>
      <c r="Z139" s="45"/>
      <c r="AA139" s="45"/>
      <c r="AB139" s="45"/>
      <c r="AC139" s="45"/>
      <c r="AD139" s="45"/>
      <c r="AE139" s="45"/>
      <c r="AF139" s="45"/>
      <c r="AG139" s="51" t="str">
        <f aca="false">IF(F139="","",F139&amp;"-"&amp;COUNTIF($F$10:F139,F139))</f>
        <v/>
      </c>
      <c r="AH139" s="51" t="str">
        <f aca="false">IF(F139="","",IF(F139="CM2","CM2-"&amp;COUNTIF($F$10:F139,"CM2"),"P-"&amp;COUNTIFS($F$10:F139,"&lt;&gt;CM2",$F$10:F139,"&lt;&gt;")))</f>
        <v/>
      </c>
      <c r="AI139" s="51" t="str">
        <f aca="false">IF(F139="","",IF(LEFT(F139,2)="CP","CP-"&amp;COUNTIF($F$10:F139,"CP*"),IF(F139="CE1","CE1-"&amp;COUNTIF($F$10:F139,"CE1"),IF(F139="CM2","CM2-"&amp;COUNTIF($F$10:F139,"CM2"),"CEM-"&amp;(COUNTIF($F$10:F139,"CE2")+COUNTIF($F$10:F139,"CM1"))))))</f>
        <v/>
      </c>
    </row>
    <row r="140" customFormat="false" ht="15" hidden="false" customHeight="false" outlineLevel="0" collapsed="false">
      <c r="A140" s="45" t="str">
        <f aca="false">IF(D140="","",ROW()-9)</f>
        <v/>
      </c>
      <c r="B140" s="45" t="str">
        <f aca="false">IF(F140="","",F140&amp;"-"&amp;TEXT(COUNTIF($F$10:F140,F140),"000")&amp;"-"&amp;RIGHT(LEFT(PARAMETRES!$C$9,4),2))</f>
        <v/>
      </c>
      <c r="C140" s="58"/>
      <c r="D140" s="45"/>
      <c r="E140" s="45"/>
      <c r="F140" s="45"/>
      <c r="G140" s="59"/>
      <c r="H140" s="45" t="str">
        <f aca="false">IF(G140="","",DATEDIF(G140,PARAMETRES!$C$13,"y"))</f>
        <v/>
      </c>
      <c r="I140" s="45"/>
      <c r="J140" s="45"/>
      <c r="K140" s="45"/>
      <c r="L140" s="45"/>
      <c r="M140" s="45"/>
      <c r="N140" s="59"/>
      <c r="O140" s="45"/>
      <c r="P140" s="45"/>
      <c r="Q140" s="45"/>
      <c r="R140" s="45"/>
      <c r="S140" s="45"/>
      <c r="T140" s="45"/>
      <c r="U140" s="45"/>
      <c r="V140" s="45"/>
      <c r="W140" s="45"/>
      <c r="X140" s="45"/>
      <c r="Y140" s="45"/>
      <c r="Z140" s="45"/>
      <c r="AA140" s="45"/>
      <c r="AB140" s="45"/>
      <c r="AC140" s="45"/>
      <c r="AD140" s="45"/>
      <c r="AE140" s="45"/>
      <c r="AF140" s="45"/>
      <c r="AG140" s="51" t="str">
        <f aca="false">IF(F140="","",F140&amp;"-"&amp;COUNTIF($F$10:F140,F140))</f>
        <v/>
      </c>
      <c r="AH140" s="51" t="str">
        <f aca="false">IF(F140="","",IF(F140="CM2","CM2-"&amp;COUNTIF($F$10:F140,"CM2"),"P-"&amp;COUNTIFS($F$10:F140,"&lt;&gt;CM2",$F$10:F140,"&lt;&gt;")))</f>
        <v/>
      </c>
      <c r="AI140" s="51" t="str">
        <f aca="false">IF(F140="","",IF(LEFT(F140,2)="CP","CP-"&amp;COUNTIF($F$10:F140,"CP*"),IF(F140="CE1","CE1-"&amp;COUNTIF($F$10:F140,"CE1"),IF(F140="CM2","CM2-"&amp;COUNTIF($F$10:F140,"CM2"),"CEM-"&amp;(COUNTIF($F$10:F140,"CE2")+COUNTIF($F$10:F140,"CM1"))))))</f>
        <v/>
      </c>
    </row>
    <row r="141" customFormat="false" ht="15" hidden="false" customHeight="false" outlineLevel="0" collapsed="false">
      <c r="A141" s="45" t="str">
        <f aca="false">IF(D141="","",ROW()-9)</f>
        <v/>
      </c>
      <c r="B141" s="45" t="str">
        <f aca="false">IF(F141="","",F141&amp;"-"&amp;TEXT(COUNTIF($F$10:F141,F141),"000")&amp;"-"&amp;RIGHT(LEFT(PARAMETRES!$C$9,4),2))</f>
        <v/>
      </c>
      <c r="C141" s="58"/>
      <c r="D141" s="45"/>
      <c r="E141" s="45"/>
      <c r="F141" s="45"/>
      <c r="G141" s="59"/>
      <c r="H141" s="45" t="str">
        <f aca="false">IF(G141="","",DATEDIF(G141,PARAMETRES!$C$13,"y"))</f>
        <v/>
      </c>
      <c r="I141" s="45"/>
      <c r="J141" s="45"/>
      <c r="K141" s="45"/>
      <c r="L141" s="45"/>
      <c r="M141" s="45"/>
      <c r="N141" s="59"/>
      <c r="O141" s="45"/>
      <c r="P141" s="45"/>
      <c r="Q141" s="45"/>
      <c r="R141" s="45"/>
      <c r="S141" s="45"/>
      <c r="T141" s="45"/>
      <c r="U141" s="45"/>
      <c r="V141" s="45"/>
      <c r="W141" s="45"/>
      <c r="X141" s="45"/>
      <c r="Y141" s="45"/>
      <c r="Z141" s="45"/>
      <c r="AA141" s="45"/>
      <c r="AB141" s="45"/>
      <c r="AC141" s="45"/>
      <c r="AD141" s="45"/>
      <c r="AE141" s="45"/>
      <c r="AF141" s="45"/>
      <c r="AG141" s="51" t="str">
        <f aca="false">IF(F141="","",F141&amp;"-"&amp;COUNTIF($F$10:F141,F141))</f>
        <v/>
      </c>
      <c r="AH141" s="51" t="str">
        <f aca="false">IF(F141="","",IF(F141="CM2","CM2-"&amp;COUNTIF($F$10:F141,"CM2"),"P-"&amp;COUNTIFS($F$10:F141,"&lt;&gt;CM2",$F$10:F141,"&lt;&gt;")))</f>
        <v/>
      </c>
      <c r="AI141" s="51" t="str">
        <f aca="false">IF(F141="","",IF(LEFT(F141,2)="CP","CP-"&amp;COUNTIF($F$10:F141,"CP*"),IF(F141="CE1","CE1-"&amp;COUNTIF($F$10:F141,"CE1"),IF(F141="CM2","CM2-"&amp;COUNTIF($F$10:F141,"CM2"),"CEM-"&amp;(COUNTIF($F$10:F141,"CE2")+COUNTIF($F$10:F141,"CM1"))))))</f>
        <v/>
      </c>
    </row>
    <row r="142" customFormat="false" ht="15" hidden="false" customHeight="false" outlineLevel="0" collapsed="false">
      <c r="A142" s="45" t="str">
        <f aca="false">IF(D142="","",ROW()-9)</f>
        <v/>
      </c>
      <c r="B142" s="45" t="str">
        <f aca="false">IF(F142="","",F142&amp;"-"&amp;TEXT(COUNTIF($F$10:F142,F142),"000")&amp;"-"&amp;RIGHT(LEFT(PARAMETRES!$C$9,4),2))</f>
        <v/>
      </c>
      <c r="C142" s="58"/>
      <c r="D142" s="45"/>
      <c r="E142" s="45"/>
      <c r="F142" s="45"/>
      <c r="G142" s="59"/>
      <c r="H142" s="45" t="str">
        <f aca="false">IF(G142="","",DATEDIF(G142,PARAMETRES!$C$13,"y"))</f>
        <v/>
      </c>
      <c r="I142" s="45"/>
      <c r="J142" s="45"/>
      <c r="K142" s="45"/>
      <c r="L142" s="45"/>
      <c r="M142" s="45"/>
      <c r="N142" s="59"/>
      <c r="O142" s="45"/>
      <c r="P142" s="45"/>
      <c r="Q142" s="45"/>
      <c r="R142" s="45"/>
      <c r="S142" s="45"/>
      <c r="T142" s="45"/>
      <c r="U142" s="45"/>
      <c r="V142" s="45"/>
      <c r="W142" s="45"/>
      <c r="X142" s="45"/>
      <c r="Y142" s="45"/>
      <c r="Z142" s="45"/>
      <c r="AA142" s="45"/>
      <c r="AB142" s="45"/>
      <c r="AC142" s="45"/>
      <c r="AD142" s="45"/>
      <c r="AE142" s="45"/>
      <c r="AF142" s="45"/>
      <c r="AG142" s="51" t="str">
        <f aca="false">IF(F142="","",F142&amp;"-"&amp;COUNTIF($F$10:F142,F142))</f>
        <v/>
      </c>
      <c r="AH142" s="51" t="str">
        <f aca="false">IF(F142="","",IF(F142="CM2","CM2-"&amp;COUNTIF($F$10:F142,"CM2"),"P-"&amp;COUNTIFS($F$10:F142,"&lt;&gt;CM2",$F$10:F142,"&lt;&gt;")))</f>
        <v/>
      </c>
      <c r="AI142" s="51" t="str">
        <f aca="false">IF(F142="","",IF(LEFT(F142,2)="CP","CP-"&amp;COUNTIF($F$10:F142,"CP*"),IF(F142="CE1","CE1-"&amp;COUNTIF($F$10:F142,"CE1"),IF(F142="CM2","CM2-"&amp;COUNTIF($F$10:F142,"CM2"),"CEM-"&amp;(COUNTIF($F$10:F142,"CE2")+COUNTIF($F$10:F142,"CM1"))))))</f>
        <v/>
      </c>
    </row>
    <row r="143" customFormat="false" ht="15" hidden="false" customHeight="false" outlineLevel="0" collapsed="false">
      <c r="A143" s="45" t="str">
        <f aca="false">IF(D143="","",ROW()-9)</f>
        <v/>
      </c>
      <c r="B143" s="45" t="str">
        <f aca="false">IF(F143="","",F143&amp;"-"&amp;TEXT(COUNTIF($F$10:F143,F143),"000")&amp;"-"&amp;RIGHT(LEFT(PARAMETRES!$C$9,4),2))</f>
        <v/>
      </c>
      <c r="C143" s="58"/>
      <c r="D143" s="45"/>
      <c r="E143" s="45"/>
      <c r="F143" s="45"/>
      <c r="G143" s="59"/>
      <c r="H143" s="45" t="str">
        <f aca="false">IF(G143="","",DATEDIF(G143,PARAMETRES!$C$13,"y"))</f>
        <v/>
      </c>
      <c r="I143" s="45"/>
      <c r="J143" s="45"/>
      <c r="K143" s="45"/>
      <c r="L143" s="45"/>
      <c r="M143" s="45"/>
      <c r="N143" s="59"/>
      <c r="O143" s="45"/>
      <c r="P143" s="45"/>
      <c r="Q143" s="45"/>
      <c r="R143" s="45"/>
      <c r="S143" s="45"/>
      <c r="T143" s="45"/>
      <c r="U143" s="45"/>
      <c r="V143" s="45"/>
      <c r="W143" s="45"/>
      <c r="X143" s="45"/>
      <c r="Y143" s="45"/>
      <c r="Z143" s="45"/>
      <c r="AA143" s="45"/>
      <c r="AB143" s="45"/>
      <c r="AC143" s="45"/>
      <c r="AD143" s="45"/>
      <c r="AE143" s="45"/>
      <c r="AF143" s="45"/>
      <c r="AG143" s="51" t="str">
        <f aca="false">IF(F143="","",F143&amp;"-"&amp;COUNTIF($F$10:F143,F143))</f>
        <v/>
      </c>
      <c r="AH143" s="51" t="str">
        <f aca="false">IF(F143="","",IF(F143="CM2","CM2-"&amp;COUNTIF($F$10:F143,"CM2"),"P-"&amp;COUNTIFS($F$10:F143,"&lt;&gt;CM2",$F$10:F143,"&lt;&gt;")))</f>
        <v/>
      </c>
      <c r="AI143" s="51" t="str">
        <f aca="false">IF(F143="","",IF(LEFT(F143,2)="CP","CP-"&amp;COUNTIF($F$10:F143,"CP*"),IF(F143="CE1","CE1-"&amp;COUNTIF($F$10:F143,"CE1"),IF(F143="CM2","CM2-"&amp;COUNTIF($F$10:F143,"CM2"),"CEM-"&amp;(COUNTIF($F$10:F143,"CE2")+COUNTIF($F$10:F143,"CM1"))))))</f>
        <v/>
      </c>
    </row>
    <row r="144" customFormat="false" ht="15" hidden="false" customHeight="false" outlineLevel="0" collapsed="false">
      <c r="A144" s="45" t="str">
        <f aca="false">IF(D144="","",ROW()-9)</f>
        <v/>
      </c>
      <c r="B144" s="45" t="str">
        <f aca="false">IF(F144="","",F144&amp;"-"&amp;TEXT(COUNTIF($F$10:F144,F144),"000")&amp;"-"&amp;RIGHT(LEFT(PARAMETRES!$C$9,4),2))</f>
        <v/>
      </c>
      <c r="C144" s="58"/>
      <c r="D144" s="45"/>
      <c r="E144" s="45"/>
      <c r="F144" s="45"/>
      <c r="G144" s="59"/>
      <c r="H144" s="45" t="str">
        <f aca="false">IF(G144="","",DATEDIF(G144,PARAMETRES!$C$13,"y"))</f>
        <v/>
      </c>
      <c r="I144" s="45"/>
      <c r="J144" s="45"/>
      <c r="K144" s="45"/>
      <c r="L144" s="45"/>
      <c r="M144" s="45"/>
      <c r="N144" s="59"/>
      <c r="O144" s="45"/>
      <c r="P144" s="45"/>
      <c r="Q144" s="45"/>
      <c r="R144" s="45"/>
      <c r="S144" s="45"/>
      <c r="T144" s="45"/>
      <c r="U144" s="45"/>
      <c r="V144" s="45"/>
      <c r="W144" s="45"/>
      <c r="X144" s="45"/>
      <c r="Y144" s="45"/>
      <c r="Z144" s="45"/>
      <c r="AA144" s="45"/>
      <c r="AB144" s="45"/>
      <c r="AC144" s="45"/>
      <c r="AD144" s="45"/>
      <c r="AE144" s="45"/>
      <c r="AF144" s="45"/>
      <c r="AG144" s="51" t="str">
        <f aca="false">IF(F144="","",F144&amp;"-"&amp;COUNTIF($F$10:F144,F144))</f>
        <v/>
      </c>
      <c r="AH144" s="51" t="str">
        <f aca="false">IF(F144="","",IF(F144="CM2","CM2-"&amp;COUNTIF($F$10:F144,"CM2"),"P-"&amp;COUNTIFS($F$10:F144,"&lt;&gt;CM2",$F$10:F144,"&lt;&gt;")))</f>
        <v/>
      </c>
      <c r="AI144" s="51" t="str">
        <f aca="false">IF(F144="","",IF(LEFT(F144,2)="CP","CP-"&amp;COUNTIF($F$10:F144,"CP*"),IF(F144="CE1","CE1-"&amp;COUNTIF($F$10:F144,"CE1"),IF(F144="CM2","CM2-"&amp;COUNTIF($F$10:F144,"CM2"),"CEM-"&amp;(COUNTIF($F$10:F144,"CE2")+COUNTIF($F$10:F144,"CM1"))))))</f>
        <v/>
      </c>
    </row>
    <row r="145" customFormat="false" ht="15" hidden="false" customHeight="false" outlineLevel="0" collapsed="false">
      <c r="A145" s="45" t="str">
        <f aca="false">IF(D145="","",ROW()-9)</f>
        <v/>
      </c>
      <c r="B145" s="45" t="str">
        <f aca="false">IF(F145="","",F145&amp;"-"&amp;TEXT(COUNTIF($F$10:F145,F145),"000")&amp;"-"&amp;RIGHT(LEFT(PARAMETRES!$C$9,4),2))</f>
        <v/>
      </c>
      <c r="C145" s="58"/>
      <c r="D145" s="45"/>
      <c r="E145" s="45"/>
      <c r="F145" s="45"/>
      <c r="G145" s="59"/>
      <c r="H145" s="45" t="str">
        <f aca="false">IF(G145="","",DATEDIF(G145,PARAMETRES!$C$13,"y"))</f>
        <v/>
      </c>
      <c r="I145" s="45"/>
      <c r="J145" s="45"/>
      <c r="K145" s="45"/>
      <c r="L145" s="45"/>
      <c r="M145" s="45"/>
      <c r="N145" s="59"/>
      <c r="O145" s="45"/>
      <c r="P145" s="45"/>
      <c r="Q145" s="45"/>
      <c r="R145" s="45"/>
      <c r="S145" s="45"/>
      <c r="T145" s="45"/>
      <c r="U145" s="45"/>
      <c r="V145" s="45"/>
      <c r="W145" s="45"/>
      <c r="X145" s="45"/>
      <c r="Y145" s="45"/>
      <c r="Z145" s="45"/>
      <c r="AA145" s="45"/>
      <c r="AB145" s="45"/>
      <c r="AC145" s="45"/>
      <c r="AD145" s="45"/>
      <c r="AE145" s="45"/>
      <c r="AF145" s="45"/>
      <c r="AG145" s="51" t="str">
        <f aca="false">IF(F145="","",F145&amp;"-"&amp;COUNTIF($F$10:F145,F145))</f>
        <v/>
      </c>
      <c r="AH145" s="51" t="str">
        <f aca="false">IF(F145="","",IF(F145="CM2","CM2-"&amp;COUNTIF($F$10:F145,"CM2"),"P-"&amp;COUNTIFS($F$10:F145,"&lt;&gt;CM2",$F$10:F145,"&lt;&gt;")))</f>
        <v/>
      </c>
      <c r="AI145" s="51" t="str">
        <f aca="false">IF(F145="","",IF(LEFT(F145,2)="CP","CP-"&amp;COUNTIF($F$10:F145,"CP*"),IF(F145="CE1","CE1-"&amp;COUNTIF($F$10:F145,"CE1"),IF(F145="CM2","CM2-"&amp;COUNTIF($F$10:F145,"CM2"),"CEM-"&amp;(COUNTIF($F$10:F145,"CE2")+COUNTIF($F$10:F145,"CM1"))))))</f>
        <v/>
      </c>
    </row>
    <row r="146" customFormat="false" ht="15" hidden="false" customHeight="false" outlineLevel="0" collapsed="false">
      <c r="A146" s="45" t="str">
        <f aca="false">IF(D146="","",ROW()-9)</f>
        <v/>
      </c>
      <c r="B146" s="45" t="str">
        <f aca="false">IF(F146="","",F146&amp;"-"&amp;TEXT(COUNTIF($F$10:F146,F146),"000")&amp;"-"&amp;RIGHT(LEFT(PARAMETRES!$C$9,4),2))</f>
        <v/>
      </c>
      <c r="C146" s="58"/>
      <c r="D146" s="45"/>
      <c r="E146" s="45"/>
      <c r="F146" s="45"/>
      <c r="G146" s="59"/>
      <c r="H146" s="45" t="str">
        <f aca="false">IF(G146="","",DATEDIF(G146,PARAMETRES!$C$13,"y"))</f>
        <v/>
      </c>
      <c r="I146" s="45"/>
      <c r="J146" s="45"/>
      <c r="K146" s="45"/>
      <c r="L146" s="45"/>
      <c r="M146" s="45"/>
      <c r="N146" s="59"/>
      <c r="O146" s="45"/>
      <c r="P146" s="45"/>
      <c r="Q146" s="45"/>
      <c r="R146" s="45"/>
      <c r="S146" s="45"/>
      <c r="T146" s="45"/>
      <c r="U146" s="45"/>
      <c r="V146" s="45"/>
      <c r="W146" s="45"/>
      <c r="X146" s="45"/>
      <c r="Y146" s="45"/>
      <c r="Z146" s="45"/>
      <c r="AA146" s="45"/>
      <c r="AB146" s="45"/>
      <c r="AC146" s="45"/>
      <c r="AD146" s="45"/>
      <c r="AE146" s="45"/>
      <c r="AF146" s="45"/>
      <c r="AG146" s="51" t="str">
        <f aca="false">IF(F146="","",F146&amp;"-"&amp;COUNTIF($F$10:F146,F146))</f>
        <v/>
      </c>
      <c r="AH146" s="51" t="str">
        <f aca="false">IF(F146="","",IF(F146="CM2","CM2-"&amp;COUNTIF($F$10:F146,"CM2"),"P-"&amp;COUNTIFS($F$10:F146,"&lt;&gt;CM2",$F$10:F146,"&lt;&gt;")))</f>
        <v/>
      </c>
      <c r="AI146" s="51" t="str">
        <f aca="false">IF(F146="","",IF(LEFT(F146,2)="CP","CP-"&amp;COUNTIF($F$10:F146,"CP*"),IF(F146="CE1","CE1-"&amp;COUNTIF($F$10:F146,"CE1"),IF(F146="CM2","CM2-"&amp;COUNTIF($F$10:F146,"CM2"),"CEM-"&amp;(COUNTIF($F$10:F146,"CE2")+COUNTIF($F$10:F146,"CM1"))))))</f>
        <v/>
      </c>
    </row>
    <row r="147" customFormat="false" ht="15" hidden="false" customHeight="false" outlineLevel="0" collapsed="false">
      <c r="A147" s="45" t="str">
        <f aca="false">IF(D147="","",ROW()-9)</f>
        <v/>
      </c>
      <c r="B147" s="45" t="str">
        <f aca="false">IF(F147="","",F147&amp;"-"&amp;TEXT(COUNTIF($F$10:F147,F147),"000")&amp;"-"&amp;RIGHT(LEFT(PARAMETRES!$C$9,4),2))</f>
        <v/>
      </c>
      <c r="C147" s="58"/>
      <c r="D147" s="45"/>
      <c r="E147" s="45"/>
      <c r="F147" s="45"/>
      <c r="G147" s="59"/>
      <c r="H147" s="45" t="str">
        <f aca="false">IF(G147="","",DATEDIF(G147,PARAMETRES!$C$13,"y"))</f>
        <v/>
      </c>
      <c r="I147" s="45"/>
      <c r="J147" s="45"/>
      <c r="K147" s="45"/>
      <c r="L147" s="45"/>
      <c r="M147" s="45"/>
      <c r="N147" s="59"/>
      <c r="O147" s="45"/>
      <c r="P147" s="45"/>
      <c r="Q147" s="45"/>
      <c r="R147" s="45"/>
      <c r="S147" s="45"/>
      <c r="T147" s="45"/>
      <c r="U147" s="45"/>
      <c r="V147" s="45"/>
      <c r="W147" s="45"/>
      <c r="X147" s="45"/>
      <c r="Y147" s="45"/>
      <c r="Z147" s="45"/>
      <c r="AA147" s="45"/>
      <c r="AB147" s="45"/>
      <c r="AC147" s="45"/>
      <c r="AD147" s="45"/>
      <c r="AE147" s="45"/>
      <c r="AF147" s="45"/>
      <c r="AG147" s="51" t="str">
        <f aca="false">IF(F147="","",F147&amp;"-"&amp;COUNTIF($F$10:F147,F147))</f>
        <v/>
      </c>
      <c r="AH147" s="51" t="str">
        <f aca="false">IF(F147="","",IF(F147="CM2","CM2-"&amp;COUNTIF($F$10:F147,"CM2"),"P-"&amp;COUNTIFS($F$10:F147,"&lt;&gt;CM2",$F$10:F147,"&lt;&gt;")))</f>
        <v/>
      </c>
      <c r="AI147" s="51" t="str">
        <f aca="false">IF(F147="","",IF(LEFT(F147,2)="CP","CP-"&amp;COUNTIF($F$10:F147,"CP*"),IF(F147="CE1","CE1-"&amp;COUNTIF($F$10:F147,"CE1"),IF(F147="CM2","CM2-"&amp;COUNTIF($F$10:F147,"CM2"),"CEM-"&amp;(COUNTIF($F$10:F147,"CE2")+COUNTIF($F$10:F147,"CM1"))))))</f>
        <v/>
      </c>
    </row>
    <row r="148" customFormat="false" ht="15" hidden="false" customHeight="false" outlineLevel="0" collapsed="false">
      <c r="A148" s="45" t="str">
        <f aca="false">IF(D148="","",ROW()-9)</f>
        <v/>
      </c>
      <c r="B148" s="45" t="str">
        <f aca="false">IF(F148="","",F148&amp;"-"&amp;TEXT(COUNTIF($F$10:F148,F148),"000")&amp;"-"&amp;RIGHT(LEFT(PARAMETRES!$C$9,4),2))</f>
        <v/>
      </c>
      <c r="C148" s="58"/>
      <c r="D148" s="45"/>
      <c r="E148" s="45"/>
      <c r="F148" s="45"/>
      <c r="G148" s="59"/>
      <c r="H148" s="45" t="str">
        <f aca="false">IF(G148="","",DATEDIF(G148,PARAMETRES!$C$13,"y"))</f>
        <v/>
      </c>
      <c r="I148" s="45"/>
      <c r="J148" s="45"/>
      <c r="K148" s="45"/>
      <c r="L148" s="45"/>
      <c r="M148" s="45"/>
      <c r="N148" s="59"/>
      <c r="O148" s="45"/>
      <c r="P148" s="45"/>
      <c r="Q148" s="45"/>
      <c r="R148" s="45"/>
      <c r="S148" s="45"/>
      <c r="T148" s="45"/>
      <c r="U148" s="45"/>
      <c r="V148" s="45"/>
      <c r="W148" s="45"/>
      <c r="X148" s="45"/>
      <c r="Y148" s="45"/>
      <c r="Z148" s="45"/>
      <c r="AA148" s="45"/>
      <c r="AB148" s="45"/>
      <c r="AC148" s="45"/>
      <c r="AD148" s="45"/>
      <c r="AE148" s="45"/>
      <c r="AF148" s="45"/>
      <c r="AG148" s="51" t="str">
        <f aca="false">IF(F148="","",F148&amp;"-"&amp;COUNTIF($F$10:F148,F148))</f>
        <v/>
      </c>
      <c r="AH148" s="51" t="str">
        <f aca="false">IF(F148="","",IF(F148="CM2","CM2-"&amp;COUNTIF($F$10:F148,"CM2"),"P-"&amp;COUNTIFS($F$10:F148,"&lt;&gt;CM2",$F$10:F148,"&lt;&gt;")))</f>
        <v/>
      </c>
      <c r="AI148" s="51" t="str">
        <f aca="false">IF(F148="","",IF(LEFT(F148,2)="CP","CP-"&amp;COUNTIF($F$10:F148,"CP*"),IF(F148="CE1","CE1-"&amp;COUNTIF($F$10:F148,"CE1"),IF(F148="CM2","CM2-"&amp;COUNTIF($F$10:F148,"CM2"),"CEM-"&amp;(COUNTIF($F$10:F148,"CE2")+COUNTIF($F$10:F148,"CM1"))))))</f>
        <v/>
      </c>
    </row>
    <row r="149" customFormat="false" ht="15" hidden="false" customHeight="false" outlineLevel="0" collapsed="false">
      <c r="A149" s="45" t="str">
        <f aca="false">IF(D149="","",ROW()-9)</f>
        <v/>
      </c>
      <c r="B149" s="45" t="str">
        <f aca="false">IF(F149="","",F149&amp;"-"&amp;TEXT(COUNTIF($F$10:F149,F149),"000")&amp;"-"&amp;RIGHT(LEFT(PARAMETRES!$C$9,4),2))</f>
        <v/>
      </c>
      <c r="C149" s="58"/>
      <c r="D149" s="45"/>
      <c r="E149" s="45"/>
      <c r="F149" s="45"/>
      <c r="G149" s="59"/>
      <c r="H149" s="45" t="str">
        <f aca="false">IF(G149="","",DATEDIF(G149,PARAMETRES!$C$13,"y"))</f>
        <v/>
      </c>
      <c r="I149" s="45"/>
      <c r="J149" s="45"/>
      <c r="K149" s="45"/>
      <c r="L149" s="45"/>
      <c r="M149" s="45"/>
      <c r="N149" s="59"/>
      <c r="O149" s="45"/>
      <c r="P149" s="45"/>
      <c r="Q149" s="45"/>
      <c r="R149" s="45"/>
      <c r="S149" s="45"/>
      <c r="T149" s="45"/>
      <c r="U149" s="45"/>
      <c r="V149" s="45"/>
      <c r="W149" s="45"/>
      <c r="X149" s="45"/>
      <c r="Y149" s="45"/>
      <c r="Z149" s="45"/>
      <c r="AA149" s="45"/>
      <c r="AB149" s="45"/>
      <c r="AC149" s="45"/>
      <c r="AD149" s="45"/>
      <c r="AE149" s="45"/>
      <c r="AF149" s="45"/>
      <c r="AG149" s="51" t="str">
        <f aca="false">IF(F149="","",F149&amp;"-"&amp;COUNTIF($F$10:F149,F149))</f>
        <v/>
      </c>
      <c r="AH149" s="51" t="str">
        <f aca="false">IF(F149="","",IF(F149="CM2","CM2-"&amp;COUNTIF($F$10:F149,"CM2"),"P-"&amp;COUNTIFS($F$10:F149,"&lt;&gt;CM2",$F$10:F149,"&lt;&gt;")))</f>
        <v/>
      </c>
      <c r="AI149" s="51" t="str">
        <f aca="false">IF(F149="","",IF(LEFT(F149,2)="CP","CP-"&amp;COUNTIF($F$10:F149,"CP*"),IF(F149="CE1","CE1-"&amp;COUNTIF($F$10:F149,"CE1"),IF(F149="CM2","CM2-"&amp;COUNTIF($F$10:F149,"CM2"),"CEM-"&amp;(COUNTIF($F$10:F149,"CE2")+COUNTIF($F$10:F149,"CM1"))))))</f>
        <v/>
      </c>
    </row>
    <row r="150" customFormat="false" ht="15" hidden="false" customHeight="false" outlineLevel="0" collapsed="false">
      <c r="A150" s="45" t="str">
        <f aca="false">IF(D150="","",ROW()-9)</f>
        <v/>
      </c>
      <c r="B150" s="45" t="str">
        <f aca="false">IF(F150="","",F150&amp;"-"&amp;TEXT(COUNTIF($F$10:F150,F150),"000")&amp;"-"&amp;RIGHT(LEFT(PARAMETRES!$C$9,4),2))</f>
        <v/>
      </c>
      <c r="C150" s="58"/>
      <c r="D150" s="45"/>
      <c r="E150" s="45"/>
      <c r="F150" s="45"/>
      <c r="G150" s="59"/>
      <c r="H150" s="45" t="str">
        <f aca="false">IF(G150="","",DATEDIF(G150,PARAMETRES!$C$13,"y"))</f>
        <v/>
      </c>
      <c r="I150" s="45"/>
      <c r="J150" s="45"/>
      <c r="K150" s="45"/>
      <c r="L150" s="45"/>
      <c r="M150" s="45"/>
      <c r="N150" s="59"/>
      <c r="O150" s="45"/>
      <c r="P150" s="45"/>
      <c r="Q150" s="45"/>
      <c r="R150" s="45"/>
      <c r="S150" s="45"/>
      <c r="T150" s="45"/>
      <c r="U150" s="45"/>
      <c r="V150" s="45"/>
      <c r="W150" s="45"/>
      <c r="X150" s="45"/>
      <c r="Y150" s="45"/>
      <c r="Z150" s="45"/>
      <c r="AA150" s="45"/>
      <c r="AB150" s="45"/>
      <c r="AC150" s="45"/>
      <c r="AD150" s="45"/>
      <c r="AE150" s="45"/>
      <c r="AF150" s="45"/>
      <c r="AG150" s="51" t="str">
        <f aca="false">IF(F150="","",F150&amp;"-"&amp;COUNTIF($F$10:F150,F150))</f>
        <v/>
      </c>
      <c r="AH150" s="51" t="str">
        <f aca="false">IF(F150="","",IF(F150="CM2","CM2-"&amp;COUNTIF($F$10:F150,"CM2"),"P-"&amp;COUNTIFS($F$10:F150,"&lt;&gt;CM2",$F$10:F150,"&lt;&gt;")))</f>
        <v/>
      </c>
      <c r="AI150" s="51" t="str">
        <f aca="false">IF(F150="","",IF(LEFT(F150,2)="CP","CP-"&amp;COUNTIF($F$10:F150,"CP*"),IF(F150="CE1","CE1-"&amp;COUNTIF($F$10:F150,"CE1"),IF(F150="CM2","CM2-"&amp;COUNTIF($F$10:F150,"CM2"),"CEM-"&amp;(COUNTIF($F$10:F150,"CE2")+COUNTIF($F$10:F150,"CM1"))))))</f>
        <v/>
      </c>
    </row>
    <row r="151" customFormat="false" ht="15" hidden="false" customHeight="false" outlineLevel="0" collapsed="false">
      <c r="A151" s="45" t="str">
        <f aca="false">IF(D151="","",ROW()-9)</f>
        <v/>
      </c>
      <c r="B151" s="45" t="str">
        <f aca="false">IF(F151="","",F151&amp;"-"&amp;TEXT(COUNTIF($F$10:F151,F151),"000")&amp;"-"&amp;RIGHT(LEFT(PARAMETRES!$C$9,4),2))</f>
        <v/>
      </c>
      <c r="C151" s="58"/>
      <c r="D151" s="45"/>
      <c r="E151" s="45"/>
      <c r="F151" s="45"/>
      <c r="G151" s="59"/>
      <c r="H151" s="45" t="str">
        <f aca="false">IF(G151="","",DATEDIF(G151,PARAMETRES!$C$13,"y"))</f>
        <v/>
      </c>
      <c r="I151" s="45"/>
      <c r="J151" s="45"/>
      <c r="K151" s="45"/>
      <c r="L151" s="45"/>
      <c r="M151" s="45"/>
      <c r="N151" s="59"/>
      <c r="O151" s="45"/>
      <c r="P151" s="45"/>
      <c r="Q151" s="45"/>
      <c r="R151" s="45"/>
      <c r="S151" s="45"/>
      <c r="T151" s="45"/>
      <c r="U151" s="45"/>
      <c r="V151" s="45"/>
      <c r="W151" s="45"/>
      <c r="X151" s="45"/>
      <c r="Y151" s="45"/>
      <c r="Z151" s="45"/>
      <c r="AA151" s="45"/>
      <c r="AB151" s="45"/>
      <c r="AC151" s="45"/>
      <c r="AD151" s="45"/>
      <c r="AE151" s="45"/>
      <c r="AF151" s="45"/>
      <c r="AG151" s="51" t="str">
        <f aca="false">IF(F151="","",F151&amp;"-"&amp;COUNTIF($F$10:F151,F151))</f>
        <v/>
      </c>
      <c r="AH151" s="51" t="str">
        <f aca="false">IF(F151="","",IF(F151="CM2","CM2-"&amp;COUNTIF($F$10:F151,"CM2"),"P-"&amp;COUNTIFS($F$10:F151,"&lt;&gt;CM2",$F$10:F151,"&lt;&gt;")))</f>
        <v/>
      </c>
      <c r="AI151" s="51" t="str">
        <f aca="false">IF(F151="","",IF(LEFT(F151,2)="CP","CP-"&amp;COUNTIF($F$10:F151,"CP*"),IF(F151="CE1","CE1-"&amp;COUNTIF($F$10:F151,"CE1"),IF(F151="CM2","CM2-"&amp;COUNTIF($F$10:F151,"CM2"),"CEM-"&amp;(COUNTIF($F$10:F151,"CE2")+COUNTIF($F$10:F151,"CM1"))))))</f>
        <v/>
      </c>
    </row>
    <row r="152" customFormat="false" ht="15" hidden="false" customHeight="false" outlineLevel="0" collapsed="false">
      <c r="A152" s="45" t="str">
        <f aca="false">IF(D152="","",ROW()-9)</f>
        <v/>
      </c>
      <c r="B152" s="45" t="str">
        <f aca="false">IF(F152="","",F152&amp;"-"&amp;TEXT(COUNTIF($F$10:F152,F152),"000")&amp;"-"&amp;RIGHT(LEFT(PARAMETRES!$C$9,4),2))</f>
        <v/>
      </c>
      <c r="C152" s="58"/>
      <c r="D152" s="45"/>
      <c r="E152" s="45"/>
      <c r="F152" s="45"/>
      <c r="G152" s="59"/>
      <c r="H152" s="45" t="str">
        <f aca="false">IF(G152="","",DATEDIF(G152,PARAMETRES!$C$13,"y"))</f>
        <v/>
      </c>
      <c r="I152" s="45"/>
      <c r="J152" s="45"/>
      <c r="K152" s="45"/>
      <c r="L152" s="45"/>
      <c r="M152" s="45"/>
      <c r="N152" s="59"/>
      <c r="O152" s="45"/>
      <c r="P152" s="45"/>
      <c r="Q152" s="45"/>
      <c r="R152" s="45"/>
      <c r="S152" s="45"/>
      <c r="T152" s="45"/>
      <c r="U152" s="45"/>
      <c r="V152" s="45"/>
      <c r="W152" s="45"/>
      <c r="X152" s="45"/>
      <c r="Y152" s="45"/>
      <c r="Z152" s="45"/>
      <c r="AA152" s="45"/>
      <c r="AB152" s="45"/>
      <c r="AC152" s="45"/>
      <c r="AD152" s="45"/>
      <c r="AE152" s="45"/>
      <c r="AF152" s="45"/>
      <c r="AG152" s="51" t="str">
        <f aca="false">IF(F152="","",F152&amp;"-"&amp;COUNTIF($F$10:F152,F152))</f>
        <v/>
      </c>
      <c r="AH152" s="51" t="str">
        <f aca="false">IF(F152="","",IF(F152="CM2","CM2-"&amp;COUNTIF($F$10:F152,"CM2"),"P-"&amp;COUNTIFS($F$10:F152,"&lt;&gt;CM2",$F$10:F152,"&lt;&gt;")))</f>
        <v/>
      </c>
      <c r="AI152" s="51" t="str">
        <f aca="false">IF(F152="","",IF(LEFT(F152,2)="CP","CP-"&amp;COUNTIF($F$10:F152,"CP*"),IF(F152="CE1","CE1-"&amp;COUNTIF($F$10:F152,"CE1"),IF(F152="CM2","CM2-"&amp;COUNTIF($F$10:F152,"CM2"),"CEM-"&amp;(COUNTIF($F$10:F152,"CE2")+COUNTIF($F$10:F152,"CM1"))))))</f>
        <v/>
      </c>
    </row>
    <row r="153" customFormat="false" ht="15" hidden="false" customHeight="false" outlineLevel="0" collapsed="false">
      <c r="A153" s="45" t="str">
        <f aca="false">IF(D153="","",ROW()-9)</f>
        <v/>
      </c>
      <c r="B153" s="45" t="str">
        <f aca="false">IF(F153="","",F153&amp;"-"&amp;TEXT(COUNTIF($F$10:F153,F153),"000")&amp;"-"&amp;RIGHT(LEFT(PARAMETRES!$C$9,4),2))</f>
        <v/>
      </c>
      <c r="C153" s="58"/>
      <c r="D153" s="45"/>
      <c r="E153" s="45"/>
      <c r="F153" s="45"/>
      <c r="G153" s="59"/>
      <c r="H153" s="45" t="str">
        <f aca="false">IF(G153="","",DATEDIF(G153,PARAMETRES!$C$13,"y"))</f>
        <v/>
      </c>
      <c r="I153" s="45"/>
      <c r="J153" s="45"/>
      <c r="K153" s="45"/>
      <c r="L153" s="45"/>
      <c r="M153" s="45"/>
      <c r="N153" s="59"/>
      <c r="O153" s="45"/>
      <c r="P153" s="45"/>
      <c r="Q153" s="45"/>
      <c r="R153" s="45"/>
      <c r="S153" s="45"/>
      <c r="T153" s="45"/>
      <c r="U153" s="45"/>
      <c r="V153" s="45"/>
      <c r="W153" s="45"/>
      <c r="X153" s="45"/>
      <c r="Y153" s="45"/>
      <c r="Z153" s="45"/>
      <c r="AA153" s="45"/>
      <c r="AB153" s="45"/>
      <c r="AC153" s="45"/>
      <c r="AD153" s="45"/>
      <c r="AE153" s="45"/>
      <c r="AF153" s="45"/>
      <c r="AG153" s="51" t="str">
        <f aca="false">IF(F153="","",F153&amp;"-"&amp;COUNTIF($F$10:F153,F153))</f>
        <v/>
      </c>
      <c r="AH153" s="51" t="str">
        <f aca="false">IF(F153="","",IF(F153="CM2","CM2-"&amp;COUNTIF($F$10:F153,"CM2"),"P-"&amp;COUNTIFS($F$10:F153,"&lt;&gt;CM2",$F$10:F153,"&lt;&gt;")))</f>
        <v/>
      </c>
      <c r="AI153" s="51" t="str">
        <f aca="false">IF(F153="","",IF(LEFT(F153,2)="CP","CP-"&amp;COUNTIF($F$10:F153,"CP*"),IF(F153="CE1","CE1-"&amp;COUNTIF($F$10:F153,"CE1"),IF(F153="CM2","CM2-"&amp;COUNTIF($F$10:F153,"CM2"),"CEM-"&amp;(COUNTIF($F$10:F153,"CE2")+COUNTIF($F$10:F153,"CM1"))))))</f>
        <v/>
      </c>
    </row>
    <row r="154" customFormat="false" ht="15" hidden="false" customHeight="false" outlineLevel="0" collapsed="false">
      <c r="A154" s="45" t="str">
        <f aca="false">IF(D154="","",ROW()-9)</f>
        <v/>
      </c>
      <c r="B154" s="45" t="str">
        <f aca="false">IF(F154="","",F154&amp;"-"&amp;TEXT(COUNTIF($F$10:F154,F154),"000")&amp;"-"&amp;RIGHT(LEFT(PARAMETRES!$C$9,4),2))</f>
        <v/>
      </c>
      <c r="C154" s="58"/>
      <c r="D154" s="45"/>
      <c r="E154" s="45"/>
      <c r="F154" s="45"/>
      <c r="G154" s="59"/>
      <c r="H154" s="45" t="str">
        <f aca="false">IF(G154="","",DATEDIF(G154,PARAMETRES!$C$13,"y"))</f>
        <v/>
      </c>
      <c r="I154" s="45"/>
      <c r="J154" s="45"/>
      <c r="K154" s="45"/>
      <c r="L154" s="45"/>
      <c r="M154" s="45"/>
      <c r="N154" s="59"/>
      <c r="O154" s="45"/>
      <c r="P154" s="45"/>
      <c r="Q154" s="45"/>
      <c r="R154" s="45"/>
      <c r="S154" s="45"/>
      <c r="T154" s="45"/>
      <c r="U154" s="45"/>
      <c r="V154" s="45"/>
      <c r="W154" s="45"/>
      <c r="X154" s="45"/>
      <c r="Y154" s="45"/>
      <c r="Z154" s="45"/>
      <c r="AA154" s="45"/>
      <c r="AB154" s="45"/>
      <c r="AC154" s="45"/>
      <c r="AD154" s="45"/>
      <c r="AE154" s="45"/>
      <c r="AF154" s="45"/>
      <c r="AG154" s="51" t="str">
        <f aca="false">IF(F154="","",F154&amp;"-"&amp;COUNTIF($F$10:F154,F154))</f>
        <v/>
      </c>
      <c r="AH154" s="51" t="str">
        <f aca="false">IF(F154="","",IF(F154="CM2","CM2-"&amp;COUNTIF($F$10:F154,"CM2"),"P-"&amp;COUNTIFS($F$10:F154,"&lt;&gt;CM2",$F$10:F154,"&lt;&gt;")))</f>
        <v/>
      </c>
      <c r="AI154" s="51" t="str">
        <f aca="false">IF(F154="","",IF(LEFT(F154,2)="CP","CP-"&amp;COUNTIF($F$10:F154,"CP*"),IF(F154="CE1","CE1-"&amp;COUNTIF($F$10:F154,"CE1"),IF(F154="CM2","CM2-"&amp;COUNTIF($F$10:F154,"CM2"),"CEM-"&amp;(COUNTIF($F$10:F154,"CE2")+COUNTIF($F$10:F154,"CM1"))))))</f>
        <v/>
      </c>
    </row>
    <row r="155" customFormat="false" ht="15" hidden="false" customHeight="false" outlineLevel="0" collapsed="false">
      <c r="A155" s="45" t="str">
        <f aca="false">IF(D155="","",ROW()-9)</f>
        <v/>
      </c>
      <c r="B155" s="45" t="str">
        <f aca="false">IF(F155="","",F155&amp;"-"&amp;TEXT(COUNTIF($F$10:F155,F155),"000")&amp;"-"&amp;RIGHT(LEFT(PARAMETRES!$C$9,4),2))</f>
        <v/>
      </c>
      <c r="C155" s="58"/>
      <c r="D155" s="45"/>
      <c r="E155" s="45"/>
      <c r="F155" s="45"/>
      <c r="G155" s="59"/>
      <c r="H155" s="45" t="str">
        <f aca="false">IF(G155="","",DATEDIF(G155,PARAMETRES!$C$13,"y"))</f>
        <v/>
      </c>
      <c r="I155" s="45"/>
      <c r="J155" s="45"/>
      <c r="K155" s="45"/>
      <c r="L155" s="45"/>
      <c r="M155" s="45"/>
      <c r="N155" s="59"/>
      <c r="O155" s="45"/>
      <c r="P155" s="45"/>
      <c r="Q155" s="45"/>
      <c r="R155" s="45"/>
      <c r="S155" s="45"/>
      <c r="T155" s="45"/>
      <c r="U155" s="45"/>
      <c r="V155" s="45"/>
      <c r="W155" s="45"/>
      <c r="X155" s="45"/>
      <c r="Y155" s="45"/>
      <c r="Z155" s="45"/>
      <c r="AA155" s="45"/>
      <c r="AB155" s="45"/>
      <c r="AC155" s="45"/>
      <c r="AD155" s="45"/>
      <c r="AE155" s="45"/>
      <c r="AF155" s="45"/>
      <c r="AG155" s="51" t="str">
        <f aca="false">IF(F155="","",F155&amp;"-"&amp;COUNTIF($F$10:F155,F155))</f>
        <v/>
      </c>
      <c r="AH155" s="51" t="str">
        <f aca="false">IF(F155="","",IF(F155="CM2","CM2-"&amp;COUNTIF($F$10:F155,"CM2"),"P-"&amp;COUNTIFS($F$10:F155,"&lt;&gt;CM2",$F$10:F155,"&lt;&gt;")))</f>
        <v/>
      </c>
      <c r="AI155" s="51" t="str">
        <f aca="false">IF(F155="","",IF(LEFT(F155,2)="CP","CP-"&amp;COUNTIF($F$10:F155,"CP*"),IF(F155="CE1","CE1-"&amp;COUNTIF($F$10:F155,"CE1"),IF(F155="CM2","CM2-"&amp;COUNTIF($F$10:F155,"CM2"),"CEM-"&amp;(COUNTIF($F$10:F155,"CE2")+COUNTIF($F$10:F155,"CM1"))))))</f>
        <v/>
      </c>
    </row>
    <row r="156" customFormat="false" ht="15" hidden="false" customHeight="false" outlineLevel="0" collapsed="false">
      <c r="A156" s="45" t="str">
        <f aca="false">IF(D156="","",ROW()-9)</f>
        <v/>
      </c>
      <c r="B156" s="45" t="str">
        <f aca="false">IF(F156="","",F156&amp;"-"&amp;TEXT(COUNTIF($F$10:F156,F156),"000")&amp;"-"&amp;RIGHT(LEFT(PARAMETRES!$C$9,4),2))</f>
        <v/>
      </c>
      <c r="C156" s="58"/>
      <c r="D156" s="45"/>
      <c r="E156" s="45"/>
      <c r="F156" s="45"/>
      <c r="G156" s="59"/>
      <c r="H156" s="45" t="str">
        <f aca="false">IF(G156="","",DATEDIF(G156,PARAMETRES!$C$13,"y"))</f>
        <v/>
      </c>
      <c r="I156" s="45"/>
      <c r="J156" s="45"/>
      <c r="K156" s="45"/>
      <c r="L156" s="45"/>
      <c r="M156" s="45"/>
      <c r="N156" s="59"/>
      <c r="O156" s="45"/>
      <c r="P156" s="45"/>
      <c r="Q156" s="45"/>
      <c r="R156" s="45"/>
      <c r="S156" s="45"/>
      <c r="T156" s="45"/>
      <c r="U156" s="45"/>
      <c r="V156" s="45"/>
      <c r="W156" s="45"/>
      <c r="X156" s="45"/>
      <c r="Y156" s="45"/>
      <c r="Z156" s="45"/>
      <c r="AA156" s="45"/>
      <c r="AB156" s="45"/>
      <c r="AC156" s="45"/>
      <c r="AD156" s="45"/>
      <c r="AE156" s="45"/>
      <c r="AF156" s="45"/>
      <c r="AG156" s="51" t="str">
        <f aca="false">IF(F156="","",F156&amp;"-"&amp;COUNTIF($F$10:F156,F156))</f>
        <v/>
      </c>
      <c r="AH156" s="51" t="str">
        <f aca="false">IF(F156="","",IF(F156="CM2","CM2-"&amp;COUNTIF($F$10:F156,"CM2"),"P-"&amp;COUNTIFS($F$10:F156,"&lt;&gt;CM2",$F$10:F156,"&lt;&gt;")))</f>
        <v/>
      </c>
      <c r="AI156" s="51" t="str">
        <f aca="false">IF(F156="","",IF(LEFT(F156,2)="CP","CP-"&amp;COUNTIF($F$10:F156,"CP*"),IF(F156="CE1","CE1-"&amp;COUNTIF($F$10:F156,"CE1"),IF(F156="CM2","CM2-"&amp;COUNTIF($F$10:F156,"CM2"),"CEM-"&amp;(COUNTIF($F$10:F156,"CE2")+COUNTIF($F$10:F156,"CM1"))))))</f>
        <v/>
      </c>
    </row>
    <row r="157" customFormat="false" ht="15" hidden="false" customHeight="false" outlineLevel="0" collapsed="false">
      <c r="A157" s="45" t="str">
        <f aca="false">IF(D157="","",ROW()-9)</f>
        <v/>
      </c>
      <c r="B157" s="45" t="str">
        <f aca="false">IF(F157="","",F157&amp;"-"&amp;TEXT(COUNTIF($F$10:F157,F157),"000")&amp;"-"&amp;RIGHT(LEFT(PARAMETRES!$C$9,4),2))</f>
        <v/>
      </c>
      <c r="C157" s="58"/>
      <c r="D157" s="45"/>
      <c r="E157" s="45"/>
      <c r="F157" s="45"/>
      <c r="G157" s="59"/>
      <c r="H157" s="45" t="str">
        <f aca="false">IF(G157="","",DATEDIF(G157,PARAMETRES!$C$13,"y"))</f>
        <v/>
      </c>
      <c r="I157" s="45"/>
      <c r="J157" s="45"/>
      <c r="K157" s="45"/>
      <c r="L157" s="45"/>
      <c r="M157" s="45"/>
      <c r="N157" s="59"/>
      <c r="O157" s="45"/>
      <c r="P157" s="45"/>
      <c r="Q157" s="45"/>
      <c r="R157" s="45"/>
      <c r="S157" s="45"/>
      <c r="T157" s="45"/>
      <c r="U157" s="45"/>
      <c r="V157" s="45"/>
      <c r="W157" s="45"/>
      <c r="X157" s="45"/>
      <c r="Y157" s="45"/>
      <c r="Z157" s="45"/>
      <c r="AA157" s="45"/>
      <c r="AB157" s="45"/>
      <c r="AC157" s="45"/>
      <c r="AD157" s="45"/>
      <c r="AE157" s="45"/>
      <c r="AF157" s="45"/>
      <c r="AG157" s="51" t="str">
        <f aca="false">IF(F157="","",F157&amp;"-"&amp;COUNTIF($F$10:F157,F157))</f>
        <v/>
      </c>
      <c r="AH157" s="51" t="str">
        <f aca="false">IF(F157="","",IF(F157="CM2","CM2-"&amp;COUNTIF($F$10:F157,"CM2"),"P-"&amp;COUNTIFS($F$10:F157,"&lt;&gt;CM2",$F$10:F157,"&lt;&gt;")))</f>
        <v/>
      </c>
      <c r="AI157" s="51" t="str">
        <f aca="false">IF(F157="","",IF(LEFT(F157,2)="CP","CP-"&amp;COUNTIF($F$10:F157,"CP*"),IF(F157="CE1","CE1-"&amp;COUNTIF($F$10:F157,"CE1"),IF(F157="CM2","CM2-"&amp;COUNTIF($F$10:F157,"CM2"),"CEM-"&amp;(COUNTIF($F$10:F157,"CE2")+COUNTIF($F$10:F157,"CM1"))))))</f>
        <v/>
      </c>
    </row>
    <row r="158" customFormat="false" ht="15" hidden="false" customHeight="false" outlineLevel="0" collapsed="false">
      <c r="A158" s="45" t="str">
        <f aca="false">IF(D158="","",ROW()-9)</f>
        <v/>
      </c>
      <c r="B158" s="45" t="str">
        <f aca="false">IF(F158="","",F158&amp;"-"&amp;TEXT(COUNTIF($F$10:F158,F158),"000")&amp;"-"&amp;RIGHT(LEFT(PARAMETRES!$C$9,4),2))</f>
        <v/>
      </c>
      <c r="C158" s="58"/>
      <c r="D158" s="45"/>
      <c r="E158" s="45"/>
      <c r="F158" s="45"/>
      <c r="G158" s="59"/>
      <c r="H158" s="45" t="str">
        <f aca="false">IF(G158="","",DATEDIF(G158,PARAMETRES!$C$13,"y"))</f>
        <v/>
      </c>
      <c r="I158" s="45"/>
      <c r="J158" s="45"/>
      <c r="K158" s="45"/>
      <c r="L158" s="45"/>
      <c r="M158" s="45"/>
      <c r="N158" s="59"/>
      <c r="O158" s="45"/>
      <c r="P158" s="45"/>
      <c r="Q158" s="45"/>
      <c r="R158" s="45"/>
      <c r="S158" s="45"/>
      <c r="T158" s="45"/>
      <c r="U158" s="45"/>
      <c r="V158" s="45"/>
      <c r="W158" s="45"/>
      <c r="X158" s="45"/>
      <c r="Y158" s="45"/>
      <c r="Z158" s="45"/>
      <c r="AA158" s="45"/>
      <c r="AB158" s="45"/>
      <c r="AC158" s="45"/>
      <c r="AD158" s="45"/>
      <c r="AE158" s="45"/>
      <c r="AF158" s="45"/>
      <c r="AG158" s="51" t="str">
        <f aca="false">IF(F158="","",F158&amp;"-"&amp;COUNTIF($F$10:F158,F158))</f>
        <v/>
      </c>
      <c r="AH158" s="51" t="str">
        <f aca="false">IF(F158="","",IF(F158="CM2","CM2-"&amp;COUNTIF($F$10:F158,"CM2"),"P-"&amp;COUNTIFS($F$10:F158,"&lt;&gt;CM2",$F$10:F158,"&lt;&gt;")))</f>
        <v/>
      </c>
      <c r="AI158" s="51" t="str">
        <f aca="false">IF(F158="","",IF(LEFT(F158,2)="CP","CP-"&amp;COUNTIF($F$10:F158,"CP*"),IF(F158="CE1","CE1-"&amp;COUNTIF($F$10:F158,"CE1"),IF(F158="CM2","CM2-"&amp;COUNTIF($F$10:F158,"CM2"),"CEM-"&amp;(COUNTIF($F$10:F158,"CE2")+COUNTIF($F$10:F158,"CM1"))))))</f>
        <v/>
      </c>
    </row>
    <row r="159" customFormat="false" ht="15" hidden="false" customHeight="false" outlineLevel="0" collapsed="false">
      <c r="A159" s="45" t="str">
        <f aca="false">IF(D159="","",ROW()-9)</f>
        <v/>
      </c>
      <c r="B159" s="45" t="str">
        <f aca="false">IF(F159="","",F159&amp;"-"&amp;TEXT(COUNTIF($F$10:F159,F159),"000")&amp;"-"&amp;RIGHT(LEFT(PARAMETRES!$C$9,4),2))</f>
        <v/>
      </c>
      <c r="C159" s="58"/>
      <c r="D159" s="45"/>
      <c r="E159" s="45"/>
      <c r="F159" s="45"/>
      <c r="G159" s="59"/>
      <c r="H159" s="45" t="str">
        <f aca="false">IF(G159="","",DATEDIF(G159,PARAMETRES!$C$13,"y"))</f>
        <v/>
      </c>
      <c r="I159" s="45"/>
      <c r="J159" s="45"/>
      <c r="K159" s="45"/>
      <c r="L159" s="45"/>
      <c r="M159" s="45"/>
      <c r="N159" s="59"/>
      <c r="O159" s="45"/>
      <c r="P159" s="45"/>
      <c r="Q159" s="45"/>
      <c r="R159" s="45"/>
      <c r="S159" s="45"/>
      <c r="T159" s="45"/>
      <c r="U159" s="45"/>
      <c r="V159" s="45"/>
      <c r="W159" s="45"/>
      <c r="X159" s="45"/>
      <c r="Y159" s="45"/>
      <c r="Z159" s="45"/>
      <c r="AA159" s="45"/>
      <c r="AB159" s="45"/>
      <c r="AC159" s="45"/>
      <c r="AD159" s="45"/>
      <c r="AE159" s="45"/>
      <c r="AF159" s="45"/>
      <c r="AG159" s="51" t="str">
        <f aca="false">IF(F159="","",F159&amp;"-"&amp;COUNTIF($F$10:F159,F159))</f>
        <v/>
      </c>
      <c r="AH159" s="51" t="str">
        <f aca="false">IF(F159="","",IF(F159="CM2","CM2-"&amp;COUNTIF($F$10:F159,"CM2"),"P-"&amp;COUNTIFS($F$10:F159,"&lt;&gt;CM2",$F$10:F159,"&lt;&gt;")))</f>
        <v/>
      </c>
      <c r="AI159" s="51" t="str">
        <f aca="false">IF(F159="","",IF(LEFT(F159,2)="CP","CP-"&amp;COUNTIF($F$10:F159,"CP*"),IF(F159="CE1","CE1-"&amp;COUNTIF($F$10:F159,"CE1"),IF(F159="CM2","CM2-"&amp;COUNTIF($F$10:F159,"CM2"),"CEM-"&amp;(COUNTIF($F$10:F159,"CE2")+COUNTIF($F$10:F159,"CM1"))))))</f>
        <v/>
      </c>
    </row>
    <row r="160" customFormat="false" ht="15" hidden="false" customHeight="false" outlineLevel="0" collapsed="false">
      <c r="A160" s="45" t="str">
        <f aca="false">IF(D160="","",ROW()-9)</f>
        <v/>
      </c>
      <c r="B160" s="45" t="str">
        <f aca="false">IF(F160="","",F160&amp;"-"&amp;TEXT(COUNTIF($F$10:F160,F160),"000")&amp;"-"&amp;RIGHT(LEFT(PARAMETRES!$C$9,4),2))</f>
        <v/>
      </c>
      <c r="C160" s="58"/>
      <c r="D160" s="45"/>
      <c r="E160" s="45"/>
      <c r="F160" s="45"/>
      <c r="G160" s="59"/>
      <c r="H160" s="45" t="str">
        <f aca="false">IF(G160="","",DATEDIF(G160,PARAMETRES!$C$13,"y"))</f>
        <v/>
      </c>
      <c r="I160" s="45"/>
      <c r="J160" s="45"/>
      <c r="K160" s="45"/>
      <c r="L160" s="45"/>
      <c r="M160" s="45"/>
      <c r="N160" s="59"/>
      <c r="O160" s="45"/>
      <c r="P160" s="45"/>
      <c r="Q160" s="45"/>
      <c r="R160" s="45"/>
      <c r="S160" s="45"/>
      <c r="T160" s="45"/>
      <c r="U160" s="45"/>
      <c r="V160" s="45"/>
      <c r="W160" s="45"/>
      <c r="X160" s="45"/>
      <c r="Y160" s="45"/>
      <c r="Z160" s="45"/>
      <c r="AA160" s="45"/>
      <c r="AB160" s="45"/>
      <c r="AC160" s="45"/>
      <c r="AD160" s="45"/>
      <c r="AE160" s="45"/>
      <c r="AF160" s="45"/>
      <c r="AG160" s="51" t="str">
        <f aca="false">IF(F160="","",F160&amp;"-"&amp;COUNTIF($F$10:F160,F160))</f>
        <v/>
      </c>
      <c r="AH160" s="51" t="str">
        <f aca="false">IF(F160="","",IF(F160="CM2","CM2-"&amp;COUNTIF($F$10:F160,"CM2"),"P-"&amp;COUNTIFS($F$10:F160,"&lt;&gt;CM2",$F$10:F160,"&lt;&gt;")))</f>
        <v/>
      </c>
      <c r="AI160" s="51" t="str">
        <f aca="false">IF(F160="","",IF(LEFT(F160,2)="CP","CP-"&amp;COUNTIF($F$10:F160,"CP*"),IF(F160="CE1","CE1-"&amp;COUNTIF($F$10:F160,"CE1"),IF(F160="CM2","CM2-"&amp;COUNTIF($F$10:F160,"CM2"),"CEM-"&amp;(COUNTIF($F$10:F160,"CE2")+COUNTIF($F$10:F160,"CM1"))))))</f>
        <v/>
      </c>
    </row>
    <row r="161" customFormat="false" ht="15" hidden="false" customHeight="false" outlineLevel="0" collapsed="false">
      <c r="A161" s="45" t="str">
        <f aca="false">IF(D161="","",ROW()-9)</f>
        <v/>
      </c>
      <c r="B161" s="45" t="str">
        <f aca="false">IF(F161="","",F161&amp;"-"&amp;TEXT(COUNTIF($F$10:F161,F161),"000")&amp;"-"&amp;RIGHT(LEFT(PARAMETRES!$C$9,4),2))</f>
        <v/>
      </c>
      <c r="C161" s="58"/>
      <c r="D161" s="45"/>
      <c r="E161" s="45"/>
      <c r="F161" s="45"/>
      <c r="G161" s="59"/>
      <c r="H161" s="45" t="str">
        <f aca="false">IF(G161="","",DATEDIF(G161,PARAMETRES!$C$13,"y"))</f>
        <v/>
      </c>
      <c r="I161" s="45"/>
      <c r="J161" s="45"/>
      <c r="K161" s="45"/>
      <c r="L161" s="45"/>
      <c r="M161" s="45"/>
      <c r="N161" s="59"/>
      <c r="O161" s="45"/>
      <c r="P161" s="45"/>
      <c r="Q161" s="45"/>
      <c r="R161" s="45"/>
      <c r="S161" s="45"/>
      <c r="T161" s="45"/>
      <c r="U161" s="45"/>
      <c r="V161" s="45"/>
      <c r="W161" s="45"/>
      <c r="X161" s="45"/>
      <c r="Y161" s="45"/>
      <c r="Z161" s="45"/>
      <c r="AA161" s="45"/>
      <c r="AB161" s="45"/>
      <c r="AC161" s="45"/>
      <c r="AD161" s="45"/>
      <c r="AE161" s="45"/>
      <c r="AF161" s="45"/>
      <c r="AG161" s="51" t="str">
        <f aca="false">IF(F161="","",F161&amp;"-"&amp;COUNTIF($F$10:F161,F161))</f>
        <v/>
      </c>
      <c r="AH161" s="51" t="str">
        <f aca="false">IF(F161="","",IF(F161="CM2","CM2-"&amp;COUNTIF($F$10:F161,"CM2"),"P-"&amp;COUNTIFS($F$10:F161,"&lt;&gt;CM2",$F$10:F161,"&lt;&gt;")))</f>
        <v/>
      </c>
      <c r="AI161" s="51" t="str">
        <f aca="false">IF(F161="","",IF(LEFT(F161,2)="CP","CP-"&amp;COUNTIF($F$10:F161,"CP*"),IF(F161="CE1","CE1-"&amp;COUNTIF($F$10:F161,"CE1"),IF(F161="CM2","CM2-"&amp;COUNTIF($F$10:F161,"CM2"),"CEM-"&amp;(COUNTIF($F$10:F161,"CE2")+COUNTIF($F$10:F161,"CM1"))))))</f>
        <v/>
      </c>
    </row>
    <row r="162" customFormat="false" ht="15" hidden="false" customHeight="false" outlineLevel="0" collapsed="false">
      <c r="A162" s="45" t="str">
        <f aca="false">IF(D162="","",ROW()-9)</f>
        <v/>
      </c>
      <c r="B162" s="45" t="str">
        <f aca="false">IF(F162="","",F162&amp;"-"&amp;TEXT(COUNTIF($F$10:F162,F162),"000")&amp;"-"&amp;RIGHT(LEFT(PARAMETRES!$C$9,4),2))</f>
        <v/>
      </c>
      <c r="C162" s="58"/>
      <c r="D162" s="45"/>
      <c r="E162" s="45"/>
      <c r="F162" s="45"/>
      <c r="G162" s="59"/>
      <c r="H162" s="45" t="str">
        <f aca="false">IF(G162="","",DATEDIF(G162,PARAMETRES!$C$13,"y"))</f>
        <v/>
      </c>
      <c r="I162" s="45"/>
      <c r="J162" s="45"/>
      <c r="K162" s="45"/>
      <c r="L162" s="45"/>
      <c r="M162" s="45"/>
      <c r="N162" s="59"/>
      <c r="O162" s="45"/>
      <c r="P162" s="45"/>
      <c r="Q162" s="45"/>
      <c r="R162" s="45"/>
      <c r="S162" s="45"/>
      <c r="T162" s="45"/>
      <c r="U162" s="45"/>
      <c r="V162" s="45"/>
      <c r="W162" s="45"/>
      <c r="X162" s="45"/>
      <c r="Y162" s="45"/>
      <c r="Z162" s="45"/>
      <c r="AA162" s="45"/>
      <c r="AB162" s="45"/>
      <c r="AC162" s="45"/>
      <c r="AD162" s="45"/>
      <c r="AE162" s="45"/>
      <c r="AF162" s="45"/>
      <c r="AG162" s="51" t="str">
        <f aca="false">IF(F162="","",F162&amp;"-"&amp;COUNTIF($F$10:F162,F162))</f>
        <v/>
      </c>
      <c r="AH162" s="51" t="str">
        <f aca="false">IF(F162="","",IF(F162="CM2","CM2-"&amp;COUNTIF($F$10:F162,"CM2"),"P-"&amp;COUNTIFS($F$10:F162,"&lt;&gt;CM2",$F$10:F162,"&lt;&gt;")))</f>
        <v/>
      </c>
      <c r="AI162" s="51" t="str">
        <f aca="false">IF(F162="","",IF(LEFT(F162,2)="CP","CP-"&amp;COUNTIF($F$10:F162,"CP*"),IF(F162="CE1","CE1-"&amp;COUNTIF($F$10:F162,"CE1"),IF(F162="CM2","CM2-"&amp;COUNTIF($F$10:F162,"CM2"),"CEM-"&amp;(COUNTIF($F$10:F162,"CE2")+COUNTIF($F$10:F162,"CM1"))))))</f>
        <v/>
      </c>
    </row>
    <row r="163" customFormat="false" ht="15" hidden="false" customHeight="false" outlineLevel="0" collapsed="false">
      <c r="A163" s="45" t="str">
        <f aca="false">IF(D163="","",ROW()-9)</f>
        <v/>
      </c>
      <c r="B163" s="45" t="str">
        <f aca="false">IF(F163="","",F163&amp;"-"&amp;TEXT(COUNTIF($F$10:F163,F163),"000")&amp;"-"&amp;RIGHT(LEFT(PARAMETRES!$C$9,4),2))</f>
        <v/>
      </c>
      <c r="C163" s="58"/>
      <c r="D163" s="45"/>
      <c r="E163" s="45"/>
      <c r="F163" s="45"/>
      <c r="G163" s="59"/>
      <c r="H163" s="45" t="str">
        <f aca="false">IF(G163="","",DATEDIF(G163,PARAMETRES!$C$13,"y"))</f>
        <v/>
      </c>
      <c r="I163" s="45"/>
      <c r="J163" s="45"/>
      <c r="K163" s="45"/>
      <c r="L163" s="45"/>
      <c r="M163" s="45"/>
      <c r="N163" s="59"/>
      <c r="O163" s="45"/>
      <c r="P163" s="45"/>
      <c r="Q163" s="45"/>
      <c r="R163" s="45"/>
      <c r="S163" s="45"/>
      <c r="T163" s="45"/>
      <c r="U163" s="45"/>
      <c r="V163" s="45"/>
      <c r="W163" s="45"/>
      <c r="X163" s="45"/>
      <c r="Y163" s="45"/>
      <c r="Z163" s="45"/>
      <c r="AA163" s="45"/>
      <c r="AB163" s="45"/>
      <c r="AC163" s="45"/>
      <c r="AD163" s="45"/>
      <c r="AE163" s="45"/>
      <c r="AF163" s="45"/>
      <c r="AG163" s="51" t="str">
        <f aca="false">IF(F163="","",F163&amp;"-"&amp;COUNTIF($F$10:F163,F163))</f>
        <v/>
      </c>
      <c r="AH163" s="51" t="str">
        <f aca="false">IF(F163="","",IF(F163="CM2","CM2-"&amp;COUNTIF($F$10:F163,"CM2"),"P-"&amp;COUNTIFS($F$10:F163,"&lt;&gt;CM2",$F$10:F163,"&lt;&gt;")))</f>
        <v/>
      </c>
      <c r="AI163" s="51" t="str">
        <f aca="false">IF(F163="","",IF(LEFT(F163,2)="CP","CP-"&amp;COUNTIF($F$10:F163,"CP*"),IF(F163="CE1","CE1-"&amp;COUNTIF($F$10:F163,"CE1"),IF(F163="CM2","CM2-"&amp;COUNTIF($F$10:F163,"CM2"),"CEM-"&amp;(COUNTIF($F$10:F163,"CE2")+COUNTIF($F$10:F163,"CM1"))))))</f>
        <v/>
      </c>
    </row>
    <row r="164" customFormat="false" ht="15" hidden="false" customHeight="false" outlineLevel="0" collapsed="false">
      <c r="A164" s="45" t="str">
        <f aca="false">IF(D164="","",ROW()-9)</f>
        <v/>
      </c>
      <c r="B164" s="45" t="str">
        <f aca="false">IF(F164="","",F164&amp;"-"&amp;TEXT(COUNTIF($F$10:F164,F164),"000")&amp;"-"&amp;RIGHT(LEFT(PARAMETRES!$C$9,4),2))</f>
        <v/>
      </c>
      <c r="C164" s="58"/>
      <c r="D164" s="45"/>
      <c r="E164" s="45"/>
      <c r="F164" s="45"/>
      <c r="G164" s="59"/>
      <c r="H164" s="45" t="str">
        <f aca="false">IF(G164="","",DATEDIF(G164,PARAMETRES!$C$13,"y"))</f>
        <v/>
      </c>
      <c r="I164" s="45"/>
      <c r="J164" s="45"/>
      <c r="K164" s="45"/>
      <c r="L164" s="45"/>
      <c r="M164" s="45"/>
      <c r="N164" s="59"/>
      <c r="O164" s="45"/>
      <c r="P164" s="45"/>
      <c r="Q164" s="45"/>
      <c r="R164" s="45"/>
      <c r="S164" s="45"/>
      <c r="T164" s="45"/>
      <c r="U164" s="45"/>
      <c r="V164" s="45"/>
      <c r="W164" s="45"/>
      <c r="X164" s="45"/>
      <c r="Y164" s="45"/>
      <c r="Z164" s="45"/>
      <c r="AA164" s="45"/>
      <c r="AB164" s="45"/>
      <c r="AC164" s="45"/>
      <c r="AD164" s="45"/>
      <c r="AE164" s="45"/>
      <c r="AF164" s="45"/>
      <c r="AG164" s="51" t="str">
        <f aca="false">IF(F164="","",F164&amp;"-"&amp;COUNTIF($F$10:F164,F164))</f>
        <v/>
      </c>
      <c r="AH164" s="51" t="str">
        <f aca="false">IF(F164="","",IF(F164="CM2","CM2-"&amp;COUNTIF($F$10:F164,"CM2"),"P-"&amp;COUNTIFS($F$10:F164,"&lt;&gt;CM2",$F$10:F164,"&lt;&gt;")))</f>
        <v/>
      </c>
      <c r="AI164" s="51" t="str">
        <f aca="false">IF(F164="","",IF(LEFT(F164,2)="CP","CP-"&amp;COUNTIF($F$10:F164,"CP*"),IF(F164="CE1","CE1-"&amp;COUNTIF($F$10:F164,"CE1"),IF(F164="CM2","CM2-"&amp;COUNTIF($F$10:F164,"CM2"),"CEM-"&amp;(COUNTIF($F$10:F164,"CE2")+COUNTIF($F$10:F164,"CM1"))))))</f>
        <v/>
      </c>
    </row>
    <row r="165" customFormat="false" ht="15" hidden="false" customHeight="false" outlineLevel="0" collapsed="false">
      <c r="A165" s="45" t="str">
        <f aca="false">IF(D165="","",ROW()-9)</f>
        <v/>
      </c>
      <c r="B165" s="45" t="str">
        <f aca="false">IF(F165="","",F165&amp;"-"&amp;TEXT(COUNTIF($F$10:F165,F165),"000")&amp;"-"&amp;RIGHT(LEFT(PARAMETRES!$C$9,4),2))</f>
        <v/>
      </c>
      <c r="C165" s="58"/>
      <c r="D165" s="45"/>
      <c r="E165" s="45"/>
      <c r="F165" s="45"/>
      <c r="G165" s="59"/>
      <c r="H165" s="45" t="str">
        <f aca="false">IF(G165="","",DATEDIF(G165,PARAMETRES!$C$13,"y"))</f>
        <v/>
      </c>
      <c r="I165" s="45"/>
      <c r="J165" s="45"/>
      <c r="K165" s="45"/>
      <c r="L165" s="45"/>
      <c r="M165" s="45"/>
      <c r="N165" s="59"/>
      <c r="O165" s="45"/>
      <c r="P165" s="45"/>
      <c r="Q165" s="45"/>
      <c r="R165" s="45"/>
      <c r="S165" s="45"/>
      <c r="T165" s="45"/>
      <c r="U165" s="45"/>
      <c r="V165" s="45"/>
      <c r="W165" s="45"/>
      <c r="X165" s="45"/>
      <c r="Y165" s="45"/>
      <c r="Z165" s="45"/>
      <c r="AA165" s="45"/>
      <c r="AB165" s="45"/>
      <c r="AC165" s="45"/>
      <c r="AD165" s="45"/>
      <c r="AE165" s="45"/>
      <c r="AF165" s="45"/>
      <c r="AG165" s="51" t="str">
        <f aca="false">IF(F165="","",F165&amp;"-"&amp;COUNTIF($F$10:F165,F165))</f>
        <v/>
      </c>
      <c r="AH165" s="51" t="str">
        <f aca="false">IF(F165="","",IF(F165="CM2","CM2-"&amp;COUNTIF($F$10:F165,"CM2"),"P-"&amp;COUNTIFS($F$10:F165,"&lt;&gt;CM2",$F$10:F165,"&lt;&gt;")))</f>
        <v/>
      </c>
      <c r="AI165" s="51" t="str">
        <f aca="false">IF(F165="","",IF(LEFT(F165,2)="CP","CP-"&amp;COUNTIF($F$10:F165,"CP*"),IF(F165="CE1","CE1-"&amp;COUNTIF($F$10:F165,"CE1"),IF(F165="CM2","CM2-"&amp;COUNTIF($F$10:F165,"CM2"),"CEM-"&amp;(COUNTIF($F$10:F165,"CE2")+COUNTIF($F$10:F165,"CM1"))))))</f>
        <v/>
      </c>
    </row>
    <row r="166" customFormat="false" ht="15" hidden="false" customHeight="false" outlineLevel="0" collapsed="false">
      <c r="A166" s="45" t="str">
        <f aca="false">IF(D166="","",ROW()-9)</f>
        <v/>
      </c>
      <c r="B166" s="45" t="str">
        <f aca="false">IF(F166="","",F166&amp;"-"&amp;TEXT(COUNTIF($F$10:F166,F166),"000")&amp;"-"&amp;RIGHT(LEFT(PARAMETRES!$C$9,4),2))</f>
        <v/>
      </c>
      <c r="C166" s="58"/>
      <c r="D166" s="45"/>
      <c r="E166" s="45"/>
      <c r="F166" s="45"/>
      <c r="G166" s="59"/>
      <c r="H166" s="45" t="str">
        <f aca="false">IF(G166="","",DATEDIF(G166,PARAMETRES!$C$13,"y"))</f>
        <v/>
      </c>
      <c r="I166" s="45"/>
      <c r="J166" s="45"/>
      <c r="K166" s="45"/>
      <c r="L166" s="45"/>
      <c r="M166" s="45"/>
      <c r="N166" s="59"/>
      <c r="O166" s="45"/>
      <c r="P166" s="45"/>
      <c r="Q166" s="45"/>
      <c r="R166" s="45"/>
      <c r="S166" s="45"/>
      <c r="T166" s="45"/>
      <c r="U166" s="45"/>
      <c r="V166" s="45"/>
      <c r="W166" s="45"/>
      <c r="X166" s="45"/>
      <c r="Y166" s="45"/>
      <c r="Z166" s="45"/>
      <c r="AA166" s="45"/>
      <c r="AB166" s="45"/>
      <c r="AC166" s="45"/>
      <c r="AD166" s="45"/>
      <c r="AE166" s="45"/>
      <c r="AF166" s="45"/>
      <c r="AG166" s="51" t="str">
        <f aca="false">IF(F166="","",F166&amp;"-"&amp;COUNTIF($F$10:F166,F166))</f>
        <v/>
      </c>
      <c r="AH166" s="51" t="str">
        <f aca="false">IF(F166="","",IF(F166="CM2","CM2-"&amp;COUNTIF($F$10:F166,"CM2"),"P-"&amp;COUNTIFS($F$10:F166,"&lt;&gt;CM2",$F$10:F166,"&lt;&gt;")))</f>
        <v/>
      </c>
      <c r="AI166" s="51" t="str">
        <f aca="false">IF(F166="","",IF(LEFT(F166,2)="CP","CP-"&amp;COUNTIF($F$10:F166,"CP*"),IF(F166="CE1","CE1-"&amp;COUNTIF($F$10:F166,"CE1"),IF(F166="CM2","CM2-"&amp;COUNTIF($F$10:F166,"CM2"),"CEM-"&amp;(COUNTIF($F$10:F166,"CE2")+COUNTIF($F$10:F166,"CM1"))))))</f>
        <v/>
      </c>
    </row>
    <row r="167" customFormat="false" ht="15" hidden="false" customHeight="false" outlineLevel="0" collapsed="false">
      <c r="A167" s="45" t="str">
        <f aca="false">IF(D167="","",ROW()-9)</f>
        <v/>
      </c>
      <c r="B167" s="45" t="str">
        <f aca="false">IF(F167="","",F167&amp;"-"&amp;TEXT(COUNTIF($F$10:F167,F167),"000")&amp;"-"&amp;RIGHT(LEFT(PARAMETRES!$C$9,4),2))</f>
        <v/>
      </c>
      <c r="C167" s="58"/>
      <c r="D167" s="45"/>
      <c r="E167" s="45"/>
      <c r="F167" s="45"/>
      <c r="G167" s="59"/>
      <c r="H167" s="45" t="str">
        <f aca="false">IF(G167="","",DATEDIF(G167,PARAMETRES!$C$13,"y"))</f>
        <v/>
      </c>
      <c r="I167" s="45"/>
      <c r="J167" s="45"/>
      <c r="K167" s="45"/>
      <c r="L167" s="45"/>
      <c r="M167" s="45"/>
      <c r="N167" s="59"/>
      <c r="O167" s="45"/>
      <c r="P167" s="45"/>
      <c r="Q167" s="45"/>
      <c r="R167" s="45"/>
      <c r="S167" s="45"/>
      <c r="T167" s="45"/>
      <c r="U167" s="45"/>
      <c r="V167" s="45"/>
      <c r="W167" s="45"/>
      <c r="X167" s="45"/>
      <c r="Y167" s="45"/>
      <c r="Z167" s="45"/>
      <c r="AA167" s="45"/>
      <c r="AB167" s="45"/>
      <c r="AC167" s="45"/>
      <c r="AD167" s="45"/>
      <c r="AE167" s="45"/>
      <c r="AF167" s="45"/>
      <c r="AG167" s="51" t="str">
        <f aca="false">IF(F167="","",F167&amp;"-"&amp;COUNTIF($F$10:F167,F167))</f>
        <v/>
      </c>
      <c r="AH167" s="51" t="str">
        <f aca="false">IF(F167="","",IF(F167="CM2","CM2-"&amp;COUNTIF($F$10:F167,"CM2"),"P-"&amp;COUNTIFS($F$10:F167,"&lt;&gt;CM2",$F$10:F167,"&lt;&gt;")))</f>
        <v/>
      </c>
      <c r="AI167" s="51" t="str">
        <f aca="false">IF(F167="","",IF(LEFT(F167,2)="CP","CP-"&amp;COUNTIF($F$10:F167,"CP*"),IF(F167="CE1","CE1-"&amp;COUNTIF($F$10:F167,"CE1"),IF(F167="CM2","CM2-"&amp;COUNTIF($F$10:F167,"CM2"),"CEM-"&amp;(COUNTIF($F$10:F167,"CE2")+COUNTIF($F$10:F167,"CM1"))))))</f>
        <v/>
      </c>
    </row>
    <row r="168" customFormat="false" ht="15" hidden="false" customHeight="false" outlineLevel="0" collapsed="false">
      <c r="A168" s="45" t="str">
        <f aca="false">IF(D168="","",ROW()-9)</f>
        <v/>
      </c>
      <c r="B168" s="45" t="str">
        <f aca="false">IF(F168="","",F168&amp;"-"&amp;TEXT(COUNTIF($F$10:F168,F168),"000")&amp;"-"&amp;RIGHT(LEFT(PARAMETRES!$C$9,4),2))</f>
        <v/>
      </c>
      <c r="C168" s="58"/>
      <c r="D168" s="45"/>
      <c r="E168" s="45"/>
      <c r="F168" s="45"/>
      <c r="G168" s="59"/>
      <c r="H168" s="45" t="str">
        <f aca="false">IF(G168="","",DATEDIF(G168,PARAMETRES!$C$13,"y"))</f>
        <v/>
      </c>
      <c r="I168" s="45"/>
      <c r="J168" s="45"/>
      <c r="K168" s="45"/>
      <c r="L168" s="45"/>
      <c r="M168" s="45"/>
      <c r="N168" s="59"/>
      <c r="O168" s="45"/>
      <c r="P168" s="45"/>
      <c r="Q168" s="45"/>
      <c r="R168" s="45"/>
      <c r="S168" s="45"/>
      <c r="T168" s="45"/>
      <c r="U168" s="45"/>
      <c r="V168" s="45"/>
      <c r="W168" s="45"/>
      <c r="X168" s="45"/>
      <c r="Y168" s="45"/>
      <c r="Z168" s="45"/>
      <c r="AA168" s="45"/>
      <c r="AB168" s="45"/>
      <c r="AC168" s="45"/>
      <c r="AD168" s="45"/>
      <c r="AE168" s="45"/>
      <c r="AF168" s="45"/>
      <c r="AG168" s="51" t="str">
        <f aca="false">IF(F168="","",F168&amp;"-"&amp;COUNTIF($F$10:F168,F168))</f>
        <v/>
      </c>
      <c r="AH168" s="51" t="str">
        <f aca="false">IF(F168="","",IF(F168="CM2","CM2-"&amp;COUNTIF($F$10:F168,"CM2"),"P-"&amp;COUNTIFS($F$10:F168,"&lt;&gt;CM2",$F$10:F168,"&lt;&gt;")))</f>
        <v/>
      </c>
      <c r="AI168" s="51" t="str">
        <f aca="false">IF(F168="","",IF(LEFT(F168,2)="CP","CP-"&amp;COUNTIF($F$10:F168,"CP*"),IF(F168="CE1","CE1-"&amp;COUNTIF($F$10:F168,"CE1"),IF(F168="CM2","CM2-"&amp;COUNTIF($F$10:F168,"CM2"),"CEM-"&amp;(COUNTIF($F$10:F168,"CE2")+COUNTIF($F$10:F168,"CM1"))))))</f>
        <v/>
      </c>
    </row>
    <row r="169" customFormat="false" ht="15" hidden="false" customHeight="false" outlineLevel="0" collapsed="false">
      <c r="A169" s="45" t="str">
        <f aca="false">IF(D169="","",ROW()-9)</f>
        <v/>
      </c>
      <c r="B169" s="45" t="str">
        <f aca="false">IF(F169="","",F169&amp;"-"&amp;TEXT(COUNTIF($F$10:F169,F169),"000")&amp;"-"&amp;RIGHT(LEFT(PARAMETRES!$C$9,4),2))</f>
        <v/>
      </c>
      <c r="C169" s="58"/>
      <c r="D169" s="45"/>
      <c r="E169" s="45"/>
      <c r="F169" s="45"/>
      <c r="G169" s="59"/>
      <c r="H169" s="45" t="str">
        <f aca="false">IF(G169="","",DATEDIF(G169,PARAMETRES!$C$13,"y"))</f>
        <v/>
      </c>
      <c r="I169" s="45"/>
      <c r="J169" s="45"/>
      <c r="K169" s="45"/>
      <c r="L169" s="45"/>
      <c r="M169" s="45"/>
      <c r="N169" s="59"/>
      <c r="O169" s="45"/>
      <c r="P169" s="45"/>
      <c r="Q169" s="45"/>
      <c r="R169" s="45"/>
      <c r="S169" s="45"/>
      <c r="T169" s="45"/>
      <c r="U169" s="45"/>
      <c r="V169" s="45"/>
      <c r="W169" s="45"/>
      <c r="X169" s="45"/>
      <c r="Y169" s="45"/>
      <c r="Z169" s="45"/>
      <c r="AA169" s="45"/>
      <c r="AB169" s="45"/>
      <c r="AC169" s="45"/>
      <c r="AD169" s="45"/>
      <c r="AE169" s="45"/>
      <c r="AF169" s="45"/>
      <c r="AG169" s="51" t="str">
        <f aca="false">IF(F169="","",F169&amp;"-"&amp;COUNTIF($F$10:F169,F169))</f>
        <v/>
      </c>
      <c r="AH169" s="51" t="str">
        <f aca="false">IF(F169="","",IF(F169="CM2","CM2-"&amp;COUNTIF($F$10:F169,"CM2"),"P-"&amp;COUNTIFS($F$10:F169,"&lt;&gt;CM2",$F$10:F169,"&lt;&gt;")))</f>
        <v/>
      </c>
      <c r="AI169" s="51" t="str">
        <f aca="false">IF(F169="","",IF(LEFT(F169,2)="CP","CP-"&amp;COUNTIF($F$10:F169,"CP*"),IF(F169="CE1","CE1-"&amp;COUNTIF($F$10:F169,"CE1"),IF(F169="CM2","CM2-"&amp;COUNTIF($F$10:F169,"CM2"),"CEM-"&amp;(COUNTIF($F$10:F169,"CE2")+COUNTIF($F$10:F169,"CM1"))))))</f>
        <v/>
      </c>
    </row>
    <row r="170" customFormat="false" ht="15" hidden="false" customHeight="false" outlineLevel="0" collapsed="false">
      <c r="A170" s="45" t="str">
        <f aca="false">IF(D170="","",ROW()-9)</f>
        <v/>
      </c>
      <c r="B170" s="45" t="str">
        <f aca="false">IF(F170="","",F170&amp;"-"&amp;TEXT(COUNTIF($F$10:F170,F170),"000")&amp;"-"&amp;RIGHT(LEFT(PARAMETRES!$C$9,4),2))</f>
        <v/>
      </c>
      <c r="C170" s="58"/>
      <c r="D170" s="45"/>
      <c r="E170" s="45"/>
      <c r="F170" s="45"/>
      <c r="G170" s="59"/>
      <c r="H170" s="45" t="str">
        <f aca="false">IF(G170="","",DATEDIF(G170,PARAMETRES!$C$13,"y"))</f>
        <v/>
      </c>
      <c r="I170" s="45"/>
      <c r="J170" s="45"/>
      <c r="K170" s="45"/>
      <c r="L170" s="45"/>
      <c r="M170" s="45"/>
      <c r="N170" s="59"/>
      <c r="O170" s="45"/>
      <c r="P170" s="45"/>
      <c r="Q170" s="45"/>
      <c r="R170" s="45"/>
      <c r="S170" s="45"/>
      <c r="T170" s="45"/>
      <c r="U170" s="45"/>
      <c r="V170" s="45"/>
      <c r="W170" s="45"/>
      <c r="X170" s="45"/>
      <c r="Y170" s="45"/>
      <c r="Z170" s="45"/>
      <c r="AA170" s="45"/>
      <c r="AB170" s="45"/>
      <c r="AC170" s="45"/>
      <c r="AD170" s="45"/>
      <c r="AE170" s="45"/>
      <c r="AF170" s="45"/>
      <c r="AG170" s="51" t="str">
        <f aca="false">IF(F170="","",F170&amp;"-"&amp;COUNTIF($F$10:F170,F170))</f>
        <v/>
      </c>
      <c r="AH170" s="51" t="str">
        <f aca="false">IF(F170="","",IF(F170="CM2","CM2-"&amp;COUNTIF($F$10:F170,"CM2"),"P-"&amp;COUNTIFS($F$10:F170,"&lt;&gt;CM2",$F$10:F170,"&lt;&gt;")))</f>
        <v/>
      </c>
      <c r="AI170" s="51" t="str">
        <f aca="false">IF(F170="","",IF(LEFT(F170,2)="CP","CP-"&amp;COUNTIF($F$10:F170,"CP*"),IF(F170="CE1","CE1-"&amp;COUNTIF($F$10:F170,"CE1"),IF(F170="CM2","CM2-"&amp;COUNTIF($F$10:F170,"CM2"),"CEM-"&amp;(COUNTIF($F$10:F170,"CE2")+COUNTIF($F$10:F170,"CM1"))))))</f>
        <v/>
      </c>
    </row>
    <row r="171" customFormat="false" ht="15" hidden="false" customHeight="false" outlineLevel="0" collapsed="false">
      <c r="A171" s="45" t="str">
        <f aca="false">IF(D171="","",ROW()-9)</f>
        <v/>
      </c>
      <c r="B171" s="45" t="str">
        <f aca="false">IF(F171="","",F171&amp;"-"&amp;TEXT(COUNTIF($F$10:F171,F171),"000")&amp;"-"&amp;RIGHT(LEFT(PARAMETRES!$C$9,4),2))</f>
        <v/>
      </c>
      <c r="C171" s="58"/>
      <c r="D171" s="45"/>
      <c r="E171" s="45"/>
      <c r="F171" s="45"/>
      <c r="G171" s="59"/>
      <c r="H171" s="45" t="str">
        <f aca="false">IF(G171="","",DATEDIF(G171,PARAMETRES!$C$13,"y"))</f>
        <v/>
      </c>
      <c r="I171" s="45"/>
      <c r="J171" s="45"/>
      <c r="K171" s="45"/>
      <c r="L171" s="45"/>
      <c r="M171" s="45"/>
      <c r="N171" s="59"/>
      <c r="O171" s="45"/>
      <c r="P171" s="45"/>
      <c r="Q171" s="45"/>
      <c r="R171" s="45"/>
      <c r="S171" s="45"/>
      <c r="T171" s="45"/>
      <c r="U171" s="45"/>
      <c r="V171" s="45"/>
      <c r="W171" s="45"/>
      <c r="X171" s="45"/>
      <c r="Y171" s="45"/>
      <c r="Z171" s="45"/>
      <c r="AA171" s="45"/>
      <c r="AB171" s="45"/>
      <c r="AC171" s="45"/>
      <c r="AD171" s="45"/>
      <c r="AE171" s="45"/>
      <c r="AF171" s="45"/>
      <c r="AG171" s="51" t="str">
        <f aca="false">IF(F171="","",F171&amp;"-"&amp;COUNTIF($F$10:F171,F171))</f>
        <v/>
      </c>
      <c r="AH171" s="51" t="str">
        <f aca="false">IF(F171="","",IF(F171="CM2","CM2-"&amp;COUNTIF($F$10:F171,"CM2"),"P-"&amp;COUNTIFS($F$10:F171,"&lt;&gt;CM2",$F$10:F171,"&lt;&gt;")))</f>
        <v/>
      </c>
      <c r="AI171" s="51" t="str">
        <f aca="false">IF(F171="","",IF(LEFT(F171,2)="CP","CP-"&amp;COUNTIF($F$10:F171,"CP*"),IF(F171="CE1","CE1-"&amp;COUNTIF($F$10:F171,"CE1"),IF(F171="CM2","CM2-"&amp;COUNTIF($F$10:F171,"CM2"),"CEM-"&amp;(COUNTIF($F$10:F171,"CE2")+COUNTIF($F$10:F171,"CM1"))))))</f>
        <v/>
      </c>
    </row>
    <row r="172" customFormat="false" ht="15" hidden="false" customHeight="false" outlineLevel="0" collapsed="false">
      <c r="A172" s="45" t="str">
        <f aca="false">IF(D172="","",ROW()-9)</f>
        <v/>
      </c>
      <c r="B172" s="45" t="str">
        <f aca="false">IF(F172="","",F172&amp;"-"&amp;TEXT(COUNTIF($F$10:F172,F172),"000")&amp;"-"&amp;RIGHT(LEFT(PARAMETRES!$C$9,4),2))</f>
        <v/>
      </c>
      <c r="C172" s="58"/>
      <c r="D172" s="45"/>
      <c r="E172" s="45"/>
      <c r="F172" s="45"/>
      <c r="G172" s="59"/>
      <c r="H172" s="45" t="str">
        <f aca="false">IF(G172="","",DATEDIF(G172,PARAMETRES!$C$13,"y"))</f>
        <v/>
      </c>
      <c r="I172" s="45"/>
      <c r="J172" s="45"/>
      <c r="K172" s="45"/>
      <c r="L172" s="45"/>
      <c r="M172" s="45"/>
      <c r="N172" s="59"/>
      <c r="O172" s="45"/>
      <c r="P172" s="45"/>
      <c r="Q172" s="45"/>
      <c r="R172" s="45"/>
      <c r="S172" s="45"/>
      <c r="T172" s="45"/>
      <c r="U172" s="45"/>
      <c r="V172" s="45"/>
      <c r="W172" s="45"/>
      <c r="X172" s="45"/>
      <c r="Y172" s="45"/>
      <c r="Z172" s="45"/>
      <c r="AA172" s="45"/>
      <c r="AB172" s="45"/>
      <c r="AC172" s="45"/>
      <c r="AD172" s="45"/>
      <c r="AE172" s="45"/>
      <c r="AF172" s="45"/>
      <c r="AG172" s="51" t="str">
        <f aca="false">IF(F172="","",F172&amp;"-"&amp;COUNTIF($F$10:F172,F172))</f>
        <v/>
      </c>
      <c r="AH172" s="51" t="str">
        <f aca="false">IF(F172="","",IF(F172="CM2","CM2-"&amp;COUNTIF($F$10:F172,"CM2"),"P-"&amp;COUNTIFS($F$10:F172,"&lt;&gt;CM2",$F$10:F172,"&lt;&gt;")))</f>
        <v/>
      </c>
      <c r="AI172" s="51" t="str">
        <f aca="false">IF(F172="","",IF(LEFT(F172,2)="CP","CP-"&amp;COUNTIF($F$10:F172,"CP*"),IF(F172="CE1","CE1-"&amp;COUNTIF($F$10:F172,"CE1"),IF(F172="CM2","CM2-"&amp;COUNTIF($F$10:F172,"CM2"),"CEM-"&amp;(COUNTIF($F$10:F172,"CE2")+COUNTIF($F$10:F172,"CM1"))))))</f>
        <v/>
      </c>
    </row>
    <row r="173" customFormat="false" ht="15" hidden="false" customHeight="false" outlineLevel="0" collapsed="false">
      <c r="A173" s="45" t="str">
        <f aca="false">IF(D173="","",ROW()-9)</f>
        <v/>
      </c>
      <c r="B173" s="45" t="str">
        <f aca="false">IF(F173="","",F173&amp;"-"&amp;TEXT(COUNTIF($F$10:F173,F173),"000")&amp;"-"&amp;RIGHT(LEFT(PARAMETRES!$C$9,4),2))</f>
        <v/>
      </c>
      <c r="C173" s="58"/>
      <c r="D173" s="45"/>
      <c r="E173" s="45"/>
      <c r="F173" s="45"/>
      <c r="G173" s="59"/>
      <c r="H173" s="45" t="str">
        <f aca="false">IF(G173="","",DATEDIF(G173,PARAMETRES!$C$13,"y"))</f>
        <v/>
      </c>
      <c r="I173" s="45"/>
      <c r="J173" s="45"/>
      <c r="K173" s="45"/>
      <c r="L173" s="45"/>
      <c r="M173" s="45"/>
      <c r="N173" s="59"/>
      <c r="O173" s="45"/>
      <c r="P173" s="45"/>
      <c r="Q173" s="45"/>
      <c r="R173" s="45"/>
      <c r="S173" s="45"/>
      <c r="T173" s="45"/>
      <c r="U173" s="45"/>
      <c r="V173" s="45"/>
      <c r="W173" s="45"/>
      <c r="X173" s="45"/>
      <c r="Y173" s="45"/>
      <c r="Z173" s="45"/>
      <c r="AA173" s="45"/>
      <c r="AB173" s="45"/>
      <c r="AC173" s="45"/>
      <c r="AD173" s="45"/>
      <c r="AE173" s="45"/>
      <c r="AF173" s="45"/>
      <c r="AG173" s="51" t="str">
        <f aca="false">IF(F173="","",F173&amp;"-"&amp;COUNTIF($F$10:F173,F173))</f>
        <v/>
      </c>
      <c r="AH173" s="51" t="str">
        <f aca="false">IF(F173="","",IF(F173="CM2","CM2-"&amp;COUNTIF($F$10:F173,"CM2"),"P-"&amp;COUNTIFS($F$10:F173,"&lt;&gt;CM2",$F$10:F173,"&lt;&gt;")))</f>
        <v/>
      </c>
      <c r="AI173" s="51" t="str">
        <f aca="false">IF(F173="","",IF(LEFT(F173,2)="CP","CP-"&amp;COUNTIF($F$10:F173,"CP*"),IF(F173="CE1","CE1-"&amp;COUNTIF($F$10:F173,"CE1"),IF(F173="CM2","CM2-"&amp;COUNTIF($F$10:F173,"CM2"),"CEM-"&amp;(COUNTIF($F$10:F173,"CE2")+COUNTIF($F$10:F173,"CM1"))))))</f>
        <v/>
      </c>
    </row>
    <row r="174" customFormat="false" ht="15" hidden="false" customHeight="false" outlineLevel="0" collapsed="false">
      <c r="A174" s="45" t="str">
        <f aca="false">IF(D174="","",ROW()-9)</f>
        <v/>
      </c>
      <c r="B174" s="45" t="str">
        <f aca="false">IF(F174="","",F174&amp;"-"&amp;TEXT(COUNTIF($F$10:F174,F174),"000")&amp;"-"&amp;RIGHT(LEFT(PARAMETRES!$C$9,4),2))</f>
        <v/>
      </c>
      <c r="C174" s="58"/>
      <c r="D174" s="45"/>
      <c r="E174" s="45"/>
      <c r="F174" s="45"/>
      <c r="G174" s="59"/>
      <c r="H174" s="45" t="str">
        <f aca="false">IF(G174="","",DATEDIF(G174,PARAMETRES!$C$13,"y"))</f>
        <v/>
      </c>
      <c r="I174" s="45"/>
      <c r="J174" s="45"/>
      <c r="K174" s="45"/>
      <c r="L174" s="45"/>
      <c r="M174" s="45"/>
      <c r="N174" s="59"/>
      <c r="O174" s="45"/>
      <c r="P174" s="45"/>
      <c r="Q174" s="45"/>
      <c r="R174" s="45"/>
      <c r="S174" s="45"/>
      <c r="T174" s="45"/>
      <c r="U174" s="45"/>
      <c r="V174" s="45"/>
      <c r="W174" s="45"/>
      <c r="X174" s="45"/>
      <c r="Y174" s="45"/>
      <c r="Z174" s="45"/>
      <c r="AA174" s="45"/>
      <c r="AB174" s="45"/>
      <c r="AC174" s="45"/>
      <c r="AD174" s="45"/>
      <c r="AE174" s="45"/>
      <c r="AF174" s="45"/>
      <c r="AG174" s="51" t="str">
        <f aca="false">IF(F174="","",F174&amp;"-"&amp;COUNTIF($F$10:F174,F174))</f>
        <v/>
      </c>
      <c r="AH174" s="51" t="str">
        <f aca="false">IF(F174="","",IF(F174="CM2","CM2-"&amp;COUNTIF($F$10:F174,"CM2"),"P-"&amp;COUNTIFS($F$10:F174,"&lt;&gt;CM2",$F$10:F174,"&lt;&gt;")))</f>
        <v/>
      </c>
      <c r="AI174" s="51" t="str">
        <f aca="false">IF(F174="","",IF(LEFT(F174,2)="CP","CP-"&amp;COUNTIF($F$10:F174,"CP*"),IF(F174="CE1","CE1-"&amp;COUNTIF($F$10:F174,"CE1"),IF(F174="CM2","CM2-"&amp;COUNTIF($F$10:F174,"CM2"),"CEM-"&amp;(COUNTIF($F$10:F174,"CE2")+COUNTIF($F$10:F174,"CM1"))))))</f>
        <v/>
      </c>
    </row>
    <row r="175" customFormat="false" ht="15" hidden="false" customHeight="false" outlineLevel="0" collapsed="false">
      <c r="A175" s="45" t="str">
        <f aca="false">IF(D175="","",ROW()-9)</f>
        <v/>
      </c>
      <c r="B175" s="45" t="str">
        <f aca="false">IF(F175="","",F175&amp;"-"&amp;TEXT(COUNTIF($F$10:F175,F175),"000")&amp;"-"&amp;RIGHT(LEFT(PARAMETRES!$C$9,4),2))</f>
        <v/>
      </c>
      <c r="C175" s="58"/>
      <c r="D175" s="45"/>
      <c r="E175" s="45"/>
      <c r="F175" s="45"/>
      <c r="G175" s="59"/>
      <c r="H175" s="45" t="str">
        <f aca="false">IF(G175="","",DATEDIF(G175,PARAMETRES!$C$13,"y"))</f>
        <v/>
      </c>
      <c r="I175" s="45"/>
      <c r="J175" s="45"/>
      <c r="K175" s="45"/>
      <c r="L175" s="45"/>
      <c r="M175" s="45"/>
      <c r="N175" s="59"/>
      <c r="O175" s="45"/>
      <c r="P175" s="45"/>
      <c r="Q175" s="45"/>
      <c r="R175" s="45"/>
      <c r="S175" s="45"/>
      <c r="T175" s="45"/>
      <c r="U175" s="45"/>
      <c r="V175" s="45"/>
      <c r="W175" s="45"/>
      <c r="X175" s="45"/>
      <c r="Y175" s="45"/>
      <c r="Z175" s="45"/>
      <c r="AA175" s="45"/>
      <c r="AB175" s="45"/>
      <c r="AC175" s="45"/>
      <c r="AD175" s="45"/>
      <c r="AE175" s="45"/>
      <c r="AF175" s="45"/>
      <c r="AG175" s="51" t="str">
        <f aca="false">IF(F175="","",F175&amp;"-"&amp;COUNTIF($F$10:F175,F175))</f>
        <v/>
      </c>
      <c r="AH175" s="51" t="str">
        <f aca="false">IF(F175="","",IF(F175="CM2","CM2-"&amp;COUNTIF($F$10:F175,"CM2"),"P-"&amp;COUNTIFS($F$10:F175,"&lt;&gt;CM2",$F$10:F175,"&lt;&gt;")))</f>
        <v/>
      </c>
      <c r="AI175" s="51" t="str">
        <f aca="false">IF(F175="","",IF(LEFT(F175,2)="CP","CP-"&amp;COUNTIF($F$10:F175,"CP*"),IF(F175="CE1","CE1-"&amp;COUNTIF($F$10:F175,"CE1"),IF(F175="CM2","CM2-"&amp;COUNTIF($F$10:F175,"CM2"),"CEM-"&amp;(COUNTIF($F$10:F175,"CE2")+COUNTIF($F$10:F175,"CM1"))))))</f>
        <v/>
      </c>
    </row>
    <row r="176" customFormat="false" ht="15" hidden="false" customHeight="false" outlineLevel="0" collapsed="false">
      <c r="A176" s="45" t="str">
        <f aca="false">IF(D176="","",ROW()-9)</f>
        <v/>
      </c>
      <c r="B176" s="45" t="str">
        <f aca="false">IF(F176="","",F176&amp;"-"&amp;TEXT(COUNTIF($F$10:F176,F176),"000")&amp;"-"&amp;RIGHT(LEFT(PARAMETRES!$C$9,4),2))</f>
        <v/>
      </c>
      <c r="C176" s="58"/>
      <c r="D176" s="45"/>
      <c r="E176" s="45"/>
      <c r="F176" s="45"/>
      <c r="G176" s="59"/>
      <c r="H176" s="45" t="str">
        <f aca="false">IF(G176="","",DATEDIF(G176,PARAMETRES!$C$13,"y"))</f>
        <v/>
      </c>
      <c r="I176" s="45"/>
      <c r="J176" s="45"/>
      <c r="K176" s="45"/>
      <c r="L176" s="45"/>
      <c r="M176" s="45"/>
      <c r="N176" s="59"/>
      <c r="O176" s="45"/>
      <c r="P176" s="45"/>
      <c r="Q176" s="45"/>
      <c r="R176" s="45"/>
      <c r="S176" s="45"/>
      <c r="T176" s="45"/>
      <c r="U176" s="45"/>
      <c r="V176" s="45"/>
      <c r="W176" s="45"/>
      <c r="X176" s="45"/>
      <c r="Y176" s="45"/>
      <c r="Z176" s="45"/>
      <c r="AA176" s="45"/>
      <c r="AB176" s="45"/>
      <c r="AC176" s="45"/>
      <c r="AD176" s="45"/>
      <c r="AE176" s="45"/>
      <c r="AF176" s="45"/>
      <c r="AG176" s="51" t="str">
        <f aca="false">IF(F176="","",F176&amp;"-"&amp;COUNTIF($F$10:F176,F176))</f>
        <v/>
      </c>
      <c r="AH176" s="51" t="str">
        <f aca="false">IF(F176="","",IF(F176="CM2","CM2-"&amp;COUNTIF($F$10:F176,"CM2"),"P-"&amp;COUNTIFS($F$10:F176,"&lt;&gt;CM2",$F$10:F176,"&lt;&gt;")))</f>
        <v/>
      </c>
      <c r="AI176" s="51" t="str">
        <f aca="false">IF(F176="","",IF(LEFT(F176,2)="CP","CP-"&amp;COUNTIF($F$10:F176,"CP*"),IF(F176="CE1","CE1-"&amp;COUNTIF($F$10:F176,"CE1"),IF(F176="CM2","CM2-"&amp;COUNTIF($F$10:F176,"CM2"),"CEM-"&amp;(COUNTIF($F$10:F176,"CE2")+COUNTIF($F$10:F176,"CM1"))))))</f>
        <v/>
      </c>
    </row>
    <row r="177" customFormat="false" ht="15" hidden="false" customHeight="false" outlineLevel="0" collapsed="false">
      <c r="A177" s="45" t="str">
        <f aca="false">IF(D177="","",ROW()-9)</f>
        <v/>
      </c>
      <c r="B177" s="45" t="str">
        <f aca="false">IF(F177="","",F177&amp;"-"&amp;TEXT(COUNTIF($F$10:F177,F177),"000")&amp;"-"&amp;RIGHT(LEFT(PARAMETRES!$C$9,4),2))</f>
        <v/>
      </c>
      <c r="C177" s="58"/>
      <c r="D177" s="45"/>
      <c r="E177" s="45"/>
      <c r="F177" s="45"/>
      <c r="G177" s="59"/>
      <c r="H177" s="45" t="str">
        <f aca="false">IF(G177="","",DATEDIF(G177,PARAMETRES!$C$13,"y"))</f>
        <v/>
      </c>
      <c r="I177" s="45"/>
      <c r="J177" s="45"/>
      <c r="K177" s="45"/>
      <c r="L177" s="45"/>
      <c r="M177" s="45"/>
      <c r="N177" s="59"/>
      <c r="O177" s="45"/>
      <c r="P177" s="45"/>
      <c r="Q177" s="45"/>
      <c r="R177" s="45"/>
      <c r="S177" s="45"/>
      <c r="T177" s="45"/>
      <c r="U177" s="45"/>
      <c r="V177" s="45"/>
      <c r="W177" s="45"/>
      <c r="X177" s="45"/>
      <c r="Y177" s="45"/>
      <c r="Z177" s="45"/>
      <c r="AA177" s="45"/>
      <c r="AB177" s="45"/>
      <c r="AC177" s="45"/>
      <c r="AD177" s="45"/>
      <c r="AE177" s="45"/>
      <c r="AF177" s="45"/>
      <c r="AG177" s="51" t="str">
        <f aca="false">IF(F177="","",F177&amp;"-"&amp;COUNTIF($F$10:F177,F177))</f>
        <v/>
      </c>
      <c r="AH177" s="51" t="str">
        <f aca="false">IF(F177="","",IF(F177="CM2","CM2-"&amp;COUNTIF($F$10:F177,"CM2"),"P-"&amp;COUNTIFS($F$10:F177,"&lt;&gt;CM2",$F$10:F177,"&lt;&gt;")))</f>
        <v/>
      </c>
      <c r="AI177" s="51" t="str">
        <f aca="false">IF(F177="","",IF(LEFT(F177,2)="CP","CP-"&amp;COUNTIF($F$10:F177,"CP*"),IF(F177="CE1","CE1-"&amp;COUNTIF($F$10:F177,"CE1"),IF(F177="CM2","CM2-"&amp;COUNTIF($F$10:F177,"CM2"),"CEM-"&amp;(COUNTIF($F$10:F177,"CE2")+COUNTIF($F$10:F177,"CM1"))))))</f>
        <v/>
      </c>
    </row>
    <row r="178" customFormat="false" ht="15" hidden="false" customHeight="false" outlineLevel="0" collapsed="false">
      <c r="A178" s="45" t="str">
        <f aca="false">IF(D178="","",ROW()-9)</f>
        <v/>
      </c>
      <c r="B178" s="45" t="str">
        <f aca="false">IF(F178="","",F178&amp;"-"&amp;TEXT(COUNTIF($F$10:F178,F178),"000")&amp;"-"&amp;RIGHT(LEFT(PARAMETRES!$C$9,4),2))</f>
        <v/>
      </c>
      <c r="C178" s="58"/>
      <c r="D178" s="45"/>
      <c r="E178" s="45"/>
      <c r="F178" s="45"/>
      <c r="G178" s="59"/>
      <c r="H178" s="45" t="str">
        <f aca="false">IF(G178="","",DATEDIF(G178,PARAMETRES!$C$13,"y"))</f>
        <v/>
      </c>
      <c r="I178" s="45"/>
      <c r="J178" s="45"/>
      <c r="K178" s="45"/>
      <c r="L178" s="45"/>
      <c r="M178" s="45"/>
      <c r="N178" s="59"/>
      <c r="O178" s="45"/>
      <c r="P178" s="45"/>
      <c r="Q178" s="45"/>
      <c r="R178" s="45"/>
      <c r="S178" s="45"/>
      <c r="T178" s="45"/>
      <c r="U178" s="45"/>
      <c r="V178" s="45"/>
      <c r="W178" s="45"/>
      <c r="X178" s="45"/>
      <c r="Y178" s="45"/>
      <c r="Z178" s="45"/>
      <c r="AA178" s="45"/>
      <c r="AB178" s="45"/>
      <c r="AC178" s="45"/>
      <c r="AD178" s="45"/>
      <c r="AE178" s="45"/>
      <c r="AF178" s="45"/>
      <c r="AG178" s="51" t="str">
        <f aca="false">IF(F178="","",F178&amp;"-"&amp;COUNTIF($F$10:F178,F178))</f>
        <v/>
      </c>
      <c r="AH178" s="51" t="str">
        <f aca="false">IF(F178="","",IF(F178="CM2","CM2-"&amp;COUNTIF($F$10:F178,"CM2"),"P-"&amp;COUNTIFS($F$10:F178,"&lt;&gt;CM2",$F$10:F178,"&lt;&gt;")))</f>
        <v/>
      </c>
      <c r="AI178" s="51" t="str">
        <f aca="false">IF(F178="","",IF(LEFT(F178,2)="CP","CP-"&amp;COUNTIF($F$10:F178,"CP*"),IF(F178="CE1","CE1-"&amp;COUNTIF($F$10:F178,"CE1"),IF(F178="CM2","CM2-"&amp;COUNTIF($F$10:F178,"CM2"),"CEM-"&amp;(COUNTIF($F$10:F178,"CE2")+COUNTIF($F$10:F178,"CM1"))))))</f>
        <v/>
      </c>
    </row>
    <row r="179" customFormat="false" ht="15" hidden="false" customHeight="false" outlineLevel="0" collapsed="false">
      <c r="A179" s="45" t="str">
        <f aca="false">IF(D179="","",ROW()-9)</f>
        <v/>
      </c>
      <c r="B179" s="45" t="str">
        <f aca="false">IF(F179="","",F179&amp;"-"&amp;TEXT(COUNTIF($F$10:F179,F179),"000")&amp;"-"&amp;RIGHT(LEFT(PARAMETRES!$C$9,4),2))</f>
        <v/>
      </c>
      <c r="C179" s="58"/>
      <c r="D179" s="45"/>
      <c r="E179" s="45"/>
      <c r="F179" s="45"/>
      <c r="G179" s="59"/>
      <c r="H179" s="45" t="str">
        <f aca="false">IF(G179="","",DATEDIF(G179,PARAMETRES!$C$13,"y"))</f>
        <v/>
      </c>
      <c r="I179" s="45"/>
      <c r="J179" s="45"/>
      <c r="K179" s="45"/>
      <c r="L179" s="45"/>
      <c r="M179" s="45"/>
      <c r="N179" s="59"/>
      <c r="O179" s="45"/>
      <c r="P179" s="45"/>
      <c r="Q179" s="45"/>
      <c r="R179" s="45"/>
      <c r="S179" s="45"/>
      <c r="T179" s="45"/>
      <c r="U179" s="45"/>
      <c r="V179" s="45"/>
      <c r="W179" s="45"/>
      <c r="X179" s="45"/>
      <c r="Y179" s="45"/>
      <c r="Z179" s="45"/>
      <c r="AA179" s="45"/>
      <c r="AB179" s="45"/>
      <c r="AC179" s="45"/>
      <c r="AD179" s="45"/>
      <c r="AE179" s="45"/>
      <c r="AF179" s="45"/>
      <c r="AG179" s="51" t="str">
        <f aca="false">IF(F179="","",F179&amp;"-"&amp;COUNTIF($F$10:F179,F179))</f>
        <v/>
      </c>
      <c r="AH179" s="51" t="str">
        <f aca="false">IF(F179="","",IF(F179="CM2","CM2-"&amp;COUNTIF($F$10:F179,"CM2"),"P-"&amp;COUNTIFS($F$10:F179,"&lt;&gt;CM2",$F$10:F179,"&lt;&gt;")))</f>
        <v/>
      </c>
      <c r="AI179" s="51" t="str">
        <f aca="false">IF(F179="","",IF(LEFT(F179,2)="CP","CP-"&amp;COUNTIF($F$10:F179,"CP*"),IF(F179="CE1","CE1-"&amp;COUNTIF($F$10:F179,"CE1"),IF(F179="CM2","CM2-"&amp;COUNTIF($F$10:F179,"CM2"),"CEM-"&amp;(COUNTIF($F$10:F179,"CE2")+COUNTIF($F$10:F179,"CM1"))))))</f>
        <v/>
      </c>
    </row>
    <row r="180" customFormat="false" ht="15" hidden="false" customHeight="false" outlineLevel="0" collapsed="false">
      <c r="A180" s="45" t="str">
        <f aca="false">IF(D180="","",ROW()-9)</f>
        <v/>
      </c>
      <c r="B180" s="45" t="str">
        <f aca="false">IF(F180="","",F180&amp;"-"&amp;TEXT(COUNTIF($F$10:F180,F180),"000")&amp;"-"&amp;RIGHT(LEFT(PARAMETRES!$C$9,4),2))</f>
        <v/>
      </c>
      <c r="C180" s="58"/>
      <c r="D180" s="45"/>
      <c r="E180" s="45"/>
      <c r="F180" s="45"/>
      <c r="G180" s="59"/>
      <c r="H180" s="45" t="str">
        <f aca="false">IF(G180="","",DATEDIF(G180,PARAMETRES!$C$13,"y"))</f>
        <v/>
      </c>
      <c r="I180" s="45"/>
      <c r="J180" s="45"/>
      <c r="K180" s="45"/>
      <c r="L180" s="45"/>
      <c r="M180" s="45"/>
      <c r="N180" s="59"/>
      <c r="O180" s="45"/>
      <c r="P180" s="45"/>
      <c r="Q180" s="45"/>
      <c r="R180" s="45"/>
      <c r="S180" s="45"/>
      <c r="T180" s="45"/>
      <c r="U180" s="45"/>
      <c r="V180" s="45"/>
      <c r="W180" s="45"/>
      <c r="X180" s="45"/>
      <c r="Y180" s="45"/>
      <c r="Z180" s="45"/>
      <c r="AA180" s="45"/>
      <c r="AB180" s="45"/>
      <c r="AC180" s="45"/>
      <c r="AD180" s="45"/>
      <c r="AE180" s="45"/>
      <c r="AF180" s="45"/>
      <c r="AG180" s="51" t="str">
        <f aca="false">IF(F180="","",F180&amp;"-"&amp;COUNTIF($F$10:F180,F180))</f>
        <v/>
      </c>
      <c r="AH180" s="51" t="str">
        <f aca="false">IF(F180="","",IF(F180="CM2","CM2-"&amp;COUNTIF($F$10:F180,"CM2"),"P-"&amp;COUNTIFS($F$10:F180,"&lt;&gt;CM2",$F$10:F180,"&lt;&gt;")))</f>
        <v/>
      </c>
      <c r="AI180" s="51" t="str">
        <f aca="false">IF(F180="","",IF(LEFT(F180,2)="CP","CP-"&amp;COUNTIF($F$10:F180,"CP*"),IF(F180="CE1","CE1-"&amp;COUNTIF($F$10:F180,"CE1"),IF(F180="CM2","CM2-"&amp;COUNTIF($F$10:F180,"CM2"),"CEM-"&amp;(COUNTIF($F$10:F180,"CE2")+COUNTIF($F$10:F180,"CM1"))))))</f>
        <v/>
      </c>
    </row>
    <row r="181" customFormat="false" ht="15" hidden="false" customHeight="false" outlineLevel="0" collapsed="false">
      <c r="A181" s="45" t="str">
        <f aca="false">IF(D181="","",ROW()-9)</f>
        <v/>
      </c>
      <c r="B181" s="45" t="str">
        <f aca="false">IF(F181="","",F181&amp;"-"&amp;TEXT(COUNTIF($F$10:F181,F181),"000")&amp;"-"&amp;RIGHT(LEFT(PARAMETRES!$C$9,4),2))</f>
        <v/>
      </c>
      <c r="C181" s="58"/>
      <c r="D181" s="45"/>
      <c r="E181" s="45"/>
      <c r="F181" s="45"/>
      <c r="G181" s="59"/>
      <c r="H181" s="45" t="str">
        <f aca="false">IF(G181="","",DATEDIF(G181,PARAMETRES!$C$13,"y"))</f>
        <v/>
      </c>
      <c r="I181" s="45"/>
      <c r="J181" s="45"/>
      <c r="K181" s="45"/>
      <c r="L181" s="45"/>
      <c r="M181" s="45"/>
      <c r="N181" s="59"/>
      <c r="O181" s="45"/>
      <c r="P181" s="45"/>
      <c r="Q181" s="45"/>
      <c r="R181" s="45"/>
      <c r="S181" s="45"/>
      <c r="T181" s="45"/>
      <c r="U181" s="45"/>
      <c r="V181" s="45"/>
      <c r="W181" s="45"/>
      <c r="X181" s="45"/>
      <c r="Y181" s="45"/>
      <c r="Z181" s="45"/>
      <c r="AA181" s="45"/>
      <c r="AB181" s="45"/>
      <c r="AC181" s="45"/>
      <c r="AD181" s="45"/>
      <c r="AE181" s="45"/>
      <c r="AF181" s="45"/>
      <c r="AG181" s="51" t="str">
        <f aca="false">IF(F181="","",F181&amp;"-"&amp;COUNTIF($F$10:F181,F181))</f>
        <v/>
      </c>
      <c r="AH181" s="51" t="str">
        <f aca="false">IF(F181="","",IF(F181="CM2","CM2-"&amp;COUNTIF($F$10:F181,"CM2"),"P-"&amp;COUNTIFS($F$10:F181,"&lt;&gt;CM2",$F$10:F181,"&lt;&gt;")))</f>
        <v/>
      </c>
      <c r="AI181" s="51" t="str">
        <f aca="false">IF(F181="","",IF(LEFT(F181,2)="CP","CP-"&amp;COUNTIF($F$10:F181,"CP*"),IF(F181="CE1","CE1-"&amp;COUNTIF($F$10:F181,"CE1"),IF(F181="CM2","CM2-"&amp;COUNTIF($F$10:F181,"CM2"),"CEM-"&amp;(COUNTIF($F$10:F181,"CE2")+COUNTIF($F$10:F181,"CM1"))))))</f>
        <v/>
      </c>
    </row>
    <row r="182" customFormat="false" ht="15" hidden="false" customHeight="false" outlineLevel="0" collapsed="false">
      <c r="A182" s="45" t="str">
        <f aca="false">IF(D182="","",ROW()-9)</f>
        <v/>
      </c>
      <c r="B182" s="45" t="str">
        <f aca="false">IF(F182="","",F182&amp;"-"&amp;TEXT(COUNTIF($F$10:F182,F182),"000")&amp;"-"&amp;RIGHT(LEFT(PARAMETRES!$C$9,4),2))</f>
        <v/>
      </c>
      <c r="C182" s="58"/>
      <c r="D182" s="45"/>
      <c r="E182" s="45"/>
      <c r="F182" s="45"/>
      <c r="G182" s="59"/>
      <c r="H182" s="45" t="str">
        <f aca="false">IF(G182="","",DATEDIF(G182,PARAMETRES!$C$13,"y"))</f>
        <v/>
      </c>
      <c r="I182" s="45"/>
      <c r="J182" s="45"/>
      <c r="K182" s="45"/>
      <c r="L182" s="45"/>
      <c r="M182" s="45"/>
      <c r="N182" s="59"/>
      <c r="O182" s="45"/>
      <c r="P182" s="45"/>
      <c r="Q182" s="45"/>
      <c r="R182" s="45"/>
      <c r="S182" s="45"/>
      <c r="T182" s="45"/>
      <c r="U182" s="45"/>
      <c r="V182" s="45"/>
      <c r="W182" s="45"/>
      <c r="X182" s="45"/>
      <c r="Y182" s="45"/>
      <c r="Z182" s="45"/>
      <c r="AA182" s="45"/>
      <c r="AB182" s="45"/>
      <c r="AC182" s="45"/>
      <c r="AD182" s="45"/>
      <c r="AE182" s="45"/>
      <c r="AF182" s="45"/>
      <c r="AG182" s="51" t="str">
        <f aca="false">IF(F182="","",F182&amp;"-"&amp;COUNTIF($F$10:F182,F182))</f>
        <v/>
      </c>
      <c r="AH182" s="51" t="str">
        <f aca="false">IF(F182="","",IF(F182="CM2","CM2-"&amp;COUNTIF($F$10:F182,"CM2"),"P-"&amp;COUNTIFS($F$10:F182,"&lt;&gt;CM2",$F$10:F182,"&lt;&gt;")))</f>
        <v/>
      </c>
      <c r="AI182" s="51" t="str">
        <f aca="false">IF(F182="","",IF(LEFT(F182,2)="CP","CP-"&amp;COUNTIF($F$10:F182,"CP*"),IF(F182="CE1","CE1-"&amp;COUNTIF($F$10:F182,"CE1"),IF(F182="CM2","CM2-"&amp;COUNTIF($F$10:F182,"CM2"),"CEM-"&amp;(COUNTIF($F$10:F182,"CE2")+COUNTIF($F$10:F182,"CM1"))))))</f>
        <v/>
      </c>
    </row>
    <row r="183" customFormat="false" ht="15" hidden="false" customHeight="false" outlineLevel="0" collapsed="false">
      <c r="A183" s="45" t="str">
        <f aca="false">IF(D183="","",ROW()-9)</f>
        <v/>
      </c>
      <c r="B183" s="45" t="str">
        <f aca="false">IF(F183="","",F183&amp;"-"&amp;TEXT(COUNTIF($F$10:F183,F183),"000")&amp;"-"&amp;RIGHT(LEFT(PARAMETRES!$C$9,4),2))</f>
        <v/>
      </c>
      <c r="C183" s="58"/>
      <c r="D183" s="45"/>
      <c r="E183" s="45"/>
      <c r="F183" s="45"/>
      <c r="G183" s="59"/>
      <c r="H183" s="45" t="str">
        <f aca="false">IF(G183="","",DATEDIF(G183,PARAMETRES!$C$13,"y"))</f>
        <v/>
      </c>
      <c r="I183" s="45"/>
      <c r="J183" s="45"/>
      <c r="K183" s="45"/>
      <c r="L183" s="45"/>
      <c r="M183" s="45"/>
      <c r="N183" s="59"/>
      <c r="O183" s="45"/>
      <c r="P183" s="45"/>
      <c r="Q183" s="45"/>
      <c r="R183" s="45"/>
      <c r="S183" s="45"/>
      <c r="T183" s="45"/>
      <c r="U183" s="45"/>
      <c r="V183" s="45"/>
      <c r="W183" s="45"/>
      <c r="X183" s="45"/>
      <c r="Y183" s="45"/>
      <c r="Z183" s="45"/>
      <c r="AA183" s="45"/>
      <c r="AB183" s="45"/>
      <c r="AC183" s="45"/>
      <c r="AD183" s="45"/>
      <c r="AE183" s="45"/>
      <c r="AF183" s="45"/>
      <c r="AG183" s="51" t="str">
        <f aca="false">IF(F183="","",F183&amp;"-"&amp;COUNTIF($F$10:F183,F183))</f>
        <v/>
      </c>
      <c r="AH183" s="51" t="str">
        <f aca="false">IF(F183="","",IF(F183="CM2","CM2-"&amp;COUNTIF($F$10:F183,"CM2"),"P-"&amp;COUNTIFS($F$10:F183,"&lt;&gt;CM2",$F$10:F183,"&lt;&gt;")))</f>
        <v/>
      </c>
      <c r="AI183" s="51" t="str">
        <f aca="false">IF(F183="","",IF(LEFT(F183,2)="CP","CP-"&amp;COUNTIF($F$10:F183,"CP*"),IF(F183="CE1","CE1-"&amp;COUNTIF($F$10:F183,"CE1"),IF(F183="CM2","CM2-"&amp;COUNTIF($F$10:F183,"CM2"),"CEM-"&amp;(COUNTIF($F$10:F183,"CE2")+COUNTIF($F$10:F183,"CM1"))))))</f>
        <v/>
      </c>
    </row>
    <row r="184" customFormat="false" ht="15" hidden="false" customHeight="false" outlineLevel="0" collapsed="false">
      <c r="A184" s="45" t="str">
        <f aca="false">IF(D184="","",ROW()-9)</f>
        <v/>
      </c>
      <c r="B184" s="45" t="str">
        <f aca="false">IF(F184="","",F184&amp;"-"&amp;TEXT(COUNTIF($F$10:F184,F184),"000")&amp;"-"&amp;RIGHT(LEFT(PARAMETRES!$C$9,4),2))</f>
        <v/>
      </c>
      <c r="C184" s="58"/>
      <c r="D184" s="45"/>
      <c r="E184" s="45"/>
      <c r="F184" s="45"/>
      <c r="G184" s="59"/>
      <c r="H184" s="45" t="str">
        <f aca="false">IF(G184="","",DATEDIF(G184,PARAMETRES!$C$13,"y"))</f>
        <v/>
      </c>
      <c r="I184" s="45"/>
      <c r="J184" s="45"/>
      <c r="K184" s="45"/>
      <c r="L184" s="45"/>
      <c r="M184" s="45"/>
      <c r="N184" s="59"/>
      <c r="O184" s="45"/>
      <c r="P184" s="45"/>
      <c r="Q184" s="45"/>
      <c r="R184" s="45"/>
      <c r="S184" s="45"/>
      <c r="T184" s="45"/>
      <c r="U184" s="45"/>
      <c r="V184" s="45"/>
      <c r="W184" s="45"/>
      <c r="X184" s="45"/>
      <c r="Y184" s="45"/>
      <c r="Z184" s="45"/>
      <c r="AA184" s="45"/>
      <c r="AB184" s="45"/>
      <c r="AC184" s="45"/>
      <c r="AD184" s="45"/>
      <c r="AE184" s="45"/>
      <c r="AF184" s="45"/>
      <c r="AG184" s="51" t="str">
        <f aca="false">IF(F184="","",F184&amp;"-"&amp;COUNTIF($F$10:F184,F184))</f>
        <v/>
      </c>
      <c r="AH184" s="51" t="str">
        <f aca="false">IF(F184="","",IF(F184="CM2","CM2-"&amp;COUNTIF($F$10:F184,"CM2"),"P-"&amp;COUNTIFS($F$10:F184,"&lt;&gt;CM2",$F$10:F184,"&lt;&gt;")))</f>
        <v/>
      </c>
      <c r="AI184" s="51" t="str">
        <f aca="false">IF(F184="","",IF(LEFT(F184,2)="CP","CP-"&amp;COUNTIF($F$10:F184,"CP*"),IF(F184="CE1","CE1-"&amp;COUNTIF($F$10:F184,"CE1"),IF(F184="CM2","CM2-"&amp;COUNTIF($F$10:F184,"CM2"),"CEM-"&amp;(COUNTIF($F$10:F184,"CE2")+COUNTIF($F$10:F184,"CM1"))))))</f>
        <v/>
      </c>
    </row>
    <row r="185" customFormat="false" ht="15" hidden="false" customHeight="false" outlineLevel="0" collapsed="false">
      <c r="A185" s="45" t="str">
        <f aca="false">IF(D185="","",ROW()-9)</f>
        <v/>
      </c>
      <c r="B185" s="45" t="str">
        <f aca="false">IF(F185="","",F185&amp;"-"&amp;TEXT(COUNTIF($F$10:F185,F185),"000")&amp;"-"&amp;RIGHT(LEFT(PARAMETRES!$C$9,4),2))</f>
        <v/>
      </c>
      <c r="C185" s="58"/>
      <c r="D185" s="45"/>
      <c r="E185" s="45"/>
      <c r="F185" s="45"/>
      <c r="G185" s="59"/>
      <c r="H185" s="45" t="str">
        <f aca="false">IF(G185="","",DATEDIF(G185,PARAMETRES!$C$13,"y"))</f>
        <v/>
      </c>
      <c r="I185" s="45"/>
      <c r="J185" s="45"/>
      <c r="K185" s="45"/>
      <c r="L185" s="45"/>
      <c r="M185" s="45"/>
      <c r="N185" s="59"/>
      <c r="O185" s="45"/>
      <c r="P185" s="45"/>
      <c r="Q185" s="45"/>
      <c r="R185" s="45"/>
      <c r="S185" s="45"/>
      <c r="T185" s="45"/>
      <c r="U185" s="45"/>
      <c r="V185" s="45"/>
      <c r="W185" s="45"/>
      <c r="X185" s="45"/>
      <c r="Y185" s="45"/>
      <c r="Z185" s="45"/>
      <c r="AA185" s="45"/>
      <c r="AB185" s="45"/>
      <c r="AC185" s="45"/>
      <c r="AD185" s="45"/>
      <c r="AE185" s="45"/>
      <c r="AF185" s="45"/>
      <c r="AG185" s="51" t="str">
        <f aca="false">IF(F185="","",F185&amp;"-"&amp;COUNTIF($F$10:F185,F185))</f>
        <v/>
      </c>
      <c r="AH185" s="51" t="str">
        <f aca="false">IF(F185="","",IF(F185="CM2","CM2-"&amp;COUNTIF($F$10:F185,"CM2"),"P-"&amp;COUNTIFS($F$10:F185,"&lt;&gt;CM2",$F$10:F185,"&lt;&gt;")))</f>
        <v/>
      </c>
      <c r="AI185" s="51" t="str">
        <f aca="false">IF(F185="","",IF(LEFT(F185,2)="CP","CP-"&amp;COUNTIF($F$10:F185,"CP*"),IF(F185="CE1","CE1-"&amp;COUNTIF($F$10:F185,"CE1"),IF(F185="CM2","CM2-"&amp;COUNTIF($F$10:F185,"CM2"),"CEM-"&amp;(COUNTIF($F$10:F185,"CE2")+COUNTIF($F$10:F185,"CM1"))))))</f>
        <v/>
      </c>
    </row>
    <row r="186" customFormat="false" ht="15" hidden="false" customHeight="false" outlineLevel="0" collapsed="false">
      <c r="A186" s="45" t="str">
        <f aca="false">IF(D186="","",ROW()-9)</f>
        <v/>
      </c>
      <c r="B186" s="45" t="str">
        <f aca="false">IF(F186="","",F186&amp;"-"&amp;TEXT(COUNTIF($F$10:F186,F186),"000")&amp;"-"&amp;RIGHT(LEFT(PARAMETRES!$C$9,4),2))</f>
        <v/>
      </c>
      <c r="C186" s="58"/>
      <c r="D186" s="45"/>
      <c r="E186" s="45"/>
      <c r="F186" s="45"/>
      <c r="G186" s="59"/>
      <c r="H186" s="45" t="str">
        <f aca="false">IF(G186="","",DATEDIF(G186,PARAMETRES!$C$13,"y"))</f>
        <v/>
      </c>
      <c r="I186" s="45"/>
      <c r="J186" s="45"/>
      <c r="K186" s="45"/>
      <c r="L186" s="45"/>
      <c r="M186" s="45"/>
      <c r="N186" s="59"/>
      <c r="O186" s="45"/>
      <c r="P186" s="45"/>
      <c r="Q186" s="45"/>
      <c r="R186" s="45"/>
      <c r="S186" s="45"/>
      <c r="T186" s="45"/>
      <c r="U186" s="45"/>
      <c r="V186" s="45"/>
      <c r="W186" s="45"/>
      <c r="X186" s="45"/>
      <c r="Y186" s="45"/>
      <c r="Z186" s="45"/>
      <c r="AA186" s="45"/>
      <c r="AB186" s="45"/>
      <c r="AC186" s="45"/>
      <c r="AD186" s="45"/>
      <c r="AE186" s="45"/>
      <c r="AF186" s="45"/>
      <c r="AG186" s="51" t="str">
        <f aca="false">IF(F186="","",F186&amp;"-"&amp;COUNTIF($F$10:F186,F186))</f>
        <v/>
      </c>
      <c r="AH186" s="51" t="str">
        <f aca="false">IF(F186="","",IF(F186="CM2","CM2-"&amp;COUNTIF($F$10:F186,"CM2"),"P-"&amp;COUNTIFS($F$10:F186,"&lt;&gt;CM2",$F$10:F186,"&lt;&gt;")))</f>
        <v/>
      </c>
      <c r="AI186" s="51" t="str">
        <f aca="false">IF(F186="","",IF(LEFT(F186,2)="CP","CP-"&amp;COUNTIF($F$10:F186,"CP*"),IF(F186="CE1","CE1-"&amp;COUNTIF($F$10:F186,"CE1"),IF(F186="CM2","CM2-"&amp;COUNTIF($F$10:F186,"CM2"),"CEM-"&amp;(COUNTIF($F$10:F186,"CE2")+COUNTIF($F$10:F186,"CM1"))))))</f>
        <v/>
      </c>
    </row>
    <row r="187" customFormat="false" ht="15" hidden="false" customHeight="false" outlineLevel="0" collapsed="false">
      <c r="A187" s="45" t="str">
        <f aca="false">IF(D187="","",ROW()-9)</f>
        <v/>
      </c>
      <c r="B187" s="45" t="str">
        <f aca="false">IF(F187="","",F187&amp;"-"&amp;TEXT(COUNTIF($F$10:F187,F187),"000")&amp;"-"&amp;RIGHT(LEFT(PARAMETRES!$C$9,4),2))</f>
        <v/>
      </c>
      <c r="C187" s="58"/>
      <c r="D187" s="45"/>
      <c r="E187" s="45"/>
      <c r="F187" s="45"/>
      <c r="G187" s="59"/>
      <c r="H187" s="45" t="str">
        <f aca="false">IF(G187="","",DATEDIF(G187,PARAMETRES!$C$13,"y"))</f>
        <v/>
      </c>
      <c r="I187" s="45"/>
      <c r="J187" s="45"/>
      <c r="K187" s="45"/>
      <c r="L187" s="45"/>
      <c r="M187" s="45"/>
      <c r="N187" s="59"/>
      <c r="O187" s="45"/>
      <c r="P187" s="45"/>
      <c r="Q187" s="45"/>
      <c r="R187" s="45"/>
      <c r="S187" s="45"/>
      <c r="T187" s="45"/>
      <c r="U187" s="45"/>
      <c r="V187" s="45"/>
      <c r="W187" s="45"/>
      <c r="X187" s="45"/>
      <c r="Y187" s="45"/>
      <c r="Z187" s="45"/>
      <c r="AA187" s="45"/>
      <c r="AB187" s="45"/>
      <c r="AC187" s="45"/>
      <c r="AD187" s="45"/>
      <c r="AE187" s="45"/>
      <c r="AF187" s="45"/>
      <c r="AG187" s="51" t="str">
        <f aca="false">IF(F187="","",F187&amp;"-"&amp;COUNTIF($F$10:F187,F187))</f>
        <v/>
      </c>
      <c r="AH187" s="51" t="str">
        <f aca="false">IF(F187="","",IF(F187="CM2","CM2-"&amp;COUNTIF($F$10:F187,"CM2"),"P-"&amp;COUNTIFS($F$10:F187,"&lt;&gt;CM2",$F$10:F187,"&lt;&gt;")))</f>
        <v/>
      </c>
      <c r="AI187" s="51" t="str">
        <f aca="false">IF(F187="","",IF(LEFT(F187,2)="CP","CP-"&amp;COUNTIF($F$10:F187,"CP*"),IF(F187="CE1","CE1-"&amp;COUNTIF($F$10:F187,"CE1"),IF(F187="CM2","CM2-"&amp;COUNTIF($F$10:F187,"CM2"),"CEM-"&amp;(COUNTIF($F$10:F187,"CE2")+COUNTIF($F$10:F187,"CM1"))))))</f>
        <v/>
      </c>
    </row>
    <row r="188" customFormat="false" ht="15" hidden="false" customHeight="false" outlineLevel="0" collapsed="false">
      <c r="A188" s="45" t="str">
        <f aca="false">IF(D188="","",ROW()-9)</f>
        <v/>
      </c>
      <c r="B188" s="45" t="str">
        <f aca="false">IF(F188="","",F188&amp;"-"&amp;TEXT(COUNTIF($F$10:F188,F188),"000")&amp;"-"&amp;RIGHT(LEFT(PARAMETRES!$C$9,4),2))</f>
        <v/>
      </c>
      <c r="C188" s="58"/>
      <c r="D188" s="45"/>
      <c r="E188" s="45"/>
      <c r="F188" s="45"/>
      <c r="G188" s="59"/>
      <c r="H188" s="45" t="str">
        <f aca="false">IF(G188="","",DATEDIF(G188,PARAMETRES!$C$13,"y"))</f>
        <v/>
      </c>
      <c r="I188" s="45"/>
      <c r="J188" s="45"/>
      <c r="K188" s="45"/>
      <c r="L188" s="45"/>
      <c r="M188" s="45"/>
      <c r="N188" s="59"/>
      <c r="O188" s="45"/>
      <c r="P188" s="45"/>
      <c r="Q188" s="45"/>
      <c r="R188" s="45"/>
      <c r="S188" s="45"/>
      <c r="T188" s="45"/>
      <c r="U188" s="45"/>
      <c r="V188" s="45"/>
      <c r="W188" s="45"/>
      <c r="X188" s="45"/>
      <c r="Y188" s="45"/>
      <c r="Z188" s="45"/>
      <c r="AA188" s="45"/>
      <c r="AB188" s="45"/>
      <c r="AC188" s="45"/>
      <c r="AD188" s="45"/>
      <c r="AE188" s="45"/>
      <c r="AF188" s="45"/>
      <c r="AG188" s="51" t="str">
        <f aca="false">IF(F188="","",F188&amp;"-"&amp;COUNTIF($F$10:F188,F188))</f>
        <v/>
      </c>
      <c r="AH188" s="51" t="str">
        <f aca="false">IF(F188="","",IF(F188="CM2","CM2-"&amp;COUNTIF($F$10:F188,"CM2"),"P-"&amp;COUNTIFS($F$10:F188,"&lt;&gt;CM2",$F$10:F188,"&lt;&gt;")))</f>
        <v/>
      </c>
      <c r="AI188" s="51" t="str">
        <f aca="false">IF(F188="","",IF(LEFT(F188,2)="CP","CP-"&amp;COUNTIF($F$10:F188,"CP*"),IF(F188="CE1","CE1-"&amp;COUNTIF($F$10:F188,"CE1"),IF(F188="CM2","CM2-"&amp;COUNTIF($F$10:F188,"CM2"),"CEM-"&amp;(COUNTIF($F$10:F188,"CE2")+COUNTIF($F$10:F188,"CM1"))))))</f>
        <v/>
      </c>
    </row>
    <row r="189" customFormat="false" ht="15" hidden="false" customHeight="false" outlineLevel="0" collapsed="false">
      <c r="A189" s="45" t="str">
        <f aca="false">IF(D189="","",ROW()-9)</f>
        <v/>
      </c>
      <c r="B189" s="45" t="str">
        <f aca="false">IF(F189="","",F189&amp;"-"&amp;TEXT(COUNTIF($F$10:F189,F189),"000")&amp;"-"&amp;RIGHT(LEFT(PARAMETRES!$C$9,4),2))</f>
        <v/>
      </c>
      <c r="C189" s="58"/>
      <c r="D189" s="45"/>
      <c r="E189" s="45"/>
      <c r="F189" s="45"/>
      <c r="G189" s="59"/>
      <c r="H189" s="45" t="str">
        <f aca="false">IF(G189="","",DATEDIF(G189,PARAMETRES!$C$13,"y"))</f>
        <v/>
      </c>
      <c r="I189" s="45"/>
      <c r="J189" s="45"/>
      <c r="K189" s="45"/>
      <c r="L189" s="45"/>
      <c r="M189" s="45"/>
      <c r="N189" s="59"/>
      <c r="O189" s="45"/>
      <c r="P189" s="45"/>
      <c r="Q189" s="45"/>
      <c r="R189" s="45"/>
      <c r="S189" s="45"/>
      <c r="T189" s="45"/>
      <c r="U189" s="45"/>
      <c r="V189" s="45"/>
      <c r="W189" s="45"/>
      <c r="X189" s="45"/>
      <c r="Y189" s="45"/>
      <c r="Z189" s="45"/>
      <c r="AA189" s="45"/>
      <c r="AB189" s="45"/>
      <c r="AC189" s="45"/>
      <c r="AD189" s="45"/>
      <c r="AE189" s="45"/>
      <c r="AF189" s="45"/>
      <c r="AG189" s="51" t="str">
        <f aca="false">IF(F189="","",F189&amp;"-"&amp;COUNTIF($F$10:F189,F189))</f>
        <v/>
      </c>
      <c r="AH189" s="51" t="str">
        <f aca="false">IF(F189="","",IF(F189="CM2","CM2-"&amp;COUNTIF($F$10:F189,"CM2"),"P-"&amp;COUNTIFS($F$10:F189,"&lt;&gt;CM2",$F$10:F189,"&lt;&gt;")))</f>
        <v/>
      </c>
      <c r="AI189" s="51" t="str">
        <f aca="false">IF(F189="","",IF(LEFT(F189,2)="CP","CP-"&amp;COUNTIF($F$10:F189,"CP*"),IF(F189="CE1","CE1-"&amp;COUNTIF($F$10:F189,"CE1"),IF(F189="CM2","CM2-"&amp;COUNTIF($F$10:F189,"CM2"),"CEM-"&amp;(COUNTIF($F$10:F189,"CE2")+COUNTIF($F$10:F189,"CM1"))))))</f>
        <v/>
      </c>
    </row>
    <row r="190" customFormat="false" ht="15" hidden="false" customHeight="false" outlineLevel="0" collapsed="false">
      <c r="A190" s="45" t="str">
        <f aca="false">IF(D190="","",ROW()-9)</f>
        <v/>
      </c>
      <c r="B190" s="45" t="str">
        <f aca="false">IF(F190="","",F190&amp;"-"&amp;TEXT(COUNTIF($F$10:F190,F190),"000")&amp;"-"&amp;RIGHT(LEFT(PARAMETRES!$C$9,4),2))</f>
        <v/>
      </c>
      <c r="C190" s="58"/>
      <c r="D190" s="45"/>
      <c r="E190" s="45"/>
      <c r="F190" s="45"/>
      <c r="G190" s="59"/>
      <c r="H190" s="45" t="str">
        <f aca="false">IF(G190="","",DATEDIF(G190,PARAMETRES!$C$13,"y"))</f>
        <v/>
      </c>
      <c r="I190" s="45"/>
      <c r="J190" s="45"/>
      <c r="K190" s="45"/>
      <c r="L190" s="45"/>
      <c r="M190" s="45"/>
      <c r="N190" s="59"/>
      <c r="O190" s="45"/>
      <c r="P190" s="45"/>
      <c r="Q190" s="45"/>
      <c r="R190" s="45"/>
      <c r="S190" s="45"/>
      <c r="T190" s="45"/>
      <c r="U190" s="45"/>
      <c r="V190" s="45"/>
      <c r="W190" s="45"/>
      <c r="X190" s="45"/>
      <c r="Y190" s="45"/>
      <c r="Z190" s="45"/>
      <c r="AA190" s="45"/>
      <c r="AB190" s="45"/>
      <c r="AC190" s="45"/>
      <c r="AD190" s="45"/>
      <c r="AE190" s="45"/>
      <c r="AF190" s="45"/>
      <c r="AG190" s="51" t="str">
        <f aca="false">IF(F190="","",F190&amp;"-"&amp;COUNTIF($F$10:F190,F190))</f>
        <v/>
      </c>
      <c r="AH190" s="51" t="str">
        <f aca="false">IF(F190="","",IF(F190="CM2","CM2-"&amp;COUNTIF($F$10:F190,"CM2"),"P-"&amp;COUNTIFS($F$10:F190,"&lt;&gt;CM2",$F$10:F190,"&lt;&gt;")))</f>
        <v/>
      </c>
      <c r="AI190" s="51" t="str">
        <f aca="false">IF(F190="","",IF(LEFT(F190,2)="CP","CP-"&amp;COUNTIF($F$10:F190,"CP*"),IF(F190="CE1","CE1-"&amp;COUNTIF($F$10:F190,"CE1"),IF(F190="CM2","CM2-"&amp;COUNTIF($F$10:F190,"CM2"),"CEM-"&amp;(COUNTIF($F$10:F190,"CE2")+COUNTIF($F$10:F190,"CM1"))))))</f>
        <v/>
      </c>
    </row>
    <row r="191" customFormat="false" ht="15" hidden="false" customHeight="false" outlineLevel="0" collapsed="false">
      <c r="A191" s="45" t="str">
        <f aca="false">IF(D191="","",ROW()-9)</f>
        <v/>
      </c>
      <c r="B191" s="45" t="str">
        <f aca="false">IF(F191="","",F191&amp;"-"&amp;TEXT(COUNTIF($F$10:F191,F191),"000")&amp;"-"&amp;RIGHT(LEFT(PARAMETRES!$C$9,4),2))</f>
        <v/>
      </c>
      <c r="C191" s="58"/>
      <c r="D191" s="45"/>
      <c r="E191" s="45"/>
      <c r="F191" s="45"/>
      <c r="G191" s="59"/>
      <c r="H191" s="45" t="str">
        <f aca="false">IF(G191="","",DATEDIF(G191,PARAMETRES!$C$13,"y"))</f>
        <v/>
      </c>
      <c r="I191" s="45"/>
      <c r="J191" s="45"/>
      <c r="K191" s="45"/>
      <c r="L191" s="45"/>
      <c r="M191" s="45"/>
      <c r="N191" s="59"/>
      <c r="O191" s="45"/>
      <c r="P191" s="45"/>
      <c r="Q191" s="45"/>
      <c r="R191" s="45"/>
      <c r="S191" s="45"/>
      <c r="T191" s="45"/>
      <c r="U191" s="45"/>
      <c r="V191" s="45"/>
      <c r="W191" s="45"/>
      <c r="X191" s="45"/>
      <c r="Y191" s="45"/>
      <c r="Z191" s="45"/>
      <c r="AA191" s="45"/>
      <c r="AB191" s="45"/>
      <c r="AC191" s="45"/>
      <c r="AD191" s="45"/>
      <c r="AE191" s="45"/>
      <c r="AF191" s="45"/>
      <c r="AG191" s="51" t="str">
        <f aca="false">IF(F191="","",F191&amp;"-"&amp;COUNTIF($F$10:F191,F191))</f>
        <v/>
      </c>
      <c r="AH191" s="51" t="str">
        <f aca="false">IF(F191="","",IF(F191="CM2","CM2-"&amp;COUNTIF($F$10:F191,"CM2"),"P-"&amp;COUNTIFS($F$10:F191,"&lt;&gt;CM2",$F$10:F191,"&lt;&gt;")))</f>
        <v/>
      </c>
      <c r="AI191" s="51" t="str">
        <f aca="false">IF(F191="","",IF(LEFT(F191,2)="CP","CP-"&amp;COUNTIF($F$10:F191,"CP*"),IF(F191="CE1","CE1-"&amp;COUNTIF($F$10:F191,"CE1"),IF(F191="CM2","CM2-"&amp;COUNTIF($F$10:F191,"CM2"),"CEM-"&amp;(COUNTIF($F$10:F191,"CE2")+COUNTIF($F$10:F191,"CM1"))))))</f>
        <v/>
      </c>
    </row>
    <row r="192" customFormat="false" ht="15" hidden="false" customHeight="false" outlineLevel="0" collapsed="false">
      <c r="A192" s="45" t="str">
        <f aca="false">IF(D192="","",ROW()-9)</f>
        <v/>
      </c>
      <c r="B192" s="45" t="str">
        <f aca="false">IF(F192="","",F192&amp;"-"&amp;TEXT(COUNTIF($F$10:F192,F192),"000")&amp;"-"&amp;RIGHT(LEFT(PARAMETRES!$C$9,4),2))</f>
        <v/>
      </c>
      <c r="C192" s="58"/>
      <c r="D192" s="45"/>
      <c r="E192" s="45"/>
      <c r="F192" s="45"/>
      <c r="G192" s="59"/>
      <c r="H192" s="45" t="str">
        <f aca="false">IF(G192="","",DATEDIF(G192,PARAMETRES!$C$13,"y"))</f>
        <v/>
      </c>
      <c r="I192" s="45"/>
      <c r="J192" s="45"/>
      <c r="K192" s="45"/>
      <c r="L192" s="45"/>
      <c r="M192" s="45"/>
      <c r="N192" s="59"/>
      <c r="O192" s="45"/>
      <c r="P192" s="45"/>
      <c r="Q192" s="45"/>
      <c r="R192" s="45"/>
      <c r="S192" s="45"/>
      <c r="T192" s="45"/>
      <c r="U192" s="45"/>
      <c r="V192" s="45"/>
      <c r="W192" s="45"/>
      <c r="X192" s="45"/>
      <c r="Y192" s="45"/>
      <c r="Z192" s="45"/>
      <c r="AA192" s="45"/>
      <c r="AB192" s="45"/>
      <c r="AC192" s="45"/>
      <c r="AD192" s="45"/>
      <c r="AE192" s="45"/>
      <c r="AF192" s="45"/>
      <c r="AG192" s="51" t="str">
        <f aca="false">IF(F192="","",F192&amp;"-"&amp;COUNTIF($F$10:F192,F192))</f>
        <v/>
      </c>
      <c r="AH192" s="51" t="str">
        <f aca="false">IF(F192="","",IF(F192="CM2","CM2-"&amp;COUNTIF($F$10:F192,"CM2"),"P-"&amp;COUNTIFS($F$10:F192,"&lt;&gt;CM2",$F$10:F192,"&lt;&gt;")))</f>
        <v/>
      </c>
      <c r="AI192" s="51" t="str">
        <f aca="false">IF(F192="","",IF(LEFT(F192,2)="CP","CP-"&amp;COUNTIF($F$10:F192,"CP*"),IF(F192="CE1","CE1-"&amp;COUNTIF($F$10:F192,"CE1"),IF(F192="CM2","CM2-"&amp;COUNTIF($F$10:F192,"CM2"),"CEM-"&amp;(COUNTIF($F$10:F192,"CE2")+COUNTIF($F$10:F192,"CM1"))))))</f>
        <v/>
      </c>
    </row>
    <row r="193" customFormat="false" ht="15" hidden="false" customHeight="false" outlineLevel="0" collapsed="false">
      <c r="A193" s="45" t="str">
        <f aca="false">IF(D193="","",ROW()-9)</f>
        <v/>
      </c>
      <c r="B193" s="45" t="str">
        <f aca="false">IF(F193="","",F193&amp;"-"&amp;TEXT(COUNTIF($F$10:F193,F193),"000")&amp;"-"&amp;RIGHT(LEFT(PARAMETRES!$C$9,4),2))</f>
        <v/>
      </c>
      <c r="C193" s="58"/>
      <c r="D193" s="45"/>
      <c r="E193" s="45"/>
      <c r="F193" s="45"/>
      <c r="G193" s="59"/>
      <c r="H193" s="45" t="str">
        <f aca="false">IF(G193="","",DATEDIF(G193,PARAMETRES!$C$13,"y"))</f>
        <v/>
      </c>
      <c r="I193" s="45"/>
      <c r="J193" s="45"/>
      <c r="K193" s="45"/>
      <c r="L193" s="45"/>
      <c r="M193" s="45"/>
      <c r="N193" s="59"/>
      <c r="O193" s="45"/>
      <c r="P193" s="45"/>
      <c r="Q193" s="45"/>
      <c r="R193" s="45"/>
      <c r="S193" s="45"/>
      <c r="T193" s="45"/>
      <c r="U193" s="45"/>
      <c r="V193" s="45"/>
      <c r="W193" s="45"/>
      <c r="X193" s="45"/>
      <c r="Y193" s="45"/>
      <c r="Z193" s="45"/>
      <c r="AA193" s="45"/>
      <c r="AB193" s="45"/>
      <c r="AC193" s="45"/>
      <c r="AD193" s="45"/>
      <c r="AE193" s="45"/>
      <c r="AF193" s="45"/>
      <c r="AG193" s="51" t="str">
        <f aca="false">IF(F193="","",F193&amp;"-"&amp;COUNTIF($F$10:F193,F193))</f>
        <v/>
      </c>
      <c r="AH193" s="51" t="str">
        <f aca="false">IF(F193="","",IF(F193="CM2","CM2-"&amp;COUNTIF($F$10:F193,"CM2"),"P-"&amp;COUNTIFS($F$10:F193,"&lt;&gt;CM2",$F$10:F193,"&lt;&gt;")))</f>
        <v/>
      </c>
      <c r="AI193" s="51" t="str">
        <f aca="false">IF(F193="","",IF(LEFT(F193,2)="CP","CP-"&amp;COUNTIF($F$10:F193,"CP*"),IF(F193="CE1","CE1-"&amp;COUNTIF($F$10:F193,"CE1"),IF(F193="CM2","CM2-"&amp;COUNTIF($F$10:F193,"CM2"),"CEM-"&amp;(COUNTIF($F$10:F193,"CE2")+COUNTIF($F$10:F193,"CM1"))))))</f>
        <v/>
      </c>
    </row>
    <row r="194" customFormat="false" ht="15" hidden="false" customHeight="false" outlineLevel="0" collapsed="false">
      <c r="A194" s="45" t="str">
        <f aca="false">IF(D194="","",ROW()-9)</f>
        <v/>
      </c>
      <c r="B194" s="45" t="str">
        <f aca="false">IF(F194="","",F194&amp;"-"&amp;TEXT(COUNTIF($F$10:F194,F194),"000")&amp;"-"&amp;RIGHT(LEFT(PARAMETRES!$C$9,4),2))</f>
        <v/>
      </c>
      <c r="C194" s="58"/>
      <c r="D194" s="45"/>
      <c r="E194" s="45"/>
      <c r="F194" s="45"/>
      <c r="G194" s="59"/>
      <c r="H194" s="45" t="str">
        <f aca="false">IF(G194="","",DATEDIF(G194,PARAMETRES!$C$13,"y"))</f>
        <v/>
      </c>
      <c r="I194" s="45"/>
      <c r="J194" s="45"/>
      <c r="K194" s="45"/>
      <c r="L194" s="45"/>
      <c r="M194" s="45"/>
      <c r="N194" s="59"/>
      <c r="O194" s="45"/>
      <c r="P194" s="45"/>
      <c r="Q194" s="45"/>
      <c r="R194" s="45"/>
      <c r="S194" s="45"/>
      <c r="T194" s="45"/>
      <c r="U194" s="45"/>
      <c r="V194" s="45"/>
      <c r="W194" s="45"/>
      <c r="X194" s="45"/>
      <c r="Y194" s="45"/>
      <c r="Z194" s="45"/>
      <c r="AA194" s="45"/>
      <c r="AB194" s="45"/>
      <c r="AC194" s="45"/>
      <c r="AD194" s="45"/>
      <c r="AE194" s="45"/>
      <c r="AF194" s="45"/>
      <c r="AG194" s="51" t="str">
        <f aca="false">IF(F194="","",F194&amp;"-"&amp;COUNTIF($F$10:F194,F194))</f>
        <v/>
      </c>
      <c r="AH194" s="51" t="str">
        <f aca="false">IF(F194="","",IF(F194="CM2","CM2-"&amp;COUNTIF($F$10:F194,"CM2"),"P-"&amp;COUNTIFS($F$10:F194,"&lt;&gt;CM2",$F$10:F194,"&lt;&gt;")))</f>
        <v/>
      </c>
      <c r="AI194" s="51" t="str">
        <f aca="false">IF(F194="","",IF(LEFT(F194,2)="CP","CP-"&amp;COUNTIF($F$10:F194,"CP*"),IF(F194="CE1","CE1-"&amp;COUNTIF($F$10:F194,"CE1"),IF(F194="CM2","CM2-"&amp;COUNTIF($F$10:F194,"CM2"),"CEM-"&amp;(COUNTIF($F$10:F194,"CE2")+COUNTIF($F$10:F194,"CM1"))))))</f>
        <v/>
      </c>
    </row>
    <row r="195" customFormat="false" ht="15" hidden="false" customHeight="false" outlineLevel="0" collapsed="false">
      <c r="A195" s="45" t="str">
        <f aca="false">IF(D195="","",ROW()-9)</f>
        <v/>
      </c>
      <c r="B195" s="45" t="str">
        <f aca="false">IF(F195="","",F195&amp;"-"&amp;TEXT(COUNTIF($F$10:F195,F195),"000")&amp;"-"&amp;RIGHT(LEFT(PARAMETRES!$C$9,4),2))</f>
        <v/>
      </c>
      <c r="C195" s="58"/>
      <c r="D195" s="45"/>
      <c r="E195" s="45"/>
      <c r="F195" s="45"/>
      <c r="G195" s="59"/>
      <c r="H195" s="45" t="str">
        <f aca="false">IF(G195="","",DATEDIF(G195,PARAMETRES!$C$13,"y"))</f>
        <v/>
      </c>
      <c r="I195" s="45"/>
      <c r="J195" s="45"/>
      <c r="K195" s="45"/>
      <c r="L195" s="45"/>
      <c r="M195" s="45"/>
      <c r="N195" s="59"/>
      <c r="O195" s="45"/>
      <c r="P195" s="45"/>
      <c r="Q195" s="45"/>
      <c r="R195" s="45"/>
      <c r="S195" s="45"/>
      <c r="T195" s="45"/>
      <c r="U195" s="45"/>
      <c r="V195" s="45"/>
      <c r="W195" s="45"/>
      <c r="X195" s="45"/>
      <c r="Y195" s="45"/>
      <c r="Z195" s="45"/>
      <c r="AA195" s="45"/>
      <c r="AB195" s="45"/>
      <c r="AC195" s="45"/>
      <c r="AD195" s="45"/>
      <c r="AE195" s="45"/>
      <c r="AF195" s="45"/>
      <c r="AG195" s="51" t="str">
        <f aca="false">IF(F195="","",F195&amp;"-"&amp;COUNTIF($F$10:F195,F195))</f>
        <v/>
      </c>
      <c r="AH195" s="51" t="str">
        <f aca="false">IF(F195="","",IF(F195="CM2","CM2-"&amp;COUNTIF($F$10:F195,"CM2"),"P-"&amp;COUNTIFS($F$10:F195,"&lt;&gt;CM2",$F$10:F195,"&lt;&gt;")))</f>
        <v/>
      </c>
      <c r="AI195" s="51" t="str">
        <f aca="false">IF(F195="","",IF(LEFT(F195,2)="CP","CP-"&amp;COUNTIF($F$10:F195,"CP*"),IF(F195="CE1","CE1-"&amp;COUNTIF($F$10:F195,"CE1"),IF(F195="CM2","CM2-"&amp;COUNTIF($F$10:F195,"CM2"),"CEM-"&amp;(COUNTIF($F$10:F195,"CE2")+COUNTIF($F$10:F195,"CM1"))))))</f>
        <v/>
      </c>
    </row>
    <row r="196" customFormat="false" ht="15" hidden="false" customHeight="false" outlineLevel="0" collapsed="false">
      <c r="A196" s="45" t="str">
        <f aca="false">IF(D196="","",ROW()-9)</f>
        <v/>
      </c>
      <c r="B196" s="45" t="str">
        <f aca="false">IF(F196="","",F196&amp;"-"&amp;TEXT(COUNTIF($F$10:F196,F196),"000")&amp;"-"&amp;RIGHT(LEFT(PARAMETRES!$C$9,4),2))</f>
        <v/>
      </c>
      <c r="C196" s="58"/>
      <c r="D196" s="45"/>
      <c r="E196" s="45"/>
      <c r="F196" s="45"/>
      <c r="G196" s="59"/>
      <c r="H196" s="45" t="str">
        <f aca="false">IF(G196="","",DATEDIF(G196,PARAMETRES!$C$13,"y"))</f>
        <v/>
      </c>
      <c r="I196" s="45"/>
      <c r="J196" s="45"/>
      <c r="K196" s="45"/>
      <c r="L196" s="45"/>
      <c r="M196" s="45"/>
      <c r="N196" s="59"/>
      <c r="O196" s="45"/>
      <c r="P196" s="45"/>
      <c r="Q196" s="45"/>
      <c r="R196" s="45"/>
      <c r="S196" s="45"/>
      <c r="T196" s="45"/>
      <c r="U196" s="45"/>
      <c r="V196" s="45"/>
      <c r="W196" s="45"/>
      <c r="X196" s="45"/>
      <c r="Y196" s="45"/>
      <c r="Z196" s="45"/>
      <c r="AA196" s="45"/>
      <c r="AB196" s="45"/>
      <c r="AC196" s="45"/>
      <c r="AD196" s="45"/>
      <c r="AE196" s="45"/>
      <c r="AF196" s="45"/>
      <c r="AG196" s="51" t="str">
        <f aca="false">IF(F196="","",F196&amp;"-"&amp;COUNTIF($F$10:F196,F196))</f>
        <v/>
      </c>
      <c r="AH196" s="51" t="str">
        <f aca="false">IF(F196="","",IF(F196="CM2","CM2-"&amp;COUNTIF($F$10:F196,"CM2"),"P-"&amp;COUNTIFS($F$10:F196,"&lt;&gt;CM2",$F$10:F196,"&lt;&gt;")))</f>
        <v/>
      </c>
      <c r="AI196" s="51" t="str">
        <f aca="false">IF(F196="","",IF(LEFT(F196,2)="CP","CP-"&amp;COUNTIF($F$10:F196,"CP*"),IF(F196="CE1","CE1-"&amp;COUNTIF($F$10:F196,"CE1"),IF(F196="CM2","CM2-"&amp;COUNTIF($F$10:F196,"CM2"),"CEM-"&amp;(COUNTIF($F$10:F196,"CE2")+COUNTIF($F$10:F196,"CM1"))))))</f>
        <v/>
      </c>
    </row>
    <row r="197" customFormat="false" ht="15" hidden="false" customHeight="false" outlineLevel="0" collapsed="false">
      <c r="A197" s="45" t="str">
        <f aca="false">IF(D197="","",ROW()-9)</f>
        <v/>
      </c>
      <c r="B197" s="45" t="str">
        <f aca="false">IF(F197="","",F197&amp;"-"&amp;TEXT(COUNTIF($F$10:F197,F197),"000")&amp;"-"&amp;RIGHT(LEFT(PARAMETRES!$C$9,4),2))</f>
        <v/>
      </c>
      <c r="C197" s="58"/>
      <c r="D197" s="45"/>
      <c r="E197" s="45"/>
      <c r="F197" s="45"/>
      <c r="G197" s="59"/>
      <c r="H197" s="45" t="str">
        <f aca="false">IF(G197="","",DATEDIF(G197,PARAMETRES!$C$13,"y"))</f>
        <v/>
      </c>
      <c r="I197" s="45"/>
      <c r="J197" s="45"/>
      <c r="K197" s="45"/>
      <c r="L197" s="45"/>
      <c r="M197" s="45"/>
      <c r="N197" s="59"/>
      <c r="O197" s="45"/>
      <c r="P197" s="45"/>
      <c r="Q197" s="45"/>
      <c r="R197" s="45"/>
      <c r="S197" s="45"/>
      <c r="T197" s="45"/>
      <c r="U197" s="45"/>
      <c r="V197" s="45"/>
      <c r="W197" s="45"/>
      <c r="X197" s="45"/>
      <c r="Y197" s="45"/>
      <c r="Z197" s="45"/>
      <c r="AA197" s="45"/>
      <c r="AB197" s="45"/>
      <c r="AC197" s="45"/>
      <c r="AD197" s="45"/>
      <c r="AE197" s="45"/>
      <c r="AF197" s="45"/>
      <c r="AG197" s="51" t="str">
        <f aca="false">IF(F197="","",F197&amp;"-"&amp;COUNTIF($F$10:F197,F197))</f>
        <v/>
      </c>
      <c r="AH197" s="51" t="str">
        <f aca="false">IF(F197="","",IF(F197="CM2","CM2-"&amp;COUNTIF($F$10:F197,"CM2"),"P-"&amp;COUNTIFS($F$10:F197,"&lt;&gt;CM2",$F$10:F197,"&lt;&gt;")))</f>
        <v/>
      </c>
      <c r="AI197" s="51" t="str">
        <f aca="false">IF(F197="","",IF(LEFT(F197,2)="CP","CP-"&amp;COUNTIF($F$10:F197,"CP*"),IF(F197="CE1","CE1-"&amp;COUNTIF($F$10:F197,"CE1"),IF(F197="CM2","CM2-"&amp;COUNTIF($F$10:F197,"CM2"),"CEM-"&amp;(COUNTIF($F$10:F197,"CE2")+COUNTIF($F$10:F197,"CM1"))))))</f>
        <v/>
      </c>
    </row>
    <row r="198" customFormat="false" ht="15" hidden="false" customHeight="false" outlineLevel="0" collapsed="false">
      <c r="A198" s="45" t="str">
        <f aca="false">IF(D198="","",ROW()-9)</f>
        <v/>
      </c>
      <c r="B198" s="45" t="str">
        <f aca="false">IF(F198="","",F198&amp;"-"&amp;TEXT(COUNTIF($F$10:F198,F198),"000")&amp;"-"&amp;RIGHT(LEFT(PARAMETRES!$C$9,4),2))</f>
        <v/>
      </c>
      <c r="C198" s="58"/>
      <c r="D198" s="45"/>
      <c r="E198" s="45"/>
      <c r="F198" s="45"/>
      <c r="G198" s="59"/>
      <c r="H198" s="45" t="str">
        <f aca="false">IF(G198="","",DATEDIF(G198,PARAMETRES!$C$13,"y"))</f>
        <v/>
      </c>
      <c r="I198" s="45"/>
      <c r="J198" s="45"/>
      <c r="K198" s="45"/>
      <c r="L198" s="45"/>
      <c r="M198" s="45"/>
      <c r="N198" s="59"/>
      <c r="O198" s="45"/>
      <c r="P198" s="45"/>
      <c r="Q198" s="45"/>
      <c r="R198" s="45"/>
      <c r="S198" s="45"/>
      <c r="T198" s="45"/>
      <c r="U198" s="45"/>
      <c r="V198" s="45"/>
      <c r="W198" s="45"/>
      <c r="X198" s="45"/>
      <c r="Y198" s="45"/>
      <c r="Z198" s="45"/>
      <c r="AA198" s="45"/>
      <c r="AB198" s="45"/>
      <c r="AC198" s="45"/>
      <c r="AD198" s="45"/>
      <c r="AE198" s="45"/>
      <c r="AF198" s="45"/>
      <c r="AG198" s="51" t="str">
        <f aca="false">IF(F198="","",F198&amp;"-"&amp;COUNTIF($F$10:F198,F198))</f>
        <v/>
      </c>
      <c r="AH198" s="51" t="str">
        <f aca="false">IF(F198="","",IF(F198="CM2","CM2-"&amp;COUNTIF($F$10:F198,"CM2"),"P-"&amp;COUNTIFS($F$10:F198,"&lt;&gt;CM2",$F$10:F198,"&lt;&gt;")))</f>
        <v/>
      </c>
      <c r="AI198" s="51" t="str">
        <f aca="false">IF(F198="","",IF(LEFT(F198,2)="CP","CP-"&amp;COUNTIF($F$10:F198,"CP*"),IF(F198="CE1","CE1-"&amp;COUNTIF($F$10:F198,"CE1"),IF(F198="CM2","CM2-"&amp;COUNTIF($F$10:F198,"CM2"),"CEM-"&amp;(COUNTIF($F$10:F198,"CE2")+COUNTIF($F$10:F198,"CM1"))))))</f>
        <v/>
      </c>
    </row>
    <row r="199" customFormat="false" ht="15" hidden="false" customHeight="false" outlineLevel="0" collapsed="false">
      <c r="A199" s="45" t="str">
        <f aca="false">IF(D199="","",ROW()-9)</f>
        <v/>
      </c>
      <c r="B199" s="45" t="str">
        <f aca="false">IF(F199="","",F199&amp;"-"&amp;TEXT(COUNTIF($F$10:F199,F199),"000")&amp;"-"&amp;RIGHT(LEFT(PARAMETRES!$C$9,4),2))</f>
        <v/>
      </c>
      <c r="C199" s="58"/>
      <c r="D199" s="45"/>
      <c r="E199" s="45"/>
      <c r="F199" s="45"/>
      <c r="G199" s="59"/>
      <c r="H199" s="45" t="str">
        <f aca="false">IF(G199="","",DATEDIF(G199,PARAMETRES!$C$13,"y"))</f>
        <v/>
      </c>
      <c r="I199" s="45"/>
      <c r="J199" s="45"/>
      <c r="K199" s="45"/>
      <c r="L199" s="45"/>
      <c r="M199" s="45"/>
      <c r="N199" s="59"/>
      <c r="O199" s="45"/>
      <c r="P199" s="45"/>
      <c r="Q199" s="45"/>
      <c r="R199" s="45"/>
      <c r="S199" s="45"/>
      <c r="T199" s="45"/>
      <c r="U199" s="45"/>
      <c r="V199" s="45"/>
      <c r="W199" s="45"/>
      <c r="X199" s="45"/>
      <c r="Y199" s="45"/>
      <c r="Z199" s="45"/>
      <c r="AA199" s="45"/>
      <c r="AB199" s="45"/>
      <c r="AC199" s="45"/>
      <c r="AD199" s="45"/>
      <c r="AE199" s="45"/>
      <c r="AF199" s="45"/>
      <c r="AG199" s="51" t="str">
        <f aca="false">IF(F199="","",F199&amp;"-"&amp;COUNTIF($F$10:F199,F199))</f>
        <v/>
      </c>
      <c r="AH199" s="51" t="str">
        <f aca="false">IF(F199="","",IF(F199="CM2","CM2-"&amp;COUNTIF($F$10:F199,"CM2"),"P-"&amp;COUNTIFS($F$10:F199,"&lt;&gt;CM2",$F$10:F199,"&lt;&gt;")))</f>
        <v/>
      </c>
      <c r="AI199" s="51" t="str">
        <f aca="false">IF(F199="","",IF(LEFT(F199,2)="CP","CP-"&amp;COUNTIF($F$10:F199,"CP*"),IF(F199="CE1","CE1-"&amp;COUNTIF($F$10:F199,"CE1"),IF(F199="CM2","CM2-"&amp;COUNTIF($F$10:F199,"CM2"),"CEM-"&amp;(COUNTIF($F$10:F199,"CE2")+COUNTIF($F$10:F199,"CM1"))))))</f>
        <v/>
      </c>
    </row>
    <row r="200" customFormat="false" ht="15" hidden="false" customHeight="false" outlineLevel="0" collapsed="false">
      <c r="A200" s="45" t="str">
        <f aca="false">IF(D200="","",ROW()-9)</f>
        <v/>
      </c>
      <c r="B200" s="45" t="str">
        <f aca="false">IF(F200="","",F200&amp;"-"&amp;TEXT(COUNTIF($F$10:F200,F200),"000")&amp;"-"&amp;RIGHT(LEFT(PARAMETRES!$C$9,4),2))</f>
        <v/>
      </c>
      <c r="C200" s="58"/>
      <c r="D200" s="45"/>
      <c r="E200" s="45"/>
      <c r="F200" s="45"/>
      <c r="G200" s="59"/>
      <c r="H200" s="45" t="str">
        <f aca="false">IF(G200="","",DATEDIF(G200,PARAMETRES!$C$13,"y"))</f>
        <v/>
      </c>
      <c r="I200" s="45"/>
      <c r="J200" s="45"/>
      <c r="K200" s="45"/>
      <c r="L200" s="45"/>
      <c r="M200" s="45"/>
      <c r="N200" s="59"/>
      <c r="O200" s="45"/>
      <c r="P200" s="45"/>
      <c r="Q200" s="45"/>
      <c r="R200" s="45"/>
      <c r="S200" s="45"/>
      <c r="T200" s="45"/>
      <c r="U200" s="45"/>
      <c r="V200" s="45"/>
      <c r="W200" s="45"/>
      <c r="X200" s="45"/>
      <c r="Y200" s="45"/>
      <c r="Z200" s="45"/>
      <c r="AA200" s="45"/>
      <c r="AB200" s="45"/>
      <c r="AC200" s="45"/>
      <c r="AD200" s="45"/>
      <c r="AE200" s="45"/>
      <c r="AF200" s="45"/>
      <c r="AG200" s="51" t="str">
        <f aca="false">IF(F200="","",F200&amp;"-"&amp;COUNTIF($F$10:F200,F200))</f>
        <v/>
      </c>
      <c r="AH200" s="51" t="str">
        <f aca="false">IF(F200="","",IF(F200="CM2","CM2-"&amp;COUNTIF($F$10:F200,"CM2"),"P-"&amp;COUNTIFS($F$10:F200,"&lt;&gt;CM2",$F$10:F200,"&lt;&gt;")))</f>
        <v/>
      </c>
      <c r="AI200" s="51" t="str">
        <f aca="false">IF(F200="","",IF(LEFT(F200,2)="CP","CP-"&amp;COUNTIF($F$10:F200,"CP*"),IF(F200="CE1","CE1-"&amp;COUNTIF($F$10:F200,"CE1"),IF(F200="CM2","CM2-"&amp;COUNTIF($F$10:F200,"CM2"),"CEM-"&amp;(COUNTIF($F$10:F200,"CE2")+COUNTIF($F$10:F200,"CM1"))))))</f>
        <v/>
      </c>
    </row>
    <row r="201" customFormat="false" ht="15" hidden="false" customHeight="false" outlineLevel="0" collapsed="false">
      <c r="A201" s="45" t="str">
        <f aca="false">IF(D201="","",ROW()-9)</f>
        <v/>
      </c>
      <c r="B201" s="45" t="str">
        <f aca="false">IF(F201="","",F201&amp;"-"&amp;TEXT(COUNTIF($F$10:F201,F201),"000")&amp;"-"&amp;RIGHT(LEFT(PARAMETRES!$C$9,4),2))</f>
        <v/>
      </c>
      <c r="C201" s="58"/>
      <c r="D201" s="45"/>
      <c r="E201" s="45"/>
      <c r="F201" s="45"/>
      <c r="G201" s="59"/>
      <c r="H201" s="45" t="str">
        <f aca="false">IF(G201="","",DATEDIF(G201,PARAMETRES!$C$13,"y"))</f>
        <v/>
      </c>
      <c r="I201" s="45"/>
      <c r="J201" s="45"/>
      <c r="K201" s="45"/>
      <c r="L201" s="45"/>
      <c r="M201" s="45"/>
      <c r="N201" s="59"/>
      <c r="O201" s="45"/>
      <c r="P201" s="45"/>
      <c r="Q201" s="45"/>
      <c r="R201" s="45"/>
      <c r="S201" s="45"/>
      <c r="T201" s="45"/>
      <c r="U201" s="45"/>
      <c r="V201" s="45"/>
      <c r="W201" s="45"/>
      <c r="X201" s="45"/>
      <c r="Y201" s="45"/>
      <c r="Z201" s="45"/>
      <c r="AA201" s="45"/>
      <c r="AB201" s="45"/>
      <c r="AC201" s="45"/>
      <c r="AD201" s="45"/>
      <c r="AE201" s="45"/>
      <c r="AF201" s="45"/>
      <c r="AG201" s="51" t="str">
        <f aca="false">IF(F201="","",F201&amp;"-"&amp;COUNTIF($F$10:F201,F201))</f>
        <v/>
      </c>
      <c r="AH201" s="51" t="str">
        <f aca="false">IF(F201="","",IF(F201="CM2","CM2-"&amp;COUNTIF($F$10:F201,"CM2"),"P-"&amp;COUNTIFS($F$10:F201,"&lt;&gt;CM2",$F$10:F201,"&lt;&gt;")))</f>
        <v/>
      </c>
      <c r="AI201" s="51" t="str">
        <f aca="false">IF(F201="","",IF(LEFT(F201,2)="CP","CP-"&amp;COUNTIF($F$10:F201,"CP*"),IF(F201="CE1","CE1-"&amp;COUNTIF($F$10:F201,"CE1"),IF(F201="CM2","CM2-"&amp;COUNTIF($F$10:F201,"CM2"),"CEM-"&amp;(COUNTIF($F$10:F201,"CE2")+COUNTIF($F$10:F201,"CM1"))))))</f>
        <v/>
      </c>
    </row>
    <row r="202" customFormat="false" ht="15" hidden="false" customHeight="false" outlineLevel="0" collapsed="false">
      <c r="A202" s="45" t="str">
        <f aca="false">IF(D202="","",ROW()-9)</f>
        <v/>
      </c>
      <c r="B202" s="45" t="str">
        <f aca="false">IF(F202="","",F202&amp;"-"&amp;TEXT(COUNTIF($F$10:F202,F202),"000")&amp;"-"&amp;RIGHT(LEFT(PARAMETRES!$C$9,4),2))</f>
        <v/>
      </c>
      <c r="C202" s="58"/>
      <c r="D202" s="45"/>
      <c r="E202" s="45"/>
      <c r="F202" s="45"/>
      <c r="G202" s="59"/>
      <c r="H202" s="45" t="str">
        <f aca="false">IF(G202="","",DATEDIF(G202,PARAMETRES!$C$13,"y"))</f>
        <v/>
      </c>
      <c r="I202" s="45"/>
      <c r="J202" s="45"/>
      <c r="K202" s="45"/>
      <c r="L202" s="45"/>
      <c r="M202" s="45"/>
      <c r="N202" s="59"/>
      <c r="O202" s="45"/>
      <c r="P202" s="45"/>
      <c r="Q202" s="45"/>
      <c r="R202" s="45"/>
      <c r="S202" s="45"/>
      <c r="T202" s="45"/>
      <c r="U202" s="45"/>
      <c r="V202" s="45"/>
      <c r="W202" s="45"/>
      <c r="X202" s="45"/>
      <c r="Y202" s="45"/>
      <c r="Z202" s="45"/>
      <c r="AA202" s="45"/>
      <c r="AB202" s="45"/>
      <c r="AC202" s="45"/>
      <c r="AD202" s="45"/>
      <c r="AE202" s="45"/>
      <c r="AF202" s="45"/>
      <c r="AG202" s="51" t="str">
        <f aca="false">IF(F202="","",F202&amp;"-"&amp;COUNTIF($F$10:F202,F202))</f>
        <v/>
      </c>
      <c r="AH202" s="51" t="str">
        <f aca="false">IF(F202="","",IF(F202="CM2","CM2-"&amp;COUNTIF($F$10:F202,"CM2"),"P-"&amp;COUNTIFS($F$10:F202,"&lt;&gt;CM2",$F$10:F202,"&lt;&gt;")))</f>
        <v/>
      </c>
      <c r="AI202" s="51" t="str">
        <f aca="false">IF(F202="","",IF(LEFT(F202,2)="CP","CP-"&amp;COUNTIF($F$10:F202,"CP*"),IF(F202="CE1","CE1-"&amp;COUNTIF($F$10:F202,"CE1"),IF(F202="CM2","CM2-"&amp;COUNTIF($F$10:F202,"CM2"),"CEM-"&amp;(COUNTIF($F$10:F202,"CE2")+COUNTIF($F$10:F202,"CM1"))))))</f>
        <v/>
      </c>
    </row>
    <row r="203" customFormat="false" ht="15" hidden="false" customHeight="false" outlineLevel="0" collapsed="false">
      <c r="A203" s="45" t="str">
        <f aca="false">IF(D203="","",ROW()-9)</f>
        <v/>
      </c>
      <c r="B203" s="45" t="str">
        <f aca="false">IF(F203="","",F203&amp;"-"&amp;TEXT(COUNTIF($F$10:F203,F203),"000")&amp;"-"&amp;RIGHT(LEFT(PARAMETRES!$C$9,4),2))</f>
        <v/>
      </c>
      <c r="C203" s="58"/>
      <c r="D203" s="45"/>
      <c r="E203" s="45"/>
      <c r="F203" s="45"/>
      <c r="G203" s="59"/>
      <c r="H203" s="45" t="str">
        <f aca="false">IF(G203="","",DATEDIF(G203,PARAMETRES!$C$13,"y"))</f>
        <v/>
      </c>
      <c r="I203" s="45"/>
      <c r="J203" s="45"/>
      <c r="K203" s="45"/>
      <c r="L203" s="45"/>
      <c r="M203" s="45"/>
      <c r="N203" s="59"/>
      <c r="O203" s="45"/>
      <c r="P203" s="45"/>
      <c r="Q203" s="45"/>
      <c r="R203" s="45"/>
      <c r="S203" s="45"/>
      <c r="T203" s="45"/>
      <c r="U203" s="45"/>
      <c r="V203" s="45"/>
      <c r="W203" s="45"/>
      <c r="X203" s="45"/>
      <c r="Y203" s="45"/>
      <c r="Z203" s="45"/>
      <c r="AA203" s="45"/>
      <c r="AB203" s="45"/>
      <c r="AC203" s="45"/>
      <c r="AD203" s="45"/>
      <c r="AE203" s="45"/>
      <c r="AF203" s="45"/>
      <c r="AG203" s="51" t="str">
        <f aca="false">IF(F203="","",F203&amp;"-"&amp;COUNTIF($F$10:F203,F203))</f>
        <v/>
      </c>
      <c r="AH203" s="51" t="str">
        <f aca="false">IF(F203="","",IF(F203="CM2","CM2-"&amp;COUNTIF($F$10:F203,"CM2"),"P-"&amp;COUNTIFS($F$10:F203,"&lt;&gt;CM2",$F$10:F203,"&lt;&gt;")))</f>
        <v/>
      </c>
      <c r="AI203" s="51" t="str">
        <f aca="false">IF(F203="","",IF(LEFT(F203,2)="CP","CP-"&amp;COUNTIF($F$10:F203,"CP*"),IF(F203="CE1","CE1-"&amp;COUNTIF($F$10:F203,"CE1"),IF(F203="CM2","CM2-"&amp;COUNTIF($F$10:F203,"CM2"),"CEM-"&amp;(COUNTIF($F$10:F203,"CE2")+COUNTIF($F$10:F203,"CM1"))))))</f>
        <v/>
      </c>
    </row>
    <row r="204" customFormat="false" ht="15" hidden="false" customHeight="false" outlineLevel="0" collapsed="false">
      <c r="A204" s="45" t="str">
        <f aca="false">IF(D204="","",ROW()-9)</f>
        <v/>
      </c>
      <c r="B204" s="45" t="str">
        <f aca="false">IF(F204="","",F204&amp;"-"&amp;TEXT(COUNTIF($F$10:F204,F204),"000")&amp;"-"&amp;RIGHT(LEFT(PARAMETRES!$C$9,4),2))</f>
        <v/>
      </c>
      <c r="C204" s="58"/>
      <c r="D204" s="45"/>
      <c r="E204" s="45"/>
      <c r="F204" s="45"/>
      <c r="G204" s="59"/>
      <c r="H204" s="45" t="str">
        <f aca="false">IF(G204="","",DATEDIF(G204,PARAMETRES!$C$13,"y"))</f>
        <v/>
      </c>
      <c r="I204" s="45"/>
      <c r="J204" s="45"/>
      <c r="K204" s="45"/>
      <c r="L204" s="45"/>
      <c r="M204" s="45"/>
      <c r="N204" s="59"/>
      <c r="O204" s="45"/>
      <c r="P204" s="45"/>
      <c r="Q204" s="45"/>
      <c r="R204" s="45"/>
      <c r="S204" s="45"/>
      <c r="T204" s="45"/>
      <c r="U204" s="45"/>
      <c r="V204" s="45"/>
      <c r="W204" s="45"/>
      <c r="X204" s="45"/>
      <c r="Y204" s="45"/>
      <c r="Z204" s="45"/>
      <c r="AA204" s="45"/>
      <c r="AB204" s="45"/>
      <c r="AC204" s="45"/>
      <c r="AD204" s="45"/>
      <c r="AE204" s="45"/>
      <c r="AF204" s="45"/>
      <c r="AG204" s="51" t="str">
        <f aca="false">IF(F204="","",F204&amp;"-"&amp;COUNTIF($F$10:F204,F204))</f>
        <v/>
      </c>
      <c r="AH204" s="51" t="str">
        <f aca="false">IF(F204="","",IF(F204="CM2","CM2-"&amp;COUNTIF($F$10:F204,"CM2"),"P-"&amp;COUNTIFS($F$10:F204,"&lt;&gt;CM2",$F$10:F204,"&lt;&gt;")))</f>
        <v/>
      </c>
      <c r="AI204" s="51" t="str">
        <f aca="false">IF(F204="","",IF(LEFT(F204,2)="CP","CP-"&amp;COUNTIF($F$10:F204,"CP*"),IF(F204="CE1","CE1-"&amp;COUNTIF($F$10:F204,"CE1"),IF(F204="CM2","CM2-"&amp;COUNTIF($F$10:F204,"CM2"),"CEM-"&amp;(COUNTIF($F$10:F204,"CE2")+COUNTIF($F$10:F204,"CM1"))))))</f>
        <v/>
      </c>
    </row>
    <row r="205" customFormat="false" ht="15" hidden="false" customHeight="false" outlineLevel="0" collapsed="false">
      <c r="A205" s="45" t="str">
        <f aca="false">IF(D205="","",ROW()-9)</f>
        <v/>
      </c>
      <c r="B205" s="45" t="str">
        <f aca="false">IF(F205="","",F205&amp;"-"&amp;TEXT(COUNTIF($F$10:F205,F205),"000")&amp;"-"&amp;RIGHT(LEFT(PARAMETRES!$C$9,4),2))</f>
        <v/>
      </c>
      <c r="C205" s="58"/>
      <c r="D205" s="45"/>
      <c r="E205" s="45"/>
      <c r="F205" s="45"/>
      <c r="G205" s="59"/>
      <c r="H205" s="45" t="str">
        <f aca="false">IF(G205="","",DATEDIF(G205,PARAMETRES!$C$13,"y"))</f>
        <v/>
      </c>
      <c r="I205" s="45"/>
      <c r="J205" s="45"/>
      <c r="K205" s="45"/>
      <c r="L205" s="45"/>
      <c r="M205" s="45"/>
      <c r="N205" s="59"/>
      <c r="O205" s="45"/>
      <c r="P205" s="45"/>
      <c r="Q205" s="45"/>
      <c r="R205" s="45"/>
      <c r="S205" s="45"/>
      <c r="T205" s="45"/>
      <c r="U205" s="45"/>
      <c r="V205" s="45"/>
      <c r="W205" s="45"/>
      <c r="X205" s="45"/>
      <c r="Y205" s="45"/>
      <c r="Z205" s="45"/>
      <c r="AA205" s="45"/>
      <c r="AB205" s="45"/>
      <c r="AC205" s="45"/>
      <c r="AD205" s="45"/>
      <c r="AE205" s="45"/>
      <c r="AF205" s="45"/>
      <c r="AG205" s="51" t="str">
        <f aca="false">IF(F205="","",F205&amp;"-"&amp;COUNTIF($F$10:F205,F205))</f>
        <v/>
      </c>
      <c r="AH205" s="51" t="str">
        <f aca="false">IF(F205="","",IF(F205="CM2","CM2-"&amp;COUNTIF($F$10:F205,"CM2"),"P-"&amp;COUNTIFS($F$10:F205,"&lt;&gt;CM2",$F$10:F205,"&lt;&gt;")))</f>
        <v/>
      </c>
      <c r="AI205" s="51" t="str">
        <f aca="false">IF(F205="","",IF(LEFT(F205,2)="CP","CP-"&amp;COUNTIF($F$10:F205,"CP*"),IF(F205="CE1","CE1-"&amp;COUNTIF($F$10:F205,"CE1"),IF(F205="CM2","CM2-"&amp;COUNTIF($F$10:F205,"CM2"),"CEM-"&amp;(COUNTIF($F$10:F205,"CE2")+COUNTIF($F$10:F205,"CM1"))))))</f>
        <v/>
      </c>
    </row>
    <row r="206" customFormat="false" ht="15" hidden="false" customHeight="false" outlineLevel="0" collapsed="false">
      <c r="A206" s="45" t="str">
        <f aca="false">IF(D206="","",ROW()-9)</f>
        <v/>
      </c>
      <c r="B206" s="45" t="str">
        <f aca="false">IF(F206="","",F206&amp;"-"&amp;TEXT(COUNTIF($F$10:F206,F206),"000")&amp;"-"&amp;RIGHT(LEFT(PARAMETRES!$C$9,4),2))</f>
        <v/>
      </c>
      <c r="C206" s="58"/>
      <c r="D206" s="45"/>
      <c r="E206" s="45"/>
      <c r="F206" s="45"/>
      <c r="G206" s="59"/>
      <c r="H206" s="45" t="str">
        <f aca="false">IF(G206="","",DATEDIF(G206,PARAMETRES!$C$13,"y"))</f>
        <v/>
      </c>
      <c r="I206" s="45"/>
      <c r="J206" s="45"/>
      <c r="K206" s="45"/>
      <c r="L206" s="45"/>
      <c r="M206" s="45"/>
      <c r="N206" s="59"/>
      <c r="O206" s="45"/>
      <c r="P206" s="45"/>
      <c r="Q206" s="45"/>
      <c r="R206" s="45"/>
      <c r="S206" s="45"/>
      <c r="T206" s="45"/>
      <c r="U206" s="45"/>
      <c r="V206" s="45"/>
      <c r="W206" s="45"/>
      <c r="X206" s="45"/>
      <c r="Y206" s="45"/>
      <c r="Z206" s="45"/>
      <c r="AA206" s="45"/>
      <c r="AB206" s="45"/>
      <c r="AC206" s="45"/>
      <c r="AD206" s="45"/>
      <c r="AE206" s="45"/>
      <c r="AF206" s="45"/>
      <c r="AG206" s="51" t="str">
        <f aca="false">IF(F206="","",F206&amp;"-"&amp;COUNTIF($F$10:F206,F206))</f>
        <v/>
      </c>
      <c r="AH206" s="51" t="str">
        <f aca="false">IF(F206="","",IF(F206="CM2","CM2-"&amp;COUNTIF($F$10:F206,"CM2"),"P-"&amp;COUNTIFS($F$10:F206,"&lt;&gt;CM2",$F$10:F206,"&lt;&gt;")))</f>
        <v/>
      </c>
      <c r="AI206" s="51" t="str">
        <f aca="false">IF(F206="","",IF(LEFT(F206,2)="CP","CP-"&amp;COUNTIF($F$10:F206,"CP*"),IF(F206="CE1","CE1-"&amp;COUNTIF($F$10:F206,"CE1"),IF(F206="CM2","CM2-"&amp;COUNTIF($F$10:F206,"CM2"),"CEM-"&amp;(COUNTIF($F$10:F206,"CE2")+COUNTIF($F$10:F206,"CM1"))))))</f>
        <v/>
      </c>
    </row>
    <row r="207" customFormat="false" ht="15" hidden="false" customHeight="false" outlineLevel="0" collapsed="false">
      <c r="A207" s="45" t="str">
        <f aca="false">IF(D207="","",ROW()-9)</f>
        <v/>
      </c>
      <c r="B207" s="45" t="str">
        <f aca="false">IF(F207="","",F207&amp;"-"&amp;TEXT(COUNTIF($F$10:F207,F207),"000")&amp;"-"&amp;RIGHT(LEFT(PARAMETRES!$C$9,4),2))</f>
        <v/>
      </c>
      <c r="C207" s="58"/>
      <c r="D207" s="45"/>
      <c r="E207" s="45"/>
      <c r="F207" s="45"/>
      <c r="G207" s="59"/>
      <c r="H207" s="45" t="str">
        <f aca="false">IF(G207="","",DATEDIF(G207,PARAMETRES!$C$13,"y"))</f>
        <v/>
      </c>
      <c r="I207" s="45"/>
      <c r="J207" s="45"/>
      <c r="K207" s="45"/>
      <c r="L207" s="45"/>
      <c r="M207" s="45"/>
      <c r="N207" s="59"/>
      <c r="O207" s="45"/>
      <c r="P207" s="45"/>
      <c r="Q207" s="45"/>
      <c r="R207" s="45"/>
      <c r="S207" s="45"/>
      <c r="T207" s="45"/>
      <c r="U207" s="45"/>
      <c r="V207" s="45"/>
      <c r="W207" s="45"/>
      <c r="X207" s="45"/>
      <c r="Y207" s="45"/>
      <c r="Z207" s="45"/>
      <c r="AA207" s="45"/>
      <c r="AB207" s="45"/>
      <c r="AC207" s="45"/>
      <c r="AD207" s="45"/>
      <c r="AE207" s="45"/>
      <c r="AF207" s="45"/>
      <c r="AG207" s="51" t="str">
        <f aca="false">IF(F207="","",F207&amp;"-"&amp;COUNTIF($F$10:F207,F207))</f>
        <v/>
      </c>
      <c r="AH207" s="51" t="str">
        <f aca="false">IF(F207="","",IF(F207="CM2","CM2-"&amp;COUNTIF($F$10:F207,"CM2"),"P-"&amp;COUNTIFS($F$10:F207,"&lt;&gt;CM2",$F$10:F207,"&lt;&gt;")))</f>
        <v/>
      </c>
      <c r="AI207" s="51" t="str">
        <f aca="false">IF(F207="","",IF(LEFT(F207,2)="CP","CP-"&amp;COUNTIF($F$10:F207,"CP*"),IF(F207="CE1","CE1-"&amp;COUNTIF($F$10:F207,"CE1"),IF(F207="CM2","CM2-"&amp;COUNTIF($F$10:F207,"CM2"),"CEM-"&amp;(COUNTIF($F$10:F207,"CE2")+COUNTIF($F$10:F207,"CM1"))))))</f>
        <v/>
      </c>
    </row>
    <row r="208" customFormat="false" ht="15" hidden="false" customHeight="false" outlineLevel="0" collapsed="false">
      <c r="A208" s="45" t="str">
        <f aca="false">IF(D208="","",ROW()-9)</f>
        <v/>
      </c>
      <c r="B208" s="45" t="str">
        <f aca="false">IF(F208="","",F208&amp;"-"&amp;TEXT(COUNTIF($F$10:F208,F208),"000")&amp;"-"&amp;RIGHT(LEFT(PARAMETRES!$C$9,4),2))</f>
        <v/>
      </c>
      <c r="C208" s="58"/>
      <c r="D208" s="45"/>
      <c r="E208" s="45"/>
      <c r="F208" s="45"/>
      <c r="G208" s="59"/>
      <c r="H208" s="45" t="str">
        <f aca="false">IF(G208="","",DATEDIF(G208,PARAMETRES!$C$13,"y"))</f>
        <v/>
      </c>
      <c r="I208" s="45"/>
      <c r="J208" s="45"/>
      <c r="K208" s="45"/>
      <c r="L208" s="45"/>
      <c r="M208" s="45"/>
      <c r="N208" s="59"/>
      <c r="O208" s="45"/>
      <c r="P208" s="45"/>
      <c r="Q208" s="45"/>
      <c r="R208" s="45"/>
      <c r="S208" s="45"/>
      <c r="T208" s="45"/>
      <c r="U208" s="45"/>
      <c r="V208" s="45"/>
      <c r="W208" s="45"/>
      <c r="X208" s="45"/>
      <c r="Y208" s="45"/>
      <c r="Z208" s="45"/>
      <c r="AA208" s="45"/>
      <c r="AB208" s="45"/>
      <c r="AC208" s="45"/>
      <c r="AD208" s="45"/>
      <c r="AE208" s="45"/>
      <c r="AF208" s="45"/>
      <c r="AG208" s="51" t="str">
        <f aca="false">IF(F208="","",F208&amp;"-"&amp;COUNTIF($F$10:F208,F208))</f>
        <v/>
      </c>
      <c r="AH208" s="51" t="str">
        <f aca="false">IF(F208="","",IF(F208="CM2","CM2-"&amp;COUNTIF($F$10:F208,"CM2"),"P-"&amp;COUNTIFS($F$10:F208,"&lt;&gt;CM2",$F$10:F208,"&lt;&gt;")))</f>
        <v/>
      </c>
      <c r="AI208" s="51" t="str">
        <f aca="false">IF(F208="","",IF(LEFT(F208,2)="CP","CP-"&amp;COUNTIF($F$10:F208,"CP*"),IF(F208="CE1","CE1-"&amp;COUNTIF($F$10:F208,"CE1"),IF(F208="CM2","CM2-"&amp;COUNTIF($F$10:F208,"CM2"),"CEM-"&amp;(COUNTIF($F$10:F208,"CE2")+COUNTIF($F$10:F208,"CM1"))))))</f>
        <v/>
      </c>
    </row>
    <row r="209" customFormat="false" ht="15" hidden="false" customHeight="false" outlineLevel="0" collapsed="false">
      <c r="A209" s="45" t="str">
        <f aca="false">IF(D209="","",ROW()-9)</f>
        <v/>
      </c>
      <c r="B209" s="45" t="str">
        <f aca="false">IF(F209="","",F209&amp;"-"&amp;TEXT(COUNTIF($F$10:F209,F209),"000")&amp;"-"&amp;RIGHT(LEFT(PARAMETRES!$C$9,4),2))</f>
        <v/>
      </c>
      <c r="C209" s="58"/>
      <c r="D209" s="45"/>
      <c r="E209" s="45"/>
      <c r="F209" s="45"/>
      <c r="G209" s="59"/>
      <c r="H209" s="45" t="str">
        <f aca="false">IF(G209="","",DATEDIF(G209,PARAMETRES!$C$13,"y"))</f>
        <v/>
      </c>
      <c r="I209" s="45"/>
      <c r="J209" s="45"/>
      <c r="K209" s="45"/>
      <c r="L209" s="45"/>
      <c r="M209" s="45"/>
      <c r="N209" s="59"/>
      <c r="O209" s="45"/>
      <c r="P209" s="45"/>
      <c r="Q209" s="45"/>
      <c r="R209" s="45"/>
      <c r="S209" s="45"/>
      <c r="T209" s="45"/>
      <c r="U209" s="45"/>
      <c r="V209" s="45"/>
      <c r="W209" s="45"/>
      <c r="X209" s="45"/>
      <c r="Y209" s="45"/>
      <c r="Z209" s="45"/>
      <c r="AA209" s="45"/>
      <c r="AB209" s="45"/>
      <c r="AC209" s="45"/>
      <c r="AD209" s="45"/>
      <c r="AE209" s="45"/>
      <c r="AF209" s="45"/>
      <c r="AG209" s="51" t="str">
        <f aca="false">IF(F209="","",F209&amp;"-"&amp;COUNTIF($F$10:F209,F209))</f>
        <v/>
      </c>
      <c r="AH209" s="51" t="str">
        <f aca="false">IF(F209="","",IF(F209="CM2","CM2-"&amp;COUNTIF($F$10:F209,"CM2"),"P-"&amp;COUNTIFS($F$10:F209,"&lt;&gt;CM2",$F$10:F209,"&lt;&gt;")))</f>
        <v/>
      </c>
      <c r="AI209" s="51" t="str">
        <f aca="false">IF(F209="","",IF(LEFT(F209,2)="CP","CP-"&amp;COUNTIF($F$10:F209,"CP*"),IF(F209="CE1","CE1-"&amp;COUNTIF($F$10:F209,"CE1"),IF(F209="CM2","CM2-"&amp;COUNTIF($F$10:F209,"CM2"),"CEM-"&amp;(COUNTIF($F$10:F209,"CE2")+COUNTIF($F$10:F209,"CM1"))))))</f>
        <v/>
      </c>
    </row>
    <row r="210" customFormat="false" ht="15" hidden="false" customHeight="false" outlineLevel="0" collapsed="false">
      <c r="A210" s="45" t="str">
        <f aca="false">IF(D210="","",ROW()-9)</f>
        <v/>
      </c>
      <c r="B210" s="45" t="str">
        <f aca="false">IF(F210="","",F210&amp;"-"&amp;TEXT(COUNTIF($F$10:F210,F210),"000")&amp;"-"&amp;RIGHT(LEFT(PARAMETRES!$C$9,4),2))</f>
        <v/>
      </c>
      <c r="C210" s="58"/>
      <c r="D210" s="45"/>
      <c r="E210" s="45"/>
      <c r="F210" s="45"/>
      <c r="G210" s="59"/>
      <c r="H210" s="45" t="str">
        <f aca="false">IF(G210="","",DATEDIF(G210,PARAMETRES!$C$13,"y"))</f>
        <v/>
      </c>
      <c r="I210" s="45"/>
      <c r="J210" s="45"/>
      <c r="K210" s="45"/>
      <c r="L210" s="45"/>
      <c r="M210" s="45"/>
      <c r="N210" s="59"/>
      <c r="O210" s="45"/>
      <c r="P210" s="45"/>
      <c r="Q210" s="45"/>
      <c r="R210" s="45"/>
      <c r="S210" s="45"/>
      <c r="T210" s="45"/>
      <c r="U210" s="45"/>
      <c r="V210" s="45"/>
      <c r="W210" s="45"/>
      <c r="X210" s="45"/>
      <c r="Y210" s="45"/>
      <c r="Z210" s="45"/>
      <c r="AA210" s="45"/>
      <c r="AB210" s="45"/>
      <c r="AC210" s="45"/>
      <c r="AD210" s="45"/>
      <c r="AE210" s="45"/>
      <c r="AF210" s="45"/>
      <c r="AG210" s="51" t="str">
        <f aca="false">IF(F210="","",F210&amp;"-"&amp;COUNTIF($F$10:F210,F210))</f>
        <v/>
      </c>
      <c r="AH210" s="51" t="str">
        <f aca="false">IF(F210="","",IF(F210="CM2","CM2-"&amp;COUNTIF($F$10:F210,"CM2"),"P-"&amp;COUNTIFS($F$10:F210,"&lt;&gt;CM2",$F$10:F210,"&lt;&gt;")))</f>
        <v/>
      </c>
      <c r="AI210" s="51" t="str">
        <f aca="false">IF(F210="","",IF(LEFT(F210,2)="CP","CP-"&amp;COUNTIF($F$10:F210,"CP*"),IF(F210="CE1","CE1-"&amp;COUNTIF($F$10:F210,"CE1"),IF(F210="CM2","CM2-"&amp;COUNTIF($F$10:F210,"CM2"),"CEM-"&amp;(COUNTIF($F$10:F210,"CE2")+COUNTIF($F$10:F210,"CM1"))))))</f>
        <v/>
      </c>
    </row>
    <row r="211" customFormat="false" ht="15" hidden="false" customHeight="false" outlineLevel="0" collapsed="false">
      <c r="A211" s="45" t="str">
        <f aca="false">IF(D211="","",ROW()-9)</f>
        <v/>
      </c>
      <c r="B211" s="45" t="str">
        <f aca="false">IF(F211="","",F211&amp;"-"&amp;TEXT(COUNTIF($F$10:F211,F211),"000")&amp;"-"&amp;RIGHT(LEFT(PARAMETRES!$C$9,4),2))</f>
        <v/>
      </c>
      <c r="C211" s="58"/>
      <c r="D211" s="45"/>
      <c r="E211" s="45"/>
      <c r="F211" s="45"/>
      <c r="G211" s="59"/>
      <c r="H211" s="45" t="str">
        <f aca="false">IF(G211="","",DATEDIF(G211,PARAMETRES!$C$13,"y"))</f>
        <v/>
      </c>
      <c r="I211" s="45"/>
      <c r="J211" s="45"/>
      <c r="K211" s="45"/>
      <c r="L211" s="45"/>
      <c r="M211" s="45"/>
      <c r="N211" s="59"/>
      <c r="O211" s="45"/>
      <c r="P211" s="45"/>
      <c r="Q211" s="45"/>
      <c r="R211" s="45"/>
      <c r="S211" s="45"/>
      <c r="T211" s="45"/>
      <c r="U211" s="45"/>
      <c r="V211" s="45"/>
      <c r="W211" s="45"/>
      <c r="X211" s="45"/>
      <c r="Y211" s="45"/>
      <c r="Z211" s="45"/>
      <c r="AA211" s="45"/>
      <c r="AB211" s="45"/>
      <c r="AC211" s="45"/>
      <c r="AD211" s="45"/>
      <c r="AE211" s="45"/>
      <c r="AF211" s="45"/>
      <c r="AG211" s="51" t="str">
        <f aca="false">IF(F211="","",F211&amp;"-"&amp;COUNTIF($F$10:F211,F211))</f>
        <v/>
      </c>
      <c r="AH211" s="51" t="str">
        <f aca="false">IF(F211="","",IF(F211="CM2","CM2-"&amp;COUNTIF($F$10:F211,"CM2"),"P-"&amp;COUNTIFS($F$10:F211,"&lt;&gt;CM2",$F$10:F211,"&lt;&gt;")))</f>
        <v/>
      </c>
      <c r="AI211" s="51" t="str">
        <f aca="false">IF(F211="","",IF(LEFT(F211,2)="CP","CP-"&amp;COUNTIF($F$10:F211,"CP*"),IF(F211="CE1","CE1-"&amp;COUNTIF($F$10:F211,"CE1"),IF(F211="CM2","CM2-"&amp;COUNTIF($F$10:F211,"CM2"),"CEM-"&amp;(COUNTIF($F$10:F211,"CE2")+COUNTIF($F$10:F211,"CM1"))))))</f>
        <v/>
      </c>
    </row>
    <row r="212" customFormat="false" ht="15" hidden="false" customHeight="false" outlineLevel="0" collapsed="false">
      <c r="A212" s="45" t="str">
        <f aca="false">IF(D212="","",ROW()-9)</f>
        <v/>
      </c>
      <c r="B212" s="45" t="str">
        <f aca="false">IF(F212="","",F212&amp;"-"&amp;TEXT(COUNTIF($F$10:F212,F212),"000")&amp;"-"&amp;RIGHT(LEFT(PARAMETRES!$C$9,4),2))</f>
        <v/>
      </c>
      <c r="C212" s="58"/>
      <c r="D212" s="45"/>
      <c r="E212" s="45"/>
      <c r="F212" s="45"/>
      <c r="G212" s="59"/>
      <c r="H212" s="45" t="str">
        <f aca="false">IF(G212="","",DATEDIF(G212,PARAMETRES!$C$13,"y"))</f>
        <v/>
      </c>
      <c r="I212" s="45"/>
      <c r="J212" s="45"/>
      <c r="K212" s="45"/>
      <c r="L212" s="45"/>
      <c r="M212" s="45"/>
      <c r="N212" s="59"/>
      <c r="O212" s="45"/>
      <c r="P212" s="45"/>
      <c r="Q212" s="45"/>
      <c r="R212" s="45"/>
      <c r="S212" s="45"/>
      <c r="T212" s="45"/>
      <c r="U212" s="45"/>
      <c r="V212" s="45"/>
      <c r="W212" s="45"/>
      <c r="X212" s="45"/>
      <c r="Y212" s="45"/>
      <c r="Z212" s="45"/>
      <c r="AA212" s="45"/>
      <c r="AB212" s="45"/>
      <c r="AC212" s="45"/>
      <c r="AD212" s="45"/>
      <c r="AE212" s="45"/>
      <c r="AF212" s="45"/>
      <c r="AG212" s="51" t="str">
        <f aca="false">IF(F212="","",F212&amp;"-"&amp;COUNTIF($F$10:F212,F212))</f>
        <v/>
      </c>
      <c r="AH212" s="51" t="str">
        <f aca="false">IF(F212="","",IF(F212="CM2","CM2-"&amp;COUNTIF($F$10:F212,"CM2"),"P-"&amp;COUNTIFS($F$10:F212,"&lt;&gt;CM2",$F$10:F212,"&lt;&gt;")))</f>
        <v/>
      </c>
      <c r="AI212" s="51" t="str">
        <f aca="false">IF(F212="","",IF(LEFT(F212,2)="CP","CP-"&amp;COUNTIF($F$10:F212,"CP*"),IF(F212="CE1","CE1-"&amp;COUNTIF($F$10:F212,"CE1"),IF(F212="CM2","CM2-"&amp;COUNTIF($F$10:F212,"CM2"),"CEM-"&amp;(COUNTIF($F$10:F212,"CE2")+COUNTIF($F$10:F212,"CM1"))))))</f>
        <v/>
      </c>
    </row>
    <row r="213" customFormat="false" ht="15" hidden="false" customHeight="false" outlineLevel="0" collapsed="false">
      <c r="A213" s="45" t="str">
        <f aca="false">IF(D213="","",ROW()-9)</f>
        <v/>
      </c>
      <c r="B213" s="45" t="str">
        <f aca="false">IF(F213="","",F213&amp;"-"&amp;TEXT(COUNTIF($F$10:F213,F213),"000")&amp;"-"&amp;RIGHT(LEFT(PARAMETRES!$C$9,4),2))</f>
        <v/>
      </c>
      <c r="C213" s="58"/>
      <c r="D213" s="45"/>
      <c r="E213" s="45"/>
      <c r="F213" s="45"/>
      <c r="G213" s="59"/>
      <c r="H213" s="45" t="str">
        <f aca="false">IF(G213="","",DATEDIF(G213,PARAMETRES!$C$13,"y"))</f>
        <v/>
      </c>
      <c r="I213" s="45"/>
      <c r="J213" s="45"/>
      <c r="K213" s="45"/>
      <c r="L213" s="45"/>
      <c r="M213" s="45"/>
      <c r="N213" s="59"/>
      <c r="O213" s="45"/>
      <c r="P213" s="45"/>
      <c r="Q213" s="45"/>
      <c r="R213" s="45"/>
      <c r="S213" s="45"/>
      <c r="T213" s="45"/>
      <c r="U213" s="45"/>
      <c r="V213" s="45"/>
      <c r="W213" s="45"/>
      <c r="X213" s="45"/>
      <c r="Y213" s="45"/>
      <c r="Z213" s="45"/>
      <c r="AA213" s="45"/>
      <c r="AB213" s="45"/>
      <c r="AC213" s="45"/>
      <c r="AD213" s="45"/>
      <c r="AE213" s="45"/>
      <c r="AF213" s="45"/>
      <c r="AG213" s="51" t="str">
        <f aca="false">IF(F213="","",F213&amp;"-"&amp;COUNTIF($F$10:F213,F213))</f>
        <v/>
      </c>
      <c r="AH213" s="51" t="str">
        <f aca="false">IF(F213="","",IF(F213="CM2","CM2-"&amp;COUNTIF($F$10:F213,"CM2"),"P-"&amp;COUNTIFS($F$10:F213,"&lt;&gt;CM2",$F$10:F213,"&lt;&gt;")))</f>
        <v/>
      </c>
      <c r="AI213" s="51" t="str">
        <f aca="false">IF(F213="","",IF(LEFT(F213,2)="CP","CP-"&amp;COUNTIF($F$10:F213,"CP*"),IF(F213="CE1","CE1-"&amp;COUNTIF($F$10:F213,"CE1"),IF(F213="CM2","CM2-"&amp;COUNTIF($F$10:F213,"CM2"),"CEM-"&amp;(COUNTIF($F$10:F213,"CE2")+COUNTIF($F$10:F213,"CM1"))))))</f>
        <v/>
      </c>
    </row>
    <row r="214" customFormat="false" ht="15" hidden="false" customHeight="false" outlineLevel="0" collapsed="false">
      <c r="A214" s="45" t="str">
        <f aca="false">IF(D214="","",ROW()-9)</f>
        <v/>
      </c>
      <c r="B214" s="45" t="str">
        <f aca="false">IF(F214="","",F214&amp;"-"&amp;TEXT(COUNTIF($F$10:F214,F214),"000")&amp;"-"&amp;RIGHT(LEFT(PARAMETRES!$C$9,4),2))</f>
        <v/>
      </c>
      <c r="C214" s="58"/>
      <c r="D214" s="45"/>
      <c r="E214" s="45"/>
      <c r="F214" s="45"/>
      <c r="G214" s="59"/>
      <c r="H214" s="45" t="str">
        <f aca="false">IF(G214="","",DATEDIF(G214,PARAMETRES!$C$13,"y"))</f>
        <v/>
      </c>
      <c r="I214" s="45"/>
      <c r="J214" s="45"/>
      <c r="K214" s="45"/>
      <c r="L214" s="45"/>
      <c r="M214" s="45"/>
      <c r="N214" s="59"/>
      <c r="O214" s="45"/>
      <c r="P214" s="45"/>
      <c r="Q214" s="45"/>
      <c r="R214" s="45"/>
      <c r="S214" s="45"/>
      <c r="T214" s="45"/>
      <c r="U214" s="45"/>
      <c r="V214" s="45"/>
      <c r="W214" s="45"/>
      <c r="X214" s="45"/>
      <c r="Y214" s="45"/>
      <c r="Z214" s="45"/>
      <c r="AA214" s="45"/>
      <c r="AB214" s="45"/>
      <c r="AC214" s="45"/>
      <c r="AD214" s="45"/>
      <c r="AE214" s="45"/>
      <c r="AF214" s="45"/>
      <c r="AG214" s="51" t="str">
        <f aca="false">IF(F214="","",F214&amp;"-"&amp;COUNTIF($F$10:F214,F214))</f>
        <v/>
      </c>
      <c r="AH214" s="51" t="str">
        <f aca="false">IF(F214="","",IF(F214="CM2","CM2-"&amp;COUNTIF($F$10:F214,"CM2"),"P-"&amp;COUNTIFS($F$10:F214,"&lt;&gt;CM2",$F$10:F214,"&lt;&gt;")))</f>
        <v/>
      </c>
      <c r="AI214" s="51" t="str">
        <f aca="false">IF(F214="","",IF(LEFT(F214,2)="CP","CP-"&amp;COUNTIF($F$10:F214,"CP*"),IF(F214="CE1","CE1-"&amp;COUNTIF($F$10:F214,"CE1"),IF(F214="CM2","CM2-"&amp;COUNTIF($F$10:F214,"CM2"),"CEM-"&amp;(COUNTIF($F$10:F214,"CE2")+COUNTIF($F$10:F214,"CM1"))))))</f>
        <v/>
      </c>
    </row>
    <row r="215" customFormat="false" ht="15" hidden="false" customHeight="false" outlineLevel="0" collapsed="false">
      <c r="A215" s="45" t="str">
        <f aca="false">IF(D215="","",ROW()-9)</f>
        <v/>
      </c>
      <c r="B215" s="45" t="str">
        <f aca="false">IF(F215="","",F215&amp;"-"&amp;TEXT(COUNTIF($F$10:F215,F215),"000")&amp;"-"&amp;RIGHT(LEFT(PARAMETRES!$C$9,4),2))</f>
        <v/>
      </c>
      <c r="C215" s="58"/>
      <c r="D215" s="45"/>
      <c r="E215" s="45"/>
      <c r="F215" s="45"/>
      <c r="G215" s="59"/>
      <c r="H215" s="45" t="str">
        <f aca="false">IF(G215="","",DATEDIF(G215,PARAMETRES!$C$13,"y"))</f>
        <v/>
      </c>
      <c r="I215" s="45"/>
      <c r="J215" s="45"/>
      <c r="K215" s="45"/>
      <c r="L215" s="45"/>
      <c r="M215" s="45"/>
      <c r="N215" s="59"/>
      <c r="O215" s="45"/>
      <c r="P215" s="45"/>
      <c r="Q215" s="45"/>
      <c r="R215" s="45"/>
      <c r="S215" s="45"/>
      <c r="T215" s="45"/>
      <c r="U215" s="45"/>
      <c r="V215" s="45"/>
      <c r="W215" s="45"/>
      <c r="X215" s="45"/>
      <c r="Y215" s="45"/>
      <c r="Z215" s="45"/>
      <c r="AA215" s="45"/>
      <c r="AB215" s="45"/>
      <c r="AC215" s="45"/>
      <c r="AD215" s="45"/>
      <c r="AE215" s="45"/>
      <c r="AF215" s="45"/>
      <c r="AG215" s="51" t="str">
        <f aca="false">IF(F215="","",F215&amp;"-"&amp;COUNTIF($F$10:F215,F215))</f>
        <v/>
      </c>
      <c r="AH215" s="51" t="str">
        <f aca="false">IF(F215="","",IF(F215="CM2","CM2-"&amp;COUNTIF($F$10:F215,"CM2"),"P-"&amp;COUNTIFS($F$10:F215,"&lt;&gt;CM2",$F$10:F215,"&lt;&gt;")))</f>
        <v/>
      </c>
      <c r="AI215" s="51" t="str">
        <f aca="false">IF(F215="","",IF(LEFT(F215,2)="CP","CP-"&amp;COUNTIF($F$10:F215,"CP*"),IF(F215="CE1","CE1-"&amp;COUNTIF($F$10:F215,"CE1"),IF(F215="CM2","CM2-"&amp;COUNTIF($F$10:F215,"CM2"),"CEM-"&amp;(COUNTIF($F$10:F215,"CE2")+COUNTIF($F$10:F215,"CM1"))))))</f>
        <v/>
      </c>
    </row>
    <row r="216" customFormat="false" ht="15" hidden="false" customHeight="false" outlineLevel="0" collapsed="false">
      <c r="A216" s="45" t="str">
        <f aca="false">IF(D216="","",ROW()-9)</f>
        <v/>
      </c>
      <c r="B216" s="45" t="str">
        <f aca="false">IF(F216="","",F216&amp;"-"&amp;TEXT(COUNTIF($F$10:F216,F216),"000")&amp;"-"&amp;RIGHT(LEFT(PARAMETRES!$C$9,4),2))</f>
        <v/>
      </c>
      <c r="C216" s="58"/>
      <c r="D216" s="45"/>
      <c r="E216" s="45"/>
      <c r="F216" s="45"/>
      <c r="G216" s="59"/>
      <c r="H216" s="45" t="str">
        <f aca="false">IF(G216="","",DATEDIF(G216,PARAMETRES!$C$13,"y"))</f>
        <v/>
      </c>
      <c r="I216" s="45"/>
      <c r="J216" s="45"/>
      <c r="K216" s="45"/>
      <c r="L216" s="45"/>
      <c r="M216" s="45"/>
      <c r="N216" s="59"/>
      <c r="O216" s="45"/>
      <c r="P216" s="45"/>
      <c r="Q216" s="45"/>
      <c r="R216" s="45"/>
      <c r="S216" s="45"/>
      <c r="T216" s="45"/>
      <c r="U216" s="45"/>
      <c r="V216" s="45"/>
      <c r="W216" s="45"/>
      <c r="X216" s="45"/>
      <c r="Y216" s="45"/>
      <c r="Z216" s="45"/>
      <c r="AA216" s="45"/>
      <c r="AB216" s="45"/>
      <c r="AC216" s="45"/>
      <c r="AD216" s="45"/>
      <c r="AE216" s="45"/>
      <c r="AF216" s="45"/>
      <c r="AG216" s="51" t="str">
        <f aca="false">IF(F216="","",F216&amp;"-"&amp;COUNTIF($F$10:F216,F216))</f>
        <v/>
      </c>
      <c r="AH216" s="51" t="str">
        <f aca="false">IF(F216="","",IF(F216="CM2","CM2-"&amp;COUNTIF($F$10:F216,"CM2"),"P-"&amp;COUNTIFS($F$10:F216,"&lt;&gt;CM2",$F$10:F216,"&lt;&gt;")))</f>
        <v/>
      </c>
      <c r="AI216" s="51" t="str">
        <f aca="false">IF(F216="","",IF(LEFT(F216,2)="CP","CP-"&amp;COUNTIF($F$10:F216,"CP*"),IF(F216="CE1","CE1-"&amp;COUNTIF($F$10:F216,"CE1"),IF(F216="CM2","CM2-"&amp;COUNTIF($F$10:F216,"CM2"),"CEM-"&amp;(COUNTIF($F$10:F216,"CE2")+COUNTIF($F$10:F216,"CM1"))))))</f>
        <v/>
      </c>
    </row>
    <row r="217" customFormat="false" ht="15" hidden="false" customHeight="false" outlineLevel="0" collapsed="false">
      <c r="A217" s="45" t="str">
        <f aca="false">IF(D217="","",ROW()-9)</f>
        <v/>
      </c>
      <c r="B217" s="45" t="str">
        <f aca="false">IF(F217="","",F217&amp;"-"&amp;TEXT(COUNTIF($F$10:F217,F217),"000")&amp;"-"&amp;RIGHT(LEFT(PARAMETRES!$C$9,4),2))</f>
        <v/>
      </c>
      <c r="C217" s="58"/>
      <c r="D217" s="45"/>
      <c r="E217" s="45"/>
      <c r="F217" s="45"/>
      <c r="G217" s="59"/>
      <c r="H217" s="45" t="str">
        <f aca="false">IF(G217="","",DATEDIF(G217,PARAMETRES!$C$13,"y"))</f>
        <v/>
      </c>
      <c r="I217" s="45"/>
      <c r="J217" s="45"/>
      <c r="K217" s="45"/>
      <c r="L217" s="45"/>
      <c r="M217" s="45"/>
      <c r="N217" s="59"/>
      <c r="O217" s="45"/>
      <c r="P217" s="45"/>
      <c r="Q217" s="45"/>
      <c r="R217" s="45"/>
      <c r="S217" s="45"/>
      <c r="T217" s="45"/>
      <c r="U217" s="45"/>
      <c r="V217" s="45"/>
      <c r="W217" s="45"/>
      <c r="X217" s="45"/>
      <c r="Y217" s="45"/>
      <c r="Z217" s="45"/>
      <c r="AA217" s="45"/>
      <c r="AB217" s="45"/>
      <c r="AC217" s="45"/>
      <c r="AD217" s="45"/>
      <c r="AE217" s="45"/>
      <c r="AF217" s="45"/>
      <c r="AG217" s="51" t="str">
        <f aca="false">IF(F217="","",F217&amp;"-"&amp;COUNTIF($F$10:F217,F217))</f>
        <v/>
      </c>
      <c r="AH217" s="51" t="str">
        <f aca="false">IF(F217="","",IF(F217="CM2","CM2-"&amp;COUNTIF($F$10:F217,"CM2"),"P-"&amp;COUNTIFS($F$10:F217,"&lt;&gt;CM2",$F$10:F217,"&lt;&gt;")))</f>
        <v/>
      </c>
      <c r="AI217" s="51" t="str">
        <f aca="false">IF(F217="","",IF(LEFT(F217,2)="CP","CP-"&amp;COUNTIF($F$10:F217,"CP*"),IF(F217="CE1","CE1-"&amp;COUNTIF($F$10:F217,"CE1"),IF(F217="CM2","CM2-"&amp;COUNTIF($F$10:F217,"CM2"),"CEM-"&amp;(COUNTIF($F$10:F217,"CE2")+COUNTIF($F$10:F217,"CM1"))))))</f>
        <v/>
      </c>
    </row>
    <row r="218" customFormat="false" ht="15" hidden="false" customHeight="false" outlineLevel="0" collapsed="false">
      <c r="A218" s="45" t="str">
        <f aca="false">IF(D218="","",ROW()-9)</f>
        <v/>
      </c>
      <c r="B218" s="45" t="str">
        <f aca="false">IF(F218="","",F218&amp;"-"&amp;TEXT(COUNTIF($F$10:F218,F218),"000")&amp;"-"&amp;RIGHT(LEFT(PARAMETRES!$C$9,4),2))</f>
        <v/>
      </c>
      <c r="C218" s="58"/>
      <c r="D218" s="45"/>
      <c r="E218" s="45"/>
      <c r="F218" s="45"/>
      <c r="G218" s="59"/>
      <c r="H218" s="45" t="str">
        <f aca="false">IF(G218="","",DATEDIF(G218,PARAMETRES!$C$13,"y"))</f>
        <v/>
      </c>
      <c r="I218" s="45"/>
      <c r="J218" s="45"/>
      <c r="K218" s="45"/>
      <c r="L218" s="45"/>
      <c r="M218" s="45"/>
      <c r="N218" s="59"/>
      <c r="O218" s="45"/>
      <c r="P218" s="45"/>
      <c r="Q218" s="45"/>
      <c r="R218" s="45"/>
      <c r="S218" s="45"/>
      <c r="T218" s="45"/>
      <c r="U218" s="45"/>
      <c r="V218" s="45"/>
      <c r="W218" s="45"/>
      <c r="X218" s="45"/>
      <c r="Y218" s="45"/>
      <c r="Z218" s="45"/>
      <c r="AA218" s="45"/>
      <c r="AB218" s="45"/>
      <c r="AC218" s="45"/>
      <c r="AD218" s="45"/>
      <c r="AE218" s="45"/>
      <c r="AF218" s="45"/>
      <c r="AG218" s="51" t="str">
        <f aca="false">IF(F218="","",F218&amp;"-"&amp;COUNTIF($F$10:F218,F218))</f>
        <v/>
      </c>
      <c r="AH218" s="51" t="str">
        <f aca="false">IF(F218="","",IF(F218="CM2","CM2-"&amp;COUNTIF($F$10:F218,"CM2"),"P-"&amp;COUNTIFS($F$10:F218,"&lt;&gt;CM2",$F$10:F218,"&lt;&gt;")))</f>
        <v/>
      </c>
      <c r="AI218" s="51" t="str">
        <f aca="false">IF(F218="","",IF(LEFT(F218,2)="CP","CP-"&amp;COUNTIF($F$10:F218,"CP*"),IF(F218="CE1","CE1-"&amp;COUNTIF($F$10:F218,"CE1"),IF(F218="CM2","CM2-"&amp;COUNTIF($F$10:F218,"CM2"),"CEM-"&amp;(COUNTIF($F$10:F218,"CE2")+COUNTIF($F$10:F218,"CM1"))))))</f>
        <v/>
      </c>
    </row>
    <row r="219" customFormat="false" ht="15" hidden="false" customHeight="false" outlineLevel="0" collapsed="false">
      <c r="A219" s="45" t="str">
        <f aca="false">IF(D219="","",ROW()-9)</f>
        <v/>
      </c>
      <c r="B219" s="45" t="str">
        <f aca="false">IF(F219="","",F219&amp;"-"&amp;TEXT(COUNTIF($F$10:F219,F219),"000")&amp;"-"&amp;RIGHT(LEFT(PARAMETRES!$C$9,4),2))</f>
        <v/>
      </c>
      <c r="C219" s="58"/>
      <c r="D219" s="45"/>
      <c r="E219" s="45"/>
      <c r="F219" s="45"/>
      <c r="G219" s="59"/>
      <c r="H219" s="45" t="str">
        <f aca="false">IF(G219="","",DATEDIF(G219,PARAMETRES!$C$13,"y"))</f>
        <v/>
      </c>
      <c r="I219" s="45"/>
      <c r="J219" s="45"/>
      <c r="K219" s="45"/>
      <c r="L219" s="45"/>
      <c r="M219" s="45"/>
      <c r="N219" s="59"/>
      <c r="O219" s="45"/>
      <c r="P219" s="45"/>
      <c r="Q219" s="45"/>
      <c r="R219" s="45"/>
      <c r="S219" s="45"/>
      <c r="T219" s="45"/>
      <c r="U219" s="45"/>
      <c r="V219" s="45"/>
      <c r="W219" s="45"/>
      <c r="X219" s="45"/>
      <c r="Y219" s="45"/>
      <c r="Z219" s="45"/>
      <c r="AA219" s="45"/>
      <c r="AB219" s="45"/>
      <c r="AC219" s="45"/>
      <c r="AD219" s="45"/>
      <c r="AE219" s="45"/>
      <c r="AF219" s="45"/>
      <c r="AG219" s="51" t="str">
        <f aca="false">IF(F219="","",F219&amp;"-"&amp;COUNTIF($F$10:F219,F219))</f>
        <v/>
      </c>
      <c r="AH219" s="51" t="str">
        <f aca="false">IF(F219="","",IF(F219="CM2","CM2-"&amp;COUNTIF($F$10:F219,"CM2"),"P-"&amp;COUNTIFS($F$10:F219,"&lt;&gt;CM2",$F$10:F219,"&lt;&gt;")))</f>
        <v/>
      </c>
      <c r="AI219" s="51" t="str">
        <f aca="false">IF(F219="","",IF(LEFT(F219,2)="CP","CP-"&amp;COUNTIF($F$10:F219,"CP*"),IF(F219="CE1","CE1-"&amp;COUNTIF($F$10:F219,"CE1"),IF(F219="CM2","CM2-"&amp;COUNTIF($F$10:F219,"CM2"),"CEM-"&amp;(COUNTIF($F$10:F219,"CE2")+COUNTIF($F$10:F219,"CM1"))))))</f>
        <v/>
      </c>
    </row>
    <row r="220" customFormat="false" ht="15" hidden="false" customHeight="false" outlineLevel="0" collapsed="false">
      <c r="A220" s="45" t="str">
        <f aca="false">IF(D220="","",ROW()-9)</f>
        <v/>
      </c>
      <c r="B220" s="45" t="str">
        <f aca="false">IF(F220="","",F220&amp;"-"&amp;TEXT(COUNTIF($F$10:F220,F220),"000")&amp;"-"&amp;RIGHT(LEFT(PARAMETRES!$C$9,4),2))</f>
        <v/>
      </c>
      <c r="C220" s="58"/>
      <c r="D220" s="45"/>
      <c r="E220" s="45"/>
      <c r="F220" s="45"/>
      <c r="G220" s="59"/>
      <c r="H220" s="45" t="str">
        <f aca="false">IF(G220="","",DATEDIF(G220,PARAMETRES!$C$13,"y"))</f>
        <v/>
      </c>
      <c r="I220" s="45"/>
      <c r="J220" s="45"/>
      <c r="K220" s="45"/>
      <c r="L220" s="45"/>
      <c r="M220" s="45"/>
      <c r="N220" s="59"/>
      <c r="O220" s="45"/>
      <c r="P220" s="45"/>
      <c r="Q220" s="45"/>
      <c r="R220" s="45"/>
      <c r="S220" s="45"/>
      <c r="T220" s="45"/>
      <c r="U220" s="45"/>
      <c r="V220" s="45"/>
      <c r="W220" s="45"/>
      <c r="X220" s="45"/>
      <c r="Y220" s="45"/>
      <c r="Z220" s="45"/>
      <c r="AA220" s="45"/>
      <c r="AB220" s="45"/>
      <c r="AC220" s="45"/>
      <c r="AD220" s="45"/>
      <c r="AE220" s="45"/>
      <c r="AF220" s="45"/>
      <c r="AG220" s="51" t="str">
        <f aca="false">IF(F220="","",F220&amp;"-"&amp;COUNTIF($F$10:F220,F220))</f>
        <v/>
      </c>
      <c r="AH220" s="51" t="str">
        <f aca="false">IF(F220="","",IF(F220="CM2","CM2-"&amp;COUNTIF($F$10:F220,"CM2"),"P-"&amp;COUNTIFS($F$10:F220,"&lt;&gt;CM2",$F$10:F220,"&lt;&gt;")))</f>
        <v/>
      </c>
      <c r="AI220" s="51" t="str">
        <f aca="false">IF(F220="","",IF(LEFT(F220,2)="CP","CP-"&amp;COUNTIF($F$10:F220,"CP*"),IF(F220="CE1","CE1-"&amp;COUNTIF($F$10:F220,"CE1"),IF(F220="CM2","CM2-"&amp;COUNTIF($F$10:F220,"CM2"),"CEM-"&amp;(COUNTIF($F$10:F220,"CE2")+COUNTIF($F$10:F220,"CM1"))))))</f>
        <v/>
      </c>
    </row>
    <row r="221" customFormat="false" ht="15" hidden="false" customHeight="false" outlineLevel="0" collapsed="false">
      <c r="A221" s="45" t="str">
        <f aca="false">IF(D221="","",ROW()-9)</f>
        <v/>
      </c>
      <c r="B221" s="45" t="str">
        <f aca="false">IF(F221="","",F221&amp;"-"&amp;TEXT(COUNTIF($F$10:F221,F221),"000")&amp;"-"&amp;RIGHT(LEFT(PARAMETRES!$C$9,4),2))</f>
        <v/>
      </c>
      <c r="C221" s="58"/>
      <c r="D221" s="45"/>
      <c r="E221" s="45"/>
      <c r="F221" s="45"/>
      <c r="G221" s="59"/>
      <c r="H221" s="45" t="str">
        <f aca="false">IF(G221="","",DATEDIF(G221,PARAMETRES!$C$13,"y"))</f>
        <v/>
      </c>
      <c r="I221" s="45"/>
      <c r="J221" s="45"/>
      <c r="K221" s="45"/>
      <c r="L221" s="45"/>
      <c r="M221" s="45"/>
      <c r="N221" s="59"/>
      <c r="O221" s="45"/>
      <c r="P221" s="45"/>
      <c r="Q221" s="45"/>
      <c r="R221" s="45"/>
      <c r="S221" s="45"/>
      <c r="T221" s="45"/>
      <c r="U221" s="45"/>
      <c r="V221" s="45"/>
      <c r="W221" s="45"/>
      <c r="X221" s="45"/>
      <c r="Y221" s="45"/>
      <c r="Z221" s="45"/>
      <c r="AA221" s="45"/>
      <c r="AB221" s="45"/>
      <c r="AC221" s="45"/>
      <c r="AD221" s="45"/>
      <c r="AE221" s="45"/>
      <c r="AF221" s="45"/>
      <c r="AG221" s="51" t="str">
        <f aca="false">IF(F221="","",F221&amp;"-"&amp;COUNTIF($F$10:F221,F221))</f>
        <v/>
      </c>
      <c r="AH221" s="51" t="str">
        <f aca="false">IF(F221="","",IF(F221="CM2","CM2-"&amp;COUNTIF($F$10:F221,"CM2"),"P-"&amp;COUNTIFS($F$10:F221,"&lt;&gt;CM2",$F$10:F221,"&lt;&gt;")))</f>
        <v/>
      </c>
      <c r="AI221" s="51" t="str">
        <f aca="false">IF(F221="","",IF(LEFT(F221,2)="CP","CP-"&amp;COUNTIF($F$10:F221,"CP*"),IF(F221="CE1","CE1-"&amp;COUNTIF($F$10:F221,"CE1"),IF(F221="CM2","CM2-"&amp;COUNTIF($F$10:F221,"CM2"),"CEM-"&amp;(COUNTIF($F$10:F221,"CE2")+COUNTIF($F$10:F221,"CM1"))))))</f>
        <v/>
      </c>
    </row>
    <row r="222" customFormat="false" ht="15" hidden="false" customHeight="false" outlineLevel="0" collapsed="false">
      <c r="A222" s="45" t="str">
        <f aca="false">IF(D222="","",ROW()-9)</f>
        <v/>
      </c>
      <c r="B222" s="45" t="str">
        <f aca="false">IF(F222="","",F222&amp;"-"&amp;TEXT(COUNTIF($F$10:F222,F222),"000")&amp;"-"&amp;RIGHT(LEFT(PARAMETRES!$C$9,4),2))</f>
        <v/>
      </c>
      <c r="C222" s="58"/>
      <c r="D222" s="45"/>
      <c r="E222" s="45"/>
      <c r="F222" s="45"/>
      <c r="G222" s="59"/>
      <c r="H222" s="45" t="str">
        <f aca="false">IF(G222="","",DATEDIF(G222,PARAMETRES!$C$13,"y"))</f>
        <v/>
      </c>
      <c r="I222" s="45"/>
      <c r="J222" s="45"/>
      <c r="K222" s="45"/>
      <c r="L222" s="45"/>
      <c r="M222" s="45"/>
      <c r="N222" s="59"/>
      <c r="O222" s="45"/>
      <c r="P222" s="45"/>
      <c r="Q222" s="45"/>
      <c r="R222" s="45"/>
      <c r="S222" s="45"/>
      <c r="T222" s="45"/>
      <c r="U222" s="45"/>
      <c r="V222" s="45"/>
      <c r="W222" s="45"/>
      <c r="X222" s="45"/>
      <c r="Y222" s="45"/>
      <c r="Z222" s="45"/>
      <c r="AA222" s="45"/>
      <c r="AB222" s="45"/>
      <c r="AC222" s="45"/>
      <c r="AD222" s="45"/>
      <c r="AE222" s="45"/>
      <c r="AF222" s="45"/>
      <c r="AG222" s="51" t="str">
        <f aca="false">IF(F222="","",F222&amp;"-"&amp;COUNTIF($F$10:F222,F222))</f>
        <v/>
      </c>
      <c r="AH222" s="51" t="str">
        <f aca="false">IF(F222="","",IF(F222="CM2","CM2-"&amp;COUNTIF($F$10:F222,"CM2"),"P-"&amp;COUNTIFS($F$10:F222,"&lt;&gt;CM2",$F$10:F222,"&lt;&gt;")))</f>
        <v/>
      </c>
      <c r="AI222" s="51" t="str">
        <f aca="false">IF(F222="","",IF(LEFT(F222,2)="CP","CP-"&amp;COUNTIF($F$10:F222,"CP*"),IF(F222="CE1","CE1-"&amp;COUNTIF($F$10:F222,"CE1"),IF(F222="CM2","CM2-"&amp;COUNTIF($F$10:F222,"CM2"),"CEM-"&amp;(COUNTIF($F$10:F222,"CE2")+COUNTIF($F$10:F222,"CM1"))))))</f>
        <v/>
      </c>
    </row>
    <row r="223" customFormat="false" ht="15" hidden="false" customHeight="false" outlineLevel="0" collapsed="false">
      <c r="A223" s="45" t="str">
        <f aca="false">IF(D223="","",ROW()-9)</f>
        <v/>
      </c>
      <c r="B223" s="45" t="str">
        <f aca="false">IF(F223="","",F223&amp;"-"&amp;TEXT(COUNTIF($F$10:F223,F223),"000")&amp;"-"&amp;RIGHT(LEFT(PARAMETRES!$C$9,4),2))</f>
        <v/>
      </c>
      <c r="C223" s="58"/>
      <c r="D223" s="45"/>
      <c r="E223" s="45"/>
      <c r="F223" s="45"/>
      <c r="G223" s="59"/>
      <c r="H223" s="45" t="str">
        <f aca="false">IF(G223="","",DATEDIF(G223,PARAMETRES!$C$13,"y"))</f>
        <v/>
      </c>
      <c r="I223" s="45"/>
      <c r="J223" s="45"/>
      <c r="K223" s="45"/>
      <c r="L223" s="45"/>
      <c r="M223" s="45"/>
      <c r="N223" s="59"/>
      <c r="O223" s="45"/>
      <c r="P223" s="45"/>
      <c r="Q223" s="45"/>
      <c r="R223" s="45"/>
      <c r="S223" s="45"/>
      <c r="T223" s="45"/>
      <c r="U223" s="45"/>
      <c r="V223" s="45"/>
      <c r="W223" s="45"/>
      <c r="X223" s="45"/>
      <c r="Y223" s="45"/>
      <c r="Z223" s="45"/>
      <c r="AA223" s="45"/>
      <c r="AB223" s="45"/>
      <c r="AC223" s="45"/>
      <c r="AD223" s="45"/>
      <c r="AE223" s="45"/>
      <c r="AF223" s="45"/>
      <c r="AG223" s="51" t="str">
        <f aca="false">IF(F223="","",F223&amp;"-"&amp;COUNTIF($F$10:F223,F223))</f>
        <v/>
      </c>
      <c r="AH223" s="51" t="str">
        <f aca="false">IF(F223="","",IF(F223="CM2","CM2-"&amp;COUNTIF($F$10:F223,"CM2"),"P-"&amp;COUNTIFS($F$10:F223,"&lt;&gt;CM2",$F$10:F223,"&lt;&gt;")))</f>
        <v/>
      </c>
      <c r="AI223" s="51" t="str">
        <f aca="false">IF(F223="","",IF(LEFT(F223,2)="CP","CP-"&amp;COUNTIF($F$10:F223,"CP*"),IF(F223="CE1","CE1-"&amp;COUNTIF($F$10:F223,"CE1"),IF(F223="CM2","CM2-"&amp;COUNTIF($F$10:F223,"CM2"),"CEM-"&amp;(COUNTIF($F$10:F223,"CE2")+COUNTIF($F$10:F223,"CM1"))))))</f>
        <v/>
      </c>
    </row>
    <row r="224" customFormat="false" ht="15" hidden="false" customHeight="false" outlineLevel="0" collapsed="false">
      <c r="A224" s="45" t="str">
        <f aca="false">IF(D224="","",ROW()-9)</f>
        <v/>
      </c>
      <c r="B224" s="45" t="str">
        <f aca="false">IF(F224="","",F224&amp;"-"&amp;TEXT(COUNTIF($F$10:F224,F224),"000")&amp;"-"&amp;RIGHT(LEFT(PARAMETRES!$C$9,4),2))</f>
        <v/>
      </c>
      <c r="C224" s="58"/>
      <c r="D224" s="45"/>
      <c r="E224" s="45"/>
      <c r="F224" s="45"/>
      <c r="G224" s="59"/>
      <c r="H224" s="45" t="str">
        <f aca="false">IF(G224="","",DATEDIF(G224,PARAMETRES!$C$13,"y"))</f>
        <v/>
      </c>
      <c r="I224" s="45"/>
      <c r="J224" s="45"/>
      <c r="K224" s="45"/>
      <c r="L224" s="45"/>
      <c r="M224" s="45"/>
      <c r="N224" s="59"/>
      <c r="O224" s="45"/>
      <c r="P224" s="45"/>
      <c r="Q224" s="45"/>
      <c r="R224" s="45"/>
      <c r="S224" s="45"/>
      <c r="T224" s="45"/>
      <c r="U224" s="45"/>
      <c r="V224" s="45"/>
      <c r="W224" s="45"/>
      <c r="X224" s="45"/>
      <c r="Y224" s="45"/>
      <c r="Z224" s="45"/>
      <c r="AA224" s="45"/>
      <c r="AB224" s="45"/>
      <c r="AC224" s="45"/>
      <c r="AD224" s="45"/>
      <c r="AE224" s="45"/>
      <c r="AF224" s="45"/>
      <c r="AG224" s="51" t="str">
        <f aca="false">IF(F224="","",F224&amp;"-"&amp;COUNTIF($F$10:F224,F224))</f>
        <v/>
      </c>
      <c r="AH224" s="51" t="str">
        <f aca="false">IF(F224="","",IF(F224="CM2","CM2-"&amp;COUNTIF($F$10:F224,"CM2"),"P-"&amp;COUNTIFS($F$10:F224,"&lt;&gt;CM2",$F$10:F224,"&lt;&gt;")))</f>
        <v/>
      </c>
      <c r="AI224" s="51" t="str">
        <f aca="false">IF(F224="","",IF(LEFT(F224,2)="CP","CP-"&amp;COUNTIF($F$10:F224,"CP*"),IF(F224="CE1","CE1-"&amp;COUNTIF($F$10:F224,"CE1"),IF(F224="CM2","CM2-"&amp;COUNTIF($F$10:F224,"CM2"),"CEM-"&amp;(COUNTIF($F$10:F224,"CE2")+COUNTIF($F$10:F224,"CM1"))))))</f>
        <v/>
      </c>
    </row>
    <row r="225" customFormat="false" ht="15" hidden="false" customHeight="false" outlineLevel="0" collapsed="false">
      <c r="A225" s="45" t="str">
        <f aca="false">IF(D225="","",ROW()-9)</f>
        <v/>
      </c>
      <c r="B225" s="45" t="str">
        <f aca="false">IF(F225="","",F225&amp;"-"&amp;TEXT(COUNTIF($F$10:F225,F225),"000")&amp;"-"&amp;RIGHT(LEFT(PARAMETRES!$C$9,4),2))</f>
        <v/>
      </c>
      <c r="C225" s="58"/>
      <c r="D225" s="45"/>
      <c r="E225" s="45"/>
      <c r="F225" s="45"/>
      <c r="G225" s="59"/>
      <c r="H225" s="45" t="str">
        <f aca="false">IF(G225="","",DATEDIF(G225,PARAMETRES!$C$13,"y"))</f>
        <v/>
      </c>
      <c r="I225" s="45"/>
      <c r="J225" s="45"/>
      <c r="K225" s="45"/>
      <c r="L225" s="45"/>
      <c r="M225" s="45"/>
      <c r="N225" s="59"/>
      <c r="O225" s="45"/>
      <c r="P225" s="45"/>
      <c r="Q225" s="45"/>
      <c r="R225" s="45"/>
      <c r="S225" s="45"/>
      <c r="T225" s="45"/>
      <c r="U225" s="45"/>
      <c r="V225" s="45"/>
      <c r="W225" s="45"/>
      <c r="X225" s="45"/>
      <c r="Y225" s="45"/>
      <c r="Z225" s="45"/>
      <c r="AA225" s="45"/>
      <c r="AB225" s="45"/>
      <c r="AC225" s="45"/>
      <c r="AD225" s="45"/>
      <c r="AE225" s="45"/>
      <c r="AF225" s="45"/>
      <c r="AG225" s="51" t="str">
        <f aca="false">IF(F225="","",F225&amp;"-"&amp;COUNTIF($F$10:F225,F225))</f>
        <v/>
      </c>
      <c r="AH225" s="51" t="str">
        <f aca="false">IF(F225="","",IF(F225="CM2","CM2-"&amp;COUNTIF($F$10:F225,"CM2"),"P-"&amp;COUNTIFS($F$10:F225,"&lt;&gt;CM2",$F$10:F225,"&lt;&gt;")))</f>
        <v/>
      </c>
      <c r="AI225" s="51" t="str">
        <f aca="false">IF(F225="","",IF(LEFT(F225,2)="CP","CP-"&amp;COUNTIF($F$10:F225,"CP*"),IF(F225="CE1","CE1-"&amp;COUNTIF($F$10:F225,"CE1"),IF(F225="CM2","CM2-"&amp;COUNTIF($F$10:F225,"CM2"),"CEM-"&amp;(COUNTIF($F$10:F225,"CE2")+COUNTIF($F$10:F225,"CM1"))))))</f>
        <v/>
      </c>
    </row>
    <row r="226" customFormat="false" ht="15" hidden="false" customHeight="false" outlineLevel="0" collapsed="false">
      <c r="A226" s="45" t="str">
        <f aca="false">IF(D226="","",ROW()-9)</f>
        <v/>
      </c>
      <c r="B226" s="45" t="str">
        <f aca="false">IF(F226="","",F226&amp;"-"&amp;TEXT(COUNTIF($F$10:F226,F226),"000")&amp;"-"&amp;RIGHT(LEFT(PARAMETRES!$C$9,4),2))</f>
        <v/>
      </c>
      <c r="C226" s="58"/>
      <c r="D226" s="45"/>
      <c r="E226" s="45"/>
      <c r="F226" s="45"/>
      <c r="G226" s="59"/>
      <c r="H226" s="45" t="str">
        <f aca="false">IF(G226="","",DATEDIF(G226,PARAMETRES!$C$13,"y"))</f>
        <v/>
      </c>
      <c r="I226" s="45"/>
      <c r="J226" s="45"/>
      <c r="K226" s="45"/>
      <c r="L226" s="45"/>
      <c r="M226" s="45"/>
      <c r="N226" s="59"/>
      <c r="O226" s="45"/>
      <c r="P226" s="45"/>
      <c r="Q226" s="45"/>
      <c r="R226" s="45"/>
      <c r="S226" s="45"/>
      <c r="T226" s="45"/>
      <c r="U226" s="45"/>
      <c r="V226" s="45"/>
      <c r="W226" s="45"/>
      <c r="X226" s="45"/>
      <c r="Y226" s="45"/>
      <c r="Z226" s="45"/>
      <c r="AA226" s="45"/>
      <c r="AB226" s="45"/>
      <c r="AC226" s="45"/>
      <c r="AD226" s="45"/>
      <c r="AE226" s="45"/>
      <c r="AF226" s="45"/>
      <c r="AG226" s="51" t="str">
        <f aca="false">IF(F226="","",F226&amp;"-"&amp;COUNTIF($F$10:F226,F226))</f>
        <v/>
      </c>
      <c r="AH226" s="51" t="str">
        <f aca="false">IF(F226="","",IF(F226="CM2","CM2-"&amp;COUNTIF($F$10:F226,"CM2"),"P-"&amp;COUNTIFS($F$10:F226,"&lt;&gt;CM2",$F$10:F226,"&lt;&gt;")))</f>
        <v/>
      </c>
      <c r="AI226" s="51" t="str">
        <f aca="false">IF(F226="","",IF(LEFT(F226,2)="CP","CP-"&amp;COUNTIF($F$10:F226,"CP*"),IF(F226="CE1","CE1-"&amp;COUNTIF($F$10:F226,"CE1"),IF(F226="CM2","CM2-"&amp;COUNTIF($F$10:F226,"CM2"),"CEM-"&amp;(COUNTIF($F$10:F226,"CE2")+COUNTIF($F$10:F226,"CM1"))))))</f>
        <v/>
      </c>
    </row>
    <row r="227" customFormat="false" ht="15" hidden="false" customHeight="false" outlineLevel="0" collapsed="false">
      <c r="A227" s="45" t="str">
        <f aca="false">IF(D227="","",ROW()-9)</f>
        <v/>
      </c>
      <c r="B227" s="45" t="str">
        <f aca="false">IF(F227="","",F227&amp;"-"&amp;TEXT(COUNTIF($F$10:F227,F227),"000")&amp;"-"&amp;RIGHT(LEFT(PARAMETRES!$C$9,4),2))</f>
        <v/>
      </c>
      <c r="C227" s="58"/>
      <c r="D227" s="45"/>
      <c r="E227" s="45"/>
      <c r="F227" s="45"/>
      <c r="G227" s="59"/>
      <c r="H227" s="45" t="str">
        <f aca="false">IF(G227="","",DATEDIF(G227,PARAMETRES!$C$13,"y"))</f>
        <v/>
      </c>
      <c r="I227" s="45"/>
      <c r="J227" s="45"/>
      <c r="K227" s="45"/>
      <c r="L227" s="45"/>
      <c r="M227" s="45"/>
      <c r="N227" s="59"/>
      <c r="O227" s="45"/>
      <c r="P227" s="45"/>
      <c r="Q227" s="45"/>
      <c r="R227" s="45"/>
      <c r="S227" s="45"/>
      <c r="T227" s="45"/>
      <c r="U227" s="45"/>
      <c r="V227" s="45"/>
      <c r="W227" s="45"/>
      <c r="X227" s="45"/>
      <c r="Y227" s="45"/>
      <c r="Z227" s="45"/>
      <c r="AA227" s="45"/>
      <c r="AB227" s="45"/>
      <c r="AC227" s="45"/>
      <c r="AD227" s="45"/>
      <c r="AE227" s="45"/>
      <c r="AF227" s="45"/>
      <c r="AG227" s="51" t="str">
        <f aca="false">IF(F227="","",F227&amp;"-"&amp;COUNTIF($F$10:F227,F227))</f>
        <v/>
      </c>
      <c r="AH227" s="51" t="str">
        <f aca="false">IF(F227="","",IF(F227="CM2","CM2-"&amp;COUNTIF($F$10:F227,"CM2"),"P-"&amp;COUNTIFS($F$10:F227,"&lt;&gt;CM2",$F$10:F227,"&lt;&gt;")))</f>
        <v/>
      </c>
      <c r="AI227" s="51" t="str">
        <f aca="false">IF(F227="","",IF(LEFT(F227,2)="CP","CP-"&amp;COUNTIF($F$10:F227,"CP*"),IF(F227="CE1","CE1-"&amp;COUNTIF($F$10:F227,"CE1"),IF(F227="CM2","CM2-"&amp;COUNTIF($F$10:F227,"CM2"),"CEM-"&amp;(COUNTIF($F$10:F227,"CE2")+COUNTIF($F$10:F227,"CM1"))))))</f>
        <v/>
      </c>
    </row>
    <row r="228" customFormat="false" ht="15" hidden="false" customHeight="false" outlineLevel="0" collapsed="false">
      <c r="A228" s="45" t="str">
        <f aca="false">IF(D228="","",ROW()-9)</f>
        <v/>
      </c>
      <c r="B228" s="45" t="str">
        <f aca="false">IF(F228="","",F228&amp;"-"&amp;TEXT(COUNTIF($F$10:F228,F228),"000")&amp;"-"&amp;RIGHT(LEFT(PARAMETRES!$C$9,4),2))</f>
        <v/>
      </c>
      <c r="C228" s="58"/>
      <c r="D228" s="45"/>
      <c r="E228" s="45"/>
      <c r="F228" s="45"/>
      <c r="G228" s="59"/>
      <c r="H228" s="45" t="str">
        <f aca="false">IF(G228="","",DATEDIF(G228,PARAMETRES!$C$13,"y"))</f>
        <v/>
      </c>
      <c r="I228" s="45"/>
      <c r="J228" s="45"/>
      <c r="K228" s="45"/>
      <c r="L228" s="45"/>
      <c r="M228" s="45"/>
      <c r="N228" s="59"/>
      <c r="O228" s="45"/>
      <c r="P228" s="45"/>
      <c r="Q228" s="45"/>
      <c r="R228" s="45"/>
      <c r="S228" s="45"/>
      <c r="T228" s="45"/>
      <c r="U228" s="45"/>
      <c r="V228" s="45"/>
      <c r="W228" s="45"/>
      <c r="X228" s="45"/>
      <c r="Y228" s="45"/>
      <c r="Z228" s="45"/>
      <c r="AA228" s="45"/>
      <c r="AB228" s="45"/>
      <c r="AC228" s="45"/>
      <c r="AD228" s="45"/>
      <c r="AE228" s="45"/>
      <c r="AF228" s="45"/>
      <c r="AG228" s="51" t="str">
        <f aca="false">IF(F228="","",F228&amp;"-"&amp;COUNTIF($F$10:F228,F228))</f>
        <v/>
      </c>
      <c r="AH228" s="51" t="str">
        <f aca="false">IF(F228="","",IF(F228="CM2","CM2-"&amp;COUNTIF($F$10:F228,"CM2"),"P-"&amp;COUNTIFS($F$10:F228,"&lt;&gt;CM2",$F$10:F228,"&lt;&gt;")))</f>
        <v/>
      </c>
      <c r="AI228" s="51" t="str">
        <f aca="false">IF(F228="","",IF(LEFT(F228,2)="CP","CP-"&amp;COUNTIF($F$10:F228,"CP*"),IF(F228="CE1","CE1-"&amp;COUNTIF($F$10:F228,"CE1"),IF(F228="CM2","CM2-"&amp;COUNTIF($F$10:F228,"CM2"),"CEM-"&amp;(COUNTIF($F$10:F228,"CE2")+COUNTIF($F$10:F228,"CM1"))))))</f>
        <v/>
      </c>
    </row>
    <row r="229" customFormat="false" ht="15" hidden="false" customHeight="false" outlineLevel="0" collapsed="false">
      <c r="A229" s="45" t="str">
        <f aca="false">IF(D229="","",ROW()-9)</f>
        <v/>
      </c>
      <c r="B229" s="45" t="str">
        <f aca="false">IF(F229="","",F229&amp;"-"&amp;TEXT(COUNTIF($F$10:F229,F229),"000")&amp;"-"&amp;RIGHT(LEFT(PARAMETRES!$C$9,4),2))</f>
        <v/>
      </c>
      <c r="C229" s="58"/>
      <c r="D229" s="45"/>
      <c r="E229" s="45"/>
      <c r="F229" s="45"/>
      <c r="G229" s="59"/>
      <c r="H229" s="45" t="str">
        <f aca="false">IF(G229="","",DATEDIF(G229,PARAMETRES!$C$13,"y"))</f>
        <v/>
      </c>
      <c r="I229" s="45"/>
      <c r="J229" s="45"/>
      <c r="K229" s="45"/>
      <c r="L229" s="45"/>
      <c r="M229" s="45"/>
      <c r="N229" s="59"/>
      <c r="O229" s="45"/>
      <c r="P229" s="45"/>
      <c r="Q229" s="45"/>
      <c r="R229" s="45"/>
      <c r="S229" s="45"/>
      <c r="T229" s="45"/>
      <c r="U229" s="45"/>
      <c r="V229" s="45"/>
      <c r="W229" s="45"/>
      <c r="X229" s="45"/>
      <c r="Y229" s="45"/>
      <c r="Z229" s="45"/>
      <c r="AA229" s="45"/>
      <c r="AB229" s="45"/>
      <c r="AC229" s="45"/>
      <c r="AD229" s="45"/>
      <c r="AE229" s="45"/>
      <c r="AF229" s="45"/>
      <c r="AG229" s="51" t="str">
        <f aca="false">IF(F229="","",F229&amp;"-"&amp;COUNTIF($F$10:F229,F229))</f>
        <v/>
      </c>
      <c r="AH229" s="51" t="str">
        <f aca="false">IF(F229="","",IF(F229="CM2","CM2-"&amp;COUNTIF($F$10:F229,"CM2"),"P-"&amp;COUNTIFS($F$10:F229,"&lt;&gt;CM2",$F$10:F229,"&lt;&gt;")))</f>
        <v/>
      </c>
      <c r="AI229" s="51" t="str">
        <f aca="false">IF(F229="","",IF(LEFT(F229,2)="CP","CP-"&amp;COUNTIF($F$10:F229,"CP*"),IF(F229="CE1","CE1-"&amp;COUNTIF($F$10:F229,"CE1"),IF(F229="CM2","CM2-"&amp;COUNTIF($F$10:F229,"CM2"),"CEM-"&amp;(COUNTIF($F$10:F229,"CE2")+COUNTIF($F$10:F229,"CM1"))))))</f>
        <v/>
      </c>
    </row>
    <row r="230" customFormat="false" ht="15" hidden="false" customHeight="false" outlineLevel="0" collapsed="false">
      <c r="A230" s="45" t="str">
        <f aca="false">IF(D230="","",ROW()-9)</f>
        <v/>
      </c>
      <c r="B230" s="45" t="str">
        <f aca="false">IF(F230="","",F230&amp;"-"&amp;TEXT(COUNTIF($F$10:F230,F230),"000")&amp;"-"&amp;RIGHT(LEFT(PARAMETRES!$C$9,4),2))</f>
        <v/>
      </c>
      <c r="C230" s="58"/>
      <c r="D230" s="45"/>
      <c r="E230" s="45"/>
      <c r="F230" s="45"/>
      <c r="G230" s="59"/>
      <c r="H230" s="45" t="str">
        <f aca="false">IF(G230="","",DATEDIF(G230,PARAMETRES!$C$13,"y"))</f>
        <v/>
      </c>
      <c r="I230" s="45"/>
      <c r="J230" s="45"/>
      <c r="K230" s="45"/>
      <c r="L230" s="45"/>
      <c r="M230" s="45"/>
      <c r="N230" s="59"/>
      <c r="O230" s="45"/>
      <c r="P230" s="45"/>
      <c r="Q230" s="45"/>
      <c r="R230" s="45"/>
      <c r="S230" s="45"/>
      <c r="T230" s="45"/>
      <c r="U230" s="45"/>
      <c r="V230" s="45"/>
      <c r="W230" s="45"/>
      <c r="X230" s="45"/>
      <c r="Y230" s="45"/>
      <c r="Z230" s="45"/>
      <c r="AA230" s="45"/>
      <c r="AB230" s="45"/>
      <c r="AC230" s="45"/>
      <c r="AD230" s="45"/>
      <c r="AE230" s="45"/>
      <c r="AF230" s="45"/>
      <c r="AG230" s="51" t="str">
        <f aca="false">IF(F230="","",F230&amp;"-"&amp;COUNTIF($F$10:F230,F230))</f>
        <v/>
      </c>
      <c r="AH230" s="51" t="str">
        <f aca="false">IF(F230="","",IF(F230="CM2","CM2-"&amp;COUNTIF($F$10:F230,"CM2"),"P-"&amp;COUNTIFS($F$10:F230,"&lt;&gt;CM2",$F$10:F230,"&lt;&gt;")))</f>
        <v/>
      </c>
      <c r="AI230" s="51" t="str">
        <f aca="false">IF(F230="","",IF(LEFT(F230,2)="CP","CP-"&amp;COUNTIF($F$10:F230,"CP*"),IF(F230="CE1","CE1-"&amp;COUNTIF($F$10:F230,"CE1"),IF(F230="CM2","CM2-"&amp;COUNTIF($F$10:F230,"CM2"),"CEM-"&amp;(COUNTIF($F$10:F230,"CE2")+COUNTIF($F$10:F230,"CM1"))))))</f>
        <v/>
      </c>
    </row>
    <row r="231" customFormat="false" ht="15" hidden="false" customHeight="false" outlineLevel="0" collapsed="false">
      <c r="A231" s="45" t="str">
        <f aca="false">IF(D231="","",ROW()-9)</f>
        <v/>
      </c>
      <c r="B231" s="45" t="str">
        <f aca="false">IF(F231="","",F231&amp;"-"&amp;TEXT(COUNTIF($F$10:F231,F231),"000")&amp;"-"&amp;RIGHT(LEFT(PARAMETRES!$C$9,4),2))</f>
        <v/>
      </c>
      <c r="C231" s="58"/>
      <c r="D231" s="45"/>
      <c r="E231" s="45"/>
      <c r="F231" s="45"/>
      <c r="G231" s="59"/>
      <c r="H231" s="45" t="str">
        <f aca="false">IF(G231="","",DATEDIF(G231,PARAMETRES!$C$13,"y"))</f>
        <v/>
      </c>
      <c r="I231" s="45"/>
      <c r="J231" s="45"/>
      <c r="K231" s="45"/>
      <c r="L231" s="45"/>
      <c r="M231" s="45"/>
      <c r="N231" s="59"/>
      <c r="O231" s="45"/>
      <c r="P231" s="45"/>
      <c r="Q231" s="45"/>
      <c r="R231" s="45"/>
      <c r="S231" s="45"/>
      <c r="T231" s="45"/>
      <c r="U231" s="45"/>
      <c r="V231" s="45"/>
      <c r="W231" s="45"/>
      <c r="X231" s="45"/>
      <c r="Y231" s="45"/>
      <c r="Z231" s="45"/>
      <c r="AA231" s="45"/>
      <c r="AB231" s="45"/>
      <c r="AC231" s="45"/>
      <c r="AD231" s="45"/>
      <c r="AE231" s="45"/>
      <c r="AF231" s="45"/>
      <c r="AG231" s="51" t="str">
        <f aca="false">IF(F231="","",F231&amp;"-"&amp;COUNTIF($F$10:F231,F231))</f>
        <v/>
      </c>
      <c r="AH231" s="51" t="str">
        <f aca="false">IF(F231="","",IF(F231="CM2","CM2-"&amp;COUNTIF($F$10:F231,"CM2"),"P-"&amp;COUNTIFS($F$10:F231,"&lt;&gt;CM2",$F$10:F231,"&lt;&gt;")))</f>
        <v/>
      </c>
      <c r="AI231" s="51" t="str">
        <f aca="false">IF(F231="","",IF(LEFT(F231,2)="CP","CP-"&amp;COUNTIF($F$10:F231,"CP*"),IF(F231="CE1","CE1-"&amp;COUNTIF($F$10:F231,"CE1"),IF(F231="CM2","CM2-"&amp;COUNTIF($F$10:F231,"CM2"),"CEM-"&amp;(COUNTIF($F$10:F231,"CE2")+COUNTIF($F$10:F231,"CM1"))))))</f>
        <v/>
      </c>
    </row>
    <row r="232" customFormat="false" ht="15" hidden="false" customHeight="false" outlineLevel="0" collapsed="false">
      <c r="A232" s="45" t="str">
        <f aca="false">IF(D232="","",ROW()-9)</f>
        <v/>
      </c>
      <c r="B232" s="45" t="str">
        <f aca="false">IF(F232="","",F232&amp;"-"&amp;TEXT(COUNTIF($F$10:F232,F232),"000")&amp;"-"&amp;RIGHT(LEFT(PARAMETRES!$C$9,4),2))</f>
        <v/>
      </c>
      <c r="C232" s="58"/>
      <c r="D232" s="45"/>
      <c r="E232" s="45"/>
      <c r="F232" s="45"/>
      <c r="G232" s="59"/>
      <c r="H232" s="45" t="str">
        <f aca="false">IF(G232="","",DATEDIF(G232,PARAMETRES!$C$13,"y"))</f>
        <v/>
      </c>
      <c r="I232" s="45"/>
      <c r="J232" s="45"/>
      <c r="K232" s="45"/>
      <c r="L232" s="45"/>
      <c r="M232" s="45"/>
      <c r="N232" s="59"/>
      <c r="O232" s="45"/>
      <c r="P232" s="45"/>
      <c r="Q232" s="45"/>
      <c r="R232" s="45"/>
      <c r="S232" s="45"/>
      <c r="T232" s="45"/>
      <c r="U232" s="45"/>
      <c r="V232" s="45"/>
      <c r="W232" s="45"/>
      <c r="X232" s="45"/>
      <c r="Y232" s="45"/>
      <c r="Z232" s="45"/>
      <c r="AA232" s="45"/>
      <c r="AB232" s="45"/>
      <c r="AC232" s="45"/>
      <c r="AD232" s="45"/>
      <c r="AE232" s="45"/>
      <c r="AF232" s="45"/>
      <c r="AG232" s="51" t="str">
        <f aca="false">IF(F232="","",F232&amp;"-"&amp;COUNTIF($F$10:F232,F232))</f>
        <v/>
      </c>
      <c r="AH232" s="51" t="str">
        <f aca="false">IF(F232="","",IF(F232="CM2","CM2-"&amp;COUNTIF($F$10:F232,"CM2"),"P-"&amp;COUNTIFS($F$10:F232,"&lt;&gt;CM2",$F$10:F232,"&lt;&gt;")))</f>
        <v/>
      </c>
      <c r="AI232" s="51" t="str">
        <f aca="false">IF(F232="","",IF(LEFT(F232,2)="CP","CP-"&amp;COUNTIF($F$10:F232,"CP*"),IF(F232="CE1","CE1-"&amp;COUNTIF($F$10:F232,"CE1"),IF(F232="CM2","CM2-"&amp;COUNTIF($F$10:F232,"CM2"),"CEM-"&amp;(COUNTIF($F$10:F232,"CE2")+COUNTIF($F$10:F232,"CM1"))))))</f>
        <v/>
      </c>
    </row>
    <row r="233" customFormat="false" ht="15" hidden="false" customHeight="false" outlineLevel="0" collapsed="false">
      <c r="A233" s="45" t="str">
        <f aca="false">IF(D233="","",ROW()-9)</f>
        <v/>
      </c>
      <c r="B233" s="45" t="str">
        <f aca="false">IF(F233="","",F233&amp;"-"&amp;TEXT(COUNTIF($F$10:F233,F233),"000")&amp;"-"&amp;RIGHT(LEFT(PARAMETRES!$C$9,4),2))</f>
        <v/>
      </c>
      <c r="C233" s="58"/>
      <c r="D233" s="45"/>
      <c r="E233" s="45"/>
      <c r="F233" s="45"/>
      <c r="G233" s="59"/>
      <c r="H233" s="45" t="str">
        <f aca="false">IF(G233="","",DATEDIF(G233,PARAMETRES!$C$13,"y"))</f>
        <v/>
      </c>
      <c r="I233" s="45"/>
      <c r="J233" s="45"/>
      <c r="K233" s="45"/>
      <c r="L233" s="45"/>
      <c r="M233" s="45"/>
      <c r="N233" s="59"/>
      <c r="O233" s="45"/>
      <c r="P233" s="45"/>
      <c r="Q233" s="45"/>
      <c r="R233" s="45"/>
      <c r="S233" s="45"/>
      <c r="T233" s="45"/>
      <c r="U233" s="45"/>
      <c r="V233" s="45"/>
      <c r="W233" s="45"/>
      <c r="X233" s="45"/>
      <c r="Y233" s="45"/>
      <c r="Z233" s="45"/>
      <c r="AA233" s="45"/>
      <c r="AB233" s="45"/>
      <c r="AC233" s="45"/>
      <c r="AD233" s="45"/>
      <c r="AE233" s="45"/>
      <c r="AF233" s="45"/>
      <c r="AG233" s="51" t="str">
        <f aca="false">IF(F233="","",F233&amp;"-"&amp;COUNTIF($F$10:F233,F233))</f>
        <v/>
      </c>
      <c r="AH233" s="51" t="str">
        <f aca="false">IF(F233="","",IF(F233="CM2","CM2-"&amp;COUNTIF($F$10:F233,"CM2"),"P-"&amp;COUNTIFS($F$10:F233,"&lt;&gt;CM2",$F$10:F233,"&lt;&gt;")))</f>
        <v/>
      </c>
      <c r="AI233" s="51" t="str">
        <f aca="false">IF(F233="","",IF(LEFT(F233,2)="CP","CP-"&amp;COUNTIF($F$10:F233,"CP*"),IF(F233="CE1","CE1-"&amp;COUNTIF($F$10:F233,"CE1"),IF(F233="CM2","CM2-"&amp;COUNTIF($F$10:F233,"CM2"),"CEM-"&amp;(COUNTIF($F$10:F233,"CE2")+COUNTIF($F$10:F233,"CM1"))))))</f>
        <v/>
      </c>
    </row>
    <row r="234" customFormat="false" ht="15" hidden="false" customHeight="false" outlineLevel="0" collapsed="false">
      <c r="A234" s="45" t="str">
        <f aca="false">IF(D234="","",ROW()-9)</f>
        <v/>
      </c>
      <c r="B234" s="45" t="str">
        <f aca="false">IF(F234="","",F234&amp;"-"&amp;TEXT(COUNTIF($F$10:F234,F234),"000")&amp;"-"&amp;RIGHT(LEFT(PARAMETRES!$C$9,4),2))</f>
        <v/>
      </c>
      <c r="C234" s="58"/>
      <c r="D234" s="45"/>
      <c r="E234" s="45"/>
      <c r="F234" s="45"/>
      <c r="G234" s="59"/>
      <c r="H234" s="45" t="str">
        <f aca="false">IF(G234="","",DATEDIF(G234,PARAMETRES!$C$13,"y"))</f>
        <v/>
      </c>
      <c r="I234" s="45"/>
      <c r="J234" s="45"/>
      <c r="K234" s="45"/>
      <c r="L234" s="45"/>
      <c r="M234" s="45"/>
      <c r="N234" s="59"/>
      <c r="O234" s="45"/>
      <c r="P234" s="45"/>
      <c r="Q234" s="45"/>
      <c r="R234" s="45"/>
      <c r="S234" s="45"/>
      <c r="T234" s="45"/>
      <c r="U234" s="45"/>
      <c r="V234" s="45"/>
      <c r="W234" s="45"/>
      <c r="X234" s="45"/>
      <c r="Y234" s="45"/>
      <c r="Z234" s="45"/>
      <c r="AA234" s="45"/>
      <c r="AB234" s="45"/>
      <c r="AC234" s="45"/>
      <c r="AD234" s="45"/>
      <c r="AE234" s="45"/>
      <c r="AF234" s="45"/>
      <c r="AG234" s="51" t="str">
        <f aca="false">IF(F234="","",F234&amp;"-"&amp;COUNTIF($F$10:F234,F234))</f>
        <v/>
      </c>
      <c r="AH234" s="51" t="str">
        <f aca="false">IF(F234="","",IF(F234="CM2","CM2-"&amp;COUNTIF($F$10:F234,"CM2"),"P-"&amp;COUNTIFS($F$10:F234,"&lt;&gt;CM2",$F$10:F234,"&lt;&gt;")))</f>
        <v/>
      </c>
      <c r="AI234" s="51" t="str">
        <f aca="false">IF(F234="","",IF(LEFT(F234,2)="CP","CP-"&amp;COUNTIF($F$10:F234,"CP*"),IF(F234="CE1","CE1-"&amp;COUNTIF($F$10:F234,"CE1"),IF(F234="CM2","CM2-"&amp;COUNTIF($F$10:F234,"CM2"),"CEM-"&amp;(COUNTIF($F$10:F234,"CE2")+COUNTIF($F$10:F234,"CM1"))))))</f>
        <v/>
      </c>
    </row>
    <row r="235" customFormat="false" ht="15" hidden="false" customHeight="false" outlineLevel="0" collapsed="false">
      <c r="A235" s="45" t="str">
        <f aca="false">IF(D235="","",ROW()-9)</f>
        <v/>
      </c>
      <c r="B235" s="45" t="str">
        <f aca="false">IF(F235="","",F235&amp;"-"&amp;TEXT(COUNTIF($F$10:F235,F235),"000")&amp;"-"&amp;RIGHT(LEFT(PARAMETRES!$C$9,4),2))</f>
        <v/>
      </c>
      <c r="C235" s="58"/>
      <c r="D235" s="45"/>
      <c r="E235" s="45"/>
      <c r="F235" s="45"/>
      <c r="G235" s="59"/>
      <c r="H235" s="45" t="str">
        <f aca="false">IF(G235="","",DATEDIF(G235,PARAMETRES!$C$13,"y"))</f>
        <v/>
      </c>
      <c r="I235" s="45"/>
      <c r="J235" s="45"/>
      <c r="K235" s="45"/>
      <c r="L235" s="45"/>
      <c r="M235" s="45"/>
      <c r="N235" s="59"/>
      <c r="O235" s="45"/>
      <c r="P235" s="45"/>
      <c r="Q235" s="45"/>
      <c r="R235" s="45"/>
      <c r="S235" s="45"/>
      <c r="T235" s="45"/>
      <c r="U235" s="45"/>
      <c r="V235" s="45"/>
      <c r="W235" s="45"/>
      <c r="X235" s="45"/>
      <c r="Y235" s="45"/>
      <c r="Z235" s="45"/>
      <c r="AA235" s="45"/>
      <c r="AB235" s="45"/>
      <c r="AC235" s="45"/>
      <c r="AD235" s="45"/>
      <c r="AE235" s="45"/>
      <c r="AF235" s="45"/>
      <c r="AG235" s="51" t="str">
        <f aca="false">IF(F235="","",F235&amp;"-"&amp;COUNTIF($F$10:F235,F235))</f>
        <v/>
      </c>
      <c r="AH235" s="51" t="str">
        <f aca="false">IF(F235="","",IF(F235="CM2","CM2-"&amp;COUNTIF($F$10:F235,"CM2"),"P-"&amp;COUNTIFS($F$10:F235,"&lt;&gt;CM2",$F$10:F235,"&lt;&gt;")))</f>
        <v/>
      </c>
      <c r="AI235" s="51" t="str">
        <f aca="false">IF(F235="","",IF(LEFT(F235,2)="CP","CP-"&amp;COUNTIF($F$10:F235,"CP*"),IF(F235="CE1","CE1-"&amp;COUNTIF($F$10:F235,"CE1"),IF(F235="CM2","CM2-"&amp;COUNTIF($F$10:F235,"CM2"),"CEM-"&amp;(COUNTIF($F$10:F235,"CE2")+COUNTIF($F$10:F235,"CM1"))))))</f>
        <v/>
      </c>
    </row>
    <row r="236" customFormat="false" ht="15" hidden="false" customHeight="false" outlineLevel="0" collapsed="false">
      <c r="A236" s="45" t="str">
        <f aca="false">IF(D236="","",ROW()-9)</f>
        <v/>
      </c>
      <c r="B236" s="45" t="str">
        <f aca="false">IF(F236="","",F236&amp;"-"&amp;TEXT(COUNTIF($F$10:F236,F236),"000")&amp;"-"&amp;RIGHT(LEFT(PARAMETRES!$C$9,4),2))</f>
        <v/>
      </c>
      <c r="C236" s="58"/>
      <c r="D236" s="45"/>
      <c r="E236" s="45"/>
      <c r="F236" s="45"/>
      <c r="G236" s="59"/>
      <c r="H236" s="45" t="str">
        <f aca="false">IF(G236="","",DATEDIF(G236,PARAMETRES!$C$13,"y"))</f>
        <v/>
      </c>
      <c r="I236" s="45"/>
      <c r="J236" s="45"/>
      <c r="K236" s="45"/>
      <c r="L236" s="45"/>
      <c r="M236" s="45"/>
      <c r="N236" s="59"/>
      <c r="O236" s="45"/>
      <c r="P236" s="45"/>
      <c r="Q236" s="45"/>
      <c r="R236" s="45"/>
      <c r="S236" s="45"/>
      <c r="T236" s="45"/>
      <c r="U236" s="45"/>
      <c r="V236" s="45"/>
      <c r="W236" s="45"/>
      <c r="X236" s="45"/>
      <c r="Y236" s="45"/>
      <c r="Z236" s="45"/>
      <c r="AA236" s="45"/>
      <c r="AB236" s="45"/>
      <c r="AC236" s="45"/>
      <c r="AD236" s="45"/>
      <c r="AE236" s="45"/>
      <c r="AF236" s="45"/>
      <c r="AG236" s="51" t="str">
        <f aca="false">IF(F236="","",F236&amp;"-"&amp;COUNTIF($F$10:F236,F236))</f>
        <v/>
      </c>
      <c r="AH236" s="51" t="str">
        <f aca="false">IF(F236="","",IF(F236="CM2","CM2-"&amp;COUNTIF($F$10:F236,"CM2"),"P-"&amp;COUNTIFS($F$10:F236,"&lt;&gt;CM2",$F$10:F236,"&lt;&gt;")))</f>
        <v/>
      </c>
      <c r="AI236" s="51" t="str">
        <f aca="false">IF(F236="","",IF(LEFT(F236,2)="CP","CP-"&amp;COUNTIF($F$10:F236,"CP*"),IF(F236="CE1","CE1-"&amp;COUNTIF($F$10:F236,"CE1"),IF(F236="CM2","CM2-"&amp;COUNTIF($F$10:F236,"CM2"),"CEM-"&amp;(COUNTIF($F$10:F236,"CE2")+COUNTIF($F$10:F236,"CM1"))))))</f>
        <v/>
      </c>
    </row>
    <row r="237" customFormat="false" ht="15" hidden="false" customHeight="false" outlineLevel="0" collapsed="false">
      <c r="A237" s="45" t="str">
        <f aca="false">IF(D237="","",ROW()-9)</f>
        <v/>
      </c>
      <c r="B237" s="45" t="str">
        <f aca="false">IF(F237="","",F237&amp;"-"&amp;TEXT(COUNTIF($F$10:F237,F237),"000")&amp;"-"&amp;RIGHT(LEFT(PARAMETRES!$C$9,4),2))</f>
        <v/>
      </c>
      <c r="C237" s="58"/>
      <c r="D237" s="45"/>
      <c r="E237" s="45"/>
      <c r="F237" s="45"/>
      <c r="G237" s="59"/>
      <c r="H237" s="45" t="str">
        <f aca="false">IF(G237="","",DATEDIF(G237,PARAMETRES!$C$13,"y"))</f>
        <v/>
      </c>
      <c r="I237" s="45"/>
      <c r="J237" s="45"/>
      <c r="K237" s="45"/>
      <c r="L237" s="45"/>
      <c r="M237" s="45"/>
      <c r="N237" s="59"/>
      <c r="O237" s="45"/>
      <c r="P237" s="45"/>
      <c r="Q237" s="45"/>
      <c r="R237" s="45"/>
      <c r="S237" s="45"/>
      <c r="T237" s="45"/>
      <c r="U237" s="45"/>
      <c r="V237" s="45"/>
      <c r="W237" s="45"/>
      <c r="X237" s="45"/>
      <c r="Y237" s="45"/>
      <c r="Z237" s="45"/>
      <c r="AA237" s="45"/>
      <c r="AB237" s="45"/>
      <c r="AC237" s="45"/>
      <c r="AD237" s="45"/>
      <c r="AE237" s="45"/>
      <c r="AF237" s="45"/>
      <c r="AG237" s="51" t="str">
        <f aca="false">IF(F237="","",F237&amp;"-"&amp;COUNTIF($F$10:F237,F237))</f>
        <v/>
      </c>
      <c r="AH237" s="51" t="str">
        <f aca="false">IF(F237="","",IF(F237="CM2","CM2-"&amp;COUNTIF($F$10:F237,"CM2"),"P-"&amp;COUNTIFS($F$10:F237,"&lt;&gt;CM2",$F$10:F237,"&lt;&gt;")))</f>
        <v/>
      </c>
      <c r="AI237" s="51" t="str">
        <f aca="false">IF(F237="","",IF(LEFT(F237,2)="CP","CP-"&amp;COUNTIF($F$10:F237,"CP*"),IF(F237="CE1","CE1-"&amp;COUNTIF($F$10:F237,"CE1"),IF(F237="CM2","CM2-"&amp;COUNTIF($F$10:F237,"CM2"),"CEM-"&amp;(COUNTIF($F$10:F237,"CE2")+COUNTIF($F$10:F237,"CM1"))))))</f>
        <v/>
      </c>
    </row>
    <row r="238" customFormat="false" ht="15" hidden="false" customHeight="false" outlineLevel="0" collapsed="false">
      <c r="A238" s="45" t="str">
        <f aca="false">IF(D238="","",ROW()-9)</f>
        <v/>
      </c>
      <c r="B238" s="45" t="str">
        <f aca="false">IF(F238="","",F238&amp;"-"&amp;TEXT(COUNTIF($F$10:F238,F238),"000")&amp;"-"&amp;RIGHT(LEFT(PARAMETRES!$C$9,4),2))</f>
        <v/>
      </c>
      <c r="C238" s="58"/>
      <c r="D238" s="45"/>
      <c r="E238" s="45"/>
      <c r="F238" s="45"/>
      <c r="G238" s="59"/>
      <c r="H238" s="45" t="str">
        <f aca="false">IF(G238="","",DATEDIF(G238,PARAMETRES!$C$13,"y"))</f>
        <v/>
      </c>
      <c r="I238" s="45"/>
      <c r="J238" s="45"/>
      <c r="K238" s="45"/>
      <c r="L238" s="45"/>
      <c r="M238" s="45"/>
      <c r="N238" s="59"/>
      <c r="O238" s="45"/>
      <c r="P238" s="45"/>
      <c r="Q238" s="45"/>
      <c r="R238" s="45"/>
      <c r="S238" s="45"/>
      <c r="T238" s="45"/>
      <c r="U238" s="45"/>
      <c r="V238" s="45"/>
      <c r="W238" s="45"/>
      <c r="X238" s="45"/>
      <c r="Y238" s="45"/>
      <c r="Z238" s="45"/>
      <c r="AA238" s="45"/>
      <c r="AB238" s="45"/>
      <c r="AC238" s="45"/>
      <c r="AD238" s="45"/>
      <c r="AE238" s="45"/>
      <c r="AF238" s="45"/>
      <c r="AG238" s="51" t="str">
        <f aca="false">IF(F238="","",F238&amp;"-"&amp;COUNTIF($F$10:F238,F238))</f>
        <v/>
      </c>
      <c r="AH238" s="51" t="str">
        <f aca="false">IF(F238="","",IF(F238="CM2","CM2-"&amp;COUNTIF($F$10:F238,"CM2"),"P-"&amp;COUNTIFS($F$10:F238,"&lt;&gt;CM2",$F$10:F238,"&lt;&gt;")))</f>
        <v/>
      </c>
      <c r="AI238" s="51" t="str">
        <f aca="false">IF(F238="","",IF(LEFT(F238,2)="CP","CP-"&amp;COUNTIF($F$10:F238,"CP*"),IF(F238="CE1","CE1-"&amp;COUNTIF($F$10:F238,"CE1"),IF(F238="CM2","CM2-"&amp;COUNTIF($F$10:F238,"CM2"),"CEM-"&amp;(COUNTIF($F$10:F238,"CE2")+COUNTIF($F$10:F238,"CM1"))))))</f>
        <v/>
      </c>
    </row>
    <row r="239" customFormat="false" ht="15" hidden="false" customHeight="false" outlineLevel="0" collapsed="false">
      <c r="A239" s="45" t="str">
        <f aca="false">IF(D239="","",ROW()-9)</f>
        <v/>
      </c>
      <c r="B239" s="45" t="str">
        <f aca="false">IF(F239="","",F239&amp;"-"&amp;TEXT(COUNTIF($F$10:F239,F239),"000")&amp;"-"&amp;RIGHT(LEFT(PARAMETRES!$C$9,4),2))</f>
        <v/>
      </c>
      <c r="C239" s="58"/>
      <c r="D239" s="45"/>
      <c r="E239" s="45"/>
      <c r="F239" s="45"/>
      <c r="G239" s="59"/>
      <c r="H239" s="45" t="str">
        <f aca="false">IF(G239="","",DATEDIF(G239,PARAMETRES!$C$13,"y"))</f>
        <v/>
      </c>
      <c r="I239" s="45"/>
      <c r="J239" s="45"/>
      <c r="K239" s="45"/>
      <c r="L239" s="45"/>
      <c r="M239" s="45"/>
      <c r="N239" s="59"/>
      <c r="O239" s="45"/>
      <c r="P239" s="45"/>
      <c r="Q239" s="45"/>
      <c r="R239" s="45"/>
      <c r="S239" s="45"/>
      <c r="T239" s="45"/>
      <c r="U239" s="45"/>
      <c r="V239" s="45"/>
      <c r="W239" s="45"/>
      <c r="X239" s="45"/>
      <c r="Y239" s="45"/>
      <c r="Z239" s="45"/>
      <c r="AA239" s="45"/>
      <c r="AB239" s="45"/>
      <c r="AC239" s="45"/>
      <c r="AD239" s="45"/>
      <c r="AE239" s="45"/>
      <c r="AF239" s="45"/>
      <c r="AG239" s="51" t="str">
        <f aca="false">IF(F239="","",F239&amp;"-"&amp;COUNTIF($F$10:F239,F239))</f>
        <v/>
      </c>
      <c r="AH239" s="51" t="str">
        <f aca="false">IF(F239="","",IF(F239="CM2","CM2-"&amp;COUNTIF($F$10:F239,"CM2"),"P-"&amp;COUNTIFS($F$10:F239,"&lt;&gt;CM2",$F$10:F239,"&lt;&gt;")))</f>
        <v/>
      </c>
      <c r="AI239" s="51" t="str">
        <f aca="false">IF(F239="","",IF(LEFT(F239,2)="CP","CP-"&amp;COUNTIF($F$10:F239,"CP*"),IF(F239="CE1","CE1-"&amp;COUNTIF($F$10:F239,"CE1"),IF(F239="CM2","CM2-"&amp;COUNTIF($F$10:F239,"CM2"),"CEM-"&amp;(COUNTIF($F$10:F239,"CE2")+COUNTIF($F$10:F239,"CM1"))))))</f>
        <v/>
      </c>
    </row>
    <row r="240" customFormat="false" ht="15" hidden="false" customHeight="false" outlineLevel="0" collapsed="false">
      <c r="A240" s="45" t="str">
        <f aca="false">IF(D240="","",ROW()-9)</f>
        <v/>
      </c>
      <c r="B240" s="45" t="str">
        <f aca="false">IF(F240="","",F240&amp;"-"&amp;TEXT(COUNTIF($F$10:F240,F240),"000")&amp;"-"&amp;RIGHT(LEFT(PARAMETRES!$C$9,4),2))</f>
        <v/>
      </c>
      <c r="C240" s="58"/>
      <c r="D240" s="45"/>
      <c r="E240" s="45"/>
      <c r="F240" s="45"/>
      <c r="G240" s="59"/>
      <c r="H240" s="45" t="str">
        <f aca="false">IF(G240="","",DATEDIF(G240,PARAMETRES!$C$13,"y"))</f>
        <v/>
      </c>
      <c r="I240" s="45"/>
      <c r="J240" s="45"/>
      <c r="K240" s="45"/>
      <c r="L240" s="45"/>
      <c r="M240" s="45"/>
      <c r="N240" s="59"/>
      <c r="O240" s="45"/>
      <c r="P240" s="45"/>
      <c r="Q240" s="45"/>
      <c r="R240" s="45"/>
      <c r="S240" s="45"/>
      <c r="T240" s="45"/>
      <c r="U240" s="45"/>
      <c r="V240" s="45"/>
      <c r="W240" s="45"/>
      <c r="X240" s="45"/>
      <c r="Y240" s="45"/>
      <c r="Z240" s="45"/>
      <c r="AA240" s="45"/>
      <c r="AB240" s="45"/>
      <c r="AC240" s="45"/>
      <c r="AD240" s="45"/>
      <c r="AE240" s="45"/>
      <c r="AF240" s="45"/>
      <c r="AG240" s="51" t="str">
        <f aca="false">IF(F240="","",F240&amp;"-"&amp;COUNTIF($F$10:F240,F240))</f>
        <v/>
      </c>
      <c r="AH240" s="51" t="str">
        <f aca="false">IF(F240="","",IF(F240="CM2","CM2-"&amp;COUNTIF($F$10:F240,"CM2"),"P-"&amp;COUNTIFS($F$10:F240,"&lt;&gt;CM2",$F$10:F240,"&lt;&gt;")))</f>
        <v/>
      </c>
      <c r="AI240" s="51" t="str">
        <f aca="false">IF(F240="","",IF(LEFT(F240,2)="CP","CP-"&amp;COUNTIF($F$10:F240,"CP*"),IF(F240="CE1","CE1-"&amp;COUNTIF($F$10:F240,"CE1"),IF(F240="CM2","CM2-"&amp;COUNTIF($F$10:F240,"CM2"),"CEM-"&amp;(COUNTIF($F$10:F240,"CE2")+COUNTIF($F$10:F240,"CM1"))))))</f>
        <v/>
      </c>
    </row>
    <row r="241" customFormat="false" ht="15" hidden="false" customHeight="false" outlineLevel="0" collapsed="false">
      <c r="A241" s="45" t="str">
        <f aca="false">IF(D241="","",ROW()-9)</f>
        <v/>
      </c>
      <c r="B241" s="45" t="str">
        <f aca="false">IF(F241="","",F241&amp;"-"&amp;TEXT(COUNTIF($F$10:F241,F241),"000")&amp;"-"&amp;RIGHT(LEFT(PARAMETRES!$C$9,4),2))</f>
        <v/>
      </c>
      <c r="C241" s="58"/>
      <c r="D241" s="45"/>
      <c r="E241" s="45"/>
      <c r="F241" s="45"/>
      <c r="G241" s="59"/>
      <c r="H241" s="45" t="str">
        <f aca="false">IF(G241="","",DATEDIF(G241,PARAMETRES!$C$13,"y"))</f>
        <v/>
      </c>
      <c r="I241" s="45"/>
      <c r="J241" s="45"/>
      <c r="K241" s="45"/>
      <c r="L241" s="45"/>
      <c r="M241" s="45"/>
      <c r="N241" s="59"/>
      <c r="O241" s="45"/>
      <c r="P241" s="45"/>
      <c r="Q241" s="45"/>
      <c r="R241" s="45"/>
      <c r="S241" s="45"/>
      <c r="T241" s="45"/>
      <c r="U241" s="45"/>
      <c r="V241" s="45"/>
      <c r="W241" s="45"/>
      <c r="X241" s="45"/>
      <c r="Y241" s="45"/>
      <c r="Z241" s="45"/>
      <c r="AA241" s="45"/>
      <c r="AB241" s="45"/>
      <c r="AC241" s="45"/>
      <c r="AD241" s="45"/>
      <c r="AE241" s="45"/>
      <c r="AF241" s="45"/>
      <c r="AG241" s="51" t="str">
        <f aca="false">IF(F241="","",F241&amp;"-"&amp;COUNTIF($F$10:F241,F241))</f>
        <v/>
      </c>
      <c r="AH241" s="51" t="str">
        <f aca="false">IF(F241="","",IF(F241="CM2","CM2-"&amp;COUNTIF($F$10:F241,"CM2"),"P-"&amp;COUNTIFS($F$10:F241,"&lt;&gt;CM2",$F$10:F241,"&lt;&gt;")))</f>
        <v/>
      </c>
      <c r="AI241" s="51" t="str">
        <f aca="false">IF(F241="","",IF(LEFT(F241,2)="CP","CP-"&amp;COUNTIF($F$10:F241,"CP*"),IF(F241="CE1","CE1-"&amp;COUNTIF($F$10:F241,"CE1"),IF(F241="CM2","CM2-"&amp;COUNTIF($F$10:F241,"CM2"),"CEM-"&amp;(COUNTIF($F$10:F241,"CE2")+COUNTIF($F$10:F241,"CM1"))))))</f>
        <v/>
      </c>
    </row>
    <row r="242" customFormat="false" ht="15" hidden="false" customHeight="false" outlineLevel="0" collapsed="false">
      <c r="A242" s="45" t="str">
        <f aca="false">IF(D242="","",ROW()-9)</f>
        <v/>
      </c>
      <c r="B242" s="45" t="str">
        <f aca="false">IF(F242="","",F242&amp;"-"&amp;TEXT(COUNTIF($F$10:F242,F242),"000")&amp;"-"&amp;RIGHT(LEFT(PARAMETRES!$C$9,4),2))</f>
        <v/>
      </c>
      <c r="C242" s="58"/>
      <c r="D242" s="45"/>
      <c r="E242" s="45"/>
      <c r="F242" s="45"/>
      <c r="G242" s="59"/>
      <c r="H242" s="45" t="str">
        <f aca="false">IF(G242="","",DATEDIF(G242,PARAMETRES!$C$13,"y"))</f>
        <v/>
      </c>
      <c r="I242" s="45"/>
      <c r="J242" s="45"/>
      <c r="K242" s="45"/>
      <c r="L242" s="45"/>
      <c r="M242" s="45"/>
      <c r="N242" s="59"/>
      <c r="O242" s="45"/>
      <c r="P242" s="45"/>
      <c r="Q242" s="45"/>
      <c r="R242" s="45"/>
      <c r="S242" s="45"/>
      <c r="T242" s="45"/>
      <c r="U242" s="45"/>
      <c r="V242" s="45"/>
      <c r="W242" s="45"/>
      <c r="X242" s="45"/>
      <c r="Y242" s="45"/>
      <c r="Z242" s="45"/>
      <c r="AA242" s="45"/>
      <c r="AB242" s="45"/>
      <c r="AC242" s="45"/>
      <c r="AD242" s="45"/>
      <c r="AE242" s="45"/>
      <c r="AF242" s="45"/>
      <c r="AG242" s="51" t="str">
        <f aca="false">IF(F242="","",F242&amp;"-"&amp;COUNTIF($F$10:F242,F242))</f>
        <v/>
      </c>
      <c r="AH242" s="51" t="str">
        <f aca="false">IF(F242="","",IF(F242="CM2","CM2-"&amp;COUNTIF($F$10:F242,"CM2"),"P-"&amp;COUNTIFS($F$10:F242,"&lt;&gt;CM2",$F$10:F242,"&lt;&gt;")))</f>
        <v/>
      </c>
      <c r="AI242" s="51" t="str">
        <f aca="false">IF(F242="","",IF(LEFT(F242,2)="CP","CP-"&amp;COUNTIF($F$10:F242,"CP*"),IF(F242="CE1","CE1-"&amp;COUNTIF($F$10:F242,"CE1"),IF(F242="CM2","CM2-"&amp;COUNTIF($F$10:F242,"CM2"),"CEM-"&amp;(COUNTIF($F$10:F242,"CE2")+COUNTIF($F$10:F242,"CM1"))))))</f>
        <v/>
      </c>
    </row>
    <row r="243" customFormat="false" ht="15" hidden="false" customHeight="false" outlineLevel="0" collapsed="false">
      <c r="A243" s="45" t="str">
        <f aca="false">IF(D243="","",ROW()-9)</f>
        <v/>
      </c>
      <c r="B243" s="45" t="str">
        <f aca="false">IF(F243="","",F243&amp;"-"&amp;TEXT(COUNTIF($F$10:F243,F243),"000")&amp;"-"&amp;RIGHT(LEFT(PARAMETRES!$C$9,4),2))</f>
        <v/>
      </c>
      <c r="C243" s="58"/>
      <c r="D243" s="45"/>
      <c r="E243" s="45"/>
      <c r="F243" s="45"/>
      <c r="G243" s="59"/>
      <c r="H243" s="45" t="str">
        <f aca="false">IF(G243="","",DATEDIF(G243,PARAMETRES!$C$13,"y"))</f>
        <v/>
      </c>
      <c r="I243" s="45"/>
      <c r="J243" s="45"/>
      <c r="K243" s="45"/>
      <c r="L243" s="45"/>
      <c r="M243" s="45"/>
      <c r="N243" s="59"/>
      <c r="O243" s="45"/>
      <c r="P243" s="45"/>
      <c r="Q243" s="45"/>
      <c r="R243" s="45"/>
      <c r="S243" s="45"/>
      <c r="T243" s="45"/>
      <c r="U243" s="45"/>
      <c r="V243" s="45"/>
      <c r="W243" s="45"/>
      <c r="X243" s="45"/>
      <c r="Y243" s="45"/>
      <c r="Z243" s="45"/>
      <c r="AA243" s="45"/>
      <c r="AB243" s="45"/>
      <c r="AC243" s="45"/>
      <c r="AD243" s="45"/>
      <c r="AE243" s="45"/>
      <c r="AF243" s="45"/>
      <c r="AG243" s="51" t="str">
        <f aca="false">IF(F243="","",F243&amp;"-"&amp;COUNTIF($F$10:F243,F243))</f>
        <v/>
      </c>
      <c r="AH243" s="51" t="str">
        <f aca="false">IF(F243="","",IF(F243="CM2","CM2-"&amp;COUNTIF($F$10:F243,"CM2"),"P-"&amp;COUNTIFS($F$10:F243,"&lt;&gt;CM2",$F$10:F243,"&lt;&gt;")))</f>
        <v/>
      </c>
      <c r="AI243" s="51" t="str">
        <f aca="false">IF(F243="","",IF(LEFT(F243,2)="CP","CP-"&amp;COUNTIF($F$10:F243,"CP*"),IF(F243="CE1","CE1-"&amp;COUNTIF($F$10:F243,"CE1"),IF(F243="CM2","CM2-"&amp;COUNTIF($F$10:F243,"CM2"),"CEM-"&amp;(COUNTIF($F$10:F243,"CE2")+COUNTIF($F$10:F243,"CM1"))))))</f>
        <v/>
      </c>
    </row>
    <row r="244" customFormat="false" ht="15" hidden="false" customHeight="false" outlineLevel="0" collapsed="false">
      <c r="A244" s="45" t="str">
        <f aca="false">IF(D244="","",ROW()-9)</f>
        <v/>
      </c>
      <c r="B244" s="45" t="str">
        <f aca="false">IF(F244="","",F244&amp;"-"&amp;TEXT(COUNTIF($F$10:F244,F244),"000")&amp;"-"&amp;RIGHT(LEFT(PARAMETRES!$C$9,4),2))</f>
        <v/>
      </c>
      <c r="C244" s="58"/>
      <c r="D244" s="45"/>
      <c r="E244" s="45"/>
      <c r="F244" s="45"/>
      <c r="G244" s="59"/>
      <c r="H244" s="45" t="str">
        <f aca="false">IF(G244="","",DATEDIF(G244,PARAMETRES!$C$13,"y"))</f>
        <v/>
      </c>
      <c r="I244" s="45"/>
      <c r="J244" s="45"/>
      <c r="K244" s="45"/>
      <c r="L244" s="45"/>
      <c r="M244" s="45"/>
      <c r="N244" s="59"/>
      <c r="O244" s="45"/>
      <c r="P244" s="45"/>
      <c r="Q244" s="45"/>
      <c r="R244" s="45"/>
      <c r="S244" s="45"/>
      <c r="T244" s="45"/>
      <c r="U244" s="45"/>
      <c r="V244" s="45"/>
      <c r="W244" s="45"/>
      <c r="X244" s="45"/>
      <c r="Y244" s="45"/>
      <c r="Z244" s="45"/>
      <c r="AA244" s="45"/>
      <c r="AB244" s="45"/>
      <c r="AC244" s="45"/>
      <c r="AD244" s="45"/>
      <c r="AE244" s="45"/>
      <c r="AF244" s="45"/>
      <c r="AG244" s="51" t="str">
        <f aca="false">IF(F244="","",F244&amp;"-"&amp;COUNTIF($F$10:F244,F244))</f>
        <v/>
      </c>
      <c r="AH244" s="51" t="str">
        <f aca="false">IF(F244="","",IF(F244="CM2","CM2-"&amp;COUNTIF($F$10:F244,"CM2"),"P-"&amp;COUNTIFS($F$10:F244,"&lt;&gt;CM2",$F$10:F244,"&lt;&gt;")))</f>
        <v/>
      </c>
      <c r="AI244" s="51" t="str">
        <f aca="false">IF(F244="","",IF(LEFT(F244,2)="CP","CP-"&amp;COUNTIF($F$10:F244,"CP*"),IF(F244="CE1","CE1-"&amp;COUNTIF($F$10:F244,"CE1"),IF(F244="CM2","CM2-"&amp;COUNTIF($F$10:F244,"CM2"),"CEM-"&amp;(COUNTIF($F$10:F244,"CE2")+COUNTIF($F$10:F244,"CM1"))))))</f>
        <v/>
      </c>
    </row>
    <row r="245" customFormat="false" ht="15" hidden="false" customHeight="false" outlineLevel="0" collapsed="false">
      <c r="A245" s="45" t="str">
        <f aca="false">IF(D245="","",ROW()-9)</f>
        <v/>
      </c>
      <c r="B245" s="45" t="str">
        <f aca="false">IF(F245="","",F245&amp;"-"&amp;TEXT(COUNTIF($F$10:F245,F245),"000")&amp;"-"&amp;RIGHT(LEFT(PARAMETRES!$C$9,4),2))</f>
        <v/>
      </c>
      <c r="C245" s="58"/>
      <c r="D245" s="45"/>
      <c r="E245" s="45"/>
      <c r="F245" s="45"/>
      <c r="G245" s="59"/>
      <c r="H245" s="45" t="str">
        <f aca="false">IF(G245="","",DATEDIF(G245,PARAMETRES!$C$13,"y"))</f>
        <v/>
      </c>
      <c r="I245" s="45"/>
      <c r="J245" s="45"/>
      <c r="K245" s="45"/>
      <c r="L245" s="45"/>
      <c r="M245" s="45"/>
      <c r="N245" s="59"/>
      <c r="O245" s="45"/>
      <c r="P245" s="45"/>
      <c r="Q245" s="45"/>
      <c r="R245" s="45"/>
      <c r="S245" s="45"/>
      <c r="T245" s="45"/>
      <c r="U245" s="45"/>
      <c r="V245" s="45"/>
      <c r="W245" s="45"/>
      <c r="X245" s="45"/>
      <c r="Y245" s="45"/>
      <c r="Z245" s="45"/>
      <c r="AA245" s="45"/>
      <c r="AB245" s="45"/>
      <c r="AC245" s="45"/>
      <c r="AD245" s="45"/>
      <c r="AE245" s="45"/>
      <c r="AF245" s="45"/>
      <c r="AG245" s="51" t="str">
        <f aca="false">IF(F245="","",F245&amp;"-"&amp;COUNTIF($F$10:F245,F245))</f>
        <v/>
      </c>
      <c r="AH245" s="51" t="str">
        <f aca="false">IF(F245="","",IF(F245="CM2","CM2-"&amp;COUNTIF($F$10:F245,"CM2"),"P-"&amp;COUNTIFS($F$10:F245,"&lt;&gt;CM2",$F$10:F245,"&lt;&gt;")))</f>
        <v/>
      </c>
      <c r="AI245" s="51" t="str">
        <f aca="false">IF(F245="","",IF(LEFT(F245,2)="CP","CP-"&amp;COUNTIF($F$10:F245,"CP*"),IF(F245="CE1","CE1-"&amp;COUNTIF($F$10:F245,"CE1"),IF(F245="CM2","CM2-"&amp;COUNTIF($F$10:F245,"CM2"),"CEM-"&amp;(COUNTIF($F$10:F245,"CE2")+COUNTIF($F$10:F245,"CM1"))))))</f>
        <v/>
      </c>
    </row>
    <row r="246" customFormat="false" ht="15" hidden="false" customHeight="false" outlineLevel="0" collapsed="false">
      <c r="A246" s="45" t="str">
        <f aca="false">IF(D246="","",ROW()-9)</f>
        <v/>
      </c>
      <c r="B246" s="45" t="str">
        <f aca="false">IF(F246="","",F246&amp;"-"&amp;TEXT(COUNTIF($F$10:F246,F246),"000")&amp;"-"&amp;RIGHT(LEFT(PARAMETRES!$C$9,4),2))</f>
        <v/>
      </c>
      <c r="C246" s="58"/>
      <c r="D246" s="45"/>
      <c r="E246" s="45"/>
      <c r="F246" s="45"/>
      <c r="G246" s="59"/>
      <c r="H246" s="45" t="str">
        <f aca="false">IF(G246="","",DATEDIF(G246,PARAMETRES!$C$13,"y"))</f>
        <v/>
      </c>
      <c r="I246" s="45"/>
      <c r="J246" s="45"/>
      <c r="K246" s="45"/>
      <c r="L246" s="45"/>
      <c r="M246" s="45"/>
      <c r="N246" s="59"/>
      <c r="O246" s="45"/>
      <c r="P246" s="45"/>
      <c r="Q246" s="45"/>
      <c r="R246" s="45"/>
      <c r="S246" s="45"/>
      <c r="T246" s="45"/>
      <c r="U246" s="45"/>
      <c r="V246" s="45"/>
      <c r="W246" s="45"/>
      <c r="X246" s="45"/>
      <c r="Y246" s="45"/>
      <c r="Z246" s="45"/>
      <c r="AA246" s="45"/>
      <c r="AB246" s="45"/>
      <c r="AC246" s="45"/>
      <c r="AD246" s="45"/>
      <c r="AE246" s="45"/>
      <c r="AF246" s="45"/>
      <c r="AG246" s="51" t="str">
        <f aca="false">IF(F246="","",F246&amp;"-"&amp;COUNTIF($F$10:F246,F246))</f>
        <v/>
      </c>
      <c r="AH246" s="51" t="str">
        <f aca="false">IF(F246="","",IF(F246="CM2","CM2-"&amp;COUNTIF($F$10:F246,"CM2"),"P-"&amp;COUNTIFS($F$10:F246,"&lt;&gt;CM2",$F$10:F246,"&lt;&gt;")))</f>
        <v/>
      </c>
      <c r="AI246" s="51" t="str">
        <f aca="false">IF(F246="","",IF(LEFT(F246,2)="CP","CP-"&amp;COUNTIF($F$10:F246,"CP*"),IF(F246="CE1","CE1-"&amp;COUNTIF($F$10:F246,"CE1"),IF(F246="CM2","CM2-"&amp;COUNTIF($F$10:F246,"CM2"),"CEM-"&amp;(COUNTIF($F$10:F246,"CE2")+COUNTIF($F$10:F246,"CM1"))))))</f>
        <v/>
      </c>
    </row>
    <row r="247" customFormat="false" ht="15" hidden="false" customHeight="false" outlineLevel="0" collapsed="false">
      <c r="A247" s="45" t="str">
        <f aca="false">IF(D247="","",ROW()-9)</f>
        <v/>
      </c>
      <c r="B247" s="45" t="str">
        <f aca="false">IF(F247="","",F247&amp;"-"&amp;TEXT(COUNTIF($F$10:F247,F247),"000")&amp;"-"&amp;RIGHT(LEFT(PARAMETRES!$C$9,4),2))</f>
        <v/>
      </c>
      <c r="C247" s="58"/>
      <c r="D247" s="45"/>
      <c r="E247" s="45"/>
      <c r="F247" s="45"/>
      <c r="G247" s="59"/>
      <c r="H247" s="45" t="str">
        <f aca="false">IF(G247="","",DATEDIF(G247,PARAMETRES!$C$13,"y"))</f>
        <v/>
      </c>
      <c r="I247" s="45"/>
      <c r="J247" s="45"/>
      <c r="K247" s="45"/>
      <c r="L247" s="45"/>
      <c r="M247" s="45"/>
      <c r="N247" s="59"/>
      <c r="O247" s="45"/>
      <c r="P247" s="45"/>
      <c r="Q247" s="45"/>
      <c r="R247" s="45"/>
      <c r="S247" s="45"/>
      <c r="T247" s="45"/>
      <c r="U247" s="45"/>
      <c r="V247" s="45"/>
      <c r="W247" s="45"/>
      <c r="X247" s="45"/>
      <c r="Y247" s="45"/>
      <c r="Z247" s="45"/>
      <c r="AA247" s="45"/>
      <c r="AB247" s="45"/>
      <c r="AC247" s="45"/>
      <c r="AD247" s="45"/>
      <c r="AE247" s="45"/>
      <c r="AF247" s="45"/>
      <c r="AG247" s="51" t="str">
        <f aca="false">IF(F247="","",F247&amp;"-"&amp;COUNTIF($F$10:F247,F247))</f>
        <v/>
      </c>
      <c r="AH247" s="51" t="str">
        <f aca="false">IF(F247="","",IF(F247="CM2","CM2-"&amp;COUNTIF($F$10:F247,"CM2"),"P-"&amp;COUNTIFS($F$10:F247,"&lt;&gt;CM2",$F$10:F247,"&lt;&gt;")))</f>
        <v/>
      </c>
      <c r="AI247" s="51" t="str">
        <f aca="false">IF(F247="","",IF(LEFT(F247,2)="CP","CP-"&amp;COUNTIF($F$10:F247,"CP*"),IF(F247="CE1","CE1-"&amp;COUNTIF($F$10:F247,"CE1"),IF(F247="CM2","CM2-"&amp;COUNTIF($F$10:F247,"CM2"),"CEM-"&amp;(COUNTIF($F$10:F247,"CE2")+COUNTIF($F$10:F247,"CM1"))))))</f>
        <v/>
      </c>
    </row>
    <row r="248" customFormat="false" ht="15" hidden="false" customHeight="false" outlineLevel="0" collapsed="false">
      <c r="A248" s="45" t="str">
        <f aca="false">IF(D248="","",ROW()-9)</f>
        <v/>
      </c>
      <c r="B248" s="45" t="str">
        <f aca="false">IF(F248="","",F248&amp;"-"&amp;TEXT(COUNTIF($F$10:F248,F248),"000")&amp;"-"&amp;RIGHT(LEFT(PARAMETRES!$C$9,4),2))</f>
        <v/>
      </c>
      <c r="C248" s="58"/>
      <c r="D248" s="45"/>
      <c r="E248" s="45"/>
      <c r="F248" s="45"/>
      <c r="G248" s="59"/>
      <c r="H248" s="45" t="str">
        <f aca="false">IF(G248="","",DATEDIF(G248,PARAMETRES!$C$13,"y"))</f>
        <v/>
      </c>
      <c r="I248" s="45"/>
      <c r="J248" s="45"/>
      <c r="K248" s="45"/>
      <c r="L248" s="45"/>
      <c r="M248" s="45"/>
      <c r="N248" s="59"/>
      <c r="O248" s="45"/>
      <c r="P248" s="45"/>
      <c r="Q248" s="45"/>
      <c r="R248" s="45"/>
      <c r="S248" s="45"/>
      <c r="T248" s="45"/>
      <c r="U248" s="45"/>
      <c r="V248" s="45"/>
      <c r="W248" s="45"/>
      <c r="X248" s="45"/>
      <c r="Y248" s="45"/>
      <c r="Z248" s="45"/>
      <c r="AA248" s="45"/>
      <c r="AB248" s="45"/>
      <c r="AC248" s="45"/>
      <c r="AD248" s="45"/>
      <c r="AE248" s="45"/>
      <c r="AF248" s="45"/>
      <c r="AG248" s="51" t="str">
        <f aca="false">IF(F248="","",F248&amp;"-"&amp;COUNTIF($F$10:F248,F248))</f>
        <v/>
      </c>
      <c r="AH248" s="51" t="str">
        <f aca="false">IF(F248="","",IF(F248="CM2","CM2-"&amp;COUNTIF($F$10:F248,"CM2"),"P-"&amp;COUNTIFS($F$10:F248,"&lt;&gt;CM2",$F$10:F248,"&lt;&gt;")))</f>
        <v/>
      </c>
      <c r="AI248" s="51" t="str">
        <f aca="false">IF(F248="","",IF(LEFT(F248,2)="CP","CP-"&amp;COUNTIF($F$10:F248,"CP*"),IF(F248="CE1","CE1-"&amp;COUNTIF($F$10:F248,"CE1"),IF(F248="CM2","CM2-"&amp;COUNTIF($F$10:F248,"CM2"),"CEM-"&amp;(COUNTIF($F$10:F248,"CE2")+COUNTIF($F$10:F248,"CM1"))))))</f>
        <v/>
      </c>
    </row>
    <row r="249" customFormat="false" ht="15" hidden="false" customHeight="false" outlineLevel="0" collapsed="false">
      <c r="A249" s="45" t="str">
        <f aca="false">IF(D249="","",ROW()-9)</f>
        <v/>
      </c>
      <c r="B249" s="45" t="str">
        <f aca="false">IF(F249="","",F249&amp;"-"&amp;TEXT(COUNTIF($F$10:F249,F249),"000")&amp;"-"&amp;RIGHT(LEFT(PARAMETRES!$C$9,4),2))</f>
        <v/>
      </c>
      <c r="C249" s="58"/>
      <c r="D249" s="45"/>
      <c r="E249" s="45"/>
      <c r="F249" s="45"/>
      <c r="G249" s="59"/>
      <c r="H249" s="45" t="str">
        <f aca="false">IF(G249="","",DATEDIF(G249,PARAMETRES!$C$13,"y"))</f>
        <v/>
      </c>
      <c r="I249" s="45"/>
      <c r="J249" s="45"/>
      <c r="K249" s="45"/>
      <c r="L249" s="45"/>
      <c r="M249" s="45"/>
      <c r="N249" s="59"/>
      <c r="O249" s="45"/>
      <c r="P249" s="45"/>
      <c r="Q249" s="45"/>
      <c r="R249" s="45"/>
      <c r="S249" s="45"/>
      <c r="T249" s="45"/>
      <c r="U249" s="45"/>
      <c r="V249" s="45"/>
      <c r="W249" s="45"/>
      <c r="X249" s="45"/>
      <c r="Y249" s="45"/>
      <c r="Z249" s="45"/>
      <c r="AA249" s="45"/>
      <c r="AB249" s="45"/>
      <c r="AC249" s="45"/>
      <c r="AD249" s="45"/>
      <c r="AE249" s="45"/>
      <c r="AF249" s="45"/>
      <c r="AG249" s="51" t="str">
        <f aca="false">IF(F249="","",F249&amp;"-"&amp;COUNTIF($F$10:F249,F249))</f>
        <v/>
      </c>
      <c r="AH249" s="51" t="str">
        <f aca="false">IF(F249="","",IF(F249="CM2","CM2-"&amp;COUNTIF($F$10:F249,"CM2"),"P-"&amp;COUNTIFS($F$10:F249,"&lt;&gt;CM2",$F$10:F249,"&lt;&gt;")))</f>
        <v/>
      </c>
      <c r="AI249" s="51" t="str">
        <f aca="false">IF(F249="","",IF(LEFT(F249,2)="CP","CP-"&amp;COUNTIF($F$10:F249,"CP*"),IF(F249="CE1","CE1-"&amp;COUNTIF($F$10:F249,"CE1"),IF(F249="CM2","CM2-"&amp;COUNTIF($F$10:F249,"CM2"),"CEM-"&amp;(COUNTIF($F$10:F249,"CE2")+COUNTIF($F$10:F249,"CM1"))))))</f>
        <v/>
      </c>
    </row>
    <row r="250" customFormat="false" ht="15" hidden="false" customHeight="false" outlineLevel="0" collapsed="false">
      <c r="A250" s="45" t="str">
        <f aca="false">IF(D250="","",ROW()-9)</f>
        <v/>
      </c>
      <c r="B250" s="45" t="str">
        <f aca="false">IF(F250="","",F250&amp;"-"&amp;TEXT(COUNTIF($F$10:F250,F250),"000")&amp;"-"&amp;RIGHT(LEFT(PARAMETRES!$C$9,4),2))</f>
        <v/>
      </c>
      <c r="C250" s="58"/>
      <c r="D250" s="45"/>
      <c r="E250" s="45"/>
      <c r="F250" s="45"/>
      <c r="G250" s="59"/>
      <c r="H250" s="45" t="str">
        <f aca="false">IF(G250="","",DATEDIF(G250,PARAMETRES!$C$13,"y"))</f>
        <v/>
      </c>
      <c r="I250" s="45"/>
      <c r="J250" s="45"/>
      <c r="K250" s="45"/>
      <c r="L250" s="45"/>
      <c r="M250" s="45"/>
      <c r="N250" s="59"/>
      <c r="O250" s="45"/>
      <c r="P250" s="45"/>
      <c r="Q250" s="45"/>
      <c r="R250" s="45"/>
      <c r="S250" s="45"/>
      <c r="T250" s="45"/>
      <c r="U250" s="45"/>
      <c r="V250" s="45"/>
      <c r="W250" s="45"/>
      <c r="X250" s="45"/>
      <c r="Y250" s="45"/>
      <c r="Z250" s="45"/>
      <c r="AA250" s="45"/>
      <c r="AB250" s="45"/>
      <c r="AC250" s="45"/>
      <c r="AD250" s="45"/>
      <c r="AE250" s="45"/>
      <c r="AF250" s="45"/>
      <c r="AG250" s="51" t="str">
        <f aca="false">IF(F250="","",F250&amp;"-"&amp;COUNTIF($F$10:F250,F250))</f>
        <v/>
      </c>
      <c r="AH250" s="51" t="str">
        <f aca="false">IF(F250="","",IF(F250="CM2","CM2-"&amp;COUNTIF($F$10:F250,"CM2"),"P-"&amp;COUNTIFS($F$10:F250,"&lt;&gt;CM2",$F$10:F250,"&lt;&gt;")))</f>
        <v/>
      </c>
      <c r="AI250" s="51" t="str">
        <f aca="false">IF(F250="","",IF(LEFT(F250,2)="CP","CP-"&amp;COUNTIF($F$10:F250,"CP*"),IF(F250="CE1","CE1-"&amp;COUNTIF($F$10:F250,"CE1"),IF(F250="CM2","CM2-"&amp;COUNTIF($F$10:F250,"CM2"),"CEM-"&amp;(COUNTIF($F$10:F250,"CE2")+COUNTIF($F$10:F250,"CM1"))))))</f>
        <v/>
      </c>
    </row>
  </sheetData>
  <autoFilter ref="A9:AF250"/>
  <mergeCells count="10">
    <mergeCell ref="A1:P1"/>
    <mergeCell ref="Q1:AF1"/>
    <mergeCell ref="A2:P2"/>
    <mergeCell ref="Q2:AF2"/>
    <mergeCell ref="A3:P3"/>
    <mergeCell ref="Q3:AF3"/>
    <mergeCell ref="A4:P4"/>
    <mergeCell ref="A6:AF6"/>
    <mergeCell ref="A7:AF7"/>
    <mergeCell ref="A8:AF8"/>
  </mergeCells>
  <conditionalFormatting sqref="A10:AF250">
    <cfRule type="expression" priority="2" aboveAverage="0" equalAverage="0" bottom="0" percent="0" rank="0" text="" dxfId="10">
      <formula>$AE10="ABANDON"</formula>
    </cfRule>
    <cfRule type="expression" priority="3" aboveAverage="0" equalAverage="0" bottom="0" percent="0" rank="0" text="" dxfId="11">
      <formula>$AE10="TRANSFERE"</formula>
    </cfRule>
  </conditionalFormatting>
  <conditionalFormatting sqref="L10:L250">
    <cfRule type="cellIs" priority="4" operator="equal" aboveAverage="0" equalAverage="0" bottom="0" percent="0" rank="0" text="" dxfId="12">
      <formula>"NON"</formula>
    </cfRule>
  </conditionalFormatting>
  <conditionalFormatting sqref="AD10:AD250">
    <cfRule type="cellIs" priority="5" operator="equal" aboveAverage="0" equalAverage="0" bottom="0" percent="0" rank="0" text="" dxfId="13">
      <formula>"OUI"</formula>
    </cfRule>
  </conditionalFormatting>
  <conditionalFormatting sqref="C10:C250">
    <cfRule type="expression" priority="6" aboveAverage="0" equalAverage="0" bottom="0" percent="0" rank="0" text="" dxfId="14">
      <formula>AND($C10&lt;&gt;"",NOT(IFERROR(AND(LEN(C10)=9,OR(AND(CODE(LEFT(C10,1))&gt;=65,CODE(LEFT(C10,1))&lt;=90),AND(CODE(RIGHT(C10,1))&gt;=65,CODE(RIGHT(C10,1))&lt;=90))),0)))</formula>
    </cfRule>
  </conditionalFormatting>
  <dataValidations count="10">
    <dataValidation allowBlank="true" error="Saisir M ou F" errorStyle="stop" errorTitle="Valeur non autorisée" operator="between" showDropDown="false" showErrorMessage="true" showInputMessage="false" sqref="E10:E250" type="list">
      <formula1>PARAMETRES!$F$3:$F$4</formula1>
      <formula2>0</formula2>
    </dataValidation>
    <dataValidation allowBlank="true" error="Choisir une classe de la liste" errorStyle="stop" errorTitle="Valeur non autorisée" operator="between" showDropDown="false" showErrorMessage="true" showInputMessage="false" sqref="F10:F250" type="list">
      <formula1>PARAMETRES!$E$3:$E$8</formula1>
      <formula2>0</formula2>
    </dataValidation>
    <dataValidation allowBlank="true" error="Choisir dans la liste (PARAMETRES)" errorStyle="stop" errorTitle="Valeur non autorisée" operator="between" showDropDown="false" showErrorMessage="true" showInputMessage="false" sqref="I10:I250" type="list">
      <formula1>PARAMETRES!$G$3:$G$11</formula1>
      <formula2>0</formula2>
    </dataValidation>
    <dataValidation allowBlank="true" error="OUI ou NON" errorStyle="stop" errorTitle="Valeur non autorisée" operator="between" showDropDown="false" showErrorMessage="true" showInputMessage="false" sqref="L10:L250" type="list">
      <formula1>PARAMETRES!$H$3:$H$4</formula1>
      <formula2>0</formula2>
    </dataValidation>
    <dataValidation allowBlank="true" error="OUI ou NON" errorStyle="stop" errorTitle="Valeur non autorisée" operator="between" showDropDown="false" showErrorMessage="true" showInputMessage="false" sqref="P10:P250" type="list">
      <formula1>PARAMETRES!$H$3:$H$4</formula1>
      <formula2>0</formula2>
    </dataValidation>
    <dataValidation allowBlank="true" error="Choisir dans la liste" errorStyle="stop" errorTitle="Valeur non autorisée" operator="between" showDropDown="false" showErrorMessage="true" showInputMessage="false" sqref="Q10:Q250" type="list">
      <formula1>PARAMETRES!$I$3:$I$6</formula1>
      <formula2>0</formula2>
    </dataValidation>
    <dataValidation allowBlank="true" error="OUI ou NON" errorStyle="stop" errorTitle="Valeur non autorisée" operator="between" showDropDown="false" showErrorMessage="true" showInputMessage="false" sqref="AD10:AD250" type="list">
      <formula1>PARAMETRES!$H$3:$H$4</formula1>
      <formula2>0</formula2>
    </dataValidation>
    <dataValidation allowBlank="true" error="PRESENT, ABANDON ou TRANSFERE" errorStyle="stop" errorTitle="Valeur non autorisée" operator="between" showDropDown="false" showErrorMessage="true" showInputMessage="false" sqref="AE10:AE250" type="list">
      <formula1>PARAMETRES!$J$3:$J$5</formula1>
      <formula2>0</formula2>
    </dataValidation>
    <dataValidation allowBlank="false" error="Date de naissance hors plage plausible (2005-2022)" errorStyle="stop" errorTitle="Date invalide" operator="between" showDropDown="false" showErrorMessage="true" showInputMessage="false" sqref="G10:G250" type="date">
      <formula1>DATE(2005,1,1)</formula1>
      <formula2>DATE(2022,12,31)</formula2>
    </dataValidation>
    <dataValidation allowBlank="true" error="Le matricule DESPS / Identifiant doit comporter EXACTEMENT 9 caractères, dont une LETTRE MAJUSCULE au début ou à la fin (ex. A12345678 ou 12345678B)." errorStyle="stop" errorTitle="Matricule DESPS invalide" operator="between" prompt="9 caractères exactement, avec une lettre majuscule en première ou en dernière position (ex. A12345678 ou 12345678B). Laisser vide tant que l'identifiant n'est pas connu." promptTitle="Matricule DESPS / Identifiant" showDropDown="false" showErrorMessage="true" showInputMessage="true" sqref="C10:C250" type="custom">
      <formula1>AND(LEN(C10)=9,OR(AND(CODE(LEFT(C10,1))&gt;=65,CODE(LEFT(C10,1))&lt;=90),AND(CODE(RIGHT(C10,1))&gt;=65,CODE(RIGHT(C10,1))&lt;=90)))</formula1>
      <formula2>0</formula2>
    </dataValidation>
  </dataValidations>
  <printOptions headings="false" gridLines="false" gridLinesSet="true" horizontalCentered="true" verticalCentered="false"/>
  <pageMargins left="0.309722222222222" right="0.309722222222222" top="0.470138888888889" bottom="0.470138888888889" header="0.511811023622047" footer="0.511811023622047"/>
  <pageSetup paperSize="9" scale="100" fitToWidth="1" fitToHeight="0" pageOrder="downThenOver" orientation="landscape" blackAndWhite="false" draft="false" cellComments="none" horizontalDpi="300" verticalDpi="300" copies="1"/>
  <headerFooter differentFirst="false" differentOddEven="false">
    <oddHeader/>
    <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Feuil4" filterMode="false">
    <tabColor rgb="FFF2A900"/>
    <pageSetUpPr fitToPage="false"/>
  </sheetPr>
  <dimension ref="A1:AU25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6" ySplit="9" topLeftCell="G10" activePane="bottomRight" state="frozen"/>
      <selection pane="topLeft" activeCell="A1" activeCellId="0" sqref="A1"/>
      <selection pane="topRight" activeCell="G1" activeCellId="0" sqref="G1"/>
      <selection pane="bottomLeft" activeCell="A10" activeCellId="0" sqref="A10"/>
      <selection pane="bottomRight" activeCell="A1" activeCellId="0" sqref="A1"/>
    </sheetView>
  </sheetViews>
  <sheetFormatPr defaultColWidth="8.6796875" defaultRowHeight="15" zeroHeight="false" outlineLevelRow="0" outlineLevelCol="0"/>
  <cols>
    <col collapsed="false" customWidth="true" hidden="false" outlineLevel="0" max="1" min="1" style="0" width="5"/>
    <col collapsed="false" customWidth="true" hidden="false" outlineLevel="0" max="2" min="2" style="0" width="13"/>
    <col collapsed="false" customWidth="true" hidden="false" outlineLevel="0" max="3" min="3" style="0" width="30"/>
    <col collapsed="false" customWidth="true" hidden="false" outlineLevel="0" max="4" min="4" style="0" width="6"/>
    <col collapsed="false" customWidth="true" hidden="false" outlineLevel="0" max="5" min="5" style="0" width="7"/>
    <col collapsed="false" customWidth="true" hidden="false" outlineLevel="0" max="6" min="6" style="0" width="10"/>
    <col collapsed="false" customWidth="true" hidden="false" outlineLevel="0" max="7" min="7" style="0" width="8"/>
    <col collapsed="false" customWidth="true" hidden="false" outlineLevel="0" max="15" min="8" style="0" width="9"/>
    <col collapsed="false" customWidth="true" hidden="false" outlineLevel="0" max="16" min="16" style="0" width="9.51"/>
    <col collapsed="false" customWidth="true" hidden="false" outlineLevel="0" max="17" min="17" style="0" width="8"/>
    <col collapsed="false" customWidth="true" hidden="false" outlineLevel="0" max="25" min="18" style="0" width="9"/>
    <col collapsed="false" customWidth="true" hidden="false" outlineLevel="0" max="26" min="26" style="0" width="9.51"/>
    <col collapsed="false" customWidth="true" hidden="false" outlineLevel="0" max="27" min="27" style="0" width="8"/>
    <col collapsed="false" customWidth="true" hidden="false" outlineLevel="0" max="35" min="28" style="0" width="9"/>
    <col collapsed="false" customWidth="true" hidden="false" outlineLevel="0" max="36" min="36" style="0" width="9.51"/>
    <col collapsed="false" customWidth="true" hidden="false" outlineLevel="0" max="37" min="37" style="0" width="8"/>
    <col collapsed="false" customWidth="true" hidden="false" outlineLevel="0" max="45" min="38" style="0" width="9"/>
    <col collapsed="false" customWidth="true" hidden="false" outlineLevel="0" max="46" min="46" style="0" width="9.51"/>
    <col collapsed="false" customWidth="true" hidden="true" outlineLevel="0" max="47" min="47" style="0" width="13"/>
  </cols>
  <sheetData>
    <row r="1" customFormat="false" ht="15" hidden="false" customHeight="true" outlineLevel="0" collapsed="false">
      <c r="A1" s="47" t="str">
        <f aca="false">PARAMETRES!$C$4</f>
        <v>MINISTERE DE L'EDUCATION NATIONALE ET DE L'ALPHABETISATION</v>
      </c>
      <c r="B1" s="47"/>
      <c r="C1" s="47"/>
      <c r="D1" s="47"/>
      <c r="E1" s="47"/>
      <c r="F1" s="47"/>
      <c r="G1" s="47"/>
      <c r="H1" s="47"/>
      <c r="I1" s="47"/>
      <c r="J1" s="47"/>
      <c r="K1" s="47"/>
      <c r="L1" s="47"/>
      <c r="M1" s="47"/>
      <c r="N1" s="47"/>
      <c r="O1" s="47"/>
      <c r="P1" s="47"/>
      <c r="Q1" s="47"/>
      <c r="R1" s="47"/>
      <c r="S1" s="47"/>
      <c r="T1" s="47"/>
      <c r="U1" s="47"/>
      <c r="V1" s="47"/>
      <c r="W1" s="47"/>
      <c r="X1" s="47" t="s">
        <v>115</v>
      </c>
      <c r="Y1" s="47"/>
      <c r="Z1" s="47"/>
      <c r="AA1" s="47"/>
      <c r="AB1" s="47"/>
      <c r="AC1" s="47"/>
      <c r="AD1" s="47"/>
      <c r="AE1" s="47"/>
      <c r="AF1" s="47"/>
      <c r="AG1" s="47"/>
      <c r="AH1" s="47"/>
      <c r="AI1" s="47"/>
      <c r="AJ1" s="47"/>
      <c r="AK1" s="47"/>
      <c r="AL1" s="47"/>
      <c r="AM1" s="47"/>
      <c r="AN1" s="47"/>
      <c r="AO1" s="47"/>
      <c r="AP1" s="47"/>
      <c r="AQ1" s="47"/>
      <c r="AR1" s="47"/>
      <c r="AS1" s="47"/>
      <c r="AT1" s="47"/>
    </row>
    <row r="2" customFormat="false" ht="15" hidden="false" customHeight="true" outlineLevel="0" collapsed="false">
      <c r="A2" s="48" t="str">
        <f aca="false">PARAMETRES!$C$5</f>
        <v>DIRECTION REGIONALE DE L'EDUCATION NATIONALE DE GAGNOA</v>
      </c>
      <c r="B2" s="48"/>
      <c r="C2" s="48"/>
      <c r="D2" s="48"/>
      <c r="E2" s="48"/>
      <c r="F2" s="48"/>
      <c r="G2" s="48"/>
      <c r="H2" s="48"/>
      <c r="I2" s="48"/>
      <c r="J2" s="48"/>
      <c r="K2" s="48"/>
      <c r="L2" s="48"/>
      <c r="M2" s="48"/>
      <c r="N2" s="48"/>
      <c r="O2" s="48"/>
      <c r="P2" s="48"/>
      <c r="Q2" s="48"/>
      <c r="R2" s="48"/>
      <c r="S2" s="48"/>
      <c r="T2" s="48"/>
      <c r="U2" s="48"/>
      <c r="V2" s="48"/>
      <c r="W2" s="48"/>
      <c r="X2" s="48" t="s">
        <v>116</v>
      </c>
      <c r="Y2" s="48"/>
      <c r="Z2" s="48"/>
      <c r="AA2" s="48"/>
      <c r="AB2" s="48"/>
      <c r="AC2" s="48"/>
      <c r="AD2" s="48"/>
      <c r="AE2" s="48"/>
      <c r="AF2" s="48"/>
      <c r="AG2" s="48"/>
      <c r="AH2" s="48"/>
      <c r="AI2" s="48"/>
      <c r="AJ2" s="48"/>
      <c r="AK2" s="48"/>
      <c r="AL2" s="48"/>
      <c r="AM2" s="48"/>
      <c r="AN2" s="48"/>
      <c r="AO2" s="48"/>
      <c r="AP2" s="48"/>
      <c r="AQ2" s="48"/>
      <c r="AR2" s="48"/>
      <c r="AS2" s="48"/>
      <c r="AT2" s="48"/>
    </row>
    <row r="3" customFormat="false" ht="15" hidden="false" customHeight="false" outlineLevel="0" collapsed="false">
      <c r="A3" s="47" t="str">
        <f aca="false">PARAMETRES!$C$6</f>
        <v>IEPP GAGNOA 2</v>
      </c>
      <c r="B3" s="47"/>
      <c r="C3" s="47"/>
      <c r="D3" s="47"/>
      <c r="E3" s="47"/>
      <c r="F3" s="47"/>
      <c r="G3" s="47"/>
      <c r="H3" s="47"/>
      <c r="I3" s="47"/>
      <c r="J3" s="47"/>
      <c r="K3" s="47"/>
      <c r="L3" s="47"/>
      <c r="M3" s="47"/>
      <c r="N3" s="47"/>
      <c r="O3" s="47"/>
      <c r="P3" s="47"/>
      <c r="Q3" s="47"/>
      <c r="R3" s="47"/>
      <c r="S3" s="47"/>
      <c r="T3" s="47"/>
      <c r="U3" s="47"/>
      <c r="V3" s="47"/>
      <c r="W3" s="47"/>
      <c r="X3" s="47" t="str">
        <f aca="false">"ANNEE SCOLAIRE : "&amp;PARAMETRES!$C$9</f>
        <v>ANNEE SCOLAIRE : 2026-2027</v>
      </c>
      <c r="Y3" s="47"/>
      <c r="Z3" s="47"/>
      <c r="AA3" s="47"/>
      <c r="AB3" s="47"/>
      <c r="AC3" s="47"/>
      <c r="AD3" s="47"/>
      <c r="AE3" s="47"/>
      <c r="AF3" s="47"/>
      <c r="AG3" s="47"/>
      <c r="AH3" s="47"/>
      <c r="AI3" s="47"/>
      <c r="AJ3" s="47"/>
      <c r="AK3" s="47"/>
      <c r="AL3" s="47"/>
      <c r="AM3" s="47"/>
      <c r="AN3" s="47"/>
      <c r="AO3" s="47"/>
      <c r="AP3" s="47"/>
      <c r="AQ3" s="47"/>
      <c r="AR3" s="47"/>
      <c r="AS3" s="47"/>
      <c r="AT3" s="47"/>
    </row>
    <row r="4" customFormat="false" ht="15" hidden="false" customHeight="false" outlineLevel="0" collapsed="false">
      <c r="A4" s="48" t="str">
        <f aca="false">PARAMETRES!$C$7&amp;"  -  Code : "&amp;PARAMETRES!$C$8</f>
        <v>EPP LIGUIYO  -  Code : EPP-GAG-0123</v>
      </c>
      <c r="B4" s="48"/>
      <c r="C4" s="48"/>
      <c r="D4" s="48"/>
      <c r="E4" s="48"/>
      <c r="F4" s="48"/>
      <c r="G4" s="48"/>
      <c r="H4" s="48"/>
      <c r="I4" s="48"/>
      <c r="J4" s="48"/>
      <c r="K4" s="48"/>
      <c r="L4" s="48"/>
      <c r="M4" s="48"/>
      <c r="N4" s="48"/>
      <c r="O4" s="48"/>
      <c r="P4" s="48"/>
      <c r="Q4" s="48"/>
      <c r="R4" s="48"/>
      <c r="S4" s="48"/>
      <c r="T4" s="48"/>
      <c r="U4" s="48"/>
      <c r="V4" s="48"/>
      <c r="W4" s="48"/>
      <c r="X4" s="49"/>
    </row>
    <row r="6" customFormat="false" ht="27.75" hidden="false" customHeight="true" outlineLevel="0" collapsed="false">
      <c r="A6" s="30" t="s">
        <v>558</v>
      </c>
      <c r="B6" s="30"/>
      <c r="C6" s="30"/>
      <c r="D6" s="30"/>
      <c r="E6" s="30"/>
      <c r="F6" s="30"/>
      <c r="G6" s="30"/>
      <c r="H6" s="30"/>
      <c r="I6" s="30"/>
      <c r="J6" s="30"/>
      <c r="K6" s="30"/>
      <c r="L6" s="30"/>
      <c r="M6" s="30"/>
      <c r="N6" s="30"/>
      <c r="O6" s="30"/>
      <c r="P6" s="30"/>
      <c r="Q6" s="30"/>
      <c r="R6" s="30"/>
      <c r="S6" s="30"/>
      <c r="T6" s="30"/>
      <c r="U6" s="30"/>
      <c r="V6" s="30"/>
      <c r="W6" s="30"/>
      <c r="X6" s="30"/>
      <c r="Y6" s="30"/>
      <c r="Z6" s="30"/>
      <c r="AA6" s="30"/>
      <c r="AB6" s="30"/>
      <c r="AC6" s="30"/>
      <c r="AD6" s="30"/>
      <c r="AE6" s="30"/>
      <c r="AF6" s="30"/>
      <c r="AG6" s="30"/>
      <c r="AH6" s="30"/>
      <c r="AI6" s="30"/>
      <c r="AJ6" s="30"/>
      <c r="AK6" s="30"/>
      <c r="AL6" s="30"/>
      <c r="AM6" s="30"/>
      <c r="AN6" s="30"/>
      <c r="AO6" s="30"/>
      <c r="AP6" s="30"/>
      <c r="AQ6" s="30"/>
      <c r="AR6" s="30"/>
      <c r="AS6" s="30"/>
      <c r="AT6" s="30"/>
    </row>
    <row r="7" customFormat="false" ht="15" hidden="false" customHeight="true" outlineLevel="0" collapsed="false">
      <c r="G7" s="41" t="s">
        <v>559</v>
      </c>
      <c r="H7" s="41"/>
      <c r="I7" s="41"/>
      <c r="J7" s="41"/>
      <c r="K7" s="41"/>
      <c r="L7" s="41"/>
      <c r="M7" s="41"/>
      <c r="N7" s="41"/>
      <c r="O7" s="41"/>
      <c r="P7" s="41"/>
      <c r="Q7" s="60" t="s">
        <v>560</v>
      </c>
      <c r="R7" s="60"/>
      <c r="S7" s="60"/>
      <c r="T7" s="60"/>
      <c r="U7" s="60"/>
      <c r="V7" s="60"/>
      <c r="W7" s="60"/>
      <c r="X7" s="60"/>
      <c r="Y7" s="60"/>
      <c r="Z7" s="60"/>
      <c r="AA7" s="61" t="s">
        <v>561</v>
      </c>
      <c r="AB7" s="61"/>
      <c r="AC7" s="61"/>
      <c r="AD7" s="61"/>
      <c r="AE7" s="61"/>
      <c r="AF7" s="61"/>
      <c r="AG7" s="61"/>
      <c r="AH7" s="61"/>
      <c r="AI7" s="61"/>
      <c r="AJ7" s="61"/>
      <c r="AK7" s="62" t="s">
        <v>562</v>
      </c>
      <c r="AL7" s="62"/>
      <c r="AM7" s="62"/>
      <c r="AN7" s="62"/>
      <c r="AO7" s="62"/>
      <c r="AP7" s="62"/>
      <c r="AQ7" s="62"/>
      <c r="AR7" s="62"/>
      <c r="AS7" s="62"/>
      <c r="AT7" s="62"/>
    </row>
    <row r="8" customFormat="false" ht="15" hidden="false" customHeight="false" outlineLevel="0" collapsed="false">
      <c r="B8" s="63" t="s">
        <v>563</v>
      </c>
      <c r="C8" s="64" t="s">
        <v>564</v>
      </c>
      <c r="D8" s="64"/>
      <c r="E8" s="64"/>
      <c r="F8" s="64"/>
      <c r="G8" s="65" t="s">
        <v>565</v>
      </c>
      <c r="H8" s="66" t="n">
        <v>1</v>
      </c>
      <c r="I8" s="66" t="n">
        <v>1</v>
      </c>
      <c r="J8" s="66" t="n">
        <v>1</v>
      </c>
      <c r="K8" s="66" t="n">
        <v>1</v>
      </c>
      <c r="L8" s="66" t="n">
        <v>1</v>
      </c>
      <c r="M8" s="66" t="n">
        <v>1</v>
      </c>
      <c r="N8" s="66" t="n">
        <v>1</v>
      </c>
      <c r="O8" s="66" t="n">
        <v>1</v>
      </c>
      <c r="Q8" s="65" t="s">
        <v>565</v>
      </c>
      <c r="R8" s="66" t="n">
        <v>1</v>
      </c>
      <c r="S8" s="66" t="n">
        <v>1</v>
      </c>
      <c r="T8" s="66" t="n">
        <v>1</v>
      </c>
      <c r="U8" s="66" t="n">
        <v>1</v>
      </c>
      <c r="V8" s="66" t="n">
        <v>1</v>
      </c>
      <c r="W8" s="66" t="n">
        <v>1</v>
      </c>
      <c r="X8" s="66" t="n">
        <v>1</v>
      </c>
      <c r="Y8" s="66" t="n">
        <v>1</v>
      </c>
      <c r="AA8" s="65" t="s">
        <v>565</v>
      </c>
      <c r="AB8" s="66" t="n">
        <v>1</v>
      </c>
      <c r="AC8" s="66" t="n">
        <v>1</v>
      </c>
      <c r="AD8" s="66" t="n">
        <v>1</v>
      </c>
      <c r="AE8" s="66" t="n">
        <v>1</v>
      </c>
      <c r="AF8" s="66" t="n">
        <v>1</v>
      </c>
      <c r="AG8" s="66" t="n">
        <v>1</v>
      </c>
      <c r="AH8" s="66" t="n">
        <v>1</v>
      </c>
      <c r="AI8" s="66" t="n">
        <v>1</v>
      </c>
      <c r="AK8" s="65" t="s">
        <v>565</v>
      </c>
      <c r="AL8" s="66" t="n">
        <v>1</v>
      </c>
      <c r="AM8" s="66" t="n">
        <v>1</v>
      </c>
      <c r="AN8" s="66" t="n">
        <v>1</v>
      </c>
      <c r="AO8" s="66" t="n">
        <v>1</v>
      </c>
      <c r="AP8" s="66" t="n">
        <v>1</v>
      </c>
      <c r="AQ8" s="66" t="n">
        <v>1</v>
      </c>
      <c r="AR8" s="66" t="n">
        <v>1</v>
      </c>
      <c r="AS8" s="66" t="n">
        <v>1</v>
      </c>
    </row>
    <row r="9" customFormat="false" ht="60" hidden="false" customHeight="true" outlineLevel="0" collapsed="false">
      <c r="A9" s="50" t="s">
        <v>120</v>
      </c>
      <c r="B9" s="50" t="s">
        <v>121</v>
      </c>
      <c r="C9" s="50" t="s">
        <v>123</v>
      </c>
      <c r="D9" s="50" t="s">
        <v>32</v>
      </c>
      <c r="E9" s="50" t="s">
        <v>12</v>
      </c>
      <c r="F9" s="50" t="s">
        <v>36</v>
      </c>
      <c r="G9" s="67" t="s">
        <v>566</v>
      </c>
      <c r="H9" s="68" t="s">
        <v>567</v>
      </c>
      <c r="I9" s="68" t="s">
        <v>568</v>
      </c>
      <c r="J9" s="68" t="s">
        <v>569</v>
      </c>
      <c r="K9" s="68" t="s">
        <v>570</v>
      </c>
      <c r="L9" s="68" t="s">
        <v>571</v>
      </c>
      <c r="M9" s="68" t="s">
        <v>572</v>
      </c>
      <c r="N9" s="68" t="s">
        <v>573</v>
      </c>
      <c r="O9" s="68" t="s">
        <v>574</v>
      </c>
      <c r="P9" s="69" t="s">
        <v>575</v>
      </c>
      <c r="Q9" s="67" t="s">
        <v>566</v>
      </c>
      <c r="R9" s="70" t="s">
        <v>567</v>
      </c>
      <c r="S9" s="70" t="s">
        <v>568</v>
      </c>
      <c r="T9" s="70" t="s">
        <v>569</v>
      </c>
      <c r="U9" s="70" t="s">
        <v>570</v>
      </c>
      <c r="V9" s="70" t="s">
        <v>571</v>
      </c>
      <c r="W9" s="70" t="s">
        <v>572</v>
      </c>
      <c r="X9" s="70" t="s">
        <v>573</v>
      </c>
      <c r="Y9" s="70" t="s">
        <v>574</v>
      </c>
      <c r="Z9" s="69" t="s">
        <v>575</v>
      </c>
      <c r="AA9" s="67" t="s">
        <v>566</v>
      </c>
      <c r="AB9" s="71" t="s">
        <v>567</v>
      </c>
      <c r="AC9" s="71" t="s">
        <v>568</v>
      </c>
      <c r="AD9" s="71" t="s">
        <v>569</v>
      </c>
      <c r="AE9" s="71" t="s">
        <v>570</v>
      </c>
      <c r="AF9" s="71" t="s">
        <v>571</v>
      </c>
      <c r="AG9" s="71" t="s">
        <v>572</v>
      </c>
      <c r="AH9" s="71" t="s">
        <v>573</v>
      </c>
      <c r="AI9" s="71" t="s">
        <v>574</v>
      </c>
      <c r="AJ9" s="69" t="s">
        <v>575</v>
      </c>
      <c r="AK9" s="67" t="s">
        <v>566</v>
      </c>
      <c r="AL9" s="72" t="s">
        <v>567</v>
      </c>
      <c r="AM9" s="72" t="s">
        <v>568</v>
      </c>
      <c r="AN9" s="72" t="s">
        <v>569</v>
      </c>
      <c r="AO9" s="72" t="s">
        <v>570</v>
      </c>
      <c r="AP9" s="72" t="s">
        <v>571</v>
      </c>
      <c r="AQ9" s="72" t="s">
        <v>572</v>
      </c>
      <c r="AR9" s="72" t="s">
        <v>573</v>
      </c>
      <c r="AS9" s="72" t="s">
        <v>574</v>
      </c>
      <c r="AT9" s="69" t="s">
        <v>575</v>
      </c>
      <c r="AU9" s="51" t="s">
        <v>576</v>
      </c>
    </row>
    <row r="10" customFormat="false" ht="15" hidden="false" customHeight="false" outlineLevel="0" collapsed="false">
      <c r="A10" s="73" t="n">
        <f aca="false">IF(B10="","",1)</f>
        <v>1</v>
      </c>
      <c r="B10" s="73" t="str">
        <f aca="false">IF($AU10="","",INDEX('REGISTRE ELEVES'!$B$10:$B$250,$AU10))</f>
        <v>CP1-001-26</v>
      </c>
      <c r="C10" s="74" t="str">
        <f aca="false">IF($AU10="","",INDEX('REGISTRE ELEVES'!$D$10:$D$250,$AU10))</f>
        <v>DIGBEU Ismaël Kouadio</v>
      </c>
      <c r="D10" s="73" t="str">
        <f aca="false">IF($AU10="","",INDEX('REGISTRE ELEVES'!$E$10:$E$250,$AU10))</f>
        <v>M</v>
      </c>
      <c r="E10" s="73" t="str">
        <f aca="false">IF($AU10="","",INDEX('REGISTRE ELEVES'!$F$10:$F$250,$AU10))</f>
        <v>CP1</v>
      </c>
      <c r="F10" s="73" t="str">
        <f aca="false">IF($AU10="","",INDEX('REGISTRE ELEVES'!$AE$10:$AE$250,$AU10))</f>
        <v>PRESENT</v>
      </c>
      <c r="G10" s="75" t="s">
        <v>39</v>
      </c>
      <c r="H10" s="76" t="n">
        <v>8.5</v>
      </c>
      <c r="I10" s="76" t="n">
        <v>6</v>
      </c>
      <c r="J10" s="76" t="n">
        <v>8.5</v>
      </c>
      <c r="K10" s="76" t="n">
        <v>6.5</v>
      </c>
      <c r="L10" s="76" t="n">
        <v>6.5</v>
      </c>
      <c r="M10" s="76" t="n">
        <v>8</v>
      </c>
      <c r="N10" s="76" t="n">
        <v>5</v>
      </c>
      <c r="O10" s="76" t="n">
        <v>7.5</v>
      </c>
      <c r="P10" s="77" t="n">
        <f aca="false">IF(B10="","",IF($G10="NON",0,IF(COUNT(H10:O10)=0,"",IFERROR(ROUND(SUMPRODUCT(H10:O10,$H$8:$O$8)/SUMPRODUCT(ISNUMBER(H10:O10)*$H$8:$O$8),2),""))))</f>
        <v>7.06</v>
      </c>
      <c r="Q10" s="75" t="s">
        <v>39</v>
      </c>
      <c r="R10" s="76" t="n">
        <v>6</v>
      </c>
      <c r="S10" s="76" t="n">
        <v>8</v>
      </c>
      <c r="T10" s="76" t="n">
        <v>6</v>
      </c>
      <c r="U10" s="76" t="n">
        <v>6.5</v>
      </c>
      <c r="V10" s="76" t="n">
        <v>7</v>
      </c>
      <c r="W10" s="76" t="n">
        <v>7.5</v>
      </c>
      <c r="X10" s="76" t="n">
        <v>5.5</v>
      </c>
      <c r="Y10" s="76" t="n">
        <v>6.5</v>
      </c>
      <c r="Z10" s="77" t="n">
        <f aca="false">IF(B10="","",IF($Q10="NON",0,IF(COUNT(R10:Y10)=0,"",IFERROR(ROUND(SUMPRODUCT(R10:Y10,$R$8:$Y$8)/SUMPRODUCT(ISNUMBER(R10:Y10)*$R$8:$Y$8),2),""))))</f>
        <v>6.63</v>
      </c>
      <c r="AA10" s="75" t="s">
        <v>39</v>
      </c>
      <c r="AB10" s="76" t="n">
        <v>7</v>
      </c>
      <c r="AC10" s="76" t="n">
        <v>8</v>
      </c>
      <c r="AD10" s="76" t="n">
        <v>6</v>
      </c>
      <c r="AE10" s="76" t="n">
        <v>8</v>
      </c>
      <c r="AF10" s="76" t="n">
        <v>6.5</v>
      </c>
      <c r="AG10" s="76" t="n">
        <v>6.5</v>
      </c>
      <c r="AH10" s="76" t="n">
        <v>5.5</v>
      </c>
      <c r="AI10" s="76" t="n">
        <v>6.5</v>
      </c>
      <c r="AJ10" s="77" t="n">
        <f aca="false">IF(B10="","",IF($AA10="NON",0,IF(COUNT(AB10:AI10)=0,"",IFERROR(ROUND(SUMPRODUCT(AB10:AI10,$AB$8:$AI$8)/SUMPRODUCT(ISNUMBER(AB10:AI10)*$AB$8:$AI$8),2),""))))</f>
        <v>6.75</v>
      </c>
      <c r="AK10" s="75" t="s">
        <v>39</v>
      </c>
      <c r="AL10" s="76" t="n">
        <v>7.5</v>
      </c>
      <c r="AM10" s="76" t="n">
        <v>8</v>
      </c>
      <c r="AN10" s="76" t="n">
        <v>6</v>
      </c>
      <c r="AO10" s="76" t="n">
        <v>6</v>
      </c>
      <c r="AP10" s="76" t="n">
        <v>6</v>
      </c>
      <c r="AQ10" s="76" t="n">
        <v>7</v>
      </c>
      <c r="AR10" s="76" t="n">
        <v>7</v>
      </c>
      <c r="AS10" s="76" t="n">
        <v>8</v>
      </c>
      <c r="AT10" s="77" t="n">
        <f aca="false">IF(B10="","",IF($AK10="NON",0,IF(COUNT(AL10:AS10)=0,"",IFERROR(ROUND(SUMPRODUCT(AL10:AS10,$AL$8:$AS$8)/SUMPRODUCT(ISNUMBER(AL10:AS10)*$AL$8:$AS$8),2),""))))</f>
        <v>6.94</v>
      </c>
      <c r="AU10" s="51" t="n">
        <f aca="false">IFERROR(MATCH("CP-1",'REGISTRE ELEVES'!$AI$10:$AI$250,0),"")</f>
        <v>1</v>
      </c>
    </row>
    <row r="11" customFormat="false" ht="15" hidden="false" customHeight="false" outlineLevel="0" collapsed="false">
      <c r="A11" s="73" t="n">
        <f aca="false">IF(B11="","",2)</f>
        <v>2</v>
      </c>
      <c r="B11" s="73" t="str">
        <f aca="false">IF($AU11="","",INDEX('REGISTRE ELEVES'!$B$10:$B$250,$AU11))</f>
        <v>CP1-002-26</v>
      </c>
      <c r="C11" s="74" t="str">
        <f aca="false">IF($AU11="","",INDEX('REGISTRE ELEVES'!$D$10:$D$250,$AU11))</f>
        <v>KONAN Franck Koffi</v>
      </c>
      <c r="D11" s="73" t="str">
        <f aca="false">IF($AU11="","",INDEX('REGISTRE ELEVES'!$E$10:$E$250,$AU11))</f>
        <v>M</v>
      </c>
      <c r="E11" s="73" t="str">
        <f aca="false">IF($AU11="","",INDEX('REGISTRE ELEVES'!$F$10:$F$250,$AU11))</f>
        <v>CP1</v>
      </c>
      <c r="F11" s="73" t="str">
        <f aca="false">IF($AU11="","",INDEX('REGISTRE ELEVES'!$AE$10:$AE$250,$AU11))</f>
        <v>PRESENT</v>
      </c>
      <c r="G11" s="75" t="s">
        <v>39</v>
      </c>
      <c r="H11" s="76" t="n">
        <v>5</v>
      </c>
      <c r="I11" s="76" t="n">
        <v>3.5</v>
      </c>
      <c r="J11" s="76" t="n">
        <v>1.5</v>
      </c>
      <c r="K11" s="76" t="n">
        <v>2.5</v>
      </c>
      <c r="L11" s="76" t="n">
        <v>1.5</v>
      </c>
      <c r="M11" s="76" t="n">
        <v>2</v>
      </c>
      <c r="N11" s="76" t="n">
        <v>5</v>
      </c>
      <c r="O11" s="76" t="n">
        <v>3.5</v>
      </c>
      <c r="P11" s="77" t="n">
        <f aca="false">IF(B11="","",IF($G11="NON",0,IF(COUNT(H11:O11)=0,"",IFERROR(ROUND(SUMPRODUCT(H11:O11,$H$8:$O$8)/SUMPRODUCT(ISNUMBER(H11:O11)*$H$8:$O$8),2),""))))</f>
        <v>3.06</v>
      </c>
      <c r="Q11" s="75" t="s">
        <v>39</v>
      </c>
      <c r="R11" s="76" t="n">
        <v>4.5</v>
      </c>
      <c r="S11" s="76" t="n">
        <v>5</v>
      </c>
      <c r="T11" s="76" t="n">
        <v>3.5</v>
      </c>
      <c r="U11" s="76" t="n">
        <v>3.5</v>
      </c>
      <c r="V11" s="76" t="n">
        <v>3.5</v>
      </c>
      <c r="W11" s="76" t="n">
        <v>4</v>
      </c>
      <c r="X11" s="76" t="n">
        <v>3.5</v>
      </c>
      <c r="Y11" s="76" t="n">
        <v>4</v>
      </c>
      <c r="Z11" s="77" t="n">
        <f aca="false">IF(B11="","",IF($Q11="NON",0,IF(COUNT(R11:Y11)=0,"",IFERROR(ROUND(SUMPRODUCT(R11:Y11,$R$8:$Y$8)/SUMPRODUCT(ISNUMBER(R11:Y11)*$R$8:$Y$8),2),""))))</f>
        <v>3.94</v>
      </c>
      <c r="AA11" s="75" t="s">
        <v>39</v>
      </c>
      <c r="AB11" s="76" t="n">
        <v>4</v>
      </c>
      <c r="AC11" s="76" t="n">
        <v>3</v>
      </c>
      <c r="AD11" s="76" t="n">
        <v>4.5</v>
      </c>
      <c r="AE11" s="76" t="n">
        <v>1.5</v>
      </c>
      <c r="AF11" s="76" t="n">
        <v>2</v>
      </c>
      <c r="AG11" s="76" t="n">
        <v>1.5</v>
      </c>
      <c r="AH11" s="76" t="n">
        <v>4.5</v>
      </c>
      <c r="AI11" s="76" t="n">
        <v>5</v>
      </c>
      <c r="AJ11" s="77" t="n">
        <f aca="false">IF(B11="","",IF($AA11="NON",0,IF(COUNT(AB11:AI11)=0,"",IFERROR(ROUND(SUMPRODUCT(AB11:AI11,$AB$8:$AI$8)/SUMPRODUCT(ISNUMBER(AB11:AI11)*$AB$8:$AI$8),2),""))))</f>
        <v>3.25</v>
      </c>
      <c r="AK11" s="75" t="s">
        <v>39</v>
      </c>
      <c r="AL11" s="76" t="n">
        <v>2.5</v>
      </c>
      <c r="AM11" s="76" t="n">
        <v>4.5</v>
      </c>
      <c r="AN11" s="76" t="n">
        <v>4.5</v>
      </c>
      <c r="AO11" s="76" t="n">
        <v>3.5</v>
      </c>
      <c r="AP11" s="76" t="n">
        <v>2.5</v>
      </c>
      <c r="AQ11" s="76" t="n">
        <v>2.5</v>
      </c>
      <c r="AR11" s="76" t="n">
        <v>3</v>
      </c>
      <c r="AS11" s="76" t="n">
        <v>2.5</v>
      </c>
      <c r="AT11" s="77" t="n">
        <f aca="false">IF(B11="","",IF($AK11="NON",0,IF(COUNT(AL11:AS11)=0,"",IFERROR(ROUND(SUMPRODUCT(AL11:AS11,$AL$8:$AS$8)/SUMPRODUCT(ISNUMBER(AL11:AS11)*$AL$8:$AS$8),2),""))))</f>
        <v>3.19</v>
      </c>
      <c r="AU11" s="51" t="n">
        <f aca="false">IFERROR(MATCH("CP-2",'REGISTRE ELEVES'!$AI$10:$AI$250,0),"")</f>
        <v>2</v>
      </c>
    </row>
    <row r="12" customFormat="false" ht="15" hidden="false" customHeight="false" outlineLevel="0" collapsed="false">
      <c r="A12" s="73" t="n">
        <f aca="false">IF(B12="","",3)</f>
        <v>3</v>
      </c>
      <c r="B12" s="73" t="str">
        <f aca="false">IF($AU12="","",INDEX('REGISTRE ELEVES'!$B$10:$B$250,$AU12))</f>
        <v>CP1-003-26</v>
      </c>
      <c r="C12" s="74" t="str">
        <f aca="false">IF($AU12="","",INDEX('REGISTRE ELEVES'!$D$10:$D$250,$AU12))</f>
        <v>ZADI Aya Akissi</v>
      </c>
      <c r="D12" s="73" t="str">
        <f aca="false">IF($AU12="","",INDEX('REGISTRE ELEVES'!$E$10:$E$250,$AU12))</f>
        <v>F</v>
      </c>
      <c r="E12" s="73" t="str">
        <f aca="false">IF($AU12="","",INDEX('REGISTRE ELEVES'!$F$10:$F$250,$AU12))</f>
        <v>CP1</v>
      </c>
      <c r="F12" s="73" t="str">
        <f aca="false">IF($AU12="","",INDEX('REGISTRE ELEVES'!$AE$10:$AE$250,$AU12))</f>
        <v>PRESENT</v>
      </c>
      <c r="G12" s="75" t="s">
        <v>39</v>
      </c>
      <c r="H12" s="76" t="n">
        <v>7.5</v>
      </c>
      <c r="I12" s="76" t="n">
        <v>4</v>
      </c>
      <c r="J12" s="76" t="n">
        <v>6</v>
      </c>
      <c r="K12" s="76" t="n">
        <v>3.5</v>
      </c>
      <c r="L12" s="76" t="n">
        <v>4</v>
      </c>
      <c r="M12" s="76" t="n">
        <v>7</v>
      </c>
      <c r="N12" s="76" t="n">
        <v>6</v>
      </c>
      <c r="O12" s="76" t="n">
        <v>7.5</v>
      </c>
      <c r="P12" s="77" t="n">
        <f aca="false">IF(B12="","",IF($G12="NON",0,IF(COUNT(H12:O12)=0,"",IFERROR(ROUND(SUMPRODUCT(H12:O12,$H$8:$O$8)/SUMPRODUCT(ISNUMBER(H12:O12)*$H$8:$O$8),2),""))))</f>
        <v>5.69</v>
      </c>
      <c r="Q12" s="75" t="s">
        <v>39</v>
      </c>
      <c r="R12" s="76" t="n">
        <v>3.5</v>
      </c>
      <c r="S12" s="76" t="n">
        <v>5</v>
      </c>
      <c r="T12" s="76" t="n">
        <v>6</v>
      </c>
      <c r="U12" s="76" t="n">
        <v>7.5</v>
      </c>
      <c r="V12" s="76" t="n">
        <v>7.5</v>
      </c>
      <c r="W12" s="76" t="n">
        <v>5.5</v>
      </c>
      <c r="X12" s="76" t="n">
        <v>5</v>
      </c>
      <c r="Y12" s="76" t="n">
        <v>4</v>
      </c>
      <c r="Z12" s="77" t="n">
        <f aca="false">IF(B12="","",IF($Q12="NON",0,IF(COUNT(R12:Y12)=0,"",IFERROR(ROUND(SUMPRODUCT(R12:Y12,$R$8:$Y$8)/SUMPRODUCT(ISNUMBER(R12:Y12)*$R$8:$Y$8),2),""))))</f>
        <v>5.5</v>
      </c>
      <c r="AA12" s="75" t="s">
        <v>39</v>
      </c>
      <c r="AB12" s="76" t="n">
        <v>4.5</v>
      </c>
      <c r="AC12" s="76" t="n">
        <v>4</v>
      </c>
      <c r="AD12" s="76" t="n">
        <v>3.5</v>
      </c>
      <c r="AE12" s="76" t="n">
        <v>3.5</v>
      </c>
      <c r="AF12" s="76" t="n">
        <v>6.5</v>
      </c>
      <c r="AG12" s="76" t="n">
        <v>4</v>
      </c>
      <c r="AH12" s="76" t="n">
        <v>7.5</v>
      </c>
      <c r="AI12" s="76" t="n">
        <v>4</v>
      </c>
      <c r="AJ12" s="77" t="n">
        <f aca="false">IF(B12="","",IF($AA12="NON",0,IF(COUNT(AB12:AI12)=0,"",IFERROR(ROUND(SUMPRODUCT(AB12:AI12,$AB$8:$AI$8)/SUMPRODUCT(ISNUMBER(AB12:AI12)*$AB$8:$AI$8),2),""))))</f>
        <v>4.69</v>
      </c>
      <c r="AK12" s="75" t="s">
        <v>39</v>
      </c>
      <c r="AL12" s="76" t="n">
        <v>4</v>
      </c>
      <c r="AM12" s="76" t="n">
        <v>3.5</v>
      </c>
      <c r="AN12" s="76" t="n">
        <v>6.5</v>
      </c>
      <c r="AO12" s="76" t="n">
        <v>4.5</v>
      </c>
      <c r="AP12" s="76" t="n">
        <v>6.5</v>
      </c>
      <c r="AQ12" s="76" t="n">
        <v>4.5</v>
      </c>
      <c r="AR12" s="76" t="n">
        <v>4</v>
      </c>
      <c r="AS12" s="76" t="n">
        <v>6.5</v>
      </c>
      <c r="AT12" s="77" t="n">
        <f aca="false">IF(B12="","",IF($AK12="NON",0,IF(COUNT(AL12:AS12)=0,"",IFERROR(ROUND(SUMPRODUCT(AL12:AS12,$AL$8:$AS$8)/SUMPRODUCT(ISNUMBER(AL12:AS12)*$AL$8:$AS$8),2),""))))</f>
        <v>5</v>
      </c>
      <c r="AU12" s="51" t="n">
        <f aca="false">IFERROR(MATCH("CP-3",'REGISTRE ELEVES'!$AI$10:$AI$250,0),"")</f>
        <v>3</v>
      </c>
    </row>
    <row r="13" customFormat="false" ht="15" hidden="false" customHeight="false" outlineLevel="0" collapsed="false">
      <c r="A13" s="73" t="n">
        <f aca="false">IF(B13="","",4)</f>
        <v>4</v>
      </c>
      <c r="B13" s="73" t="str">
        <f aca="false">IF($AU13="","",INDEX('REGISTRE ELEVES'!$B$10:$B$250,$AU13))</f>
        <v>CP1-004-26</v>
      </c>
      <c r="C13" s="74" t="str">
        <f aca="false">IF($AU13="","",INDEX('REGISTRE ELEVES'!$D$10:$D$250,$AU13))</f>
        <v>ZADI Estelle Mariam</v>
      </c>
      <c r="D13" s="73" t="str">
        <f aca="false">IF($AU13="","",INDEX('REGISTRE ELEVES'!$E$10:$E$250,$AU13))</f>
        <v>F</v>
      </c>
      <c r="E13" s="73" t="str">
        <f aca="false">IF($AU13="","",INDEX('REGISTRE ELEVES'!$F$10:$F$250,$AU13))</f>
        <v>CP1</v>
      </c>
      <c r="F13" s="73" t="str">
        <f aca="false">IF($AU13="","",INDEX('REGISTRE ELEVES'!$AE$10:$AE$250,$AU13))</f>
        <v>PRESENT</v>
      </c>
      <c r="G13" s="75" t="s">
        <v>39</v>
      </c>
      <c r="H13" s="76" t="n">
        <v>8</v>
      </c>
      <c r="I13" s="76" t="n">
        <v>5.5</v>
      </c>
      <c r="J13" s="76" t="n">
        <v>8</v>
      </c>
      <c r="K13" s="76" t="n">
        <v>8</v>
      </c>
      <c r="L13" s="76" t="n">
        <v>7</v>
      </c>
      <c r="M13" s="76" t="n">
        <v>9</v>
      </c>
      <c r="N13" s="76" t="n">
        <v>6.5</v>
      </c>
      <c r="O13" s="76" t="n">
        <v>9</v>
      </c>
      <c r="P13" s="77" t="n">
        <f aca="false">IF(B13="","",IF($G13="NON",0,IF(COUNT(H13:O13)=0,"",IFERROR(ROUND(SUMPRODUCT(H13:O13,$H$8:$O$8)/SUMPRODUCT(ISNUMBER(H13:O13)*$H$8:$O$8),2),""))))</f>
        <v>7.63</v>
      </c>
      <c r="Q13" s="75" t="s">
        <v>39</v>
      </c>
      <c r="R13" s="76" t="n">
        <v>5.5</v>
      </c>
      <c r="S13" s="76" t="n">
        <v>5.5</v>
      </c>
      <c r="T13" s="76" t="n">
        <v>8</v>
      </c>
      <c r="U13" s="76" t="n">
        <v>8.5</v>
      </c>
      <c r="V13" s="76" t="n">
        <v>5.5</v>
      </c>
      <c r="W13" s="76" t="n">
        <v>6.5</v>
      </c>
      <c r="X13" s="76" t="n">
        <v>8</v>
      </c>
      <c r="Y13" s="76" t="n">
        <v>6</v>
      </c>
      <c r="Z13" s="77" t="n">
        <f aca="false">IF(B13="","",IF($Q13="NON",0,IF(COUNT(R13:Y13)=0,"",IFERROR(ROUND(SUMPRODUCT(R13:Y13,$R$8:$Y$8)/SUMPRODUCT(ISNUMBER(R13:Y13)*$R$8:$Y$8),2),""))))</f>
        <v>6.69</v>
      </c>
      <c r="AA13" s="75" t="s">
        <v>39</v>
      </c>
      <c r="AB13" s="76" t="n">
        <v>7</v>
      </c>
      <c r="AC13" s="76" t="n">
        <v>5.5</v>
      </c>
      <c r="AD13" s="76" t="n">
        <v>7</v>
      </c>
      <c r="AE13" s="76" t="n">
        <v>7.5</v>
      </c>
      <c r="AF13" s="76" t="n">
        <v>7</v>
      </c>
      <c r="AG13" s="76" t="n">
        <v>8</v>
      </c>
      <c r="AH13" s="76" t="n">
        <v>6</v>
      </c>
      <c r="AI13" s="76" t="n">
        <v>8.5</v>
      </c>
      <c r="AJ13" s="77" t="n">
        <f aca="false">IF(B13="","",IF($AA13="NON",0,IF(COUNT(AB13:AI13)=0,"",IFERROR(ROUND(SUMPRODUCT(AB13:AI13,$AB$8:$AI$8)/SUMPRODUCT(ISNUMBER(AB13:AI13)*$AB$8:$AI$8),2),""))))</f>
        <v>7.06</v>
      </c>
      <c r="AK13" s="75" t="s">
        <v>39</v>
      </c>
      <c r="AL13" s="76" t="n">
        <v>8</v>
      </c>
      <c r="AM13" s="76" t="n">
        <v>8</v>
      </c>
      <c r="AN13" s="76" t="n">
        <v>7</v>
      </c>
      <c r="AO13" s="76" t="n">
        <v>7</v>
      </c>
      <c r="AP13" s="76" t="n">
        <v>8.5</v>
      </c>
      <c r="AQ13" s="76" t="n">
        <v>9</v>
      </c>
      <c r="AR13" s="76" t="n">
        <v>8.5</v>
      </c>
      <c r="AS13" s="76" t="n">
        <v>7.5</v>
      </c>
      <c r="AT13" s="77" t="n">
        <f aca="false">IF(B13="","",IF($AK13="NON",0,IF(COUNT(AL13:AS13)=0,"",IFERROR(ROUND(SUMPRODUCT(AL13:AS13,$AL$8:$AS$8)/SUMPRODUCT(ISNUMBER(AL13:AS13)*$AL$8:$AS$8),2),""))))</f>
        <v>7.94</v>
      </c>
      <c r="AU13" s="51" t="n">
        <f aca="false">IFERROR(MATCH("CP-4",'REGISTRE ELEVES'!$AI$10:$AI$250,0),"")</f>
        <v>4</v>
      </c>
    </row>
    <row r="14" customFormat="false" ht="15" hidden="false" customHeight="false" outlineLevel="0" collapsed="false">
      <c r="A14" s="73" t="n">
        <f aca="false">IF(B14="","",5)</f>
        <v>5</v>
      </c>
      <c r="B14" s="73" t="str">
        <f aca="false">IF($AU14="","",INDEX('REGISTRE ELEVES'!$B$10:$B$250,$AU14))</f>
        <v>CP1-005-26</v>
      </c>
      <c r="C14" s="74" t="str">
        <f aca="false">IF($AU14="","",INDEX('REGISTRE ELEVES'!$D$10:$D$250,$AU14))</f>
        <v>KOFFI Awa Akissi</v>
      </c>
      <c r="D14" s="73" t="str">
        <f aca="false">IF($AU14="","",INDEX('REGISTRE ELEVES'!$E$10:$E$250,$AU14))</f>
        <v>F</v>
      </c>
      <c r="E14" s="73" t="str">
        <f aca="false">IF($AU14="","",INDEX('REGISTRE ELEVES'!$F$10:$F$250,$AU14))</f>
        <v>CP1</v>
      </c>
      <c r="F14" s="73" t="str">
        <f aca="false">IF($AU14="","",INDEX('REGISTRE ELEVES'!$AE$10:$AE$250,$AU14))</f>
        <v>PRESENT</v>
      </c>
      <c r="G14" s="75" t="s">
        <v>39</v>
      </c>
      <c r="H14" s="76" t="n">
        <v>6.5</v>
      </c>
      <c r="I14" s="76" t="n">
        <v>5.5</v>
      </c>
      <c r="J14" s="76" t="n">
        <v>6</v>
      </c>
      <c r="K14" s="76" t="n">
        <v>4</v>
      </c>
      <c r="L14" s="76" t="n">
        <v>5</v>
      </c>
      <c r="M14" s="76" t="n">
        <v>6.5</v>
      </c>
      <c r="N14" s="76" t="n">
        <v>6</v>
      </c>
      <c r="O14" s="76" t="n">
        <v>5</v>
      </c>
      <c r="P14" s="77" t="n">
        <f aca="false">IF(B14="","",IF($G14="NON",0,IF(COUNT(H14:O14)=0,"",IFERROR(ROUND(SUMPRODUCT(H14:O14,$H$8:$O$8)/SUMPRODUCT(ISNUMBER(H14:O14)*$H$8:$O$8),2),""))))</f>
        <v>5.56</v>
      </c>
      <c r="Q14" s="75" t="s">
        <v>39</v>
      </c>
      <c r="R14" s="76" t="n">
        <v>4.5</v>
      </c>
      <c r="S14" s="76" t="n">
        <v>6.5</v>
      </c>
      <c r="T14" s="76" t="n">
        <v>4.5</v>
      </c>
      <c r="U14" s="76" t="n">
        <v>5.5</v>
      </c>
      <c r="V14" s="76" t="n">
        <v>5</v>
      </c>
      <c r="W14" s="76" t="n">
        <v>6.5</v>
      </c>
      <c r="X14" s="76" t="n">
        <v>6</v>
      </c>
      <c r="Y14" s="76" t="n">
        <v>4</v>
      </c>
      <c r="Z14" s="77" t="n">
        <f aca="false">IF(B14="","",IF($Q14="NON",0,IF(COUNT(R14:Y14)=0,"",IFERROR(ROUND(SUMPRODUCT(R14:Y14,$R$8:$Y$8)/SUMPRODUCT(ISNUMBER(R14:Y14)*$R$8:$Y$8),2),""))))</f>
        <v>5.31</v>
      </c>
      <c r="AA14" s="75" t="s">
        <v>46</v>
      </c>
      <c r="AB14" s="76"/>
      <c r="AC14" s="76"/>
      <c r="AD14" s="76"/>
      <c r="AE14" s="76"/>
      <c r="AF14" s="76"/>
      <c r="AG14" s="76"/>
      <c r="AH14" s="76"/>
      <c r="AI14" s="76"/>
      <c r="AJ14" s="77" t="n">
        <f aca="false">IF(B14="","",IF($AA14="NON",0,IF(COUNT(AB14:AI14)=0,"",IFERROR(ROUND(SUMPRODUCT(AB14:AI14,$AB$8:$AI$8)/SUMPRODUCT(ISNUMBER(AB14:AI14)*$AB$8:$AI$8),2),""))))</f>
        <v>0</v>
      </c>
      <c r="AK14" s="75" t="s">
        <v>39</v>
      </c>
      <c r="AL14" s="76" t="n">
        <v>4.5</v>
      </c>
      <c r="AM14" s="76" t="n">
        <v>5</v>
      </c>
      <c r="AN14" s="76" t="n">
        <v>6</v>
      </c>
      <c r="AO14" s="76" t="n">
        <v>6.5</v>
      </c>
      <c r="AP14" s="76" t="n">
        <v>3</v>
      </c>
      <c r="AQ14" s="76" t="n">
        <v>6</v>
      </c>
      <c r="AR14" s="76" t="n">
        <v>6</v>
      </c>
      <c r="AS14" s="76" t="n">
        <v>6</v>
      </c>
      <c r="AT14" s="77" t="n">
        <f aca="false">IF(B14="","",IF($AK14="NON",0,IF(COUNT(AL14:AS14)=0,"",IFERROR(ROUND(SUMPRODUCT(AL14:AS14,$AL$8:$AS$8)/SUMPRODUCT(ISNUMBER(AL14:AS14)*$AL$8:$AS$8),2),""))))</f>
        <v>5.38</v>
      </c>
      <c r="AU14" s="51" t="n">
        <f aca="false">IFERROR(MATCH("CP-5",'REGISTRE ELEVES'!$AI$10:$AI$250,0),"")</f>
        <v>5</v>
      </c>
    </row>
    <row r="15" customFormat="false" ht="15" hidden="false" customHeight="false" outlineLevel="0" collapsed="false">
      <c r="A15" s="73" t="n">
        <f aca="false">IF(B15="","",6)</f>
        <v>6</v>
      </c>
      <c r="B15" s="73" t="str">
        <f aca="false">IF($AU15="","",INDEX('REGISTRE ELEVES'!$B$10:$B$250,$AU15))</f>
        <v>CP1-006-26</v>
      </c>
      <c r="C15" s="74" t="str">
        <f aca="false">IF($AU15="","",INDEX('REGISTRE ELEVES'!$D$10:$D$250,$AU15))</f>
        <v>GBOGOU Marie-Ange Estelle</v>
      </c>
      <c r="D15" s="73" t="str">
        <f aca="false">IF($AU15="","",INDEX('REGISTRE ELEVES'!$E$10:$E$250,$AU15))</f>
        <v>F</v>
      </c>
      <c r="E15" s="73" t="str">
        <f aca="false">IF($AU15="","",INDEX('REGISTRE ELEVES'!$F$10:$F$250,$AU15))</f>
        <v>CP1</v>
      </c>
      <c r="F15" s="73" t="str">
        <f aca="false">IF($AU15="","",INDEX('REGISTRE ELEVES'!$AE$10:$AE$250,$AU15))</f>
        <v>PRESENT</v>
      </c>
      <c r="G15" s="75" t="s">
        <v>39</v>
      </c>
      <c r="H15" s="76" t="n">
        <v>8</v>
      </c>
      <c r="I15" s="76" t="n">
        <v>7.5</v>
      </c>
      <c r="J15" s="76" t="n">
        <v>7</v>
      </c>
      <c r="K15" s="76" t="n">
        <v>8</v>
      </c>
      <c r="L15" s="76" t="n">
        <v>6</v>
      </c>
      <c r="M15" s="76" t="n">
        <v>5</v>
      </c>
      <c r="N15" s="76" t="n">
        <v>6.5</v>
      </c>
      <c r="O15" s="76" t="n">
        <v>7.5</v>
      </c>
      <c r="P15" s="77" t="n">
        <f aca="false">IF(B15="","",IF($G15="NON",0,IF(COUNT(H15:O15)=0,"",IFERROR(ROUND(SUMPRODUCT(H15:O15,$H$8:$O$8)/SUMPRODUCT(ISNUMBER(H15:O15)*$H$8:$O$8),2),""))))</f>
        <v>6.94</v>
      </c>
      <c r="Q15" s="75" t="s">
        <v>39</v>
      </c>
      <c r="R15" s="76" t="n">
        <v>7.5</v>
      </c>
      <c r="S15" s="76" t="n">
        <v>8</v>
      </c>
      <c r="T15" s="76" t="n">
        <v>5.5</v>
      </c>
      <c r="U15" s="76" t="n">
        <v>7</v>
      </c>
      <c r="V15" s="76" t="n">
        <v>7</v>
      </c>
      <c r="W15" s="76" t="n">
        <v>6.5</v>
      </c>
      <c r="X15" s="76" t="n">
        <v>5.5</v>
      </c>
      <c r="Y15" s="76" t="n">
        <v>5.5</v>
      </c>
      <c r="Z15" s="77" t="n">
        <f aca="false">IF(B15="","",IF($Q15="NON",0,IF(COUNT(R15:Y15)=0,"",IFERROR(ROUND(SUMPRODUCT(R15:Y15,$R$8:$Y$8)/SUMPRODUCT(ISNUMBER(R15:Y15)*$R$8:$Y$8),2),""))))</f>
        <v>6.56</v>
      </c>
      <c r="AA15" s="75" t="s">
        <v>39</v>
      </c>
      <c r="AB15" s="76" t="n">
        <v>7.5</v>
      </c>
      <c r="AC15" s="76" t="n">
        <v>6.5</v>
      </c>
      <c r="AD15" s="76" t="n">
        <v>5</v>
      </c>
      <c r="AE15" s="76" t="n">
        <v>7.5</v>
      </c>
      <c r="AF15" s="76" t="n">
        <v>7.5</v>
      </c>
      <c r="AG15" s="76" t="n">
        <v>5.5</v>
      </c>
      <c r="AH15" s="76" t="n">
        <v>6.5</v>
      </c>
      <c r="AI15" s="76" t="n">
        <v>8</v>
      </c>
      <c r="AJ15" s="77" t="n">
        <f aca="false">IF(B15="","",IF($AA15="NON",0,IF(COUNT(AB15:AI15)=0,"",IFERROR(ROUND(SUMPRODUCT(AB15:AI15,$AB$8:$AI$8)/SUMPRODUCT(ISNUMBER(AB15:AI15)*$AB$8:$AI$8),2),""))))</f>
        <v>6.75</v>
      </c>
      <c r="AK15" s="75" t="s">
        <v>39</v>
      </c>
      <c r="AL15" s="76" t="n">
        <v>6.5</v>
      </c>
      <c r="AM15" s="76" t="n">
        <v>6.5</v>
      </c>
      <c r="AN15" s="76" t="n">
        <v>7</v>
      </c>
      <c r="AO15" s="76" t="n">
        <v>5</v>
      </c>
      <c r="AP15" s="76" t="n">
        <v>5</v>
      </c>
      <c r="AQ15" s="76" t="n">
        <v>5</v>
      </c>
      <c r="AR15" s="76" t="n">
        <v>7</v>
      </c>
      <c r="AS15" s="76" t="n">
        <v>6</v>
      </c>
      <c r="AT15" s="77" t="n">
        <f aca="false">IF(B15="","",IF($AK15="NON",0,IF(COUNT(AL15:AS15)=0,"",IFERROR(ROUND(SUMPRODUCT(AL15:AS15,$AL$8:$AS$8)/SUMPRODUCT(ISNUMBER(AL15:AS15)*$AL$8:$AS$8),2),""))))</f>
        <v>6</v>
      </c>
      <c r="AU15" s="51" t="n">
        <f aca="false">IFERROR(MATCH("CP-6",'REGISTRE ELEVES'!$AI$10:$AI$250,0),"")</f>
        <v>6</v>
      </c>
    </row>
    <row r="16" customFormat="false" ht="15" hidden="false" customHeight="false" outlineLevel="0" collapsed="false">
      <c r="A16" s="73" t="n">
        <f aca="false">IF(B16="","",7)</f>
        <v>7</v>
      </c>
      <c r="B16" s="73" t="str">
        <f aca="false">IF($AU16="","",INDEX('REGISTRE ELEVES'!$B$10:$B$250,$AU16))</f>
        <v>CP1-007-26</v>
      </c>
      <c r="C16" s="74" t="str">
        <f aca="false">IF($AU16="","",INDEX('REGISTRE ELEVES'!$D$10:$D$250,$AU16))</f>
        <v>LOBA Amenan Affoué</v>
      </c>
      <c r="D16" s="73" t="str">
        <f aca="false">IF($AU16="","",INDEX('REGISTRE ELEVES'!$E$10:$E$250,$AU16))</f>
        <v>F</v>
      </c>
      <c r="E16" s="73" t="str">
        <f aca="false">IF($AU16="","",INDEX('REGISTRE ELEVES'!$F$10:$F$250,$AU16))</f>
        <v>CP1</v>
      </c>
      <c r="F16" s="73" t="str">
        <f aca="false">IF($AU16="","",INDEX('REGISTRE ELEVES'!$AE$10:$AE$250,$AU16))</f>
        <v>PRESENT</v>
      </c>
      <c r="G16" s="75" t="s">
        <v>39</v>
      </c>
      <c r="H16" s="76" t="n">
        <v>6.5</v>
      </c>
      <c r="I16" s="76" t="n">
        <v>5</v>
      </c>
      <c r="J16" s="76" t="n">
        <v>4.5</v>
      </c>
      <c r="K16" s="76" t="n">
        <v>8.5</v>
      </c>
      <c r="L16" s="76" t="n">
        <v>6</v>
      </c>
      <c r="M16" s="76" t="n">
        <v>5</v>
      </c>
      <c r="N16" s="76" t="n">
        <v>7</v>
      </c>
      <c r="O16" s="76" t="n">
        <v>7.5</v>
      </c>
      <c r="P16" s="77" t="n">
        <f aca="false">IF(B16="","",IF($G16="NON",0,IF(COUNT(H16:O16)=0,"",IFERROR(ROUND(SUMPRODUCT(H16:O16,$H$8:$O$8)/SUMPRODUCT(ISNUMBER(H16:O16)*$H$8:$O$8),2),""))))</f>
        <v>6.25</v>
      </c>
      <c r="Q16" s="75" t="s">
        <v>39</v>
      </c>
      <c r="R16" s="76" t="n">
        <v>7</v>
      </c>
      <c r="S16" s="76" t="n">
        <v>6</v>
      </c>
      <c r="T16" s="76" t="n">
        <v>6.5</v>
      </c>
      <c r="U16" s="76" t="n">
        <v>4.5</v>
      </c>
      <c r="V16" s="76" t="n">
        <v>4.5</v>
      </c>
      <c r="W16" s="76" t="n">
        <v>8.5</v>
      </c>
      <c r="X16" s="76" t="n">
        <v>8</v>
      </c>
      <c r="Y16" s="76" t="n">
        <v>6.5</v>
      </c>
      <c r="Z16" s="77" t="n">
        <f aca="false">IF(B16="","",IF($Q16="NON",0,IF(COUNT(R16:Y16)=0,"",IFERROR(ROUND(SUMPRODUCT(R16:Y16,$R$8:$Y$8)/SUMPRODUCT(ISNUMBER(R16:Y16)*$R$8:$Y$8),2),""))))</f>
        <v>6.44</v>
      </c>
      <c r="AA16" s="75" t="s">
        <v>39</v>
      </c>
      <c r="AB16" s="76" t="n">
        <v>5.5</v>
      </c>
      <c r="AC16" s="76" t="n">
        <v>7.5</v>
      </c>
      <c r="AD16" s="76" t="n">
        <v>6</v>
      </c>
      <c r="AE16" s="76" t="n">
        <v>8</v>
      </c>
      <c r="AF16" s="76" t="n">
        <v>7.5</v>
      </c>
      <c r="AG16" s="76" t="n">
        <v>7.5</v>
      </c>
      <c r="AH16" s="76" t="n">
        <v>8</v>
      </c>
      <c r="AI16" s="76" t="n">
        <v>5.5</v>
      </c>
      <c r="AJ16" s="77" t="n">
        <f aca="false">IF(B16="","",IF($AA16="NON",0,IF(COUNT(AB16:AI16)=0,"",IFERROR(ROUND(SUMPRODUCT(AB16:AI16,$AB$8:$AI$8)/SUMPRODUCT(ISNUMBER(AB16:AI16)*$AB$8:$AI$8),2),""))))</f>
        <v>6.94</v>
      </c>
      <c r="AK16" s="75" t="s">
        <v>46</v>
      </c>
      <c r="AL16" s="76"/>
      <c r="AM16" s="76"/>
      <c r="AN16" s="76"/>
      <c r="AO16" s="76"/>
      <c r="AP16" s="76"/>
      <c r="AQ16" s="76"/>
      <c r="AR16" s="76"/>
      <c r="AS16" s="76"/>
      <c r="AT16" s="77" t="n">
        <f aca="false">IF(B16="","",IF($AK16="NON",0,IF(COUNT(AL16:AS16)=0,"",IFERROR(ROUND(SUMPRODUCT(AL16:AS16,$AL$8:$AS$8)/SUMPRODUCT(ISNUMBER(AL16:AS16)*$AL$8:$AS$8),2),""))))</f>
        <v>0</v>
      </c>
      <c r="AU16" s="51" t="n">
        <f aca="false">IFERROR(MATCH("CP-7",'REGISTRE ELEVES'!$AI$10:$AI$250,0),"")</f>
        <v>7</v>
      </c>
    </row>
    <row r="17" customFormat="false" ht="15" hidden="false" customHeight="false" outlineLevel="0" collapsed="false">
      <c r="A17" s="73" t="n">
        <f aca="false">IF(B17="","",8)</f>
        <v>8</v>
      </c>
      <c r="B17" s="73" t="str">
        <f aca="false">IF($AU17="","",INDEX('REGISTRE ELEVES'!$B$10:$B$250,$AU17))</f>
        <v>CP1-008-26</v>
      </c>
      <c r="C17" s="74" t="str">
        <f aca="false">IF($AU17="","",INDEX('REGISTRE ELEVES'!$D$10:$D$250,$AU17))</f>
        <v>TANOH Kouadio Konan</v>
      </c>
      <c r="D17" s="73" t="str">
        <f aca="false">IF($AU17="","",INDEX('REGISTRE ELEVES'!$E$10:$E$250,$AU17))</f>
        <v>M</v>
      </c>
      <c r="E17" s="73" t="str">
        <f aca="false">IF($AU17="","",INDEX('REGISTRE ELEVES'!$F$10:$F$250,$AU17))</f>
        <v>CP1</v>
      </c>
      <c r="F17" s="73" t="str">
        <f aca="false">IF($AU17="","",INDEX('REGISTRE ELEVES'!$AE$10:$AE$250,$AU17))</f>
        <v>PRESENT</v>
      </c>
      <c r="G17" s="75" t="s">
        <v>39</v>
      </c>
      <c r="H17" s="76" t="n">
        <v>2.5</v>
      </c>
      <c r="I17" s="76" t="n">
        <v>2.5</v>
      </c>
      <c r="J17" s="76" t="n">
        <v>4.5</v>
      </c>
      <c r="K17" s="76" t="n">
        <v>5.5</v>
      </c>
      <c r="L17" s="76" t="n">
        <v>4</v>
      </c>
      <c r="M17" s="76" t="n">
        <v>6</v>
      </c>
      <c r="N17" s="76" t="n">
        <v>6</v>
      </c>
      <c r="O17" s="76" t="n">
        <v>2.5</v>
      </c>
      <c r="P17" s="77" t="n">
        <f aca="false">IF(B17="","",IF($G17="NON",0,IF(COUNT(H17:O17)=0,"",IFERROR(ROUND(SUMPRODUCT(H17:O17,$H$8:$O$8)/SUMPRODUCT(ISNUMBER(H17:O17)*$H$8:$O$8),2),""))))</f>
        <v>4.19</v>
      </c>
      <c r="Q17" s="75" t="s">
        <v>39</v>
      </c>
      <c r="R17" s="76" t="n">
        <v>4</v>
      </c>
      <c r="S17" s="76" t="n">
        <v>2.5</v>
      </c>
      <c r="T17" s="76" t="n">
        <v>6</v>
      </c>
      <c r="U17" s="76" t="n">
        <v>3</v>
      </c>
      <c r="V17" s="76" t="n">
        <v>4.5</v>
      </c>
      <c r="W17" s="76" t="n">
        <v>5</v>
      </c>
      <c r="X17" s="76" t="n">
        <v>6</v>
      </c>
      <c r="Y17" s="76" t="n">
        <v>5</v>
      </c>
      <c r="Z17" s="77" t="n">
        <f aca="false">IF(B17="","",IF($Q17="NON",0,IF(COUNT(R17:Y17)=0,"",IFERROR(ROUND(SUMPRODUCT(R17:Y17,$R$8:$Y$8)/SUMPRODUCT(ISNUMBER(R17:Y17)*$R$8:$Y$8),2),""))))</f>
        <v>4.5</v>
      </c>
      <c r="AA17" s="75" t="s">
        <v>39</v>
      </c>
      <c r="AB17" s="76" t="n">
        <v>4</v>
      </c>
      <c r="AC17" s="76" t="n">
        <v>3</v>
      </c>
      <c r="AD17" s="76" t="n">
        <v>6</v>
      </c>
      <c r="AE17" s="76" t="n">
        <v>6</v>
      </c>
      <c r="AF17" s="76" t="n">
        <v>3</v>
      </c>
      <c r="AG17" s="76" t="n">
        <v>2.5</v>
      </c>
      <c r="AH17" s="76" t="n">
        <v>3</v>
      </c>
      <c r="AI17" s="76" t="n">
        <v>3.5</v>
      </c>
      <c r="AJ17" s="77" t="n">
        <f aca="false">IF(B17="","",IF($AA17="NON",0,IF(COUNT(AB17:AI17)=0,"",IFERROR(ROUND(SUMPRODUCT(AB17:AI17,$AB$8:$AI$8)/SUMPRODUCT(ISNUMBER(AB17:AI17)*$AB$8:$AI$8),2),""))))</f>
        <v>3.88</v>
      </c>
      <c r="AK17" s="75" t="s">
        <v>39</v>
      </c>
      <c r="AL17" s="76" t="n">
        <v>6</v>
      </c>
      <c r="AM17" s="76" t="n">
        <v>5.5</v>
      </c>
      <c r="AN17" s="76" t="n">
        <v>2.5</v>
      </c>
      <c r="AO17" s="76" t="n">
        <v>5.5</v>
      </c>
      <c r="AP17" s="76" t="n">
        <v>5</v>
      </c>
      <c r="AQ17" s="76" t="n">
        <v>5</v>
      </c>
      <c r="AR17" s="76" t="n">
        <v>6</v>
      </c>
      <c r="AS17" s="76" t="n">
        <v>2.5</v>
      </c>
      <c r="AT17" s="77" t="n">
        <f aca="false">IF(B17="","",IF($AK17="NON",0,IF(COUNT(AL17:AS17)=0,"",IFERROR(ROUND(SUMPRODUCT(AL17:AS17,$AL$8:$AS$8)/SUMPRODUCT(ISNUMBER(AL17:AS17)*$AL$8:$AS$8),2),""))))</f>
        <v>4.75</v>
      </c>
      <c r="AU17" s="51" t="n">
        <f aca="false">IFERROR(MATCH("CP-8",'REGISTRE ELEVES'!$AI$10:$AI$250,0),"")</f>
        <v>8</v>
      </c>
    </row>
    <row r="18" customFormat="false" ht="15" hidden="false" customHeight="false" outlineLevel="0" collapsed="false">
      <c r="A18" s="73" t="n">
        <f aca="false">IF(B18="","",9)</f>
        <v>9</v>
      </c>
      <c r="B18" s="73" t="str">
        <f aca="false">IF($AU18="","",INDEX('REGISTRE ELEVES'!$B$10:$B$250,$AU18))</f>
        <v>CP1-009-26</v>
      </c>
      <c r="C18" s="74" t="str">
        <f aca="false">IF($AU18="","",INDEX('REGISTRE ELEVES'!$D$10:$D$250,$AU18))</f>
        <v>BAMBA Cédric Abdoulaye</v>
      </c>
      <c r="D18" s="73" t="str">
        <f aca="false">IF($AU18="","",INDEX('REGISTRE ELEVES'!$E$10:$E$250,$AU18))</f>
        <v>M</v>
      </c>
      <c r="E18" s="73" t="str">
        <f aca="false">IF($AU18="","",INDEX('REGISTRE ELEVES'!$F$10:$F$250,$AU18))</f>
        <v>CP1</v>
      </c>
      <c r="F18" s="73" t="str">
        <f aca="false">IF($AU18="","",INDEX('REGISTRE ELEVES'!$AE$10:$AE$250,$AU18))</f>
        <v>PRESENT</v>
      </c>
      <c r="G18" s="75" t="s">
        <v>39</v>
      </c>
      <c r="H18" s="76" t="n">
        <v>5.5</v>
      </c>
      <c r="I18" s="76" t="n">
        <v>4.5</v>
      </c>
      <c r="J18" s="76" t="n">
        <v>3</v>
      </c>
      <c r="K18" s="76" t="n">
        <v>4</v>
      </c>
      <c r="L18" s="76" t="n">
        <v>5</v>
      </c>
      <c r="M18" s="76" t="n">
        <v>2.5</v>
      </c>
      <c r="N18" s="76" t="n">
        <v>3</v>
      </c>
      <c r="O18" s="76" t="n">
        <v>3</v>
      </c>
      <c r="P18" s="77" t="n">
        <f aca="false">IF(B18="","",IF($G18="NON",0,IF(COUNT(H18:O18)=0,"",IFERROR(ROUND(SUMPRODUCT(H18:O18,$H$8:$O$8)/SUMPRODUCT(ISNUMBER(H18:O18)*$H$8:$O$8),2),""))))</f>
        <v>3.81</v>
      </c>
      <c r="Q18" s="75" t="s">
        <v>39</v>
      </c>
      <c r="R18" s="76" t="n">
        <v>4</v>
      </c>
      <c r="S18" s="76" t="n">
        <v>2.5</v>
      </c>
      <c r="T18" s="76" t="n">
        <v>3</v>
      </c>
      <c r="U18" s="76" t="n">
        <v>2.5</v>
      </c>
      <c r="V18" s="76" t="n">
        <v>4.5</v>
      </c>
      <c r="W18" s="76" t="n">
        <v>2</v>
      </c>
      <c r="X18" s="76" t="n">
        <v>4.5</v>
      </c>
      <c r="Y18" s="76" t="n">
        <v>2.5</v>
      </c>
      <c r="Z18" s="77" t="n">
        <f aca="false">IF(B18="","",IF($Q18="NON",0,IF(COUNT(R18:Y18)=0,"",IFERROR(ROUND(SUMPRODUCT(R18:Y18,$R$8:$Y$8)/SUMPRODUCT(ISNUMBER(R18:Y18)*$R$8:$Y$8),2),""))))</f>
        <v>3.19</v>
      </c>
      <c r="AA18" s="75" t="s">
        <v>46</v>
      </c>
      <c r="AB18" s="76"/>
      <c r="AC18" s="76"/>
      <c r="AD18" s="76"/>
      <c r="AE18" s="76"/>
      <c r="AF18" s="76"/>
      <c r="AG18" s="76"/>
      <c r="AH18" s="76"/>
      <c r="AI18" s="76"/>
      <c r="AJ18" s="77" t="n">
        <f aca="false">IF(B18="","",IF($AA18="NON",0,IF(COUNT(AB18:AI18)=0,"",IFERROR(ROUND(SUMPRODUCT(AB18:AI18,$AB$8:$AI$8)/SUMPRODUCT(ISNUMBER(AB18:AI18)*$AB$8:$AI$8),2),""))))</f>
        <v>0</v>
      </c>
      <c r="AK18" s="75" t="s">
        <v>39</v>
      </c>
      <c r="AL18" s="76" t="n">
        <v>3</v>
      </c>
      <c r="AM18" s="76" t="n">
        <v>5.5</v>
      </c>
      <c r="AN18" s="76" t="n">
        <v>5.5</v>
      </c>
      <c r="AO18" s="76" t="n">
        <v>5.5</v>
      </c>
      <c r="AP18" s="76" t="n">
        <v>2.5</v>
      </c>
      <c r="AQ18" s="76" t="n">
        <v>3.5</v>
      </c>
      <c r="AR18" s="76" t="n">
        <v>2.5</v>
      </c>
      <c r="AS18" s="76" t="n">
        <v>5.5</v>
      </c>
      <c r="AT18" s="77" t="n">
        <f aca="false">IF(B18="","",IF($AK18="NON",0,IF(COUNT(AL18:AS18)=0,"",IFERROR(ROUND(SUMPRODUCT(AL18:AS18,$AL$8:$AS$8)/SUMPRODUCT(ISNUMBER(AL18:AS18)*$AL$8:$AS$8),2),""))))</f>
        <v>4.19</v>
      </c>
      <c r="AU18" s="51" t="n">
        <f aca="false">IFERROR(MATCH("CP-9",'REGISTRE ELEVES'!$AI$10:$AI$250,0),"")</f>
        <v>9</v>
      </c>
    </row>
    <row r="19" customFormat="false" ht="15" hidden="false" customHeight="false" outlineLevel="0" collapsed="false">
      <c r="A19" s="73" t="n">
        <f aca="false">IF(B19="","",10)</f>
        <v>10</v>
      </c>
      <c r="B19" s="73" t="str">
        <f aca="false">IF($AU19="","",INDEX('REGISTRE ELEVES'!$B$10:$B$250,$AU19))</f>
        <v>CP1-010-26</v>
      </c>
      <c r="C19" s="74" t="str">
        <f aca="false">IF($AU19="","",INDEX('REGISTRE ELEVES'!$D$10:$D$250,$AU19))</f>
        <v>AKA Ismaël Jean-Marc</v>
      </c>
      <c r="D19" s="73" t="str">
        <f aca="false">IF($AU19="","",INDEX('REGISTRE ELEVES'!$E$10:$E$250,$AU19))</f>
        <v>M</v>
      </c>
      <c r="E19" s="73" t="str">
        <f aca="false">IF($AU19="","",INDEX('REGISTRE ELEVES'!$F$10:$F$250,$AU19))</f>
        <v>CP1</v>
      </c>
      <c r="F19" s="73" t="str">
        <f aca="false">IF($AU19="","",INDEX('REGISTRE ELEVES'!$AE$10:$AE$250,$AU19))</f>
        <v>PRESENT</v>
      </c>
      <c r="G19" s="75" t="s">
        <v>39</v>
      </c>
      <c r="H19" s="76" t="n">
        <v>8</v>
      </c>
      <c r="I19" s="76" t="n">
        <v>7.5</v>
      </c>
      <c r="J19" s="76" t="n">
        <v>9.5</v>
      </c>
      <c r="K19" s="76" t="n">
        <v>8</v>
      </c>
      <c r="L19" s="76" t="n">
        <v>8.5</v>
      </c>
      <c r="M19" s="76" t="n">
        <v>6.5</v>
      </c>
      <c r="N19" s="76" t="n">
        <v>7</v>
      </c>
      <c r="O19" s="76" t="n">
        <v>6.5</v>
      </c>
      <c r="P19" s="77" t="n">
        <f aca="false">IF(B19="","",IF($G19="NON",0,IF(COUNT(H19:O19)=0,"",IFERROR(ROUND(SUMPRODUCT(H19:O19,$H$8:$O$8)/SUMPRODUCT(ISNUMBER(H19:O19)*$H$8:$O$8),2),""))))</f>
        <v>7.69</v>
      </c>
      <c r="Q19" s="75" t="s">
        <v>39</v>
      </c>
      <c r="R19" s="76" t="n">
        <v>8.5</v>
      </c>
      <c r="S19" s="76" t="n">
        <v>6.5</v>
      </c>
      <c r="T19" s="76" t="n">
        <v>9.5</v>
      </c>
      <c r="U19" s="76" t="n">
        <v>7</v>
      </c>
      <c r="V19" s="76" t="n">
        <v>7.5</v>
      </c>
      <c r="W19" s="76" t="n">
        <v>6.5</v>
      </c>
      <c r="X19" s="76" t="n">
        <v>7</v>
      </c>
      <c r="Y19" s="76" t="n">
        <v>9.5</v>
      </c>
      <c r="Z19" s="77" t="n">
        <f aca="false">IF(B19="","",IF($Q19="NON",0,IF(COUNT(R19:Y19)=0,"",IFERROR(ROUND(SUMPRODUCT(R19:Y19,$R$8:$Y$8)/SUMPRODUCT(ISNUMBER(R19:Y19)*$R$8:$Y$8),2),""))))</f>
        <v>7.75</v>
      </c>
      <c r="AA19" s="75" t="s">
        <v>39</v>
      </c>
      <c r="AB19" s="76" t="n">
        <v>6.5</v>
      </c>
      <c r="AC19" s="76" t="n">
        <v>8</v>
      </c>
      <c r="AD19" s="76" t="n">
        <v>7.5</v>
      </c>
      <c r="AE19" s="76" t="n">
        <v>9.5</v>
      </c>
      <c r="AF19" s="76" t="n">
        <v>6.5</v>
      </c>
      <c r="AG19" s="76" t="n">
        <v>10</v>
      </c>
      <c r="AH19" s="76" t="n">
        <v>6.5</v>
      </c>
      <c r="AI19" s="76" t="n">
        <v>9.5</v>
      </c>
      <c r="AJ19" s="77" t="n">
        <f aca="false">IF(B19="","",IF($AA19="NON",0,IF(COUNT(AB19:AI19)=0,"",IFERROR(ROUND(SUMPRODUCT(AB19:AI19,$AB$8:$AI$8)/SUMPRODUCT(ISNUMBER(AB19:AI19)*$AB$8:$AI$8),2),""))))</f>
        <v>8</v>
      </c>
      <c r="AK19" s="75" t="s">
        <v>39</v>
      </c>
      <c r="AL19" s="76" t="n">
        <v>7</v>
      </c>
      <c r="AM19" s="76" t="n">
        <v>8</v>
      </c>
      <c r="AN19" s="76" t="n">
        <v>7</v>
      </c>
      <c r="AO19" s="76" t="n">
        <v>7</v>
      </c>
      <c r="AP19" s="76" t="n">
        <v>7</v>
      </c>
      <c r="AQ19" s="76" t="n">
        <v>7.5</v>
      </c>
      <c r="AR19" s="76" t="n">
        <v>10</v>
      </c>
      <c r="AS19" s="76" t="n">
        <v>10</v>
      </c>
      <c r="AT19" s="77" t="n">
        <f aca="false">IF(B19="","",IF($AK19="NON",0,IF(COUNT(AL19:AS19)=0,"",IFERROR(ROUND(SUMPRODUCT(AL19:AS19,$AL$8:$AS$8)/SUMPRODUCT(ISNUMBER(AL19:AS19)*$AL$8:$AS$8),2),""))))</f>
        <v>7.94</v>
      </c>
      <c r="AU19" s="51" t="n">
        <f aca="false">IFERROR(MATCH("CP-10",'REGISTRE ELEVES'!$AI$10:$AI$250,0),"")</f>
        <v>10</v>
      </c>
    </row>
    <row r="20" customFormat="false" ht="15" hidden="false" customHeight="false" outlineLevel="0" collapsed="false">
      <c r="A20" s="73" t="n">
        <f aca="false">IF(B20="","",11)</f>
        <v>11</v>
      </c>
      <c r="B20" s="73" t="str">
        <f aca="false">IF($AU20="","",INDEX('REGISTRE ELEVES'!$B$10:$B$250,$AU20))</f>
        <v>CP1-011-26</v>
      </c>
      <c r="C20" s="74" t="str">
        <f aca="false">IF($AU20="","",INDEX('REGISTRE ELEVES'!$D$10:$D$250,$AU20))</f>
        <v>SORO Adjoua Estelle</v>
      </c>
      <c r="D20" s="73" t="str">
        <f aca="false">IF($AU20="","",INDEX('REGISTRE ELEVES'!$E$10:$E$250,$AU20))</f>
        <v>F</v>
      </c>
      <c r="E20" s="73" t="str">
        <f aca="false">IF($AU20="","",INDEX('REGISTRE ELEVES'!$F$10:$F$250,$AU20))</f>
        <v>CP1</v>
      </c>
      <c r="F20" s="73" t="str">
        <f aca="false">IF($AU20="","",INDEX('REGISTRE ELEVES'!$AE$10:$AE$250,$AU20))</f>
        <v>PRESENT</v>
      </c>
      <c r="G20" s="75" t="s">
        <v>39</v>
      </c>
      <c r="H20" s="76" t="n">
        <v>7.5</v>
      </c>
      <c r="I20" s="76" t="n">
        <v>10</v>
      </c>
      <c r="J20" s="76" t="n">
        <v>7</v>
      </c>
      <c r="K20" s="76" t="n">
        <v>9.5</v>
      </c>
      <c r="L20" s="76" t="n">
        <v>7.5</v>
      </c>
      <c r="M20" s="76" t="n">
        <v>10</v>
      </c>
      <c r="N20" s="76" t="n">
        <v>6.5</v>
      </c>
      <c r="O20" s="76" t="n">
        <v>10</v>
      </c>
      <c r="P20" s="77" t="n">
        <f aca="false">IF(B20="","",IF($G20="NON",0,IF(COUNT(H20:O20)=0,"",IFERROR(ROUND(SUMPRODUCT(H20:O20,$H$8:$O$8)/SUMPRODUCT(ISNUMBER(H20:O20)*$H$8:$O$8),2),""))))</f>
        <v>8.5</v>
      </c>
      <c r="Q20" s="75" t="s">
        <v>39</v>
      </c>
      <c r="R20" s="76" t="n">
        <v>7</v>
      </c>
      <c r="S20" s="76" t="n">
        <v>6.5</v>
      </c>
      <c r="T20" s="76" t="n">
        <v>10</v>
      </c>
      <c r="U20" s="76" t="n">
        <v>8.5</v>
      </c>
      <c r="V20" s="76" t="n">
        <v>7.5</v>
      </c>
      <c r="W20" s="76" t="n">
        <v>8.5</v>
      </c>
      <c r="X20" s="76" t="n">
        <v>10</v>
      </c>
      <c r="Y20" s="76" t="n">
        <v>7.5</v>
      </c>
      <c r="Z20" s="77" t="n">
        <f aca="false">IF(B20="","",IF($Q20="NON",0,IF(COUNT(R20:Y20)=0,"",IFERROR(ROUND(SUMPRODUCT(R20:Y20,$R$8:$Y$8)/SUMPRODUCT(ISNUMBER(R20:Y20)*$R$8:$Y$8),2),""))))</f>
        <v>8.19</v>
      </c>
      <c r="AA20" s="75" t="s">
        <v>39</v>
      </c>
      <c r="AB20" s="76" t="n">
        <v>7</v>
      </c>
      <c r="AC20" s="76" t="n">
        <v>7.5</v>
      </c>
      <c r="AD20" s="76" t="n">
        <v>9.5</v>
      </c>
      <c r="AE20" s="76" t="n">
        <v>9.5</v>
      </c>
      <c r="AF20" s="76" t="n">
        <v>7.5</v>
      </c>
      <c r="AG20" s="76" t="n">
        <v>7</v>
      </c>
      <c r="AH20" s="76" t="n">
        <v>7</v>
      </c>
      <c r="AI20" s="76" t="n">
        <v>9</v>
      </c>
      <c r="AJ20" s="77" t="n">
        <f aca="false">IF(B20="","",IF($AA20="NON",0,IF(COUNT(AB20:AI20)=0,"",IFERROR(ROUND(SUMPRODUCT(AB20:AI20,$AB$8:$AI$8)/SUMPRODUCT(ISNUMBER(AB20:AI20)*$AB$8:$AI$8),2),""))))</f>
        <v>8</v>
      </c>
      <c r="AK20" s="75" t="s">
        <v>39</v>
      </c>
      <c r="AL20" s="76" t="n">
        <v>7.5</v>
      </c>
      <c r="AM20" s="76" t="n">
        <v>7.5</v>
      </c>
      <c r="AN20" s="76" t="n">
        <v>9</v>
      </c>
      <c r="AO20" s="76" t="n">
        <v>9.5</v>
      </c>
      <c r="AP20" s="76" t="n">
        <v>10</v>
      </c>
      <c r="AQ20" s="76" t="n">
        <v>9</v>
      </c>
      <c r="AR20" s="76" t="n">
        <v>7.5</v>
      </c>
      <c r="AS20" s="76" t="n">
        <v>7</v>
      </c>
      <c r="AT20" s="77" t="n">
        <f aca="false">IF(B20="","",IF($AK20="NON",0,IF(COUNT(AL20:AS20)=0,"",IFERROR(ROUND(SUMPRODUCT(AL20:AS20,$AL$8:$AS$8)/SUMPRODUCT(ISNUMBER(AL20:AS20)*$AL$8:$AS$8),2),""))))</f>
        <v>8.38</v>
      </c>
      <c r="AU20" s="51" t="n">
        <f aca="false">IFERROR(MATCH("CP-11",'REGISTRE ELEVES'!$AI$10:$AI$250,0),"")</f>
        <v>11</v>
      </c>
    </row>
    <row r="21" customFormat="false" ht="15" hidden="false" customHeight="false" outlineLevel="0" collapsed="false">
      <c r="A21" s="73" t="n">
        <f aca="false">IF(B21="","",12)</f>
        <v>12</v>
      </c>
      <c r="B21" s="73" t="str">
        <f aca="false">IF($AU21="","",INDEX('REGISTRE ELEVES'!$B$10:$B$250,$AU21))</f>
        <v>CP2-001-26</v>
      </c>
      <c r="C21" s="74" t="str">
        <f aca="false">IF($AU21="","",INDEX('REGISTRE ELEVES'!$D$10:$D$250,$AU21))</f>
        <v>GBOGOU Koffi Franck</v>
      </c>
      <c r="D21" s="73" t="str">
        <f aca="false">IF($AU21="","",INDEX('REGISTRE ELEVES'!$E$10:$E$250,$AU21))</f>
        <v>M</v>
      </c>
      <c r="E21" s="73" t="str">
        <f aca="false">IF($AU21="","",INDEX('REGISTRE ELEVES'!$F$10:$F$250,$AU21))</f>
        <v>CP2</v>
      </c>
      <c r="F21" s="73" t="str">
        <f aca="false">IF($AU21="","",INDEX('REGISTRE ELEVES'!$AE$10:$AE$250,$AU21))</f>
        <v>PRESENT</v>
      </c>
      <c r="G21" s="75" t="s">
        <v>39</v>
      </c>
      <c r="H21" s="76" t="n">
        <v>8.5</v>
      </c>
      <c r="I21" s="76" t="n">
        <v>5.5</v>
      </c>
      <c r="J21" s="76" t="n">
        <v>8.5</v>
      </c>
      <c r="K21" s="76" t="n">
        <v>6.5</v>
      </c>
      <c r="L21" s="76" t="n">
        <v>9</v>
      </c>
      <c r="M21" s="76" t="n">
        <v>9</v>
      </c>
      <c r="N21" s="76" t="n">
        <v>7.5</v>
      </c>
      <c r="O21" s="76" t="n">
        <v>5.5</v>
      </c>
      <c r="P21" s="77" t="n">
        <f aca="false">IF(B21="","",IF($G21="NON",0,IF(COUNT(H21:O21)=0,"",IFERROR(ROUND(SUMPRODUCT(H21:O21,$H$8:$O$8)/SUMPRODUCT(ISNUMBER(H21:O21)*$H$8:$O$8),2),""))))</f>
        <v>7.5</v>
      </c>
      <c r="Q21" s="75" t="s">
        <v>39</v>
      </c>
      <c r="R21" s="76" t="n">
        <v>7.5</v>
      </c>
      <c r="S21" s="76" t="n">
        <v>9</v>
      </c>
      <c r="T21" s="76" t="n">
        <v>6.5</v>
      </c>
      <c r="U21" s="76" t="n">
        <v>6</v>
      </c>
      <c r="V21" s="76" t="n">
        <v>8.5</v>
      </c>
      <c r="W21" s="76" t="n">
        <v>7</v>
      </c>
      <c r="X21" s="76" t="n">
        <v>6</v>
      </c>
      <c r="Y21" s="76" t="n">
        <v>7</v>
      </c>
      <c r="Z21" s="77" t="n">
        <f aca="false">IF(B21="","",IF($Q21="NON",0,IF(COUNT(R21:Y21)=0,"",IFERROR(ROUND(SUMPRODUCT(R21:Y21,$R$8:$Y$8)/SUMPRODUCT(ISNUMBER(R21:Y21)*$R$8:$Y$8),2),""))))</f>
        <v>7.19</v>
      </c>
      <c r="AA21" s="75" t="s">
        <v>39</v>
      </c>
      <c r="AB21" s="76" t="n">
        <v>5.5</v>
      </c>
      <c r="AC21" s="76" t="n">
        <v>7.5</v>
      </c>
      <c r="AD21" s="76" t="n">
        <v>7</v>
      </c>
      <c r="AE21" s="76" t="n">
        <v>7.5</v>
      </c>
      <c r="AF21" s="76" t="n">
        <v>6</v>
      </c>
      <c r="AG21" s="76" t="n">
        <v>8.5</v>
      </c>
      <c r="AH21" s="76" t="n">
        <v>8.5</v>
      </c>
      <c r="AI21" s="76" t="n">
        <v>9</v>
      </c>
      <c r="AJ21" s="77" t="n">
        <f aca="false">IF(B21="","",IF($AA21="NON",0,IF(COUNT(AB21:AI21)=0,"",IFERROR(ROUND(SUMPRODUCT(AB21:AI21,$AB$8:$AI$8)/SUMPRODUCT(ISNUMBER(AB21:AI21)*$AB$8:$AI$8),2),""))))</f>
        <v>7.44</v>
      </c>
      <c r="AK21" s="75" t="s">
        <v>39</v>
      </c>
      <c r="AL21" s="76" t="n">
        <v>8</v>
      </c>
      <c r="AM21" s="76" t="n">
        <v>7</v>
      </c>
      <c r="AN21" s="76" t="n">
        <v>8.5</v>
      </c>
      <c r="AO21" s="76" t="n">
        <v>5.5</v>
      </c>
      <c r="AP21" s="76" t="n">
        <v>9</v>
      </c>
      <c r="AQ21" s="76" t="n">
        <v>9</v>
      </c>
      <c r="AR21" s="76" t="n">
        <v>7.5</v>
      </c>
      <c r="AS21" s="76" t="n">
        <v>7.5</v>
      </c>
      <c r="AT21" s="77" t="n">
        <f aca="false">IF(B21="","",IF($AK21="NON",0,IF(COUNT(AL21:AS21)=0,"",IFERROR(ROUND(SUMPRODUCT(AL21:AS21,$AL$8:$AS$8)/SUMPRODUCT(ISNUMBER(AL21:AS21)*$AL$8:$AS$8),2),""))))</f>
        <v>7.75</v>
      </c>
      <c r="AU21" s="51" t="n">
        <f aca="false">IFERROR(MATCH("CP-12",'REGISTRE ELEVES'!$AI$10:$AI$250,0),"")</f>
        <v>12</v>
      </c>
    </row>
    <row r="22" customFormat="false" ht="15" hidden="false" customHeight="false" outlineLevel="0" collapsed="false">
      <c r="A22" s="73" t="n">
        <f aca="false">IF(B22="","",13)</f>
        <v>13</v>
      </c>
      <c r="B22" s="73" t="str">
        <f aca="false">IF($AU22="","",INDEX('REGISTRE ELEVES'!$B$10:$B$250,$AU22))</f>
        <v>CP2-002-26</v>
      </c>
      <c r="C22" s="74" t="str">
        <f aca="false">IF($AU22="","",INDEX('REGISTRE ELEVES'!$D$10:$D$250,$AU22))</f>
        <v>GBOGOU Amenan Rebecca</v>
      </c>
      <c r="D22" s="73" t="str">
        <f aca="false">IF($AU22="","",INDEX('REGISTRE ELEVES'!$E$10:$E$250,$AU22))</f>
        <v>F</v>
      </c>
      <c r="E22" s="73" t="str">
        <f aca="false">IF($AU22="","",INDEX('REGISTRE ELEVES'!$F$10:$F$250,$AU22))</f>
        <v>CP2</v>
      </c>
      <c r="F22" s="73" t="str">
        <f aca="false">IF($AU22="","",INDEX('REGISTRE ELEVES'!$AE$10:$AE$250,$AU22))</f>
        <v>PRESENT</v>
      </c>
      <c r="G22" s="75" t="s">
        <v>39</v>
      </c>
      <c r="H22" s="76" t="n">
        <v>4.5</v>
      </c>
      <c r="I22" s="76" t="n">
        <v>8</v>
      </c>
      <c r="J22" s="76" t="n">
        <v>5</v>
      </c>
      <c r="K22" s="76" t="n">
        <v>5</v>
      </c>
      <c r="L22" s="76" t="n">
        <v>4.5</v>
      </c>
      <c r="M22" s="76" t="n">
        <v>5</v>
      </c>
      <c r="N22" s="76" t="n">
        <v>7.5</v>
      </c>
      <c r="O22" s="76" t="n">
        <v>4.5</v>
      </c>
      <c r="P22" s="77" t="n">
        <f aca="false">IF(B22="","",IF($G22="NON",0,IF(COUNT(H22:O22)=0,"",IFERROR(ROUND(SUMPRODUCT(H22:O22,$H$8:$O$8)/SUMPRODUCT(ISNUMBER(H22:O22)*$H$8:$O$8),2),""))))</f>
        <v>5.5</v>
      </c>
      <c r="Q22" s="75" t="s">
        <v>39</v>
      </c>
      <c r="R22" s="76" t="n">
        <v>7</v>
      </c>
      <c r="S22" s="76" t="n">
        <v>5</v>
      </c>
      <c r="T22" s="76" t="n">
        <v>4.5</v>
      </c>
      <c r="U22" s="76" t="n">
        <v>6.5</v>
      </c>
      <c r="V22" s="76" t="n">
        <v>6.5</v>
      </c>
      <c r="W22" s="76" t="n">
        <v>6.5</v>
      </c>
      <c r="X22" s="76" t="n">
        <v>7</v>
      </c>
      <c r="Y22" s="76" t="n">
        <v>4.5</v>
      </c>
      <c r="Z22" s="77" t="n">
        <f aca="false">IF(B22="","",IF($Q22="NON",0,IF(COUNT(R22:Y22)=0,"",IFERROR(ROUND(SUMPRODUCT(R22:Y22,$R$8:$Y$8)/SUMPRODUCT(ISNUMBER(R22:Y22)*$R$8:$Y$8),2),""))))</f>
        <v>5.94</v>
      </c>
      <c r="AA22" s="75" t="s">
        <v>39</v>
      </c>
      <c r="AB22" s="76" t="n">
        <v>7</v>
      </c>
      <c r="AC22" s="76" t="n">
        <v>4.5</v>
      </c>
      <c r="AD22" s="76" t="n">
        <v>4.5</v>
      </c>
      <c r="AE22" s="76" t="n">
        <v>6</v>
      </c>
      <c r="AF22" s="76" t="n">
        <v>6</v>
      </c>
      <c r="AG22" s="76" t="n">
        <v>5.5</v>
      </c>
      <c r="AH22" s="76" t="n">
        <v>4.5</v>
      </c>
      <c r="AI22" s="76" t="n">
        <v>6</v>
      </c>
      <c r="AJ22" s="77" t="n">
        <f aca="false">IF(B22="","",IF($AA22="NON",0,IF(COUNT(AB22:AI22)=0,"",IFERROR(ROUND(SUMPRODUCT(AB22:AI22,$AB$8:$AI$8)/SUMPRODUCT(ISNUMBER(AB22:AI22)*$AB$8:$AI$8),2),""))))</f>
        <v>5.5</v>
      </c>
      <c r="AK22" s="75" t="s">
        <v>39</v>
      </c>
      <c r="AL22" s="76" t="n">
        <v>6.5</v>
      </c>
      <c r="AM22" s="76" t="n">
        <v>7.5</v>
      </c>
      <c r="AN22" s="76" t="n">
        <v>5</v>
      </c>
      <c r="AO22" s="76" t="n">
        <v>6.5</v>
      </c>
      <c r="AP22" s="76" t="n">
        <v>7</v>
      </c>
      <c r="AQ22" s="76" t="n">
        <v>5</v>
      </c>
      <c r="AR22" s="76" t="n">
        <v>7.5</v>
      </c>
      <c r="AS22" s="76" t="n">
        <v>8</v>
      </c>
      <c r="AT22" s="77" t="n">
        <f aca="false">IF(B22="","",IF($AK22="NON",0,IF(COUNT(AL22:AS22)=0,"",IFERROR(ROUND(SUMPRODUCT(AL22:AS22,$AL$8:$AS$8)/SUMPRODUCT(ISNUMBER(AL22:AS22)*$AL$8:$AS$8),2),""))))</f>
        <v>6.63</v>
      </c>
      <c r="AU22" s="51" t="n">
        <f aca="false">IFERROR(MATCH("CP-13",'REGISTRE ELEVES'!$AI$10:$AI$250,0),"")</f>
        <v>13</v>
      </c>
    </row>
    <row r="23" customFormat="false" ht="15" hidden="false" customHeight="false" outlineLevel="0" collapsed="false">
      <c r="A23" s="73" t="n">
        <f aca="false">IF(B23="","",14)</f>
        <v>14</v>
      </c>
      <c r="B23" s="73" t="str">
        <f aca="false">IF($AU23="","",INDEX('REGISTRE ELEVES'!$B$10:$B$250,$AU23))</f>
        <v>CP2-003-26</v>
      </c>
      <c r="C23" s="74" t="str">
        <f aca="false">IF($AU23="","",INDEX('REGISTRE ELEVES'!$D$10:$D$250,$AU23))</f>
        <v>KOFFI Junior Ismaël</v>
      </c>
      <c r="D23" s="73" t="str">
        <f aca="false">IF($AU23="","",INDEX('REGISTRE ELEVES'!$E$10:$E$250,$AU23))</f>
        <v>M</v>
      </c>
      <c r="E23" s="73" t="str">
        <f aca="false">IF($AU23="","",INDEX('REGISTRE ELEVES'!$F$10:$F$250,$AU23))</f>
        <v>CP2</v>
      </c>
      <c r="F23" s="73" t="str">
        <f aca="false">IF($AU23="","",INDEX('REGISTRE ELEVES'!$AE$10:$AE$250,$AU23))</f>
        <v>PRESENT</v>
      </c>
      <c r="G23" s="75" t="s">
        <v>39</v>
      </c>
      <c r="H23" s="76" t="n">
        <v>6.5</v>
      </c>
      <c r="I23" s="76" t="n">
        <v>5.5</v>
      </c>
      <c r="J23" s="76" t="n">
        <v>5</v>
      </c>
      <c r="K23" s="76" t="n">
        <v>7</v>
      </c>
      <c r="L23" s="76" t="n">
        <v>6.5</v>
      </c>
      <c r="M23" s="76" t="n">
        <v>4.5</v>
      </c>
      <c r="N23" s="76" t="n">
        <v>4.5</v>
      </c>
      <c r="O23" s="76" t="n">
        <v>4.5</v>
      </c>
      <c r="P23" s="77" t="n">
        <f aca="false">IF(B23="","",IF($G23="NON",0,IF(COUNT(H23:O23)=0,"",IFERROR(ROUND(SUMPRODUCT(H23:O23,$H$8:$O$8)/SUMPRODUCT(ISNUMBER(H23:O23)*$H$8:$O$8),2),""))))</f>
        <v>5.5</v>
      </c>
      <c r="Q23" s="75" t="s">
        <v>39</v>
      </c>
      <c r="R23" s="76" t="n">
        <v>7.5</v>
      </c>
      <c r="S23" s="76" t="n">
        <v>6.5</v>
      </c>
      <c r="T23" s="76" t="n">
        <v>7</v>
      </c>
      <c r="U23" s="76" t="n">
        <v>6.5</v>
      </c>
      <c r="V23" s="76" t="n">
        <v>6.5</v>
      </c>
      <c r="W23" s="76" t="n">
        <v>3.5</v>
      </c>
      <c r="X23" s="76" t="n">
        <v>5.5</v>
      </c>
      <c r="Y23" s="76" t="n">
        <v>7</v>
      </c>
      <c r="Z23" s="77" t="n">
        <f aca="false">IF(B23="","",IF($Q23="NON",0,IF(COUNT(R23:Y23)=0,"",IFERROR(ROUND(SUMPRODUCT(R23:Y23,$R$8:$Y$8)/SUMPRODUCT(ISNUMBER(R23:Y23)*$R$8:$Y$8),2),""))))</f>
        <v>6.25</v>
      </c>
      <c r="AA23" s="75" t="s">
        <v>39</v>
      </c>
      <c r="AB23" s="76" t="n">
        <v>4.5</v>
      </c>
      <c r="AC23" s="76" t="n">
        <v>5</v>
      </c>
      <c r="AD23" s="76" t="n">
        <v>6</v>
      </c>
      <c r="AE23" s="76" t="n">
        <v>5</v>
      </c>
      <c r="AF23" s="76" t="n">
        <v>5.5</v>
      </c>
      <c r="AG23" s="76" t="n">
        <v>3.5</v>
      </c>
      <c r="AH23" s="76" t="n">
        <v>5</v>
      </c>
      <c r="AI23" s="76" t="n">
        <v>5.5</v>
      </c>
      <c r="AJ23" s="77" t="n">
        <f aca="false">IF(B23="","",IF($AA23="NON",0,IF(COUNT(AB23:AI23)=0,"",IFERROR(ROUND(SUMPRODUCT(AB23:AI23,$AB$8:$AI$8)/SUMPRODUCT(ISNUMBER(AB23:AI23)*$AB$8:$AI$8),2),""))))</f>
        <v>5</v>
      </c>
      <c r="AK23" s="75" t="s">
        <v>46</v>
      </c>
      <c r="AL23" s="76"/>
      <c r="AM23" s="76"/>
      <c r="AN23" s="76"/>
      <c r="AO23" s="76"/>
      <c r="AP23" s="76"/>
      <c r="AQ23" s="76"/>
      <c r="AR23" s="76"/>
      <c r="AS23" s="76"/>
      <c r="AT23" s="77" t="n">
        <f aca="false">IF(B23="","",IF($AK23="NON",0,IF(COUNT(AL23:AS23)=0,"",IFERROR(ROUND(SUMPRODUCT(AL23:AS23,$AL$8:$AS$8)/SUMPRODUCT(ISNUMBER(AL23:AS23)*$AL$8:$AS$8),2),""))))</f>
        <v>0</v>
      </c>
      <c r="AU23" s="51" t="n">
        <f aca="false">IFERROR(MATCH("CP-14",'REGISTRE ELEVES'!$AI$10:$AI$250,0),"")</f>
        <v>14</v>
      </c>
    </row>
    <row r="24" customFormat="false" ht="15" hidden="false" customHeight="false" outlineLevel="0" collapsed="false">
      <c r="A24" s="73" t="n">
        <f aca="false">IF(B24="","",15)</f>
        <v>15</v>
      </c>
      <c r="B24" s="73" t="str">
        <f aca="false">IF($AU24="","",INDEX('REGISTRE ELEVES'!$B$10:$B$250,$AU24))</f>
        <v>CP2-004-26</v>
      </c>
      <c r="C24" s="74" t="str">
        <f aca="false">IF($AU24="","",INDEX('REGISTRE ELEVES'!$D$10:$D$250,$AU24))</f>
        <v>BOHOUSSOU Awa Amenan</v>
      </c>
      <c r="D24" s="73" t="str">
        <f aca="false">IF($AU24="","",INDEX('REGISTRE ELEVES'!$E$10:$E$250,$AU24))</f>
        <v>F</v>
      </c>
      <c r="E24" s="73" t="str">
        <f aca="false">IF($AU24="","",INDEX('REGISTRE ELEVES'!$F$10:$F$250,$AU24))</f>
        <v>CP2</v>
      </c>
      <c r="F24" s="73" t="str">
        <f aca="false">IF($AU24="","",INDEX('REGISTRE ELEVES'!$AE$10:$AE$250,$AU24))</f>
        <v>ABANDON</v>
      </c>
      <c r="G24" s="75" t="s">
        <v>39</v>
      </c>
      <c r="H24" s="76" t="n">
        <v>5</v>
      </c>
      <c r="I24" s="76" t="n">
        <v>5.5</v>
      </c>
      <c r="J24" s="76" t="n">
        <v>4.5</v>
      </c>
      <c r="K24" s="76" t="n">
        <v>5</v>
      </c>
      <c r="L24" s="76" t="n">
        <v>5.5</v>
      </c>
      <c r="M24" s="76" t="n">
        <v>5.5</v>
      </c>
      <c r="N24" s="76" t="n">
        <v>2</v>
      </c>
      <c r="O24" s="76" t="n">
        <v>4.5</v>
      </c>
      <c r="P24" s="77" t="n">
        <f aca="false">IF(B24="","",IF($G24="NON",0,IF(COUNT(H24:O24)=0,"",IFERROR(ROUND(SUMPRODUCT(H24:O24,$H$8:$O$8)/SUMPRODUCT(ISNUMBER(H24:O24)*$H$8:$O$8),2),""))))</f>
        <v>4.69</v>
      </c>
      <c r="Q24" s="75" t="s">
        <v>39</v>
      </c>
      <c r="R24" s="76" t="n">
        <v>4.5</v>
      </c>
      <c r="S24" s="76" t="n">
        <v>3</v>
      </c>
      <c r="T24" s="76" t="n">
        <v>4</v>
      </c>
      <c r="U24" s="76" t="n">
        <v>5.5</v>
      </c>
      <c r="V24" s="76" t="n">
        <v>4.5</v>
      </c>
      <c r="W24" s="76" t="n">
        <v>3</v>
      </c>
      <c r="X24" s="76" t="n">
        <v>4</v>
      </c>
      <c r="Y24" s="76" t="n">
        <v>3.5</v>
      </c>
      <c r="Z24" s="77" t="n">
        <f aca="false">IF(B24="","",IF($Q24="NON",0,IF(COUNT(R24:Y24)=0,"",IFERROR(ROUND(SUMPRODUCT(R24:Y24,$R$8:$Y$8)/SUMPRODUCT(ISNUMBER(R24:Y24)*$R$8:$Y$8),2),""))))</f>
        <v>4</v>
      </c>
      <c r="AA24" s="75" t="s">
        <v>46</v>
      </c>
      <c r="AB24" s="76"/>
      <c r="AC24" s="76"/>
      <c r="AD24" s="76"/>
      <c r="AE24" s="76"/>
      <c r="AF24" s="76"/>
      <c r="AG24" s="76"/>
      <c r="AH24" s="76"/>
      <c r="AI24" s="76"/>
      <c r="AJ24" s="77" t="n">
        <f aca="false">IF(B24="","",IF($AA24="NON",0,IF(COUNT(AB24:AI24)=0,"",IFERROR(ROUND(SUMPRODUCT(AB24:AI24,$AB$8:$AI$8)/SUMPRODUCT(ISNUMBER(AB24:AI24)*$AB$8:$AI$8),2),""))))</f>
        <v>0</v>
      </c>
      <c r="AK24" s="75" t="s">
        <v>46</v>
      </c>
      <c r="AL24" s="76"/>
      <c r="AM24" s="76"/>
      <c r="AN24" s="76"/>
      <c r="AO24" s="76"/>
      <c r="AP24" s="76"/>
      <c r="AQ24" s="76"/>
      <c r="AR24" s="76"/>
      <c r="AS24" s="76"/>
      <c r="AT24" s="77" t="n">
        <f aca="false">IF(B24="","",IF($AK24="NON",0,IF(COUNT(AL24:AS24)=0,"",IFERROR(ROUND(SUMPRODUCT(AL24:AS24,$AL$8:$AS$8)/SUMPRODUCT(ISNUMBER(AL24:AS24)*$AL$8:$AS$8),2),""))))</f>
        <v>0</v>
      </c>
      <c r="AU24" s="51" t="n">
        <f aca="false">IFERROR(MATCH("CP-15",'REGISTRE ELEVES'!$AI$10:$AI$250,0),"")</f>
        <v>15</v>
      </c>
    </row>
    <row r="25" customFormat="false" ht="15" hidden="false" customHeight="false" outlineLevel="0" collapsed="false">
      <c r="A25" s="73" t="n">
        <f aca="false">IF(B25="","",16)</f>
        <v>16</v>
      </c>
      <c r="B25" s="73" t="str">
        <f aca="false">IF($AU25="","",INDEX('REGISTRE ELEVES'!$B$10:$B$250,$AU25))</f>
        <v>CP2-005-26</v>
      </c>
      <c r="C25" s="74" t="str">
        <f aca="false">IF($AU25="","",INDEX('REGISTRE ELEVES'!$D$10:$D$250,$AU25))</f>
        <v>KONE Kouadio Ismaël</v>
      </c>
      <c r="D25" s="73" t="str">
        <f aca="false">IF($AU25="","",INDEX('REGISTRE ELEVES'!$E$10:$E$250,$AU25))</f>
        <v>M</v>
      </c>
      <c r="E25" s="73" t="str">
        <f aca="false">IF($AU25="","",INDEX('REGISTRE ELEVES'!$F$10:$F$250,$AU25))</f>
        <v>CP2</v>
      </c>
      <c r="F25" s="73" t="str">
        <f aca="false">IF($AU25="","",INDEX('REGISTRE ELEVES'!$AE$10:$AE$250,$AU25))</f>
        <v>PRESENT</v>
      </c>
      <c r="G25" s="75" t="s">
        <v>39</v>
      </c>
      <c r="H25" s="76" t="n">
        <v>8</v>
      </c>
      <c r="I25" s="76" t="n">
        <v>9.5</v>
      </c>
      <c r="J25" s="76" t="n">
        <v>7</v>
      </c>
      <c r="K25" s="76" t="n">
        <v>9</v>
      </c>
      <c r="L25" s="76" t="n">
        <v>10</v>
      </c>
      <c r="M25" s="76" t="n">
        <v>9</v>
      </c>
      <c r="N25" s="76" t="n">
        <v>8</v>
      </c>
      <c r="O25" s="76" t="n">
        <v>8.5</v>
      </c>
      <c r="P25" s="77" t="n">
        <f aca="false">IF(B25="","",IF($G25="NON",0,IF(COUNT(H25:O25)=0,"",IFERROR(ROUND(SUMPRODUCT(H25:O25,$H$8:$O$8)/SUMPRODUCT(ISNUMBER(H25:O25)*$H$8:$O$8),2),""))))</f>
        <v>8.63</v>
      </c>
      <c r="Q25" s="75" t="s">
        <v>39</v>
      </c>
      <c r="R25" s="76" t="n">
        <v>7.5</v>
      </c>
      <c r="S25" s="76" t="n">
        <v>7</v>
      </c>
      <c r="T25" s="76" t="n">
        <v>7</v>
      </c>
      <c r="U25" s="76" t="n">
        <v>8</v>
      </c>
      <c r="V25" s="76" t="n">
        <v>8.5</v>
      </c>
      <c r="W25" s="76" t="n">
        <v>8</v>
      </c>
      <c r="X25" s="76" t="n">
        <v>7.5</v>
      </c>
      <c r="Y25" s="76" t="n">
        <v>7</v>
      </c>
      <c r="Z25" s="77" t="n">
        <f aca="false">IF(B25="","",IF($Q25="NON",0,IF(COUNT(R25:Y25)=0,"",IFERROR(ROUND(SUMPRODUCT(R25:Y25,$R$8:$Y$8)/SUMPRODUCT(ISNUMBER(R25:Y25)*$R$8:$Y$8),2),""))))</f>
        <v>7.56</v>
      </c>
      <c r="AA25" s="75" t="s">
        <v>39</v>
      </c>
      <c r="AB25" s="76" t="n">
        <v>10</v>
      </c>
      <c r="AC25" s="76" t="n">
        <v>9</v>
      </c>
      <c r="AD25" s="76" t="n">
        <v>9</v>
      </c>
      <c r="AE25" s="76" t="n">
        <v>9.5</v>
      </c>
      <c r="AF25" s="76" t="n">
        <v>7.5</v>
      </c>
      <c r="AG25" s="76" t="n">
        <v>9.5</v>
      </c>
      <c r="AH25" s="76" t="n">
        <v>8.5</v>
      </c>
      <c r="AI25" s="76" t="n">
        <v>9</v>
      </c>
      <c r="AJ25" s="77" t="n">
        <f aca="false">IF(B25="","",IF($AA25="NON",0,IF(COUNT(AB25:AI25)=0,"",IFERROR(ROUND(SUMPRODUCT(AB25:AI25,$AB$8:$AI$8)/SUMPRODUCT(ISNUMBER(AB25:AI25)*$AB$8:$AI$8),2),""))))</f>
        <v>9</v>
      </c>
      <c r="AK25" s="75" t="s">
        <v>39</v>
      </c>
      <c r="AL25" s="76" t="n">
        <v>8.5</v>
      </c>
      <c r="AM25" s="76" t="n">
        <v>8</v>
      </c>
      <c r="AN25" s="76" t="n">
        <v>7.5</v>
      </c>
      <c r="AO25" s="76" t="n">
        <v>7.5</v>
      </c>
      <c r="AP25" s="76" t="n">
        <v>9</v>
      </c>
      <c r="AQ25" s="76" t="n">
        <v>8</v>
      </c>
      <c r="AR25" s="76" t="n">
        <v>9</v>
      </c>
      <c r="AS25" s="76" t="n">
        <v>7</v>
      </c>
      <c r="AT25" s="77" t="n">
        <f aca="false">IF(B25="","",IF($AK25="NON",0,IF(COUNT(AL25:AS25)=0,"",IFERROR(ROUND(SUMPRODUCT(AL25:AS25,$AL$8:$AS$8)/SUMPRODUCT(ISNUMBER(AL25:AS25)*$AL$8:$AS$8),2),""))))</f>
        <v>8.06</v>
      </c>
      <c r="AU25" s="51" t="n">
        <f aca="false">IFERROR(MATCH("CP-16",'REGISTRE ELEVES'!$AI$10:$AI$250,0),"")</f>
        <v>16</v>
      </c>
    </row>
    <row r="26" customFormat="false" ht="15" hidden="false" customHeight="false" outlineLevel="0" collapsed="false">
      <c r="A26" s="73" t="n">
        <f aca="false">IF(B26="","",17)</f>
        <v>17</v>
      </c>
      <c r="B26" s="73" t="str">
        <f aca="false">IF($AU26="","",INDEX('REGISTRE ELEVES'!$B$10:$B$250,$AU26))</f>
        <v>CP2-006-26</v>
      </c>
      <c r="C26" s="74" t="str">
        <f aca="false">IF($AU26="","",INDEX('REGISTRE ELEVES'!$D$10:$D$250,$AU26))</f>
        <v>DIABATE Moussa Franck</v>
      </c>
      <c r="D26" s="73" t="str">
        <f aca="false">IF($AU26="","",INDEX('REGISTRE ELEVES'!$E$10:$E$250,$AU26))</f>
        <v>M</v>
      </c>
      <c r="E26" s="73" t="str">
        <f aca="false">IF($AU26="","",INDEX('REGISTRE ELEVES'!$F$10:$F$250,$AU26))</f>
        <v>CP2</v>
      </c>
      <c r="F26" s="73" t="str">
        <f aca="false">IF($AU26="","",INDEX('REGISTRE ELEVES'!$AE$10:$AE$250,$AU26))</f>
        <v>PRESENT</v>
      </c>
      <c r="G26" s="75" t="s">
        <v>39</v>
      </c>
      <c r="H26" s="76" t="n">
        <v>4</v>
      </c>
      <c r="I26" s="76" t="n">
        <v>5.5</v>
      </c>
      <c r="J26" s="76" t="n">
        <v>5</v>
      </c>
      <c r="K26" s="76" t="n">
        <v>4.5</v>
      </c>
      <c r="L26" s="76" t="n">
        <v>7</v>
      </c>
      <c r="M26" s="76" t="n">
        <v>4.5</v>
      </c>
      <c r="N26" s="76" t="n">
        <v>6</v>
      </c>
      <c r="O26" s="76" t="n">
        <v>4</v>
      </c>
      <c r="P26" s="77" t="n">
        <f aca="false">IF(B26="","",IF($G26="NON",0,IF(COUNT(H26:O26)=0,"",IFERROR(ROUND(SUMPRODUCT(H26:O26,$H$8:$O$8)/SUMPRODUCT(ISNUMBER(H26:O26)*$H$8:$O$8),2),""))))</f>
        <v>5.06</v>
      </c>
      <c r="Q26" s="75" t="s">
        <v>39</v>
      </c>
      <c r="R26" s="76" t="n">
        <v>6.5</v>
      </c>
      <c r="S26" s="76" t="n">
        <v>5</v>
      </c>
      <c r="T26" s="76" t="n">
        <v>3.5</v>
      </c>
      <c r="U26" s="76" t="n">
        <v>4.5</v>
      </c>
      <c r="V26" s="76" t="n">
        <v>5</v>
      </c>
      <c r="W26" s="76" t="n">
        <v>6</v>
      </c>
      <c r="X26" s="76" t="n">
        <v>3.5</v>
      </c>
      <c r="Y26" s="76" t="n">
        <v>4</v>
      </c>
      <c r="Z26" s="77" t="n">
        <f aca="false">IF(B26="","",IF($Q26="NON",0,IF(COUNT(R26:Y26)=0,"",IFERROR(ROUND(SUMPRODUCT(R26:Y26,$R$8:$Y$8)/SUMPRODUCT(ISNUMBER(R26:Y26)*$R$8:$Y$8),2),""))))</f>
        <v>4.75</v>
      </c>
      <c r="AA26" s="75" t="s">
        <v>39</v>
      </c>
      <c r="AB26" s="76" t="n">
        <v>6</v>
      </c>
      <c r="AC26" s="76" t="n">
        <v>3.5</v>
      </c>
      <c r="AD26" s="76" t="n">
        <v>4.5</v>
      </c>
      <c r="AE26" s="76" t="n">
        <v>4.5</v>
      </c>
      <c r="AF26" s="76" t="n">
        <v>6</v>
      </c>
      <c r="AG26" s="76" t="n">
        <v>5.5</v>
      </c>
      <c r="AH26" s="76" t="n">
        <v>6.5</v>
      </c>
      <c r="AI26" s="76" t="n">
        <v>6.5</v>
      </c>
      <c r="AJ26" s="77" t="n">
        <f aca="false">IF(B26="","",IF($AA26="NON",0,IF(COUNT(AB26:AI26)=0,"",IFERROR(ROUND(SUMPRODUCT(AB26:AI26,$AB$8:$AI$8)/SUMPRODUCT(ISNUMBER(AB26:AI26)*$AB$8:$AI$8),2),""))))</f>
        <v>5.38</v>
      </c>
      <c r="AK26" s="75" t="s">
        <v>39</v>
      </c>
      <c r="AL26" s="76" t="n">
        <v>6</v>
      </c>
      <c r="AM26" s="76" t="n">
        <v>6</v>
      </c>
      <c r="AN26" s="76" t="n">
        <v>6</v>
      </c>
      <c r="AO26" s="76" t="n">
        <v>5</v>
      </c>
      <c r="AP26" s="76" t="n">
        <v>6.5</v>
      </c>
      <c r="AQ26" s="76" t="n">
        <v>6</v>
      </c>
      <c r="AR26" s="76" t="n">
        <v>7</v>
      </c>
      <c r="AS26" s="76" t="n">
        <v>3.5</v>
      </c>
      <c r="AT26" s="77" t="n">
        <f aca="false">IF(B26="","",IF($AK26="NON",0,IF(COUNT(AL26:AS26)=0,"",IFERROR(ROUND(SUMPRODUCT(AL26:AS26,$AL$8:$AS$8)/SUMPRODUCT(ISNUMBER(AL26:AS26)*$AL$8:$AS$8),2),""))))</f>
        <v>5.75</v>
      </c>
      <c r="AU26" s="51" t="n">
        <f aca="false">IFERROR(MATCH("CP-17",'REGISTRE ELEVES'!$AI$10:$AI$250,0),"")</f>
        <v>17</v>
      </c>
    </row>
    <row r="27" customFormat="false" ht="15" hidden="false" customHeight="false" outlineLevel="0" collapsed="false">
      <c r="A27" s="73" t="n">
        <f aca="false">IF(B27="","",18)</f>
        <v>18</v>
      </c>
      <c r="B27" s="73" t="str">
        <f aca="false">IF($AU27="","",INDEX('REGISTRE ELEVES'!$B$10:$B$250,$AU27))</f>
        <v>CP2-007-26</v>
      </c>
      <c r="C27" s="74" t="str">
        <f aca="false">IF($AU27="","",INDEX('REGISTRE ELEVES'!$D$10:$D$250,$AU27))</f>
        <v>TRAORE Clarisse Awa</v>
      </c>
      <c r="D27" s="73" t="str">
        <f aca="false">IF($AU27="","",INDEX('REGISTRE ELEVES'!$E$10:$E$250,$AU27))</f>
        <v>F</v>
      </c>
      <c r="E27" s="73" t="str">
        <f aca="false">IF($AU27="","",INDEX('REGISTRE ELEVES'!$F$10:$F$250,$AU27))</f>
        <v>CP2</v>
      </c>
      <c r="F27" s="73" t="str">
        <f aca="false">IF($AU27="","",INDEX('REGISTRE ELEVES'!$AE$10:$AE$250,$AU27))</f>
        <v>PRESENT</v>
      </c>
      <c r="G27" s="75" t="s">
        <v>46</v>
      </c>
      <c r="H27" s="76"/>
      <c r="I27" s="76"/>
      <c r="J27" s="76"/>
      <c r="K27" s="76"/>
      <c r="L27" s="76"/>
      <c r="M27" s="76"/>
      <c r="N27" s="76"/>
      <c r="O27" s="76"/>
      <c r="P27" s="77" t="n">
        <f aca="false">IF(B27="","",IF($G27="NON",0,IF(COUNT(H27:O27)=0,"",IFERROR(ROUND(SUMPRODUCT(H27:O27,$H$8:$O$8)/SUMPRODUCT(ISNUMBER(H27:O27)*$H$8:$O$8),2),""))))</f>
        <v>0</v>
      </c>
      <c r="Q27" s="75" t="s">
        <v>39</v>
      </c>
      <c r="R27" s="76" t="n">
        <v>8.5</v>
      </c>
      <c r="S27" s="76" t="n">
        <v>8</v>
      </c>
      <c r="T27" s="76" t="n">
        <v>10</v>
      </c>
      <c r="U27" s="76" t="n">
        <v>8.5</v>
      </c>
      <c r="V27" s="76" t="n">
        <v>8</v>
      </c>
      <c r="W27" s="76" t="n">
        <v>9.5</v>
      </c>
      <c r="X27" s="76" t="n">
        <v>9.5</v>
      </c>
      <c r="Y27" s="76" t="n">
        <v>8.5</v>
      </c>
      <c r="Z27" s="77" t="n">
        <f aca="false">IF(B27="","",IF($Q27="NON",0,IF(COUNT(R27:Y27)=0,"",IFERROR(ROUND(SUMPRODUCT(R27:Y27,$R$8:$Y$8)/SUMPRODUCT(ISNUMBER(R27:Y27)*$R$8:$Y$8),2),""))))</f>
        <v>8.81</v>
      </c>
      <c r="AA27" s="75" t="s">
        <v>39</v>
      </c>
      <c r="AB27" s="76" t="n">
        <v>8</v>
      </c>
      <c r="AC27" s="76" t="n">
        <v>8</v>
      </c>
      <c r="AD27" s="76" t="n">
        <v>9</v>
      </c>
      <c r="AE27" s="76" t="n">
        <v>7.5</v>
      </c>
      <c r="AF27" s="76" t="n">
        <v>8</v>
      </c>
      <c r="AG27" s="76" t="n">
        <v>8.5</v>
      </c>
      <c r="AH27" s="76" t="n">
        <v>8</v>
      </c>
      <c r="AI27" s="76" t="n">
        <v>7.5</v>
      </c>
      <c r="AJ27" s="77" t="n">
        <f aca="false">IF(B27="","",IF($AA27="NON",0,IF(COUNT(AB27:AI27)=0,"",IFERROR(ROUND(SUMPRODUCT(AB27:AI27,$AB$8:$AI$8)/SUMPRODUCT(ISNUMBER(AB27:AI27)*$AB$8:$AI$8),2),""))))</f>
        <v>8.06</v>
      </c>
      <c r="AK27" s="75" t="s">
        <v>39</v>
      </c>
      <c r="AL27" s="76" t="n">
        <v>9.5</v>
      </c>
      <c r="AM27" s="76" t="n">
        <v>8</v>
      </c>
      <c r="AN27" s="76" t="n">
        <v>8</v>
      </c>
      <c r="AO27" s="76" t="n">
        <v>7</v>
      </c>
      <c r="AP27" s="76" t="n">
        <v>7.5</v>
      </c>
      <c r="AQ27" s="76" t="n">
        <v>7</v>
      </c>
      <c r="AR27" s="76" t="n">
        <v>8.5</v>
      </c>
      <c r="AS27" s="76" t="n">
        <v>8.5</v>
      </c>
      <c r="AT27" s="77" t="n">
        <f aca="false">IF(B27="","",IF($AK27="NON",0,IF(COUNT(AL27:AS27)=0,"",IFERROR(ROUND(SUMPRODUCT(AL27:AS27,$AL$8:$AS$8)/SUMPRODUCT(ISNUMBER(AL27:AS27)*$AL$8:$AS$8),2),""))))</f>
        <v>8</v>
      </c>
      <c r="AU27" s="51" t="n">
        <f aca="false">IFERROR(MATCH("CP-18",'REGISTRE ELEVES'!$AI$10:$AI$250,0),"")</f>
        <v>18</v>
      </c>
    </row>
    <row r="28" customFormat="false" ht="15" hidden="false" customHeight="false" outlineLevel="0" collapsed="false">
      <c r="A28" s="73" t="n">
        <f aca="false">IF(B28="","",19)</f>
        <v>19</v>
      </c>
      <c r="B28" s="73" t="str">
        <f aca="false">IF($AU28="","",INDEX('REGISTRE ELEVES'!$B$10:$B$250,$AU28))</f>
        <v>CP2-008-26</v>
      </c>
      <c r="C28" s="74" t="str">
        <f aca="false">IF($AU28="","",INDEX('REGISTRE ELEVES'!$D$10:$D$250,$AU28))</f>
        <v>KOUASSI Aya Marie-Ange</v>
      </c>
      <c r="D28" s="73" t="str">
        <f aca="false">IF($AU28="","",INDEX('REGISTRE ELEVES'!$E$10:$E$250,$AU28))</f>
        <v>F</v>
      </c>
      <c r="E28" s="73" t="str">
        <f aca="false">IF($AU28="","",INDEX('REGISTRE ELEVES'!$F$10:$F$250,$AU28))</f>
        <v>CP2</v>
      </c>
      <c r="F28" s="73" t="str">
        <f aca="false">IF($AU28="","",INDEX('REGISTRE ELEVES'!$AE$10:$AE$250,$AU28))</f>
        <v>PRESENT</v>
      </c>
      <c r="G28" s="75" t="s">
        <v>39</v>
      </c>
      <c r="H28" s="76" t="n">
        <v>3</v>
      </c>
      <c r="I28" s="76" t="n">
        <v>5</v>
      </c>
      <c r="J28" s="76" t="n">
        <v>5</v>
      </c>
      <c r="K28" s="76" t="n">
        <v>5.5</v>
      </c>
      <c r="L28" s="76" t="n">
        <v>2.5</v>
      </c>
      <c r="M28" s="76" t="n">
        <v>3</v>
      </c>
      <c r="N28" s="76" t="n">
        <v>5</v>
      </c>
      <c r="O28" s="76" t="n">
        <v>1.5</v>
      </c>
      <c r="P28" s="77" t="n">
        <f aca="false">IF(B28="","",IF($G28="NON",0,IF(COUNT(H28:O28)=0,"",IFERROR(ROUND(SUMPRODUCT(H28:O28,$H$8:$O$8)/SUMPRODUCT(ISNUMBER(H28:O28)*$H$8:$O$8),2),""))))</f>
        <v>3.81</v>
      </c>
      <c r="Q28" s="75" t="s">
        <v>39</v>
      </c>
      <c r="R28" s="76" t="n">
        <v>4</v>
      </c>
      <c r="S28" s="76" t="n">
        <v>3.5</v>
      </c>
      <c r="T28" s="76" t="n">
        <v>5</v>
      </c>
      <c r="U28" s="76" t="n">
        <v>4.5</v>
      </c>
      <c r="V28" s="76" t="n">
        <v>3.5</v>
      </c>
      <c r="W28" s="76" t="n">
        <v>5.5</v>
      </c>
      <c r="X28" s="76" t="n">
        <v>3.5</v>
      </c>
      <c r="Y28" s="76" t="n">
        <v>3.5</v>
      </c>
      <c r="Z28" s="77" t="n">
        <f aca="false">IF(B28="","",IF($Q28="NON",0,IF(COUNT(R28:Y28)=0,"",IFERROR(ROUND(SUMPRODUCT(R28:Y28,$R$8:$Y$8)/SUMPRODUCT(ISNUMBER(R28:Y28)*$R$8:$Y$8),2),""))))</f>
        <v>4.13</v>
      </c>
      <c r="AA28" s="75" t="s">
        <v>39</v>
      </c>
      <c r="AB28" s="76" t="n">
        <v>3</v>
      </c>
      <c r="AC28" s="76" t="n">
        <v>3</v>
      </c>
      <c r="AD28" s="76" t="n">
        <v>4</v>
      </c>
      <c r="AE28" s="76" t="n">
        <v>3</v>
      </c>
      <c r="AF28" s="76" t="n">
        <v>5.5</v>
      </c>
      <c r="AG28" s="76" t="n">
        <v>4</v>
      </c>
      <c r="AH28" s="76" t="n">
        <v>3.5</v>
      </c>
      <c r="AI28" s="76" t="n">
        <v>2</v>
      </c>
      <c r="AJ28" s="77" t="n">
        <f aca="false">IF(B28="","",IF($AA28="NON",0,IF(COUNT(AB28:AI28)=0,"",IFERROR(ROUND(SUMPRODUCT(AB28:AI28,$AB$8:$AI$8)/SUMPRODUCT(ISNUMBER(AB28:AI28)*$AB$8:$AI$8),2),""))))</f>
        <v>3.5</v>
      </c>
      <c r="AK28" s="75" t="s">
        <v>39</v>
      </c>
      <c r="AL28" s="76" t="n">
        <v>3</v>
      </c>
      <c r="AM28" s="76" t="n">
        <v>4</v>
      </c>
      <c r="AN28" s="76" t="n">
        <v>4</v>
      </c>
      <c r="AO28" s="76" t="n">
        <v>5</v>
      </c>
      <c r="AP28" s="76" t="n">
        <v>5.5</v>
      </c>
      <c r="AQ28" s="76" t="n">
        <v>3.5</v>
      </c>
      <c r="AR28" s="76" t="n">
        <v>3.5</v>
      </c>
      <c r="AS28" s="76" t="n">
        <v>4</v>
      </c>
      <c r="AT28" s="77" t="n">
        <f aca="false">IF(B28="","",IF($AK28="NON",0,IF(COUNT(AL28:AS28)=0,"",IFERROR(ROUND(SUMPRODUCT(AL28:AS28,$AL$8:$AS$8)/SUMPRODUCT(ISNUMBER(AL28:AS28)*$AL$8:$AS$8),2),""))))</f>
        <v>4.06</v>
      </c>
      <c r="AU28" s="51" t="n">
        <f aca="false">IFERROR(MATCH("CP-19",'REGISTRE ELEVES'!$AI$10:$AI$250,0),"")</f>
        <v>19</v>
      </c>
    </row>
    <row r="29" customFormat="false" ht="15" hidden="false" customHeight="false" outlineLevel="0" collapsed="false">
      <c r="A29" s="73" t="n">
        <f aca="false">IF(B29="","",20)</f>
        <v>20</v>
      </c>
      <c r="B29" s="73" t="str">
        <f aca="false">IF($AU29="","",INDEX('REGISTRE ELEVES'!$B$10:$B$250,$AU29))</f>
        <v>CP2-009-26</v>
      </c>
      <c r="C29" s="74" t="str">
        <f aca="false">IF($AU29="","",INDEX('REGISTRE ELEVES'!$D$10:$D$250,$AU29))</f>
        <v>DIGBEU Kouadio Kouakou</v>
      </c>
      <c r="D29" s="73" t="str">
        <f aca="false">IF($AU29="","",INDEX('REGISTRE ELEVES'!$E$10:$E$250,$AU29))</f>
        <v>M</v>
      </c>
      <c r="E29" s="73" t="str">
        <f aca="false">IF($AU29="","",INDEX('REGISTRE ELEVES'!$F$10:$F$250,$AU29))</f>
        <v>CP2</v>
      </c>
      <c r="F29" s="73" t="str">
        <f aca="false">IF($AU29="","",INDEX('REGISTRE ELEVES'!$AE$10:$AE$250,$AU29))</f>
        <v>PRESENT</v>
      </c>
      <c r="G29" s="75" t="s">
        <v>39</v>
      </c>
      <c r="H29" s="76" t="n">
        <v>9</v>
      </c>
      <c r="I29" s="76" t="n">
        <v>10</v>
      </c>
      <c r="J29" s="76" t="n">
        <v>7.5</v>
      </c>
      <c r="K29" s="76" t="n">
        <v>8</v>
      </c>
      <c r="L29" s="76" t="n">
        <v>10</v>
      </c>
      <c r="M29" s="76" t="n">
        <v>10</v>
      </c>
      <c r="N29" s="76" t="n">
        <v>9</v>
      </c>
      <c r="O29" s="76" t="n">
        <v>7.5</v>
      </c>
      <c r="P29" s="77" t="n">
        <f aca="false">IF(B29="","",IF($G29="NON",0,IF(COUNT(H29:O29)=0,"",IFERROR(ROUND(SUMPRODUCT(H29:O29,$H$8:$O$8)/SUMPRODUCT(ISNUMBER(H29:O29)*$H$8:$O$8),2),""))))</f>
        <v>8.88</v>
      </c>
      <c r="Q29" s="75" t="s">
        <v>39</v>
      </c>
      <c r="R29" s="76" t="n">
        <v>9.5</v>
      </c>
      <c r="S29" s="76" t="n">
        <v>10</v>
      </c>
      <c r="T29" s="76" t="n">
        <v>10</v>
      </c>
      <c r="U29" s="76" t="n">
        <v>10</v>
      </c>
      <c r="V29" s="76" t="n">
        <v>8.5</v>
      </c>
      <c r="W29" s="76" t="n">
        <v>7.5</v>
      </c>
      <c r="X29" s="76" t="n">
        <v>8</v>
      </c>
      <c r="Y29" s="76" t="n">
        <v>9</v>
      </c>
      <c r="Z29" s="77" t="n">
        <f aca="false">IF(B29="","",IF($Q29="NON",0,IF(COUNT(R29:Y29)=0,"",IFERROR(ROUND(SUMPRODUCT(R29:Y29,$R$8:$Y$8)/SUMPRODUCT(ISNUMBER(R29:Y29)*$R$8:$Y$8),2),""))))</f>
        <v>9.06</v>
      </c>
      <c r="AA29" s="75" t="s">
        <v>39</v>
      </c>
      <c r="AB29" s="76" t="n">
        <v>7.5</v>
      </c>
      <c r="AC29" s="76" t="n">
        <v>7.5</v>
      </c>
      <c r="AD29" s="76" t="n">
        <v>9.5</v>
      </c>
      <c r="AE29" s="76" t="n">
        <v>9.5</v>
      </c>
      <c r="AF29" s="76" t="n">
        <v>8.5</v>
      </c>
      <c r="AG29" s="76" t="n">
        <v>10</v>
      </c>
      <c r="AH29" s="76" t="n">
        <v>9.5</v>
      </c>
      <c r="AI29" s="76" t="n">
        <v>7</v>
      </c>
      <c r="AJ29" s="77" t="n">
        <f aca="false">IF(B29="","",IF($AA29="NON",0,IF(COUNT(AB29:AI29)=0,"",IFERROR(ROUND(SUMPRODUCT(AB29:AI29,$AB$8:$AI$8)/SUMPRODUCT(ISNUMBER(AB29:AI29)*$AB$8:$AI$8),2),""))))</f>
        <v>8.63</v>
      </c>
      <c r="AK29" s="75" t="s">
        <v>39</v>
      </c>
      <c r="AL29" s="76" t="n">
        <v>10</v>
      </c>
      <c r="AM29" s="76" t="n">
        <v>8</v>
      </c>
      <c r="AN29" s="76" t="n">
        <v>9.5</v>
      </c>
      <c r="AO29" s="76" t="n">
        <v>7</v>
      </c>
      <c r="AP29" s="76" t="n">
        <v>8</v>
      </c>
      <c r="AQ29" s="76" t="n">
        <v>10</v>
      </c>
      <c r="AR29" s="76" t="n">
        <v>9.5</v>
      </c>
      <c r="AS29" s="76" t="n">
        <v>9.5</v>
      </c>
      <c r="AT29" s="77" t="n">
        <f aca="false">IF(B29="","",IF($AK29="NON",0,IF(COUNT(AL29:AS29)=0,"",IFERROR(ROUND(SUMPRODUCT(AL29:AS29,$AL$8:$AS$8)/SUMPRODUCT(ISNUMBER(AL29:AS29)*$AL$8:$AS$8),2),""))))</f>
        <v>8.94</v>
      </c>
      <c r="AU29" s="51" t="n">
        <f aca="false">IFERROR(MATCH("CP-20",'REGISTRE ELEVES'!$AI$10:$AI$250,0),"")</f>
        <v>20</v>
      </c>
    </row>
    <row r="30" customFormat="false" ht="15" hidden="false" customHeight="false" outlineLevel="0" collapsed="false">
      <c r="A30" s="73" t="n">
        <f aca="false">IF(B30="","",21)</f>
        <v>21</v>
      </c>
      <c r="B30" s="73" t="str">
        <f aca="false">IF($AU30="","",INDEX('REGISTRE ELEVES'!$B$10:$B$250,$AU30))</f>
        <v>CP2-010-26</v>
      </c>
      <c r="C30" s="74" t="str">
        <f aca="false">IF($AU30="","",INDEX('REGISTRE ELEVES'!$D$10:$D$250,$AU30))</f>
        <v>YAO Kouadio Cédric</v>
      </c>
      <c r="D30" s="73" t="str">
        <f aca="false">IF($AU30="","",INDEX('REGISTRE ELEVES'!$E$10:$E$250,$AU30))</f>
        <v>M</v>
      </c>
      <c r="E30" s="73" t="str">
        <f aca="false">IF($AU30="","",INDEX('REGISTRE ELEVES'!$F$10:$F$250,$AU30))</f>
        <v>CP2</v>
      </c>
      <c r="F30" s="73" t="str">
        <f aca="false">IF($AU30="","",INDEX('REGISTRE ELEVES'!$AE$10:$AE$250,$AU30))</f>
        <v>PRESENT</v>
      </c>
      <c r="G30" s="75" t="s">
        <v>39</v>
      </c>
      <c r="H30" s="76" t="n">
        <v>4.5</v>
      </c>
      <c r="I30" s="76" t="n">
        <v>3</v>
      </c>
      <c r="J30" s="76" t="n">
        <v>5</v>
      </c>
      <c r="K30" s="76" t="n">
        <v>4.5</v>
      </c>
      <c r="L30" s="76" t="n">
        <v>6</v>
      </c>
      <c r="M30" s="76" t="n">
        <v>4.5</v>
      </c>
      <c r="N30" s="76" t="n">
        <v>4</v>
      </c>
      <c r="O30" s="76" t="n">
        <v>2.5</v>
      </c>
      <c r="P30" s="77" t="n">
        <f aca="false">IF(B30="","",IF($G30="NON",0,IF(COUNT(H30:O30)=0,"",IFERROR(ROUND(SUMPRODUCT(H30:O30,$H$8:$O$8)/SUMPRODUCT(ISNUMBER(H30:O30)*$H$8:$O$8),2),""))))</f>
        <v>4.25</v>
      </c>
      <c r="Q30" s="75" t="s">
        <v>39</v>
      </c>
      <c r="R30" s="76" t="n">
        <v>5</v>
      </c>
      <c r="S30" s="76" t="n">
        <v>2.5</v>
      </c>
      <c r="T30" s="76" t="n">
        <v>2.5</v>
      </c>
      <c r="U30" s="76" t="n">
        <v>3</v>
      </c>
      <c r="V30" s="76" t="n">
        <v>4.5</v>
      </c>
      <c r="W30" s="76" t="n">
        <v>5.5</v>
      </c>
      <c r="X30" s="76" t="n">
        <v>4.5</v>
      </c>
      <c r="Y30" s="76" t="n">
        <v>5.5</v>
      </c>
      <c r="Z30" s="77" t="n">
        <f aca="false">IF(B30="","",IF($Q30="NON",0,IF(COUNT(R30:Y30)=0,"",IFERROR(ROUND(SUMPRODUCT(R30:Y30,$R$8:$Y$8)/SUMPRODUCT(ISNUMBER(R30:Y30)*$R$8:$Y$8),2),""))))</f>
        <v>4.13</v>
      </c>
      <c r="AA30" s="75" t="s">
        <v>39</v>
      </c>
      <c r="AB30" s="76" t="n">
        <v>2</v>
      </c>
      <c r="AC30" s="76" t="n">
        <v>5.5</v>
      </c>
      <c r="AD30" s="76" t="n">
        <v>3.5</v>
      </c>
      <c r="AE30" s="76" t="n">
        <v>5</v>
      </c>
      <c r="AF30" s="76" t="n">
        <v>3.5</v>
      </c>
      <c r="AG30" s="76" t="n">
        <v>3</v>
      </c>
      <c r="AH30" s="76" t="n">
        <v>3</v>
      </c>
      <c r="AI30" s="76" t="n">
        <v>2.5</v>
      </c>
      <c r="AJ30" s="77" t="n">
        <f aca="false">IF(B30="","",IF($AA30="NON",0,IF(COUNT(AB30:AI30)=0,"",IFERROR(ROUND(SUMPRODUCT(AB30:AI30,$AB$8:$AI$8)/SUMPRODUCT(ISNUMBER(AB30:AI30)*$AB$8:$AI$8),2),""))))</f>
        <v>3.5</v>
      </c>
      <c r="AK30" s="75" t="s">
        <v>39</v>
      </c>
      <c r="AL30" s="76" t="n">
        <v>4.5</v>
      </c>
      <c r="AM30" s="76" t="n">
        <v>3.5</v>
      </c>
      <c r="AN30" s="76" t="n">
        <v>4</v>
      </c>
      <c r="AO30" s="76" t="n">
        <v>3.5</v>
      </c>
      <c r="AP30" s="76" t="n">
        <v>2.5</v>
      </c>
      <c r="AQ30" s="76" t="n">
        <v>5.5</v>
      </c>
      <c r="AR30" s="76" t="n">
        <v>4.5</v>
      </c>
      <c r="AS30" s="76" t="n">
        <v>6</v>
      </c>
      <c r="AT30" s="77" t="n">
        <f aca="false">IF(B30="","",IF($AK30="NON",0,IF(COUNT(AL30:AS30)=0,"",IFERROR(ROUND(SUMPRODUCT(AL30:AS30,$AL$8:$AS$8)/SUMPRODUCT(ISNUMBER(AL30:AS30)*$AL$8:$AS$8),2),""))))</f>
        <v>4.25</v>
      </c>
      <c r="AU30" s="51" t="n">
        <f aca="false">IFERROR(MATCH("CP-21",'REGISTRE ELEVES'!$AI$10:$AI$250,0),"")</f>
        <v>21</v>
      </c>
    </row>
    <row r="31" customFormat="false" ht="15" hidden="false" customHeight="false" outlineLevel="0" collapsed="false">
      <c r="A31" s="73" t="n">
        <f aca="false">IF(B31="","",22)</f>
        <v>22</v>
      </c>
      <c r="B31" s="73" t="str">
        <f aca="false">IF($AU31="","",INDEX('REGISTRE ELEVES'!$B$10:$B$250,$AU31))</f>
        <v>CP2-011-26</v>
      </c>
      <c r="C31" s="74" t="str">
        <f aca="false">IF($AU31="","",INDEX('REGISTRE ELEVES'!$D$10:$D$250,$AU31))</f>
        <v>SORO Moussa Cédric</v>
      </c>
      <c r="D31" s="73" t="str">
        <f aca="false">IF($AU31="","",INDEX('REGISTRE ELEVES'!$E$10:$E$250,$AU31))</f>
        <v>M</v>
      </c>
      <c r="E31" s="73" t="str">
        <f aca="false">IF($AU31="","",INDEX('REGISTRE ELEVES'!$F$10:$F$250,$AU31))</f>
        <v>CP2</v>
      </c>
      <c r="F31" s="73" t="str">
        <f aca="false">IF($AU31="","",INDEX('REGISTRE ELEVES'!$AE$10:$AE$250,$AU31))</f>
        <v>PRESENT</v>
      </c>
      <c r="G31" s="75" t="s">
        <v>39</v>
      </c>
      <c r="H31" s="76" t="n">
        <v>4.5</v>
      </c>
      <c r="I31" s="76" t="n">
        <v>4</v>
      </c>
      <c r="J31" s="76" t="n">
        <v>7.5</v>
      </c>
      <c r="K31" s="76" t="n">
        <v>7</v>
      </c>
      <c r="L31" s="76" t="n">
        <v>5</v>
      </c>
      <c r="M31" s="76" t="n">
        <v>7</v>
      </c>
      <c r="N31" s="76" t="n">
        <v>7</v>
      </c>
      <c r="O31" s="76" t="n">
        <v>5</v>
      </c>
      <c r="P31" s="77" t="n">
        <f aca="false">IF(B31="","",IF($G31="NON",0,IF(COUNT(H31:O31)=0,"",IFERROR(ROUND(SUMPRODUCT(H31:O31,$H$8:$O$8)/SUMPRODUCT(ISNUMBER(H31:O31)*$H$8:$O$8),2),""))))</f>
        <v>5.88</v>
      </c>
      <c r="Q31" s="75" t="s">
        <v>39</v>
      </c>
      <c r="R31" s="76" t="n">
        <v>7.5</v>
      </c>
      <c r="S31" s="76" t="n">
        <v>5.5</v>
      </c>
      <c r="T31" s="76" t="n">
        <v>7.5</v>
      </c>
      <c r="U31" s="76" t="n">
        <v>4.5</v>
      </c>
      <c r="V31" s="76" t="n">
        <v>5</v>
      </c>
      <c r="W31" s="76" t="n">
        <v>6.5</v>
      </c>
      <c r="X31" s="76" t="n">
        <v>4.5</v>
      </c>
      <c r="Y31" s="76" t="n">
        <v>5</v>
      </c>
      <c r="Z31" s="77" t="n">
        <f aca="false">IF(B31="","",IF($Q31="NON",0,IF(COUNT(R31:Y31)=0,"",IFERROR(ROUND(SUMPRODUCT(R31:Y31,$R$8:$Y$8)/SUMPRODUCT(ISNUMBER(R31:Y31)*$R$8:$Y$8),2),""))))</f>
        <v>5.75</v>
      </c>
      <c r="AA31" s="75" t="s">
        <v>39</v>
      </c>
      <c r="AB31" s="76" t="n">
        <v>5.5</v>
      </c>
      <c r="AC31" s="76" t="n">
        <v>7</v>
      </c>
      <c r="AD31" s="76" t="n">
        <v>4.5</v>
      </c>
      <c r="AE31" s="76" t="n">
        <v>4.5</v>
      </c>
      <c r="AF31" s="76" t="n">
        <v>5</v>
      </c>
      <c r="AG31" s="76" t="n">
        <v>4.5</v>
      </c>
      <c r="AH31" s="76" t="n">
        <v>7.5</v>
      </c>
      <c r="AI31" s="76" t="n">
        <v>5</v>
      </c>
      <c r="AJ31" s="77" t="n">
        <f aca="false">IF(B31="","",IF($AA31="NON",0,IF(COUNT(AB31:AI31)=0,"",IFERROR(ROUND(SUMPRODUCT(AB31:AI31,$AB$8:$AI$8)/SUMPRODUCT(ISNUMBER(AB31:AI31)*$AB$8:$AI$8),2),""))))</f>
        <v>5.44</v>
      </c>
      <c r="AK31" s="75" t="s">
        <v>39</v>
      </c>
      <c r="AL31" s="76" t="n">
        <v>4</v>
      </c>
      <c r="AM31" s="76" t="n">
        <v>6</v>
      </c>
      <c r="AN31" s="76" t="n">
        <v>5</v>
      </c>
      <c r="AO31" s="76" t="n">
        <v>5.5</v>
      </c>
      <c r="AP31" s="76" t="n">
        <v>4</v>
      </c>
      <c r="AQ31" s="76" t="n">
        <v>4</v>
      </c>
      <c r="AR31" s="76" t="n">
        <v>7</v>
      </c>
      <c r="AS31" s="76" t="n">
        <v>5</v>
      </c>
      <c r="AT31" s="77" t="n">
        <f aca="false">IF(B31="","",IF($AK31="NON",0,IF(COUNT(AL31:AS31)=0,"",IFERROR(ROUND(SUMPRODUCT(AL31:AS31,$AL$8:$AS$8)/SUMPRODUCT(ISNUMBER(AL31:AS31)*$AL$8:$AS$8),2),""))))</f>
        <v>5.06</v>
      </c>
      <c r="AU31" s="51" t="n">
        <f aca="false">IFERROR(MATCH("CP-22",'REGISTRE ELEVES'!$AI$10:$AI$250,0),"")</f>
        <v>22</v>
      </c>
    </row>
    <row r="32" customFormat="false" ht="15" hidden="false" customHeight="false" outlineLevel="0" collapsed="false">
      <c r="A32" s="73" t="n">
        <f aca="false">IF(B32="","",23)</f>
        <v>23</v>
      </c>
      <c r="B32" s="73" t="str">
        <f aca="false">IF($AU32="","",INDEX('REGISTRE ELEVES'!$B$10:$B$250,$AU32))</f>
        <v>CP2-012-26</v>
      </c>
      <c r="C32" s="74" t="str">
        <f aca="false">IF($AU32="","",INDEX('REGISTRE ELEVES'!$D$10:$D$250,$AU32))</f>
        <v>BOHOUSSOU Rebecca Affoué</v>
      </c>
      <c r="D32" s="73" t="str">
        <f aca="false">IF($AU32="","",INDEX('REGISTRE ELEVES'!$E$10:$E$250,$AU32))</f>
        <v>F</v>
      </c>
      <c r="E32" s="73" t="str">
        <f aca="false">IF($AU32="","",INDEX('REGISTRE ELEVES'!$F$10:$F$250,$AU32))</f>
        <v>CP2</v>
      </c>
      <c r="F32" s="73" t="str">
        <f aca="false">IF($AU32="","",INDEX('REGISTRE ELEVES'!$AE$10:$AE$250,$AU32))</f>
        <v>PRESENT</v>
      </c>
      <c r="G32" s="75" t="s">
        <v>39</v>
      </c>
      <c r="H32" s="76" t="n">
        <v>3.5</v>
      </c>
      <c r="I32" s="76" t="n">
        <v>3.5</v>
      </c>
      <c r="J32" s="76" t="n">
        <v>2.5</v>
      </c>
      <c r="K32" s="76" t="n">
        <v>5</v>
      </c>
      <c r="L32" s="76" t="n">
        <v>4</v>
      </c>
      <c r="M32" s="76" t="n">
        <v>3</v>
      </c>
      <c r="N32" s="76" t="n">
        <v>5.5</v>
      </c>
      <c r="O32" s="76" t="n">
        <v>3</v>
      </c>
      <c r="P32" s="77" t="n">
        <f aca="false">IF(B32="","",IF($G32="NON",0,IF(COUNT(H32:O32)=0,"",IFERROR(ROUND(SUMPRODUCT(H32:O32,$H$8:$O$8)/SUMPRODUCT(ISNUMBER(H32:O32)*$H$8:$O$8),2),""))))</f>
        <v>3.75</v>
      </c>
      <c r="Q32" s="75" t="s">
        <v>39</v>
      </c>
      <c r="R32" s="76" t="n">
        <v>6</v>
      </c>
      <c r="S32" s="76" t="n">
        <v>3</v>
      </c>
      <c r="T32" s="76" t="n">
        <v>4</v>
      </c>
      <c r="U32" s="76" t="n">
        <v>6</v>
      </c>
      <c r="V32" s="76" t="n">
        <v>5.5</v>
      </c>
      <c r="W32" s="76" t="n">
        <v>3</v>
      </c>
      <c r="X32" s="76" t="n">
        <v>4</v>
      </c>
      <c r="Y32" s="76" t="n">
        <v>5.5</v>
      </c>
      <c r="Z32" s="77" t="n">
        <f aca="false">IF(B32="","",IF($Q32="NON",0,IF(COUNT(R32:Y32)=0,"",IFERROR(ROUND(SUMPRODUCT(R32:Y32,$R$8:$Y$8)/SUMPRODUCT(ISNUMBER(R32:Y32)*$R$8:$Y$8),2),""))))</f>
        <v>4.63</v>
      </c>
      <c r="AA32" s="75" t="s">
        <v>39</v>
      </c>
      <c r="AB32" s="76" t="n">
        <v>6.5</v>
      </c>
      <c r="AC32" s="76" t="n">
        <v>3.5</v>
      </c>
      <c r="AD32" s="76" t="n">
        <v>6.5</v>
      </c>
      <c r="AE32" s="76" t="n">
        <v>4.5</v>
      </c>
      <c r="AF32" s="76" t="n">
        <v>3.5</v>
      </c>
      <c r="AG32" s="76" t="n">
        <v>4.5</v>
      </c>
      <c r="AH32" s="76" t="n">
        <v>3</v>
      </c>
      <c r="AI32" s="76" t="n">
        <v>5.5</v>
      </c>
      <c r="AJ32" s="77" t="n">
        <f aca="false">IF(B32="","",IF($AA32="NON",0,IF(COUNT(AB32:AI32)=0,"",IFERROR(ROUND(SUMPRODUCT(AB32:AI32,$AB$8:$AI$8)/SUMPRODUCT(ISNUMBER(AB32:AI32)*$AB$8:$AI$8),2),""))))</f>
        <v>4.69</v>
      </c>
      <c r="AK32" s="75" t="s">
        <v>39</v>
      </c>
      <c r="AL32" s="76" t="n">
        <v>6</v>
      </c>
      <c r="AM32" s="76" t="n">
        <v>5</v>
      </c>
      <c r="AN32" s="76" t="n">
        <v>4</v>
      </c>
      <c r="AO32" s="76" t="n">
        <v>3.5</v>
      </c>
      <c r="AP32" s="76" t="n">
        <v>5</v>
      </c>
      <c r="AQ32" s="76" t="n">
        <v>3.5</v>
      </c>
      <c r="AR32" s="76" t="n">
        <v>6</v>
      </c>
      <c r="AS32" s="76" t="n">
        <v>3</v>
      </c>
      <c r="AT32" s="77" t="n">
        <f aca="false">IF(B32="","",IF($AK32="NON",0,IF(COUNT(AL32:AS32)=0,"",IFERROR(ROUND(SUMPRODUCT(AL32:AS32,$AL$8:$AS$8)/SUMPRODUCT(ISNUMBER(AL32:AS32)*$AL$8:$AS$8),2),""))))</f>
        <v>4.5</v>
      </c>
      <c r="AU32" s="51" t="n">
        <f aca="false">IFERROR(MATCH("CP-23",'REGISTRE ELEVES'!$AI$10:$AI$250,0),"")</f>
        <v>23</v>
      </c>
    </row>
    <row r="33" customFormat="false" ht="15" hidden="false" customHeight="false" outlineLevel="0" collapsed="false">
      <c r="A33" s="73" t="str">
        <f aca="false">IF(B33="","",24)</f>
        <v/>
      </c>
      <c r="B33" s="73" t="str">
        <f aca="false">IF($AU33="","",INDEX('REGISTRE ELEVES'!$B$10:$B$250,$AU33))</f>
        <v/>
      </c>
      <c r="C33" s="74" t="str">
        <f aca="false">IF($AU33="","",INDEX('REGISTRE ELEVES'!$D$10:$D$250,$AU33))</f>
        <v/>
      </c>
      <c r="D33" s="73" t="str">
        <f aca="false">IF($AU33="","",INDEX('REGISTRE ELEVES'!$E$10:$E$250,$AU33))</f>
        <v/>
      </c>
      <c r="E33" s="73" t="str">
        <f aca="false">IF($AU33="","",INDEX('REGISTRE ELEVES'!$F$10:$F$250,$AU33))</f>
        <v/>
      </c>
      <c r="F33" s="73" t="str">
        <f aca="false">IF($AU33="","",INDEX('REGISTRE ELEVES'!$AE$10:$AE$250,$AU33))</f>
        <v/>
      </c>
      <c r="G33" s="75"/>
      <c r="H33" s="76"/>
      <c r="I33" s="76"/>
      <c r="J33" s="76"/>
      <c r="K33" s="76"/>
      <c r="L33" s="76"/>
      <c r="M33" s="76"/>
      <c r="N33" s="76"/>
      <c r="O33" s="76"/>
      <c r="P33" s="77" t="str">
        <f aca="false">IF(B33="","",IF($G33="NON",0,IF(COUNT(H33:O33)=0,"",IFERROR(ROUND(SUMPRODUCT(H33:O33,$H$8:$O$8)/SUMPRODUCT(ISNUMBER(H33:O33)*$H$8:$O$8),2),""))))</f>
        <v/>
      </c>
      <c r="Q33" s="75"/>
      <c r="R33" s="76"/>
      <c r="S33" s="76"/>
      <c r="T33" s="76"/>
      <c r="U33" s="76"/>
      <c r="V33" s="76"/>
      <c r="W33" s="76"/>
      <c r="X33" s="76"/>
      <c r="Y33" s="76"/>
      <c r="Z33" s="77" t="str">
        <f aca="false">IF(B33="","",IF($Q33="NON",0,IF(COUNT(R33:Y33)=0,"",IFERROR(ROUND(SUMPRODUCT(R33:Y33,$R$8:$Y$8)/SUMPRODUCT(ISNUMBER(R33:Y33)*$R$8:$Y$8),2),""))))</f>
        <v/>
      </c>
      <c r="AA33" s="75"/>
      <c r="AB33" s="76"/>
      <c r="AC33" s="76"/>
      <c r="AD33" s="76"/>
      <c r="AE33" s="76"/>
      <c r="AF33" s="76"/>
      <c r="AG33" s="76"/>
      <c r="AH33" s="76"/>
      <c r="AI33" s="76"/>
      <c r="AJ33" s="77" t="str">
        <f aca="false">IF(B33="","",IF($AA33="NON",0,IF(COUNT(AB33:AI33)=0,"",IFERROR(ROUND(SUMPRODUCT(AB33:AI33,$AB$8:$AI$8)/SUMPRODUCT(ISNUMBER(AB33:AI33)*$AB$8:$AI$8),2),""))))</f>
        <v/>
      </c>
      <c r="AK33" s="75"/>
      <c r="AL33" s="76"/>
      <c r="AM33" s="76"/>
      <c r="AN33" s="76"/>
      <c r="AO33" s="76"/>
      <c r="AP33" s="76"/>
      <c r="AQ33" s="76"/>
      <c r="AR33" s="76"/>
      <c r="AS33" s="76"/>
      <c r="AT33" s="77" t="str">
        <f aca="false">IF(B33="","",IF($AK33="NON",0,IF(COUNT(AL33:AS33)=0,"",IFERROR(ROUND(SUMPRODUCT(AL33:AS33,$AL$8:$AS$8)/SUMPRODUCT(ISNUMBER(AL33:AS33)*$AL$8:$AS$8),2),""))))</f>
        <v/>
      </c>
      <c r="AU33" s="51" t="str">
        <f aca="false">IFERROR(MATCH("CP-24",'REGISTRE ELEVES'!$AI$10:$AI$250,0),"")</f>
        <v/>
      </c>
    </row>
    <row r="34" customFormat="false" ht="15" hidden="false" customHeight="false" outlineLevel="0" collapsed="false">
      <c r="A34" s="73" t="str">
        <f aca="false">IF(B34="","",25)</f>
        <v/>
      </c>
      <c r="B34" s="73" t="str">
        <f aca="false">IF($AU34="","",INDEX('REGISTRE ELEVES'!$B$10:$B$250,$AU34))</f>
        <v/>
      </c>
      <c r="C34" s="74" t="str">
        <f aca="false">IF($AU34="","",INDEX('REGISTRE ELEVES'!$D$10:$D$250,$AU34))</f>
        <v/>
      </c>
      <c r="D34" s="73" t="str">
        <f aca="false">IF($AU34="","",INDEX('REGISTRE ELEVES'!$E$10:$E$250,$AU34))</f>
        <v/>
      </c>
      <c r="E34" s="73" t="str">
        <f aca="false">IF($AU34="","",INDEX('REGISTRE ELEVES'!$F$10:$F$250,$AU34))</f>
        <v/>
      </c>
      <c r="F34" s="73" t="str">
        <f aca="false">IF($AU34="","",INDEX('REGISTRE ELEVES'!$AE$10:$AE$250,$AU34))</f>
        <v/>
      </c>
      <c r="G34" s="75"/>
      <c r="H34" s="76"/>
      <c r="I34" s="76"/>
      <c r="J34" s="76"/>
      <c r="K34" s="76"/>
      <c r="L34" s="76"/>
      <c r="M34" s="76"/>
      <c r="N34" s="76"/>
      <c r="O34" s="76"/>
      <c r="P34" s="77" t="str">
        <f aca="false">IF(B34="","",IF($G34="NON",0,IF(COUNT(H34:O34)=0,"",IFERROR(ROUND(SUMPRODUCT(H34:O34,$H$8:$O$8)/SUMPRODUCT(ISNUMBER(H34:O34)*$H$8:$O$8),2),""))))</f>
        <v/>
      </c>
      <c r="Q34" s="75"/>
      <c r="R34" s="76"/>
      <c r="S34" s="76"/>
      <c r="T34" s="76"/>
      <c r="U34" s="76"/>
      <c r="V34" s="76"/>
      <c r="W34" s="76"/>
      <c r="X34" s="76"/>
      <c r="Y34" s="76"/>
      <c r="Z34" s="77" t="str">
        <f aca="false">IF(B34="","",IF($Q34="NON",0,IF(COUNT(R34:Y34)=0,"",IFERROR(ROUND(SUMPRODUCT(R34:Y34,$R$8:$Y$8)/SUMPRODUCT(ISNUMBER(R34:Y34)*$R$8:$Y$8),2),""))))</f>
        <v/>
      </c>
      <c r="AA34" s="75"/>
      <c r="AB34" s="76"/>
      <c r="AC34" s="76"/>
      <c r="AD34" s="76"/>
      <c r="AE34" s="76"/>
      <c r="AF34" s="76"/>
      <c r="AG34" s="76"/>
      <c r="AH34" s="76"/>
      <c r="AI34" s="76"/>
      <c r="AJ34" s="77" t="str">
        <f aca="false">IF(B34="","",IF($AA34="NON",0,IF(COUNT(AB34:AI34)=0,"",IFERROR(ROUND(SUMPRODUCT(AB34:AI34,$AB$8:$AI$8)/SUMPRODUCT(ISNUMBER(AB34:AI34)*$AB$8:$AI$8),2),""))))</f>
        <v/>
      </c>
      <c r="AK34" s="75"/>
      <c r="AL34" s="76"/>
      <c r="AM34" s="76"/>
      <c r="AN34" s="76"/>
      <c r="AO34" s="76"/>
      <c r="AP34" s="76"/>
      <c r="AQ34" s="76"/>
      <c r="AR34" s="76"/>
      <c r="AS34" s="76"/>
      <c r="AT34" s="77" t="str">
        <f aca="false">IF(B34="","",IF($AK34="NON",0,IF(COUNT(AL34:AS34)=0,"",IFERROR(ROUND(SUMPRODUCT(AL34:AS34,$AL$8:$AS$8)/SUMPRODUCT(ISNUMBER(AL34:AS34)*$AL$8:$AS$8),2),""))))</f>
        <v/>
      </c>
      <c r="AU34" s="51" t="str">
        <f aca="false">IFERROR(MATCH("CP-25",'REGISTRE ELEVES'!$AI$10:$AI$250,0),"")</f>
        <v/>
      </c>
    </row>
    <row r="35" customFormat="false" ht="15" hidden="false" customHeight="false" outlineLevel="0" collapsed="false">
      <c r="A35" s="73" t="str">
        <f aca="false">IF(B35="","",26)</f>
        <v/>
      </c>
      <c r="B35" s="73" t="str">
        <f aca="false">IF($AU35="","",INDEX('REGISTRE ELEVES'!$B$10:$B$250,$AU35))</f>
        <v/>
      </c>
      <c r="C35" s="74" t="str">
        <f aca="false">IF($AU35="","",INDEX('REGISTRE ELEVES'!$D$10:$D$250,$AU35))</f>
        <v/>
      </c>
      <c r="D35" s="73" t="str">
        <f aca="false">IF($AU35="","",INDEX('REGISTRE ELEVES'!$E$10:$E$250,$AU35))</f>
        <v/>
      </c>
      <c r="E35" s="73" t="str">
        <f aca="false">IF($AU35="","",INDEX('REGISTRE ELEVES'!$F$10:$F$250,$AU35))</f>
        <v/>
      </c>
      <c r="F35" s="73" t="str">
        <f aca="false">IF($AU35="","",INDEX('REGISTRE ELEVES'!$AE$10:$AE$250,$AU35))</f>
        <v/>
      </c>
      <c r="G35" s="75"/>
      <c r="H35" s="76"/>
      <c r="I35" s="76"/>
      <c r="J35" s="76"/>
      <c r="K35" s="76"/>
      <c r="L35" s="76"/>
      <c r="M35" s="76"/>
      <c r="N35" s="76"/>
      <c r="O35" s="76"/>
      <c r="P35" s="77" t="str">
        <f aca="false">IF(B35="","",IF($G35="NON",0,IF(COUNT(H35:O35)=0,"",IFERROR(ROUND(SUMPRODUCT(H35:O35,$H$8:$O$8)/SUMPRODUCT(ISNUMBER(H35:O35)*$H$8:$O$8),2),""))))</f>
        <v/>
      </c>
      <c r="Q35" s="75"/>
      <c r="R35" s="76"/>
      <c r="S35" s="76"/>
      <c r="T35" s="76"/>
      <c r="U35" s="76"/>
      <c r="V35" s="76"/>
      <c r="W35" s="76"/>
      <c r="X35" s="76"/>
      <c r="Y35" s="76"/>
      <c r="Z35" s="77" t="str">
        <f aca="false">IF(B35="","",IF($Q35="NON",0,IF(COUNT(R35:Y35)=0,"",IFERROR(ROUND(SUMPRODUCT(R35:Y35,$R$8:$Y$8)/SUMPRODUCT(ISNUMBER(R35:Y35)*$R$8:$Y$8),2),""))))</f>
        <v/>
      </c>
      <c r="AA35" s="75"/>
      <c r="AB35" s="76"/>
      <c r="AC35" s="76"/>
      <c r="AD35" s="76"/>
      <c r="AE35" s="76"/>
      <c r="AF35" s="76"/>
      <c r="AG35" s="76"/>
      <c r="AH35" s="76"/>
      <c r="AI35" s="76"/>
      <c r="AJ35" s="77" t="str">
        <f aca="false">IF(B35="","",IF($AA35="NON",0,IF(COUNT(AB35:AI35)=0,"",IFERROR(ROUND(SUMPRODUCT(AB35:AI35,$AB$8:$AI$8)/SUMPRODUCT(ISNUMBER(AB35:AI35)*$AB$8:$AI$8),2),""))))</f>
        <v/>
      </c>
      <c r="AK35" s="75"/>
      <c r="AL35" s="76"/>
      <c r="AM35" s="76"/>
      <c r="AN35" s="76"/>
      <c r="AO35" s="76"/>
      <c r="AP35" s="76"/>
      <c r="AQ35" s="76"/>
      <c r="AR35" s="76"/>
      <c r="AS35" s="76"/>
      <c r="AT35" s="77" t="str">
        <f aca="false">IF(B35="","",IF($AK35="NON",0,IF(COUNT(AL35:AS35)=0,"",IFERROR(ROUND(SUMPRODUCT(AL35:AS35,$AL$8:$AS$8)/SUMPRODUCT(ISNUMBER(AL35:AS35)*$AL$8:$AS$8),2),""))))</f>
        <v/>
      </c>
      <c r="AU35" s="51" t="str">
        <f aca="false">IFERROR(MATCH("CP-26",'REGISTRE ELEVES'!$AI$10:$AI$250,0),"")</f>
        <v/>
      </c>
    </row>
    <row r="36" customFormat="false" ht="15" hidden="false" customHeight="false" outlineLevel="0" collapsed="false">
      <c r="A36" s="73" t="str">
        <f aca="false">IF(B36="","",27)</f>
        <v/>
      </c>
      <c r="B36" s="73" t="str">
        <f aca="false">IF($AU36="","",INDEX('REGISTRE ELEVES'!$B$10:$B$250,$AU36))</f>
        <v/>
      </c>
      <c r="C36" s="74" t="str">
        <f aca="false">IF($AU36="","",INDEX('REGISTRE ELEVES'!$D$10:$D$250,$AU36))</f>
        <v/>
      </c>
      <c r="D36" s="73" t="str">
        <f aca="false">IF($AU36="","",INDEX('REGISTRE ELEVES'!$E$10:$E$250,$AU36))</f>
        <v/>
      </c>
      <c r="E36" s="73" t="str">
        <f aca="false">IF($AU36="","",INDEX('REGISTRE ELEVES'!$F$10:$F$250,$AU36))</f>
        <v/>
      </c>
      <c r="F36" s="73" t="str">
        <f aca="false">IF($AU36="","",INDEX('REGISTRE ELEVES'!$AE$10:$AE$250,$AU36))</f>
        <v/>
      </c>
      <c r="G36" s="75"/>
      <c r="H36" s="76"/>
      <c r="I36" s="76"/>
      <c r="J36" s="76"/>
      <c r="K36" s="76"/>
      <c r="L36" s="76"/>
      <c r="M36" s="76"/>
      <c r="N36" s="76"/>
      <c r="O36" s="76"/>
      <c r="P36" s="77" t="str">
        <f aca="false">IF(B36="","",IF($G36="NON",0,IF(COUNT(H36:O36)=0,"",IFERROR(ROUND(SUMPRODUCT(H36:O36,$H$8:$O$8)/SUMPRODUCT(ISNUMBER(H36:O36)*$H$8:$O$8),2),""))))</f>
        <v/>
      </c>
      <c r="Q36" s="75"/>
      <c r="R36" s="76"/>
      <c r="S36" s="76"/>
      <c r="T36" s="76"/>
      <c r="U36" s="76"/>
      <c r="V36" s="76"/>
      <c r="W36" s="76"/>
      <c r="X36" s="76"/>
      <c r="Y36" s="76"/>
      <c r="Z36" s="77" t="str">
        <f aca="false">IF(B36="","",IF($Q36="NON",0,IF(COUNT(R36:Y36)=0,"",IFERROR(ROUND(SUMPRODUCT(R36:Y36,$R$8:$Y$8)/SUMPRODUCT(ISNUMBER(R36:Y36)*$R$8:$Y$8),2),""))))</f>
        <v/>
      </c>
      <c r="AA36" s="75"/>
      <c r="AB36" s="76"/>
      <c r="AC36" s="76"/>
      <c r="AD36" s="76"/>
      <c r="AE36" s="76"/>
      <c r="AF36" s="76"/>
      <c r="AG36" s="76"/>
      <c r="AH36" s="76"/>
      <c r="AI36" s="76"/>
      <c r="AJ36" s="77" t="str">
        <f aca="false">IF(B36="","",IF($AA36="NON",0,IF(COUNT(AB36:AI36)=0,"",IFERROR(ROUND(SUMPRODUCT(AB36:AI36,$AB$8:$AI$8)/SUMPRODUCT(ISNUMBER(AB36:AI36)*$AB$8:$AI$8),2),""))))</f>
        <v/>
      </c>
      <c r="AK36" s="75"/>
      <c r="AL36" s="76"/>
      <c r="AM36" s="76"/>
      <c r="AN36" s="76"/>
      <c r="AO36" s="76"/>
      <c r="AP36" s="76"/>
      <c r="AQ36" s="76"/>
      <c r="AR36" s="76"/>
      <c r="AS36" s="76"/>
      <c r="AT36" s="77" t="str">
        <f aca="false">IF(B36="","",IF($AK36="NON",0,IF(COUNT(AL36:AS36)=0,"",IFERROR(ROUND(SUMPRODUCT(AL36:AS36,$AL$8:$AS$8)/SUMPRODUCT(ISNUMBER(AL36:AS36)*$AL$8:$AS$8),2),""))))</f>
        <v/>
      </c>
      <c r="AU36" s="51" t="str">
        <f aca="false">IFERROR(MATCH("CP-27",'REGISTRE ELEVES'!$AI$10:$AI$250,0),"")</f>
        <v/>
      </c>
    </row>
    <row r="37" customFormat="false" ht="15" hidden="false" customHeight="false" outlineLevel="0" collapsed="false">
      <c r="A37" s="73" t="str">
        <f aca="false">IF(B37="","",28)</f>
        <v/>
      </c>
      <c r="B37" s="73" t="str">
        <f aca="false">IF($AU37="","",INDEX('REGISTRE ELEVES'!$B$10:$B$250,$AU37))</f>
        <v/>
      </c>
      <c r="C37" s="74" t="str">
        <f aca="false">IF($AU37="","",INDEX('REGISTRE ELEVES'!$D$10:$D$250,$AU37))</f>
        <v/>
      </c>
      <c r="D37" s="73" t="str">
        <f aca="false">IF($AU37="","",INDEX('REGISTRE ELEVES'!$E$10:$E$250,$AU37))</f>
        <v/>
      </c>
      <c r="E37" s="73" t="str">
        <f aca="false">IF($AU37="","",INDEX('REGISTRE ELEVES'!$F$10:$F$250,$AU37))</f>
        <v/>
      </c>
      <c r="F37" s="73" t="str">
        <f aca="false">IF($AU37="","",INDEX('REGISTRE ELEVES'!$AE$10:$AE$250,$AU37))</f>
        <v/>
      </c>
      <c r="G37" s="75"/>
      <c r="H37" s="76"/>
      <c r="I37" s="76"/>
      <c r="J37" s="76"/>
      <c r="K37" s="76"/>
      <c r="L37" s="76"/>
      <c r="M37" s="76"/>
      <c r="N37" s="76"/>
      <c r="O37" s="76"/>
      <c r="P37" s="77" t="str">
        <f aca="false">IF(B37="","",IF($G37="NON",0,IF(COUNT(H37:O37)=0,"",IFERROR(ROUND(SUMPRODUCT(H37:O37,$H$8:$O$8)/SUMPRODUCT(ISNUMBER(H37:O37)*$H$8:$O$8),2),""))))</f>
        <v/>
      </c>
      <c r="Q37" s="75"/>
      <c r="R37" s="76"/>
      <c r="S37" s="76"/>
      <c r="T37" s="76"/>
      <c r="U37" s="76"/>
      <c r="V37" s="76"/>
      <c r="W37" s="76"/>
      <c r="X37" s="76"/>
      <c r="Y37" s="76"/>
      <c r="Z37" s="77" t="str">
        <f aca="false">IF(B37="","",IF($Q37="NON",0,IF(COUNT(R37:Y37)=0,"",IFERROR(ROUND(SUMPRODUCT(R37:Y37,$R$8:$Y$8)/SUMPRODUCT(ISNUMBER(R37:Y37)*$R$8:$Y$8),2),""))))</f>
        <v/>
      </c>
      <c r="AA37" s="75"/>
      <c r="AB37" s="76"/>
      <c r="AC37" s="76"/>
      <c r="AD37" s="76"/>
      <c r="AE37" s="76"/>
      <c r="AF37" s="76"/>
      <c r="AG37" s="76"/>
      <c r="AH37" s="76"/>
      <c r="AI37" s="76"/>
      <c r="AJ37" s="77" t="str">
        <f aca="false">IF(B37="","",IF($AA37="NON",0,IF(COUNT(AB37:AI37)=0,"",IFERROR(ROUND(SUMPRODUCT(AB37:AI37,$AB$8:$AI$8)/SUMPRODUCT(ISNUMBER(AB37:AI37)*$AB$8:$AI$8),2),""))))</f>
        <v/>
      </c>
      <c r="AK37" s="75"/>
      <c r="AL37" s="76"/>
      <c r="AM37" s="76"/>
      <c r="AN37" s="76"/>
      <c r="AO37" s="76"/>
      <c r="AP37" s="76"/>
      <c r="AQ37" s="76"/>
      <c r="AR37" s="76"/>
      <c r="AS37" s="76"/>
      <c r="AT37" s="77" t="str">
        <f aca="false">IF(B37="","",IF($AK37="NON",0,IF(COUNT(AL37:AS37)=0,"",IFERROR(ROUND(SUMPRODUCT(AL37:AS37,$AL$8:$AS$8)/SUMPRODUCT(ISNUMBER(AL37:AS37)*$AL$8:$AS$8),2),""))))</f>
        <v/>
      </c>
      <c r="AU37" s="51" t="str">
        <f aca="false">IFERROR(MATCH("CP-28",'REGISTRE ELEVES'!$AI$10:$AI$250,0),"")</f>
        <v/>
      </c>
    </row>
    <row r="38" customFormat="false" ht="15" hidden="false" customHeight="false" outlineLevel="0" collapsed="false">
      <c r="A38" s="73" t="str">
        <f aca="false">IF(B38="","",29)</f>
        <v/>
      </c>
      <c r="B38" s="73" t="str">
        <f aca="false">IF($AU38="","",INDEX('REGISTRE ELEVES'!$B$10:$B$250,$AU38))</f>
        <v/>
      </c>
      <c r="C38" s="74" t="str">
        <f aca="false">IF($AU38="","",INDEX('REGISTRE ELEVES'!$D$10:$D$250,$AU38))</f>
        <v/>
      </c>
      <c r="D38" s="73" t="str">
        <f aca="false">IF($AU38="","",INDEX('REGISTRE ELEVES'!$E$10:$E$250,$AU38))</f>
        <v/>
      </c>
      <c r="E38" s="73" t="str">
        <f aca="false">IF($AU38="","",INDEX('REGISTRE ELEVES'!$F$10:$F$250,$AU38))</f>
        <v/>
      </c>
      <c r="F38" s="73" t="str">
        <f aca="false">IF($AU38="","",INDEX('REGISTRE ELEVES'!$AE$10:$AE$250,$AU38))</f>
        <v/>
      </c>
      <c r="G38" s="75"/>
      <c r="H38" s="76"/>
      <c r="I38" s="76"/>
      <c r="J38" s="76"/>
      <c r="K38" s="76"/>
      <c r="L38" s="76"/>
      <c r="M38" s="76"/>
      <c r="N38" s="76"/>
      <c r="O38" s="76"/>
      <c r="P38" s="77" t="str">
        <f aca="false">IF(B38="","",IF($G38="NON",0,IF(COUNT(H38:O38)=0,"",IFERROR(ROUND(SUMPRODUCT(H38:O38,$H$8:$O$8)/SUMPRODUCT(ISNUMBER(H38:O38)*$H$8:$O$8),2),""))))</f>
        <v/>
      </c>
      <c r="Q38" s="75"/>
      <c r="R38" s="76"/>
      <c r="S38" s="76"/>
      <c r="T38" s="76"/>
      <c r="U38" s="76"/>
      <c r="V38" s="76"/>
      <c r="W38" s="76"/>
      <c r="X38" s="76"/>
      <c r="Y38" s="76"/>
      <c r="Z38" s="77" t="str">
        <f aca="false">IF(B38="","",IF($Q38="NON",0,IF(COUNT(R38:Y38)=0,"",IFERROR(ROUND(SUMPRODUCT(R38:Y38,$R$8:$Y$8)/SUMPRODUCT(ISNUMBER(R38:Y38)*$R$8:$Y$8),2),""))))</f>
        <v/>
      </c>
      <c r="AA38" s="75"/>
      <c r="AB38" s="76"/>
      <c r="AC38" s="76"/>
      <c r="AD38" s="76"/>
      <c r="AE38" s="76"/>
      <c r="AF38" s="76"/>
      <c r="AG38" s="76"/>
      <c r="AH38" s="76"/>
      <c r="AI38" s="76"/>
      <c r="AJ38" s="77" t="str">
        <f aca="false">IF(B38="","",IF($AA38="NON",0,IF(COUNT(AB38:AI38)=0,"",IFERROR(ROUND(SUMPRODUCT(AB38:AI38,$AB$8:$AI$8)/SUMPRODUCT(ISNUMBER(AB38:AI38)*$AB$8:$AI$8),2),""))))</f>
        <v/>
      </c>
      <c r="AK38" s="75"/>
      <c r="AL38" s="76"/>
      <c r="AM38" s="76"/>
      <c r="AN38" s="76"/>
      <c r="AO38" s="76"/>
      <c r="AP38" s="76"/>
      <c r="AQ38" s="76"/>
      <c r="AR38" s="76"/>
      <c r="AS38" s="76"/>
      <c r="AT38" s="77" t="str">
        <f aca="false">IF(B38="","",IF($AK38="NON",0,IF(COUNT(AL38:AS38)=0,"",IFERROR(ROUND(SUMPRODUCT(AL38:AS38,$AL$8:$AS$8)/SUMPRODUCT(ISNUMBER(AL38:AS38)*$AL$8:$AS$8),2),""))))</f>
        <v/>
      </c>
      <c r="AU38" s="51" t="str">
        <f aca="false">IFERROR(MATCH("CP-29",'REGISTRE ELEVES'!$AI$10:$AI$250,0),"")</f>
        <v/>
      </c>
    </row>
    <row r="39" customFormat="false" ht="15" hidden="false" customHeight="false" outlineLevel="0" collapsed="false">
      <c r="A39" s="73" t="str">
        <f aca="false">IF(B39="","",30)</f>
        <v/>
      </c>
      <c r="B39" s="73" t="str">
        <f aca="false">IF($AU39="","",INDEX('REGISTRE ELEVES'!$B$10:$B$250,$AU39))</f>
        <v/>
      </c>
      <c r="C39" s="74" t="str">
        <f aca="false">IF($AU39="","",INDEX('REGISTRE ELEVES'!$D$10:$D$250,$AU39))</f>
        <v/>
      </c>
      <c r="D39" s="73" t="str">
        <f aca="false">IF($AU39="","",INDEX('REGISTRE ELEVES'!$E$10:$E$250,$AU39))</f>
        <v/>
      </c>
      <c r="E39" s="73" t="str">
        <f aca="false">IF($AU39="","",INDEX('REGISTRE ELEVES'!$F$10:$F$250,$AU39))</f>
        <v/>
      </c>
      <c r="F39" s="73" t="str">
        <f aca="false">IF($AU39="","",INDEX('REGISTRE ELEVES'!$AE$10:$AE$250,$AU39))</f>
        <v/>
      </c>
      <c r="G39" s="75"/>
      <c r="H39" s="76"/>
      <c r="I39" s="76"/>
      <c r="J39" s="76"/>
      <c r="K39" s="76"/>
      <c r="L39" s="76"/>
      <c r="M39" s="76"/>
      <c r="N39" s="76"/>
      <c r="O39" s="76"/>
      <c r="P39" s="77" t="str">
        <f aca="false">IF(B39="","",IF($G39="NON",0,IF(COUNT(H39:O39)=0,"",IFERROR(ROUND(SUMPRODUCT(H39:O39,$H$8:$O$8)/SUMPRODUCT(ISNUMBER(H39:O39)*$H$8:$O$8),2),""))))</f>
        <v/>
      </c>
      <c r="Q39" s="75"/>
      <c r="R39" s="76"/>
      <c r="S39" s="76"/>
      <c r="T39" s="76"/>
      <c r="U39" s="76"/>
      <c r="V39" s="76"/>
      <c r="W39" s="76"/>
      <c r="X39" s="76"/>
      <c r="Y39" s="76"/>
      <c r="Z39" s="77" t="str">
        <f aca="false">IF(B39="","",IF($Q39="NON",0,IF(COUNT(R39:Y39)=0,"",IFERROR(ROUND(SUMPRODUCT(R39:Y39,$R$8:$Y$8)/SUMPRODUCT(ISNUMBER(R39:Y39)*$R$8:$Y$8),2),""))))</f>
        <v/>
      </c>
      <c r="AA39" s="75"/>
      <c r="AB39" s="76"/>
      <c r="AC39" s="76"/>
      <c r="AD39" s="76"/>
      <c r="AE39" s="76"/>
      <c r="AF39" s="76"/>
      <c r="AG39" s="76"/>
      <c r="AH39" s="76"/>
      <c r="AI39" s="76"/>
      <c r="AJ39" s="77" t="str">
        <f aca="false">IF(B39="","",IF($AA39="NON",0,IF(COUNT(AB39:AI39)=0,"",IFERROR(ROUND(SUMPRODUCT(AB39:AI39,$AB$8:$AI$8)/SUMPRODUCT(ISNUMBER(AB39:AI39)*$AB$8:$AI$8),2),""))))</f>
        <v/>
      </c>
      <c r="AK39" s="75"/>
      <c r="AL39" s="76"/>
      <c r="AM39" s="76"/>
      <c r="AN39" s="76"/>
      <c r="AO39" s="76"/>
      <c r="AP39" s="76"/>
      <c r="AQ39" s="76"/>
      <c r="AR39" s="76"/>
      <c r="AS39" s="76"/>
      <c r="AT39" s="77" t="str">
        <f aca="false">IF(B39="","",IF($AK39="NON",0,IF(COUNT(AL39:AS39)=0,"",IFERROR(ROUND(SUMPRODUCT(AL39:AS39,$AL$8:$AS$8)/SUMPRODUCT(ISNUMBER(AL39:AS39)*$AL$8:$AS$8),2),""))))</f>
        <v/>
      </c>
      <c r="AU39" s="51" t="str">
        <f aca="false">IFERROR(MATCH("CP-30",'REGISTRE ELEVES'!$AI$10:$AI$250,0),"")</f>
        <v/>
      </c>
    </row>
    <row r="40" customFormat="false" ht="15" hidden="false" customHeight="false" outlineLevel="0" collapsed="false">
      <c r="A40" s="73" t="str">
        <f aca="false">IF(B40="","",31)</f>
        <v/>
      </c>
      <c r="B40" s="73" t="str">
        <f aca="false">IF($AU40="","",INDEX('REGISTRE ELEVES'!$B$10:$B$250,$AU40))</f>
        <v/>
      </c>
      <c r="C40" s="74" t="str">
        <f aca="false">IF($AU40="","",INDEX('REGISTRE ELEVES'!$D$10:$D$250,$AU40))</f>
        <v/>
      </c>
      <c r="D40" s="73" t="str">
        <f aca="false">IF($AU40="","",INDEX('REGISTRE ELEVES'!$E$10:$E$250,$AU40))</f>
        <v/>
      </c>
      <c r="E40" s="73" t="str">
        <f aca="false">IF($AU40="","",INDEX('REGISTRE ELEVES'!$F$10:$F$250,$AU40))</f>
        <v/>
      </c>
      <c r="F40" s="73" t="str">
        <f aca="false">IF($AU40="","",INDEX('REGISTRE ELEVES'!$AE$10:$AE$250,$AU40))</f>
        <v/>
      </c>
      <c r="G40" s="75"/>
      <c r="H40" s="76"/>
      <c r="I40" s="76"/>
      <c r="J40" s="76"/>
      <c r="K40" s="76"/>
      <c r="L40" s="76"/>
      <c r="M40" s="76"/>
      <c r="N40" s="76"/>
      <c r="O40" s="76"/>
      <c r="P40" s="77" t="str">
        <f aca="false">IF(B40="","",IF($G40="NON",0,IF(COUNT(H40:O40)=0,"",IFERROR(ROUND(SUMPRODUCT(H40:O40,$H$8:$O$8)/SUMPRODUCT(ISNUMBER(H40:O40)*$H$8:$O$8),2),""))))</f>
        <v/>
      </c>
      <c r="Q40" s="75"/>
      <c r="R40" s="76"/>
      <c r="S40" s="76"/>
      <c r="T40" s="76"/>
      <c r="U40" s="76"/>
      <c r="V40" s="76"/>
      <c r="W40" s="76"/>
      <c r="X40" s="76"/>
      <c r="Y40" s="76"/>
      <c r="Z40" s="77" t="str">
        <f aca="false">IF(B40="","",IF($Q40="NON",0,IF(COUNT(R40:Y40)=0,"",IFERROR(ROUND(SUMPRODUCT(R40:Y40,$R$8:$Y$8)/SUMPRODUCT(ISNUMBER(R40:Y40)*$R$8:$Y$8),2),""))))</f>
        <v/>
      </c>
      <c r="AA40" s="75"/>
      <c r="AB40" s="76"/>
      <c r="AC40" s="76"/>
      <c r="AD40" s="76"/>
      <c r="AE40" s="76"/>
      <c r="AF40" s="76"/>
      <c r="AG40" s="76"/>
      <c r="AH40" s="76"/>
      <c r="AI40" s="76"/>
      <c r="AJ40" s="77" t="str">
        <f aca="false">IF(B40="","",IF($AA40="NON",0,IF(COUNT(AB40:AI40)=0,"",IFERROR(ROUND(SUMPRODUCT(AB40:AI40,$AB$8:$AI$8)/SUMPRODUCT(ISNUMBER(AB40:AI40)*$AB$8:$AI$8),2),""))))</f>
        <v/>
      </c>
      <c r="AK40" s="75"/>
      <c r="AL40" s="76"/>
      <c r="AM40" s="76"/>
      <c r="AN40" s="76"/>
      <c r="AO40" s="76"/>
      <c r="AP40" s="76"/>
      <c r="AQ40" s="76"/>
      <c r="AR40" s="76"/>
      <c r="AS40" s="76"/>
      <c r="AT40" s="77" t="str">
        <f aca="false">IF(B40="","",IF($AK40="NON",0,IF(COUNT(AL40:AS40)=0,"",IFERROR(ROUND(SUMPRODUCT(AL40:AS40,$AL$8:$AS$8)/SUMPRODUCT(ISNUMBER(AL40:AS40)*$AL$8:$AS$8),2),""))))</f>
        <v/>
      </c>
      <c r="AU40" s="51" t="str">
        <f aca="false">IFERROR(MATCH("CP-31",'REGISTRE ELEVES'!$AI$10:$AI$250,0),"")</f>
        <v/>
      </c>
    </row>
    <row r="41" customFormat="false" ht="15" hidden="false" customHeight="false" outlineLevel="0" collapsed="false">
      <c r="A41" s="73" t="str">
        <f aca="false">IF(B41="","",32)</f>
        <v/>
      </c>
      <c r="B41" s="73" t="str">
        <f aca="false">IF($AU41="","",INDEX('REGISTRE ELEVES'!$B$10:$B$250,$AU41))</f>
        <v/>
      </c>
      <c r="C41" s="74" t="str">
        <f aca="false">IF($AU41="","",INDEX('REGISTRE ELEVES'!$D$10:$D$250,$AU41))</f>
        <v/>
      </c>
      <c r="D41" s="73" t="str">
        <f aca="false">IF($AU41="","",INDEX('REGISTRE ELEVES'!$E$10:$E$250,$AU41))</f>
        <v/>
      </c>
      <c r="E41" s="73" t="str">
        <f aca="false">IF($AU41="","",INDEX('REGISTRE ELEVES'!$F$10:$F$250,$AU41))</f>
        <v/>
      </c>
      <c r="F41" s="73" t="str">
        <f aca="false">IF($AU41="","",INDEX('REGISTRE ELEVES'!$AE$10:$AE$250,$AU41))</f>
        <v/>
      </c>
      <c r="G41" s="75"/>
      <c r="H41" s="76"/>
      <c r="I41" s="76"/>
      <c r="J41" s="76"/>
      <c r="K41" s="76"/>
      <c r="L41" s="76"/>
      <c r="M41" s="76"/>
      <c r="N41" s="76"/>
      <c r="O41" s="76"/>
      <c r="P41" s="77" t="str">
        <f aca="false">IF(B41="","",IF($G41="NON",0,IF(COUNT(H41:O41)=0,"",IFERROR(ROUND(SUMPRODUCT(H41:O41,$H$8:$O$8)/SUMPRODUCT(ISNUMBER(H41:O41)*$H$8:$O$8),2),""))))</f>
        <v/>
      </c>
      <c r="Q41" s="75"/>
      <c r="R41" s="76"/>
      <c r="S41" s="76"/>
      <c r="T41" s="76"/>
      <c r="U41" s="76"/>
      <c r="V41" s="76"/>
      <c r="W41" s="76"/>
      <c r="X41" s="76"/>
      <c r="Y41" s="76"/>
      <c r="Z41" s="77" t="str">
        <f aca="false">IF(B41="","",IF($Q41="NON",0,IF(COUNT(R41:Y41)=0,"",IFERROR(ROUND(SUMPRODUCT(R41:Y41,$R$8:$Y$8)/SUMPRODUCT(ISNUMBER(R41:Y41)*$R$8:$Y$8),2),""))))</f>
        <v/>
      </c>
      <c r="AA41" s="75"/>
      <c r="AB41" s="76"/>
      <c r="AC41" s="76"/>
      <c r="AD41" s="76"/>
      <c r="AE41" s="76"/>
      <c r="AF41" s="76"/>
      <c r="AG41" s="76"/>
      <c r="AH41" s="76"/>
      <c r="AI41" s="76"/>
      <c r="AJ41" s="77" t="str">
        <f aca="false">IF(B41="","",IF($AA41="NON",0,IF(COUNT(AB41:AI41)=0,"",IFERROR(ROUND(SUMPRODUCT(AB41:AI41,$AB$8:$AI$8)/SUMPRODUCT(ISNUMBER(AB41:AI41)*$AB$8:$AI$8),2),""))))</f>
        <v/>
      </c>
      <c r="AK41" s="75"/>
      <c r="AL41" s="76"/>
      <c r="AM41" s="76"/>
      <c r="AN41" s="76"/>
      <c r="AO41" s="76"/>
      <c r="AP41" s="76"/>
      <c r="AQ41" s="76"/>
      <c r="AR41" s="76"/>
      <c r="AS41" s="76"/>
      <c r="AT41" s="77" t="str">
        <f aca="false">IF(B41="","",IF($AK41="NON",0,IF(COUNT(AL41:AS41)=0,"",IFERROR(ROUND(SUMPRODUCT(AL41:AS41,$AL$8:$AS$8)/SUMPRODUCT(ISNUMBER(AL41:AS41)*$AL$8:$AS$8),2),""))))</f>
        <v/>
      </c>
      <c r="AU41" s="51" t="str">
        <f aca="false">IFERROR(MATCH("CP-32",'REGISTRE ELEVES'!$AI$10:$AI$250,0),"")</f>
        <v/>
      </c>
    </row>
    <row r="42" customFormat="false" ht="15" hidden="false" customHeight="false" outlineLevel="0" collapsed="false">
      <c r="A42" s="73" t="str">
        <f aca="false">IF(B42="","",33)</f>
        <v/>
      </c>
      <c r="B42" s="73" t="str">
        <f aca="false">IF($AU42="","",INDEX('REGISTRE ELEVES'!$B$10:$B$250,$AU42))</f>
        <v/>
      </c>
      <c r="C42" s="74" t="str">
        <f aca="false">IF($AU42="","",INDEX('REGISTRE ELEVES'!$D$10:$D$250,$AU42))</f>
        <v/>
      </c>
      <c r="D42" s="73" t="str">
        <f aca="false">IF($AU42="","",INDEX('REGISTRE ELEVES'!$E$10:$E$250,$AU42))</f>
        <v/>
      </c>
      <c r="E42" s="73" t="str">
        <f aca="false">IF($AU42="","",INDEX('REGISTRE ELEVES'!$F$10:$F$250,$AU42))</f>
        <v/>
      </c>
      <c r="F42" s="73" t="str">
        <f aca="false">IF($AU42="","",INDEX('REGISTRE ELEVES'!$AE$10:$AE$250,$AU42))</f>
        <v/>
      </c>
      <c r="G42" s="75"/>
      <c r="H42" s="76"/>
      <c r="I42" s="76"/>
      <c r="J42" s="76"/>
      <c r="K42" s="76"/>
      <c r="L42" s="76"/>
      <c r="M42" s="76"/>
      <c r="N42" s="76"/>
      <c r="O42" s="76"/>
      <c r="P42" s="77" t="str">
        <f aca="false">IF(B42="","",IF($G42="NON",0,IF(COUNT(H42:O42)=0,"",IFERROR(ROUND(SUMPRODUCT(H42:O42,$H$8:$O$8)/SUMPRODUCT(ISNUMBER(H42:O42)*$H$8:$O$8),2),""))))</f>
        <v/>
      </c>
      <c r="Q42" s="75"/>
      <c r="R42" s="76"/>
      <c r="S42" s="76"/>
      <c r="T42" s="76"/>
      <c r="U42" s="76"/>
      <c r="V42" s="76"/>
      <c r="W42" s="76"/>
      <c r="X42" s="76"/>
      <c r="Y42" s="76"/>
      <c r="Z42" s="77" t="str">
        <f aca="false">IF(B42="","",IF($Q42="NON",0,IF(COUNT(R42:Y42)=0,"",IFERROR(ROUND(SUMPRODUCT(R42:Y42,$R$8:$Y$8)/SUMPRODUCT(ISNUMBER(R42:Y42)*$R$8:$Y$8),2),""))))</f>
        <v/>
      </c>
      <c r="AA42" s="75"/>
      <c r="AB42" s="76"/>
      <c r="AC42" s="76"/>
      <c r="AD42" s="76"/>
      <c r="AE42" s="76"/>
      <c r="AF42" s="76"/>
      <c r="AG42" s="76"/>
      <c r="AH42" s="76"/>
      <c r="AI42" s="76"/>
      <c r="AJ42" s="77" t="str">
        <f aca="false">IF(B42="","",IF($AA42="NON",0,IF(COUNT(AB42:AI42)=0,"",IFERROR(ROUND(SUMPRODUCT(AB42:AI42,$AB$8:$AI$8)/SUMPRODUCT(ISNUMBER(AB42:AI42)*$AB$8:$AI$8),2),""))))</f>
        <v/>
      </c>
      <c r="AK42" s="75"/>
      <c r="AL42" s="76"/>
      <c r="AM42" s="76"/>
      <c r="AN42" s="76"/>
      <c r="AO42" s="76"/>
      <c r="AP42" s="76"/>
      <c r="AQ42" s="76"/>
      <c r="AR42" s="76"/>
      <c r="AS42" s="76"/>
      <c r="AT42" s="77" t="str">
        <f aca="false">IF(B42="","",IF($AK42="NON",0,IF(COUNT(AL42:AS42)=0,"",IFERROR(ROUND(SUMPRODUCT(AL42:AS42,$AL$8:$AS$8)/SUMPRODUCT(ISNUMBER(AL42:AS42)*$AL$8:$AS$8),2),""))))</f>
        <v/>
      </c>
      <c r="AU42" s="51" t="str">
        <f aca="false">IFERROR(MATCH("CP-33",'REGISTRE ELEVES'!$AI$10:$AI$250,0),"")</f>
        <v/>
      </c>
    </row>
    <row r="43" customFormat="false" ht="15" hidden="false" customHeight="false" outlineLevel="0" collapsed="false">
      <c r="A43" s="73" t="str">
        <f aca="false">IF(B43="","",34)</f>
        <v/>
      </c>
      <c r="B43" s="73" t="str">
        <f aca="false">IF($AU43="","",INDEX('REGISTRE ELEVES'!$B$10:$B$250,$AU43))</f>
        <v/>
      </c>
      <c r="C43" s="74" t="str">
        <f aca="false">IF($AU43="","",INDEX('REGISTRE ELEVES'!$D$10:$D$250,$AU43))</f>
        <v/>
      </c>
      <c r="D43" s="73" t="str">
        <f aca="false">IF($AU43="","",INDEX('REGISTRE ELEVES'!$E$10:$E$250,$AU43))</f>
        <v/>
      </c>
      <c r="E43" s="73" t="str">
        <f aca="false">IF($AU43="","",INDEX('REGISTRE ELEVES'!$F$10:$F$250,$AU43))</f>
        <v/>
      </c>
      <c r="F43" s="73" t="str">
        <f aca="false">IF($AU43="","",INDEX('REGISTRE ELEVES'!$AE$10:$AE$250,$AU43))</f>
        <v/>
      </c>
      <c r="G43" s="75"/>
      <c r="H43" s="76"/>
      <c r="I43" s="76"/>
      <c r="J43" s="76"/>
      <c r="K43" s="76"/>
      <c r="L43" s="76"/>
      <c r="M43" s="76"/>
      <c r="N43" s="76"/>
      <c r="O43" s="76"/>
      <c r="P43" s="77" t="str">
        <f aca="false">IF(B43="","",IF($G43="NON",0,IF(COUNT(H43:O43)=0,"",IFERROR(ROUND(SUMPRODUCT(H43:O43,$H$8:$O$8)/SUMPRODUCT(ISNUMBER(H43:O43)*$H$8:$O$8),2),""))))</f>
        <v/>
      </c>
      <c r="Q43" s="75"/>
      <c r="R43" s="76"/>
      <c r="S43" s="76"/>
      <c r="T43" s="76"/>
      <c r="U43" s="76"/>
      <c r="V43" s="76"/>
      <c r="W43" s="76"/>
      <c r="X43" s="76"/>
      <c r="Y43" s="76"/>
      <c r="Z43" s="77" t="str">
        <f aca="false">IF(B43="","",IF($Q43="NON",0,IF(COUNT(R43:Y43)=0,"",IFERROR(ROUND(SUMPRODUCT(R43:Y43,$R$8:$Y$8)/SUMPRODUCT(ISNUMBER(R43:Y43)*$R$8:$Y$8),2),""))))</f>
        <v/>
      </c>
      <c r="AA43" s="75"/>
      <c r="AB43" s="76"/>
      <c r="AC43" s="76"/>
      <c r="AD43" s="76"/>
      <c r="AE43" s="76"/>
      <c r="AF43" s="76"/>
      <c r="AG43" s="76"/>
      <c r="AH43" s="76"/>
      <c r="AI43" s="76"/>
      <c r="AJ43" s="77" t="str">
        <f aca="false">IF(B43="","",IF($AA43="NON",0,IF(COUNT(AB43:AI43)=0,"",IFERROR(ROUND(SUMPRODUCT(AB43:AI43,$AB$8:$AI$8)/SUMPRODUCT(ISNUMBER(AB43:AI43)*$AB$8:$AI$8),2),""))))</f>
        <v/>
      </c>
      <c r="AK43" s="75"/>
      <c r="AL43" s="76"/>
      <c r="AM43" s="76"/>
      <c r="AN43" s="76"/>
      <c r="AO43" s="76"/>
      <c r="AP43" s="76"/>
      <c r="AQ43" s="76"/>
      <c r="AR43" s="76"/>
      <c r="AS43" s="76"/>
      <c r="AT43" s="77" t="str">
        <f aca="false">IF(B43="","",IF($AK43="NON",0,IF(COUNT(AL43:AS43)=0,"",IFERROR(ROUND(SUMPRODUCT(AL43:AS43,$AL$8:$AS$8)/SUMPRODUCT(ISNUMBER(AL43:AS43)*$AL$8:$AS$8),2),""))))</f>
        <v/>
      </c>
      <c r="AU43" s="51" t="str">
        <f aca="false">IFERROR(MATCH("CP-34",'REGISTRE ELEVES'!$AI$10:$AI$250,0),"")</f>
        <v/>
      </c>
    </row>
    <row r="44" customFormat="false" ht="15" hidden="false" customHeight="false" outlineLevel="0" collapsed="false">
      <c r="A44" s="73" t="str">
        <f aca="false">IF(B44="","",35)</f>
        <v/>
      </c>
      <c r="B44" s="73" t="str">
        <f aca="false">IF($AU44="","",INDEX('REGISTRE ELEVES'!$B$10:$B$250,$AU44))</f>
        <v/>
      </c>
      <c r="C44" s="74" t="str">
        <f aca="false">IF($AU44="","",INDEX('REGISTRE ELEVES'!$D$10:$D$250,$AU44))</f>
        <v/>
      </c>
      <c r="D44" s="73" t="str">
        <f aca="false">IF($AU44="","",INDEX('REGISTRE ELEVES'!$E$10:$E$250,$AU44))</f>
        <v/>
      </c>
      <c r="E44" s="73" t="str">
        <f aca="false">IF($AU44="","",INDEX('REGISTRE ELEVES'!$F$10:$F$250,$AU44))</f>
        <v/>
      </c>
      <c r="F44" s="73" t="str">
        <f aca="false">IF($AU44="","",INDEX('REGISTRE ELEVES'!$AE$10:$AE$250,$AU44))</f>
        <v/>
      </c>
      <c r="G44" s="75"/>
      <c r="H44" s="76"/>
      <c r="I44" s="76"/>
      <c r="J44" s="76"/>
      <c r="K44" s="76"/>
      <c r="L44" s="76"/>
      <c r="M44" s="76"/>
      <c r="N44" s="76"/>
      <c r="O44" s="76"/>
      <c r="P44" s="77" t="str">
        <f aca="false">IF(B44="","",IF($G44="NON",0,IF(COUNT(H44:O44)=0,"",IFERROR(ROUND(SUMPRODUCT(H44:O44,$H$8:$O$8)/SUMPRODUCT(ISNUMBER(H44:O44)*$H$8:$O$8),2),""))))</f>
        <v/>
      </c>
      <c r="Q44" s="75"/>
      <c r="R44" s="76"/>
      <c r="S44" s="76"/>
      <c r="T44" s="76"/>
      <c r="U44" s="76"/>
      <c r="V44" s="76"/>
      <c r="W44" s="76"/>
      <c r="X44" s="76"/>
      <c r="Y44" s="76"/>
      <c r="Z44" s="77" t="str">
        <f aca="false">IF(B44="","",IF($Q44="NON",0,IF(COUNT(R44:Y44)=0,"",IFERROR(ROUND(SUMPRODUCT(R44:Y44,$R$8:$Y$8)/SUMPRODUCT(ISNUMBER(R44:Y44)*$R$8:$Y$8),2),""))))</f>
        <v/>
      </c>
      <c r="AA44" s="75"/>
      <c r="AB44" s="76"/>
      <c r="AC44" s="76"/>
      <c r="AD44" s="76"/>
      <c r="AE44" s="76"/>
      <c r="AF44" s="76"/>
      <c r="AG44" s="76"/>
      <c r="AH44" s="76"/>
      <c r="AI44" s="76"/>
      <c r="AJ44" s="77" t="str">
        <f aca="false">IF(B44="","",IF($AA44="NON",0,IF(COUNT(AB44:AI44)=0,"",IFERROR(ROUND(SUMPRODUCT(AB44:AI44,$AB$8:$AI$8)/SUMPRODUCT(ISNUMBER(AB44:AI44)*$AB$8:$AI$8),2),""))))</f>
        <v/>
      </c>
      <c r="AK44" s="75"/>
      <c r="AL44" s="76"/>
      <c r="AM44" s="76"/>
      <c r="AN44" s="76"/>
      <c r="AO44" s="76"/>
      <c r="AP44" s="76"/>
      <c r="AQ44" s="76"/>
      <c r="AR44" s="76"/>
      <c r="AS44" s="76"/>
      <c r="AT44" s="77" t="str">
        <f aca="false">IF(B44="","",IF($AK44="NON",0,IF(COUNT(AL44:AS44)=0,"",IFERROR(ROUND(SUMPRODUCT(AL44:AS44,$AL$8:$AS$8)/SUMPRODUCT(ISNUMBER(AL44:AS44)*$AL$8:$AS$8),2),""))))</f>
        <v/>
      </c>
      <c r="AU44" s="51" t="str">
        <f aca="false">IFERROR(MATCH("CP-35",'REGISTRE ELEVES'!$AI$10:$AI$250,0),"")</f>
        <v/>
      </c>
    </row>
    <row r="45" customFormat="false" ht="15" hidden="false" customHeight="false" outlineLevel="0" collapsed="false">
      <c r="A45" s="73" t="str">
        <f aca="false">IF(B45="","",36)</f>
        <v/>
      </c>
      <c r="B45" s="73" t="str">
        <f aca="false">IF($AU45="","",INDEX('REGISTRE ELEVES'!$B$10:$B$250,$AU45))</f>
        <v/>
      </c>
      <c r="C45" s="74" t="str">
        <f aca="false">IF($AU45="","",INDEX('REGISTRE ELEVES'!$D$10:$D$250,$AU45))</f>
        <v/>
      </c>
      <c r="D45" s="73" t="str">
        <f aca="false">IF($AU45="","",INDEX('REGISTRE ELEVES'!$E$10:$E$250,$AU45))</f>
        <v/>
      </c>
      <c r="E45" s="73" t="str">
        <f aca="false">IF($AU45="","",INDEX('REGISTRE ELEVES'!$F$10:$F$250,$AU45))</f>
        <v/>
      </c>
      <c r="F45" s="73" t="str">
        <f aca="false">IF($AU45="","",INDEX('REGISTRE ELEVES'!$AE$10:$AE$250,$AU45))</f>
        <v/>
      </c>
      <c r="G45" s="75"/>
      <c r="H45" s="76"/>
      <c r="I45" s="76"/>
      <c r="J45" s="76"/>
      <c r="K45" s="76"/>
      <c r="L45" s="76"/>
      <c r="M45" s="76"/>
      <c r="N45" s="76"/>
      <c r="O45" s="76"/>
      <c r="P45" s="77" t="str">
        <f aca="false">IF(B45="","",IF($G45="NON",0,IF(COUNT(H45:O45)=0,"",IFERROR(ROUND(SUMPRODUCT(H45:O45,$H$8:$O$8)/SUMPRODUCT(ISNUMBER(H45:O45)*$H$8:$O$8),2),""))))</f>
        <v/>
      </c>
      <c r="Q45" s="75"/>
      <c r="R45" s="76"/>
      <c r="S45" s="76"/>
      <c r="T45" s="76"/>
      <c r="U45" s="76"/>
      <c r="V45" s="76"/>
      <c r="W45" s="76"/>
      <c r="X45" s="76"/>
      <c r="Y45" s="76"/>
      <c r="Z45" s="77" t="str">
        <f aca="false">IF(B45="","",IF($Q45="NON",0,IF(COUNT(R45:Y45)=0,"",IFERROR(ROUND(SUMPRODUCT(R45:Y45,$R$8:$Y$8)/SUMPRODUCT(ISNUMBER(R45:Y45)*$R$8:$Y$8),2),""))))</f>
        <v/>
      </c>
      <c r="AA45" s="75"/>
      <c r="AB45" s="76"/>
      <c r="AC45" s="76"/>
      <c r="AD45" s="76"/>
      <c r="AE45" s="76"/>
      <c r="AF45" s="76"/>
      <c r="AG45" s="76"/>
      <c r="AH45" s="76"/>
      <c r="AI45" s="76"/>
      <c r="AJ45" s="77" t="str">
        <f aca="false">IF(B45="","",IF($AA45="NON",0,IF(COUNT(AB45:AI45)=0,"",IFERROR(ROUND(SUMPRODUCT(AB45:AI45,$AB$8:$AI$8)/SUMPRODUCT(ISNUMBER(AB45:AI45)*$AB$8:$AI$8),2),""))))</f>
        <v/>
      </c>
      <c r="AK45" s="75"/>
      <c r="AL45" s="76"/>
      <c r="AM45" s="76"/>
      <c r="AN45" s="76"/>
      <c r="AO45" s="76"/>
      <c r="AP45" s="76"/>
      <c r="AQ45" s="76"/>
      <c r="AR45" s="76"/>
      <c r="AS45" s="76"/>
      <c r="AT45" s="77" t="str">
        <f aca="false">IF(B45="","",IF($AK45="NON",0,IF(COUNT(AL45:AS45)=0,"",IFERROR(ROUND(SUMPRODUCT(AL45:AS45,$AL$8:$AS$8)/SUMPRODUCT(ISNUMBER(AL45:AS45)*$AL$8:$AS$8),2),""))))</f>
        <v/>
      </c>
      <c r="AU45" s="51" t="str">
        <f aca="false">IFERROR(MATCH("CP-36",'REGISTRE ELEVES'!$AI$10:$AI$250,0),"")</f>
        <v/>
      </c>
    </row>
    <row r="46" customFormat="false" ht="15" hidden="false" customHeight="false" outlineLevel="0" collapsed="false">
      <c r="A46" s="73" t="str">
        <f aca="false">IF(B46="","",37)</f>
        <v/>
      </c>
      <c r="B46" s="73" t="str">
        <f aca="false">IF($AU46="","",INDEX('REGISTRE ELEVES'!$B$10:$B$250,$AU46))</f>
        <v/>
      </c>
      <c r="C46" s="74" t="str">
        <f aca="false">IF($AU46="","",INDEX('REGISTRE ELEVES'!$D$10:$D$250,$AU46))</f>
        <v/>
      </c>
      <c r="D46" s="73" t="str">
        <f aca="false">IF($AU46="","",INDEX('REGISTRE ELEVES'!$E$10:$E$250,$AU46))</f>
        <v/>
      </c>
      <c r="E46" s="73" t="str">
        <f aca="false">IF($AU46="","",INDEX('REGISTRE ELEVES'!$F$10:$F$250,$AU46))</f>
        <v/>
      </c>
      <c r="F46" s="73" t="str">
        <f aca="false">IF($AU46="","",INDEX('REGISTRE ELEVES'!$AE$10:$AE$250,$AU46))</f>
        <v/>
      </c>
      <c r="G46" s="75"/>
      <c r="H46" s="76"/>
      <c r="I46" s="76"/>
      <c r="J46" s="76"/>
      <c r="K46" s="76"/>
      <c r="L46" s="76"/>
      <c r="M46" s="76"/>
      <c r="N46" s="76"/>
      <c r="O46" s="76"/>
      <c r="P46" s="77" t="str">
        <f aca="false">IF(B46="","",IF($G46="NON",0,IF(COUNT(H46:O46)=0,"",IFERROR(ROUND(SUMPRODUCT(H46:O46,$H$8:$O$8)/SUMPRODUCT(ISNUMBER(H46:O46)*$H$8:$O$8),2),""))))</f>
        <v/>
      </c>
      <c r="Q46" s="75"/>
      <c r="R46" s="76"/>
      <c r="S46" s="76"/>
      <c r="T46" s="76"/>
      <c r="U46" s="76"/>
      <c r="V46" s="76"/>
      <c r="W46" s="76"/>
      <c r="X46" s="76"/>
      <c r="Y46" s="76"/>
      <c r="Z46" s="77" t="str">
        <f aca="false">IF(B46="","",IF($Q46="NON",0,IF(COUNT(R46:Y46)=0,"",IFERROR(ROUND(SUMPRODUCT(R46:Y46,$R$8:$Y$8)/SUMPRODUCT(ISNUMBER(R46:Y46)*$R$8:$Y$8),2),""))))</f>
        <v/>
      </c>
      <c r="AA46" s="75"/>
      <c r="AB46" s="76"/>
      <c r="AC46" s="76"/>
      <c r="AD46" s="76"/>
      <c r="AE46" s="76"/>
      <c r="AF46" s="76"/>
      <c r="AG46" s="76"/>
      <c r="AH46" s="76"/>
      <c r="AI46" s="76"/>
      <c r="AJ46" s="77" t="str">
        <f aca="false">IF(B46="","",IF($AA46="NON",0,IF(COUNT(AB46:AI46)=0,"",IFERROR(ROUND(SUMPRODUCT(AB46:AI46,$AB$8:$AI$8)/SUMPRODUCT(ISNUMBER(AB46:AI46)*$AB$8:$AI$8),2),""))))</f>
        <v/>
      </c>
      <c r="AK46" s="75"/>
      <c r="AL46" s="76"/>
      <c r="AM46" s="76"/>
      <c r="AN46" s="76"/>
      <c r="AO46" s="76"/>
      <c r="AP46" s="76"/>
      <c r="AQ46" s="76"/>
      <c r="AR46" s="76"/>
      <c r="AS46" s="76"/>
      <c r="AT46" s="77" t="str">
        <f aca="false">IF(B46="","",IF($AK46="NON",0,IF(COUNT(AL46:AS46)=0,"",IFERROR(ROUND(SUMPRODUCT(AL46:AS46,$AL$8:$AS$8)/SUMPRODUCT(ISNUMBER(AL46:AS46)*$AL$8:$AS$8),2),""))))</f>
        <v/>
      </c>
      <c r="AU46" s="51" t="str">
        <f aca="false">IFERROR(MATCH("CP-37",'REGISTRE ELEVES'!$AI$10:$AI$250,0),"")</f>
        <v/>
      </c>
    </row>
    <row r="47" customFormat="false" ht="15" hidden="false" customHeight="false" outlineLevel="0" collapsed="false">
      <c r="A47" s="73" t="str">
        <f aca="false">IF(B47="","",38)</f>
        <v/>
      </c>
      <c r="B47" s="73" t="str">
        <f aca="false">IF($AU47="","",INDEX('REGISTRE ELEVES'!$B$10:$B$250,$AU47))</f>
        <v/>
      </c>
      <c r="C47" s="74" t="str">
        <f aca="false">IF($AU47="","",INDEX('REGISTRE ELEVES'!$D$10:$D$250,$AU47))</f>
        <v/>
      </c>
      <c r="D47" s="73" t="str">
        <f aca="false">IF($AU47="","",INDEX('REGISTRE ELEVES'!$E$10:$E$250,$AU47))</f>
        <v/>
      </c>
      <c r="E47" s="73" t="str">
        <f aca="false">IF($AU47="","",INDEX('REGISTRE ELEVES'!$F$10:$F$250,$AU47))</f>
        <v/>
      </c>
      <c r="F47" s="73" t="str">
        <f aca="false">IF($AU47="","",INDEX('REGISTRE ELEVES'!$AE$10:$AE$250,$AU47))</f>
        <v/>
      </c>
      <c r="G47" s="75"/>
      <c r="H47" s="76"/>
      <c r="I47" s="76"/>
      <c r="J47" s="76"/>
      <c r="K47" s="76"/>
      <c r="L47" s="76"/>
      <c r="M47" s="76"/>
      <c r="N47" s="76"/>
      <c r="O47" s="76"/>
      <c r="P47" s="77" t="str">
        <f aca="false">IF(B47="","",IF($G47="NON",0,IF(COUNT(H47:O47)=0,"",IFERROR(ROUND(SUMPRODUCT(H47:O47,$H$8:$O$8)/SUMPRODUCT(ISNUMBER(H47:O47)*$H$8:$O$8),2),""))))</f>
        <v/>
      </c>
      <c r="Q47" s="75"/>
      <c r="R47" s="76"/>
      <c r="S47" s="76"/>
      <c r="T47" s="76"/>
      <c r="U47" s="76"/>
      <c r="V47" s="76"/>
      <c r="W47" s="76"/>
      <c r="X47" s="76"/>
      <c r="Y47" s="76"/>
      <c r="Z47" s="77" t="str">
        <f aca="false">IF(B47="","",IF($Q47="NON",0,IF(COUNT(R47:Y47)=0,"",IFERROR(ROUND(SUMPRODUCT(R47:Y47,$R$8:$Y$8)/SUMPRODUCT(ISNUMBER(R47:Y47)*$R$8:$Y$8),2),""))))</f>
        <v/>
      </c>
      <c r="AA47" s="75"/>
      <c r="AB47" s="76"/>
      <c r="AC47" s="76"/>
      <c r="AD47" s="76"/>
      <c r="AE47" s="76"/>
      <c r="AF47" s="76"/>
      <c r="AG47" s="76"/>
      <c r="AH47" s="76"/>
      <c r="AI47" s="76"/>
      <c r="AJ47" s="77" t="str">
        <f aca="false">IF(B47="","",IF($AA47="NON",0,IF(COUNT(AB47:AI47)=0,"",IFERROR(ROUND(SUMPRODUCT(AB47:AI47,$AB$8:$AI$8)/SUMPRODUCT(ISNUMBER(AB47:AI47)*$AB$8:$AI$8),2),""))))</f>
        <v/>
      </c>
      <c r="AK47" s="75"/>
      <c r="AL47" s="76"/>
      <c r="AM47" s="76"/>
      <c r="AN47" s="76"/>
      <c r="AO47" s="76"/>
      <c r="AP47" s="76"/>
      <c r="AQ47" s="76"/>
      <c r="AR47" s="76"/>
      <c r="AS47" s="76"/>
      <c r="AT47" s="77" t="str">
        <f aca="false">IF(B47="","",IF($AK47="NON",0,IF(COUNT(AL47:AS47)=0,"",IFERROR(ROUND(SUMPRODUCT(AL47:AS47,$AL$8:$AS$8)/SUMPRODUCT(ISNUMBER(AL47:AS47)*$AL$8:$AS$8),2),""))))</f>
        <v/>
      </c>
      <c r="AU47" s="51" t="str">
        <f aca="false">IFERROR(MATCH("CP-38",'REGISTRE ELEVES'!$AI$10:$AI$250,0),"")</f>
        <v/>
      </c>
    </row>
    <row r="48" customFormat="false" ht="15" hidden="false" customHeight="false" outlineLevel="0" collapsed="false">
      <c r="A48" s="73" t="str">
        <f aca="false">IF(B48="","",39)</f>
        <v/>
      </c>
      <c r="B48" s="73" t="str">
        <f aca="false">IF($AU48="","",INDEX('REGISTRE ELEVES'!$B$10:$B$250,$AU48))</f>
        <v/>
      </c>
      <c r="C48" s="74" t="str">
        <f aca="false">IF($AU48="","",INDEX('REGISTRE ELEVES'!$D$10:$D$250,$AU48))</f>
        <v/>
      </c>
      <c r="D48" s="73" t="str">
        <f aca="false">IF($AU48="","",INDEX('REGISTRE ELEVES'!$E$10:$E$250,$AU48))</f>
        <v/>
      </c>
      <c r="E48" s="73" t="str">
        <f aca="false">IF($AU48="","",INDEX('REGISTRE ELEVES'!$F$10:$F$250,$AU48))</f>
        <v/>
      </c>
      <c r="F48" s="73" t="str">
        <f aca="false">IF($AU48="","",INDEX('REGISTRE ELEVES'!$AE$10:$AE$250,$AU48))</f>
        <v/>
      </c>
      <c r="G48" s="75"/>
      <c r="H48" s="76"/>
      <c r="I48" s="76"/>
      <c r="J48" s="76"/>
      <c r="K48" s="76"/>
      <c r="L48" s="76"/>
      <c r="M48" s="76"/>
      <c r="N48" s="76"/>
      <c r="O48" s="76"/>
      <c r="P48" s="77" t="str">
        <f aca="false">IF(B48="","",IF($G48="NON",0,IF(COUNT(H48:O48)=0,"",IFERROR(ROUND(SUMPRODUCT(H48:O48,$H$8:$O$8)/SUMPRODUCT(ISNUMBER(H48:O48)*$H$8:$O$8),2),""))))</f>
        <v/>
      </c>
      <c r="Q48" s="75"/>
      <c r="R48" s="76"/>
      <c r="S48" s="76"/>
      <c r="T48" s="76"/>
      <c r="U48" s="76"/>
      <c r="V48" s="76"/>
      <c r="W48" s="76"/>
      <c r="X48" s="76"/>
      <c r="Y48" s="76"/>
      <c r="Z48" s="77" t="str">
        <f aca="false">IF(B48="","",IF($Q48="NON",0,IF(COUNT(R48:Y48)=0,"",IFERROR(ROUND(SUMPRODUCT(R48:Y48,$R$8:$Y$8)/SUMPRODUCT(ISNUMBER(R48:Y48)*$R$8:$Y$8),2),""))))</f>
        <v/>
      </c>
      <c r="AA48" s="75"/>
      <c r="AB48" s="76"/>
      <c r="AC48" s="76"/>
      <c r="AD48" s="76"/>
      <c r="AE48" s="76"/>
      <c r="AF48" s="76"/>
      <c r="AG48" s="76"/>
      <c r="AH48" s="76"/>
      <c r="AI48" s="76"/>
      <c r="AJ48" s="77" t="str">
        <f aca="false">IF(B48="","",IF($AA48="NON",0,IF(COUNT(AB48:AI48)=0,"",IFERROR(ROUND(SUMPRODUCT(AB48:AI48,$AB$8:$AI$8)/SUMPRODUCT(ISNUMBER(AB48:AI48)*$AB$8:$AI$8),2),""))))</f>
        <v/>
      </c>
      <c r="AK48" s="75"/>
      <c r="AL48" s="76"/>
      <c r="AM48" s="76"/>
      <c r="AN48" s="76"/>
      <c r="AO48" s="76"/>
      <c r="AP48" s="76"/>
      <c r="AQ48" s="76"/>
      <c r="AR48" s="76"/>
      <c r="AS48" s="76"/>
      <c r="AT48" s="77" t="str">
        <f aca="false">IF(B48="","",IF($AK48="NON",0,IF(COUNT(AL48:AS48)=0,"",IFERROR(ROUND(SUMPRODUCT(AL48:AS48,$AL$8:$AS$8)/SUMPRODUCT(ISNUMBER(AL48:AS48)*$AL$8:$AS$8),2),""))))</f>
        <v/>
      </c>
      <c r="AU48" s="51" t="str">
        <f aca="false">IFERROR(MATCH("CP-39",'REGISTRE ELEVES'!$AI$10:$AI$250,0),"")</f>
        <v/>
      </c>
    </row>
    <row r="49" customFormat="false" ht="15" hidden="false" customHeight="false" outlineLevel="0" collapsed="false">
      <c r="A49" s="73" t="str">
        <f aca="false">IF(B49="","",40)</f>
        <v/>
      </c>
      <c r="B49" s="73" t="str">
        <f aca="false">IF($AU49="","",INDEX('REGISTRE ELEVES'!$B$10:$B$250,$AU49))</f>
        <v/>
      </c>
      <c r="C49" s="74" t="str">
        <f aca="false">IF($AU49="","",INDEX('REGISTRE ELEVES'!$D$10:$D$250,$AU49))</f>
        <v/>
      </c>
      <c r="D49" s="73" t="str">
        <f aca="false">IF($AU49="","",INDEX('REGISTRE ELEVES'!$E$10:$E$250,$AU49))</f>
        <v/>
      </c>
      <c r="E49" s="73" t="str">
        <f aca="false">IF($AU49="","",INDEX('REGISTRE ELEVES'!$F$10:$F$250,$AU49))</f>
        <v/>
      </c>
      <c r="F49" s="73" t="str">
        <f aca="false">IF($AU49="","",INDEX('REGISTRE ELEVES'!$AE$10:$AE$250,$AU49))</f>
        <v/>
      </c>
      <c r="G49" s="75"/>
      <c r="H49" s="76"/>
      <c r="I49" s="76"/>
      <c r="J49" s="76"/>
      <c r="K49" s="76"/>
      <c r="L49" s="76"/>
      <c r="M49" s="76"/>
      <c r="N49" s="76"/>
      <c r="O49" s="76"/>
      <c r="P49" s="77" t="str">
        <f aca="false">IF(B49="","",IF($G49="NON",0,IF(COUNT(H49:O49)=0,"",IFERROR(ROUND(SUMPRODUCT(H49:O49,$H$8:$O$8)/SUMPRODUCT(ISNUMBER(H49:O49)*$H$8:$O$8),2),""))))</f>
        <v/>
      </c>
      <c r="Q49" s="75"/>
      <c r="R49" s="76"/>
      <c r="S49" s="76"/>
      <c r="T49" s="76"/>
      <c r="U49" s="76"/>
      <c r="V49" s="76"/>
      <c r="W49" s="76"/>
      <c r="X49" s="76"/>
      <c r="Y49" s="76"/>
      <c r="Z49" s="77" t="str">
        <f aca="false">IF(B49="","",IF($Q49="NON",0,IF(COUNT(R49:Y49)=0,"",IFERROR(ROUND(SUMPRODUCT(R49:Y49,$R$8:$Y$8)/SUMPRODUCT(ISNUMBER(R49:Y49)*$R$8:$Y$8),2),""))))</f>
        <v/>
      </c>
      <c r="AA49" s="75"/>
      <c r="AB49" s="76"/>
      <c r="AC49" s="76"/>
      <c r="AD49" s="76"/>
      <c r="AE49" s="76"/>
      <c r="AF49" s="76"/>
      <c r="AG49" s="76"/>
      <c r="AH49" s="76"/>
      <c r="AI49" s="76"/>
      <c r="AJ49" s="77" t="str">
        <f aca="false">IF(B49="","",IF($AA49="NON",0,IF(COUNT(AB49:AI49)=0,"",IFERROR(ROUND(SUMPRODUCT(AB49:AI49,$AB$8:$AI$8)/SUMPRODUCT(ISNUMBER(AB49:AI49)*$AB$8:$AI$8),2),""))))</f>
        <v/>
      </c>
      <c r="AK49" s="75"/>
      <c r="AL49" s="76"/>
      <c r="AM49" s="76"/>
      <c r="AN49" s="76"/>
      <c r="AO49" s="76"/>
      <c r="AP49" s="76"/>
      <c r="AQ49" s="76"/>
      <c r="AR49" s="76"/>
      <c r="AS49" s="76"/>
      <c r="AT49" s="77" t="str">
        <f aca="false">IF(B49="","",IF($AK49="NON",0,IF(COUNT(AL49:AS49)=0,"",IFERROR(ROUND(SUMPRODUCT(AL49:AS49,$AL$8:$AS$8)/SUMPRODUCT(ISNUMBER(AL49:AS49)*$AL$8:$AS$8),2),""))))</f>
        <v/>
      </c>
      <c r="AU49" s="51" t="str">
        <f aca="false">IFERROR(MATCH("CP-40",'REGISTRE ELEVES'!$AI$10:$AI$250,0),"")</f>
        <v/>
      </c>
    </row>
    <row r="50" customFormat="false" ht="15" hidden="false" customHeight="false" outlineLevel="0" collapsed="false">
      <c r="A50" s="73" t="str">
        <f aca="false">IF(B50="","",41)</f>
        <v/>
      </c>
      <c r="B50" s="73" t="str">
        <f aca="false">IF($AU50="","",INDEX('REGISTRE ELEVES'!$B$10:$B$250,$AU50))</f>
        <v/>
      </c>
      <c r="C50" s="74" t="str">
        <f aca="false">IF($AU50="","",INDEX('REGISTRE ELEVES'!$D$10:$D$250,$AU50))</f>
        <v/>
      </c>
      <c r="D50" s="73" t="str">
        <f aca="false">IF($AU50="","",INDEX('REGISTRE ELEVES'!$E$10:$E$250,$AU50))</f>
        <v/>
      </c>
      <c r="E50" s="73" t="str">
        <f aca="false">IF($AU50="","",INDEX('REGISTRE ELEVES'!$F$10:$F$250,$AU50))</f>
        <v/>
      </c>
      <c r="F50" s="73" t="str">
        <f aca="false">IF($AU50="","",INDEX('REGISTRE ELEVES'!$AE$10:$AE$250,$AU50))</f>
        <v/>
      </c>
      <c r="G50" s="75"/>
      <c r="H50" s="76"/>
      <c r="I50" s="76"/>
      <c r="J50" s="76"/>
      <c r="K50" s="76"/>
      <c r="L50" s="76"/>
      <c r="M50" s="76"/>
      <c r="N50" s="76"/>
      <c r="O50" s="76"/>
      <c r="P50" s="77" t="str">
        <f aca="false">IF(B50="","",IF($G50="NON",0,IF(COUNT(H50:O50)=0,"",IFERROR(ROUND(SUMPRODUCT(H50:O50,$H$8:$O$8)/SUMPRODUCT(ISNUMBER(H50:O50)*$H$8:$O$8),2),""))))</f>
        <v/>
      </c>
      <c r="Q50" s="75"/>
      <c r="R50" s="76"/>
      <c r="S50" s="76"/>
      <c r="T50" s="76"/>
      <c r="U50" s="76"/>
      <c r="V50" s="76"/>
      <c r="W50" s="76"/>
      <c r="X50" s="76"/>
      <c r="Y50" s="76"/>
      <c r="Z50" s="77" t="str">
        <f aca="false">IF(B50="","",IF($Q50="NON",0,IF(COUNT(R50:Y50)=0,"",IFERROR(ROUND(SUMPRODUCT(R50:Y50,$R$8:$Y$8)/SUMPRODUCT(ISNUMBER(R50:Y50)*$R$8:$Y$8),2),""))))</f>
        <v/>
      </c>
      <c r="AA50" s="75"/>
      <c r="AB50" s="76"/>
      <c r="AC50" s="76"/>
      <c r="AD50" s="76"/>
      <c r="AE50" s="76"/>
      <c r="AF50" s="76"/>
      <c r="AG50" s="76"/>
      <c r="AH50" s="76"/>
      <c r="AI50" s="76"/>
      <c r="AJ50" s="77" t="str">
        <f aca="false">IF(B50="","",IF($AA50="NON",0,IF(COUNT(AB50:AI50)=0,"",IFERROR(ROUND(SUMPRODUCT(AB50:AI50,$AB$8:$AI$8)/SUMPRODUCT(ISNUMBER(AB50:AI50)*$AB$8:$AI$8),2),""))))</f>
        <v/>
      </c>
      <c r="AK50" s="75"/>
      <c r="AL50" s="76"/>
      <c r="AM50" s="76"/>
      <c r="AN50" s="76"/>
      <c r="AO50" s="76"/>
      <c r="AP50" s="76"/>
      <c r="AQ50" s="76"/>
      <c r="AR50" s="76"/>
      <c r="AS50" s="76"/>
      <c r="AT50" s="77" t="str">
        <f aca="false">IF(B50="","",IF($AK50="NON",0,IF(COUNT(AL50:AS50)=0,"",IFERROR(ROUND(SUMPRODUCT(AL50:AS50,$AL$8:$AS$8)/SUMPRODUCT(ISNUMBER(AL50:AS50)*$AL$8:$AS$8),2),""))))</f>
        <v/>
      </c>
      <c r="AU50" s="51" t="str">
        <f aca="false">IFERROR(MATCH("CP-41",'REGISTRE ELEVES'!$AI$10:$AI$250,0),"")</f>
        <v/>
      </c>
    </row>
    <row r="51" customFormat="false" ht="15" hidden="false" customHeight="false" outlineLevel="0" collapsed="false">
      <c r="A51" s="73" t="str">
        <f aca="false">IF(B51="","",42)</f>
        <v/>
      </c>
      <c r="B51" s="73" t="str">
        <f aca="false">IF($AU51="","",INDEX('REGISTRE ELEVES'!$B$10:$B$250,$AU51))</f>
        <v/>
      </c>
      <c r="C51" s="74" t="str">
        <f aca="false">IF($AU51="","",INDEX('REGISTRE ELEVES'!$D$10:$D$250,$AU51))</f>
        <v/>
      </c>
      <c r="D51" s="73" t="str">
        <f aca="false">IF($AU51="","",INDEX('REGISTRE ELEVES'!$E$10:$E$250,$AU51))</f>
        <v/>
      </c>
      <c r="E51" s="73" t="str">
        <f aca="false">IF($AU51="","",INDEX('REGISTRE ELEVES'!$F$10:$F$250,$AU51))</f>
        <v/>
      </c>
      <c r="F51" s="73" t="str">
        <f aca="false">IF($AU51="","",INDEX('REGISTRE ELEVES'!$AE$10:$AE$250,$AU51))</f>
        <v/>
      </c>
      <c r="G51" s="75"/>
      <c r="H51" s="76"/>
      <c r="I51" s="76"/>
      <c r="J51" s="76"/>
      <c r="K51" s="76"/>
      <c r="L51" s="76"/>
      <c r="M51" s="76"/>
      <c r="N51" s="76"/>
      <c r="O51" s="76"/>
      <c r="P51" s="77" t="str">
        <f aca="false">IF(B51="","",IF($G51="NON",0,IF(COUNT(H51:O51)=0,"",IFERROR(ROUND(SUMPRODUCT(H51:O51,$H$8:$O$8)/SUMPRODUCT(ISNUMBER(H51:O51)*$H$8:$O$8),2),""))))</f>
        <v/>
      </c>
      <c r="Q51" s="75"/>
      <c r="R51" s="76"/>
      <c r="S51" s="76"/>
      <c r="T51" s="76"/>
      <c r="U51" s="76"/>
      <c r="V51" s="76"/>
      <c r="W51" s="76"/>
      <c r="X51" s="76"/>
      <c r="Y51" s="76"/>
      <c r="Z51" s="77" t="str">
        <f aca="false">IF(B51="","",IF($Q51="NON",0,IF(COUNT(R51:Y51)=0,"",IFERROR(ROUND(SUMPRODUCT(R51:Y51,$R$8:$Y$8)/SUMPRODUCT(ISNUMBER(R51:Y51)*$R$8:$Y$8),2),""))))</f>
        <v/>
      </c>
      <c r="AA51" s="75"/>
      <c r="AB51" s="76"/>
      <c r="AC51" s="76"/>
      <c r="AD51" s="76"/>
      <c r="AE51" s="76"/>
      <c r="AF51" s="76"/>
      <c r="AG51" s="76"/>
      <c r="AH51" s="76"/>
      <c r="AI51" s="76"/>
      <c r="AJ51" s="77" t="str">
        <f aca="false">IF(B51="","",IF($AA51="NON",0,IF(COUNT(AB51:AI51)=0,"",IFERROR(ROUND(SUMPRODUCT(AB51:AI51,$AB$8:$AI$8)/SUMPRODUCT(ISNUMBER(AB51:AI51)*$AB$8:$AI$8),2),""))))</f>
        <v/>
      </c>
      <c r="AK51" s="75"/>
      <c r="AL51" s="76"/>
      <c r="AM51" s="76"/>
      <c r="AN51" s="76"/>
      <c r="AO51" s="76"/>
      <c r="AP51" s="76"/>
      <c r="AQ51" s="76"/>
      <c r="AR51" s="76"/>
      <c r="AS51" s="76"/>
      <c r="AT51" s="77" t="str">
        <f aca="false">IF(B51="","",IF($AK51="NON",0,IF(COUNT(AL51:AS51)=0,"",IFERROR(ROUND(SUMPRODUCT(AL51:AS51,$AL$8:$AS$8)/SUMPRODUCT(ISNUMBER(AL51:AS51)*$AL$8:$AS$8),2),""))))</f>
        <v/>
      </c>
      <c r="AU51" s="51" t="str">
        <f aca="false">IFERROR(MATCH("CP-42",'REGISTRE ELEVES'!$AI$10:$AI$250,0),"")</f>
        <v/>
      </c>
    </row>
    <row r="52" customFormat="false" ht="15" hidden="false" customHeight="false" outlineLevel="0" collapsed="false">
      <c r="A52" s="73" t="str">
        <f aca="false">IF(B52="","",43)</f>
        <v/>
      </c>
      <c r="B52" s="73" t="str">
        <f aca="false">IF($AU52="","",INDEX('REGISTRE ELEVES'!$B$10:$B$250,$AU52))</f>
        <v/>
      </c>
      <c r="C52" s="74" t="str">
        <f aca="false">IF($AU52="","",INDEX('REGISTRE ELEVES'!$D$10:$D$250,$AU52))</f>
        <v/>
      </c>
      <c r="D52" s="73" t="str">
        <f aca="false">IF($AU52="","",INDEX('REGISTRE ELEVES'!$E$10:$E$250,$AU52))</f>
        <v/>
      </c>
      <c r="E52" s="73" t="str">
        <f aca="false">IF($AU52="","",INDEX('REGISTRE ELEVES'!$F$10:$F$250,$AU52))</f>
        <v/>
      </c>
      <c r="F52" s="73" t="str">
        <f aca="false">IF($AU52="","",INDEX('REGISTRE ELEVES'!$AE$10:$AE$250,$AU52))</f>
        <v/>
      </c>
      <c r="G52" s="75"/>
      <c r="H52" s="76"/>
      <c r="I52" s="76"/>
      <c r="J52" s="76"/>
      <c r="K52" s="76"/>
      <c r="L52" s="76"/>
      <c r="M52" s="76"/>
      <c r="N52" s="76"/>
      <c r="O52" s="76"/>
      <c r="P52" s="77" t="str">
        <f aca="false">IF(B52="","",IF($G52="NON",0,IF(COUNT(H52:O52)=0,"",IFERROR(ROUND(SUMPRODUCT(H52:O52,$H$8:$O$8)/SUMPRODUCT(ISNUMBER(H52:O52)*$H$8:$O$8),2),""))))</f>
        <v/>
      </c>
      <c r="Q52" s="75"/>
      <c r="R52" s="76"/>
      <c r="S52" s="76"/>
      <c r="T52" s="76"/>
      <c r="U52" s="76"/>
      <c r="V52" s="76"/>
      <c r="W52" s="76"/>
      <c r="X52" s="76"/>
      <c r="Y52" s="76"/>
      <c r="Z52" s="77" t="str">
        <f aca="false">IF(B52="","",IF($Q52="NON",0,IF(COUNT(R52:Y52)=0,"",IFERROR(ROUND(SUMPRODUCT(R52:Y52,$R$8:$Y$8)/SUMPRODUCT(ISNUMBER(R52:Y52)*$R$8:$Y$8),2),""))))</f>
        <v/>
      </c>
      <c r="AA52" s="75"/>
      <c r="AB52" s="76"/>
      <c r="AC52" s="76"/>
      <c r="AD52" s="76"/>
      <c r="AE52" s="76"/>
      <c r="AF52" s="76"/>
      <c r="AG52" s="76"/>
      <c r="AH52" s="76"/>
      <c r="AI52" s="76"/>
      <c r="AJ52" s="77" t="str">
        <f aca="false">IF(B52="","",IF($AA52="NON",0,IF(COUNT(AB52:AI52)=0,"",IFERROR(ROUND(SUMPRODUCT(AB52:AI52,$AB$8:$AI$8)/SUMPRODUCT(ISNUMBER(AB52:AI52)*$AB$8:$AI$8),2),""))))</f>
        <v/>
      </c>
      <c r="AK52" s="75"/>
      <c r="AL52" s="76"/>
      <c r="AM52" s="76"/>
      <c r="AN52" s="76"/>
      <c r="AO52" s="76"/>
      <c r="AP52" s="76"/>
      <c r="AQ52" s="76"/>
      <c r="AR52" s="76"/>
      <c r="AS52" s="76"/>
      <c r="AT52" s="77" t="str">
        <f aca="false">IF(B52="","",IF($AK52="NON",0,IF(COUNT(AL52:AS52)=0,"",IFERROR(ROUND(SUMPRODUCT(AL52:AS52,$AL$8:$AS$8)/SUMPRODUCT(ISNUMBER(AL52:AS52)*$AL$8:$AS$8),2),""))))</f>
        <v/>
      </c>
      <c r="AU52" s="51" t="str">
        <f aca="false">IFERROR(MATCH("CP-43",'REGISTRE ELEVES'!$AI$10:$AI$250,0),"")</f>
        <v/>
      </c>
    </row>
    <row r="53" customFormat="false" ht="15" hidden="false" customHeight="false" outlineLevel="0" collapsed="false">
      <c r="A53" s="73" t="str">
        <f aca="false">IF(B53="","",44)</f>
        <v/>
      </c>
      <c r="B53" s="73" t="str">
        <f aca="false">IF($AU53="","",INDEX('REGISTRE ELEVES'!$B$10:$B$250,$AU53))</f>
        <v/>
      </c>
      <c r="C53" s="74" t="str">
        <f aca="false">IF($AU53="","",INDEX('REGISTRE ELEVES'!$D$10:$D$250,$AU53))</f>
        <v/>
      </c>
      <c r="D53" s="73" t="str">
        <f aca="false">IF($AU53="","",INDEX('REGISTRE ELEVES'!$E$10:$E$250,$AU53))</f>
        <v/>
      </c>
      <c r="E53" s="73" t="str">
        <f aca="false">IF($AU53="","",INDEX('REGISTRE ELEVES'!$F$10:$F$250,$AU53))</f>
        <v/>
      </c>
      <c r="F53" s="73" t="str">
        <f aca="false">IF($AU53="","",INDEX('REGISTRE ELEVES'!$AE$10:$AE$250,$AU53))</f>
        <v/>
      </c>
      <c r="G53" s="75"/>
      <c r="H53" s="76"/>
      <c r="I53" s="76"/>
      <c r="J53" s="76"/>
      <c r="K53" s="76"/>
      <c r="L53" s="76"/>
      <c r="M53" s="76"/>
      <c r="N53" s="76"/>
      <c r="O53" s="76"/>
      <c r="P53" s="77" t="str">
        <f aca="false">IF(B53="","",IF($G53="NON",0,IF(COUNT(H53:O53)=0,"",IFERROR(ROUND(SUMPRODUCT(H53:O53,$H$8:$O$8)/SUMPRODUCT(ISNUMBER(H53:O53)*$H$8:$O$8),2),""))))</f>
        <v/>
      </c>
      <c r="Q53" s="75"/>
      <c r="R53" s="76"/>
      <c r="S53" s="76"/>
      <c r="T53" s="76"/>
      <c r="U53" s="76"/>
      <c r="V53" s="76"/>
      <c r="W53" s="76"/>
      <c r="X53" s="76"/>
      <c r="Y53" s="76"/>
      <c r="Z53" s="77" t="str">
        <f aca="false">IF(B53="","",IF($Q53="NON",0,IF(COUNT(R53:Y53)=0,"",IFERROR(ROUND(SUMPRODUCT(R53:Y53,$R$8:$Y$8)/SUMPRODUCT(ISNUMBER(R53:Y53)*$R$8:$Y$8),2),""))))</f>
        <v/>
      </c>
      <c r="AA53" s="75"/>
      <c r="AB53" s="76"/>
      <c r="AC53" s="76"/>
      <c r="AD53" s="76"/>
      <c r="AE53" s="76"/>
      <c r="AF53" s="76"/>
      <c r="AG53" s="76"/>
      <c r="AH53" s="76"/>
      <c r="AI53" s="76"/>
      <c r="AJ53" s="77" t="str">
        <f aca="false">IF(B53="","",IF($AA53="NON",0,IF(COUNT(AB53:AI53)=0,"",IFERROR(ROUND(SUMPRODUCT(AB53:AI53,$AB$8:$AI$8)/SUMPRODUCT(ISNUMBER(AB53:AI53)*$AB$8:$AI$8),2),""))))</f>
        <v/>
      </c>
      <c r="AK53" s="75"/>
      <c r="AL53" s="76"/>
      <c r="AM53" s="76"/>
      <c r="AN53" s="76"/>
      <c r="AO53" s="76"/>
      <c r="AP53" s="76"/>
      <c r="AQ53" s="76"/>
      <c r="AR53" s="76"/>
      <c r="AS53" s="76"/>
      <c r="AT53" s="77" t="str">
        <f aca="false">IF(B53="","",IF($AK53="NON",0,IF(COUNT(AL53:AS53)=0,"",IFERROR(ROUND(SUMPRODUCT(AL53:AS53,$AL$8:$AS$8)/SUMPRODUCT(ISNUMBER(AL53:AS53)*$AL$8:$AS$8),2),""))))</f>
        <v/>
      </c>
      <c r="AU53" s="51" t="str">
        <f aca="false">IFERROR(MATCH("CP-44",'REGISTRE ELEVES'!$AI$10:$AI$250,0),"")</f>
        <v/>
      </c>
    </row>
    <row r="54" customFormat="false" ht="15" hidden="false" customHeight="false" outlineLevel="0" collapsed="false">
      <c r="A54" s="73" t="str">
        <f aca="false">IF(B54="","",45)</f>
        <v/>
      </c>
      <c r="B54" s="73" t="str">
        <f aca="false">IF($AU54="","",INDEX('REGISTRE ELEVES'!$B$10:$B$250,$AU54))</f>
        <v/>
      </c>
      <c r="C54" s="74" t="str">
        <f aca="false">IF($AU54="","",INDEX('REGISTRE ELEVES'!$D$10:$D$250,$AU54))</f>
        <v/>
      </c>
      <c r="D54" s="73" t="str">
        <f aca="false">IF($AU54="","",INDEX('REGISTRE ELEVES'!$E$10:$E$250,$AU54))</f>
        <v/>
      </c>
      <c r="E54" s="73" t="str">
        <f aca="false">IF($AU54="","",INDEX('REGISTRE ELEVES'!$F$10:$F$250,$AU54))</f>
        <v/>
      </c>
      <c r="F54" s="73" t="str">
        <f aca="false">IF($AU54="","",INDEX('REGISTRE ELEVES'!$AE$10:$AE$250,$AU54))</f>
        <v/>
      </c>
      <c r="G54" s="75"/>
      <c r="H54" s="76"/>
      <c r="I54" s="76"/>
      <c r="J54" s="76"/>
      <c r="K54" s="76"/>
      <c r="L54" s="76"/>
      <c r="M54" s="76"/>
      <c r="N54" s="76"/>
      <c r="O54" s="76"/>
      <c r="P54" s="77" t="str">
        <f aca="false">IF(B54="","",IF($G54="NON",0,IF(COUNT(H54:O54)=0,"",IFERROR(ROUND(SUMPRODUCT(H54:O54,$H$8:$O$8)/SUMPRODUCT(ISNUMBER(H54:O54)*$H$8:$O$8),2),""))))</f>
        <v/>
      </c>
      <c r="Q54" s="75"/>
      <c r="R54" s="76"/>
      <c r="S54" s="76"/>
      <c r="T54" s="76"/>
      <c r="U54" s="76"/>
      <c r="V54" s="76"/>
      <c r="W54" s="76"/>
      <c r="X54" s="76"/>
      <c r="Y54" s="76"/>
      <c r="Z54" s="77" t="str">
        <f aca="false">IF(B54="","",IF($Q54="NON",0,IF(COUNT(R54:Y54)=0,"",IFERROR(ROUND(SUMPRODUCT(R54:Y54,$R$8:$Y$8)/SUMPRODUCT(ISNUMBER(R54:Y54)*$R$8:$Y$8),2),""))))</f>
        <v/>
      </c>
      <c r="AA54" s="75"/>
      <c r="AB54" s="76"/>
      <c r="AC54" s="76"/>
      <c r="AD54" s="76"/>
      <c r="AE54" s="76"/>
      <c r="AF54" s="76"/>
      <c r="AG54" s="76"/>
      <c r="AH54" s="76"/>
      <c r="AI54" s="76"/>
      <c r="AJ54" s="77" t="str">
        <f aca="false">IF(B54="","",IF($AA54="NON",0,IF(COUNT(AB54:AI54)=0,"",IFERROR(ROUND(SUMPRODUCT(AB54:AI54,$AB$8:$AI$8)/SUMPRODUCT(ISNUMBER(AB54:AI54)*$AB$8:$AI$8),2),""))))</f>
        <v/>
      </c>
      <c r="AK54" s="75"/>
      <c r="AL54" s="76"/>
      <c r="AM54" s="76"/>
      <c r="AN54" s="76"/>
      <c r="AO54" s="76"/>
      <c r="AP54" s="76"/>
      <c r="AQ54" s="76"/>
      <c r="AR54" s="76"/>
      <c r="AS54" s="76"/>
      <c r="AT54" s="77" t="str">
        <f aca="false">IF(B54="","",IF($AK54="NON",0,IF(COUNT(AL54:AS54)=0,"",IFERROR(ROUND(SUMPRODUCT(AL54:AS54,$AL$8:$AS$8)/SUMPRODUCT(ISNUMBER(AL54:AS54)*$AL$8:$AS$8),2),""))))</f>
        <v/>
      </c>
      <c r="AU54" s="51" t="str">
        <f aca="false">IFERROR(MATCH("CP-45",'REGISTRE ELEVES'!$AI$10:$AI$250,0),"")</f>
        <v/>
      </c>
    </row>
    <row r="55" customFormat="false" ht="15" hidden="false" customHeight="false" outlineLevel="0" collapsed="false">
      <c r="A55" s="73" t="str">
        <f aca="false">IF(B55="","",46)</f>
        <v/>
      </c>
      <c r="B55" s="73" t="str">
        <f aca="false">IF($AU55="","",INDEX('REGISTRE ELEVES'!$B$10:$B$250,$AU55))</f>
        <v/>
      </c>
      <c r="C55" s="74" t="str">
        <f aca="false">IF($AU55="","",INDEX('REGISTRE ELEVES'!$D$10:$D$250,$AU55))</f>
        <v/>
      </c>
      <c r="D55" s="73" t="str">
        <f aca="false">IF($AU55="","",INDEX('REGISTRE ELEVES'!$E$10:$E$250,$AU55))</f>
        <v/>
      </c>
      <c r="E55" s="73" t="str">
        <f aca="false">IF($AU55="","",INDEX('REGISTRE ELEVES'!$F$10:$F$250,$AU55))</f>
        <v/>
      </c>
      <c r="F55" s="73" t="str">
        <f aca="false">IF($AU55="","",INDEX('REGISTRE ELEVES'!$AE$10:$AE$250,$AU55))</f>
        <v/>
      </c>
      <c r="G55" s="75"/>
      <c r="H55" s="76"/>
      <c r="I55" s="76"/>
      <c r="J55" s="76"/>
      <c r="K55" s="76"/>
      <c r="L55" s="76"/>
      <c r="M55" s="76"/>
      <c r="N55" s="76"/>
      <c r="O55" s="76"/>
      <c r="P55" s="77" t="str">
        <f aca="false">IF(B55="","",IF($G55="NON",0,IF(COUNT(H55:O55)=0,"",IFERROR(ROUND(SUMPRODUCT(H55:O55,$H$8:$O$8)/SUMPRODUCT(ISNUMBER(H55:O55)*$H$8:$O$8),2),""))))</f>
        <v/>
      </c>
      <c r="Q55" s="75"/>
      <c r="R55" s="76"/>
      <c r="S55" s="76"/>
      <c r="T55" s="76"/>
      <c r="U55" s="76"/>
      <c r="V55" s="76"/>
      <c r="W55" s="76"/>
      <c r="X55" s="76"/>
      <c r="Y55" s="76"/>
      <c r="Z55" s="77" t="str">
        <f aca="false">IF(B55="","",IF($Q55="NON",0,IF(COUNT(R55:Y55)=0,"",IFERROR(ROUND(SUMPRODUCT(R55:Y55,$R$8:$Y$8)/SUMPRODUCT(ISNUMBER(R55:Y55)*$R$8:$Y$8),2),""))))</f>
        <v/>
      </c>
      <c r="AA55" s="75"/>
      <c r="AB55" s="76"/>
      <c r="AC55" s="76"/>
      <c r="AD55" s="76"/>
      <c r="AE55" s="76"/>
      <c r="AF55" s="76"/>
      <c r="AG55" s="76"/>
      <c r="AH55" s="76"/>
      <c r="AI55" s="76"/>
      <c r="AJ55" s="77" t="str">
        <f aca="false">IF(B55="","",IF($AA55="NON",0,IF(COUNT(AB55:AI55)=0,"",IFERROR(ROUND(SUMPRODUCT(AB55:AI55,$AB$8:$AI$8)/SUMPRODUCT(ISNUMBER(AB55:AI55)*$AB$8:$AI$8),2),""))))</f>
        <v/>
      </c>
      <c r="AK55" s="75"/>
      <c r="AL55" s="76"/>
      <c r="AM55" s="76"/>
      <c r="AN55" s="76"/>
      <c r="AO55" s="76"/>
      <c r="AP55" s="76"/>
      <c r="AQ55" s="76"/>
      <c r="AR55" s="76"/>
      <c r="AS55" s="76"/>
      <c r="AT55" s="77" t="str">
        <f aca="false">IF(B55="","",IF($AK55="NON",0,IF(COUNT(AL55:AS55)=0,"",IFERROR(ROUND(SUMPRODUCT(AL55:AS55,$AL$8:$AS$8)/SUMPRODUCT(ISNUMBER(AL55:AS55)*$AL$8:$AS$8),2),""))))</f>
        <v/>
      </c>
      <c r="AU55" s="51" t="str">
        <f aca="false">IFERROR(MATCH("CP-46",'REGISTRE ELEVES'!$AI$10:$AI$250,0),"")</f>
        <v/>
      </c>
    </row>
    <row r="56" customFormat="false" ht="15" hidden="false" customHeight="false" outlineLevel="0" collapsed="false">
      <c r="A56" s="73" t="str">
        <f aca="false">IF(B56="","",47)</f>
        <v/>
      </c>
      <c r="B56" s="73" t="str">
        <f aca="false">IF($AU56="","",INDEX('REGISTRE ELEVES'!$B$10:$B$250,$AU56))</f>
        <v/>
      </c>
      <c r="C56" s="74" t="str">
        <f aca="false">IF($AU56="","",INDEX('REGISTRE ELEVES'!$D$10:$D$250,$AU56))</f>
        <v/>
      </c>
      <c r="D56" s="73" t="str">
        <f aca="false">IF($AU56="","",INDEX('REGISTRE ELEVES'!$E$10:$E$250,$AU56))</f>
        <v/>
      </c>
      <c r="E56" s="73" t="str">
        <f aca="false">IF($AU56="","",INDEX('REGISTRE ELEVES'!$F$10:$F$250,$AU56))</f>
        <v/>
      </c>
      <c r="F56" s="73" t="str">
        <f aca="false">IF($AU56="","",INDEX('REGISTRE ELEVES'!$AE$10:$AE$250,$AU56))</f>
        <v/>
      </c>
      <c r="G56" s="75"/>
      <c r="H56" s="76"/>
      <c r="I56" s="76"/>
      <c r="J56" s="76"/>
      <c r="K56" s="76"/>
      <c r="L56" s="76"/>
      <c r="M56" s="76"/>
      <c r="N56" s="76"/>
      <c r="O56" s="76"/>
      <c r="P56" s="77" t="str">
        <f aca="false">IF(B56="","",IF($G56="NON",0,IF(COUNT(H56:O56)=0,"",IFERROR(ROUND(SUMPRODUCT(H56:O56,$H$8:$O$8)/SUMPRODUCT(ISNUMBER(H56:O56)*$H$8:$O$8),2),""))))</f>
        <v/>
      </c>
      <c r="Q56" s="75"/>
      <c r="R56" s="76"/>
      <c r="S56" s="76"/>
      <c r="T56" s="76"/>
      <c r="U56" s="76"/>
      <c r="V56" s="76"/>
      <c r="W56" s="76"/>
      <c r="X56" s="76"/>
      <c r="Y56" s="76"/>
      <c r="Z56" s="77" t="str">
        <f aca="false">IF(B56="","",IF($Q56="NON",0,IF(COUNT(R56:Y56)=0,"",IFERROR(ROUND(SUMPRODUCT(R56:Y56,$R$8:$Y$8)/SUMPRODUCT(ISNUMBER(R56:Y56)*$R$8:$Y$8),2),""))))</f>
        <v/>
      </c>
      <c r="AA56" s="75"/>
      <c r="AB56" s="76"/>
      <c r="AC56" s="76"/>
      <c r="AD56" s="76"/>
      <c r="AE56" s="76"/>
      <c r="AF56" s="76"/>
      <c r="AG56" s="76"/>
      <c r="AH56" s="76"/>
      <c r="AI56" s="76"/>
      <c r="AJ56" s="77" t="str">
        <f aca="false">IF(B56="","",IF($AA56="NON",0,IF(COUNT(AB56:AI56)=0,"",IFERROR(ROUND(SUMPRODUCT(AB56:AI56,$AB$8:$AI$8)/SUMPRODUCT(ISNUMBER(AB56:AI56)*$AB$8:$AI$8),2),""))))</f>
        <v/>
      </c>
      <c r="AK56" s="75"/>
      <c r="AL56" s="76"/>
      <c r="AM56" s="76"/>
      <c r="AN56" s="76"/>
      <c r="AO56" s="76"/>
      <c r="AP56" s="76"/>
      <c r="AQ56" s="76"/>
      <c r="AR56" s="76"/>
      <c r="AS56" s="76"/>
      <c r="AT56" s="77" t="str">
        <f aca="false">IF(B56="","",IF($AK56="NON",0,IF(COUNT(AL56:AS56)=0,"",IFERROR(ROUND(SUMPRODUCT(AL56:AS56,$AL$8:$AS$8)/SUMPRODUCT(ISNUMBER(AL56:AS56)*$AL$8:$AS$8),2),""))))</f>
        <v/>
      </c>
      <c r="AU56" s="51" t="str">
        <f aca="false">IFERROR(MATCH("CP-47",'REGISTRE ELEVES'!$AI$10:$AI$250,0),"")</f>
        <v/>
      </c>
    </row>
    <row r="57" customFormat="false" ht="15" hidden="false" customHeight="false" outlineLevel="0" collapsed="false">
      <c r="A57" s="73" t="str">
        <f aca="false">IF(B57="","",48)</f>
        <v/>
      </c>
      <c r="B57" s="73" t="str">
        <f aca="false">IF($AU57="","",INDEX('REGISTRE ELEVES'!$B$10:$B$250,$AU57))</f>
        <v/>
      </c>
      <c r="C57" s="74" t="str">
        <f aca="false">IF($AU57="","",INDEX('REGISTRE ELEVES'!$D$10:$D$250,$AU57))</f>
        <v/>
      </c>
      <c r="D57" s="73" t="str">
        <f aca="false">IF($AU57="","",INDEX('REGISTRE ELEVES'!$E$10:$E$250,$AU57))</f>
        <v/>
      </c>
      <c r="E57" s="73" t="str">
        <f aca="false">IF($AU57="","",INDEX('REGISTRE ELEVES'!$F$10:$F$250,$AU57))</f>
        <v/>
      </c>
      <c r="F57" s="73" t="str">
        <f aca="false">IF($AU57="","",INDEX('REGISTRE ELEVES'!$AE$10:$AE$250,$AU57))</f>
        <v/>
      </c>
      <c r="G57" s="75"/>
      <c r="H57" s="76"/>
      <c r="I57" s="76"/>
      <c r="J57" s="76"/>
      <c r="K57" s="76"/>
      <c r="L57" s="76"/>
      <c r="M57" s="76"/>
      <c r="N57" s="76"/>
      <c r="O57" s="76"/>
      <c r="P57" s="77" t="str">
        <f aca="false">IF(B57="","",IF($G57="NON",0,IF(COUNT(H57:O57)=0,"",IFERROR(ROUND(SUMPRODUCT(H57:O57,$H$8:$O$8)/SUMPRODUCT(ISNUMBER(H57:O57)*$H$8:$O$8),2),""))))</f>
        <v/>
      </c>
      <c r="Q57" s="75"/>
      <c r="R57" s="76"/>
      <c r="S57" s="76"/>
      <c r="T57" s="76"/>
      <c r="U57" s="76"/>
      <c r="V57" s="76"/>
      <c r="W57" s="76"/>
      <c r="X57" s="76"/>
      <c r="Y57" s="76"/>
      <c r="Z57" s="77" t="str">
        <f aca="false">IF(B57="","",IF($Q57="NON",0,IF(COUNT(R57:Y57)=0,"",IFERROR(ROUND(SUMPRODUCT(R57:Y57,$R$8:$Y$8)/SUMPRODUCT(ISNUMBER(R57:Y57)*$R$8:$Y$8),2),""))))</f>
        <v/>
      </c>
      <c r="AA57" s="75"/>
      <c r="AB57" s="76"/>
      <c r="AC57" s="76"/>
      <c r="AD57" s="76"/>
      <c r="AE57" s="76"/>
      <c r="AF57" s="76"/>
      <c r="AG57" s="76"/>
      <c r="AH57" s="76"/>
      <c r="AI57" s="76"/>
      <c r="AJ57" s="77" t="str">
        <f aca="false">IF(B57="","",IF($AA57="NON",0,IF(COUNT(AB57:AI57)=0,"",IFERROR(ROUND(SUMPRODUCT(AB57:AI57,$AB$8:$AI$8)/SUMPRODUCT(ISNUMBER(AB57:AI57)*$AB$8:$AI$8),2),""))))</f>
        <v/>
      </c>
      <c r="AK57" s="75"/>
      <c r="AL57" s="76"/>
      <c r="AM57" s="76"/>
      <c r="AN57" s="76"/>
      <c r="AO57" s="76"/>
      <c r="AP57" s="76"/>
      <c r="AQ57" s="76"/>
      <c r="AR57" s="76"/>
      <c r="AS57" s="76"/>
      <c r="AT57" s="77" t="str">
        <f aca="false">IF(B57="","",IF($AK57="NON",0,IF(COUNT(AL57:AS57)=0,"",IFERROR(ROUND(SUMPRODUCT(AL57:AS57,$AL$8:$AS$8)/SUMPRODUCT(ISNUMBER(AL57:AS57)*$AL$8:$AS$8),2),""))))</f>
        <v/>
      </c>
      <c r="AU57" s="51" t="str">
        <f aca="false">IFERROR(MATCH("CP-48",'REGISTRE ELEVES'!$AI$10:$AI$250,0),"")</f>
        <v/>
      </c>
    </row>
    <row r="58" customFormat="false" ht="15" hidden="false" customHeight="false" outlineLevel="0" collapsed="false">
      <c r="A58" s="73" t="str">
        <f aca="false">IF(B58="","",49)</f>
        <v/>
      </c>
      <c r="B58" s="73" t="str">
        <f aca="false">IF($AU58="","",INDEX('REGISTRE ELEVES'!$B$10:$B$250,$AU58))</f>
        <v/>
      </c>
      <c r="C58" s="74" t="str">
        <f aca="false">IF($AU58="","",INDEX('REGISTRE ELEVES'!$D$10:$D$250,$AU58))</f>
        <v/>
      </c>
      <c r="D58" s="73" t="str">
        <f aca="false">IF($AU58="","",INDEX('REGISTRE ELEVES'!$E$10:$E$250,$AU58))</f>
        <v/>
      </c>
      <c r="E58" s="73" t="str">
        <f aca="false">IF($AU58="","",INDEX('REGISTRE ELEVES'!$F$10:$F$250,$AU58))</f>
        <v/>
      </c>
      <c r="F58" s="73" t="str">
        <f aca="false">IF($AU58="","",INDEX('REGISTRE ELEVES'!$AE$10:$AE$250,$AU58))</f>
        <v/>
      </c>
      <c r="G58" s="75"/>
      <c r="H58" s="76"/>
      <c r="I58" s="76"/>
      <c r="J58" s="76"/>
      <c r="K58" s="76"/>
      <c r="L58" s="76"/>
      <c r="M58" s="76"/>
      <c r="N58" s="76"/>
      <c r="O58" s="76"/>
      <c r="P58" s="77" t="str">
        <f aca="false">IF(B58="","",IF($G58="NON",0,IF(COUNT(H58:O58)=0,"",IFERROR(ROUND(SUMPRODUCT(H58:O58,$H$8:$O$8)/SUMPRODUCT(ISNUMBER(H58:O58)*$H$8:$O$8),2),""))))</f>
        <v/>
      </c>
      <c r="Q58" s="75"/>
      <c r="R58" s="76"/>
      <c r="S58" s="76"/>
      <c r="T58" s="76"/>
      <c r="U58" s="76"/>
      <c r="V58" s="76"/>
      <c r="W58" s="76"/>
      <c r="X58" s="76"/>
      <c r="Y58" s="76"/>
      <c r="Z58" s="77" t="str">
        <f aca="false">IF(B58="","",IF($Q58="NON",0,IF(COUNT(R58:Y58)=0,"",IFERROR(ROUND(SUMPRODUCT(R58:Y58,$R$8:$Y$8)/SUMPRODUCT(ISNUMBER(R58:Y58)*$R$8:$Y$8),2),""))))</f>
        <v/>
      </c>
      <c r="AA58" s="75"/>
      <c r="AB58" s="76"/>
      <c r="AC58" s="76"/>
      <c r="AD58" s="76"/>
      <c r="AE58" s="76"/>
      <c r="AF58" s="76"/>
      <c r="AG58" s="76"/>
      <c r="AH58" s="76"/>
      <c r="AI58" s="76"/>
      <c r="AJ58" s="77" t="str">
        <f aca="false">IF(B58="","",IF($AA58="NON",0,IF(COUNT(AB58:AI58)=0,"",IFERROR(ROUND(SUMPRODUCT(AB58:AI58,$AB$8:$AI$8)/SUMPRODUCT(ISNUMBER(AB58:AI58)*$AB$8:$AI$8),2),""))))</f>
        <v/>
      </c>
      <c r="AK58" s="75"/>
      <c r="AL58" s="76"/>
      <c r="AM58" s="76"/>
      <c r="AN58" s="76"/>
      <c r="AO58" s="76"/>
      <c r="AP58" s="76"/>
      <c r="AQ58" s="76"/>
      <c r="AR58" s="76"/>
      <c r="AS58" s="76"/>
      <c r="AT58" s="77" t="str">
        <f aca="false">IF(B58="","",IF($AK58="NON",0,IF(COUNT(AL58:AS58)=0,"",IFERROR(ROUND(SUMPRODUCT(AL58:AS58,$AL$8:$AS$8)/SUMPRODUCT(ISNUMBER(AL58:AS58)*$AL$8:$AS$8),2),""))))</f>
        <v/>
      </c>
      <c r="AU58" s="51" t="str">
        <f aca="false">IFERROR(MATCH("CP-49",'REGISTRE ELEVES'!$AI$10:$AI$250,0),"")</f>
        <v/>
      </c>
    </row>
    <row r="59" customFormat="false" ht="15" hidden="false" customHeight="false" outlineLevel="0" collapsed="false">
      <c r="A59" s="73" t="str">
        <f aca="false">IF(B59="","",50)</f>
        <v/>
      </c>
      <c r="B59" s="73" t="str">
        <f aca="false">IF($AU59="","",INDEX('REGISTRE ELEVES'!$B$10:$B$250,$AU59))</f>
        <v/>
      </c>
      <c r="C59" s="74" t="str">
        <f aca="false">IF($AU59="","",INDEX('REGISTRE ELEVES'!$D$10:$D$250,$AU59))</f>
        <v/>
      </c>
      <c r="D59" s="73" t="str">
        <f aca="false">IF($AU59="","",INDEX('REGISTRE ELEVES'!$E$10:$E$250,$AU59))</f>
        <v/>
      </c>
      <c r="E59" s="73" t="str">
        <f aca="false">IF($AU59="","",INDEX('REGISTRE ELEVES'!$F$10:$F$250,$AU59))</f>
        <v/>
      </c>
      <c r="F59" s="73" t="str">
        <f aca="false">IF($AU59="","",INDEX('REGISTRE ELEVES'!$AE$10:$AE$250,$AU59))</f>
        <v/>
      </c>
      <c r="G59" s="75"/>
      <c r="H59" s="76"/>
      <c r="I59" s="76"/>
      <c r="J59" s="76"/>
      <c r="K59" s="76"/>
      <c r="L59" s="76"/>
      <c r="M59" s="76"/>
      <c r="N59" s="76"/>
      <c r="O59" s="76"/>
      <c r="P59" s="77" t="str">
        <f aca="false">IF(B59="","",IF($G59="NON",0,IF(COUNT(H59:O59)=0,"",IFERROR(ROUND(SUMPRODUCT(H59:O59,$H$8:$O$8)/SUMPRODUCT(ISNUMBER(H59:O59)*$H$8:$O$8),2),""))))</f>
        <v/>
      </c>
      <c r="Q59" s="75"/>
      <c r="R59" s="76"/>
      <c r="S59" s="76"/>
      <c r="T59" s="76"/>
      <c r="U59" s="76"/>
      <c r="V59" s="76"/>
      <c r="W59" s="76"/>
      <c r="X59" s="76"/>
      <c r="Y59" s="76"/>
      <c r="Z59" s="77" t="str">
        <f aca="false">IF(B59="","",IF($Q59="NON",0,IF(COUNT(R59:Y59)=0,"",IFERROR(ROUND(SUMPRODUCT(R59:Y59,$R$8:$Y$8)/SUMPRODUCT(ISNUMBER(R59:Y59)*$R$8:$Y$8),2),""))))</f>
        <v/>
      </c>
      <c r="AA59" s="75"/>
      <c r="AB59" s="76"/>
      <c r="AC59" s="76"/>
      <c r="AD59" s="76"/>
      <c r="AE59" s="76"/>
      <c r="AF59" s="76"/>
      <c r="AG59" s="76"/>
      <c r="AH59" s="76"/>
      <c r="AI59" s="76"/>
      <c r="AJ59" s="77" t="str">
        <f aca="false">IF(B59="","",IF($AA59="NON",0,IF(COUNT(AB59:AI59)=0,"",IFERROR(ROUND(SUMPRODUCT(AB59:AI59,$AB$8:$AI$8)/SUMPRODUCT(ISNUMBER(AB59:AI59)*$AB$8:$AI$8),2),""))))</f>
        <v/>
      </c>
      <c r="AK59" s="75"/>
      <c r="AL59" s="76"/>
      <c r="AM59" s="76"/>
      <c r="AN59" s="76"/>
      <c r="AO59" s="76"/>
      <c r="AP59" s="76"/>
      <c r="AQ59" s="76"/>
      <c r="AR59" s="76"/>
      <c r="AS59" s="76"/>
      <c r="AT59" s="77" t="str">
        <f aca="false">IF(B59="","",IF($AK59="NON",0,IF(COUNT(AL59:AS59)=0,"",IFERROR(ROUND(SUMPRODUCT(AL59:AS59,$AL$8:$AS$8)/SUMPRODUCT(ISNUMBER(AL59:AS59)*$AL$8:$AS$8),2),""))))</f>
        <v/>
      </c>
      <c r="AU59" s="51" t="str">
        <f aca="false">IFERROR(MATCH("CP-50",'REGISTRE ELEVES'!$AI$10:$AI$250,0),"")</f>
        <v/>
      </c>
    </row>
    <row r="60" customFormat="false" ht="15" hidden="false" customHeight="false" outlineLevel="0" collapsed="false">
      <c r="A60" s="73" t="str">
        <f aca="false">IF(B60="","",51)</f>
        <v/>
      </c>
      <c r="B60" s="73" t="str">
        <f aca="false">IF($AU60="","",INDEX('REGISTRE ELEVES'!$B$10:$B$250,$AU60))</f>
        <v/>
      </c>
      <c r="C60" s="74" t="str">
        <f aca="false">IF($AU60="","",INDEX('REGISTRE ELEVES'!$D$10:$D$250,$AU60))</f>
        <v/>
      </c>
      <c r="D60" s="73" t="str">
        <f aca="false">IF($AU60="","",INDEX('REGISTRE ELEVES'!$E$10:$E$250,$AU60))</f>
        <v/>
      </c>
      <c r="E60" s="73" t="str">
        <f aca="false">IF($AU60="","",INDEX('REGISTRE ELEVES'!$F$10:$F$250,$AU60))</f>
        <v/>
      </c>
      <c r="F60" s="73" t="str">
        <f aca="false">IF($AU60="","",INDEX('REGISTRE ELEVES'!$AE$10:$AE$250,$AU60))</f>
        <v/>
      </c>
      <c r="G60" s="75"/>
      <c r="H60" s="76"/>
      <c r="I60" s="76"/>
      <c r="J60" s="76"/>
      <c r="K60" s="76"/>
      <c r="L60" s="76"/>
      <c r="M60" s="76"/>
      <c r="N60" s="76"/>
      <c r="O60" s="76"/>
      <c r="P60" s="77" t="str">
        <f aca="false">IF(B60="","",IF($G60="NON",0,IF(COUNT(H60:O60)=0,"",IFERROR(ROUND(SUMPRODUCT(H60:O60,$H$8:$O$8)/SUMPRODUCT(ISNUMBER(H60:O60)*$H$8:$O$8),2),""))))</f>
        <v/>
      </c>
      <c r="Q60" s="75"/>
      <c r="R60" s="76"/>
      <c r="S60" s="76"/>
      <c r="T60" s="76"/>
      <c r="U60" s="76"/>
      <c r="V60" s="76"/>
      <c r="W60" s="76"/>
      <c r="X60" s="76"/>
      <c r="Y60" s="76"/>
      <c r="Z60" s="77" t="str">
        <f aca="false">IF(B60="","",IF($Q60="NON",0,IF(COUNT(R60:Y60)=0,"",IFERROR(ROUND(SUMPRODUCT(R60:Y60,$R$8:$Y$8)/SUMPRODUCT(ISNUMBER(R60:Y60)*$R$8:$Y$8),2),""))))</f>
        <v/>
      </c>
      <c r="AA60" s="75"/>
      <c r="AB60" s="76"/>
      <c r="AC60" s="76"/>
      <c r="AD60" s="76"/>
      <c r="AE60" s="76"/>
      <c r="AF60" s="76"/>
      <c r="AG60" s="76"/>
      <c r="AH60" s="76"/>
      <c r="AI60" s="76"/>
      <c r="AJ60" s="77" t="str">
        <f aca="false">IF(B60="","",IF($AA60="NON",0,IF(COUNT(AB60:AI60)=0,"",IFERROR(ROUND(SUMPRODUCT(AB60:AI60,$AB$8:$AI$8)/SUMPRODUCT(ISNUMBER(AB60:AI60)*$AB$8:$AI$8),2),""))))</f>
        <v/>
      </c>
      <c r="AK60" s="75"/>
      <c r="AL60" s="76"/>
      <c r="AM60" s="76"/>
      <c r="AN60" s="76"/>
      <c r="AO60" s="76"/>
      <c r="AP60" s="76"/>
      <c r="AQ60" s="76"/>
      <c r="AR60" s="76"/>
      <c r="AS60" s="76"/>
      <c r="AT60" s="77" t="str">
        <f aca="false">IF(B60="","",IF($AK60="NON",0,IF(COUNT(AL60:AS60)=0,"",IFERROR(ROUND(SUMPRODUCT(AL60:AS60,$AL$8:$AS$8)/SUMPRODUCT(ISNUMBER(AL60:AS60)*$AL$8:$AS$8),2),""))))</f>
        <v/>
      </c>
      <c r="AU60" s="51" t="str">
        <f aca="false">IFERROR(MATCH("CP-51",'REGISTRE ELEVES'!$AI$10:$AI$250,0),"")</f>
        <v/>
      </c>
    </row>
    <row r="61" customFormat="false" ht="15" hidden="false" customHeight="false" outlineLevel="0" collapsed="false">
      <c r="A61" s="73" t="str">
        <f aca="false">IF(B61="","",52)</f>
        <v/>
      </c>
      <c r="B61" s="73" t="str">
        <f aca="false">IF($AU61="","",INDEX('REGISTRE ELEVES'!$B$10:$B$250,$AU61))</f>
        <v/>
      </c>
      <c r="C61" s="74" t="str">
        <f aca="false">IF($AU61="","",INDEX('REGISTRE ELEVES'!$D$10:$D$250,$AU61))</f>
        <v/>
      </c>
      <c r="D61" s="73" t="str">
        <f aca="false">IF($AU61="","",INDEX('REGISTRE ELEVES'!$E$10:$E$250,$AU61))</f>
        <v/>
      </c>
      <c r="E61" s="73" t="str">
        <f aca="false">IF($AU61="","",INDEX('REGISTRE ELEVES'!$F$10:$F$250,$AU61))</f>
        <v/>
      </c>
      <c r="F61" s="73" t="str">
        <f aca="false">IF($AU61="","",INDEX('REGISTRE ELEVES'!$AE$10:$AE$250,$AU61))</f>
        <v/>
      </c>
      <c r="G61" s="75"/>
      <c r="H61" s="76"/>
      <c r="I61" s="76"/>
      <c r="J61" s="76"/>
      <c r="K61" s="76"/>
      <c r="L61" s="76"/>
      <c r="M61" s="76"/>
      <c r="N61" s="76"/>
      <c r="O61" s="76"/>
      <c r="P61" s="77" t="str">
        <f aca="false">IF(B61="","",IF($G61="NON",0,IF(COUNT(H61:O61)=0,"",IFERROR(ROUND(SUMPRODUCT(H61:O61,$H$8:$O$8)/SUMPRODUCT(ISNUMBER(H61:O61)*$H$8:$O$8),2),""))))</f>
        <v/>
      </c>
      <c r="Q61" s="75"/>
      <c r="R61" s="76"/>
      <c r="S61" s="76"/>
      <c r="T61" s="76"/>
      <c r="U61" s="76"/>
      <c r="V61" s="76"/>
      <c r="W61" s="76"/>
      <c r="X61" s="76"/>
      <c r="Y61" s="76"/>
      <c r="Z61" s="77" t="str">
        <f aca="false">IF(B61="","",IF($Q61="NON",0,IF(COUNT(R61:Y61)=0,"",IFERROR(ROUND(SUMPRODUCT(R61:Y61,$R$8:$Y$8)/SUMPRODUCT(ISNUMBER(R61:Y61)*$R$8:$Y$8),2),""))))</f>
        <v/>
      </c>
      <c r="AA61" s="75"/>
      <c r="AB61" s="76"/>
      <c r="AC61" s="76"/>
      <c r="AD61" s="76"/>
      <c r="AE61" s="76"/>
      <c r="AF61" s="76"/>
      <c r="AG61" s="76"/>
      <c r="AH61" s="76"/>
      <c r="AI61" s="76"/>
      <c r="AJ61" s="77" t="str">
        <f aca="false">IF(B61="","",IF($AA61="NON",0,IF(COUNT(AB61:AI61)=0,"",IFERROR(ROUND(SUMPRODUCT(AB61:AI61,$AB$8:$AI$8)/SUMPRODUCT(ISNUMBER(AB61:AI61)*$AB$8:$AI$8),2),""))))</f>
        <v/>
      </c>
      <c r="AK61" s="75"/>
      <c r="AL61" s="76"/>
      <c r="AM61" s="76"/>
      <c r="AN61" s="76"/>
      <c r="AO61" s="76"/>
      <c r="AP61" s="76"/>
      <c r="AQ61" s="76"/>
      <c r="AR61" s="76"/>
      <c r="AS61" s="76"/>
      <c r="AT61" s="77" t="str">
        <f aca="false">IF(B61="","",IF($AK61="NON",0,IF(COUNT(AL61:AS61)=0,"",IFERROR(ROUND(SUMPRODUCT(AL61:AS61,$AL$8:$AS$8)/SUMPRODUCT(ISNUMBER(AL61:AS61)*$AL$8:$AS$8),2),""))))</f>
        <v/>
      </c>
      <c r="AU61" s="51" t="str">
        <f aca="false">IFERROR(MATCH("CP-52",'REGISTRE ELEVES'!$AI$10:$AI$250,0),"")</f>
        <v/>
      </c>
    </row>
    <row r="62" customFormat="false" ht="15" hidden="false" customHeight="false" outlineLevel="0" collapsed="false">
      <c r="A62" s="73" t="str">
        <f aca="false">IF(B62="","",53)</f>
        <v/>
      </c>
      <c r="B62" s="73" t="str">
        <f aca="false">IF($AU62="","",INDEX('REGISTRE ELEVES'!$B$10:$B$250,$AU62))</f>
        <v/>
      </c>
      <c r="C62" s="74" t="str">
        <f aca="false">IF($AU62="","",INDEX('REGISTRE ELEVES'!$D$10:$D$250,$AU62))</f>
        <v/>
      </c>
      <c r="D62" s="73" t="str">
        <f aca="false">IF($AU62="","",INDEX('REGISTRE ELEVES'!$E$10:$E$250,$AU62))</f>
        <v/>
      </c>
      <c r="E62" s="73" t="str">
        <f aca="false">IF($AU62="","",INDEX('REGISTRE ELEVES'!$F$10:$F$250,$AU62))</f>
        <v/>
      </c>
      <c r="F62" s="73" t="str">
        <f aca="false">IF($AU62="","",INDEX('REGISTRE ELEVES'!$AE$10:$AE$250,$AU62))</f>
        <v/>
      </c>
      <c r="G62" s="75"/>
      <c r="H62" s="76"/>
      <c r="I62" s="76"/>
      <c r="J62" s="76"/>
      <c r="K62" s="76"/>
      <c r="L62" s="76"/>
      <c r="M62" s="76"/>
      <c r="N62" s="76"/>
      <c r="O62" s="76"/>
      <c r="P62" s="77" t="str">
        <f aca="false">IF(B62="","",IF($G62="NON",0,IF(COUNT(H62:O62)=0,"",IFERROR(ROUND(SUMPRODUCT(H62:O62,$H$8:$O$8)/SUMPRODUCT(ISNUMBER(H62:O62)*$H$8:$O$8),2),""))))</f>
        <v/>
      </c>
      <c r="Q62" s="75"/>
      <c r="R62" s="76"/>
      <c r="S62" s="76"/>
      <c r="T62" s="76"/>
      <c r="U62" s="76"/>
      <c r="V62" s="76"/>
      <c r="W62" s="76"/>
      <c r="X62" s="76"/>
      <c r="Y62" s="76"/>
      <c r="Z62" s="77" t="str">
        <f aca="false">IF(B62="","",IF($Q62="NON",0,IF(COUNT(R62:Y62)=0,"",IFERROR(ROUND(SUMPRODUCT(R62:Y62,$R$8:$Y$8)/SUMPRODUCT(ISNUMBER(R62:Y62)*$R$8:$Y$8),2),""))))</f>
        <v/>
      </c>
      <c r="AA62" s="75"/>
      <c r="AB62" s="76"/>
      <c r="AC62" s="76"/>
      <c r="AD62" s="76"/>
      <c r="AE62" s="76"/>
      <c r="AF62" s="76"/>
      <c r="AG62" s="76"/>
      <c r="AH62" s="76"/>
      <c r="AI62" s="76"/>
      <c r="AJ62" s="77" t="str">
        <f aca="false">IF(B62="","",IF($AA62="NON",0,IF(COUNT(AB62:AI62)=0,"",IFERROR(ROUND(SUMPRODUCT(AB62:AI62,$AB$8:$AI$8)/SUMPRODUCT(ISNUMBER(AB62:AI62)*$AB$8:$AI$8),2),""))))</f>
        <v/>
      </c>
      <c r="AK62" s="75"/>
      <c r="AL62" s="76"/>
      <c r="AM62" s="76"/>
      <c r="AN62" s="76"/>
      <c r="AO62" s="76"/>
      <c r="AP62" s="76"/>
      <c r="AQ62" s="76"/>
      <c r="AR62" s="76"/>
      <c r="AS62" s="76"/>
      <c r="AT62" s="77" t="str">
        <f aca="false">IF(B62="","",IF($AK62="NON",0,IF(COUNT(AL62:AS62)=0,"",IFERROR(ROUND(SUMPRODUCT(AL62:AS62,$AL$8:$AS$8)/SUMPRODUCT(ISNUMBER(AL62:AS62)*$AL$8:$AS$8),2),""))))</f>
        <v/>
      </c>
      <c r="AU62" s="51" t="str">
        <f aca="false">IFERROR(MATCH("CP-53",'REGISTRE ELEVES'!$AI$10:$AI$250,0),"")</f>
        <v/>
      </c>
    </row>
    <row r="63" customFormat="false" ht="15" hidden="false" customHeight="false" outlineLevel="0" collapsed="false">
      <c r="A63" s="73" t="str">
        <f aca="false">IF(B63="","",54)</f>
        <v/>
      </c>
      <c r="B63" s="73" t="str">
        <f aca="false">IF($AU63="","",INDEX('REGISTRE ELEVES'!$B$10:$B$250,$AU63))</f>
        <v/>
      </c>
      <c r="C63" s="74" t="str">
        <f aca="false">IF($AU63="","",INDEX('REGISTRE ELEVES'!$D$10:$D$250,$AU63))</f>
        <v/>
      </c>
      <c r="D63" s="73" t="str">
        <f aca="false">IF($AU63="","",INDEX('REGISTRE ELEVES'!$E$10:$E$250,$AU63))</f>
        <v/>
      </c>
      <c r="E63" s="73" t="str">
        <f aca="false">IF($AU63="","",INDEX('REGISTRE ELEVES'!$F$10:$F$250,$AU63))</f>
        <v/>
      </c>
      <c r="F63" s="73" t="str">
        <f aca="false">IF($AU63="","",INDEX('REGISTRE ELEVES'!$AE$10:$AE$250,$AU63))</f>
        <v/>
      </c>
      <c r="G63" s="75"/>
      <c r="H63" s="76"/>
      <c r="I63" s="76"/>
      <c r="J63" s="76"/>
      <c r="K63" s="76"/>
      <c r="L63" s="76"/>
      <c r="M63" s="76"/>
      <c r="N63" s="76"/>
      <c r="O63" s="76"/>
      <c r="P63" s="77" t="str">
        <f aca="false">IF(B63="","",IF($G63="NON",0,IF(COUNT(H63:O63)=0,"",IFERROR(ROUND(SUMPRODUCT(H63:O63,$H$8:$O$8)/SUMPRODUCT(ISNUMBER(H63:O63)*$H$8:$O$8),2),""))))</f>
        <v/>
      </c>
      <c r="Q63" s="75"/>
      <c r="R63" s="76"/>
      <c r="S63" s="76"/>
      <c r="T63" s="76"/>
      <c r="U63" s="76"/>
      <c r="V63" s="76"/>
      <c r="W63" s="76"/>
      <c r="X63" s="76"/>
      <c r="Y63" s="76"/>
      <c r="Z63" s="77" t="str">
        <f aca="false">IF(B63="","",IF($Q63="NON",0,IF(COUNT(R63:Y63)=0,"",IFERROR(ROUND(SUMPRODUCT(R63:Y63,$R$8:$Y$8)/SUMPRODUCT(ISNUMBER(R63:Y63)*$R$8:$Y$8),2),""))))</f>
        <v/>
      </c>
      <c r="AA63" s="75"/>
      <c r="AB63" s="76"/>
      <c r="AC63" s="76"/>
      <c r="AD63" s="76"/>
      <c r="AE63" s="76"/>
      <c r="AF63" s="76"/>
      <c r="AG63" s="76"/>
      <c r="AH63" s="76"/>
      <c r="AI63" s="76"/>
      <c r="AJ63" s="77" t="str">
        <f aca="false">IF(B63="","",IF($AA63="NON",0,IF(COUNT(AB63:AI63)=0,"",IFERROR(ROUND(SUMPRODUCT(AB63:AI63,$AB$8:$AI$8)/SUMPRODUCT(ISNUMBER(AB63:AI63)*$AB$8:$AI$8),2),""))))</f>
        <v/>
      </c>
      <c r="AK63" s="75"/>
      <c r="AL63" s="76"/>
      <c r="AM63" s="76"/>
      <c r="AN63" s="76"/>
      <c r="AO63" s="76"/>
      <c r="AP63" s="76"/>
      <c r="AQ63" s="76"/>
      <c r="AR63" s="76"/>
      <c r="AS63" s="76"/>
      <c r="AT63" s="77" t="str">
        <f aca="false">IF(B63="","",IF($AK63="NON",0,IF(COUNT(AL63:AS63)=0,"",IFERROR(ROUND(SUMPRODUCT(AL63:AS63,$AL$8:$AS$8)/SUMPRODUCT(ISNUMBER(AL63:AS63)*$AL$8:$AS$8),2),""))))</f>
        <v/>
      </c>
      <c r="AU63" s="51" t="str">
        <f aca="false">IFERROR(MATCH("CP-54",'REGISTRE ELEVES'!$AI$10:$AI$250,0),"")</f>
        <v/>
      </c>
    </row>
    <row r="64" customFormat="false" ht="15" hidden="false" customHeight="false" outlineLevel="0" collapsed="false">
      <c r="A64" s="73" t="str">
        <f aca="false">IF(B64="","",55)</f>
        <v/>
      </c>
      <c r="B64" s="73" t="str">
        <f aca="false">IF($AU64="","",INDEX('REGISTRE ELEVES'!$B$10:$B$250,$AU64))</f>
        <v/>
      </c>
      <c r="C64" s="74" t="str">
        <f aca="false">IF($AU64="","",INDEX('REGISTRE ELEVES'!$D$10:$D$250,$AU64))</f>
        <v/>
      </c>
      <c r="D64" s="73" t="str">
        <f aca="false">IF($AU64="","",INDEX('REGISTRE ELEVES'!$E$10:$E$250,$AU64))</f>
        <v/>
      </c>
      <c r="E64" s="73" t="str">
        <f aca="false">IF($AU64="","",INDEX('REGISTRE ELEVES'!$F$10:$F$250,$AU64))</f>
        <v/>
      </c>
      <c r="F64" s="73" t="str">
        <f aca="false">IF($AU64="","",INDEX('REGISTRE ELEVES'!$AE$10:$AE$250,$AU64))</f>
        <v/>
      </c>
      <c r="G64" s="75"/>
      <c r="H64" s="76"/>
      <c r="I64" s="76"/>
      <c r="J64" s="76"/>
      <c r="K64" s="76"/>
      <c r="L64" s="76"/>
      <c r="M64" s="76"/>
      <c r="N64" s="76"/>
      <c r="O64" s="76"/>
      <c r="P64" s="77" t="str">
        <f aca="false">IF(B64="","",IF($G64="NON",0,IF(COUNT(H64:O64)=0,"",IFERROR(ROUND(SUMPRODUCT(H64:O64,$H$8:$O$8)/SUMPRODUCT(ISNUMBER(H64:O64)*$H$8:$O$8),2),""))))</f>
        <v/>
      </c>
      <c r="Q64" s="75"/>
      <c r="R64" s="76"/>
      <c r="S64" s="76"/>
      <c r="T64" s="76"/>
      <c r="U64" s="76"/>
      <c r="V64" s="76"/>
      <c r="W64" s="76"/>
      <c r="X64" s="76"/>
      <c r="Y64" s="76"/>
      <c r="Z64" s="77" t="str">
        <f aca="false">IF(B64="","",IF($Q64="NON",0,IF(COUNT(R64:Y64)=0,"",IFERROR(ROUND(SUMPRODUCT(R64:Y64,$R$8:$Y$8)/SUMPRODUCT(ISNUMBER(R64:Y64)*$R$8:$Y$8),2),""))))</f>
        <v/>
      </c>
      <c r="AA64" s="75"/>
      <c r="AB64" s="76"/>
      <c r="AC64" s="76"/>
      <c r="AD64" s="76"/>
      <c r="AE64" s="76"/>
      <c r="AF64" s="76"/>
      <c r="AG64" s="76"/>
      <c r="AH64" s="76"/>
      <c r="AI64" s="76"/>
      <c r="AJ64" s="77" t="str">
        <f aca="false">IF(B64="","",IF($AA64="NON",0,IF(COUNT(AB64:AI64)=0,"",IFERROR(ROUND(SUMPRODUCT(AB64:AI64,$AB$8:$AI$8)/SUMPRODUCT(ISNUMBER(AB64:AI64)*$AB$8:$AI$8),2),""))))</f>
        <v/>
      </c>
      <c r="AK64" s="75"/>
      <c r="AL64" s="76"/>
      <c r="AM64" s="76"/>
      <c r="AN64" s="76"/>
      <c r="AO64" s="76"/>
      <c r="AP64" s="76"/>
      <c r="AQ64" s="76"/>
      <c r="AR64" s="76"/>
      <c r="AS64" s="76"/>
      <c r="AT64" s="77" t="str">
        <f aca="false">IF(B64="","",IF($AK64="NON",0,IF(COUNT(AL64:AS64)=0,"",IFERROR(ROUND(SUMPRODUCT(AL64:AS64,$AL$8:$AS$8)/SUMPRODUCT(ISNUMBER(AL64:AS64)*$AL$8:$AS$8),2),""))))</f>
        <v/>
      </c>
      <c r="AU64" s="51" t="str">
        <f aca="false">IFERROR(MATCH("CP-55",'REGISTRE ELEVES'!$AI$10:$AI$250,0),"")</f>
        <v/>
      </c>
    </row>
    <row r="65" customFormat="false" ht="15" hidden="false" customHeight="false" outlineLevel="0" collapsed="false">
      <c r="A65" s="73" t="str">
        <f aca="false">IF(B65="","",56)</f>
        <v/>
      </c>
      <c r="B65" s="73" t="str">
        <f aca="false">IF($AU65="","",INDEX('REGISTRE ELEVES'!$B$10:$B$250,$AU65))</f>
        <v/>
      </c>
      <c r="C65" s="74" t="str">
        <f aca="false">IF($AU65="","",INDEX('REGISTRE ELEVES'!$D$10:$D$250,$AU65))</f>
        <v/>
      </c>
      <c r="D65" s="73" t="str">
        <f aca="false">IF($AU65="","",INDEX('REGISTRE ELEVES'!$E$10:$E$250,$AU65))</f>
        <v/>
      </c>
      <c r="E65" s="73" t="str">
        <f aca="false">IF($AU65="","",INDEX('REGISTRE ELEVES'!$F$10:$F$250,$AU65))</f>
        <v/>
      </c>
      <c r="F65" s="73" t="str">
        <f aca="false">IF($AU65="","",INDEX('REGISTRE ELEVES'!$AE$10:$AE$250,$AU65))</f>
        <v/>
      </c>
      <c r="G65" s="75"/>
      <c r="H65" s="76"/>
      <c r="I65" s="76"/>
      <c r="J65" s="76"/>
      <c r="K65" s="76"/>
      <c r="L65" s="76"/>
      <c r="M65" s="76"/>
      <c r="N65" s="76"/>
      <c r="O65" s="76"/>
      <c r="P65" s="77" t="str">
        <f aca="false">IF(B65="","",IF($G65="NON",0,IF(COUNT(H65:O65)=0,"",IFERROR(ROUND(SUMPRODUCT(H65:O65,$H$8:$O$8)/SUMPRODUCT(ISNUMBER(H65:O65)*$H$8:$O$8),2),""))))</f>
        <v/>
      </c>
      <c r="Q65" s="75"/>
      <c r="R65" s="76"/>
      <c r="S65" s="76"/>
      <c r="T65" s="76"/>
      <c r="U65" s="76"/>
      <c r="V65" s="76"/>
      <c r="W65" s="76"/>
      <c r="X65" s="76"/>
      <c r="Y65" s="76"/>
      <c r="Z65" s="77" t="str">
        <f aca="false">IF(B65="","",IF($Q65="NON",0,IF(COUNT(R65:Y65)=0,"",IFERROR(ROUND(SUMPRODUCT(R65:Y65,$R$8:$Y$8)/SUMPRODUCT(ISNUMBER(R65:Y65)*$R$8:$Y$8),2),""))))</f>
        <v/>
      </c>
      <c r="AA65" s="75"/>
      <c r="AB65" s="76"/>
      <c r="AC65" s="76"/>
      <c r="AD65" s="76"/>
      <c r="AE65" s="76"/>
      <c r="AF65" s="76"/>
      <c r="AG65" s="76"/>
      <c r="AH65" s="76"/>
      <c r="AI65" s="76"/>
      <c r="AJ65" s="77" t="str">
        <f aca="false">IF(B65="","",IF($AA65="NON",0,IF(COUNT(AB65:AI65)=0,"",IFERROR(ROUND(SUMPRODUCT(AB65:AI65,$AB$8:$AI$8)/SUMPRODUCT(ISNUMBER(AB65:AI65)*$AB$8:$AI$8),2),""))))</f>
        <v/>
      </c>
      <c r="AK65" s="75"/>
      <c r="AL65" s="76"/>
      <c r="AM65" s="76"/>
      <c r="AN65" s="76"/>
      <c r="AO65" s="76"/>
      <c r="AP65" s="76"/>
      <c r="AQ65" s="76"/>
      <c r="AR65" s="76"/>
      <c r="AS65" s="76"/>
      <c r="AT65" s="77" t="str">
        <f aca="false">IF(B65="","",IF($AK65="NON",0,IF(COUNT(AL65:AS65)=0,"",IFERROR(ROUND(SUMPRODUCT(AL65:AS65,$AL$8:$AS$8)/SUMPRODUCT(ISNUMBER(AL65:AS65)*$AL$8:$AS$8),2),""))))</f>
        <v/>
      </c>
      <c r="AU65" s="51" t="str">
        <f aca="false">IFERROR(MATCH("CP-56",'REGISTRE ELEVES'!$AI$10:$AI$250,0),"")</f>
        <v/>
      </c>
    </row>
    <row r="66" customFormat="false" ht="15" hidden="false" customHeight="false" outlineLevel="0" collapsed="false">
      <c r="A66" s="73" t="str">
        <f aca="false">IF(B66="","",57)</f>
        <v/>
      </c>
      <c r="B66" s="73" t="str">
        <f aca="false">IF($AU66="","",INDEX('REGISTRE ELEVES'!$B$10:$B$250,$AU66))</f>
        <v/>
      </c>
      <c r="C66" s="74" t="str">
        <f aca="false">IF($AU66="","",INDEX('REGISTRE ELEVES'!$D$10:$D$250,$AU66))</f>
        <v/>
      </c>
      <c r="D66" s="73" t="str">
        <f aca="false">IF($AU66="","",INDEX('REGISTRE ELEVES'!$E$10:$E$250,$AU66))</f>
        <v/>
      </c>
      <c r="E66" s="73" t="str">
        <f aca="false">IF($AU66="","",INDEX('REGISTRE ELEVES'!$F$10:$F$250,$AU66))</f>
        <v/>
      </c>
      <c r="F66" s="73" t="str">
        <f aca="false">IF($AU66="","",INDEX('REGISTRE ELEVES'!$AE$10:$AE$250,$AU66))</f>
        <v/>
      </c>
      <c r="G66" s="75"/>
      <c r="H66" s="76"/>
      <c r="I66" s="76"/>
      <c r="J66" s="76"/>
      <c r="K66" s="76"/>
      <c r="L66" s="76"/>
      <c r="M66" s="76"/>
      <c r="N66" s="76"/>
      <c r="O66" s="76"/>
      <c r="P66" s="77" t="str">
        <f aca="false">IF(B66="","",IF($G66="NON",0,IF(COUNT(H66:O66)=0,"",IFERROR(ROUND(SUMPRODUCT(H66:O66,$H$8:$O$8)/SUMPRODUCT(ISNUMBER(H66:O66)*$H$8:$O$8),2),""))))</f>
        <v/>
      </c>
      <c r="Q66" s="75"/>
      <c r="R66" s="76"/>
      <c r="S66" s="76"/>
      <c r="T66" s="76"/>
      <c r="U66" s="76"/>
      <c r="V66" s="76"/>
      <c r="W66" s="76"/>
      <c r="X66" s="76"/>
      <c r="Y66" s="76"/>
      <c r="Z66" s="77" t="str">
        <f aca="false">IF(B66="","",IF($Q66="NON",0,IF(COUNT(R66:Y66)=0,"",IFERROR(ROUND(SUMPRODUCT(R66:Y66,$R$8:$Y$8)/SUMPRODUCT(ISNUMBER(R66:Y66)*$R$8:$Y$8),2),""))))</f>
        <v/>
      </c>
      <c r="AA66" s="75"/>
      <c r="AB66" s="76"/>
      <c r="AC66" s="76"/>
      <c r="AD66" s="76"/>
      <c r="AE66" s="76"/>
      <c r="AF66" s="76"/>
      <c r="AG66" s="76"/>
      <c r="AH66" s="76"/>
      <c r="AI66" s="76"/>
      <c r="AJ66" s="77" t="str">
        <f aca="false">IF(B66="","",IF($AA66="NON",0,IF(COUNT(AB66:AI66)=0,"",IFERROR(ROUND(SUMPRODUCT(AB66:AI66,$AB$8:$AI$8)/SUMPRODUCT(ISNUMBER(AB66:AI66)*$AB$8:$AI$8),2),""))))</f>
        <v/>
      </c>
      <c r="AK66" s="75"/>
      <c r="AL66" s="76"/>
      <c r="AM66" s="76"/>
      <c r="AN66" s="76"/>
      <c r="AO66" s="76"/>
      <c r="AP66" s="76"/>
      <c r="AQ66" s="76"/>
      <c r="AR66" s="76"/>
      <c r="AS66" s="76"/>
      <c r="AT66" s="77" t="str">
        <f aca="false">IF(B66="","",IF($AK66="NON",0,IF(COUNT(AL66:AS66)=0,"",IFERROR(ROUND(SUMPRODUCT(AL66:AS66,$AL$8:$AS$8)/SUMPRODUCT(ISNUMBER(AL66:AS66)*$AL$8:$AS$8),2),""))))</f>
        <v/>
      </c>
      <c r="AU66" s="51" t="str">
        <f aca="false">IFERROR(MATCH("CP-57",'REGISTRE ELEVES'!$AI$10:$AI$250,0),"")</f>
        <v/>
      </c>
    </row>
    <row r="67" customFormat="false" ht="15" hidden="false" customHeight="false" outlineLevel="0" collapsed="false">
      <c r="A67" s="73" t="str">
        <f aca="false">IF(B67="","",58)</f>
        <v/>
      </c>
      <c r="B67" s="73" t="str">
        <f aca="false">IF($AU67="","",INDEX('REGISTRE ELEVES'!$B$10:$B$250,$AU67))</f>
        <v/>
      </c>
      <c r="C67" s="74" t="str">
        <f aca="false">IF($AU67="","",INDEX('REGISTRE ELEVES'!$D$10:$D$250,$AU67))</f>
        <v/>
      </c>
      <c r="D67" s="73" t="str">
        <f aca="false">IF($AU67="","",INDEX('REGISTRE ELEVES'!$E$10:$E$250,$AU67))</f>
        <v/>
      </c>
      <c r="E67" s="73" t="str">
        <f aca="false">IF($AU67="","",INDEX('REGISTRE ELEVES'!$F$10:$F$250,$AU67))</f>
        <v/>
      </c>
      <c r="F67" s="73" t="str">
        <f aca="false">IF($AU67="","",INDEX('REGISTRE ELEVES'!$AE$10:$AE$250,$AU67))</f>
        <v/>
      </c>
      <c r="G67" s="75"/>
      <c r="H67" s="76"/>
      <c r="I67" s="76"/>
      <c r="J67" s="76"/>
      <c r="K67" s="76"/>
      <c r="L67" s="76"/>
      <c r="M67" s="76"/>
      <c r="N67" s="76"/>
      <c r="O67" s="76"/>
      <c r="P67" s="77" t="str">
        <f aca="false">IF(B67="","",IF($G67="NON",0,IF(COUNT(H67:O67)=0,"",IFERROR(ROUND(SUMPRODUCT(H67:O67,$H$8:$O$8)/SUMPRODUCT(ISNUMBER(H67:O67)*$H$8:$O$8),2),""))))</f>
        <v/>
      </c>
      <c r="Q67" s="75"/>
      <c r="R67" s="76"/>
      <c r="S67" s="76"/>
      <c r="T67" s="76"/>
      <c r="U67" s="76"/>
      <c r="V67" s="76"/>
      <c r="W67" s="76"/>
      <c r="X67" s="76"/>
      <c r="Y67" s="76"/>
      <c r="Z67" s="77" t="str">
        <f aca="false">IF(B67="","",IF($Q67="NON",0,IF(COUNT(R67:Y67)=0,"",IFERROR(ROUND(SUMPRODUCT(R67:Y67,$R$8:$Y$8)/SUMPRODUCT(ISNUMBER(R67:Y67)*$R$8:$Y$8),2),""))))</f>
        <v/>
      </c>
      <c r="AA67" s="75"/>
      <c r="AB67" s="76"/>
      <c r="AC67" s="76"/>
      <c r="AD67" s="76"/>
      <c r="AE67" s="76"/>
      <c r="AF67" s="76"/>
      <c r="AG67" s="76"/>
      <c r="AH67" s="76"/>
      <c r="AI67" s="76"/>
      <c r="AJ67" s="77" t="str">
        <f aca="false">IF(B67="","",IF($AA67="NON",0,IF(COUNT(AB67:AI67)=0,"",IFERROR(ROUND(SUMPRODUCT(AB67:AI67,$AB$8:$AI$8)/SUMPRODUCT(ISNUMBER(AB67:AI67)*$AB$8:$AI$8),2),""))))</f>
        <v/>
      </c>
      <c r="AK67" s="75"/>
      <c r="AL67" s="76"/>
      <c r="AM67" s="76"/>
      <c r="AN67" s="76"/>
      <c r="AO67" s="76"/>
      <c r="AP67" s="76"/>
      <c r="AQ67" s="76"/>
      <c r="AR67" s="76"/>
      <c r="AS67" s="76"/>
      <c r="AT67" s="77" t="str">
        <f aca="false">IF(B67="","",IF($AK67="NON",0,IF(COUNT(AL67:AS67)=0,"",IFERROR(ROUND(SUMPRODUCT(AL67:AS67,$AL$8:$AS$8)/SUMPRODUCT(ISNUMBER(AL67:AS67)*$AL$8:$AS$8),2),""))))</f>
        <v/>
      </c>
      <c r="AU67" s="51" t="str">
        <f aca="false">IFERROR(MATCH("CP-58",'REGISTRE ELEVES'!$AI$10:$AI$250,0),"")</f>
        <v/>
      </c>
    </row>
    <row r="68" customFormat="false" ht="15" hidden="false" customHeight="false" outlineLevel="0" collapsed="false">
      <c r="A68" s="73" t="str">
        <f aca="false">IF(B68="","",59)</f>
        <v/>
      </c>
      <c r="B68" s="73" t="str">
        <f aca="false">IF($AU68="","",INDEX('REGISTRE ELEVES'!$B$10:$B$250,$AU68))</f>
        <v/>
      </c>
      <c r="C68" s="74" t="str">
        <f aca="false">IF($AU68="","",INDEX('REGISTRE ELEVES'!$D$10:$D$250,$AU68))</f>
        <v/>
      </c>
      <c r="D68" s="73" t="str">
        <f aca="false">IF($AU68="","",INDEX('REGISTRE ELEVES'!$E$10:$E$250,$AU68))</f>
        <v/>
      </c>
      <c r="E68" s="73" t="str">
        <f aca="false">IF($AU68="","",INDEX('REGISTRE ELEVES'!$F$10:$F$250,$AU68))</f>
        <v/>
      </c>
      <c r="F68" s="73" t="str">
        <f aca="false">IF($AU68="","",INDEX('REGISTRE ELEVES'!$AE$10:$AE$250,$AU68))</f>
        <v/>
      </c>
      <c r="G68" s="75"/>
      <c r="H68" s="76"/>
      <c r="I68" s="76"/>
      <c r="J68" s="76"/>
      <c r="K68" s="76"/>
      <c r="L68" s="76"/>
      <c r="M68" s="76"/>
      <c r="N68" s="76"/>
      <c r="O68" s="76"/>
      <c r="P68" s="77" t="str">
        <f aca="false">IF(B68="","",IF($G68="NON",0,IF(COUNT(H68:O68)=0,"",IFERROR(ROUND(SUMPRODUCT(H68:O68,$H$8:$O$8)/SUMPRODUCT(ISNUMBER(H68:O68)*$H$8:$O$8),2),""))))</f>
        <v/>
      </c>
      <c r="Q68" s="75"/>
      <c r="R68" s="76"/>
      <c r="S68" s="76"/>
      <c r="T68" s="76"/>
      <c r="U68" s="76"/>
      <c r="V68" s="76"/>
      <c r="W68" s="76"/>
      <c r="X68" s="76"/>
      <c r="Y68" s="76"/>
      <c r="Z68" s="77" t="str">
        <f aca="false">IF(B68="","",IF($Q68="NON",0,IF(COUNT(R68:Y68)=0,"",IFERROR(ROUND(SUMPRODUCT(R68:Y68,$R$8:$Y$8)/SUMPRODUCT(ISNUMBER(R68:Y68)*$R$8:$Y$8),2),""))))</f>
        <v/>
      </c>
      <c r="AA68" s="75"/>
      <c r="AB68" s="76"/>
      <c r="AC68" s="76"/>
      <c r="AD68" s="76"/>
      <c r="AE68" s="76"/>
      <c r="AF68" s="76"/>
      <c r="AG68" s="76"/>
      <c r="AH68" s="76"/>
      <c r="AI68" s="76"/>
      <c r="AJ68" s="77" t="str">
        <f aca="false">IF(B68="","",IF($AA68="NON",0,IF(COUNT(AB68:AI68)=0,"",IFERROR(ROUND(SUMPRODUCT(AB68:AI68,$AB$8:$AI$8)/SUMPRODUCT(ISNUMBER(AB68:AI68)*$AB$8:$AI$8),2),""))))</f>
        <v/>
      </c>
      <c r="AK68" s="75"/>
      <c r="AL68" s="76"/>
      <c r="AM68" s="76"/>
      <c r="AN68" s="76"/>
      <c r="AO68" s="76"/>
      <c r="AP68" s="76"/>
      <c r="AQ68" s="76"/>
      <c r="AR68" s="76"/>
      <c r="AS68" s="76"/>
      <c r="AT68" s="77" t="str">
        <f aca="false">IF(B68="","",IF($AK68="NON",0,IF(COUNT(AL68:AS68)=0,"",IFERROR(ROUND(SUMPRODUCT(AL68:AS68,$AL$8:$AS$8)/SUMPRODUCT(ISNUMBER(AL68:AS68)*$AL$8:$AS$8),2),""))))</f>
        <v/>
      </c>
      <c r="AU68" s="51" t="str">
        <f aca="false">IFERROR(MATCH("CP-59",'REGISTRE ELEVES'!$AI$10:$AI$250,0),"")</f>
        <v/>
      </c>
    </row>
    <row r="69" customFormat="false" ht="15" hidden="false" customHeight="false" outlineLevel="0" collapsed="false">
      <c r="A69" s="73" t="str">
        <f aca="false">IF(B69="","",60)</f>
        <v/>
      </c>
      <c r="B69" s="73" t="str">
        <f aca="false">IF($AU69="","",INDEX('REGISTRE ELEVES'!$B$10:$B$250,$AU69))</f>
        <v/>
      </c>
      <c r="C69" s="74" t="str">
        <f aca="false">IF($AU69="","",INDEX('REGISTRE ELEVES'!$D$10:$D$250,$AU69))</f>
        <v/>
      </c>
      <c r="D69" s="73" t="str">
        <f aca="false">IF($AU69="","",INDEX('REGISTRE ELEVES'!$E$10:$E$250,$AU69))</f>
        <v/>
      </c>
      <c r="E69" s="73" t="str">
        <f aca="false">IF($AU69="","",INDEX('REGISTRE ELEVES'!$F$10:$F$250,$AU69))</f>
        <v/>
      </c>
      <c r="F69" s="73" t="str">
        <f aca="false">IF($AU69="","",INDEX('REGISTRE ELEVES'!$AE$10:$AE$250,$AU69))</f>
        <v/>
      </c>
      <c r="G69" s="75"/>
      <c r="H69" s="76"/>
      <c r="I69" s="76"/>
      <c r="J69" s="76"/>
      <c r="K69" s="76"/>
      <c r="L69" s="76"/>
      <c r="M69" s="76"/>
      <c r="N69" s="76"/>
      <c r="O69" s="76"/>
      <c r="P69" s="77" t="str">
        <f aca="false">IF(B69="","",IF($G69="NON",0,IF(COUNT(H69:O69)=0,"",IFERROR(ROUND(SUMPRODUCT(H69:O69,$H$8:$O$8)/SUMPRODUCT(ISNUMBER(H69:O69)*$H$8:$O$8),2),""))))</f>
        <v/>
      </c>
      <c r="Q69" s="75"/>
      <c r="R69" s="76"/>
      <c r="S69" s="76"/>
      <c r="T69" s="76"/>
      <c r="U69" s="76"/>
      <c r="V69" s="76"/>
      <c r="W69" s="76"/>
      <c r="X69" s="76"/>
      <c r="Y69" s="76"/>
      <c r="Z69" s="77" t="str">
        <f aca="false">IF(B69="","",IF($Q69="NON",0,IF(COUNT(R69:Y69)=0,"",IFERROR(ROUND(SUMPRODUCT(R69:Y69,$R$8:$Y$8)/SUMPRODUCT(ISNUMBER(R69:Y69)*$R$8:$Y$8),2),""))))</f>
        <v/>
      </c>
      <c r="AA69" s="75"/>
      <c r="AB69" s="76"/>
      <c r="AC69" s="76"/>
      <c r="AD69" s="76"/>
      <c r="AE69" s="76"/>
      <c r="AF69" s="76"/>
      <c r="AG69" s="76"/>
      <c r="AH69" s="76"/>
      <c r="AI69" s="76"/>
      <c r="AJ69" s="77" t="str">
        <f aca="false">IF(B69="","",IF($AA69="NON",0,IF(COUNT(AB69:AI69)=0,"",IFERROR(ROUND(SUMPRODUCT(AB69:AI69,$AB$8:$AI$8)/SUMPRODUCT(ISNUMBER(AB69:AI69)*$AB$8:$AI$8),2),""))))</f>
        <v/>
      </c>
      <c r="AK69" s="75"/>
      <c r="AL69" s="76"/>
      <c r="AM69" s="76"/>
      <c r="AN69" s="76"/>
      <c r="AO69" s="76"/>
      <c r="AP69" s="76"/>
      <c r="AQ69" s="76"/>
      <c r="AR69" s="76"/>
      <c r="AS69" s="76"/>
      <c r="AT69" s="77" t="str">
        <f aca="false">IF(B69="","",IF($AK69="NON",0,IF(COUNT(AL69:AS69)=0,"",IFERROR(ROUND(SUMPRODUCT(AL69:AS69,$AL$8:$AS$8)/SUMPRODUCT(ISNUMBER(AL69:AS69)*$AL$8:$AS$8),2),""))))</f>
        <v/>
      </c>
      <c r="AU69" s="51" t="str">
        <f aca="false">IFERROR(MATCH("CP-60",'REGISTRE ELEVES'!$AI$10:$AI$250,0),"")</f>
        <v/>
      </c>
    </row>
    <row r="70" customFormat="false" ht="15" hidden="false" customHeight="false" outlineLevel="0" collapsed="false">
      <c r="A70" s="73" t="str">
        <f aca="false">IF(B70="","",61)</f>
        <v/>
      </c>
      <c r="B70" s="73" t="str">
        <f aca="false">IF($AU70="","",INDEX('REGISTRE ELEVES'!$B$10:$B$250,$AU70))</f>
        <v/>
      </c>
      <c r="C70" s="74" t="str">
        <f aca="false">IF($AU70="","",INDEX('REGISTRE ELEVES'!$D$10:$D$250,$AU70))</f>
        <v/>
      </c>
      <c r="D70" s="73" t="str">
        <f aca="false">IF($AU70="","",INDEX('REGISTRE ELEVES'!$E$10:$E$250,$AU70))</f>
        <v/>
      </c>
      <c r="E70" s="73" t="str">
        <f aca="false">IF($AU70="","",INDEX('REGISTRE ELEVES'!$F$10:$F$250,$AU70))</f>
        <v/>
      </c>
      <c r="F70" s="73" t="str">
        <f aca="false">IF($AU70="","",INDEX('REGISTRE ELEVES'!$AE$10:$AE$250,$AU70))</f>
        <v/>
      </c>
      <c r="G70" s="75"/>
      <c r="H70" s="76"/>
      <c r="I70" s="76"/>
      <c r="J70" s="76"/>
      <c r="K70" s="76"/>
      <c r="L70" s="76"/>
      <c r="M70" s="76"/>
      <c r="N70" s="76"/>
      <c r="O70" s="76"/>
      <c r="P70" s="77" t="str">
        <f aca="false">IF(B70="","",IF($G70="NON",0,IF(COUNT(H70:O70)=0,"",IFERROR(ROUND(SUMPRODUCT(H70:O70,$H$8:$O$8)/SUMPRODUCT(ISNUMBER(H70:O70)*$H$8:$O$8),2),""))))</f>
        <v/>
      </c>
      <c r="Q70" s="75"/>
      <c r="R70" s="76"/>
      <c r="S70" s="76"/>
      <c r="T70" s="76"/>
      <c r="U70" s="76"/>
      <c r="V70" s="76"/>
      <c r="W70" s="76"/>
      <c r="X70" s="76"/>
      <c r="Y70" s="76"/>
      <c r="Z70" s="77" t="str">
        <f aca="false">IF(B70="","",IF($Q70="NON",0,IF(COUNT(R70:Y70)=0,"",IFERROR(ROUND(SUMPRODUCT(R70:Y70,$R$8:$Y$8)/SUMPRODUCT(ISNUMBER(R70:Y70)*$R$8:$Y$8),2),""))))</f>
        <v/>
      </c>
      <c r="AA70" s="75"/>
      <c r="AB70" s="76"/>
      <c r="AC70" s="76"/>
      <c r="AD70" s="76"/>
      <c r="AE70" s="76"/>
      <c r="AF70" s="76"/>
      <c r="AG70" s="76"/>
      <c r="AH70" s="76"/>
      <c r="AI70" s="76"/>
      <c r="AJ70" s="77" t="str">
        <f aca="false">IF(B70="","",IF($AA70="NON",0,IF(COUNT(AB70:AI70)=0,"",IFERROR(ROUND(SUMPRODUCT(AB70:AI70,$AB$8:$AI$8)/SUMPRODUCT(ISNUMBER(AB70:AI70)*$AB$8:$AI$8),2),""))))</f>
        <v/>
      </c>
      <c r="AK70" s="75"/>
      <c r="AL70" s="76"/>
      <c r="AM70" s="76"/>
      <c r="AN70" s="76"/>
      <c r="AO70" s="76"/>
      <c r="AP70" s="76"/>
      <c r="AQ70" s="76"/>
      <c r="AR70" s="76"/>
      <c r="AS70" s="76"/>
      <c r="AT70" s="77" t="str">
        <f aca="false">IF(B70="","",IF($AK70="NON",0,IF(COUNT(AL70:AS70)=0,"",IFERROR(ROUND(SUMPRODUCT(AL70:AS70,$AL$8:$AS$8)/SUMPRODUCT(ISNUMBER(AL70:AS70)*$AL$8:$AS$8),2),""))))</f>
        <v/>
      </c>
      <c r="AU70" s="51" t="str">
        <f aca="false">IFERROR(MATCH("CP-61",'REGISTRE ELEVES'!$AI$10:$AI$250,0),"")</f>
        <v/>
      </c>
    </row>
    <row r="71" customFormat="false" ht="15" hidden="false" customHeight="false" outlineLevel="0" collapsed="false">
      <c r="A71" s="73" t="str">
        <f aca="false">IF(B71="","",62)</f>
        <v/>
      </c>
      <c r="B71" s="73" t="str">
        <f aca="false">IF($AU71="","",INDEX('REGISTRE ELEVES'!$B$10:$B$250,$AU71))</f>
        <v/>
      </c>
      <c r="C71" s="74" t="str">
        <f aca="false">IF($AU71="","",INDEX('REGISTRE ELEVES'!$D$10:$D$250,$AU71))</f>
        <v/>
      </c>
      <c r="D71" s="73" t="str">
        <f aca="false">IF($AU71="","",INDEX('REGISTRE ELEVES'!$E$10:$E$250,$AU71))</f>
        <v/>
      </c>
      <c r="E71" s="73" t="str">
        <f aca="false">IF($AU71="","",INDEX('REGISTRE ELEVES'!$F$10:$F$250,$AU71))</f>
        <v/>
      </c>
      <c r="F71" s="73" t="str">
        <f aca="false">IF($AU71="","",INDEX('REGISTRE ELEVES'!$AE$10:$AE$250,$AU71))</f>
        <v/>
      </c>
      <c r="G71" s="75"/>
      <c r="H71" s="76"/>
      <c r="I71" s="76"/>
      <c r="J71" s="76"/>
      <c r="K71" s="76"/>
      <c r="L71" s="76"/>
      <c r="M71" s="76"/>
      <c r="N71" s="76"/>
      <c r="O71" s="76"/>
      <c r="P71" s="77" t="str">
        <f aca="false">IF(B71="","",IF($G71="NON",0,IF(COUNT(H71:O71)=0,"",IFERROR(ROUND(SUMPRODUCT(H71:O71,$H$8:$O$8)/SUMPRODUCT(ISNUMBER(H71:O71)*$H$8:$O$8),2),""))))</f>
        <v/>
      </c>
      <c r="Q71" s="75"/>
      <c r="R71" s="76"/>
      <c r="S71" s="76"/>
      <c r="T71" s="76"/>
      <c r="U71" s="76"/>
      <c r="V71" s="76"/>
      <c r="W71" s="76"/>
      <c r="X71" s="76"/>
      <c r="Y71" s="76"/>
      <c r="Z71" s="77" t="str">
        <f aca="false">IF(B71="","",IF($Q71="NON",0,IF(COUNT(R71:Y71)=0,"",IFERROR(ROUND(SUMPRODUCT(R71:Y71,$R$8:$Y$8)/SUMPRODUCT(ISNUMBER(R71:Y71)*$R$8:$Y$8),2),""))))</f>
        <v/>
      </c>
      <c r="AA71" s="75"/>
      <c r="AB71" s="76"/>
      <c r="AC71" s="76"/>
      <c r="AD71" s="76"/>
      <c r="AE71" s="76"/>
      <c r="AF71" s="76"/>
      <c r="AG71" s="76"/>
      <c r="AH71" s="76"/>
      <c r="AI71" s="76"/>
      <c r="AJ71" s="77" t="str">
        <f aca="false">IF(B71="","",IF($AA71="NON",0,IF(COUNT(AB71:AI71)=0,"",IFERROR(ROUND(SUMPRODUCT(AB71:AI71,$AB$8:$AI$8)/SUMPRODUCT(ISNUMBER(AB71:AI71)*$AB$8:$AI$8),2),""))))</f>
        <v/>
      </c>
      <c r="AK71" s="75"/>
      <c r="AL71" s="76"/>
      <c r="AM71" s="76"/>
      <c r="AN71" s="76"/>
      <c r="AO71" s="76"/>
      <c r="AP71" s="76"/>
      <c r="AQ71" s="76"/>
      <c r="AR71" s="76"/>
      <c r="AS71" s="76"/>
      <c r="AT71" s="77" t="str">
        <f aca="false">IF(B71="","",IF($AK71="NON",0,IF(COUNT(AL71:AS71)=0,"",IFERROR(ROUND(SUMPRODUCT(AL71:AS71,$AL$8:$AS$8)/SUMPRODUCT(ISNUMBER(AL71:AS71)*$AL$8:$AS$8),2),""))))</f>
        <v/>
      </c>
      <c r="AU71" s="51" t="str">
        <f aca="false">IFERROR(MATCH("CP-62",'REGISTRE ELEVES'!$AI$10:$AI$250,0),"")</f>
        <v/>
      </c>
    </row>
    <row r="72" customFormat="false" ht="15" hidden="false" customHeight="false" outlineLevel="0" collapsed="false">
      <c r="A72" s="73" t="str">
        <f aca="false">IF(B72="","",63)</f>
        <v/>
      </c>
      <c r="B72" s="73" t="str">
        <f aca="false">IF($AU72="","",INDEX('REGISTRE ELEVES'!$B$10:$B$250,$AU72))</f>
        <v/>
      </c>
      <c r="C72" s="74" t="str">
        <f aca="false">IF($AU72="","",INDEX('REGISTRE ELEVES'!$D$10:$D$250,$AU72))</f>
        <v/>
      </c>
      <c r="D72" s="73" t="str">
        <f aca="false">IF($AU72="","",INDEX('REGISTRE ELEVES'!$E$10:$E$250,$AU72))</f>
        <v/>
      </c>
      <c r="E72" s="73" t="str">
        <f aca="false">IF($AU72="","",INDEX('REGISTRE ELEVES'!$F$10:$F$250,$AU72))</f>
        <v/>
      </c>
      <c r="F72" s="73" t="str">
        <f aca="false">IF($AU72="","",INDEX('REGISTRE ELEVES'!$AE$10:$AE$250,$AU72))</f>
        <v/>
      </c>
      <c r="G72" s="75"/>
      <c r="H72" s="76"/>
      <c r="I72" s="76"/>
      <c r="J72" s="76"/>
      <c r="K72" s="76"/>
      <c r="L72" s="76"/>
      <c r="M72" s="76"/>
      <c r="N72" s="76"/>
      <c r="O72" s="76"/>
      <c r="P72" s="77" t="str">
        <f aca="false">IF(B72="","",IF($G72="NON",0,IF(COUNT(H72:O72)=0,"",IFERROR(ROUND(SUMPRODUCT(H72:O72,$H$8:$O$8)/SUMPRODUCT(ISNUMBER(H72:O72)*$H$8:$O$8),2),""))))</f>
        <v/>
      </c>
      <c r="Q72" s="75"/>
      <c r="R72" s="76"/>
      <c r="S72" s="76"/>
      <c r="T72" s="76"/>
      <c r="U72" s="76"/>
      <c r="V72" s="76"/>
      <c r="W72" s="76"/>
      <c r="X72" s="76"/>
      <c r="Y72" s="76"/>
      <c r="Z72" s="77" t="str">
        <f aca="false">IF(B72="","",IF($Q72="NON",0,IF(COUNT(R72:Y72)=0,"",IFERROR(ROUND(SUMPRODUCT(R72:Y72,$R$8:$Y$8)/SUMPRODUCT(ISNUMBER(R72:Y72)*$R$8:$Y$8),2),""))))</f>
        <v/>
      </c>
      <c r="AA72" s="75"/>
      <c r="AB72" s="76"/>
      <c r="AC72" s="76"/>
      <c r="AD72" s="76"/>
      <c r="AE72" s="76"/>
      <c r="AF72" s="76"/>
      <c r="AG72" s="76"/>
      <c r="AH72" s="76"/>
      <c r="AI72" s="76"/>
      <c r="AJ72" s="77" t="str">
        <f aca="false">IF(B72="","",IF($AA72="NON",0,IF(COUNT(AB72:AI72)=0,"",IFERROR(ROUND(SUMPRODUCT(AB72:AI72,$AB$8:$AI$8)/SUMPRODUCT(ISNUMBER(AB72:AI72)*$AB$8:$AI$8),2),""))))</f>
        <v/>
      </c>
      <c r="AK72" s="75"/>
      <c r="AL72" s="76"/>
      <c r="AM72" s="76"/>
      <c r="AN72" s="76"/>
      <c r="AO72" s="76"/>
      <c r="AP72" s="76"/>
      <c r="AQ72" s="76"/>
      <c r="AR72" s="76"/>
      <c r="AS72" s="76"/>
      <c r="AT72" s="77" t="str">
        <f aca="false">IF(B72="","",IF($AK72="NON",0,IF(COUNT(AL72:AS72)=0,"",IFERROR(ROUND(SUMPRODUCT(AL72:AS72,$AL$8:$AS$8)/SUMPRODUCT(ISNUMBER(AL72:AS72)*$AL$8:$AS$8),2),""))))</f>
        <v/>
      </c>
      <c r="AU72" s="51" t="str">
        <f aca="false">IFERROR(MATCH("CP-63",'REGISTRE ELEVES'!$AI$10:$AI$250,0),"")</f>
        <v/>
      </c>
    </row>
    <row r="73" customFormat="false" ht="15" hidden="false" customHeight="false" outlineLevel="0" collapsed="false">
      <c r="A73" s="73" t="str">
        <f aca="false">IF(B73="","",64)</f>
        <v/>
      </c>
      <c r="B73" s="73" t="str">
        <f aca="false">IF($AU73="","",INDEX('REGISTRE ELEVES'!$B$10:$B$250,$AU73))</f>
        <v/>
      </c>
      <c r="C73" s="74" t="str">
        <f aca="false">IF($AU73="","",INDEX('REGISTRE ELEVES'!$D$10:$D$250,$AU73))</f>
        <v/>
      </c>
      <c r="D73" s="73" t="str">
        <f aca="false">IF($AU73="","",INDEX('REGISTRE ELEVES'!$E$10:$E$250,$AU73))</f>
        <v/>
      </c>
      <c r="E73" s="73" t="str">
        <f aca="false">IF($AU73="","",INDEX('REGISTRE ELEVES'!$F$10:$F$250,$AU73))</f>
        <v/>
      </c>
      <c r="F73" s="73" t="str">
        <f aca="false">IF($AU73="","",INDEX('REGISTRE ELEVES'!$AE$10:$AE$250,$AU73))</f>
        <v/>
      </c>
      <c r="G73" s="75"/>
      <c r="H73" s="76"/>
      <c r="I73" s="76"/>
      <c r="J73" s="76"/>
      <c r="K73" s="76"/>
      <c r="L73" s="76"/>
      <c r="M73" s="76"/>
      <c r="N73" s="76"/>
      <c r="O73" s="76"/>
      <c r="P73" s="77" t="str">
        <f aca="false">IF(B73="","",IF($G73="NON",0,IF(COUNT(H73:O73)=0,"",IFERROR(ROUND(SUMPRODUCT(H73:O73,$H$8:$O$8)/SUMPRODUCT(ISNUMBER(H73:O73)*$H$8:$O$8),2),""))))</f>
        <v/>
      </c>
      <c r="Q73" s="75"/>
      <c r="R73" s="76"/>
      <c r="S73" s="76"/>
      <c r="T73" s="76"/>
      <c r="U73" s="76"/>
      <c r="V73" s="76"/>
      <c r="W73" s="76"/>
      <c r="X73" s="76"/>
      <c r="Y73" s="76"/>
      <c r="Z73" s="77" t="str">
        <f aca="false">IF(B73="","",IF($Q73="NON",0,IF(COUNT(R73:Y73)=0,"",IFERROR(ROUND(SUMPRODUCT(R73:Y73,$R$8:$Y$8)/SUMPRODUCT(ISNUMBER(R73:Y73)*$R$8:$Y$8),2),""))))</f>
        <v/>
      </c>
      <c r="AA73" s="75"/>
      <c r="AB73" s="76"/>
      <c r="AC73" s="76"/>
      <c r="AD73" s="76"/>
      <c r="AE73" s="76"/>
      <c r="AF73" s="76"/>
      <c r="AG73" s="76"/>
      <c r="AH73" s="76"/>
      <c r="AI73" s="76"/>
      <c r="AJ73" s="77" t="str">
        <f aca="false">IF(B73="","",IF($AA73="NON",0,IF(COUNT(AB73:AI73)=0,"",IFERROR(ROUND(SUMPRODUCT(AB73:AI73,$AB$8:$AI$8)/SUMPRODUCT(ISNUMBER(AB73:AI73)*$AB$8:$AI$8),2),""))))</f>
        <v/>
      </c>
      <c r="AK73" s="75"/>
      <c r="AL73" s="76"/>
      <c r="AM73" s="76"/>
      <c r="AN73" s="76"/>
      <c r="AO73" s="76"/>
      <c r="AP73" s="76"/>
      <c r="AQ73" s="76"/>
      <c r="AR73" s="76"/>
      <c r="AS73" s="76"/>
      <c r="AT73" s="77" t="str">
        <f aca="false">IF(B73="","",IF($AK73="NON",0,IF(COUNT(AL73:AS73)=0,"",IFERROR(ROUND(SUMPRODUCT(AL73:AS73,$AL$8:$AS$8)/SUMPRODUCT(ISNUMBER(AL73:AS73)*$AL$8:$AS$8),2),""))))</f>
        <v/>
      </c>
      <c r="AU73" s="51" t="str">
        <f aca="false">IFERROR(MATCH("CP-64",'REGISTRE ELEVES'!$AI$10:$AI$250,0),"")</f>
        <v/>
      </c>
    </row>
    <row r="74" customFormat="false" ht="15" hidden="false" customHeight="false" outlineLevel="0" collapsed="false">
      <c r="A74" s="73" t="str">
        <f aca="false">IF(B74="","",65)</f>
        <v/>
      </c>
      <c r="B74" s="73" t="str">
        <f aca="false">IF($AU74="","",INDEX('REGISTRE ELEVES'!$B$10:$B$250,$AU74))</f>
        <v/>
      </c>
      <c r="C74" s="74" t="str">
        <f aca="false">IF($AU74="","",INDEX('REGISTRE ELEVES'!$D$10:$D$250,$AU74))</f>
        <v/>
      </c>
      <c r="D74" s="73" t="str">
        <f aca="false">IF($AU74="","",INDEX('REGISTRE ELEVES'!$E$10:$E$250,$AU74))</f>
        <v/>
      </c>
      <c r="E74" s="73" t="str">
        <f aca="false">IF($AU74="","",INDEX('REGISTRE ELEVES'!$F$10:$F$250,$AU74))</f>
        <v/>
      </c>
      <c r="F74" s="73" t="str">
        <f aca="false">IF($AU74="","",INDEX('REGISTRE ELEVES'!$AE$10:$AE$250,$AU74))</f>
        <v/>
      </c>
      <c r="G74" s="75"/>
      <c r="H74" s="76"/>
      <c r="I74" s="76"/>
      <c r="J74" s="76"/>
      <c r="K74" s="76"/>
      <c r="L74" s="76"/>
      <c r="M74" s="76"/>
      <c r="N74" s="76"/>
      <c r="O74" s="76"/>
      <c r="P74" s="77" t="str">
        <f aca="false">IF(B74="","",IF($G74="NON",0,IF(COUNT(H74:O74)=0,"",IFERROR(ROUND(SUMPRODUCT(H74:O74,$H$8:$O$8)/SUMPRODUCT(ISNUMBER(H74:O74)*$H$8:$O$8),2),""))))</f>
        <v/>
      </c>
      <c r="Q74" s="75"/>
      <c r="R74" s="76"/>
      <c r="S74" s="76"/>
      <c r="T74" s="76"/>
      <c r="U74" s="76"/>
      <c r="V74" s="76"/>
      <c r="W74" s="76"/>
      <c r="X74" s="76"/>
      <c r="Y74" s="76"/>
      <c r="Z74" s="77" t="str">
        <f aca="false">IF(B74="","",IF($Q74="NON",0,IF(COUNT(R74:Y74)=0,"",IFERROR(ROUND(SUMPRODUCT(R74:Y74,$R$8:$Y$8)/SUMPRODUCT(ISNUMBER(R74:Y74)*$R$8:$Y$8),2),""))))</f>
        <v/>
      </c>
      <c r="AA74" s="75"/>
      <c r="AB74" s="76"/>
      <c r="AC74" s="76"/>
      <c r="AD74" s="76"/>
      <c r="AE74" s="76"/>
      <c r="AF74" s="76"/>
      <c r="AG74" s="76"/>
      <c r="AH74" s="76"/>
      <c r="AI74" s="76"/>
      <c r="AJ74" s="77" t="str">
        <f aca="false">IF(B74="","",IF($AA74="NON",0,IF(COUNT(AB74:AI74)=0,"",IFERROR(ROUND(SUMPRODUCT(AB74:AI74,$AB$8:$AI$8)/SUMPRODUCT(ISNUMBER(AB74:AI74)*$AB$8:$AI$8),2),""))))</f>
        <v/>
      </c>
      <c r="AK74" s="75"/>
      <c r="AL74" s="76"/>
      <c r="AM74" s="76"/>
      <c r="AN74" s="76"/>
      <c r="AO74" s="76"/>
      <c r="AP74" s="76"/>
      <c r="AQ74" s="76"/>
      <c r="AR74" s="76"/>
      <c r="AS74" s="76"/>
      <c r="AT74" s="77" t="str">
        <f aca="false">IF(B74="","",IF($AK74="NON",0,IF(COUNT(AL74:AS74)=0,"",IFERROR(ROUND(SUMPRODUCT(AL74:AS74,$AL$8:$AS$8)/SUMPRODUCT(ISNUMBER(AL74:AS74)*$AL$8:$AS$8),2),""))))</f>
        <v/>
      </c>
      <c r="AU74" s="51" t="str">
        <f aca="false">IFERROR(MATCH("CP-65",'REGISTRE ELEVES'!$AI$10:$AI$250,0),"")</f>
        <v/>
      </c>
    </row>
    <row r="75" customFormat="false" ht="15" hidden="false" customHeight="false" outlineLevel="0" collapsed="false">
      <c r="A75" s="73" t="str">
        <f aca="false">IF(B75="","",66)</f>
        <v/>
      </c>
      <c r="B75" s="73" t="str">
        <f aca="false">IF($AU75="","",INDEX('REGISTRE ELEVES'!$B$10:$B$250,$AU75))</f>
        <v/>
      </c>
      <c r="C75" s="74" t="str">
        <f aca="false">IF($AU75="","",INDEX('REGISTRE ELEVES'!$D$10:$D$250,$AU75))</f>
        <v/>
      </c>
      <c r="D75" s="73" t="str">
        <f aca="false">IF($AU75="","",INDEX('REGISTRE ELEVES'!$E$10:$E$250,$AU75))</f>
        <v/>
      </c>
      <c r="E75" s="73" t="str">
        <f aca="false">IF($AU75="","",INDEX('REGISTRE ELEVES'!$F$10:$F$250,$AU75))</f>
        <v/>
      </c>
      <c r="F75" s="73" t="str">
        <f aca="false">IF($AU75="","",INDEX('REGISTRE ELEVES'!$AE$10:$AE$250,$AU75))</f>
        <v/>
      </c>
      <c r="G75" s="75"/>
      <c r="H75" s="76"/>
      <c r="I75" s="76"/>
      <c r="J75" s="76"/>
      <c r="K75" s="76"/>
      <c r="L75" s="76"/>
      <c r="M75" s="76"/>
      <c r="N75" s="76"/>
      <c r="O75" s="76"/>
      <c r="P75" s="77" t="str">
        <f aca="false">IF(B75="","",IF($G75="NON",0,IF(COUNT(H75:O75)=0,"",IFERROR(ROUND(SUMPRODUCT(H75:O75,$H$8:$O$8)/SUMPRODUCT(ISNUMBER(H75:O75)*$H$8:$O$8),2),""))))</f>
        <v/>
      </c>
      <c r="Q75" s="75"/>
      <c r="R75" s="76"/>
      <c r="S75" s="76"/>
      <c r="T75" s="76"/>
      <c r="U75" s="76"/>
      <c r="V75" s="76"/>
      <c r="W75" s="76"/>
      <c r="X75" s="76"/>
      <c r="Y75" s="76"/>
      <c r="Z75" s="77" t="str">
        <f aca="false">IF(B75="","",IF($Q75="NON",0,IF(COUNT(R75:Y75)=0,"",IFERROR(ROUND(SUMPRODUCT(R75:Y75,$R$8:$Y$8)/SUMPRODUCT(ISNUMBER(R75:Y75)*$R$8:$Y$8),2),""))))</f>
        <v/>
      </c>
      <c r="AA75" s="75"/>
      <c r="AB75" s="76"/>
      <c r="AC75" s="76"/>
      <c r="AD75" s="76"/>
      <c r="AE75" s="76"/>
      <c r="AF75" s="76"/>
      <c r="AG75" s="76"/>
      <c r="AH75" s="76"/>
      <c r="AI75" s="76"/>
      <c r="AJ75" s="77" t="str">
        <f aca="false">IF(B75="","",IF($AA75="NON",0,IF(COUNT(AB75:AI75)=0,"",IFERROR(ROUND(SUMPRODUCT(AB75:AI75,$AB$8:$AI$8)/SUMPRODUCT(ISNUMBER(AB75:AI75)*$AB$8:$AI$8),2),""))))</f>
        <v/>
      </c>
      <c r="AK75" s="75"/>
      <c r="AL75" s="76"/>
      <c r="AM75" s="76"/>
      <c r="AN75" s="76"/>
      <c r="AO75" s="76"/>
      <c r="AP75" s="76"/>
      <c r="AQ75" s="76"/>
      <c r="AR75" s="76"/>
      <c r="AS75" s="76"/>
      <c r="AT75" s="77" t="str">
        <f aca="false">IF(B75="","",IF($AK75="NON",0,IF(COUNT(AL75:AS75)=0,"",IFERROR(ROUND(SUMPRODUCT(AL75:AS75,$AL$8:$AS$8)/SUMPRODUCT(ISNUMBER(AL75:AS75)*$AL$8:$AS$8),2),""))))</f>
        <v/>
      </c>
      <c r="AU75" s="51" t="str">
        <f aca="false">IFERROR(MATCH("CP-66",'REGISTRE ELEVES'!$AI$10:$AI$250,0),"")</f>
        <v/>
      </c>
    </row>
    <row r="76" customFormat="false" ht="15" hidden="false" customHeight="false" outlineLevel="0" collapsed="false">
      <c r="A76" s="73" t="str">
        <f aca="false">IF(B76="","",67)</f>
        <v/>
      </c>
      <c r="B76" s="73" t="str">
        <f aca="false">IF($AU76="","",INDEX('REGISTRE ELEVES'!$B$10:$B$250,$AU76))</f>
        <v/>
      </c>
      <c r="C76" s="74" t="str">
        <f aca="false">IF($AU76="","",INDEX('REGISTRE ELEVES'!$D$10:$D$250,$AU76))</f>
        <v/>
      </c>
      <c r="D76" s="73" t="str">
        <f aca="false">IF($AU76="","",INDEX('REGISTRE ELEVES'!$E$10:$E$250,$AU76))</f>
        <v/>
      </c>
      <c r="E76" s="73" t="str">
        <f aca="false">IF($AU76="","",INDEX('REGISTRE ELEVES'!$F$10:$F$250,$AU76))</f>
        <v/>
      </c>
      <c r="F76" s="73" t="str">
        <f aca="false">IF($AU76="","",INDEX('REGISTRE ELEVES'!$AE$10:$AE$250,$AU76))</f>
        <v/>
      </c>
      <c r="G76" s="75"/>
      <c r="H76" s="76"/>
      <c r="I76" s="76"/>
      <c r="J76" s="76"/>
      <c r="K76" s="76"/>
      <c r="L76" s="76"/>
      <c r="M76" s="76"/>
      <c r="N76" s="76"/>
      <c r="O76" s="76"/>
      <c r="P76" s="77" t="str">
        <f aca="false">IF(B76="","",IF($G76="NON",0,IF(COUNT(H76:O76)=0,"",IFERROR(ROUND(SUMPRODUCT(H76:O76,$H$8:$O$8)/SUMPRODUCT(ISNUMBER(H76:O76)*$H$8:$O$8),2),""))))</f>
        <v/>
      </c>
      <c r="Q76" s="75"/>
      <c r="R76" s="76"/>
      <c r="S76" s="76"/>
      <c r="T76" s="76"/>
      <c r="U76" s="76"/>
      <c r="V76" s="76"/>
      <c r="W76" s="76"/>
      <c r="X76" s="76"/>
      <c r="Y76" s="76"/>
      <c r="Z76" s="77" t="str">
        <f aca="false">IF(B76="","",IF($Q76="NON",0,IF(COUNT(R76:Y76)=0,"",IFERROR(ROUND(SUMPRODUCT(R76:Y76,$R$8:$Y$8)/SUMPRODUCT(ISNUMBER(R76:Y76)*$R$8:$Y$8),2),""))))</f>
        <v/>
      </c>
      <c r="AA76" s="75"/>
      <c r="AB76" s="76"/>
      <c r="AC76" s="76"/>
      <c r="AD76" s="76"/>
      <c r="AE76" s="76"/>
      <c r="AF76" s="76"/>
      <c r="AG76" s="76"/>
      <c r="AH76" s="76"/>
      <c r="AI76" s="76"/>
      <c r="AJ76" s="77" t="str">
        <f aca="false">IF(B76="","",IF($AA76="NON",0,IF(COUNT(AB76:AI76)=0,"",IFERROR(ROUND(SUMPRODUCT(AB76:AI76,$AB$8:$AI$8)/SUMPRODUCT(ISNUMBER(AB76:AI76)*$AB$8:$AI$8),2),""))))</f>
        <v/>
      </c>
      <c r="AK76" s="75"/>
      <c r="AL76" s="76"/>
      <c r="AM76" s="76"/>
      <c r="AN76" s="76"/>
      <c r="AO76" s="76"/>
      <c r="AP76" s="76"/>
      <c r="AQ76" s="76"/>
      <c r="AR76" s="76"/>
      <c r="AS76" s="76"/>
      <c r="AT76" s="77" t="str">
        <f aca="false">IF(B76="","",IF($AK76="NON",0,IF(COUNT(AL76:AS76)=0,"",IFERROR(ROUND(SUMPRODUCT(AL76:AS76,$AL$8:$AS$8)/SUMPRODUCT(ISNUMBER(AL76:AS76)*$AL$8:$AS$8),2),""))))</f>
        <v/>
      </c>
      <c r="AU76" s="51" t="str">
        <f aca="false">IFERROR(MATCH("CP-67",'REGISTRE ELEVES'!$AI$10:$AI$250,0),"")</f>
        <v/>
      </c>
    </row>
    <row r="77" customFormat="false" ht="15" hidden="false" customHeight="false" outlineLevel="0" collapsed="false">
      <c r="A77" s="73" t="str">
        <f aca="false">IF(B77="","",68)</f>
        <v/>
      </c>
      <c r="B77" s="73" t="str">
        <f aca="false">IF($AU77="","",INDEX('REGISTRE ELEVES'!$B$10:$B$250,$AU77))</f>
        <v/>
      </c>
      <c r="C77" s="74" t="str">
        <f aca="false">IF($AU77="","",INDEX('REGISTRE ELEVES'!$D$10:$D$250,$AU77))</f>
        <v/>
      </c>
      <c r="D77" s="73" t="str">
        <f aca="false">IF($AU77="","",INDEX('REGISTRE ELEVES'!$E$10:$E$250,$AU77))</f>
        <v/>
      </c>
      <c r="E77" s="73" t="str">
        <f aca="false">IF($AU77="","",INDEX('REGISTRE ELEVES'!$F$10:$F$250,$AU77))</f>
        <v/>
      </c>
      <c r="F77" s="73" t="str">
        <f aca="false">IF($AU77="","",INDEX('REGISTRE ELEVES'!$AE$10:$AE$250,$AU77))</f>
        <v/>
      </c>
      <c r="G77" s="75"/>
      <c r="H77" s="76"/>
      <c r="I77" s="76"/>
      <c r="J77" s="76"/>
      <c r="K77" s="76"/>
      <c r="L77" s="76"/>
      <c r="M77" s="76"/>
      <c r="N77" s="76"/>
      <c r="O77" s="76"/>
      <c r="P77" s="77" t="str">
        <f aca="false">IF(B77="","",IF($G77="NON",0,IF(COUNT(H77:O77)=0,"",IFERROR(ROUND(SUMPRODUCT(H77:O77,$H$8:$O$8)/SUMPRODUCT(ISNUMBER(H77:O77)*$H$8:$O$8),2),""))))</f>
        <v/>
      </c>
      <c r="Q77" s="75"/>
      <c r="R77" s="76"/>
      <c r="S77" s="76"/>
      <c r="T77" s="76"/>
      <c r="U77" s="76"/>
      <c r="V77" s="76"/>
      <c r="W77" s="76"/>
      <c r="X77" s="76"/>
      <c r="Y77" s="76"/>
      <c r="Z77" s="77" t="str">
        <f aca="false">IF(B77="","",IF($Q77="NON",0,IF(COUNT(R77:Y77)=0,"",IFERROR(ROUND(SUMPRODUCT(R77:Y77,$R$8:$Y$8)/SUMPRODUCT(ISNUMBER(R77:Y77)*$R$8:$Y$8),2),""))))</f>
        <v/>
      </c>
      <c r="AA77" s="75"/>
      <c r="AB77" s="76"/>
      <c r="AC77" s="76"/>
      <c r="AD77" s="76"/>
      <c r="AE77" s="76"/>
      <c r="AF77" s="76"/>
      <c r="AG77" s="76"/>
      <c r="AH77" s="76"/>
      <c r="AI77" s="76"/>
      <c r="AJ77" s="77" t="str">
        <f aca="false">IF(B77="","",IF($AA77="NON",0,IF(COUNT(AB77:AI77)=0,"",IFERROR(ROUND(SUMPRODUCT(AB77:AI77,$AB$8:$AI$8)/SUMPRODUCT(ISNUMBER(AB77:AI77)*$AB$8:$AI$8),2),""))))</f>
        <v/>
      </c>
      <c r="AK77" s="75"/>
      <c r="AL77" s="76"/>
      <c r="AM77" s="76"/>
      <c r="AN77" s="76"/>
      <c r="AO77" s="76"/>
      <c r="AP77" s="76"/>
      <c r="AQ77" s="76"/>
      <c r="AR77" s="76"/>
      <c r="AS77" s="76"/>
      <c r="AT77" s="77" t="str">
        <f aca="false">IF(B77="","",IF($AK77="NON",0,IF(COUNT(AL77:AS77)=0,"",IFERROR(ROUND(SUMPRODUCT(AL77:AS77,$AL$8:$AS$8)/SUMPRODUCT(ISNUMBER(AL77:AS77)*$AL$8:$AS$8),2),""))))</f>
        <v/>
      </c>
      <c r="AU77" s="51" t="str">
        <f aca="false">IFERROR(MATCH("CP-68",'REGISTRE ELEVES'!$AI$10:$AI$250,0),"")</f>
        <v/>
      </c>
    </row>
    <row r="78" customFormat="false" ht="15" hidden="false" customHeight="false" outlineLevel="0" collapsed="false">
      <c r="A78" s="73" t="str">
        <f aca="false">IF(B78="","",69)</f>
        <v/>
      </c>
      <c r="B78" s="73" t="str">
        <f aca="false">IF($AU78="","",INDEX('REGISTRE ELEVES'!$B$10:$B$250,$AU78))</f>
        <v/>
      </c>
      <c r="C78" s="74" t="str">
        <f aca="false">IF($AU78="","",INDEX('REGISTRE ELEVES'!$D$10:$D$250,$AU78))</f>
        <v/>
      </c>
      <c r="D78" s="73" t="str">
        <f aca="false">IF($AU78="","",INDEX('REGISTRE ELEVES'!$E$10:$E$250,$AU78))</f>
        <v/>
      </c>
      <c r="E78" s="73" t="str">
        <f aca="false">IF($AU78="","",INDEX('REGISTRE ELEVES'!$F$10:$F$250,$AU78))</f>
        <v/>
      </c>
      <c r="F78" s="73" t="str">
        <f aca="false">IF($AU78="","",INDEX('REGISTRE ELEVES'!$AE$10:$AE$250,$AU78))</f>
        <v/>
      </c>
      <c r="G78" s="75"/>
      <c r="H78" s="76"/>
      <c r="I78" s="76"/>
      <c r="J78" s="76"/>
      <c r="K78" s="76"/>
      <c r="L78" s="76"/>
      <c r="M78" s="76"/>
      <c r="N78" s="76"/>
      <c r="O78" s="76"/>
      <c r="P78" s="77" t="str">
        <f aca="false">IF(B78="","",IF($G78="NON",0,IF(COUNT(H78:O78)=0,"",IFERROR(ROUND(SUMPRODUCT(H78:O78,$H$8:$O$8)/SUMPRODUCT(ISNUMBER(H78:O78)*$H$8:$O$8),2),""))))</f>
        <v/>
      </c>
      <c r="Q78" s="75"/>
      <c r="R78" s="76"/>
      <c r="S78" s="76"/>
      <c r="T78" s="76"/>
      <c r="U78" s="76"/>
      <c r="V78" s="76"/>
      <c r="W78" s="76"/>
      <c r="X78" s="76"/>
      <c r="Y78" s="76"/>
      <c r="Z78" s="77" t="str">
        <f aca="false">IF(B78="","",IF($Q78="NON",0,IF(COUNT(R78:Y78)=0,"",IFERROR(ROUND(SUMPRODUCT(R78:Y78,$R$8:$Y$8)/SUMPRODUCT(ISNUMBER(R78:Y78)*$R$8:$Y$8),2),""))))</f>
        <v/>
      </c>
      <c r="AA78" s="75"/>
      <c r="AB78" s="76"/>
      <c r="AC78" s="76"/>
      <c r="AD78" s="76"/>
      <c r="AE78" s="76"/>
      <c r="AF78" s="76"/>
      <c r="AG78" s="76"/>
      <c r="AH78" s="76"/>
      <c r="AI78" s="76"/>
      <c r="AJ78" s="77" t="str">
        <f aca="false">IF(B78="","",IF($AA78="NON",0,IF(COUNT(AB78:AI78)=0,"",IFERROR(ROUND(SUMPRODUCT(AB78:AI78,$AB$8:$AI$8)/SUMPRODUCT(ISNUMBER(AB78:AI78)*$AB$8:$AI$8),2),""))))</f>
        <v/>
      </c>
      <c r="AK78" s="75"/>
      <c r="AL78" s="76"/>
      <c r="AM78" s="76"/>
      <c r="AN78" s="76"/>
      <c r="AO78" s="76"/>
      <c r="AP78" s="76"/>
      <c r="AQ78" s="76"/>
      <c r="AR78" s="76"/>
      <c r="AS78" s="76"/>
      <c r="AT78" s="77" t="str">
        <f aca="false">IF(B78="","",IF($AK78="NON",0,IF(COUNT(AL78:AS78)=0,"",IFERROR(ROUND(SUMPRODUCT(AL78:AS78,$AL$8:$AS$8)/SUMPRODUCT(ISNUMBER(AL78:AS78)*$AL$8:$AS$8),2),""))))</f>
        <v/>
      </c>
      <c r="AU78" s="51" t="str">
        <f aca="false">IFERROR(MATCH("CP-69",'REGISTRE ELEVES'!$AI$10:$AI$250,0),"")</f>
        <v/>
      </c>
    </row>
    <row r="79" customFormat="false" ht="15" hidden="false" customHeight="false" outlineLevel="0" collapsed="false">
      <c r="A79" s="73" t="str">
        <f aca="false">IF(B79="","",70)</f>
        <v/>
      </c>
      <c r="B79" s="73" t="str">
        <f aca="false">IF($AU79="","",INDEX('REGISTRE ELEVES'!$B$10:$B$250,$AU79))</f>
        <v/>
      </c>
      <c r="C79" s="74" t="str">
        <f aca="false">IF($AU79="","",INDEX('REGISTRE ELEVES'!$D$10:$D$250,$AU79))</f>
        <v/>
      </c>
      <c r="D79" s="73" t="str">
        <f aca="false">IF($AU79="","",INDEX('REGISTRE ELEVES'!$E$10:$E$250,$AU79))</f>
        <v/>
      </c>
      <c r="E79" s="73" t="str">
        <f aca="false">IF($AU79="","",INDEX('REGISTRE ELEVES'!$F$10:$F$250,$AU79))</f>
        <v/>
      </c>
      <c r="F79" s="73" t="str">
        <f aca="false">IF($AU79="","",INDEX('REGISTRE ELEVES'!$AE$10:$AE$250,$AU79))</f>
        <v/>
      </c>
      <c r="G79" s="75"/>
      <c r="H79" s="76"/>
      <c r="I79" s="76"/>
      <c r="J79" s="76"/>
      <c r="K79" s="76"/>
      <c r="L79" s="76"/>
      <c r="M79" s="76"/>
      <c r="N79" s="76"/>
      <c r="O79" s="76"/>
      <c r="P79" s="77" t="str">
        <f aca="false">IF(B79="","",IF($G79="NON",0,IF(COUNT(H79:O79)=0,"",IFERROR(ROUND(SUMPRODUCT(H79:O79,$H$8:$O$8)/SUMPRODUCT(ISNUMBER(H79:O79)*$H$8:$O$8),2),""))))</f>
        <v/>
      </c>
      <c r="Q79" s="75"/>
      <c r="R79" s="76"/>
      <c r="S79" s="76"/>
      <c r="T79" s="76"/>
      <c r="U79" s="76"/>
      <c r="V79" s="76"/>
      <c r="W79" s="76"/>
      <c r="X79" s="76"/>
      <c r="Y79" s="76"/>
      <c r="Z79" s="77" t="str">
        <f aca="false">IF(B79="","",IF($Q79="NON",0,IF(COUNT(R79:Y79)=0,"",IFERROR(ROUND(SUMPRODUCT(R79:Y79,$R$8:$Y$8)/SUMPRODUCT(ISNUMBER(R79:Y79)*$R$8:$Y$8),2),""))))</f>
        <v/>
      </c>
      <c r="AA79" s="75"/>
      <c r="AB79" s="76"/>
      <c r="AC79" s="76"/>
      <c r="AD79" s="76"/>
      <c r="AE79" s="76"/>
      <c r="AF79" s="76"/>
      <c r="AG79" s="76"/>
      <c r="AH79" s="76"/>
      <c r="AI79" s="76"/>
      <c r="AJ79" s="77" t="str">
        <f aca="false">IF(B79="","",IF($AA79="NON",0,IF(COUNT(AB79:AI79)=0,"",IFERROR(ROUND(SUMPRODUCT(AB79:AI79,$AB$8:$AI$8)/SUMPRODUCT(ISNUMBER(AB79:AI79)*$AB$8:$AI$8),2),""))))</f>
        <v/>
      </c>
      <c r="AK79" s="75"/>
      <c r="AL79" s="76"/>
      <c r="AM79" s="76"/>
      <c r="AN79" s="76"/>
      <c r="AO79" s="76"/>
      <c r="AP79" s="76"/>
      <c r="AQ79" s="76"/>
      <c r="AR79" s="76"/>
      <c r="AS79" s="76"/>
      <c r="AT79" s="77" t="str">
        <f aca="false">IF(B79="","",IF($AK79="NON",0,IF(COUNT(AL79:AS79)=0,"",IFERROR(ROUND(SUMPRODUCT(AL79:AS79,$AL$8:$AS$8)/SUMPRODUCT(ISNUMBER(AL79:AS79)*$AL$8:$AS$8),2),""))))</f>
        <v/>
      </c>
      <c r="AU79" s="51" t="str">
        <f aca="false">IFERROR(MATCH("CP-70",'REGISTRE ELEVES'!$AI$10:$AI$250,0),"")</f>
        <v/>
      </c>
    </row>
    <row r="80" customFormat="false" ht="15" hidden="false" customHeight="false" outlineLevel="0" collapsed="false">
      <c r="A80" s="73" t="str">
        <f aca="false">IF(B80="","",71)</f>
        <v/>
      </c>
      <c r="B80" s="73" t="str">
        <f aca="false">IF($AU80="","",INDEX('REGISTRE ELEVES'!$B$10:$B$250,$AU80))</f>
        <v/>
      </c>
      <c r="C80" s="74" t="str">
        <f aca="false">IF($AU80="","",INDEX('REGISTRE ELEVES'!$D$10:$D$250,$AU80))</f>
        <v/>
      </c>
      <c r="D80" s="73" t="str">
        <f aca="false">IF($AU80="","",INDEX('REGISTRE ELEVES'!$E$10:$E$250,$AU80))</f>
        <v/>
      </c>
      <c r="E80" s="73" t="str">
        <f aca="false">IF($AU80="","",INDEX('REGISTRE ELEVES'!$F$10:$F$250,$AU80))</f>
        <v/>
      </c>
      <c r="F80" s="73" t="str">
        <f aca="false">IF($AU80="","",INDEX('REGISTRE ELEVES'!$AE$10:$AE$250,$AU80))</f>
        <v/>
      </c>
      <c r="G80" s="75"/>
      <c r="H80" s="76"/>
      <c r="I80" s="76"/>
      <c r="J80" s="76"/>
      <c r="K80" s="76"/>
      <c r="L80" s="76"/>
      <c r="M80" s="76"/>
      <c r="N80" s="76"/>
      <c r="O80" s="76"/>
      <c r="P80" s="77" t="str">
        <f aca="false">IF(B80="","",IF($G80="NON",0,IF(COUNT(H80:O80)=0,"",IFERROR(ROUND(SUMPRODUCT(H80:O80,$H$8:$O$8)/SUMPRODUCT(ISNUMBER(H80:O80)*$H$8:$O$8),2),""))))</f>
        <v/>
      </c>
      <c r="Q80" s="75"/>
      <c r="R80" s="76"/>
      <c r="S80" s="76"/>
      <c r="T80" s="76"/>
      <c r="U80" s="76"/>
      <c r="V80" s="76"/>
      <c r="W80" s="76"/>
      <c r="X80" s="76"/>
      <c r="Y80" s="76"/>
      <c r="Z80" s="77" t="str">
        <f aca="false">IF(B80="","",IF($Q80="NON",0,IF(COUNT(R80:Y80)=0,"",IFERROR(ROUND(SUMPRODUCT(R80:Y80,$R$8:$Y$8)/SUMPRODUCT(ISNUMBER(R80:Y80)*$R$8:$Y$8),2),""))))</f>
        <v/>
      </c>
      <c r="AA80" s="75"/>
      <c r="AB80" s="76"/>
      <c r="AC80" s="76"/>
      <c r="AD80" s="76"/>
      <c r="AE80" s="76"/>
      <c r="AF80" s="76"/>
      <c r="AG80" s="76"/>
      <c r="AH80" s="76"/>
      <c r="AI80" s="76"/>
      <c r="AJ80" s="77" t="str">
        <f aca="false">IF(B80="","",IF($AA80="NON",0,IF(COUNT(AB80:AI80)=0,"",IFERROR(ROUND(SUMPRODUCT(AB80:AI80,$AB$8:$AI$8)/SUMPRODUCT(ISNUMBER(AB80:AI80)*$AB$8:$AI$8),2),""))))</f>
        <v/>
      </c>
      <c r="AK80" s="75"/>
      <c r="AL80" s="76"/>
      <c r="AM80" s="76"/>
      <c r="AN80" s="76"/>
      <c r="AO80" s="76"/>
      <c r="AP80" s="76"/>
      <c r="AQ80" s="76"/>
      <c r="AR80" s="76"/>
      <c r="AS80" s="76"/>
      <c r="AT80" s="77" t="str">
        <f aca="false">IF(B80="","",IF($AK80="NON",0,IF(COUNT(AL80:AS80)=0,"",IFERROR(ROUND(SUMPRODUCT(AL80:AS80,$AL$8:$AS$8)/SUMPRODUCT(ISNUMBER(AL80:AS80)*$AL$8:$AS$8),2),""))))</f>
        <v/>
      </c>
      <c r="AU80" s="51" t="str">
        <f aca="false">IFERROR(MATCH("CP-71",'REGISTRE ELEVES'!$AI$10:$AI$250,0),"")</f>
        <v/>
      </c>
    </row>
    <row r="81" customFormat="false" ht="15" hidden="false" customHeight="false" outlineLevel="0" collapsed="false">
      <c r="A81" s="73" t="str">
        <f aca="false">IF(B81="","",72)</f>
        <v/>
      </c>
      <c r="B81" s="73" t="str">
        <f aca="false">IF($AU81="","",INDEX('REGISTRE ELEVES'!$B$10:$B$250,$AU81))</f>
        <v/>
      </c>
      <c r="C81" s="74" t="str">
        <f aca="false">IF($AU81="","",INDEX('REGISTRE ELEVES'!$D$10:$D$250,$AU81))</f>
        <v/>
      </c>
      <c r="D81" s="73" t="str">
        <f aca="false">IF($AU81="","",INDEX('REGISTRE ELEVES'!$E$10:$E$250,$AU81))</f>
        <v/>
      </c>
      <c r="E81" s="73" t="str">
        <f aca="false">IF($AU81="","",INDEX('REGISTRE ELEVES'!$F$10:$F$250,$AU81))</f>
        <v/>
      </c>
      <c r="F81" s="73" t="str">
        <f aca="false">IF($AU81="","",INDEX('REGISTRE ELEVES'!$AE$10:$AE$250,$AU81))</f>
        <v/>
      </c>
      <c r="G81" s="75"/>
      <c r="H81" s="76"/>
      <c r="I81" s="76"/>
      <c r="J81" s="76"/>
      <c r="K81" s="76"/>
      <c r="L81" s="76"/>
      <c r="M81" s="76"/>
      <c r="N81" s="76"/>
      <c r="O81" s="76"/>
      <c r="P81" s="77" t="str">
        <f aca="false">IF(B81="","",IF($G81="NON",0,IF(COUNT(H81:O81)=0,"",IFERROR(ROUND(SUMPRODUCT(H81:O81,$H$8:$O$8)/SUMPRODUCT(ISNUMBER(H81:O81)*$H$8:$O$8),2),""))))</f>
        <v/>
      </c>
      <c r="Q81" s="75"/>
      <c r="R81" s="76"/>
      <c r="S81" s="76"/>
      <c r="T81" s="76"/>
      <c r="U81" s="76"/>
      <c r="V81" s="76"/>
      <c r="W81" s="76"/>
      <c r="X81" s="76"/>
      <c r="Y81" s="76"/>
      <c r="Z81" s="77" t="str">
        <f aca="false">IF(B81="","",IF($Q81="NON",0,IF(COUNT(R81:Y81)=0,"",IFERROR(ROUND(SUMPRODUCT(R81:Y81,$R$8:$Y$8)/SUMPRODUCT(ISNUMBER(R81:Y81)*$R$8:$Y$8),2),""))))</f>
        <v/>
      </c>
      <c r="AA81" s="75"/>
      <c r="AB81" s="76"/>
      <c r="AC81" s="76"/>
      <c r="AD81" s="76"/>
      <c r="AE81" s="76"/>
      <c r="AF81" s="76"/>
      <c r="AG81" s="76"/>
      <c r="AH81" s="76"/>
      <c r="AI81" s="76"/>
      <c r="AJ81" s="77" t="str">
        <f aca="false">IF(B81="","",IF($AA81="NON",0,IF(COUNT(AB81:AI81)=0,"",IFERROR(ROUND(SUMPRODUCT(AB81:AI81,$AB$8:$AI$8)/SUMPRODUCT(ISNUMBER(AB81:AI81)*$AB$8:$AI$8),2),""))))</f>
        <v/>
      </c>
      <c r="AK81" s="75"/>
      <c r="AL81" s="76"/>
      <c r="AM81" s="76"/>
      <c r="AN81" s="76"/>
      <c r="AO81" s="76"/>
      <c r="AP81" s="76"/>
      <c r="AQ81" s="76"/>
      <c r="AR81" s="76"/>
      <c r="AS81" s="76"/>
      <c r="AT81" s="77" t="str">
        <f aca="false">IF(B81="","",IF($AK81="NON",0,IF(COUNT(AL81:AS81)=0,"",IFERROR(ROUND(SUMPRODUCT(AL81:AS81,$AL$8:$AS$8)/SUMPRODUCT(ISNUMBER(AL81:AS81)*$AL$8:$AS$8),2),""))))</f>
        <v/>
      </c>
      <c r="AU81" s="51" t="str">
        <f aca="false">IFERROR(MATCH("CP-72",'REGISTRE ELEVES'!$AI$10:$AI$250,0),"")</f>
        <v/>
      </c>
    </row>
    <row r="82" customFormat="false" ht="15" hidden="false" customHeight="false" outlineLevel="0" collapsed="false">
      <c r="A82" s="73" t="str">
        <f aca="false">IF(B82="","",73)</f>
        <v/>
      </c>
      <c r="B82" s="73" t="str">
        <f aca="false">IF($AU82="","",INDEX('REGISTRE ELEVES'!$B$10:$B$250,$AU82))</f>
        <v/>
      </c>
      <c r="C82" s="74" t="str">
        <f aca="false">IF($AU82="","",INDEX('REGISTRE ELEVES'!$D$10:$D$250,$AU82))</f>
        <v/>
      </c>
      <c r="D82" s="73" t="str">
        <f aca="false">IF($AU82="","",INDEX('REGISTRE ELEVES'!$E$10:$E$250,$AU82))</f>
        <v/>
      </c>
      <c r="E82" s="73" t="str">
        <f aca="false">IF($AU82="","",INDEX('REGISTRE ELEVES'!$F$10:$F$250,$AU82))</f>
        <v/>
      </c>
      <c r="F82" s="73" t="str">
        <f aca="false">IF($AU82="","",INDEX('REGISTRE ELEVES'!$AE$10:$AE$250,$AU82))</f>
        <v/>
      </c>
      <c r="G82" s="75"/>
      <c r="H82" s="76"/>
      <c r="I82" s="76"/>
      <c r="J82" s="76"/>
      <c r="K82" s="76"/>
      <c r="L82" s="76"/>
      <c r="M82" s="76"/>
      <c r="N82" s="76"/>
      <c r="O82" s="76"/>
      <c r="P82" s="77" t="str">
        <f aca="false">IF(B82="","",IF($G82="NON",0,IF(COUNT(H82:O82)=0,"",IFERROR(ROUND(SUMPRODUCT(H82:O82,$H$8:$O$8)/SUMPRODUCT(ISNUMBER(H82:O82)*$H$8:$O$8),2),""))))</f>
        <v/>
      </c>
      <c r="Q82" s="75"/>
      <c r="R82" s="76"/>
      <c r="S82" s="76"/>
      <c r="T82" s="76"/>
      <c r="U82" s="76"/>
      <c r="V82" s="76"/>
      <c r="W82" s="76"/>
      <c r="X82" s="76"/>
      <c r="Y82" s="76"/>
      <c r="Z82" s="77" t="str">
        <f aca="false">IF(B82="","",IF($Q82="NON",0,IF(COUNT(R82:Y82)=0,"",IFERROR(ROUND(SUMPRODUCT(R82:Y82,$R$8:$Y$8)/SUMPRODUCT(ISNUMBER(R82:Y82)*$R$8:$Y$8),2),""))))</f>
        <v/>
      </c>
      <c r="AA82" s="75"/>
      <c r="AB82" s="76"/>
      <c r="AC82" s="76"/>
      <c r="AD82" s="76"/>
      <c r="AE82" s="76"/>
      <c r="AF82" s="76"/>
      <c r="AG82" s="76"/>
      <c r="AH82" s="76"/>
      <c r="AI82" s="76"/>
      <c r="AJ82" s="77" t="str">
        <f aca="false">IF(B82="","",IF($AA82="NON",0,IF(COUNT(AB82:AI82)=0,"",IFERROR(ROUND(SUMPRODUCT(AB82:AI82,$AB$8:$AI$8)/SUMPRODUCT(ISNUMBER(AB82:AI82)*$AB$8:$AI$8),2),""))))</f>
        <v/>
      </c>
      <c r="AK82" s="75"/>
      <c r="AL82" s="76"/>
      <c r="AM82" s="76"/>
      <c r="AN82" s="76"/>
      <c r="AO82" s="76"/>
      <c r="AP82" s="76"/>
      <c r="AQ82" s="76"/>
      <c r="AR82" s="76"/>
      <c r="AS82" s="76"/>
      <c r="AT82" s="77" t="str">
        <f aca="false">IF(B82="","",IF($AK82="NON",0,IF(COUNT(AL82:AS82)=0,"",IFERROR(ROUND(SUMPRODUCT(AL82:AS82,$AL$8:$AS$8)/SUMPRODUCT(ISNUMBER(AL82:AS82)*$AL$8:$AS$8),2),""))))</f>
        <v/>
      </c>
      <c r="AU82" s="51" t="str">
        <f aca="false">IFERROR(MATCH("CP-73",'REGISTRE ELEVES'!$AI$10:$AI$250,0),"")</f>
        <v/>
      </c>
    </row>
    <row r="83" customFormat="false" ht="15" hidden="false" customHeight="false" outlineLevel="0" collapsed="false">
      <c r="A83" s="73" t="str">
        <f aca="false">IF(B83="","",74)</f>
        <v/>
      </c>
      <c r="B83" s="73" t="str">
        <f aca="false">IF($AU83="","",INDEX('REGISTRE ELEVES'!$B$10:$B$250,$AU83))</f>
        <v/>
      </c>
      <c r="C83" s="74" t="str">
        <f aca="false">IF($AU83="","",INDEX('REGISTRE ELEVES'!$D$10:$D$250,$AU83))</f>
        <v/>
      </c>
      <c r="D83" s="73" t="str">
        <f aca="false">IF($AU83="","",INDEX('REGISTRE ELEVES'!$E$10:$E$250,$AU83))</f>
        <v/>
      </c>
      <c r="E83" s="73" t="str">
        <f aca="false">IF($AU83="","",INDEX('REGISTRE ELEVES'!$F$10:$F$250,$AU83))</f>
        <v/>
      </c>
      <c r="F83" s="73" t="str">
        <f aca="false">IF($AU83="","",INDEX('REGISTRE ELEVES'!$AE$10:$AE$250,$AU83))</f>
        <v/>
      </c>
      <c r="G83" s="75"/>
      <c r="H83" s="76"/>
      <c r="I83" s="76"/>
      <c r="J83" s="76"/>
      <c r="K83" s="76"/>
      <c r="L83" s="76"/>
      <c r="M83" s="76"/>
      <c r="N83" s="76"/>
      <c r="O83" s="76"/>
      <c r="P83" s="77" t="str">
        <f aca="false">IF(B83="","",IF($G83="NON",0,IF(COUNT(H83:O83)=0,"",IFERROR(ROUND(SUMPRODUCT(H83:O83,$H$8:$O$8)/SUMPRODUCT(ISNUMBER(H83:O83)*$H$8:$O$8),2),""))))</f>
        <v/>
      </c>
      <c r="Q83" s="75"/>
      <c r="R83" s="76"/>
      <c r="S83" s="76"/>
      <c r="T83" s="76"/>
      <c r="U83" s="76"/>
      <c r="V83" s="76"/>
      <c r="W83" s="76"/>
      <c r="X83" s="76"/>
      <c r="Y83" s="76"/>
      <c r="Z83" s="77" t="str">
        <f aca="false">IF(B83="","",IF($Q83="NON",0,IF(COUNT(R83:Y83)=0,"",IFERROR(ROUND(SUMPRODUCT(R83:Y83,$R$8:$Y$8)/SUMPRODUCT(ISNUMBER(R83:Y83)*$R$8:$Y$8),2),""))))</f>
        <v/>
      </c>
      <c r="AA83" s="75"/>
      <c r="AB83" s="76"/>
      <c r="AC83" s="76"/>
      <c r="AD83" s="76"/>
      <c r="AE83" s="76"/>
      <c r="AF83" s="76"/>
      <c r="AG83" s="76"/>
      <c r="AH83" s="76"/>
      <c r="AI83" s="76"/>
      <c r="AJ83" s="77" t="str">
        <f aca="false">IF(B83="","",IF($AA83="NON",0,IF(COUNT(AB83:AI83)=0,"",IFERROR(ROUND(SUMPRODUCT(AB83:AI83,$AB$8:$AI$8)/SUMPRODUCT(ISNUMBER(AB83:AI83)*$AB$8:$AI$8),2),""))))</f>
        <v/>
      </c>
      <c r="AK83" s="75"/>
      <c r="AL83" s="76"/>
      <c r="AM83" s="76"/>
      <c r="AN83" s="76"/>
      <c r="AO83" s="76"/>
      <c r="AP83" s="76"/>
      <c r="AQ83" s="76"/>
      <c r="AR83" s="76"/>
      <c r="AS83" s="76"/>
      <c r="AT83" s="77" t="str">
        <f aca="false">IF(B83="","",IF($AK83="NON",0,IF(COUNT(AL83:AS83)=0,"",IFERROR(ROUND(SUMPRODUCT(AL83:AS83,$AL$8:$AS$8)/SUMPRODUCT(ISNUMBER(AL83:AS83)*$AL$8:$AS$8),2),""))))</f>
        <v/>
      </c>
      <c r="AU83" s="51" t="str">
        <f aca="false">IFERROR(MATCH("CP-74",'REGISTRE ELEVES'!$AI$10:$AI$250,0),"")</f>
        <v/>
      </c>
    </row>
    <row r="84" customFormat="false" ht="15" hidden="false" customHeight="false" outlineLevel="0" collapsed="false">
      <c r="A84" s="73" t="str">
        <f aca="false">IF(B84="","",75)</f>
        <v/>
      </c>
      <c r="B84" s="73" t="str">
        <f aca="false">IF($AU84="","",INDEX('REGISTRE ELEVES'!$B$10:$B$250,$AU84))</f>
        <v/>
      </c>
      <c r="C84" s="74" t="str">
        <f aca="false">IF($AU84="","",INDEX('REGISTRE ELEVES'!$D$10:$D$250,$AU84))</f>
        <v/>
      </c>
      <c r="D84" s="73" t="str">
        <f aca="false">IF($AU84="","",INDEX('REGISTRE ELEVES'!$E$10:$E$250,$AU84))</f>
        <v/>
      </c>
      <c r="E84" s="73" t="str">
        <f aca="false">IF($AU84="","",INDEX('REGISTRE ELEVES'!$F$10:$F$250,$AU84))</f>
        <v/>
      </c>
      <c r="F84" s="73" t="str">
        <f aca="false">IF($AU84="","",INDEX('REGISTRE ELEVES'!$AE$10:$AE$250,$AU84))</f>
        <v/>
      </c>
      <c r="G84" s="75"/>
      <c r="H84" s="76"/>
      <c r="I84" s="76"/>
      <c r="J84" s="76"/>
      <c r="K84" s="76"/>
      <c r="L84" s="76"/>
      <c r="M84" s="76"/>
      <c r="N84" s="76"/>
      <c r="O84" s="76"/>
      <c r="P84" s="77" t="str">
        <f aca="false">IF(B84="","",IF($G84="NON",0,IF(COUNT(H84:O84)=0,"",IFERROR(ROUND(SUMPRODUCT(H84:O84,$H$8:$O$8)/SUMPRODUCT(ISNUMBER(H84:O84)*$H$8:$O$8),2),""))))</f>
        <v/>
      </c>
      <c r="Q84" s="75"/>
      <c r="R84" s="76"/>
      <c r="S84" s="76"/>
      <c r="T84" s="76"/>
      <c r="U84" s="76"/>
      <c r="V84" s="76"/>
      <c r="W84" s="76"/>
      <c r="X84" s="76"/>
      <c r="Y84" s="76"/>
      <c r="Z84" s="77" t="str">
        <f aca="false">IF(B84="","",IF($Q84="NON",0,IF(COUNT(R84:Y84)=0,"",IFERROR(ROUND(SUMPRODUCT(R84:Y84,$R$8:$Y$8)/SUMPRODUCT(ISNUMBER(R84:Y84)*$R$8:$Y$8),2),""))))</f>
        <v/>
      </c>
      <c r="AA84" s="75"/>
      <c r="AB84" s="76"/>
      <c r="AC84" s="76"/>
      <c r="AD84" s="76"/>
      <c r="AE84" s="76"/>
      <c r="AF84" s="76"/>
      <c r="AG84" s="76"/>
      <c r="AH84" s="76"/>
      <c r="AI84" s="76"/>
      <c r="AJ84" s="77" t="str">
        <f aca="false">IF(B84="","",IF($AA84="NON",0,IF(COUNT(AB84:AI84)=0,"",IFERROR(ROUND(SUMPRODUCT(AB84:AI84,$AB$8:$AI$8)/SUMPRODUCT(ISNUMBER(AB84:AI84)*$AB$8:$AI$8),2),""))))</f>
        <v/>
      </c>
      <c r="AK84" s="75"/>
      <c r="AL84" s="76"/>
      <c r="AM84" s="76"/>
      <c r="AN84" s="76"/>
      <c r="AO84" s="76"/>
      <c r="AP84" s="76"/>
      <c r="AQ84" s="76"/>
      <c r="AR84" s="76"/>
      <c r="AS84" s="76"/>
      <c r="AT84" s="77" t="str">
        <f aca="false">IF(B84="","",IF($AK84="NON",0,IF(COUNT(AL84:AS84)=0,"",IFERROR(ROUND(SUMPRODUCT(AL84:AS84,$AL$8:$AS$8)/SUMPRODUCT(ISNUMBER(AL84:AS84)*$AL$8:$AS$8),2),""))))</f>
        <v/>
      </c>
      <c r="AU84" s="51" t="str">
        <f aca="false">IFERROR(MATCH("CP-75",'REGISTRE ELEVES'!$AI$10:$AI$250,0),"")</f>
        <v/>
      </c>
    </row>
    <row r="85" customFormat="false" ht="15" hidden="false" customHeight="false" outlineLevel="0" collapsed="false">
      <c r="A85" s="73" t="str">
        <f aca="false">IF(B85="","",76)</f>
        <v/>
      </c>
      <c r="B85" s="73" t="str">
        <f aca="false">IF($AU85="","",INDEX('REGISTRE ELEVES'!$B$10:$B$250,$AU85))</f>
        <v/>
      </c>
      <c r="C85" s="74" t="str">
        <f aca="false">IF($AU85="","",INDEX('REGISTRE ELEVES'!$D$10:$D$250,$AU85))</f>
        <v/>
      </c>
      <c r="D85" s="73" t="str">
        <f aca="false">IF($AU85="","",INDEX('REGISTRE ELEVES'!$E$10:$E$250,$AU85))</f>
        <v/>
      </c>
      <c r="E85" s="73" t="str">
        <f aca="false">IF($AU85="","",INDEX('REGISTRE ELEVES'!$F$10:$F$250,$AU85))</f>
        <v/>
      </c>
      <c r="F85" s="73" t="str">
        <f aca="false">IF($AU85="","",INDEX('REGISTRE ELEVES'!$AE$10:$AE$250,$AU85))</f>
        <v/>
      </c>
      <c r="G85" s="75"/>
      <c r="H85" s="76"/>
      <c r="I85" s="76"/>
      <c r="J85" s="76"/>
      <c r="K85" s="76"/>
      <c r="L85" s="76"/>
      <c r="M85" s="76"/>
      <c r="N85" s="76"/>
      <c r="O85" s="76"/>
      <c r="P85" s="77" t="str">
        <f aca="false">IF(B85="","",IF($G85="NON",0,IF(COUNT(H85:O85)=0,"",IFERROR(ROUND(SUMPRODUCT(H85:O85,$H$8:$O$8)/SUMPRODUCT(ISNUMBER(H85:O85)*$H$8:$O$8),2),""))))</f>
        <v/>
      </c>
      <c r="Q85" s="75"/>
      <c r="R85" s="76"/>
      <c r="S85" s="76"/>
      <c r="T85" s="76"/>
      <c r="U85" s="76"/>
      <c r="V85" s="76"/>
      <c r="W85" s="76"/>
      <c r="X85" s="76"/>
      <c r="Y85" s="76"/>
      <c r="Z85" s="77" t="str">
        <f aca="false">IF(B85="","",IF($Q85="NON",0,IF(COUNT(R85:Y85)=0,"",IFERROR(ROUND(SUMPRODUCT(R85:Y85,$R$8:$Y$8)/SUMPRODUCT(ISNUMBER(R85:Y85)*$R$8:$Y$8),2),""))))</f>
        <v/>
      </c>
      <c r="AA85" s="75"/>
      <c r="AB85" s="76"/>
      <c r="AC85" s="76"/>
      <c r="AD85" s="76"/>
      <c r="AE85" s="76"/>
      <c r="AF85" s="76"/>
      <c r="AG85" s="76"/>
      <c r="AH85" s="76"/>
      <c r="AI85" s="76"/>
      <c r="AJ85" s="77" t="str">
        <f aca="false">IF(B85="","",IF($AA85="NON",0,IF(COUNT(AB85:AI85)=0,"",IFERROR(ROUND(SUMPRODUCT(AB85:AI85,$AB$8:$AI$8)/SUMPRODUCT(ISNUMBER(AB85:AI85)*$AB$8:$AI$8),2),""))))</f>
        <v/>
      </c>
      <c r="AK85" s="75"/>
      <c r="AL85" s="76"/>
      <c r="AM85" s="76"/>
      <c r="AN85" s="76"/>
      <c r="AO85" s="76"/>
      <c r="AP85" s="76"/>
      <c r="AQ85" s="76"/>
      <c r="AR85" s="76"/>
      <c r="AS85" s="76"/>
      <c r="AT85" s="77" t="str">
        <f aca="false">IF(B85="","",IF($AK85="NON",0,IF(COUNT(AL85:AS85)=0,"",IFERROR(ROUND(SUMPRODUCT(AL85:AS85,$AL$8:$AS$8)/SUMPRODUCT(ISNUMBER(AL85:AS85)*$AL$8:$AS$8),2),""))))</f>
        <v/>
      </c>
      <c r="AU85" s="51" t="str">
        <f aca="false">IFERROR(MATCH("CP-76",'REGISTRE ELEVES'!$AI$10:$AI$250,0),"")</f>
        <v/>
      </c>
    </row>
    <row r="86" customFormat="false" ht="15" hidden="false" customHeight="false" outlineLevel="0" collapsed="false">
      <c r="A86" s="73" t="str">
        <f aca="false">IF(B86="","",77)</f>
        <v/>
      </c>
      <c r="B86" s="73" t="str">
        <f aca="false">IF($AU86="","",INDEX('REGISTRE ELEVES'!$B$10:$B$250,$AU86))</f>
        <v/>
      </c>
      <c r="C86" s="74" t="str">
        <f aca="false">IF($AU86="","",INDEX('REGISTRE ELEVES'!$D$10:$D$250,$AU86))</f>
        <v/>
      </c>
      <c r="D86" s="73" t="str">
        <f aca="false">IF($AU86="","",INDEX('REGISTRE ELEVES'!$E$10:$E$250,$AU86))</f>
        <v/>
      </c>
      <c r="E86" s="73" t="str">
        <f aca="false">IF($AU86="","",INDEX('REGISTRE ELEVES'!$F$10:$F$250,$AU86))</f>
        <v/>
      </c>
      <c r="F86" s="73" t="str">
        <f aca="false">IF($AU86="","",INDEX('REGISTRE ELEVES'!$AE$10:$AE$250,$AU86))</f>
        <v/>
      </c>
      <c r="G86" s="75"/>
      <c r="H86" s="76"/>
      <c r="I86" s="76"/>
      <c r="J86" s="76"/>
      <c r="K86" s="76"/>
      <c r="L86" s="76"/>
      <c r="M86" s="76"/>
      <c r="N86" s="76"/>
      <c r="O86" s="76"/>
      <c r="P86" s="77" t="str">
        <f aca="false">IF(B86="","",IF($G86="NON",0,IF(COUNT(H86:O86)=0,"",IFERROR(ROUND(SUMPRODUCT(H86:O86,$H$8:$O$8)/SUMPRODUCT(ISNUMBER(H86:O86)*$H$8:$O$8),2),""))))</f>
        <v/>
      </c>
      <c r="Q86" s="75"/>
      <c r="R86" s="76"/>
      <c r="S86" s="76"/>
      <c r="T86" s="76"/>
      <c r="U86" s="76"/>
      <c r="V86" s="76"/>
      <c r="W86" s="76"/>
      <c r="X86" s="76"/>
      <c r="Y86" s="76"/>
      <c r="Z86" s="77" t="str">
        <f aca="false">IF(B86="","",IF($Q86="NON",0,IF(COUNT(R86:Y86)=0,"",IFERROR(ROUND(SUMPRODUCT(R86:Y86,$R$8:$Y$8)/SUMPRODUCT(ISNUMBER(R86:Y86)*$R$8:$Y$8),2),""))))</f>
        <v/>
      </c>
      <c r="AA86" s="75"/>
      <c r="AB86" s="76"/>
      <c r="AC86" s="76"/>
      <c r="AD86" s="76"/>
      <c r="AE86" s="76"/>
      <c r="AF86" s="76"/>
      <c r="AG86" s="76"/>
      <c r="AH86" s="76"/>
      <c r="AI86" s="76"/>
      <c r="AJ86" s="77" t="str">
        <f aca="false">IF(B86="","",IF($AA86="NON",0,IF(COUNT(AB86:AI86)=0,"",IFERROR(ROUND(SUMPRODUCT(AB86:AI86,$AB$8:$AI$8)/SUMPRODUCT(ISNUMBER(AB86:AI86)*$AB$8:$AI$8),2),""))))</f>
        <v/>
      </c>
      <c r="AK86" s="75"/>
      <c r="AL86" s="76"/>
      <c r="AM86" s="76"/>
      <c r="AN86" s="76"/>
      <c r="AO86" s="76"/>
      <c r="AP86" s="76"/>
      <c r="AQ86" s="76"/>
      <c r="AR86" s="76"/>
      <c r="AS86" s="76"/>
      <c r="AT86" s="77" t="str">
        <f aca="false">IF(B86="","",IF($AK86="NON",0,IF(COUNT(AL86:AS86)=0,"",IFERROR(ROUND(SUMPRODUCT(AL86:AS86,$AL$8:$AS$8)/SUMPRODUCT(ISNUMBER(AL86:AS86)*$AL$8:$AS$8),2),""))))</f>
        <v/>
      </c>
      <c r="AU86" s="51" t="str">
        <f aca="false">IFERROR(MATCH("CP-77",'REGISTRE ELEVES'!$AI$10:$AI$250,0),"")</f>
        <v/>
      </c>
    </row>
    <row r="87" customFormat="false" ht="15" hidden="false" customHeight="false" outlineLevel="0" collapsed="false">
      <c r="A87" s="73" t="str">
        <f aca="false">IF(B87="","",78)</f>
        <v/>
      </c>
      <c r="B87" s="73" t="str">
        <f aca="false">IF($AU87="","",INDEX('REGISTRE ELEVES'!$B$10:$B$250,$AU87))</f>
        <v/>
      </c>
      <c r="C87" s="74" t="str">
        <f aca="false">IF($AU87="","",INDEX('REGISTRE ELEVES'!$D$10:$D$250,$AU87))</f>
        <v/>
      </c>
      <c r="D87" s="73" t="str">
        <f aca="false">IF($AU87="","",INDEX('REGISTRE ELEVES'!$E$10:$E$250,$AU87))</f>
        <v/>
      </c>
      <c r="E87" s="73" t="str">
        <f aca="false">IF($AU87="","",INDEX('REGISTRE ELEVES'!$F$10:$F$250,$AU87))</f>
        <v/>
      </c>
      <c r="F87" s="73" t="str">
        <f aca="false">IF($AU87="","",INDEX('REGISTRE ELEVES'!$AE$10:$AE$250,$AU87))</f>
        <v/>
      </c>
      <c r="G87" s="75"/>
      <c r="H87" s="76"/>
      <c r="I87" s="76"/>
      <c r="J87" s="76"/>
      <c r="K87" s="76"/>
      <c r="L87" s="76"/>
      <c r="M87" s="76"/>
      <c r="N87" s="76"/>
      <c r="O87" s="76"/>
      <c r="P87" s="77" t="str">
        <f aca="false">IF(B87="","",IF($G87="NON",0,IF(COUNT(H87:O87)=0,"",IFERROR(ROUND(SUMPRODUCT(H87:O87,$H$8:$O$8)/SUMPRODUCT(ISNUMBER(H87:O87)*$H$8:$O$8),2),""))))</f>
        <v/>
      </c>
      <c r="Q87" s="75"/>
      <c r="R87" s="76"/>
      <c r="S87" s="76"/>
      <c r="T87" s="76"/>
      <c r="U87" s="76"/>
      <c r="V87" s="76"/>
      <c r="W87" s="76"/>
      <c r="X87" s="76"/>
      <c r="Y87" s="76"/>
      <c r="Z87" s="77" t="str">
        <f aca="false">IF(B87="","",IF($Q87="NON",0,IF(COUNT(R87:Y87)=0,"",IFERROR(ROUND(SUMPRODUCT(R87:Y87,$R$8:$Y$8)/SUMPRODUCT(ISNUMBER(R87:Y87)*$R$8:$Y$8),2),""))))</f>
        <v/>
      </c>
      <c r="AA87" s="75"/>
      <c r="AB87" s="76"/>
      <c r="AC87" s="76"/>
      <c r="AD87" s="76"/>
      <c r="AE87" s="76"/>
      <c r="AF87" s="76"/>
      <c r="AG87" s="76"/>
      <c r="AH87" s="76"/>
      <c r="AI87" s="76"/>
      <c r="AJ87" s="77" t="str">
        <f aca="false">IF(B87="","",IF($AA87="NON",0,IF(COUNT(AB87:AI87)=0,"",IFERROR(ROUND(SUMPRODUCT(AB87:AI87,$AB$8:$AI$8)/SUMPRODUCT(ISNUMBER(AB87:AI87)*$AB$8:$AI$8),2),""))))</f>
        <v/>
      </c>
      <c r="AK87" s="75"/>
      <c r="AL87" s="76"/>
      <c r="AM87" s="76"/>
      <c r="AN87" s="76"/>
      <c r="AO87" s="76"/>
      <c r="AP87" s="76"/>
      <c r="AQ87" s="76"/>
      <c r="AR87" s="76"/>
      <c r="AS87" s="76"/>
      <c r="AT87" s="77" t="str">
        <f aca="false">IF(B87="","",IF($AK87="NON",0,IF(COUNT(AL87:AS87)=0,"",IFERROR(ROUND(SUMPRODUCT(AL87:AS87,$AL$8:$AS$8)/SUMPRODUCT(ISNUMBER(AL87:AS87)*$AL$8:$AS$8),2),""))))</f>
        <v/>
      </c>
      <c r="AU87" s="51" t="str">
        <f aca="false">IFERROR(MATCH("CP-78",'REGISTRE ELEVES'!$AI$10:$AI$250,0),"")</f>
        <v/>
      </c>
    </row>
    <row r="88" customFormat="false" ht="15" hidden="false" customHeight="false" outlineLevel="0" collapsed="false">
      <c r="A88" s="73" t="str">
        <f aca="false">IF(B88="","",79)</f>
        <v/>
      </c>
      <c r="B88" s="73" t="str">
        <f aca="false">IF($AU88="","",INDEX('REGISTRE ELEVES'!$B$10:$B$250,$AU88))</f>
        <v/>
      </c>
      <c r="C88" s="74" t="str">
        <f aca="false">IF($AU88="","",INDEX('REGISTRE ELEVES'!$D$10:$D$250,$AU88))</f>
        <v/>
      </c>
      <c r="D88" s="73" t="str">
        <f aca="false">IF($AU88="","",INDEX('REGISTRE ELEVES'!$E$10:$E$250,$AU88))</f>
        <v/>
      </c>
      <c r="E88" s="73" t="str">
        <f aca="false">IF($AU88="","",INDEX('REGISTRE ELEVES'!$F$10:$F$250,$AU88))</f>
        <v/>
      </c>
      <c r="F88" s="73" t="str">
        <f aca="false">IF($AU88="","",INDEX('REGISTRE ELEVES'!$AE$10:$AE$250,$AU88))</f>
        <v/>
      </c>
      <c r="G88" s="75"/>
      <c r="H88" s="76"/>
      <c r="I88" s="76"/>
      <c r="J88" s="76"/>
      <c r="K88" s="76"/>
      <c r="L88" s="76"/>
      <c r="M88" s="76"/>
      <c r="N88" s="76"/>
      <c r="O88" s="76"/>
      <c r="P88" s="77" t="str">
        <f aca="false">IF(B88="","",IF($G88="NON",0,IF(COUNT(H88:O88)=0,"",IFERROR(ROUND(SUMPRODUCT(H88:O88,$H$8:$O$8)/SUMPRODUCT(ISNUMBER(H88:O88)*$H$8:$O$8),2),""))))</f>
        <v/>
      </c>
      <c r="Q88" s="75"/>
      <c r="R88" s="76"/>
      <c r="S88" s="76"/>
      <c r="T88" s="76"/>
      <c r="U88" s="76"/>
      <c r="V88" s="76"/>
      <c r="W88" s="76"/>
      <c r="X88" s="76"/>
      <c r="Y88" s="76"/>
      <c r="Z88" s="77" t="str">
        <f aca="false">IF(B88="","",IF($Q88="NON",0,IF(COUNT(R88:Y88)=0,"",IFERROR(ROUND(SUMPRODUCT(R88:Y88,$R$8:$Y$8)/SUMPRODUCT(ISNUMBER(R88:Y88)*$R$8:$Y$8),2),""))))</f>
        <v/>
      </c>
      <c r="AA88" s="75"/>
      <c r="AB88" s="76"/>
      <c r="AC88" s="76"/>
      <c r="AD88" s="76"/>
      <c r="AE88" s="76"/>
      <c r="AF88" s="76"/>
      <c r="AG88" s="76"/>
      <c r="AH88" s="76"/>
      <c r="AI88" s="76"/>
      <c r="AJ88" s="77" t="str">
        <f aca="false">IF(B88="","",IF($AA88="NON",0,IF(COUNT(AB88:AI88)=0,"",IFERROR(ROUND(SUMPRODUCT(AB88:AI88,$AB$8:$AI$8)/SUMPRODUCT(ISNUMBER(AB88:AI88)*$AB$8:$AI$8),2),""))))</f>
        <v/>
      </c>
      <c r="AK88" s="75"/>
      <c r="AL88" s="76"/>
      <c r="AM88" s="76"/>
      <c r="AN88" s="76"/>
      <c r="AO88" s="76"/>
      <c r="AP88" s="76"/>
      <c r="AQ88" s="76"/>
      <c r="AR88" s="76"/>
      <c r="AS88" s="76"/>
      <c r="AT88" s="77" t="str">
        <f aca="false">IF(B88="","",IF($AK88="NON",0,IF(COUNT(AL88:AS88)=0,"",IFERROR(ROUND(SUMPRODUCT(AL88:AS88,$AL$8:$AS$8)/SUMPRODUCT(ISNUMBER(AL88:AS88)*$AL$8:$AS$8),2),""))))</f>
        <v/>
      </c>
      <c r="AU88" s="51" t="str">
        <f aca="false">IFERROR(MATCH("CP-79",'REGISTRE ELEVES'!$AI$10:$AI$250,0),"")</f>
        <v/>
      </c>
    </row>
    <row r="89" customFormat="false" ht="15" hidden="false" customHeight="false" outlineLevel="0" collapsed="false">
      <c r="A89" s="73" t="str">
        <f aca="false">IF(B89="","",80)</f>
        <v/>
      </c>
      <c r="B89" s="73" t="str">
        <f aca="false">IF($AU89="","",INDEX('REGISTRE ELEVES'!$B$10:$B$250,$AU89))</f>
        <v/>
      </c>
      <c r="C89" s="74" t="str">
        <f aca="false">IF($AU89="","",INDEX('REGISTRE ELEVES'!$D$10:$D$250,$AU89))</f>
        <v/>
      </c>
      <c r="D89" s="73" t="str">
        <f aca="false">IF($AU89="","",INDEX('REGISTRE ELEVES'!$E$10:$E$250,$AU89))</f>
        <v/>
      </c>
      <c r="E89" s="73" t="str">
        <f aca="false">IF($AU89="","",INDEX('REGISTRE ELEVES'!$F$10:$F$250,$AU89))</f>
        <v/>
      </c>
      <c r="F89" s="73" t="str">
        <f aca="false">IF($AU89="","",INDEX('REGISTRE ELEVES'!$AE$10:$AE$250,$AU89))</f>
        <v/>
      </c>
      <c r="G89" s="75"/>
      <c r="H89" s="76"/>
      <c r="I89" s="76"/>
      <c r="J89" s="76"/>
      <c r="K89" s="76"/>
      <c r="L89" s="76"/>
      <c r="M89" s="76"/>
      <c r="N89" s="76"/>
      <c r="O89" s="76"/>
      <c r="P89" s="77" t="str">
        <f aca="false">IF(B89="","",IF($G89="NON",0,IF(COUNT(H89:O89)=0,"",IFERROR(ROUND(SUMPRODUCT(H89:O89,$H$8:$O$8)/SUMPRODUCT(ISNUMBER(H89:O89)*$H$8:$O$8),2),""))))</f>
        <v/>
      </c>
      <c r="Q89" s="75"/>
      <c r="R89" s="76"/>
      <c r="S89" s="76"/>
      <c r="T89" s="76"/>
      <c r="U89" s="76"/>
      <c r="V89" s="76"/>
      <c r="W89" s="76"/>
      <c r="X89" s="76"/>
      <c r="Y89" s="76"/>
      <c r="Z89" s="77" t="str">
        <f aca="false">IF(B89="","",IF($Q89="NON",0,IF(COUNT(R89:Y89)=0,"",IFERROR(ROUND(SUMPRODUCT(R89:Y89,$R$8:$Y$8)/SUMPRODUCT(ISNUMBER(R89:Y89)*$R$8:$Y$8),2),""))))</f>
        <v/>
      </c>
      <c r="AA89" s="75"/>
      <c r="AB89" s="76"/>
      <c r="AC89" s="76"/>
      <c r="AD89" s="76"/>
      <c r="AE89" s="76"/>
      <c r="AF89" s="76"/>
      <c r="AG89" s="76"/>
      <c r="AH89" s="76"/>
      <c r="AI89" s="76"/>
      <c r="AJ89" s="77" t="str">
        <f aca="false">IF(B89="","",IF($AA89="NON",0,IF(COUNT(AB89:AI89)=0,"",IFERROR(ROUND(SUMPRODUCT(AB89:AI89,$AB$8:$AI$8)/SUMPRODUCT(ISNUMBER(AB89:AI89)*$AB$8:$AI$8),2),""))))</f>
        <v/>
      </c>
      <c r="AK89" s="75"/>
      <c r="AL89" s="76"/>
      <c r="AM89" s="76"/>
      <c r="AN89" s="76"/>
      <c r="AO89" s="76"/>
      <c r="AP89" s="76"/>
      <c r="AQ89" s="76"/>
      <c r="AR89" s="76"/>
      <c r="AS89" s="76"/>
      <c r="AT89" s="77" t="str">
        <f aca="false">IF(B89="","",IF($AK89="NON",0,IF(COUNT(AL89:AS89)=0,"",IFERROR(ROUND(SUMPRODUCT(AL89:AS89,$AL$8:$AS$8)/SUMPRODUCT(ISNUMBER(AL89:AS89)*$AL$8:$AS$8),2),""))))</f>
        <v/>
      </c>
      <c r="AU89" s="51" t="str">
        <f aca="false">IFERROR(MATCH("CP-80",'REGISTRE ELEVES'!$AI$10:$AI$250,0),"")</f>
        <v/>
      </c>
    </row>
    <row r="90" customFormat="false" ht="15" hidden="false" customHeight="false" outlineLevel="0" collapsed="false">
      <c r="A90" s="73" t="str">
        <f aca="false">IF(B90="","",81)</f>
        <v/>
      </c>
      <c r="B90" s="73" t="str">
        <f aca="false">IF($AU90="","",INDEX('REGISTRE ELEVES'!$B$10:$B$250,$AU90))</f>
        <v/>
      </c>
      <c r="C90" s="74" t="str">
        <f aca="false">IF($AU90="","",INDEX('REGISTRE ELEVES'!$D$10:$D$250,$AU90))</f>
        <v/>
      </c>
      <c r="D90" s="73" t="str">
        <f aca="false">IF($AU90="","",INDEX('REGISTRE ELEVES'!$E$10:$E$250,$AU90))</f>
        <v/>
      </c>
      <c r="E90" s="73" t="str">
        <f aca="false">IF($AU90="","",INDEX('REGISTRE ELEVES'!$F$10:$F$250,$AU90))</f>
        <v/>
      </c>
      <c r="F90" s="73" t="str">
        <f aca="false">IF($AU90="","",INDEX('REGISTRE ELEVES'!$AE$10:$AE$250,$AU90))</f>
        <v/>
      </c>
      <c r="G90" s="75"/>
      <c r="H90" s="76"/>
      <c r="I90" s="76"/>
      <c r="J90" s="76"/>
      <c r="K90" s="76"/>
      <c r="L90" s="76"/>
      <c r="M90" s="76"/>
      <c r="N90" s="76"/>
      <c r="O90" s="76"/>
      <c r="P90" s="77" t="str">
        <f aca="false">IF(B90="","",IF($G90="NON",0,IF(COUNT(H90:O90)=0,"",IFERROR(ROUND(SUMPRODUCT(H90:O90,$H$8:$O$8)/SUMPRODUCT(ISNUMBER(H90:O90)*$H$8:$O$8),2),""))))</f>
        <v/>
      </c>
      <c r="Q90" s="75"/>
      <c r="R90" s="76"/>
      <c r="S90" s="76"/>
      <c r="T90" s="76"/>
      <c r="U90" s="76"/>
      <c r="V90" s="76"/>
      <c r="W90" s="76"/>
      <c r="X90" s="76"/>
      <c r="Y90" s="76"/>
      <c r="Z90" s="77" t="str">
        <f aca="false">IF(B90="","",IF($Q90="NON",0,IF(COUNT(R90:Y90)=0,"",IFERROR(ROUND(SUMPRODUCT(R90:Y90,$R$8:$Y$8)/SUMPRODUCT(ISNUMBER(R90:Y90)*$R$8:$Y$8),2),""))))</f>
        <v/>
      </c>
      <c r="AA90" s="75"/>
      <c r="AB90" s="76"/>
      <c r="AC90" s="76"/>
      <c r="AD90" s="76"/>
      <c r="AE90" s="76"/>
      <c r="AF90" s="76"/>
      <c r="AG90" s="76"/>
      <c r="AH90" s="76"/>
      <c r="AI90" s="76"/>
      <c r="AJ90" s="77" t="str">
        <f aca="false">IF(B90="","",IF($AA90="NON",0,IF(COUNT(AB90:AI90)=0,"",IFERROR(ROUND(SUMPRODUCT(AB90:AI90,$AB$8:$AI$8)/SUMPRODUCT(ISNUMBER(AB90:AI90)*$AB$8:$AI$8),2),""))))</f>
        <v/>
      </c>
      <c r="AK90" s="75"/>
      <c r="AL90" s="76"/>
      <c r="AM90" s="76"/>
      <c r="AN90" s="76"/>
      <c r="AO90" s="76"/>
      <c r="AP90" s="76"/>
      <c r="AQ90" s="76"/>
      <c r="AR90" s="76"/>
      <c r="AS90" s="76"/>
      <c r="AT90" s="77" t="str">
        <f aca="false">IF(B90="","",IF($AK90="NON",0,IF(COUNT(AL90:AS90)=0,"",IFERROR(ROUND(SUMPRODUCT(AL90:AS90,$AL$8:$AS$8)/SUMPRODUCT(ISNUMBER(AL90:AS90)*$AL$8:$AS$8),2),""))))</f>
        <v/>
      </c>
      <c r="AU90" s="51" t="str">
        <f aca="false">IFERROR(MATCH("CP-81",'REGISTRE ELEVES'!$AI$10:$AI$250,0),"")</f>
        <v/>
      </c>
    </row>
    <row r="91" customFormat="false" ht="15" hidden="false" customHeight="false" outlineLevel="0" collapsed="false">
      <c r="A91" s="73" t="str">
        <f aca="false">IF(B91="","",82)</f>
        <v/>
      </c>
      <c r="B91" s="73" t="str">
        <f aca="false">IF($AU91="","",INDEX('REGISTRE ELEVES'!$B$10:$B$250,$AU91))</f>
        <v/>
      </c>
      <c r="C91" s="74" t="str">
        <f aca="false">IF($AU91="","",INDEX('REGISTRE ELEVES'!$D$10:$D$250,$AU91))</f>
        <v/>
      </c>
      <c r="D91" s="73" t="str">
        <f aca="false">IF($AU91="","",INDEX('REGISTRE ELEVES'!$E$10:$E$250,$AU91))</f>
        <v/>
      </c>
      <c r="E91" s="73" t="str">
        <f aca="false">IF($AU91="","",INDEX('REGISTRE ELEVES'!$F$10:$F$250,$AU91))</f>
        <v/>
      </c>
      <c r="F91" s="73" t="str">
        <f aca="false">IF($AU91="","",INDEX('REGISTRE ELEVES'!$AE$10:$AE$250,$AU91))</f>
        <v/>
      </c>
      <c r="G91" s="75"/>
      <c r="H91" s="76"/>
      <c r="I91" s="76"/>
      <c r="J91" s="76"/>
      <c r="K91" s="76"/>
      <c r="L91" s="76"/>
      <c r="M91" s="76"/>
      <c r="N91" s="76"/>
      <c r="O91" s="76"/>
      <c r="P91" s="77" t="str">
        <f aca="false">IF(B91="","",IF($G91="NON",0,IF(COUNT(H91:O91)=0,"",IFERROR(ROUND(SUMPRODUCT(H91:O91,$H$8:$O$8)/SUMPRODUCT(ISNUMBER(H91:O91)*$H$8:$O$8),2),""))))</f>
        <v/>
      </c>
      <c r="Q91" s="75"/>
      <c r="R91" s="76"/>
      <c r="S91" s="76"/>
      <c r="T91" s="76"/>
      <c r="U91" s="76"/>
      <c r="V91" s="76"/>
      <c r="W91" s="76"/>
      <c r="X91" s="76"/>
      <c r="Y91" s="76"/>
      <c r="Z91" s="77" t="str">
        <f aca="false">IF(B91="","",IF($Q91="NON",0,IF(COUNT(R91:Y91)=0,"",IFERROR(ROUND(SUMPRODUCT(R91:Y91,$R$8:$Y$8)/SUMPRODUCT(ISNUMBER(R91:Y91)*$R$8:$Y$8),2),""))))</f>
        <v/>
      </c>
      <c r="AA91" s="75"/>
      <c r="AB91" s="76"/>
      <c r="AC91" s="76"/>
      <c r="AD91" s="76"/>
      <c r="AE91" s="76"/>
      <c r="AF91" s="76"/>
      <c r="AG91" s="76"/>
      <c r="AH91" s="76"/>
      <c r="AI91" s="76"/>
      <c r="AJ91" s="77" t="str">
        <f aca="false">IF(B91="","",IF($AA91="NON",0,IF(COUNT(AB91:AI91)=0,"",IFERROR(ROUND(SUMPRODUCT(AB91:AI91,$AB$8:$AI$8)/SUMPRODUCT(ISNUMBER(AB91:AI91)*$AB$8:$AI$8),2),""))))</f>
        <v/>
      </c>
      <c r="AK91" s="75"/>
      <c r="AL91" s="76"/>
      <c r="AM91" s="76"/>
      <c r="AN91" s="76"/>
      <c r="AO91" s="76"/>
      <c r="AP91" s="76"/>
      <c r="AQ91" s="76"/>
      <c r="AR91" s="76"/>
      <c r="AS91" s="76"/>
      <c r="AT91" s="77" t="str">
        <f aca="false">IF(B91="","",IF($AK91="NON",0,IF(COUNT(AL91:AS91)=0,"",IFERROR(ROUND(SUMPRODUCT(AL91:AS91,$AL$8:$AS$8)/SUMPRODUCT(ISNUMBER(AL91:AS91)*$AL$8:$AS$8),2),""))))</f>
        <v/>
      </c>
      <c r="AU91" s="51" t="str">
        <f aca="false">IFERROR(MATCH("CP-82",'REGISTRE ELEVES'!$AI$10:$AI$250,0),"")</f>
        <v/>
      </c>
    </row>
    <row r="92" customFormat="false" ht="15" hidden="false" customHeight="false" outlineLevel="0" collapsed="false">
      <c r="A92" s="73" t="str">
        <f aca="false">IF(B92="","",83)</f>
        <v/>
      </c>
      <c r="B92" s="73" t="str">
        <f aca="false">IF($AU92="","",INDEX('REGISTRE ELEVES'!$B$10:$B$250,$AU92))</f>
        <v/>
      </c>
      <c r="C92" s="74" t="str">
        <f aca="false">IF($AU92="","",INDEX('REGISTRE ELEVES'!$D$10:$D$250,$AU92))</f>
        <v/>
      </c>
      <c r="D92" s="73" t="str">
        <f aca="false">IF($AU92="","",INDEX('REGISTRE ELEVES'!$E$10:$E$250,$AU92))</f>
        <v/>
      </c>
      <c r="E92" s="73" t="str">
        <f aca="false">IF($AU92="","",INDEX('REGISTRE ELEVES'!$F$10:$F$250,$AU92))</f>
        <v/>
      </c>
      <c r="F92" s="73" t="str">
        <f aca="false">IF($AU92="","",INDEX('REGISTRE ELEVES'!$AE$10:$AE$250,$AU92))</f>
        <v/>
      </c>
      <c r="G92" s="75"/>
      <c r="H92" s="76"/>
      <c r="I92" s="76"/>
      <c r="J92" s="76"/>
      <c r="K92" s="76"/>
      <c r="L92" s="76"/>
      <c r="M92" s="76"/>
      <c r="N92" s="76"/>
      <c r="O92" s="76"/>
      <c r="P92" s="77" t="str">
        <f aca="false">IF(B92="","",IF($G92="NON",0,IF(COUNT(H92:O92)=0,"",IFERROR(ROUND(SUMPRODUCT(H92:O92,$H$8:$O$8)/SUMPRODUCT(ISNUMBER(H92:O92)*$H$8:$O$8),2),""))))</f>
        <v/>
      </c>
      <c r="Q92" s="75"/>
      <c r="R92" s="76"/>
      <c r="S92" s="76"/>
      <c r="T92" s="76"/>
      <c r="U92" s="76"/>
      <c r="V92" s="76"/>
      <c r="W92" s="76"/>
      <c r="X92" s="76"/>
      <c r="Y92" s="76"/>
      <c r="Z92" s="77" t="str">
        <f aca="false">IF(B92="","",IF($Q92="NON",0,IF(COUNT(R92:Y92)=0,"",IFERROR(ROUND(SUMPRODUCT(R92:Y92,$R$8:$Y$8)/SUMPRODUCT(ISNUMBER(R92:Y92)*$R$8:$Y$8),2),""))))</f>
        <v/>
      </c>
      <c r="AA92" s="75"/>
      <c r="AB92" s="76"/>
      <c r="AC92" s="76"/>
      <c r="AD92" s="76"/>
      <c r="AE92" s="76"/>
      <c r="AF92" s="76"/>
      <c r="AG92" s="76"/>
      <c r="AH92" s="76"/>
      <c r="AI92" s="76"/>
      <c r="AJ92" s="77" t="str">
        <f aca="false">IF(B92="","",IF($AA92="NON",0,IF(COUNT(AB92:AI92)=0,"",IFERROR(ROUND(SUMPRODUCT(AB92:AI92,$AB$8:$AI$8)/SUMPRODUCT(ISNUMBER(AB92:AI92)*$AB$8:$AI$8),2),""))))</f>
        <v/>
      </c>
      <c r="AK92" s="75"/>
      <c r="AL92" s="76"/>
      <c r="AM92" s="76"/>
      <c r="AN92" s="76"/>
      <c r="AO92" s="76"/>
      <c r="AP92" s="76"/>
      <c r="AQ92" s="76"/>
      <c r="AR92" s="76"/>
      <c r="AS92" s="76"/>
      <c r="AT92" s="77" t="str">
        <f aca="false">IF(B92="","",IF($AK92="NON",0,IF(COUNT(AL92:AS92)=0,"",IFERROR(ROUND(SUMPRODUCT(AL92:AS92,$AL$8:$AS$8)/SUMPRODUCT(ISNUMBER(AL92:AS92)*$AL$8:$AS$8),2),""))))</f>
        <v/>
      </c>
      <c r="AU92" s="51" t="str">
        <f aca="false">IFERROR(MATCH("CP-83",'REGISTRE ELEVES'!$AI$10:$AI$250,0),"")</f>
        <v/>
      </c>
    </row>
    <row r="93" customFormat="false" ht="15" hidden="false" customHeight="false" outlineLevel="0" collapsed="false">
      <c r="A93" s="73" t="str">
        <f aca="false">IF(B93="","",84)</f>
        <v/>
      </c>
      <c r="B93" s="73" t="str">
        <f aca="false">IF($AU93="","",INDEX('REGISTRE ELEVES'!$B$10:$B$250,$AU93))</f>
        <v/>
      </c>
      <c r="C93" s="74" t="str">
        <f aca="false">IF($AU93="","",INDEX('REGISTRE ELEVES'!$D$10:$D$250,$AU93))</f>
        <v/>
      </c>
      <c r="D93" s="73" t="str">
        <f aca="false">IF($AU93="","",INDEX('REGISTRE ELEVES'!$E$10:$E$250,$AU93))</f>
        <v/>
      </c>
      <c r="E93" s="73" t="str">
        <f aca="false">IF($AU93="","",INDEX('REGISTRE ELEVES'!$F$10:$F$250,$AU93))</f>
        <v/>
      </c>
      <c r="F93" s="73" t="str">
        <f aca="false">IF($AU93="","",INDEX('REGISTRE ELEVES'!$AE$10:$AE$250,$AU93))</f>
        <v/>
      </c>
      <c r="G93" s="75"/>
      <c r="H93" s="76"/>
      <c r="I93" s="76"/>
      <c r="J93" s="76"/>
      <c r="K93" s="76"/>
      <c r="L93" s="76"/>
      <c r="M93" s="76"/>
      <c r="N93" s="76"/>
      <c r="O93" s="76"/>
      <c r="P93" s="77" t="str">
        <f aca="false">IF(B93="","",IF($G93="NON",0,IF(COUNT(H93:O93)=0,"",IFERROR(ROUND(SUMPRODUCT(H93:O93,$H$8:$O$8)/SUMPRODUCT(ISNUMBER(H93:O93)*$H$8:$O$8),2),""))))</f>
        <v/>
      </c>
      <c r="Q93" s="75"/>
      <c r="R93" s="76"/>
      <c r="S93" s="76"/>
      <c r="T93" s="76"/>
      <c r="U93" s="76"/>
      <c r="V93" s="76"/>
      <c r="W93" s="76"/>
      <c r="X93" s="76"/>
      <c r="Y93" s="76"/>
      <c r="Z93" s="77" t="str">
        <f aca="false">IF(B93="","",IF($Q93="NON",0,IF(COUNT(R93:Y93)=0,"",IFERROR(ROUND(SUMPRODUCT(R93:Y93,$R$8:$Y$8)/SUMPRODUCT(ISNUMBER(R93:Y93)*$R$8:$Y$8),2),""))))</f>
        <v/>
      </c>
      <c r="AA93" s="75"/>
      <c r="AB93" s="76"/>
      <c r="AC93" s="76"/>
      <c r="AD93" s="76"/>
      <c r="AE93" s="76"/>
      <c r="AF93" s="76"/>
      <c r="AG93" s="76"/>
      <c r="AH93" s="76"/>
      <c r="AI93" s="76"/>
      <c r="AJ93" s="77" t="str">
        <f aca="false">IF(B93="","",IF($AA93="NON",0,IF(COUNT(AB93:AI93)=0,"",IFERROR(ROUND(SUMPRODUCT(AB93:AI93,$AB$8:$AI$8)/SUMPRODUCT(ISNUMBER(AB93:AI93)*$AB$8:$AI$8),2),""))))</f>
        <v/>
      </c>
      <c r="AK93" s="75"/>
      <c r="AL93" s="76"/>
      <c r="AM93" s="76"/>
      <c r="AN93" s="76"/>
      <c r="AO93" s="76"/>
      <c r="AP93" s="76"/>
      <c r="AQ93" s="76"/>
      <c r="AR93" s="76"/>
      <c r="AS93" s="76"/>
      <c r="AT93" s="77" t="str">
        <f aca="false">IF(B93="","",IF($AK93="NON",0,IF(COUNT(AL93:AS93)=0,"",IFERROR(ROUND(SUMPRODUCT(AL93:AS93,$AL$8:$AS$8)/SUMPRODUCT(ISNUMBER(AL93:AS93)*$AL$8:$AS$8),2),""))))</f>
        <v/>
      </c>
      <c r="AU93" s="51" t="str">
        <f aca="false">IFERROR(MATCH("CP-84",'REGISTRE ELEVES'!$AI$10:$AI$250,0),"")</f>
        <v/>
      </c>
    </row>
    <row r="94" customFormat="false" ht="15" hidden="false" customHeight="false" outlineLevel="0" collapsed="false">
      <c r="A94" s="73" t="str">
        <f aca="false">IF(B94="","",85)</f>
        <v/>
      </c>
      <c r="B94" s="73" t="str">
        <f aca="false">IF($AU94="","",INDEX('REGISTRE ELEVES'!$B$10:$B$250,$AU94))</f>
        <v/>
      </c>
      <c r="C94" s="74" t="str">
        <f aca="false">IF($AU94="","",INDEX('REGISTRE ELEVES'!$D$10:$D$250,$AU94))</f>
        <v/>
      </c>
      <c r="D94" s="73" t="str">
        <f aca="false">IF($AU94="","",INDEX('REGISTRE ELEVES'!$E$10:$E$250,$AU94))</f>
        <v/>
      </c>
      <c r="E94" s="73" t="str">
        <f aca="false">IF($AU94="","",INDEX('REGISTRE ELEVES'!$F$10:$F$250,$AU94))</f>
        <v/>
      </c>
      <c r="F94" s="73" t="str">
        <f aca="false">IF($AU94="","",INDEX('REGISTRE ELEVES'!$AE$10:$AE$250,$AU94))</f>
        <v/>
      </c>
      <c r="G94" s="75"/>
      <c r="H94" s="76"/>
      <c r="I94" s="76"/>
      <c r="J94" s="76"/>
      <c r="K94" s="76"/>
      <c r="L94" s="76"/>
      <c r="M94" s="76"/>
      <c r="N94" s="76"/>
      <c r="O94" s="76"/>
      <c r="P94" s="77" t="str">
        <f aca="false">IF(B94="","",IF($G94="NON",0,IF(COUNT(H94:O94)=0,"",IFERROR(ROUND(SUMPRODUCT(H94:O94,$H$8:$O$8)/SUMPRODUCT(ISNUMBER(H94:O94)*$H$8:$O$8),2),""))))</f>
        <v/>
      </c>
      <c r="Q94" s="75"/>
      <c r="R94" s="76"/>
      <c r="S94" s="76"/>
      <c r="T94" s="76"/>
      <c r="U94" s="76"/>
      <c r="V94" s="76"/>
      <c r="W94" s="76"/>
      <c r="X94" s="76"/>
      <c r="Y94" s="76"/>
      <c r="Z94" s="77" t="str">
        <f aca="false">IF(B94="","",IF($Q94="NON",0,IF(COUNT(R94:Y94)=0,"",IFERROR(ROUND(SUMPRODUCT(R94:Y94,$R$8:$Y$8)/SUMPRODUCT(ISNUMBER(R94:Y94)*$R$8:$Y$8),2),""))))</f>
        <v/>
      </c>
      <c r="AA94" s="75"/>
      <c r="AB94" s="76"/>
      <c r="AC94" s="76"/>
      <c r="AD94" s="76"/>
      <c r="AE94" s="76"/>
      <c r="AF94" s="76"/>
      <c r="AG94" s="76"/>
      <c r="AH94" s="76"/>
      <c r="AI94" s="76"/>
      <c r="AJ94" s="77" t="str">
        <f aca="false">IF(B94="","",IF($AA94="NON",0,IF(COUNT(AB94:AI94)=0,"",IFERROR(ROUND(SUMPRODUCT(AB94:AI94,$AB$8:$AI$8)/SUMPRODUCT(ISNUMBER(AB94:AI94)*$AB$8:$AI$8),2),""))))</f>
        <v/>
      </c>
      <c r="AK94" s="75"/>
      <c r="AL94" s="76"/>
      <c r="AM94" s="76"/>
      <c r="AN94" s="76"/>
      <c r="AO94" s="76"/>
      <c r="AP94" s="76"/>
      <c r="AQ94" s="76"/>
      <c r="AR94" s="76"/>
      <c r="AS94" s="76"/>
      <c r="AT94" s="77" t="str">
        <f aca="false">IF(B94="","",IF($AK94="NON",0,IF(COUNT(AL94:AS94)=0,"",IFERROR(ROUND(SUMPRODUCT(AL94:AS94,$AL$8:$AS$8)/SUMPRODUCT(ISNUMBER(AL94:AS94)*$AL$8:$AS$8),2),""))))</f>
        <v/>
      </c>
      <c r="AU94" s="51" t="str">
        <f aca="false">IFERROR(MATCH("CP-85",'REGISTRE ELEVES'!$AI$10:$AI$250,0),"")</f>
        <v/>
      </c>
    </row>
    <row r="95" customFormat="false" ht="15" hidden="false" customHeight="false" outlineLevel="0" collapsed="false">
      <c r="A95" s="73" t="str">
        <f aca="false">IF(B95="","",86)</f>
        <v/>
      </c>
      <c r="B95" s="73" t="str">
        <f aca="false">IF($AU95="","",INDEX('REGISTRE ELEVES'!$B$10:$B$250,$AU95))</f>
        <v/>
      </c>
      <c r="C95" s="74" t="str">
        <f aca="false">IF($AU95="","",INDEX('REGISTRE ELEVES'!$D$10:$D$250,$AU95))</f>
        <v/>
      </c>
      <c r="D95" s="73" t="str">
        <f aca="false">IF($AU95="","",INDEX('REGISTRE ELEVES'!$E$10:$E$250,$AU95))</f>
        <v/>
      </c>
      <c r="E95" s="73" t="str">
        <f aca="false">IF($AU95="","",INDEX('REGISTRE ELEVES'!$F$10:$F$250,$AU95))</f>
        <v/>
      </c>
      <c r="F95" s="73" t="str">
        <f aca="false">IF($AU95="","",INDEX('REGISTRE ELEVES'!$AE$10:$AE$250,$AU95))</f>
        <v/>
      </c>
      <c r="G95" s="75"/>
      <c r="H95" s="76"/>
      <c r="I95" s="76"/>
      <c r="J95" s="76"/>
      <c r="K95" s="76"/>
      <c r="L95" s="76"/>
      <c r="M95" s="76"/>
      <c r="N95" s="76"/>
      <c r="O95" s="76"/>
      <c r="P95" s="77" t="str">
        <f aca="false">IF(B95="","",IF($G95="NON",0,IF(COUNT(H95:O95)=0,"",IFERROR(ROUND(SUMPRODUCT(H95:O95,$H$8:$O$8)/SUMPRODUCT(ISNUMBER(H95:O95)*$H$8:$O$8),2),""))))</f>
        <v/>
      </c>
      <c r="Q95" s="75"/>
      <c r="R95" s="76"/>
      <c r="S95" s="76"/>
      <c r="T95" s="76"/>
      <c r="U95" s="76"/>
      <c r="V95" s="76"/>
      <c r="W95" s="76"/>
      <c r="X95" s="76"/>
      <c r="Y95" s="76"/>
      <c r="Z95" s="77" t="str">
        <f aca="false">IF(B95="","",IF($Q95="NON",0,IF(COUNT(R95:Y95)=0,"",IFERROR(ROUND(SUMPRODUCT(R95:Y95,$R$8:$Y$8)/SUMPRODUCT(ISNUMBER(R95:Y95)*$R$8:$Y$8),2),""))))</f>
        <v/>
      </c>
      <c r="AA95" s="75"/>
      <c r="AB95" s="76"/>
      <c r="AC95" s="76"/>
      <c r="AD95" s="76"/>
      <c r="AE95" s="76"/>
      <c r="AF95" s="76"/>
      <c r="AG95" s="76"/>
      <c r="AH95" s="76"/>
      <c r="AI95" s="76"/>
      <c r="AJ95" s="77" t="str">
        <f aca="false">IF(B95="","",IF($AA95="NON",0,IF(COUNT(AB95:AI95)=0,"",IFERROR(ROUND(SUMPRODUCT(AB95:AI95,$AB$8:$AI$8)/SUMPRODUCT(ISNUMBER(AB95:AI95)*$AB$8:$AI$8),2),""))))</f>
        <v/>
      </c>
      <c r="AK95" s="75"/>
      <c r="AL95" s="76"/>
      <c r="AM95" s="76"/>
      <c r="AN95" s="76"/>
      <c r="AO95" s="76"/>
      <c r="AP95" s="76"/>
      <c r="AQ95" s="76"/>
      <c r="AR95" s="76"/>
      <c r="AS95" s="76"/>
      <c r="AT95" s="77" t="str">
        <f aca="false">IF(B95="","",IF($AK95="NON",0,IF(COUNT(AL95:AS95)=0,"",IFERROR(ROUND(SUMPRODUCT(AL95:AS95,$AL$8:$AS$8)/SUMPRODUCT(ISNUMBER(AL95:AS95)*$AL$8:$AS$8),2),""))))</f>
        <v/>
      </c>
      <c r="AU95" s="51" t="str">
        <f aca="false">IFERROR(MATCH("CP-86",'REGISTRE ELEVES'!$AI$10:$AI$250,0),"")</f>
        <v/>
      </c>
    </row>
    <row r="96" customFormat="false" ht="15" hidden="false" customHeight="false" outlineLevel="0" collapsed="false">
      <c r="A96" s="73" t="str">
        <f aca="false">IF(B96="","",87)</f>
        <v/>
      </c>
      <c r="B96" s="73" t="str">
        <f aca="false">IF($AU96="","",INDEX('REGISTRE ELEVES'!$B$10:$B$250,$AU96))</f>
        <v/>
      </c>
      <c r="C96" s="74" t="str">
        <f aca="false">IF($AU96="","",INDEX('REGISTRE ELEVES'!$D$10:$D$250,$AU96))</f>
        <v/>
      </c>
      <c r="D96" s="73" t="str">
        <f aca="false">IF($AU96="","",INDEX('REGISTRE ELEVES'!$E$10:$E$250,$AU96))</f>
        <v/>
      </c>
      <c r="E96" s="73" t="str">
        <f aca="false">IF($AU96="","",INDEX('REGISTRE ELEVES'!$F$10:$F$250,$AU96))</f>
        <v/>
      </c>
      <c r="F96" s="73" t="str">
        <f aca="false">IF($AU96="","",INDEX('REGISTRE ELEVES'!$AE$10:$AE$250,$AU96))</f>
        <v/>
      </c>
      <c r="G96" s="75"/>
      <c r="H96" s="76"/>
      <c r="I96" s="76"/>
      <c r="J96" s="76"/>
      <c r="K96" s="76"/>
      <c r="L96" s="76"/>
      <c r="M96" s="76"/>
      <c r="N96" s="76"/>
      <c r="O96" s="76"/>
      <c r="P96" s="77" t="str">
        <f aca="false">IF(B96="","",IF($G96="NON",0,IF(COUNT(H96:O96)=0,"",IFERROR(ROUND(SUMPRODUCT(H96:O96,$H$8:$O$8)/SUMPRODUCT(ISNUMBER(H96:O96)*$H$8:$O$8),2),""))))</f>
        <v/>
      </c>
      <c r="Q96" s="75"/>
      <c r="R96" s="76"/>
      <c r="S96" s="76"/>
      <c r="T96" s="76"/>
      <c r="U96" s="76"/>
      <c r="V96" s="76"/>
      <c r="W96" s="76"/>
      <c r="X96" s="76"/>
      <c r="Y96" s="76"/>
      <c r="Z96" s="77" t="str">
        <f aca="false">IF(B96="","",IF($Q96="NON",0,IF(COUNT(R96:Y96)=0,"",IFERROR(ROUND(SUMPRODUCT(R96:Y96,$R$8:$Y$8)/SUMPRODUCT(ISNUMBER(R96:Y96)*$R$8:$Y$8),2),""))))</f>
        <v/>
      </c>
      <c r="AA96" s="75"/>
      <c r="AB96" s="76"/>
      <c r="AC96" s="76"/>
      <c r="AD96" s="76"/>
      <c r="AE96" s="76"/>
      <c r="AF96" s="76"/>
      <c r="AG96" s="76"/>
      <c r="AH96" s="76"/>
      <c r="AI96" s="76"/>
      <c r="AJ96" s="77" t="str">
        <f aca="false">IF(B96="","",IF($AA96="NON",0,IF(COUNT(AB96:AI96)=0,"",IFERROR(ROUND(SUMPRODUCT(AB96:AI96,$AB$8:$AI$8)/SUMPRODUCT(ISNUMBER(AB96:AI96)*$AB$8:$AI$8),2),""))))</f>
        <v/>
      </c>
      <c r="AK96" s="75"/>
      <c r="AL96" s="76"/>
      <c r="AM96" s="76"/>
      <c r="AN96" s="76"/>
      <c r="AO96" s="76"/>
      <c r="AP96" s="76"/>
      <c r="AQ96" s="76"/>
      <c r="AR96" s="76"/>
      <c r="AS96" s="76"/>
      <c r="AT96" s="77" t="str">
        <f aca="false">IF(B96="","",IF($AK96="NON",0,IF(COUNT(AL96:AS96)=0,"",IFERROR(ROUND(SUMPRODUCT(AL96:AS96,$AL$8:$AS$8)/SUMPRODUCT(ISNUMBER(AL96:AS96)*$AL$8:$AS$8),2),""))))</f>
        <v/>
      </c>
      <c r="AU96" s="51" t="str">
        <f aca="false">IFERROR(MATCH("CP-87",'REGISTRE ELEVES'!$AI$10:$AI$250,0),"")</f>
        <v/>
      </c>
    </row>
    <row r="97" customFormat="false" ht="15" hidden="false" customHeight="false" outlineLevel="0" collapsed="false">
      <c r="A97" s="73" t="str">
        <f aca="false">IF(B97="","",88)</f>
        <v/>
      </c>
      <c r="B97" s="73" t="str">
        <f aca="false">IF($AU97="","",INDEX('REGISTRE ELEVES'!$B$10:$B$250,$AU97))</f>
        <v/>
      </c>
      <c r="C97" s="74" t="str">
        <f aca="false">IF($AU97="","",INDEX('REGISTRE ELEVES'!$D$10:$D$250,$AU97))</f>
        <v/>
      </c>
      <c r="D97" s="73" t="str">
        <f aca="false">IF($AU97="","",INDEX('REGISTRE ELEVES'!$E$10:$E$250,$AU97))</f>
        <v/>
      </c>
      <c r="E97" s="73" t="str">
        <f aca="false">IF($AU97="","",INDEX('REGISTRE ELEVES'!$F$10:$F$250,$AU97))</f>
        <v/>
      </c>
      <c r="F97" s="73" t="str">
        <f aca="false">IF($AU97="","",INDEX('REGISTRE ELEVES'!$AE$10:$AE$250,$AU97))</f>
        <v/>
      </c>
      <c r="G97" s="75"/>
      <c r="H97" s="76"/>
      <c r="I97" s="76"/>
      <c r="J97" s="76"/>
      <c r="K97" s="76"/>
      <c r="L97" s="76"/>
      <c r="M97" s="76"/>
      <c r="N97" s="76"/>
      <c r="O97" s="76"/>
      <c r="P97" s="77" t="str">
        <f aca="false">IF(B97="","",IF($G97="NON",0,IF(COUNT(H97:O97)=0,"",IFERROR(ROUND(SUMPRODUCT(H97:O97,$H$8:$O$8)/SUMPRODUCT(ISNUMBER(H97:O97)*$H$8:$O$8),2),""))))</f>
        <v/>
      </c>
      <c r="Q97" s="75"/>
      <c r="R97" s="76"/>
      <c r="S97" s="76"/>
      <c r="T97" s="76"/>
      <c r="U97" s="76"/>
      <c r="V97" s="76"/>
      <c r="W97" s="76"/>
      <c r="X97" s="76"/>
      <c r="Y97" s="76"/>
      <c r="Z97" s="77" t="str">
        <f aca="false">IF(B97="","",IF($Q97="NON",0,IF(COUNT(R97:Y97)=0,"",IFERROR(ROUND(SUMPRODUCT(R97:Y97,$R$8:$Y$8)/SUMPRODUCT(ISNUMBER(R97:Y97)*$R$8:$Y$8),2),""))))</f>
        <v/>
      </c>
      <c r="AA97" s="75"/>
      <c r="AB97" s="76"/>
      <c r="AC97" s="76"/>
      <c r="AD97" s="76"/>
      <c r="AE97" s="76"/>
      <c r="AF97" s="76"/>
      <c r="AG97" s="76"/>
      <c r="AH97" s="76"/>
      <c r="AI97" s="76"/>
      <c r="AJ97" s="77" t="str">
        <f aca="false">IF(B97="","",IF($AA97="NON",0,IF(COUNT(AB97:AI97)=0,"",IFERROR(ROUND(SUMPRODUCT(AB97:AI97,$AB$8:$AI$8)/SUMPRODUCT(ISNUMBER(AB97:AI97)*$AB$8:$AI$8),2),""))))</f>
        <v/>
      </c>
      <c r="AK97" s="75"/>
      <c r="AL97" s="76"/>
      <c r="AM97" s="76"/>
      <c r="AN97" s="76"/>
      <c r="AO97" s="76"/>
      <c r="AP97" s="76"/>
      <c r="AQ97" s="76"/>
      <c r="AR97" s="76"/>
      <c r="AS97" s="76"/>
      <c r="AT97" s="77" t="str">
        <f aca="false">IF(B97="","",IF($AK97="NON",0,IF(COUNT(AL97:AS97)=0,"",IFERROR(ROUND(SUMPRODUCT(AL97:AS97,$AL$8:$AS$8)/SUMPRODUCT(ISNUMBER(AL97:AS97)*$AL$8:$AS$8),2),""))))</f>
        <v/>
      </c>
      <c r="AU97" s="51" t="str">
        <f aca="false">IFERROR(MATCH("CP-88",'REGISTRE ELEVES'!$AI$10:$AI$250,0),"")</f>
        <v/>
      </c>
    </row>
    <row r="98" customFormat="false" ht="15" hidden="false" customHeight="false" outlineLevel="0" collapsed="false">
      <c r="A98" s="73" t="str">
        <f aca="false">IF(B98="","",89)</f>
        <v/>
      </c>
      <c r="B98" s="73" t="str">
        <f aca="false">IF($AU98="","",INDEX('REGISTRE ELEVES'!$B$10:$B$250,$AU98))</f>
        <v/>
      </c>
      <c r="C98" s="74" t="str">
        <f aca="false">IF($AU98="","",INDEX('REGISTRE ELEVES'!$D$10:$D$250,$AU98))</f>
        <v/>
      </c>
      <c r="D98" s="73" t="str">
        <f aca="false">IF($AU98="","",INDEX('REGISTRE ELEVES'!$E$10:$E$250,$AU98))</f>
        <v/>
      </c>
      <c r="E98" s="73" t="str">
        <f aca="false">IF($AU98="","",INDEX('REGISTRE ELEVES'!$F$10:$F$250,$AU98))</f>
        <v/>
      </c>
      <c r="F98" s="73" t="str">
        <f aca="false">IF($AU98="","",INDEX('REGISTRE ELEVES'!$AE$10:$AE$250,$AU98))</f>
        <v/>
      </c>
      <c r="G98" s="75"/>
      <c r="H98" s="76"/>
      <c r="I98" s="76"/>
      <c r="J98" s="76"/>
      <c r="K98" s="76"/>
      <c r="L98" s="76"/>
      <c r="M98" s="76"/>
      <c r="N98" s="76"/>
      <c r="O98" s="76"/>
      <c r="P98" s="77" t="str">
        <f aca="false">IF(B98="","",IF($G98="NON",0,IF(COUNT(H98:O98)=0,"",IFERROR(ROUND(SUMPRODUCT(H98:O98,$H$8:$O$8)/SUMPRODUCT(ISNUMBER(H98:O98)*$H$8:$O$8),2),""))))</f>
        <v/>
      </c>
      <c r="Q98" s="75"/>
      <c r="R98" s="76"/>
      <c r="S98" s="76"/>
      <c r="T98" s="76"/>
      <c r="U98" s="76"/>
      <c r="V98" s="76"/>
      <c r="W98" s="76"/>
      <c r="X98" s="76"/>
      <c r="Y98" s="76"/>
      <c r="Z98" s="77" t="str">
        <f aca="false">IF(B98="","",IF($Q98="NON",0,IF(COUNT(R98:Y98)=0,"",IFERROR(ROUND(SUMPRODUCT(R98:Y98,$R$8:$Y$8)/SUMPRODUCT(ISNUMBER(R98:Y98)*$R$8:$Y$8),2),""))))</f>
        <v/>
      </c>
      <c r="AA98" s="75"/>
      <c r="AB98" s="76"/>
      <c r="AC98" s="76"/>
      <c r="AD98" s="76"/>
      <c r="AE98" s="76"/>
      <c r="AF98" s="76"/>
      <c r="AG98" s="76"/>
      <c r="AH98" s="76"/>
      <c r="AI98" s="76"/>
      <c r="AJ98" s="77" t="str">
        <f aca="false">IF(B98="","",IF($AA98="NON",0,IF(COUNT(AB98:AI98)=0,"",IFERROR(ROUND(SUMPRODUCT(AB98:AI98,$AB$8:$AI$8)/SUMPRODUCT(ISNUMBER(AB98:AI98)*$AB$8:$AI$8),2),""))))</f>
        <v/>
      </c>
      <c r="AK98" s="75"/>
      <c r="AL98" s="76"/>
      <c r="AM98" s="76"/>
      <c r="AN98" s="76"/>
      <c r="AO98" s="76"/>
      <c r="AP98" s="76"/>
      <c r="AQ98" s="76"/>
      <c r="AR98" s="76"/>
      <c r="AS98" s="76"/>
      <c r="AT98" s="77" t="str">
        <f aca="false">IF(B98="","",IF($AK98="NON",0,IF(COUNT(AL98:AS98)=0,"",IFERROR(ROUND(SUMPRODUCT(AL98:AS98,$AL$8:$AS$8)/SUMPRODUCT(ISNUMBER(AL98:AS98)*$AL$8:$AS$8),2),""))))</f>
        <v/>
      </c>
      <c r="AU98" s="51" t="str">
        <f aca="false">IFERROR(MATCH("CP-89",'REGISTRE ELEVES'!$AI$10:$AI$250,0),"")</f>
        <v/>
      </c>
    </row>
    <row r="99" customFormat="false" ht="15" hidden="false" customHeight="false" outlineLevel="0" collapsed="false">
      <c r="A99" s="73" t="str">
        <f aca="false">IF(B99="","",90)</f>
        <v/>
      </c>
      <c r="B99" s="73" t="str">
        <f aca="false">IF($AU99="","",INDEX('REGISTRE ELEVES'!$B$10:$B$250,$AU99))</f>
        <v/>
      </c>
      <c r="C99" s="74" t="str">
        <f aca="false">IF($AU99="","",INDEX('REGISTRE ELEVES'!$D$10:$D$250,$AU99))</f>
        <v/>
      </c>
      <c r="D99" s="73" t="str">
        <f aca="false">IF($AU99="","",INDEX('REGISTRE ELEVES'!$E$10:$E$250,$AU99))</f>
        <v/>
      </c>
      <c r="E99" s="73" t="str">
        <f aca="false">IF($AU99="","",INDEX('REGISTRE ELEVES'!$F$10:$F$250,$AU99))</f>
        <v/>
      </c>
      <c r="F99" s="73" t="str">
        <f aca="false">IF($AU99="","",INDEX('REGISTRE ELEVES'!$AE$10:$AE$250,$AU99))</f>
        <v/>
      </c>
      <c r="G99" s="75"/>
      <c r="H99" s="76"/>
      <c r="I99" s="76"/>
      <c r="J99" s="76"/>
      <c r="K99" s="76"/>
      <c r="L99" s="76"/>
      <c r="M99" s="76"/>
      <c r="N99" s="76"/>
      <c r="O99" s="76"/>
      <c r="P99" s="77" t="str">
        <f aca="false">IF(B99="","",IF($G99="NON",0,IF(COUNT(H99:O99)=0,"",IFERROR(ROUND(SUMPRODUCT(H99:O99,$H$8:$O$8)/SUMPRODUCT(ISNUMBER(H99:O99)*$H$8:$O$8),2),""))))</f>
        <v/>
      </c>
      <c r="Q99" s="75"/>
      <c r="R99" s="76"/>
      <c r="S99" s="76"/>
      <c r="T99" s="76"/>
      <c r="U99" s="76"/>
      <c r="V99" s="76"/>
      <c r="W99" s="76"/>
      <c r="X99" s="76"/>
      <c r="Y99" s="76"/>
      <c r="Z99" s="77" t="str">
        <f aca="false">IF(B99="","",IF($Q99="NON",0,IF(COUNT(R99:Y99)=0,"",IFERROR(ROUND(SUMPRODUCT(R99:Y99,$R$8:$Y$8)/SUMPRODUCT(ISNUMBER(R99:Y99)*$R$8:$Y$8),2),""))))</f>
        <v/>
      </c>
      <c r="AA99" s="75"/>
      <c r="AB99" s="76"/>
      <c r="AC99" s="76"/>
      <c r="AD99" s="76"/>
      <c r="AE99" s="76"/>
      <c r="AF99" s="76"/>
      <c r="AG99" s="76"/>
      <c r="AH99" s="76"/>
      <c r="AI99" s="76"/>
      <c r="AJ99" s="77" t="str">
        <f aca="false">IF(B99="","",IF($AA99="NON",0,IF(COUNT(AB99:AI99)=0,"",IFERROR(ROUND(SUMPRODUCT(AB99:AI99,$AB$8:$AI$8)/SUMPRODUCT(ISNUMBER(AB99:AI99)*$AB$8:$AI$8),2),""))))</f>
        <v/>
      </c>
      <c r="AK99" s="75"/>
      <c r="AL99" s="76"/>
      <c r="AM99" s="76"/>
      <c r="AN99" s="76"/>
      <c r="AO99" s="76"/>
      <c r="AP99" s="76"/>
      <c r="AQ99" s="76"/>
      <c r="AR99" s="76"/>
      <c r="AS99" s="76"/>
      <c r="AT99" s="77" t="str">
        <f aca="false">IF(B99="","",IF($AK99="NON",0,IF(COUNT(AL99:AS99)=0,"",IFERROR(ROUND(SUMPRODUCT(AL99:AS99,$AL$8:$AS$8)/SUMPRODUCT(ISNUMBER(AL99:AS99)*$AL$8:$AS$8),2),""))))</f>
        <v/>
      </c>
      <c r="AU99" s="51" t="str">
        <f aca="false">IFERROR(MATCH("CP-90",'REGISTRE ELEVES'!$AI$10:$AI$250,0),"")</f>
        <v/>
      </c>
    </row>
    <row r="100" customFormat="false" ht="15" hidden="false" customHeight="false" outlineLevel="0" collapsed="false">
      <c r="A100" s="73" t="str">
        <f aca="false">IF(B100="","",91)</f>
        <v/>
      </c>
      <c r="B100" s="73" t="str">
        <f aca="false">IF($AU100="","",INDEX('REGISTRE ELEVES'!$B$10:$B$250,$AU100))</f>
        <v/>
      </c>
      <c r="C100" s="74" t="str">
        <f aca="false">IF($AU100="","",INDEX('REGISTRE ELEVES'!$D$10:$D$250,$AU100))</f>
        <v/>
      </c>
      <c r="D100" s="73" t="str">
        <f aca="false">IF($AU100="","",INDEX('REGISTRE ELEVES'!$E$10:$E$250,$AU100))</f>
        <v/>
      </c>
      <c r="E100" s="73" t="str">
        <f aca="false">IF($AU100="","",INDEX('REGISTRE ELEVES'!$F$10:$F$250,$AU100))</f>
        <v/>
      </c>
      <c r="F100" s="73" t="str">
        <f aca="false">IF($AU100="","",INDEX('REGISTRE ELEVES'!$AE$10:$AE$250,$AU100))</f>
        <v/>
      </c>
      <c r="G100" s="75"/>
      <c r="H100" s="76"/>
      <c r="I100" s="76"/>
      <c r="J100" s="76"/>
      <c r="K100" s="76"/>
      <c r="L100" s="76"/>
      <c r="M100" s="76"/>
      <c r="N100" s="76"/>
      <c r="O100" s="76"/>
      <c r="P100" s="77" t="str">
        <f aca="false">IF(B100="","",IF($G100="NON",0,IF(COUNT(H100:O100)=0,"",IFERROR(ROUND(SUMPRODUCT(H100:O100,$H$8:$O$8)/SUMPRODUCT(ISNUMBER(H100:O100)*$H$8:$O$8),2),""))))</f>
        <v/>
      </c>
      <c r="Q100" s="75"/>
      <c r="R100" s="76"/>
      <c r="S100" s="76"/>
      <c r="T100" s="76"/>
      <c r="U100" s="76"/>
      <c r="V100" s="76"/>
      <c r="W100" s="76"/>
      <c r="X100" s="76"/>
      <c r="Y100" s="76"/>
      <c r="Z100" s="77" t="str">
        <f aca="false">IF(B100="","",IF($Q100="NON",0,IF(COUNT(R100:Y100)=0,"",IFERROR(ROUND(SUMPRODUCT(R100:Y100,$R$8:$Y$8)/SUMPRODUCT(ISNUMBER(R100:Y100)*$R$8:$Y$8),2),""))))</f>
        <v/>
      </c>
      <c r="AA100" s="75"/>
      <c r="AB100" s="76"/>
      <c r="AC100" s="76"/>
      <c r="AD100" s="76"/>
      <c r="AE100" s="76"/>
      <c r="AF100" s="76"/>
      <c r="AG100" s="76"/>
      <c r="AH100" s="76"/>
      <c r="AI100" s="76"/>
      <c r="AJ100" s="77" t="str">
        <f aca="false">IF(B100="","",IF($AA100="NON",0,IF(COUNT(AB100:AI100)=0,"",IFERROR(ROUND(SUMPRODUCT(AB100:AI100,$AB$8:$AI$8)/SUMPRODUCT(ISNUMBER(AB100:AI100)*$AB$8:$AI$8),2),""))))</f>
        <v/>
      </c>
      <c r="AK100" s="75"/>
      <c r="AL100" s="76"/>
      <c r="AM100" s="76"/>
      <c r="AN100" s="76"/>
      <c r="AO100" s="76"/>
      <c r="AP100" s="76"/>
      <c r="AQ100" s="76"/>
      <c r="AR100" s="76"/>
      <c r="AS100" s="76"/>
      <c r="AT100" s="77" t="str">
        <f aca="false">IF(B100="","",IF($AK100="NON",0,IF(COUNT(AL100:AS100)=0,"",IFERROR(ROUND(SUMPRODUCT(AL100:AS100,$AL$8:$AS$8)/SUMPRODUCT(ISNUMBER(AL100:AS100)*$AL$8:$AS$8),2),""))))</f>
        <v/>
      </c>
      <c r="AU100" s="51" t="str">
        <f aca="false">IFERROR(MATCH("CP-91",'REGISTRE ELEVES'!$AI$10:$AI$250,0),"")</f>
        <v/>
      </c>
    </row>
    <row r="101" customFormat="false" ht="15" hidden="false" customHeight="false" outlineLevel="0" collapsed="false">
      <c r="A101" s="73" t="str">
        <f aca="false">IF(B101="","",92)</f>
        <v/>
      </c>
      <c r="B101" s="73" t="str">
        <f aca="false">IF($AU101="","",INDEX('REGISTRE ELEVES'!$B$10:$B$250,$AU101))</f>
        <v/>
      </c>
      <c r="C101" s="74" t="str">
        <f aca="false">IF($AU101="","",INDEX('REGISTRE ELEVES'!$D$10:$D$250,$AU101))</f>
        <v/>
      </c>
      <c r="D101" s="73" t="str">
        <f aca="false">IF($AU101="","",INDEX('REGISTRE ELEVES'!$E$10:$E$250,$AU101))</f>
        <v/>
      </c>
      <c r="E101" s="73" t="str">
        <f aca="false">IF($AU101="","",INDEX('REGISTRE ELEVES'!$F$10:$F$250,$AU101))</f>
        <v/>
      </c>
      <c r="F101" s="73" t="str">
        <f aca="false">IF($AU101="","",INDEX('REGISTRE ELEVES'!$AE$10:$AE$250,$AU101))</f>
        <v/>
      </c>
      <c r="G101" s="75"/>
      <c r="H101" s="76"/>
      <c r="I101" s="76"/>
      <c r="J101" s="76"/>
      <c r="K101" s="76"/>
      <c r="L101" s="76"/>
      <c r="M101" s="76"/>
      <c r="N101" s="76"/>
      <c r="O101" s="76"/>
      <c r="P101" s="77" t="str">
        <f aca="false">IF(B101="","",IF($G101="NON",0,IF(COUNT(H101:O101)=0,"",IFERROR(ROUND(SUMPRODUCT(H101:O101,$H$8:$O$8)/SUMPRODUCT(ISNUMBER(H101:O101)*$H$8:$O$8),2),""))))</f>
        <v/>
      </c>
      <c r="Q101" s="75"/>
      <c r="R101" s="76"/>
      <c r="S101" s="76"/>
      <c r="T101" s="76"/>
      <c r="U101" s="76"/>
      <c r="V101" s="76"/>
      <c r="W101" s="76"/>
      <c r="X101" s="76"/>
      <c r="Y101" s="76"/>
      <c r="Z101" s="77" t="str">
        <f aca="false">IF(B101="","",IF($Q101="NON",0,IF(COUNT(R101:Y101)=0,"",IFERROR(ROUND(SUMPRODUCT(R101:Y101,$R$8:$Y$8)/SUMPRODUCT(ISNUMBER(R101:Y101)*$R$8:$Y$8),2),""))))</f>
        <v/>
      </c>
      <c r="AA101" s="75"/>
      <c r="AB101" s="76"/>
      <c r="AC101" s="76"/>
      <c r="AD101" s="76"/>
      <c r="AE101" s="76"/>
      <c r="AF101" s="76"/>
      <c r="AG101" s="76"/>
      <c r="AH101" s="76"/>
      <c r="AI101" s="76"/>
      <c r="AJ101" s="77" t="str">
        <f aca="false">IF(B101="","",IF($AA101="NON",0,IF(COUNT(AB101:AI101)=0,"",IFERROR(ROUND(SUMPRODUCT(AB101:AI101,$AB$8:$AI$8)/SUMPRODUCT(ISNUMBER(AB101:AI101)*$AB$8:$AI$8),2),""))))</f>
        <v/>
      </c>
      <c r="AK101" s="75"/>
      <c r="AL101" s="76"/>
      <c r="AM101" s="76"/>
      <c r="AN101" s="76"/>
      <c r="AO101" s="76"/>
      <c r="AP101" s="76"/>
      <c r="AQ101" s="76"/>
      <c r="AR101" s="76"/>
      <c r="AS101" s="76"/>
      <c r="AT101" s="77" t="str">
        <f aca="false">IF(B101="","",IF($AK101="NON",0,IF(COUNT(AL101:AS101)=0,"",IFERROR(ROUND(SUMPRODUCT(AL101:AS101,$AL$8:$AS$8)/SUMPRODUCT(ISNUMBER(AL101:AS101)*$AL$8:$AS$8),2),""))))</f>
        <v/>
      </c>
      <c r="AU101" s="51" t="str">
        <f aca="false">IFERROR(MATCH("CP-92",'REGISTRE ELEVES'!$AI$10:$AI$250,0),"")</f>
        <v/>
      </c>
    </row>
    <row r="102" customFormat="false" ht="15" hidden="false" customHeight="false" outlineLevel="0" collapsed="false">
      <c r="A102" s="73" t="str">
        <f aca="false">IF(B102="","",93)</f>
        <v/>
      </c>
      <c r="B102" s="73" t="str">
        <f aca="false">IF($AU102="","",INDEX('REGISTRE ELEVES'!$B$10:$B$250,$AU102))</f>
        <v/>
      </c>
      <c r="C102" s="74" t="str">
        <f aca="false">IF($AU102="","",INDEX('REGISTRE ELEVES'!$D$10:$D$250,$AU102))</f>
        <v/>
      </c>
      <c r="D102" s="73" t="str">
        <f aca="false">IF($AU102="","",INDEX('REGISTRE ELEVES'!$E$10:$E$250,$AU102))</f>
        <v/>
      </c>
      <c r="E102" s="73" t="str">
        <f aca="false">IF($AU102="","",INDEX('REGISTRE ELEVES'!$F$10:$F$250,$AU102))</f>
        <v/>
      </c>
      <c r="F102" s="73" t="str">
        <f aca="false">IF($AU102="","",INDEX('REGISTRE ELEVES'!$AE$10:$AE$250,$AU102))</f>
        <v/>
      </c>
      <c r="G102" s="75"/>
      <c r="H102" s="76"/>
      <c r="I102" s="76"/>
      <c r="J102" s="76"/>
      <c r="K102" s="76"/>
      <c r="L102" s="76"/>
      <c r="M102" s="76"/>
      <c r="N102" s="76"/>
      <c r="O102" s="76"/>
      <c r="P102" s="77" t="str">
        <f aca="false">IF(B102="","",IF($G102="NON",0,IF(COUNT(H102:O102)=0,"",IFERROR(ROUND(SUMPRODUCT(H102:O102,$H$8:$O$8)/SUMPRODUCT(ISNUMBER(H102:O102)*$H$8:$O$8),2),""))))</f>
        <v/>
      </c>
      <c r="Q102" s="75"/>
      <c r="R102" s="76"/>
      <c r="S102" s="76"/>
      <c r="T102" s="76"/>
      <c r="U102" s="76"/>
      <c r="V102" s="76"/>
      <c r="W102" s="76"/>
      <c r="X102" s="76"/>
      <c r="Y102" s="76"/>
      <c r="Z102" s="77" t="str">
        <f aca="false">IF(B102="","",IF($Q102="NON",0,IF(COUNT(R102:Y102)=0,"",IFERROR(ROUND(SUMPRODUCT(R102:Y102,$R$8:$Y$8)/SUMPRODUCT(ISNUMBER(R102:Y102)*$R$8:$Y$8),2),""))))</f>
        <v/>
      </c>
      <c r="AA102" s="75"/>
      <c r="AB102" s="76"/>
      <c r="AC102" s="76"/>
      <c r="AD102" s="76"/>
      <c r="AE102" s="76"/>
      <c r="AF102" s="76"/>
      <c r="AG102" s="76"/>
      <c r="AH102" s="76"/>
      <c r="AI102" s="76"/>
      <c r="AJ102" s="77" t="str">
        <f aca="false">IF(B102="","",IF($AA102="NON",0,IF(COUNT(AB102:AI102)=0,"",IFERROR(ROUND(SUMPRODUCT(AB102:AI102,$AB$8:$AI$8)/SUMPRODUCT(ISNUMBER(AB102:AI102)*$AB$8:$AI$8),2),""))))</f>
        <v/>
      </c>
      <c r="AK102" s="75"/>
      <c r="AL102" s="76"/>
      <c r="AM102" s="76"/>
      <c r="AN102" s="76"/>
      <c r="AO102" s="76"/>
      <c r="AP102" s="76"/>
      <c r="AQ102" s="76"/>
      <c r="AR102" s="76"/>
      <c r="AS102" s="76"/>
      <c r="AT102" s="77" t="str">
        <f aca="false">IF(B102="","",IF($AK102="NON",0,IF(COUNT(AL102:AS102)=0,"",IFERROR(ROUND(SUMPRODUCT(AL102:AS102,$AL$8:$AS$8)/SUMPRODUCT(ISNUMBER(AL102:AS102)*$AL$8:$AS$8),2),""))))</f>
        <v/>
      </c>
      <c r="AU102" s="51" t="str">
        <f aca="false">IFERROR(MATCH("CP-93",'REGISTRE ELEVES'!$AI$10:$AI$250,0),"")</f>
        <v/>
      </c>
    </row>
    <row r="103" customFormat="false" ht="15" hidden="false" customHeight="false" outlineLevel="0" collapsed="false">
      <c r="A103" s="73" t="str">
        <f aca="false">IF(B103="","",94)</f>
        <v/>
      </c>
      <c r="B103" s="73" t="str">
        <f aca="false">IF($AU103="","",INDEX('REGISTRE ELEVES'!$B$10:$B$250,$AU103))</f>
        <v/>
      </c>
      <c r="C103" s="74" t="str">
        <f aca="false">IF($AU103="","",INDEX('REGISTRE ELEVES'!$D$10:$D$250,$AU103))</f>
        <v/>
      </c>
      <c r="D103" s="73" t="str">
        <f aca="false">IF($AU103="","",INDEX('REGISTRE ELEVES'!$E$10:$E$250,$AU103))</f>
        <v/>
      </c>
      <c r="E103" s="73" t="str">
        <f aca="false">IF($AU103="","",INDEX('REGISTRE ELEVES'!$F$10:$F$250,$AU103))</f>
        <v/>
      </c>
      <c r="F103" s="73" t="str">
        <f aca="false">IF($AU103="","",INDEX('REGISTRE ELEVES'!$AE$10:$AE$250,$AU103))</f>
        <v/>
      </c>
      <c r="G103" s="75"/>
      <c r="H103" s="76"/>
      <c r="I103" s="76"/>
      <c r="J103" s="76"/>
      <c r="K103" s="76"/>
      <c r="L103" s="76"/>
      <c r="M103" s="76"/>
      <c r="N103" s="76"/>
      <c r="O103" s="76"/>
      <c r="P103" s="77" t="str">
        <f aca="false">IF(B103="","",IF($G103="NON",0,IF(COUNT(H103:O103)=0,"",IFERROR(ROUND(SUMPRODUCT(H103:O103,$H$8:$O$8)/SUMPRODUCT(ISNUMBER(H103:O103)*$H$8:$O$8),2),""))))</f>
        <v/>
      </c>
      <c r="Q103" s="75"/>
      <c r="R103" s="76"/>
      <c r="S103" s="76"/>
      <c r="T103" s="76"/>
      <c r="U103" s="76"/>
      <c r="V103" s="76"/>
      <c r="W103" s="76"/>
      <c r="X103" s="76"/>
      <c r="Y103" s="76"/>
      <c r="Z103" s="77" t="str">
        <f aca="false">IF(B103="","",IF($Q103="NON",0,IF(COUNT(R103:Y103)=0,"",IFERROR(ROUND(SUMPRODUCT(R103:Y103,$R$8:$Y$8)/SUMPRODUCT(ISNUMBER(R103:Y103)*$R$8:$Y$8),2),""))))</f>
        <v/>
      </c>
      <c r="AA103" s="75"/>
      <c r="AB103" s="76"/>
      <c r="AC103" s="76"/>
      <c r="AD103" s="76"/>
      <c r="AE103" s="76"/>
      <c r="AF103" s="76"/>
      <c r="AG103" s="76"/>
      <c r="AH103" s="76"/>
      <c r="AI103" s="76"/>
      <c r="AJ103" s="77" t="str">
        <f aca="false">IF(B103="","",IF($AA103="NON",0,IF(COUNT(AB103:AI103)=0,"",IFERROR(ROUND(SUMPRODUCT(AB103:AI103,$AB$8:$AI$8)/SUMPRODUCT(ISNUMBER(AB103:AI103)*$AB$8:$AI$8),2),""))))</f>
        <v/>
      </c>
      <c r="AK103" s="75"/>
      <c r="AL103" s="76"/>
      <c r="AM103" s="76"/>
      <c r="AN103" s="76"/>
      <c r="AO103" s="76"/>
      <c r="AP103" s="76"/>
      <c r="AQ103" s="76"/>
      <c r="AR103" s="76"/>
      <c r="AS103" s="76"/>
      <c r="AT103" s="77" t="str">
        <f aca="false">IF(B103="","",IF($AK103="NON",0,IF(COUNT(AL103:AS103)=0,"",IFERROR(ROUND(SUMPRODUCT(AL103:AS103,$AL$8:$AS$8)/SUMPRODUCT(ISNUMBER(AL103:AS103)*$AL$8:$AS$8),2),""))))</f>
        <v/>
      </c>
      <c r="AU103" s="51" t="str">
        <f aca="false">IFERROR(MATCH("CP-94",'REGISTRE ELEVES'!$AI$10:$AI$250,0),"")</f>
        <v/>
      </c>
    </row>
    <row r="104" customFormat="false" ht="15" hidden="false" customHeight="false" outlineLevel="0" collapsed="false">
      <c r="A104" s="73" t="str">
        <f aca="false">IF(B104="","",95)</f>
        <v/>
      </c>
      <c r="B104" s="73" t="str">
        <f aca="false">IF($AU104="","",INDEX('REGISTRE ELEVES'!$B$10:$B$250,$AU104))</f>
        <v/>
      </c>
      <c r="C104" s="74" t="str">
        <f aca="false">IF($AU104="","",INDEX('REGISTRE ELEVES'!$D$10:$D$250,$AU104))</f>
        <v/>
      </c>
      <c r="D104" s="73" t="str">
        <f aca="false">IF($AU104="","",INDEX('REGISTRE ELEVES'!$E$10:$E$250,$AU104))</f>
        <v/>
      </c>
      <c r="E104" s="73" t="str">
        <f aca="false">IF($AU104="","",INDEX('REGISTRE ELEVES'!$F$10:$F$250,$AU104))</f>
        <v/>
      </c>
      <c r="F104" s="73" t="str">
        <f aca="false">IF($AU104="","",INDEX('REGISTRE ELEVES'!$AE$10:$AE$250,$AU104))</f>
        <v/>
      </c>
      <c r="G104" s="75"/>
      <c r="H104" s="76"/>
      <c r="I104" s="76"/>
      <c r="J104" s="76"/>
      <c r="K104" s="76"/>
      <c r="L104" s="76"/>
      <c r="M104" s="76"/>
      <c r="N104" s="76"/>
      <c r="O104" s="76"/>
      <c r="P104" s="77" t="str">
        <f aca="false">IF(B104="","",IF($G104="NON",0,IF(COUNT(H104:O104)=0,"",IFERROR(ROUND(SUMPRODUCT(H104:O104,$H$8:$O$8)/SUMPRODUCT(ISNUMBER(H104:O104)*$H$8:$O$8),2),""))))</f>
        <v/>
      </c>
      <c r="Q104" s="75"/>
      <c r="R104" s="76"/>
      <c r="S104" s="76"/>
      <c r="T104" s="76"/>
      <c r="U104" s="76"/>
      <c r="V104" s="76"/>
      <c r="W104" s="76"/>
      <c r="X104" s="76"/>
      <c r="Y104" s="76"/>
      <c r="Z104" s="77" t="str">
        <f aca="false">IF(B104="","",IF($Q104="NON",0,IF(COUNT(R104:Y104)=0,"",IFERROR(ROUND(SUMPRODUCT(R104:Y104,$R$8:$Y$8)/SUMPRODUCT(ISNUMBER(R104:Y104)*$R$8:$Y$8),2),""))))</f>
        <v/>
      </c>
      <c r="AA104" s="75"/>
      <c r="AB104" s="76"/>
      <c r="AC104" s="76"/>
      <c r="AD104" s="76"/>
      <c r="AE104" s="76"/>
      <c r="AF104" s="76"/>
      <c r="AG104" s="76"/>
      <c r="AH104" s="76"/>
      <c r="AI104" s="76"/>
      <c r="AJ104" s="77" t="str">
        <f aca="false">IF(B104="","",IF($AA104="NON",0,IF(COUNT(AB104:AI104)=0,"",IFERROR(ROUND(SUMPRODUCT(AB104:AI104,$AB$8:$AI$8)/SUMPRODUCT(ISNUMBER(AB104:AI104)*$AB$8:$AI$8),2),""))))</f>
        <v/>
      </c>
      <c r="AK104" s="75"/>
      <c r="AL104" s="76"/>
      <c r="AM104" s="76"/>
      <c r="AN104" s="76"/>
      <c r="AO104" s="76"/>
      <c r="AP104" s="76"/>
      <c r="AQ104" s="76"/>
      <c r="AR104" s="76"/>
      <c r="AS104" s="76"/>
      <c r="AT104" s="77" t="str">
        <f aca="false">IF(B104="","",IF($AK104="NON",0,IF(COUNT(AL104:AS104)=0,"",IFERROR(ROUND(SUMPRODUCT(AL104:AS104,$AL$8:$AS$8)/SUMPRODUCT(ISNUMBER(AL104:AS104)*$AL$8:$AS$8),2),""))))</f>
        <v/>
      </c>
      <c r="AU104" s="51" t="str">
        <f aca="false">IFERROR(MATCH("CP-95",'REGISTRE ELEVES'!$AI$10:$AI$250,0),"")</f>
        <v/>
      </c>
    </row>
    <row r="105" customFormat="false" ht="15" hidden="false" customHeight="false" outlineLevel="0" collapsed="false">
      <c r="A105" s="73" t="str">
        <f aca="false">IF(B105="","",96)</f>
        <v/>
      </c>
      <c r="B105" s="73" t="str">
        <f aca="false">IF($AU105="","",INDEX('REGISTRE ELEVES'!$B$10:$B$250,$AU105))</f>
        <v/>
      </c>
      <c r="C105" s="74" t="str">
        <f aca="false">IF($AU105="","",INDEX('REGISTRE ELEVES'!$D$10:$D$250,$AU105))</f>
        <v/>
      </c>
      <c r="D105" s="73" t="str">
        <f aca="false">IF($AU105="","",INDEX('REGISTRE ELEVES'!$E$10:$E$250,$AU105))</f>
        <v/>
      </c>
      <c r="E105" s="73" t="str">
        <f aca="false">IF($AU105="","",INDEX('REGISTRE ELEVES'!$F$10:$F$250,$AU105))</f>
        <v/>
      </c>
      <c r="F105" s="73" t="str">
        <f aca="false">IF($AU105="","",INDEX('REGISTRE ELEVES'!$AE$10:$AE$250,$AU105))</f>
        <v/>
      </c>
      <c r="G105" s="75"/>
      <c r="H105" s="76"/>
      <c r="I105" s="76"/>
      <c r="J105" s="76"/>
      <c r="K105" s="76"/>
      <c r="L105" s="76"/>
      <c r="M105" s="76"/>
      <c r="N105" s="76"/>
      <c r="O105" s="76"/>
      <c r="P105" s="77" t="str">
        <f aca="false">IF(B105="","",IF($G105="NON",0,IF(COUNT(H105:O105)=0,"",IFERROR(ROUND(SUMPRODUCT(H105:O105,$H$8:$O$8)/SUMPRODUCT(ISNUMBER(H105:O105)*$H$8:$O$8),2),""))))</f>
        <v/>
      </c>
      <c r="Q105" s="75"/>
      <c r="R105" s="76"/>
      <c r="S105" s="76"/>
      <c r="T105" s="76"/>
      <c r="U105" s="76"/>
      <c r="V105" s="76"/>
      <c r="W105" s="76"/>
      <c r="X105" s="76"/>
      <c r="Y105" s="76"/>
      <c r="Z105" s="77" t="str">
        <f aca="false">IF(B105="","",IF($Q105="NON",0,IF(COUNT(R105:Y105)=0,"",IFERROR(ROUND(SUMPRODUCT(R105:Y105,$R$8:$Y$8)/SUMPRODUCT(ISNUMBER(R105:Y105)*$R$8:$Y$8),2),""))))</f>
        <v/>
      </c>
      <c r="AA105" s="75"/>
      <c r="AB105" s="76"/>
      <c r="AC105" s="76"/>
      <c r="AD105" s="76"/>
      <c r="AE105" s="76"/>
      <c r="AF105" s="76"/>
      <c r="AG105" s="76"/>
      <c r="AH105" s="76"/>
      <c r="AI105" s="76"/>
      <c r="AJ105" s="77" t="str">
        <f aca="false">IF(B105="","",IF($AA105="NON",0,IF(COUNT(AB105:AI105)=0,"",IFERROR(ROUND(SUMPRODUCT(AB105:AI105,$AB$8:$AI$8)/SUMPRODUCT(ISNUMBER(AB105:AI105)*$AB$8:$AI$8),2),""))))</f>
        <v/>
      </c>
      <c r="AK105" s="75"/>
      <c r="AL105" s="76"/>
      <c r="AM105" s="76"/>
      <c r="AN105" s="76"/>
      <c r="AO105" s="76"/>
      <c r="AP105" s="76"/>
      <c r="AQ105" s="76"/>
      <c r="AR105" s="76"/>
      <c r="AS105" s="76"/>
      <c r="AT105" s="77" t="str">
        <f aca="false">IF(B105="","",IF($AK105="NON",0,IF(COUNT(AL105:AS105)=0,"",IFERROR(ROUND(SUMPRODUCT(AL105:AS105,$AL$8:$AS$8)/SUMPRODUCT(ISNUMBER(AL105:AS105)*$AL$8:$AS$8),2),""))))</f>
        <v/>
      </c>
      <c r="AU105" s="51" t="str">
        <f aca="false">IFERROR(MATCH("CP-96",'REGISTRE ELEVES'!$AI$10:$AI$250,0),"")</f>
        <v/>
      </c>
    </row>
    <row r="106" customFormat="false" ht="15" hidden="false" customHeight="false" outlineLevel="0" collapsed="false">
      <c r="A106" s="73" t="str">
        <f aca="false">IF(B106="","",97)</f>
        <v/>
      </c>
      <c r="B106" s="73" t="str">
        <f aca="false">IF($AU106="","",INDEX('REGISTRE ELEVES'!$B$10:$B$250,$AU106))</f>
        <v/>
      </c>
      <c r="C106" s="74" t="str">
        <f aca="false">IF($AU106="","",INDEX('REGISTRE ELEVES'!$D$10:$D$250,$AU106))</f>
        <v/>
      </c>
      <c r="D106" s="73" t="str">
        <f aca="false">IF($AU106="","",INDEX('REGISTRE ELEVES'!$E$10:$E$250,$AU106))</f>
        <v/>
      </c>
      <c r="E106" s="73" t="str">
        <f aca="false">IF($AU106="","",INDEX('REGISTRE ELEVES'!$F$10:$F$250,$AU106))</f>
        <v/>
      </c>
      <c r="F106" s="73" t="str">
        <f aca="false">IF($AU106="","",INDEX('REGISTRE ELEVES'!$AE$10:$AE$250,$AU106))</f>
        <v/>
      </c>
      <c r="G106" s="75"/>
      <c r="H106" s="76"/>
      <c r="I106" s="76"/>
      <c r="J106" s="76"/>
      <c r="K106" s="76"/>
      <c r="L106" s="76"/>
      <c r="M106" s="76"/>
      <c r="N106" s="76"/>
      <c r="O106" s="76"/>
      <c r="P106" s="77" t="str">
        <f aca="false">IF(B106="","",IF($G106="NON",0,IF(COUNT(H106:O106)=0,"",IFERROR(ROUND(SUMPRODUCT(H106:O106,$H$8:$O$8)/SUMPRODUCT(ISNUMBER(H106:O106)*$H$8:$O$8),2),""))))</f>
        <v/>
      </c>
      <c r="Q106" s="75"/>
      <c r="R106" s="76"/>
      <c r="S106" s="76"/>
      <c r="T106" s="76"/>
      <c r="U106" s="76"/>
      <c r="V106" s="76"/>
      <c r="W106" s="76"/>
      <c r="X106" s="76"/>
      <c r="Y106" s="76"/>
      <c r="Z106" s="77" t="str">
        <f aca="false">IF(B106="","",IF($Q106="NON",0,IF(COUNT(R106:Y106)=0,"",IFERROR(ROUND(SUMPRODUCT(R106:Y106,$R$8:$Y$8)/SUMPRODUCT(ISNUMBER(R106:Y106)*$R$8:$Y$8),2),""))))</f>
        <v/>
      </c>
      <c r="AA106" s="75"/>
      <c r="AB106" s="76"/>
      <c r="AC106" s="76"/>
      <c r="AD106" s="76"/>
      <c r="AE106" s="76"/>
      <c r="AF106" s="76"/>
      <c r="AG106" s="76"/>
      <c r="AH106" s="76"/>
      <c r="AI106" s="76"/>
      <c r="AJ106" s="77" t="str">
        <f aca="false">IF(B106="","",IF($AA106="NON",0,IF(COUNT(AB106:AI106)=0,"",IFERROR(ROUND(SUMPRODUCT(AB106:AI106,$AB$8:$AI$8)/SUMPRODUCT(ISNUMBER(AB106:AI106)*$AB$8:$AI$8),2),""))))</f>
        <v/>
      </c>
      <c r="AK106" s="75"/>
      <c r="AL106" s="76"/>
      <c r="AM106" s="76"/>
      <c r="AN106" s="76"/>
      <c r="AO106" s="76"/>
      <c r="AP106" s="76"/>
      <c r="AQ106" s="76"/>
      <c r="AR106" s="76"/>
      <c r="AS106" s="76"/>
      <c r="AT106" s="77" t="str">
        <f aca="false">IF(B106="","",IF($AK106="NON",0,IF(COUNT(AL106:AS106)=0,"",IFERROR(ROUND(SUMPRODUCT(AL106:AS106,$AL$8:$AS$8)/SUMPRODUCT(ISNUMBER(AL106:AS106)*$AL$8:$AS$8),2),""))))</f>
        <v/>
      </c>
      <c r="AU106" s="51" t="str">
        <f aca="false">IFERROR(MATCH("CP-97",'REGISTRE ELEVES'!$AI$10:$AI$250,0),"")</f>
        <v/>
      </c>
    </row>
    <row r="107" customFormat="false" ht="15" hidden="false" customHeight="false" outlineLevel="0" collapsed="false">
      <c r="A107" s="73" t="str">
        <f aca="false">IF(B107="","",98)</f>
        <v/>
      </c>
      <c r="B107" s="73" t="str">
        <f aca="false">IF($AU107="","",INDEX('REGISTRE ELEVES'!$B$10:$B$250,$AU107))</f>
        <v/>
      </c>
      <c r="C107" s="74" t="str">
        <f aca="false">IF($AU107="","",INDEX('REGISTRE ELEVES'!$D$10:$D$250,$AU107))</f>
        <v/>
      </c>
      <c r="D107" s="73" t="str">
        <f aca="false">IF($AU107="","",INDEX('REGISTRE ELEVES'!$E$10:$E$250,$AU107))</f>
        <v/>
      </c>
      <c r="E107" s="73" t="str">
        <f aca="false">IF($AU107="","",INDEX('REGISTRE ELEVES'!$F$10:$F$250,$AU107))</f>
        <v/>
      </c>
      <c r="F107" s="73" t="str">
        <f aca="false">IF($AU107="","",INDEX('REGISTRE ELEVES'!$AE$10:$AE$250,$AU107))</f>
        <v/>
      </c>
      <c r="G107" s="75"/>
      <c r="H107" s="76"/>
      <c r="I107" s="76"/>
      <c r="J107" s="76"/>
      <c r="K107" s="76"/>
      <c r="L107" s="76"/>
      <c r="M107" s="76"/>
      <c r="N107" s="76"/>
      <c r="O107" s="76"/>
      <c r="P107" s="77" t="str">
        <f aca="false">IF(B107="","",IF($G107="NON",0,IF(COUNT(H107:O107)=0,"",IFERROR(ROUND(SUMPRODUCT(H107:O107,$H$8:$O$8)/SUMPRODUCT(ISNUMBER(H107:O107)*$H$8:$O$8),2),""))))</f>
        <v/>
      </c>
      <c r="Q107" s="75"/>
      <c r="R107" s="76"/>
      <c r="S107" s="76"/>
      <c r="T107" s="76"/>
      <c r="U107" s="76"/>
      <c r="V107" s="76"/>
      <c r="W107" s="76"/>
      <c r="X107" s="76"/>
      <c r="Y107" s="76"/>
      <c r="Z107" s="77" t="str">
        <f aca="false">IF(B107="","",IF($Q107="NON",0,IF(COUNT(R107:Y107)=0,"",IFERROR(ROUND(SUMPRODUCT(R107:Y107,$R$8:$Y$8)/SUMPRODUCT(ISNUMBER(R107:Y107)*$R$8:$Y$8),2),""))))</f>
        <v/>
      </c>
      <c r="AA107" s="75"/>
      <c r="AB107" s="76"/>
      <c r="AC107" s="76"/>
      <c r="AD107" s="76"/>
      <c r="AE107" s="76"/>
      <c r="AF107" s="76"/>
      <c r="AG107" s="76"/>
      <c r="AH107" s="76"/>
      <c r="AI107" s="76"/>
      <c r="AJ107" s="77" t="str">
        <f aca="false">IF(B107="","",IF($AA107="NON",0,IF(COUNT(AB107:AI107)=0,"",IFERROR(ROUND(SUMPRODUCT(AB107:AI107,$AB$8:$AI$8)/SUMPRODUCT(ISNUMBER(AB107:AI107)*$AB$8:$AI$8),2),""))))</f>
        <v/>
      </c>
      <c r="AK107" s="75"/>
      <c r="AL107" s="76"/>
      <c r="AM107" s="76"/>
      <c r="AN107" s="76"/>
      <c r="AO107" s="76"/>
      <c r="AP107" s="76"/>
      <c r="AQ107" s="76"/>
      <c r="AR107" s="76"/>
      <c r="AS107" s="76"/>
      <c r="AT107" s="77" t="str">
        <f aca="false">IF(B107="","",IF($AK107="NON",0,IF(COUNT(AL107:AS107)=0,"",IFERROR(ROUND(SUMPRODUCT(AL107:AS107,$AL$8:$AS$8)/SUMPRODUCT(ISNUMBER(AL107:AS107)*$AL$8:$AS$8),2),""))))</f>
        <v/>
      </c>
      <c r="AU107" s="51" t="str">
        <f aca="false">IFERROR(MATCH("CP-98",'REGISTRE ELEVES'!$AI$10:$AI$250,0),"")</f>
        <v/>
      </c>
    </row>
    <row r="108" customFormat="false" ht="15" hidden="false" customHeight="false" outlineLevel="0" collapsed="false">
      <c r="A108" s="73" t="str">
        <f aca="false">IF(B108="","",99)</f>
        <v/>
      </c>
      <c r="B108" s="73" t="str">
        <f aca="false">IF($AU108="","",INDEX('REGISTRE ELEVES'!$B$10:$B$250,$AU108))</f>
        <v/>
      </c>
      <c r="C108" s="74" t="str">
        <f aca="false">IF($AU108="","",INDEX('REGISTRE ELEVES'!$D$10:$D$250,$AU108))</f>
        <v/>
      </c>
      <c r="D108" s="73" t="str">
        <f aca="false">IF($AU108="","",INDEX('REGISTRE ELEVES'!$E$10:$E$250,$AU108))</f>
        <v/>
      </c>
      <c r="E108" s="73" t="str">
        <f aca="false">IF($AU108="","",INDEX('REGISTRE ELEVES'!$F$10:$F$250,$AU108))</f>
        <v/>
      </c>
      <c r="F108" s="73" t="str">
        <f aca="false">IF($AU108="","",INDEX('REGISTRE ELEVES'!$AE$10:$AE$250,$AU108))</f>
        <v/>
      </c>
      <c r="G108" s="75"/>
      <c r="H108" s="76"/>
      <c r="I108" s="76"/>
      <c r="J108" s="76"/>
      <c r="K108" s="76"/>
      <c r="L108" s="76"/>
      <c r="M108" s="76"/>
      <c r="N108" s="76"/>
      <c r="O108" s="76"/>
      <c r="P108" s="77" t="str">
        <f aca="false">IF(B108="","",IF($G108="NON",0,IF(COUNT(H108:O108)=0,"",IFERROR(ROUND(SUMPRODUCT(H108:O108,$H$8:$O$8)/SUMPRODUCT(ISNUMBER(H108:O108)*$H$8:$O$8),2),""))))</f>
        <v/>
      </c>
      <c r="Q108" s="75"/>
      <c r="R108" s="76"/>
      <c r="S108" s="76"/>
      <c r="T108" s="76"/>
      <c r="U108" s="76"/>
      <c r="V108" s="76"/>
      <c r="W108" s="76"/>
      <c r="X108" s="76"/>
      <c r="Y108" s="76"/>
      <c r="Z108" s="77" t="str">
        <f aca="false">IF(B108="","",IF($Q108="NON",0,IF(COUNT(R108:Y108)=0,"",IFERROR(ROUND(SUMPRODUCT(R108:Y108,$R$8:$Y$8)/SUMPRODUCT(ISNUMBER(R108:Y108)*$R$8:$Y$8),2),""))))</f>
        <v/>
      </c>
      <c r="AA108" s="75"/>
      <c r="AB108" s="76"/>
      <c r="AC108" s="76"/>
      <c r="AD108" s="76"/>
      <c r="AE108" s="76"/>
      <c r="AF108" s="76"/>
      <c r="AG108" s="76"/>
      <c r="AH108" s="76"/>
      <c r="AI108" s="76"/>
      <c r="AJ108" s="77" t="str">
        <f aca="false">IF(B108="","",IF($AA108="NON",0,IF(COUNT(AB108:AI108)=0,"",IFERROR(ROUND(SUMPRODUCT(AB108:AI108,$AB$8:$AI$8)/SUMPRODUCT(ISNUMBER(AB108:AI108)*$AB$8:$AI$8),2),""))))</f>
        <v/>
      </c>
      <c r="AK108" s="75"/>
      <c r="AL108" s="76"/>
      <c r="AM108" s="76"/>
      <c r="AN108" s="76"/>
      <c r="AO108" s="76"/>
      <c r="AP108" s="76"/>
      <c r="AQ108" s="76"/>
      <c r="AR108" s="76"/>
      <c r="AS108" s="76"/>
      <c r="AT108" s="77" t="str">
        <f aca="false">IF(B108="","",IF($AK108="NON",0,IF(COUNT(AL108:AS108)=0,"",IFERROR(ROUND(SUMPRODUCT(AL108:AS108,$AL$8:$AS$8)/SUMPRODUCT(ISNUMBER(AL108:AS108)*$AL$8:$AS$8),2),""))))</f>
        <v/>
      </c>
      <c r="AU108" s="51" t="str">
        <f aca="false">IFERROR(MATCH("CP-99",'REGISTRE ELEVES'!$AI$10:$AI$250,0),"")</f>
        <v/>
      </c>
    </row>
    <row r="109" customFormat="false" ht="15" hidden="false" customHeight="false" outlineLevel="0" collapsed="false">
      <c r="A109" s="73" t="str">
        <f aca="false">IF(B109="","",100)</f>
        <v/>
      </c>
      <c r="B109" s="73" t="str">
        <f aca="false">IF($AU109="","",INDEX('REGISTRE ELEVES'!$B$10:$B$250,$AU109))</f>
        <v/>
      </c>
      <c r="C109" s="74" t="str">
        <f aca="false">IF($AU109="","",INDEX('REGISTRE ELEVES'!$D$10:$D$250,$AU109))</f>
        <v/>
      </c>
      <c r="D109" s="73" t="str">
        <f aca="false">IF($AU109="","",INDEX('REGISTRE ELEVES'!$E$10:$E$250,$AU109))</f>
        <v/>
      </c>
      <c r="E109" s="73" t="str">
        <f aca="false">IF($AU109="","",INDEX('REGISTRE ELEVES'!$F$10:$F$250,$AU109))</f>
        <v/>
      </c>
      <c r="F109" s="73" t="str">
        <f aca="false">IF($AU109="","",INDEX('REGISTRE ELEVES'!$AE$10:$AE$250,$AU109))</f>
        <v/>
      </c>
      <c r="G109" s="75"/>
      <c r="H109" s="76"/>
      <c r="I109" s="76"/>
      <c r="J109" s="76"/>
      <c r="K109" s="76"/>
      <c r="L109" s="76"/>
      <c r="M109" s="76"/>
      <c r="N109" s="76"/>
      <c r="O109" s="76"/>
      <c r="P109" s="77" t="str">
        <f aca="false">IF(B109="","",IF($G109="NON",0,IF(COUNT(H109:O109)=0,"",IFERROR(ROUND(SUMPRODUCT(H109:O109,$H$8:$O$8)/SUMPRODUCT(ISNUMBER(H109:O109)*$H$8:$O$8),2),""))))</f>
        <v/>
      </c>
      <c r="Q109" s="75"/>
      <c r="R109" s="76"/>
      <c r="S109" s="76"/>
      <c r="T109" s="76"/>
      <c r="U109" s="76"/>
      <c r="V109" s="76"/>
      <c r="W109" s="76"/>
      <c r="X109" s="76"/>
      <c r="Y109" s="76"/>
      <c r="Z109" s="77" t="str">
        <f aca="false">IF(B109="","",IF($Q109="NON",0,IF(COUNT(R109:Y109)=0,"",IFERROR(ROUND(SUMPRODUCT(R109:Y109,$R$8:$Y$8)/SUMPRODUCT(ISNUMBER(R109:Y109)*$R$8:$Y$8),2),""))))</f>
        <v/>
      </c>
      <c r="AA109" s="75"/>
      <c r="AB109" s="76"/>
      <c r="AC109" s="76"/>
      <c r="AD109" s="76"/>
      <c r="AE109" s="76"/>
      <c r="AF109" s="76"/>
      <c r="AG109" s="76"/>
      <c r="AH109" s="76"/>
      <c r="AI109" s="76"/>
      <c r="AJ109" s="77" t="str">
        <f aca="false">IF(B109="","",IF($AA109="NON",0,IF(COUNT(AB109:AI109)=0,"",IFERROR(ROUND(SUMPRODUCT(AB109:AI109,$AB$8:$AI$8)/SUMPRODUCT(ISNUMBER(AB109:AI109)*$AB$8:$AI$8),2),""))))</f>
        <v/>
      </c>
      <c r="AK109" s="75"/>
      <c r="AL109" s="76"/>
      <c r="AM109" s="76"/>
      <c r="AN109" s="76"/>
      <c r="AO109" s="76"/>
      <c r="AP109" s="76"/>
      <c r="AQ109" s="76"/>
      <c r="AR109" s="76"/>
      <c r="AS109" s="76"/>
      <c r="AT109" s="77" t="str">
        <f aca="false">IF(B109="","",IF($AK109="NON",0,IF(COUNT(AL109:AS109)=0,"",IFERROR(ROUND(SUMPRODUCT(AL109:AS109,$AL$8:$AS$8)/SUMPRODUCT(ISNUMBER(AL109:AS109)*$AL$8:$AS$8),2),""))))</f>
        <v/>
      </c>
      <c r="AU109" s="51" t="str">
        <f aca="false">IFERROR(MATCH("CP-100",'REGISTRE ELEVES'!$AI$10:$AI$250,0),"")</f>
        <v/>
      </c>
    </row>
    <row r="110" customFormat="false" ht="15" hidden="false" customHeight="false" outlineLevel="0" collapsed="false">
      <c r="A110" s="73" t="str">
        <f aca="false">IF(B110="","",101)</f>
        <v/>
      </c>
      <c r="B110" s="73" t="str">
        <f aca="false">IF($AU110="","",INDEX('REGISTRE ELEVES'!$B$10:$B$250,$AU110))</f>
        <v/>
      </c>
      <c r="C110" s="74" t="str">
        <f aca="false">IF($AU110="","",INDEX('REGISTRE ELEVES'!$D$10:$D$250,$AU110))</f>
        <v/>
      </c>
      <c r="D110" s="73" t="str">
        <f aca="false">IF($AU110="","",INDEX('REGISTRE ELEVES'!$E$10:$E$250,$AU110))</f>
        <v/>
      </c>
      <c r="E110" s="73" t="str">
        <f aca="false">IF($AU110="","",INDEX('REGISTRE ELEVES'!$F$10:$F$250,$AU110))</f>
        <v/>
      </c>
      <c r="F110" s="73" t="str">
        <f aca="false">IF($AU110="","",INDEX('REGISTRE ELEVES'!$AE$10:$AE$250,$AU110))</f>
        <v/>
      </c>
      <c r="G110" s="75"/>
      <c r="H110" s="76"/>
      <c r="I110" s="76"/>
      <c r="J110" s="76"/>
      <c r="K110" s="76"/>
      <c r="L110" s="76"/>
      <c r="M110" s="76"/>
      <c r="N110" s="76"/>
      <c r="O110" s="76"/>
      <c r="P110" s="77" t="str">
        <f aca="false">IF(B110="","",IF($G110="NON",0,IF(COUNT(H110:O110)=0,"",IFERROR(ROUND(SUMPRODUCT(H110:O110,$H$8:$O$8)/SUMPRODUCT(ISNUMBER(H110:O110)*$H$8:$O$8),2),""))))</f>
        <v/>
      </c>
      <c r="Q110" s="75"/>
      <c r="R110" s="76"/>
      <c r="S110" s="76"/>
      <c r="T110" s="76"/>
      <c r="U110" s="76"/>
      <c r="V110" s="76"/>
      <c r="W110" s="76"/>
      <c r="X110" s="76"/>
      <c r="Y110" s="76"/>
      <c r="Z110" s="77" t="str">
        <f aca="false">IF(B110="","",IF($Q110="NON",0,IF(COUNT(R110:Y110)=0,"",IFERROR(ROUND(SUMPRODUCT(R110:Y110,$R$8:$Y$8)/SUMPRODUCT(ISNUMBER(R110:Y110)*$R$8:$Y$8),2),""))))</f>
        <v/>
      </c>
      <c r="AA110" s="75"/>
      <c r="AB110" s="76"/>
      <c r="AC110" s="76"/>
      <c r="AD110" s="76"/>
      <c r="AE110" s="76"/>
      <c r="AF110" s="76"/>
      <c r="AG110" s="76"/>
      <c r="AH110" s="76"/>
      <c r="AI110" s="76"/>
      <c r="AJ110" s="77" t="str">
        <f aca="false">IF(B110="","",IF($AA110="NON",0,IF(COUNT(AB110:AI110)=0,"",IFERROR(ROUND(SUMPRODUCT(AB110:AI110,$AB$8:$AI$8)/SUMPRODUCT(ISNUMBER(AB110:AI110)*$AB$8:$AI$8),2),""))))</f>
        <v/>
      </c>
      <c r="AK110" s="75"/>
      <c r="AL110" s="76"/>
      <c r="AM110" s="76"/>
      <c r="AN110" s="76"/>
      <c r="AO110" s="76"/>
      <c r="AP110" s="76"/>
      <c r="AQ110" s="76"/>
      <c r="AR110" s="76"/>
      <c r="AS110" s="76"/>
      <c r="AT110" s="77" t="str">
        <f aca="false">IF(B110="","",IF($AK110="NON",0,IF(COUNT(AL110:AS110)=0,"",IFERROR(ROUND(SUMPRODUCT(AL110:AS110,$AL$8:$AS$8)/SUMPRODUCT(ISNUMBER(AL110:AS110)*$AL$8:$AS$8),2),""))))</f>
        <v/>
      </c>
      <c r="AU110" s="51" t="str">
        <f aca="false">IFERROR(MATCH("CP-101",'REGISTRE ELEVES'!$AI$10:$AI$250,0),"")</f>
        <v/>
      </c>
    </row>
    <row r="111" customFormat="false" ht="15" hidden="false" customHeight="false" outlineLevel="0" collapsed="false">
      <c r="A111" s="73" t="str">
        <f aca="false">IF(B111="","",102)</f>
        <v/>
      </c>
      <c r="B111" s="73" t="str">
        <f aca="false">IF($AU111="","",INDEX('REGISTRE ELEVES'!$B$10:$B$250,$AU111))</f>
        <v/>
      </c>
      <c r="C111" s="74" t="str">
        <f aca="false">IF($AU111="","",INDEX('REGISTRE ELEVES'!$D$10:$D$250,$AU111))</f>
        <v/>
      </c>
      <c r="D111" s="73" t="str">
        <f aca="false">IF($AU111="","",INDEX('REGISTRE ELEVES'!$E$10:$E$250,$AU111))</f>
        <v/>
      </c>
      <c r="E111" s="73" t="str">
        <f aca="false">IF($AU111="","",INDEX('REGISTRE ELEVES'!$F$10:$F$250,$AU111))</f>
        <v/>
      </c>
      <c r="F111" s="73" t="str">
        <f aca="false">IF($AU111="","",INDEX('REGISTRE ELEVES'!$AE$10:$AE$250,$AU111))</f>
        <v/>
      </c>
      <c r="G111" s="75"/>
      <c r="H111" s="76"/>
      <c r="I111" s="76"/>
      <c r="J111" s="76"/>
      <c r="K111" s="76"/>
      <c r="L111" s="76"/>
      <c r="M111" s="76"/>
      <c r="N111" s="76"/>
      <c r="O111" s="76"/>
      <c r="P111" s="77" t="str">
        <f aca="false">IF(B111="","",IF($G111="NON",0,IF(COUNT(H111:O111)=0,"",IFERROR(ROUND(SUMPRODUCT(H111:O111,$H$8:$O$8)/SUMPRODUCT(ISNUMBER(H111:O111)*$H$8:$O$8),2),""))))</f>
        <v/>
      </c>
      <c r="Q111" s="75"/>
      <c r="R111" s="76"/>
      <c r="S111" s="76"/>
      <c r="T111" s="76"/>
      <c r="U111" s="76"/>
      <c r="V111" s="76"/>
      <c r="W111" s="76"/>
      <c r="X111" s="76"/>
      <c r="Y111" s="76"/>
      <c r="Z111" s="77" t="str">
        <f aca="false">IF(B111="","",IF($Q111="NON",0,IF(COUNT(R111:Y111)=0,"",IFERROR(ROUND(SUMPRODUCT(R111:Y111,$R$8:$Y$8)/SUMPRODUCT(ISNUMBER(R111:Y111)*$R$8:$Y$8),2),""))))</f>
        <v/>
      </c>
      <c r="AA111" s="75"/>
      <c r="AB111" s="76"/>
      <c r="AC111" s="76"/>
      <c r="AD111" s="76"/>
      <c r="AE111" s="76"/>
      <c r="AF111" s="76"/>
      <c r="AG111" s="76"/>
      <c r="AH111" s="76"/>
      <c r="AI111" s="76"/>
      <c r="AJ111" s="77" t="str">
        <f aca="false">IF(B111="","",IF($AA111="NON",0,IF(COUNT(AB111:AI111)=0,"",IFERROR(ROUND(SUMPRODUCT(AB111:AI111,$AB$8:$AI$8)/SUMPRODUCT(ISNUMBER(AB111:AI111)*$AB$8:$AI$8),2),""))))</f>
        <v/>
      </c>
      <c r="AK111" s="75"/>
      <c r="AL111" s="76"/>
      <c r="AM111" s="76"/>
      <c r="AN111" s="76"/>
      <c r="AO111" s="76"/>
      <c r="AP111" s="76"/>
      <c r="AQ111" s="76"/>
      <c r="AR111" s="76"/>
      <c r="AS111" s="76"/>
      <c r="AT111" s="77" t="str">
        <f aca="false">IF(B111="","",IF($AK111="NON",0,IF(COUNT(AL111:AS111)=0,"",IFERROR(ROUND(SUMPRODUCT(AL111:AS111,$AL$8:$AS$8)/SUMPRODUCT(ISNUMBER(AL111:AS111)*$AL$8:$AS$8),2),""))))</f>
        <v/>
      </c>
      <c r="AU111" s="51" t="str">
        <f aca="false">IFERROR(MATCH("CP-102",'REGISTRE ELEVES'!$AI$10:$AI$250,0),"")</f>
        <v/>
      </c>
    </row>
    <row r="112" customFormat="false" ht="15" hidden="false" customHeight="false" outlineLevel="0" collapsed="false">
      <c r="A112" s="73" t="str">
        <f aca="false">IF(B112="","",103)</f>
        <v/>
      </c>
      <c r="B112" s="73" t="str">
        <f aca="false">IF($AU112="","",INDEX('REGISTRE ELEVES'!$B$10:$B$250,$AU112))</f>
        <v/>
      </c>
      <c r="C112" s="74" t="str">
        <f aca="false">IF($AU112="","",INDEX('REGISTRE ELEVES'!$D$10:$D$250,$AU112))</f>
        <v/>
      </c>
      <c r="D112" s="73" t="str">
        <f aca="false">IF($AU112="","",INDEX('REGISTRE ELEVES'!$E$10:$E$250,$AU112))</f>
        <v/>
      </c>
      <c r="E112" s="73" t="str">
        <f aca="false">IF($AU112="","",INDEX('REGISTRE ELEVES'!$F$10:$F$250,$AU112))</f>
        <v/>
      </c>
      <c r="F112" s="73" t="str">
        <f aca="false">IF($AU112="","",INDEX('REGISTRE ELEVES'!$AE$10:$AE$250,$AU112))</f>
        <v/>
      </c>
      <c r="G112" s="75"/>
      <c r="H112" s="76"/>
      <c r="I112" s="76"/>
      <c r="J112" s="76"/>
      <c r="K112" s="76"/>
      <c r="L112" s="76"/>
      <c r="M112" s="76"/>
      <c r="N112" s="76"/>
      <c r="O112" s="76"/>
      <c r="P112" s="77" t="str">
        <f aca="false">IF(B112="","",IF($G112="NON",0,IF(COUNT(H112:O112)=0,"",IFERROR(ROUND(SUMPRODUCT(H112:O112,$H$8:$O$8)/SUMPRODUCT(ISNUMBER(H112:O112)*$H$8:$O$8),2),""))))</f>
        <v/>
      </c>
      <c r="Q112" s="75"/>
      <c r="R112" s="76"/>
      <c r="S112" s="76"/>
      <c r="T112" s="76"/>
      <c r="U112" s="76"/>
      <c r="V112" s="76"/>
      <c r="W112" s="76"/>
      <c r="X112" s="76"/>
      <c r="Y112" s="76"/>
      <c r="Z112" s="77" t="str">
        <f aca="false">IF(B112="","",IF($Q112="NON",0,IF(COUNT(R112:Y112)=0,"",IFERROR(ROUND(SUMPRODUCT(R112:Y112,$R$8:$Y$8)/SUMPRODUCT(ISNUMBER(R112:Y112)*$R$8:$Y$8),2),""))))</f>
        <v/>
      </c>
      <c r="AA112" s="75"/>
      <c r="AB112" s="76"/>
      <c r="AC112" s="76"/>
      <c r="AD112" s="76"/>
      <c r="AE112" s="76"/>
      <c r="AF112" s="76"/>
      <c r="AG112" s="76"/>
      <c r="AH112" s="76"/>
      <c r="AI112" s="76"/>
      <c r="AJ112" s="77" t="str">
        <f aca="false">IF(B112="","",IF($AA112="NON",0,IF(COUNT(AB112:AI112)=0,"",IFERROR(ROUND(SUMPRODUCT(AB112:AI112,$AB$8:$AI$8)/SUMPRODUCT(ISNUMBER(AB112:AI112)*$AB$8:$AI$8),2),""))))</f>
        <v/>
      </c>
      <c r="AK112" s="75"/>
      <c r="AL112" s="76"/>
      <c r="AM112" s="76"/>
      <c r="AN112" s="76"/>
      <c r="AO112" s="76"/>
      <c r="AP112" s="76"/>
      <c r="AQ112" s="76"/>
      <c r="AR112" s="76"/>
      <c r="AS112" s="76"/>
      <c r="AT112" s="77" t="str">
        <f aca="false">IF(B112="","",IF($AK112="NON",0,IF(COUNT(AL112:AS112)=0,"",IFERROR(ROUND(SUMPRODUCT(AL112:AS112,$AL$8:$AS$8)/SUMPRODUCT(ISNUMBER(AL112:AS112)*$AL$8:$AS$8),2),""))))</f>
        <v/>
      </c>
      <c r="AU112" s="51" t="str">
        <f aca="false">IFERROR(MATCH("CP-103",'REGISTRE ELEVES'!$AI$10:$AI$250,0),"")</f>
        <v/>
      </c>
    </row>
    <row r="113" customFormat="false" ht="15" hidden="false" customHeight="false" outlineLevel="0" collapsed="false">
      <c r="A113" s="73" t="str">
        <f aca="false">IF(B113="","",104)</f>
        <v/>
      </c>
      <c r="B113" s="73" t="str">
        <f aca="false">IF($AU113="","",INDEX('REGISTRE ELEVES'!$B$10:$B$250,$AU113))</f>
        <v/>
      </c>
      <c r="C113" s="74" t="str">
        <f aca="false">IF($AU113="","",INDEX('REGISTRE ELEVES'!$D$10:$D$250,$AU113))</f>
        <v/>
      </c>
      <c r="D113" s="73" t="str">
        <f aca="false">IF($AU113="","",INDEX('REGISTRE ELEVES'!$E$10:$E$250,$AU113))</f>
        <v/>
      </c>
      <c r="E113" s="73" t="str">
        <f aca="false">IF($AU113="","",INDEX('REGISTRE ELEVES'!$F$10:$F$250,$AU113))</f>
        <v/>
      </c>
      <c r="F113" s="73" t="str">
        <f aca="false">IF($AU113="","",INDEX('REGISTRE ELEVES'!$AE$10:$AE$250,$AU113))</f>
        <v/>
      </c>
      <c r="G113" s="75"/>
      <c r="H113" s="76"/>
      <c r="I113" s="76"/>
      <c r="J113" s="76"/>
      <c r="K113" s="76"/>
      <c r="L113" s="76"/>
      <c r="M113" s="76"/>
      <c r="N113" s="76"/>
      <c r="O113" s="76"/>
      <c r="P113" s="77" t="str">
        <f aca="false">IF(B113="","",IF($G113="NON",0,IF(COUNT(H113:O113)=0,"",IFERROR(ROUND(SUMPRODUCT(H113:O113,$H$8:$O$8)/SUMPRODUCT(ISNUMBER(H113:O113)*$H$8:$O$8),2),""))))</f>
        <v/>
      </c>
      <c r="Q113" s="75"/>
      <c r="R113" s="76"/>
      <c r="S113" s="76"/>
      <c r="T113" s="76"/>
      <c r="U113" s="76"/>
      <c r="V113" s="76"/>
      <c r="W113" s="76"/>
      <c r="X113" s="76"/>
      <c r="Y113" s="76"/>
      <c r="Z113" s="77" t="str">
        <f aca="false">IF(B113="","",IF($Q113="NON",0,IF(COUNT(R113:Y113)=0,"",IFERROR(ROUND(SUMPRODUCT(R113:Y113,$R$8:$Y$8)/SUMPRODUCT(ISNUMBER(R113:Y113)*$R$8:$Y$8),2),""))))</f>
        <v/>
      </c>
      <c r="AA113" s="75"/>
      <c r="AB113" s="76"/>
      <c r="AC113" s="76"/>
      <c r="AD113" s="76"/>
      <c r="AE113" s="76"/>
      <c r="AF113" s="76"/>
      <c r="AG113" s="76"/>
      <c r="AH113" s="76"/>
      <c r="AI113" s="76"/>
      <c r="AJ113" s="77" t="str">
        <f aca="false">IF(B113="","",IF($AA113="NON",0,IF(COUNT(AB113:AI113)=0,"",IFERROR(ROUND(SUMPRODUCT(AB113:AI113,$AB$8:$AI$8)/SUMPRODUCT(ISNUMBER(AB113:AI113)*$AB$8:$AI$8),2),""))))</f>
        <v/>
      </c>
      <c r="AK113" s="75"/>
      <c r="AL113" s="76"/>
      <c r="AM113" s="76"/>
      <c r="AN113" s="76"/>
      <c r="AO113" s="76"/>
      <c r="AP113" s="76"/>
      <c r="AQ113" s="76"/>
      <c r="AR113" s="76"/>
      <c r="AS113" s="76"/>
      <c r="AT113" s="77" t="str">
        <f aca="false">IF(B113="","",IF($AK113="NON",0,IF(COUNT(AL113:AS113)=0,"",IFERROR(ROUND(SUMPRODUCT(AL113:AS113,$AL$8:$AS$8)/SUMPRODUCT(ISNUMBER(AL113:AS113)*$AL$8:$AS$8),2),""))))</f>
        <v/>
      </c>
      <c r="AU113" s="51" t="str">
        <f aca="false">IFERROR(MATCH("CP-104",'REGISTRE ELEVES'!$AI$10:$AI$250,0),"")</f>
        <v/>
      </c>
    </row>
    <row r="114" customFormat="false" ht="15" hidden="false" customHeight="false" outlineLevel="0" collapsed="false">
      <c r="A114" s="73" t="str">
        <f aca="false">IF(B114="","",105)</f>
        <v/>
      </c>
      <c r="B114" s="73" t="str">
        <f aca="false">IF($AU114="","",INDEX('REGISTRE ELEVES'!$B$10:$B$250,$AU114))</f>
        <v/>
      </c>
      <c r="C114" s="74" t="str">
        <f aca="false">IF($AU114="","",INDEX('REGISTRE ELEVES'!$D$10:$D$250,$AU114))</f>
        <v/>
      </c>
      <c r="D114" s="73" t="str">
        <f aca="false">IF($AU114="","",INDEX('REGISTRE ELEVES'!$E$10:$E$250,$AU114))</f>
        <v/>
      </c>
      <c r="E114" s="73" t="str">
        <f aca="false">IF($AU114="","",INDEX('REGISTRE ELEVES'!$F$10:$F$250,$AU114))</f>
        <v/>
      </c>
      <c r="F114" s="73" t="str">
        <f aca="false">IF($AU114="","",INDEX('REGISTRE ELEVES'!$AE$10:$AE$250,$AU114))</f>
        <v/>
      </c>
      <c r="G114" s="75"/>
      <c r="H114" s="76"/>
      <c r="I114" s="76"/>
      <c r="J114" s="76"/>
      <c r="K114" s="76"/>
      <c r="L114" s="76"/>
      <c r="M114" s="76"/>
      <c r="N114" s="76"/>
      <c r="O114" s="76"/>
      <c r="P114" s="77" t="str">
        <f aca="false">IF(B114="","",IF($G114="NON",0,IF(COUNT(H114:O114)=0,"",IFERROR(ROUND(SUMPRODUCT(H114:O114,$H$8:$O$8)/SUMPRODUCT(ISNUMBER(H114:O114)*$H$8:$O$8),2),""))))</f>
        <v/>
      </c>
      <c r="Q114" s="75"/>
      <c r="R114" s="76"/>
      <c r="S114" s="76"/>
      <c r="T114" s="76"/>
      <c r="U114" s="76"/>
      <c r="V114" s="76"/>
      <c r="W114" s="76"/>
      <c r="X114" s="76"/>
      <c r="Y114" s="76"/>
      <c r="Z114" s="77" t="str">
        <f aca="false">IF(B114="","",IF($Q114="NON",0,IF(COUNT(R114:Y114)=0,"",IFERROR(ROUND(SUMPRODUCT(R114:Y114,$R$8:$Y$8)/SUMPRODUCT(ISNUMBER(R114:Y114)*$R$8:$Y$8),2),""))))</f>
        <v/>
      </c>
      <c r="AA114" s="75"/>
      <c r="AB114" s="76"/>
      <c r="AC114" s="76"/>
      <c r="AD114" s="76"/>
      <c r="AE114" s="76"/>
      <c r="AF114" s="76"/>
      <c r="AG114" s="76"/>
      <c r="AH114" s="76"/>
      <c r="AI114" s="76"/>
      <c r="AJ114" s="77" t="str">
        <f aca="false">IF(B114="","",IF($AA114="NON",0,IF(COUNT(AB114:AI114)=0,"",IFERROR(ROUND(SUMPRODUCT(AB114:AI114,$AB$8:$AI$8)/SUMPRODUCT(ISNUMBER(AB114:AI114)*$AB$8:$AI$8),2),""))))</f>
        <v/>
      </c>
      <c r="AK114" s="75"/>
      <c r="AL114" s="76"/>
      <c r="AM114" s="76"/>
      <c r="AN114" s="76"/>
      <c r="AO114" s="76"/>
      <c r="AP114" s="76"/>
      <c r="AQ114" s="76"/>
      <c r="AR114" s="76"/>
      <c r="AS114" s="76"/>
      <c r="AT114" s="77" t="str">
        <f aca="false">IF(B114="","",IF($AK114="NON",0,IF(COUNT(AL114:AS114)=0,"",IFERROR(ROUND(SUMPRODUCT(AL114:AS114,$AL$8:$AS$8)/SUMPRODUCT(ISNUMBER(AL114:AS114)*$AL$8:$AS$8),2),""))))</f>
        <v/>
      </c>
      <c r="AU114" s="51" t="str">
        <f aca="false">IFERROR(MATCH("CP-105",'REGISTRE ELEVES'!$AI$10:$AI$250,0),"")</f>
        <v/>
      </c>
    </row>
    <row r="115" customFormat="false" ht="15" hidden="false" customHeight="false" outlineLevel="0" collapsed="false">
      <c r="A115" s="73" t="str">
        <f aca="false">IF(B115="","",106)</f>
        <v/>
      </c>
      <c r="B115" s="73" t="str">
        <f aca="false">IF($AU115="","",INDEX('REGISTRE ELEVES'!$B$10:$B$250,$AU115))</f>
        <v/>
      </c>
      <c r="C115" s="74" t="str">
        <f aca="false">IF($AU115="","",INDEX('REGISTRE ELEVES'!$D$10:$D$250,$AU115))</f>
        <v/>
      </c>
      <c r="D115" s="73" t="str">
        <f aca="false">IF($AU115="","",INDEX('REGISTRE ELEVES'!$E$10:$E$250,$AU115))</f>
        <v/>
      </c>
      <c r="E115" s="73" t="str">
        <f aca="false">IF($AU115="","",INDEX('REGISTRE ELEVES'!$F$10:$F$250,$AU115))</f>
        <v/>
      </c>
      <c r="F115" s="73" t="str">
        <f aca="false">IF($AU115="","",INDEX('REGISTRE ELEVES'!$AE$10:$AE$250,$AU115))</f>
        <v/>
      </c>
      <c r="G115" s="75"/>
      <c r="H115" s="76"/>
      <c r="I115" s="76"/>
      <c r="J115" s="76"/>
      <c r="K115" s="76"/>
      <c r="L115" s="76"/>
      <c r="M115" s="76"/>
      <c r="N115" s="76"/>
      <c r="O115" s="76"/>
      <c r="P115" s="77" t="str">
        <f aca="false">IF(B115="","",IF($G115="NON",0,IF(COUNT(H115:O115)=0,"",IFERROR(ROUND(SUMPRODUCT(H115:O115,$H$8:$O$8)/SUMPRODUCT(ISNUMBER(H115:O115)*$H$8:$O$8),2),""))))</f>
        <v/>
      </c>
      <c r="Q115" s="75"/>
      <c r="R115" s="76"/>
      <c r="S115" s="76"/>
      <c r="T115" s="76"/>
      <c r="U115" s="76"/>
      <c r="V115" s="76"/>
      <c r="W115" s="76"/>
      <c r="X115" s="76"/>
      <c r="Y115" s="76"/>
      <c r="Z115" s="77" t="str">
        <f aca="false">IF(B115="","",IF($Q115="NON",0,IF(COUNT(R115:Y115)=0,"",IFERROR(ROUND(SUMPRODUCT(R115:Y115,$R$8:$Y$8)/SUMPRODUCT(ISNUMBER(R115:Y115)*$R$8:$Y$8),2),""))))</f>
        <v/>
      </c>
      <c r="AA115" s="75"/>
      <c r="AB115" s="76"/>
      <c r="AC115" s="76"/>
      <c r="AD115" s="76"/>
      <c r="AE115" s="76"/>
      <c r="AF115" s="76"/>
      <c r="AG115" s="76"/>
      <c r="AH115" s="76"/>
      <c r="AI115" s="76"/>
      <c r="AJ115" s="77" t="str">
        <f aca="false">IF(B115="","",IF($AA115="NON",0,IF(COUNT(AB115:AI115)=0,"",IFERROR(ROUND(SUMPRODUCT(AB115:AI115,$AB$8:$AI$8)/SUMPRODUCT(ISNUMBER(AB115:AI115)*$AB$8:$AI$8),2),""))))</f>
        <v/>
      </c>
      <c r="AK115" s="75"/>
      <c r="AL115" s="76"/>
      <c r="AM115" s="76"/>
      <c r="AN115" s="76"/>
      <c r="AO115" s="76"/>
      <c r="AP115" s="76"/>
      <c r="AQ115" s="76"/>
      <c r="AR115" s="76"/>
      <c r="AS115" s="76"/>
      <c r="AT115" s="77" t="str">
        <f aca="false">IF(B115="","",IF($AK115="NON",0,IF(COUNT(AL115:AS115)=0,"",IFERROR(ROUND(SUMPRODUCT(AL115:AS115,$AL$8:$AS$8)/SUMPRODUCT(ISNUMBER(AL115:AS115)*$AL$8:$AS$8),2),""))))</f>
        <v/>
      </c>
      <c r="AU115" s="51" t="str">
        <f aca="false">IFERROR(MATCH("CP-106",'REGISTRE ELEVES'!$AI$10:$AI$250,0),"")</f>
        <v/>
      </c>
    </row>
    <row r="116" customFormat="false" ht="15" hidden="false" customHeight="false" outlineLevel="0" collapsed="false">
      <c r="A116" s="73" t="str">
        <f aca="false">IF(B116="","",107)</f>
        <v/>
      </c>
      <c r="B116" s="73" t="str">
        <f aca="false">IF($AU116="","",INDEX('REGISTRE ELEVES'!$B$10:$B$250,$AU116))</f>
        <v/>
      </c>
      <c r="C116" s="74" t="str">
        <f aca="false">IF($AU116="","",INDEX('REGISTRE ELEVES'!$D$10:$D$250,$AU116))</f>
        <v/>
      </c>
      <c r="D116" s="73" t="str">
        <f aca="false">IF($AU116="","",INDEX('REGISTRE ELEVES'!$E$10:$E$250,$AU116))</f>
        <v/>
      </c>
      <c r="E116" s="73" t="str">
        <f aca="false">IF($AU116="","",INDEX('REGISTRE ELEVES'!$F$10:$F$250,$AU116))</f>
        <v/>
      </c>
      <c r="F116" s="73" t="str">
        <f aca="false">IF($AU116="","",INDEX('REGISTRE ELEVES'!$AE$10:$AE$250,$AU116))</f>
        <v/>
      </c>
      <c r="G116" s="75"/>
      <c r="H116" s="76"/>
      <c r="I116" s="76"/>
      <c r="J116" s="76"/>
      <c r="K116" s="76"/>
      <c r="L116" s="76"/>
      <c r="M116" s="76"/>
      <c r="N116" s="76"/>
      <c r="O116" s="76"/>
      <c r="P116" s="77" t="str">
        <f aca="false">IF(B116="","",IF($G116="NON",0,IF(COUNT(H116:O116)=0,"",IFERROR(ROUND(SUMPRODUCT(H116:O116,$H$8:$O$8)/SUMPRODUCT(ISNUMBER(H116:O116)*$H$8:$O$8),2),""))))</f>
        <v/>
      </c>
      <c r="Q116" s="75"/>
      <c r="R116" s="76"/>
      <c r="S116" s="76"/>
      <c r="T116" s="76"/>
      <c r="U116" s="76"/>
      <c r="V116" s="76"/>
      <c r="W116" s="76"/>
      <c r="X116" s="76"/>
      <c r="Y116" s="76"/>
      <c r="Z116" s="77" t="str">
        <f aca="false">IF(B116="","",IF($Q116="NON",0,IF(COUNT(R116:Y116)=0,"",IFERROR(ROUND(SUMPRODUCT(R116:Y116,$R$8:$Y$8)/SUMPRODUCT(ISNUMBER(R116:Y116)*$R$8:$Y$8),2),""))))</f>
        <v/>
      </c>
      <c r="AA116" s="75"/>
      <c r="AB116" s="76"/>
      <c r="AC116" s="76"/>
      <c r="AD116" s="76"/>
      <c r="AE116" s="76"/>
      <c r="AF116" s="76"/>
      <c r="AG116" s="76"/>
      <c r="AH116" s="76"/>
      <c r="AI116" s="76"/>
      <c r="AJ116" s="77" t="str">
        <f aca="false">IF(B116="","",IF($AA116="NON",0,IF(COUNT(AB116:AI116)=0,"",IFERROR(ROUND(SUMPRODUCT(AB116:AI116,$AB$8:$AI$8)/SUMPRODUCT(ISNUMBER(AB116:AI116)*$AB$8:$AI$8),2),""))))</f>
        <v/>
      </c>
      <c r="AK116" s="75"/>
      <c r="AL116" s="76"/>
      <c r="AM116" s="76"/>
      <c r="AN116" s="76"/>
      <c r="AO116" s="76"/>
      <c r="AP116" s="76"/>
      <c r="AQ116" s="76"/>
      <c r="AR116" s="76"/>
      <c r="AS116" s="76"/>
      <c r="AT116" s="77" t="str">
        <f aca="false">IF(B116="","",IF($AK116="NON",0,IF(COUNT(AL116:AS116)=0,"",IFERROR(ROUND(SUMPRODUCT(AL116:AS116,$AL$8:$AS$8)/SUMPRODUCT(ISNUMBER(AL116:AS116)*$AL$8:$AS$8),2),""))))</f>
        <v/>
      </c>
      <c r="AU116" s="51" t="str">
        <f aca="false">IFERROR(MATCH("CP-107",'REGISTRE ELEVES'!$AI$10:$AI$250,0),"")</f>
        <v/>
      </c>
    </row>
    <row r="117" customFormat="false" ht="15" hidden="false" customHeight="false" outlineLevel="0" collapsed="false">
      <c r="A117" s="73" t="str">
        <f aca="false">IF(B117="","",108)</f>
        <v/>
      </c>
      <c r="B117" s="73" t="str">
        <f aca="false">IF($AU117="","",INDEX('REGISTRE ELEVES'!$B$10:$B$250,$AU117))</f>
        <v/>
      </c>
      <c r="C117" s="74" t="str">
        <f aca="false">IF($AU117="","",INDEX('REGISTRE ELEVES'!$D$10:$D$250,$AU117))</f>
        <v/>
      </c>
      <c r="D117" s="73" t="str">
        <f aca="false">IF($AU117="","",INDEX('REGISTRE ELEVES'!$E$10:$E$250,$AU117))</f>
        <v/>
      </c>
      <c r="E117" s="73" t="str">
        <f aca="false">IF($AU117="","",INDEX('REGISTRE ELEVES'!$F$10:$F$250,$AU117))</f>
        <v/>
      </c>
      <c r="F117" s="73" t="str">
        <f aca="false">IF($AU117="","",INDEX('REGISTRE ELEVES'!$AE$10:$AE$250,$AU117))</f>
        <v/>
      </c>
      <c r="G117" s="75"/>
      <c r="H117" s="76"/>
      <c r="I117" s="76"/>
      <c r="J117" s="76"/>
      <c r="K117" s="76"/>
      <c r="L117" s="76"/>
      <c r="M117" s="76"/>
      <c r="N117" s="76"/>
      <c r="O117" s="76"/>
      <c r="P117" s="77" t="str">
        <f aca="false">IF(B117="","",IF($G117="NON",0,IF(COUNT(H117:O117)=0,"",IFERROR(ROUND(SUMPRODUCT(H117:O117,$H$8:$O$8)/SUMPRODUCT(ISNUMBER(H117:O117)*$H$8:$O$8),2),""))))</f>
        <v/>
      </c>
      <c r="Q117" s="75"/>
      <c r="R117" s="76"/>
      <c r="S117" s="76"/>
      <c r="T117" s="76"/>
      <c r="U117" s="76"/>
      <c r="V117" s="76"/>
      <c r="W117" s="76"/>
      <c r="X117" s="76"/>
      <c r="Y117" s="76"/>
      <c r="Z117" s="77" t="str">
        <f aca="false">IF(B117="","",IF($Q117="NON",0,IF(COUNT(R117:Y117)=0,"",IFERROR(ROUND(SUMPRODUCT(R117:Y117,$R$8:$Y$8)/SUMPRODUCT(ISNUMBER(R117:Y117)*$R$8:$Y$8),2),""))))</f>
        <v/>
      </c>
      <c r="AA117" s="75"/>
      <c r="AB117" s="76"/>
      <c r="AC117" s="76"/>
      <c r="AD117" s="76"/>
      <c r="AE117" s="76"/>
      <c r="AF117" s="76"/>
      <c r="AG117" s="76"/>
      <c r="AH117" s="76"/>
      <c r="AI117" s="76"/>
      <c r="AJ117" s="77" t="str">
        <f aca="false">IF(B117="","",IF($AA117="NON",0,IF(COUNT(AB117:AI117)=0,"",IFERROR(ROUND(SUMPRODUCT(AB117:AI117,$AB$8:$AI$8)/SUMPRODUCT(ISNUMBER(AB117:AI117)*$AB$8:$AI$8),2),""))))</f>
        <v/>
      </c>
      <c r="AK117" s="75"/>
      <c r="AL117" s="76"/>
      <c r="AM117" s="76"/>
      <c r="AN117" s="76"/>
      <c r="AO117" s="76"/>
      <c r="AP117" s="76"/>
      <c r="AQ117" s="76"/>
      <c r="AR117" s="76"/>
      <c r="AS117" s="76"/>
      <c r="AT117" s="77" t="str">
        <f aca="false">IF(B117="","",IF($AK117="NON",0,IF(COUNT(AL117:AS117)=0,"",IFERROR(ROUND(SUMPRODUCT(AL117:AS117,$AL$8:$AS$8)/SUMPRODUCT(ISNUMBER(AL117:AS117)*$AL$8:$AS$8),2),""))))</f>
        <v/>
      </c>
      <c r="AU117" s="51" t="str">
        <f aca="false">IFERROR(MATCH("CP-108",'REGISTRE ELEVES'!$AI$10:$AI$250,0),"")</f>
        <v/>
      </c>
    </row>
    <row r="118" customFormat="false" ht="15" hidden="false" customHeight="false" outlineLevel="0" collapsed="false">
      <c r="A118" s="73" t="str">
        <f aca="false">IF(B118="","",109)</f>
        <v/>
      </c>
      <c r="B118" s="73" t="str">
        <f aca="false">IF($AU118="","",INDEX('REGISTRE ELEVES'!$B$10:$B$250,$AU118))</f>
        <v/>
      </c>
      <c r="C118" s="74" t="str">
        <f aca="false">IF($AU118="","",INDEX('REGISTRE ELEVES'!$D$10:$D$250,$AU118))</f>
        <v/>
      </c>
      <c r="D118" s="73" t="str">
        <f aca="false">IF($AU118="","",INDEX('REGISTRE ELEVES'!$E$10:$E$250,$AU118))</f>
        <v/>
      </c>
      <c r="E118" s="73" t="str">
        <f aca="false">IF($AU118="","",INDEX('REGISTRE ELEVES'!$F$10:$F$250,$AU118))</f>
        <v/>
      </c>
      <c r="F118" s="73" t="str">
        <f aca="false">IF($AU118="","",INDEX('REGISTRE ELEVES'!$AE$10:$AE$250,$AU118))</f>
        <v/>
      </c>
      <c r="G118" s="75"/>
      <c r="H118" s="76"/>
      <c r="I118" s="76"/>
      <c r="J118" s="76"/>
      <c r="K118" s="76"/>
      <c r="L118" s="76"/>
      <c r="M118" s="76"/>
      <c r="N118" s="76"/>
      <c r="O118" s="76"/>
      <c r="P118" s="77" t="str">
        <f aca="false">IF(B118="","",IF($G118="NON",0,IF(COUNT(H118:O118)=0,"",IFERROR(ROUND(SUMPRODUCT(H118:O118,$H$8:$O$8)/SUMPRODUCT(ISNUMBER(H118:O118)*$H$8:$O$8),2),""))))</f>
        <v/>
      </c>
      <c r="Q118" s="75"/>
      <c r="R118" s="76"/>
      <c r="S118" s="76"/>
      <c r="T118" s="76"/>
      <c r="U118" s="76"/>
      <c r="V118" s="76"/>
      <c r="W118" s="76"/>
      <c r="X118" s="76"/>
      <c r="Y118" s="76"/>
      <c r="Z118" s="77" t="str">
        <f aca="false">IF(B118="","",IF($Q118="NON",0,IF(COUNT(R118:Y118)=0,"",IFERROR(ROUND(SUMPRODUCT(R118:Y118,$R$8:$Y$8)/SUMPRODUCT(ISNUMBER(R118:Y118)*$R$8:$Y$8),2),""))))</f>
        <v/>
      </c>
      <c r="AA118" s="75"/>
      <c r="AB118" s="76"/>
      <c r="AC118" s="76"/>
      <c r="AD118" s="76"/>
      <c r="AE118" s="76"/>
      <c r="AF118" s="76"/>
      <c r="AG118" s="76"/>
      <c r="AH118" s="76"/>
      <c r="AI118" s="76"/>
      <c r="AJ118" s="77" t="str">
        <f aca="false">IF(B118="","",IF($AA118="NON",0,IF(COUNT(AB118:AI118)=0,"",IFERROR(ROUND(SUMPRODUCT(AB118:AI118,$AB$8:$AI$8)/SUMPRODUCT(ISNUMBER(AB118:AI118)*$AB$8:$AI$8),2),""))))</f>
        <v/>
      </c>
      <c r="AK118" s="75"/>
      <c r="AL118" s="76"/>
      <c r="AM118" s="76"/>
      <c r="AN118" s="76"/>
      <c r="AO118" s="76"/>
      <c r="AP118" s="76"/>
      <c r="AQ118" s="76"/>
      <c r="AR118" s="76"/>
      <c r="AS118" s="76"/>
      <c r="AT118" s="77" t="str">
        <f aca="false">IF(B118="","",IF($AK118="NON",0,IF(COUNT(AL118:AS118)=0,"",IFERROR(ROUND(SUMPRODUCT(AL118:AS118,$AL$8:$AS$8)/SUMPRODUCT(ISNUMBER(AL118:AS118)*$AL$8:$AS$8),2),""))))</f>
        <v/>
      </c>
      <c r="AU118" s="51" t="str">
        <f aca="false">IFERROR(MATCH("CP-109",'REGISTRE ELEVES'!$AI$10:$AI$250,0),"")</f>
        <v/>
      </c>
    </row>
    <row r="119" customFormat="false" ht="15" hidden="false" customHeight="false" outlineLevel="0" collapsed="false">
      <c r="A119" s="73" t="str">
        <f aca="false">IF(B119="","",110)</f>
        <v/>
      </c>
      <c r="B119" s="73" t="str">
        <f aca="false">IF($AU119="","",INDEX('REGISTRE ELEVES'!$B$10:$B$250,$AU119))</f>
        <v/>
      </c>
      <c r="C119" s="74" t="str">
        <f aca="false">IF($AU119="","",INDEX('REGISTRE ELEVES'!$D$10:$D$250,$AU119))</f>
        <v/>
      </c>
      <c r="D119" s="73" t="str">
        <f aca="false">IF($AU119="","",INDEX('REGISTRE ELEVES'!$E$10:$E$250,$AU119))</f>
        <v/>
      </c>
      <c r="E119" s="73" t="str">
        <f aca="false">IF($AU119="","",INDEX('REGISTRE ELEVES'!$F$10:$F$250,$AU119))</f>
        <v/>
      </c>
      <c r="F119" s="73" t="str">
        <f aca="false">IF($AU119="","",INDEX('REGISTRE ELEVES'!$AE$10:$AE$250,$AU119))</f>
        <v/>
      </c>
      <c r="G119" s="75"/>
      <c r="H119" s="76"/>
      <c r="I119" s="76"/>
      <c r="J119" s="76"/>
      <c r="K119" s="76"/>
      <c r="L119" s="76"/>
      <c r="M119" s="76"/>
      <c r="N119" s="76"/>
      <c r="O119" s="76"/>
      <c r="P119" s="77" t="str">
        <f aca="false">IF(B119="","",IF($G119="NON",0,IF(COUNT(H119:O119)=0,"",IFERROR(ROUND(SUMPRODUCT(H119:O119,$H$8:$O$8)/SUMPRODUCT(ISNUMBER(H119:O119)*$H$8:$O$8),2),""))))</f>
        <v/>
      </c>
      <c r="Q119" s="75"/>
      <c r="R119" s="76"/>
      <c r="S119" s="76"/>
      <c r="T119" s="76"/>
      <c r="U119" s="76"/>
      <c r="V119" s="76"/>
      <c r="W119" s="76"/>
      <c r="X119" s="76"/>
      <c r="Y119" s="76"/>
      <c r="Z119" s="77" t="str">
        <f aca="false">IF(B119="","",IF($Q119="NON",0,IF(COUNT(R119:Y119)=0,"",IFERROR(ROUND(SUMPRODUCT(R119:Y119,$R$8:$Y$8)/SUMPRODUCT(ISNUMBER(R119:Y119)*$R$8:$Y$8),2),""))))</f>
        <v/>
      </c>
      <c r="AA119" s="75"/>
      <c r="AB119" s="76"/>
      <c r="AC119" s="76"/>
      <c r="AD119" s="76"/>
      <c r="AE119" s="76"/>
      <c r="AF119" s="76"/>
      <c r="AG119" s="76"/>
      <c r="AH119" s="76"/>
      <c r="AI119" s="76"/>
      <c r="AJ119" s="77" t="str">
        <f aca="false">IF(B119="","",IF($AA119="NON",0,IF(COUNT(AB119:AI119)=0,"",IFERROR(ROUND(SUMPRODUCT(AB119:AI119,$AB$8:$AI$8)/SUMPRODUCT(ISNUMBER(AB119:AI119)*$AB$8:$AI$8),2),""))))</f>
        <v/>
      </c>
      <c r="AK119" s="75"/>
      <c r="AL119" s="76"/>
      <c r="AM119" s="76"/>
      <c r="AN119" s="76"/>
      <c r="AO119" s="76"/>
      <c r="AP119" s="76"/>
      <c r="AQ119" s="76"/>
      <c r="AR119" s="76"/>
      <c r="AS119" s="76"/>
      <c r="AT119" s="77" t="str">
        <f aca="false">IF(B119="","",IF($AK119="NON",0,IF(COUNT(AL119:AS119)=0,"",IFERROR(ROUND(SUMPRODUCT(AL119:AS119,$AL$8:$AS$8)/SUMPRODUCT(ISNUMBER(AL119:AS119)*$AL$8:$AS$8),2),""))))</f>
        <v/>
      </c>
      <c r="AU119" s="51" t="str">
        <f aca="false">IFERROR(MATCH("CP-110",'REGISTRE ELEVES'!$AI$10:$AI$250,0),"")</f>
        <v/>
      </c>
    </row>
    <row r="120" customFormat="false" ht="15" hidden="false" customHeight="false" outlineLevel="0" collapsed="false">
      <c r="A120" s="73" t="str">
        <f aca="false">IF(B120="","",111)</f>
        <v/>
      </c>
      <c r="B120" s="73" t="str">
        <f aca="false">IF($AU120="","",INDEX('REGISTRE ELEVES'!$B$10:$B$250,$AU120))</f>
        <v/>
      </c>
      <c r="C120" s="74" t="str">
        <f aca="false">IF($AU120="","",INDEX('REGISTRE ELEVES'!$D$10:$D$250,$AU120))</f>
        <v/>
      </c>
      <c r="D120" s="73" t="str">
        <f aca="false">IF($AU120="","",INDEX('REGISTRE ELEVES'!$E$10:$E$250,$AU120))</f>
        <v/>
      </c>
      <c r="E120" s="73" t="str">
        <f aca="false">IF($AU120="","",INDEX('REGISTRE ELEVES'!$F$10:$F$250,$AU120))</f>
        <v/>
      </c>
      <c r="F120" s="73" t="str">
        <f aca="false">IF($AU120="","",INDEX('REGISTRE ELEVES'!$AE$10:$AE$250,$AU120))</f>
        <v/>
      </c>
      <c r="G120" s="75"/>
      <c r="H120" s="76"/>
      <c r="I120" s="76"/>
      <c r="J120" s="76"/>
      <c r="K120" s="76"/>
      <c r="L120" s="76"/>
      <c r="M120" s="76"/>
      <c r="N120" s="76"/>
      <c r="O120" s="76"/>
      <c r="P120" s="77" t="str">
        <f aca="false">IF(B120="","",IF($G120="NON",0,IF(COUNT(H120:O120)=0,"",IFERROR(ROUND(SUMPRODUCT(H120:O120,$H$8:$O$8)/SUMPRODUCT(ISNUMBER(H120:O120)*$H$8:$O$8),2),""))))</f>
        <v/>
      </c>
      <c r="Q120" s="75"/>
      <c r="R120" s="76"/>
      <c r="S120" s="76"/>
      <c r="T120" s="76"/>
      <c r="U120" s="76"/>
      <c r="V120" s="76"/>
      <c r="W120" s="76"/>
      <c r="X120" s="76"/>
      <c r="Y120" s="76"/>
      <c r="Z120" s="77" t="str">
        <f aca="false">IF(B120="","",IF($Q120="NON",0,IF(COUNT(R120:Y120)=0,"",IFERROR(ROUND(SUMPRODUCT(R120:Y120,$R$8:$Y$8)/SUMPRODUCT(ISNUMBER(R120:Y120)*$R$8:$Y$8),2),""))))</f>
        <v/>
      </c>
      <c r="AA120" s="75"/>
      <c r="AB120" s="76"/>
      <c r="AC120" s="76"/>
      <c r="AD120" s="76"/>
      <c r="AE120" s="76"/>
      <c r="AF120" s="76"/>
      <c r="AG120" s="76"/>
      <c r="AH120" s="76"/>
      <c r="AI120" s="76"/>
      <c r="AJ120" s="77" t="str">
        <f aca="false">IF(B120="","",IF($AA120="NON",0,IF(COUNT(AB120:AI120)=0,"",IFERROR(ROUND(SUMPRODUCT(AB120:AI120,$AB$8:$AI$8)/SUMPRODUCT(ISNUMBER(AB120:AI120)*$AB$8:$AI$8),2),""))))</f>
        <v/>
      </c>
      <c r="AK120" s="75"/>
      <c r="AL120" s="76"/>
      <c r="AM120" s="76"/>
      <c r="AN120" s="76"/>
      <c r="AO120" s="76"/>
      <c r="AP120" s="76"/>
      <c r="AQ120" s="76"/>
      <c r="AR120" s="76"/>
      <c r="AS120" s="76"/>
      <c r="AT120" s="77" t="str">
        <f aca="false">IF(B120="","",IF($AK120="NON",0,IF(COUNT(AL120:AS120)=0,"",IFERROR(ROUND(SUMPRODUCT(AL120:AS120,$AL$8:$AS$8)/SUMPRODUCT(ISNUMBER(AL120:AS120)*$AL$8:$AS$8),2),""))))</f>
        <v/>
      </c>
      <c r="AU120" s="51" t="str">
        <f aca="false">IFERROR(MATCH("CP-111",'REGISTRE ELEVES'!$AI$10:$AI$250,0),"")</f>
        <v/>
      </c>
    </row>
    <row r="121" customFormat="false" ht="15" hidden="false" customHeight="false" outlineLevel="0" collapsed="false">
      <c r="A121" s="73" t="str">
        <f aca="false">IF(B121="","",112)</f>
        <v/>
      </c>
      <c r="B121" s="73" t="str">
        <f aca="false">IF($AU121="","",INDEX('REGISTRE ELEVES'!$B$10:$B$250,$AU121))</f>
        <v/>
      </c>
      <c r="C121" s="74" t="str">
        <f aca="false">IF($AU121="","",INDEX('REGISTRE ELEVES'!$D$10:$D$250,$AU121))</f>
        <v/>
      </c>
      <c r="D121" s="73" t="str">
        <f aca="false">IF($AU121="","",INDEX('REGISTRE ELEVES'!$E$10:$E$250,$AU121))</f>
        <v/>
      </c>
      <c r="E121" s="73" t="str">
        <f aca="false">IF($AU121="","",INDEX('REGISTRE ELEVES'!$F$10:$F$250,$AU121))</f>
        <v/>
      </c>
      <c r="F121" s="73" t="str">
        <f aca="false">IF($AU121="","",INDEX('REGISTRE ELEVES'!$AE$10:$AE$250,$AU121))</f>
        <v/>
      </c>
      <c r="G121" s="75"/>
      <c r="H121" s="76"/>
      <c r="I121" s="76"/>
      <c r="J121" s="76"/>
      <c r="K121" s="76"/>
      <c r="L121" s="76"/>
      <c r="M121" s="76"/>
      <c r="N121" s="76"/>
      <c r="O121" s="76"/>
      <c r="P121" s="77" t="str">
        <f aca="false">IF(B121="","",IF($G121="NON",0,IF(COUNT(H121:O121)=0,"",IFERROR(ROUND(SUMPRODUCT(H121:O121,$H$8:$O$8)/SUMPRODUCT(ISNUMBER(H121:O121)*$H$8:$O$8),2),""))))</f>
        <v/>
      </c>
      <c r="Q121" s="75"/>
      <c r="R121" s="76"/>
      <c r="S121" s="76"/>
      <c r="T121" s="76"/>
      <c r="U121" s="76"/>
      <c r="V121" s="76"/>
      <c r="W121" s="76"/>
      <c r="X121" s="76"/>
      <c r="Y121" s="76"/>
      <c r="Z121" s="77" t="str">
        <f aca="false">IF(B121="","",IF($Q121="NON",0,IF(COUNT(R121:Y121)=0,"",IFERROR(ROUND(SUMPRODUCT(R121:Y121,$R$8:$Y$8)/SUMPRODUCT(ISNUMBER(R121:Y121)*$R$8:$Y$8),2),""))))</f>
        <v/>
      </c>
      <c r="AA121" s="75"/>
      <c r="AB121" s="76"/>
      <c r="AC121" s="76"/>
      <c r="AD121" s="76"/>
      <c r="AE121" s="76"/>
      <c r="AF121" s="76"/>
      <c r="AG121" s="76"/>
      <c r="AH121" s="76"/>
      <c r="AI121" s="76"/>
      <c r="AJ121" s="77" t="str">
        <f aca="false">IF(B121="","",IF($AA121="NON",0,IF(COUNT(AB121:AI121)=0,"",IFERROR(ROUND(SUMPRODUCT(AB121:AI121,$AB$8:$AI$8)/SUMPRODUCT(ISNUMBER(AB121:AI121)*$AB$8:$AI$8),2),""))))</f>
        <v/>
      </c>
      <c r="AK121" s="75"/>
      <c r="AL121" s="76"/>
      <c r="AM121" s="76"/>
      <c r="AN121" s="76"/>
      <c r="AO121" s="76"/>
      <c r="AP121" s="76"/>
      <c r="AQ121" s="76"/>
      <c r="AR121" s="76"/>
      <c r="AS121" s="76"/>
      <c r="AT121" s="77" t="str">
        <f aca="false">IF(B121="","",IF($AK121="NON",0,IF(COUNT(AL121:AS121)=0,"",IFERROR(ROUND(SUMPRODUCT(AL121:AS121,$AL$8:$AS$8)/SUMPRODUCT(ISNUMBER(AL121:AS121)*$AL$8:$AS$8),2),""))))</f>
        <v/>
      </c>
      <c r="AU121" s="51" t="str">
        <f aca="false">IFERROR(MATCH("CP-112",'REGISTRE ELEVES'!$AI$10:$AI$250,0),"")</f>
        <v/>
      </c>
    </row>
    <row r="122" customFormat="false" ht="15" hidden="false" customHeight="false" outlineLevel="0" collapsed="false">
      <c r="A122" s="73" t="str">
        <f aca="false">IF(B122="","",113)</f>
        <v/>
      </c>
      <c r="B122" s="73" t="str">
        <f aca="false">IF($AU122="","",INDEX('REGISTRE ELEVES'!$B$10:$B$250,$AU122))</f>
        <v/>
      </c>
      <c r="C122" s="74" t="str">
        <f aca="false">IF($AU122="","",INDEX('REGISTRE ELEVES'!$D$10:$D$250,$AU122))</f>
        <v/>
      </c>
      <c r="D122" s="73" t="str">
        <f aca="false">IF($AU122="","",INDEX('REGISTRE ELEVES'!$E$10:$E$250,$AU122))</f>
        <v/>
      </c>
      <c r="E122" s="73" t="str">
        <f aca="false">IF($AU122="","",INDEX('REGISTRE ELEVES'!$F$10:$F$250,$AU122))</f>
        <v/>
      </c>
      <c r="F122" s="73" t="str">
        <f aca="false">IF($AU122="","",INDEX('REGISTRE ELEVES'!$AE$10:$AE$250,$AU122))</f>
        <v/>
      </c>
      <c r="G122" s="75"/>
      <c r="H122" s="76"/>
      <c r="I122" s="76"/>
      <c r="J122" s="76"/>
      <c r="K122" s="76"/>
      <c r="L122" s="76"/>
      <c r="M122" s="76"/>
      <c r="N122" s="76"/>
      <c r="O122" s="76"/>
      <c r="P122" s="77" t="str">
        <f aca="false">IF(B122="","",IF($G122="NON",0,IF(COUNT(H122:O122)=0,"",IFERROR(ROUND(SUMPRODUCT(H122:O122,$H$8:$O$8)/SUMPRODUCT(ISNUMBER(H122:O122)*$H$8:$O$8),2),""))))</f>
        <v/>
      </c>
      <c r="Q122" s="75"/>
      <c r="R122" s="76"/>
      <c r="S122" s="76"/>
      <c r="T122" s="76"/>
      <c r="U122" s="76"/>
      <c r="V122" s="76"/>
      <c r="W122" s="76"/>
      <c r="X122" s="76"/>
      <c r="Y122" s="76"/>
      <c r="Z122" s="77" t="str">
        <f aca="false">IF(B122="","",IF($Q122="NON",0,IF(COUNT(R122:Y122)=0,"",IFERROR(ROUND(SUMPRODUCT(R122:Y122,$R$8:$Y$8)/SUMPRODUCT(ISNUMBER(R122:Y122)*$R$8:$Y$8),2),""))))</f>
        <v/>
      </c>
      <c r="AA122" s="75"/>
      <c r="AB122" s="76"/>
      <c r="AC122" s="76"/>
      <c r="AD122" s="76"/>
      <c r="AE122" s="76"/>
      <c r="AF122" s="76"/>
      <c r="AG122" s="76"/>
      <c r="AH122" s="76"/>
      <c r="AI122" s="76"/>
      <c r="AJ122" s="77" t="str">
        <f aca="false">IF(B122="","",IF($AA122="NON",0,IF(COUNT(AB122:AI122)=0,"",IFERROR(ROUND(SUMPRODUCT(AB122:AI122,$AB$8:$AI$8)/SUMPRODUCT(ISNUMBER(AB122:AI122)*$AB$8:$AI$8),2),""))))</f>
        <v/>
      </c>
      <c r="AK122" s="75"/>
      <c r="AL122" s="76"/>
      <c r="AM122" s="76"/>
      <c r="AN122" s="76"/>
      <c r="AO122" s="76"/>
      <c r="AP122" s="76"/>
      <c r="AQ122" s="76"/>
      <c r="AR122" s="76"/>
      <c r="AS122" s="76"/>
      <c r="AT122" s="77" t="str">
        <f aca="false">IF(B122="","",IF($AK122="NON",0,IF(COUNT(AL122:AS122)=0,"",IFERROR(ROUND(SUMPRODUCT(AL122:AS122,$AL$8:$AS$8)/SUMPRODUCT(ISNUMBER(AL122:AS122)*$AL$8:$AS$8),2),""))))</f>
        <v/>
      </c>
      <c r="AU122" s="51" t="str">
        <f aca="false">IFERROR(MATCH("CP-113",'REGISTRE ELEVES'!$AI$10:$AI$250,0),"")</f>
        <v/>
      </c>
    </row>
    <row r="123" customFormat="false" ht="15" hidden="false" customHeight="false" outlineLevel="0" collapsed="false">
      <c r="A123" s="73" t="str">
        <f aca="false">IF(B123="","",114)</f>
        <v/>
      </c>
      <c r="B123" s="73" t="str">
        <f aca="false">IF($AU123="","",INDEX('REGISTRE ELEVES'!$B$10:$B$250,$AU123))</f>
        <v/>
      </c>
      <c r="C123" s="74" t="str">
        <f aca="false">IF($AU123="","",INDEX('REGISTRE ELEVES'!$D$10:$D$250,$AU123))</f>
        <v/>
      </c>
      <c r="D123" s="73" t="str">
        <f aca="false">IF($AU123="","",INDEX('REGISTRE ELEVES'!$E$10:$E$250,$AU123))</f>
        <v/>
      </c>
      <c r="E123" s="73" t="str">
        <f aca="false">IF($AU123="","",INDEX('REGISTRE ELEVES'!$F$10:$F$250,$AU123))</f>
        <v/>
      </c>
      <c r="F123" s="73" t="str">
        <f aca="false">IF($AU123="","",INDEX('REGISTRE ELEVES'!$AE$10:$AE$250,$AU123))</f>
        <v/>
      </c>
      <c r="G123" s="75"/>
      <c r="H123" s="76"/>
      <c r="I123" s="76"/>
      <c r="J123" s="76"/>
      <c r="K123" s="76"/>
      <c r="L123" s="76"/>
      <c r="M123" s="76"/>
      <c r="N123" s="76"/>
      <c r="O123" s="76"/>
      <c r="P123" s="77" t="str">
        <f aca="false">IF(B123="","",IF($G123="NON",0,IF(COUNT(H123:O123)=0,"",IFERROR(ROUND(SUMPRODUCT(H123:O123,$H$8:$O$8)/SUMPRODUCT(ISNUMBER(H123:O123)*$H$8:$O$8),2),""))))</f>
        <v/>
      </c>
      <c r="Q123" s="75"/>
      <c r="R123" s="76"/>
      <c r="S123" s="76"/>
      <c r="T123" s="76"/>
      <c r="U123" s="76"/>
      <c r="V123" s="76"/>
      <c r="W123" s="76"/>
      <c r="X123" s="76"/>
      <c r="Y123" s="76"/>
      <c r="Z123" s="77" t="str">
        <f aca="false">IF(B123="","",IF($Q123="NON",0,IF(COUNT(R123:Y123)=0,"",IFERROR(ROUND(SUMPRODUCT(R123:Y123,$R$8:$Y$8)/SUMPRODUCT(ISNUMBER(R123:Y123)*$R$8:$Y$8),2),""))))</f>
        <v/>
      </c>
      <c r="AA123" s="75"/>
      <c r="AB123" s="76"/>
      <c r="AC123" s="76"/>
      <c r="AD123" s="76"/>
      <c r="AE123" s="76"/>
      <c r="AF123" s="76"/>
      <c r="AG123" s="76"/>
      <c r="AH123" s="76"/>
      <c r="AI123" s="76"/>
      <c r="AJ123" s="77" t="str">
        <f aca="false">IF(B123="","",IF($AA123="NON",0,IF(COUNT(AB123:AI123)=0,"",IFERROR(ROUND(SUMPRODUCT(AB123:AI123,$AB$8:$AI$8)/SUMPRODUCT(ISNUMBER(AB123:AI123)*$AB$8:$AI$8),2),""))))</f>
        <v/>
      </c>
      <c r="AK123" s="75"/>
      <c r="AL123" s="76"/>
      <c r="AM123" s="76"/>
      <c r="AN123" s="76"/>
      <c r="AO123" s="76"/>
      <c r="AP123" s="76"/>
      <c r="AQ123" s="76"/>
      <c r="AR123" s="76"/>
      <c r="AS123" s="76"/>
      <c r="AT123" s="77" t="str">
        <f aca="false">IF(B123="","",IF($AK123="NON",0,IF(COUNT(AL123:AS123)=0,"",IFERROR(ROUND(SUMPRODUCT(AL123:AS123,$AL$8:$AS$8)/SUMPRODUCT(ISNUMBER(AL123:AS123)*$AL$8:$AS$8),2),""))))</f>
        <v/>
      </c>
      <c r="AU123" s="51" t="str">
        <f aca="false">IFERROR(MATCH("CP-114",'REGISTRE ELEVES'!$AI$10:$AI$250,0),"")</f>
        <v/>
      </c>
    </row>
    <row r="124" customFormat="false" ht="15" hidden="false" customHeight="false" outlineLevel="0" collapsed="false">
      <c r="A124" s="73" t="str">
        <f aca="false">IF(B124="","",115)</f>
        <v/>
      </c>
      <c r="B124" s="73" t="str">
        <f aca="false">IF($AU124="","",INDEX('REGISTRE ELEVES'!$B$10:$B$250,$AU124))</f>
        <v/>
      </c>
      <c r="C124" s="74" t="str">
        <f aca="false">IF($AU124="","",INDEX('REGISTRE ELEVES'!$D$10:$D$250,$AU124))</f>
        <v/>
      </c>
      <c r="D124" s="73" t="str">
        <f aca="false">IF($AU124="","",INDEX('REGISTRE ELEVES'!$E$10:$E$250,$AU124))</f>
        <v/>
      </c>
      <c r="E124" s="73" t="str">
        <f aca="false">IF($AU124="","",INDEX('REGISTRE ELEVES'!$F$10:$F$250,$AU124))</f>
        <v/>
      </c>
      <c r="F124" s="73" t="str">
        <f aca="false">IF($AU124="","",INDEX('REGISTRE ELEVES'!$AE$10:$AE$250,$AU124))</f>
        <v/>
      </c>
      <c r="G124" s="75"/>
      <c r="H124" s="76"/>
      <c r="I124" s="76"/>
      <c r="J124" s="76"/>
      <c r="K124" s="76"/>
      <c r="L124" s="76"/>
      <c r="M124" s="76"/>
      <c r="N124" s="76"/>
      <c r="O124" s="76"/>
      <c r="P124" s="77" t="str">
        <f aca="false">IF(B124="","",IF($G124="NON",0,IF(COUNT(H124:O124)=0,"",IFERROR(ROUND(SUMPRODUCT(H124:O124,$H$8:$O$8)/SUMPRODUCT(ISNUMBER(H124:O124)*$H$8:$O$8),2),""))))</f>
        <v/>
      </c>
      <c r="Q124" s="75"/>
      <c r="R124" s="76"/>
      <c r="S124" s="76"/>
      <c r="T124" s="76"/>
      <c r="U124" s="76"/>
      <c r="V124" s="76"/>
      <c r="W124" s="76"/>
      <c r="X124" s="76"/>
      <c r="Y124" s="76"/>
      <c r="Z124" s="77" t="str">
        <f aca="false">IF(B124="","",IF($Q124="NON",0,IF(COUNT(R124:Y124)=0,"",IFERROR(ROUND(SUMPRODUCT(R124:Y124,$R$8:$Y$8)/SUMPRODUCT(ISNUMBER(R124:Y124)*$R$8:$Y$8),2),""))))</f>
        <v/>
      </c>
      <c r="AA124" s="75"/>
      <c r="AB124" s="76"/>
      <c r="AC124" s="76"/>
      <c r="AD124" s="76"/>
      <c r="AE124" s="76"/>
      <c r="AF124" s="76"/>
      <c r="AG124" s="76"/>
      <c r="AH124" s="76"/>
      <c r="AI124" s="76"/>
      <c r="AJ124" s="77" t="str">
        <f aca="false">IF(B124="","",IF($AA124="NON",0,IF(COUNT(AB124:AI124)=0,"",IFERROR(ROUND(SUMPRODUCT(AB124:AI124,$AB$8:$AI$8)/SUMPRODUCT(ISNUMBER(AB124:AI124)*$AB$8:$AI$8),2),""))))</f>
        <v/>
      </c>
      <c r="AK124" s="75"/>
      <c r="AL124" s="76"/>
      <c r="AM124" s="76"/>
      <c r="AN124" s="76"/>
      <c r="AO124" s="76"/>
      <c r="AP124" s="76"/>
      <c r="AQ124" s="76"/>
      <c r="AR124" s="76"/>
      <c r="AS124" s="76"/>
      <c r="AT124" s="77" t="str">
        <f aca="false">IF(B124="","",IF($AK124="NON",0,IF(COUNT(AL124:AS124)=0,"",IFERROR(ROUND(SUMPRODUCT(AL124:AS124,$AL$8:$AS$8)/SUMPRODUCT(ISNUMBER(AL124:AS124)*$AL$8:$AS$8),2),""))))</f>
        <v/>
      </c>
      <c r="AU124" s="51" t="str">
        <f aca="false">IFERROR(MATCH("CP-115",'REGISTRE ELEVES'!$AI$10:$AI$250,0),"")</f>
        <v/>
      </c>
    </row>
    <row r="125" customFormat="false" ht="15" hidden="false" customHeight="false" outlineLevel="0" collapsed="false">
      <c r="A125" s="73" t="str">
        <f aca="false">IF(B125="","",116)</f>
        <v/>
      </c>
      <c r="B125" s="73" t="str">
        <f aca="false">IF($AU125="","",INDEX('REGISTRE ELEVES'!$B$10:$B$250,$AU125))</f>
        <v/>
      </c>
      <c r="C125" s="74" t="str">
        <f aca="false">IF($AU125="","",INDEX('REGISTRE ELEVES'!$D$10:$D$250,$AU125))</f>
        <v/>
      </c>
      <c r="D125" s="73" t="str">
        <f aca="false">IF($AU125="","",INDEX('REGISTRE ELEVES'!$E$10:$E$250,$AU125))</f>
        <v/>
      </c>
      <c r="E125" s="73" t="str">
        <f aca="false">IF($AU125="","",INDEX('REGISTRE ELEVES'!$F$10:$F$250,$AU125))</f>
        <v/>
      </c>
      <c r="F125" s="73" t="str">
        <f aca="false">IF($AU125="","",INDEX('REGISTRE ELEVES'!$AE$10:$AE$250,$AU125))</f>
        <v/>
      </c>
      <c r="G125" s="75"/>
      <c r="H125" s="76"/>
      <c r="I125" s="76"/>
      <c r="J125" s="76"/>
      <c r="K125" s="76"/>
      <c r="L125" s="76"/>
      <c r="M125" s="76"/>
      <c r="N125" s="76"/>
      <c r="O125" s="76"/>
      <c r="P125" s="77" t="str">
        <f aca="false">IF(B125="","",IF($G125="NON",0,IF(COUNT(H125:O125)=0,"",IFERROR(ROUND(SUMPRODUCT(H125:O125,$H$8:$O$8)/SUMPRODUCT(ISNUMBER(H125:O125)*$H$8:$O$8),2),""))))</f>
        <v/>
      </c>
      <c r="Q125" s="75"/>
      <c r="R125" s="76"/>
      <c r="S125" s="76"/>
      <c r="T125" s="76"/>
      <c r="U125" s="76"/>
      <c r="V125" s="76"/>
      <c r="W125" s="76"/>
      <c r="X125" s="76"/>
      <c r="Y125" s="76"/>
      <c r="Z125" s="77" t="str">
        <f aca="false">IF(B125="","",IF($Q125="NON",0,IF(COUNT(R125:Y125)=0,"",IFERROR(ROUND(SUMPRODUCT(R125:Y125,$R$8:$Y$8)/SUMPRODUCT(ISNUMBER(R125:Y125)*$R$8:$Y$8),2),""))))</f>
        <v/>
      </c>
      <c r="AA125" s="75"/>
      <c r="AB125" s="76"/>
      <c r="AC125" s="76"/>
      <c r="AD125" s="76"/>
      <c r="AE125" s="76"/>
      <c r="AF125" s="76"/>
      <c r="AG125" s="76"/>
      <c r="AH125" s="76"/>
      <c r="AI125" s="76"/>
      <c r="AJ125" s="77" t="str">
        <f aca="false">IF(B125="","",IF($AA125="NON",0,IF(COUNT(AB125:AI125)=0,"",IFERROR(ROUND(SUMPRODUCT(AB125:AI125,$AB$8:$AI$8)/SUMPRODUCT(ISNUMBER(AB125:AI125)*$AB$8:$AI$8),2),""))))</f>
        <v/>
      </c>
      <c r="AK125" s="75"/>
      <c r="AL125" s="76"/>
      <c r="AM125" s="76"/>
      <c r="AN125" s="76"/>
      <c r="AO125" s="76"/>
      <c r="AP125" s="76"/>
      <c r="AQ125" s="76"/>
      <c r="AR125" s="76"/>
      <c r="AS125" s="76"/>
      <c r="AT125" s="77" t="str">
        <f aca="false">IF(B125="","",IF($AK125="NON",0,IF(COUNT(AL125:AS125)=0,"",IFERROR(ROUND(SUMPRODUCT(AL125:AS125,$AL$8:$AS$8)/SUMPRODUCT(ISNUMBER(AL125:AS125)*$AL$8:$AS$8),2),""))))</f>
        <v/>
      </c>
      <c r="AU125" s="51" t="str">
        <f aca="false">IFERROR(MATCH("CP-116",'REGISTRE ELEVES'!$AI$10:$AI$250,0),"")</f>
        <v/>
      </c>
    </row>
    <row r="126" customFormat="false" ht="15" hidden="false" customHeight="false" outlineLevel="0" collapsed="false">
      <c r="A126" s="73" t="str">
        <f aca="false">IF(B126="","",117)</f>
        <v/>
      </c>
      <c r="B126" s="73" t="str">
        <f aca="false">IF($AU126="","",INDEX('REGISTRE ELEVES'!$B$10:$B$250,$AU126))</f>
        <v/>
      </c>
      <c r="C126" s="74" t="str">
        <f aca="false">IF($AU126="","",INDEX('REGISTRE ELEVES'!$D$10:$D$250,$AU126))</f>
        <v/>
      </c>
      <c r="D126" s="73" t="str">
        <f aca="false">IF($AU126="","",INDEX('REGISTRE ELEVES'!$E$10:$E$250,$AU126))</f>
        <v/>
      </c>
      <c r="E126" s="73" t="str">
        <f aca="false">IF($AU126="","",INDEX('REGISTRE ELEVES'!$F$10:$F$250,$AU126))</f>
        <v/>
      </c>
      <c r="F126" s="73" t="str">
        <f aca="false">IF($AU126="","",INDEX('REGISTRE ELEVES'!$AE$10:$AE$250,$AU126))</f>
        <v/>
      </c>
      <c r="G126" s="75"/>
      <c r="H126" s="76"/>
      <c r="I126" s="76"/>
      <c r="J126" s="76"/>
      <c r="K126" s="76"/>
      <c r="L126" s="76"/>
      <c r="M126" s="76"/>
      <c r="N126" s="76"/>
      <c r="O126" s="76"/>
      <c r="P126" s="77" t="str">
        <f aca="false">IF(B126="","",IF($G126="NON",0,IF(COUNT(H126:O126)=0,"",IFERROR(ROUND(SUMPRODUCT(H126:O126,$H$8:$O$8)/SUMPRODUCT(ISNUMBER(H126:O126)*$H$8:$O$8),2),""))))</f>
        <v/>
      </c>
      <c r="Q126" s="75"/>
      <c r="R126" s="76"/>
      <c r="S126" s="76"/>
      <c r="T126" s="76"/>
      <c r="U126" s="76"/>
      <c r="V126" s="76"/>
      <c r="W126" s="76"/>
      <c r="X126" s="76"/>
      <c r="Y126" s="76"/>
      <c r="Z126" s="77" t="str">
        <f aca="false">IF(B126="","",IF($Q126="NON",0,IF(COUNT(R126:Y126)=0,"",IFERROR(ROUND(SUMPRODUCT(R126:Y126,$R$8:$Y$8)/SUMPRODUCT(ISNUMBER(R126:Y126)*$R$8:$Y$8),2),""))))</f>
        <v/>
      </c>
      <c r="AA126" s="75"/>
      <c r="AB126" s="76"/>
      <c r="AC126" s="76"/>
      <c r="AD126" s="76"/>
      <c r="AE126" s="76"/>
      <c r="AF126" s="76"/>
      <c r="AG126" s="76"/>
      <c r="AH126" s="76"/>
      <c r="AI126" s="76"/>
      <c r="AJ126" s="77" t="str">
        <f aca="false">IF(B126="","",IF($AA126="NON",0,IF(COUNT(AB126:AI126)=0,"",IFERROR(ROUND(SUMPRODUCT(AB126:AI126,$AB$8:$AI$8)/SUMPRODUCT(ISNUMBER(AB126:AI126)*$AB$8:$AI$8),2),""))))</f>
        <v/>
      </c>
      <c r="AK126" s="75"/>
      <c r="AL126" s="76"/>
      <c r="AM126" s="76"/>
      <c r="AN126" s="76"/>
      <c r="AO126" s="76"/>
      <c r="AP126" s="76"/>
      <c r="AQ126" s="76"/>
      <c r="AR126" s="76"/>
      <c r="AS126" s="76"/>
      <c r="AT126" s="77" t="str">
        <f aca="false">IF(B126="","",IF($AK126="NON",0,IF(COUNT(AL126:AS126)=0,"",IFERROR(ROUND(SUMPRODUCT(AL126:AS126,$AL$8:$AS$8)/SUMPRODUCT(ISNUMBER(AL126:AS126)*$AL$8:$AS$8),2),""))))</f>
        <v/>
      </c>
      <c r="AU126" s="51" t="str">
        <f aca="false">IFERROR(MATCH("CP-117",'REGISTRE ELEVES'!$AI$10:$AI$250,0),"")</f>
        <v/>
      </c>
    </row>
    <row r="127" customFormat="false" ht="15" hidden="false" customHeight="false" outlineLevel="0" collapsed="false">
      <c r="A127" s="73" t="str">
        <f aca="false">IF(B127="","",118)</f>
        <v/>
      </c>
      <c r="B127" s="73" t="str">
        <f aca="false">IF($AU127="","",INDEX('REGISTRE ELEVES'!$B$10:$B$250,$AU127))</f>
        <v/>
      </c>
      <c r="C127" s="74" t="str">
        <f aca="false">IF($AU127="","",INDEX('REGISTRE ELEVES'!$D$10:$D$250,$AU127))</f>
        <v/>
      </c>
      <c r="D127" s="73" t="str">
        <f aca="false">IF($AU127="","",INDEX('REGISTRE ELEVES'!$E$10:$E$250,$AU127))</f>
        <v/>
      </c>
      <c r="E127" s="73" t="str">
        <f aca="false">IF($AU127="","",INDEX('REGISTRE ELEVES'!$F$10:$F$250,$AU127))</f>
        <v/>
      </c>
      <c r="F127" s="73" t="str">
        <f aca="false">IF($AU127="","",INDEX('REGISTRE ELEVES'!$AE$10:$AE$250,$AU127))</f>
        <v/>
      </c>
      <c r="G127" s="75"/>
      <c r="H127" s="76"/>
      <c r="I127" s="76"/>
      <c r="J127" s="76"/>
      <c r="K127" s="76"/>
      <c r="L127" s="76"/>
      <c r="M127" s="76"/>
      <c r="N127" s="76"/>
      <c r="O127" s="76"/>
      <c r="P127" s="77" t="str">
        <f aca="false">IF(B127="","",IF($G127="NON",0,IF(COUNT(H127:O127)=0,"",IFERROR(ROUND(SUMPRODUCT(H127:O127,$H$8:$O$8)/SUMPRODUCT(ISNUMBER(H127:O127)*$H$8:$O$8),2),""))))</f>
        <v/>
      </c>
      <c r="Q127" s="75"/>
      <c r="R127" s="76"/>
      <c r="S127" s="76"/>
      <c r="T127" s="76"/>
      <c r="U127" s="76"/>
      <c r="V127" s="76"/>
      <c r="W127" s="76"/>
      <c r="X127" s="76"/>
      <c r="Y127" s="76"/>
      <c r="Z127" s="77" t="str">
        <f aca="false">IF(B127="","",IF($Q127="NON",0,IF(COUNT(R127:Y127)=0,"",IFERROR(ROUND(SUMPRODUCT(R127:Y127,$R$8:$Y$8)/SUMPRODUCT(ISNUMBER(R127:Y127)*$R$8:$Y$8),2),""))))</f>
        <v/>
      </c>
      <c r="AA127" s="75"/>
      <c r="AB127" s="76"/>
      <c r="AC127" s="76"/>
      <c r="AD127" s="76"/>
      <c r="AE127" s="76"/>
      <c r="AF127" s="76"/>
      <c r="AG127" s="76"/>
      <c r="AH127" s="76"/>
      <c r="AI127" s="76"/>
      <c r="AJ127" s="77" t="str">
        <f aca="false">IF(B127="","",IF($AA127="NON",0,IF(COUNT(AB127:AI127)=0,"",IFERROR(ROUND(SUMPRODUCT(AB127:AI127,$AB$8:$AI$8)/SUMPRODUCT(ISNUMBER(AB127:AI127)*$AB$8:$AI$8),2),""))))</f>
        <v/>
      </c>
      <c r="AK127" s="75"/>
      <c r="AL127" s="76"/>
      <c r="AM127" s="76"/>
      <c r="AN127" s="76"/>
      <c r="AO127" s="76"/>
      <c r="AP127" s="76"/>
      <c r="AQ127" s="76"/>
      <c r="AR127" s="76"/>
      <c r="AS127" s="76"/>
      <c r="AT127" s="77" t="str">
        <f aca="false">IF(B127="","",IF($AK127="NON",0,IF(COUNT(AL127:AS127)=0,"",IFERROR(ROUND(SUMPRODUCT(AL127:AS127,$AL$8:$AS$8)/SUMPRODUCT(ISNUMBER(AL127:AS127)*$AL$8:$AS$8),2),""))))</f>
        <v/>
      </c>
      <c r="AU127" s="51" t="str">
        <f aca="false">IFERROR(MATCH("CP-118",'REGISTRE ELEVES'!$AI$10:$AI$250,0),"")</f>
        <v/>
      </c>
    </row>
    <row r="128" customFormat="false" ht="15" hidden="false" customHeight="false" outlineLevel="0" collapsed="false">
      <c r="A128" s="73" t="str">
        <f aca="false">IF(B128="","",119)</f>
        <v/>
      </c>
      <c r="B128" s="73" t="str">
        <f aca="false">IF($AU128="","",INDEX('REGISTRE ELEVES'!$B$10:$B$250,$AU128))</f>
        <v/>
      </c>
      <c r="C128" s="74" t="str">
        <f aca="false">IF($AU128="","",INDEX('REGISTRE ELEVES'!$D$10:$D$250,$AU128))</f>
        <v/>
      </c>
      <c r="D128" s="73" t="str">
        <f aca="false">IF($AU128="","",INDEX('REGISTRE ELEVES'!$E$10:$E$250,$AU128))</f>
        <v/>
      </c>
      <c r="E128" s="73" t="str">
        <f aca="false">IF($AU128="","",INDEX('REGISTRE ELEVES'!$F$10:$F$250,$AU128))</f>
        <v/>
      </c>
      <c r="F128" s="73" t="str">
        <f aca="false">IF($AU128="","",INDEX('REGISTRE ELEVES'!$AE$10:$AE$250,$AU128))</f>
        <v/>
      </c>
      <c r="G128" s="75"/>
      <c r="H128" s="76"/>
      <c r="I128" s="76"/>
      <c r="J128" s="76"/>
      <c r="K128" s="76"/>
      <c r="L128" s="76"/>
      <c r="M128" s="76"/>
      <c r="N128" s="76"/>
      <c r="O128" s="76"/>
      <c r="P128" s="77" t="str">
        <f aca="false">IF(B128="","",IF($G128="NON",0,IF(COUNT(H128:O128)=0,"",IFERROR(ROUND(SUMPRODUCT(H128:O128,$H$8:$O$8)/SUMPRODUCT(ISNUMBER(H128:O128)*$H$8:$O$8),2),""))))</f>
        <v/>
      </c>
      <c r="Q128" s="75"/>
      <c r="R128" s="76"/>
      <c r="S128" s="76"/>
      <c r="T128" s="76"/>
      <c r="U128" s="76"/>
      <c r="V128" s="76"/>
      <c r="W128" s="76"/>
      <c r="X128" s="76"/>
      <c r="Y128" s="76"/>
      <c r="Z128" s="77" t="str">
        <f aca="false">IF(B128="","",IF($Q128="NON",0,IF(COUNT(R128:Y128)=0,"",IFERROR(ROUND(SUMPRODUCT(R128:Y128,$R$8:$Y$8)/SUMPRODUCT(ISNUMBER(R128:Y128)*$R$8:$Y$8),2),""))))</f>
        <v/>
      </c>
      <c r="AA128" s="75"/>
      <c r="AB128" s="76"/>
      <c r="AC128" s="76"/>
      <c r="AD128" s="76"/>
      <c r="AE128" s="76"/>
      <c r="AF128" s="76"/>
      <c r="AG128" s="76"/>
      <c r="AH128" s="76"/>
      <c r="AI128" s="76"/>
      <c r="AJ128" s="77" t="str">
        <f aca="false">IF(B128="","",IF($AA128="NON",0,IF(COUNT(AB128:AI128)=0,"",IFERROR(ROUND(SUMPRODUCT(AB128:AI128,$AB$8:$AI$8)/SUMPRODUCT(ISNUMBER(AB128:AI128)*$AB$8:$AI$8),2),""))))</f>
        <v/>
      </c>
      <c r="AK128" s="75"/>
      <c r="AL128" s="76"/>
      <c r="AM128" s="76"/>
      <c r="AN128" s="76"/>
      <c r="AO128" s="76"/>
      <c r="AP128" s="76"/>
      <c r="AQ128" s="76"/>
      <c r="AR128" s="76"/>
      <c r="AS128" s="76"/>
      <c r="AT128" s="77" t="str">
        <f aca="false">IF(B128="","",IF($AK128="NON",0,IF(COUNT(AL128:AS128)=0,"",IFERROR(ROUND(SUMPRODUCT(AL128:AS128,$AL$8:$AS$8)/SUMPRODUCT(ISNUMBER(AL128:AS128)*$AL$8:$AS$8),2),""))))</f>
        <v/>
      </c>
      <c r="AU128" s="51" t="str">
        <f aca="false">IFERROR(MATCH("CP-119",'REGISTRE ELEVES'!$AI$10:$AI$250,0),"")</f>
        <v/>
      </c>
    </row>
    <row r="129" customFormat="false" ht="15" hidden="false" customHeight="false" outlineLevel="0" collapsed="false">
      <c r="A129" s="73" t="str">
        <f aca="false">IF(B129="","",120)</f>
        <v/>
      </c>
      <c r="B129" s="73" t="str">
        <f aca="false">IF($AU129="","",INDEX('REGISTRE ELEVES'!$B$10:$B$250,$AU129))</f>
        <v/>
      </c>
      <c r="C129" s="74" t="str">
        <f aca="false">IF($AU129="","",INDEX('REGISTRE ELEVES'!$D$10:$D$250,$AU129))</f>
        <v/>
      </c>
      <c r="D129" s="73" t="str">
        <f aca="false">IF($AU129="","",INDEX('REGISTRE ELEVES'!$E$10:$E$250,$AU129))</f>
        <v/>
      </c>
      <c r="E129" s="73" t="str">
        <f aca="false">IF($AU129="","",INDEX('REGISTRE ELEVES'!$F$10:$F$250,$AU129))</f>
        <v/>
      </c>
      <c r="F129" s="73" t="str">
        <f aca="false">IF($AU129="","",INDEX('REGISTRE ELEVES'!$AE$10:$AE$250,$AU129))</f>
        <v/>
      </c>
      <c r="G129" s="75"/>
      <c r="H129" s="76"/>
      <c r="I129" s="76"/>
      <c r="J129" s="76"/>
      <c r="K129" s="76"/>
      <c r="L129" s="76"/>
      <c r="M129" s="76"/>
      <c r="N129" s="76"/>
      <c r="O129" s="76"/>
      <c r="P129" s="77" t="str">
        <f aca="false">IF(B129="","",IF($G129="NON",0,IF(COUNT(H129:O129)=0,"",IFERROR(ROUND(SUMPRODUCT(H129:O129,$H$8:$O$8)/SUMPRODUCT(ISNUMBER(H129:O129)*$H$8:$O$8),2),""))))</f>
        <v/>
      </c>
      <c r="Q129" s="75"/>
      <c r="R129" s="76"/>
      <c r="S129" s="76"/>
      <c r="T129" s="76"/>
      <c r="U129" s="76"/>
      <c r="V129" s="76"/>
      <c r="W129" s="76"/>
      <c r="X129" s="76"/>
      <c r="Y129" s="76"/>
      <c r="Z129" s="77" t="str">
        <f aca="false">IF(B129="","",IF($Q129="NON",0,IF(COUNT(R129:Y129)=0,"",IFERROR(ROUND(SUMPRODUCT(R129:Y129,$R$8:$Y$8)/SUMPRODUCT(ISNUMBER(R129:Y129)*$R$8:$Y$8),2),""))))</f>
        <v/>
      </c>
      <c r="AA129" s="75"/>
      <c r="AB129" s="76"/>
      <c r="AC129" s="76"/>
      <c r="AD129" s="76"/>
      <c r="AE129" s="76"/>
      <c r="AF129" s="76"/>
      <c r="AG129" s="76"/>
      <c r="AH129" s="76"/>
      <c r="AI129" s="76"/>
      <c r="AJ129" s="77" t="str">
        <f aca="false">IF(B129="","",IF($AA129="NON",0,IF(COUNT(AB129:AI129)=0,"",IFERROR(ROUND(SUMPRODUCT(AB129:AI129,$AB$8:$AI$8)/SUMPRODUCT(ISNUMBER(AB129:AI129)*$AB$8:$AI$8),2),""))))</f>
        <v/>
      </c>
      <c r="AK129" s="75"/>
      <c r="AL129" s="76"/>
      <c r="AM129" s="76"/>
      <c r="AN129" s="76"/>
      <c r="AO129" s="76"/>
      <c r="AP129" s="76"/>
      <c r="AQ129" s="76"/>
      <c r="AR129" s="76"/>
      <c r="AS129" s="76"/>
      <c r="AT129" s="77" t="str">
        <f aca="false">IF(B129="","",IF($AK129="NON",0,IF(COUNT(AL129:AS129)=0,"",IFERROR(ROUND(SUMPRODUCT(AL129:AS129,$AL$8:$AS$8)/SUMPRODUCT(ISNUMBER(AL129:AS129)*$AL$8:$AS$8),2),""))))</f>
        <v/>
      </c>
      <c r="AU129" s="51" t="str">
        <f aca="false">IFERROR(MATCH("CP-120",'REGISTRE ELEVES'!$AI$10:$AI$250,0),"")</f>
        <v/>
      </c>
    </row>
    <row r="130" customFormat="false" ht="15" hidden="false" customHeight="false" outlineLevel="0" collapsed="false">
      <c r="A130" s="73" t="str">
        <f aca="false">IF(B130="","",121)</f>
        <v/>
      </c>
      <c r="B130" s="73" t="str">
        <f aca="false">IF($AU130="","",INDEX('REGISTRE ELEVES'!$B$10:$B$250,$AU130))</f>
        <v/>
      </c>
      <c r="C130" s="74" t="str">
        <f aca="false">IF($AU130="","",INDEX('REGISTRE ELEVES'!$D$10:$D$250,$AU130))</f>
        <v/>
      </c>
      <c r="D130" s="73" t="str">
        <f aca="false">IF($AU130="","",INDEX('REGISTRE ELEVES'!$E$10:$E$250,$AU130))</f>
        <v/>
      </c>
      <c r="E130" s="73" t="str">
        <f aca="false">IF($AU130="","",INDEX('REGISTRE ELEVES'!$F$10:$F$250,$AU130))</f>
        <v/>
      </c>
      <c r="F130" s="73" t="str">
        <f aca="false">IF($AU130="","",INDEX('REGISTRE ELEVES'!$AE$10:$AE$250,$AU130))</f>
        <v/>
      </c>
      <c r="G130" s="75"/>
      <c r="H130" s="76"/>
      <c r="I130" s="76"/>
      <c r="J130" s="76"/>
      <c r="K130" s="76"/>
      <c r="L130" s="76"/>
      <c r="M130" s="76"/>
      <c r="N130" s="76"/>
      <c r="O130" s="76"/>
      <c r="P130" s="77" t="str">
        <f aca="false">IF(B130="","",IF($G130="NON",0,IF(COUNT(H130:O130)=0,"",IFERROR(ROUND(SUMPRODUCT(H130:O130,$H$8:$O$8)/SUMPRODUCT(ISNUMBER(H130:O130)*$H$8:$O$8),2),""))))</f>
        <v/>
      </c>
      <c r="Q130" s="75"/>
      <c r="R130" s="76"/>
      <c r="S130" s="76"/>
      <c r="T130" s="76"/>
      <c r="U130" s="76"/>
      <c r="V130" s="76"/>
      <c r="W130" s="76"/>
      <c r="X130" s="76"/>
      <c r="Y130" s="76"/>
      <c r="Z130" s="77" t="str">
        <f aca="false">IF(B130="","",IF($Q130="NON",0,IF(COUNT(R130:Y130)=0,"",IFERROR(ROUND(SUMPRODUCT(R130:Y130,$R$8:$Y$8)/SUMPRODUCT(ISNUMBER(R130:Y130)*$R$8:$Y$8),2),""))))</f>
        <v/>
      </c>
      <c r="AA130" s="75"/>
      <c r="AB130" s="76"/>
      <c r="AC130" s="76"/>
      <c r="AD130" s="76"/>
      <c r="AE130" s="76"/>
      <c r="AF130" s="76"/>
      <c r="AG130" s="76"/>
      <c r="AH130" s="76"/>
      <c r="AI130" s="76"/>
      <c r="AJ130" s="77" t="str">
        <f aca="false">IF(B130="","",IF($AA130="NON",0,IF(COUNT(AB130:AI130)=0,"",IFERROR(ROUND(SUMPRODUCT(AB130:AI130,$AB$8:$AI$8)/SUMPRODUCT(ISNUMBER(AB130:AI130)*$AB$8:$AI$8),2),""))))</f>
        <v/>
      </c>
      <c r="AK130" s="75"/>
      <c r="AL130" s="76"/>
      <c r="AM130" s="76"/>
      <c r="AN130" s="76"/>
      <c r="AO130" s="76"/>
      <c r="AP130" s="76"/>
      <c r="AQ130" s="76"/>
      <c r="AR130" s="76"/>
      <c r="AS130" s="76"/>
      <c r="AT130" s="77" t="str">
        <f aca="false">IF(B130="","",IF($AK130="NON",0,IF(COUNT(AL130:AS130)=0,"",IFERROR(ROUND(SUMPRODUCT(AL130:AS130,$AL$8:$AS$8)/SUMPRODUCT(ISNUMBER(AL130:AS130)*$AL$8:$AS$8),2),""))))</f>
        <v/>
      </c>
      <c r="AU130" s="51" t="str">
        <f aca="false">IFERROR(MATCH("CP-121",'REGISTRE ELEVES'!$AI$10:$AI$250,0),"")</f>
        <v/>
      </c>
    </row>
    <row r="131" customFormat="false" ht="15" hidden="false" customHeight="false" outlineLevel="0" collapsed="false">
      <c r="A131" s="73" t="str">
        <f aca="false">IF(B131="","",122)</f>
        <v/>
      </c>
      <c r="B131" s="73" t="str">
        <f aca="false">IF($AU131="","",INDEX('REGISTRE ELEVES'!$B$10:$B$250,$AU131))</f>
        <v/>
      </c>
      <c r="C131" s="74" t="str">
        <f aca="false">IF($AU131="","",INDEX('REGISTRE ELEVES'!$D$10:$D$250,$AU131))</f>
        <v/>
      </c>
      <c r="D131" s="73" t="str">
        <f aca="false">IF($AU131="","",INDEX('REGISTRE ELEVES'!$E$10:$E$250,$AU131))</f>
        <v/>
      </c>
      <c r="E131" s="73" t="str">
        <f aca="false">IF($AU131="","",INDEX('REGISTRE ELEVES'!$F$10:$F$250,$AU131))</f>
        <v/>
      </c>
      <c r="F131" s="73" t="str">
        <f aca="false">IF($AU131="","",INDEX('REGISTRE ELEVES'!$AE$10:$AE$250,$AU131))</f>
        <v/>
      </c>
      <c r="G131" s="75"/>
      <c r="H131" s="76"/>
      <c r="I131" s="76"/>
      <c r="J131" s="76"/>
      <c r="K131" s="76"/>
      <c r="L131" s="76"/>
      <c r="M131" s="76"/>
      <c r="N131" s="76"/>
      <c r="O131" s="76"/>
      <c r="P131" s="77" t="str">
        <f aca="false">IF(B131="","",IF($G131="NON",0,IF(COUNT(H131:O131)=0,"",IFERROR(ROUND(SUMPRODUCT(H131:O131,$H$8:$O$8)/SUMPRODUCT(ISNUMBER(H131:O131)*$H$8:$O$8),2),""))))</f>
        <v/>
      </c>
      <c r="Q131" s="75"/>
      <c r="R131" s="76"/>
      <c r="S131" s="76"/>
      <c r="T131" s="76"/>
      <c r="U131" s="76"/>
      <c r="V131" s="76"/>
      <c r="W131" s="76"/>
      <c r="X131" s="76"/>
      <c r="Y131" s="76"/>
      <c r="Z131" s="77" t="str">
        <f aca="false">IF(B131="","",IF($Q131="NON",0,IF(COUNT(R131:Y131)=0,"",IFERROR(ROUND(SUMPRODUCT(R131:Y131,$R$8:$Y$8)/SUMPRODUCT(ISNUMBER(R131:Y131)*$R$8:$Y$8),2),""))))</f>
        <v/>
      </c>
      <c r="AA131" s="75"/>
      <c r="AB131" s="76"/>
      <c r="AC131" s="76"/>
      <c r="AD131" s="76"/>
      <c r="AE131" s="76"/>
      <c r="AF131" s="76"/>
      <c r="AG131" s="76"/>
      <c r="AH131" s="76"/>
      <c r="AI131" s="76"/>
      <c r="AJ131" s="77" t="str">
        <f aca="false">IF(B131="","",IF($AA131="NON",0,IF(COUNT(AB131:AI131)=0,"",IFERROR(ROUND(SUMPRODUCT(AB131:AI131,$AB$8:$AI$8)/SUMPRODUCT(ISNUMBER(AB131:AI131)*$AB$8:$AI$8),2),""))))</f>
        <v/>
      </c>
      <c r="AK131" s="75"/>
      <c r="AL131" s="76"/>
      <c r="AM131" s="76"/>
      <c r="AN131" s="76"/>
      <c r="AO131" s="76"/>
      <c r="AP131" s="76"/>
      <c r="AQ131" s="76"/>
      <c r="AR131" s="76"/>
      <c r="AS131" s="76"/>
      <c r="AT131" s="77" t="str">
        <f aca="false">IF(B131="","",IF($AK131="NON",0,IF(COUNT(AL131:AS131)=0,"",IFERROR(ROUND(SUMPRODUCT(AL131:AS131,$AL$8:$AS$8)/SUMPRODUCT(ISNUMBER(AL131:AS131)*$AL$8:$AS$8),2),""))))</f>
        <v/>
      </c>
      <c r="AU131" s="51" t="str">
        <f aca="false">IFERROR(MATCH("CP-122",'REGISTRE ELEVES'!$AI$10:$AI$250,0),"")</f>
        <v/>
      </c>
    </row>
    <row r="132" customFormat="false" ht="15" hidden="false" customHeight="false" outlineLevel="0" collapsed="false">
      <c r="A132" s="73" t="str">
        <f aca="false">IF(B132="","",123)</f>
        <v/>
      </c>
      <c r="B132" s="73" t="str">
        <f aca="false">IF($AU132="","",INDEX('REGISTRE ELEVES'!$B$10:$B$250,$AU132))</f>
        <v/>
      </c>
      <c r="C132" s="74" t="str">
        <f aca="false">IF($AU132="","",INDEX('REGISTRE ELEVES'!$D$10:$D$250,$AU132))</f>
        <v/>
      </c>
      <c r="D132" s="73" t="str">
        <f aca="false">IF($AU132="","",INDEX('REGISTRE ELEVES'!$E$10:$E$250,$AU132))</f>
        <v/>
      </c>
      <c r="E132" s="73" t="str">
        <f aca="false">IF($AU132="","",INDEX('REGISTRE ELEVES'!$F$10:$F$250,$AU132))</f>
        <v/>
      </c>
      <c r="F132" s="73" t="str">
        <f aca="false">IF($AU132="","",INDEX('REGISTRE ELEVES'!$AE$10:$AE$250,$AU132))</f>
        <v/>
      </c>
      <c r="G132" s="75"/>
      <c r="H132" s="76"/>
      <c r="I132" s="76"/>
      <c r="J132" s="76"/>
      <c r="K132" s="76"/>
      <c r="L132" s="76"/>
      <c r="M132" s="76"/>
      <c r="N132" s="76"/>
      <c r="O132" s="76"/>
      <c r="P132" s="77" t="str">
        <f aca="false">IF(B132="","",IF($G132="NON",0,IF(COUNT(H132:O132)=0,"",IFERROR(ROUND(SUMPRODUCT(H132:O132,$H$8:$O$8)/SUMPRODUCT(ISNUMBER(H132:O132)*$H$8:$O$8),2),""))))</f>
        <v/>
      </c>
      <c r="Q132" s="75"/>
      <c r="R132" s="76"/>
      <c r="S132" s="76"/>
      <c r="T132" s="76"/>
      <c r="U132" s="76"/>
      <c r="V132" s="76"/>
      <c r="W132" s="76"/>
      <c r="X132" s="76"/>
      <c r="Y132" s="76"/>
      <c r="Z132" s="77" t="str">
        <f aca="false">IF(B132="","",IF($Q132="NON",0,IF(COUNT(R132:Y132)=0,"",IFERROR(ROUND(SUMPRODUCT(R132:Y132,$R$8:$Y$8)/SUMPRODUCT(ISNUMBER(R132:Y132)*$R$8:$Y$8),2),""))))</f>
        <v/>
      </c>
      <c r="AA132" s="75"/>
      <c r="AB132" s="76"/>
      <c r="AC132" s="76"/>
      <c r="AD132" s="76"/>
      <c r="AE132" s="76"/>
      <c r="AF132" s="76"/>
      <c r="AG132" s="76"/>
      <c r="AH132" s="76"/>
      <c r="AI132" s="76"/>
      <c r="AJ132" s="77" t="str">
        <f aca="false">IF(B132="","",IF($AA132="NON",0,IF(COUNT(AB132:AI132)=0,"",IFERROR(ROUND(SUMPRODUCT(AB132:AI132,$AB$8:$AI$8)/SUMPRODUCT(ISNUMBER(AB132:AI132)*$AB$8:$AI$8),2),""))))</f>
        <v/>
      </c>
      <c r="AK132" s="75"/>
      <c r="AL132" s="76"/>
      <c r="AM132" s="76"/>
      <c r="AN132" s="76"/>
      <c r="AO132" s="76"/>
      <c r="AP132" s="76"/>
      <c r="AQ132" s="76"/>
      <c r="AR132" s="76"/>
      <c r="AS132" s="76"/>
      <c r="AT132" s="77" t="str">
        <f aca="false">IF(B132="","",IF($AK132="NON",0,IF(COUNT(AL132:AS132)=0,"",IFERROR(ROUND(SUMPRODUCT(AL132:AS132,$AL$8:$AS$8)/SUMPRODUCT(ISNUMBER(AL132:AS132)*$AL$8:$AS$8),2),""))))</f>
        <v/>
      </c>
      <c r="AU132" s="51" t="str">
        <f aca="false">IFERROR(MATCH("CP-123",'REGISTRE ELEVES'!$AI$10:$AI$250,0),"")</f>
        <v/>
      </c>
    </row>
    <row r="133" customFormat="false" ht="15" hidden="false" customHeight="false" outlineLevel="0" collapsed="false">
      <c r="A133" s="73" t="str">
        <f aca="false">IF(B133="","",124)</f>
        <v/>
      </c>
      <c r="B133" s="73" t="str">
        <f aca="false">IF($AU133="","",INDEX('REGISTRE ELEVES'!$B$10:$B$250,$AU133))</f>
        <v/>
      </c>
      <c r="C133" s="74" t="str">
        <f aca="false">IF($AU133="","",INDEX('REGISTRE ELEVES'!$D$10:$D$250,$AU133))</f>
        <v/>
      </c>
      <c r="D133" s="73" t="str">
        <f aca="false">IF($AU133="","",INDEX('REGISTRE ELEVES'!$E$10:$E$250,$AU133))</f>
        <v/>
      </c>
      <c r="E133" s="73" t="str">
        <f aca="false">IF($AU133="","",INDEX('REGISTRE ELEVES'!$F$10:$F$250,$AU133))</f>
        <v/>
      </c>
      <c r="F133" s="73" t="str">
        <f aca="false">IF($AU133="","",INDEX('REGISTRE ELEVES'!$AE$10:$AE$250,$AU133))</f>
        <v/>
      </c>
      <c r="G133" s="75"/>
      <c r="H133" s="76"/>
      <c r="I133" s="76"/>
      <c r="J133" s="76"/>
      <c r="K133" s="76"/>
      <c r="L133" s="76"/>
      <c r="M133" s="76"/>
      <c r="N133" s="76"/>
      <c r="O133" s="76"/>
      <c r="P133" s="77" t="str">
        <f aca="false">IF(B133="","",IF($G133="NON",0,IF(COUNT(H133:O133)=0,"",IFERROR(ROUND(SUMPRODUCT(H133:O133,$H$8:$O$8)/SUMPRODUCT(ISNUMBER(H133:O133)*$H$8:$O$8),2),""))))</f>
        <v/>
      </c>
      <c r="Q133" s="75"/>
      <c r="R133" s="76"/>
      <c r="S133" s="76"/>
      <c r="T133" s="76"/>
      <c r="U133" s="76"/>
      <c r="V133" s="76"/>
      <c r="W133" s="76"/>
      <c r="X133" s="76"/>
      <c r="Y133" s="76"/>
      <c r="Z133" s="77" t="str">
        <f aca="false">IF(B133="","",IF($Q133="NON",0,IF(COUNT(R133:Y133)=0,"",IFERROR(ROUND(SUMPRODUCT(R133:Y133,$R$8:$Y$8)/SUMPRODUCT(ISNUMBER(R133:Y133)*$R$8:$Y$8),2),""))))</f>
        <v/>
      </c>
      <c r="AA133" s="75"/>
      <c r="AB133" s="76"/>
      <c r="AC133" s="76"/>
      <c r="AD133" s="76"/>
      <c r="AE133" s="76"/>
      <c r="AF133" s="76"/>
      <c r="AG133" s="76"/>
      <c r="AH133" s="76"/>
      <c r="AI133" s="76"/>
      <c r="AJ133" s="77" t="str">
        <f aca="false">IF(B133="","",IF($AA133="NON",0,IF(COUNT(AB133:AI133)=0,"",IFERROR(ROUND(SUMPRODUCT(AB133:AI133,$AB$8:$AI$8)/SUMPRODUCT(ISNUMBER(AB133:AI133)*$AB$8:$AI$8),2),""))))</f>
        <v/>
      </c>
      <c r="AK133" s="75"/>
      <c r="AL133" s="76"/>
      <c r="AM133" s="76"/>
      <c r="AN133" s="76"/>
      <c r="AO133" s="76"/>
      <c r="AP133" s="76"/>
      <c r="AQ133" s="76"/>
      <c r="AR133" s="76"/>
      <c r="AS133" s="76"/>
      <c r="AT133" s="77" t="str">
        <f aca="false">IF(B133="","",IF($AK133="NON",0,IF(COUNT(AL133:AS133)=0,"",IFERROR(ROUND(SUMPRODUCT(AL133:AS133,$AL$8:$AS$8)/SUMPRODUCT(ISNUMBER(AL133:AS133)*$AL$8:$AS$8),2),""))))</f>
        <v/>
      </c>
      <c r="AU133" s="51" t="str">
        <f aca="false">IFERROR(MATCH("CP-124",'REGISTRE ELEVES'!$AI$10:$AI$250,0),"")</f>
        <v/>
      </c>
    </row>
    <row r="134" customFormat="false" ht="15" hidden="false" customHeight="false" outlineLevel="0" collapsed="false">
      <c r="A134" s="73" t="str">
        <f aca="false">IF(B134="","",125)</f>
        <v/>
      </c>
      <c r="B134" s="73" t="str">
        <f aca="false">IF($AU134="","",INDEX('REGISTRE ELEVES'!$B$10:$B$250,$AU134))</f>
        <v/>
      </c>
      <c r="C134" s="74" t="str">
        <f aca="false">IF($AU134="","",INDEX('REGISTRE ELEVES'!$D$10:$D$250,$AU134))</f>
        <v/>
      </c>
      <c r="D134" s="73" t="str">
        <f aca="false">IF($AU134="","",INDEX('REGISTRE ELEVES'!$E$10:$E$250,$AU134))</f>
        <v/>
      </c>
      <c r="E134" s="73" t="str">
        <f aca="false">IF($AU134="","",INDEX('REGISTRE ELEVES'!$F$10:$F$250,$AU134))</f>
        <v/>
      </c>
      <c r="F134" s="73" t="str">
        <f aca="false">IF($AU134="","",INDEX('REGISTRE ELEVES'!$AE$10:$AE$250,$AU134))</f>
        <v/>
      </c>
      <c r="G134" s="75"/>
      <c r="H134" s="76"/>
      <c r="I134" s="76"/>
      <c r="J134" s="76"/>
      <c r="K134" s="76"/>
      <c r="L134" s="76"/>
      <c r="M134" s="76"/>
      <c r="N134" s="76"/>
      <c r="O134" s="76"/>
      <c r="P134" s="77" t="str">
        <f aca="false">IF(B134="","",IF($G134="NON",0,IF(COUNT(H134:O134)=0,"",IFERROR(ROUND(SUMPRODUCT(H134:O134,$H$8:$O$8)/SUMPRODUCT(ISNUMBER(H134:O134)*$H$8:$O$8),2),""))))</f>
        <v/>
      </c>
      <c r="Q134" s="75"/>
      <c r="R134" s="76"/>
      <c r="S134" s="76"/>
      <c r="T134" s="76"/>
      <c r="U134" s="76"/>
      <c r="V134" s="76"/>
      <c r="W134" s="76"/>
      <c r="X134" s="76"/>
      <c r="Y134" s="76"/>
      <c r="Z134" s="77" t="str">
        <f aca="false">IF(B134="","",IF($Q134="NON",0,IF(COUNT(R134:Y134)=0,"",IFERROR(ROUND(SUMPRODUCT(R134:Y134,$R$8:$Y$8)/SUMPRODUCT(ISNUMBER(R134:Y134)*$R$8:$Y$8),2),""))))</f>
        <v/>
      </c>
      <c r="AA134" s="75"/>
      <c r="AB134" s="76"/>
      <c r="AC134" s="76"/>
      <c r="AD134" s="76"/>
      <c r="AE134" s="76"/>
      <c r="AF134" s="76"/>
      <c r="AG134" s="76"/>
      <c r="AH134" s="76"/>
      <c r="AI134" s="76"/>
      <c r="AJ134" s="77" t="str">
        <f aca="false">IF(B134="","",IF($AA134="NON",0,IF(COUNT(AB134:AI134)=0,"",IFERROR(ROUND(SUMPRODUCT(AB134:AI134,$AB$8:$AI$8)/SUMPRODUCT(ISNUMBER(AB134:AI134)*$AB$8:$AI$8),2),""))))</f>
        <v/>
      </c>
      <c r="AK134" s="75"/>
      <c r="AL134" s="76"/>
      <c r="AM134" s="76"/>
      <c r="AN134" s="76"/>
      <c r="AO134" s="76"/>
      <c r="AP134" s="76"/>
      <c r="AQ134" s="76"/>
      <c r="AR134" s="76"/>
      <c r="AS134" s="76"/>
      <c r="AT134" s="77" t="str">
        <f aca="false">IF(B134="","",IF($AK134="NON",0,IF(COUNT(AL134:AS134)=0,"",IFERROR(ROUND(SUMPRODUCT(AL134:AS134,$AL$8:$AS$8)/SUMPRODUCT(ISNUMBER(AL134:AS134)*$AL$8:$AS$8),2),""))))</f>
        <v/>
      </c>
      <c r="AU134" s="51" t="str">
        <f aca="false">IFERROR(MATCH("CP-125",'REGISTRE ELEVES'!$AI$10:$AI$250,0),"")</f>
        <v/>
      </c>
    </row>
    <row r="135" customFormat="false" ht="15" hidden="false" customHeight="false" outlineLevel="0" collapsed="false">
      <c r="A135" s="73" t="str">
        <f aca="false">IF(B135="","",126)</f>
        <v/>
      </c>
      <c r="B135" s="73" t="str">
        <f aca="false">IF($AU135="","",INDEX('REGISTRE ELEVES'!$B$10:$B$250,$AU135))</f>
        <v/>
      </c>
      <c r="C135" s="74" t="str">
        <f aca="false">IF($AU135="","",INDEX('REGISTRE ELEVES'!$D$10:$D$250,$AU135))</f>
        <v/>
      </c>
      <c r="D135" s="73" t="str">
        <f aca="false">IF($AU135="","",INDEX('REGISTRE ELEVES'!$E$10:$E$250,$AU135))</f>
        <v/>
      </c>
      <c r="E135" s="73" t="str">
        <f aca="false">IF($AU135="","",INDEX('REGISTRE ELEVES'!$F$10:$F$250,$AU135))</f>
        <v/>
      </c>
      <c r="F135" s="73" t="str">
        <f aca="false">IF($AU135="","",INDEX('REGISTRE ELEVES'!$AE$10:$AE$250,$AU135))</f>
        <v/>
      </c>
      <c r="G135" s="75"/>
      <c r="H135" s="76"/>
      <c r="I135" s="76"/>
      <c r="J135" s="76"/>
      <c r="K135" s="76"/>
      <c r="L135" s="76"/>
      <c r="M135" s="76"/>
      <c r="N135" s="76"/>
      <c r="O135" s="76"/>
      <c r="P135" s="77" t="str">
        <f aca="false">IF(B135="","",IF($G135="NON",0,IF(COUNT(H135:O135)=0,"",IFERROR(ROUND(SUMPRODUCT(H135:O135,$H$8:$O$8)/SUMPRODUCT(ISNUMBER(H135:O135)*$H$8:$O$8),2),""))))</f>
        <v/>
      </c>
      <c r="Q135" s="75"/>
      <c r="R135" s="76"/>
      <c r="S135" s="76"/>
      <c r="T135" s="76"/>
      <c r="U135" s="76"/>
      <c r="V135" s="76"/>
      <c r="W135" s="76"/>
      <c r="X135" s="76"/>
      <c r="Y135" s="76"/>
      <c r="Z135" s="77" t="str">
        <f aca="false">IF(B135="","",IF($Q135="NON",0,IF(COUNT(R135:Y135)=0,"",IFERROR(ROUND(SUMPRODUCT(R135:Y135,$R$8:$Y$8)/SUMPRODUCT(ISNUMBER(R135:Y135)*$R$8:$Y$8),2),""))))</f>
        <v/>
      </c>
      <c r="AA135" s="75"/>
      <c r="AB135" s="76"/>
      <c r="AC135" s="76"/>
      <c r="AD135" s="76"/>
      <c r="AE135" s="76"/>
      <c r="AF135" s="76"/>
      <c r="AG135" s="76"/>
      <c r="AH135" s="76"/>
      <c r="AI135" s="76"/>
      <c r="AJ135" s="77" t="str">
        <f aca="false">IF(B135="","",IF($AA135="NON",0,IF(COUNT(AB135:AI135)=0,"",IFERROR(ROUND(SUMPRODUCT(AB135:AI135,$AB$8:$AI$8)/SUMPRODUCT(ISNUMBER(AB135:AI135)*$AB$8:$AI$8),2),""))))</f>
        <v/>
      </c>
      <c r="AK135" s="75"/>
      <c r="AL135" s="76"/>
      <c r="AM135" s="76"/>
      <c r="AN135" s="76"/>
      <c r="AO135" s="76"/>
      <c r="AP135" s="76"/>
      <c r="AQ135" s="76"/>
      <c r="AR135" s="76"/>
      <c r="AS135" s="76"/>
      <c r="AT135" s="77" t="str">
        <f aca="false">IF(B135="","",IF($AK135="NON",0,IF(COUNT(AL135:AS135)=0,"",IFERROR(ROUND(SUMPRODUCT(AL135:AS135,$AL$8:$AS$8)/SUMPRODUCT(ISNUMBER(AL135:AS135)*$AL$8:$AS$8),2),""))))</f>
        <v/>
      </c>
      <c r="AU135" s="51" t="str">
        <f aca="false">IFERROR(MATCH("CP-126",'REGISTRE ELEVES'!$AI$10:$AI$250,0),"")</f>
        <v/>
      </c>
    </row>
    <row r="136" customFormat="false" ht="15" hidden="false" customHeight="false" outlineLevel="0" collapsed="false">
      <c r="A136" s="73" t="str">
        <f aca="false">IF(B136="","",127)</f>
        <v/>
      </c>
      <c r="B136" s="73" t="str">
        <f aca="false">IF($AU136="","",INDEX('REGISTRE ELEVES'!$B$10:$B$250,$AU136))</f>
        <v/>
      </c>
      <c r="C136" s="74" t="str">
        <f aca="false">IF($AU136="","",INDEX('REGISTRE ELEVES'!$D$10:$D$250,$AU136))</f>
        <v/>
      </c>
      <c r="D136" s="73" t="str">
        <f aca="false">IF($AU136="","",INDEX('REGISTRE ELEVES'!$E$10:$E$250,$AU136))</f>
        <v/>
      </c>
      <c r="E136" s="73" t="str">
        <f aca="false">IF($AU136="","",INDEX('REGISTRE ELEVES'!$F$10:$F$250,$AU136))</f>
        <v/>
      </c>
      <c r="F136" s="73" t="str">
        <f aca="false">IF($AU136="","",INDEX('REGISTRE ELEVES'!$AE$10:$AE$250,$AU136))</f>
        <v/>
      </c>
      <c r="G136" s="75"/>
      <c r="H136" s="76"/>
      <c r="I136" s="76"/>
      <c r="J136" s="76"/>
      <c r="K136" s="76"/>
      <c r="L136" s="76"/>
      <c r="M136" s="76"/>
      <c r="N136" s="76"/>
      <c r="O136" s="76"/>
      <c r="P136" s="77" t="str">
        <f aca="false">IF(B136="","",IF($G136="NON",0,IF(COUNT(H136:O136)=0,"",IFERROR(ROUND(SUMPRODUCT(H136:O136,$H$8:$O$8)/SUMPRODUCT(ISNUMBER(H136:O136)*$H$8:$O$8),2),""))))</f>
        <v/>
      </c>
      <c r="Q136" s="75"/>
      <c r="R136" s="76"/>
      <c r="S136" s="76"/>
      <c r="T136" s="76"/>
      <c r="U136" s="76"/>
      <c r="V136" s="76"/>
      <c r="W136" s="76"/>
      <c r="X136" s="76"/>
      <c r="Y136" s="76"/>
      <c r="Z136" s="77" t="str">
        <f aca="false">IF(B136="","",IF($Q136="NON",0,IF(COUNT(R136:Y136)=0,"",IFERROR(ROUND(SUMPRODUCT(R136:Y136,$R$8:$Y$8)/SUMPRODUCT(ISNUMBER(R136:Y136)*$R$8:$Y$8),2),""))))</f>
        <v/>
      </c>
      <c r="AA136" s="75"/>
      <c r="AB136" s="76"/>
      <c r="AC136" s="76"/>
      <c r="AD136" s="76"/>
      <c r="AE136" s="76"/>
      <c r="AF136" s="76"/>
      <c r="AG136" s="76"/>
      <c r="AH136" s="76"/>
      <c r="AI136" s="76"/>
      <c r="AJ136" s="77" t="str">
        <f aca="false">IF(B136="","",IF($AA136="NON",0,IF(COUNT(AB136:AI136)=0,"",IFERROR(ROUND(SUMPRODUCT(AB136:AI136,$AB$8:$AI$8)/SUMPRODUCT(ISNUMBER(AB136:AI136)*$AB$8:$AI$8),2),""))))</f>
        <v/>
      </c>
      <c r="AK136" s="75"/>
      <c r="AL136" s="76"/>
      <c r="AM136" s="76"/>
      <c r="AN136" s="76"/>
      <c r="AO136" s="76"/>
      <c r="AP136" s="76"/>
      <c r="AQ136" s="76"/>
      <c r="AR136" s="76"/>
      <c r="AS136" s="76"/>
      <c r="AT136" s="77" t="str">
        <f aca="false">IF(B136="","",IF($AK136="NON",0,IF(COUNT(AL136:AS136)=0,"",IFERROR(ROUND(SUMPRODUCT(AL136:AS136,$AL$8:$AS$8)/SUMPRODUCT(ISNUMBER(AL136:AS136)*$AL$8:$AS$8),2),""))))</f>
        <v/>
      </c>
      <c r="AU136" s="51" t="str">
        <f aca="false">IFERROR(MATCH("CP-127",'REGISTRE ELEVES'!$AI$10:$AI$250,0),"")</f>
        <v/>
      </c>
    </row>
    <row r="137" customFormat="false" ht="15" hidden="false" customHeight="false" outlineLevel="0" collapsed="false">
      <c r="A137" s="73" t="str">
        <f aca="false">IF(B137="","",128)</f>
        <v/>
      </c>
      <c r="B137" s="73" t="str">
        <f aca="false">IF($AU137="","",INDEX('REGISTRE ELEVES'!$B$10:$B$250,$AU137))</f>
        <v/>
      </c>
      <c r="C137" s="74" t="str">
        <f aca="false">IF($AU137="","",INDEX('REGISTRE ELEVES'!$D$10:$D$250,$AU137))</f>
        <v/>
      </c>
      <c r="D137" s="73" t="str">
        <f aca="false">IF($AU137="","",INDEX('REGISTRE ELEVES'!$E$10:$E$250,$AU137))</f>
        <v/>
      </c>
      <c r="E137" s="73" t="str">
        <f aca="false">IF($AU137="","",INDEX('REGISTRE ELEVES'!$F$10:$F$250,$AU137))</f>
        <v/>
      </c>
      <c r="F137" s="73" t="str">
        <f aca="false">IF($AU137="","",INDEX('REGISTRE ELEVES'!$AE$10:$AE$250,$AU137))</f>
        <v/>
      </c>
      <c r="G137" s="75"/>
      <c r="H137" s="76"/>
      <c r="I137" s="76"/>
      <c r="J137" s="76"/>
      <c r="K137" s="76"/>
      <c r="L137" s="76"/>
      <c r="M137" s="76"/>
      <c r="N137" s="76"/>
      <c r="O137" s="76"/>
      <c r="P137" s="77" t="str">
        <f aca="false">IF(B137="","",IF($G137="NON",0,IF(COUNT(H137:O137)=0,"",IFERROR(ROUND(SUMPRODUCT(H137:O137,$H$8:$O$8)/SUMPRODUCT(ISNUMBER(H137:O137)*$H$8:$O$8),2),""))))</f>
        <v/>
      </c>
      <c r="Q137" s="75"/>
      <c r="R137" s="76"/>
      <c r="S137" s="76"/>
      <c r="T137" s="76"/>
      <c r="U137" s="76"/>
      <c r="V137" s="76"/>
      <c r="W137" s="76"/>
      <c r="X137" s="76"/>
      <c r="Y137" s="76"/>
      <c r="Z137" s="77" t="str">
        <f aca="false">IF(B137="","",IF($Q137="NON",0,IF(COUNT(R137:Y137)=0,"",IFERROR(ROUND(SUMPRODUCT(R137:Y137,$R$8:$Y$8)/SUMPRODUCT(ISNUMBER(R137:Y137)*$R$8:$Y$8),2),""))))</f>
        <v/>
      </c>
      <c r="AA137" s="75"/>
      <c r="AB137" s="76"/>
      <c r="AC137" s="76"/>
      <c r="AD137" s="76"/>
      <c r="AE137" s="76"/>
      <c r="AF137" s="76"/>
      <c r="AG137" s="76"/>
      <c r="AH137" s="76"/>
      <c r="AI137" s="76"/>
      <c r="AJ137" s="77" t="str">
        <f aca="false">IF(B137="","",IF($AA137="NON",0,IF(COUNT(AB137:AI137)=0,"",IFERROR(ROUND(SUMPRODUCT(AB137:AI137,$AB$8:$AI$8)/SUMPRODUCT(ISNUMBER(AB137:AI137)*$AB$8:$AI$8),2),""))))</f>
        <v/>
      </c>
      <c r="AK137" s="75"/>
      <c r="AL137" s="76"/>
      <c r="AM137" s="76"/>
      <c r="AN137" s="76"/>
      <c r="AO137" s="76"/>
      <c r="AP137" s="76"/>
      <c r="AQ137" s="76"/>
      <c r="AR137" s="76"/>
      <c r="AS137" s="76"/>
      <c r="AT137" s="77" t="str">
        <f aca="false">IF(B137="","",IF($AK137="NON",0,IF(COUNT(AL137:AS137)=0,"",IFERROR(ROUND(SUMPRODUCT(AL137:AS137,$AL$8:$AS$8)/SUMPRODUCT(ISNUMBER(AL137:AS137)*$AL$8:$AS$8),2),""))))</f>
        <v/>
      </c>
      <c r="AU137" s="51" t="str">
        <f aca="false">IFERROR(MATCH("CP-128",'REGISTRE ELEVES'!$AI$10:$AI$250,0),"")</f>
        <v/>
      </c>
    </row>
    <row r="138" customFormat="false" ht="15" hidden="false" customHeight="false" outlineLevel="0" collapsed="false">
      <c r="A138" s="73" t="str">
        <f aca="false">IF(B138="","",129)</f>
        <v/>
      </c>
      <c r="B138" s="73" t="str">
        <f aca="false">IF($AU138="","",INDEX('REGISTRE ELEVES'!$B$10:$B$250,$AU138))</f>
        <v/>
      </c>
      <c r="C138" s="74" t="str">
        <f aca="false">IF($AU138="","",INDEX('REGISTRE ELEVES'!$D$10:$D$250,$AU138))</f>
        <v/>
      </c>
      <c r="D138" s="73" t="str">
        <f aca="false">IF($AU138="","",INDEX('REGISTRE ELEVES'!$E$10:$E$250,$AU138))</f>
        <v/>
      </c>
      <c r="E138" s="73" t="str">
        <f aca="false">IF($AU138="","",INDEX('REGISTRE ELEVES'!$F$10:$F$250,$AU138))</f>
        <v/>
      </c>
      <c r="F138" s="73" t="str">
        <f aca="false">IF($AU138="","",INDEX('REGISTRE ELEVES'!$AE$10:$AE$250,$AU138))</f>
        <v/>
      </c>
      <c r="G138" s="75"/>
      <c r="H138" s="76"/>
      <c r="I138" s="76"/>
      <c r="J138" s="76"/>
      <c r="K138" s="76"/>
      <c r="L138" s="76"/>
      <c r="M138" s="76"/>
      <c r="N138" s="76"/>
      <c r="O138" s="76"/>
      <c r="P138" s="77" t="str">
        <f aca="false">IF(B138="","",IF($G138="NON",0,IF(COUNT(H138:O138)=0,"",IFERROR(ROUND(SUMPRODUCT(H138:O138,$H$8:$O$8)/SUMPRODUCT(ISNUMBER(H138:O138)*$H$8:$O$8),2),""))))</f>
        <v/>
      </c>
      <c r="Q138" s="75"/>
      <c r="R138" s="76"/>
      <c r="S138" s="76"/>
      <c r="T138" s="76"/>
      <c r="U138" s="76"/>
      <c r="V138" s="76"/>
      <c r="W138" s="76"/>
      <c r="X138" s="76"/>
      <c r="Y138" s="76"/>
      <c r="Z138" s="77" t="str">
        <f aca="false">IF(B138="","",IF($Q138="NON",0,IF(COUNT(R138:Y138)=0,"",IFERROR(ROUND(SUMPRODUCT(R138:Y138,$R$8:$Y$8)/SUMPRODUCT(ISNUMBER(R138:Y138)*$R$8:$Y$8),2),""))))</f>
        <v/>
      </c>
      <c r="AA138" s="75"/>
      <c r="AB138" s="76"/>
      <c r="AC138" s="76"/>
      <c r="AD138" s="76"/>
      <c r="AE138" s="76"/>
      <c r="AF138" s="76"/>
      <c r="AG138" s="76"/>
      <c r="AH138" s="76"/>
      <c r="AI138" s="76"/>
      <c r="AJ138" s="77" t="str">
        <f aca="false">IF(B138="","",IF($AA138="NON",0,IF(COUNT(AB138:AI138)=0,"",IFERROR(ROUND(SUMPRODUCT(AB138:AI138,$AB$8:$AI$8)/SUMPRODUCT(ISNUMBER(AB138:AI138)*$AB$8:$AI$8),2),""))))</f>
        <v/>
      </c>
      <c r="AK138" s="75"/>
      <c r="AL138" s="76"/>
      <c r="AM138" s="76"/>
      <c r="AN138" s="76"/>
      <c r="AO138" s="76"/>
      <c r="AP138" s="76"/>
      <c r="AQ138" s="76"/>
      <c r="AR138" s="76"/>
      <c r="AS138" s="76"/>
      <c r="AT138" s="77" t="str">
        <f aca="false">IF(B138="","",IF($AK138="NON",0,IF(COUNT(AL138:AS138)=0,"",IFERROR(ROUND(SUMPRODUCT(AL138:AS138,$AL$8:$AS$8)/SUMPRODUCT(ISNUMBER(AL138:AS138)*$AL$8:$AS$8),2),""))))</f>
        <v/>
      </c>
      <c r="AU138" s="51" t="str">
        <f aca="false">IFERROR(MATCH("CP-129",'REGISTRE ELEVES'!$AI$10:$AI$250,0),"")</f>
        <v/>
      </c>
    </row>
    <row r="139" customFormat="false" ht="15" hidden="false" customHeight="false" outlineLevel="0" collapsed="false">
      <c r="A139" s="73" t="str">
        <f aca="false">IF(B139="","",130)</f>
        <v/>
      </c>
      <c r="B139" s="73" t="str">
        <f aca="false">IF($AU139="","",INDEX('REGISTRE ELEVES'!$B$10:$B$250,$AU139))</f>
        <v/>
      </c>
      <c r="C139" s="74" t="str">
        <f aca="false">IF($AU139="","",INDEX('REGISTRE ELEVES'!$D$10:$D$250,$AU139))</f>
        <v/>
      </c>
      <c r="D139" s="73" t="str">
        <f aca="false">IF($AU139="","",INDEX('REGISTRE ELEVES'!$E$10:$E$250,$AU139))</f>
        <v/>
      </c>
      <c r="E139" s="73" t="str">
        <f aca="false">IF($AU139="","",INDEX('REGISTRE ELEVES'!$F$10:$F$250,$AU139))</f>
        <v/>
      </c>
      <c r="F139" s="73" t="str">
        <f aca="false">IF($AU139="","",INDEX('REGISTRE ELEVES'!$AE$10:$AE$250,$AU139))</f>
        <v/>
      </c>
      <c r="G139" s="75"/>
      <c r="H139" s="76"/>
      <c r="I139" s="76"/>
      <c r="J139" s="76"/>
      <c r="K139" s="76"/>
      <c r="L139" s="76"/>
      <c r="M139" s="76"/>
      <c r="N139" s="76"/>
      <c r="O139" s="76"/>
      <c r="P139" s="77" t="str">
        <f aca="false">IF(B139="","",IF($G139="NON",0,IF(COUNT(H139:O139)=0,"",IFERROR(ROUND(SUMPRODUCT(H139:O139,$H$8:$O$8)/SUMPRODUCT(ISNUMBER(H139:O139)*$H$8:$O$8),2),""))))</f>
        <v/>
      </c>
      <c r="Q139" s="75"/>
      <c r="R139" s="76"/>
      <c r="S139" s="76"/>
      <c r="T139" s="76"/>
      <c r="U139" s="76"/>
      <c r="V139" s="76"/>
      <c r="W139" s="76"/>
      <c r="X139" s="76"/>
      <c r="Y139" s="76"/>
      <c r="Z139" s="77" t="str">
        <f aca="false">IF(B139="","",IF($Q139="NON",0,IF(COUNT(R139:Y139)=0,"",IFERROR(ROUND(SUMPRODUCT(R139:Y139,$R$8:$Y$8)/SUMPRODUCT(ISNUMBER(R139:Y139)*$R$8:$Y$8),2),""))))</f>
        <v/>
      </c>
      <c r="AA139" s="75"/>
      <c r="AB139" s="76"/>
      <c r="AC139" s="76"/>
      <c r="AD139" s="76"/>
      <c r="AE139" s="76"/>
      <c r="AF139" s="76"/>
      <c r="AG139" s="76"/>
      <c r="AH139" s="76"/>
      <c r="AI139" s="76"/>
      <c r="AJ139" s="77" t="str">
        <f aca="false">IF(B139="","",IF($AA139="NON",0,IF(COUNT(AB139:AI139)=0,"",IFERROR(ROUND(SUMPRODUCT(AB139:AI139,$AB$8:$AI$8)/SUMPRODUCT(ISNUMBER(AB139:AI139)*$AB$8:$AI$8),2),""))))</f>
        <v/>
      </c>
      <c r="AK139" s="75"/>
      <c r="AL139" s="76"/>
      <c r="AM139" s="76"/>
      <c r="AN139" s="76"/>
      <c r="AO139" s="76"/>
      <c r="AP139" s="76"/>
      <c r="AQ139" s="76"/>
      <c r="AR139" s="76"/>
      <c r="AS139" s="76"/>
      <c r="AT139" s="77" t="str">
        <f aca="false">IF(B139="","",IF($AK139="NON",0,IF(COUNT(AL139:AS139)=0,"",IFERROR(ROUND(SUMPRODUCT(AL139:AS139,$AL$8:$AS$8)/SUMPRODUCT(ISNUMBER(AL139:AS139)*$AL$8:$AS$8),2),""))))</f>
        <v/>
      </c>
      <c r="AU139" s="51" t="str">
        <f aca="false">IFERROR(MATCH("CP-130",'REGISTRE ELEVES'!$AI$10:$AI$250,0),"")</f>
        <v/>
      </c>
    </row>
    <row r="140" customFormat="false" ht="15" hidden="false" customHeight="false" outlineLevel="0" collapsed="false">
      <c r="A140" s="73" t="str">
        <f aca="false">IF(B140="","",131)</f>
        <v/>
      </c>
      <c r="B140" s="73" t="str">
        <f aca="false">IF($AU140="","",INDEX('REGISTRE ELEVES'!$B$10:$B$250,$AU140))</f>
        <v/>
      </c>
      <c r="C140" s="74" t="str">
        <f aca="false">IF($AU140="","",INDEX('REGISTRE ELEVES'!$D$10:$D$250,$AU140))</f>
        <v/>
      </c>
      <c r="D140" s="73" t="str">
        <f aca="false">IF($AU140="","",INDEX('REGISTRE ELEVES'!$E$10:$E$250,$AU140))</f>
        <v/>
      </c>
      <c r="E140" s="73" t="str">
        <f aca="false">IF($AU140="","",INDEX('REGISTRE ELEVES'!$F$10:$F$250,$AU140))</f>
        <v/>
      </c>
      <c r="F140" s="73" t="str">
        <f aca="false">IF($AU140="","",INDEX('REGISTRE ELEVES'!$AE$10:$AE$250,$AU140))</f>
        <v/>
      </c>
      <c r="G140" s="75"/>
      <c r="H140" s="76"/>
      <c r="I140" s="76"/>
      <c r="J140" s="76"/>
      <c r="K140" s="76"/>
      <c r="L140" s="76"/>
      <c r="M140" s="76"/>
      <c r="N140" s="76"/>
      <c r="O140" s="76"/>
      <c r="P140" s="77" t="str">
        <f aca="false">IF(B140="","",IF($G140="NON",0,IF(COUNT(H140:O140)=0,"",IFERROR(ROUND(SUMPRODUCT(H140:O140,$H$8:$O$8)/SUMPRODUCT(ISNUMBER(H140:O140)*$H$8:$O$8),2),""))))</f>
        <v/>
      </c>
      <c r="Q140" s="75"/>
      <c r="R140" s="76"/>
      <c r="S140" s="76"/>
      <c r="T140" s="76"/>
      <c r="U140" s="76"/>
      <c r="V140" s="76"/>
      <c r="W140" s="76"/>
      <c r="X140" s="76"/>
      <c r="Y140" s="76"/>
      <c r="Z140" s="77" t="str">
        <f aca="false">IF(B140="","",IF($Q140="NON",0,IF(COUNT(R140:Y140)=0,"",IFERROR(ROUND(SUMPRODUCT(R140:Y140,$R$8:$Y$8)/SUMPRODUCT(ISNUMBER(R140:Y140)*$R$8:$Y$8),2),""))))</f>
        <v/>
      </c>
      <c r="AA140" s="75"/>
      <c r="AB140" s="76"/>
      <c r="AC140" s="76"/>
      <c r="AD140" s="76"/>
      <c r="AE140" s="76"/>
      <c r="AF140" s="76"/>
      <c r="AG140" s="76"/>
      <c r="AH140" s="76"/>
      <c r="AI140" s="76"/>
      <c r="AJ140" s="77" t="str">
        <f aca="false">IF(B140="","",IF($AA140="NON",0,IF(COUNT(AB140:AI140)=0,"",IFERROR(ROUND(SUMPRODUCT(AB140:AI140,$AB$8:$AI$8)/SUMPRODUCT(ISNUMBER(AB140:AI140)*$AB$8:$AI$8),2),""))))</f>
        <v/>
      </c>
      <c r="AK140" s="75"/>
      <c r="AL140" s="76"/>
      <c r="AM140" s="76"/>
      <c r="AN140" s="76"/>
      <c r="AO140" s="76"/>
      <c r="AP140" s="76"/>
      <c r="AQ140" s="76"/>
      <c r="AR140" s="76"/>
      <c r="AS140" s="76"/>
      <c r="AT140" s="77" t="str">
        <f aca="false">IF(B140="","",IF($AK140="NON",0,IF(COUNT(AL140:AS140)=0,"",IFERROR(ROUND(SUMPRODUCT(AL140:AS140,$AL$8:$AS$8)/SUMPRODUCT(ISNUMBER(AL140:AS140)*$AL$8:$AS$8),2),""))))</f>
        <v/>
      </c>
      <c r="AU140" s="51" t="str">
        <f aca="false">IFERROR(MATCH("CP-131",'REGISTRE ELEVES'!$AI$10:$AI$250,0),"")</f>
        <v/>
      </c>
    </row>
    <row r="141" customFormat="false" ht="15" hidden="false" customHeight="false" outlineLevel="0" collapsed="false">
      <c r="A141" s="73" t="str">
        <f aca="false">IF(B141="","",132)</f>
        <v/>
      </c>
      <c r="B141" s="73" t="str">
        <f aca="false">IF($AU141="","",INDEX('REGISTRE ELEVES'!$B$10:$B$250,$AU141))</f>
        <v/>
      </c>
      <c r="C141" s="74" t="str">
        <f aca="false">IF($AU141="","",INDEX('REGISTRE ELEVES'!$D$10:$D$250,$AU141))</f>
        <v/>
      </c>
      <c r="D141" s="73" t="str">
        <f aca="false">IF($AU141="","",INDEX('REGISTRE ELEVES'!$E$10:$E$250,$AU141))</f>
        <v/>
      </c>
      <c r="E141" s="73" t="str">
        <f aca="false">IF($AU141="","",INDEX('REGISTRE ELEVES'!$F$10:$F$250,$AU141))</f>
        <v/>
      </c>
      <c r="F141" s="73" t="str">
        <f aca="false">IF($AU141="","",INDEX('REGISTRE ELEVES'!$AE$10:$AE$250,$AU141))</f>
        <v/>
      </c>
      <c r="G141" s="75"/>
      <c r="H141" s="76"/>
      <c r="I141" s="76"/>
      <c r="J141" s="76"/>
      <c r="K141" s="76"/>
      <c r="L141" s="76"/>
      <c r="M141" s="76"/>
      <c r="N141" s="76"/>
      <c r="O141" s="76"/>
      <c r="P141" s="77" t="str">
        <f aca="false">IF(B141="","",IF($G141="NON",0,IF(COUNT(H141:O141)=0,"",IFERROR(ROUND(SUMPRODUCT(H141:O141,$H$8:$O$8)/SUMPRODUCT(ISNUMBER(H141:O141)*$H$8:$O$8),2),""))))</f>
        <v/>
      </c>
      <c r="Q141" s="75"/>
      <c r="R141" s="76"/>
      <c r="S141" s="76"/>
      <c r="T141" s="76"/>
      <c r="U141" s="76"/>
      <c r="V141" s="76"/>
      <c r="W141" s="76"/>
      <c r="X141" s="76"/>
      <c r="Y141" s="76"/>
      <c r="Z141" s="77" t="str">
        <f aca="false">IF(B141="","",IF($Q141="NON",0,IF(COUNT(R141:Y141)=0,"",IFERROR(ROUND(SUMPRODUCT(R141:Y141,$R$8:$Y$8)/SUMPRODUCT(ISNUMBER(R141:Y141)*$R$8:$Y$8),2),""))))</f>
        <v/>
      </c>
      <c r="AA141" s="75"/>
      <c r="AB141" s="76"/>
      <c r="AC141" s="76"/>
      <c r="AD141" s="76"/>
      <c r="AE141" s="76"/>
      <c r="AF141" s="76"/>
      <c r="AG141" s="76"/>
      <c r="AH141" s="76"/>
      <c r="AI141" s="76"/>
      <c r="AJ141" s="77" t="str">
        <f aca="false">IF(B141="","",IF($AA141="NON",0,IF(COUNT(AB141:AI141)=0,"",IFERROR(ROUND(SUMPRODUCT(AB141:AI141,$AB$8:$AI$8)/SUMPRODUCT(ISNUMBER(AB141:AI141)*$AB$8:$AI$8),2),""))))</f>
        <v/>
      </c>
      <c r="AK141" s="75"/>
      <c r="AL141" s="76"/>
      <c r="AM141" s="76"/>
      <c r="AN141" s="76"/>
      <c r="AO141" s="76"/>
      <c r="AP141" s="76"/>
      <c r="AQ141" s="76"/>
      <c r="AR141" s="76"/>
      <c r="AS141" s="76"/>
      <c r="AT141" s="77" t="str">
        <f aca="false">IF(B141="","",IF($AK141="NON",0,IF(COUNT(AL141:AS141)=0,"",IFERROR(ROUND(SUMPRODUCT(AL141:AS141,$AL$8:$AS$8)/SUMPRODUCT(ISNUMBER(AL141:AS141)*$AL$8:$AS$8),2),""))))</f>
        <v/>
      </c>
      <c r="AU141" s="51" t="str">
        <f aca="false">IFERROR(MATCH("CP-132",'REGISTRE ELEVES'!$AI$10:$AI$250,0),"")</f>
        <v/>
      </c>
    </row>
    <row r="142" customFormat="false" ht="15" hidden="false" customHeight="false" outlineLevel="0" collapsed="false">
      <c r="A142" s="73" t="str">
        <f aca="false">IF(B142="","",133)</f>
        <v/>
      </c>
      <c r="B142" s="73" t="str">
        <f aca="false">IF($AU142="","",INDEX('REGISTRE ELEVES'!$B$10:$B$250,$AU142))</f>
        <v/>
      </c>
      <c r="C142" s="74" t="str">
        <f aca="false">IF($AU142="","",INDEX('REGISTRE ELEVES'!$D$10:$D$250,$AU142))</f>
        <v/>
      </c>
      <c r="D142" s="73" t="str">
        <f aca="false">IF($AU142="","",INDEX('REGISTRE ELEVES'!$E$10:$E$250,$AU142))</f>
        <v/>
      </c>
      <c r="E142" s="73" t="str">
        <f aca="false">IF($AU142="","",INDEX('REGISTRE ELEVES'!$F$10:$F$250,$AU142))</f>
        <v/>
      </c>
      <c r="F142" s="73" t="str">
        <f aca="false">IF($AU142="","",INDEX('REGISTRE ELEVES'!$AE$10:$AE$250,$AU142))</f>
        <v/>
      </c>
      <c r="G142" s="75"/>
      <c r="H142" s="76"/>
      <c r="I142" s="76"/>
      <c r="J142" s="76"/>
      <c r="K142" s="76"/>
      <c r="L142" s="76"/>
      <c r="M142" s="76"/>
      <c r="N142" s="76"/>
      <c r="O142" s="76"/>
      <c r="P142" s="77" t="str">
        <f aca="false">IF(B142="","",IF($G142="NON",0,IF(COUNT(H142:O142)=0,"",IFERROR(ROUND(SUMPRODUCT(H142:O142,$H$8:$O$8)/SUMPRODUCT(ISNUMBER(H142:O142)*$H$8:$O$8),2),""))))</f>
        <v/>
      </c>
      <c r="Q142" s="75"/>
      <c r="R142" s="76"/>
      <c r="S142" s="76"/>
      <c r="T142" s="76"/>
      <c r="U142" s="76"/>
      <c r="V142" s="76"/>
      <c r="W142" s="76"/>
      <c r="X142" s="76"/>
      <c r="Y142" s="76"/>
      <c r="Z142" s="77" t="str">
        <f aca="false">IF(B142="","",IF($Q142="NON",0,IF(COUNT(R142:Y142)=0,"",IFERROR(ROUND(SUMPRODUCT(R142:Y142,$R$8:$Y$8)/SUMPRODUCT(ISNUMBER(R142:Y142)*$R$8:$Y$8),2),""))))</f>
        <v/>
      </c>
      <c r="AA142" s="75"/>
      <c r="AB142" s="76"/>
      <c r="AC142" s="76"/>
      <c r="AD142" s="76"/>
      <c r="AE142" s="76"/>
      <c r="AF142" s="76"/>
      <c r="AG142" s="76"/>
      <c r="AH142" s="76"/>
      <c r="AI142" s="76"/>
      <c r="AJ142" s="77" t="str">
        <f aca="false">IF(B142="","",IF($AA142="NON",0,IF(COUNT(AB142:AI142)=0,"",IFERROR(ROUND(SUMPRODUCT(AB142:AI142,$AB$8:$AI$8)/SUMPRODUCT(ISNUMBER(AB142:AI142)*$AB$8:$AI$8),2),""))))</f>
        <v/>
      </c>
      <c r="AK142" s="75"/>
      <c r="AL142" s="76"/>
      <c r="AM142" s="76"/>
      <c r="AN142" s="76"/>
      <c r="AO142" s="76"/>
      <c r="AP142" s="76"/>
      <c r="AQ142" s="76"/>
      <c r="AR142" s="76"/>
      <c r="AS142" s="76"/>
      <c r="AT142" s="77" t="str">
        <f aca="false">IF(B142="","",IF($AK142="NON",0,IF(COUNT(AL142:AS142)=0,"",IFERROR(ROUND(SUMPRODUCT(AL142:AS142,$AL$8:$AS$8)/SUMPRODUCT(ISNUMBER(AL142:AS142)*$AL$8:$AS$8),2),""))))</f>
        <v/>
      </c>
      <c r="AU142" s="51" t="str">
        <f aca="false">IFERROR(MATCH("CP-133",'REGISTRE ELEVES'!$AI$10:$AI$250,0),"")</f>
        <v/>
      </c>
    </row>
    <row r="143" customFormat="false" ht="15" hidden="false" customHeight="false" outlineLevel="0" collapsed="false">
      <c r="A143" s="73" t="str">
        <f aca="false">IF(B143="","",134)</f>
        <v/>
      </c>
      <c r="B143" s="73" t="str">
        <f aca="false">IF($AU143="","",INDEX('REGISTRE ELEVES'!$B$10:$B$250,$AU143))</f>
        <v/>
      </c>
      <c r="C143" s="74" t="str">
        <f aca="false">IF($AU143="","",INDEX('REGISTRE ELEVES'!$D$10:$D$250,$AU143))</f>
        <v/>
      </c>
      <c r="D143" s="73" t="str">
        <f aca="false">IF($AU143="","",INDEX('REGISTRE ELEVES'!$E$10:$E$250,$AU143))</f>
        <v/>
      </c>
      <c r="E143" s="73" t="str">
        <f aca="false">IF($AU143="","",INDEX('REGISTRE ELEVES'!$F$10:$F$250,$AU143))</f>
        <v/>
      </c>
      <c r="F143" s="73" t="str">
        <f aca="false">IF($AU143="","",INDEX('REGISTRE ELEVES'!$AE$10:$AE$250,$AU143))</f>
        <v/>
      </c>
      <c r="G143" s="75"/>
      <c r="H143" s="76"/>
      <c r="I143" s="76"/>
      <c r="J143" s="76"/>
      <c r="K143" s="76"/>
      <c r="L143" s="76"/>
      <c r="M143" s="76"/>
      <c r="N143" s="76"/>
      <c r="O143" s="76"/>
      <c r="P143" s="77" t="str">
        <f aca="false">IF(B143="","",IF($G143="NON",0,IF(COUNT(H143:O143)=0,"",IFERROR(ROUND(SUMPRODUCT(H143:O143,$H$8:$O$8)/SUMPRODUCT(ISNUMBER(H143:O143)*$H$8:$O$8),2),""))))</f>
        <v/>
      </c>
      <c r="Q143" s="75"/>
      <c r="R143" s="76"/>
      <c r="S143" s="76"/>
      <c r="T143" s="76"/>
      <c r="U143" s="76"/>
      <c r="V143" s="76"/>
      <c r="W143" s="76"/>
      <c r="X143" s="76"/>
      <c r="Y143" s="76"/>
      <c r="Z143" s="77" t="str">
        <f aca="false">IF(B143="","",IF($Q143="NON",0,IF(COUNT(R143:Y143)=0,"",IFERROR(ROUND(SUMPRODUCT(R143:Y143,$R$8:$Y$8)/SUMPRODUCT(ISNUMBER(R143:Y143)*$R$8:$Y$8),2),""))))</f>
        <v/>
      </c>
      <c r="AA143" s="75"/>
      <c r="AB143" s="76"/>
      <c r="AC143" s="76"/>
      <c r="AD143" s="76"/>
      <c r="AE143" s="76"/>
      <c r="AF143" s="76"/>
      <c r="AG143" s="76"/>
      <c r="AH143" s="76"/>
      <c r="AI143" s="76"/>
      <c r="AJ143" s="77" t="str">
        <f aca="false">IF(B143="","",IF($AA143="NON",0,IF(COUNT(AB143:AI143)=0,"",IFERROR(ROUND(SUMPRODUCT(AB143:AI143,$AB$8:$AI$8)/SUMPRODUCT(ISNUMBER(AB143:AI143)*$AB$8:$AI$8),2),""))))</f>
        <v/>
      </c>
      <c r="AK143" s="75"/>
      <c r="AL143" s="76"/>
      <c r="AM143" s="76"/>
      <c r="AN143" s="76"/>
      <c r="AO143" s="76"/>
      <c r="AP143" s="76"/>
      <c r="AQ143" s="76"/>
      <c r="AR143" s="76"/>
      <c r="AS143" s="76"/>
      <c r="AT143" s="77" t="str">
        <f aca="false">IF(B143="","",IF($AK143="NON",0,IF(COUNT(AL143:AS143)=0,"",IFERROR(ROUND(SUMPRODUCT(AL143:AS143,$AL$8:$AS$8)/SUMPRODUCT(ISNUMBER(AL143:AS143)*$AL$8:$AS$8),2),""))))</f>
        <v/>
      </c>
      <c r="AU143" s="51" t="str">
        <f aca="false">IFERROR(MATCH("CP-134",'REGISTRE ELEVES'!$AI$10:$AI$250,0),"")</f>
        <v/>
      </c>
    </row>
    <row r="144" customFormat="false" ht="15" hidden="false" customHeight="false" outlineLevel="0" collapsed="false">
      <c r="A144" s="73" t="str">
        <f aca="false">IF(B144="","",135)</f>
        <v/>
      </c>
      <c r="B144" s="73" t="str">
        <f aca="false">IF($AU144="","",INDEX('REGISTRE ELEVES'!$B$10:$B$250,$AU144))</f>
        <v/>
      </c>
      <c r="C144" s="74" t="str">
        <f aca="false">IF($AU144="","",INDEX('REGISTRE ELEVES'!$D$10:$D$250,$AU144))</f>
        <v/>
      </c>
      <c r="D144" s="73" t="str">
        <f aca="false">IF($AU144="","",INDEX('REGISTRE ELEVES'!$E$10:$E$250,$AU144))</f>
        <v/>
      </c>
      <c r="E144" s="73" t="str">
        <f aca="false">IF($AU144="","",INDEX('REGISTRE ELEVES'!$F$10:$F$250,$AU144))</f>
        <v/>
      </c>
      <c r="F144" s="73" t="str">
        <f aca="false">IF($AU144="","",INDEX('REGISTRE ELEVES'!$AE$10:$AE$250,$AU144))</f>
        <v/>
      </c>
      <c r="G144" s="75"/>
      <c r="H144" s="76"/>
      <c r="I144" s="76"/>
      <c r="J144" s="76"/>
      <c r="K144" s="76"/>
      <c r="L144" s="76"/>
      <c r="M144" s="76"/>
      <c r="N144" s="76"/>
      <c r="O144" s="76"/>
      <c r="P144" s="77" t="str">
        <f aca="false">IF(B144="","",IF($G144="NON",0,IF(COUNT(H144:O144)=0,"",IFERROR(ROUND(SUMPRODUCT(H144:O144,$H$8:$O$8)/SUMPRODUCT(ISNUMBER(H144:O144)*$H$8:$O$8),2),""))))</f>
        <v/>
      </c>
      <c r="Q144" s="75"/>
      <c r="R144" s="76"/>
      <c r="S144" s="76"/>
      <c r="T144" s="76"/>
      <c r="U144" s="76"/>
      <c r="V144" s="76"/>
      <c r="W144" s="76"/>
      <c r="X144" s="76"/>
      <c r="Y144" s="76"/>
      <c r="Z144" s="77" t="str">
        <f aca="false">IF(B144="","",IF($Q144="NON",0,IF(COUNT(R144:Y144)=0,"",IFERROR(ROUND(SUMPRODUCT(R144:Y144,$R$8:$Y$8)/SUMPRODUCT(ISNUMBER(R144:Y144)*$R$8:$Y$8),2),""))))</f>
        <v/>
      </c>
      <c r="AA144" s="75"/>
      <c r="AB144" s="76"/>
      <c r="AC144" s="76"/>
      <c r="AD144" s="76"/>
      <c r="AE144" s="76"/>
      <c r="AF144" s="76"/>
      <c r="AG144" s="76"/>
      <c r="AH144" s="76"/>
      <c r="AI144" s="76"/>
      <c r="AJ144" s="77" t="str">
        <f aca="false">IF(B144="","",IF($AA144="NON",0,IF(COUNT(AB144:AI144)=0,"",IFERROR(ROUND(SUMPRODUCT(AB144:AI144,$AB$8:$AI$8)/SUMPRODUCT(ISNUMBER(AB144:AI144)*$AB$8:$AI$8),2),""))))</f>
        <v/>
      </c>
      <c r="AK144" s="75"/>
      <c r="AL144" s="76"/>
      <c r="AM144" s="76"/>
      <c r="AN144" s="76"/>
      <c r="AO144" s="76"/>
      <c r="AP144" s="76"/>
      <c r="AQ144" s="76"/>
      <c r="AR144" s="76"/>
      <c r="AS144" s="76"/>
      <c r="AT144" s="77" t="str">
        <f aca="false">IF(B144="","",IF($AK144="NON",0,IF(COUNT(AL144:AS144)=0,"",IFERROR(ROUND(SUMPRODUCT(AL144:AS144,$AL$8:$AS$8)/SUMPRODUCT(ISNUMBER(AL144:AS144)*$AL$8:$AS$8),2),""))))</f>
        <v/>
      </c>
      <c r="AU144" s="51" t="str">
        <f aca="false">IFERROR(MATCH("CP-135",'REGISTRE ELEVES'!$AI$10:$AI$250,0),"")</f>
        <v/>
      </c>
    </row>
    <row r="145" customFormat="false" ht="15" hidden="false" customHeight="false" outlineLevel="0" collapsed="false">
      <c r="A145" s="73" t="str">
        <f aca="false">IF(B145="","",136)</f>
        <v/>
      </c>
      <c r="B145" s="73" t="str">
        <f aca="false">IF($AU145="","",INDEX('REGISTRE ELEVES'!$B$10:$B$250,$AU145))</f>
        <v/>
      </c>
      <c r="C145" s="74" t="str">
        <f aca="false">IF($AU145="","",INDEX('REGISTRE ELEVES'!$D$10:$D$250,$AU145))</f>
        <v/>
      </c>
      <c r="D145" s="73" t="str">
        <f aca="false">IF($AU145="","",INDEX('REGISTRE ELEVES'!$E$10:$E$250,$AU145))</f>
        <v/>
      </c>
      <c r="E145" s="73" t="str">
        <f aca="false">IF($AU145="","",INDEX('REGISTRE ELEVES'!$F$10:$F$250,$AU145))</f>
        <v/>
      </c>
      <c r="F145" s="73" t="str">
        <f aca="false">IF($AU145="","",INDEX('REGISTRE ELEVES'!$AE$10:$AE$250,$AU145))</f>
        <v/>
      </c>
      <c r="G145" s="75"/>
      <c r="H145" s="76"/>
      <c r="I145" s="76"/>
      <c r="J145" s="76"/>
      <c r="K145" s="76"/>
      <c r="L145" s="76"/>
      <c r="M145" s="76"/>
      <c r="N145" s="76"/>
      <c r="O145" s="76"/>
      <c r="P145" s="77" t="str">
        <f aca="false">IF(B145="","",IF($G145="NON",0,IF(COUNT(H145:O145)=0,"",IFERROR(ROUND(SUMPRODUCT(H145:O145,$H$8:$O$8)/SUMPRODUCT(ISNUMBER(H145:O145)*$H$8:$O$8),2),""))))</f>
        <v/>
      </c>
      <c r="Q145" s="75"/>
      <c r="R145" s="76"/>
      <c r="S145" s="76"/>
      <c r="T145" s="76"/>
      <c r="U145" s="76"/>
      <c r="V145" s="76"/>
      <c r="W145" s="76"/>
      <c r="X145" s="76"/>
      <c r="Y145" s="76"/>
      <c r="Z145" s="77" t="str">
        <f aca="false">IF(B145="","",IF($Q145="NON",0,IF(COUNT(R145:Y145)=0,"",IFERROR(ROUND(SUMPRODUCT(R145:Y145,$R$8:$Y$8)/SUMPRODUCT(ISNUMBER(R145:Y145)*$R$8:$Y$8),2),""))))</f>
        <v/>
      </c>
      <c r="AA145" s="75"/>
      <c r="AB145" s="76"/>
      <c r="AC145" s="76"/>
      <c r="AD145" s="76"/>
      <c r="AE145" s="76"/>
      <c r="AF145" s="76"/>
      <c r="AG145" s="76"/>
      <c r="AH145" s="76"/>
      <c r="AI145" s="76"/>
      <c r="AJ145" s="77" t="str">
        <f aca="false">IF(B145="","",IF($AA145="NON",0,IF(COUNT(AB145:AI145)=0,"",IFERROR(ROUND(SUMPRODUCT(AB145:AI145,$AB$8:$AI$8)/SUMPRODUCT(ISNUMBER(AB145:AI145)*$AB$8:$AI$8),2),""))))</f>
        <v/>
      </c>
      <c r="AK145" s="75"/>
      <c r="AL145" s="76"/>
      <c r="AM145" s="76"/>
      <c r="AN145" s="76"/>
      <c r="AO145" s="76"/>
      <c r="AP145" s="76"/>
      <c r="AQ145" s="76"/>
      <c r="AR145" s="76"/>
      <c r="AS145" s="76"/>
      <c r="AT145" s="77" t="str">
        <f aca="false">IF(B145="","",IF($AK145="NON",0,IF(COUNT(AL145:AS145)=0,"",IFERROR(ROUND(SUMPRODUCT(AL145:AS145,$AL$8:$AS$8)/SUMPRODUCT(ISNUMBER(AL145:AS145)*$AL$8:$AS$8),2),""))))</f>
        <v/>
      </c>
      <c r="AU145" s="51" t="str">
        <f aca="false">IFERROR(MATCH("CP-136",'REGISTRE ELEVES'!$AI$10:$AI$250,0),"")</f>
        <v/>
      </c>
    </row>
    <row r="146" customFormat="false" ht="15" hidden="false" customHeight="false" outlineLevel="0" collapsed="false">
      <c r="A146" s="73" t="str">
        <f aca="false">IF(B146="","",137)</f>
        <v/>
      </c>
      <c r="B146" s="73" t="str">
        <f aca="false">IF($AU146="","",INDEX('REGISTRE ELEVES'!$B$10:$B$250,$AU146))</f>
        <v/>
      </c>
      <c r="C146" s="74" t="str">
        <f aca="false">IF($AU146="","",INDEX('REGISTRE ELEVES'!$D$10:$D$250,$AU146))</f>
        <v/>
      </c>
      <c r="D146" s="73" t="str">
        <f aca="false">IF($AU146="","",INDEX('REGISTRE ELEVES'!$E$10:$E$250,$AU146))</f>
        <v/>
      </c>
      <c r="E146" s="73" t="str">
        <f aca="false">IF($AU146="","",INDEX('REGISTRE ELEVES'!$F$10:$F$250,$AU146))</f>
        <v/>
      </c>
      <c r="F146" s="73" t="str">
        <f aca="false">IF($AU146="","",INDEX('REGISTRE ELEVES'!$AE$10:$AE$250,$AU146))</f>
        <v/>
      </c>
      <c r="G146" s="75"/>
      <c r="H146" s="76"/>
      <c r="I146" s="76"/>
      <c r="J146" s="76"/>
      <c r="K146" s="76"/>
      <c r="L146" s="76"/>
      <c r="M146" s="76"/>
      <c r="N146" s="76"/>
      <c r="O146" s="76"/>
      <c r="P146" s="77" t="str">
        <f aca="false">IF(B146="","",IF($G146="NON",0,IF(COUNT(H146:O146)=0,"",IFERROR(ROUND(SUMPRODUCT(H146:O146,$H$8:$O$8)/SUMPRODUCT(ISNUMBER(H146:O146)*$H$8:$O$8),2),""))))</f>
        <v/>
      </c>
      <c r="Q146" s="75"/>
      <c r="R146" s="76"/>
      <c r="S146" s="76"/>
      <c r="T146" s="76"/>
      <c r="U146" s="76"/>
      <c r="V146" s="76"/>
      <c r="W146" s="76"/>
      <c r="X146" s="76"/>
      <c r="Y146" s="76"/>
      <c r="Z146" s="77" t="str">
        <f aca="false">IF(B146="","",IF($Q146="NON",0,IF(COUNT(R146:Y146)=0,"",IFERROR(ROUND(SUMPRODUCT(R146:Y146,$R$8:$Y$8)/SUMPRODUCT(ISNUMBER(R146:Y146)*$R$8:$Y$8),2),""))))</f>
        <v/>
      </c>
      <c r="AA146" s="75"/>
      <c r="AB146" s="76"/>
      <c r="AC146" s="76"/>
      <c r="AD146" s="76"/>
      <c r="AE146" s="76"/>
      <c r="AF146" s="76"/>
      <c r="AG146" s="76"/>
      <c r="AH146" s="76"/>
      <c r="AI146" s="76"/>
      <c r="AJ146" s="77" t="str">
        <f aca="false">IF(B146="","",IF($AA146="NON",0,IF(COUNT(AB146:AI146)=0,"",IFERROR(ROUND(SUMPRODUCT(AB146:AI146,$AB$8:$AI$8)/SUMPRODUCT(ISNUMBER(AB146:AI146)*$AB$8:$AI$8),2),""))))</f>
        <v/>
      </c>
      <c r="AK146" s="75"/>
      <c r="AL146" s="76"/>
      <c r="AM146" s="76"/>
      <c r="AN146" s="76"/>
      <c r="AO146" s="76"/>
      <c r="AP146" s="76"/>
      <c r="AQ146" s="76"/>
      <c r="AR146" s="76"/>
      <c r="AS146" s="76"/>
      <c r="AT146" s="77" t="str">
        <f aca="false">IF(B146="","",IF($AK146="NON",0,IF(COUNT(AL146:AS146)=0,"",IFERROR(ROUND(SUMPRODUCT(AL146:AS146,$AL$8:$AS$8)/SUMPRODUCT(ISNUMBER(AL146:AS146)*$AL$8:$AS$8),2),""))))</f>
        <v/>
      </c>
      <c r="AU146" s="51" t="str">
        <f aca="false">IFERROR(MATCH("CP-137",'REGISTRE ELEVES'!$AI$10:$AI$250,0),"")</f>
        <v/>
      </c>
    </row>
    <row r="147" customFormat="false" ht="15" hidden="false" customHeight="false" outlineLevel="0" collapsed="false">
      <c r="A147" s="73" t="str">
        <f aca="false">IF(B147="","",138)</f>
        <v/>
      </c>
      <c r="B147" s="73" t="str">
        <f aca="false">IF($AU147="","",INDEX('REGISTRE ELEVES'!$B$10:$B$250,$AU147))</f>
        <v/>
      </c>
      <c r="C147" s="74" t="str">
        <f aca="false">IF($AU147="","",INDEX('REGISTRE ELEVES'!$D$10:$D$250,$AU147))</f>
        <v/>
      </c>
      <c r="D147" s="73" t="str">
        <f aca="false">IF($AU147="","",INDEX('REGISTRE ELEVES'!$E$10:$E$250,$AU147))</f>
        <v/>
      </c>
      <c r="E147" s="73" t="str">
        <f aca="false">IF($AU147="","",INDEX('REGISTRE ELEVES'!$F$10:$F$250,$AU147))</f>
        <v/>
      </c>
      <c r="F147" s="73" t="str">
        <f aca="false">IF($AU147="","",INDEX('REGISTRE ELEVES'!$AE$10:$AE$250,$AU147))</f>
        <v/>
      </c>
      <c r="G147" s="75"/>
      <c r="H147" s="76"/>
      <c r="I147" s="76"/>
      <c r="J147" s="76"/>
      <c r="K147" s="76"/>
      <c r="L147" s="76"/>
      <c r="M147" s="76"/>
      <c r="N147" s="76"/>
      <c r="O147" s="76"/>
      <c r="P147" s="77" t="str">
        <f aca="false">IF(B147="","",IF($G147="NON",0,IF(COUNT(H147:O147)=0,"",IFERROR(ROUND(SUMPRODUCT(H147:O147,$H$8:$O$8)/SUMPRODUCT(ISNUMBER(H147:O147)*$H$8:$O$8),2),""))))</f>
        <v/>
      </c>
      <c r="Q147" s="75"/>
      <c r="R147" s="76"/>
      <c r="S147" s="76"/>
      <c r="T147" s="76"/>
      <c r="U147" s="76"/>
      <c r="V147" s="76"/>
      <c r="W147" s="76"/>
      <c r="X147" s="76"/>
      <c r="Y147" s="76"/>
      <c r="Z147" s="77" t="str">
        <f aca="false">IF(B147="","",IF($Q147="NON",0,IF(COUNT(R147:Y147)=0,"",IFERROR(ROUND(SUMPRODUCT(R147:Y147,$R$8:$Y$8)/SUMPRODUCT(ISNUMBER(R147:Y147)*$R$8:$Y$8),2),""))))</f>
        <v/>
      </c>
      <c r="AA147" s="75"/>
      <c r="AB147" s="76"/>
      <c r="AC147" s="76"/>
      <c r="AD147" s="76"/>
      <c r="AE147" s="76"/>
      <c r="AF147" s="76"/>
      <c r="AG147" s="76"/>
      <c r="AH147" s="76"/>
      <c r="AI147" s="76"/>
      <c r="AJ147" s="77" t="str">
        <f aca="false">IF(B147="","",IF($AA147="NON",0,IF(COUNT(AB147:AI147)=0,"",IFERROR(ROUND(SUMPRODUCT(AB147:AI147,$AB$8:$AI$8)/SUMPRODUCT(ISNUMBER(AB147:AI147)*$AB$8:$AI$8),2),""))))</f>
        <v/>
      </c>
      <c r="AK147" s="75"/>
      <c r="AL147" s="76"/>
      <c r="AM147" s="76"/>
      <c r="AN147" s="76"/>
      <c r="AO147" s="76"/>
      <c r="AP147" s="76"/>
      <c r="AQ147" s="76"/>
      <c r="AR147" s="76"/>
      <c r="AS147" s="76"/>
      <c r="AT147" s="77" t="str">
        <f aca="false">IF(B147="","",IF($AK147="NON",0,IF(COUNT(AL147:AS147)=0,"",IFERROR(ROUND(SUMPRODUCT(AL147:AS147,$AL$8:$AS$8)/SUMPRODUCT(ISNUMBER(AL147:AS147)*$AL$8:$AS$8),2),""))))</f>
        <v/>
      </c>
      <c r="AU147" s="51" t="str">
        <f aca="false">IFERROR(MATCH("CP-138",'REGISTRE ELEVES'!$AI$10:$AI$250,0),"")</f>
        <v/>
      </c>
    </row>
    <row r="148" customFormat="false" ht="15" hidden="false" customHeight="false" outlineLevel="0" collapsed="false">
      <c r="A148" s="73" t="str">
        <f aca="false">IF(B148="","",139)</f>
        <v/>
      </c>
      <c r="B148" s="73" t="str">
        <f aca="false">IF($AU148="","",INDEX('REGISTRE ELEVES'!$B$10:$B$250,$AU148))</f>
        <v/>
      </c>
      <c r="C148" s="74" t="str">
        <f aca="false">IF($AU148="","",INDEX('REGISTRE ELEVES'!$D$10:$D$250,$AU148))</f>
        <v/>
      </c>
      <c r="D148" s="73" t="str">
        <f aca="false">IF($AU148="","",INDEX('REGISTRE ELEVES'!$E$10:$E$250,$AU148))</f>
        <v/>
      </c>
      <c r="E148" s="73" t="str">
        <f aca="false">IF($AU148="","",INDEX('REGISTRE ELEVES'!$F$10:$F$250,$AU148))</f>
        <v/>
      </c>
      <c r="F148" s="73" t="str">
        <f aca="false">IF($AU148="","",INDEX('REGISTRE ELEVES'!$AE$10:$AE$250,$AU148))</f>
        <v/>
      </c>
      <c r="G148" s="75"/>
      <c r="H148" s="76"/>
      <c r="I148" s="76"/>
      <c r="J148" s="76"/>
      <c r="K148" s="76"/>
      <c r="L148" s="76"/>
      <c r="M148" s="76"/>
      <c r="N148" s="76"/>
      <c r="O148" s="76"/>
      <c r="P148" s="77" t="str">
        <f aca="false">IF(B148="","",IF($G148="NON",0,IF(COUNT(H148:O148)=0,"",IFERROR(ROUND(SUMPRODUCT(H148:O148,$H$8:$O$8)/SUMPRODUCT(ISNUMBER(H148:O148)*$H$8:$O$8),2),""))))</f>
        <v/>
      </c>
      <c r="Q148" s="75"/>
      <c r="R148" s="76"/>
      <c r="S148" s="76"/>
      <c r="T148" s="76"/>
      <c r="U148" s="76"/>
      <c r="V148" s="76"/>
      <c r="W148" s="76"/>
      <c r="X148" s="76"/>
      <c r="Y148" s="76"/>
      <c r="Z148" s="77" t="str">
        <f aca="false">IF(B148="","",IF($Q148="NON",0,IF(COUNT(R148:Y148)=0,"",IFERROR(ROUND(SUMPRODUCT(R148:Y148,$R$8:$Y$8)/SUMPRODUCT(ISNUMBER(R148:Y148)*$R$8:$Y$8),2),""))))</f>
        <v/>
      </c>
      <c r="AA148" s="75"/>
      <c r="AB148" s="76"/>
      <c r="AC148" s="76"/>
      <c r="AD148" s="76"/>
      <c r="AE148" s="76"/>
      <c r="AF148" s="76"/>
      <c r="AG148" s="76"/>
      <c r="AH148" s="76"/>
      <c r="AI148" s="76"/>
      <c r="AJ148" s="77" t="str">
        <f aca="false">IF(B148="","",IF($AA148="NON",0,IF(COUNT(AB148:AI148)=0,"",IFERROR(ROUND(SUMPRODUCT(AB148:AI148,$AB$8:$AI$8)/SUMPRODUCT(ISNUMBER(AB148:AI148)*$AB$8:$AI$8),2),""))))</f>
        <v/>
      </c>
      <c r="AK148" s="75"/>
      <c r="AL148" s="76"/>
      <c r="AM148" s="76"/>
      <c r="AN148" s="76"/>
      <c r="AO148" s="76"/>
      <c r="AP148" s="76"/>
      <c r="AQ148" s="76"/>
      <c r="AR148" s="76"/>
      <c r="AS148" s="76"/>
      <c r="AT148" s="77" t="str">
        <f aca="false">IF(B148="","",IF($AK148="NON",0,IF(COUNT(AL148:AS148)=0,"",IFERROR(ROUND(SUMPRODUCT(AL148:AS148,$AL$8:$AS$8)/SUMPRODUCT(ISNUMBER(AL148:AS148)*$AL$8:$AS$8),2),""))))</f>
        <v/>
      </c>
      <c r="AU148" s="51" t="str">
        <f aca="false">IFERROR(MATCH("CP-139",'REGISTRE ELEVES'!$AI$10:$AI$250,0),"")</f>
        <v/>
      </c>
    </row>
    <row r="149" customFormat="false" ht="15" hidden="false" customHeight="false" outlineLevel="0" collapsed="false">
      <c r="A149" s="73" t="str">
        <f aca="false">IF(B149="","",140)</f>
        <v/>
      </c>
      <c r="B149" s="73" t="str">
        <f aca="false">IF($AU149="","",INDEX('REGISTRE ELEVES'!$B$10:$B$250,$AU149))</f>
        <v/>
      </c>
      <c r="C149" s="74" t="str">
        <f aca="false">IF($AU149="","",INDEX('REGISTRE ELEVES'!$D$10:$D$250,$AU149))</f>
        <v/>
      </c>
      <c r="D149" s="73" t="str">
        <f aca="false">IF($AU149="","",INDEX('REGISTRE ELEVES'!$E$10:$E$250,$AU149))</f>
        <v/>
      </c>
      <c r="E149" s="73" t="str">
        <f aca="false">IF($AU149="","",INDEX('REGISTRE ELEVES'!$F$10:$F$250,$AU149))</f>
        <v/>
      </c>
      <c r="F149" s="73" t="str">
        <f aca="false">IF($AU149="","",INDEX('REGISTRE ELEVES'!$AE$10:$AE$250,$AU149))</f>
        <v/>
      </c>
      <c r="G149" s="75"/>
      <c r="H149" s="76"/>
      <c r="I149" s="76"/>
      <c r="J149" s="76"/>
      <c r="K149" s="76"/>
      <c r="L149" s="76"/>
      <c r="M149" s="76"/>
      <c r="N149" s="76"/>
      <c r="O149" s="76"/>
      <c r="P149" s="77" t="str">
        <f aca="false">IF(B149="","",IF($G149="NON",0,IF(COUNT(H149:O149)=0,"",IFERROR(ROUND(SUMPRODUCT(H149:O149,$H$8:$O$8)/SUMPRODUCT(ISNUMBER(H149:O149)*$H$8:$O$8),2),""))))</f>
        <v/>
      </c>
      <c r="Q149" s="75"/>
      <c r="R149" s="76"/>
      <c r="S149" s="76"/>
      <c r="T149" s="76"/>
      <c r="U149" s="76"/>
      <c r="V149" s="76"/>
      <c r="W149" s="76"/>
      <c r="X149" s="76"/>
      <c r="Y149" s="76"/>
      <c r="Z149" s="77" t="str">
        <f aca="false">IF(B149="","",IF($Q149="NON",0,IF(COUNT(R149:Y149)=0,"",IFERROR(ROUND(SUMPRODUCT(R149:Y149,$R$8:$Y$8)/SUMPRODUCT(ISNUMBER(R149:Y149)*$R$8:$Y$8),2),""))))</f>
        <v/>
      </c>
      <c r="AA149" s="75"/>
      <c r="AB149" s="76"/>
      <c r="AC149" s="76"/>
      <c r="AD149" s="76"/>
      <c r="AE149" s="76"/>
      <c r="AF149" s="76"/>
      <c r="AG149" s="76"/>
      <c r="AH149" s="76"/>
      <c r="AI149" s="76"/>
      <c r="AJ149" s="77" t="str">
        <f aca="false">IF(B149="","",IF($AA149="NON",0,IF(COUNT(AB149:AI149)=0,"",IFERROR(ROUND(SUMPRODUCT(AB149:AI149,$AB$8:$AI$8)/SUMPRODUCT(ISNUMBER(AB149:AI149)*$AB$8:$AI$8),2),""))))</f>
        <v/>
      </c>
      <c r="AK149" s="75"/>
      <c r="AL149" s="76"/>
      <c r="AM149" s="76"/>
      <c r="AN149" s="76"/>
      <c r="AO149" s="76"/>
      <c r="AP149" s="76"/>
      <c r="AQ149" s="76"/>
      <c r="AR149" s="76"/>
      <c r="AS149" s="76"/>
      <c r="AT149" s="77" t="str">
        <f aca="false">IF(B149="","",IF($AK149="NON",0,IF(COUNT(AL149:AS149)=0,"",IFERROR(ROUND(SUMPRODUCT(AL149:AS149,$AL$8:$AS$8)/SUMPRODUCT(ISNUMBER(AL149:AS149)*$AL$8:$AS$8),2),""))))</f>
        <v/>
      </c>
      <c r="AU149" s="51" t="str">
        <f aca="false">IFERROR(MATCH("CP-140",'REGISTRE ELEVES'!$AI$10:$AI$250,0),"")</f>
        <v/>
      </c>
    </row>
    <row r="150" customFormat="false" ht="15" hidden="false" customHeight="false" outlineLevel="0" collapsed="false">
      <c r="A150" s="73" t="str">
        <f aca="false">IF(B150="","",141)</f>
        <v/>
      </c>
      <c r="B150" s="73" t="str">
        <f aca="false">IF($AU150="","",INDEX('REGISTRE ELEVES'!$B$10:$B$250,$AU150))</f>
        <v/>
      </c>
      <c r="C150" s="74" t="str">
        <f aca="false">IF($AU150="","",INDEX('REGISTRE ELEVES'!$D$10:$D$250,$AU150))</f>
        <v/>
      </c>
      <c r="D150" s="73" t="str">
        <f aca="false">IF($AU150="","",INDEX('REGISTRE ELEVES'!$E$10:$E$250,$AU150))</f>
        <v/>
      </c>
      <c r="E150" s="73" t="str">
        <f aca="false">IF($AU150="","",INDEX('REGISTRE ELEVES'!$F$10:$F$250,$AU150))</f>
        <v/>
      </c>
      <c r="F150" s="73" t="str">
        <f aca="false">IF($AU150="","",INDEX('REGISTRE ELEVES'!$AE$10:$AE$250,$AU150))</f>
        <v/>
      </c>
      <c r="G150" s="75"/>
      <c r="H150" s="76"/>
      <c r="I150" s="76"/>
      <c r="J150" s="76"/>
      <c r="K150" s="76"/>
      <c r="L150" s="76"/>
      <c r="M150" s="76"/>
      <c r="N150" s="76"/>
      <c r="O150" s="76"/>
      <c r="P150" s="77" t="str">
        <f aca="false">IF(B150="","",IF($G150="NON",0,IF(COUNT(H150:O150)=0,"",IFERROR(ROUND(SUMPRODUCT(H150:O150,$H$8:$O$8)/SUMPRODUCT(ISNUMBER(H150:O150)*$H$8:$O$8),2),""))))</f>
        <v/>
      </c>
      <c r="Q150" s="75"/>
      <c r="R150" s="76"/>
      <c r="S150" s="76"/>
      <c r="T150" s="76"/>
      <c r="U150" s="76"/>
      <c r="V150" s="76"/>
      <c r="W150" s="76"/>
      <c r="X150" s="76"/>
      <c r="Y150" s="76"/>
      <c r="Z150" s="77" t="str">
        <f aca="false">IF(B150="","",IF($Q150="NON",0,IF(COUNT(R150:Y150)=0,"",IFERROR(ROUND(SUMPRODUCT(R150:Y150,$R$8:$Y$8)/SUMPRODUCT(ISNUMBER(R150:Y150)*$R$8:$Y$8),2),""))))</f>
        <v/>
      </c>
      <c r="AA150" s="75"/>
      <c r="AB150" s="76"/>
      <c r="AC150" s="76"/>
      <c r="AD150" s="76"/>
      <c r="AE150" s="76"/>
      <c r="AF150" s="76"/>
      <c r="AG150" s="76"/>
      <c r="AH150" s="76"/>
      <c r="AI150" s="76"/>
      <c r="AJ150" s="77" t="str">
        <f aca="false">IF(B150="","",IF($AA150="NON",0,IF(COUNT(AB150:AI150)=0,"",IFERROR(ROUND(SUMPRODUCT(AB150:AI150,$AB$8:$AI$8)/SUMPRODUCT(ISNUMBER(AB150:AI150)*$AB$8:$AI$8),2),""))))</f>
        <v/>
      </c>
      <c r="AK150" s="75"/>
      <c r="AL150" s="76"/>
      <c r="AM150" s="76"/>
      <c r="AN150" s="76"/>
      <c r="AO150" s="76"/>
      <c r="AP150" s="76"/>
      <c r="AQ150" s="76"/>
      <c r="AR150" s="76"/>
      <c r="AS150" s="76"/>
      <c r="AT150" s="77" t="str">
        <f aca="false">IF(B150="","",IF($AK150="NON",0,IF(COUNT(AL150:AS150)=0,"",IFERROR(ROUND(SUMPRODUCT(AL150:AS150,$AL$8:$AS$8)/SUMPRODUCT(ISNUMBER(AL150:AS150)*$AL$8:$AS$8),2),""))))</f>
        <v/>
      </c>
      <c r="AU150" s="51" t="str">
        <f aca="false">IFERROR(MATCH("CP-141",'REGISTRE ELEVES'!$AI$10:$AI$250,0),"")</f>
        <v/>
      </c>
    </row>
    <row r="151" customFormat="false" ht="15" hidden="false" customHeight="false" outlineLevel="0" collapsed="false">
      <c r="A151" s="73" t="str">
        <f aca="false">IF(B151="","",142)</f>
        <v/>
      </c>
      <c r="B151" s="73" t="str">
        <f aca="false">IF($AU151="","",INDEX('REGISTRE ELEVES'!$B$10:$B$250,$AU151))</f>
        <v/>
      </c>
      <c r="C151" s="74" t="str">
        <f aca="false">IF($AU151="","",INDEX('REGISTRE ELEVES'!$D$10:$D$250,$AU151))</f>
        <v/>
      </c>
      <c r="D151" s="73" t="str">
        <f aca="false">IF($AU151="","",INDEX('REGISTRE ELEVES'!$E$10:$E$250,$AU151))</f>
        <v/>
      </c>
      <c r="E151" s="73" t="str">
        <f aca="false">IF($AU151="","",INDEX('REGISTRE ELEVES'!$F$10:$F$250,$AU151))</f>
        <v/>
      </c>
      <c r="F151" s="73" t="str">
        <f aca="false">IF($AU151="","",INDEX('REGISTRE ELEVES'!$AE$10:$AE$250,$AU151))</f>
        <v/>
      </c>
      <c r="G151" s="75"/>
      <c r="H151" s="76"/>
      <c r="I151" s="76"/>
      <c r="J151" s="76"/>
      <c r="K151" s="76"/>
      <c r="L151" s="76"/>
      <c r="M151" s="76"/>
      <c r="N151" s="76"/>
      <c r="O151" s="76"/>
      <c r="P151" s="77" t="str">
        <f aca="false">IF(B151="","",IF($G151="NON",0,IF(COUNT(H151:O151)=0,"",IFERROR(ROUND(SUMPRODUCT(H151:O151,$H$8:$O$8)/SUMPRODUCT(ISNUMBER(H151:O151)*$H$8:$O$8),2),""))))</f>
        <v/>
      </c>
      <c r="Q151" s="75"/>
      <c r="R151" s="76"/>
      <c r="S151" s="76"/>
      <c r="T151" s="76"/>
      <c r="U151" s="76"/>
      <c r="V151" s="76"/>
      <c r="W151" s="76"/>
      <c r="X151" s="76"/>
      <c r="Y151" s="76"/>
      <c r="Z151" s="77" t="str">
        <f aca="false">IF(B151="","",IF($Q151="NON",0,IF(COUNT(R151:Y151)=0,"",IFERROR(ROUND(SUMPRODUCT(R151:Y151,$R$8:$Y$8)/SUMPRODUCT(ISNUMBER(R151:Y151)*$R$8:$Y$8),2),""))))</f>
        <v/>
      </c>
      <c r="AA151" s="75"/>
      <c r="AB151" s="76"/>
      <c r="AC151" s="76"/>
      <c r="AD151" s="76"/>
      <c r="AE151" s="76"/>
      <c r="AF151" s="76"/>
      <c r="AG151" s="76"/>
      <c r="AH151" s="76"/>
      <c r="AI151" s="76"/>
      <c r="AJ151" s="77" t="str">
        <f aca="false">IF(B151="","",IF($AA151="NON",0,IF(COUNT(AB151:AI151)=0,"",IFERROR(ROUND(SUMPRODUCT(AB151:AI151,$AB$8:$AI$8)/SUMPRODUCT(ISNUMBER(AB151:AI151)*$AB$8:$AI$8),2),""))))</f>
        <v/>
      </c>
      <c r="AK151" s="75"/>
      <c r="AL151" s="76"/>
      <c r="AM151" s="76"/>
      <c r="AN151" s="76"/>
      <c r="AO151" s="76"/>
      <c r="AP151" s="76"/>
      <c r="AQ151" s="76"/>
      <c r="AR151" s="76"/>
      <c r="AS151" s="76"/>
      <c r="AT151" s="77" t="str">
        <f aca="false">IF(B151="","",IF($AK151="NON",0,IF(COUNT(AL151:AS151)=0,"",IFERROR(ROUND(SUMPRODUCT(AL151:AS151,$AL$8:$AS$8)/SUMPRODUCT(ISNUMBER(AL151:AS151)*$AL$8:$AS$8),2),""))))</f>
        <v/>
      </c>
      <c r="AU151" s="51" t="str">
        <f aca="false">IFERROR(MATCH("CP-142",'REGISTRE ELEVES'!$AI$10:$AI$250,0),"")</f>
        <v/>
      </c>
    </row>
    <row r="152" customFormat="false" ht="15" hidden="false" customHeight="false" outlineLevel="0" collapsed="false">
      <c r="A152" s="73" t="str">
        <f aca="false">IF(B152="","",143)</f>
        <v/>
      </c>
      <c r="B152" s="73" t="str">
        <f aca="false">IF($AU152="","",INDEX('REGISTRE ELEVES'!$B$10:$B$250,$AU152))</f>
        <v/>
      </c>
      <c r="C152" s="74" t="str">
        <f aca="false">IF($AU152="","",INDEX('REGISTRE ELEVES'!$D$10:$D$250,$AU152))</f>
        <v/>
      </c>
      <c r="D152" s="73" t="str">
        <f aca="false">IF($AU152="","",INDEX('REGISTRE ELEVES'!$E$10:$E$250,$AU152))</f>
        <v/>
      </c>
      <c r="E152" s="73" t="str">
        <f aca="false">IF($AU152="","",INDEX('REGISTRE ELEVES'!$F$10:$F$250,$AU152))</f>
        <v/>
      </c>
      <c r="F152" s="73" t="str">
        <f aca="false">IF($AU152="","",INDEX('REGISTRE ELEVES'!$AE$10:$AE$250,$AU152))</f>
        <v/>
      </c>
      <c r="G152" s="75"/>
      <c r="H152" s="76"/>
      <c r="I152" s="76"/>
      <c r="J152" s="76"/>
      <c r="K152" s="76"/>
      <c r="L152" s="76"/>
      <c r="M152" s="76"/>
      <c r="N152" s="76"/>
      <c r="O152" s="76"/>
      <c r="P152" s="77" t="str">
        <f aca="false">IF(B152="","",IF($G152="NON",0,IF(COUNT(H152:O152)=0,"",IFERROR(ROUND(SUMPRODUCT(H152:O152,$H$8:$O$8)/SUMPRODUCT(ISNUMBER(H152:O152)*$H$8:$O$8),2),""))))</f>
        <v/>
      </c>
      <c r="Q152" s="75"/>
      <c r="R152" s="76"/>
      <c r="S152" s="76"/>
      <c r="T152" s="76"/>
      <c r="U152" s="76"/>
      <c r="V152" s="76"/>
      <c r="W152" s="76"/>
      <c r="X152" s="76"/>
      <c r="Y152" s="76"/>
      <c r="Z152" s="77" t="str">
        <f aca="false">IF(B152="","",IF($Q152="NON",0,IF(COUNT(R152:Y152)=0,"",IFERROR(ROUND(SUMPRODUCT(R152:Y152,$R$8:$Y$8)/SUMPRODUCT(ISNUMBER(R152:Y152)*$R$8:$Y$8),2),""))))</f>
        <v/>
      </c>
      <c r="AA152" s="75"/>
      <c r="AB152" s="76"/>
      <c r="AC152" s="76"/>
      <c r="AD152" s="76"/>
      <c r="AE152" s="76"/>
      <c r="AF152" s="76"/>
      <c r="AG152" s="76"/>
      <c r="AH152" s="76"/>
      <c r="AI152" s="76"/>
      <c r="AJ152" s="77" t="str">
        <f aca="false">IF(B152="","",IF($AA152="NON",0,IF(COUNT(AB152:AI152)=0,"",IFERROR(ROUND(SUMPRODUCT(AB152:AI152,$AB$8:$AI$8)/SUMPRODUCT(ISNUMBER(AB152:AI152)*$AB$8:$AI$8),2),""))))</f>
        <v/>
      </c>
      <c r="AK152" s="75"/>
      <c r="AL152" s="76"/>
      <c r="AM152" s="76"/>
      <c r="AN152" s="76"/>
      <c r="AO152" s="76"/>
      <c r="AP152" s="76"/>
      <c r="AQ152" s="76"/>
      <c r="AR152" s="76"/>
      <c r="AS152" s="76"/>
      <c r="AT152" s="77" t="str">
        <f aca="false">IF(B152="","",IF($AK152="NON",0,IF(COUNT(AL152:AS152)=0,"",IFERROR(ROUND(SUMPRODUCT(AL152:AS152,$AL$8:$AS$8)/SUMPRODUCT(ISNUMBER(AL152:AS152)*$AL$8:$AS$8),2),""))))</f>
        <v/>
      </c>
      <c r="AU152" s="51" t="str">
        <f aca="false">IFERROR(MATCH("CP-143",'REGISTRE ELEVES'!$AI$10:$AI$250,0),"")</f>
        <v/>
      </c>
    </row>
    <row r="153" customFormat="false" ht="15" hidden="false" customHeight="false" outlineLevel="0" collapsed="false">
      <c r="A153" s="73" t="str">
        <f aca="false">IF(B153="","",144)</f>
        <v/>
      </c>
      <c r="B153" s="73" t="str">
        <f aca="false">IF($AU153="","",INDEX('REGISTRE ELEVES'!$B$10:$B$250,$AU153))</f>
        <v/>
      </c>
      <c r="C153" s="74" t="str">
        <f aca="false">IF($AU153="","",INDEX('REGISTRE ELEVES'!$D$10:$D$250,$AU153))</f>
        <v/>
      </c>
      <c r="D153" s="73" t="str">
        <f aca="false">IF($AU153="","",INDEX('REGISTRE ELEVES'!$E$10:$E$250,$AU153))</f>
        <v/>
      </c>
      <c r="E153" s="73" t="str">
        <f aca="false">IF($AU153="","",INDEX('REGISTRE ELEVES'!$F$10:$F$250,$AU153))</f>
        <v/>
      </c>
      <c r="F153" s="73" t="str">
        <f aca="false">IF($AU153="","",INDEX('REGISTRE ELEVES'!$AE$10:$AE$250,$AU153))</f>
        <v/>
      </c>
      <c r="G153" s="75"/>
      <c r="H153" s="76"/>
      <c r="I153" s="76"/>
      <c r="J153" s="76"/>
      <c r="K153" s="76"/>
      <c r="L153" s="76"/>
      <c r="M153" s="76"/>
      <c r="N153" s="76"/>
      <c r="O153" s="76"/>
      <c r="P153" s="77" t="str">
        <f aca="false">IF(B153="","",IF($G153="NON",0,IF(COUNT(H153:O153)=0,"",IFERROR(ROUND(SUMPRODUCT(H153:O153,$H$8:$O$8)/SUMPRODUCT(ISNUMBER(H153:O153)*$H$8:$O$8),2),""))))</f>
        <v/>
      </c>
      <c r="Q153" s="75"/>
      <c r="R153" s="76"/>
      <c r="S153" s="76"/>
      <c r="T153" s="76"/>
      <c r="U153" s="76"/>
      <c r="V153" s="76"/>
      <c r="W153" s="76"/>
      <c r="X153" s="76"/>
      <c r="Y153" s="76"/>
      <c r="Z153" s="77" t="str">
        <f aca="false">IF(B153="","",IF($Q153="NON",0,IF(COUNT(R153:Y153)=0,"",IFERROR(ROUND(SUMPRODUCT(R153:Y153,$R$8:$Y$8)/SUMPRODUCT(ISNUMBER(R153:Y153)*$R$8:$Y$8),2),""))))</f>
        <v/>
      </c>
      <c r="AA153" s="75"/>
      <c r="AB153" s="76"/>
      <c r="AC153" s="76"/>
      <c r="AD153" s="76"/>
      <c r="AE153" s="76"/>
      <c r="AF153" s="76"/>
      <c r="AG153" s="76"/>
      <c r="AH153" s="76"/>
      <c r="AI153" s="76"/>
      <c r="AJ153" s="77" t="str">
        <f aca="false">IF(B153="","",IF($AA153="NON",0,IF(COUNT(AB153:AI153)=0,"",IFERROR(ROUND(SUMPRODUCT(AB153:AI153,$AB$8:$AI$8)/SUMPRODUCT(ISNUMBER(AB153:AI153)*$AB$8:$AI$8),2),""))))</f>
        <v/>
      </c>
      <c r="AK153" s="75"/>
      <c r="AL153" s="76"/>
      <c r="AM153" s="76"/>
      <c r="AN153" s="76"/>
      <c r="AO153" s="76"/>
      <c r="AP153" s="76"/>
      <c r="AQ153" s="76"/>
      <c r="AR153" s="76"/>
      <c r="AS153" s="76"/>
      <c r="AT153" s="77" t="str">
        <f aca="false">IF(B153="","",IF($AK153="NON",0,IF(COUNT(AL153:AS153)=0,"",IFERROR(ROUND(SUMPRODUCT(AL153:AS153,$AL$8:$AS$8)/SUMPRODUCT(ISNUMBER(AL153:AS153)*$AL$8:$AS$8),2),""))))</f>
        <v/>
      </c>
      <c r="AU153" s="51" t="str">
        <f aca="false">IFERROR(MATCH("CP-144",'REGISTRE ELEVES'!$AI$10:$AI$250,0),"")</f>
        <v/>
      </c>
    </row>
    <row r="154" customFormat="false" ht="15" hidden="false" customHeight="false" outlineLevel="0" collapsed="false">
      <c r="A154" s="73" t="str">
        <f aca="false">IF(B154="","",145)</f>
        <v/>
      </c>
      <c r="B154" s="73" t="str">
        <f aca="false">IF($AU154="","",INDEX('REGISTRE ELEVES'!$B$10:$B$250,$AU154))</f>
        <v/>
      </c>
      <c r="C154" s="74" t="str">
        <f aca="false">IF($AU154="","",INDEX('REGISTRE ELEVES'!$D$10:$D$250,$AU154))</f>
        <v/>
      </c>
      <c r="D154" s="73" t="str">
        <f aca="false">IF($AU154="","",INDEX('REGISTRE ELEVES'!$E$10:$E$250,$AU154))</f>
        <v/>
      </c>
      <c r="E154" s="73" t="str">
        <f aca="false">IF($AU154="","",INDEX('REGISTRE ELEVES'!$F$10:$F$250,$AU154))</f>
        <v/>
      </c>
      <c r="F154" s="73" t="str">
        <f aca="false">IF($AU154="","",INDEX('REGISTRE ELEVES'!$AE$10:$AE$250,$AU154))</f>
        <v/>
      </c>
      <c r="G154" s="75"/>
      <c r="H154" s="76"/>
      <c r="I154" s="76"/>
      <c r="J154" s="76"/>
      <c r="K154" s="76"/>
      <c r="L154" s="76"/>
      <c r="M154" s="76"/>
      <c r="N154" s="76"/>
      <c r="O154" s="76"/>
      <c r="P154" s="77" t="str">
        <f aca="false">IF(B154="","",IF($G154="NON",0,IF(COUNT(H154:O154)=0,"",IFERROR(ROUND(SUMPRODUCT(H154:O154,$H$8:$O$8)/SUMPRODUCT(ISNUMBER(H154:O154)*$H$8:$O$8),2),""))))</f>
        <v/>
      </c>
      <c r="Q154" s="75"/>
      <c r="R154" s="76"/>
      <c r="S154" s="76"/>
      <c r="T154" s="76"/>
      <c r="U154" s="76"/>
      <c r="V154" s="76"/>
      <c r="W154" s="76"/>
      <c r="X154" s="76"/>
      <c r="Y154" s="76"/>
      <c r="Z154" s="77" t="str">
        <f aca="false">IF(B154="","",IF($Q154="NON",0,IF(COUNT(R154:Y154)=0,"",IFERROR(ROUND(SUMPRODUCT(R154:Y154,$R$8:$Y$8)/SUMPRODUCT(ISNUMBER(R154:Y154)*$R$8:$Y$8),2),""))))</f>
        <v/>
      </c>
      <c r="AA154" s="75"/>
      <c r="AB154" s="76"/>
      <c r="AC154" s="76"/>
      <c r="AD154" s="76"/>
      <c r="AE154" s="76"/>
      <c r="AF154" s="76"/>
      <c r="AG154" s="76"/>
      <c r="AH154" s="76"/>
      <c r="AI154" s="76"/>
      <c r="AJ154" s="77" t="str">
        <f aca="false">IF(B154="","",IF($AA154="NON",0,IF(COUNT(AB154:AI154)=0,"",IFERROR(ROUND(SUMPRODUCT(AB154:AI154,$AB$8:$AI$8)/SUMPRODUCT(ISNUMBER(AB154:AI154)*$AB$8:$AI$8),2),""))))</f>
        <v/>
      </c>
      <c r="AK154" s="75"/>
      <c r="AL154" s="76"/>
      <c r="AM154" s="76"/>
      <c r="AN154" s="76"/>
      <c r="AO154" s="76"/>
      <c r="AP154" s="76"/>
      <c r="AQ154" s="76"/>
      <c r="AR154" s="76"/>
      <c r="AS154" s="76"/>
      <c r="AT154" s="77" t="str">
        <f aca="false">IF(B154="","",IF($AK154="NON",0,IF(COUNT(AL154:AS154)=0,"",IFERROR(ROUND(SUMPRODUCT(AL154:AS154,$AL$8:$AS$8)/SUMPRODUCT(ISNUMBER(AL154:AS154)*$AL$8:$AS$8),2),""))))</f>
        <v/>
      </c>
      <c r="AU154" s="51" t="str">
        <f aca="false">IFERROR(MATCH("CP-145",'REGISTRE ELEVES'!$AI$10:$AI$250,0),"")</f>
        <v/>
      </c>
    </row>
    <row r="155" customFormat="false" ht="15" hidden="false" customHeight="false" outlineLevel="0" collapsed="false">
      <c r="A155" s="73" t="str">
        <f aca="false">IF(B155="","",146)</f>
        <v/>
      </c>
      <c r="B155" s="73" t="str">
        <f aca="false">IF($AU155="","",INDEX('REGISTRE ELEVES'!$B$10:$B$250,$AU155))</f>
        <v/>
      </c>
      <c r="C155" s="74" t="str">
        <f aca="false">IF($AU155="","",INDEX('REGISTRE ELEVES'!$D$10:$D$250,$AU155))</f>
        <v/>
      </c>
      <c r="D155" s="73" t="str">
        <f aca="false">IF($AU155="","",INDEX('REGISTRE ELEVES'!$E$10:$E$250,$AU155))</f>
        <v/>
      </c>
      <c r="E155" s="73" t="str">
        <f aca="false">IF($AU155="","",INDEX('REGISTRE ELEVES'!$F$10:$F$250,$AU155))</f>
        <v/>
      </c>
      <c r="F155" s="73" t="str">
        <f aca="false">IF($AU155="","",INDEX('REGISTRE ELEVES'!$AE$10:$AE$250,$AU155))</f>
        <v/>
      </c>
      <c r="G155" s="75"/>
      <c r="H155" s="76"/>
      <c r="I155" s="76"/>
      <c r="J155" s="76"/>
      <c r="K155" s="76"/>
      <c r="L155" s="76"/>
      <c r="M155" s="76"/>
      <c r="N155" s="76"/>
      <c r="O155" s="76"/>
      <c r="P155" s="77" t="str">
        <f aca="false">IF(B155="","",IF($G155="NON",0,IF(COUNT(H155:O155)=0,"",IFERROR(ROUND(SUMPRODUCT(H155:O155,$H$8:$O$8)/SUMPRODUCT(ISNUMBER(H155:O155)*$H$8:$O$8),2),""))))</f>
        <v/>
      </c>
      <c r="Q155" s="75"/>
      <c r="R155" s="76"/>
      <c r="S155" s="76"/>
      <c r="T155" s="76"/>
      <c r="U155" s="76"/>
      <c r="V155" s="76"/>
      <c r="W155" s="76"/>
      <c r="X155" s="76"/>
      <c r="Y155" s="76"/>
      <c r="Z155" s="77" t="str">
        <f aca="false">IF(B155="","",IF($Q155="NON",0,IF(COUNT(R155:Y155)=0,"",IFERROR(ROUND(SUMPRODUCT(R155:Y155,$R$8:$Y$8)/SUMPRODUCT(ISNUMBER(R155:Y155)*$R$8:$Y$8),2),""))))</f>
        <v/>
      </c>
      <c r="AA155" s="75"/>
      <c r="AB155" s="76"/>
      <c r="AC155" s="76"/>
      <c r="AD155" s="76"/>
      <c r="AE155" s="76"/>
      <c r="AF155" s="76"/>
      <c r="AG155" s="76"/>
      <c r="AH155" s="76"/>
      <c r="AI155" s="76"/>
      <c r="AJ155" s="77" t="str">
        <f aca="false">IF(B155="","",IF($AA155="NON",0,IF(COUNT(AB155:AI155)=0,"",IFERROR(ROUND(SUMPRODUCT(AB155:AI155,$AB$8:$AI$8)/SUMPRODUCT(ISNUMBER(AB155:AI155)*$AB$8:$AI$8),2),""))))</f>
        <v/>
      </c>
      <c r="AK155" s="75"/>
      <c r="AL155" s="76"/>
      <c r="AM155" s="76"/>
      <c r="AN155" s="76"/>
      <c r="AO155" s="76"/>
      <c r="AP155" s="76"/>
      <c r="AQ155" s="76"/>
      <c r="AR155" s="76"/>
      <c r="AS155" s="76"/>
      <c r="AT155" s="77" t="str">
        <f aca="false">IF(B155="","",IF($AK155="NON",0,IF(COUNT(AL155:AS155)=0,"",IFERROR(ROUND(SUMPRODUCT(AL155:AS155,$AL$8:$AS$8)/SUMPRODUCT(ISNUMBER(AL155:AS155)*$AL$8:$AS$8),2),""))))</f>
        <v/>
      </c>
      <c r="AU155" s="51" t="str">
        <f aca="false">IFERROR(MATCH("CP-146",'REGISTRE ELEVES'!$AI$10:$AI$250,0),"")</f>
        <v/>
      </c>
    </row>
    <row r="156" customFormat="false" ht="15" hidden="false" customHeight="false" outlineLevel="0" collapsed="false">
      <c r="A156" s="73" t="str">
        <f aca="false">IF(B156="","",147)</f>
        <v/>
      </c>
      <c r="B156" s="73" t="str">
        <f aca="false">IF($AU156="","",INDEX('REGISTRE ELEVES'!$B$10:$B$250,$AU156))</f>
        <v/>
      </c>
      <c r="C156" s="74" t="str">
        <f aca="false">IF($AU156="","",INDEX('REGISTRE ELEVES'!$D$10:$D$250,$AU156))</f>
        <v/>
      </c>
      <c r="D156" s="73" t="str">
        <f aca="false">IF($AU156="","",INDEX('REGISTRE ELEVES'!$E$10:$E$250,$AU156))</f>
        <v/>
      </c>
      <c r="E156" s="73" t="str">
        <f aca="false">IF($AU156="","",INDEX('REGISTRE ELEVES'!$F$10:$F$250,$AU156))</f>
        <v/>
      </c>
      <c r="F156" s="73" t="str">
        <f aca="false">IF($AU156="","",INDEX('REGISTRE ELEVES'!$AE$10:$AE$250,$AU156))</f>
        <v/>
      </c>
      <c r="G156" s="75"/>
      <c r="H156" s="76"/>
      <c r="I156" s="76"/>
      <c r="J156" s="76"/>
      <c r="K156" s="76"/>
      <c r="L156" s="76"/>
      <c r="M156" s="76"/>
      <c r="N156" s="76"/>
      <c r="O156" s="76"/>
      <c r="P156" s="77" t="str">
        <f aca="false">IF(B156="","",IF($G156="NON",0,IF(COUNT(H156:O156)=0,"",IFERROR(ROUND(SUMPRODUCT(H156:O156,$H$8:$O$8)/SUMPRODUCT(ISNUMBER(H156:O156)*$H$8:$O$8),2),""))))</f>
        <v/>
      </c>
      <c r="Q156" s="75"/>
      <c r="R156" s="76"/>
      <c r="S156" s="76"/>
      <c r="T156" s="76"/>
      <c r="U156" s="76"/>
      <c r="V156" s="76"/>
      <c r="W156" s="76"/>
      <c r="X156" s="76"/>
      <c r="Y156" s="76"/>
      <c r="Z156" s="77" t="str">
        <f aca="false">IF(B156="","",IF($Q156="NON",0,IF(COUNT(R156:Y156)=0,"",IFERROR(ROUND(SUMPRODUCT(R156:Y156,$R$8:$Y$8)/SUMPRODUCT(ISNUMBER(R156:Y156)*$R$8:$Y$8),2),""))))</f>
        <v/>
      </c>
      <c r="AA156" s="75"/>
      <c r="AB156" s="76"/>
      <c r="AC156" s="76"/>
      <c r="AD156" s="76"/>
      <c r="AE156" s="76"/>
      <c r="AF156" s="76"/>
      <c r="AG156" s="76"/>
      <c r="AH156" s="76"/>
      <c r="AI156" s="76"/>
      <c r="AJ156" s="77" t="str">
        <f aca="false">IF(B156="","",IF($AA156="NON",0,IF(COUNT(AB156:AI156)=0,"",IFERROR(ROUND(SUMPRODUCT(AB156:AI156,$AB$8:$AI$8)/SUMPRODUCT(ISNUMBER(AB156:AI156)*$AB$8:$AI$8),2),""))))</f>
        <v/>
      </c>
      <c r="AK156" s="75"/>
      <c r="AL156" s="76"/>
      <c r="AM156" s="76"/>
      <c r="AN156" s="76"/>
      <c r="AO156" s="76"/>
      <c r="AP156" s="76"/>
      <c r="AQ156" s="76"/>
      <c r="AR156" s="76"/>
      <c r="AS156" s="76"/>
      <c r="AT156" s="77" t="str">
        <f aca="false">IF(B156="","",IF($AK156="NON",0,IF(COUNT(AL156:AS156)=0,"",IFERROR(ROUND(SUMPRODUCT(AL156:AS156,$AL$8:$AS$8)/SUMPRODUCT(ISNUMBER(AL156:AS156)*$AL$8:$AS$8),2),""))))</f>
        <v/>
      </c>
      <c r="AU156" s="51" t="str">
        <f aca="false">IFERROR(MATCH("CP-147",'REGISTRE ELEVES'!$AI$10:$AI$250,0),"")</f>
        <v/>
      </c>
    </row>
    <row r="157" customFormat="false" ht="15" hidden="false" customHeight="false" outlineLevel="0" collapsed="false">
      <c r="A157" s="73" t="str">
        <f aca="false">IF(B157="","",148)</f>
        <v/>
      </c>
      <c r="B157" s="73" t="str">
        <f aca="false">IF($AU157="","",INDEX('REGISTRE ELEVES'!$B$10:$B$250,$AU157))</f>
        <v/>
      </c>
      <c r="C157" s="74" t="str">
        <f aca="false">IF($AU157="","",INDEX('REGISTRE ELEVES'!$D$10:$D$250,$AU157))</f>
        <v/>
      </c>
      <c r="D157" s="73" t="str">
        <f aca="false">IF($AU157="","",INDEX('REGISTRE ELEVES'!$E$10:$E$250,$AU157))</f>
        <v/>
      </c>
      <c r="E157" s="73" t="str">
        <f aca="false">IF($AU157="","",INDEX('REGISTRE ELEVES'!$F$10:$F$250,$AU157))</f>
        <v/>
      </c>
      <c r="F157" s="73" t="str">
        <f aca="false">IF($AU157="","",INDEX('REGISTRE ELEVES'!$AE$10:$AE$250,$AU157))</f>
        <v/>
      </c>
      <c r="G157" s="75"/>
      <c r="H157" s="76"/>
      <c r="I157" s="76"/>
      <c r="J157" s="76"/>
      <c r="K157" s="76"/>
      <c r="L157" s="76"/>
      <c r="M157" s="76"/>
      <c r="N157" s="76"/>
      <c r="O157" s="76"/>
      <c r="P157" s="77" t="str">
        <f aca="false">IF(B157="","",IF($G157="NON",0,IF(COUNT(H157:O157)=0,"",IFERROR(ROUND(SUMPRODUCT(H157:O157,$H$8:$O$8)/SUMPRODUCT(ISNUMBER(H157:O157)*$H$8:$O$8),2),""))))</f>
        <v/>
      </c>
      <c r="Q157" s="75"/>
      <c r="R157" s="76"/>
      <c r="S157" s="76"/>
      <c r="T157" s="76"/>
      <c r="U157" s="76"/>
      <c r="V157" s="76"/>
      <c r="W157" s="76"/>
      <c r="X157" s="76"/>
      <c r="Y157" s="76"/>
      <c r="Z157" s="77" t="str">
        <f aca="false">IF(B157="","",IF($Q157="NON",0,IF(COUNT(R157:Y157)=0,"",IFERROR(ROUND(SUMPRODUCT(R157:Y157,$R$8:$Y$8)/SUMPRODUCT(ISNUMBER(R157:Y157)*$R$8:$Y$8),2),""))))</f>
        <v/>
      </c>
      <c r="AA157" s="75"/>
      <c r="AB157" s="76"/>
      <c r="AC157" s="76"/>
      <c r="AD157" s="76"/>
      <c r="AE157" s="76"/>
      <c r="AF157" s="76"/>
      <c r="AG157" s="76"/>
      <c r="AH157" s="76"/>
      <c r="AI157" s="76"/>
      <c r="AJ157" s="77" t="str">
        <f aca="false">IF(B157="","",IF($AA157="NON",0,IF(COUNT(AB157:AI157)=0,"",IFERROR(ROUND(SUMPRODUCT(AB157:AI157,$AB$8:$AI$8)/SUMPRODUCT(ISNUMBER(AB157:AI157)*$AB$8:$AI$8),2),""))))</f>
        <v/>
      </c>
      <c r="AK157" s="75"/>
      <c r="AL157" s="76"/>
      <c r="AM157" s="76"/>
      <c r="AN157" s="76"/>
      <c r="AO157" s="76"/>
      <c r="AP157" s="76"/>
      <c r="AQ157" s="76"/>
      <c r="AR157" s="76"/>
      <c r="AS157" s="76"/>
      <c r="AT157" s="77" t="str">
        <f aca="false">IF(B157="","",IF($AK157="NON",0,IF(COUNT(AL157:AS157)=0,"",IFERROR(ROUND(SUMPRODUCT(AL157:AS157,$AL$8:$AS$8)/SUMPRODUCT(ISNUMBER(AL157:AS157)*$AL$8:$AS$8),2),""))))</f>
        <v/>
      </c>
      <c r="AU157" s="51" t="str">
        <f aca="false">IFERROR(MATCH("CP-148",'REGISTRE ELEVES'!$AI$10:$AI$250,0),"")</f>
        <v/>
      </c>
    </row>
    <row r="158" customFormat="false" ht="15" hidden="false" customHeight="false" outlineLevel="0" collapsed="false">
      <c r="A158" s="73" t="str">
        <f aca="false">IF(B158="","",149)</f>
        <v/>
      </c>
      <c r="B158" s="73" t="str">
        <f aca="false">IF($AU158="","",INDEX('REGISTRE ELEVES'!$B$10:$B$250,$AU158))</f>
        <v/>
      </c>
      <c r="C158" s="74" t="str">
        <f aca="false">IF($AU158="","",INDEX('REGISTRE ELEVES'!$D$10:$D$250,$AU158))</f>
        <v/>
      </c>
      <c r="D158" s="73" t="str">
        <f aca="false">IF($AU158="","",INDEX('REGISTRE ELEVES'!$E$10:$E$250,$AU158))</f>
        <v/>
      </c>
      <c r="E158" s="73" t="str">
        <f aca="false">IF($AU158="","",INDEX('REGISTRE ELEVES'!$F$10:$F$250,$AU158))</f>
        <v/>
      </c>
      <c r="F158" s="73" t="str">
        <f aca="false">IF($AU158="","",INDEX('REGISTRE ELEVES'!$AE$10:$AE$250,$AU158))</f>
        <v/>
      </c>
      <c r="G158" s="75"/>
      <c r="H158" s="76"/>
      <c r="I158" s="76"/>
      <c r="J158" s="76"/>
      <c r="K158" s="76"/>
      <c r="L158" s="76"/>
      <c r="M158" s="76"/>
      <c r="N158" s="76"/>
      <c r="O158" s="76"/>
      <c r="P158" s="77" t="str">
        <f aca="false">IF(B158="","",IF($G158="NON",0,IF(COUNT(H158:O158)=0,"",IFERROR(ROUND(SUMPRODUCT(H158:O158,$H$8:$O$8)/SUMPRODUCT(ISNUMBER(H158:O158)*$H$8:$O$8),2),""))))</f>
        <v/>
      </c>
      <c r="Q158" s="75"/>
      <c r="R158" s="76"/>
      <c r="S158" s="76"/>
      <c r="T158" s="76"/>
      <c r="U158" s="76"/>
      <c r="V158" s="76"/>
      <c r="W158" s="76"/>
      <c r="X158" s="76"/>
      <c r="Y158" s="76"/>
      <c r="Z158" s="77" t="str">
        <f aca="false">IF(B158="","",IF($Q158="NON",0,IF(COUNT(R158:Y158)=0,"",IFERROR(ROUND(SUMPRODUCT(R158:Y158,$R$8:$Y$8)/SUMPRODUCT(ISNUMBER(R158:Y158)*$R$8:$Y$8),2),""))))</f>
        <v/>
      </c>
      <c r="AA158" s="75"/>
      <c r="AB158" s="76"/>
      <c r="AC158" s="76"/>
      <c r="AD158" s="76"/>
      <c r="AE158" s="76"/>
      <c r="AF158" s="76"/>
      <c r="AG158" s="76"/>
      <c r="AH158" s="76"/>
      <c r="AI158" s="76"/>
      <c r="AJ158" s="77" t="str">
        <f aca="false">IF(B158="","",IF($AA158="NON",0,IF(COUNT(AB158:AI158)=0,"",IFERROR(ROUND(SUMPRODUCT(AB158:AI158,$AB$8:$AI$8)/SUMPRODUCT(ISNUMBER(AB158:AI158)*$AB$8:$AI$8),2),""))))</f>
        <v/>
      </c>
      <c r="AK158" s="75"/>
      <c r="AL158" s="76"/>
      <c r="AM158" s="76"/>
      <c r="AN158" s="76"/>
      <c r="AO158" s="76"/>
      <c r="AP158" s="76"/>
      <c r="AQ158" s="76"/>
      <c r="AR158" s="76"/>
      <c r="AS158" s="76"/>
      <c r="AT158" s="77" t="str">
        <f aca="false">IF(B158="","",IF($AK158="NON",0,IF(COUNT(AL158:AS158)=0,"",IFERROR(ROUND(SUMPRODUCT(AL158:AS158,$AL$8:$AS$8)/SUMPRODUCT(ISNUMBER(AL158:AS158)*$AL$8:$AS$8),2),""))))</f>
        <v/>
      </c>
      <c r="AU158" s="51" t="str">
        <f aca="false">IFERROR(MATCH("CP-149",'REGISTRE ELEVES'!$AI$10:$AI$250,0),"")</f>
        <v/>
      </c>
    </row>
    <row r="159" customFormat="false" ht="15" hidden="false" customHeight="false" outlineLevel="0" collapsed="false">
      <c r="A159" s="73" t="str">
        <f aca="false">IF(B159="","",150)</f>
        <v/>
      </c>
      <c r="B159" s="73" t="str">
        <f aca="false">IF($AU159="","",INDEX('REGISTRE ELEVES'!$B$10:$B$250,$AU159))</f>
        <v/>
      </c>
      <c r="C159" s="74" t="str">
        <f aca="false">IF($AU159="","",INDEX('REGISTRE ELEVES'!$D$10:$D$250,$AU159))</f>
        <v/>
      </c>
      <c r="D159" s="73" t="str">
        <f aca="false">IF($AU159="","",INDEX('REGISTRE ELEVES'!$E$10:$E$250,$AU159))</f>
        <v/>
      </c>
      <c r="E159" s="73" t="str">
        <f aca="false">IF($AU159="","",INDEX('REGISTRE ELEVES'!$F$10:$F$250,$AU159))</f>
        <v/>
      </c>
      <c r="F159" s="73" t="str">
        <f aca="false">IF($AU159="","",INDEX('REGISTRE ELEVES'!$AE$10:$AE$250,$AU159))</f>
        <v/>
      </c>
      <c r="G159" s="75"/>
      <c r="H159" s="76"/>
      <c r="I159" s="76"/>
      <c r="J159" s="76"/>
      <c r="K159" s="76"/>
      <c r="L159" s="76"/>
      <c r="M159" s="76"/>
      <c r="N159" s="76"/>
      <c r="O159" s="76"/>
      <c r="P159" s="77" t="str">
        <f aca="false">IF(B159="","",IF($G159="NON",0,IF(COUNT(H159:O159)=0,"",IFERROR(ROUND(SUMPRODUCT(H159:O159,$H$8:$O$8)/SUMPRODUCT(ISNUMBER(H159:O159)*$H$8:$O$8),2),""))))</f>
        <v/>
      </c>
      <c r="Q159" s="75"/>
      <c r="R159" s="76"/>
      <c r="S159" s="76"/>
      <c r="T159" s="76"/>
      <c r="U159" s="76"/>
      <c r="V159" s="76"/>
      <c r="W159" s="76"/>
      <c r="X159" s="76"/>
      <c r="Y159" s="76"/>
      <c r="Z159" s="77" t="str">
        <f aca="false">IF(B159="","",IF($Q159="NON",0,IF(COUNT(R159:Y159)=0,"",IFERROR(ROUND(SUMPRODUCT(R159:Y159,$R$8:$Y$8)/SUMPRODUCT(ISNUMBER(R159:Y159)*$R$8:$Y$8),2),""))))</f>
        <v/>
      </c>
      <c r="AA159" s="75"/>
      <c r="AB159" s="76"/>
      <c r="AC159" s="76"/>
      <c r="AD159" s="76"/>
      <c r="AE159" s="76"/>
      <c r="AF159" s="76"/>
      <c r="AG159" s="76"/>
      <c r="AH159" s="76"/>
      <c r="AI159" s="76"/>
      <c r="AJ159" s="77" t="str">
        <f aca="false">IF(B159="","",IF($AA159="NON",0,IF(COUNT(AB159:AI159)=0,"",IFERROR(ROUND(SUMPRODUCT(AB159:AI159,$AB$8:$AI$8)/SUMPRODUCT(ISNUMBER(AB159:AI159)*$AB$8:$AI$8),2),""))))</f>
        <v/>
      </c>
      <c r="AK159" s="75"/>
      <c r="AL159" s="76"/>
      <c r="AM159" s="76"/>
      <c r="AN159" s="76"/>
      <c r="AO159" s="76"/>
      <c r="AP159" s="76"/>
      <c r="AQ159" s="76"/>
      <c r="AR159" s="76"/>
      <c r="AS159" s="76"/>
      <c r="AT159" s="77" t="str">
        <f aca="false">IF(B159="","",IF($AK159="NON",0,IF(COUNT(AL159:AS159)=0,"",IFERROR(ROUND(SUMPRODUCT(AL159:AS159,$AL$8:$AS$8)/SUMPRODUCT(ISNUMBER(AL159:AS159)*$AL$8:$AS$8),2),""))))</f>
        <v/>
      </c>
      <c r="AU159" s="51" t="str">
        <f aca="false">IFERROR(MATCH("CP-150",'REGISTRE ELEVES'!$AI$10:$AI$250,0),"")</f>
        <v/>
      </c>
    </row>
    <row r="160" customFormat="false" ht="15" hidden="false" customHeight="false" outlineLevel="0" collapsed="false">
      <c r="A160" s="73" t="str">
        <f aca="false">IF(B160="","",151)</f>
        <v/>
      </c>
      <c r="B160" s="73" t="str">
        <f aca="false">IF($AU160="","",INDEX('REGISTRE ELEVES'!$B$10:$B$250,$AU160))</f>
        <v/>
      </c>
      <c r="C160" s="74" t="str">
        <f aca="false">IF($AU160="","",INDEX('REGISTRE ELEVES'!$D$10:$D$250,$AU160))</f>
        <v/>
      </c>
      <c r="D160" s="73" t="str">
        <f aca="false">IF($AU160="","",INDEX('REGISTRE ELEVES'!$E$10:$E$250,$AU160))</f>
        <v/>
      </c>
      <c r="E160" s="73" t="str">
        <f aca="false">IF($AU160="","",INDEX('REGISTRE ELEVES'!$F$10:$F$250,$AU160))</f>
        <v/>
      </c>
      <c r="F160" s="73" t="str">
        <f aca="false">IF($AU160="","",INDEX('REGISTRE ELEVES'!$AE$10:$AE$250,$AU160))</f>
        <v/>
      </c>
      <c r="G160" s="75"/>
      <c r="H160" s="76"/>
      <c r="I160" s="76"/>
      <c r="J160" s="76"/>
      <c r="K160" s="76"/>
      <c r="L160" s="76"/>
      <c r="M160" s="76"/>
      <c r="N160" s="76"/>
      <c r="O160" s="76"/>
      <c r="P160" s="77" t="str">
        <f aca="false">IF(B160="","",IF($G160="NON",0,IF(COUNT(H160:O160)=0,"",IFERROR(ROUND(SUMPRODUCT(H160:O160,$H$8:$O$8)/SUMPRODUCT(ISNUMBER(H160:O160)*$H$8:$O$8),2),""))))</f>
        <v/>
      </c>
      <c r="Q160" s="75"/>
      <c r="R160" s="76"/>
      <c r="S160" s="76"/>
      <c r="T160" s="76"/>
      <c r="U160" s="76"/>
      <c r="V160" s="76"/>
      <c r="W160" s="76"/>
      <c r="X160" s="76"/>
      <c r="Y160" s="76"/>
      <c r="Z160" s="77" t="str">
        <f aca="false">IF(B160="","",IF($Q160="NON",0,IF(COUNT(R160:Y160)=0,"",IFERROR(ROUND(SUMPRODUCT(R160:Y160,$R$8:$Y$8)/SUMPRODUCT(ISNUMBER(R160:Y160)*$R$8:$Y$8),2),""))))</f>
        <v/>
      </c>
      <c r="AA160" s="75"/>
      <c r="AB160" s="76"/>
      <c r="AC160" s="76"/>
      <c r="AD160" s="76"/>
      <c r="AE160" s="76"/>
      <c r="AF160" s="76"/>
      <c r="AG160" s="76"/>
      <c r="AH160" s="76"/>
      <c r="AI160" s="76"/>
      <c r="AJ160" s="77" t="str">
        <f aca="false">IF(B160="","",IF($AA160="NON",0,IF(COUNT(AB160:AI160)=0,"",IFERROR(ROUND(SUMPRODUCT(AB160:AI160,$AB$8:$AI$8)/SUMPRODUCT(ISNUMBER(AB160:AI160)*$AB$8:$AI$8),2),""))))</f>
        <v/>
      </c>
      <c r="AK160" s="75"/>
      <c r="AL160" s="76"/>
      <c r="AM160" s="76"/>
      <c r="AN160" s="76"/>
      <c r="AO160" s="76"/>
      <c r="AP160" s="76"/>
      <c r="AQ160" s="76"/>
      <c r="AR160" s="76"/>
      <c r="AS160" s="76"/>
      <c r="AT160" s="77" t="str">
        <f aca="false">IF(B160="","",IF($AK160="NON",0,IF(COUNT(AL160:AS160)=0,"",IFERROR(ROUND(SUMPRODUCT(AL160:AS160,$AL$8:$AS$8)/SUMPRODUCT(ISNUMBER(AL160:AS160)*$AL$8:$AS$8),2),""))))</f>
        <v/>
      </c>
      <c r="AU160" s="51" t="str">
        <f aca="false">IFERROR(MATCH("CP-151",'REGISTRE ELEVES'!$AI$10:$AI$250,0),"")</f>
        <v/>
      </c>
    </row>
    <row r="161" customFormat="false" ht="15" hidden="false" customHeight="false" outlineLevel="0" collapsed="false">
      <c r="A161" s="73" t="str">
        <f aca="false">IF(B161="","",152)</f>
        <v/>
      </c>
      <c r="B161" s="73" t="str">
        <f aca="false">IF($AU161="","",INDEX('REGISTRE ELEVES'!$B$10:$B$250,$AU161))</f>
        <v/>
      </c>
      <c r="C161" s="74" t="str">
        <f aca="false">IF($AU161="","",INDEX('REGISTRE ELEVES'!$D$10:$D$250,$AU161))</f>
        <v/>
      </c>
      <c r="D161" s="73" t="str">
        <f aca="false">IF($AU161="","",INDEX('REGISTRE ELEVES'!$E$10:$E$250,$AU161))</f>
        <v/>
      </c>
      <c r="E161" s="73" t="str">
        <f aca="false">IF($AU161="","",INDEX('REGISTRE ELEVES'!$F$10:$F$250,$AU161))</f>
        <v/>
      </c>
      <c r="F161" s="73" t="str">
        <f aca="false">IF($AU161="","",INDEX('REGISTRE ELEVES'!$AE$10:$AE$250,$AU161))</f>
        <v/>
      </c>
      <c r="G161" s="75"/>
      <c r="H161" s="76"/>
      <c r="I161" s="76"/>
      <c r="J161" s="76"/>
      <c r="K161" s="76"/>
      <c r="L161" s="76"/>
      <c r="M161" s="76"/>
      <c r="N161" s="76"/>
      <c r="O161" s="76"/>
      <c r="P161" s="77" t="str">
        <f aca="false">IF(B161="","",IF($G161="NON",0,IF(COUNT(H161:O161)=0,"",IFERROR(ROUND(SUMPRODUCT(H161:O161,$H$8:$O$8)/SUMPRODUCT(ISNUMBER(H161:O161)*$H$8:$O$8),2),""))))</f>
        <v/>
      </c>
      <c r="Q161" s="75"/>
      <c r="R161" s="76"/>
      <c r="S161" s="76"/>
      <c r="T161" s="76"/>
      <c r="U161" s="76"/>
      <c r="V161" s="76"/>
      <c r="W161" s="76"/>
      <c r="X161" s="76"/>
      <c r="Y161" s="76"/>
      <c r="Z161" s="77" t="str">
        <f aca="false">IF(B161="","",IF($Q161="NON",0,IF(COUNT(R161:Y161)=0,"",IFERROR(ROUND(SUMPRODUCT(R161:Y161,$R$8:$Y$8)/SUMPRODUCT(ISNUMBER(R161:Y161)*$R$8:$Y$8),2),""))))</f>
        <v/>
      </c>
      <c r="AA161" s="75"/>
      <c r="AB161" s="76"/>
      <c r="AC161" s="76"/>
      <c r="AD161" s="76"/>
      <c r="AE161" s="76"/>
      <c r="AF161" s="76"/>
      <c r="AG161" s="76"/>
      <c r="AH161" s="76"/>
      <c r="AI161" s="76"/>
      <c r="AJ161" s="77" t="str">
        <f aca="false">IF(B161="","",IF($AA161="NON",0,IF(COUNT(AB161:AI161)=0,"",IFERROR(ROUND(SUMPRODUCT(AB161:AI161,$AB$8:$AI$8)/SUMPRODUCT(ISNUMBER(AB161:AI161)*$AB$8:$AI$8),2),""))))</f>
        <v/>
      </c>
      <c r="AK161" s="75"/>
      <c r="AL161" s="76"/>
      <c r="AM161" s="76"/>
      <c r="AN161" s="76"/>
      <c r="AO161" s="76"/>
      <c r="AP161" s="76"/>
      <c r="AQ161" s="76"/>
      <c r="AR161" s="76"/>
      <c r="AS161" s="76"/>
      <c r="AT161" s="77" t="str">
        <f aca="false">IF(B161="","",IF($AK161="NON",0,IF(COUNT(AL161:AS161)=0,"",IFERROR(ROUND(SUMPRODUCT(AL161:AS161,$AL$8:$AS$8)/SUMPRODUCT(ISNUMBER(AL161:AS161)*$AL$8:$AS$8),2),""))))</f>
        <v/>
      </c>
      <c r="AU161" s="51" t="str">
        <f aca="false">IFERROR(MATCH("CP-152",'REGISTRE ELEVES'!$AI$10:$AI$250,0),"")</f>
        <v/>
      </c>
    </row>
    <row r="162" customFormat="false" ht="15" hidden="false" customHeight="false" outlineLevel="0" collapsed="false">
      <c r="A162" s="73" t="str">
        <f aca="false">IF(B162="","",153)</f>
        <v/>
      </c>
      <c r="B162" s="73" t="str">
        <f aca="false">IF($AU162="","",INDEX('REGISTRE ELEVES'!$B$10:$B$250,$AU162))</f>
        <v/>
      </c>
      <c r="C162" s="74" t="str">
        <f aca="false">IF($AU162="","",INDEX('REGISTRE ELEVES'!$D$10:$D$250,$AU162))</f>
        <v/>
      </c>
      <c r="D162" s="73" t="str">
        <f aca="false">IF($AU162="","",INDEX('REGISTRE ELEVES'!$E$10:$E$250,$AU162))</f>
        <v/>
      </c>
      <c r="E162" s="73" t="str">
        <f aca="false">IF($AU162="","",INDEX('REGISTRE ELEVES'!$F$10:$F$250,$AU162))</f>
        <v/>
      </c>
      <c r="F162" s="73" t="str">
        <f aca="false">IF($AU162="","",INDEX('REGISTRE ELEVES'!$AE$10:$AE$250,$AU162))</f>
        <v/>
      </c>
      <c r="G162" s="75"/>
      <c r="H162" s="76"/>
      <c r="I162" s="76"/>
      <c r="J162" s="76"/>
      <c r="K162" s="76"/>
      <c r="L162" s="76"/>
      <c r="M162" s="76"/>
      <c r="N162" s="76"/>
      <c r="O162" s="76"/>
      <c r="P162" s="77" t="str">
        <f aca="false">IF(B162="","",IF($G162="NON",0,IF(COUNT(H162:O162)=0,"",IFERROR(ROUND(SUMPRODUCT(H162:O162,$H$8:$O$8)/SUMPRODUCT(ISNUMBER(H162:O162)*$H$8:$O$8),2),""))))</f>
        <v/>
      </c>
      <c r="Q162" s="75"/>
      <c r="R162" s="76"/>
      <c r="S162" s="76"/>
      <c r="T162" s="76"/>
      <c r="U162" s="76"/>
      <c r="V162" s="76"/>
      <c r="W162" s="76"/>
      <c r="X162" s="76"/>
      <c r="Y162" s="76"/>
      <c r="Z162" s="77" t="str">
        <f aca="false">IF(B162="","",IF($Q162="NON",0,IF(COUNT(R162:Y162)=0,"",IFERROR(ROUND(SUMPRODUCT(R162:Y162,$R$8:$Y$8)/SUMPRODUCT(ISNUMBER(R162:Y162)*$R$8:$Y$8),2),""))))</f>
        <v/>
      </c>
      <c r="AA162" s="75"/>
      <c r="AB162" s="76"/>
      <c r="AC162" s="76"/>
      <c r="AD162" s="76"/>
      <c r="AE162" s="76"/>
      <c r="AF162" s="76"/>
      <c r="AG162" s="76"/>
      <c r="AH162" s="76"/>
      <c r="AI162" s="76"/>
      <c r="AJ162" s="77" t="str">
        <f aca="false">IF(B162="","",IF($AA162="NON",0,IF(COUNT(AB162:AI162)=0,"",IFERROR(ROUND(SUMPRODUCT(AB162:AI162,$AB$8:$AI$8)/SUMPRODUCT(ISNUMBER(AB162:AI162)*$AB$8:$AI$8),2),""))))</f>
        <v/>
      </c>
      <c r="AK162" s="75"/>
      <c r="AL162" s="76"/>
      <c r="AM162" s="76"/>
      <c r="AN162" s="76"/>
      <c r="AO162" s="76"/>
      <c r="AP162" s="76"/>
      <c r="AQ162" s="76"/>
      <c r="AR162" s="76"/>
      <c r="AS162" s="76"/>
      <c r="AT162" s="77" t="str">
        <f aca="false">IF(B162="","",IF($AK162="NON",0,IF(COUNT(AL162:AS162)=0,"",IFERROR(ROUND(SUMPRODUCT(AL162:AS162,$AL$8:$AS$8)/SUMPRODUCT(ISNUMBER(AL162:AS162)*$AL$8:$AS$8),2),""))))</f>
        <v/>
      </c>
      <c r="AU162" s="51" t="str">
        <f aca="false">IFERROR(MATCH("CP-153",'REGISTRE ELEVES'!$AI$10:$AI$250,0),"")</f>
        <v/>
      </c>
    </row>
    <row r="163" customFormat="false" ht="15" hidden="false" customHeight="false" outlineLevel="0" collapsed="false">
      <c r="A163" s="73" t="str">
        <f aca="false">IF(B163="","",154)</f>
        <v/>
      </c>
      <c r="B163" s="73" t="str">
        <f aca="false">IF($AU163="","",INDEX('REGISTRE ELEVES'!$B$10:$B$250,$AU163))</f>
        <v/>
      </c>
      <c r="C163" s="74" t="str">
        <f aca="false">IF($AU163="","",INDEX('REGISTRE ELEVES'!$D$10:$D$250,$AU163))</f>
        <v/>
      </c>
      <c r="D163" s="73" t="str">
        <f aca="false">IF($AU163="","",INDEX('REGISTRE ELEVES'!$E$10:$E$250,$AU163))</f>
        <v/>
      </c>
      <c r="E163" s="73" t="str">
        <f aca="false">IF($AU163="","",INDEX('REGISTRE ELEVES'!$F$10:$F$250,$AU163))</f>
        <v/>
      </c>
      <c r="F163" s="73" t="str">
        <f aca="false">IF($AU163="","",INDEX('REGISTRE ELEVES'!$AE$10:$AE$250,$AU163))</f>
        <v/>
      </c>
      <c r="G163" s="75"/>
      <c r="H163" s="76"/>
      <c r="I163" s="76"/>
      <c r="J163" s="76"/>
      <c r="K163" s="76"/>
      <c r="L163" s="76"/>
      <c r="M163" s="76"/>
      <c r="N163" s="76"/>
      <c r="O163" s="76"/>
      <c r="P163" s="77" t="str">
        <f aca="false">IF(B163="","",IF($G163="NON",0,IF(COUNT(H163:O163)=0,"",IFERROR(ROUND(SUMPRODUCT(H163:O163,$H$8:$O$8)/SUMPRODUCT(ISNUMBER(H163:O163)*$H$8:$O$8),2),""))))</f>
        <v/>
      </c>
      <c r="Q163" s="75"/>
      <c r="R163" s="76"/>
      <c r="S163" s="76"/>
      <c r="T163" s="76"/>
      <c r="U163" s="76"/>
      <c r="V163" s="76"/>
      <c r="W163" s="76"/>
      <c r="X163" s="76"/>
      <c r="Y163" s="76"/>
      <c r="Z163" s="77" t="str">
        <f aca="false">IF(B163="","",IF($Q163="NON",0,IF(COUNT(R163:Y163)=0,"",IFERROR(ROUND(SUMPRODUCT(R163:Y163,$R$8:$Y$8)/SUMPRODUCT(ISNUMBER(R163:Y163)*$R$8:$Y$8),2),""))))</f>
        <v/>
      </c>
      <c r="AA163" s="75"/>
      <c r="AB163" s="76"/>
      <c r="AC163" s="76"/>
      <c r="AD163" s="76"/>
      <c r="AE163" s="76"/>
      <c r="AF163" s="76"/>
      <c r="AG163" s="76"/>
      <c r="AH163" s="76"/>
      <c r="AI163" s="76"/>
      <c r="AJ163" s="77" t="str">
        <f aca="false">IF(B163="","",IF($AA163="NON",0,IF(COUNT(AB163:AI163)=0,"",IFERROR(ROUND(SUMPRODUCT(AB163:AI163,$AB$8:$AI$8)/SUMPRODUCT(ISNUMBER(AB163:AI163)*$AB$8:$AI$8),2),""))))</f>
        <v/>
      </c>
      <c r="AK163" s="75"/>
      <c r="AL163" s="76"/>
      <c r="AM163" s="76"/>
      <c r="AN163" s="76"/>
      <c r="AO163" s="76"/>
      <c r="AP163" s="76"/>
      <c r="AQ163" s="76"/>
      <c r="AR163" s="76"/>
      <c r="AS163" s="76"/>
      <c r="AT163" s="77" t="str">
        <f aca="false">IF(B163="","",IF($AK163="NON",0,IF(COUNT(AL163:AS163)=0,"",IFERROR(ROUND(SUMPRODUCT(AL163:AS163,$AL$8:$AS$8)/SUMPRODUCT(ISNUMBER(AL163:AS163)*$AL$8:$AS$8),2),""))))</f>
        <v/>
      </c>
      <c r="AU163" s="51" t="str">
        <f aca="false">IFERROR(MATCH("CP-154",'REGISTRE ELEVES'!$AI$10:$AI$250,0),"")</f>
        <v/>
      </c>
    </row>
    <row r="164" customFormat="false" ht="15" hidden="false" customHeight="false" outlineLevel="0" collapsed="false">
      <c r="A164" s="73" t="str">
        <f aca="false">IF(B164="","",155)</f>
        <v/>
      </c>
      <c r="B164" s="73" t="str">
        <f aca="false">IF($AU164="","",INDEX('REGISTRE ELEVES'!$B$10:$B$250,$AU164))</f>
        <v/>
      </c>
      <c r="C164" s="74" t="str">
        <f aca="false">IF($AU164="","",INDEX('REGISTRE ELEVES'!$D$10:$D$250,$AU164))</f>
        <v/>
      </c>
      <c r="D164" s="73" t="str">
        <f aca="false">IF($AU164="","",INDEX('REGISTRE ELEVES'!$E$10:$E$250,$AU164))</f>
        <v/>
      </c>
      <c r="E164" s="73" t="str">
        <f aca="false">IF($AU164="","",INDEX('REGISTRE ELEVES'!$F$10:$F$250,$AU164))</f>
        <v/>
      </c>
      <c r="F164" s="73" t="str">
        <f aca="false">IF($AU164="","",INDEX('REGISTRE ELEVES'!$AE$10:$AE$250,$AU164))</f>
        <v/>
      </c>
      <c r="G164" s="75"/>
      <c r="H164" s="76"/>
      <c r="I164" s="76"/>
      <c r="J164" s="76"/>
      <c r="K164" s="76"/>
      <c r="L164" s="76"/>
      <c r="M164" s="76"/>
      <c r="N164" s="76"/>
      <c r="O164" s="76"/>
      <c r="P164" s="77" t="str">
        <f aca="false">IF(B164="","",IF($G164="NON",0,IF(COUNT(H164:O164)=0,"",IFERROR(ROUND(SUMPRODUCT(H164:O164,$H$8:$O$8)/SUMPRODUCT(ISNUMBER(H164:O164)*$H$8:$O$8),2),""))))</f>
        <v/>
      </c>
      <c r="Q164" s="75"/>
      <c r="R164" s="76"/>
      <c r="S164" s="76"/>
      <c r="T164" s="76"/>
      <c r="U164" s="76"/>
      <c r="V164" s="76"/>
      <c r="W164" s="76"/>
      <c r="X164" s="76"/>
      <c r="Y164" s="76"/>
      <c r="Z164" s="77" t="str">
        <f aca="false">IF(B164="","",IF($Q164="NON",0,IF(COUNT(R164:Y164)=0,"",IFERROR(ROUND(SUMPRODUCT(R164:Y164,$R$8:$Y$8)/SUMPRODUCT(ISNUMBER(R164:Y164)*$R$8:$Y$8),2),""))))</f>
        <v/>
      </c>
      <c r="AA164" s="75"/>
      <c r="AB164" s="76"/>
      <c r="AC164" s="76"/>
      <c r="AD164" s="76"/>
      <c r="AE164" s="76"/>
      <c r="AF164" s="76"/>
      <c r="AG164" s="76"/>
      <c r="AH164" s="76"/>
      <c r="AI164" s="76"/>
      <c r="AJ164" s="77" t="str">
        <f aca="false">IF(B164="","",IF($AA164="NON",0,IF(COUNT(AB164:AI164)=0,"",IFERROR(ROUND(SUMPRODUCT(AB164:AI164,$AB$8:$AI$8)/SUMPRODUCT(ISNUMBER(AB164:AI164)*$AB$8:$AI$8),2),""))))</f>
        <v/>
      </c>
      <c r="AK164" s="75"/>
      <c r="AL164" s="76"/>
      <c r="AM164" s="76"/>
      <c r="AN164" s="76"/>
      <c r="AO164" s="76"/>
      <c r="AP164" s="76"/>
      <c r="AQ164" s="76"/>
      <c r="AR164" s="76"/>
      <c r="AS164" s="76"/>
      <c r="AT164" s="77" t="str">
        <f aca="false">IF(B164="","",IF($AK164="NON",0,IF(COUNT(AL164:AS164)=0,"",IFERROR(ROUND(SUMPRODUCT(AL164:AS164,$AL$8:$AS$8)/SUMPRODUCT(ISNUMBER(AL164:AS164)*$AL$8:$AS$8),2),""))))</f>
        <v/>
      </c>
      <c r="AU164" s="51" t="str">
        <f aca="false">IFERROR(MATCH("CP-155",'REGISTRE ELEVES'!$AI$10:$AI$250,0),"")</f>
        <v/>
      </c>
    </row>
    <row r="165" customFormat="false" ht="15" hidden="false" customHeight="false" outlineLevel="0" collapsed="false">
      <c r="A165" s="73" t="str">
        <f aca="false">IF(B165="","",156)</f>
        <v/>
      </c>
      <c r="B165" s="73" t="str">
        <f aca="false">IF($AU165="","",INDEX('REGISTRE ELEVES'!$B$10:$B$250,$AU165))</f>
        <v/>
      </c>
      <c r="C165" s="74" t="str">
        <f aca="false">IF($AU165="","",INDEX('REGISTRE ELEVES'!$D$10:$D$250,$AU165))</f>
        <v/>
      </c>
      <c r="D165" s="73" t="str">
        <f aca="false">IF($AU165="","",INDEX('REGISTRE ELEVES'!$E$10:$E$250,$AU165))</f>
        <v/>
      </c>
      <c r="E165" s="73" t="str">
        <f aca="false">IF($AU165="","",INDEX('REGISTRE ELEVES'!$F$10:$F$250,$AU165))</f>
        <v/>
      </c>
      <c r="F165" s="73" t="str">
        <f aca="false">IF($AU165="","",INDEX('REGISTRE ELEVES'!$AE$10:$AE$250,$AU165))</f>
        <v/>
      </c>
      <c r="G165" s="75"/>
      <c r="H165" s="76"/>
      <c r="I165" s="76"/>
      <c r="J165" s="76"/>
      <c r="K165" s="76"/>
      <c r="L165" s="76"/>
      <c r="M165" s="76"/>
      <c r="N165" s="76"/>
      <c r="O165" s="76"/>
      <c r="P165" s="77" t="str">
        <f aca="false">IF(B165="","",IF($G165="NON",0,IF(COUNT(H165:O165)=0,"",IFERROR(ROUND(SUMPRODUCT(H165:O165,$H$8:$O$8)/SUMPRODUCT(ISNUMBER(H165:O165)*$H$8:$O$8),2),""))))</f>
        <v/>
      </c>
      <c r="Q165" s="75"/>
      <c r="R165" s="76"/>
      <c r="S165" s="76"/>
      <c r="T165" s="76"/>
      <c r="U165" s="76"/>
      <c r="V165" s="76"/>
      <c r="W165" s="76"/>
      <c r="X165" s="76"/>
      <c r="Y165" s="76"/>
      <c r="Z165" s="77" t="str">
        <f aca="false">IF(B165="","",IF($Q165="NON",0,IF(COUNT(R165:Y165)=0,"",IFERROR(ROUND(SUMPRODUCT(R165:Y165,$R$8:$Y$8)/SUMPRODUCT(ISNUMBER(R165:Y165)*$R$8:$Y$8),2),""))))</f>
        <v/>
      </c>
      <c r="AA165" s="75"/>
      <c r="AB165" s="76"/>
      <c r="AC165" s="76"/>
      <c r="AD165" s="76"/>
      <c r="AE165" s="76"/>
      <c r="AF165" s="76"/>
      <c r="AG165" s="76"/>
      <c r="AH165" s="76"/>
      <c r="AI165" s="76"/>
      <c r="AJ165" s="77" t="str">
        <f aca="false">IF(B165="","",IF($AA165="NON",0,IF(COUNT(AB165:AI165)=0,"",IFERROR(ROUND(SUMPRODUCT(AB165:AI165,$AB$8:$AI$8)/SUMPRODUCT(ISNUMBER(AB165:AI165)*$AB$8:$AI$8),2),""))))</f>
        <v/>
      </c>
      <c r="AK165" s="75"/>
      <c r="AL165" s="76"/>
      <c r="AM165" s="76"/>
      <c r="AN165" s="76"/>
      <c r="AO165" s="76"/>
      <c r="AP165" s="76"/>
      <c r="AQ165" s="76"/>
      <c r="AR165" s="76"/>
      <c r="AS165" s="76"/>
      <c r="AT165" s="77" t="str">
        <f aca="false">IF(B165="","",IF($AK165="NON",0,IF(COUNT(AL165:AS165)=0,"",IFERROR(ROUND(SUMPRODUCT(AL165:AS165,$AL$8:$AS$8)/SUMPRODUCT(ISNUMBER(AL165:AS165)*$AL$8:$AS$8),2),""))))</f>
        <v/>
      </c>
      <c r="AU165" s="51" t="str">
        <f aca="false">IFERROR(MATCH("CP-156",'REGISTRE ELEVES'!$AI$10:$AI$250,0),"")</f>
        <v/>
      </c>
    </row>
    <row r="166" customFormat="false" ht="15" hidden="false" customHeight="false" outlineLevel="0" collapsed="false">
      <c r="A166" s="73" t="str">
        <f aca="false">IF(B166="","",157)</f>
        <v/>
      </c>
      <c r="B166" s="73" t="str">
        <f aca="false">IF($AU166="","",INDEX('REGISTRE ELEVES'!$B$10:$B$250,$AU166))</f>
        <v/>
      </c>
      <c r="C166" s="74" t="str">
        <f aca="false">IF($AU166="","",INDEX('REGISTRE ELEVES'!$D$10:$D$250,$AU166))</f>
        <v/>
      </c>
      <c r="D166" s="73" t="str">
        <f aca="false">IF($AU166="","",INDEX('REGISTRE ELEVES'!$E$10:$E$250,$AU166))</f>
        <v/>
      </c>
      <c r="E166" s="73" t="str">
        <f aca="false">IF($AU166="","",INDEX('REGISTRE ELEVES'!$F$10:$F$250,$AU166))</f>
        <v/>
      </c>
      <c r="F166" s="73" t="str">
        <f aca="false">IF($AU166="","",INDEX('REGISTRE ELEVES'!$AE$10:$AE$250,$AU166))</f>
        <v/>
      </c>
      <c r="G166" s="75"/>
      <c r="H166" s="76"/>
      <c r="I166" s="76"/>
      <c r="J166" s="76"/>
      <c r="K166" s="76"/>
      <c r="L166" s="76"/>
      <c r="M166" s="76"/>
      <c r="N166" s="76"/>
      <c r="O166" s="76"/>
      <c r="P166" s="77" t="str">
        <f aca="false">IF(B166="","",IF($G166="NON",0,IF(COUNT(H166:O166)=0,"",IFERROR(ROUND(SUMPRODUCT(H166:O166,$H$8:$O$8)/SUMPRODUCT(ISNUMBER(H166:O166)*$H$8:$O$8),2),""))))</f>
        <v/>
      </c>
      <c r="Q166" s="75"/>
      <c r="R166" s="76"/>
      <c r="S166" s="76"/>
      <c r="T166" s="76"/>
      <c r="U166" s="76"/>
      <c r="V166" s="76"/>
      <c r="W166" s="76"/>
      <c r="X166" s="76"/>
      <c r="Y166" s="76"/>
      <c r="Z166" s="77" t="str">
        <f aca="false">IF(B166="","",IF($Q166="NON",0,IF(COUNT(R166:Y166)=0,"",IFERROR(ROUND(SUMPRODUCT(R166:Y166,$R$8:$Y$8)/SUMPRODUCT(ISNUMBER(R166:Y166)*$R$8:$Y$8),2),""))))</f>
        <v/>
      </c>
      <c r="AA166" s="75"/>
      <c r="AB166" s="76"/>
      <c r="AC166" s="76"/>
      <c r="AD166" s="76"/>
      <c r="AE166" s="76"/>
      <c r="AF166" s="76"/>
      <c r="AG166" s="76"/>
      <c r="AH166" s="76"/>
      <c r="AI166" s="76"/>
      <c r="AJ166" s="77" t="str">
        <f aca="false">IF(B166="","",IF($AA166="NON",0,IF(COUNT(AB166:AI166)=0,"",IFERROR(ROUND(SUMPRODUCT(AB166:AI166,$AB$8:$AI$8)/SUMPRODUCT(ISNUMBER(AB166:AI166)*$AB$8:$AI$8),2),""))))</f>
        <v/>
      </c>
      <c r="AK166" s="75"/>
      <c r="AL166" s="76"/>
      <c r="AM166" s="76"/>
      <c r="AN166" s="76"/>
      <c r="AO166" s="76"/>
      <c r="AP166" s="76"/>
      <c r="AQ166" s="76"/>
      <c r="AR166" s="76"/>
      <c r="AS166" s="76"/>
      <c r="AT166" s="77" t="str">
        <f aca="false">IF(B166="","",IF($AK166="NON",0,IF(COUNT(AL166:AS166)=0,"",IFERROR(ROUND(SUMPRODUCT(AL166:AS166,$AL$8:$AS$8)/SUMPRODUCT(ISNUMBER(AL166:AS166)*$AL$8:$AS$8),2),""))))</f>
        <v/>
      </c>
      <c r="AU166" s="51" t="str">
        <f aca="false">IFERROR(MATCH("CP-157",'REGISTRE ELEVES'!$AI$10:$AI$250,0),"")</f>
        <v/>
      </c>
    </row>
    <row r="167" customFormat="false" ht="15" hidden="false" customHeight="false" outlineLevel="0" collapsed="false">
      <c r="A167" s="73" t="str">
        <f aca="false">IF(B167="","",158)</f>
        <v/>
      </c>
      <c r="B167" s="73" t="str">
        <f aca="false">IF($AU167="","",INDEX('REGISTRE ELEVES'!$B$10:$B$250,$AU167))</f>
        <v/>
      </c>
      <c r="C167" s="74" t="str">
        <f aca="false">IF($AU167="","",INDEX('REGISTRE ELEVES'!$D$10:$D$250,$AU167))</f>
        <v/>
      </c>
      <c r="D167" s="73" t="str">
        <f aca="false">IF($AU167="","",INDEX('REGISTRE ELEVES'!$E$10:$E$250,$AU167))</f>
        <v/>
      </c>
      <c r="E167" s="73" t="str">
        <f aca="false">IF($AU167="","",INDEX('REGISTRE ELEVES'!$F$10:$F$250,$AU167))</f>
        <v/>
      </c>
      <c r="F167" s="73" t="str">
        <f aca="false">IF($AU167="","",INDEX('REGISTRE ELEVES'!$AE$10:$AE$250,$AU167))</f>
        <v/>
      </c>
      <c r="G167" s="75"/>
      <c r="H167" s="76"/>
      <c r="I167" s="76"/>
      <c r="J167" s="76"/>
      <c r="K167" s="76"/>
      <c r="L167" s="76"/>
      <c r="M167" s="76"/>
      <c r="N167" s="76"/>
      <c r="O167" s="76"/>
      <c r="P167" s="77" t="str">
        <f aca="false">IF(B167="","",IF($G167="NON",0,IF(COUNT(H167:O167)=0,"",IFERROR(ROUND(SUMPRODUCT(H167:O167,$H$8:$O$8)/SUMPRODUCT(ISNUMBER(H167:O167)*$H$8:$O$8),2),""))))</f>
        <v/>
      </c>
      <c r="Q167" s="75"/>
      <c r="R167" s="76"/>
      <c r="S167" s="76"/>
      <c r="T167" s="76"/>
      <c r="U167" s="76"/>
      <c r="V167" s="76"/>
      <c r="W167" s="76"/>
      <c r="X167" s="76"/>
      <c r="Y167" s="76"/>
      <c r="Z167" s="77" t="str">
        <f aca="false">IF(B167="","",IF($Q167="NON",0,IF(COUNT(R167:Y167)=0,"",IFERROR(ROUND(SUMPRODUCT(R167:Y167,$R$8:$Y$8)/SUMPRODUCT(ISNUMBER(R167:Y167)*$R$8:$Y$8),2),""))))</f>
        <v/>
      </c>
      <c r="AA167" s="75"/>
      <c r="AB167" s="76"/>
      <c r="AC167" s="76"/>
      <c r="AD167" s="76"/>
      <c r="AE167" s="76"/>
      <c r="AF167" s="76"/>
      <c r="AG167" s="76"/>
      <c r="AH167" s="76"/>
      <c r="AI167" s="76"/>
      <c r="AJ167" s="77" t="str">
        <f aca="false">IF(B167="","",IF($AA167="NON",0,IF(COUNT(AB167:AI167)=0,"",IFERROR(ROUND(SUMPRODUCT(AB167:AI167,$AB$8:$AI$8)/SUMPRODUCT(ISNUMBER(AB167:AI167)*$AB$8:$AI$8),2),""))))</f>
        <v/>
      </c>
      <c r="AK167" s="75"/>
      <c r="AL167" s="76"/>
      <c r="AM167" s="76"/>
      <c r="AN167" s="76"/>
      <c r="AO167" s="76"/>
      <c r="AP167" s="76"/>
      <c r="AQ167" s="76"/>
      <c r="AR167" s="76"/>
      <c r="AS167" s="76"/>
      <c r="AT167" s="77" t="str">
        <f aca="false">IF(B167="","",IF($AK167="NON",0,IF(COUNT(AL167:AS167)=0,"",IFERROR(ROUND(SUMPRODUCT(AL167:AS167,$AL$8:$AS$8)/SUMPRODUCT(ISNUMBER(AL167:AS167)*$AL$8:$AS$8),2),""))))</f>
        <v/>
      </c>
      <c r="AU167" s="51" t="str">
        <f aca="false">IFERROR(MATCH("CP-158",'REGISTRE ELEVES'!$AI$10:$AI$250,0),"")</f>
        <v/>
      </c>
    </row>
    <row r="168" customFormat="false" ht="15" hidden="false" customHeight="false" outlineLevel="0" collapsed="false">
      <c r="A168" s="73" t="str">
        <f aca="false">IF(B168="","",159)</f>
        <v/>
      </c>
      <c r="B168" s="73" t="str">
        <f aca="false">IF($AU168="","",INDEX('REGISTRE ELEVES'!$B$10:$B$250,$AU168))</f>
        <v/>
      </c>
      <c r="C168" s="74" t="str">
        <f aca="false">IF($AU168="","",INDEX('REGISTRE ELEVES'!$D$10:$D$250,$AU168))</f>
        <v/>
      </c>
      <c r="D168" s="73" t="str">
        <f aca="false">IF($AU168="","",INDEX('REGISTRE ELEVES'!$E$10:$E$250,$AU168))</f>
        <v/>
      </c>
      <c r="E168" s="73" t="str">
        <f aca="false">IF($AU168="","",INDEX('REGISTRE ELEVES'!$F$10:$F$250,$AU168))</f>
        <v/>
      </c>
      <c r="F168" s="73" t="str">
        <f aca="false">IF($AU168="","",INDEX('REGISTRE ELEVES'!$AE$10:$AE$250,$AU168))</f>
        <v/>
      </c>
      <c r="G168" s="75"/>
      <c r="H168" s="76"/>
      <c r="I168" s="76"/>
      <c r="J168" s="76"/>
      <c r="K168" s="76"/>
      <c r="L168" s="76"/>
      <c r="M168" s="76"/>
      <c r="N168" s="76"/>
      <c r="O168" s="76"/>
      <c r="P168" s="77" t="str">
        <f aca="false">IF(B168="","",IF($G168="NON",0,IF(COUNT(H168:O168)=0,"",IFERROR(ROUND(SUMPRODUCT(H168:O168,$H$8:$O$8)/SUMPRODUCT(ISNUMBER(H168:O168)*$H$8:$O$8),2),""))))</f>
        <v/>
      </c>
      <c r="Q168" s="75"/>
      <c r="R168" s="76"/>
      <c r="S168" s="76"/>
      <c r="T168" s="76"/>
      <c r="U168" s="76"/>
      <c r="V168" s="76"/>
      <c r="W168" s="76"/>
      <c r="X168" s="76"/>
      <c r="Y168" s="76"/>
      <c r="Z168" s="77" t="str">
        <f aca="false">IF(B168="","",IF($Q168="NON",0,IF(COUNT(R168:Y168)=0,"",IFERROR(ROUND(SUMPRODUCT(R168:Y168,$R$8:$Y$8)/SUMPRODUCT(ISNUMBER(R168:Y168)*$R$8:$Y$8),2),""))))</f>
        <v/>
      </c>
      <c r="AA168" s="75"/>
      <c r="AB168" s="76"/>
      <c r="AC168" s="76"/>
      <c r="AD168" s="76"/>
      <c r="AE168" s="76"/>
      <c r="AF168" s="76"/>
      <c r="AG168" s="76"/>
      <c r="AH168" s="76"/>
      <c r="AI168" s="76"/>
      <c r="AJ168" s="77" t="str">
        <f aca="false">IF(B168="","",IF($AA168="NON",0,IF(COUNT(AB168:AI168)=0,"",IFERROR(ROUND(SUMPRODUCT(AB168:AI168,$AB$8:$AI$8)/SUMPRODUCT(ISNUMBER(AB168:AI168)*$AB$8:$AI$8),2),""))))</f>
        <v/>
      </c>
      <c r="AK168" s="75"/>
      <c r="AL168" s="76"/>
      <c r="AM168" s="76"/>
      <c r="AN168" s="76"/>
      <c r="AO168" s="76"/>
      <c r="AP168" s="76"/>
      <c r="AQ168" s="76"/>
      <c r="AR168" s="76"/>
      <c r="AS168" s="76"/>
      <c r="AT168" s="77" t="str">
        <f aca="false">IF(B168="","",IF($AK168="NON",0,IF(COUNT(AL168:AS168)=0,"",IFERROR(ROUND(SUMPRODUCT(AL168:AS168,$AL$8:$AS$8)/SUMPRODUCT(ISNUMBER(AL168:AS168)*$AL$8:$AS$8),2),""))))</f>
        <v/>
      </c>
      <c r="AU168" s="51" t="str">
        <f aca="false">IFERROR(MATCH("CP-159",'REGISTRE ELEVES'!$AI$10:$AI$250,0),"")</f>
        <v/>
      </c>
    </row>
    <row r="169" customFormat="false" ht="15" hidden="false" customHeight="false" outlineLevel="0" collapsed="false">
      <c r="A169" s="73" t="str">
        <f aca="false">IF(B169="","",160)</f>
        <v/>
      </c>
      <c r="B169" s="73" t="str">
        <f aca="false">IF($AU169="","",INDEX('REGISTRE ELEVES'!$B$10:$B$250,$AU169))</f>
        <v/>
      </c>
      <c r="C169" s="74" t="str">
        <f aca="false">IF($AU169="","",INDEX('REGISTRE ELEVES'!$D$10:$D$250,$AU169))</f>
        <v/>
      </c>
      <c r="D169" s="73" t="str">
        <f aca="false">IF($AU169="","",INDEX('REGISTRE ELEVES'!$E$10:$E$250,$AU169))</f>
        <v/>
      </c>
      <c r="E169" s="73" t="str">
        <f aca="false">IF($AU169="","",INDEX('REGISTRE ELEVES'!$F$10:$F$250,$AU169))</f>
        <v/>
      </c>
      <c r="F169" s="73" t="str">
        <f aca="false">IF($AU169="","",INDEX('REGISTRE ELEVES'!$AE$10:$AE$250,$AU169))</f>
        <v/>
      </c>
      <c r="G169" s="75"/>
      <c r="H169" s="76"/>
      <c r="I169" s="76"/>
      <c r="J169" s="76"/>
      <c r="K169" s="76"/>
      <c r="L169" s="76"/>
      <c r="M169" s="76"/>
      <c r="N169" s="76"/>
      <c r="O169" s="76"/>
      <c r="P169" s="77" t="str">
        <f aca="false">IF(B169="","",IF($G169="NON",0,IF(COUNT(H169:O169)=0,"",IFERROR(ROUND(SUMPRODUCT(H169:O169,$H$8:$O$8)/SUMPRODUCT(ISNUMBER(H169:O169)*$H$8:$O$8),2),""))))</f>
        <v/>
      </c>
      <c r="Q169" s="75"/>
      <c r="R169" s="76"/>
      <c r="S169" s="76"/>
      <c r="T169" s="76"/>
      <c r="U169" s="76"/>
      <c r="V169" s="76"/>
      <c r="W169" s="76"/>
      <c r="X169" s="76"/>
      <c r="Y169" s="76"/>
      <c r="Z169" s="77" t="str">
        <f aca="false">IF(B169="","",IF($Q169="NON",0,IF(COUNT(R169:Y169)=0,"",IFERROR(ROUND(SUMPRODUCT(R169:Y169,$R$8:$Y$8)/SUMPRODUCT(ISNUMBER(R169:Y169)*$R$8:$Y$8),2),""))))</f>
        <v/>
      </c>
      <c r="AA169" s="75"/>
      <c r="AB169" s="76"/>
      <c r="AC169" s="76"/>
      <c r="AD169" s="76"/>
      <c r="AE169" s="76"/>
      <c r="AF169" s="76"/>
      <c r="AG169" s="76"/>
      <c r="AH169" s="76"/>
      <c r="AI169" s="76"/>
      <c r="AJ169" s="77" t="str">
        <f aca="false">IF(B169="","",IF($AA169="NON",0,IF(COUNT(AB169:AI169)=0,"",IFERROR(ROUND(SUMPRODUCT(AB169:AI169,$AB$8:$AI$8)/SUMPRODUCT(ISNUMBER(AB169:AI169)*$AB$8:$AI$8),2),""))))</f>
        <v/>
      </c>
      <c r="AK169" s="75"/>
      <c r="AL169" s="76"/>
      <c r="AM169" s="76"/>
      <c r="AN169" s="76"/>
      <c r="AO169" s="76"/>
      <c r="AP169" s="76"/>
      <c r="AQ169" s="76"/>
      <c r="AR169" s="76"/>
      <c r="AS169" s="76"/>
      <c r="AT169" s="77" t="str">
        <f aca="false">IF(B169="","",IF($AK169="NON",0,IF(COUNT(AL169:AS169)=0,"",IFERROR(ROUND(SUMPRODUCT(AL169:AS169,$AL$8:$AS$8)/SUMPRODUCT(ISNUMBER(AL169:AS169)*$AL$8:$AS$8),2),""))))</f>
        <v/>
      </c>
      <c r="AU169" s="51" t="str">
        <f aca="false">IFERROR(MATCH("CP-160",'REGISTRE ELEVES'!$AI$10:$AI$250,0),"")</f>
        <v/>
      </c>
    </row>
    <row r="170" customFormat="false" ht="15" hidden="false" customHeight="false" outlineLevel="0" collapsed="false">
      <c r="A170" s="73" t="str">
        <f aca="false">IF(B170="","",161)</f>
        <v/>
      </c>
      <c r="B170" s="73" t="str">
        <f aca="false">IF($AU170="","",INDEX('REGISTRE ELEVES'!$B$10:$B$250,$AU170))</f>
        <v/>
      </c>
      <c r="C170" s="74" t="str">
        <f aca="false">IF($AU170="","",INDEX('REGISTRE ELEVES'!$D$10:$D$250,$AU170))</f>
        <v/>
      </c>
      <c r="D170" s="73" t="str">
        <f aca="false">IF($AU170="","",INDEX('REGISTRE ELEVES'!$E$10:$E$250,$AU170))</f>
        <v/>
      </c>
      <c r="E170" s="73" t="str">
        <f aca="false">IF($AU170="","",INDEX('REGISTRE ELEVES'!$F$10:$F$250,$AU170))</f>
        <v/>
      </c>
      <c r="F170" s="73" t="str">
        <f aca="false">IF($AU170="","",INDEX('REGISTRE ELEVES'!$AE$10:$AE$250,$AU170))</f>
        <v/>
      </c>
      <c r="G170" s="75"/>
      <c r="H170" s="76"/>
      <c r="I170" s="76"/>
      <c r="J170" s="76"/>
      <c r="K170" s="76"/>
      <c r="L170" s="76"/>
      <c r="M170" s="76"/>
      <c r="N170" s="76"/>
      <c r="O170" s="76"/>
      <c r="P170" s="77" t="str">
        <f aca="false">IF(B170="","",IF($G170="NON",0,IF(COUNT(H170:O170)=0,"",IFERROR(ROUND(SUMPRODUCT(H170:O170,$H$8:$O$8)/SUMPRODUCT(ISNUMBER(H170:O170)*$H$8:$O$8),2),""))))</f>
        <v/>
      </c>
      <c r="Q170" s="75"/>
      <c r="R170" s="76"/>
      <c r="S170" s="76"/>
      <c r="T170" s="76"/>
      <c r="U170" s="76"/>
      <c r="V170" s="76"/>
      <c r="W170" s="76"/>
      <c r="X170" s="76"/>
      <c r="Y170" s="76"/>
      <c r="Z170" s="77" t="str">
        <f aca="false">IF(B170="","",IF($Q170="NON",0,IF(COUNT(R170:Y170)=0,"",IFERROR(ROUND(SUMPRODUCT(R170:Y170,$R$8:$Y$8)/SUMPRODUCT(ISNUMBER(R170:Y170)*$R$8:$Y$8),2),""))))</f>
        <v/>
      </c>
      <c r="AA170" s="75"/>
      <c r="AB170" s="76"/>
      <c r="AC170" s="76"/>
      <c r="AD170" s="76"/>
      <c r="AE170" s="76"/>
      <c r="AF170" s="76"/>
      <c r="AG170" s="76"/>
      <c r="AH170" s="76"/>
      <c r="AI170" s="76"/>
      <c r="AJ170" s="77" t="str">
        <f aca="false">IF(B170="","",IF($AA170="NON",0,IF(COUNT(AB170:AI170)=0,"",IFERROR(ROUND(SUMPRODUCT(AB170:AI170,$AB$8:$AI$8)/SUMPRODUCT(ISNUMBER(AB170:AI170)*$AB$8:$AI$8),2),""))))</f>
        <v/>
      </c>
      <c r="AK170" s="75"/>
      <c r="AL170" s="76"/>
      <c r="AM170" s="76"/>
      <c r="AN170" s="76"/>
      <c r="AO170" s="76"/>
      <c r="AP170" s="76"/>
      <c r="AQ170" s="76"/>
      <c r="AR170" s="76"/>
      <c r="AS170" s="76"/>
      <c r="AT170" s="77" t="str">
        <f aca="false">IF(B170="","",IF($AK170="NON",0,IF(COUNT(AL170:AS170)=0,"",IFERROR(ROUND(SUMPRODUCT(AL170:AS170,$AL$8:$AS$8)/SUMPRODUCT(ISNUMBER(AL170:AS170)*$AL$8:$AS$8),2),""))))</f>
        <v/>
      </c>
      <c r="AU170" s="51" t="str">
        <f aca="false">IFERROR(MATCH("CP-161",'REGISTRE ELEVES'!$AI$10:$AI$250,0),"")</f>
        <v/>
      </c>
    </row>
    <row r="171" customFormat="false" ht="15" hidden="false" customHeight="false" outlineLevel="0" collapsed="false">
      <c r="A171" s="73" t="str">
        <f aca="false">IF(B171="","",162)</f>
        <v/>
      </c>
      <c r="B171" s="73" t="str">
        <f aca="false">IF($AU171="","",INDEX('REGISTRE ELEVES'!$B$10:$B$250,$AU171))</f>
        <v/>
      </c>
      <c r="C171" s="74" t="str">
        <f aca="false">IF($AU171="","",INDEX('REGISTRE ELEVES'!$D$10:$D$250,$AU171))</f>
        <v/>
      </c>
      <c r="D171" s="73" t="str">
        <f aca="false">IF($AU171="","",INDEX('REGISTRE ELEVES'!$E$10:$E$250,$AU171))</f>
        <v/>
      </c>
      <c r="E171" s="73" t="str">
        <f aca="false">IF($AU171="","",INDEX('REGISTRE ELEVES'!$F$10:$F$250,$AU171))</f>
        <v/>
      </c>
      <c r="F171" s="73" t="str">
        <f aca="false">IF($AU171="","",INDEX('REGISTRE ELEVES'!$AE$10:$AE$250,$AU171))</f>
        <v/>
      </c>
      <c r="G171" s="75"/>
      <c r="H171" s="76"/>
      <c r="I171" s="76"/>
      <c r="J171" s="76"/>
      <c r="K171" s="76"/>
      <c r="L171" s="76"/>
      <c r="M171" s="76"/>
      <c r="N171" s="76"/>
      <c r="O171" s="76"/>
      <c r="P171" s="77" t="str">
        <f aca="false">IF(B171="","",IF($G171="NON",0,IF(COUNT(H171:O171)=0,"",IFERROR(ROUND(SUMPRODUCT(H171:O171,$H$8:$O$8)/SUMPRODUCT(ISNUMBER(H171:O171)*$H$8:$O$8),2),""))))</f>
        <v/>
      </c>
      <c r="Q171" s="75"/>
      <c r="R171" s="76"/>
      <c r="S171" s="76"/>
      <c r="T171" s="76"/>
      <c r="U171" s="76"/>
      <c r="V171" s="76"/>
      <c r="W171" s="76"/>
      <c r="X171" s="76"/>
      <c r="Y171" s="76"/>
      <c r="Z171" s="77" t="str">
        <f aca="false">IF(B171="","",IF($Q171="NON",0,IF(COUNT(R171:Y171)=0,"",IFERROR(ROUND(SUMPRODUCT(R171:Y171,$R$8:$Y$8)/SUMPRODUCT(ISNUMBER(R171:Y171)*$R$8:$Y$8),2),""))))</f>
        <v/>
      </c>
      <c r="AA171" s="75"/>
      <c r="AB171" s="76"/>
      <c r="AC171" s="76"/>
      <c r="AD171" s="76"/>
      <c r="AE171" s="76"/>
      <c r="AF171" s="76"/>
      <c r="AG171" s="76"/>
      <c r="AH171" s="76"/>
      <c r="AI171" s="76"/>
      <c r="AJ171" s="77" t="str">
        <f aca="false">IF(B171="","",IF($AA171="NON",0,IF(COUNT(AB171:AI171)=0,"",IFERROR(ROUND(SUMPRODUCT(AB171:AI171,$AB$8:$AI$8)/SUMPRODUCT(ISNUMBER(AB171:AI171)*$AB$8:$AI$8),2),""))))</f>
        <v/>
      </c>
      <c r="AK171" s="75"/>
      <c r="AL171" s="76"/>
      <c r="AM171" s="76"/>
      <c r="AN171" s="76"/>
      <c r="AO171" s="76"/>
      <c r="AP171" s="76"/>
      <c r="AQ171" s="76"/>
      <c r="AR171" s="76"/>
      <c r="AS171" s="76"/>
      <c r="AT171" s="77" t="str">
        <f aca="false">IF(B171="","",IF($AK171="NON",0,IF(COUNT(AL171:AS171)=0,"",IFERROR(ROUND(SUMPRODUCT(AL171:AS171,$AL$8:$AS$8)/SUMPRODUCT(ISNUMBER(AL171:AS171)*$AL$8:$AS$8),2),""))))</f>
        <v/>
      </c>
      <c r="AU171" s="51" t="str">
        <f aca="false">IFERROR(MATCH("CP-162",'REGISTRE ELEVES'!$AI$10:$AI$250,0),"")</f>
        <v/>
      </c>
    </row>
    <row r="172" customFormat="false" ht="15" hidden="false" customHeight="false" outlineLevel="0" collapsed="false">
      <c r="A172" s="73" t="str">
        <f aca="false">IF(B172="","",163)</f>
        <v/>
      </c>
      <c r="B172" s="73" t="str">
        <f aca="false">IF($AU172="","",INDEX('REGISTRE ELEVES'!$B$10:$B$250,$AU172))</f>
        <v/>
      </c>
      <c r="C172" s="74" t="str">
        <f aca="false">IF($AU172="","",INDEX('REGISTRE ELEVES'!$D$10:$D$250,$AU172))</f>
        <v/>
      </c>
      <c r="D172" s="73" t="str">
        <f aca="false">IF($AU172="","",INDEX('REGISTRE ELEVES'!$E$10:$E$250,$AU172))</f>
        <v/>
      </c>
      <c r="E172" s="73" t="str">
        <f aca="false">IF($AU172="","",INDEX('REGISTRE ELEVES'!$F$10:$F$250,$AU172))</f>
        <v/>
      </c>
      <c r="F172" s="73" t="str">
        <f aca="false">IF($AU172="","",INDEX('REGISTRE ELEVES'!$AE$10:$AE$250,$AU172))</f>
        <v/>
      </c>
      <c r="G172" s="75"/>
      <c r="H172" s="76"/>
      <c r="I172" s="76"/>
      <c r="J172" s="76"/>
      <c r="K172" s="76"/>
      <c r="L172" s="76"/>
      <c r="M172" s="76"/>
      <c r="N172" s="76"/>
      <c r="O172" s="76"/>
      <c r="P172" s="77" t="str">
        <f aca="false">IF(B172="","",IF($G172="NON",0,IF(COUNT(H172:O172)=0,"",IFERROR(ROUND(SUMPRODUCT(H172:O172,$H$8:$O$8)/SUMPRODUCT(ISNUMBER(H172:O172)*$H$8:$O$8),2),""))))</f>
        <v/>
      </c>
      <c r="Q172" s="75"/>
      <c r="R172" s="76"/>
      <c r="S172" s="76"/>
      <c r="T172" s="76"/>
      <c r="U172" s="76"/>
      <c r="V172" s="76"/>
      <c r="W172" s="76"/>
      <c r="X172" s="76"/>
      <c r="Y172" s="76"/>
      <c r="Z172" s="77" t="str">
        <f aca="false">IF(B172="","",IF($Q172="NON",0,IF(COUNT(R172:Y172)=0,"",IFERROR(ROUND(SUMPRODUCT(R172:Y172,$R$8:$Y$8)/SUMPRODUCT(ISNUMBER(R172:Y172)*$R$8:$Y$8),2),""))))</f>
        <v/>
      </c>
      <c r="AA172" s="75"/>
      <c r="AB172" s="76"/>
      <c r="AC172" s="76"/>
      <c r="AD172" s="76"/>
      <c r="AE172" s="76"/>
      <c r="AF172" s="76"/>
      <c r="AG172" s="76"/>
      <c r="AH172" s="76"/>
      <c r="AI172" s="76"/>
      <c r="AJ172" s="77" t="str">
        <f aca="false">IF(B172="","",IF($AA172="NON",0,IF(COUNT(AB172:AI172)=0,"",IFERROR(ROUND(SUMPRODUCT(AB172:AI172,$AB$8:$AI$8)/SUMPRODUCT(ISNUMBER(AB172:AI172)*$AB$8:$AI$8),2),""))))</f>
        <v/>
      </c>
      <c r="AK172" s="75"/>
      <c r="AL172" s="76"/>
      <c r="AM172" s="76"/>
      <c r="AN172" s="76"/>
      <c r="AO172" s="76"/>
      <c r="AP172" s="76"/>
      <c r="AQ172" s="76"/>
      <c r="AR172" s="76"/>
      <c r="AS172" s="76"/>
      <c r="AT172" s="77" t="str">
        <f aca="false">IF(B172="","",IF($AK172="NON",0,IF(COUNT(AL172:AS172)=0,"",IFERROR(ROUND(SUMPRODUCT(AL172:AS172,$AL$8:$AS$8)/SUMPRODUCT(ISNUMBER(AL172:AS172)*$AL$8:$AS$8),2),""))))</f>
        <v/>
      </c>
      <c r="AU172" s="51" t="str">
        <f aca="false">IFERROR(MATCH("CP-163",'REGISTRE ELEVES'!$AI$10:$AI$250,0),"")</f>
        <v/>
      </c>
    </row>
    <row r="173" customFormat="false" ht="15" hidden="false" customHeight="false" outlineLevel="0" collapsed="false">
      <c r="A173" s="73" t="str">
        <f aca="false">IF(B173="","",164)</f>
        <v/>
      </c>
      <c r="B173" s="73" t="str">
        <f aca="false">IF($AU173="","",INDEX('REGISTRE ELEVES'!$B$10:$B$250,$AU173))</f>
        <v/>
      </c>
      <c r="C173" s="74" t="str">
        <f aca="false">IF($AU173="","",INDEX('REGISTRE ELEVES'!$D$10:$D$250,$AU173))</f>
        <v/>
      </c>
      <c r="D173" s="73" t="str">
        <f aca="false">IF($AU173="","",INDEX('REGISTRE ELEVES'!$E$10:$E$250,$AU173))</f>
        <v/>
      </c>
      <c r="E173" s="73" t="str">
        <f aca="false">IF($AU173="","",INDEX('REGISTRE ELEVES'!$F$10:$F$250,$AU173))</f>
        <v/>
      </c>
      <c r="F173" s="73" t="str">
        <f aca="false">IF($AU173="","",INDEX('REGISTRE ELEVES'!$AE$10:$AE$250,$AU173))</f>
        <v/>
      </c>
      <c r="G173" s="75"/>
      <c r="H173" s="76"/>
      <c r="I173" s="76"/>
      <c r="J173" s="76"/>
      <c r="K173" s="76"/>
      <c r="L173" s="76"/>
      <c r="M173" s="76"/>
      <c r="N173" s="76"/>
      <c r="O173" s="76"/>
      <c r="P173" s="77" t="str">
        <f aca="false">IF(B173="","",IF($G173="NON",0,IF(COUNT(H173:O173)=0,"",IFERROR(ROUND(SUMPRODUCT(H173:O173,$H$8:$O$8)/SUMPRODUCT(ISNUMBER(H173:O173)*$H$8:$O$8),2),""))))</f>
        <v/>
      </c>
      <c r="Q173" s="75"/>
      <c r="R173" s="76"/>
      <c r="S173" s="76"/>
      <c r="T173" s="76"/>
      <c r="U173" s="76"/>
      <c r="V173" s="76"/>
      <c r="W173" s="76"/>
      <c r="X173" s="76"/>
      <c r="Y173" s="76"/>
      <c r="Z173" s="77" t="str">
        <f aca="false">IF(B173="","",IF($Q173="NON",0,IF(COUNT(R173:Y173)=0,"",IFERROR(ROUND(SUMPRODUCT(R173:Y173,$R$8:$Y$8)/SUMPRODUCT(ISNUMBER(R173:Y173)*$R$8:$Y$8),2),""))))</f>
        <v/>
      </c>
      <c r="AA173" s="75"/>
      <c r="AB173" s="76"/>
      <c r="AC173" s="76"/>
      <c r="AD173" s="76"/>
      <c r="AE173" s="76"/>
      <c r="AF173" s="76"/>
      <c r="AG173" s="76"/>
      <c r="AH173" s="76"/>
      <c r="AI173" s="76"/>
      <c r="AJ173" s="77" t="str">
        <f aca="false">IF(B173="","",IF($AA173="NON",0,IF(COUNT(AB173:AI173)=0,"",IFERROR(ROUND(SUMPRODUCT(AB173:AI173,$AB$8:$AI$8)/SUMPRODUCT(ISNUMBER(AB173:AI173)*$AB$8:$AI$8),2),""))))</f>
        <v/>
      </c>
      <c r="AK173" s="75"/>
      <c r="AL173" s="76"/>
      <c r="AM173" s="76"/>
      <c r="AN173" s="76"/>
      <c r="AO173" s="76"/>
      <c r="AP173" s="76"/>
      <c r="AQ173" s="76"/>
      <c r="AR173" s="76"/>
      <c r="AS173" s="76"/>
      <c r="AT173" s="77" t="str">
        <f aca="false">IF(B173="","",IF($AK173="NON",0,IF(COUNT(AL173:AS173)=0,"",IFERROR(ROUND(SUMPRODUCT(AL173:AS173,$AL$8:$AS$8)/SUMPRODUCT(ISNUMBER(AL173:AS173)*$AL$8:$AS$8),2),""))))</f>
        <v/>
      </c>
      <c r="AU173" s="51" t="str">
        <f aca="false">IFERROR(MATCH("CP-164",'REGISTRE ELEVES'!$AI$10:$AI$250,0),"")</f>
        <v/>
      </c>
    </row>
    <row r="174" customFormat="false" ht="15" hidden="false" customHeight="false" outlineLevel="0" collapsed="false">
      <c r="A174" s="73" t="str">
        <f aca="false">IF(B174="","",165)</f>
        <v/>
      </c>
      <c r="B174" s="73" t="str">
        <f aca="false">IF($AU174="","",INDEX('REGISTRE ELEVES'!$B$10:$B$250,$AU174))</f>
        <v/>
      </c>
      <c r="C174" s="74" t="str">
        <f aca="false">IF($AU174="","",INDEX('REGISTRE ELEVES'!$D$10:$D$250,$AU174))</f>
        <v/>
      </c>
      <c r="D174" s="73" t="str">
        <f aca="false">IF($AU174="","",INDEX('REGISTRE ELEVES'!$E$10:$E$250,$AU174))</f>
        <v/>
      </c>
      <c r="E174" s="73" t="str">
        <f aca="false">IF($AU174="","",INDEX('REGISTRE ELEVES'!$F$10:$F$250,$AU174))</f>
        <v/>
      </c>
      <c r="F174" s="73" t="str">
        <f aca="false">IF($AU174="","",INDEX('REGISTRE ELEVES'!$AE$10:$AE$250,$AU174))</f>
        <v/>
      </c>
      <c r="G174" s="75"/>
      <c r="H174" s="76"/>
      <c r="I174" s="76"/>
      <c r="J174" s="76"/>
      <c r="K174" s="76"/>
      <c r="L174" s="76"/>
      <c r="M174" s="76"/>
      <c r="N174" s="76"/>
      <c r="O174" s="76"/>
      <c r="P174" s="77" t="str">
        <f aca="false">IF(B174="","",IF($G174="NON",0,IF(COUNT(H174:O174)=0,"",IFERROR(ROUND(SUMPRODUCT(H174:O174,$H$8:$O$8)/SUMPRODUCT(ISNUMBER(H174:O174)*$H$8:$O$8),2),""))))</f>
        <v/>
      </c>
      <c r="Q174" s="75"/>
      <c r="R174" s="76"/>
      <c r="S174" s="76"/>
      <c r="T174" s="76"/>
      <c r="U174" s="76"/>
      <c r="V174" s="76"/>
      <c r="W174" s="76"/>
      <c r="X174" s="76"/>
      <c r="Y174" s="76"/>
      <c r="Z174" s="77" t="str">
        <f aca="false">IF(B174="","",IF($Q174="NON",0,IF(COUNT(R174:Y174)=0,"",IFERROR(ROUND(SUMPRODUCT(R174:Y174,$R$8:$Y$8)/SUMPRODUCT(ISNUMBER(R174:Y174)*$R$8:$Y$8),2),""))))</f>
        <v/>
      </c>
      <c r="AA174" s="75"/>
      <c r="AB174" s="76"/>
      <c r="AC174" s="76"/>
      <c r="AD174" s="76"/>
      <c r="AE174" s="76"/>
      <c r="AF174" s="76"/>
      <c r="AG174" s="76"/>
      <c r="AH174" s="76"/>
      <c r="AI174" s="76"/>
      <c r="AJ174" s="77" t="str">
        <f aca="false">IF(B174="","",IF($AA174="NON",0,IF(COUNT(AB174:AI174)=0,"",IFERROR(ROUND(SUMPRODUCT(AB174:AI174,$AB$8:$AI$8)/SUMPRODUCT(ISNUMBER(AB174:AI174)*$AB$8:$AI$8),2),""))))</f>
        <v/>
      </c>
      <c r="AK174" s="75"/>
      <c r="AL174" s="76"/>
      <c r="AM174" s="76"/>
      <c r="AN174" s="76"/>
      <c r="AO174" s="76"/>
      <c r="AP174" s="76"/>
      <c r="AQ174" s="76"/>
      <c r="AR174" s="76"/>
      <c r="AS174" s="76"/>
      <c r="AT174" s="77" t="str">
        <f aca="false">IF(B174="","",IF($AK174="NON",0,IF(COUNT(AL174:AS174)=0,"",IFERROR(ROUND(SUMPRODUCT(AL174:AS174,$AL$8:$AS$8)/SUMPRODUCT(ISNUMBER(AL174:AS174)*$AL$8:$AS$8),2),""))))</f>
        <v/>
      </c>
      <c r="AU174" s="51" t="str">
        <f aca="false">IFERROR(MATCH("CP-165",'REGISTRE ELEVES'!$AI$10:$AI$250,0),"")</f>
        <v/>
      </c>
    </row>
    <row r="175" customFormat="false" ht="15" hidden="false" customHeight="false" outlineLevel="0" collapsed="false">
      <c r="A175" s="73" t="str">
        <f aca="false">IF(B175="","",166)</f>
        <v/>
      </c>
      <c r="B175" s="73" t="str">
        <f aca="false">IF($AU175="","",INDEX('REGISTRE ELEVES'!$B$10:$B$250,$AU175))</f>
        <v/>
      </c>
      <c r="C175" s="74" t="str">
        <f aca="false">IF($AU175="","",INDEX('REGISTRE ELEVES'!$D$10:$D$250,$AU175))</f>
        <v/>
      </c>
      <c r="D175" s="73" t="str">
        <f aca="false">IF($AU175="","",INDEX('REGISTRE ELEVES'!$E$10:$E$250,$AU175))</f>
        <v/>
      </c>
      <c r="E175" s="73" t="str">
        <f aca="false">IF($AU175="","",INDEX('REGISTRE ELEVES'!$F$10:$F$250,$AU175))</f>
        <v/>
      </c>
      <c r="F175" s="73" t="str">
        <f aca="false">IF($AU175="","",INDEX('REGISTRE ELEVES'!$AE$10:$AE$250,$AU175))</f>
        <v/>
      </c>
      <c r="G175" s="75"/>
      <c r="H175" s="76"/>
      <c r="I175" s="76"/>
      <c r="J175" s="76"/>
      <c r="K175" s="76"/>
      <c r="L175" s="76"/>
      <c r="M175" s="76"/>
      <c r="N175" s="76"/>
      <c r="O175" s="76"/>
      <c r="P175" s="77" t="str">
        <f aca="false">IF(B175="","",IF($G175="NON",0,IF(COUNT(H175:O175)=0,"",IFERROR(ROUND(SUMPRODUCT(H175:O175,$H$8:$O$8)/SUMPRODUCT(ISNUMBER(H175:O175)*$H$8:$O$8),2),""))))</f>
        <v/>
      </c>
      <c r="Q175" s="75"/>
      <c r="R175" s="76"/>
      <c r="S175" s="76"/>
      <c r="T175" s="76"/>
      <c r="U175" s="76"/>
      <c r="V175" s="76"/>
      <c r="W175" s="76"/>
      <c r="X175" s="76"/>
      <c r="Y175" s="76"/>
      <c r="Z175" s="77" t="str">
        <f aca="false">IF(B175="","",IF($Q175="NON",0,IF(COUNT(R175:Y175)=0,"",IFERROR(ROUND(SUMPRODUCT(R175:Y175,$R$8:$Y$8)/SUMPRODUCT(ISNUMBER(R175:Y175)*$R$8:$Y$8),2),""))))</f>
        <v/>
      </c>
      <c r="AA175" s="75"/>
      <c r="AB175" s="76"/>
      <c r="AC175" s="76"/>
      <c r="AD175" s="76"/>
      <c r="AE175" s="76"/>
      <c r="AF175" s="76"/>
      <c r="AG175" s="76"/>
      <c r="AH175" s="76"/>
      <c r="AI175" s="76"/>
      <c r="AJ175" s="77" t="str">
        <f aca="false">IF(B175="","",IF($AA175="NON",0,IF(COUNT(AB175:AI175)=0,"",IFERROR(ROUND(SUMPRODUCT(AB175:AI175,$AB$8:$AI$8)/SUMPRODUCT(ISNUMBER(AB175:AI175)*$AB$8:$AI$8),2),""))))</f>
        <v/>
      </c>
      <c r="AK175" s="75"/>
      <c r="AL175" s="76"/>
      <c r="AM175" s="76"/>
      <c r="AN175" s="76"/>
      <c r="AO175" s="76"/>
      <c r="AP175" s="76"/>
      <c r="AQ175" s="76"/>
      <c r="AR175" s="76"/>
      <c r="AS175" s="76"/>
      <c r="AT175" s="77" t="str">
        <f aca="false">IF(B175="","",IF($AK175="NON",0,IF(COUNT(AL175:AS175)=0,"",IFERROR(ROUND(SUMPRODUCT(AL175:AS175,$AL$8:$AS$8)/SUMPRODUCT(ISNUMBER(AL175:AS175)*$AL$8:$AS$8),2),""))))</f>
        <v/>
      </c>
      <c r="AU175" s="51" t="str">
        <f aca="false">IFERROR(MATCH("CP-166",'REGISTRE ELEVES'!$AI$10:$AI$250,0),"")</f>
        <v/>
      </c>
    </row>
    <row r="176" customFormat="false" ht="15" hidden="false" customHeight="false" outlineLevel="0" collapsed="false">
      <c r="A176" s="73" t="str">
        <f aca="false">IF(B176="","",167)</f>
        <v/>
      </c>
      <c r="B176" s="73" t="str">
        <f aca="false">IF($AU176="","",INDEX('REGISTRE ELEVES'!$B$10:$B$250,$AU176))</f>
        <v/>
      </c>
      <c r="C176" s="74" t="str">
        <f aca="false">IF($AU176="","",INDEX('REGISTRE ELEVES'!$D$10:$D$250,$AU176))</f>
        <v/>
      </c>
      <c r="D176" s="73" t="str">
        <f aca="false">IF($AU176="","",INDEX('REGISTRE ELEVES'!$E$10:$E$250,$AU176))</f>
        <v/>
      </c>
      <c r="E176" s="73" t="str">
        <f aca="false">IF($AU176="","",INDEX('REGISTRE ELEVES'!$F$10:$F$250,$AU176))</f>
        <v/>
      </c>
      <c r="F176" s="73" t="str">
        <f aca="false">IF($AU176="","",INDEX('REGISTRE ELEVES'!$AE$10:$AE$250,$AU176))</f>
        <v/>
      </c>
      <c r="G176" s="75"/>
      <c r="H176" s="76"/>
      <c r="I176" s="76"/>
      <c r="J176" s="76"/>
      <c r="K176" s="76"/>
      <c r="L176" s="76"/>
      <c r="M176" s="76"/>
      <c r="N176" s="76"/>
      <c r="O176" s="76"/>
      <c r="P176" s="77" t="str">
        <f aca="false">IF(B176="","",IF($G176="NON",0,IF(COUNT(H176:O176)=0,"",IFERROR(ROUND(SUMPRODUCT(H176:O176,$H$8:$O$8)/SUMPRODUCT(ISNUMBER(H176:O176)*$H$8:$O$8),2),""))))</f>
        <v/>
      </c>
      <c r="Q176" s="75"/>
      <c r="R176" s="76"/>
      <c r="S176" s="76"/>
      <c r="T176" s="76"/>
      <c r="U176" s="76"/>
      <c r="V176" s="76"/>
      <c r="W176" s="76"/>
      <c r="X176" s="76"/>
      <c r="Y176" s="76"/>
      <c r="Z176" s="77" t="str">
        <f aca="false">IF(B176="","",IF($Q176="NON",0,IF(COUNT(R176:Y176)=0,"",IFERROR(ROUND(SUMPRODUCT(R176:Y176,$R$8:$Y$8)/SUMPRODUCT(ISNUMBER(R176:Y176)*$R$8:$Y$8),2),""))))</f>
        <v/>
      </c>
      <c r="AA176" s="75"/>
      <c r="AB176" s="76"/>
      <c r="AC176" s="76"/>
      <c r="AD176" s="76"/>
      <c r="AE176" s="76"/>
      <c r="AF176" s="76"/>
      <c r="AG176" s="76"/>
      <c r="AH176" s="76"/>
      <c r="AI176" s="76"/>
      <c r="AJ176" s="77" t="str">
        <f aca="false">IF(B176="","",IF($AA176="NON",0,IF(COUNT(AB176:AI176)=0,"",IFERROR(ROUND(SUMPRODUCT(AB176:AI176,$AB$8:$AI$8)/SUMPRODUCT(ISNUMBER(AB176:AI176)*$AB$8:$AI$8),2),""))))</f>
        <v/>
      </c>
      <c r="AK176" s="75"/>
      <c r="AL176" s="76"/>
      <c r="AM176" s="76"/>
      <c r="AN176" s="76"/>
      <c r="AO176" s="76"/>
      <c r="AP176" s="76"/>
      <c r="AQ176" s="76"/>
      <c r="AR176" s="76"/>
      <c r="AS176" s="76"/>
      <c r="AT176" s="77" t="str">
        <f aca="false">IF(B176="","",IF($AK176="NON",0,IF(COUNT(AL176:AS176)=0,"",IFERROR(ROUND(SUMPRODUCT(AL176:AS176,$AL$8:$AS$8)/SUMPRODUCT(ISNUMBER(AL176:AS176)*$AL$8:$AS$8),2),""))))</f>
        <v/>
      </c>
      <c r="AU176" s="51" t="str">
        <f aca="false">IFERROR(MATCH("CP-167",'REGISTRE ELEVES'!$AI$10:$AI$250,0),"")</f>
        <v/>
      </c>
    </row>
    <row r="177" customFormat="false" ht="15" hidden="false" customHeight="false" outlineLevel="0" collapsed="false">
      <c r="A177" s="73" t="str">
        <f aca="false">IF(B177="","",168)</f>
        <v/>
      </c>
      <c r="B177" s="73" t="str">
        <f aca="false">IF($AU177="","",INDEX('REGISTRE ELEVES'!$B$10:$B$250,$AU177))</f>
        <v/>
      </c>
      <c r="C177" s="74" t="str">
        <f aca="false">IF($AU177="","",INDEX('REGISTRE ELEVES'!$D$10:$D$250,$AU177))</f>
        <v/>
      </c>
      <c r="D177" s="73" t="str">
        <f aca="false">IF($AU177="","",INDEX('REGISTRE ELEVES'!$E$10:$E$250,$AU177))</f>
        <v/>
      </c>
      <c r="E177" s="73" t="str">
        <f aca="false">IF($AU177="","",INDEX('REGISTRE ELEVES'!$F$10:$F$250,$AU177))</f>
        <v/>
      </c>
      <c r="F177" s="73" t="str">
        <f aca="false">IF($AU177="","",INDEX('REGISTRE ELEVES'!$AE$10:$AE$250,$AU177))</f>
        <v/>
      </c>
      <c r="G177" s="75"/>
      <c r="H177" s="76"/>
      <c r="I177" s="76"/>
      <c r="J177" s="76"/>
      <c r="K177" s="76"/>
      <c r="L177" s="76"/>
      <c r="M177" s="76"/>
      <c r="N177" s="76"/>
      <c r="O177" s="76"/>
      <c r="P177" s="77" t="str">
        <f aca="false">IF(B177="","",IF($G177="NON",0,IF(COUNT(H177:O177)=0,"",IFERROR(ROUND(SUMPRODUCT(H177:O177,$H$8:$O$8)/SUMPRODUCT(ISNUMBER(H177:O177)*$H$8:$O$8),2),""))))</f>
        <v/>
      </c>
      <c r="Q177" s="75"/>
      <c r="R177" s="76"/>
      <c r="S177" s="76"/>
      <c r="T177" s="76"/>
      <c r="U177" s="76"/>
      <c r="V177" s="76"/>
      <c r="W177" s="76"/>
      <c r="X177" s="76"/>
      <c r="Y177" s="76"/>
      <c r="Z177" s="77" t="str">
        <f aca="false">IF(B177="","",IF($Q177="NON",0,IF(COUNT(R177:Y177)=0,"",IFERROR(ROUND(SUMPRODUCT(R177:Y177,$R$8:$Y$8)/SUMPRODUCT(ISNUMBER(R177:Y177)*$R$8:$Y$8),2),""))))</f>
        <v/>
      </c>
      <c r="AA177" s="75"/>
      <c r="AB177" s="76"/>
      <c r="AC177" s="76"/>
      <c r="AD177" s="76"/>
      <c r="AE177" s="76"/>
      <c r="AF177" s="76"/>
      <c r="AG177" s="76"/>
      <c r="AH177" s="76"/>
      <c r="AI177" s="76"/>
      <c r="AJ177" s="77" t="str">
        <f aca="false">IF(B177="","",IF($AA177="NON",0,IF(COUNT(AB177:AI177)=0,"",IFERROR(ROUND(SUMPRODUCT(AB177:AI177,$AB$8:$AI$8)/SUMPRODUCT(ISNUMBER(AB177:AI177)*$AB$8:$AI$8),2),""))))</f>
        <v/>
      </c>
      <c r="AK177" s="75"/>
      <c r="AL177" s="76"/>
      <c r="AM177" s="76"/>
      <c r="AN177" s="76"/>
      <c r="AO177" s="76"/>
      <c r="AP177" s="76"/>
      <c r="AQ177" s="76"/>
      <c r="AR177" s="76"/>
      <c r="AS177" s="76"/>
      <c r="AT177" s="77" t="str">
        <f aca="false">IF(B177="","",IF($AK177="NON",0,IF(COUNT(AL177:AS177)=0,"",IFERROR(ROUND(SUMPRODUCT(AL177:AS177,$AL$8:$AS$8)/SUMPRODUCT(ISNUMBER(AL177:AS177)*$AL$8:$AS$8),2),""))))</f>
        <v/>
      </c>
      <c r="AU177" s="51" t="str">
        <f aca="false">IFERROR(MATCH("CP-168",'REGISTRE ELEVES'!$AI$10:$AI$250,0),"")</f>
        <v/>
      </c>
    </row>
    <row r="178" customFormat="false" ht="15" hidden="false" customHeight="false" outlineLevel="0" collapsed="false">
      <c r="A178" s="73" t="str">
        <f aca="false">IF(B178="","",169)</f>
        <v/>
      </c>
      <c r="B178" s="73" t="str">
        <f aca="false">IF($AU178="","",INDEX('REGISTRE ELEVES'!$B$10:$B$250,$AU178))</f>
        <v/>
      </c>
      <c r="C178" s="74" t="str">
        <f aca="false">IF($AU178="","",INDEX('REGISTRE ELEVES'!$D$10:$D$250,$AU178))</f>
        <v/>
      </c>
      <c r="D178" s="73" t="str">
        <f aca="false">IF($AU178="","",INDEX('REGISTRE ELEVES'!$E$10:$E$250,$AU178))</f>
        <v/>
      </c>
      <c r="E178" s="73" t="str">
        <f aca="false">IF($AU178="","",INDEX('REGISTRE ELEVES'!$F$10:$F$250,$AU178))</f>
        <v/>
      </c>
      <c r="F178" s="73" t="str">
        <f aca="false">IF($AU178="","",INDEX('REGISTRE ELEVES'!$AE$10:$AE$250,$AU178))</f>
        <v/>
      </c>
      <c r="G178" s="75"/>
      <c r="H178" s="76"/>
      <c r="I178" s="76"/>
      <c r="J178" s="76"/>
      <c r="K178" s="76"/>
      <c r="L178" s="76"/>
      <c r="M178" s="76"/>
      <c r="N178" s="76"/>
      <c r="O178" s="76"/>
      <c r="P178" s="77" t="str">
        <f aca="false">IF(B178="","",IF($G178="NON",0,IF(COUNT(H178:O178)=0,"",IFERROR(ROUND(SUMPRODUCT(H178:O178,$H$8:$O$8)/SUMPRODUCT(ISNUMBER(H178:O178)*$H$8:$O$8),2),""))))</f>
        <v/>
      </c>
      <c r="Q178" s="75"/>
      <c r="R178" s="76"/>
      <c r="S178" s="76"/>
      <c r="T178" s="76"/>
      <c r="U178" s="76"/>
      <c r="V178" s="76"/>
      <c r="W178" s="76"/>
      <c r="X178" s="76"/>
      <c r="Y178" s="76"/>
      <c r="Z178" s="77" t="str">
        <f aca="false">IF(B178="","",IF($Q178="NON",0,IF(COUNT(R178:Y178)=0,"",IFERROR(ROUND(SUMPRODUCT(R178:Y178,$R$8:$Y$8)/SUMPRODUCT(ISNUMBER(R178:Y178)*$R$8:$Y$8),2),""))))</f>
        <v/>
      </c>
      <c r="AA178" s="75"/>
      <c r="AB178" s="76"/>
      <c r="AC178" s="76"/>
      <c r="AD178" s="76"/>
      <c r="AE178" s="76"/>
      <c r="AF178" s="76"/>
      <c r="AG178" s="76"/>
      <c r="AH178" s="76"/>
      <c r="AI178" s="76"/>
      <c r="AJ178" s="77" t="str">
        <f aca="false">IF(B178="","",IF($AA178="NON",0,IF(COUNT(AB178:AI178)=0,"",IFERROR(ROUND(SUMPRODUCT(AB178:AI178,$AB$8:$AI$8)/SUMPRODUCT(ISNUMBER(AB178:AI178)*$AB$8:$AI$8),2),""))))</f>
        <v/>
      </c>
      <c r="AK178" s="75"/>
      <c r="AL178" s="76"/>
      <c r="AM178" s="76"/>
      <c r="AN178" s="76"/>
      <c r="AO178" s="76"/>
      <c r="AP178" s="76"/>
      <c r="AQ178" s="76"/>
      <c r="AR178" s="76"/>
      <c r="AS178" s="76"/>
      <c r="AT178" s="77" t="str">
        <f aca="false">IF(B178="","",IF($AK178="NON",0,IF(COUNT(AL178:AS178)=0,"",IFERROR(ROUND(SUMPRODUCT(AL178:AS178,$AL$8:$AS$8)/SUMPRODUCT(ISNUMBER(AL178:AS178)*$AL$8:$AS$8),2),""))))</f>
        <v/>
      </c>
      <c r="AU178" s="51" t="str">
        <f aca="false">IFERROR(MATCH("CP-169",'REGISTRE ELEVES'!$AI$10:$AI$250,0),"")</f>
        <v/>
      </c>
    </row>
    <row r="179" customFormat="false" ht="15" hidden="false" customHeight="false" outlineLevel="0" collapsed="false">
      <c r="A179" s="73" t="str">
        <f aca="false">IF(B179="","",170)</f>
        <v/>
      </c>
      <c r="B179" s="73" t="str">
        <f aca="false">IF($AU179="","",INDEX('REGISTRE ELEVES'!$B$10:$B$250,$AU179))</f>
        <v/>
      </c>
      <c r="C179" s="74" t="str">
        <f aca="false">IF($AU179="","",INDEX('REGISTRE ELEVES'!$D$10:$D$250,$AU179))</f>
        <v/>
      </c>
      <c r="D179" s="73" t="str">
        <f aca="false">IF($AU179="","",INDEX('REGISTRE ELEVES'!$E$10:$E$250,$AU179))</f>
        <v/>
      </c>
      <c r="E179" s="73" t="str">
        <f aca="false">IF($AU179="","",INDEX('REGISTRE ELEVES'!$F$10:$F$250,$AU179))</f>
        <v/>
      </c>
      <c r="F179" s="73" t="str">
        <f aca="false">IF($AU179="","",INDEX('REGISTRE ELEVES'!$AE$10:$AE$250,$AU179))</f>
        <v/>
      </c>
      <c r="G179" s="75"/>
      <c r="H179" s="76"/>
      <c r="I179" s="76"/>
      <c r="J179" s="76"/>
      <c r="K179" s="76"/>
      <c r="L179" s="76"/>
      <c r="M179" s="76"/>
      <c r="N179" s="76"/>
      <c r="O179" s="76"/>
      <c r="P179" s="77" t="str">
        <f aca="false">IF(B179="","",IF($G179="NON",0,IF(COUNT(H179:O179)=0,"",IFERROR(ROUND(SUMPRODUCT(H179:O179,$H$8:$O$8)/SUMPRODUCT(ISNUMBER(H179:O179)*$H$8:$O$8),2),""))))</f>
        <v/>
      </c>
      <c r="Q179" s="75"/>
      <c r="R179" s="76"/>
      <c r="S179" s="76"/>
      <c r="T179" s="76"/>
      <c r="U179" s="76"/>
      <c r="V179" s="76"/>
      <c r="W179" s="76"/>
      <c r="X179" s="76"/>
      <c r="Y179" s="76"/>
      <c r="Z179" s="77" t="str">
        <f aca="false">IF(B179="","",IF($Q179="NON",0,IF(COUNT(R179:Y179)=0,"",IFERROR(ROUND(SUMPRODUCT(R179:Y179,$R$8:$Y$8)/SUMPRODUCT(ISNUMBER(R179:Y179)*$R$8:$Y$8),2),""))))</f>
        <v/>
      </c>
      <c r="AA179" s="75"/>
      <c r="AB179" s="76"/>
      <c r="AC179" s="76"/>
      <c r="AD179" s="76"/>
      <c r="AE179" s="76"/>
      <c r="AF179" s="76"/>
      <c r="AG179" s="76"/>
      <c r="AH179" s="76"/>
      <c r="AI179" s="76"/>
      <c r="AJ179" s="77" t="str">
        <f aca="false">IF(B179="","",IF($AA179="NON",0,IF(COUNT(AB179:AI179)=0,"",IFERROR(ROUND(SUMPRODUCT(AB179:AI179,$AB$8:$AI$8)/SUMPRODUCT(ISNUMBER(AB179:AI179)*$AB$8:$AI$8),2),""))))</f>
        <v/>
      </c>
      <c r="AK179" s="75"/>
      <c r="AL179" s="76"/>
      <c r="AM179" s="76"/>
      <c r="AN179" s="76"/>
      <c r="AO179" s="76"/>
      <c r="AP179" s="76"/>
      <c r="AQ179" s="76"/>
      <c r="AR179" s="76"/>
      <c r="AS179" s="76"/>
      <c r="AT179" s="77" t="str">
        <f aca="false">IF(B179="","",IF($AK179="NON",0,IF(COUNT(AL179:AS179)=0,"",IFERROR(ROUND(SUMPRODUCT(AL179:AS179,$AL$8:$AS$8)/SUMPRODUCT(ISNUMBER(AL179:AS179)*$AL$8:$AS$8),2),""))))</f>
        <v/>
      </c>
      <c r="AU179" s="51" t="str">
        <f aca="false">IFERROR(MATCH("CP-170",'REGISTRE ELEVES'!$AI$10:$AI$250,0),"")</f>
        <v/>
      </c>
    </row>
    <row r="180" customFormat="false" ht="15" hidden="false" customHeight="false" outlineLevel="0" collapsed="false">
      <c r="A180" s="73" t="str">
        <f aca="false">IF(B180="","",171)</f>
        <v/>
      </c>
      <c r="B180" s="73" t="str">
        <f aca="false">IF($AU180="","",INDEX('REGISTRE ELEVES'!$B$10:$B$250,$AU180))</f>
        <v/>
      </c>
      <c r="C180" s="74" t="str">
        <f aca="false">IF($AU180="","",INDEX('REGISTRE ELEVES'!$D$10:$D$250,$AU180))</f>
        <v/>
      </c>
      <c r="D180" s="73" t="str">
        <f aca="false">IF($AU180="","",INDEX('REGISTRE ELEVES'!$E$10:$E$250,$AU180))</f>
        <v/>
      </c>
      <c r="E180" s="73" t="str">
        <f aca="false">IF($AU180="","",INDEX('REGISTRE ELEVES'!$F$10:$F$250,$AU180))</f>
        <v/>
      </c>
      <c r="F180" s="73" t="str">
        <f aca="false">IF($AU180="","",INDEX('REGISTRE ELEVES'!$AE$10:$AE$250,$AU180))</f>
        <v/>
      </c>
      <c r="G180" s="75"/>
      <c r="H180" s="76"/>
      <c r="I180" s="76"/>
      <c r="J180" s="76"/>
      <c r="K180" s="76"/>
      <c r="L180" s="76"/>
      <c r="M180" s="76"/>
      <c r="N180" s="76"/>
      <c r="O180" s="76"/>
      <c r="P180" s="77" t="str">
        <f aca="false">IF(B180="","",IF($G180="NON",0,IF(COUNT(H180:O180)=0,"",IFERROR(ROUND(SUMPRODUCT(H180:O180,$H$8:$O$8)/SUMPRODUCT(ISNUMBER(H180:O180)*$H$8:$O$8),2),""))))</f>
        <v/>
      </c>
      <c r="Q180" s="75"/>
      <c r="R180" s="76"/>
      <c r="S180" s="76"/>
      <c r="T180" s="76"/>
      <c r="U180" s="76"/>
      <c r="V180" s="76"/>
      <c r="W180" s="76"/>
      <c r="X180" s="76"/>
      <c r="Y180" s="76"/>
      <c r="Z180" s="77" t="str">
        <f aca="false">IF(B180="","",IF($Q180="NON",0,IF(COUNT(R180:Y180)=0,"",IFERROR(ROUND(SUMPRODUCT(R180:Y180,$R$8:$Y$8)/SUMPRODUCT(ISNUMBER(R180:Y180)*$R$8:$Y$8),2),""))))</f>
        <v/>
      </c>
      <c r="AA180" s="75"/>
      <c r="AB180" s="76"/>
      <c r="AC180" s="76"/>
      <c r="AD180" s="76"/>
      <c r="AE180" s="76"/>
      <c r="AF180" s="76"/>
      <c r="AG180" s="76"/>
      <c r="AH180" s="76"/>
      <c r="AI180" s="76"/>
      <c r="AJ180" s="77" t="str">
        <f aca="false">IF(B180="","",IF($AA180="NON",0,IF(COUNT(AB180:AI180)=0,"",IFERROR(ROUND(SUMPRODUCT(AB180:AI180,$AB$8:$AI$8)/SUMPRODUCT(ISNUMBER(AB180:AI180)*$AB$8:$AI$8),2),""))))</f>
        <v/>
      </c>
      <c r="AK180" s="75"/>
      <c r="AL180" s="76"/>
      <c r="AM180" s="76"/>
      <c r="AN180" s="76"/>
      <c r="AO180" s="76"/>
      <c r="AP180" s="76"/>
      <c r="AQ180" s="76"/>
      <c r="AR180" s="76"/>
      <c r="AS180" s="76"/>
      <c r="AT180" s="77" t="str">
        <f aca="false">IF(B180="","",IF($AK180="NON",0,IF(COUNT(AL180:AS180)=0,"",IFERROR(ROUND(SUMPRODUCT(AL180:AS180,$AL$8:$AS$8)/SUMPRODUCT(ISNUMBER(AL180:AS180)*$AL$8:$AS$8),2),""))))</f>
        <v/>
      </c>
      <c r="AU180" s="51" t="str">
        <f aca="false">IFERROR(MATCH("CP-171",'REGISTRE ELEVES'!$AI$10:$AI$250,0),"")</f>
        <v/>
      </c>
    </row>
    <row r="181" customFormat="false" ht="15" hidden="false" customHeight="false" outlineLevel="0" collapsed="false">
      <c r="A181" s="73" t="str">
        <f aca="false">IF(B181="","",172)</f>
        <v/>
      </c>
      <c r="B181" s="73" t="str">
        <f aca="false">IF($AU181="","",INDEX('REGISTRE ELEVES'!$B$10:$B$250,$AU181))</f>
        <v/>
      </c>
      <c r="C181" s="74" t="str">
        <f aca="false">IF($AU181="","",INDEX('REGISTRE ELEVES'!$D$10:$D$250,$AU181))</f>
        <v/>
      </c>
      <c r="D181" s="73" t="str">
        <f aca="false">IF($AU181="","",INDEX('REGISTRE ELEVES'!$E$10:$E$250,$AU181))</f>
        <v/>
      </c>
      <c r="E181" s="73" t="str">
        <f aca="false">IF($AU181="","",INDEX('REGISTRE ELEVES'!$F$10:$F$250,$AU181))</f>
        <v/>
      </c>
      <c r="F181" s="73" t="str">
        <f aca="false">IF($AU181="","",INDEX('REGISTRE ELEVES'!$AE$10:$AE$250,$AU181))</f>
        <v/>
      </c>
      <c r="G181" s="75"/>
      <c r="H181" s="76"/>
      <c r="I181" s="76"/>
      <c r="J181" s="76"/>
      <c r="K181" s="76"/>
      <c r="L181" s="76"/>
      <c r="M181" s="76"/>
      <c r="N181" s="76"/>
      <c r="O181" s="76"/>
      <c r="P181" s="77" t="str">
        <f aca="false">IF(B181="","",IF($G181="NON",0,IF(COUNT(H181:O181)=0,"",IFERROR(ROUND(SUMPRODUCT(H181:O181,$H$8:$O$8)/SUMPRODUCT(ISNUMBER(H181:O181)*$H$8:$O$8),2),""))))</f>
        <v/>
      </c>
      <c r="Q181" s="75"/>
      <c r="R181" s="76"/>
      <c r="S181" s="76"/>
      <c r="T181" s="76"/>
      <c r="U181" s="76"/>
      <c r="V181" s="76"/>
      <c r="W181" s="76"/>
      <c r="X181" s="76"/>
      <c r="Y181" s="76"/>
      <c r="Z181" s="77" t="str">
        <f aca="false">IF(B181="","",IF($Q181="NON",0,IF(COUNT(R181:Y181)=0,"",IFERROR(ROUND(SUMPRODUCT(R181:Y181,$R$8:$Y$8)/SUMPRODUCT(ISNUMBER(R181:Y181)*$R$8:$Y$8),2),""))))</f>
        <v/>
      </c>
      <c r="AA181" s="75"/>
      <c r="AB181" s="76"/>
      <c r="AC181" s="76"/>
      <c r="AD181" s="76"/>
      <c r="AE181" s="76"/>
      <c r="AF181" s="76"/>
      <c r="AG181" s="76"/>
      <c r="AH181" s="76"/>
      <c r="AI181" s="76"/>
      <c r="AJ181" s="77" t="str">
        <f aca="false">IF(B181="","",IF($AA181="NON",0,IF(COUNT(AB181:AI181)=0,"",IFERROR(ROUND(SUMPRODUCT(AB181:AI181,$AB$8:$AI$8)/SUMPRODUCT(ISNUMBER(AB181:AI181)*$AB$8:$AI$8),2),""))))</f>
        <v/>
      </c>
      <c r="AK181" s="75"/>
      <c r="AL181" s="76"/>
      <c r="AM181" s="76"/>
      <c r="AN181" s="76"/>
      <c r="AO181" s="76"/>
      <c r="AP181" s="76"/>
      <c r="AQ181" s="76"/>
      <c r="AR181" s="76"/>
      <c r="AS181" s="76"/>
      <c r="AT181" s="77" t="str">
        <f aca="false">IF(B181="","",IF($AK181="NON",0,IF(COUNT(AL181:AS181)=0,"",IFERROR(ROUND(SUMPRODUCT(AL181:AS181,$AL$8:$AS$8)/SUMPRODUCT(ISNUMBER(AL181:AS181)*$AL$8:$AS$8),2),""))))</f>
        <v/>
      </c>
      <c r="AU181" s="51" t="str">
        <f aca="false">IFERROR(MATCH("CP-172",'REGISTRE ELEVES'!$AI$10:$AI$250,0),"")</f>
        <v/>
      </c>
    </row>
    <row r="182" customFormat="false" ht="15" hidden="false" customHeight="false" outlineLevel="0" collapsed="false">
      <c r="A182" s="73" t="str">
        <f aca="false">IF(B182="","",173)</f>
        <v/>
      </c>
      <c r="B182" s="73" t="str">
        <f aca="false">IF($AU182="","",INDEX('REGISTRE ELEVES'!$B$10:$B$250,$AU182))</f>
        <v/>
      </c>
      <c r="C182" s="74" t="str">
        <f aca="false">IF($AU182="","",INDEX('REGISTRE ELEVES'!$D$10:$D$250,$AU182))</f>
        <v/>
      </c>
      <c r="D182" s="73" t="str">
        <f aca="false">IF($AU182="","",INDEX('REGISTRE ELEVES'!$E$10:$E$250,$AU182))</f>
        <v/>
      </c>
      <c r="E182" s="73" t="str">
        <f aca="false">IF($AU182="","",INDEX('REGISTRE ELEVES'!$F$10:$F$250,$AU182))</f>
        <v/>
      </c>
      <c r="F182" s="73" t="str">
        <f aca="false">IF($AU182="","",INDEX('REGISTRE ELEVES'!$AE$10:$AE$250,$AU182))</f>
        <v/>
      </c>
      <c r="G182" s="75"/>
      <c r="H182" s="76"/>
      <c r="I182" s="76"/>
      <c r="J182" s="76"/>
      <c r="K182" s="76"/>
      <c r="L182" s="76"/>
      <c r="M182" s="76"/>
      <c r="N182" s="76"/>
      <c r="O182" s="76"/>
      <c r="P182" s="77" t="str">
        <f aca="false">IF(B182="","",IF($G182="NON",0,IF(COUNT(H182:O182)=0,"",IFERROR(ROUND(SUMPRODUCT(H182:O182,$H$8:$O$8)/SUMPRODUCT(ISNUMBER(H182:O182)*$H$8:$O$8),2),""))))</f>
        <v/>
      </c>
      <c r="Q182" s="75"/>
      <c r="R182" s="76"/>
      <c r="S182" s="76"/>
      <c r="T182" s="76"/>
      <c r="U182" s="76"/>
      <c r="V182" s="76"/>
      <c r="W182" s="76"/>
      <c r="X182" s="76"/>
      <c r="Y182" s="76"/>
      <c r="Z182" s="77" t="str">
        <f aca="false">IF(B182="","",IF($Q182="NON",0,IF(COUNT(R182:Y182)=0,"",IFERROR(ROUND(SUMPRODUCT(R182:Y182,$R$8:$Y$8)/SUMPRODUCT(ISNUMBER(R182:Y182)*$R$8:$Y$8),2),""))))</f>
        <v/>
      </c>
      <c r="AA182" s="75"/>
      <c r="AB182" s="76"/>
      <c r="AC182" s="76"/>
      <c r="AD182" s="76"/>
      <c r="AE182" s="76"/>
      <c r="AF182" s="76"/>
      <c r="AG182" s="76"/>
      <c r="AH182" s="76"/>
      <c r="AI182" s="76"/>
      <c r="AJ182" s="77" t="str">
        <f aca="false">IF(B182="","",IF($AA182="NON",0,IF(COUNT(AB182:AI182)=0,"",IFERROR(ROUND(SUMPRODUCT(AB182:AI182,$AB$8:$AI$8)/SUMPRODUCT(ISNUMBER(AB182:AI182)*$AB$8:$AI$8),2),""))))</f>
        <v/>
      </c>
      <c r="AK182" s="75"/>
      <c r="AL182" s="76"/>
      <c r="AM182" s="76"/>
      <c r="AN182" s="76"/>
      <c r="AO182" s="76"/>
      <c r="AP182" s="76"/>
      <c r="AQ182" s="76"/>
      <c r="AR182" s="76"/>
      <c r="AS182" s="76"/>
      <c r="AT182" s="77" t="str">
        <f aca="false">IF(B182="","",IF($AK182="NON",0,IF(COUNT(AL182:AS182)=0,"",IFERROR(ROUND(SUMPRODUCT(AL182:AS182,$AL$8:$AS$8)/SUMPRODUCT(ISNUMBER(AL182:AS182)*$AL$8:$AS$8),2),""))))</f>
        <v/>
      </c>
      <c r="AU182" s="51" t="str">
        <f aca="false">IFERROR(MATCH("CP-173",'REGISTRE ELEVES'!$AI$10:$AI$250,0),"")</f>
        <v/>
      </c>
    </row>
    <row r="183" customFormat="false" ht="15" hidden="false" customHeight="false" outlineLevel="0" collapsed="false">
      <c r="A183" s="73" t="str">
        <f aca="false">IF(B183="","",174)</f>
        <v/>
      </c>
      <c r="B183" s="73" t="str">
        <f aca="false">IF($AU183="","",INDEX('REGISTRE ELEVES'!$B$10:$B$250,$AU183))</f>
        <v/>
      </c>
      <c r="C183" s="74" t="str">
        <f aca="false">IF($AU183="","",INDEX('REGISTRE ELEVES'!$D$10:$D$250,$AU183))</f>
        <v/>
      </c>
      <c r="D183" s="73" t="str">
        <f aca="false">IF($AU183="","",INDEX('REGISTRE ELEVES'!$E$10:$E$250,$AU183))</f>
        <v/>
      </c>
      <c r="E183" s="73" t="str">
        <f aca="false">IF($AU183="","",INDEX('REGISTRE ELEVES'!$F$10:$F$250,$AU183))</f>
        <v/>
      </c>
      <c r="F183" s="73" t="str">
        <f aca="false">IF($AU183="","",INDEX('REGISTRE ELEVES'!$AE$10:$AE$250,$AU183))</f>
        <v/>
      </c>
      <c r="G183" s="75"/>
      <c r="H183" s="76"/>
      <c r="I183" s="76"/>
      <c r="J183" s="76"/>
      <c r="K183" s="76"/>
      <c r="L183" s="76"/>
      <c r="M183" s="76"/>
      <c r="N183" s="76"/>
      <c r="O183" s="76"/>
      <c r="P183" s="77" t="str">
        <f aca="false">IF(B183="","",IF($G183="NON",0,IF(COUNT(H183:O183)=0,"",IFERROR(ROUND(SUMPRODUCT(H183:O183,$H$8:$O$8)/SUMPRODUCT(ISNUMBER(H183:O183)*$H$8:$O$8),2),""))))</f>
        <v/>
      </c>
      <c r="Q183" s="75"/>
      <c r="R183" s="76"/>
      <c r="S183" s="76"/>
      <c r="T183" s="76"/>
      <c r="U183" s="76"/>
      <c r="V183" s="76"/>
      <c r="W183" s="76"/>
      <c r="X183" s="76"/>
      <c r="Y183" s="76"/>
      <c r="Z183" s="77" t="str">
        <f aca="false">IF(B183="","",IF($Q183="NON",0,IF(COUNT(R183:Y183)=0,"",IFERROR(ROUND(SUMPRODUCT(R183:Y183,$R$8:$Y$8)/SUMPRODUCT(ISNUMBER(R183:Y183)*$R$8:$Y$8),2),""))))</f>
        <v/>
      </c>
      <c r="AA183" s="75"/>
      <c r="AB183" s="76"/>
      <c r="AC183" s="76"/>
      <c r="AD183" s="76"/>
      <c r="AE183" s="76"/>
      <c r="AF183" s="76"/>
      <c r="AG183" s="76"/>
      <c r="AH183" s="76"/>
      <c r="AI183" s="76"/>
      <c r="AJ183" s="77" t="str">
        <f aca="false">IF(B183="","",IF($AA183="NON",0,IF(COUNT(AB183:AI183)=0,"",IFERROR(ROUND(SUMPRODUCT(AB183:AI183,$AB$8:$AI$8)/SUMPRODUCT(ISNUMBER(AB183:AI183)*$AB$8:$AI$8),2),""))))</f>
        <v/>
      </c>
      <c r="AK183" s="75"/>
      <c r="AL183" s="76"/>
      <c r="AM183" s="76"/>
      <c r="AN183" s="76"/>
      <c r="AO183" s="76"/>
      <c r="AP183" s="76"/>
      <c r="AQ183" s="76"/>
      <c r="AR183" s="76"/>
      <c r="AS183" s="76"/>
      <c r="AT183" s="77" t="str">
        <f aca="false">IF(B183="","",IF($AK183="NON",0,IF(COUNT(AL183:AS183)=0,"",IFERROR(ROUND(SUMPRODUCT(AL183:AS183,$AL$8:$AS$8)/SUMPRODUCT(ISNUMBER(AL183:AS183)*$AL$8:$AS$8),2),""))))</f>
        <v/>
      </c>
      <c r="AU183" s="51" t="str">
        <f aca="false">IFERROR(MATCH("CP-174",'REGISTRE ELEVES'!$AI$10:$AI$250,0),"")</f>
        <v/>
      </c>
    </row>
    <row r="184" customFormat="false" ht="15" hidden="false" customHeight="false" outlineLevel="0" collapsed="false">
      <c r="A184" s="73" t="str">
        <f aca="false">IF(B184="","",175)</f>
        <v/>
      </c>
      <c r="B184" s="73" t="str">
        <f aca="false">IF($AU184="","",INDEX('REGISTRE ELEVES'!$B$10:$B$250,$AU184))</f>
        <v/>
      </c>
      <c r="C184" s="74" t="str">
        <f aca="false">IF($AU184="","",INDEX('REGISTRE ELEVES'!$D$10:$D$250,$AU184))</f>
        <v/>
      </c>
      <c r="D184" s="73" t="str">
        <f aca="false">IF($AU184="","",INDEX('REGISTRE ELEVES'!$E$10:$E$250,$AU184))</f>
        <v/>
      </c>
      <c r="E184" s="73" t="str">
        <f aca="false">IF($AU184="","",INDEX('REGISTRE ELEVES'!$F$10:$F$250,$AU184))</f>
        <v/>
      </c>
      <c r="F184" s="73" t="str">
        <f aca="false">IF($AU184="","",INDEX('REGISTRE ELEVES'!$AE$10:$AE$250,$AU184))</f>
        <v/>
      </c>
      <c r="G184" s="75"/>
      <c r="H184" s="76"/>
      <c r="I184" s="76"/>
      <c r="J184" s="76"/>
      <c r="K184" s="76"/>
      <c r="L184" s="76"/>
      <c r="M184" s="76"/>
      <c r="N184" s="76"/>
      <c r="O184" s="76"/>
      <c r="P184" s="77" t="str">
        <f aca="false">IF(B184="","",IF($G184="NON",0,IF(COUNT(H184:O184)=0,"",IFERROR(ROUND(SUMPRODUCT(H184:O184,$H$8:$O$8)/SUMPRODUCT(ISNUMBER(H184:O184)*$H$8:$O$8),2),""))))</f>
        <v/>
      </c>
      <c r="Q184" s="75"/>
      <c r="R184" s="76"/>
      <c r="S184" s="76"/>
      <c r="T184" s="76"/>
      <c r="U184" s="76"/>
      <c r="V184" s="76"/>
      <c r="W184" s="76"/>
      <c r="X184" s="76"/>
      <c r="Y184" s="76"/>
      <c r="Z184" s="77" t="str">
        <f aca="false">IF(B184="","",IF($Q184="NON",0,IF(COUNT(R184:Y184)=0,"",IFERROR(ROUND(SUMPRODUCT(R184:Y184,$R$8:$Y$8)/SUMPRODUCT(ISNUMBER(R184:Y184)*$R$8:$Y$8),2),""))))</f>
        <v/>
      </c>
      <c r="AA184" s="75"/>
      <c r="AB184" s="76"/>
      <c r="AC184" s="76"/>
      <c r="AD184" s="76"/>
      <c r="AE184" s="76"/>
      <c r="AF184" s="76"/>
      <c r="AG184" s="76"/>
      <c r="AH184" s="76"/>
      <c r="AI184" s="76"/>
      <c r="AJ184" s="77" t="str">
        <f aca="false">IF(B184="","",IF($AA184="NON",0,IF(COUNT(AB184:AI184)=0,"",IFERROR(ROUND(SUMPRODUCT(AB184:AI184,$AB$8:$AI$8)/SUMPRODUCT(ISNUMBER(AB184:AI184)*$AB$8:$AI$8),2),""))))</f>
        <v/>
      </c>
      <c r="AK184" s="75"/>
      <c r="AL184" s="76"/>
      <c r="AM184" s="76"/>
      <c r="AN184" s="76"/>
      <c r="AO184" s="76"/>
      <c r="AP184" s="76"/>
      <c r="AQ184" s="76"/>
      <c r="AR184" s="76"/>
      <c r="AS184" s="76"/>
      <c r="AT184" s="77" t="str">
        <f aca="false">IF(B184="","",IF($AK184="NON",0,IF(COUNT(AL184:AS184)=0,"",IFERROR(ROUND(SUMPRODUCT(AL184:AS184,$AL$8:$AS$8)/SUMPRODUCT(ISNUMBER(AL184:AS184)*$AL$8:$AS$8),2),""))))</f>
        <v/>
      </c>
      <c r="AU184" s="51" t="str">
        <f aca="false">IFERROR(MATCH("CP-175",'REGISTRE ELEVES'!$AI$10:$AI$250,0),"")</f>
        <v/>
      </c>
    </row>
    <row r="185" customFormat="false" ht="15" hidden="false" customHeight="false" outlineLevel="0" collapsed="false">
      <c r="A185" s="73" t="str">
        <f aca="false">IF(B185="","",176)</f>
        <v/>
      </c>
      <c r="B185" s="73" t="str">
        <f aca="false">IF($AU185="","",INDEX('REGISTRE ELEVES'!$B$10:$B$250,$AU185))</f>
        <v/>
      </c>
      <c r="C185" s="74" t="str">
        <f aca="false">IF($AU185="","",INDEX('REGISTRE ELEVES'!$D$10:$D$250,$AU185))</f>
        <v/>
      </c>
      <c r="D185" s="73" t="str">
        <f aca="false">IF($AU185="","",INDEX('REGISTRE ELEVES'!$E$10:$E$250,$AU185))</f>
        <v/>
      </c>
      <c r="E185" s="73" t="str">
        <f aca="false">IF($AU185="","",INDEX('REGISTRE ELEVES'!$F$10:$F$250,$AU185))</f>
        <v/>
      </c>
      <c r="F185" s="73" t="str">
        <f aca="false">IF($AU185="","",INDEX('REGISTRE ELEVES'!$AE$10:$AE$250,$AU185))</f>
        <v/>
      </c>
      <c r="G185" s="75"/>
      <c r="H185" s="76"/>
      <c r="I185" s="76"/>
      <c r="J185" s="76"/>
      <c r="K185" s="76"/>
      <c r="L185" s="76"/>
      <c r="M185" s="76"/>
      <c r="N185" s="76"/>
      <c r="O185" s="76"/>
      <c r="P185" s="77" t="str">
        <f aca="false">IF(B185="","",IF($G185="NON",0,IF(COUNT(H185:O185)=0,"",IFERROR(ROUND(SUMPRODUCT(H185:O185,$H$8:$O$8)/SUMPRODUCT(ISNUMBER(H185:O185)*$H$8:$O$8),2),""))))</f>
        <v/>
      </c>
      <c r="Q185" s="75"/>
      <c r="R185" s="76"/>
      <c r="S185" s="76"/>
      <c r="T185" s="76"/>
      <c r="U185" s="76"/>
      <c r="V185" s="76"/>
      <c r="W185" s="76"/>
      <c r="X185" s="76"/>
      <c r="Y185" s="76"/>
      <c r="Z185" s="77" t="str">
        <f aca="false">IF(B185="","",IF($Q185="NON",0,IF(COUNT(R185:Y185)=0,"",IFERROR(ROUND(SUMPRODUCT(R185:Y185,$R$8:$Y$8)/SUMPRODUCT(ISNUMBER(R185:Y185)*$R$8:$Y$8),2),""))))</f>
        <v/>
      </c>
      <c r="AA185" s="75"/>
      <c r="AB185" s="76"/>
      <c r="AC185" s="76"/>
      <c r="AD185" s="76"/>
      <c r="AE185" s="76"/>
      <c r="AF185" s="76"/>
      <c r="AG185" s="76"/>
      <c r="AH185" s="76"/>
      <c r="AI185" s="76"/>
      <c r="AJ185" s="77" t="str">
        <f aca="false">IF(B185="","",IF($AA185="NON",0,IF(COUNT(AB185:AI185)=0,"",IFERROR(ROUND(SUMPRODUCT(AB185:AI185,$AB$8:$AI$8)/SUMPRODUCT(ISNUMBER(AB185:AI185)*$AB$8:$AI$8),2),""))))</f>
        <v/>
      </c>
      <c r="AK185" s="75"/>
      <c r="AL185" s="76"/>
      <c r="AM185" s="76"/>
      <c r="AN185" s="76"/>
      <c r="AO185" s="76"/>
      <c r="AP185" s="76"/>
      <c r="AQ185" s="76"/>
      <c r="AR185" s="76"/>
      <c r="AS185" s="76"/>
      <c r="AT185" s="77" t="str">
        <f aca="false">IF(B185="","",IF($AK185="NON",0,IF(COUNT(AL185:AS185)=0,"",IFERROR(ROUND(SUMPRODUCT(AL185:AS185,$AL$8:$AS$8)/SUMPRODUCT(ISNUMBER(AL185:AS185)*$AL$8:$AS$8),2),""))))</f>
        <v/>
      </c>
      <c r="AU185" s="51" t="str">
        <f aca="false">IFERROR(MATCH("CP-176",'REGISTRE ELEVES'!$AI$10:$AI$250,0),"")</f>
        <v/>
      </c>
    </row>
    <row r="186" customFormat="false" ht="15" hidden="false" customHeight="false" outlineLevel="0" collapsed="false">
      <c r="A186" s="73" t="str">
        <f aca="false">IF(B186="","",177)</f>
        <v/>
      </c>
      <c r="B186" s="73" t="str">
        <f aca="false">IF($AU186="","",INDEX('REGISTRE ELEVES'!$B$10:$B$250,$AU186))</f>
        <v/>
      </c>
      <c r="C186" s="74" t="str">
        <f aca="false">IF($AU186="","",INDEX('REGISTRE ELEVES'!$D$10:$D$250,$AU186))</f>
        <v/>
      </c>
      <c r="D186" s="73" t="str">
        <f aca="false">IF($AU186="","",INDEX('REGISTRE ELEVES'!$E$10:$E$250,$AU186))</f>
        <v/>
      </c>
      <c r="E186" s="73" t="str">
        <f aca="false">IF($AU186="","",INDEX('REGISTRE ELEVES'!$F$10:$F$250,$AU186))</f>
        <v/>
      </c>
      <c r="F186" s="73" t="str">
        <f aca="false">IF($AU186="","",INDEX('REGISTRE ELEVES'!$AE$10:$AE$250,$AU186))</f>
        <v/>
      </c>
      <c r="G186" s="75"/>
      <c r="H186" s="76"/>
      <c r="I186" s="76"/>
      <c r="J186" s="76"/>
      <c r="K186" s="76"/>
      <c r="L186" s="76"/>
      <c r="M186" s="76"/>
      <c r="N186" s="76"/>
      <c r="O186" s="76"/>
      <c r="P186" s="77" t="str">
        <f aca="false">IF(B186="","",IF($G186="NON",0,IF(COUNT(H186:O186)=0,"",IFERROR(ROUND(SUMPRODUCT(H186:O186,$H$8:$O$8)/SUMPRODUCT(ISNUMBER(H186:O186)*$H$8:$O$8),2),""))))</f>
        <v/>
      </c>
      <c r="Q186" s="75"/>
      <c r="R186" s="76"/>
      <c r="S186" s="76"/>
      <c r="T186" s="76"/>
      <c r="U186" s="76"/>
      <c r="V186" s="76"/>
      <c r="W186" s="76"/>
      <c r="X186" s="76"/>
      <c r="Y186" s="76"/>
      <c r="Z186" s="77" t="str">
        <f aca="false">IF(B186="","",IF($Q186="NON",0,IF(COUNT(R186:Y186)=0,"",IFERROR(ROUND(SUMPRODUCT(R186:Y186,$R$8:$Y$8)/SUMPRODUCT(ISNUMBER(R186:Y186)*$R$8:$Y$8),2),""))))</f>
        <v/>
      </c>
      <c r="AA186" s="75"/>
      <c r="AB186" s="76"/>
      <c r="AC186" s="76"/>
      <c r="AD186" s="76"/>
      <c r="AE186" s="76"/>
      <c r="AF186" s="76"/>
      <c r="AG186" s="76"/>
      <c r="AH186" s="76"/>
      <c r="AI186" s="76"/>
      <c r="AJ186" s="77" t="str">
        <f aca="false">IF(B186="","",IF($AA186="NON",0,IF(COUNT(AB186:AI186)=0,"",IFERROR(ROUND(SUMPRODUCT(AB186:AI186,$AB$8:$AI$8)/SUMPRODUCT(ISNUMBER(AB186:AI186)*$AB$8:$AI$8),2),""))))</f>
        <v/>
      </c>
      <c r="AK186" s="75"/>
      <c r="AL186" s="76"/>
      <c r="AM186" s="76"/>
      <c r="AN186" s="76"/>
      <c r="AO186" s="76"/>
      <c r="AP186" s="76"/>
      <c r="AQ186" s="76"/>
      <c r="AR186" s="76"/>
      <c r="AS186" s="76"/>
      <c r="AT186" s="77" t="str">
        <f aca="false">IF(B186="","",IF($AK186="NON",0,IF(COUNT(AL186:AS186)=0,"",IFERROR(ROUND(SUMPRODUCT(AL186:AS186,$AL$8:$AS$8)/SUMPRODUCT(ISNUMBER(AL186:AS186)*$AL$8:$AS$8),2),""))))</f>
        <v/>
      </c>
      <c r="AU186" s="51" t="str">
        <f aca="false">IFERROR(MATCH("CP-177",'REGISTRE ELEVES'!$AI$10:$AI$250,0),"")</f>
        <v/>
      </c>
    </row>
    <row r="187" customFormat="false" ht="15" hidden="false" customHeight="false" outlineLevel="0" collapsed="false">
      <c r="A187" s="73" t="str">
        <f aca="false">IF(B187="","",178)</f>
        <v/>
      </c>
      <c r="B187" s="73" t="str">
        <f aca="false">IF($AU187="","",INDEX('REGISTRE ELEVES'!$B$10:$B$250,$AU187))</f>
        <v/>
      </c>
      <c r="C187" s="74" t="str">
        <f aca="false">IF($AU187="","",INDEX('REGISTRE ELEVES'!$D$10:$D$250,$AU187))</f>
        <v/>
      </c>
      <c r="D187" s="73" t="str">
        <f aca="false">IF($AU187="","",INDEX('REGISTRE ELEVES'!$E$10:$E$250,$AU187))</f>
        <v/>
      </c>
      <c r="E187" s="73" t="str">
        <f aca="false">IF($AU187="","",INDEX('REGISTRE ELEVES'!$F$10:$F$250,$AU187))</f>
        <v/>
      </c>
      <c r="F187" s="73" t="str">
        <f aca="false">IF($AU187="","",INDEX('REGISTRE ELEVES'!$AE$10:$AE$250,$AU187))</f>
        <v/>
      </c>
      <c r="G187" s="75"/>
      <c r="H187" s="76"/>
      <c r="I187" s="76"/>
      <c r="J187" s="76"/>
      <c r="K187" s="76"/>
      <c r="L187" s="76"/>
      <c r="M187" s="76"/>
      <c r="N187" s="76"/>
      <c r="O187" s="76"/>
      <c r="P187" s="77" t="str">
        <f aca="false">IF(B187="","",IF($G187="NON",0,IF(COUNT(H187:O187)=0,"",IFERROR(ROUND(SUMPRODUCT(H187:O187,$H$8:$O$8)/SUMPRODUCT(ISNUMBER(H187:O187)*$H$8:$O$8),2),""))))</f>
        <v/>
      </c>
      <c r="Q187" s="75"/>
      <c r="R187" s="76"/>
      <c r="S187" s="76"/>
      <c r="T187" s="76"/>
      <c r="U187" s="76"/>
      <c r="V187" s="76"/>
      <c r="W187" s="76"/>
      <c r="X187" s="76"/>
      <c r="Y187" s="76"/>
      <c r="Z187" s="77" t="str">
        <f aca="false">IF(B187="","",IF($Q187="NON",0,IF(COUNT(R187:Y187)=0,"",IFERROR(ROUND(SUMPRODUCT(R187:Y187,$R$8:$Y$8)/SUMPRODUCT(ISNUMBER(R187:Y187)*$R$8:$Y$8),2),""))))</f>
        <v/>
      </c>
      <c r="AA187" s="75"/>
      <c r="AB187" s="76"/>
      <c r="AC187" s="76"/>
      <c r="AD187" s="76"/>
      <c r="AE187" s="76"/>
      <c r="AF187" s="76"/>
      <c r="AG187" s="76"/>
      <c r="AH187" s="76"/>
      <c r="AI187" s="76"/>
      <c r="AJ187" s="77" t="str">
        <f aca="false">IF(B187="","",IF($AA187="NON",0,IF(COUNT(AB187:AI187)=0,"",IFERROR(ROUND(SUMPRODUCT(AB187:AI187,$AB$8:$AI$8)/SUMPRODUCT(ISNUMBER(AB187:AI187)*$AB$8:$AI$8),2),""))))</f>
        <v/>
      </c>
      <c r="AK187" s="75"/>
      <c r="AL187" s="76"/>
      <c r="AM187" s="76"/>
      <c r="AN187" s="76"/>
      <c r="AO187" s="76"/>
      <c r="AP187" s="76"/>
      <c r="AQ187" s="76"/>
      <c r="AR187" s="76"/>
      <c r="AS187" s="76"/>
      <c r="AT187" s="77" t="str">
        <f aca="false">IF(B187="","",IF($AK187="NON",0,IF(COUNT(AL187:AS187)=0,"",IFERROR(ROUND(SUMPRODUCT(AL187:AS187,$AL$8:$AS$8)/SUMPRODUCT(ISNUMBER(AL187:AS187)*$AL$8:$AS$8),2),""))))</f>
        <v/>
      </c>
      <c r="AU187" s="51" t="str">
        <f aca="false">IFERROR(MATCH("CP-178",'REGISTRE ELEVES'!$AI$10:$AI$250,0),"")</f>
        <v/>
      </c>
    </row>
    <row r="188" customFormat="false" ht="15" hidden="false" customHeight="false" outlineLevel="0" collapsed="false">
      <c r="A188" s="73" t="str">
        <f aca="false">IF(B188="","",179)</f>
        <v/>
      </c>
      <c r="B188" s="73" t="str">
        <f aca="false">IF($AU188="","",INDEX('REGISTRE ELEVES'!$B$10:$B$250,$AU188))</f>
        <v/>
      </c>
      <c r="C188" s="74" t="str">
        <f aca="false">IF($AU188="","",INDEX('REGISTRE ELEVES'!$D$10:$D$250,$AU188))</f>
        <v/>
      </c>
      <c r="D188" s="73" t="str">
        <f aca="false">IF($AU188="","",INDEX('REGISTRE ELEVES'!$E$10:$E$250,$AU188))</f>
        <v/>
      </c>
      <c r="E188" s="73" t="str">
        <f aca="false">IF($AU188="","",INDEX('REGISTRE ELEVES'!$F$10:$F$250,$AU188))</f>
        <v/>
      </c>
      <c r="F188" s="73" t="str">
        <f aca="false">IF($AU188="","",INDEX('REGISTRE ELEVES'!$AE$10:$AE$250,$AU188))</f>
        <v/>
      </c>
      <c r="G188" s="75"/>
      <c r="H188" s="76"/>
      <c r="I188" s="76"/>
      <c r="J188" s="76"/>
      <c r="K188" s="76"/>
      <c r="L188" s="76"/>
      <c r="M188" s="76"/>
      <c r="N188" s="76"/>
      <c r="O188" s="76"/>
      <c r="P188" s="77" t="str">
        <f aca="false">IF(B188="","",IF($G188="NON",0,IF(COUNT(H188:O188)=0,"",IFERROR(ROUND(SUMPRODUCT(H188:O188,$H$8:$O$8)/SUMPRODUCT(ISNUMBER(H188:O188)*$H$8:$O$8),2),""))))</f>
        <v/>
      </c>
      <c r="Q188" s="75"/>
      <c r="R188" s="76"/>
      <c r="S188" s="76"/>
      <c r="T188" s="76"/>
      <c r="U188" s="76"/>
      <c r="V188" s="76"/>
      <c r="W188" s="76"/>
      <c r="X188" s="76"/>
      <c r="Y188" s="76"/>
      <c r="Z188" s="77" t="str">
        <f aca="false">IF(B188="","",IF($Q188="NON",0,IF(COUNT(R188:Y188)=0,"",IFERROR(ROUND(SUMPRODUCT(R188:Y188,$R$8:$Y$8)/SUMPRODUCT(ISNUMBER(R188:Y188)*$R$8:$Y$8),2),""))))</f>
        <v/>
      </c>
      <c r="AA188" s="75"/>
      <c r="AB188" s="76"/>
      <c r="AC188" s="76"/>
      <c r="AD188" s="76"/>
      <c r="AE188" s="76"/>
      <c r="AF188" s="76"/>
      <c r="AG188" s="76"/>
      <c r="AH188" s="76"/>
      <c r="AI188" s="76"/>
      <c r="AJ188" s="77" t="str">
        <f aca="false">IF(B188="","",IF($AA188="NON",0,IF(COUNT(AB188:AI188)=0,"",IFERROR(ROUND(SUMPRODUCT(AB188:AI188,$AB$8:$AI$8)/SUMPRODUCT(ISNUMBER(AB188:AI188)*$AB$8:$AI$8),2),""))))</f>
        <v/>
      </c>
      <c r="AK188" s="75"/>
      <c r="AL188" s="76"/>
      <c r="AM188" s="76"/>
      <c r="AN188" s="76"/>
      <c r="AO188" s="76"/>
      <c r="AP188" s="76"/>
      <c r="AQ188" s="76"/>
      <c r="AR188" s="76"/>
      <c r="AS188" s="76"/>
      <c r="AT188" s="77" t="str">
        <f aca="false">IF(B188="","",IF($AK188="NON",0,IF(COUNT(AL188:AS188)=0,"",IFERROR(ROUND(SUMPRODUCT(AL188:AS188,$AL$8:$AS$8)/SUMPRODUCT(ISNUMBER(AL188:AS188)*$AL$8:$AS$8),2),""))))</f>
        <v/>
      </c>
      <c r="AU188" s="51" t="str">
        <f aca="false">IFERROR(MATCH("CP-179",'REGISTRE ELEVES'!$AI$10:$AI$250,0),"")</f>
        <v/>
      </c>
    </row>
    <row r="189" customFormat="false" ht="15" hidden="false" customHeight="false" outlineLevel="0" collapsed="false">
      <c r="A189" s="73" t="str">
        <f aca="false">IF(B189="","",180)</f>
        <v/>
      </c>
      <c r="B189" s="73" t="str">
        <f aca="false">IF($AU189="","",INDEX('REGISTRE ELEVES'!$B$10:$B$250,$AU189))</f>
        <v/>
      </c>
      <c r="C189" s="74" t="str">
        <f aca="false">IF($AU189="","",INDEX('REGISTRE ELEVES'!$D$10:$D$250,$AU189))</f>
        <v/>
      </c>
      <c r="D189" s="73" t="str">
        <f aca="false">IF($AU189="","",INDEX('REGISTRE ELEVES'!$E$10:$E$250,$AU189))</f>
        <v/>
      </c>
      <c r="E189" s="73" t="str">
        <f aca="false">IF($AU189="","",INDEX('REGISTRE ELEVES'!$F$10:$F$250,$AU189))</f>
        <v/>
      </c>
      <c r="F189" s="73" t="str">
        <f aca="false">IF($AU189="","",INDEX('REGISTRE ELEVES'!$AE$10:$AE$250,$AU189))</f>
        <v/>
      </c>
      <c r="G189" s="75"/>
      <c r="H189" s="76"/>
      <c r="I189" s="76"/>
      <c r="J189" s="76"/>
      <c r="K189" s="76"/>
      <c r="L189" s="76"/>
      <c r="M189" s="76"/>
      <c r="N189" s="76"/>
      <c r="O189" s="76"/>
      <c r="P189" s="77" t="str">
        <f aca="false">IF(B189="","",IF($G189="NON",0,IF(COUNT(H189:O189)=0,"",IFERROR(ROUND(SUMPRODUCT(H189:O189,$H$8:$O$8)/SUMPRODUCT(ISNUMBER(H189:O189)*$H$8:$O$8),2),""))))</f>
        <v/>
      </c>
      <c r="Q189" s="75"/>
      <c r="R189" s="76"/>
      <c r="S189" s="76"/>
      <c r="T189" s="76"/>
      <c r="U189" s="76"/>
      <c r="V189" s="76"/>
      <c r="W189" s="76"/>
      <c r="X189" s="76"/>
      <c r="Y189" s="76"/>
      <c r="Z189" s="77" t="str">
        <f aca="false">IF(B189="","",IF($Q189="NON",0,IF(COUNT(R189:Y189)=0,"",IFERROR(ROUND(SUMPRODUCT(R189:Y189,$R$8:$Y$8)/SUMPRODUCT(ISNUMBER(R189:Y189)*$R$8:$Y$8),2),""))))</f>
        <v/>
      </c>
      <c r="AA189" s="75"/>
      <c r="AB189" s="76"/>
      <c r="AC189" s="76"/>
      <c r="AD189" s="76"/>
      <c r="AE189" s="76"/>
      <c r="AF189" s="76"/>
      <c r="AG189" s="76"/>
      <c r="AH189" s="76"/>
      <c r="AI189" s="76"/>
      <c r="AJ189" s="77" t="str">
        <f aca="false">IF(B189="","",IF($AA189="NON",0,IF(COUNT(AB189:AI189)=0,"",IFERROR(ROUND(SUMPRODUCT(AB189:AI189,$AB$8:$AI$8)/SUMPRODUCT(ISNUMBER(AB189:AI189)*$AB$8:$AI$8),2),""))))</f>
        <v/>
      </c>
      <c r="AK189" s="75"/>
      <c r="AL189" s="76"/>
      <c r="AM189" s="76"/>
      <c r="AN189" s="76"/>
      <c r="AO189" s="76"/>
      <c r="AP189" s="76"/>
      <c r="AQ189" s="76"/>
      <c r="AR189" s="76"/>
      <c r="AS189" s="76"/>
      <c r="AT189" s="77" t="str">
        <f aca="false">IF(B189="","",IF($AK189="NON",0,IF(COUNT(AL189:AS189)=0,"",IFERROR(ROUND(SUMPRODUCT(AL189:AS189,$AL$8:$AS$8)/SUMPRODUCT(ISNUMBER(AL189:AS189)*$AL$8:$AS$8),2),""))))</f>
        <v/>
      </c>
      <c r="AU189" s="51" t="str">
        <f aca="false">IFERROR(MATCH("CP-180",'REGISTRE ELEVES'!$AI$10:$AI$250,0),"")</f>
        <v/>
      </c>
    </row>
    <row r="190" customFormat="false" ht="15" hidden="false" customHeight="false" outlineLevel="0" collapsed="false">
      <c r="A190" s="73" t="str">
        <f aca="false">IF(B190="","",181)</f>
        <v/>
      </c>
      <c r="B190" s="73" t="str">
        <f aca="false">IF($AU190="","",INDEX('REGISTRE ELEVES'!$B$10:$B$250,$AU190))</f>
        <v/>
      </c>
      <c r="C190" s="74" t="str">
        <f aca="false">IF($AU190="","",INDEX('REGISTRE ELEVES'!$D$10:$D$250,$AU190))</f>
        <v/>
      </c>
      <c r="D190" s="73" t="str">
        <f aca="false">IF($AU190="","",INDEX('REGISTRE ELEVES'!$E$10:$E$250,$AU190))</f>
        <v/>
      </c>
      <c r="E190" s="73" t="str">
        <f aca="false">IF($AU190="","",INDEX('REGISTRE ELEVES'!$F$10:$F$250,$AU190))</f>
        <v/>
      </c>
      <c r="F190" s="73" t="str">
        <f aca="false">IF($AU190="","",INDEX('REGISTRE ELEVES'!$AE$10:$AE$250,$AU190))</f>
        <v/>
      </c>
      <c r="G190" s="75"/>
      <c r="H190" s="76"/>
      <c r="I190" s="76"/>
      <c r="J190" s="76"/>
      <c r="K190" s="76"/>
      <c r="L190" s="76"/>
      <c r="M190" s="76"/>
      <c r="N190" s="76"/>
      <c r="O190" s="76"/>
      <c r="P190" s="77" t="str">
        <f aca="false">IF(B190="","",IF($G190="NON",0,IF(COUNT(H190:O190)=0,"",IFERROR(ROUND(SUMPRODUCT(H190:O190,$H$8:$O$8)/SUMPRODUCT(ISNUMBER(H190:O190)*$H$8:$O$8),2),""))))</f>
        <v/>
      </c>
      <c r="Q190" s="75"/>
      <c r="R190" s="76"/>
      <c r="S190" s="76"/>
      <c r="T190" s="76"/>
      <c r="U190" s="76"/>
      <c r="V190" s="76"/>
      <c r="W190" s="76"/>
      <c r="X190" s="76"/>
      <c r="Y190" s="76"/>
      <c r="Z190" s="77" t="str">
        <f aca="false">IF(B190="","",IF($Q190="NON",0,IF(COUNT(R190:Y190)=0,"",IFERROR(ROUND(SUMPRODUCT(R190:Y190,$R$8:$Y$8)/SUMPRODUCT(ISNUMBER(R190:Y190)*$R$8:$Y$8),2),""))))</f>
        <v/>
      </c>
      <c r="AA190" s="75"/>
      <c r="AB190" s="76"/>
      <c r="AC190" s="76"/>
      <c r="AD190" s="76"/>
      <c r="AE190" s="76"/>
      <c r="AF190" s="76"/>
      <c r="AG190" s="76"/>
      <c r="AH190" s="76"/>
      <c r="AI190" s="76"/>
      <c r="AJ190" s="77" t="str">
        <f aca="false">IF(B190="","",IF($AA190="NON",0,IF(COUNT(AB190:AI190)=0,"",IFERROR(ROUND(SUMPRODUCT(AB190:AI190,$AB$8:$AI$8)/SUMPRODUCT(ISNUMBER(AB190:AI190)*$AB$8:$AI$8),2),""))))</f>
        <v/>
      </c>
      <c r="AK190" s="75"/>
      <c r="AL190" s="76"/>
      <c r="AM190" s="76"/>
      <c r="AN190" s="76"/>
      <c r="AO190" s="76"/>
      <c r="AP190" s="76"/>
      <c r="AQ190" s="76"/>
      <c r="AR190" s="76"/>
      <c r="AS190" s="76"/>
      <c r="AT190" s="77" t="str">
        <f aca="false">IF(B190="","",IF($AK190="NON",0,IF(COUNT(AL190:AS190)=0,"",IFERROR(ROUND(SUMPRODUCT(AL190:AS190,$AL$8:$AS$8)/SUMPRODUCT(ISNUMBER(AL190:AS190)*$AL$8:$AS$8),2),""))))</f>
        <v/>
      </c>
      <c r="AU190" s="51" t="str">
        <f aca="false">IFERROR(MATCH("CP-181",'REGISTRE ELEVES'!$AI$10:$AI$250,0),"")</f>
        <v/>
      </c>
    </row>
    <row r="191" customFormat="false" ht="15" hidden="false" customHeight="false" outlineLevel="0" collapsed="false">
      <c r="A191" s="73" t="str">
        <f aca="false">IF(B191="","",182)</f>
        <v/>
      </c>
      <c r="B191" s="73" t="str">
        <f aca="false">IF($AU191="","",INDEX('REGISTRE ELEVES'!$B$10:$B$250,$AU191))</f>
        <v/>
      </c>
      <c r="C191" s="74" t="str">
        <f aca="false">IF($AU191="","",INDEX('REGISTRE ELEVES'!$D$10:$D$250,$AU191))</f>
        <v/>
      </c>
      <c r="D191" s="73" t="str">
        <f aca="false">IF($AU191="","",INDEX('REGISTRE ELEVES'!$E$10:$E$250,$AU191))</f>
        <v/>
      </c>
      <c r="E191" s="73" t="str">
        <f aca="false">IF($AU191="","",INDEX('REGISTRE ELEVES'!$F$10:$F$250,$AU191))</f>
        <v/>
      </c>
      <c r="F191" s="73" t="str">
        <f aca="false">IF($AU191="","",INDEX('REGISTRE ELEVES'!$AE$10:$AE$250,$AU191))</f>
        <v/>
      </c>
      <c r="G191" s="75"/>
      <c r="H191" s="76"/>
      <c r="I191" s="76"/>
      <c r="J191" s="76"/>
      <c r="K191" s="76"/>
      <c r="L191" s="76"/>
      <c r="M191" s="76"/>
      <c r="N191" s="76"/>
      <c r="O191" s="76"/>
      <c r="P191" s="77" t="str">
        <f aca="false">IF(B191="","",IF($G191="NON",0,IF(COUNT(H191:O191)=0,"",IFERROR(ROUND(SUMPRODUCT(H191:O191,$H$8:$O$8)/SUMPRODUCT(ISNUMBER(H191:O191)*$H$8:$O$8),2),""))))</f>
        <v/>
      </c>
      <c r="Q191" s="75"/>
      <c r="R191" s="76"/>
      <c r="S191" s="76"/>
      <c r="T191" s="76"/>
      <c r="U191" s="76"/>
      <c r="V191" s="76"/>
      <c r="W191" s="76"/>
      <c r="X191" s="76"/>
      <c r="Y191" s="76"/>
      <c r="Z191" s="77" t="str">
        <f aca="false">IF(B191="","",IF($Q191="NON",0,IF(COUNT(R191:Y191)=0,"",IFERROR(ROUND(SUMPRODUCT(R191:Y191,$R$8:$Y$8)/SUMPRODUCT(ISNUMBER(R191:Y191)*$R$8:$Y$8),2),""))))</f>
        <v/>
      </c>
      <c r="AA191" s="75"/>
      <c r="AB191" s="76"/>
      <c r="AC191" s="76"/>
      <c r="AD191" s="76"/>
      <c r="AE191" s="76"/>
      <c r="AF191" s="76"/>
      <c r="AG191" s="76"/>
      <c r="AH191" s="76"/>
      <c r="AI191" s="76"/>
      <c r="AJ191" s="77" t="str">
        <f aca="false">IF(B191="","",IF($AA191="NON",0,IF(COUNT(AB191:AI191)=0,"",IFERROR(ROUND(SUMPRODUCT(AB191:AI191,$AB$8:$AI$8)/SUMPRODUCT(ISNUMBER(AB191:AI191)*$AB$8:$AI$8),2),""))))</f>
        <v/>
      </c>
      <c r="AK191" s="75"/>
      <c r="AL191" s="76"/>
      <c r="AM191" s="76"/>
      <c r="AN191" s="76"/>
      <c r="AO191" s="76"/>
      <c r="AP191" s="76"/>
      <c r="AQ191" s="76"/>
      <c r="AR191" s="76"/>
      <c r="AS191" s="76"/>
      <c r="AT191" s="77" t="str">
        <f aca="false">IF(B191="","",IF($AK191="NON",0,IF(COUNT(AL191:AS191)=0,"",IFERROR(ROUND(SUMPRODUCT(AL191:AS191,$AL$8:$AS$8)/SUMPRODUCT(ISNUMBER(AL191:AS191)*$AL$8:$AS$8),2),""))))</f>
        <v/>
      </c>
      <c r="AU191" s="51" t="str">
        <f aca="false">IFERROR(MATCH("CP-182",'REGISTRE ELEVES'!$AI$10:$AI$250,0),"")</f>
        <v/>
      </c>
    </row>
    <row r="192" customFormat="false" ht="15" hidden="false" customHeight="false" outlineLevel="0" collapsed="false">
      <c r="A192" s="73" t="str">
        <f aca="false">IF(B192="","",183)</f>
        <v/>
      </c>
      <c r="B192" s="73" t="str">
        <f aca="false">IF($AU192="","",INDEX('REGISTRE ELEVES'!$B$10:$B$250,$AU192))</f>
        <v/>
      </c>
      <c r="C192" s="74" t="str">
        <f aca="false">IF($AU192="","",INDEX('REGISTRE ELEVES'!$D$10:$D$250,$AU192))</f>
        <v/>
      </c>
      <c r="D192" s="73" t="str">
        <f aca="false">IF($AU192="","",INDEX('REGISTRE ELEVES'!$E$10:$E$250,$AU192))</f>
        <v/>
      </c>
      <c r="E192" s="73" t="str">
        <f aca="false">IF($AU192="","",INDEX('REGISTRE ELEVES'!$F$10:$F$250,$AU192))</f>
        <v/>
      </c>
      <c r="F192" s="73" t="str">
        <f aca="false">IF($AU192="","",INDEX('REGISTRE ELEVES'!$AE$10:$AE$250,$AU192))</f>
        <v/>
      </c>
      <c r="G192" s="75"/>
      <c r="H192" s="76"/>
      <c r="I192" s="76"/>
      <c r="J192" s="76"/>
      <c r="K192" s="76"/>
      <c r="L192" s="76"/>
      <c r="M192" s="76"/>
      <c r="N192" s="76"/>
      <c r="O192" s="76"/>
      <c r="P192" s="77" t="str">
        <f aca="false">IF(B192="","",IF($G192="NON",0,IF(COUNT(H192:O192)=0,"",IFERROR(ROUND(SUMPRODUCT(H192:O192,$H$8:$O$8)/SUMPRODUCT(ISNUMBER(H192:O192)*$H$8:$O$8),2),""))))</f>
        <v/>
      </c>
      <c r="Q192" s="75"/>
      <c r="R192" s="76"/>
      <c r="S192" s="76"/>
      <c r="T192" s="76"/>
      <c r="U192" s="76"/>
      <c r="V192" s="76"/>
      <c r="W192" s="76"/>
      <c r="X192" s="76"/>
      <c r="Y192" s="76"/>
      <c r="Z192" s="77" t="str">
        <f aca="false">IF(B192="","",IF($Q192="NON",0,IF(COUNT(R192:Y192)=0,"",IFERROR(ROUND(SUMPRODUCT(R192:Y192,$R$8:$Y$8)/SUMPRODUCT(ISNUMBER(R192:Y192)*$R$8:$Y$8),2),""))))</f>
        <v/>
      </c>
      <c r="AA192" s="75"/>
      <c r="AB192" s="76"/>
      <c r="AC192" s="76"/>
      <c r="AD192" s="76"/>
      <c r="AE192" s="76"/>
      <c r="AF192" s="76"/>
      <c r="AG192" s="76"/>
      <c r="AH192" s="76"/>
      <c r="AI192" s="76"/>
      <c r="AJ192" s="77" t="str">
        <f aca="false">IF(B192="","",IF($AA192="NON",0,IF(COUNT(AB192:AI192)=0,"",IFERROR(ROUND(SUMPRODUCT(AB192:AI192,$AB$8:$AI$8)/SUMPRODUCT(ISNUMBER(AB192:AI192)*$AB$8:$AI$8),2),""))))</f>
        <v/>
      </c>
      <c r="AK192" s="75"/>
      <c r="AL192" s="76"/>
      <c r="AM192" s="76"/>
      <c r="AN192" s="76"/>
      <c r="AO192" s="76"/>
      <c r="AP192" s="76"/>
      <c r="AQ192" s="76"/>
      <c r="AR192" s="76"/>
      <c r="AS192" s="76"/>
      <c r="AT192" s="77" t="str">
        <f aca="false">IF(B192="","",IF($AK192="NON",0,IF(COUNT(AL192:AS192)=0,"",IFERROR(ROUND(SUMPRODUCT(AL192:AS192,$AL$8:$AS$8)/SUMPRODUCT(ISNUMBER(AL192:AS192)*$AL$8:$AS$8),2),""))))</f>
        <v/>
      </c>
      <c r="AU192" s="51" t="str">
        <f aca="false">IFERROR(MATCH("CP-183",'REGISTRE ELEVES'!$AI$10:$AI$250,0),"")</f>
        <v/>
      </c>
    </row>
    <row r="193" customFormat="false" ht="15" hidden="false" customHeight="false" outlineLevel="0" collapsed="false">
      <c r="A193" s="73" t="str">
        <f aca="false">IF(B193="","",184)</f>
        <v/>
      </c>
      <c r="B193" s="73" t="str">
        <f aca="false">IF($AU193="","",INDEX('REGISTRE ELEVES'!$B$10:$B$250,$AU193))</f>
        <v/>
      </c>
      <c r="C193" s="74" t="str">
        <f aca="false">IF($AU193="","",INDEX('REGISTRE ELEVES'!$D$10:$D$250,$AU193))</f>
        <v/>
      </c>
      <c r="D193" s="73" t="str">
        <f aca="false">IF($AU193="","",INDEX('REGISTRE ELEVES'!$E$10:$E$250,$AU193))</f>
        <v/>
      </c>
      <c r="E193" s="73" t="str">
        <f aca="false">IF($AU193="","",INDEX('REGISTRE ELEVES'!$F$10:$F$250,$AU193))</f>
        <v/>
      </c>
      <c r="F193" s="73" t="str">
        <f aca="false">IF($AU193="","",INDEX('REGISTRE ELEVES'!$AE$10:$AE$250,$AU193))</f>
        <v/>
      </c>
      <c r="G193" s="75"/>
      <c r="H193" s="76"/>
      <c r="I193" s="76"/>
      <c r="J193" s="76"/>
      <c r="K193" s="76"/>
      <c r="L193" s="76"/>
      <c r="M193" s="76"/>
      <c r="N193" s="76"/>
      <c r="O193" s="76"/>
      <c r="P193" s="77" t="str">
        <f aca="false">IF(B193="","",IF($G193="NON",0,IF(COUNT(H193:O193)=0,"",IFERROR(ROUND(SUMPRODUCT(H193:O193,$H$8:$O$8)/SUMPRODUCT(ISNUMBER(H193:O193)*$H$8:$O$8),2),""))))</f>
        <v/>
      </c>
      <c r="Q193" s="75"/>
      <c r="R193" s="76"/>
      <c r="S193" s="76"/>
      <c r="T193" s="76"/>
      <c r="U193" s="76"/>
      <c r="V193" s="76"/>
      <c r="W193" s="76"/>
      <c r="X193" s="76"/>
      <c r="Y193" s="76"/>
      <c r="Z193" s="77" t="str">
        <f aca="false">IF(B193="","",IF($Q193="NON",0,IF(COUNT(R193:Y193)=0,"",IFERROR(ROUND(SUMPRODUCT(R193:Y193,$R$8:$Y$8)/SUMPRODUCT(ISNUMBER(R193:Y193)*$R$8:$Y$8),2),""))))</f>
        <v/>
      </c>
      <c r="AA193" s="75"/>
      <c r="AB193" s="76"/>
      <c r="AC193" s="76"/>
      <c r="AD193" s="76"/>
      <c r="AE193" s="76"/>
      <c r="AF193" s="76"/>
      <c r="AG193" s="76"/>
      <c r="AH193" s="76"/>
      <c r="AI193" s="76"/>
      <c r="AJ193" s="77" t="str">
        <f aca="false">IF(B193="","",IF($AA193="NON",0,IF(COUNT(AB193:AI193)=0,"",IFERROR(ROUND(SUMPRODUCT(AB193:AI193,$AB$8:$AI$8)/SUMPRODUCT(ISNUMBER(AB193:AI193)*$AB$8:$AI$8),2),""))))</f>
        <v/>
      </c>
      <c r="AK193" s="75"/>
      <c r="AL193" s="76"/>
      <c r="AM193" s="76"/>
      <c r="AN193" s="76"/>
      <c r="AO193" s="76"/>
      <c r="AP193" s="76"/>
      <c r="AQ193" s="76"/>
      <c r="AR193" s="76"/>
      <c r="AS193" s="76"/>
      <c r="AT193" s="77" t="str">
        <f aca="false">IF(B193="","",IF($AK193="NON",0,IF(COUNT(AL193:AS193)=0,"",IFERROR(ROUND(SUMPRODUCT(AL193:AS193,$AL$8:$AS$8)/SUMPRODUCT(ISNUMBER(AL193:AS193)*$AL$8:$AS$8),2),""))))</f>
        <v/>
      </c>
      <c r="AU193" s="51" t="str">
        <f aca="false">IFERROR(MATCH("CP-184",'REGISTRE ELEVES'!$AI$10:$AI$250,0),"")</f>
        <v/>
      </c>
    </row>
    <row r="194" customFormat="false" ht="15" hidden="false" customHeight="false" outlineLevel="0" collapsed="false">
      <c r="A194" s="73" t="str">
        <f aca="false">IF(B194="","",185)</f>
        <v/>
      </c>
      <c r="B194" s="73" t="str">
        <f aca="false">IF($AU194="","",INDEX('REGISTRE ELEVES'!$B$10:$B$250,$AU194))</f>
        <v/>
      </c>
      <c r="C194" s="74" t="str">
        <f aca="false">IF($AU194="","",INDEX('REGISTRE ELEVES'!$D$10:$D$250,$AU194))</f>
        <v/>
      </c>
      <c r="D194" s="73" t="str">
        <f aca="false">IF($AU194="","",INDEX('REGISTRE ELEVES'!$E$10:$E$250,$AU194))</f>
        <v/>
      </c>
      <c r="E194" s="73" t="str">
        <f aca="false">IF($AU194="","",INDEX('REGISTRE ELEVES'!$F$10:$F$250,$AU194))</f>
        <v/>
      </c>
      <c r="F194" s="73" t="str">
        <f aca="false">IF($AU194="","",INDEX('REGISTRE ELEVES'!$AE$10:$AE$250,$AU194))</f>
        <v/>
      </c>
      <c r="G194" s="75"/>
      <c r="H194" s="76"/>
      <c r="I194" s="76"/>
      <c r="J194" s="76"/>
      <c r="K194" s="76"/>
      <c r="L194" s="76"/>
      <c r="M194" s="76"/>
      <c r="N194" s="76"/>
      <c r="O194" s="76"/>
      <c r="P194" s="77" t="str">
        <f aca="false">IF(B194="","",IF($G194="NON",0,IF(COUNT(H194:O194)=0,"",IFERROR(ROUND(SUMPRODUCT(H194:O194,$H$8:$O$8)/SUMPRODUCT(ISNUMBER(H194:O194)*$H$8:$O$8),2),""))))</f>
        <v/>
      </c>
      <c r="Q194" s="75"/>
      <c r="R194" s="76"/>
      <c r="S194" s="76"/>
      <c r="T194" s="76"/>
      <c r="U194" s="76"/>
      <c r="V194" s="76"/>
      <c r="W194" s="76"/>
      <c r="X194" s="76"/>
      <c r="Y194" s="76"/>
      <c r="Z194" s="77" t="str">
        <f aca="false">IF(B194="","",IF($Q194="NON",0,IF(COUNT(R194:Y194)=0,"",IFERROR(ROUND(SUMPRODUCT(R194:Y194,$R$8:$Y$8)/SUMPRODUCT(ISNUMBER(R194:Y194)*$R$8:$Y$8),2),""))))</f>
        <v/>
      </c>
      <c r="AA194" s="75"/>
      <c r="AB194" s="76"/>
      <c r="AC194" s="76"/>
      <c r="AD194" s="76"/>
      <c r="AE194" s="76"/>
      <c r="AF194" s="76"/>
      <c r="AG194" s="76"/>
      <c r="AH194" s="76"/>
      <c r="AI194" s="76"/>
      <c r="AJ194" s="77" t="str">
        <f aca="false">IF(B194="","",IF($AA194="NON",0,IF(COUNT(AB194:AI194)=0,"",IFERROR(ROUND(SUMPRODUCT(AB194:AI194,$AB$8:$AI$8)/SUMPRODUCT(ISNUMBER(AB194:AI194)*$AB$8:$AI$8),2),""))))</f>
        <v/>
      </c>
      <c r="AK194" s="75"/>
      <c r="AL194" s="76"/>
      <c r="AM194" s="76"/>
      <c r="AN194" s="76"/>
      <c r="AO194" s="76"/>
      <c r="AP194" s="76"/>
      <c r="AQ194" s="76"/>
      <c r="AR194" s="76"/>
      <c r="AS194" s="76"/>
      <c r="AT194" s="77" t="str">
        <f aca="false">IF(B194="","",IF($AK194="NON",0,IF(COUNT(AL194:AS194)=0,"",IFERROR(ROUND(SUMPRODUCT(AL194:AS194,$AL$8:$AS$8)/SUMPRODUCT(ISNUMBER(AL194:AS194)*$AL$8:$AS$8),2),""))))</f>
        <v/>
      </c>
      <c r="AU194" s="51" t="str">
        <f aca="false">IFERROR(MATCH("CP-185",'REGISTRE ELEVES'!$AI$10:$AI$250,0),"")</f>
        <v/>
      </c>
    </row>
    <row r="195" customFormat="false" ht="15" hidden="false" customHeight="false" outlineLevel="0" collapsed="false">
      <c r="A195" s="73" t="str">
        <f aca="false">IF(B195="","",186)</f>
        <v/>
      </c>
      <c r="B195" s="73" t="str">
        <f aca="false">IF($AU195="","",INDEX('REGISTRE ELEVES'!$B$10:$B$250,$AU195))</f>
        <v/>
      </c>
      <c r="C195" s="74" t="str">
        <f aca="false">IF($AU195="","",INDEX('REGISTRE ELEVES'!$D$10:$D$250,$AU195))</f>
        <v/>
      </c>
      <c r="D195" s="73" t="str">
        <f aca="false">IF($AU195="","",INDEX('REGISTRE ELEVES'!$E$10:$E$250,$AU195))</f>
        <v/>
      </c>
      <c r="E195" s="73" t="str">
        <f aca="false">IF($AU195="","",INDEX('REGISTRE ELEVES'!$F$10:$F$250,$AU195))</f>
        <v/>
      </c>
      <c r="F195" s="73" t="str">
        <f aca="false">IF($AU195="","",INDEX('REGISTRE ELEVES'!$AE$10:$AE$250,$AU195))</f>
        <v/>
      </c>
      <c r="G195" s="75"/>
      <c r="H195" s="76"/>
      <c r="I195" s="76"/>
      <c r="J195" s="76"/>
      <c r="K195" s="76"/>
      <c r="L195" s="76"/>
      <c r="M195" s="76"/>
      <c r="N195" s="76"/>
      <c r="O195" s="76"/>
      <c r="P195" s="77" t="str">
        <f aca="false">IF(B195="","",IF($G195="NON",0,IF(COUNT(H195:O195)=0,"",IFERROR(ROUND(SUMPRODUCT(H195:O195,$H$8:$O$8)/SUMPRODUCT(ISNUMBER(H195:O195)*$H$8:$O$8),2),""))))</f>
        <v/>
      </c>
      <c r="Q195" s="75"/>
      <c r="R195" s="76"/>
      <c r="S195" s="76"/>
      <c r="T195" s="76"/>
      <c r="U195" s="76"/>
      <c r="V195" s="76"/>
      <c r="W195" s="76"/>
      <c r="X195" s="76"/>
      <c r="Y195" s="76"/>
      <c r="Z195" s="77" t="str">
        <f aca="false">IF(B195="","",IF($Q195="NON",0,IF(COUNT(R195:Y195)=0,"",IFERROR(ROUND(SUMPRODUCT(R195:Y195,$R$8:$Y$8)/SUMPRODUCT(ISNUMBER(R195:Y195)*$R$8:$Y$8),2),""))))</f>
        <v/>
      </c>
      <c r="AA195" s="75"/>
      <c r="AB195" s="76"/>
      <c r="AC195" s="76"/>
      <c r="AD195" s="76"/>
      <c r="AE195" s="76"/>
      <c r="AF195" s="76"/>
      <c r="AG195" s="76"/>
      <c r="AH195" s="76"/>
      <c r="AI195" s="76"/>
      <c r="AJ195" s="77" t="str">
        <f aca="false">IF(B195="","",IF($AA195="NON",0,IF(COUNT(AB195:AI195)=0,"",IFERROR(ROUND(SUMPRODUCT(AB195:AI195,$AB$8:$AI$8)/SUMPRODUCT(ISNUMBER(AB195:AI195)*$AB$8:$AI$8),2),""))))</f>
        <v/>
      </c>
      <c r="AK195" s="75"/>
      <c r="AL195" s="76"/>
      <c r="AM195" s="76"/>
      <c r="AN195" s="76"/>
      <c r="AO195" s="76"/>
      <c r="AP195" s="76"/>
      <c r="AQ195" s="76"/>
      <c r="AR195" s="76"/>
      <c r="AS195" s="76"/>
      <c r="AT195" s="77" t="str">
        <f aca="false">IF(B195="","",IF($AK195="NON",0,IF(COUNT(AL195:AS195)=0,"",IFERROR(ROUND(SUMPRODUCT(AL195:AS195,$AL$8:$AS$8)/SUMPRODUCT(ISNUMBER(AL195:AS195)*$AL$8:$AS$8),2),""))))</f>
        <v/>
      </c>
      <c r="AU195" s="51" t="str">
        <f aca="false">IFERROR(MATCH("CP-186",'REGISTRE ELEVES'!$AI$10:$AI$250,0),"")</f>
        <v/>
      </c>
    </row>
    <row r="196" customFormat="false" ht="15" hidden="false" customHeight="false" outlineLevel="0" collapsed="false">
      <c r="A196" s="73" t="str">
        <f aca="false">IF(B196="","",187)</f>
        <v/>
      </c>
      <c r="B196" s="73" t="str">
        <f aca="false">IF($AU196="","",INDEX('REGISTRE ELEVES'!$B$10:$B$250,$AU196))</f>
        <v/>
      </c>
      <c r="C196" s="74" t="str">
        <f aca="false">IF($AU196="","",INDEX('REGISTRE ELEVES'!$D$10:$D$250,$AU196))</f>
        <v/>
      </c>
      <c r="D196" s="73" t="str">
        <f aca="false">IF($AU196="","",INDEX('REGISTRE ELEVES'!$E$10:$E$250,$AU196))</f>
        <v/>
      </c>
      <c r="E196" s="73" t="str">
        <f aca="false">IF($AU196="","",INDEX('REGISTRE ELEVES'!$F$10:$F$250,$AU196))</f>
        <v/>
      </c>
      <c r="F196" s="73" t="str">
        <f aca="false">IF($AU196="","",INDEX('REGISTRE ELEVES'!$AE$10:$AE$250,$AU196))</f>
        <v/>
      </c>
      <c r="G196" s="75"/>
      <c r="H196" s="76"/>
      <c r="I196" s="76"/>
      <c r="J196" s="76"/>
      <c r="K196" s="76"/>
      <c r="L196" s="76"/>
      <c r="M196" s="76"/>
      <c r="N196" s="76"/>
      <c r="O196" s="76"/>
      <c r="P196" s="77" t="str">
        <f aca="false">IF(B196="","",IF($G196="NON",0,IF(COUNT(H196:O196)=0,"",IFERROR(ROUND(SUMPRODUCT(H196:O196,$H$8:$O$8)/SUMPRODUCT(ISNUMBER(H196:O196)*$H$8:$O$8),2),""))))</f>
        <v/>
      </c>
      <c r="Q196" s="75"/>
      <c r="R196" s="76"/>
      <c r="S196" s="76"/>
      <c r="T196" s="76"/>
      <c r="U196" s="76"/>
      <c r="V196" s="76"/>
      <c r="W196" s="76"/>
      <c r="X196" s="76"/>
      <c r="Y196" s="76"/>
      <c r="Z196" s="77" t="str">
        <f aca="false">IF(B196="","",IF($Q196="NON",0,IF(COUNT(R196:Y196)=0,"",IFERROR(ROUND(SUMPRODUCT(R196:Y196,$R$8:$Y$8)/SUMPRODUCT(ISNUMBER(R196:Y196)*$R$8:$Y$8),2),""))))</f>
        <v/>
      </c>
      <c r="AA196" s="75"/>
      <c r="AB196" s="76"/>
      <c r="AC196" s="76"/>
      <c r="AD196" s="76"/>
      <c r="AE196" s="76"/>
      <c r="AF196" s="76"/>
      <c r="AG196" s="76"/>
      <c r="AH196" s="76"/>
      <c r="AI196" s="76"/>
      <c r="AJ196" s="77" t="str">
        <f aca="false">IF(B196="","",IF($AA196="NON",0,IF(COUNT(AB196:AI196)=0,"",IFERROR(ROUND(SUMPRODUCT(AB196:AI196,$AB$8:$AI$8)/SUMPRODUCT(ISNUMBER(AB196:AI196)*$AB$8:$AI$8),2),""))))</f>
        <v/>
      </c>
      <c r="AK196" s="75"/>
      <c r="AL196" s="76"/>
      <c r="AM196" s="76"/>
      <c r="AN196" s="76"/>
      <c r="AO196" s="76"/>
      <c r="AP196" s="76"/>
      <c r="AQ196" s="76"/>
      <c r="AR196" s="76"/>
      <c r="AS196" s="76"/>
      <c r="AT196" s="77" t="str">
        <f aca="false">IF(B196="","",IF($AK196="NON",0,IF(COUNT(AL196:AS196)=0,"",IFERROR(ROUND(SUMPRODUCT(AL196:AS196,$AL$8:$AS$8)/SUMPRODUCT(ISNUMBER(AL196:AS196)*$AL$8:$AS$8),2),""))))</f>
        <v/>
      </c>
      <c r="AU196" s="51" t="str">
        <f aca="false">IFERROR(MATCH("CP-187",'REGISTRE ELEVES'!$AI$10:$AI$250,0),"")</f>
        <v/>
      </c>
    </row>
    <row r="197" customFormat="false" ht="15" hidden="false" customHeight="false" outlineLevel="0" collapsed="false">
      <c r="A197" s="73" t="str">
        <f aca="false">IF(B197="","",188)</f>
        <v/>
      </c>
      <c r="B197" s="73" t="str">
        <f aca="false">IF($AU197="","",INDEX('REGISTRE ELEVES'!$B$10:$B$250,$AU197))</f>
        <v/>
      </c>
      <c r="C197" s="74" t="str">
        <f aca="false">IF($AU197="","",INDEX('REGISTRE ELEVES'!$D$10:$D$250,$AU197))</f>
        <v/>
      </c>
      <c r="D197" s="73" t="str">
        <f aca="false">IF($AU197="","",INDEX('REGISTRE ELEVES'!$E$10:$E$250,$AU197))</f>
        <v/>
      </c>
      <c r="E197" s="73" t="str">
        <f aca="false">IF($AU197="","",INDEX('REGISTRE ELEVES'!$F$10:$F$250,$AU197))</f>
        <v/>
      </c>
      <c r="F197" s="73" t="str">
        <f aca="false">IF($AU197="","",INDEX('REGISTRE ELEVES'!$AE$10:$AE$250,$AU197))</f>
        <v/>
      </c>
      <c r="G197" s="75"/>
      <c r="H197" s="76"/>
      <c r="I197" s="76"/>
      <c r="J197" s="76"/>
      <c r="K197" s="76"/>
      <c r="L197" s="76"/>
      <c r="M197" s="76"/>
      <c r="N197" s="76"/>
      <c r="O197" s="76"/>
      <c r="P197" s="77" t="str">
        <f aca="false">IF(B197="","",IF($G197="NON",0,IF(COUNT(H197:O197)=0,"",IFERROR(ROUND(SUMPRODUCT(H197:O197,$H$8:$O$8)/SUMPRODUCT(ISNUMBER(H197:O197)*$H$8:$O$8),2),""))))</f>
        <v/>
      </c>
      <c r="Q197" s="75"/>
      <c r="R197" s="76"/>
      <c r="S197" s="76"/>
      <c r="T197" s="76"/>
      <c r="U197" s="76"/>
      <c r="V197" s="76"/>
      <c r="W197" s="76"/>
      <c r="X197" s="76"/>
      <c r="Y197" s="76"/>
      <c r="Z197" s="77" t="str">
        <f aca="false">IF(B197="","",IF($Q197="NON",0,IF(COUNT(R197:Y197)=0,"",IFERROR(ROUND(SUMPRODUCT(R197:Y197,$R$8:$Y$8)/SUMPRODUCT(ISNUMBER(R197:Y197)*$R$8:$Y$8),2),""))))</f>
        <v/>
      </c>
      <c r="AA197" s="75"/>
      <c r="AB197" s="76"/>
      <c r="AC197" s="76"/>
      <c r="AD197" s="76"/>
      <c r="AE197" s="76"/>
      <c r="AF197" s="76"/>
      <c r="AG197" s="76"/>
      <c r="AH197" s="76"/>
      <c r="AI197" s="76"/>
      <c r="AJ197" s="77" t="str">
        <f aca="false">IF(B197="","",IF($AA197="NON",0,IF(COUNT(AB197:AI197)=0,"",IFERROR(ROUND(SUMPRODUCT(AB197:AI197,$AB$8:$AI$8)/SUMPRODUCT(ISNUMBER(AB197:AI197)*$AB$8:$AI$8),2),""))))</f>
        <v/>
      </c>
      <c r="AK197" s="75"/>
      <c r="AL197" s="76"/>
      <c r="AM197" s="76"/>
      <c r="AN197" s="76"/>
      <c r="AO197" s="76"/>
      <c r="AP197" s="76"/>
      <c r="AQ197" s="76"/>
      <c r="AR197" s="76"/>
      <c r="AS197" s="76"/>
      <c r="AT197" s="77" t="str">
        <f aca="false">IF(B197="","",IF($AK197="NON",0,IF(COUNT(AL197:AS197)=0,"",IFERROR(ROUND(SUMPRODUCT(AL197:AS197,$AL$8:$AS$8)/SUMPRODUCT(ISNUMBER(AL197:AS197)*$AL$8:$AS$8),2),""))))</f>
        <v/>
      </c>
      <c r="AU197" s="51" t="str">
        <f aca="false">IFERROR(MATCH("CP-188",'REGISTRE ELEVES'!$AI$10:$AI$250,0),"")</f>
        <v/>
      </c>
    </row>
    <row r="198" customFormat="false" ht="15" hidden="false" customHeight="false" outlineLevel="0" collapsed="false">
      <c r="A198" s="73" t="str">
        <f aca="false">IF(B198="","",189)</f>
        <v/>
      </c>
      <c r="B198" s="73" t="str">
        <f aca="false">IF($AU198="","",INDEX('REGISTRE ELEVES'!$B$10:$B$250,$AU198))</f>
        <v/>
      </c>
      <c r="C198" s="74" t="str">
        <f aca="false">IF($AU198="","",INDEX('REGISTRE ELEVES'!$D$10:$D$250,$AU198))</f>
        <v/>
      </c>
      <c r="D198" s="73" t="str">
        <f aca="false">IF($AU198="","",INDEX('REGISTRE ELEVES'!$E$10:$E$250,$AU198))</f>
        <v/>
      </c>
      <c r="E198" s="73" t="str">
        <f aca="false">IF($AU198="","",INDEX('REGISTRE ELEVES'!$F$10:$F$250,$AU198))</f>
        <v/>
      </c>
      <c r="F198" s="73" t="str">
        <f aca="false">IF($AU198="","",INDEX('REGISTRE ELEVES'!$AE$10:$AE$250,$AU198))</f>
        <v/>
      </c>
      <c r="G198" s="75"/>
      <c r="H198" s="76"/>
      <c r="I198" s="76"/>
      <c r="J198" s="76"/>
      <c r="K198" s="76"/>
      <c r="L198" s="76"/>
      <c r="M198" s="76"/>
      <c r="N198" s="76"/>
      <c r="O198" s="76"/>
      <c r="P198" s="77" t="str">
        <f aca="false">IF(B198="","",IF($G198="NON",0,IF(COUNT(H198:O198)=0,"",IFERROR(ROUND(SUMPRODUCT(H198:O198,$H$8:$O$8)/SUMPRODUCT(ISNUMBER(H198:O198)*$H$8:$O$8),2),""))))</f>
        <v/>
      </c>
      <c r="Q198" s="75"/>
      <c r="R198" s="76"/>
      <c r="S198" s="76"/>
      <c r="T198" s="76"/>
      <c r="U198" s="76"/>
      <c r="V198" s="76"/>
      <c r="W198" s="76"/>
      <c r="X198" s="76"/>
      <c r="Y198" s="76"/>
      <c r="Z198" s="77" t="str">
        <f aca="false">IF(B198="","",IF($Q198="NON",0,IF(COUNT(R198:Y198)=0,"",IFERROR(ROUND(SUMPRODUCT(R198:Y198,$R$8:$Y$8)/SUMPRODUCT(ISNUMBER(R198:Y198)*$R$8:$Y$8),2),""))))</f>
        <v/>
      </c>
      <c r="AA198" s="75"/>
      <c r="AB198" s="76"/>
      <c r="AC198" s="76"/>
      <c r="AD198" s="76"/>
      <c r="AE198" s="76"/>
      <c r="AF198" s="76"/>
      <c r="AG198" s="76"/>
      <c r="AH198" s="76"/>
      <c r="AI198" s="76"/>
      <c r="AJ198" s="77" t="str">
        <f aca="false">IF(B198="","",IF($AA198="NON",0,IF(COUNT(AB198:AI198)=0,"",IFERROR(ROUND(SUMPRODUCT(AB198:AI198,$AB$8:$AI$8)/SUMPRODUCT(ISNUMBER(AB198:AI198)*$AB$8:$AI$8),2),""))))</f>
        <v/>
      </c>
      <c r="AK198" s="75"/>
      <c r="AL198" s="76"/>
      <c r="AM198" s="76"/>
      <c r="AN198" s="76"/>
      <c r="AO198" s="76"/>
      <c r="AP198" s="76"/>
      <c r="AQ198" s="76"/>
      <c r="AR198" s="76"/>
      <c r="AS198" s="76"/>
      <c r="AT198" s="77" t="str">
        <f aca="false">IF(B198="","",IF($AK198="NON",0,IF(COUNT(AL198:AS198)=0,"",IFERROR(ROUND(SUMPRODUCT(AL198:AS198,$AL$8:$AS$8)/SUMPRODUCT(ISNUMBER(AL198:AS198)*$AL$8:$AS$8),2),""))))</f>
        <v/>
      </c>
      <c r="AU198" s="51" t="str">
        <f aca="false">IFERROR(MATCH("CP-189",'REGISTRE ELEVES'!$AI$10:$AI$250,0),"")</f>
        <v/>
      </c>
    </row>
    <row r="199" customFormat="false" ht="15" hidden="false" customHeight="false" outlineLevel="0" collapsed="false">
      <c r="A199" s="73" t="str">
        <f aca="false">IF(B199="","",190)</f>
        <v/>
      </c>
      <c r="B199" s="73" t="str">
        <f aca="false">IF($AU199="","",INDEX('REGISTRE ELEVES'!$B$10:$B$250,$AU199))</f>
        <v/>
      </c>
      <c r="C199" s="74" t="str">
        <f aca="false">IF($AU199="","",INDEX('REGISTRE ELEVES'!$D$10:$D$250,$AU199))</f>
        <v/>
      </c>
      <c r="D199" s="73" t="str">
        <f aca="false">IF($AU199="","",INDEX('REGISTRE ELEVES'!$E$10:$E$250,$AU199))</f>
        <v/>
      </c>
      <c r="E199" s="73" t="str">
        <f aca="false">IF($AU199="","",INDEX('REGISTRE ELEVES'!$F$10:$F$250,$AU199))</f>
        <v/>
      </c>
      <c r="F199" s="73" t="str">
        <f aca="false">IF($AU199="","",INDEX('REGISTRE ELEVES'!$AE$10:$AE$250,$AU199))</f>
        <v/>
      </c>
      <c r="G199" s="75"/>
      <c r="H199" s="76"/>
      <c r="I199" s="76"/>
      <c r="J199" s="76"/>
      <c r="K199" s="76"/>
      <c r="L199" s="76"/>
      <c r="M199" s="76"/>
      <c r="N199" s="76"/>
      <c r="O199" s="76"/>
      <c r="P199" s="77" t="str">
        <f aca="false">IF(B199="","",IF($G199="NON",0,IF(COUNT(H199:O199)=0,"",IFERROR(ROUND(SUMPRODUCT(H199:O199,$H$8:$O$8)/SUMPRODUCT(ISNUMBER(H199:O199)*$H$8:$O$8),2),""))))</f>
        <v/>
      </c>
      <c r="Q199" s="75"/>
      <c r="R199" s="76"/>
      <c r="S199" s="76"/>
      <c r="T199" s="76"/>
      <c r="U199" s="76"/>
      <c r="V199" s="76"/>
      <c r="W199" s="76"/>
      <c r="X199" s="76"/>
      <c r="Y199" s="76"/>
      <c r="Z199" s="77" t="str">
        <f aca="false">IF(B199="","",IF($Q199="NON",0,IF(COUNT(R199:Y199)=0,"",IFERROR(ROUND(SUMPRODUCT(R199:Y199,$R$8:$Y$8)/SUMPRODUCT(ISNUMBER(R199:Y199)*$R$8:$Y$8),2),""))))</f>
        <v/>
      </c>
      <c r="AA199" s="75"/>
      <c r="AB199" s="76"/>
      <c r="AC199" s="76"/>
      <c r="AD199" s="76"/>
      <c r="AE199" s="76"/>
      <c r="AF199" s="76"/>
      <c r="AG199" s="76"/>
      <c r="AH199" s="76"/>
      <c r="AI199" s="76"/>
      <c r="AJ199" s="77" t="str">
        <f aca="false">IF(B199="","",IF($AA199="NON",0,IF(COUNT(AB199:AI199)=0,"",IFERROR(ROUND(SUMPRODUCT(AB199:AI199,$AB$8:$AI$8)/SUMPRODUCT(ISNUMBER(AB199:AI199)*$AB$8:$AI$8),2),""))))</f>
        <v/>
      </c>
      <c r="AK199" s="75"/>
      <c r="AL199" s="76"/>
      <c r="AM199" s="76"/>
      <c r="AN199" s="76"/>
      <c r="AO199" s="76"/>
      <c r="AP199" s="76"/>
      <c r="AQ199" s="76"/>
      <c r="AR199" s="76"/>
      <c r="AS199" s="76"/>
      <c r="AT199" s="77" t="str">
        <f aca="false">IF(B199="","",IF($AK199="NON",0,IF(COUNT(AL199:AS199)=0,"",IFERROR(ROUND(SUMPRODUCT(AL199:AS199,$AL$8:$AS$8)/SUMPRODUCT(ISNUMBER(AL199:AS199)*$AL$8:$AS$8),2),""))))</f>
        <v/>
      </c>
      <c r="AU199" s="51" t="str">
        <f aca="false">IFERROR(MATCH("CP-190",'REGISTRE ELEVES'!$AI$10:$AI$250,0),"")</f>
        <v/>
      </c>
    </row>
    <row r="200" customFormat="false" ht="15" hidden="false" customHeight="false" outlineLevel="0" collapsed="false">
      <c r="A200" s="73" t="str">
        <f aca="false">IF(B200="","",191)</f>
        <v/>
      </c>
      <c r="B200" s="73" t="str">
        <f aca="false">IF($AU200="","",INDEX('REGISTRE ELEVES'!$B$10:$B$250,$AU200))</f>
        <v/>
      </c>
      <c r="C200" s="74" t="str">
        <f aca="false">IF($AU200="","",INDEX('REGISTRE ELEVES'!$D$10:$D$250,$AU200))</f>
        <v/>
      </c>
      <c r="D200" s="73" t="str">
        <f aca="false">IF($AU200="","",INDEX('REGISTRE ELEVES'!$E$10:$E$250,$AU200))</f>
        <v/>
      </c>
      <c r="E200" s="73" t="str">
        <f aca="false">IF($AU200="","",INDEX('REGISTRE ELEVES'!$F$10:$F$250,$AU200))</f>
        <v/>
      </c>
      <c r="F200" s="73" t="str">
        <f aca="false">IF($AU200="","",INDEX('REGISTRE ELEVES'!$AE$10:$AE$250,$AU200))</f>
        <v/>
      </c>
      <c r="G200" s="75"/>
      <c r="H200" s="76"/>
      <c r="I200" s="76"/>
      <c r="J200" s="76"/>
      <c r="K200" s="76"/>
      <c r="L200" s="76"/>
      <c r="M200" s="76"/>
      <c r="N200" s="76"/>
      <c r="O200" s="76"/>
      <c r="P200" s="77" t="str">
        <f aca="false">IF(B200="","",IF($G200="NON",0,IF(COUNT(H200:O200)=0,"",IFERROR(ROUND(SUMPRODUCT(H200:O200,$H$8:$O$8)/SUMPRODUCT(ISNUMBER(H200:O200)*$H$8:$O$8),2),""))))</f>
        <v/>
      </c>
      <c r="Q200" s="75"/>
      <c r="R200" s="76"/>
      <c r="S200" s="76"/>
      <c r="T200" s="76"/>
      <c r="U200" s="76"/>
      <c r="V200" s="76"/>
      <c r="W200" s="76"/>
      <c r="X200" s="76"/>
      <c r="Y200" s="76"/>
      <c r="Z200" s="77" t="str">
        <f aca="false">IF(B200="","",IF($Q200="NON",0,IF(COUNT(R200:Y200)=0,"",IFERROR(ROUND(SUMPRODUCT(R200:Y200,$R$8:$Y$8)/SUMPRODUCT(ISNUMBER(R200:Y200)*$R$8:$Y$8),2),""))))</f>
        <v/>
      </c>
      <c r="AA200" s="75"/>
      <c r="AB200" s="76"/>
      <c r="AC200" s="76"/>
      <c r="AD200" s="76"/>
      <c r="AE200" s="76"/>
      <c r="AF200" s="76"/>
      <c r="AG200" s="76"/>
      <c r="AH200" s="76"/>
      <c r="AI200" s="76"/>
      <c r="AJ200" s="77" t="str">
        <f aca="false">IF(B200="","",IF($AA200="NON",0,IF(COUNT(AB200:AI200)=0,"",IFERROR(ROUND(SUMPRODUCT(AB200:AI200,$AB$8:$AI$8)/SUMPRODUCT(ISNUMBER(AB200:AI200)*$AB$8:$AI$8),2),""))))</f>
        <v/>
      </c>
      <c r="AK200" s="75"/>
      <c r="AL200" s="76"/>
      <c r="AM200" s="76"/>
      <c r="AN200" s="76"/>
      <c r="AO200" s="76"/>
      <c r="AP200" s="76"/>
      <c r="AQ200" s="76"/>
      <c r="AR200" s="76"/>
      <c r="AS200" s="76"/>
      <c r="AT200" s="77" t="str">
        <f aca="false">IF(B200="","",IF($AK200="NON",0,IF(COUNT(AL200:AS200)=0,"",IFERROR(ROUND(SUMPRODUCT(AL200:AS200,$AL$8:$AS$8)/SUMPRODUCT(ISNUMBER(AL200:AS200)*$AL$8:$AS$8),2),""))))</f>
        <v/>
      </c>
      <c r="AU200" s="51" t="str">
        <f aca="false">IFERROR(MATCH("CP-191",'REGISTRE ELEVES'!$AI$10:$AI$250,0),"")</f>
        <v/>
      </c>
    </row>
    <row r="201" customFormat="false" ht="15" hidden="false" customHeight="false" outlineLevel="0" collapsed="false">
      <c r="A201" s="73" t="str">
        <f aca="false">IF(B201="","",192)</f>
        <v/>
      </c>
      <c r="B201" s="73" t="str">
        <f aca="false">IF($AU201="","",INDEX('REGISTRE ELEVES'!$B$10:$B$250,$AU201))</f>
        <v/>
      </c>
      <c r="C201" s="74" t="str">
        <f aca="false">IF($AU201="","",INDEX('REGISTRE ELEVES'!$D$10:$D$250,$AU201))</f>
        <v/>
      </c>
      <c r="D201" s="73" t="str">
        <f aca="false">IF($AU201="","",INDEX('REGISTRE ELEVES'!$E$10:$E$250,$AU201))</f>
        <v/>
      </c>
      <c r="E201" s="73" t="str">
        <f aca="false">IF($AU201="","",INDEX('REGISTRE ELEVES'!$F$10:$F$250,$AU201))</f>
        <v/>
      </c>
      <c r="F201" s="73" t="str">
        <f aca="false">IF($AU201="","",INDEX('REGISTRE ELEVES'!$AE$10:$AE$250,$AU201))</f>
        <v/>
      </c>
      <c r="G201" s="75"/>
      <c r="H201" s="76"/>
      <c r="I201" s="76"/>
      <c r="J201" s="76"/>
      <c r="K201" s="76"/>
      <c r="L201" s="76"/>
      <c r="M201" s="76"/>
      <c r="N201" s="76"/>
      <c r="O201" s="76"/>
      <c r="P201" s="77" t="str">
        <f aca="false">IF(B201="","",IF($G201="NON",0,IF(COUNT(H201:O201)=0,"",IFERROR(ROUND(SUMPRODUCT(H201:O201,$H$8:$O$8)/SUMPRODUCT(ISNUMBER(H201:O201)*$H$8:$O$8),2),""))))</f>
        <v/>
      </c>
      <c r="Q201" s="75"/>
      <c r="R201" s="76"/>
      <c r="S201" s="76"/>
      <c r="T201" s="76"/>
      <c r="U201" s="76"/>
      <c r="V201" s="76"/>
      <c r="W201" s="76"/>
      <c r="X201" s="76"/>
      <c r="Y201" s="76"/>
      <c r="Z201" s="77" t="str">
        <f aca="false">IF(B201="","",IF($Q201="NON",0,IF(COUNT(R201:Y201)=0,"",IFERROR(ROUND(SUMPRODUCT(R201:Y201,$R$8:$Y$8)/SUMPRODUCT(ISNUMBER(R201:Y201)*$R$8:$Y$8),2),""))))</f>
        <v/>
      </c>
      <c r="AA201" s="75"/>
      <c r="AB201" s="76"/>
      <c r="AC201" s="76"/>
      <c r="AD201" s="76"/>
      <c r="AE201" s="76"/>
      <c r="AF201" s="76"/>
      <c r="AG201" s="76"/>
      <c r="AH201" s="76"/>
      <c r="AI201" s="76"/>
      <c r="AJ201" s="77" t="str">
        <f aca="false">IF(B201="","",IF($AA201="NON",0,IF(COUNT(AB201:AI201)=0,"",IFERROR(ROUND(SUMPRODUCT(AB201:AI201,$AB$8:$AI$8)/SUMPRODUCT(ISNUMBER(AB201:AI201)*$AB$8:$AI$8),2),""))))</f>
        <v/>
      </c>
      <c r="AK201" s="75"/>
      <c r="AL201" s="76"/>
      <c r="AM201" s="76"/>
      <c r="AN201" s="76"/>
      <c r="AO201" s="76"/>
      <c r="AP201" s="76"/>
      <c r="AQ201" s="76"/>
      <c r="AR201" s="76"/>
      <c r="AS201" s="76"/>
      <c r="AT201" s="77" t="str">
        <f aca="false">IF(B201="","",IF($AK201="NON",0,IF(COUNT(AL201:AS201)=0,"",IFERROR(ROUND(SUMPRODUCT(AL201:AS201,$AL$8:$AS$8)/SUMPRODUCT(ISNUMBER(AL201:AS201)*$AL$8:$AS$8),2),""))))</f>
        <v/>
      </c>
      <c r="AU201" s="51" t="str">
        <f aca="false">IFERROR(MATCH("CP-192",'REGISTRE ELEVES'!$AI$10:$AI$250,0),"")</f>
        <v/>
      </c>
    </row>
    <row r="202" customFormat="false" ht="15" hidden="false" customHeight="false" outlineLevel="0" collapsed="false">
      <c r="A202" s="73" t="str">
        <f aca="false">IF(B202="","",193)</f>
        <v/>
      </c>
      <c r="B202" s="73" t="str">
        <f aca="false">IF($AU202="","",INDEX('REGISTRE ELEVES'!$B$10:$B$250,$AU202))</f>
        <v/>
      </c>
      <c r="C202" s="74" t="str">
        <f aca="false">IF($AU202="","",INDEX('REGISTRE ELEVES'!$D$10:$D$250,$AU202))</f>
        <v/>
      </c>
      <c r="D202" s="73" t="str">
        <f aca="false">IF($AU202="","",INDEX('REGISTRE ELEVES'!$E$10:$E$250,$AU202))</f>
        <v/>
      </c>
      <c r="E202" s="73" t="str">
        <f aca="false">IF($AU202="","",INDEX('REGISTRE ELEVES'!$F$10:$F$250,$AU202))</f>
        <v/>
      </c>
      <c r="F202" s="73" t="str">
        <f aca="false">IF($AU202="","",INDEX('REGISTRE ELEVES'!$AE$10:$AE$250,$AU202))</f>
        <v/>
      </c>
      <c r="G202" s="75"/>
      <c r="H202" s="76"/>
      <c r="I202" s="76"/>
      <c r="J202" s="76"/>
      <c r="K202" s="76"/>
      <c r="L202" s="76"/>
      <c r="M202" s="76"/>
      <c r="N202" s="76"/>
      <c r="O202" s="76"/>
      <c r="P202" s="77" t="str">
        <f aca="false">IF(B202="","",IF($G202="NON",0,IF(COUNT(H202:O202)=0,"",IFERROR(ROUND(SUMPRODUCT(H202:O202,$H$8:$O$8)/SUMPRODUCT(ISNUMBER(H202:O202)*$H$8:$O$8),2),""))))</f>
        <v/>
      </c>
      <c r="Q202" s="75"/>
      <c r="R202" s="76"/>
      <c r="S202" s="76"/>
      <c r="T202" s="76"/>
      <c r="U202" s="76"/>
      <c r="V202" s="76"/>
      <c r="W202" s="76"/>
      <c r="X202" s="76"/>
      <c r="Y202" s="76"/>
      <c r="Z202" s="77" t="str">
        <f aca="false">IF(B202="","",IF($Q202="NON",0,IF(COUNT(R202:Y202)=0,"",IFERROR(ROUND(SUMPRODUCT(R202:Y202,$R$8:$Y$8)/SUMPRODUCT(ISNUMBER(R202:Y202)*$R$8:$Y$8),2),""))))</f>
        <v/>
      </c>
      <c r="AA202" s="75"/>
      <c r="AB202" s="76"/>
      <c r="AC202" s="76"/>
      <c r="AD202" s="76"/>
      <c r="AE202" s="76"/>
      <c r="AF202" s="76"/>
      <c r="AG202" s="76"/>
      <c r="AH202" s="76"/>
      <c r="AI202" s="76"/>
      <c r="AJ202" s="77" t="str">
        <f aca="false">IF(B202="","",IF($AA202="NON",0,IF(COUNT(AB202:AI202)=0,"",IFERROR(ROUND(SUMPRODUCT(AB202:AI202,$AB$8:$AI$8)/SUMPRODUCT(ISNUMBER(AB202:AI202)*$AB$8:$AI$8),2),""))))</f>
        <v/>
      </c>
      <c r="AK202" s="75"/>
      <c r="AL202" s="76"/>
      <c r="AM202" s="76"/>
      <c r="AN202" s="76"/>
      <c r="AO202" s="76"/>
      <c r="AP202" s="76"/>
      <c r="AQ202" s="76"/>
      <c r="AR202" s="76"/>
      <c r="AS202" s="76"/>
      <c r="AT202" s="77" t="str">
        <f aca="false">IF(B202="","",IF($AK202="NON",0,IF(COUNT(AL202:AS202)=0,"",IFERROR(ROUND(SUMPRODUCT(AL202:AS202,$AL$8:$AS$8)/SUMPRODUCT(ISNUMBER(AL202:AS202)*$AL$8:$AS$8),2),""))))</f>
        <v/>
      </c>
      <c r="AU202" s="51" t="str">
        <f aca="false">IFERROR(MATCH("CP-193",'REGISTRE ELEVES'!$AI$10:$AI$250,0),"")</f>
        <v/>
      </c>
    </row>
    <row r="203" customFormat="false" ht="15" hidden="false" customHeight="false" outlineLevel="0" collapsed="false">
      <c r="A203" s="73" t="str">
        <f aca="false">IF(B203="","",194)</f>
        <v/>
      </c>
      <c r="B203" s="73" t="str">
        <f aca="false">IF($AU203="","",INDEX('REGISTRE ELEVES'!$B$10:$B$250,$AU203))</f>
        <v/>
      </c>
      <c r="C203" s="74" t="str">
        <f aca="false">IF($AU203="","",INDEX('REGISTRE ELEVES'!$D$10:$D$250,$AU203))</f>
        <v/>
      </c>
      <c r="D203" s="73" t="str">
        <f aca="false">IF($AU203="","",INDEX('REGISTRE ELEVES'!$E$10:$E$250,$AU203))</f>
        <v/>
      </c>
      <c r="E203" s="73" t="str">
        <f aca="false">IF($AU203="","",INDEX('REGISTRE ELEVES'!$F$10:$F$250,$AU203))</f>
        <v/>
      </c>
      <c r="F203" s="73" t="str">
        <f aca="false">IF($AU203="","",INDEX('REGISTRE ELEVES'!$AE$10:$AE$250,$AU203))</f>
        <v/>
      </c>
      <c r="G203" s="75"/>
      <c r="H203" s="76"/>
      <c r="I203" s="76"/>
      <c r="J203" s="76"/>
      <c r="K203" s="76"/>
      <c r="L203" s="76"/>
      <c r="M203" s="76"/>
      <c r="N203" s="76"/>
      <c r="O203" s="76"/>
      <c r="P203" s="77" t="str">
        <f aca="false">IF(B203="","",IF($G203="NON",0,IF(COUNT(H203:O203)=0,"",IFERROR(ROUND(SUMPRODUCT(H203:O203,$H$8:$O$8)/SUMPRODUCT(ISNUMBER(H203:O203)*$H$8:$O$8),2),""))))</f>
        <v/>
      </c>
      <c r="Q203" s="75"/>
      <c r="R203" s="76"/>
      <c r="S203" s="76"/>
      <c r="T203" s="76"/>
      <c r="U203" s="76"/>
      <c r="V203" s="76"/>
      <c r="W203" s="76"/>
      <c r="X203" s="76"/>
      <c r="Y203" s="76"/>
      <c r="Z203" s="77" t="str">
        <f aca="false">IF(B203="","",IF($Q203="NON",0,IF(COUNT(R203:Y203)=0,"",IFERROR(ROUND(SUMPRODUCT(R203:Y203,$R$8:$Y$8)/SUMPRODUCT(ISNUMBER(R203:Y203)*$R$8:$Y$8),2),""))))</f>
        <v/>
      </c>
      <c r="AA203" s="75"/>
      <c r="AB203" s="76"/>
      <c r="AC203" s="76"/>
      <c r="AD203" s="76"/>
      <c r="AE203" s="76"/>
      <c r="AF203" s="76"/>
      <c r="AG203" s="76"/>
      <c r="AH203" s="76"/>
      <c r="AI203" s="76"/>
      <c r="AJ203" s="77" t="str">
        <f aca="false">IF(B203="","",IF($AA203="NON",0,IF(COUNT(AB203:AI203)=0,"",IFERROR(ROUND(SUMPRODUCT(AB203:AI203,$AB$8:$AI$8)/SUMPRODUCT(ISNUMBER(AB203:AI203)*$AB$8:$AI$8),2),""))))</f>
        <v/>
      </c>
      <c r="AK203" s="75"/>
      <c r="AL203" s="76"/>
      <c r="AM203" s="76"/>
      <c r="AN203" s="76"/>
      <c r="AO203" s="76"/>
      <c r="AP203" s="76"/>
      <c r="AQ203" s="76"/>
      <c r="AR203" s="76"/>
      <c r="AS203" s="76"/>
      <c r="AT203" s="77" t="str">
        <f aca="false">IF(B203="","",IF($AK203="NON",0,IF(COUNT(AL203:AS203)=0,"",IFERROR(ROUND(SUMPRODUCT(AL203:AS203,$AL$8:$AS$8)/SUMPRODUCT(ISNUMBER(AL203:AS203)*$AL$8:$AS$8),2),""))))</f>
        <v/>
      </c>
      <c r="AU203" s="51" t="str">
        <f aca="false">IFERROR(MATCH("CP-194",'REGISTRE ELEVES'!$AI$10:$AI$250,0),"")</f>
        <v/>
      </c>
    </row>
    <row r="204" customFormat="false" ht="15" hidden="false" customHeight="false" outlineLevel="0" collapsed="false">
      <c r="A204" s="73" t="str">
        <f aca="false">IF(B204="","",195)</f>
        <v/>
      </c>
      <c r="B204" s="73" t="str">
        <f aca="false">IF($AU204="","",INDEX('REGISTRE ELEVES'!$B$10:$B$250,$AU204))</f>
        <v/>
      </c>
      <c r="C204" s="74" t="str">
        <f aca="false">IF($AU204="","",INDEX('REGISTRE ELEVES'!$D$10:$D$250,$AU204))</f>
        <v/>
      </c>
      <c r="D204" s="73" t="str">
        <f aca="false">IF($AU204="","",INDEX('REGISTRE ELEVES'!$E$10:$E$250,$AU204))</f>
        <v/>
      </c>
      <c r="E204" s="73" t="str">
        <f aca="false">IF($AU204="","",INDEX('REGISTRE ELEVES'!$F$10:$F$250,$AU204))</f>
        <v/>
      </c>
      <c r="F204" s="73" t="str">
        <f aca="false">IF($AU204="","",INDEX('REGISTRE ELEVES'!$AE$10:$AE$250,$AU204))</f>
        <v/>
      </c>
      <c r="G204" s="75"/>
      <c r="H204" s="76"/>
      <c r="I204" s="76"/>
      <c r="J204" s="76"/>
      <c r="K204" s="76"/>
      <c r="L204" s="76"/>
      <c r="M204" s="76"/>
      <c r="N204" s="76"/>
      <c r="O204" s="76"/>
      <c r="P204" s="77" t="str">
        <f aca="false">IF(B204="","",IF($G204="NON",0,IF(COUNT(H204:O204)=0,"",IFERROR(ROUND(SUMPRODUCT(H204:O204,$H$8:$O$8)/SUMPRODUCT(ISNUMBER(H204:O204)*$H$8:$O$8),2),""))))</f>
        <v/>
      </c>
      <c r="Q204" s="75"/>
      <c r="R204" s="76"/>
      <c r="S204" s="76"/>
      <c r="T204" s="76"/>
      <c r="U204" s="76"/>
      <c r="V204" s="76"/>
      <c r="W204" s="76"/>
      <c r="X204" s="76"/>
      <c r="Y204" s="76"/>
      <c r="Z204" s="77" t="str">
        <f aca="false">IF(B204="","",IF($Q204="NON",0,IF(COUNT(R204:Y204)=0,"",IFERROR(ROUND(SUMPRODUCT(R204:Y204,$R$8:$Y$8)/SUMPRODUCT(ISNUMBER(R204:Y204)*$R$8:$Y$8),2),""))))</f>
        <v/>
      </c>
      <c r="AA204" s="75"/>
      <c r="AB204" s="76"/>
      <c r="AC204" s="76"/>
      <c r="AD204" s="76"/>
      <c r="AE204" s="76"/>
      <c r="AF204" s="76"/>
      <c r="AG204" s="76"/>
      <c r="AH204" s="76"/>
      <c r="AI204" s="76"/>
      <c r="AJ204" s="77" t="str">
        <f aca="false">IF(B204="","",IF($AA204="NON",0,IF(COUNT(AB204:AI204)=0,"",IFERROR(ROUND(SUMPRODUCT(AB204:AI204,$AB$8:$AI$8)/SUMPRODUCT(ISNUMBER(AB204:AI204)*$AB$8:$AI$8),2),""))))</f>
        <v/>
      </c>
      <c r="AK204" s="75"/>
      <c r="AL204" s="76"/>
      <c r="AM204" s="76"/>
      <c r="AN204" s="76"/>
      <c r="AO204" s="76"/>
      <c r="AP204" s="76"/>
      <c r="AQ204" s="76"/>
      <c r="AR204" s="76"/>
      <c r="AS204" s="76"/>
      <c r="AT204" s="77" t="str">
        <f aca="false">IF(B204="","",IF($AK204="NON",0,IF(COUNT(AL204:AS204)=0,"",IFERROR(ROUND(SUMPRODUCT(AL204:AS204,$AL$8:$AS$8)/SUMPRODUCT(ISNUMBER(AL204:AS204)*$AL$8:$AS$8),2),""))))</f>
        <v/>
      </c>
      <c r="AU204" s="51" t="str">
        <f aca="false">IFERROR(MATCH("CP-195",'REGISTRE ELEVES'!$AI$10:$AI$250,0),"")</f>
        <v/>
      </c>
    </row>
    <row r="205" customFormat="false" ht="15" hidden="false" customHeight="false" outlineLevel="0" collapsed="false">
      <c r="A205" s="73" t="str">
        <f aca="false">IF(B205="","",196)</f>
        <v/>
      </c>
      <c r="B205" s="73" t="str">
        <f aca="false">IF($AU205="","",INDEX('REGISTRE ELEVES'!$B$10:$B$250,$AU205))</f>
        <v/>
      </c>
      <c r="C205" s="74" t="str">
        <f aca="false">IF($AU205="","",INDEX('REGISTRE ELEVES'!$D$10:$D$250,$AU205))</f>
        <v/>
      </c>
      <c r="D205" s="73" t="str">
        <f aca="false">IF($AU205="","",INDEX('REGISTRE ELEVES'!$E$10:$E$250,$AU205))</f>
        <v/>
      </c>
      <c r="E205" s="73" t="str">
        <f aca="false">IF($AU205="","",INDEX('REGISTRE ELEVES'!$F$10:$F$250,$AU205))</f>
        <v/>
      </c>
      <c r="F205" s="73" t="str">
        <f aca="false">IF($AU205="","",INDEX('REGISTRE ELEVES'!$AE$10:$AE$250,$AU205))</f>
        <v/>
      </c>
      <c r="G205" s="75"/>
      <c r="H205" s="76"/>
      <c r="I205" s="76"/>
      <c r="J205" s="76"/>
      <c r="K205" s="76"/>
      <c r="L205" s="76"/>
      <c r="M205" s="76"/>
      <c r="N205" s="76"/>
      <c r="O205" s="76"/>
      <c r="P205" s="77" t="str">
        <f aca="false">IF(B205="","",IF($G205="NON",0,IF(COUNT(H205:O205)=0,"",IFERROR(ROUND(SUMPRODUCT(H205:O205,$H$8:$O$8)/SUMPRODUCT(ISNUMBER(H205:O205)*$H$8:$O$8),2),""))))</f>
        <v/>
      </c>
      <c r="Q205" s="75"/>
      <c r="R205" s="76"/>
      <c r="S205" s="76"/>
      <c r="T205" s="76"/>
      <c r="U205" s="76"/>
      <c r="V205" s="76"/>
      <c r="W205" s="76"/>
      <c r="X205" s="76"/>
      <c r="Y205" s="76"/>
      <c r="Z205" s="77" t="str">
        <f aca="false">IF(B205="","",IF($Q205="NON",0,IF(COUNT(R205:Y205)=0,"",IFERROR(ROUND(SUMPRODUCT(R205:Y205,$R$8:$Y$8)/SUMPRODUCT(ISNUMBER(R205:Y205)*$R$8:$Y$8),2),""))))</f>
        <v/>
      </c>
      <c r="AA205" s="75"/>
      <c r="AB205" s="76"/>
      <c r="AC205" s="76"/>
      <c r="AD205" s="76"/>
      <c r="AE205" s="76"/>
      <c r="AF205" s="76"/>
      <c r="AG205" s="76"/>
      <c r="AH205" s="76"/>
      <c r="AI205" s="76"/>
      <c r="AJ205" s="77" t="str">
        <f aca="false">IF(B205="","",IF($AA205="NON",0,IF(COUNT(AB205:AI205)=0,"",IFERROR(ROUND(SUMPRODUCT(AB205:AI205,$AB$8:$AI$8)/SUMPRODUCT(ISNUMBER(AB205:AI205)*$AB$8:$AI$8),2),""))))</f>
        <v/>
      </c>
      <c r="AK205" s="75"/>
      <c r="AL205" s="76"/>
      <c r="AM205" s="76"/>
      <c r="AN205" s="76"/>
      <c r="AO205" s="76"/>
      <c r="AP205" s="76"/>
      <c r="AQ205" s="76"/>
      <c r="AR205" s="76"/>
      <c r="AS205" s="76"/>
      <c r="AT205" s="77" t="str">
        <f aca="false">IF(B205="","",IF($AK205="NON",0,IF(COUNT(AL205:AS205)=0,"",IFERROR(ROUND(SUMPRODUCT(AL205:AS205,$AL$8:$AS$8)/SUMPRODUCT(ISNUMBER(AL205:AS205)*$AL$8:$AS$8),2),""))))</f>
        <v/>
      </c>
      <c r="AU205" s="51" t="str">
        <f aca="false">IFERROR(MATCH("CP-196",'REGISTRE ELEVES'!$AI$10:$AI$250,0),"")</f>
        <v/>
      </c>
    </row>
    <row r="206" customFormat="false" ht="15" hidden="false" customHeight="false" outlineLevel="0" collapsed="false">
      <c r="A206" s="73" t="str">
        <f aca="false">IF(B206="","",197)</f>
        <v/>
      </c>
      <c r="B206" s="73" t="str">
        <f aca="false">IF($AU206="","",INDEX('REGISTRE ELEVES'!$B$10:$B$250,$AU206))</f>
        <v/>
      </c>
      <c r="C206" s="74" t="str">
        <f aca="false">IF($AU206="","",INDEX('REGISTRE ELEVES'!$D$10:$D$250,$AU206))</f>
        <v/>
      </c>
      <c r="D206" s="73" t="str">
        <f aca="false">IF($AU206="","",INDEX('REGISTRE ELEVES'!$E$10:$E$250,$AU206))</f>
        <v/>
      </c>
      <c r="E206" s="73" t="str">
        <f aca="false">IF($AU206="","",INDEX('REGISTRE ELEVES'!$F$10:$F$250,$AU206))</f>
        <v/>
      </c>
      <c r="F206" s="73" t="str">
        <f aca="false">IF($AU206="","",INDEX('REGISTRE ELEVES'!$AE$10:$AE$250,$AU206))</f>
        <v/>
      </c>
      <c r="G206" s="75"/>
      <c r="H206" s="76"/>
      <c r="I206" s="76"/>
      <c r="J206" s="76"/>
      <c r="K206" s="76"/>
      <c r="L206" s="76"/>
      <c r="M206" s="76"/>
      <c r="N206" s="76"/>
      <c r="O206" s="76"/>
      <c r="P206" s="77" t="str">
        <f aca="false">IF(B206="","",IF($G206="NON",0,IF(COUNT(H206:O206)=0,"",IFERROR(ROUND(SUMPRODUCT(H206:O206,$H$8:$O$8)/SUMPRODUCT(ISNUMBER(H206:O206)*$H$8:$O$8),2),""))))</f>
        <v/>
      </c>
      <c r="Q206" s="75"/>
      <c r="R206" s="76"/>
      <c r="S206" s="76"/>
      <c r="T206" s="76"/>
      <c r="U206" s="76"/>
      <c r="V206" s="76"/>
      <c r="W206" s="76"/>
      <c r="X206" s="76"/>
      <c r="Y206" s="76"/>
      <c r="Z206" s="77" t="str">
        <f aca="false">IF(B206="","",IF($Q206="NON",0,IF(COUNT(R206:Y206)=0,"",IFERROR(ROUND(SUMPRODUCT(R206:Y206,$R$8:$Y$8)/SUMPRODUCT(ISNUMBER(R206:Y206)*$R$8:$Y$8),2),""))))</f>
        <v/>
      </c>
      <c r="AA206" s="75"/>
      <c r="AB206" s="76"/>
      <c r="AC206" s="76"/>
      <c r="AD206" s="76"/>
      <c r="AE206" s="76"/>
      <c r="AF206" s="76"/>
      <c r="AG206" s="76"/>
      <c r="AH206" s="76"/>
      <c r="AI206" s="76"/>
      <c r="AJ206" s="77" t="str">
        <f aca="false">IF(B206="","",IF($AA206="NON",0,IF(COUNT(AB206:AI206)=0,"",IFERROR(ROUND(SUMPRODUCT(AB206:AI206,$AB$8:$AI$8)/SUMPRODUCT(ISNUMBER(AB206:AI206)*$AB$8:$AI$8),2),""))))</f>
        <v/>
      </c>
      <c r="AK206" s="75"/>
      <c r="AL206" s="76"/>
      <c r="AM206" s="76"/>
      <c r="AN206" s="76"/>
      <c r="AO206" s="76"/>
      <c r="AP206" s="76"/>
      <c r="AQ206" s="76"/>
      <c r="AR206" s="76"/>
      <c r="AS206" s="76"/>
      <c r="AT206" s="77" t="str">
        <f aca="false">IF(B206="","",IF($AK206="NON",0,IF(COUNT(AL206:AS206)=0,"",IFERROR(ROUND(SUMPRODUCT(AL206:AS206,$AL$8:$AS$8)/SUMPRODUCT(ISNUMBER(AL206:AS206)*$AL$8:$AS$8),2),""))))</f>
        <v/>
      </c>
      <c r="AU206" s="51" t="str">
        <f aca="false">IFERROR(MATCH("CP-197",'REGISTRE ELEVES'!$AI$10:$AI$250,0),"")</f>
        <v/>
      </c>
    </row>
    <row r="207" customFormat="false" ht="15" hidden="false" customHeight="false" outlineLevel="0" collapsed="false">
      <c r="A207" s="73" t="str">
        <f aca="false">IF(B207="","",198)</f>
        <v/>
      </c>
      <c r="B207" s="73" t="str">
        <f aca="false">IF($AU207="","",INDEX('REGISTRE ELEVES'!$B$10:$B$250,$AU207))</f>
        <v/>
      </c>
      <c r="C207" s="74" t="str">
        <f aca="false">IF($AU207="","",INDEX('REGISTRE ELEVES'!$D$10:$D$250,$AU207))</f>
        <v/>
      </c>
      <c r="D207" s="73" t="str">
        <f aca="false">IF($AU207="","",INDEX('REGISTRE ELEVES'!$E$10:$E$250,$AU207))</f>
        <v/>
      </c>
      <c r="E207" s="73" t="str">
        <f aca="false">IF($AU207="","",INDEX('REGISTRE ELEVES'!$F$10:$F$250,$AU207))</f>
        <v/>
      </c>
      <c r="F207" s="73" t="str">
        <f aca="false">IF($AU207="","",INDEX('REGISTRE ELEVES'!$AE$10:$AE$250,$AU207))</f>
        <v/>
      </c>
      <c r="G207" s="75"/>
      <c r="H207" s="76"/>
      <c r="I207" s="76"/>
      <c r="J207" s="76"/>
      <c r="K207" s="76"/>
      <c r="L207" s="76"/>
      <c r="M207" s="76"/>
      <c r="N207" s="76"/>
      <c r="O207" s="76"/>
      <c r="P207" s="77" t="str">
        <f aca="false">IF(B207="","",IF($G207="NON",0,IF(COUNT(H207:O207)=0,"",IFERROR(ROUND(SUMPRODUCT(H207:O207,$H$8:$O$8)/SUMPRODUCT(ISNUMBER(H207:O207)*$H$8:$O$8),2),""))))</f>
        <v/>
      </c>
      <c r="Q207" s="75"/>
      <c r="R207" s="76"/>
      <c r="S207" s="76"/>
      <c r="T207" s="76"/>
      <c r="U207" s="76"/>
      <c r="V207" s="76"/>
      <c r="W207" s="76"/>
      <c r="X207" s="76"/>
      <c r="Y207" s="76"/>
      <c r="Z207" s="77" t="str">
        <f aca="false">IF(B207="","",IF($Q207="NON",0,IF(COUNT(R207:Y207)=0,"",IFERROR(ROUND(SUMPRODUCT(R207:Y207,$R$8:$Y$8)/SUMPRODUCT(ISNUMBER(R207:Y207)*$R$8:$Y$8),2),""))))</f>
        <v/>
      </c>
      <c r="AA207" s="75"/>
      <c r="AB207" s="76"/>
      <c r="AC207" s="76"/>
      <c r="AD207" s="76"/>
      <c r="AE207" s="76"/>
      <c r="AF207" s="76"/>
      <c r="AG207" s="76"/>
      <c r="AH207" s="76"/>
      <c r="AI207" s="76"/>
      <c r="AJ207" s="77" t="str">
        <f aca="false">IF(B207="","",IF($AA207="NON",0,IF(COUNT(AB207:AI207)=0,"",IFERROR(ROUND(SUMPRODUCT(AB207:AI207,$AB$8:$AI$8)/SUMPRODUCT(ISNUMBER(AB207:AI207)*$AB$8:$AI$8),2),""))))</f>
        <v/>
      </c>
      <c r="AK207" s="75"/>
      <c r="AL207" s="76"/>
      <c r="AM207" s="76"/>
      <c r="AN207" s="76"/>
      <c r="AO207" s="76"/>
      <c r="AP207" s="76"/>
      <c r="AQ207" s="76"/>
      <c r="AR207" s="76"/>
      <c r="AS207" s="76"/>
      <c r="AT207" s="77" t="str">
        <f aca="false">IF(B207="","",IF($AK207="NON",0,IF(COUNT(AL207:AS207)=0,"",IFERROR(ROUND(SUMPRODUCT(AL207:AS207,$AL$8:$AS$8)/SUMPRODUCT(ISNUMBER(AL207:AS207)*$AL$8:$AS$8),2),""))))</f>
        <v/>
      </c>
      <c r="AU207" s="51" t="str">
        <f aca="false">IFERROR(MATCH("CP-198",'REGISTRE ELEVES'!$AI$10:$AI$250,0),"")</f>
        <v/>
      </c>
    </row>
    <row r="208" customFormat="false" ht="15" hidden="false" customHeight="false" outlineLevel="0" collapsed="false">
      <c r="A208" s="73" t="str">
        <f aca="false">IF(B208="","",199)</f>
        <v/>
      </c>
      <c r="B208" s="73" t="str">
        <f aca="false">IF($AU208="","",INDEX('REGISTRE ELEVES'!$B$10:$B$250,$AU208))</f>
        <v/>
      </c>
      <c r="C208" s="74" t="str">
        <f aca="false">IF($AU208="","",INDEX('REGISTRE ELEVES'!$D$10:$D$250,$AU208))</f>
        <v/>
      </c>
      <c r="D208" s="73" t="str">
        <f aca="false">IF($AU208="","",INDEX('REGISTRE ELEVES'!$E$10:$E$250,$AU208))</f>
        <v/>
      </c>
      <c r="E208" s="73" t="str">
        <f aca="false">IF($AU208="","",INDEX('REGISTRE ELEVES'!$F$10:$F$250,$AU208))</f>
        <v/>
      </c>
      <c r="F208" s="73" t="str">
        <f aca="false">IF($AU208="","",INDEX('REGISTRE ELEVES'!$AE$10:$AE$250,$AU208))</f>
        <v/>
      </c>
      <c r="G208" s="75"/>
      <c r="H208" s="76"/>
      <c r="I208" s="76"/>
      <c r="J208" s="76"/>
      <c r="K208" s="76"/>
      <c r="L208" s="76"/>
      <c r="M208" s="76"/>
      <c r="N208" s="76"/>
      <c r="O208" s="76"/>
      <c r="P208" s="77" t="str">
        <f aca="false">IF(B208="","",IF($G208="NON",0,IF(COUNT(H208:O208)=0,"",IFERROR(ROUND(SUMPRODUCT(H208:O208,$H$8:$O$8)/SUMPRODUCT(ISNUMBER(H208:O208)*$H$8:$O$8),2),""))))</f>
        <v/>
      </c>
      <c r="Q208" s="75"/>
      <c r="R208" s="76"/>
      <c r="S208" s="76"/>
      <c r="T208" s="76"/>
      <c r="U208" s="76"/>
      <c r="V208" s="76"/>
      <c r="W208" s="76"/>
      <c r="X208" s="76"/>
      <c r="Y208" s="76"/>
      <c r="Z208" s="77" t="str">
        <f aca="false">IF(B208="","",IF($Q208="NON",0,IF(COUNT(R208:Y208)=0,"",IFERROR(ROUND(SUMPRODUCT(R208:Y208,$R$8:$Y$8)/SUMPRODUCT(ISNUMBER(R208:Y208)*$R$8:$Y$8),2),""))))</f>
        <v/>
      </c>
      <c r="AA208" s="75"/>
      <c r="AB208" s="76"/>
      <c r="AC208" s="76"/>
      <c r="AD208" s="76"/>
      <c r="AE208" s="76"/>
      <c r="AF208" s="76"/>
      <c r="AG208" s="76"/>
      <c r="AH208" s="76"/>
      <c r="AI208" s="76"/>
      <c r="AJ208" s="77" t="str">
        <f aca="false">IF(B208="","",IF($AA208="NON",0,IF(COUNT(AB208:AI208)=0,"",IFERROR(ROUND(SUMPRODUCT(AB208:AI208,$AB$8:$AI$8)/SUMPRODUCT(ISNUMBER(AB208:AI208)*$AB$8:$AI$8),2),""))))</f>
        <v/>
      </c>
      <c r="AK208" s="75"/>
      <c r="AL208" s="76"/>
      <c r="AM208" s="76"/>
      <c r="AN208" s="76"/>
      <c r="AO208" s="76"/>
      <c r="AP208" s="76"/>
      <c r="AQ208" s="76"/>
      <c r="AR208" s="76"/>
      <c r="AS208" s="76"/>
      <c r="AT208" s="77" t="str">
        <f aca="false">IF(B208="","",IF($AK208="NON",0,IF(COUNT(AL208:AS208)=0,"",IFERROR(ROUND(SUMPRODUCT(AL208:AS208,$AL$8:$AS$8)/SUMPRODUCT(ISNUMBER(AL208:AS208)*$AL$8:$AS$8),2),""))))</f>
        <v/>
      </c>
      <c r="AU208" s="51" t="str">
        <f aca="false">IFERROR(MATCH("CP-199",'REGISTRE ELEVES'!$AI$10:$AI$250,0),"")</f>
        <v/>
      </c>
    </row>
    <row r="209" customFormat="false" ht="15" hidden="false" customHeight="false" outlineLevel="0" collapsed="false">
      <c r="A209" s="73" t="str">
        <f aca="false">IF(B209="","",200)</f>
        <v/>
      </c>
      <c r="B209" s="73" t="str">
        <f aca="false">IF($AU209="","",INDEX('REGISTRE ELEVES'!$B$10:$B$250,$AU209))</f>
        <v/>
      </c>
      <c r="C209" s="74" t="str">
        <f aca="false">IF($AU209="","",INDEX('REGISTRE ELEVES'!$D$10:$D$250,$AU209))</f>
        <v/>
      </c>
      <c r="D209" s="73" t="str">
        <f aca="false">IF($AU209="","",INDEX('REGISTRE ELEVES'!$E$10:$E$250,$AU209))</f>
        <v/>
      </c>
      <c r="E209" s="73" t="str">
        <f aca="false">IF($AU209="","",INDEX('REGISTRE ELEVES'!$F$10:$F$250,$AU209))</f>
        <v/>
      </c>
      <c r="F209" s="73" t="str">
        <f aca="false">IF($AU209="","",INDEX('REGISTRE ELEVES'!$AE$10:$AE$250,$AU209))</f>
        <v/>
      </c>
      <c r="G209" s="75"/>
      <c r="H209" s="76"/>
      <c r="I209" s="76"/>
      <c r="J209" s="76"/>
      <c r="K209" s="76"/>
      <c r="L209" s="76"/>
      <c r="M209" s="76"/>
      <c r="N209" s="76"/>
      <c r="O209" s="76"/>
      <c r="P209" s="77" t="str">
        <f aca="false">IF(B209="","",IF($G209="NON",0,IF(COUNT(H209:O209)=0,"",IFERROR(ROUND(SUMPRODUCT(H209:O209,$H$8:$O$8)/SUMPRODUCT(ISNUMBER(H209:O209)*$H$8:$O$8),2),""))))</f>
        <v/>
      </c>
      <c r="Q209" s="75"/>
      <c r="R209" s="76"/>
      <c r="S209" s="76"/>
      <c r="T209" s="76"/>
      <c r="U209" s="76"/>
      <c r="V209" s="76"/>
      <c r="W209" s="76"/>
      <c r="X209" s="76"/>
      <c r="Y209" s="76"/>
      <c r="Z209" s="77" t="str">
        <f aca="false">IF(B209="","",IF($Q209="NON",0,IF(COUNT(R209:Y209)=0,"",IFERROR(ROUND(SUMPRODUCT(R209:Y209,$R$8:$Y$8)/SUMPRODUCT(ISNUMBER(R209:Y209)*$R$8:$Y$8),2),""))))</f>
        <v/>
      </c>
      <c r="AA209" s="75"/>
      <c r="AB209" s="76"/>
      <c r="AC209" s="76"/>
      <c r="AD209" s="76"/>
      <c r="AE209" s="76"/>
      <c r="AF209" s="76"/>
      <c r="AG209" s="76"/>
      <c r="AH209" s="76"/>
      <c r="AI209" s="76"/>
      <c r="AJ209" s="77" t="str">
        <f aca="false">IF(B209="","",IF($AA209="NON",0,IF(COUNT(AB209:AI209)=0,"",IFERROR(ROUND(SUMPRODUCT(AB209:AI209,$AB$8:$AI$8)/SUMPRODUCT(ISNUMBER(AB209:AI209)*$AB$8:$AI$8),2),""))))</f>
        <v/>
      </c>
      <c r="AK209" s="75"/>
      <c r="AL209" s="76"/>
      <c r="AM209" s="76"/>
      <c r="AN209" s="76"/>
      <c r="AO209" s="76"/>
      <c r="AP209" s="76"/>
      <c r="AQ209" s="76"/>
      <c r="AR209" s="76"/>
      <c r="AS209" s="76"/>
      <c r="AT209" s="77" t="str">
        <f aca="false">IF(B209="","",IF($AK209="NON",0,IF(COUNT(AL209:AS209)=0,"",IFERROR(ROUND(SUMPRODUCT(AL209:AS209,$AL$8:$AS$8)/SUMPRODUCT(ISNUMBER(AL209:AS209)*$AL$8:$AS$8),2),""))))</f>
        <v/>
      </c>
      <c r="AU209" s="51" t="str">
        <f aca="false">IFERROR(MATCH("CP-200",'REGISTRE ELEVES'!$AI$10:$AI$250,0),"")</f>
        <v/>
      </c>
    </row>
    <row r="210" customFormat="false" ht="15" hidden="false" customHeight="false" outlineLevel="0" collapsed="false">
      <c r="A210" s="73" t="str">
        <f aca="false">IF(B210="","",201)</f>
        <v/>
      </c>
      <c r="B210" s="73" t="str">
        <f aca="false">IF($AU210="","",INDEX('REGISTRE ELEVES'!$B$10:$B$250,$AU210))</f>
        <v/>
      </c>
      <c r="C210" s="74" t="str">
        <f aca="false">IF($AU210="","",INDEX('REGISTRE ELEVES'!$D$10:$D$250,$AU210))</f>
        <v/>
      </c>
      <c r="D210" s="73" t="str">
        <f aca="false">IF($AU210="","",INDEX('REGISTRE ELEVES'!$E$10:$E$250,$AU210))</f>
        <v/>
      </c>
      <c r="E210" s="73" t="str">
        <f aca="false">IF($AU210="","",INDEX('REGISTRE ELEVES'!$F$10:$F$250,$AU210))</f>
        <v/>
      </c>
      <c r="F210" s="73" t="str">
        <f aca="false">IF($AU210="","",INDEX('REGISTRE ELEVES'!$AE$10:$AE$250,$AU210))</f>
        <v/>
      </c>
      <c r="G210" s="75"/>
      <c r="H210" s="76"/>
      <c r="I210" s="76"/>
      <c r="J210" s="76"/>
      <c r="K210" s="76"/>
      <c r="L210" s="76"/>
      <c r="M210" s="76"/>
      <c r="N210" s="76"/>
      <c r="O210" s="76"/>
      <c r="P210" s="77" t="str">
        <f aca="false">IF(B210="","",IF($G210="NON",0,IF(COUNT(H210:O210)=0,"",IFERROR(ROUND(SUMPRODUCT(H210:O210,$H$8:$O$8)/SUMPRODUCT(ISNUMBER(H210:O210)*$H$8:$O$8),2),""))))</f>
        <v/>
      </c>
      <c r="Q210" s="75"/>
      <c r="R210" s="76"/>
      <c r="S210" s="76"/>
      <c r="T210" s="76"/>
      <c r="U210" s="76"/>
      <c r="V210" s="76"/>
      <c r="W210" s="76"/>
      <c r="X210" s="76"/>
      <c r="Y210" s="76"/>
      <c r="Z210" s="77" t="str">
        <f aca="false">IF(B210="","",IF($Q210="NON",0,IF(COUNT(R210:Y210)=0,"",IFERROR(ROUND(SUMPRODUCT(R210:Y210,$R$8:$Y$8)/SUMPRODUCT(ISNUMBER(R210:Y210)*$R$8:$Y$8),2),""))))</f>
        <v/>
      </c>
      <c r="AA210" s="75"/>
      <c r="AB210" s="76"/>
      <c r="AC210" s="76"/>
      <c r="AD210" s="76"/>
      <c r="AE210" s="76"/>
      <c r="AF210" s="76"/>
      <c r="AG210" s="76"/>
      <c r="AH210" s="76"/>
      <c r="AI210" s="76"/>
      <c r="AJ210" s="77" t="str">
        <f aca="false">IF(B210="","",IF($AA210="NON",0,IF(COUNT(AB210:AI210)=0,"",IFERROR(ROUND(SUMPRODUCT(AB210:AI210,$AB$8:$AI$8)/SUMPRODUCT(ISNUMBER(AB210:AI210)*$AB$8:$AI$8),2),""))))</f>
        <v/>
      </c>
      <c r="AK210" s="75"/>
      <c r="AL210" s="76"/>
      <c r="AM210" s="76"/>
      <c r="AN210" s="76"/>
      <c r="AO210" s="76"/>
      <c r="AP210" s="76"/>
      <c r="AQ210" s="76"/>
      <c r="AR210" s="76"/>
      <c r="AS210" s="76"/>
      <c r="AT210" s="77" t="str">
        <f aca="false">IF(B210="","",IF($AK210="NON",0,IF(COUNT(AL210:AS210)=0,"",IFERROR(ROUND(SUMPRODUCT(AL210:AS210,$AL$8:$AS$8)/SUMPRODUCT(ISNUMBER(AL210:AS210)*$AL$8:$AS$8),2),""))))</f>
        <v/>
      </c>
      <c r="AU210" s="51" t="str">
        <f aca="false">IFERROR(MATCH("CP-201",'REGISTRE ELEVES'!$AI$10:$AI$250,0),"")</f>
        <v/>
      </c>
    </row>
    <row r="211" customFormat="false" ht="15" hidden="false" customHeight="false" outlineLevel="0" collapsed="false">
      <c r="A211" s="73" t="str">
        <f aca="false">IF(B211="","",202)</f>
        <v/>
      </c>
      <c r="B211" s="73" t="str">
        <f aca="false">IF($AU211="","",INDEX('REGISTRE ELEVES'!$B$10:$B$250,$AU211))</f>
        <v/>
      </c>
      <c r="C211" s="74" t="str">
        <f aca="false">IF($AU211="","",INDEX('REGISTRE ELEVES'!$D$10:$D$250,$AU211))</f>
        <v/>
      </c>
      <c r="D211" s="73" t="str">
        <f aca="false">IF($AU211="","",INDEX('REGISTRE ELEVES'!$E$10:$E$250,$AU211))</f>
        <v/>
      </c>
      <c r="E211" s="73" t="str">
        <f aca="false">IF($AU211="","",INDEX('REGISTRE ELEVES'!$F$10:$F$250,$AU211))</f>
        <v/>
      </c>
      <c r="F211" s="73" t="str">
        <f aca="false">IF($AU211="","",INDEX('REGISTRE ELEVES'!$AE$10:$AE$250,$AU211))</f>
        <v/>
      </c>
      <c r="G211" s="75"/>
      <c r="H211" s="76"/>
      <c r="I211" s="76"/>
      <c r="J211" s="76"/>
      <c r="K211" s="76"/>
      <c r="L211" s="76"/>
      <c r="M211" s="76"/>
      <c r="N211" s="76"/>
      <c r="O211" s="76"/>
      <c r="P211" s="77" t="str">
        <f aca="false">IF(B211="","",IF($G211="NON",0,IF(COUNT(H211:O211)=0,"",IFERROR(ROUND(SUMPRODUCT(H211:O211,$H$8:$O$8)/SUMPRODUCT(ISNUMBER(H211:O211)*$H$8:$O$8),2),""))))</f>
        <v/>
      </c>
      <c r="Q211" s="75"/>
      <c r="R211" s="76"/>
      <c r="S211" s="76"/>
      <c r="T211" s="76"/>
      <c r="U211" s="76"/>
      <c r="V211" s="76"/>
      <c r="W211" s="76"/>
      <c r="X211" s="76"/>
      <c r="Y211" s="76"/>
      <c r="Z211" s="77" t="str">
        <f aca="false">IF(B211="","",IF($Q211="NON",0,IF(COUNT(R211:Y211)=0,"",IFERROR(ROUND(SUMPRODUCT(R211:Y211,$R$8:$Y$8)/SUMPRODUCT(ISNUMBER(R211:Y211)*$R$8:$Y$8),2),""))))</f>
        <v/>
      </c>
      <c r="AA211" s="75"/>
      <c r="AB211" s="76"/>
      <c r="AC211" s="76"/>
      <c r="AD211" s="76"/>
      <c r="AE211" s="76"/>
      <c r="AF211" s="76"/>
      <c r="AG211" s="76"/>
      <c r="AH211" s="76"/>
      <c r="AI211" s="76"/>
      <c r="AJ211" s="77" t="str">
        <f aca="false">IF(B211="","",IF($AA211="NON",0,IF(COUNT(AB211:AI211)=0,"",IFERROR(ROUND(SUMPRODUCT(AB211:AI211,$AB$8:$AI$8)/SUMPRODUCT(ISNUMBER(AB211:AI211)*$AB$8:$AI$8),2),""))))</f>
        <v/>
      </c>
      <c r="AK211" s="75"/>
      <c r="AL211" s="76"/>
      <c r="AM211" s="76"/>
      <c r="AN211" s="76"/>
      <c r="AO211" s="76"/>
      <c r="AP211" s="76"/>
      <c r="AQ211" s="76"/>
      <c r="AR211" s="76"/>
      <c r="AS211" s="76"/>
      <c r="AT211" s="77" t="str">
        <f aca="false">IF(B211="","",IF($AK211="NON",0,IF(COUNT(AL211:AS211)=0,"",IFERROR(ROUND(SUMPRODUCT(AL211:AS211,$AL$8:$AS$8)/SUMPRODUCT(ISNUMBER(AL211:AS211)*$AL$8:$AS$8),2),""))))</f>
        <v/>
      </c>
      <c r="AU211" s="51" t="str">
        <f aca="false">IFERROR(MATCH("CP-202",'REGISTRE ELEVES'!$AI$10:$AI$250,0),"")</f>
        <v/>
      </c>
    </row>
    <row r="212" customFormat="false" ht="15" hidden="false" customHeight="false" outlineLevel="0" collapsed="false">
      <c r="A212" s="73" t="str">
        <f aca="false">IF(B212="","",203)</f>
        <v/>
      </c>
      <c r="B212" s="73" t="str">
        <f aca="false">IF($AU212="","",INDEX('REGISTRE ELEVES'!$B$10:$B$250,$AU212))</f>
        <v/>
      </c>
      <c r="C212" s="74" t="str">
        <f aca="false">IF($AU212="","",INDEX('REGISTRE ELEVES'!$D$10:$D$250,$AU212))</f>
        <v/>
      </c>
      <c r="D212" s="73" t="str">
        <f aca="false">IF($AU212="","",INDEX('REGISTRE ELEVES'!$E$10:$E$250,$AU212))</f>
        <v/>
      </c>
      <c r="E212" s="73" t="str">
        <f aca="false">IF($AU212="","",INDEX('REGISTRE ELEVES'!$F$10:$F$250,$AU212))</f>
        <v/>
      </c>
      <c r="F212" s="73" t="str">
        <f aca="false">IF($AU212="","",INDEX('REGISTRE ELEVES'!$AE$10:$AE$250,$AU212))</f>
        <v/>
      </c>
      <c r="G212" s="75"/>
      <c r="H212" s="76"/>
      <c r="I212" s="76"/>
      <c r="J212" s="76"/>
      <c r="K212" s="76"/>
      <c r="L212" s="76"/>
      <c r="M212" s="76"/>
      <c r="N212" s="76"/>
      <c r="O212" s="76"/>
      <c r="P212" s="77" t="str">
        <f aca="false">IF(B212="","",IF($G212="NON",0,IF(COUNT(H212:O212)=0,"",IFERROR(ROUND(SUMPRODUCT(H212:O212,$H$8:$O$8)/SUMPRODUCT(ISNUMBER(H212:O212)*$H$8:$O$8),2),""))))</f>
        <v/>
      </c>
      <c r="Q212" s="75"/>
      <c r="R212" s="76"/>
      <c r="S212" s="76"/>
      <c r="T212" s="76"/>
      <c r="U212" s="76"/>
      <c r="V212" s="76"/>
      <c r="W212" s="76"/>
      <c r="X212" s="76"/>
      <c r="Y212" s="76"/>
      <c r="Z212" s="77" t="str">
        <f aca="false">IF(B212="","",IF($Q212="NON",0,IF(COUNT(R212:Y212)=0,"",IFERROR(ROUND(SUMPRODUCT(R212:Y212,$R$8:$Y$8)/SUMPRODUCT(ISNUMBER(R212:Y212)*$R$8:$Y$8),2),""))))</f>
        <v/>
      </c>
      <c r="AA212" s="75"/>
      <c r="AB212" s="76"/>
      <c r="AC212" s="76"/>
      <c r="AD212" s="76"/>
      <c r="AE212" s="76"/>
      <c r="AF212" s="76"/>
      <c r="AG212" s="76"/>
      <c r="AH212" s="76"/>
      <c r="AI212" s="76"/>
      <c r="AJ212" s="77" t="str">
        <f aca="false">IF(B212="","",IF($AA212="NON",0,IF(COUNT(AB212:AI212)=0,"",IFERROR(ROUND(SUMPRODUCT(AB212:AI212,$AB$8:$AI$8)/SUMPRODUCT(ISNUMBER(AB212:AI212)*$AB$8:$AI$8),2),""))))</f>
        <v/>
      </c>
      <c r="AK212" s="75"/>
      <c r="AL212" s="76"/>
      <c r="AM212" s="76"/>
      <c r="AN212" s="76"/>
      <c r="AO212" s="76"/>
      <c r="AP212" s="76"/>
      <c r="AQ212" s="76"/>
      <c r="AR212" s="76"/>
      <c r="AS212" s="76"/>
      <c r="AT212" s="77" t="str">
        <f aca="false">IF(B212="","",IF($AK212="NON",0,IF(COUNT(AL212:AS212)=0,"",IFERROR(ROUND(SUMPRODUCT(AL212:AS212,$AL$8:$AS$8)/SUMPRODUCT(ISNUMBER(AL212:AS212)*$AL$8:$AS$8),2),""))))</f>
        <v/>
      </c>
      <c r="AU212" s="51" t="str">
        <f aca="false">IFERROR(MATCH("CP-203",'REGISTRE ELEVES'!$AI$10:$AI$250,0),"")</f>
        <v/>
      </c>
    </row>
    <row r="213" customFormat="false" ht="15" hidden="false" customHeight="false" outlineLevel="0" collapsed="false">
      <c r="A213" s="73" t="str">
        <f aca="false">IF(B213="","",204)</f>
        <v/>
      </c>
      <c r="B213" s="73" t="str">
        <f aca="false">IF($AU213="","",INDEX('REGISTRE ELEVES'!$B$10:$B$250,$AU213))</f>
        <v/>
      </c>
      <c r="C213" s="74" t="str">
        <f aca="false">IF($AU213="","",INDEX('REGISTRE ELEVES'!$D$10:$D$250,$AU213))</f>
        <v/>
      </c>
      <c r="D213" s="73" t="str">
        <f aca="false">IF($AU213="","",INDEX('REGISTRE ELEVES'!$E$10:$E$250,$AU213))</f>
        <v/>
      </c>
      <c r="E213" s="73" t="str">
        <f aca="false">IF($AU213="","",INDEX('REGISTRE ELEVES'!$F$10:$F$250,$AU213))</f>
        <v/>
      </c>
      <c r="F213" s="73" t="str">
        <f aca="false">IF($AU213="","",INDEX('REGISTRE ELEVES'!$AE$10:$AE$250,$AU213))</f>
        <v/>
      </c>
      <c r="G213" s="75"/>
      <c r="H213" s="76"/>
      <c r="I213" s="76"/>
      <c r="J213" s="76"/>
      <c r="K213" s="76"/>
      <c r="L213" s="76"/>
      <c r="M213" s="76"/>
      <c r="N213" s="76"/>
      <c r="O213" s="76"/>
      <c r="P213" s="77" t="str">
        <f aca="false">IF(B213="","",IF($G213="NON",0,IF(COUNT(H213:O213)=0,"",IFERROR(ROUND(SUMPRODUCT(H213:O213,$H$8:$O$8)/SUMPRODUCT(ISNUMBER(H213:O213)*$H$8:$O$8),2),""))))</f>
        <v/>
      </c>
      <c r="Q213" s="75"/>
      <c r="R213" s="76"/>
      <c r="S213" s="76"/>
      <c r="T213" s="76"/>
      <c r="U213" s="76"/>
      <c r="V213" s="76"/>
      <c r="W213" s="76"/>
      <c r="X213" s="76"/>
      <c r="Y213" s="76"/>
      <c r="Z213" s="77" t="str">
        <f aca="false">IF(B213="","",IF($Q213="NON",0,IF(COUNT(R213:Y213)=0,"",IFERROR(ROUND(SUMPRODUCT(R213:Y213,$R$8:$Y$8)/SUMPRODUCT(ISNUMBER(R213:Y213)*$R$8:$Y$8),2),""))))</f>
        <v/>
      </c>
      <c r="AA213" s="75"/>
      <c r="AB213" s="76"/>
      <c r="AC213" s="76"/>
      <c r="AD213" s="76"/>
      <c r="AE213" s="76"/>
      <c r="AF213" s="76"/>
      <c r="AG213" s="76"/>
      <c r="AH213" s="76"/>
      <c r="AI213" s="76"/>
      <c r="AJ213" s="77" t="str">
        <f aca="false">IF(B213="","",IF($AA213="NON",0,IF(COUNT(AB213:AI213)=0,"",IFERROR(ROUND(SUMPRODUCT(AB213:AI213,$AB$8:$AI$8)/SUMPRODUCT(ISNUMBER(AB213:AI213)*$AB$8:$AI$8),2),""))))</f>
        <v/>
      </c>
      <c r="AK213" s="75"/>
      <c r="AL213" s="76"/>
      <c r="AM213" s="76"/>
      <c r="AN213" s="76"/>
      <c r="AO213" s="76"/>
      <c r="AP213" s="76"/>
      <c r="AQ213" s="76"/>
      <c r="AR213" s="76"/>
      <c r="AS213" s="76"/>
      <c r="AT213" s="77" t="str">
        <f aca="false">IF(B213="","",IF($AK213="NON",0,IF(COUNT(AL213:AS213)=0,"",IFERROR(ROUND(SUMPRODUCT(AL213:AS213,$AL$8:$AS$8)/SUMPRODUCT(ISNUMBER(AL213:AS213)*$AL$8:$AS$8),2),""))))</f>
        <v/>
      </c>
      <c r="AU213" s="51" t="str">
        <f aca="false">IFERROR(MATCH("CP-204",'REGISTRE ELEVES'!$AI$10:$AI$250,0),"")</f>
        <v/>
      </c>
    </row>
    <row r="214" customFormat="false" ht="15" hidden="false" customHeight="false" outlineLevel="0" collapsed="false">
      <c r="A214" s="73" t="str">
        <f aca="false">IF(B214="","",205)</f>
        <v/>
      </c>
      <c r="B214" s="73" t="str">
        <f aca="false">IF($AU214="","",INDEX('REGISTRE ELEVES'!$B$10:$B$250,$AU214))</f>
        <v/>
      </c>
      <c r="C214" s="74" t="str">
        <f aca="false">IF($AU214="","",INDEX('REGISTRE ELEVES'!$D$10:$D$250,$AU214))</f>
        <v/>
      </c>
      <c r="D214" s="73" t="str">
        <f aca="false">IF($AU214="","",INDEX('REGISTRE ELEVES'!$E$10:$E$250,$AU214))</f>
        <v/>
      </c>
      <c r="E214" s="73" t="str">
        <f aca="false">IF($AU214="","",INDEX('REGISTRE ELEVES'!$F$10:$F$250,$AU214))</f>
        <v/>
      </c>
      <c r="F214" s="73" t="str">
        <f aca="false">IF($AU214="","",INDEX('REGISTRE ELEVES'!$AE$10:$AE$250,$AU214))</f>
        <v/>
      </c>
      <c r="G214" s="75"/>
      <c r="H214" s="76"/>
      <c r="I214" s="76"/>
      <c r="J214" s="76"/>
      <c r="K214" s="76"/>
      <c r="L214" s="76"/>
      <c r="M214" s="76"/>
      <c r="N214" s="76"/>
      <c r="O214" s="76"/>
      <c r="P214" s="77" t="str">
        <f aca="false">IF(B214="","",IF($G214="NON",0,IF(COUNT(H214:O214)=0,"",IFERROR(ROUND(SUMPRODUCT(H214:O214,$H$8:$O$8)/SUMPRODUCT(ISNUMBER(H214:O214)*$H$8:$O$8),2),""))))</f>
        <v/>
      </c>
      <c r="Q214" s="75"/>
      <c r="R214" s="76"/>
      <c r="S214" s="76"/>
      <c r="T214" s="76"/>
      <c r="U214" s="76"/>
      <c r="V214" s="76"/>
      <c r="W214" s="76"/>
      <c r="X214" s="76"/>
      <c r="Y214" s="76"/>
      <c r="Z214" s="77" t="str">
        <f aca="false">IF(B214="","",IF($Q214="NON",0,IF(COUNT(R214:Y214)=0,"",IFERROR(ROUND(SUMPRODUCT(R214:Y214,$R$8:$Y$8)/SUMPRODUCT(ISNUMBER(R214:Y214)*$R$8:$Y$8),2),""))))</f>
        <v/>
      </c>
      <c r="AA214" s="75"/>
      <c r="AB214" s="76"/>
      <c r="AC214" s="76"/>
      <c r="AD214" s="76"/>
      <c r="AE214" s="76"/>
      <c r="AF214" s="76"/>
      <c r="AG214" s="76"/>
      <c r="AH214" s="76"/>
      <c r="AI214" s="76"/>
      <c r="AJ214" s="77" t="str">
        <f aca="false">IF(B214="","",IF($AA214="NON",0,IF(COUNT(AB214:AI214)=0,"",IFERROR(ROUND(SUMPRODUCT(AB214:AI214,$AB$8:$AI$8)/SUMPRODUCT(ISNUMBER(AB214:AI214)*$AB$8:$AI$8),2),""))))</f>
        <v/>
      </c>
      <c r="AK214" s="75"/>
      <c r="AL214" s="76"/>
      <c r="AM214" s="76"/>
      <c r="AN214" s="76"/>
      <c r="AO214" s="76"/>
      <c r="AP214" s="76"/>
      <c r="AQ214" s="76"/>
      <c r="AR214" s="76"/>
      <c r="AS214" s="76"/>
      <c r="AT214" s="77" t="str">
        <f aca="false">IF(B214="","",IF($AK214="NON",0,IF(COUNT(AL214:AS214)=0,"",IFERROR(ROUND(SUMPRODUCT(AL214:AS214,$AL$8:$AS$8)/SUMPRODUCT(ISNUMBER(AL214:AS214)*$AL$8:$AS$8),2),""))))</f>
        <v/>
      </c>
      <c r="AU214" s="51" t="str">
        <f aca="false">IFERROR(MATCH("CP-205",'REGISTRE ELEVES'!$AI$10:$AI$250,0),"")</f>
        <v/>
      </c>
    </row>
    <row r="215" customFormat="false" ht="15" hidden="false" customHeight="false" outlineLevel="0" collapsed="false">
      <c r="A215" s="73" t="str">
        <f aca="false">IF(B215="","",206)</f>
        <v/>
      </c>
      <c r="B215" s="73" t="str">
        <f aca="false">IF($AU215="","",INDEX('REGISTRE ELEVES'!$B$10:$B$250,$AU215))</f>
        <v/>
      </c>
      <c r="C215" s="74" t="str">
        <f aca="false">IF($AU215="","",INDEX('REGISTRE ELEVES'!$D$10:$D$250,$AU215))</f>
        <v/>
      </c>
      <c r="D215" s="73" t="str">
        <f aca="false">IF($AU215="","",INDEX('REGISTRE ELEVES'!$E$10:$E$250,$AU215))</f>
        <v/>
      </c>
      <c r="E215" s="73" t="str">
        <f aca="false">IF($AU215="","",INDEX('REGISTRE ELEVES'!$F$10:$F$250,$AU215))</f>
        <v/>
      </c>
      <c r="F215" s="73" t="str">
        <f aca="false">IF($AU215="","",INDEX('REGISTRE ELEVES'!$AE$10:$AE$250,$AU215))</f>
        <v/>
      </c>
      <c r="G215" s="75"/>
      <c r="H215" s="76"/>
      <c r="I215" s="76"/>
      <c r="J215" s="76"/>
      <c r="K215" s="76"/>
      <c r="L215" s="76"/>
      <c r="M215" s="76"/>
      <c r="N215" s="76"/>
      <c r="O215" s="76"/>
      <c r="P215" s="77" t="str">
        <f aca="false">IF(B215="","",IF($G215="NON",0,IF(COUNT(H215:O215)=0,"",IFERROR(ROUND(SUMPRODUCT(H215:O215,$H$8:$O$8)/SUMPRODUCT(ISNUMBER(H215:O215)*$H$8:$O$8),2),""))))</f>
        <v/>
      </c>
      <c r="Q215" s="75"/>
      <c r="R215" s="76"/>
      <c r="S215" s="76"/>
      <c r="T215" s="76"/>
      <c r="U215" s="76"/>
      <c r="V215" s="76"/>
      <c r="W215" s="76"/>
      <c r="X215" s="76"/>
      <c r="Y215" s="76"/>
      <c r="Z215" s="77" t="str">
        <f aca="false">IF(B215="","",IF($Q215="NON",0,IF(COUNT(R215:Y215)=0,"",IFERROR(ROUND(SUMPRODUCT(R215:Y215,$R$8:$Y$8)/SUMPRODUCT(ISNUMBER(R215:Y215)*$R$8:$Y$8),2),""))))</f>
        <v/>
      </c>
      <c r="AA215" s="75"/>
      <c r="AB215" s="76"/>
      <c r="AC215" s="76"/>
      <c r="AD215" s="76"/>
      <c r="AE215" s="76"/>
      <c r="AF215" s="76"/>
      <c r="AG215" s="76"/>
      <c r="AH215" s="76"/>
      <c r="AI215" s="76"/>
      <c r="AJ215" s="77" t="str">
        <f aca="false">IF(B215="","",IF($AA215="NON",0,IF(COUNT(AB215:AI215)=0,"",IFERROR(ROUND(SUMPRODUCT(AB215:AI215,$AB$8:$AI$8)/SUMPRODUCT(ISNUMBER(AB215:AI215)*$AB$8:$AI$8),2),""))))</f>
        <v/>
      </c>
      <c r="AK215" s="75"/>
      <c r="AL215" s="76"/>
      <c r="AM215" s="76"/>
      <c r="AN215" s="76"/>
      <c r="AO215" s="76"/>
      <c r="AP215" s="76"/>
      <c r="AQ215" s="76"/>
      <c r="AR215" s="76"/>
      <c r="AS215" s="76"/>
      <c r="AT215" s="77" t="str">
        <f aca="false">IF(B215="","",IF($AK215="NON",0,IF(COUNT(AL215:AS215)=0,"",IFERROR(ROUND(SUMPRODUCT(AL215:AS215,$AL$8:$AS$8)/SUMPRODUCT(ISNUMBER(AL215:AS215)*$AL$8:$AS$8),2),""))))</f>
        <v/>
      </c>
      <c r="AU215" s="51" t="str">
        <f aca="false">IFERROR(MATCH("CP-206",'REGISTRE ELEVES'!$AI$10:$AI$250,0),"")</f>
        <v/>
      </c>
    </row>
    <row r="216" customFormat="false" ht="15" hidden="false" customHeight="false" outlineLevel="0" collapsed="false">
      <c r="A216" s="73" t="str">
        <f aca="false">IF(B216="","",207)</f>
        <v/>
      </c>
      <c r="B216" s="73" t="str">
        <f aca="false">IF($AU216="","",INDEX('REGISTRE ELEVES'!$B$10:$B$250,$AU216))</f>
        <v/>
      </c>
      <c r="C216" s="74" t="str">
        <f aca="false">IF($AU216="","",INDEX('REGISTRE ELEVES'!$D$10:$D$250,$AU216))</f>
        <v/>
      </c>
      <c r="D216" s="73" t="str">
        <f aca="false">IF($AU216="","",INDEX('REGISTRE ELEVES'!$E$10:$E$250,$AU216))</f>
        <v/>
      </c>
      <c r="E216" s="73" t="str">
        <f aca="false">IF($AU216="","",INDEX('REGISTRE ELEVES'!$F$10:$F$250,$AU216))</f>
        <v/>
      </c>
      <c r="F216" s="73" t="str">
        <f aca="false">IF($AU216="","",INDEX('REGISTRE ELEVES'!$AE$10:$AE$250,$AU216))</f>
        <v/>
      </c>
      <c r="G216" s="75"/>
      <c r="H216" s="76"/>
      <c r="I216" s="76"/>
      <c r="J216" s="76"/>
      <c r="K216" s="76"/>
      <c r="L216" s="76"/>
      <c r="M216" s="76"/>
      <c r="N216" s="76"/>
      <c r="O216" s="76"/>
      <c r="P216" s="77" t="str">
        <f aca="false">IF(B216="","",IF($G216="NON",0,IF(COUNT(H216:O216)=0,"",IFERROR(ROUND(SUMPRODUCT(H216:O216,$H$8:$O$8)/SUMPRODUCT(ISNUMBER(H216:O216)*$H$8:$O$8),2),""))))</f>
        <v/>
      </c>
      <c r="Q216" s="75"/>
      <c r="R216" s="76"/>
      <c r="S216" s="76"/>
      <c r="T216" s="76"/>
      <c r="U216" s="76"/>
      <c r="V216" s="76"/>
      <c r="W216" s="76"/>
      <c r="X216" s="76"/>
      <c r="Y216" s="76"/>
      <c r="Z216" s="77" t="str">
        <f aca="false">IF(B216="","",IF($Q216="NON",0,IF(COUNT(R216:Y216)=0,"",IFERROR(ROUND(SUMPRODUCT(R216:Y216,$R$8:$Y$8)/SUMPRODUCT(ISNUMBER(R216:Y216)*$R$8:$Y$8),2),""))))</f>
        <v/>
      </c>
      <c r="AA216" s="75"/>
      <c r="AB216" s="76"/>
      <c r="AC216" s="76"/>
      <c r="AD216" s="76"/>
      <c r="AE216" s="76"/>
      <c r="AF216" s="76"/>
      <c r="AG216" s="76"/>
      <c r="AH216" s="76"/>
      <c r="AI216" s="76"/>
      <c r="AJ216" s="77" t="str">
        <f aca="false">IF(B216="","",IF($AA216="NON",0,IF(COUNT(AB216:AI216)=0,"",IFERROR(ROUND(SUMPRODUCT(AB216:AI216,$AB$8:$AI$8)/SUMPRODUCT(ISNUMBER(AB216:AI216)*$AB$8:$AI$8),2),""))))</f>
        <v/>
      </c>
      <c r="AK216" s="75"/>
      <c r="AL216" s="76"/>
      <c r="AM216" s="76"/>
      <c r="AN216" s="76"/>
      <c r="AO216" s="76"/>
      <c r="AP216" s="76"/>
      <c r="AQ216" s="76"/>
      <c r="AR216" s="76"/>
      <c r="AS216" s="76"/>
      <c r="AT216" s="77" t="str">
        <f aca="false">IF(B216="","",IF($AK216="NON",0,IF(COUNT(AL216:AS216)=0,"",IFERROR(ROUND(SUMPRODUCT(AL216:AS216,$AL$8:$AS$8)/SUMPRODUCT(ISNUMBER(AL216:AS216)*$AL$8:$AS$8),2),""))))</f>
        <v/>
      </c>
      <c r="AU216" s="51" t="str">
        <f aca="false">IFERROR(MATCH("CP-207",'REGISTRE ELEVES'!$AI$10:$AI$250,0),"")</f>
        <v/>
      </c>
    </row>
    <row r="217" customFormat="false" ht="15" hidden="false" customHeight="false" outlineLevel="0" collapsed="false">
      <c r="A217" s="73" t="str">
        <f aca="false">IF(B217="","",208)</f>
        <v/>
      </c>
      <c r="B217" s="73" t="str">
        <f aca="false">IF($AU217="","",INDEX('REGISTRE ELEVES'!$B$10:$B$250,$AU217))</f>
        <v/>
      </c>
      <c r="C217" s="74" t="str">
        <f aca="false">IF($AU217="","",INDEX('REGISTRE ELEVES'!$D$10:$D$250,$AU217))</f>
        <v/>
      </c>
      <c r="D217" s="73" t="str">
        <f aca="false">IF($AU217="","",INDEX('REGISTRE ELEVES'!$E$10:$E$250,$AU217))</f>
        <v/>
      </c>
      <c r="E217" s="73" t="str">
        <f aca="false">IF($AU217="","",INDEX('REGISTRE ELEVES'!$F$10:$F$250,$AU217))</f>
        <v/>
      </c>
      <c r="F217" s="73" t="str">
        <f aca="false">IF($AU217="","",INDEX('REGISTRE ELEVES'!$AE$10:$AE$250,$AU217))</f>
        <v/>
      </c>
      <c r="G217" s="75"/>
      <c r="H217" s="76"/>
      <c r="I217" s="76"/>
      <c r="J217" s="76"/>
      <c r="K217" s="76"/>
      <c r="L217" s="76"/>
      <c r="M217" s="76"/>
      <c r="N217" s="76"/>
      <c r="O217" s="76"/>
      <c r="P217" s="77" t="str">
        <f aca="false">IF(B217="","",IF($G217="NON",0,IF(COUNT(H217:O217)=0,"",IFERROR(ROUND(SUMPRODUCT(H217:O217,$H$8:$O$8)/SUMPRODUCT(ISNUMBER(H217:O217)*$H$8:$O$8),2),""))))</f>
        <v/>
      </c>
      <c r="Q217" s="75"/>
      <c r="R217" s="76"/>
      <c r="S217" s="76"/>
      <c r="T217" s="76"/>
      <c r="U217" s="76"/>
      <c r="V217" s="76"/>
      <c r="W217" s="76"/>
      <c r="X217" s="76"/>
      <c r="Y217" s="76"/>
      <c r="Z217" s="77" t="str">
        <f aca="false">IF(B217="","",IF($Q217="NON",0,IF(COUNT(R217:Y217)=0,"",IFERROR(ROUND(SUMPRODUCT(R217:Y217,$R$8:$Y$8)/SUMPRODUCT(ISNUMBER(R217:Y217)*$R$8:$Y$8),2),""))))</f>
        <v/>
      </c>
      <c r="AA217" s="75"/>
      <c r="AB217" s="76"/>
      <c r="AC217" s="76"/>
      <c r="AD217" s="76"/>
      <c r="AE217" s="76"/>
      <c r="AF217" s="76"/>
      <c r="AG217" s="76"/>
      <c r="AH217" s="76"/>
      <c r="AI217" s="76"/>
      <c r="AJ217" s="77" t="str">
        <f aca="false">IF(B217="","",IF($AA217="NON",0,IF(COUNT(AB217:AI217)=0,"",IFERROR(ROUND(SUMPRODUCT(AB217:AI217,$AB$8:$AI$8)/SUMPRODUCT(ISNUMBER(AB217:AI217)*$AB$8:$AI$8),2),""))))</f>
        <v/>
      </c>
      <c r="AK217" s="75"/>
      <c r="AL217" s="76"/>
      <c r="AM217" s="76"/>
      <c r="AN217" s="76"/>
      <c r="AO217" s="76"/>
      <c r="AP217" s="76"/>
      <c r="AQ217" s="76"/>
      <c r="AR217" s="76"/>
      <c r="AS217" s="76"/>
      <c r="AT217" s="77" t="str">
        <f aca="false">IF(B217="","",IF($AK217="NON",0,IF(COUNT(AL217:AS217)=0,"",IFERROR(ROUND(SUMPRODUCT(AL217:AS217,$AL$8:$AS$8)/SUMPRODUCT(ISNUMBER(AL217:AS217)*$AL$8:$AS$8),2),""))))</f>
        <v/>
      </c>
      <c r="AU217" s="51" t="str">
        <f aca="false">IFERROR(MATCH("CP-208",'REGISTRE ELEVES'!$AI$10:$AI$250,0),"")</f>
        <v/>
      </c>
    </row>
    <row r="218" customFormat="false" ht="15" hidden="false" customHeight="false" outlineLevel="0" collapsed="false">
      <c r="A218" s="73" t="str">
        <f aca="false">IF(B218="","",209)</f>
        <v/>
      </c>
      <c r="B218" s="73" t="str">
        <f aca="false">IF($AU218="","",INDEX('REGISTRE ELEVES'!$B$10:$B$250,$AU218))</f>
        <v/>
      </c>
      <c r="C218" s="74" t="str">
        <f aca="false">IF($AU218="","",INDEX('REGISTRE ELEVES'!$D$10:$D$250,$AU218))</f>
        <v/>
      </c>
      <c r="D218" s="73" t="str">
        <f aca="false">IF($AU218="","",INDEX('REGISTRE ELEVES'!$E$10:$E$250,$AU218))</f>
        <v/>
      </c>
      <c r="E218" s="73" t="str">
        <f aca="false">IF($AU218="","",INDEX('REGISTRE ELEVES'!$F$10:$F$250,$AU218))</f>
        <v/>
      </c>
      <c r="F218" s="73" t="str">
        <f aca="false">IF($AU218="","",INDEX('REGISTRE ELEVES'!$AE$10:$AE$250,$AU218))</f>
        <v/>
      </c>
      <c r="G218" s="75"/>
      <c r="H218" s="76"/>
      <c r="I218" s="76"/>
      <c r="J218" s="76"/>
      <c r="K218" s="76"/>
      <c r="L218" s="76"/>
      <c r="M218" s="76"/>
      <c r="N218" s="76"/>
      <c r="O218" s="76"/>
      <c r="P218" s="77" t="str">
        <f aca="false">IF(B218="","",IF($G218="NON",0,IF(COUNT(H218:O218)=0,"",IFERROR(ROUND(SUMPRODUCT(H218:O218,$H$8:$O$8)/SUMPRODUCT(ISNUMBER(H218:O218)*$H$8:$O$8),2),""))))</f>
        <v/>
      </c>
      <c r="Q218" s="75"/>
      <c r="R218" s="76"/>
      <c r="S218" s="76"/>
      <c r="T218" s="76"/>
      <c r="U218" s="76"/>
      <c r="V218" s="76"/>
      <c r="W218" s="76"/>
      <c r="X218" s="76"/>
      <c r="Y218" s="76"/>
      <c r="Z218" s="77" t="str">
        <f aca="false">IF(B218="","",IF($Q218="NON",0,IF(COUNT(R218:Y218)=0,"",IFERROR(ROUND(SUMPRODUCT(R218:Y218,$R$8:$Y$8)/SUMPRODUCT(ISNUMBER(R218:Y218)*$R$8:$Y$8),2),""))))</f>
        <v/>
      </c>
      <c r="AA218" s="75"/>
      <c r="AB218" s="76"/>
      <c r="AC218" s="76"/>
      <c r="AD218" s="76"/>
      <c r="AE218" s="76"/>
      <c r="AF218" s="76"/>
      <c r="AG218" s="76"/>
      <c r="AH218" s="76"/>
      <c r="AI218" s="76"/>
      <c r="AJ218" s="77" t="str">
        <f aca="false">IF(B218="","",IF($AA218="NON",0,IF(COUNT(AB218:AI218)=0,"",IFERROR(ROUND(SUMPRODUCT(AB218:AI218,$AB$8:$AI$8)/SUMPRODUCT(ISNUMBER(AB218:AI218)*$AB$8:$AI$8),2),""))))</f>
        <v/>
      </c>
      <c r="AK218" s="75"/>
      <c r="AL218" s="76"/>
      <c r="AM218" s="76"/>
      <c r="AN218" s="76"/>
      <c r="AO218" s="76"/>
      <c r="AP218" s="76"/>
      <c r="AQ218" s="76"/>
      <c r="AR218" s="76"/>
      <c r="AS218" s="76"/>
      <c r="AT218" s="77" t="str">
        <f aca="false">IF(B218="","",IF($AK218="NON",0,IF(COUNT(AL218:AS218)=0,"",IFERROR(ROUND(SUMPRODUCT(AL218:AS218,$AL$8:$AS$8)/SUMPRODUCT(ISNUMBER(AL218:AS218)*$AL$8:$AS$8),2),""))))</f>
        <v/>
      </c>
      <c r="AU218" s="51" t="str">
        <f aca="false">IFERROR(MATCH("CP-209",'REGISTRE ELEVES'!$AI$10:$AI$250,0),"")</f>
        <v/>
      </c>
    </row>
    <row r="219" customFormat="false" ht="15" hidden="false" customHeight="false" outlineLevel="0" collapsed="false">
      <c r="A219" s="73" t="str">
        <f aca="false">IF(B219="","",210)</f>
        <v/>
      </c>
      <c r="B219" s="73" t="str">
        <f aca="false">IF($AU219="","",INDEX('REGISTRE ELEVES'!$B$10:$B$250,$AU219))</f>
        <v/>
      </c>
      <c r="C219" s="74" t="str">
        <f aca="false">IF($AU219="","",INDEX('REGISTRE ELEVES'!$D$10:$D$250,$AU219))</f>
        <v/>
      </c>
      <c r="D219" s="73" t="str">
        <f aca="false">IF($AU219="","",INDEX('REGISTRE ELEVES'!$E$10:$E$250,$AU219))</f>
        <v/>
      </c>
      <c r="E219" s="73" t="str">
        <f aca="false">IF($AU219="","",INDEX('REGISTRE ELEVES'!$F$10:$F$250,$AU219))</f>
        <v/>
      </c>
      <c r="F219" s="73" t="str">
        <f aca="false">IF($AU219="","",INDEX('REGISTRE ELEVES'!$AE$10:$AE$250,$AU219))</f>
        <v/>
      </c>
      <c r="G219" s="75"/>
      <c r="H219" s="76"/>
      <c r="I219" s="76"/>
      <c r="J219" s="76"/>
      <c r="K219" s="76"/>
      <c r="L219" s="76"/>
      <c r="M219" s="76"/>
      <c r="N219" s="76"/>
      <c r="O219" s="76"/>
      <c r="P219" s="77" t="str">
        <f aca="false">IF(B219="","",IF($G219="NON",0,IF(COUNT(H219:O219)=0,"",IFERROR(ROUND(SUMPRODUCT(H219:O219,$H$8:$O$8)/SUMPRODUCT(ISNUMBER(H219:O219)*$H$8:$O$8),2),""))))</f>
        <v/>
      </c>
      <c r="Q219" s="75"/>
      <c r="R219" s="76"/>
      <c r="S219" s="76"/>
      <c r="T219" s="76"/>
      <c r="U219" s="76"/>
      <c r="V219" s="76"/>
      <c r="W219" s="76"/>
      <c r="X219" s="76"/>
      <c r="Y219" s="76"/>
      <c r="Z219" s="77" t="str">
        <f aca="false">IF(B219="","",IF($Q219="NON",0,IF(COUNT(R219:Y219)=0,"",IFERROR(ROUND(SUMPRODUCT(R219:Y219,$R$8:$Y$8)/SUMPRODUCT(ISNUMBER(R219:Y219)*$R$8:$Y$8),2),""))))</f>
        <v/>
      </c>
      <c r="AA219" s="75"/>
      <c r="AB219" s="76"/>
      <c r="AC219" s="76"/>
      <c r="AD219" s="76"/>
      <c r="AE219" s="76"/>
      <c r="AF219" s="76"/>
      <c r="AG219" s="76"/>
      <c r="AH219" s="76"/>
      <c r="AI219" s="76"/>
      <c r="AJ219" s="77" t="str">
        <f aca="false">IF(B219="","",IF($AA219="NON",0,IF(COUNT(AB219:AI219)=0,"",IFERROR(ROUND(SUMPRODUCT(AB219:AI219,$AB$8:$AI$8)/SUMPRODUCT(ISNUMBER(AB219:AI219)*$AB$8:$AI$8),2),""))))</f>
        <v/>
      </c>
      <c r="AK219" s="75"/>
      <c r="AL219" s="76"/>
      <c r="AM219" s="76"/>
      <c r="AN219" s="76"/>
      <c r="AO219" s="76"/>
      <c r="AP219" s="76"/>
      <c r="AQ219" s="76"/>
      <c r="AR219" s="76"/>
      <c r="AS219" s="76"/>
      <c r="AT219" s="77" t="str">
        <f aca="false">IF(B219="","",IF($AK219="NON",0,IF(COUNT(AL219:AS219)=0,"",IFERROR(ROUND(SUMPRODUCT(AL219:AS219,$AL$8:$AS$8)/SUMPRODUCT(ISNUMBER(AL219:AS219)*$AL$8:$AS$8),2),""))))</f>
        <v/>
      </c>
      <c r="AU219" s="51" t="str">
        <f aca="false">IFERROR(MATCH("CP-210",'REGISTRE ELEVES'!$AI$10:$AI$250,0),"")</f>
        <v/>
      </c>
    </row>
    <row r="220" customFormat="false" ht="15" hidden="false" customHeight="false" outlineLevel="0" collapsed="false">
      <c r="A220" s="73" t="str">
        <f aca="false">IF(B220="","",211)</f>
        <v/>
      </c>
      <c r="B220" s="73" t="str">
        <f aca="false">IF($AU220="","",INDEX('REGISTRE ELEVES'!$B$10:$B$250,$AU220))</f>
        <v/>
      </c>
      <c r="C220" s="74" t="str">
        <f aca="false">IF($AU220="","",INDEX('REGISTRE ELEVES'!$D$10:$D$250,$AU220))</f>
        <v/>
      </c>
      <c r="D220" s="73" t="str">
        <f aca="false">IF($AU220="","",INDEX('REGISTRE ELEVES'!$E$10:$E$250,$AU220))</f>
        <v/>
      </c>
      <c r="E220" s="73" t="str">
        <f aca="false">IF($AU220="","",INDEX('REGISTRE ELEVES'!$F$10:$F$250,$AU220))</f>
        <v/>
      </c>
      <c r="F220" s="73" t="str">
        <f aca="false">IF($AU220="","",INDEX('REGISTRE ELEVES'!$AE$10:$AE$250,$AU220))</f>
        <v/>
      </c>
      <c r="G220" s="75"/>
      <c r="H220" s="76"/>
      <c r="I220" s="76"/>
      <c r="J220" s="76"/>
      <c r="K220" s="76"/>
      <c r="L220" s="76"/>
      <c r="M220" s="76"/>
      <c r="N220" s="76"/>
      <c r="O220" s="76"/>
      <c r="P220" s="77" t="str">
        <f aca="false">IF(B220="","",IF($G220="NON",0,IF(COUNT(H220:O220)=0,"",IFERROR(ROUND(SUMPRODUCT(H220:O220,$H$8:$O$8)/SUMPRODUCT(ISNUMBER(H220:O220)*$H$8:$O$8),2),""))))</f>
        <v/>
      </c>
      <c r="Q220" s="75"/>
      <c r="R220" s="76"/>
      <c r="S220" s="76"/>
      <c r="T220" s="76"/>
      <c r="U220" s="76"/>
      <c r="V220" s="76"/>
      <c r="W220" s="76"/>
      <c r="X220" s="76"/>
      <c r="Y220" s="76"/>
      <c r="Z220" s="77" t="str">
        <f aca="false">IF(B220="","",IF($Q220="NON",0,IF(COUNT(R220:Y220)=0,"",IFERROR(ROUND(SUMPRODUCT(R220:Y220,$R$8:$Y$8)/SUMPRODUCT(ISNUMBER(R220:Y220)*$R$8:$Y$8),2),""))))</f>
        <v/>
      </c>
      <c r="AA220" s="75"/>
      <c r="AB220" s="76"/>
      <c r="AC220" s="76"/>
      <c r="AD220" s="76"/>
      <c r="AE220" s="76"/>
      <c r="AF220" s="76"/>
      <c r="AG220" s="76"/>
      <c r="AH220" s="76"/>
      <c r="AI220" s="76"/>
      <c r="AJ220" s="77" t="str">
        <f aca="false">IF(B220="","",IF($AA220="NON",0,IF(COUNT(AB220:AI220)=0,"",IFERROR(ROUND(SUMPRODUCT(AB220:AI220,$AB$8:$AI$8)/SUMPRODUCT(ISNUMBER(AB220:AI220)*$AB$8:$AI$8),2),""))))</f>
        <v/>
      </c>
      <c r="AK220" s="75"/>
      <c r="AL220" s="76"/>
      <c r="AM220" s="76"/>
      <c r="AN220" s="76"/>
      <c r="AO220" s="76"/>
      <c r="AP220" s="76"/>
      <c r="AQ220" s="76"/>
      <c r="AR220" s="76"/>
      <c r="AS220" s="76"/>
      <c r="AT220" s="77" t="str">
        <f aca="false">IF(B220="","",IF($AK220="NON",0,IF(COUNT(AL220:AS220)=0,"",IFERROR(ROUND(SUMPRODUCT(AL220:AS220,$AL$8:$AS$8)/SUMPRODUCT(ISNUMBER(AL220:AS220)*$AL$8:$AS$8),2),""))))</f>
        <v/>
      </c>
      <c r="AU220" s="51" t="str">
        <f aca="false">IFERROR(MATCH("CP-211",'REGISTRE ELEVES'!$AI$10:$AI$250,0),"")</f>
        <v/>
      </c>
    </row>
    <row r="221" customFormat="false" ht="15" hidden="false" customHeight="false" outlineLevel="0" collapsed="false">
      <c r="A221" s="73" t="str">
        <f aca="false">IF(B221="","",212)</f>
        <v/>
      </c>
      <c r="B221" s="73" t="str">
        <f aca="false">IF($AU221="","",INDEX('REGISTRE ELEVES'!$B$10:$B$250,$AU221))</f>
        <v/>
      </c>
      <c r="C221" s="74" t="str">
        <f aca="false">IF($AU221="","",INDEX('REGISTRE ELEVES'!$D$10:$D$250,$AU221))</f>
        <v/>
      </c>
      <c r="D221" s="73" t="str">
        <f aca="false">IF($AU221="","",INDEX('REGISTRE ELEVES'!$E$10:$E$250,$AU221))</f>
        <v/>
      </c>
      <c r="E221" s="73" t="str">
        <f aca="false">IF($AU221="","",INDEX('REGISTRE ELEVES'!$F$10:$F$250,$AU221))</f>
        <v/>
      </c>
      <c r="F221" s="73" t="str">
        <f aca="false">IF($AU221="","",INDEX('REGISTRE ELEVES'!$AE$10:$AE$250,$AU221))</f>
        <v/>
      </c>
      <c r="G221" s="75"/>
      <c r="H221" s="76"/>
      <c r="I221" s="76"/>
      <c r="J221" s="76"/>
      <c r="K221" s="76"/>
      <c r="L221" s="76"/>
      <c r="M221" s="76"/>
      <c r="N221" s="76"/>
      <c r="O221" s="76"/>
      <c r="P221" s="77" t="str">
        <f aca="false">IF(B221="","",IF($G221="NON",0,IF(COUNT(H221:O221)=0,"",IFERROR(ROUND(SUMPRODUCT(H221:O221,$H$8:$O$8)/SUMPRODUCT(ISNUMBER(H221:O221)*$H$8:$O$8),2),""))))</f>
        <v/>
      </c>
      <c r="Q221" s="75"/>
      <c r="R221" s="76"/>
      <c r="S221" s="76"/>
      <c r="T221" s="76"/>
      <c r="U221" s="76"/>
      <c r="V221" s="76"/>
      <c r="W221" s="76"/>
      <c r="X221" s="76"/>
      <c r="Y221" s="76"/>
      <c r="Z221" s="77" t="str">
        <f aca="false">IF(B221="","",IF($Q221="NON",0,IF(COUNT(R221:Y221)=0,"",IFERROR(ROUND(SUMPRODUCT(R221:Y221,$R$8:$Y$8)/SUMPRODUCT(ISNUMBER(R221:Y221)*$R$8:$Y$8),2),""))))</f>
        <v/>
      </c>
      <c r="AA221" s="75"/>
      <c r="AB221" s="76"/>
      <c r="AC221" s="76"/>
      <c r="AD221" s="76"/>
      <c r="AE221" s="76"/>
      <c r="AF221" s="76"/>
      <c r="AG221" s="76"/>
      <c r="AH221" s="76"/>
      <c r="AI221" s="76"/>
      <c r="AJ221" s="77" t="str">
        <f aca="false">IF(B221="","",IF($AA221="NON",0,IF(COUNT(AB221:AI221)=0,"",IFERROR(ROUND(SUMPRODUCT(AB221:AI221,$AB$8:$AI$8)/SUMPRODUCT(ISNUMBER(AB221:AI221)*$AB$8:$AI$8),2),""))))</f>
        <v/>
      </c>
      <c r="AK221" s="75"/>
      <c r="AL221" s="76"/>
      <c r="AM221" s="76"/>
      <c r="AN221" s="76"/>
      <c r="AO221" s="76"/>
      <c r="AP221" s="76"/>
      <c r="AQ221" s="76"/>
      <c r="AR221" s="76"/>
      <c r="AS221" s="76"/>
      <c r="AT221" s="77" t="str">
        <f aca="false">IF(B221="","",IF($AK221="NON",0,IF(COUNT(AL221:AS221)=0,"",IFERROR(ROUND(SUMPRODUCT(AL221:AS221,$AL$8:$AS$8)/SUMPRODUCT(ISNUMBER(AL221:AS221)*$AL$8:$AS$8),2),""))))</f>
        <v/>
      </c>
      <c r="AU221" s="51" t="str">
        <f aca="false">IFERROR(MATCH("CP-212",'REGISTRE ELEVES'!$AI$10:$AI$250,0),"")</f>
        <v/>
      </c>
    </row>
    <row r="222" customFormat="false" ht="15" hidden="false" customHeight="false" outlineLevel="0" collapsed="false">
      <c r="A222" s="73" t="str">
        <f aca="false">IF(B222="","",213)</f>
        <v/>
      </c>
      <c r="B222" s="73" t="str">
        <f aca="false">IF($AU222="","",INDEX('REGISTRE ELEVES'!$B$10:$B$250,$AU222))</f>
        <v/>
      </c>
      <c r="C222" s="74" t="str">
        <f aca="false">IF($AU222="","",INDEX('REGISTRE ELEVES'!$D$10:$D$250,$AU222))</f>
        <v/>
      </c>
      <c r="D222" s="73" t="str">
        <f aca="false">IF($AU222="","",INDEX('REGISTRE ELEVES'!$E$10:$E$250,$AU222))</f>
        <v/>
      </c>
      <c r="E222" s="73" t="str">
        <f aca="false">IF($AU222="","",INDEX('REGISTRE ELEVES'!$F$10:$F$250,$AU222))</f>
        <v/>
      </c>
      <c r="F222" s="73" t="str">
        <f aca="false">IF($AU222="","",INDEX('REGISTRE ELEVES'!$AE$10:$AE$250,$AU222))</f>
        <v/>
      </c>
      <c r="G222" s="75"/>
      <c r="H222" s="76"/>
      <c r="I222" s="76"/>
      <c r="J222" s="76"/>
      <c r="K222" s="76"/>
      <c r="L222" s="76"/>
      <c r="M222" s="76"/>
      <c r="N222" s="76"/>
      <c r="O222" s="76"/>
      <c r="P222" s="77" t="str">
        <f aca="false">IF(B222="","",IF($G222="NON",0,IF(COUNT(H222:O222)=0,"",IFERROR(ROUND(SUMPRODUCT(H222:O222,$H$8:$O$8)/SUMPRODUCT(ISNUMBER(H222:O222)*$H$8:$O$8),2),""))))</f>
        <v/>
      </c>
      <c r="Q222" s="75"/>
      <c r="R222" s="76"/>
      <c r="S222" s="76"/>
      <c r="T222" s="76"/>
      <c r="U222" s="76"/>
      <c r="V222" s="76"/>
      <c r="W222" s="76"/>
      <c r="X222" s="76"/>
      <c r="Y222" s="76"/>
      <c r="Z222" s="77" t="str">
        <f aca="false">IF(B222="","",IF($Q222="NON",0,IF(COUNT(R222:Y222)=0,"",IFERROR(ROUND(SUMPRODUCT(R222:Y222,$R$8:$Y$8)/SUMPRODUCT(ISNUMBER(R222:Y222)*$R$8:$Y$8),2),""))))</f>
        <v/>
      </c>
      <c r="AA222" s="75"/>
      <c r="AB222" s="76"/>
      <c r="AC222" s="76"/>
      <c r="AD222" s="76"/>
      <c r="AE222" s="76"/>
      <c r="AF222" s="76"/>
      <c r="AG222" s="76"/>
      <c r="AH222" s="76"/>
      <c r="AI222" s="76"/>
      <c r="AJ222" s="77" t="str">
        <f aca="false">IF(B222="","",IF($AA222="NON",0,IF(COUNT(AB222:AI222)=0,"",IFERROR(ROUND(SUMPRODUCT(AB222:AI222,$AB$8:$AI$8)/SUMPRODUCT(ISNUMBER(AB222:AI222)*$AB$8:$AI$8),2),""))))</f>
        <v/>
      </c>
      <c r="AK222" s="75"/>
      <c r="AL222" s="76"/>
      <c r="AM222" s="76"/>
      <c r="AN222" s="76"/>
      <c r="AO222" s="76"/>
      <c r="AP222" s="76"/>
      <c r="AQ222" s="76"/>
      <c r="AR222" s="76"/>
      <c r="AS222" s="76"/>
      <c r="AT222" s="77" t="str">
        <f aca="false">IF(B222="","",IF($AK222="NON",0,IF(COUNT(AL222:AS222)=0,"",IFERROR(ROUND(SUMPRODUCT(AL222:AS222,$AL$8:$AS$8)/SUMPRODUCT(ISNUMBER(AL222:AS222)*$AL$8:$AS$8),2),""))))</f>
        <v/>
      </c>
      <c r="AU222" s="51" t="str">
        <f aca="false">IFERROR(MATCH("CP-213",'REGISTRE ELEVES'!$AI$10:$AI$250,0),"")</f>
        <v/>
      </c>
    </row>
    <row r="223" customFormat="false" ht="15" hidden="false" customHeight="false" outlineLevel="0" collapsed="false">
      <c r="A223" s="73" t="str">
        <f aca="false">IF(B223="","",214)</f>
        <v/>
      </c>
      <c r="B223" s="73" t="str">
        <f aca="false">IF($AU223="","",INDEX('REGISTRE ELEVES'!$B$10:$B$250,$AU223))</f>
        <v/>
      </c>
      <c r="C223" s="74" t="str">
        <f aca="false">IF($AU223="","",INDEX('REGISTRE ELEVES'!$D$10:$D$250,$AU223))</f>
        <v/>
      </c>
      <c r="D223" s="73" t="str">
        <f aca="false">IF($AU223="","",INDEX('REGISTRE ELEVES'!$E$10:$E$250,$AU223))</f>
        <v/>
      </c>
      <c r="E223" s="73" t="str">
        <f aca="false">IF($AU223="","",INDEX('REGISTRE ELEVES'!$F$10:$F$250,$AU223))</f>
        <v/>
      </c>
      <c r="F223" s="73" t="str">
        <f aca="false">IF($AU223="","",INDEX('REGISTRE ELEVES'!$AE$10:$AE$250,$AU223))</f>
        <v/>
      </c>
      <c r="G223" s="75"/>
      <c r="H223" s="76"/>
      <c r="I223" s="76"/>
      <c r="J223" s="76"/>
      <c r="K223" s="76"/>
      <c r="L223" s="76"/>
      <c r="M223" s="76"/>
      <c r="N223" s="76"/>
      <c r="O223" s="76"/>
      <c r="P223" s="77" t="str">
        <f aca="false">IF(B223="","",IF($G223="NON",0,IF(COUNT(H223:O223)=0,"",IFERROR(ROUND(SUMPRODUCT(H223:O223,$H$8:$O$8)/SUMPRODUCT(ISNUMBER(H223:O223)*$H$8:$O$8),2),""))))</f>
        <v/>
      </c>
      <c r="Q223" s="75"/>
      <c r="R223" s="76"/>
      <c r="S223" s="76"/>
      <c r="T223" s="76"/>
      <c r="U223" s="76"/>
      <c r="V223" s="76"/>
      <c r="W223" s="76"/>
      <c r="X223" s="76"/>
      <c r="Y223" s="76"/>
      <c r="Z223" s="77" t="str">
        <f aca="false">IF(B223="","",IF($Q223="NON",0,IF(COUNT(R223:Y223)=0,"",IFERROR(ROUND(SUMPRODUCT(R223:Y223,$R$8:$Y$8)/SUMPRODUCT(ISNUMBER(R223:Y223)*$R$8:$Y$8),2),""))))</f>
        <v/>
      </c>
      <c r="AA223" s="75"/>
      <c r="AB223" s="76"/>
      <c r="AC223" s="76"/>
      <c r="AD223" s="76"/>
      <c r="AE223" s="76"/>
      <c r="AF223" s="76"/>
      <c r="AG223" s="76"/>
      <c r="AH223" s="76"/>
      <c r="AI223" s="76"/>
      <c r="AJ223" s="77" t="str">
        <f aca="false">IF(B223="","",IF($AA223="NON",0,IF(COUNT(AB223:AI223)=0,"",IFERROR(ROUND(SUMPRODUCT(AB223:AI223,$AB$8:$AI$8)/SUMPRODUCT(ISNUMBER(AB223:AI223)*$AB$8:$AI$8),2),""))))</f>
        <v/>
      </c>
      <c r="AK223" s="75"/>
      <c r="AL223" s="76"/>
      <c r="AM223" s="76"/>
      <c r="AN223" s="76"/>
      <c r="AO223" s="76"/>
      <c r="AP223" s="76"/>
      <c r="AQ223" s="76"/>
      <c r="AR223" s="76"/>
      <c r="AS223" s="76"/>
      <c r="AT223" s="77" t="str">
        <f aca="false">IF(B223="","",IF($AK223="NON",0,IF(COUNT(AL223:AS223)=0,"",IFERROR(ROUND(SUMPRODUCT(AL223:AS223,$AL$8:$AS$8)/SUMPRODUCT(ISNUMBER(AL223:AS223)*$AL$8:$AS$8),2),""))))</f>
        <v/>
      </c>
      <c r="AU223" s="51" t="str">
        <f aca="false">IFERROR(MATCH("CP-214",'REGISTRE ELEVES'!$AI$10:$AI$250,0),"")</f>
        <v/>
      </c>
    </row>
    <row r="224" customFormat="false" ht="15" hidden="false" customHeight="false" outlineLevel="0" collapsed="false">
      <c r="A224" s="73" t="str">
        <f aca="false">IF(B224="","",215)</f>
        <v/>
      </c>
      <c r="B224" s="73" t="str">
        <f aca="false">IF($AU224="","",INDEX('REGISTRE ELEVES'!$B$10:$B$250,$AU224))</f>
        <v/>
      </c>
      <c r="C224" s="74" t="str">
        <f aca="false">IF($AU224="","",INDEX('REGISTRE ELEVES'!$D$10:$D$250,$AU224))</f>
        <v/>
      </c>
      <c r="D224" s="73" t="str">
        <f aca="false">IF($AU224="","",INDEX('REGISTRE ELEVES'!$E$10:$E$250,$AU224))</f>
        <v/>
      </c>
      <c r="E224" s="73" t="str">
        <f aca="false">IF($AU224="","",INDEX('REGISTRE ELEVES'!$F$10:$F$250,$AU224))</f>
        <v/>
      </c>
      <c r="F224" s="73" t="str">
        <f aca="false">IF($AU224="","",INDEX('REGISTRE ELEVES'!$AE$10:$AE$250,$AU224))</f>
        <v/>
      </c>
      <c r="G224" s="75"/>
      <c r="H224" s="76"/>
      <c r="I224" s="76"/>
      <c r="J224" s="76"/>
      <c r="K224" s="76"/>
      <c r="L224" s="76"/>
      <c r="M224" s="76"/>
      <c r="N224" s="76"/>
      <c r="O224" s="76"/>
      <c r="P224" s="77" t="str">
        <f aca="false">IF(B224="","",IF($G224="NON",0,IF(COUNT(H224:O224)=0,"",IFERROR(ROUND(SUMPRODUCT(H224:O224,$H$8:$O$8)/SUMPRODUCT(ISNUMBER(H224:O224)*$H$8:$O$8),2),""))))</f>
        <v/>
      </c>
      <c r="Q224" s="75"/>
      <c r="R224" s="76"/>
      <c r="S224" s="76"/>
      <c r="T224" s="76"/>
      <c r="U224" s="76"/>
      <c r="V224" s="76"/>
      <c r="W224" s="76"/>
      <c r="X224" s="76"/>
      <c r="Y224" s="76"/>
      <c r="Z224" s="77" t="str">
        <f aca="false">IF(B224="","",IF($Q224="NON",0,IF(COUNT(R224:Y224)=0,"",IFERROR(ROUND(SUMPRODUCT(R224:Y224,$R$8:$Y$8)/SUMPRODUCT(ISNUMBER(R224:Y224)*$R$8:$Y$8),2),""))))</f>
        <v/>
      </c>
      <c r="AA224" s="75"/>
      <c r="AB224" s="76"/>
      <c r="AC224" s="76"/>
      <c r="AD224" s="76"/>
      <c r="AE224" s="76"/>
      <c r="AF224" s="76"/>
      <c r="AG224" s="76"/>
      <c r="AH224" s="76"/>
      <c r="AI224" s="76"/>
      <c r="AJ224" s="77" t="str">
        <f aca="false">IF(B224="","",IF($AA224="NON",0,IF(COUNT(AB224:AI224)=0,"",IFERROR(ROUND(SUMPRODUCT(AB224:AI224,$AB$8:$AI$8)/SUMPRODUCT(ISNUMBER(AB224:AI224)*$AB$8:$AI$8),2),""))))</f>
        <v/>
      </c>
      <c r="AK224" s="75"/>
      <c r="AL224" s="76"/>
      <c r="AM224" s="76"/>
      <c r="AN224" s="76"/>
      <c r="AO224" s="76"/>
      <c r="AP224" s="76"/>
      <c r="AQ224" s="76"/>
      <c r="AR224" s="76"/>
      <c r="AS224" s="76"/>
      <c r="AT224" s="77" t="str">
        <f aca="false">IF(B224="","",IF($AK224="NON",0,IF(COUNT(AL224:AS224)=0,"",IFERROR(ROUND(SUMPRODUCT(AL224:AS224,$AL$8:$AS$8)/SUMPRODUCT(ISNUMBER(AL224:AS224)*$AL$8:$AS$8),2),""))))</f>
        <v/>
      </c>
      <c r="AU224" s="51" t="str">
        <f aca="false">IFERROR(MATCH("CP-215",'REGISTRE ELEVES'!$AI$10:$AI$250,0),"")</f>
        <v/>
      </c>
    </row>
    <row r="225" customFormat="false" ht="15" hidden="false" customHeight="false" outlineLevel="0" collapsed="false">
      <c r="A225" s="73" t="str">
        <f aca="false">IF(B225="","",216)</f>
        <v/>
      </c>
      <c r="B225" s="73" t="str">
        <f aca="false">IF($AU225="","",INDEX('REGISTRE ELEVES'!$B$10:$B$250,$AU225))</f>
        <v/>
      </c>
      <c r="C225" s="74" t="str">
        <f aca="false">IF($AU225="","",INDEX('REGISTRE ELEVES'!$D$10:$D$250,$AU225))</f>
        <v/>
      </c>
      <c r="D225" s="73" t="str">
        <f aca="false">IF($AU225="","",INDEX('REGISTRE ELEVES'!$E$10:$E$250,$AU225))</f>
        <v/>
      </c>
      <c r="E225" s="73" t="str">
        <f aca="false">IF($AU225="","",INDEX('REGISTRE ELEVES'!$F$10:$F$250,$AU225))</f>
        <v/>
      </c>
      <c r="F225" s="73" t="str">
        <f aca="false">IF($AU225="","",INDEX('REGISTRE ELEVES'!$AE$10:$AE$250,$AU225))</f>
        <v/>
      </c>
      <c r="G225" s="75"/>
      <c r="H225" s="76"/>
      <c r="I225" s="76"/>
      <c r="J225" s="76"/>
      <c r="K225" s="76"/>
      <c r="L225" s="76"/>
      <c r="M225" s="76"/>
      <c r="N225" s="76"/>
      <c r="O225" s="76"/>
      <c r="P225" s="77" t="str">
        <f aca="false">IF(B225="","",IF($G225="NON",0,IF(COUNT(H225:O225)=0,"",IFERROR(ROUND(SUMPRODUCT(H225:O225,$H$8:$O$8)/SUMPRODUCT(ISNUMBER(H225:O225)*$H$8:$O$8),2),""))))</f>
        <v/>
      </c>
      <c r="Q225" s="75"/>
      <c r="R225" s="76"/>
      <c r="S225" s="76"/>
      <c r="T225" s="76"/>
      <c r="U225" s="76"/>
      <c r="V225" s="76"/>
      <c r="W225" s="76"/>
      <c r="X225" s="76"/>
      <c r="Y225" s="76"/>
      <c r="Z225" s="77" t="str">
        <f aca="false">IF(B225="","",IF($Q225="NON",0,IF(COUNT(R225:Y225)=0,"",IFERROR(ROUND(SUMPRODUCT(R225:Y225,$R$8:$Y$8)/SUMPRODUCT(ISNUMBER(R225:Y225)*$R$8:$Y$8),2),""))))</f>
        <v/>
      </c>
      <c r="AA225" s="75"/>
      <c r="AB225" s="76"/>
      <c r="AC225" s="76"/>
      <c r="AD225" s="76"/>
      <c r="AE225" s="76"/>
      <c r="AF225" s="76"/>
      <c r="AG225" s="76"/>
      <c r="AH225" s="76"/>
      <c r="AI225" s="76"/>
      <c r="AJ225" s="77" t="str">
        <f aca="false">IF(B225="","",IF($AA225="NON",0,IF(COUNT(AB225:AI225)=0,"",IFERROR(ROUND(SUMPRODUCT(AB225:AI225,$AB$8:$AI$8)/SUMPRODUCT(ISNUMBER(AB225:AI225)*$AB$8:$AI$8),2),""))))</f>
        <v/>
      </c>
      <c r="AK225" s="75"/>
      <c r="AL225" s="76"/>
      <c r="AM225" s="76"/>
      <c r="AN225" s="76"/>
      <c r="AO225" s="76"/>
      <c r="AP225" s="76"/>
      <c r="AQ225" s="76"/>
      <c r="AR225" s="76"/>
      <c r="AS225" s="76"/>
      <c r="AT225" s="77" t="str">
        <f aca="false">IF(B225="","",IF($AK225="NON",0,IF(COUNT(AL225:AS225)=0,"",IFERROR(ROUND(SUMPRODUCT(AL225:AS225,$AL$8:$AS$8)/SUMPRODUCT(ISNUMBER(AL225:AS225)*$AL$8:$AS$8),2),""))))</f>
        <v/>
      </c>
      <c r="AU225" s="51" t="str">
        <f aca="false">IFERROR(MATCH("CP-216",'REGISTRE ELEVES'!$AI$10:$AI$250,0),"")</f>
        <v/>
      </c>
    </row>
    <row r="226" customFormat="false" ht="15" hidden="false" customHeight="false" outlineLevel="0" collapsed="false">
      <c r="A226" s="73" t="str">
        <f aca="false">IF(B226="","",217)</f>
        <v/>
      </c>
      <c r="B226" s="73" t="str">
        <f aca="false">IF($AU226="","",INDEX('REGISTRE ELEVES'!$B$10:$B$250,$AU226))</f>
        <v/>
      </c>
      <c r="C226" s="74" t="str">
        <f aca="false">IF($AU226="","",INDEX('REGISTRE ELEVES'!$D$10:$D$250,$AU226))</f>
        <v/>
      </c>
      <c r="D226" s="73" t="str">
        <f aca="false">IF($AU226="","",INDEX('REGISTRE ELEVES'!$E$10:$E$250,$AU226))</f>
        <v/>
      </c>
      <c r="E226" s="73" t="str">
        <f aca="false">IF($AU226="","",INDEX('REGISTRE ELEVES'!$F$10:$F$250,$AU226))</f>
        <v/>
      </c>
      <c r="F226" s="73" t="str">
        <f aca="false">IF($AU226="","",INDEX('REGISTRE ELEVES'!$AE$10:$AE$250,$AU226))</f>
        <v/>
      </c>
      <c r="G226" s="75"/>
      <c r="H226" s="76"/>
      <c r="I226" s="76"/>
      <c r="J226" s="76"/>
      <c r="K226" s="76"/>
      <c r="L226" s="76"/>
      <c r="M226" s="76"/>
      <c r="N226" s="76"/>
      <c r="O226" s="76"/>
      <c r="P226" s="77" t="str">
        <f aca="false">IF(B226="","",IF($G226="NON",0,IF(COUNT(H226:O226)=0,"",IFERROR(ROUND(SUMPRODUCT(H226:O226,$H$8:$O$8)/SUMPRODUCT(ISNUMBER(H226:O226)*$H$8:$O$8),2),""))))</f>
        <v/>
      </c>
      <c r="Q226" s="75"/>
      <c r="R226" s="76"/>
      <c r="S226" s="76"/>
      <c r="T226" s="76"/>
      <c r="U226" s="76"/>
      <c r="V226" s="76"/>
      <c r="W226" s="76"/>
      <c r="X226" s="76"/>
      <c r="Y226" s="76"/>
      <c r="Z226" s="77" t="str">
        <f aca="false">IF(B226="","",IF($Q226="NON",0,IF(COUNT(R226:Y226)=0,"",IFERROR(ROUND(SUMPRODUCT(R226:Y226,$R$8:$Y$8)/SUMPRODUCT(ISNUMBER(R226:Y226)*$R$8:$Y$8),2),""))))</f>
        <v/>
      </c>
      <c r="AA226" s="75"/>
      <c r="AB226" s="76"/>
      <c r="AC226" s="76"/>
      <c r="AD226" s="76"/>
      <c r="AE226" s="76"/>
      <c r="AF226" s="76"/>
      <c r="AG226" s="76"/>
      <c r="AH226" s="76"/>
      <c r="AI226" s="76"/>
      <c r="AJ226" s="77" t="str">
        <f aca="false">IF(B226="","",IF($AA226="NON",0,IF(COUNT(AB226:AI226)=0,"",IFERROR(ROUND(SUMPRODUCT(AB226:AI226,$AB$8:$AI$8)/SUMPRODUCT(ISNUMBER(AB226:AI226)*$AB$8:$AI$8),2),""))))</f>
        <v/>
      </c>
      <c r="AK226" s="75"/>
      <c r="AL226" s="76"/>
      <c r="AM226" s="76"/>
      <c r="AN226" s="76"/>
      <c r="AO226" s="76"/>
      <c r="AP226" s="76"/>
      <c r="AQ226" s="76"/>
      <c r="AR226" s="76"/>
      <c r="AS226" s="76"/>
      <c r="AT226" s="77" t="str">
        <f aca="false">IF(B226="","",IF($AK226="NON",0,IF(COUNT(AL226:AS226)=0,"",IFERROR(ROUND(SUMPRODUCT(AL226:AS226,$AL$8:$AS$8)/SUMPRODUCT(ISNUMBER(AL226:AS226)*$AL$8:$AS$8),2),""))))</f>
        <v/>
      </c>
      <c r="AU226" s="51" t="str">
        <f aca="false">IFERROR(MATCH("CP-217",'REGISTRE ELEVES'!$AI$10:$AI$250,0),"")</f>
        <v/>
      </c>
    </row>
    <row r="227" customFormat="false" ht="15" hidden="false" customHeight="false" outlineLevel="0" collapsed="false">
      <c r="A227" s="73" t="str">
        <f aca="false">IF(B227="","",218)</f>
        <v/>
      </c>
      <c r="B227" s="73" t="str">
        <f aca="false">IF($AU227="","",INDEX('REGISTRE ELEVES'!$B$10:$B$250,$AU227))</f>
        <v/>
      </c>
      <c r="C227" s="74" t="str">
        <f aca="false">IF($AU227="","",INDEX('REGISTRE ELEVES'!$D$10:$D$250,$AU227))</f>
        <v/>
      </c>
      <c r="D227" s="73" t="str">
        <f aca="false">IF($AU227="","",INDEX('REGISTRE ELEVES'!$E$10:$E$250,$AU227))</f>
        <v/>
      </c>
      <c r="E227" s="73" t="str">
        <f aca="false">IF($AU227="","",INDEX('REGISTRE ELEVES'!$F$10:$F$250,$AU227))</f>
        <v/>
      </c>
      <c r="F227" s="73" t="str">
        <f aca="false">IF($AU227="","",INDEX('REGISTRE ELEVES'!$AE$10:$AE$250,$AU227))</f>
        <v/>
      </c>
      <c r="G227" s="75"/>
      <c r="H227" s="76"/>
      <c r="I227" s="76"/>
      <c r="J227" s="76"/>
      <c r="K227" s="76"/>
      <c r="L227" s="76"/>
      <c r="M227" s="76"/>
      <c r="N227" s="76"/>
      <c r="O227" s="76"/>
      <c r="P227" s="77" t="str">
        <f aca="false">IF(B227="","",IF($G227="NON",0,IF(COUNT(H227:O227)=0,"",IFERROR(ROUND(SUMPRODUCT(H227:O227,$H$8:$O$8)/SUMPRODUCT(ISNUMBER(H227:O227)*$H$8:$O$8),2),""))))</f>
        <v/>
      </c>
      <c r="Q227" s="75"/>
      <c r="R227" s="76"/>
      <c r="S227" s="76"/>
      <c r="T227" s="76"/>
      <c r="U227" s="76"/>
      <c r="V227" s="76"/>
      <c r="W227" s="76"/>
      <c r="X227" s="76"/>
      <c r="Y227" s="76"/>
      <c r="Z227" s="77" t="str">
        <f aca="false">IF(B227="","",IF($Q227="NON",0,IF(COUNT(R227:Y227)=0,"",IFERROR(ROUND(SUMPRODUCT(R227:Y227,$R$8:$Y$8)/SUMPRODUCT(ISNUMBER(R227:Y227)*$R$8:$Y$8),2),""))))</f>
        <v/>
      </c>
      <c r="AA227" s="75"/>
      <c r="AB227" s="76"/>
      <c r="AC227" s="76"/>
      <c r="AD227" s="76"/>
      <c r="AE227" s="76"/>
      <c r="AF227" s="76"/>
      <c r="AG227" s="76"/>
      <c r="AH227" s="76"/>
      <c r="AI227" s="76"/>
      <c r="AJ227" s="77" t="str">
        <f aca="false">IF(B227="","",IF($AA227="NON",0,IF(COUNT(AB227:AI227)=0,"",IFERROR(ROUND(SUMPRODUCT(AB227:AI227,$AB$8:$AI$8)/SUMPRODUCT(ISNUMBER(AB227:AI227)*$AB$8:$AI$8),2),""))))</f>
        <v/>
      </c>
      <c r="AK227" s="75"/>
      <c r="AL227" s="76"/>
      <c r="AM227" s="76"/>
      <c r="AN227" s="76"/>
      <c r="AO227" s="76"/>
      <c r="AP227" s="76"/>
      <c r="AQ227" s="76"/>
      <c r="AR227" s="76"/>
      <c r="AS227" s="76"/>
      <c r="AT227" s="77" t="str">
        <f aca="false">IF(B227="","",IF($AK227="NON",0,IF(COUNT(AL227:AS227)=0,"",IFERROR(ROUND(SUMPRODUCT(AL227:AS227,$AL$8:$AS$8)/SUMPRODUCT(ISNUMBER(AL227:AS227)*$AL$8:$AS$8),2),""))))</f>
        <v/>
      </c>
      <c r="AU227" s="51" t="str">
        <f aca="false">IFERROR(MATCH("CP-218",'REGISTRE ELEVES'!$AI$10:$AI$250,0),"")</f>
        <v/>
      </c>
    </row>
    <row r="228" customFormat="false" ht="15" hidden="false" customHeight="false" outlineLevel="0" collapsed="false">
      <c r="A228" s="73" t="str">
        <f aca="false">IF(B228="","",219)</f>
        <v/>
      </c>
      <c r="B228" s="73" t="str">
        <f aca="false">IF($AU228="","",INDEX('REGISTRE ELEVES'!$B$10:$B$250,$AU228))</f>
        <v/>
      </c>
      <c r="C228" s="74" t="str">
        <f aca="false">IF($AU228="","",INDEX('REGISTRE ELEVES'!$D$10:$D$250,$AU228))</f>
        <v/>
      </c>
      <c r="D228" s="73" t="str">
        <f aca="false">IF($AU228="","",INDEX('REGISTRE ELEVES'!$E$10:$E$250,$AU228))</f>
        <v/>
      </c>
      <c r="E228" s="73" t="str">
        <f aca="false">IF($AU228="","",INDEX('REGISTRE ELEVES'!$F$10:$F$250,$AU228))</f>
        <v/>
      </c>
      <c r="F228" s="73" t="str">
        <f aca="false">IF($AU228="","",INDEX('REGISTRE ELEVES'!$AE$10:$AE$250,$AU228))</f>
        <v/>
      </c>
      <c r="G228" s="75"/>
      <c r="H228" s="76"/>
      <c r="I228" s="76"/>
      <c r="J228" s="76"/>
      <c r="K228" s="76"/>
      <c r="L228" s="76"/>
      <c r="M228" s="76"/>
      <c r="N228" s="76"/>
      <c r="O228" s="76"/>
      <c r="P228" s="77" t="str">
        <f aca="false">IF(B228="","",IF($G228="NON",0,IF(COUNT(H228:O228)=0,"",IFERROR(ROUND(SUMPRODUCT(H228:O228,$H$8:$O$8)/SUMPRODUCT(ISNUMBER(H228:O228)*$H$8:$O$8),2),""))))</f>
        <v/>
      </c>
      <c r="Q228" s="75"/>
      <c r="R228" s="76"/>
      <c r="S228" s="76"/>
      <c r="T228" s="76"/>
      <c r="U228" s="76"/>
      <c r="V228" s="76"/>
      <c r="W228" s="76"/>
      <c r="X228" s="76"/>
      <c r="Y228" s="76"/>
      <c r="Z228" s="77" t="str">
        <f aca="false">IF(B228="","",IF($Q228="NON",0,IF(COUNT(R228:Y228)=0,"",IFERROR(ROUND(SUMPRODUCT(R228:Y228,$R$8:$Y$8)/SUMPRODUCT(ISNUMBER(R228:Y228)*$R$8:$Y$8),2),""))))</f>
        <v/>
      </c>
      <c r="AA228" s="75"/>
      <c r="AB228" s="76"/>
      <c r="AC228" s="76"/>
      <c r="AD228" s="76"/>
      <c r="AE228" s="76"/>
      <c r="AF228" s="76"/>
      <c r="AG228" s="76"/>
      <c r="AH228" s="76"/>
      <c r="AI228" s="76"/>
      <c r="AJ228" s="77" t="str">
        <f aca="false">IF(B228="","",IF($AA228="NON",0,IF(COUNT(AB228:AI228)=0,"",IFERROR(ROUND(SUMPRODUCT(AB228:AI228,$AB$8:$AI$8)/SUMPRODUCT(ISNUMBER(AB228:AI228)*$AB$8:$AI$8),2),""))))</f>
        <v/>
      </c>
      <c r="AK228" s="75"/>
      <c r="AL228" s="76"/>
      <c r="AM228" s="76"/>
      <c r="AN228" s="76"/>
      <c r="AO228" s="76"/>
      <c r="AP228" s="76"/>
      <c r="AQ228" s="76"/>
      <c r="AR228" s="76"/>
      <c r="AS228" s="76"/>
      <c r="AT228" s="77" t="str">
        <f aca="false">IF(B228="","",IF($AK228="NON",0,IF(COUNT(AL228:AS228)=0,"",IFERROR(ROUND(SUMPRODUCT(AL228:AS228,$AL$8:$AS$8)/SUMPRODUCT(ISNUMBER(AL228:AS228)*$AL$8:$AS$8),2),""))))</f>
        <v/>
      </c>
      <c r="AU228" s="51" t="str">
        <f aca="false">IFERROR(MATCH("CP-219",'REGISTRE ELEVES'!$AI$10:$AI$250,0),"")</f>
        <v/>
      </c>
    </row>
    <row r="229" customFormat="false" ht="15" hidden="false" customHeight="false" outlineLevel="0" collapsed="false">
      <c r="A229" s="73" t="str">
        <f aca="false">IF(B229="","",220)</f>
        <v/>
      </c>
      <c r="B229" s="73" t="str">
        <f aca="false">IF($AU229="","",INDEX('REGISTRE ELEVES'!$B$10:$B$250,$AU229))</f>
        <v/>
      </c>
      <c r="C229" s="74" t="str">
        <f aca="false">IF($AU229="","",INDEX('REGISTRE ELEVES'!$D$10:$D$250,$AU229))</f>
        <v/>
      </c>
      <c r="D229" s="73" t="str">
        <f aca="false">IF($AU229="","",INDEX('REGISTRE ELEVES'!$E$10:$E$250,$AU229))</f>
        <v/>
      </c>
      <c r="E229" s="73" t="str">
        <f aca="false">IF($AU229="","",INDEX('REGISTRE ELEVES'!$F$10:$F$250,$AU229))</f>
        <v/>
      </c>
      <c r="F229" s="73" t="str">
        <f aca="false">IF($AU229="","",INDEX('REGISTRE ELEVES'!$AE$10:$AE$250,$AU229))</f>
        <v/>
      </c>
      <c r="G229" s="75"/>
      <c r="H229" s="76"/>
      <c r="I229" s="76"/>
      <c r="J229" s="76"/>
      <c r="K229" s="76"/>
      <c r="L229" s="76"/>
      <c r="M229" s="76"/>
      <c r="N229" s="76"/>
      <c r="O229" s="76"/>
      <c r="P229" s="77" t="str">
        <f aca="false">IF(B229="","",IF($G229="NON",0,IF(COUNT(H229:O229)=0,"",IFERROR(ROUND(SUMPRODUCT(H229:O229,$H$8:$O$8)/SUMPRODUCT(ISNUMBER(H229:O229)*$H$8:$O$8),2),""))))</f>
        <v/>
      </c>
      <c r="Q229" s="75"/>
      <c r="R229" s="76"/>
      <c r="S229" s="76"/>
      <c r="T229" s="76"/>
      <c r="U229" s="76"/>
      <c r="V229" s="76"/>
      <c r="W229" s="76"/>
      <c r="X229" s="76"/>
      <c r="Y229" s="76"/>
      <c r="Z229" s="77" t="str">
        <f aca="false">IF(B229="","",IF($Q229="NON",0,IF(COUNT(R229:Y229)=0,"",IFERROR(ROUND(SUMPRODUCT(R229:Y229,$R$8:$Y$8)/SUMPRODUCT(ISNUMBER(R229:Y229)*$R$8:$Y$8),2),""))))</f>
        <v/>
      </c>
      <c r="AA229" s="75"/>
      <c r="AB229" s="76"/>
      <c r="AC229" s="76"/>
      <c r="AD229" s="76"/>
      <c r="AE229" s="76"/>
      <c r="AF229" s="76"/>
      <c r="AG229" s="76"/>
      <c r="AH229" s="76"/>
      <c r="AI229" s="76"/>
      <c r="AJ229" s="77" t="str">
        <f aca="false">IF(B229="","",IF($AA229="NON",0,IF(COUNT(AB229:AI229)=0,"",IFERROR(ROUND(SUMPRODUCT(AB229:AI229,$AB$8:$AI$8)/SUMPRODUCT(ISNUMBER(AB229:AI229)*$AB$8:$AI$8),2),""))))</f>
        <v/>
      </c>
      <c r="AK229" s="75"/>
      <c r="AL229" s="76"/>
      <c r="AM229" s="76"/>
      <c r="AN229" s="76"/>
      <c r="AO229" s="76"/>
      <c r="AP229" s="76"/>
      <c r="AQ229" s="76"/>
      <c r="AR229" s="76"/>
      <c r="AS229" s="76"/>
      <c r="AT229" s="77" t="str">
        <f aca="false">IF(B229="","",IF($AK229="NON",0,IF(COUNT(AL229:AS229)=0,"",IFERROR(ROUND(SUMPRODUCT(AL229:AS229,$AL$8:$AS$8)/SUMPRODUCT(ISNUMBER(AL229:AS229)*$AL$8:$AS$8),2),""))))</f>
        <v/>
      </c>
      <c r="AU229" s="51" t="str">
        <f aca="false">IFERROR(MATCH("CP-220",'REGISTRE ELEVES'!$AI$10:$AI$250,0),"")</f>
        <v/>
      </c>
    </row>
    <row r="230" customFormat="false" ht="15" hidden="false" customHeight="false" outlineLevel="0" collapsed="false">
      <c r="A230" s="73" t="str">
        <f aca="false">IF(B230="","",221)</f>
        <v/>
      </c>
      <c r="B230" s="73" t="str">
        <f aca="false">IF($AU230="","",INDEX('REGISTRE ELEVES'!$B$10:$B$250,$AU230))</f>
        <v/>
      </c>
      <c r="C230" s="74" t="str">
        <f aca="false">IF($AU230="","",INDEX('REGISTRE ELEVES'!$D$10:$D$250,$AU230))</f>
        <v/>
      </c>
      <c r="D230" s="73" t="str">
        <f aca="false">IF($AU230="","",INDEX('REGISTRE ELEVES'!$E$10:$E$250,$AU230))</f>
        <v/>
      </c>
      <c r="E230" s="73" t="str">
        <f aca="false">IF($AU230="","",INDEX('REGISTRE ELEVES'!$F$10:$F$250,$AU230))</f>
        <v/>
      </c>
      <c r="F230" s="73" t="str">
        <f aca="false">IF($AU230="","",INDEX('REGISTRE ELEVES'!$AE$10:$AE$250,$AU230))</f>
        <v/>
      </c>
      <c r="G230" s="75"/>
      <c r="H230" s="76"/>
      <c r="I230" s="76"/>
      <c r="J230" s="76"/>
      <c r="K230" s="76"/>
      <c r="L230" s="76"/>
      <c r="M230" s="76"/>
      <c r="N230" s="76"/>
      <c r="O230" s="76"/>
      <c r="P230" s="77" t="str">
        <f aca="false">IF(B230="","",IF($G230="NON",0,IF(COUNT(H230:O230)=0,"",IFERROR(ROUND(SUMPRODUCT(H230:O230,$H$8:$O$8)/SUMPRODUCT(ISNUMBER(H230:O230)*$H$8:$O$8),2),""))))</f>
        <v/>
      </c>
      <c r="Q230" s="75"/>
      <c r="R230" s="76"/>
      <c r="S230" s="76"/>
      <c r="T230" s="76"/>
      <c r="U230" s="76"/>
      <c r="V230" s="76"/>
      <c r="W230" s="76"/>
      <c r="X230" s="76"/>
      <c r="Y230" s="76"/>
      <c r="Z230" s="77" t="str">
        <f aca="false">IF(B230="","",IF($Q230="NON",0,IF(COUNT(R230:Y230)=0,"",IFERROR(ROUND(SUMPRODUCT(R230:Y230,$R$8:$Y$8)/SUMPRODUCT(ISNUMBER(R230:Y230)*$R$8:$Y$8),2),""))))</f>
        <v/>
      </c>
      <c r="AA230" s="75"/>
      <c r="AB230" s="76"/>
      <c r="AC230" s="76"/>
      <c r="AD230" s="76"/>
      <c r="AE230" s="76"/>
      <c r="AF230" s="76"/>
      <c r="AG230" s="76"/>
      <c r="AH230" s="76"/>
      <c r="AI230" s="76"/>
      <c r="AJ230" s="77" t="str">
        <f aca="false">IF(B230="","",IF($AA230="NON",0,IF(COUNT(AB230:AI230)=0,"",IFERROR(ROUND(SUMPRODUCT(AB230:AI230,$AB$8:$AI$8)/SUMPRODUCT(ISNUMBER(AB230:AI230)*$AB$8:$AI$8),2),""))))</f>
        <v/>
      </c>
      <c r="AK230" s="75"/>
      <c r="AL230" s="76"/>
      <c r="AM230" s="76"/>
      <c r="AN230" s="76"/>
      <c r="AO230" s="76"/>
      <c r="AP230" s="76"/>
      <c r="AQ230" s="76"/>
      <c r="AR230" s="76"/>
      <c r="AS230" s="76"/>
      <c r="AT230" s="77" t="str">
        <f aca="false">IF(B230="","",IF($AK230="NON",0,IF(COUNT(AL230:AS230)=0,"",IFERROR(ROUND(SUMPRODUCT(AL230:AS230,$AL$8:$AS$8)/SUMPRODUCT(ISNUMBER(AL230:AS230)*$AL$8:$AS$8),2),""))))</f>
        <v/>
      </c>
      <c r="AU230" s="51" t="str">
        <f aca="false">IFERROR(MATCH("CP-221",'REGISTRE ELEVES'!$AI$10:$AI$250,0),"")</f>
        <v/>
      </c>
    </row>
    <row r="231" customFormat="false" ht="15" hidden="false" customHeight="false" outlineLevel="0" collapsed="false">
      <c r="A231" s="73" t="str">
        <f aca="false">IF(B231="","",222)</f>
        <v/>
      </c>
      <c r="B231" s="73" t="str">
        <f aca="false">IF($AU231="","",INDEX('REGISTRE ELEVES'!$B$10:$B$250,$AU231))</f>
        <v/>
      </c>
      <c r="C231" s="74" t="str">
        <f aca="false">IF($AU231="","",INDEX('REGISTRE ELEVES'!$D$10:$D$250,$AU231))</f>
        <v/>
      </c>
      <c r="D231" s="73" t="str">
        <f aca="false">IF($AU231="","",INDEX('REGISTRE ELEVES'!$E$10:$E$250,$AU231))</f>
        <v/>
      </c>
      <c r="E231" s="73" t="str">
        <f aca="false">IF($AU231="","",INDEX('REGISTRE ELEVES'!$F$10:$F$250,$AU231))</f>
        <v/>
      </c>
      <c r="F231" s="73" t="str">
        <f aca="false">IF($AU231="","",INDEX('REGISTRE ELEVES'!$AE$10:$AE$250,$AU231))</f>
        <v/>
      </c>
      <c r="G231" s="75"/>
      <c r="H231" s="76"/>
      <c r="I231" s="76"/>
      <c r="J231" s="76"/>
      <c r="K231" s="76"/>
      <c r="L231" s="76"/>
      <c r="M231" s="76"/>
      <c r="N231" s="76"/>
      <c r="O231" s="76"/>
      <c r="P231" s="77" t="str">
        <f aca="false">IF(B231="","",IF($G231="NON",0,IF(COUNT(H231:O231)=0,"",IFERROR(ROUND(SUMPRODUCT(H231:O231,$H$8:$O$8)/SUMPRODUCT(ISNUMBER(H231:O231)*$H$8:$O$8),2),""))))</f>
        <v/>
      </c>
      <c r="Q231" s="75"/>
      <c r="R231" s="76"/>
      <c r="S231" s="76"/>
      <c r="T231" s="76"/>
      <c r="U231" s="76"/>
      <c r="V231" s="76"/>
      <c r="W231" s="76"/>
      <c r="X231" s="76"/>
      <c r="Y231" s="76"/>
      <c r="Z231" s="77" t="str">
        <f aca="false">IF(B231="","",IF($Q231="NON",0,IF(COUNT(R231:Y231)=0,"",IFERROR(ROUND(SUMPRODUCT(R231:Y231,$R$8:$Y$8)/SUMPRODUCT(ISNUMBER(R231:Y231)*$R$8:$Y$8),2),""))))</f>
        <v/>
      </c>
      <c r="AA231" s="75"/>
      <c r="AB231" s="76"/>
      <c r="AC231" s="76"/>
      <c r="AD231" s="76"/>
      <c r="AE231" s="76"/>
      <c r="AF231" s="76"/>
      <c r="AG231" s="76"/>
      <c r="AH231" s="76"/>
      <c r="AI231" s="76"/>
      <c r="AJ231" s="77" t="str">
        <f aca="false">IF(B231="","",IF($AA231="NON",0,IF(COUNT(AB231:AI231)=0,"",IFERROR(ROUND(SUMPRODUCT(AB231:AI231,$AB$8:$AI$8)/SUMPRODUCT(ISNUMBER(AB231:AI231)*$AB$8:$AI$8),2),""))))</f>
        <v/>
      </c>
      <c r="AK231" s="75"/>
      <c r="AL231" s="76"/>
      <c r="AM231" s="76"/>
      <c r="AN231" s="76"/>
      <c r="AO231" s="76"/>
      <c r="AP231" s="76"/>
      <c r="AQ231" s="76"/>
      <c r="AR231" s="76"/>
      <c r="AS231" s="76"/>
      <c r="AT231" s="77" t="str">
        <f aca="false">IF(B231="","",IF($AK231="NON",0,IF(COUNT(AL231:AS231)=0,"",IFERROR(ROUND(SUMPRODUCT(AL231:AS231,$AL$8:$AS$8)/SUMPRODUCT(ISNUMBER(AL231:AS231)*$AL$8:$AS$8),2),""))))</f>
        <v/>
      </c>
      <c r="AU231" s="51" t="str">
        <f aca="false">IFERROR(MATCH("CP-222",'REGISTRE ELEVES'!$AI$10:$AI$250,0),"")</f>
        <v/>
      </c>
    </row>
    <row r="232" customFormat="false" ht="15" hidden="false" customHeight="false" outlineLevel="0" collapsed="false">
      <c r="A232" s="73" t="str">
        <f aca="false">IF(B232="","",223)</f>
        <v/>
      </c>
      <c r="B232" s="73" t="str">
        <f aca="false">IF($AU232="","",INDEX('REGISTRE ELEVES'!$B$10:$B$250,$AU232))</f>
        <v/>
      </c>
      <c r="C232" s="74" t="str">
        <f aca="false">IF($AU232="","",INDEX('REGISTRE ELEVES'!$D$10:$D$250,$AU232))</f>
        <v/>
      </c>
      <c r="D232" s="73" t="str">
        <f aca="false">IF($AU232="","",INDEX('REGISTRE ELEVES'!$E$10:$E$250,$AU232))</f>
        <v/>
      </c>
      <c r="E232" s="73" t="str">
        <f aca="false">IF($AU232="","",INDEX('REGISTRE ELEVES'!$F$10:$F$250,$AU232))</f>
        <v/>
      </c>
      <c r="F232" s="73" t="str">
        <f aca="false">IF($AU232="","",INDEX('REGISTRE ELEVES'!$AE$10:$AE$250,$AU232))</f>
        <v/>
      </c>
      <c r="G232" s="75"/>
      <c r="H232" s="76"/>
      <c r="I232" s="76"/>
      <c r="J232" s="76"/>
      <c r="K232" s="76"/>
      <c r="L232" s="76"/>
      <c r="M232" s="76"/>
      <c r="N232" s="76"/>
      <c r="O232" s="76"/>
      <c r="P232" s="77" t="str">
        <f aca="false">IF(B232="","",IF($G232="NON",0,IF(COUNT(H232:O232)=0,"",IFERROR(ROUND(SUMPRODUCT(H232:O232,$H$8:$O$8)/SUMPRODUCT(ISNUMBER(H232:O232)*$H$8:$O$8),2),""))))</f>
        <v/>
      </c>
      <c r="Q232" s="75"/>
      <c r="R232" s="76"/>
      <c r="S232" s="76"/>
      <c r="T232" s="76"/>
      <c r="U232" s="76"/>
      <c r="V232" s="76"/>
      <c r="W232" s="76"/>
      <c r="X232" s="76"/>
      <c r="Y232" s="76"/>
      <c r="Z232" s="77" t="str">
        <f aca="false">IF(B232="","",IF($Q232="NON",0,IF(COUNT(R232:Y232)=0,"",IFERROR(ROUND(SUMPRODUCT(R232:Y232,$R$8:$Y$8)/SUMPRODUCT(ISNUMBER(R232:Y232)*$R$8:$Y$8),2),""))))</f>
        <v/>
      </c>
      <c r="AA232" s="75"/>
      <c r="AB232" s="76"/>
      <c r="AC232" s="76"/>
      <c r="AD232" s="76"/>
      <c r="AE232" s="76"/>
      <c r="AF232" s="76"/>
      <c r="AG232" s="76"/>
      <c r="AH232" s="76"/>
      <c r="AI232" s="76"/>
      <c r="AJ232" s="77" t="str">
        <f aca="false">IF(B232="","",IF($AA232="NON",0,IF(COUNT(AB232:AI232)=0,"",IFERROR(ROUND(SUMPRODUCT(AB232:AI232,$AB$8:$AI$8)/SUMPRODUCT(ISNUMBER(AB232:AI232)*$AB$8:$AI$8),2),""))))</f>
        <v/>
      </c>
      <c r="AK232" s="75"/>
      <c r="AL232" s="76"/>
      <c r="AM232" s="76"/>
      <c r="AN232" s="76"/>
      <c r="AO232" s="76"/>
      <c r="AP232" s="76"/>
      <c r="AQ232" s="76"/>
      <c r="AR232" s="76"/>
      <c r="AS232" s="76"/>
      <c r="AT232" s="77" t="str">
        <f aca="false">IF(B232="","",IF($AK232="NON",0,IF(COUNT(AL232:AS232)=0,"",IFERROR(ROUND(SUMPRODUCT(AL232:AS232,$AL$8:$AS$8)/SUMPRODUCT(ISNUMBER(AL232:AS232)*$AL$8:$AS$8),2),""))))</f>
        <v/>
      </c>
      <c r="AU232" s="51" t="str">
        <f aca="false">IFERROR(MATCH("CP-223",'REGISTRE ELEVES'!$AI$10:$AI$250,0),"")</f>
        <v/>
      </c>
    </row>
    <row r="233" customFormat="false" ht="15" hidden="false" customHeight="false" outlineLevel="0" collapsed="false">
      <c r="A233" s="73" t="str">
        <f aca="false">IF(B233="","",224)</f>
        <v/>
      </c>
      <c r="B233" s="73" t="str">
        <f aca="false">IF($AU233="","",INDEX('REGISTRE ELEVES'!$B$10:$B$250,$AU233))</f>
        <v/>
      </c>
      <c r="C233" s="74" t="str">
        <f aca="false">IF($AU233="","",INDEX('REGISTRE ELEVES'!$D$10:$D$250,$AU233))</f>
        <v/>
      </c>
      <c r="D233" s="73" t="str">
        <f aca="false">IF($AU233="","",INDEX('REGISTRE ELEVES'!$E$10:$E$250,$AU233))</f>
        <v/>
      </c>
      <c r="E233" s="73" t="str">
        <f aca="false">IF($AU233="","",INDEX('REGISTRE ELEVES'!$F$10:$F$250,$AU233))</f>
        <v/>
      </c>
      <c r="F233" s="73" t="str">
        <f aca="false">IF($AU233="","",INDEX('REGISTRE ELEVES'!$AE$10:$AE$250,$AU233))</f>
        <v/>
      </c>
      <c r="G233" s="75"/>
      <c r="H233" s="76"/>
      <c r="I233" s="76"/>
      <c r="J233" s="76"/>
      <c r="K233" s="76"/>
      <c r="L233" s="76"/>
      <c r="M233" s="76"/>
      <c r="N233" s="76"/>
      <c r="O233" s="76"/>
      <c r="P233" s="77" t="str">
        <f aca="false">IF(B233="","",IF($G233="NON",0,IF(COUNT(H233:O233)=0,"",IFERROR(ROUND(SUMPRODUCT(H233:O233,$H$8:$O$8)/SUMPRODUCT(ISNUMBER(H233:O233)*$H$8:$O$8),2),""))))</f>
        <v/>
      </c>
      <c r="Q233" s="75"/>
      <c r="R233" s="76"/>
      <c r="S233" s="76"/>
      <c r="T233" s="76"/>
      <c r="U233" s="76"/>
      <c r="V233" s="76"/>
      <c r="W233" s="76"/>
      <c r="X233" s="76"/>
      <c r="Y233" s="76"/>
      <c r="Z233" s="77" t="str">
        <f aca="false">IF(B233="","",IF($Q233="NON",0,IF(COUNT(R233:Y233)=0,"",IFERROR(ROUND(SUMPRODUCT(R233:Y233,$R$8:$Y$8)/SUMPRODUCT(ISNUMBER(R233:Y233)*$R$8:$Y$8),2),""))))</f>
        <v/>
      </c>
      <c r="AA233" s="75"/>
      <c r="AB233" s="76"/>
      <c r="AC233" s="76"/>
      <c r="AD233" s="76"/>
      <c r="AE233" s="76"/>
      <c r="AF233" s="76"/>
      <c r="AG233" s="76"/>
      <c r="AH233" s="76"/>
      <c r="AI233" s="76"/>
      <c r="AJ233" s="77" t="str">
        <f aca="false">IF(B233="","",IF($AA233="NON",0,IF(COUNT(AB233:AI233)=0,"",IFERROR(ROUND(SUMPRODUCT(AB233:AI233,$AB$8:$AI$8)/SUMPRODUCT(ISNUMBER(AB233:AI233)*$AB$8:$AI$8),2),""))))</f>
        <v/>
      </c>
      <c r="AK233" s="75"/>
      <c r="AL233" s="76"/>
      <c r="AM233" s="76"/>
      <c r="AN233" s="76"/>
      <c r="AO233" s="76"/>
      <c r="AP233" s="76"/>
      <c r="AQ233" s="76"/>
      <c r="AR233" s="76"/>
      <c r="AS233" s="76"/>
      <c r="AT233" s="77" t="str">
        <f aca="false">IF(B233="","",IF($AK233="NON",0,IF(COUNT(AL233:AS233)=0,"",IFERROR(ROUND(SUMPRODUCT(AL233:AS233,$AL$8:$AS$8)/SUMPRODUCT(ISNUMBER(AL233:AS233)*$AL$8:$AS$8),2),""))))</f>
        <v/>
      </c>
      <c r="AU233" s="51" t="str">
        <f aca="false">IFERROR(MATCH("CP-224",'REGISTRE ELEVES'!$AI$10:$AI$250,0),"")</f>
        <v/>
      </c>
    </row>
    <row r="234" customFormat="false" ht="15" hidden="false" customHeight="false" outlineLevel="0" collapsed="false">
      <c r="A234" s="73" t="str">
        <f aca="false">IF(B234="","",225)</f>
        <v/>
      </c>
      <c r="B234" s="73" t="str">
        <f aca="false">IF($AU234="","",INDEX('REGISTRE ELEVES'!$B$10:$B$250,$AU234))</f>
        <v/>
      </c>
      <c r="C234" s="74" t="str">
        <f aca="false">IF($AU234="","",INDEX('REGISTRE ELEVES'!$D$10:$D$250,$AU234))</f>
        <v/>
      </c>
      <c r="D234" s="73" t="str">
        <f aca="false">IF($AU234="","",INDEX('REGISTRE ELEVES'!$E$10:$E$250,$AU234))</f>
        <v/>
      </c>
      <c r="E234" s="73" t="str">
        <f aca="false">IF($AU234="","",INDEX('REGISTRE ELEVES'!$F$10:$F$250,$AU234))</f>
        <v/>
      </c>
      <c r="F234" s="73" t="str">
        <f aca="false">IF($AU234="","",INDEX('REGISTRE ELEVES'!$AE$10:$AE$250,$AU234))</f>
        <v/>
      </c>
      <c r="G234" s="75"/>
      <c r="H234" s="76"/>
      <c r="I234" s="76"/>
      <c r="J234" s="76"/>
      <c r="K234" s="76"/>
      <c r="L234" s="76"/>
      <c r="M234" s="76"/>
      <c r="N234" s="76"/>
      <c r="O234" s="76"/>
      <c r="P234" s="77" t="str">
        <f aca="false">IF(B234="","",IF($G234="NON",0,IF(COUNT(H234:O234)=0,"",IFERROR(ROUND(SUMPRODUCT(H234:O234,$H$8:$O$8)/SUMPRODUCT(ISNUMBER(H234:O234)*$H$8:$O$8),2),""))))</f>
        <v/>
      </c>
      <c r="Q234" s="75"/>
      <c r="R234" s="76"/>
      <c r="S234" s="76"/>
      <c r="T234" s="76"/>
      <c r="U234" s="76"/>
      <c r="V234" s="76"/>
      <c r="W234" s="76"/>
      <c r="X234" s="76"/>
      <c r="Y234" s="76"/>
      <c r="Z234" s="77" t="str">
        <f aca="false">IF(B234="","",IF($Q234="NON",0,IF(COUNT(R234:Y234)=0,"",IFERROR(ROUND(SUMPRODUCT(R234:Y234,$R$8:$Y$8)/SUMPRODUCT(ISNUMBER(R234:Y234)*$R$8:$Y$8),2),""))))</f>
        <v/>
      </c>
      <c r="AA234" s="75"/>
      <c r="AB234" s="76"/>
      <c r="AC234" s="76"/>
      <c r="AD234" s="76"/>
      <c r="AE234" s="76"/>
      <c r="AF234" s="76"/>
      <c r="AG234" s="76"/>
      <c r="AH234" s="76"/>
      <c r="AI234" s="76"/>
      <c r="AJ234" s="77" t="str">
        <f aca="false">IF(B234="","",IF($AA234="NON",0,IF(COUNT(AB234:AI234)=0,"",IFERROR(ROUND(SUMPRODUCT(AB234:AI234,$AB$8:$AI$8)/SUMPRODUCT(ISNUMBER(AB234:AI234)*$AB$8:$AI$8),2),""))))</f>
        <v/>
      </c>
      <c r="AK234" s="75"/>
      <c r="AL234" s="76"/>
      <c r="AM234" s="76"/>
      <c r="AN234" s="76"/>
      <c r="AO234" s="76"/>
      <c r="AP234" s="76"/>
      <c r="AQ234" s="76"/>
      <c r="AR234" s="76"/>
      <c r="AS234" s="76"/>
      <c r="AT234" s="77" t="str">
        <f aca="false">IF(B234="","",IF($AK234="NON",0,IF(COUNT(AL234:AS234)=0,"",IFERROR(ROUND(SUMPRODUCT(AL234:AS234,$AL$8:$AS$8)/SUMPRODUCT(ISNUMBER(AL234:AS234)*$AL$8:$AS$8),2),""))))</f>
        <v/>
      </c>
      <c r="AU234" s="51" t="str">
        <f aca="false">IFERROR(MATCH("CP-225",'REGISTRE ELEVES'!$AI$10:$AI$250,0),"")</f>
        <v/>
      </c>
    </row>
    <row r="235" customFormat="false" ht="15" hidden="false" customHeight="false" outlineLevel="0" collapsed="false">
      <c r="A235" s="73" t="str">
        <f aca="false">IF(B235="","",226)</f>
        <v/>
      </c>
      <c r="B235" s="73" t="str">
        <f aca="false">IF($AU235="","",INDEX('REGISTRE ELEVES'!$B$10:$B$250,$AU235))</f>
        <v/>
      </c>
      <c r="C235" s="74" t="str">
        <f aca="false">IF($AU235="","",INDEX('REGISTRE ELEVES'!$D$10:$D$250,$AU235))</f>
        <v/>
      </c>
      <c r="D235" s="73" t="str">
        <f aca="false">IF($AU235="","",INDEX('REGISTRE ELEVES'!$E$10:$E$250,$AU235))</f>
        <v/>
      </c>
      <c r="E235" s="73" t="str">
        <f aca="false">IF($AU235="","",INDEX('REGISTRE ELEVES'!$F$10:$F$250,$AU235))</f>
        <v/>
      </c>
      <c r="F235" s="73" t="str">
        <f aca="false">IF($AU235="","",INDEX('REGISTRE ELEVES'!$AE$10:$AE$250,$AU235))</f>
        <v/>
      </c>
      <c r="G235" s="75"/>
      <c r="H235" s="76"/>
      <c r="I235" s="76"/>
      <c r="J235" s="76"/>
      <c r="K235" s="76"/>
      <c r="L235" s="76"/>
      <c r="M235" s="76"/>
      <c r="N235" s="76"/>
      <c r="O235" s="76"/>
      <c r="P235" s="77" t="str">
        <f aca="false">IF(B235="","",IF($G235="NON",0,IF(COUNT(H235:O235)=0,"",IFERROR(ROUND(SUMPRODUCT(H235:O235,$H$8:$O$8)/SUMPRODUCT(ISNUMBER(H235:O235)*$H$8:$O$8),2),""))))</f>
        <v/>
      </c>
      <c r="Q235" s="75"/>
      <c r="R235" s="76"/>
      <c r="S235" s="76"/>
      <c r="T235" s="76"/>
      <c r="U235" s="76"/>
      <c r="V235" s="76"/>
      <c r="W235" s="76"/>
      <c r="X235" s="76"/>
      <c r="Y235" s="76"/>
      <c r="Z235" s="77" t="str">
        <f aca="false">IF(B235="","",IF($Q235="NON",0,IF(COUNT(R235:Y235)=0,"",IFERROR(ROUND(SUMPRODUCT(R235:Y235,$R$8:$Y$8)/SUMPRODUCT(ISNUMBER(R235:Y235)*$R$8:$Y$8),2),""))))</f>
        <v/>
      </c>
      <c r="AA235" s="75"/>
      <c r="AB235" s="76"/>
      <c r="AC235" s="76"/>
      <c r="AD235" s="76"/>
      <c r="AE235" s="76"/>
      <c r="AF235" s="76"/>
      <c r="AG235" s="76"/>
      <c r="AH235" s="76"/>
      <c r="AI235" s="76"/>
      <c r="AJ235" s="77" t="str">
        <f aca="false">IF(B235="","",IF($AA235="NON",0,IF(COUNT(AB235:AI235)=0,"",IFERROR(ROUND(SUMPRODUCT(AB235:AI235,$AB$8:$AI$8)/SUMPRODUCT(ISNUMBER(AB235:AI235)*$AB$8:$AI$8),2),""))))</f>
        <v/>
      </c>
      <c r="AK235" s="75"/>
      <c r="AL235" s="76"/>
      <c r="AM235" s="76"/>
      <c r="AN235" s="76"/>
      <c r="AO235" s="76"/>
      <c r="AP235" s="76"/>
      <c r="AQ235" s="76"/>
      <c r="AR235" s="76"/>
      <c r="AS235" s="76"/>
      <c r="AT235" s="77" t="str">
        <f aca="false">IF(B235="","",IF($AK235="NON",0,IF(COUNT(AL235:AS235)=0,"",IFERROR(ROUND(SUMPRODUCT(AL235:AS235,$AL$8:$AS$8)/SUMPRODUCT(ISNUMBER(AL235:AS235)*$AL$8:$AS$8),2),""))))</f>
        <v/>
      </c>
      <c r="AU235" s="51" t="str">
        <f aca="false">IFERROR(MATCH("CP-226",'REGISTRE ELEVES'!$AI$10:$AI$250,0),"")</f>
        <v/>
      </c>
    </row>
    <row r="236" customFormat="false" ht="15" hidden="false" customHeight="false" outlineLevel="0" collapsed="false">
      <c r="A236" s="73" t="str">
        <f aca="false">IF(B236="","",227)</f>
        <v/>
      </c>
      <c r="B236" s="73" t="str">
        <f aca="false">IF($AU236="","",INDEX('REGISTRE ELEVES'!$B$10:$B$250,$AU236))</f>
        <v/>
      </c>
      <c r="C236" s="74" t="str">
        <f aca="false">IF($AU236="","",INDEX('REGISTRE ELEVES'!$D$10:$D$250,$AU236))</f>
        <v/>
      </c>
      <c r="D236" s="73" t="str">
        <f aca="false">IF($AU236="","",INDEX('REGISTRE ELEVES'!$E$10:$E$250,$AU236))</f>
        <v/>
      </c>
      <c r="E236" s="73" t="str">
        <f aca="false">IF($AU236="","",INDEX('REGISTRE ELEVES'!$F$10:$F$250,$AU236))</f>
        <v/>
      </c>
      <c r="F236" s="73" t="str">
        <f aca="false">IF($AU236="","",INDEX('REGISTRE ELEVES'!$AE$10:$AE$250,$AU236))</f>
        <v/>
      </c>
      <c r="G236" s="75"/>
      <c r="H236" s="76"/>
      <c r="I236" s="76"/>
      <c r="J236" s="76"/>
      <c r="K236" s="76"/>
      <c r="L236" s="76"/>
      <c r="M236" s="76"/>
      <c r="N236" s="76"/>
      <c r="O236" s="76"/>
      <c r="P236" s="77" t="str">
        <f aca="false">IF(B236="","",IF($G236="NON",0,IF(COUNT(H236:O236)=0,"",IFERROR(ROUND(SUMPRODUCT(H236:O236,$H$8:$O$8)/SUMPRODUCT(ISNUMBER(H236:O236)*$H$8:$O$8),2),""))))</f>
        <v/>
      </c>
      <c r="Q236" s="75"/>
      <c r="R236" s="76"/>
      <c r="S236" s="76"/>
      <c r="T236" s="76"/>
      <c r="U236" s="76"/>
      <c r="V236" s="76"/>
      <c r="W236" s="76"/>
      <c r="X236" s="76"/>
      <c r="Y236" s="76"/>
      <c r="Z236" s="77" t="str">
        <f aca="false">IF(B236="","",IF($Q236="NON",0,IF(COUNT(R236:Y236)=0,"",IFERROR(ROUND(SUMPRODUCT(R236:Y236,$R$8:$Y$8)/SUMPRODUCT(ISNUMBER(R236:Y236)*$R$8:$Y$8),2),""))))</f>
        <v/>
      </c>
      <c r="AA236" s="75"/>
      <c r="AB236" s="76"/>
      <c r="AC236" s="76"/>
      <c r="AD236" s="76"/>
      <c r="AE236" s="76"/>
      <c r="AF236" s="76"/>
      <c r="AG236" s="76"/>
      <c r="AH236" s="76"/>
      <c r="AI236" s="76"/>
      <c r="AJ236" s="77" t="str">
        <f aca="false">IF(B236="","",IF($AA236="NON",0,IF(COUNT(AB236:AI236)=0,"",IFERROR(ROUND(SUMPRODUCT(AB236:AI236,$AB$8:$AI$8)/SUMPRODUCT(ISNUMBER(AB236:AI236)*$AB$8:$AI$8),2),""))))</f>
        <v/>
      </c>
      <c r="AK236" s="75"/>
      <c r="AL236" s="76"/>
      <c r="AM236" s="76"/>
      <c r="AN236" s="76"/>
      <c r="AO236" s="76"/>
      <c r="AP236" s="76"/>
      <c r="AQ236" s="76"/>
      <c r="AR236" s="76"/>
      <c r="AS236" s="76"/>
      <c r="AT236" s="77" t="str">
        <f aca="false">IF(B236="","",IF($AK236="NON",0,IF(COUNT(AL236:AS236)=0,"",IFERROR(ROUND(SUMPRODUCT(AL236:AS236,$AL$8:$AS$8)/SUMPRODUCT(ISNUMBER(AL236:AS236)*$AL$8:$AS$8),2),""))))</f>
        <v/>
      </c>
      <c r="AU236" s="51" t="str">
        <f aca="false">IFERROR(MATCH("CP-227",'REGISTRE ELEVES'!$AI$10:$AI$250,0),"")</f>
        <v/>
      </c>
    </row>
    <row r="237" customFormat="false" ht="15" hidden="false" customHeight="false" outlineLevel="0" collapsed="false">
      <c r="A237" s="73" t="str">
        <f aca="false">IF(B237="","",228)</f>
        <v/>
      </c>
      <c r="B237" s="73" t="str">
        <f aca="false">IF($AU237="","",INDEX('REGISTRE ELEVES'!$B$10:$B$250,$AU237))</f>
        <v/>
      </c>
      <c r="C237" s="74" t="str">
        <f aca="false">IF($AU237="","",INDEX('REGISTRE ELEVES'!$D$10:$D$250,$AU237))</f>
        <v/>
      </c>
      <c r="D237" s="73" t="str">
        <f aca="false">IF($AU237="","",INDEX('REGISTRE ELEVES'!$E$10:$E$250,$AU237))</f>
        <v/>
      </c>
      <c r="E237" s="73" t="str">
        <f aca="false">IF($AU237="","",INDEX('REGISTRE ELEVES'!$F$10:$F$250,$AU237))</f>
        <v/>
      </c>
      <c r="F237" s="73" t="str">
        <f aca="false">IF($AU237="","",INDEX('REGISTRE ELEVES'!$AE$10:$AE$250,$AU237))</f>
        <v/>
      </c>
      <c r="G237" s="75"/>
      <c r="H237" s="76"/>
      <c r="I237" s="76"/>
      <c r="J237" s="76"/>
      <c r="K237" s="76"/>
      <c r="L237" s="76"/>
      <c r="M237" s="76"/>
      <c r="N237" s="76"/>
      <c r="O237" s="76"/>
      <c r="P237" s="77" t="str">
        <f aca="false">IF(B237="","",IF($G237="NON",0,IF(COUNT(H237:O237)=0,"",IFERROR(ROUND(SUMPRODUCT(H237:O237,$H$8:$O$8)/SUMPRODUCT(ISNUMBER(H237:O237)*$H$8:$O$8),2),""))))</f>
        <v/>
      </c>
      <c r="Q237" s="75"/>
      <c r="R237" s="76"/>
      <c r="S237" s="76"/>
      <c r="T237" s="76"/>
      <c r="U237" s="76"/>
      <c r="V237" s="76"/>
      <c r="W237" s="76"/>
      <c r="X237" s="76"/>
      <c r="Y237" s="76"/>
      <c r="Z237" s="77" t="str">
        <f aca="false">IF(B237="","",IF($Q237="NON",0,IF(COUNT(R237:Y237)=0,"",IFERROR(ROUND(SUMPRODUCT(R237:Y237,$R$8:$Y$8)/SUMPRODUCT(ISNUMBER(R237:Y237)*$R$8:$Y$8),2),""))))</f>
        <v/>
      </c>
      <c r="AA237" s="75"/>
      <c r="AB237" s="76"/>
      <c r="AC237" s="76"/>
      <c r="AD237" s="76"/>
      <c r="AE237" s="76"/>
      <c r="AF237" s="76"/>
      <c r="AG237" s="76"/>
      <c r="AH237" s="76"/>
      <c r="AI237" s="76"/>
      <c r="AJ237" s="77" t="str">
        <f aca="false">IF(B237="","",IF($AA237="NON",0,IF(COUNT(AB237:AI237)=0,"",IFERROR(ROUND(SUMPRODUCT(AB237:AI237,$AB$8:$AI$8)/SUMPRODUCT(ISNUMBER(AB237:AI237)*$AB$8:$AI$8),2),""))))</f>
        <v/>
      </c>
      <c r="AK237" s="75"/>
      <c r="AL237" s="76"/>
      <c r="AM237" s="76"/>
      <c r="AN237" s="76"/>
      <c r="AO237" s="76"/>
      <c r="AP237" s="76"/>
      <c r="AQ237" s="76"/>
      <c r="AR237" s="76"/>
      <c r="AS237" s="76"/>
      <c r="AT237" s="77" t="str">
        <f aca="false">IF(B237="","",IF($AK237="NON",0,IF(COUNT(AL237:AS237)=0,"",IFERROR(ROUND(SUMPRODUCT(AL237:AS237,$AL$8:$AS$8)/SUMPRODUCT(ISNUMBER(AL237:AS237)*$AL$8:$AS$8),2),""))))</f>
        <v/>
      </c>
      <c r="AU237" s="51" t="str">
        <f aca="false">IFERROR(MATCH("CP-228",'REGISTRE ELEVES'!$AI$10:$AI$250,0),"")</f>
        <v/>
      </c>
    </row>
    <row r="238" customFormat="false" ht="15" hidden="false" customHeight="false" outlineLevel="0" collapsed="false">
      <c r="A238" s="73" t="str">
        <f aca="false">IF(B238="","",229)</f>
        <v/>
      </c>
      <c r="B238" s="73" t="str">
        <f aca="false">IF($AU238="","",INDEX('REGISTRE ELEVES'!$B$10:$B$250,$AU238))</f>
        <v/>
      </c>
      <c r="C238" s="74" t="str">
        <f aca="false">IF($AU238="","",INDEX('REGISTRE ELEVES'!$D$10:$D$250,$AU238))</f>
        <v/>
      </c>
      <c r="D238" s="73" t="str">
        <f aca="false">IF($AU238="","",INDEX('REGISTRE ELEVES'!$E$10:$E$250,$AU238))</f>
        <v/>
      </c>
      <c r="E238" s="73" t="str">
        <f aca="false">IF($AU238="","",INDEX('REGISTRE ELEVES'!$F$10:$F$250,$AU238))</f>
        <v/>
      </c>
      <c r="F238" s="73" t="str">
        <f aca="false">IF($AU238="","",INDEX('REGISTRE ELEVES'!$AE$10:$AE$250,$AU238))</f>
        <v/>
      </c>
      <c r="G238" s="75"/>
      <c r="H238" s="76"/>
      <c r="I238" s="76"/>
      <c r="J238" s="76"/>
      <c r="K238" s="76"/>
      <c r="L238" s="76"/>
      <c r="M238" s="76"/>
      <c r="N238" s="76"/>
      <c r="O238" s="76"/>
      <c r="P238" s="77" t="str">
        <f aca="false">IF(B238="","",IF($G238="NON",0,IF(COUNT(H238:O238)=0,"",IFERROR(ROUND(SUMPRODUCT(H238:O238,$H$8:$O$8)/SUMPRODUCT(ISNUMBER(H238:O238)*$H$8:$O$8),2),""))))</f>
        <v/>
      </c>
      <c r="Q238" s="75"/>
      <c r="R238" s="76"/>
      <c r="S238" s="76"/>
      <c r="T238" s="76"/>
      <c r="U238" s="76"/>
      <c r="V238" s="76"/>
      <c r="W238" s="76"/>
      <c r="X238" s="76"/>
      <c r="Y238" s="76"/>
      <c r="Z238" s="77" t="str">
        <f aca="false">IF(B238="","",IF($Q238="NON",0,IF(COUNT(R238:Y238)=0,"",IFERROR(ROUND(SUMPRODUCT(R238:Y238,$R$8:$Y$8)/SUMPRODUCT(ISNUMBER(R238:Y238)*$R$8:$Y$8),2),""))))</f>
        <v/>
      </c>
      <c r="AA238" s="75"/>
      <c r="AB238" s="76"/>
      <c r="AC238" s="76"/>
      <c r="AD238" s="76"/>
      <c r="AE238" s="76"/>
      <c r="AF238" s="76"/>
      <c r="AG238" s="76"/>
      <c r="AH238" s="76"/>
      <c r="AI238" s="76"/>
      <c r="AJ238" s="77" t="str">
        <f aca="false">IF(B238="","",IF($AA238="NON",0,IF(COUNT(AB238:AI238)=0,"",IFERROR(ROUND(SUMPRODUCT(AB238:AI238,$AB$8:$AI$8)/SUMPRODUCT(ISNUMBER(AB238:AI238)*$AB$8:$AI$8),2),""))))</f>
        <v/>
      </c>
      <c r="AK238" s="75"/>
      <c r="AL238" s="76"/>
      <c r="AM238" s="76"/>
      <c r="AN238" s="76"/>
      <c r="AO238" s="76"/>
      <c r="AP238" s="76"/>
      <c r="AQ238" s="76"/>
      <c r="AR238" s="76"/>
      <c r="AS238" s="76"/>
      <c r="AT238" s="77" t="str">
        <f aca="false">IF(B238="","",IF($AK238="NON",0,IF(COUNT(AL238:AS238)=0,"",IFERROR(ROUND(SUMPRODUCT(AL238:AS238,$AL$8:$AS$8)/SUMPRODUCT(ISNUMBER(AL238:AS238)*$AL$8:$AS$8),2),""))))</f>
        <v/>
      </c>
      <c r="AU238" s="51" t="str">
        <f aca="false">IFERROR(MATCH("CP-229",'REGISTRE ELEVES'!$AI$10:$AI$250,0),"")</f>
        <v/>
      </c>
    </row>
    <row r="239" customFormat="false" ht="15" hidden="false" customHeight="false" outlineLevel="0" collapsed="false">
      <c r="A239" s="73" t="str">
        <f aca="false">IF(B239="","",230)</f>
        <v/>
      </c>
      <c r="B239" s="73" t="str">
        <f aca="false">IF($AU239="","",INDEX('REGISTRE ELEVES'!$B$10:$B$250,$AU239))</f>
        <v/>
      </c>
      <c r="C239" s="74" t="str">
        <f aca="false">IF($AU239="","",INDEX('REGISTRE ELEVES'!$D$10:$D$250,$AU239))</f>
        <v/>
      </c>
      <c r="D239" s="73" t="str">
        <f aca="false">IF($AU239="","",INDEX('REGISTRE ELEVES'!$E$10:$E$250,$AU239))</f>
        <v/>
      </c>
      <c r="E239" s="73" t="str">
        <f aca="false">IF($AU239="","",INDEX('REGISTRE ELEVES'!$F$10:$F$250,$AU239))</f>
        <v/>
      </c>
      <c r="F239" s="73" t="str">
        <f aca="false">IF($AU239="","",INDEX('REGISTRE ELEVES'!$AE$10:$AE$250,$AU239))</f>
        <v/>
      </c>
      <c r="G239" s="75"/>
      <c r="H239" s="76"/>
      <c r="I239" s="76"/>
      <c r="J239" s="76"/>
      <c r="K239" s="76"/>
      <c r="L239" s="76"/>
      <c r="M239" s="76"/>
      <c r="N239" s="76"/>
      <c r="O239" s="76"/>
      <c r="P239" s="77" t="str">
        <f aca="false">IF(B239="","",IF($G239="NON",0,IF(COUNT(H239:O239)=0,"",IFERROR(ROUND(SUMPRODUCT(H239:O239,$H$8:$O$8)/SUMPRODUCT(ISNUMBER(H239:O239)*$H$8:$O$8),2),""))))</f>
        <v/>
      </c>
      <c r="Q239" s="75"/>
      <c r="R239" s="76"/>
      <c r="S239" s="76"/>
      <c r="T239" s="76"/>
      <c r="U239" s="76"/>
      <c r="V239" s="76"/>
      <c r="W239" s="76"/>
      <c r="X239" s="76"/>
      <c r="Y239" s="76"/>
      <c r="Z239" s="77" t="str">
        <f aca="false">IF(B239="","",IF($Q239="NON",0,IF(COUNT(R239:Y239)=0,"",IFERROR(ROUND(SUMPRODUCT(R239:Y239,$R$8:$Y$8)/SUMPRODUCT(ISNUMBER(R239:Y239)*$R$8:$Y$8),2),""))))</f>
        <v/>
      </c>
      <c r="AA239" s="75"/>
      <c r="AB239" s="76"/>
      <c r="AC239" s="76"/>
      <c r="AD239" s="76"/>
      <c r="AE239" s="76"/>
      <c r="AF239" s="76"/>
      <c r="AG239" s="76"/>
      <c r="AH239" s="76"/>
      <c r="AI239" s="76"/>
      <c r="AJ239" s="77" t="str">
        <f aca="false">IF(B239="","",IF($AA239="NON",0,IF(COUNT(AB239:AI239)=0,"",IFERROR(ROUND(SUMPRODUCT(AB239:AI239,$AB$8:$AI$8)/SUMPRODUCT(ISNUMBER(AB239:AI239)*$AB$8:$AI$8),2),""))))</f>
        <v/>
      </c>
      <c r="AK239" s="75"/>
      <c r="AL239" s="76"/>
      <c r="AM239" s="76"/>
      <c r="AN239" s="76"/>
      <c r="AO239" s="76"/>
      <c r="AP239" s="76"/>
      <c r="AQ239" s="76"/>
      <c r="AR239" s="76"/>
      <c r="AS239" s="76"/>
      <c r="AT239" s="77" t="str">
        <f aca="false">IF(B239="","",IF($AK239="NON",0,IF(COUNT(AL239:AS239)=0,"",IFERROR(ROUND(SUMPRODUCT(AL239:AS239,$AL$8:$AS$8)/SUMPRODUCT(ISNUMBER(AL239:AS239)*$AL$8:$AS$8),2),""))))</f>
        <v/>
      </c>
      <c r="AU239" s="51" t="str">
        <f aca="false">IFERROR(MATCH("CP-230",'REGISTRE ELEVES'!$AI$10:$AI$250,0),"")</f>
        <v/>
      </c>
    </row>
    <row r="240" customFormat="false" ht="15" hidden="false" customHeight="false" outlineLevel="0" collapsed="false">
      <c r="A240" s="73" t="str">
        <f aca="false">IF(B240="","",231)</f>
        <v/>
      </c>
      <c r="B240" s="73" t="str">
        <f aca="false">IF($AU240="","",INDEX('REGISTRE ELEVES'!$B$10:$B$250,$AU240))</f>
        <v/>
      </c>
      <c r="C240" s="74" t="str">
        <f aca="false">IF($AU240="","",INDEX('REGISTRE ELEVES'!$D$10:$D$250,$AU240))</f>
        <v/>
      </c>
      <c r="D240" s="73" t="str">
        <f aca="false">IF($AU240="","",INDEX('REGISTRE ELEVES'!$E$10:$E$250,$AU240))</f>
        <v/>
      </c>
      <c r="E240" s="73" t="str">
        <f aca="false">IF($AU240="","",INDEX('REGISTRE ELEVES'!$F$10:$F$250,$AU240))</f>
        <v/>
      </c>
      <c r="F240" s="73" t="str">
        <f aca="false">IF($AU240="","",INDEX('REGISTRE ELEVES'!$AE$10:$AE$250,$AU240))</f>
        <v/>
      </c>
      <c r="G240" s="75"/>
      <c r="H240" s="76"/>
      <c r="I240" s="76"/>
      <c r="J240" s="76"/>
      <c r="K240" s="76"/>
      <c r="L240" s="76"/>
      <c r="M240" s="76"/>
      <c r="N240" s="76"/>
      <c r="O240" s="76"/>
      <c r="P240" s="77" t="str">
        <f aca="false">IF(B240="","",IF($G240="NON",0,IF(COUNT(H240:O240)=0,"",IFERROR(ROUND(SUMPRODUCT(H240:O240,$H$8:$O$8)/SUMPRODUCT(ISNUMBER(H240:O240)*$H$8:$O$8),2),""))))</f>
        <v/>
      </c>
      <c r="Q240" s="75"/>
      <c r="R240" s="76"/>
      <c r="S240" s="76"/>
      <c r="T240" s="76"/>
      <c r="U240" s="76"/>
      <c r="V240" s="76"/>
      <c r="W240" s="76"/>
      <c r="X240" s="76"/>
      <c r="Y240" s="76"/>
      <c r="Z240" s="77" t="str">
        <f aca="false">IF(B240="","",IF($Q240="NON",0,IF(COUNT(R240:Y240)=0,"",IFERROR(ROUND(SUMPRODUCT(R240:Y240,$R$8:$Y$8)/SUMPRODUCT(ISNUMBER(R240:Y240)*$R$8:$Y$8),2),""))))</f>
        <v/>
      </c>
      <c r="AA240" s="75"/>
      <c r="AB240" s="76"/>
      <c r="AC240" s="76"/>
      <c r="AD240" s="76"/>
      <c r="AE240" s="76"/>
      <c r="AF240" s="76"/>
      <c r="AG240" s="76"/>
      <c r="AH240" s="76"/>
      <c r="AI240" s="76"/>
      <c r="AJ240" s="77" t="str">
        <f aca="false">IF(B240="","",IF($AA240="NON",0,IF(COUNT(AB240:AI240)=0,"",IFERROR(ROUND(SUMPRODUCT(AB240:AI240,$AB$8:$AI$8)/SUMPRODUCT(ISNUMBER(AB240:AI240)*$AB$8:$AI$8),2),""))))</f>
        <v/>
      </c>
      <c r="AK240" s="75"/>
      <c r="AL240" s="76"/>
      <c r="AM240" s="76"/>
      <c r="AN240" s="76"/>
      <c r="AO240" s="76"/>
      <c r="AP240" s="76"/>
      <c r="AQ240" s="76"/>
      <c r="AR240" s="76"/>
      <c r="AS240" s="76"/>
      <c r="AT240" s="77" t="str">
        <f aca="false">IF(B240="","",IF($AK240="NON",0,IF(COUNT(AL240:AS240)=0,"",IFERROR(ROUND(SUMPRODUCT(AL240:AS240,$AL$8:$AS$8)/SUMPRODUCT(ISNUMBER(AL240:AS240)*$AL$8:$AS$8),2),""))))</f>
        <v/>
      </c>
      <c r="AU240" s="51" t="str">
        <f aca="false">IFERROR(MATCH("CP-231",'REGISTRE ELEVES'!$AI$10:$AI$250,0),"")</f>
        <v/>
      </c>
    </row>
    <row r="241" customFormat="false" ht="15" hidden="false" customHeight="false" outlineLevel="0" collapsed="false">
      <c r="A241" s="73" t="str">
        <f aca="false">IF(B241="","",232)</f>
        <v/>
      </c>
      <c r="B241" s="73" t="str">
        <f aca="false">IF($AU241="","",INDEX('REGISTRE ELEVES'!$B$10:$B$250,$AU241))</f>
        <v/>
      </c>
      <c r="C241" s="74" t="str">
        <f aca="false">IF($AU241="","",INDEX('REGISTRE ELEVES'!$D$10:$D$250,$AU241))</f>
        <v/>
      </c>
      <c r="D241" s="73" t="str">
        <f aca="false">IF($AU241="","",INDEX('REGISTRE ELEVES'!$E$10:$E$250,$AU241))</f>
        <v/>
      </c>
      <c r="E241" s="73" t="str">
        <f aca="false">IF($AU241="","",INDEX('REGISTRE ELEVES'!$F$10:$F$250,$AU241))</f>
        <v/>
      </c>
      <c r="F241" s="73" t="str">
        <f aca="false">IF($AU241="","",INDEX('REGISTRE ELEVES'!$AE$10:$AE$250,$AU241))</f>
        <v/>
      </c>
      <c r="G241" s="75"/>
      <c r="H241" s="76"/>
      <c r="I241" s="76"/>
      <c r="J241" s="76"/>
      <c r="K241" s="76"/>
      <c r="L241" s="76"/>
      <c r="M241" s="76"/>
      <c r="N241" s="76"/>
      <c r="O241" s="76"/>
      <c r="P241" s="77" t="str">
        <f aca="false">IF(B241="","",IF($G241="NON",0,IF(COUNT(H241:O241)=0,"",IFERROR(ROUND(SUMPRODUCT(H241:O241,$H$8:$O$8)/SUMPRODUCT(ISNUMBER(H241:O241)*$H$8:$O$8),2),""))))</f>
        <v/>
      </c>
      <c r="Q241" s="75"/>
      <c r="R241" s="76"/>
      <c r="S241" s="76"/>
      <c r="T241" s="76"/>
      <c r="U241" s="76"/>
      <c r="V241" s="76"/>
      <c r="W241" s="76"/>
      <c r="X241" s="76"/>
      <c r="Y241" s="76"/>
      <c r="Z241" s="77" t="str">
        <f aca="false">IF(B241="","",IF($Q241="NON",0,IF(COUNT(R241:Y241)=0,"",IFERROR(ROUND(SUMPRODUCT(R241:Y241,$R$8:$Y$8)/SUMPRODUCT(ISNUMBER(R241:Y241)*$R$8:$Y$8),2),""))))</f>
        <v/>
      </c>
      <c r="AA241" s="75"/>
      <c r="AB241" s="76"/>
      <c r="AC241" s="76"/>
      <c r="AD241" s="76"/>
      <c r="AE241" s="76"/>
      <c r="AF241" s="76"/>
      <c r="AG241" s="76"/>
      <c r="AH241" s="76"/>
      <c r="AI241" s="76"/>
      <c r="AJ241" s="77" t="str">
        <f aca="false">IF(B241="","",IF($AA241="NON",0,IF(COUNT(AB241:AI241)=0,"",IFERROR(ROUND(SUMPRODUCT(AB241:AI241,$AB$8:$AI$8)/SUMPRODUCT(ISNUMBER(AB241:AI241)*$AB$8:$AI$8),2),""))))</f>
        <v/>
      </c>
      <c r="AK241" s="75"/>
      <c r="AL241" s="76"/>
      <c r="AM241" s="76"/>
      <c r="AN241" s="76"/>
      <c r="AO241" s="76"/>
      <c r="AP241" s="76"/>
      <c r="AQ241" s="76"/>
      <c r="AR241" s="76"/>
      <c r="AS241" s="76"/>
      <c r="AT241" s="77" t="str">
        <f aca="false">IF(B241="","",IF($AK241="NON",0,IF(COUNT(AL241:AS241)=0,"",IFERROR(ROUND(SUMPRODUCT(AL241:AS241,$AL$8:$AS$8)/SUMPRODUCT(ISNUMBER(AL241:AS241)*$AL$8:$AS$8),2),""))))</f>
        <v/>
      </c>
      <c r="AU241" s="51" t="str">
        <f aca="false">IFERROR(MATCH("CP-232",'REGISTRE ELEVES'!$AI$10:$AI$250,0),"")</f>
        <v/>
      </c>
    </row>
    <row r="242" customFormat="false" ht="15" hidden="false" customHeight="false" outlineLevel="0" collapsed="false">
      <c r="A242" s="73" t="str">
        <f aca="false">IF(B242="","",233)</f>
        <v/>
      </c>
      <c r="B242" s="73" t="str">
        <f aca="false">IF($AU242="","",INDEX('REGISTRE ELEVES'!$B$10:$B$250,$AU242))</f>
        <v/>
      </c>
      <c r="C242" s="74" t="str">
        <f aca="false">IF($AU242="","",INDEX('REGISTRE ELEVES'!$D$10:$D$250,$AU242))</f>
        <v/>
      </c>
      <c r="D242" s="73" t="str">
        <f aca="false">IF($AU242="","",INDEX('REGISTRE ELEVES'!$E$10:$E$250,$AU242))</f>
        <v/>
      </c>
      <c r="E242" s="73" t="str">
        <f aca="false">IF($AU242="","",INDEX('REGISTRE ELEVES'!$F$10:$F$250,$AU242))</f>
        <v/>
      </c>
      <c r="F242" s="73" t="str">
        <f aca="false">IF($AU242="","",INDEX('REGISTRE ELEVES'!$AE$10:$AE$250,$AU242))</f>
        <v/>
      </c>
      <c r="G242" s="75"/>
      <c r="H242" s="76"/>
      <c r="I242" s="76"/>
      <c r="J242" s="76"/>
      <c r="K242" s="76"/>
      <c r="L242" s="76"/>
      <c r="M242" s="76"/>
      <c r="N242" s="76"/>
      <c r="O242" s="76"/>
      <c r="P242" s="77" t="str">
        <f aca="false">IF(B242="","",IF($G242="NON",0,IF(COUNT(H242:O242)=0,"",IFERROR(ROUND(SUMPRODUCT(H242:O242,$H$8:$O$8)/SUMPRODUCT(ISNUMBER(H242:O242)*$H$8:$O$8),2),""))))</f>
        <v/>
      </c>
      <c r="Q242" s="75"/>
      <c r="R242" s="76"/>
      <c r="S242" s="76"/>
      <c r="T242" s="76"/>
      <c r="U242" s="76"/>
      <c r="V242" s="76"/>
      <c r="W242" s="76"/>
      <c r="X242" s="76"/>
      <c r="Y242" s="76"/>
      <c r="Z242" s="77" t="str">
        <f aca="false">IF(B242="","",IF($Q242="NON",0,IF(COUNT(R242:Y242)=0,"",IFERROR(ROUND(SUMPRODUCT(R242:Y242,$R$8:$Y$8)/SUMPRODUCT(ISNUMBER(R242:Y242)*$R$8:$Y$8),2),""))))</f>
        <v/>
      </c>
      <c r="AA242" s="75"/>
      <c r="AB242" s="76"/>
      <c r="AC242" s="76"/>
      <c r="AD242" s="76"/>
      <c r="AE242" s="76"/>
      <c r="AF242" s="76"/>
      <c r="AG242" s="76"/>
      <c r="AH242" s="76"/>
      <c r="AI242" s="76"/>
      <c r="AJ242" s="77" t="str">
        <f aca="false">IF(B242="","",IF($AA242="NON",0,IF(COUNT(AB242:AI242)=0,"",IFERROR(ROUND(SUMPRODUCT(AB242:AI242,$AB$8:$AI$8)/SUMPRODUCT(ISNUMBER(AB242:AI242)*$AB$8:$AI$8),2),""))))</f>
        <v/>
      </c>
      <c r="AK242" s="75"/>
      <c r="AL242" s="76"/>
      <c r="AM242" s="76"/>
      <c r="AN242" s="76"/>
      <c r="AO242" s="76"/>
      <c r="AP242" s="76"/>
      <c r="AQ242" s="76"/>
      <c r="AR242" s="76"/>
      <c r="AS242" s="76"/>
      <c r="AT242" s="77" t="str">
        <f aca="false">IF(B242="","",IF($AK242="NON",0,IF(COUNT(AL242:AS242)=0,"",IFERROR(ROUND(SUMPRODUCT(AL242:AS242,$AL$8:$AS$8)/SUMPRODUCT(ISNUMBER(AL242:AS242)*$AL$8:$AS$8),2),""))))</f>
        <v/>
      </c>
      <c r="AU242" s="51" t="str">
        <f aca="false">IFERROR(MATCH("CP-233",'REGISTRE ELEVES'!$AI$10:$AI$250,0),"")</f>
        <v/>
      </c>
    </row>
    <row r="243" customFormat="false" ht="15" hidden="false" customHeight="false" outlineLevel="0" collapsed="false">
      <c r="A243" s="73" t="str">
        <f aca="false">IF(B243="","",234)</f>
        <v/>
      </c>
      <c r="B243" s="73" t="str">
        <f aca="false">IF($AU243="","",INDEX('REGISTRE ELEVES'!$B$10:$B$250,$AU243))</f>
        <v/>
      </c>
      <c r="C243" s="74" t="str">
        <f aca="false">IF($AU243="","",INDEX('REGISTRE ELEVES'!$D$10:$D$250,$AU243))</f>
        <v/>
      </c>
      <c r="D243" s="73" t="str">
        <f aca="false">IF($AU243="","",INDEX('REGISTRE ELEVES'!$E$10:$E$250,$AU243))</f>
        <v/>
      </c>
      <c r="E243" s="73" t="str">
        <f aca="false">IF($AU243="","",INDEX('REGISTRE ELEVES'!$F$10:$F$250,$AU243))</f>
        <v/>
      </c>
      <c r="F243" s="73" t="str">
        <f aca="false">IF($AU243="","",INDEX('REGISTRE ELEVES'!$AE$10:$AE$250,$AU243))</f>
        <v/>
      </c>
      <c r="G243" s="75"/>
      <c r="H243" s="76"/>
      <c r="I243" s="76"/>
      <c r="J243" s="76"/>
      <c r="K243" s="76"/>
      <c r="L243" s="76"/>
      <c r="M243" s="76"/>
      <c r="N243" s="76"/>
      <c r="O243" s="76"/>
      <c r="P243" s="77" t="str">
        <f aca="false">IF(B243="","",IF($G243="NON",0,IF(COUNT(H243:O243)=0,"",IFERROR(ROUND(SUMPRODUCT(H243:O243,$H$8:$O$8)/SUMPRODUCT(ISNUMBER(H243:O243)*$H$8:$O$8),2),""))))</f>
        <v/>
      </c>
      <c r="Q243" s="75"/>
      <c r="R243" s="76"/>
      <c r="S243" s="76"/>
      <c r="T243" s="76"/>
      <c r="U243" s="76"/>
      <c r="V243" s="76"/>
      <c r="W243" s="76"/>
      <c r="X243" s="76"/>
      <c r="Y243" s="76"/>
      <c r="Z243" s="77" t="str">
        <f aca="false">IF(B243="","",IF($Q243="NON",0,IF(COUNT(R243:Y243)=0,"",IFERROR(ROUND(SUMPRODUCT(R243:Y243,$R$8:$Y$8)/SUMPRODUCT(ISNUMBER(R243:Y243)*$R$8:$Y$8),2),""))))</f>
        <v/>
      </c>
      <c r="AA243" s="75"/>
      <c r="AB243" s="76"/>
      <c r="AC243" s="76"/>
      <c r="AD243" s="76"/>
      <c r="AE243" s="76"/>
      <c r="AF243" s="76"/>
      <c r="AG243" s="76"/>
      <c r="AH243" s="76"/>
      <c r="AI243" s="76"/>
      <c r="AJ243" s="77" t="str">
        <f aca="false">IF(B243="","",IF($AA243="NON",0,IF(COUNT(AB243:AI243)=0,"",IFERROR(ROUND(SUMPRODUCT(AB243:AI243,$AB$8:$AI$8)/SUMPRODUCT(ISNUMBER(AB243:AI243)*$AB$8:$AI$8),2),""))))</f>
        <v/>
      </c>
      <c r="AK243" s="75"/>
      <c r="AL243" s="76"/>
      <c r="AM243" s="76"/>
      <c r="AN243" s="76"/>
      <c r="AO243" s="76"/>
      <c r="AP243" s="76"/>
      <c r="AQ243" s="76"/>
      <c r="AR243" s="76"/>
      <c r="AS243" s="76"/>
      <c r="AT243" s="77" t="str">
        <f aca="false">IF(B243="","",IF($AK243="NON",0,IF(COUNT(AL243:AS243)=0,"",IFERROR(ROUND(SUMPRODUCT(AL243:AS243,$AL$8:$AS$8)/SUMPRODUCT(ISNUMBER(AL243:AS243)*$AL$8:$AS$8),2),""))))</f>
        <v/>
      </c>
      <c r="AU243" s="51" t="str">
        <f aca="false">IFERROR(MATCH("CP-234",'REGISTRE ELEVES'!$AI$10:$AI$250,0),"")</f>
        <v/>
      </c>
    </row>
    <row r="244" customFormat="false" ht="15" hidden="false" customHeight="false" outlineLevel="0" collapsed="false">
      <c r="A244" s="73" t="str">
        <f aca="false">IF(B244="","",235)</f>
        <v/>
      </c>
      <c r="B244" s="73" t="str">
        <f aca="false">IF($AU244="","",INDEX('REGISTRE ELEVES'!$B$10:$B$250,$AU244))</f>
        <v/>
      </c>
      <c r="C244" s="74" t="str">
        <f aca="false">IF($AU244="","",INDEX('REGISTRE ELEVES'!$D$10:$D$250,$AU244))</f>
        <v/>
      </c>
      <c r="D244" s="73" t="str">
        <f aca="false">IF($AU244="","",INDEX('REGISTRE ELEVES'!$E$10:$E$250,$AU244))</f>
        <v/>
      </c>
      <c r="E244" s="73" t="str">
        <f aca="false">IF($AU244="","",INDEX('REGISTRE ELEVES'!$F$10:$F$250,$AU244))</f>
        <v/>
      </c>
      <c r="F244" s="73" t="str">
        <f aca="false">IF($AU244="","",INDEX('REGISTRE ELEVES'!$AE$10:$AE$250,$AU244))</f>
        <v/>
      </c>
      <c r="G244" s="75"/>
      <c r="H244" s="76"/>
      <c r="I244" s="76"/>
      <c r="J244" s="76"/>
      <c r="K244" s="76"/>
      <c r="L244" s="76"/>
      <c r="M244" s="76"/>
      <c r="N244" s="76"/>
      <c r="O244" s="76"/>
      <c r="P244" s="77" t="str">
        <f aca="false">IF(B244="","",IF($G244="NON",0,IF(COUNT(H244:O244)=0,"",IFERROR(ROUND(SUMPRODUCT(H244:O244,$H$8:$O$8)/SUMPRODUCT(ISNUMBER(H244:O244)*$H$8:$O$8),2),""))))</f>
        <v/>
      </c>
      <c r="Q244" s="75"/>
      <c r="R244" s="76"/>
      <c r="S244" s="76"/>
      <c r="T244" s="76"/>
      <c r="U244" s="76"/>
      <c r="V244" s="76"/>
      <c r="W244" s="76"/>
      <c r="X244" s="76"/>
      <c r="Y244" s="76"/>
      <c r="Z244" s="77" t="str">
        <f aca="false">IF(B244="","",IF($Q244="NON",0,IF(COUNT(R244:Y244)=0,"",IFERROR(ROUND(SUMPRODUCT(R244:Y244,$R$8:$Y$8)/SUMPRODUCT(ISNUMBER(R244:Y244)*$R$8:$Y$8),2),""))))</f>
        <v/>
      </c>
      <c r="AA244" s="75"/>
      <c r="AB244" s="76"/>
      <c r="AC244" s="76"/>
      <c r="AD244" s="76"/>
      <c r="AE244" s="76"/>
      <c r="AF244" s="76"/>
      <c r="AG244" s="76"/>
      <c r="AH244" s="76"/>
      <c r="AI244" s="76"/>
      <c r="AJ244" s="77" t="str">
        <f aca="false">IF(B244="","",IF($AA244="NON",0,IF(COUNT(AB244:AI244)=0,"",IFERROR(ROUND(SUMPRODUCT(AB244:AI244,$AB$8:$AI$8)/SUMPRODUCT(ISNUMBER(AB244:AI244)*$AB$8:$AI$8),2),""))))</f>
        <v/>
      </c>
      <c r="AK244" s="75"/>
      <c r="AL244" s="76"/>
      <c r="AM244" s="76"/>
      <c r="AN244" s="76"/>
      <c r="AO244" s="76"/>
      <c r="AP244" s="76"/>
      <c r="AQ244" s="76"/>
      <c r="AR244" s="76"/>
      <c r="AS244" s="76"/>
      <c r="AT244" s="77" t="str">
        <f aca="false">IF(B244="","",IF($AK244="NON",0,IF(COUNT(AL244:AS244)=0,"",IFERROR(ROUND(SUMPRODUCT(AL244:AS244,$AL$8:$AS$8)/SUMPRODUCT(ISNUMBER(AL244:AS244)*$AL$8:$AS$8),2),""))))</f>
        <v/>
      </c>
      <c r="AU244" s="51" t="str">
        <f aca="false">IFERROR(MATCH("CP-235",'REGISTRE ELEVES'!$AI$10:$AI$250,0),"")</f>
        <v/>
      </c>
    </row>
    <row r="245" customFormat="false" ht="15" hidden="false" customHeight="false" outlineLevel="0" collapsed="false">
      <c r="A245" s="73" t="str">
        <f aca="false">IF(B245="","",236)</f>
        <v/>
      </c>
      <c r="B245" s="73" t="str">
        <f aca="false">IF($AU245="","",INDEX('REGISTRE ELEVES'!$B$10:$B$250,$AU245))</f>
        <v/>
      </c>
      <c r="C245" s="74" t="str">
        <f aca="false">IF($AU245="","",INDEX('REGISTRE ELEVES'!$D$10:$D$250,$AU245))</f>
        <v/>
      </c>
      <c r="D245" s="73" t="str">
        <f aca="false">IF($AU245="","",INDEX('REGISTRE ELEVES'!$E$10:$E$250,$AU245))</f>
        <v/>
      </c>
      <c r="E245" s="73" t="str">
        <f aca="false">IF($AU245="","",INDEX('REGISTRE ELEVES'!$F$10:$F$250,$AU245))</f>
        <v/>
      </c>
      <c r="F245" s="73" t="str">
        <f aca="false">IF($AU245="","",INDEX('REGISTRE ELEVES'!$AE$10:$AE$250,$AU245))</f>
        <v/>
      </c>
      <c r="G245" s="75"/>
      <c r="H245" s="76"/>
      <c r="I245" s="76"/>
      <c r="J245" s="76"/>
      <c r="K245" s="76"/>
      <c r="L245" s="76"/>
      <c r="M245" s="76"/>
      <c r="N245" s="76"/>
      <c r="O245" s="76"/>
      <c r="P245" s="77" t="str">
        <f aca="false">IF(B245="","",IF($G245="NON",0,IF(COUNT(H245:O245)=0,"",IFERROR(ROUND(SUMPRODUCT(H245:O245,$H$8:$O$8)/SUMPRODUCT(ISNUMBER(H245:O245)*$H$8:$O$8),2),""))))</f>
        <v/>
      </c>
      <c r="Q245" s="75"/>
      <c r="R245" s="76"/>
      <c r="S245" s="76"/>
      <c r="T245" s="76"/>
      <c r="U245" s="76"/>
      <c r="V245" s="76"/>
      <c r="W245" s="76"/>
      <c r="X245" s="76"/>
      <c r="Y245" s="76"/>
      <c r="Z245" s="77" t="str">
        <f aca="false">IF(B245="","",IF($Q245="NON",0,IF(COUNT(R245:Y245)=0,"",IFERROR(ROUND(SUMPRODUCT(R245:Y245,$R$8:$Y$8)/SUMPRODUCT(ISNUMBER(R245:Y245)*$R$8:$Y$8),2),""))))</f>
        <v/>
      </c>
      <c r="AA245" s="75"/>
      <c r="AB245" s="76"/>
      <c r="AC245" s="76"/>
      <c r="AD245" s="76"/>
      <c r="AE245" s="76"/>
      <c r="AF245" s="76"/>
      <c r="AG245" s="76"/>
      <c r="AH245" s="76"/>
      <c r="AI245" s="76"/>
      <c r="AJ245" s="77" t="str">
        <f aca="false">IF(B245="","",IF($AA245="NON",0,IF(COUNT(AB245:AI245)=0,"",IFERROR(ROUND(SUMPRODUCT(AB245:AI245,$AB$8:$AI$8)/SUMPRODUCT(ISNUMBER(AB245:AI245)*$AB$8:$AI$8),2),""))))</f>
        <v/>
      </c>
      <c r="AK245" s="75"/>
      <c r="AL245" s="76"/>
      <c r="AM245" s="76"/>
      <c r="AN245" s="76"/>
      <c r="AO245" s="76"/>
      <c r="AP245" s="76"/>
      <c r="AQ245" s="76"/>
      <c r="AR245" s="76"/>
      <c r="AS245" s="76"/>
      <c r="AT245" s="77" t="str">
        <f aca="false">IF(B245="","",IF($AK245="NON",0,IF(COUNT(AL245:AS245)=0,"",IFERROR(ROUND(SUMPRODUCT(AL245:AS245,$AL$8:$AS$8)/SUMPRODUCT(ISNUMBER(AL245:AS245)*$AL$8:$AS$8),2),""))))</f>
        <v/>
      </c>
      <c r="AU245" s="51" t="str">
        <f aca="false">IFERROR(MATCH("CP-236",'REGISTRE ELEVES'!$AI$10:$AI$250,0),"")</f>
        <v/>
      </c>
    </row>
    <row r="246" customFormat="false" ht="15" hidden="false" customHeight="false" outlineLevel="0" collapsed="false">
      <c r="A246" s="73" t="str">
        <f aca="false">IF(B246="","",237)</f>
        <v/>
      </c>
      <c r="B246" s="73" t="str">
        <f aca="false">IF($AU246="","",INDEX('REGISTRE ELEVES'!$B$10:$B$250,$AU246))</f>
        <v/>
      </c>
      <c r="C246" s="74" t="str">
        <f aca="false">IF($AU246="","",INDEX('REGISTRE ELEVES'!$D$10:$D$250,$AU246))</f>
        <v/>
      </c>
      <c r="D246" s="73" t="str">
        <f aca="false">IF($AU246="","",INDEX('REGISTRE ELEVES'!$E$10:$E$250,$AU246))</f>
        <v/>
      </c>
      <c r="E246" s="73" t="str">
        <f aca="false">IF($AU246="","",INDEX('REGISTRE ELEVES'!$F$10:$F$250,$AU246))</f>
        <v/>
      </c>
      <c r="F246" s="73" t="str">
        <f aca="false">IF($AU246="","",INDEX('REGISTRE ELEVES'!$AE$10:$AE$250,$AU246))</f>
        <v/>
      </c>
      <c r="G246" s="75"/>
      <c r="H246" s="76"/>
      <c r="I246" s="76"/>
      <c r="J246" s="76"/>
      <c r="K246" s="76"/>
      <c r="L246" s="76"/>
      <c r="M246" s="76"/>
      <c r="N246" s="76"/>
      <c r="O246" s="76"/>
      <c r="P246" s="77" t="str">
        <f aca="false">IF(B246="","",IF($G246="NON",0,IF(COUNT(H246:O246)=0,"",IFERROR(ROUND(SUMPRODUCT(H246:O246,$H$8:$O$8)/SUMPRODUCT(ISNUMBER(H246:O246)*$H$8:$O$8),2),""))))</f>
        <v/>
      </c>
      <c r="Q246" s="75"/>
      <c r="R246" s="76"/>
      <c r="S246" s="76"/>
      <c r="T246" s="76"/>
      <c r="U246" s="76"/>
      <c r="V246" s="76"/>
      <c r="W246" s="76"/>
      <c r="X246" s="76"/>
      <c r="Y246" s="76"/>
      <c r="Z246" s="77" t="str">
        <f aca="false">IF(B246="","",IF($Q246="NON",0,IF(COUNT(R246:Y246)=0,"",IFERROR(ROUND(SUMPRODUCT(R246:Y246,$R$8:$Y$8)/SUMPRODUCT(ISNUMBER(R246:Y246)*$R$8:$Y$8),2),""))))</f>
        <v/>
      </c>
      <c r="AA246" s="75"/>
      <c r="AB246" s="76"/>
      <c r="AC246" s="76"/>
      <c r="AD246" s="76"/>
      <c r="AE246" s="76"/>
      <c r="AF246" s="76"/>
      <c r="AG246" s="76"/>
      <c r="AH246" s="76"/>
      <c r="AI246" s="76"/>
      <c r="AJ246" s="77" t="str">
        <f aca="false">IF(B246="","",IF($AA246="NON",0,IF(COUNT(AB246:AI246)=0,"",IFERROR(ROUND(SUMPRODUCT(AB246:AI246,$AB$8:$AI$8)/SUMPRODUCT(ISNUMBER(AB246:AI246)*$AB$8:$AI$8),2),""))))</f>
        <v/>
      </c>
      <c r="AK246" s="75"/>
      <c r="AL246" s="76"/>
      <c r="AM246" s="76"/>
      <c r="AN246" s="76"/>
      <c r="AO246" s="76"/>
      <c r="AP246" s="76"/>
      <c r="AQ246" s="76"/>
      <c r="AR246" s="76"/>
      <c r="AS246" s="76"/>
      <c r="AT246" s="77" t="str">
        <f aca="false">IF(B246="","",IF($AK246="NON",0,IF(COUNT(AL246:AS246)=0,"",IFERROR(ROUND(SUMPRODUCT(AL246:AS246,$AL$8:$AS$8)/SUMPRODUCT(ISNUMBER(AL246:AS246)*$AL$8:$AS$8),2),""))))</f>
        <v/>
      </c>
      <c r="AU246" s="51" t="str">
        <f aca="false">IFERROR(MATCH("CP-237",'REGISTRE ELEVES'!$AI$10:$AI$250,0),"")</f>
        <v/>
      </c>
    </row>
    <row r="247" customFormat="false" ht="15" hidden="false" customHeight="false" outlineLevel="0" collapsed="false">
      <c r="A247" s="73" t="str">
        <f aca="false">IF(B247="","",238)</f>
        <v/>
      </c>
      <c r="B247" s="73" t="str">
        <f aca="false">IF($AU247="","",INDEX('REGISTRE ELEVES'!$B$10:$B$250,$AU247))</f>
        <v/>
      </c>
      <c r="C247" s="74" t="str">
        <f aca="false">IF($AU247="","",INDEX('REGISTRE ELEVES'!$D$10:$D$250,$AU247))</f>
        <v/>
      </c>
      <c r="D247" s="73" t="str">
        <f aca="false">IF($AU247="","",INDEX('REGISTRE ELEVES'!$E$10:$E$250,$AU247))</f>
        <v/>
      </c>
      <c r="E247" s="73" t="str">
        <f aca="false">IF($AU247="","",INDEX('REGISTRE ELEVES'!$F$10:$F$250,$AU247))</f>
        <v/>
      </c>
      <c r="F247" s="73" t="str">
        <f aca="false">IF($AU247="","",INDEX('REGISTRE ELEVES'!$AE$10:$AE$250,$AU247))</f>
        <v/>
      </c>
      <c r="G247" s="75"/>
      <c r="H247" s="76"/>
      <c r="I247" s="76"/>
      <c r="J247" s="76"/>
      <c r="K247" s="76"/>
      <c r="L247" s="76"/>
      <c r="M247" s="76"/>
      <c r="N247" s="76"/>
      <c r="O247" s="76"/>
      <c r="P247" s="77" t="str">
        <f aca="false">IF(B247="","",IF($G247="NON",0,IF(COUNT(H247:O247)=0,"",IFERROR(ROUND(SUMPRODUCT(H247:O247,$H$8:$O$8)/SUMPRODUCT(ISNUMBER(H247:O247)*$H$8:$O$8),2),""))))</f>
        <v/>
      </c>
      <c r="Q247" s="75"/>
      <c r="R247" s="76"/>
      <c r="S247" s="76"/>
      <c r="T247" s="76"/>
      <c r="U247" s="76"/>
      <c r="V247" s="76"/>
      <c r="W247" s="76"/>
      <c r="X247" s="76"/>
      <c r="Y247" s="76"/>
      <c r="Z247" s="77" t="str">
        <f aca="false">IF(B247="","",IF($Q247="NON",0,IF(COUNT(R247:Y247)=0,"",IFERROR(ROUND(SUMPRODUCT(R247:Y247,$R$8:$Y$8)/SUMPRODUCT(ISNUMBER(R247:Y247)*$R$8:$Y$8),2),""))))</f>
        <v/>
      </c>
      <c r="AA247" s="75"/>
      <c r="AB247" s="76"/>
      <c r="AC247" s="76"/>
      <c r="AD247" s="76"/>
      <c r="AE247" s="76"/>
      <c r="AF247" s="76"/>
      <c r="AG247" s="76"/>
      <c r="AH247" s="76"/>
      <c r="AI247" s="76"/>
      <c r="AJ247" s="77" t="str">
        <f aca="false">IF(B247="","",IF($AA247="NON",0,IF(COUNT(AB247:AI247)=0,"",IFERROR(ROUND(SUMPRODUCT(AB247:AI247,$AB$8:$AI$8)/SUMPRODUCT(ISNUMBER(AB247:AI247)*$AB$8:$AI$8),2),""))))</f>
        <v/>
      </c>
      <c r="AK247" s="75"/>
      <c r="AL247" s="76"/>
      <c r="AM247" s="76"/>
      <c r="AN247" s="76"/>
      <c r="AO247" s="76"/>
      <c r="AP247" s="76"/>
      <c r="AQ247" s="76"/>
      <c r="AR247" s="76"/>
      <c r="AS247" s="76"/>
      <c r="AT247" s="77" t="str">
        <f aca="false">IF(B247="","",IF($AK247="NON",0,IF(COUNT(AL247:AS247)=0,"",IFERROR(ROUND(SUMPRODUCT(AL247:AS247,$AL$8:$AS$8)/SUMPRODUCT(ISNUMBER(AL247:AS247)*$AL$8:$AS$8),2),""))))</f>
        <v/>
      </c>
      <c r="AU247" s="51" t="str">
        <f aca="false">IFERROR(MATCH("CP-238",'REGISTRE ELEVES'!$AI$10:$AI$250,0),"")</f>
        <v/>
      </c>
    </row>
    <row r="248" customFormat="false" ht="15" hidden="false" customHeight="false" outlineLevel="0" collapsed="false">
      <c r="A248" s="73" t="str">
        <f aca="false">IF(B248="","",239)</f>
        <v/>
      </c>
      <c r="B248" s="73" t="str">
        <f aca="false">IF($AU248="","",INDEX('REGISTRE ELEVES'!$B$10:$B$250,$AU248))</f>
        <v/>
      </c>
      <c r="C248" s="74" t="str">
        <f aca="false">IF($AU248="","",INDEX('REGISTRE ELEVES'!$D$10:$D$250,$AU248))</f>
        <v/>
      </c>
      <c r="D248" s="73" t="str">
        <f aca="false">IF($AU248="","",INDEX('REGISTRE ELEVES'!$E$10:$E$250,$AU248))</f>
        <v/>
      </c>
      <c r="E248" s="73" t="str">
        <f aca="false">IF($AU248="","",INDEX('REGISTRE ELEVES'!$F$10:$F$250,$AU248))</f>
        <v/>
      </c>
      <c r="F248" s="73" t="str">
        <f aca="false">IF($AU248="","",INDEX('REGISTRE ELEVES'!$AE$10:$AE$250,$AU248))</f>
        <v/>
      </c>
      <c r="G248" s="75"/>
      <c r="H248" s="76"/>
      <c r="I248" s="76"/>
      <c r="J248" s="76"/>
      <c r="K248" s="76"/>
      <c r="L248" s="76"/>
      <c r="M248" s="76"/>
      <c r="N248" s="76"/>
      <c r="O248" s="76"/>
      <c r="P248" s="77" t="str">
        <f aca="false">IF(B248="","",IF($G248="NON",0,IF(COUNT(H248:O248)=0,"",IFERROR(ROUND(SUMPRODUCT(H248:O248,$H$8:$O$8)/SUMPRODUCT(ISNUMBER(H248:O248)*$H$8:$O$8),2),""))))</f>
        <v/>
      </c>
      <c r="Q248" s="75"/>
      <c r="R248" s="76"/>
      <c r="S248" s="76"/>
      <c r="T248" s="76"/>
      <c r="U248" s="76"/>
      <c r="V248" s="76"/>
      <c r="W248" s="76"/>
      <c r="X248" s="76"/>
      <c r="Y248" s="76"/>
      <c r="Z248" s="77" t="str">
        <f aca="false">IF(B248="","",IF($Q248="NON",0,IF(COUNT(R248:Y248)=0,"",IFERROR(ROUND(SUMPRODUCT(R248:Y248,$R$8:$Y$8)/SUMPRODUCT(ISNUMBER(R248:Y248)*$R$8:$Y$8),2),""))))</f>
        <v/>
      </c>
      <c r="AA248" s="75"/>
      <c r="AB248" s="76"/>
      <c r="AC248" s="76"/>
      <c r="AD248" s="76"/>
      <c r="AE248" s="76"/>
      <c r="AF248" s="76"/>
      <c r="AG248" s="76"/>
      <c r="AH248" s="76"/>
      <c r="AI248" s="76"/>
      <c r="AJ248" s="77" t="str">
        <f aca="false">IF(B248="","",IF($AA248="NON",0,IF(COUNT(AB248:AI248)=0,"",IFERROR(ROUND(SUMPRODUCT(AB248:AI248,$AB$8:$AI$8)/SUMPRODUCT(ISNUMBER(AB248:AI248)*$AB$8:$AI$8),2),""))))</f>
        <v/>
      </c>
      <c r="AK248" s="75"/>
      <c r="AL248" s="76"/>
      <c r="AM248" s="76"/>
      <c r="AN248" s="76"/>
      <c r="AO248" s="76"/>
      <c r="AP248" s="76"/>
      <c r="AQ248" s="76"/>
      <c r="AR248" s="76"/>
      <c r="AS248" s="76"/>
      <c r="AT248" s="77" t="str">
        <f aca="false">IF(B248="","",IF($AK248="NON",0,IF(COUNT(AL248:AS248)=0,"",IFERROR(ROUND(SUMPRODUCT(AL248:AS248,$AL$8:$AS$8)/SUMPRODUCT(ISNUMBER(AL248:AS248)*$AL$8:$AS$8),2),""))))</f>
        <v/>
      </c>
      <c r="AU248" s="51" t="str">
        <f aca="false">IFERROR(MATCH("CP-239",'REGISTRE ELEVES'!$AI$10:$AI$250,0),"")</f>
        <v/>
      </c>
    </row>
    <row r="249" customFormat="false" ht="15" hidden="false" customHeight="false" outlineLevel="0" collapsed="false">
      <c r="A249" s="73" t="str">
        <f aca="false">IF(B249="","",240)</f>
        <v/>
      </c>
      <c r="B249" s="73" t="str">
        <f aca="false">IF($AU249="","",INDEX('REGISTRE ELEVES'!$B$10:$B$250,$AU249))</f>
        <v/>
      </c>
      <c r="C249" s="74" t="str">
        <f aca="false">IF($AU249="","",INDEX('REGISTRE ELEVES'!$D$10:$D$250,$AU249))</f>
        <v/>
      </c>
      <c r="D249" s="73" t="str">
        <f aca="false">IF($AU249="","",INDEX('REGISTRE ELEVES'!$E$10:$E$250,$AU249))</f>
        <v/>
      </c>
      <c r="E249" s="73" t="str">
        <f aca="false">IF($AU249="","",INDEX('REGISTRE ELEVES'!$F$10:$F$250,$AU249))</f>
        <v/>
      </c>
      <c r="F249" s="73" t="str">
        <f aca="false">IF($AU249="","",INDEX('REGISTRE ELEVES'!$AE$10:$AE$250,$AU249))</f>
        <v/>
      </c>
      <c r="G249" s="75"/>
      <c r="H249" s="76"/>
      <c r="I249" s="76"/>
      <c r="J249" s="76"/>
      <c r="K249" s="76"/>
      <c r="L249" s="76"/>
      <c r="M249" s="76"/>
      <c r="N249" s="76"/>
      <c r="O249" s="76"/>
      <c r="P249" s="77" t="str">
        <f aca="false">IF(B249="","",IF($G249="NON",0,IF(COUNT(H249:O249)=0,"",IFERROR(ROUND(SUMPRODUCT(H249:O249,$H$8:$O$8)/SUMPRODUCT(ISNUMBER(H249:O249)*$H$8:$O$8),2),""))))</f>
        <v/>
      </c>
      <c r="Q249" s="75"/>
      <c r="R249" s="76"/>
      <c r="S249" s="76"/>
      <c r="T249" s="76"/>
      <c r="U249" s="76"/>
      <c r="V249" s="76"/>
      <c r="W249" s="76"/>
      <c r="X249" s="76"/>
      <c r="Y249" s="76"/>
      <c r="Z249" s="77" t="str">
        <f aca="false">IF(B249="","",IF($Q249="NON",0,IF(COUNT(R249:Y249)=0,"",IFERROR(ROUND(SUMPRODUCT(R249:Y249,$R$8:$Y$8)/SUMPRODUCT(ISNUMBER(R249:Y249)*$R$8:$Y$8),2),""))))</f>
        <v/>
      </c>
      <c r="AA249" s="75"/>
      <c r="AB249" s="76"/>
      <c r="AC249" s="76"/>
      <c r="AD249" s="76"/>
      <c r="AE249" s="76"/>
      <c r="AF249" s="76"/>
      <c r="AG249" s="76"/>
      <c r="AH249" s="76"/>
      <c r="AI249" s="76"/>
      <c r="AJ249" s="77" t="str">
        <f aca="false">IF(B249="","",IF($AA249="NON",0,IF(COUNT(AB249:AI249)=0,"",IFERROR(ROUND(SUMPRODUCT(AB249:AI249,$AB$8:$AI$8)/SUMPRODUCT(ISNUMBER(AB249:AI249)*$AB$8:$AI$8),2),""))))</f>
        <v/>
      </c>
      <c r="AK249" s="75"/>
      <c r="AL249" s="76"/>
      <c r="AM249" s="76"/>
      <c r="AN249" s="76"/>
      <c r="AO249" s="76"/>
      <c r="AP249" s="76"/>
      <c r="AQ249" s="76"/>
      <c r="AR249" s="76"/>
      <c r="AS249" s="76"/>
      <c r="AT249" s="77" t="str">
        <f aca="false">IF(B249="","",IF($AK249="NON",0,IF(COUNT(AL249:AS249)=0,"",IFERROR(ROUND(SUMPRODUCT(AL249:AS249,$AL$8:$AS$8)/SUMPRODUCT(ISNUMBER(AL249:AS249)*$AL$8:$AS$8),2),""))))</f>
        <v/>
      </c>
      <c r="AU249" s="51" t="str">
        <f aca="false">IFERROR(MATCH("CP-240",'REGISTRE ELEVES'!$AI$10:$AI$250,0),"")</f>
        <v/>
      </c>
    </row>
    <row r="250" customFormat="false" ht="15" hidden="false" customHeight="false" outlineLevel="0" collapsed="false">
      <c r="A250" s="73" t="str">
        <f aca="false">IF(B250="","",241)</f>
        <v/>
      </c>
      <c r="B250" s="73" t="str">
        <f aca="false">IF($AU250="","",INDEX('REGISTRE ELEVES'!$B$10:$B$250,$AU250))</f>
        <v/>
      </c>
      <c r="C250" s="74" t="str">
        <f aca="false">IF($AU250="","",INDEX('REGISTRE ELEVES'!$D$10:$D$250,$AU250))</f>
        <v/>
      </c>
      <c r="D250" s="73" t="str">
        <f aca="false">IF($AU250="","",INDEX('REGISTRE ELEVES'!$E$10:$E$250,$AU250))</f>
        <v/>
      </c>
      <c r="E250" s="73" t="str">
        <f aca="false">IF($AU250="","",INDEX('REGISTRE ELEVES'!$F$10:$F$250,$AU250))</f>
        <v/>
      </c>
      <c r="F250" s="73" t="str">
        <f aca="false">IF($AU250="","",INDEX('REGISTRE ELEVES'!$AE$10:$AE$250,$AU250))</f>
        <v/>
      </c>
      <c r="G250" s="75"/>
      <c r="H250" s="76"/>
      <c r="I250" s="76"/>
      <c r="J250" s="76"/>
      <c r="K250" s="76"/>
      <c r="L250" s="76"/>
      <c r="M250" s="76"/>
      <c r="N250" s="76"/>
      <c r="O250" s="76"/>
      <c r="P250" s="77" t="str">
        <f aca="false">IF(B250="","",IF($G250="NON",0,IF(COUNT(H250:O250)=0,"",IFERROR(ROUND(SUMPRODUCT(H250:O250,$H$8:$O$8)/SUMPRODUCT(ISNUMBER(H250:O250)*$H$8:$O$8),2),""))))</f>
        <v/>
      </c>
      <c r="Q250" s="75"/>
      <c r="R250" s="76"/>
      <c r="S250" s="76"/>
      <c r="T250" s="76"/>
      <c r="U250" s="76"/>
      <c r="V250" s="76"/>
      <c r="W250" s="76"/>
      <c r="X250" s="76"/>
      <c r="Y250" s="76"/>
      <c r="Z250" s="77" t="str">
        <f aca="false">IF(B250="","",IF($Q250="NON",0,IF(COUNT(R250:Y250)=0,"",IFERROR(ROUND(SUMPRODUCT(R250:Y250,$R$8:$Y$8)/SUMPRODUCT(ISNUMBER(R250:Y250)*$R$8:$Y$8),2),""))))</f>
        <v/>
      </c>
      <c r="AA250" s="75"/>
      <c r="AB250" s="76"/>
      <c r="AC250" s="76"/>
      <c r="AD250" s="76"/>
      <c r="AE250" s="76"/>
      <c r="AF250" s="76"/>
      <c r="AG250" s="76"/>
      <c r="AH250" s="76"/>
      <c r="AI250" s="76"/>
      <c r="AJ250" s="77" t="str">
        <f aca="false">IF(B250="","",IF($AA250="NON",0,IF(COUNT(AB250:AI250)=0,"",IFERROR(ROUND(SUMPRODUCT(AB250:AI250,$AB$8:$AI$8)/SUMPRODUCT(ISNUMBER(AB250:AI250)*$AB$8:$AI$8),2),""))))</f>
        <v/>
      </c>
      <c r="AK250" s="75"/>
      <c r="AL250" s="76"/>
      <c r="AM250" s="76"/>
      <c r="AN250" s="76"/>
      <c r="AO250" s="76"/>
      <c r="AP250" s="76"/>
      <c r="AQ250" s="76"/>
      <c r="AR250" s="76"/>
      <c r="AS250" s="76"/>
      <c r="AT250" s="77" t="str">
        <f aca="false">IF(B250="","",IF($AK250="NON",0,IF(COUNT(AL250:AS250)=0,"",IFERROR(ROUND(SUMPRODUCT(AL250:AS250,$AL$8:$AS$8)/SUMPRODUCT(ISNUMBER(AL250:AS250)*$AL$8:$AS$8),2),""))))</f>
        <v/>
      </c>
      <c r="AU250" s="51" t="str">
        <f aca="false">IFERROR(MATCH("CP-241",'REGISTRE ELEVES'!$AI$10:$AI$250,0),"")</f>
        <v/>
      </c>
    </row>
  </sheetData>
  <autoFilter ref="A9:AT250"/>
  <mergeCells count="13">
    <mergeCell ref="A1:W1"/>
    <mergeCell ref="X1:AT1"/>
    <mergeCell ref="A2:W2"/>
    <mergeCell ref="X2:AT2"/>
    <mergeCell ref="A3:W3"/>
    <mergeCell ref="X3:AT3"/>
    <mergeCell ref="A4:W4"/>
    <mergeCell ref="A6:AT6"/>
    <mergeCell ref="G7:P7"/>
    <mergeCell ref="Q7:Z7"/>
    <mergeCell ref="AA7:AJ7"/>
    <mergeCell ref="AK7:AT7"/>
    <mergeCell ref="C8:F8"/>
  </mergeCells>
  <conditionalFormatting sqref="H10:P250">
    <cfRule type="expression" priority="2" aboveAverage="0" equalAverage="0" bottom="0" percent="0" rank="0" text="" dxfId="25">
      <formula>$G10="NON"</formula>
    </cfRule>
  </conditionalFormatting>
  <conditionalFormatting sqref="G10:G250">
    <cfRule type="cellIs" priority="3" operator="equal" aboveAverage="0" equalAverage="0" bottom="0" percent="0" rank="0" text="" dxfId="26">
      <formula>"NON"</formula>
    </cfRule>
  </conditionalFormatting>
  <conditionalFormatting sqref="R10:Z250">
    <cfRule type="expression" priority="4" aboveAverage="0" equalAverage="0" bottom="0" percent="0" rank="0" text="" dxfId="25">
      <formula>$Q10="NON"</formula>
    </cfRule>
  </conditionalFormatting>
  <conditionalFormatting sqref="Q10:Q250">
    <cfRule type="cellIs" priority="5" operator="equal" aboveAverage="0" equalAverage="0" bottom="0" percent="0" rank="0" text="" dxfId="26">
      <formula>"NON"</formula>
    </cfRule>
  </conditionalFormatting>
  <conditionalFormatting sqref="AB10:AJ250">
    <cfRule type="expression" priority="6" aboveAverage="0" equalAverage="0" bottom="0" percent="0" rank="0" text="" dxfId="25">
      <formula>$AA10="NON"</formula>
    </cfRule>
  </conditionalFormatting>
  <conditionalFormatting sqref="AA10:AA250">
    <cfRule type="cellIs" priority="7" operator="equal" aboveAverage="0" equalAverage="0" bottom="0" percent="0" rank="0" text="" dxfId="26">
      <formula>"NON"</formula>
    </cfRule>
  </conditionalFormatting>
  <conditionalFormatting sqref="AL10:AT250">
    <cfRule type="expression" priority="8" aboveAverage="0" equalAverage="0" bottom="0" percent="0" rank="0" text="" dxfId="25">
      <formula>$AK10="NON"</formula>
    </cfRule>
  </conditionalFormatting>
  <conditionalFormatting sqref="AK10:AK250">
    <cfRule type="cellIs" priority="9" operator="equal" aboveAverage="0" equalAverage="0" bottom="0" percent="0" rank="0" text="" dxfId="26">
      <formula>"NON"</formula>
    </cfRule>
  </conditionalFormatting>
  <conditionalFormatting sqref="P10:P250">
    <cfRule type="expression" priority="10" aboveAverage="0" equalAverage="0" bottom="0" percent="0" rank="0" text="" dxfId="26">
      <formula>$G10="NON"</formula>
    </cfRule>
    <cfRule type="expression" priority="11" aboveAverage="0" equalAverage="0" bottom="0" percent="0" rank="0" text="" dxfId="27">
      <formula>AND(ISNUMBER(P10),P10&lt;10/2)</formula>
    </cfRule>
  </conditionalFormatting>
  <conditionalFormatting sqref="Z10:Z250">
    <cfRule type="expression" priority="12" aboveAverage="0" equalAverage="0" bottom="0" percent="0" rank="0" text="" dxfId="26">
      <formula>$Q10="NON"</formula>
    </cfRule>
    <cfRule type="expression" priority="13" aboveAverage="0" equalAverage="0" bottom="0" percent="0" rank="0" text="" dxfId="27">
      <formula>AND(ISNUMBER(Z10),Z10&lt;10/2)</formula>
    </cfRule>
  </conditionalFormatting>
  <conditionalFormatting sqref="AJ10:AJ250">
    <cfRule type="expression" priority="14" aboveAverage="0" equalAverage="0" bottom="0" percent="0" rank="0" text="" dxfId="26">
      <formula>$AA10="NON"</formula>
    </cfRule>
    <cfRule type="expression" priority="15" aboveAverage="0" equalAverage="0" bottom="0" percent="0" rank="0" text="" dxfId="27">
      <formula>AND(ISNUMBER(AJ10),AJ10&lt;10/2)</formula>
    </cfRule>
  </conditionalFormatting>
  <conditionalFormatting sqref="AT10:AT250">
    <cfRule type="expression" priority="16" aboveAverage="0" equalAverage="0" bottom="0" percent="0" rank="0" text="" dxfId="26">
      <formula>$AK10="NON"</formula>
    </cfRule>
    <cfRule type="expression" priority="17" aboveAverage="0" equalAverage="0" bottom="0" percent="0" rank="0" text="" dxfId="27">
      <formula>AND(ISNUMBER(AT10),AT10&lt;10/2)</formula>
    </cfRule>
  </conditionalFormatting>
  <conditionalFormatting sqref="A10:AT250">
    <cfRule type="expression" priority="18" aboveAverage="0" equalAverage="0" bottom="0" percent="0" rank="0" text="" dxfId="28">
      <formula>$F10="ABANDON"</formula>
    </cfRule>
  </conditionalFormatting>
  <conditionalFormatting sqref="H10:O250">
    <cfRule type="expression" priority="19" aboveAverage="0" equalAverage="0" bottom="0" percent="0" rank="0" text="" dxfId="29">
      <formula>AND(ISNUMBER(H10),H10&gt;10)</formula>
    </cfRule>
    <cfRule type="expression" priority="20" aboveAverage="0" equalAverage="0" bottom="0" percent="0" rank="0" text="" dxfId="30">
      <formula>AND(ISNUMBER(H10),H10&lt;10/2)</formula>
    </cfRule>
  </conditionalFormatting>
  <conditionalFormatting sqref="R10:Y250">
    <cfRule type="expression" priority="21" aboveAverage="0" equalAverage="0" bottom="0" percent="0" rank="0" text="" dxfId="29">
      <formula>AND(ISNUMBER(R10),R10&gt;10)</formula>
    </cfRule>
    <cfRule type="expression" priority="22" aboveAverage="0" equalAverage="0" bottom="0" percent="0" rank="0" text="" dxfId="30">
      <formula>AND(ISNUMBER(R10),R10&lt;10/2)</formula>
    </cfRule>
  </conditionalFormatting>
  <conditionalFormatting sqref="AB10:AI250">
    <cfRule type="expression" priority="23" aboveAverage="0" equalAverage="0" bottom="0" percent="0" rank="0" text="" dxfId="29">
      <formula>AND(ISNUMBER(AB10),AB10&gt;10)</formula>
    </cfRule>
    <cfRule type="expression" priority="24" aboveAverage="0" equalAverage="0" bottom="0" percent="0" rank="0" text="" dxfId="30">
      <formula>AND(ISNUMBER(AB10),AB10&lt;10/2)</formula>
    </cfRule>
  </conditionalFormatting>
  <conditionalFormatting sqref="AL10:AS250">
    <cfRule type="expression" priority="25" aboveAverage="0" equalAverage="0" bottom="0" percent="0" rank="0" text="" dxfId="29">
      <formula>AND(ISNUMBER(AL10),AL10&gt;10)</formula>
    </cfRule>
    <cfRule type="expression" priority="26" aboveAverage="0" equalAverage="0" bottom="0" percent="0" rank="0" text="" dxfId="30">
      <formula>AND(ISNUMBER(AL10),AL10&lt;10/2)</formula>
    </cfRule>
  </conditionalFormatting>
  <dataValidations count="33">
    <dataValidation allowBlank="true" error="OUI ou NON (vide = présent)" errorStyle="stop" errorTitle="Présence" operator="between" showDropDown="false" showErrorMessage="true" showInputMessage="false" sqref="G10:G250 Q10:Q250 AA10:AA250 AK10:AK250" type="list">
      <formula1>"OUI,NON"</formula1>
      <formula2>0</formula2>
    </dataValidation>
    <dataValidation allowBlank="false" error="Elève absent à cette évaluation (colonne « Présent ? » = NON) : la note ne peut pas être saisie. Sinon : note entre 0 et le barème." errorStyle="stop" errorTitle="Saisie impossible" operator="between" showDropDown="false" showErrorMessage="true" showInputMessage="false" sqref="H10:H250" type="custom">
      <formula1>AND($G10&lt;&gt;"NON",ISNUMBER(H10),H10&gt;=0,H10&lt;=10)</formula1>
      <formula2>0</formula2>
    </dataValidation>
    <dataValidation allowBlank="false" error="Elève absent à cette évaluation (colonne « Présent ? » = NON) : la note ne peut pas être saisie. Sinon : note entre 0 et le barème." errorStyle="stop" errorTitle="Saisie impossible" operator="between" showDropDown="false" showErrorMessage="true" showInputMessage="false" sqref="I10:I250" type="custom">
      <formula1>AND($G10&lt;&gt;"NON",ISNUMBER(I10),I10&gt;=0,I10&lt;=10)</formula1>
      <formula2>0</formula2>
    </dataValidation>
    <dataValidation allowBlank="false" error="Elève absent à cette évaluation (colonne « Présent ? » = NON) : la note ne peut pas être saisie. Sinon : note entre 0 et le barème." errorStyle="stop" errorTitle="Saisie impossible" operator="between" showDropDown="false" showErrorMessage="true" showInputMessage="false" sqref="J10:J250" type="custom">
      <formula1>AND($G10&lt;&gt;"NON",ISNUMBER(J10),J10&gt;=0,J10&lt;=10)</formula1>
      <formula2>0</formula2>
    </dataValidation>
    <dataValidation allowBlank="false" error="Elève absent à cette évaluation (colonne « Présent ? » = NON) : la note ne peut pas être saisie. Sinon : note entre 0 et le barème." errorStyle="stop" errorTitle="Saisie impossible" operator="between" showDropDown="false" showErrorMessage="true" showInputMessage="false" sqref="K10:K250" type="custom">
      <formula1>AND($G10&lt;&gt;"NON",ISNUMBER(K10),K10&gt;=0,K10&lt;=10)</formula1>
      <formula2>0</formula2>
    </dataValidation>
    <dataValidation allowBlank="false" error="Elève absent à cette évaluation (colonne « Présent ? » = NON) : la note ne peut pas être saisie. Sinon : note entre 0 et le barème." errorStyle="stop" errorTitle="Saisie impossible" operator="between" showDropDown="false" showErrorMessage="true" showInputMessage="false" sqref="L10:L250" type="custom">
      <formula1>AND($G10&lt;&gt;"NON",ISNUMBER(L10),L10&gt;=0,L10&lt;=10)</formula1>
      <formula2>0</formula2>
    </dataValidation>
    <dataValidation allowBlank="false" error="Elève absent à cette évaluation (colonne « Présent ? » = NON) : la note ne peut pas être saisie. Sinon : note entre 0 et le barème." errorStyle="stop" errorTitle="Saisie impossible" operator="between" showDropDown="false" showErrorMessage="true" showInputMessage="false" sqref="M10:M250" type="custom">
      <formula1>AND($G10&lt;&gt;"NON",ISNUMBER(M10),M10&gt;=0,M10&lt;=10)</formula1>
      <formula2>0</formula2>
    </dataValidation>
    <dataValidation allowBlank="false" error="Elève absent à cette évaluation (colonne « Présent ? » = NON) : la note ne peut pas être saisie. Sinon : note entre 0 et le barème." errorStyle="stop" errorTitle="Saisie impossible" operator="between" showDropDown="false" showErrorMessage="true" showInputMessage="false" sqref="N10:N250" type="custom">
      <formula1>AND($G10&lt;&gt;"NON",ISNUMBER(N10),N10&gt;=0,N10&lt;=10)</formula1>
      <formula2>0</formula2>
    </dataValidation>
    <dataValidation allowBlank="false" error="Elève absent à cette évaluation (colonne « Présent ? » = NON) : la note ne peut pas être saisie. Sinon : note entre 0 et le barème." errorStyle="stop" errorTitle="Saisie impossible" operator="between" showDropDown="false" showErrorMessage="true" showInputMessage="false" sqref="O10:O250" type="custom">
      <formula1>AND($G10&lt;&gt;"NON",ISNUMBER(O10),O10&gt;=0,O10&lt;=10)</formula1>
      <formula2>0</formula2>
    </dataValidation>
    <dataValidation allowBlank="false" error="Elève absent à cette évaluation (colonne « Présent ? » = NON) : la note ne peut pas être saisie. Sinon : note entre 0 et le barème." errorStyle="stop" errorTitle="Saisie impossible" operator="between" showDropDown="false" showErrorMessage="true" showInputMessage="false" sqref="R10:R250" type="custom">
      <formula1>AND($Q10&lt;&gt;"NON",ISNUMBER(R10),R10&gt;=0,R10&lt;=10)</formula1>
      <formula2>0</formula2>
    </dataValidation>
    <dataValidation allowBlank="false" error="Elève absent à cette évaluation (colonne « Présent ? » = NON) : la note ne peut pas être saisie. Sinon : note entre 0 et le barème." errorStyle="stop" errorTitle="Saisie impossible" operator="between" showDropDown="false" showErrorMessage="true" showInputMessage="false" sqref="S10:S250" type="custom">
      <formula1>AND($Q10&lt;&gt;"NON",ISNUMBER(S10),S10&gt;=0,S10&lt;=10)</formula1>
      <formula2>0</formula2>
    </dataValidation>
    <dataValidation allowBlank="false" error="Elève absent à cette évaluation (colonne « Présent ? » = NON) : la note ne peut pas être saisie. Sinon : note entre 0 et le barème." errorStyle="stop" errorTitle="Saisie impossible" operator="between" showDropDown="false" showErrorMessage="true" showInputMessage="false" sqref="T10:T250" type="custom">
      <formula1>AND($Q10&lt;&gt;"NON",ISNUMBER(T10),T10&gt;=0,T10&lt;=10)</formula1>
      <formula2>0</formula2>
    </dataValidation>
    <dataValidation allowBlank="false" error="Elève absent à cette évaluation (colonne « Présent ? » = NON) : la note ne peut pas être saisie. Sinon : note entre 0 et le barème." errorStyle="stop" errorTitle="Saisie impossible" operator="between" showDropDown="false" showErrorMessage="true" showInputMessage="false" sqref="U10:U250" type="custom">
      <formula1>AND($Q10&lt;&gt;"NON",ISNUMBER(U10),U10&gt;=0,U10&lt;=10)</formula1>
      <formula2>0</formula2>
    </dataValidation>
    <dataValidation allowBlank="false" error="Elève absent à cette évaluation (colonne « Présent ? » = NON) : la note ne peut pas être saisie. Sinon : note entre 0 et le barème." errorStyle="stop" errorTitle="Saisie impossible" operator="between" showDropDown="false" showErrorMessage="true" showInputMessage="false" sqref="V10:V250" type="custom">
      <formula1>AND($Q10&lt;&gt;"NON",ISNUMBER(V10),V10&gt;=0,V10&lt;=10)</formula1>
      <formula2>0</formula2>
    </dataValidation>
    <dataValidation allowBlank="false" error="Elève absent à cette évaluation (colonne « Présent ? » = NON) : la note ne peut pas être saisie. Sinon : note entre 0 et le barème." errorStyle="stop" errorTitle="Saisie impossible" operator="between" showDropDown="false" showErrorMessage="true" showInputMessage="false" sqref="W10:W250" type="custom">
      <formula1>AND($Q10&lt;&gt;"NON",ISNUMBER(W10),W10&gt;=0,W10&lt;=10)</formula1>
      <formula2>0</formula2>
    </dataValidation>
    <dataValidation allowBlank="false" error="Elève absent à cette évaluation (colonne « Présent ? » = NON) : la note ne peut pas être saisie. Sinon : note entre 0 et le barème." errorStyle="stop" errorTitle="Saisie impossible" operator="between" showDropDown="false" showErrorMessage="true" showInputMessage="false" sqref="X10:X250" type="custom">
      <formula1>AND($Q10&lt;&gt;"NON",ISNUMBER(X10),X10&gt;=0,X10&lt;=10)</formula1>
      <formula2>0</formula2>
    </dataValidation>
    <dataValidation allowBlank="false" error="Elève absent à cette évaluation (colonne « Présent ? » = NON) : la note ne peut pas être saisie. Sinon : note entre 0 et le barème." errorStyle="stop" errorTitle="Saisie impossible" operator="between" showDropDown="false" showErrorMessage="true" showInputMessage="false" sqref="Y10:Y250" type="custom">
      <formula1>AND($Q10&lt;&gt;"NON",ISNUMBER(Y10),Y10&gt;=0,Y10&lt;=10)</formula1>
      <formula2>0</formula2>
    </dataValidation>
    <dataValidation allowBlank="false" error="Elève absent à cette évaluation (colonne « Présent ? » = NON) : la note ne peut pas être saisie. Sinon : note entre 0 et le barème." errorStyle="stop" errorTitle="Saisie impossible" operator="between" showDropDown="false" showErrorMessage="true" showInputMessage="false" sqref="AB10:AB250" type="custom">
      <formula1>AND($AA10&lt;&gt;"NON",ISNUMBER(AB10),AB10&gt;=0,AB10&lt;=10)</formula1>
      <formula2>0</formula2>
    </dataValidation>
    <dataValidation allowBlank="false" error="Elève absent à cette évaluation (colonne « Présent ? » = NON) : la note ne peut pas être saisie. Sinon : note entre 0 et le barème." errorStyle="stop" errorTitle="Saisie impossible" operator="between" showDropDown="false" showErrorMessage="true" showInputMessage="false" sqref="AC10:AC250" type="custom">
      <formula1>AND($AA10&lt;&gt;"NON",ISNUMBER(AC10),AC10&gt;=0,AC10&lt;=10)</formula1>
      <formula2>0</formula2>
    </dataValidation>
    <dataValidation allowBlank="false" error="Elève absent à cette évaluation (colonne « Présent ? » = NON) : la note ne peut pas être saisie. Sinon : note entre 0 et le barème." errorStyle="stop" errorTitle="Saisie impossible" operator="between" showDropDown="false" showErrorMessage="true" showInputMessage="false" sqref="AD10:AD250" type="custom">
      <formula1>AND($AA10&lt;&gt;"NON",ISNUMBER(AD10),AD10&gt;=0,AD10&lt;=10)</formula1>
      <formula2>0</formula2>
    </dataValidation>
    <dataValidation allowBlank="false" error="Elève absent à cette évaluation (colonne « Présent ? » = NON) : la note ne peut pas être saisie. Sinon : note entre 0 et le barème." errorStyle="stop" errorTitle="Saisie impossible" operator="between" showDropDown="false" showErrorMessage="true" showInputMessage="false" sqref="AE10:AE250" type="custom">
      <formula1>AND($AA10&lt;&gt;"NON",ISNUMBER(AE10),AE10&gt;=0,AE10&lt;=10)</formula1>
      <formula2>0</formula2>
    </dataValidation>
    <dataValidation allowBlank="false" error="Elève absent à cette évaluation (colonne « Présent ? » = NON) : la note ne peut pas être saisie. Sinon : note entre 0 et le barème." errorStyle="stop" errorTitle="Saisie impossible" operator="between" showDropDown="false" showErrorMessage="true" showInputMessage="false" sqref="AF10:AF250" type="custom">
      <formula1>AND($AA10&lt;&gt;"NON",ISNUMBER(AF10),AF10&gt;=0,AF10&lt;=10)</formula1>
      <formula2>0</formula2>
    </dataValidation>
    <dataValidation allowBlank="false" error="Elève absent à cette évaluation (colonne « Présent ? » = NON) : la note ne peut pas être saisie. Sinon : note entre 0 et le barème." errorStyle="stop" errorTitle="Saisie impossible" operator="between" showDropDown="false" showErrorMessage="true" showInputMessage="false" sqref="AG10:AG250" type="custom">
      <formula1>AND($AA10&lt;&gt;"NON",ISNUMBER(AG10),AG10&gt;=0,AG10&lt;=10)</formula1>
      <formula2>0</formula2>
    </dataValidation>
    <dataValidation allowBlank="false" error="Elève absent à cette évaluation (colonne « Présent ? » = NON) : la note ne peut pas être saisie. Sinon : note entre 0 et le barème." errorStyle="stop" errorTitle="Saisie impossible" operator="between" showDropDown="false" showErrorMessage="true" showInputMessage="false" sqref="AH10:AH250" type="custom">
      <formula1>AND($AA10&lt;&gt;"NON",ISNUMBER(AH10),AH10&gt;=0,AH10&lt;=10)</formula1>
      <formula2>0</formula2>
    </dataValidation>
    <dataValidation allowBlank="false" error="Elève absent à cette évaluation (colonne « Présent ? » = NON) : la note ne peut pas être saisie. Sinon : note entre 0 et le barème." errorStyle="stop" errorTitle="Saisie impossible" operator="between" showDropDown="false" showErrorMessage="true" showInputMessage="false" sqref="AI10:AI250" type="custom">
      <formula1>AND($AA10&lt;&gt;"NON",ISNUMBER(AI10),AI10&gt;=0,AI10&lt;=10)</formula1>
      <formula2>0</formula2>
    </dataValidation>
    <dataValidation allowBlank="false" error="Elève absent à cette évaluation (colonne « Présent ? » = NON) : la note ne peut pas être saisie. Sinon : note entre 0 et le barème." errorStyle="stop" errorTitle="Saisie impossible" operator="between" showDropDown="false" showErrorMessage="true" showInputMessage="false" sqref="AL10:AL250" type="custom">
      <formula1>AND($AK10&lt;&gt;"NON",ISNUMBER(AL10),AL10&gt;=0,AL10&lt;=10)</formula1>
      <formula2>0</formula2>
    </dataValidation>
    <dataValidation allowBlank="false" error="Elève absent à cette évaluation (colonne « Présent ? » = NON) : la note ne peut pas être saisie. Sinon : note entre 0 et le barème." errorStyle="stop" errorTitle="Saisie impossible" operator="between" showDropDown="false" showErrorMessage="true" showInputMessage="false" sqref="AM10:AM250" type="custom">
      <formula1>AND($AK10&lt;&gt;"NON",ISNUMBER(AM10),AM10&gt;=0,AM10&lt;=10)</formula1>
      <formula2>0</formula2>
    </dataValidation>
    <dataValidation allowBlank="false" error="Elève absent à cette évaluation (colonne « Présent ? » = NON) : la note ne peut pas être saisie. Sinon : note entre 0 et le barème." errorStyle="stop" errorTitle="Saisie impossible" operator="between" showDropDown="false" showErrorMessage="true" showInputMessage="false" sqref="AN10:AN250" type="custom">
      <formula1>AND($AK10&lt;&gt;"NON",ISNUMBER(AN10),AN10&gt;=0,AN10&lt;=10)</formula1>
      <formula2>0</formula2>
    </dataValidation>
    <dataValidation allowBlank="false" error="Elève absent à cette évaluation (colonne « Présent ? » = NON) : la note ne peut pas être saisie. Sinon : note entre 0 et le barème." errorStyle="stop" errorTitle="Saisie impossible" operator="between" showDropDown="false" showErrorMessage="true" showInputMessage="false" sqref="AO10:AO250" type="custom">
      <formula1>AND($AK10&lt;&gt;"NON",ISNUMBER(AO10),AO10&gt;=0,AO10&lt;=10)</formula1>
      <formula2>0</formula2>
    </dataValidation>
    <dataValidation allowBlank="false" error="Elève absent à cette évaluation (colonne « Présent ? » = NON) : la note ne peut pas être saisie. Sinon : note entre 0 et le barème." errorStyle="stop" errorTitle="Saisie impossible" operator="between" showDropDown="false" showErrorMessage="true" showInputMessage="false" sqref="AP10:AP250" type="custom">
      <formula1>AND($AK10&lt;&gt;"NON",ISNUMBER(AP10),AP10&gt;=0,AP10&lt;=10)</formula1>
      <formula2>0</formula2>
    </dataValidation>
    <dataValidation allowBlank="false" error="Elève absent à cette évaluation (colonne « Présent ? » = NON) : la note ne peut pas être saisie. Sinon : note entre 0 et le barème." errorStyle="stop" errorTitle="Saisie impossible" operator="between" showDropDown="false" showErrorMessage="true" showInputMessage="false" sqref="AQ10:AQ250" type="custom">
      <formula1>AND($AK10&lt;&gt;"NON",ISNUMBER(AQ10),AQ10&gt;=0,AQ10&lt;=10)</formula1>
      <formula2>0</formula2>
    </dataValidation>
    <dataValidation allowBlank="false" error="Elève absent à cette évaluation (colonne « Présent ? » = NON) : la note ne peut pas être saisie. Sinon : note entre 0 et le barème." errorStyle="stop" errorTitle="Saisie impossible" operator="between" showDropDown="false" showErrorMessage="true" showInputMessage="false" sqref="AR10:AR250" type="custom">
      <formula1>AND($AK10&lt;&gt;"NON",ISNUMBER(AR10),AR10&gt;=0,AR10&lt;=10)</formula1>
      <formula2>0</formula2>
    </dataValidation>
    <dataValidation allowBlank="false" error="Elève absent à cette évaluation (colonne « Présent ? » = NON) : la note ne peut pas être saisie. Sinon : note entre 0 et le barème." errorStyle="stop" errorTitle="Saisie impossible" operator="between" showDropDown="false" showErrorMessage="true" showInputMessage="false" sqref="AS10:AS250" type="custom">
      <formula1>AND($AK10&lt;&gt;"NON",ISNUMBER(AS10),AS10&gt;=0,AS10&lt;=10)</formula1>
      <formula2>0</formula2>
    </dataValidation>
  </dataValidations>
  <printOptions headings="false" gridLines="false" gridLinesSet="true" horizontalCentered="true" verticalCentered="false"/>
  <pageMargins left="0.309722222222222" right="0.309722222222222" top="0.470138888888889" bottom="0.470138888888889" header="0.511811023622047" footer="0.511811023622047"/>
  <pageSetup paperSize="9" scale="70" fitToWidth="1" fitToHeight="1" pageOrder="downThenOver" orientation="landscape" blackAndWhite="false" draft="false" cellComments="none" horizontalDpi="300" verticalDpi="300" copies="1"/>
  <headerFooter differentFirst="false" differentOddEven="false">
    <oddHeader/>
    <oddFooter/>
  </headerFooter>
  <colBreaks count="3" manualBreakCount="3">
    <brk id="16" man="true" max="65535" min="0"/>
    <brk id="26" man="true" max="65535" min="0"/>
    <brk id="36" man="true" max="65535" min="0"/>
  </col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Feuil5" filterMode="false">
    <tabColor rgb="FFF2A900"/>
    <pageSetUpPr fitToPage="false"/>
  </sheetPr>
  <dimension ref="A1:AI25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6" ySplit="9" topLeftCell="G10" activePane="bottomRight" state="frozen"/>
      <selection pane="topLeft" activeCell="A1" activeCellId="0" sqref="A1"/>
      <selection pane="topRight" activeCell="G1" activeCellId="0" sqref="G1"/>
      <selection pane="bottomLeft" activeCell="A10" activeCellId="0" sqref="A10"/>
      <selection pane="bottomRight" activeCell="A1" activeCellId="0" sqref="A1"/>
    </sheetView>
  </sheetViews>
  <sheetFormatPr defaultColWidth="8.6796875" defaultRowHeight="15" zeroHeight="false" outlineLevelRow="0" outlineLevelCol="0"/>
  <cols>
    <col collapsed="false" customWidth="true" hidden="false" outlineLevel="0" max="1" min="1" style="0" width="5"/>
    <col collapsed="false" customWidth="true" hidden="false" outlineLevel="0" max="2" min="2" style="0" width="13"/>
    <col collapsed="false" customWidth="true" hidden="false" outlineLevel="0" max="3" min="3" style="0" width="30"/>
    <col collapsed="false" customWidth="true" hidden="false" outlineLevel="0" max="4" min="4" style="0" width="6"/>
    <col collapsed="false" customWidth="true" hidden="false" outlineLevel="0" max="5" min="5" style="0" width="7"/>
    <col collapsed="false" customWidth="true" hidden="false" outlineLevel="0" max="6" min="6" style="0" width="10"/>
    <col collapsed="false" customWidth="true" hidden="false" outlineLevel="0" max="7" min="7" style="0" width="8"/>
    <col collapsed="false" customWidth="true" hidden="false" outlineLevel="0" max="12" min="8" style="0" width="9"/>
    <col collapsed="false" customWidth="true" hidden="false" outlineLevel="0" max="13" min="13" style="0" width="9.51"/>
    <col collapsed="false" customWidth="true" hidden="false" outlineLevel="0" max="14" min="14" style="0" width="8"/>
    <col collapsed="false" customWidth="true" hidden="false" outlineLevel="0" max="19" min="15" style="0" width="9"/>
    <col collapsed="false" customWidth="true" hidden="false" outlineLevel="0" max="20" min="20" style="0" width="9.51"/>
    <col collapsed="false" customWidth="true" hidden="false" outlineLevel="0" max="21" min="21" style="0" width="8"/>
    <col collapsed="false" customWidth="true" hidden="false" outlineLevel="0" max="26" min="22" style="0" width="9"/>
    <col collapsed="false" customWidth="true" hidden="false" outlineLevel="0" max="27" min="27" style="0" width="9.51"/>
    <col collapsed="false" customWidth="true" hidden="false" outlineLevel="0" max="28" min="28" style="0" width="8"/>
    <col collapsed="false" customWidth="true" hidden="false" outlineLevel="0" max="33" min="29" style="0" width="9"/>
    <col collapsed="false" customWidth="true" hidden="false" outlineLevel="0" max="34" min="34" style="0" width="9.51"/>
    <col collapsed="false" customWidth="true" hidden="true" outlineLevel="0" max="35" min="35" style="0" width="13"/>
  </cols>
  <sheetData>
    <row r="1" customFormat="false" ht="15" hidden="false" customHeight="true" outlineLevel="0" collapsed="false">
      <c r="A1" s="47" t="str">
        <f aca="false">PARAMETRES!$C$4</f>
        <v>MINISTERE DE L'EDUCATION NATIONALE ET DE L'ALPHABETISATION</v>
      </c>
      <c r="B1" s="47"/>
      <c r="C1" s="47"/>
      <c r="D1" s="47"/>
      <c r="E1" s="47"/>
      <c r="F1" s="47"/>
      <c r="G1" s="47"/>
      <c r="H1" s="47"/>
      <c r="I1" s="47"/>
      <c r="J1" s="47"/>
      <c r="K1" s="47"/>
      <c r="L1" s="47"/>
      <c r="M1" s="47"/>
      <c r="N1" s="47"/>
      <c r="O1" s="47"/>
      <c r="P1" s="47"/>
      <c r="Q1" s="47"/>
      <c r="R1" s="47" t="s">
        <v>115</v>
      </c>
      <c r="S1" s="47"/>
      <c r="T1" s="47"/>
      <c r="U1" s="47"/>
      <c r="V1" s="47"/>
      <c r="W1" s="47"/>
      <c r="X1" s="47"/>
      <c r="Y1" s="47"/>
      <c r="Z1" s="47"/>
      <c r="AA1" s="47"/>
      <c r="AB1" s="47"/>
      <c r="AC1" s="47"/>
      <c r="AD1" s="47"/>
      <c r="AE1" s="47"/>
      <c r="AF1" s="47"/>
      <c r="AG1" s="47"/>
      <c r="AH1" s="47"/>
    </row>
    <row r="2" customFormat="false" ht="15" hidden="false" customHeight="true" outlineLevel="0" collapsed="false">
      <c r="A2" s="48" t="str">
        <f aca="false">PARAMETRES!$C$5</f>
        <v>DIRECTION REGIONALE DE L'EDUCATION NATIONALE DE GAGNOA</v>
      </c>
      <c r="B2" s="48"/>
      <c r="C2" s="48"/>
      <c r="D2" s="48"/>
      <c r="E2" s="48"/>
      <c r="F2" s="48"/>
      <c r="G2" s="48"/>
      <c r="H2" s="48"/>
      <c r="I2" s="48"/>
      <c r="J2" s="48"/>
      <c r="K2" s="48"/>
      <c r="L2" s="48"/>
      <c r="M2" s="48"/>
      <c r="N2" s="48"/>
      <c r="O2" s="48"/>
      <c r="P2" s="48"/>
      <c r="Q2" s="48"/>
      <c r="R2" s="48" t="s">
        <v>116</v>
      </c>
      <c r="S2" s="48"/>
      <c r="T2" s="48"/>
      <c r="U2" s="48"/>
      <c r="V2" s="48"/>
      <c r="W2" s="48"/>
      <c r="X2" s="48"/>
      <c r="Y2" s="48"/>
      <c r="Z2" s="48"/>
      <c r="AA2" s="48"/>
      <c r="AB2" s="48"/>
      <c r="AC2" s="48"/>
      <c r="AD2" s="48"/>
      <c r="AE2" s="48"/>
      <c r="AF2" s="48"/>
      <c r="AG2" s="48"/>
      <c r="AH2" s="48"/>
    </row>
    <row r="3" customFormat="false" ht="15" hidden="false" customHeight="false" outlineLevel="0" collapsed="false">
      <c r="A3" s="47" t="str">
        <f aca="false">PARAMETRES!$C$6</f>
        <v>IEPP GAGNOA 2</v>
      </c>
      <c r="B3" s="47"/>
      <c r="C3" s="47"/>
      <c r="D3" s="47"/>
      <c r="E3" s="47"/>
      <c r="F3" s="47"/>
      <c r="G3" s="47"/>
      <c r="H3" s="47"/>
      <c r="I3" s="47"/>
      <c r="J3" s="47"/>
      <c r="K3" s="47"/>
      <c r="L3" s="47"/>
      <c r="M3" s="47"/>
      <c r="N3" s="47"/>
      <c r="O3" s="47"/>
      <c r="P3" s="47"/>
      <c r="Q3" s="47"/>
      <c r="R3" s="47" t="str">
        <f aca="false">"ANNEE SCOLAIRE : "&amp;PARAMETRES!$C$9</f>
        <v>ANNEE SCOLAIRE : 2026-2027</v>
      </c>
      <c r="S3" s="47"/>
      <c r="T3" s="47"/>
      <c r="U3" s="47"/>
      <c r="V3" s="47"/>
      <c r="W3" s="47"/>
      <c r="X3" s="47"/>
      <c r="Y3" s="47"/>
      <c r="Z3" s="47"/>
      <c r="AA3" s="47"/>
      <c r="AB3" s="47"/>
      <c r="AC3" s="47"/>
      <c r="AD3" s="47"/>
      <c r="AE3" s="47"/>
      <c r="AF3" s="47"/>
      <c r="AG3" s="47"/>
      <c r="AH3" s="47"/>
    </row>
    <row r="4" customFormat="false" ht="15" hidden="false" customHeight="false" outlineLevel="0" collapsed="false">
      <c r="A4" s="48" t="str">
        <f aca="false">PARAMETRES!$C$7&amp;"  -  Code : "&amp;PARAMETRES!$C$8</f>
        <v>EPP LIGUIYO  -  Code : EPP-GAG-0123</v>
      </c>
      <c r="B4" s="48"/>
      <c r="C4" s="48"/>
      <c r="D4" s="48"/>
      <c r="E4" s="48"/>
      <c r="F4" s="48"/>
      <c r="G4" s="48"/>
      <c r="H4" s="48"/>
      <c r="I4" s="48"/>
      <c r="J4" s="48"/>
      <c r="K4" s="48"/>
      <c r="L4" s="48"/>
      <c r="M4" s="48"/>
      <c r="N4" s="48"/>
      <c r="O4" s="48"/>
      <c r="P4" s="48"/>
      <c r="Q4" s="48"/>
      <c r="R4" s="49"/>
    </row>
    <row r="6" customFormat="false" ht="27.75" hidden="false" customHeight="true" outlineLevel="0" collapsed="false">
      <c r="A6" s="30" t="s">
        <v>577</v>
      </c>
      <c r="B6" s="30"/>
      <c r="C6" s="30"/>
      <c r="D6" s="30"/>
      <c r="E6" s="30"/>
      <c r="F6" s="30"/>
      <c r="G6" s="30"/>
      <c r="H6" s="30"/>
      <c r="I6" s="30"/>
      <c r="J6" s="30"/>
      <c r="K6" s="30"/>
      <c r="L6" s="30"/>
      <c r="M6" s="30"/>
      <c r="N6" s="30"/>
      <c r="O6" s="30"/>
      <c r="P6" s="30"/>
      <c r="Q6" s="30"/>
      <c r="R6" s="30"/>
      <c r="S6" s="30"/>
      <c r="T6" s="30"/>
      <c r="U6" s="30"/>
      <c r="V6" s="30"/>
      <c r="W6" s="30"/>
      <c r="X6" s="30"/>
      <c r="Y6" s="30"/>
      <c r="Z6" s="30"/>
      <c r="AA6" s="30"/>
      <c r="AB6" s="30"/>
      <c r="AC6" s="30"/>
      <c r="AD6" s="30"/>
      <c r="AE6" s="30"/>
      <c r="AF6" s="30"/>
      <c r="AG6" s="30"/>
      <c r="AH6" s="30"/>
    </row>
    <row r="7" customFormat="false" ht="15" hidden="false" customHeight="true" outlineLevel="0" collapsed="false">
      <c r="G7" s="41" t="s">
        <v>559</v>
      </c>
      <c r="H7" s="41"/>
      <c r="I7" s="41"/>
      <c r="J7" s="41"/>
      <c r="K7" s="41"/>
      <c r="L7" s="41"/>
      <c r="M7" s="41"/>
      <c r="N7" s="60" t="s">
        <v>560</v>
      </c>
      <c r="O7" s="60"/>
      <c r="P7" s="60"/>
      <c r="Q7" s="60"/>
      <c r="R7" s="60"/>
      <c r="S7" s="60"/>
      <c r="T7" s="60"/>
      <c r="U7" s="61" t="s">
        <v>561</v>
      </c>
      <c r="V7" s="61"/>
      <c r="W7" s="61"/>
      <c r="X7" s="61"/>
      <c r="Y7" s="61"/>
      <c r="Z7" s="61"/>
      <c r="AA7" s="61"/>
      <c r="AB7" s="62" t="s">
        <v>562</v>
      </c>
      <c r="AC7" s="62"/>
      <c r="AD7" s="62"/>
      <c r="AE7" s="62"/>
      <c r="AF7" s="62"/>
      <c r="AG7" s="62"/>
      <c r="AH7" s="62"/>
    </row>
    <row r="8" customFormat="false" ht="15" hidden="false" customHeight="false" outlineLevel="0" collapsed="false">
      <c r="B8" s="63" t="s">
        <v>578</v>
      </c>
      <c r="C8" s="64" t="s">
        <v>579</v>
      </c>
      <c r="D8" s="64"/>
      <c r="E8" s="64"/>
      <c r="F8" s="64"/>
      <c r="G8" s="65" t="s">
        <v>565</v>
      </c>
      <c r="H8" s="66" t="n">
        <v>50</v>
      </c>
      <c r="I8" s="66" t="n">
        <v>40</v>
      </c>
      <c r="J8" s="66" t="n">
        <v>40</v>
      </c>
      <c r="K8" s="66" t="n">
        <v>10</v>
      </c>
      <c r="N8" s="65" t="s">
        <v>565</v>
      </c>
      <c r="O8" s="66" t="n">
        <v>50</v>
      </c>
      <c r="P8" s="66" t="n">
        <v>40</v>
      </c>
      <c r="Q8" s="66" t="n">
        <v>40</v>
      </c>
      <c r="R8" s="66" t="n">
        <v>10</v>
      </c>
      <c r="U8" s="65" t="s">
        <v>565</v>
      </c>
      <c r="V8" s="66" t="n">
        <v>50</v>
      </c>
      <c r="W8" s="66" t="n">
        <v>40</v>
      </c>
      <c r="X8" s="66" t="n">
        <v>40</v>
      </c>
      <c r="Y8" s="66" t="n">
        <v>10</v>
      </c>
      <c r="AB8" s="65" t="s">
        <v>565</v>
      </c>
      <c r="AC8" s="66" t="n">
        <v>50</v>
      </c>
      <c r="AD8" s="66" t="n">
        <v>40</v>
      </c>
      <c r="AE8" s="66" t="n">
        <v>40</v>
      </c>
      <c r="AF8" s="66" t="n">
        <v>10</v>
      </c>
    </row>
    <row r="9" customFormat="false" ht="60" hidden="false" customHeight="true" outlineLevel="0" collapsed="false">
      <c r="A9" s="50" t="s">
        <v>120</v>
      </c>
      <c r="B9" s="50" t="s">
        <v>121</v>
      </c>
      <c r="C9" s="50" t="s">
        <v>123</v>
      </c>
      <c r="D9" s="50" t="s">
        <v>32</v>
      </c>
      <c r="E9" s="50" t="s">
        <v>12</v>
      </c>
      <c r="F9" s="50" t="s">
        <v>36</v>
      </c>
      <c r="G9" s="67" t="s">
        <v>566</v>
      </c>
      <c r="H9" s="68" t="s">
        <v>580</v>
      </c>
      <c r="I9" s="68" t="s">
        <v>581</v>
      </c>
      <c r="J9" s="68" t="s">
        <v>582</v>
      </c>
      <c r="K9" s="68" t="s">
        <v>583</v>
      </c>
      <c r="L9" s="78" t="str">
        <f aca="false">"TOTAL
(/"&amp;SUM(H8:K8)&amp;")"</f>
        <v>TOTAL
(/140)</v>
      </c>
      <c r="M9" s="69" t="s">
        <v>584</v>
      </c>
      <c r="N9" s="67" t="s">
        <v>566</v>
      </c>
      <c r="O9" s="70" t="s">
        <v>580</v>
      </c>
      <c r="P9" s="70" t="s">
        <v>581</v>
      </c>
      <c r="Q9" s="70" t="s">
        <v>582</v>
      </c>
      <c r="R9" s="70" t="s">
        <v>583</v>
      </c>
      <c r="S9" s="78" t="str">
        <f aca="false">"TOTAL
(/"&amp;SUM(O8:R8)&amp;")"</f>
        <v>TOTAL
(/140)</v>
      </c>
      <c r="T9" s="69" t="s">
        <v>584</v>
      </c>
      <c r="U9" s="67" t="s">
        <v>566</v>
      </c>
      <c r="V9" s="71" t="s">
        <v>580</v>
      </c>
      <c r="W9" s="71" t="s">
        <v>581</v>
      </c>
      <c r="X9" s="71" t="s">
        <v>582</v>
      </c>
      <c r="Y9" s="71" t="s">
        <v>583</v>
      </c>
      <c r="Z9" s="78" t="str">
        <f aca="false">"TOTAL
(/"&amp;SUM(V8:Y8)&amp;")"</f>
        <v>TOTAL
(/140)</v>
      </c>
      <c r="AA9" s="69" t="s">
        <v>584</v>
      </c>
      <c r="AB9" s="67" t="s">
        <v>566</v>
      </c>
      <c r="AC9" s="72" t="s">
        <v>580</v>
      </c>
      <c r="AD9" s="72" t="s">
        <v>581</v>
      </c>
      <c r="AE9" s="72" t="s">
        <v>582</v>
      </c>
      <c r="AF9" s="72" t="s">
        <v>583</v>
      </c>
      <c r="AG9" s="78" t="str">
        <f aca="false">"TOTAL
(/"&amp;SUM(AC8:AF8)&amp;")"</f>
        <v>TOTAL
(/140)</v>
      </c>
      <c r="AH9" s="69" t="s">
        <v>584</v>
      </c>
      <c r="AI9" s="51" t="s">
        <v>576</v>
      </c>
    </row>
    <row r="10" customFormat="false" ht="15" hidden="false" customHeight="false" outlineLevel="0" collapsed="false">
      <c r="A10" s="73" t="n">
        <f aca="false">IF(B10="","",1)</f>
        <v>1</v>
      </c>
      <c r="B10" s="73" t="str">
        <f aca="false">IF($AI10="","",INDEX('REGISTRE ELEVES'!$B$10:$B$250,$AI10))</f>
        <v>CE1-001-26</v>
      </c>
      <c r="C10" s="74" t="str">
        <f aca="false">IF($AI10="","",INDEX('REGISTRE ELEVES'!$D$10:$D$250,$AI10))</f>
        <v>KOUASSI Moussa Ismaël</v>
      </c>
      <c r="D10" s="73" t="str">
        <f aca="false">IF($AI10="","",INDEX('REGISTRE ELEVES'!$E$10:$E$250,$AI10))</f>
        <v>M</v>
      </c>
      <c r="E10" s="73" t="str">
        <f aca="false">IF($AI10="","",INDEX('REGISTRE ELEVES'!$F$10:$F$250,$AI10))</f>
        <v>CE1</v>
      </c>
      <c r="F10" s="73" t="str">
        <f aca="false">IF($AI10="","",INDEX('REGISTRE ELEVES'!$AE$10:$AE$250,$AI10))</f>
        <v>PRESENT</v>
      </c>
      <c r="G10" s="75" t="s">
        <v>39</v>
      </c>
      <c r="H10" s="76" t="n">
        <v>26</v>
      </c>
      <c r="I10" s="76" t="n">
        <v>28.5</v>
      </c>
      <c r="J10" s="76" t="n">
        <v>22.5</v>
      </c>
      <c r="K10" s="76" t="n">
        <v>6.5</v>
      </c>
      <c r="L10" s="79" t="n">
        <f aca="false">IF(B10="","",IF($G10="NON",0,IF(COUNT(H10:K10)=0,"",SUM(H10:K10))))</f>
        <v>83.5</v>
      </c>
      <c r="M10" s="77" t="n">
        <f aca="false">IF(B10="","",IF($G10="NON",0,IF(COUNT(H10:K10)=0,"",IFERROR(ROUND(SUM(H10:K10)/SUMPRODUCT(ISNUMBER(H10:K10)*$H$8:$K$8)*10,2),""))))</f>
        <v>5.96</v>
      </c>
      <c r="N10" s="75" t="s">
        <v>39</v>
      </c>
      <c r="O10" s="76" t="n">
        <v>26.5</v>
      </c>
      <c r="P10" s="76" t="n">
        <v>22.5</v>
      </c>
      <c r="Q10" s="76" t="n">
        <v>17.5</v>
      </c>
      <c r="R10" s="76" t="n">
        <v>5</v>
      </c>
      <c r="S10" s="79" t="n">
        <f aca="false">IF(B10="","",IF($N10="NON",0,IF(COUNT(O10:R10)=0,"",SUM(O10:R10))))</f>
        <v>71.5</v>
      </c>
      <c r="T10" s="77" t="n">
        <f aca="false">IF(B10="","",IF($N10="NON",0,IF(COUNT(O10:R10)=0,"",IFERROR(ROUND(SUM(O10:R10)/SUMPRODUCT(ISNUMBER(O10:R10)*$O$8:$R$8)*10,2),""))))</f>
        <v>5.11</v>
      </c>
      <c r="U10" s="75" t="s">
        <v>39</v>
      </c>
      <c r="V10" s="76" t="n">
        <v>27</v>
      </c>
      <c r="W10" s="76" t="n">
        <v>27</v>
      </c>
      <c r="X10" s="76" t="n">
        <v>18</v>
      </c>
      <c r="Y10" s="76" t="n">
        <v>6.5</v>
      </c>
      <c r="Z10" s="79" t="n">
        <f aca="false">IF(B10="","",IF($U10="NON",0,IF(COUNT(V10:Y10)=0,"",SUM(V10:Y10))))</f>
        <v>78.5</v>
      </c>
      <c r="AA10" s="77" t="n">
        <f aca="false">IF(B10="","",IF($U10="NON",0,IF(COUNT(V10:Y10)=0,"",IFERROR(ROUND(SUM(V10:Y10)/SUMPRODUCT(ISNUMBER(V10:Y10)*$V$8:$Y$8)*10,2),""))))</f>
        <v>5.61</v>
      </c>
      <c r="AB10" s="75" t="s">
        <v>39</v>
      </c>
      <c r="AC10" s="76" t="n">
        <v>30.5</v>
      </c>
      <c r="AD10" s="76" t="n">
        <v>21</v>
      </c>
      <c r="AE10" s="76" t="n">
        <v>17.5</v>
      </c>
      <c r="AF10" s="76" t="n">
        <v>5.5</v>
      </c>
      <c r="AG10" s="79" t="n">
        <f aca="false">IF(B10="","",IF($AB10="NON",0,IF(COUNT(AC10:AF10)=0,"",SUM(AC10:AF10))))</f>
        <v>74.5</v>
      </c>
      <c r="AH10" s="77" t="n">
        <f aca="false">IF(B10="","",IF($AB10="NON",0,IF(COUNT(AC10:AF10)=0,"",IFERROR(ROUND(SUM(AC10:AF10)/SUMPRODUCT(ISNUMBER(AC10:AF10)*$AC$8:$AF$8)*10,2),""))))</f>
        <v>5.32</v>
      </c>
      <c r="AI10" s="51" t="n">
        <f aca="false">IFERROR(MATCH("CE1-1",'REGISTRE ELEVES'!$AI$10:$AI$250,0),"")</f>
        <v>24</v>
      </c>
    </row>
    <row r="11" customFormat="false" ht="15" hidden="false" customHeight="false" outlineLevel="0" collapsed="false">
      <c r="A11" s="73" t="n">
        <f aca="false">IF(B11="","",2)</f>
        <v>2</v>
      </c>
      <c r="B11" s="73" t="str">
        <f aca="false">IF($AI11="","",INDEX('REGISTRE ELEVES'!$B$10:$B$250,$AI11))</f>
        <v>CE1-002-26</v>
      </c>
      <c r="C11" s="74" t="str">
        <f aca="false">IF($AI11="","",INDEX('REGISTRE ELEVES'!$D$10:$D$250,$AI11))</f>
        <v>KONE Clarisse Amenan</v>
      </c>
      <c r="D11" s="73" t="str">
        <f aca="false">IF($AI11="","",INDEX('REGISTRE ELEVES'!$E$10:$E$250,$AI11))</f>
        <v>F</v>
      </c>
      <c r="E11" s="73" t="str">
        <f aca="false">IF($AI11="","",INDEX('REGISTRE ELEVES'!$F$10:$F$250,$AI11))</f>
        <v>CE1</v>
      </c>
      <c r="F11" s="73" t="str">
        <f aca="false">IF($AI11="","",INDEX('REGISTRE ELEVES'!$AE$10:$AE$250,$AI11))</f>
        <v>ABANDON</v>
      </c>
      <c r="G11" s="75" t="s">
        <v>39</v>
      </c>
      <c r="H11" s="76" t="n">
        <v>26</v>
      </c>
      <c r="I11" s="76" t="n">
        <v>14</v>
      </c>
      <c r="J11" s="76" t="n">
        <v>16</v>
      </c>
      <c r="K11" s="76" t="n">
        <v>6</v>
      </c>
      <c r="L11" s="79" t="n">
        <f aca="false">IF(B11="","",IF($G11="NON",0,IF(COUNT(H11:K11)=0,"",SUM(H11:K11))))</f>
        <v>62</v>
      </c>
      <c r="M11" s="77" t="n">
        <f aca="false">IF(B11="","",IF($G11="NON",0,IF(COUNT(H11:K11)=0,"",IFERROR(ROUND(SUM(H11:K11)/SUMPRODUCT(ISNUMBER(H11:K11)*$H$8:$K$8)*10,2),""))))</f>
        <v>4.43</v>
      </c>
      <c r="N11" s="75" t="s">
        <v>39</v>
      </c>
      <c r="O11" s="76" t="n">
        <v>29.5</v>
      </c>
      <c r="P11" s="76" t="n">
        <v>23</v>
      </c>
      <c r="Q11" s="76" t="n">
        <v>11.5</v>
      </c>
      <c r="R11" s="76" t="n">
        <v>3.5</v>
      </c>
      <c r="S11" s="79" t="n">
        <f aca="false">IF(B11="","",IF($N11="NON",0,IF(COUNT(O11:R11)=0,"",SUM(O11:R11))))</f>
        <v>67.5</v>
      </c>
      <c r="T11" s="77" t="n">
        <f aca="false">IF(B11="","",IF($N11="NON",0,IF(COUNT(O11:R11)=0,"",IFERROR(ROUND(SUM(O11:R11)/SUMPRODUCT(ISNUMBER(O11:R11)*$O$8:$R$8)*10,2),""))))</f>
        <v>4.82</v>
      </c>
      <c r="U11" s="75" t="s">
        <v>46</v>
      </c>
      <c r="V11" s="76"/>
      <c r="W11" s="76"/>
      <c r="X11" s="76"/>
      <c r="Y11" s="76"/>
      <c r="Z11" s="79" t="n">
        <f aca="false">IF(B11="","",IF($U11="NON",0,IF(COUNT(V11:Y11)=0,"",SUM(V11:Y11))))</f>
        <v>0</v>
      </c>
      <c r="AA11" s="77" t="n">
        <f aca="false">IF(B11="","",IF($U11="NON",0,IF(COUNT(V11:Y11)=0,"",IFERROR(ROUND(SUM(V11:Y11)/SUMPRODUCT(ISNUMBER(V11:Y11)*$V$8:$Y$8)*10,2),""))))</f>
        <v>0</v>
      </c>
      <c r="AB11" s="75" t="s">
        <v>46</v>
      </c>
      <c r="AC11" s="76"/>
      <c r="AD11" s="76"/>
      <c r="AE11" s="76"/>
      <c r="AF11" s="76"/>
      <c r="AG11" s="79" t="n">
        <f aca="false">IF(B11="","",IF($AB11="NON",0,IF(COUNT(AC11:AF11)=0,"",SUM(AC11:AF11))))</f>
        <v>0</v>
      </c>
      <c r="AH11" s="77" t="n">
        <f aca="false">IF(B11="","",IF($AB11="NON",0,IF(COUNT(AC11:AF11)=0,"",IFERROR(ROUND(SUM(AC11:AF11)/SUMPRODUCT(ISNUMBER(AC11:AF11)*$AC$8:$AF$8)*10,2),""))))</f>
        <v>0</v>
      </c>
      <c r="AI11" s="51" t="n">
        <f aca="false">IFERROR(MATCH("CE1-2",'REGISTRE ELEVES'!$AI$10:$AI$250,0),"")</f>
        <v>25</v>
      </c>
    </row>
    <row r="12" customFormat="false" ht="15" hidden="false" customHeight="false" outlineLevel="0" collapsed="false">
      <c r="A12" s="73" t="n">
        <f aca="false">IF(B12="","",3)</f>
        <v>3</v>
      </c>
      <c r="B12" s="73" t="str">
        <f aca="false">IF($AI12="","",INDEX('REGISTRE ELEVES'!$B$10:$B$250,$AI12))</f>
        <v>CE1-003-26</v>
      </c>
      <c r="C12" s="74" t="str">
        <f aca="false">IF($AI12="","",INDEX('REGISTRE ELEVES'!$D$10:$D$250,$AI12))</f>
        <v>AKA Abdoulaye Jean-Marc</v>
      </c>
      <c r="D12" s="73" t="str">
        <f aca="false">IF($AI12="","",INDEX('REGISTRE ELEVES'!$E$10:$E$250,$AI12))</f>
        <v>M</v>
      </c>
      <c r="E12" s="73" t="str">
        <f aca="false">IF($AI12="","",INDEX('REGISTRE ELEVES'!$F$10:$F$250,$AI12))</f>
        <v>CE1</v>
      </c>
      <c r="F12" s="73" t="str">
        <f aca="false">IF($AI12="","",INDEX('REGISTRE ELEVES'!$AE$10:$AE$250,$AI12))</f>
        <v>PRESENT</v>
      </c>
      <c r="G12" s="75" t="s">
        <v>39</v>
      </c>
      <c r="H12" s="76" t="n">
        <v>19</v>
      </c>
      <c r="I12" s="76" t="n">
        <v>10.5</v>
      </c>
      <c r="J12" s="76" t="n">
        <v>11.5</v>
      </c>
      <c r="K12" s="76" t="n">
        <v>4</v>
      </c>
      <c r="L12" s="79" t="n">
        <f aca="false">IF(B12="","",IF($G12="NON",0,IF(COUNT(H12:K12)=0,"",SUM(H12:K12))))</f>
        <v>45</v>
      </c>
      <c r="M12" s="77" t="n">
        <f aca="false">IF(B12="","",IF($G12="NON",0,IF(COUNT(H12:K12)=0,"",IFERROR(ROUND(SUM(H12:K12)/SUMPRODUCT(ISNUMBER(H12:K12)*$H$8:$K$8)*10,2),""))))</f>
        <v>3.21</v>
      </c>
      <c r="N12" s="75" t="s">
        <v>39</v>
      </c>
      <c r="O12" s="76" t="n">
        <v>11</v>
      </c>
      <c r="P12" s="76" t="n">
        <v>18.5</v>
      </c>
      <c r="Q12" s="76" t="n">
        <v>10.5</v>
      </c>
      <c r="R12" s="76" t="n">
        <v>3.5</v>
      </c>
      <c r="S12" s="79" t="n">
        <f aca="false">IF(B12="","",IF($N12="NON",0,IF(COUNT(O12:R12)=0,"",SUM(O12:R12))))</f>
        <v>43.5</v>
      </c>
      <c r="T12" s="77" t="n">
        <f aca="false">IF(B12="","",IF($N12="NON",0,IF(COUNT(O12:R12)=0,"",IFERROR(ROUND(SUM(O12:R12)/SUMPRODUCT(ISNUMBER(O12:R12)*$O$8:$R$8)*10,2),""))))</f>
        <v>3.11</v>
      </c>
      <c r="U12" s="75" t="s">
        <v>39</v>
      </c>
      <c r="V12" s="76" t="n">
        <v>8</v>
      </c>
      <c r="W12" s="76" t="n">
        <v>19.5</v>
      </c>
      <c r="X12" s="76" t="n">
        <v>16.5</v>
      </c>
      <c r="Y12" s="76" t="n">
        <v>4</v>
      </c>
      <c r="Z12" s="79" t="n">
        <f aca="false">IF(B12="","",IF($U12="NON",0,IF(COUNT(V12:Y12)=0,"",SUM(V12:Y12))))</f>
        <v>48</v>
      </c>
      <c r="AA12" s="77" t="n">
        <f aca="false">IF(B12="","",IF($U12="NON",0,IF(COUNT(V12:Y12)=0,"",IFERROR(ROUND(SUM(V12:Y12)/SUMPRODUCT(ISNUMBER(V12:Y12)*$V$8:$Y$8)*10,2),""))))</f>
        <v>3.43</v>
      </c>
      <c r="AB12" s="75" t="s">
        <v>39</v>
      </c>
      <c r="AC12" s="76" t="n">
        <v>6.5</v>
      </c>
      <c r="AD12" s="76" t="n">
        <v>7.5</v>
      </c>
      <c r="AE12" s="76" t="n">
        <v>8</v>
      </c>
      <c r="AF12" s="76" t="n">
        <v>2.5</v>
      </c>
      <c r="AG12" s="79" t="n">
        <f aca="false">IF(B12="","",IF($AB12="NON",0,IF(COUNT(AC12:AF12)=0,"",SUM(AC12:AF12))))</f>
        <v>24.5</v>
      </c>
      <c r="AH12" s="77" t="n">
        <f aca="false">IF(B12="","",IF($AB12="NON",0,IF(COUNT(AC12:AF12)=0,"",IFERROR(ROUND(SUM(AC12:AF12)/SUMPRODUCT(ISNUMBER(AC12:AF12)*$AC$8:$AF$8)*10,2),""))))</f>
        <v>1.75</v>
      </c>
      <c r="AI12" s="51" t="n">
        <f aca="false">IFERROR(MATCH("CE1-3",'REGISTRE ELEVES'!$AI$10:$AI$250,0),"")</f>
        <v>26</v>
      </c>
    </row>
    <row r="13" customFormat="false" ht="15" hidden="false" customHeight="false" outlineLevel="0" collapsed="false">
      <c r="A13" s="73" t="n">
        <f aca="false">IF(B13="","",4)</f>
        <v>4</v>
      </c>
      <c r="B13" s="73" t="str">
        <f aca="false">IF($AI13="","",INDEX('REGISTRE ELEVES'!$B$10:$B$250,$AI13))</f>
        <v>CE1-004-26</v>
      </c>
      <c r="C13" s="74" t="str">
        <f aca="false">IF($AI13="","",INDEX('REGISTRE ELEVES'!$D$10:$D$250,$AI13))</f>
        <v>KOFFI Grâce Akissi</v>
      </c>
      <c r="D13" s="73" t="str">
        <f aca="false">IF($AI13="","",INDEX('REGISTRE ELEVES'!$E$10:$E$250,$AI13))</f>
        <v>F</v>
      </c>
      <c r="E13" s="73" t="str">
        <f aca="false">IF($AI13="","",INDEX('REGISTRE ELEVES'!$F$10:$F$250,$AI13))</f>
        <v>CE1</v>
      </c>
      <c r="F13" s="73" t="str">
        <f aca="false">IF($AI13="","",INDEX('REGISTRE ELEVES'!$AE$10:$AE$250,$AI13))</f>
        <v>PRESENT</v>
      </c>
      <c r="G13" s="75" t="s">
        <v>46</v>
      </c>
      <c r="H13" s="76"/>
      <c r="I13" s="76"/>
      <c r="J13" s="76"/>
      <c r="K13" s="76"/>
      <c r="L13" s="79" t="n">
        <f aca="false">IF(B13="","",IF($G13="NON",0,IF(COUNT(H13:K13)=0,"",SUM(H13:K13))))</f>
        <v>0</v>
      </c>
      <c r="M13" s="77" t="n">
        <f aca="false">IF(B13="","",IF($G13="NON",0,IF(COUNT(H13:K13)=0,"",IFERROR(ROUND(SUM(H13:K13)/SUMPRODUCT(ISNUMBER(H13:K13)*$H$8:$K$8)*10,2),""))))</f>
        <v>0</v>
      </c>
      <c r="N13" s="75" t="s">
        <v>39</v>
      </c>
      <c r="O13" s="76" t="n">
        <v>29</v>
      </c>
      <c r="P13" s="76" t="n">
        <v>16</v>
      </c>
      <c r="Q13" s="76" t="n">
        <v>26.5</v>
      </c>
      <c r="R13" s="76" t="n">
        <v>5.5</v>
      </c>
      <c r="S13" s="79" t="n">
        <f aca="false">IF(B13="","",IF($N13="NON",0,IF(COUNT(O13:R13)=0,"",SUM(O13:R13))))</f>
        <v>77</v>
      </c>
      <c r="T13" s="77" t="n">
        <f aca="false">IF(B13="","",IF($N13="NON",0,IF(COUNT(O13:R13)=0,"",IFERROR(ROUND(SUM(O13:R13)/SUMPRODUCT(ISNUMBER(O13:R13)*$O$8:$R$8)*10,2),""))))</f>
        <v>5.5</v>
      </c>
      <c r="U13" s="75" t="s">
        <v>39</v>
      </c>
      <c r="V13" s="76" t="n">
        <v>21.5</v>
      </c>
      <c r="W13" s="76" t="n">
        <v>20</v>
      </c>
      <c r="X13" s="76" t="n">
        <v>24</v>
      </c>
      <c r="Y13" s="76" t="n">
        <v>4.5</v>
      </c>
      <c r="Z13" s="79" t="n">
        <f aca="false">IF(B13="","",IF($U13="NON",0,IF(COUNT(V13:Y13)=0,"",SUM(V13:Y13))))</f>
        <v>70</v>
      </c>
      <c r="AA13" s="77" t="n">
        <f aca="false">IF(B13="","",IF($U13="NON",0,IF(COUNT(V13:Y13)=0,"",IFERROR(ROUND(SUM(V13:Y13)/SUMPRODUCT(ISNUMBER(V13:Y13)*$V$8:$Y$8)*10,2),""))))</f>
        <v>5</v>
      </c>
      <c r="AB13" s="75" t="s">
        <v>46</v>
      </c>
      <c r="AC13" s="76"/>
      <c r="AD13" s="76"/>
      <c r="AE13" s="76"/>
      <c r="AF13" s="76"/>
      <c r="AG13" s="79" t="n">
        <f aca="false">IF(B13="","",IF($AB13="NON",0,IF(COUNT(AC13:AF13)=0,"",SUM(AC13:AF13))))</f>
        <v>0</v>
      </c>
      <c r="AH13" s="77" t="n">
        <f aca="false">IF(B13="","",IF($AB13="NON",0,IF(COUNT(AC13:AF13)=0,"",IFERROR(ROUND(SUM(AC13:AF13)/SUMPRODUCT(ISNUMBER(AC13:AF13)*$AC$8:$AF$8)*10,2),""))))</f>
        <v>0</v>
      </c>
      <c r="AI13" s="51" t="n">
        <f aca="false">IFERROR(MATCH("CE1-4",'REGISTRE ELEVES'!$AI$10:$AI$250,0),"")</f>
        <v>27</v>
      </c>
    </row>
    <row r="14" customFormat="false" ht="15" hidden="false" customHeight="false" outlineLevel="0" collapsed="false">
      <c r="A14" s="73" t="n">
        <f aca="false">IF(B14="","",5)</f>
        <v>5</v>
      </c>
      <c r="B14" s="73" t="str">
        <f aca="false">IF($AI14="","",INDEX('REGISTRE ELEVES'!$B$10:$B$250,$AI14))</f>
        <v>CE1-005-26</v>
      </c>
      <c r="C14" s="74" t="str">
        <f aca="false">IF($AI14="","",INDEX('REGISTRE ELEVES'!$D$10:$D$250,$AI14))</f>
        <v>YAO Kouakou Konan</v>
      </c>
      <c r="D14" s="73" t="str">
        <f aca="false">IF($AI14="","",INDEX('REGISTRE ELEVES'!$E$10:$E$250,$AI14))</f>
        <v>M</v>
      </c>
      <c r="E14" s="73" t="str">
        <f aca="false">IF($AI14="","",INDEX('REGISTRE ELEVES'!$F$10:$F$250,$AI14))</f>
        <v>CE1</v>
      </c>
      <c r="F14" s="73" t="str">
        <f aca="false">IF($AI14="","",INDEX('REGISTRE ELEVES'!$AE$10:$AE$250,$AI14))</f>
        <v>PRESENT</v>
      </c>
      <c r="G14" s="75" t="s">
        <v>39</v>
      </c>
      <c r="H14" s="76" t="n">
        <v>36</v>
      </c>
      <c r="I14" s="76" t="n">
        <v>24.5</v>
      </c>
      <c r="J14" s="76" t="n">
        <v>37.5</v>
      </c>
      <c r="K14" s="76" t="n">
        <v>8.5</v>
      </c>
      <c r="L14" s="79" t="n">
        <f aca="false">IF(B14="","",IF($G14="NON",0,IF(COUNT(H14:K14)=0,"",SUM(H14:K14))))</f>
        <v>106.5</v>
      </c>
      <c r="M14" s="77" t="n">
        <f aca="false">IF(B14="","",IF($G14="NON",0,IF(COUNT(H14:K14)=0,"",IFERROR(ROUND(SUM(H14:K14)/SUMPRODUCT(ISNUMBER(H14:K14)*$H$8:$K$8)*10,2),""))))</f>
        <v>7.61</v>
      </c>
      <c r="N14" s="75" t="s">
        <v>39</v>
      </c>
      <c r="O14" s="76" t="n">
        <v>35</v>
      </c>
      <c r="P14" s="76" t="n">
        <v>26</v>
      </c>
      <c r="Q14" s="76" t="n">
        <v>36.5</v>
      </c>
      <c r="R14" s="76" t="n">
        <v>7</v>
      </c>
      <c r="S14" s="79" t="n">
        <f aca="false">IF(B14="","",IF($N14="NON",0,IF(COUNT(O14:R14)=0,"",SUM(O14:R14))))</f>
        <v>104.5</v>
      </c>
      <c r="T14" s="77" t="n">
        <f aca="false">IF(B14="","",IF($N14="NON",0,IF(COUNT(O14:R14)=0,"",IFERROR(ROUND(SUM(O14:R14)/SUMPRODUCT(ISNUMBER(O14:R14)*$O$8:$R$8)*10,2),""))))</f>
        <v>7.46</v>
      </c>
      <c r="U14" s="75" t="s">
        <v>39</v>
      </c>
      <c r="V14" s="76" t="n">
        <v>45</v>
      </c>
      <c r="W14" s="76" t="n">
        <v>25.5</v>
      </c>
      <c r="X14" s="76" t="n">
        <v>35</v>
      </c>
      <c r="Y14" s="76" t="n">
        <v>7.5</v>
      </c>
      <c r="Z14" s="79" t="n">
        <f aca="false">IF(B14="","",IF($U14="NON",0,IF(COUNT(V14:Y14)=0,"",SUM(V14:Y14))))</f>
        <v>113</v>
      </c>
      <c r="AA14" s="77" t="n">
        <f aca="false">IF(B14="","",IF($U14="NON",0,IF(COUNT(V14:Y14)=0,"",IFERROR(ROUND(SUM(V14:Y14)/SUMPRODUCT(ISNUMBER(V14:Y14)*$V$8:$Y$8)*10,2),""))))</f>
        <v>8.07</v>
      </c>
      <c r="AB14" s="75" t="s">
        <v>39</v>
      </c>
      <c r="AC14" s="76" t="n">
        <v>46.5</v>
      </c>
      <c r="AD14" s="76" t="n">
        <v>28.5</v>
      </c>
      <c r="AE14" s="76" t="n">
        <v>25.5</v>
      </c>
      <c r="AF14" s="76" t="n">
        <v>10</v>
      </c>
      <c r="AG14" s="79" t="n">
        <f aca="false">IF(B14="","",IF($AB14="NON",0,IF(COUNT(AC14:AF14)=0,"",SUM(AC14:AF14))))</f>
        <v>110.5</v>
      </c>
      <c r="AH14" s="77" t="n">
        <f aca="false">IF(B14="","",IF($AB14="NON",0,IF(COUNT(AC14:AF14)=0,"",IFERROR(ROUND(SUM(AC14:AF14)/SUMPRODUCT(ISNUMBER(AC14:AF14)*$AC$8:$AF$8)*10,2),""))))</f>
        <v>7.89</v>
      </c>
      <c r="AI14" s="51" t="n">
        <f aca="false">IFERROR(MATCH("CE1-5",'REGISTRE ELEVES'!$AI$10:$AI$250,0),"")</f>
        <v>28</v>
      </c>
    </row>
    <row r="15" customFormat="false" ht="15" hidden="false" customHeight="false" outlineLevel="0" collapsed="false">
      <c r="A15" s="73" t="n">
        <f aca="false">IF(B15="","",6)</f>
        <v>6</v>
      </c>
      <c r="B15" s="73" t="str">
        <f aca="false">IF($AI15="","",INDEX('REGISTRE ELEVES'!$B$10:$B$250,$AI15))</f>
        <v>CE1-006-26</v>
      </c>
      <c r="C15" s="74" t="str">
        <f aca="false">IF($AI15="","",INDEX('REGISTRE ELEVES'!$D$10:$D$250,$AI15))</f>
        <v>SORO Cédric Emmanuel</v>
      </c>
      <c r="D15" s="73" t="str">
        <f aca="false">IF($AI15="","",INDEX('REGISTRE ELEVES'!$E$10:$E$250,$AI15))</f>
        <v>M</v>
      </c>
      <c r="E15" s="73" t="str">
        <f aca="false">IF($AI15="","",INDEX('REGISTRE ELEVES'!$F$10:$F$250,$AI15))</f>
        <v>CE1</v>
      </c>
      <c r="F15" s="73" t="str">
        <f aca="false">IF($AI15="","",INDEX('REGISTRE ELEVES'!$AE$10:$AE$250,$AI15))</f>
        <v>PRESENT</v>
      </c>
      <c r="G15" s="75" t="s">
        <v>39</v>
      </c>
      <c r="H15" s="76" t="n">
        <v>31.5</v>
      </c>
      <c r="I15" s="76" t="n">
        <v>26</v>
      </c>
      <c r="J15" s="76" t="n">
        <v>27.5</v>
      </c>
      <c r="K15" s="76" t="n">
        <v>6</v>
      </c>
      <c r="L15" s="79" t="n">
        <f aca="false">IF(B15="","",IF($G15="NON",0,IF(COUNT(H15:K15)=0,"",SUM(H15:K15))))</f>
        <v>91</v>
      </c>
      <c r="M15" s="77" t="n">
        <f aca="false">IF(B15="","",IF($G15="NON",0,IF(COUNT(H15:K15)=0,"",IFERROR(ROUND(SUM(H15:K15)/SUMPRODUCT(ISNUMBER(H15:K15)*$H$8:$K$8)*10,2),""))))</f>
        <v>6.5</v>
      </c>
      <c r="N15" s="75" t="s">
        <v>39</v>
      </c>
      <c r="O15" s="76" t="n">
        <v>19</v>
      </c>
      <c r="P15" s="76" t="n">
        <v>25.5</v>
      </c>
      <c r="Q15" s="76" t="n">
        <v>21</v>
      </c>
      <c r="R15" s="76" t="n">
        <v>5.5</v>
      </c>
      <c r="S15" s="79" t="n">
        <f aca="false">IF(B15="","",IF($N15="NON",0,IF(COUNT(O15:R15)=0,"",SUM(O15:R15))))</f>
        <v>71</v>
      </c>
      <c r="T15" s="77" t="n">
        <f aca="false">IF(B15="","",IF($N15="NON",0,IF(COUNT(O15:R15)=0,"",IFERROR(ROUND(SUM(O15:R15)/SUMPRODUCT(ISNUMBER(O15:R15)*$O$8:$R$8)*10,2),""))))</f>
        <v>5.07</v>
      </c>
      <c r="U15" s="75" t="s">
        <v>39</v>
      </c>
      <c r="V15" s="76" t="n">
        <v>20.5</v>
      </c>
      <c r="W15" s="76" t="n">
        <v>26.5</v>
      </c>
      <c r="X15" s="76" t="n">
        <v>15</v>
      </c>
      <c r="Y15" s="76" t="n">
        <v>6.5</v>
      </c>
      <c r="Z15" s="79" t="n">
        <f aca="false">IF(B15="","",IF($U15="NON",0,IF(COUNT(V15:Y15)=0,"",SUM(V15:Y15))))</f>
        <v>68.5</v>
      </c>
      <c r="AA15" s="77" t="n">
        <f aca="false">IF(B15="","",IF($U15="NON",0,IF(COUNT(V15:Y15)=0,"",IFERROR(ROUND(SUM(V15:Y15)/SUMPRODUCT(ISNUMBER(V15:Y15)*$V$8:$Y$8)*10,2),""))))</f>
        <v>4.89</v>
      </c>
      <c r="AB15" s="75" t="s">
        <v>39</v>
      </c>
      <c r="AC15" s="76" t="n">
        <v>23</v>
      </c>
      <c r="AD15" s="76" t="n">
        <v>23</v>
      </c>
      <c r="AE15" s="76" t="n">
        <v>29.5</v>
      </c>
      <c r="AF15" s="76" t="n">
        <v>6</v>
      </c>
      <c r="AG15" s="79" t="n">
        <f aca="false">IF(B15="","",IF($AB15="NON",0,IF(COUNT(AC15:AF15)=0,"",SUM(AC15:AF15))))</f>
        <v>81.5</v>
      </c>
      <c r="AH15" s="77" t="n">
        <f aca="false">IF(B15="","",IF($AB15="NON",0,IF(COUNT(AC15:AF15)=0,"",IFERROR(ROUND(SUM(AC15:AF15)/SUMPRODUCT(ISNUMBER(AC15:AF15)*$AC$8:$AF$8)*10,2),""))))</f>
        <v>5.82</v>
      </c>
      <c r="AI15" s="51" t="n">
        <f aca="false">IFERROR(MATCH("CE1-6",'REGISTRE ELEVES'!$AI$10:$AI$250,0),"")</f>
        <v>29</v>
      </c>
    </row>
    <row r="16" customFormat="false" ht="15" hidden="false" customHeight="false" outlineLevel="0" collapsed="false">
      <c r="A16" s="73" t="n">
        <f aca="false">IF(B16="","",7)</f>
        <v>7</v>
      </c>
      <c r="B16" s="73" t="str">
        <f aca="false">IF($AI16="","",INDEX('REGISTRE ELEVES'!$B$10:$B$250,$AI16))</f>
        <v>CE1-007-26</v>
      </c>
      <c r="C16" s="74" t="str">
        <f aca="false">IF($AI16="","",INDEX('REGISTRE ELEVES'!$D$10:$D$250,$AI16))</f>
        <v>KOUASSI Franck Kouakou</v>
      </c>
      <c r="D16" s="73" t="str">
        <f aca="false">IF($AI16="","",INDEX('REGISTRE ELEVES'!$E$10:$E$250,$AI16))</f>
        <v>M</v>
      </c>
      <c r="E16" s="73" t="str">
        <f aca="false">IF($AI16="","",INDEX('REGISTRE ELEVES'!$F$10:$F$250,$AI16))</f>
        <v>CE1</v>
      </c>
      <c r="F16" s="73" t="str">
        <f aca="false">IF($AI16="","",INDEX('REGISTRE ELEVES'!$AE$10:$AE$250,$AI16))</f>
        <v>PRESENT</v>
      </c>
      <c r="G16" s="75" t="s">
        <v>39</v>
      </c>
      <c r="H16" s="76" t="n">
        <v>22.5</v>
      </c>
      <c r="I16" s="76" t="n">
        <v>23</v>
      </c>
      <c r="J16" s="76" t="n">
        <v>23.5</v>
      </c>
      <c r="K16" s="76" t="n">
        <v>5</v>
      </c>
      <c r="L16" s="79" t="n">
        <f aca="false">IF(B16="","",IF($G16="NON",0,IF(COUNT(H16:K16)=0,"",SUM(H16:K16))))</f>
        <v>74</v>
      </c>
      <c r="M16" s="77" t="n">
        <f aca="false">IF(B16="","",IF($G16="NON",0,IF(COUNT(H16:K16)=0,"",IFERROR(ROUND(SUM(H16:K16)/SUMPRODUCT(ISNUMBER(H16:K16)*$H$8:$K$8)*10,2),""))))</f>
        <v>5.29</v>
      </c>
      <c r="N16" s="75" t="s">
        <v>39</v>
      </c>
      <c r="O16" s="76" t="n">
        <v>24</v>
      </c>
      <c r="P16" s="76" t="n">
        <v>28.5</v>
      </c>
      <c r="Q16" s="76" t="n">
        <v>28</v>
      </c>
      <c r="R16" s="76" t="n">
        <v>5</v>
      </c>
      <c r="S16" s="79" t="n">
        <f aca="false">IF(B16="","",IF($N16="NON",0,IF(COUNT(O16:R16)=0,"",SUM(O16:R16))))</f>
        <v>85.5</v>
      </c>
      <c r="T16" s="77" t="n">
        <f aca="false">IF(B16="","",IF($N16="NON",0,IF(COUNT(O16:R16)=0,"",IFERROR(ROUND(SUM(O16:R16)/SUMPRODUCT(ISNUMBER(O16:R16)*$O$8:$R$8)*10,2),""))))</f>
        <v>6.11</v>
      </c>
      <c r="U16" s="75" t="s">
        <v>39</v>
      </c>
      <c r="V16" s="76" t="n">
        <v>31.5</v>
      </c>
      <c r="W16" s="76" t="n">
        <v>24</v>
      </c>
      <c r="X16" s="76" t="n">
        <v>32</v>
      </c>
      <c r="Y16" s="76" t="n">
        <v>5.5</v>
      </c>
      <c r="Z16" s="79" t="n">
        <f aca="false">IF(B16="","",IF($U16="NON",0,IF(COUNT(V16:Y16)=0,"",SUM(V16:Y16))))</f>
        <v>93</v>
      </c>
      <c r="AA16" s="77" t="n">
        <f aca="false">IF(B16="","",IF($U16="NON",0,IF(COUNT(V16:Y16)=0,"",IFERROR(ROUND(SUM(V16:Y16)/SUMPRODUCT(ISNUMBER(V16:Y16)*$V$8:$Y$8)*10,2),""))))</f>
        <v>6.64</v>
      </c>
      <c r="AB16" s="75" t="s">
        <v>39</v>
      </c>
      <c r="AC16" s="76" t="n">
        <v>39</v>
      </c>
      <c r="AD16" s="76" t="n">
        <v>19.5</v>
      </c>
      <c r="AE16" s="76" t="n">
        <v>26</v>
      </c>
      <c r="AF16" s="76" t="n">
        <v>5.5</v>
      </c>
      <c r="AG16" s="79" t="n">
        <f aca="false">IF(B16="","",IF($AB16="NON",0,IF(COUNT(AC16:AF16)=0,"",SUM(AC16:AF16))))</f>
        <v>90</v>
      </c>
      <c r="AH16" s="77" t="n">
        <f aca="false">IF(B16="","",IF($AB16="NON",0,IF(COUNT(AC16:AF16)=0,"",IFERROR(ROUND(SUM(AC16:AF16)/SUMPRODUCT(ISNUMBER(AC16:AF16)*$AC$8:$AF$8)*10,2),""))))</f>
        <v>6.43</v>
      </c>
      <c r="AI16" s="51" t="n">
        <f aca="false">IFERROR(MATCH("CE1-7",'REGISTRE ELEVES'!$AI$10:$AI$250,0),"")</f>
        <v>30</v>
      </c>
    </row>
    <row r="17" customFormat="false" ht="15" hidden="false" customHeight="false" outlineLevel="0" collapsed="false">
      <c r="A17" s="73" t="n">
        <f aca="false">IF(B17="","",8)</f>
        <v>8</v>
      </c>
      <c r="B17" s="73" t="str">
        <f aca="false">IF($AI17="","",INDEX('REGISTRE ELEVES'!$B$10:$B$250,$AI17))</f>
        <v>CE1-008-26</v>
      </c>
      <c r="C17" s="74" t="str">
        <f aca="false">IF($AI17="","",INDEX('REGISTRE ELEVES'!$D$10:$D$250,$AI17))</f>
        <v>BAMBA Mariam Amenan</v>
      </c>
      <c r="D17" s="73" t="str">
        <f aca="false">IF($AI17="","",INDEX('REGISTRE ELEVES'!$E$10:$E$250,$AI17))</f>
        <v>F</v>
      </c>
      <c r="E17" s="73" t="str">
        <f aca="false">IF($AI17="","",INDEX('REGISTRE ELEVES'!$F$10:$F$250,$AI17))</f>
        <v>CE1</v>
      </c>
      <c r="F17" s="73" t="str">
        <f aca="false">IF($AI17="","",INDEX('REGISTRE ELEVES'!$AE$10:$AE$250,$AI17))</f>
        <v>PRESENT</v>
      </c>
      <c r="G17" s="75" t="s">
        <v>39</v>
      </c>
      <c r="H17" s="76" t="n">
        <v>44.5</v>
      </c>
      <c r="I17" s="76" t="n">
        <v>26.5</v>
      </c>
      <c r="J17" s="76" t="n">
        <v>34</v>
      </c>
      <c r="K17" s="76" t="n">
        <v>8.5</v>
      </c>
      <c r="L17" s="79" t="n">
        <f aca="false">IF(B17="","",IF($G17="NON",0,IF(COUNT(H17:K17)=0,"",SUM(H17:K17))))</f>
        <v>113.5</v>
      </c>
      <c r="M17" s="77" t="n">
        <f aca="false">IF(B17="","",IF($G17="NON",0,IF(COUNT(H17:K17)=0,"",IFERROR(ROUND(SUM(H17:K17)/SUMPRODUCT(ISNUMBER(H17:K17)*$H$8:$K$8)*10,2),""))))</f>
        <v>8.11</v>
      </c>
      <c r="N17" s="75" t="s">
        <v>39</v>
      </c>
      <c r="O17" s="76" t="n">
        <v>45</v>
      </c>
      <c r="P17" s="76" t="n">
        <v>37</v>
      </c>
      <c r="Q17" s="76" t="n">
        <v>25.5</v>
      </c>
      <c r="R17" s="76" t="n">
        <v>7</v>
      </c>
      <c r="S17" s="79" t="n">
        <f aca="false">IF(B17="","",IF($N17="NON",0,IF(COUNT(O17:R17)=0,"",SUM(O17:R17))))</f>
        <v>114.5</v>
      </c>
      <c r="T17" s="77" t="n">
        <f aca="false">IF(B17="","",IF($N17="NON",0,IF(COUNT(O17:R17)=0,"",IFERROR(ROUND(SUM(O17:R17)/SUMPRODUCT(ISNUMBER(O17:R17)*$O$8:$R$8)*10,2),""))))</f>
        <v>8.18</v>
      </c>
      <c r="U17" s="75" t="s">
        <v>39</v>
      </c>
      <c r="V17" s="76" t="n">
        <v>33.5</v>
      </c>
      <c r="W17" s="76" t="n">
        <v>24.5</v>
      </c>
      <c r="X17" s="76" t="n">
        <v>28</v>
      </c>
      <c r="Y17" s="76" t="n">
        <v>6.5</v>
      </c>
      <c r="Z17" s="79" t="n">
        <f aca="false">IF(B17="","",IF($U17="NON",0,IF(COUNT(V17:Y17)=0,"",SUM(V17:Y17))))</f>
        <v>92.5</v>
      </c>
      <c r="AA17" s="77" t="n">
        <f aca="false">IF(B17="","",IF($U17="NON",0,IF(COUNT(V17:Y17)=0,"",IFERROR(ROUND(SUM(V17:Y17)/SUMPRODUCT(ISNUMBER(V17:Y17)*$V$8:$Y$8)*10,2),""))))</f>
        <v>6.61</v>
      </c>
      <c r="AB17" s="75" t="s">
        <v>39</v>
      </c>
      <c r="AC17" s="76" t="n">
        <v>38.5</v>
      </c>
      <c r="AD17" s="76" t="n">
        <v>25.5</v>
      </c>
      <c r="AE17" s="76" t="n">
        <v>29</v>
      </c>
      <c r="AF17" s="76" t="n">
        <v>8</v>
      </c>
      <c r="AG17" s="79" t="n">
        <f aca="false">IF(B17="","",IF($AB17="NON",0,IF(COUNT(AC17:AF17)=0,"",SUM(AC17:AF17))))</f>
        <v>101</v>
      </c>
      <c r="AH17" s="77" t="n">
        <f aca="false">IF(B17="","",IF($AB17="NON",0,IF(COUNT(AC17:AF17)=0,"",IFERROR(ROUND(SUM(AC17:AF17)/SUMPRODUCT(ISNUMBER(AC17:AF17)*$AC$8:$AF$8)*10,2),""))))</f>
        <v>7.21</v>
      </c>
      <c r="AI17" s="51" t="n">
        <f aca="false">IFERROR(MATCH("CE1-8",'REGISTRE ELEVES'!$AI$10:$AI$250,0),"")</f>
        <v>31</v>
      </c>
    </row>
    <row r="18" customFormat="false" ht="15" hidden="false" customHeight="false" outlineLevel="0" collapsed="false">
      <c r="A18" s="73" t="n">
        <f aca="false">IF(B18="","",9)</f>
        <v>9</v>
      </c>
      <c r="B18" s="73" t="str">
        <f aca="false">IF($AI18="","",INDEX('REGISTRE ELEVES'!$B$10:$B$250,$AI18))</f>
        <v>CE1-009-26</v>
      </c>
      <c r="C18" s="74" t="str">
        <f aca="false">IF($AI18="","",INDEX('REGISTRE ELEVES'!$D$10:$D$250,$AI18))</f>
        <v>DIGBEU Kouadio Konan</v>
      </c>
      <c r="D18" s="73" t="str">
        <f aca="false">IF($AI18="","",INDEX('REGISTRE ELEVES'!$E$10:$E$250,$AI18))</f>
        <v>M</v>
      </c>
      <c r="E18" s="73" t="str">
        <f aca="false">IF($AI18="","",INDEX('REGISTRE ELEVES'!$F$10:$F$250,$AI18))</f>
        <v>CE1</v>
      </c>
      <c r="F18" s="73" t="str">
        <f aca="false">IF($AI18="","",INDEX('REGISTRE ELEVES'!$AE$10:$AE$250,$AI18))</f>
        <v>PRESENT</v>
      </c>
      <c r="G18" s="75" t="s">
        <v>39</v>
      </c>
      <c r="H18" s="76" t="n">
        <v>17.5</v>
      </c>
      <c r="I18" s="76" t="n">
        <v>13</v>
      </c>
      <c r="J18" s="76" t="n">
        <v>28.5</v>
      </c>
      <c r="K18" s="76" t="n">
        <v>6</v>
      </c>
      <c r="L18" s="79" t="n">
        <f aca="false">IF(B18="","",IF($G18="NON",0,IF(COUNT(H18:K18)=0,"",SUM(H18:K18))))</f>
        <v>65</v>
      </c>
      <c r="M18" s="77" t="n">
        <f aca="false">IF(B18="","",IF($G18="NON",0,IF(COUNT(H18:K18)=0,"",IFERROR(ROUND(SUM(H18:K18)/SUMPRODUCT(ISNUMBER(H18:K18)*$H$8:$K$8)*10,2),""))))</f>
        <v>4.64</v>
      </c>
      <c r="N18" s="75" t="s">
        <v>39</v>
      </c>
      <c r="O18" s="76" t="n">
        <v>30</v>
      </c>
      <c r="P18" s="76" t="n">
        <v>28.5</v>
      </c>
      <c r="Q18" s="76" t="n">
        <v>21.5</v>
      </c>
      <c r="R18" s="76" t="n">
        <v>3.5</v>
      </c>
      <c r="S18" s="79" t="n">
        <f aca="false">IF(B18="","",IF($N18="NON",0,IF(COUNT(O18:R18)=0,"",SUM(O18:R18))))</f>
        <v>83.5</v>
      </c>
      <c r="T18" s="77" t="n">
        <f aca="false">IF(B18="","",IF($N18="NON",0,IF(COUNT(O18:R18)=0,"",IFERROR(ROUND(SUM(O18:R18)/SUMPRODUCT(ISNUMBER(O18:R18)*$O$8:$R$8)*10,2),""))))</f>
        <v>5.96</v>
      </c>
      <c r="U18" s="75" t="s">
        <v>39</v>
      </c>
      <c r="V18" s="76" t="n">
        <v>24.5</v>
      </c>
      <c r="W18" s="76" t="n">
        <v>15.5</v>
      </c>
      <c r="X18" s="76" t="n">
        <v>21.5</v>
      </c>
      <c r="Y18" s="76" t="n">
        <v>3</v>
      </c>
      <c r="Z18" s="79" t="n">
        <f aca="false">IF(B18="","",IF($U18="NON",0,IF(COUNT(V18:Y18)=0,"",SUM(V18:Y18))))</f>
        <v>64.5</v>
      </c>
      <c r="AA18" s="77" t="n">
        <f aca="false">IF(B18="","",IF($U18="NON",0,IF(COUNT(V18:Y18)=0,"",IFERROR(ROUND(SUM(V18:Y18)/SUMPRODUCT(ISNUMBER(V18:Y18)*$V$8:$Y$8)*10,2),""))))</f>
        <v>4.61</v>
      </c>
      <c r="AB18" s="75" t="s">
        <v>39</v>
      </c>
      <c r="AC18" s="76" t="n">
        <v>29</v>
      </c>
      <c r="AD18" s="76" t="n">
        <v>23</v>
      </c>
      <c r="AE18" s="76" t="n">
        <v>27.5</v>
      </c>
      <c r="AF18" s="76" t="n">
        <v>6</v>
      </c>
      <c r="AG18" s="79" t="n">
        <f aca="false">IF(B18="","",IF($AB18="NON",0,IF(COUNT(AC18:AF18)=0,"",SUM(AC18:AF18))))</f>
        <v>85.5</v>
      </c>
      <c r="AH18" s="77" t="n">
        <f aca="false">IF(B18="","",IF($AB18="NON",0,IF(COUNT(AC18:AF18)=0,"",IFERROR(ROUND(SUM(AC18:AF18)/SUMPRODUCT(ISNUMBER(AC18:AF18)*$AC$8:$AF$8)*10,2),""))))</f>
        <v>6.11</v>
      </c>
      <c r="AI18" s="51" t="n">
        <f aca="false">IFERROR(MATCH("CE1-9",'REGISTRE ELEVES'!$AI$10:$AI$250,0),"")</f>
        <v>32</v>
      </c>
    </row>
    <row r="19" customFormat="false" ht="15" hidden="false" customHeight="false" outlineLevel="0" collapsed="false">
      <c r="A19" s="73" t="str">
        <f aca="false">IF(B19="","",10)</f>
        <v/>
      </c>
      <c r="B19" s="73" t="str">
        <f aca="false">IF($AI19="","",INDEX('REGISTRE ELEVES'!$B$10:$B$250,$AI19))</f>
        <v/>
      </c>
      <c r="C19" s="74" t="str">
        <f aca="false">IF($AI19="","",INDEX('REGISTRE ELEVES'!$D$10:$D$250,$AI19))</f>
        <v/>
      </c>
      <c r="D19" s="73" t="str">
        <f aca="false">IF($AI19="","",INDEX('REGISTRE ELEVES'!$E$10:$E$250,$AI19))</f>
        <v/>
      </c>
      <c r="E19" s="73" t="str">
        <f aca="false">IF($AI19="","",INDEX('REGISTRE ELEVES'!$F$10:$F$250,$AI19))</f>
        <v/>
      </c>
      <c r="F19" s="73" t="str">
        <f aca="false">IF($AI19="","",INDEX('REGISTRE ELEVES'!$AE$10:$AE$250,$AI19))</f>
        <v/>
      </c>
      <c r="G19" s="75"/>
      <c r="H19" s="76"/>
      <c r="I19" s="76"/>
      <c r="J19" s="76"/>
      <c r="K19" s="76"/>
      <c r="L19" s="79" t="str">
        <f aca="false">IF(B19="","",IF($G19="NON",0,IF(COUNT(H19:K19)=0,"",SUM(H19:K19))))</f>
        <v/>
      </c>
      <c r="M19" s="77" t="str">
        <f aca="false">IF(B19="","",IF($G19="NON",0,IF(COUNT(H19:K19)=0,"",IFERROR(ROUND(SUM(H19:K19)/SUMPRODUCT(ISNUMBER(H19:K19)*$H$8:$K$8)*10,2),""))))</f>
        <v/>
      </c>
      <c r="N19" s="75"/>
      <c r="O19" s="76"/>
      <c r="P19" s="76"/>
      <c r="Q19" s="76"/>
      <c r="R19" s="76"/>
      <c r="S19" s="79" t="str">
        <f aca="false">IF(B19="","",IF($N19="NON",0,IF(COUNT(O19:R19)=0,"",SUM(O19:R19))))</f>
        <v/>
      </c>
      <c r="T19" s="77" t="str">
        <f aca="false">IF(B19="","",IF($N19="NON",0,IF(COUNT(O19:R19)=0,"",IFERROR(ROUND(SUM(O19:R19)/SUMPRODUCT(ISNUMBER(O19:R19)*$O$8:$R$8)*10,2),""))))</f>
        <v/>
      </c>
      <c r="U19" s="75"/>
      <c r="V19" s="76"/>
      <c r="W19" s="76"/>
      <c r="X19" s="76"/>
      <c r="Y19" s="76"/>
      <c r="Z19" s="79" t="str">
        <f aca="false">IF(B19="","",IF($U19="NON",0,IF(COUNT(V19:Y19)=0,"",SUM(V19:Y19))))</f>
        <v/>
      </c>
      <c r="AA19" s="77" t="str">
        <f aca="false">IF(B19="","",IF($U19="NON",0,IF(COUNT(V19:Y19)=0,"",IFERROR(ROUND(SUM(V19:Y19)/SUMPRODUCT(ISNUMBER(V19:Y19)*$V$8:$Y$8)*10,2),""))))</f>
        <v/>
      </c>
      <c r="AB19" s="75"/>
      <c r="AC19" s="76"/>
      <c r="AD19" s="76"/>
      <c r="AE19" s="76"/>
      <c r="AF19" s="76"/>
      <c r="AG19" s="79" t="str">
        <f aca="false">IF(B19="","",IF($AB19="NON",0,IF(COUNT(AC19:AF19)=0,"",SUM(AC19:AF19))))</f>
        <v/>
      </c>
      <c r="AH19" s="77" t="str">
        <f aca="false">IF(B19="","",IF($AB19="NON",0,IF(COUNT(AC19:AF19)=0,"",IFERROR(ROUND(SUM(AC19:AF19)/SUMPRODUCT(ISNUMBER(AC19:AF19)*$AC$8:$AF$8)*10,2),""))))</f>
        <v/>
      </c>
      <c r="AI19" s="51" t="str">
        <f aca="false">IFERROR(MATCH("CE1-10",'REGISTRE ELEVES'!$AI$10:$AI$250,0),"")</f>
        <v/>
      </c>
    </row>
    <row r="20" customFormat="false" ht="15" hidden="false" customHeight="false" outlineLevel="0" collapsed="false">
      <c r="A20" s="73" t="str">
        <f aca="false">IF(B20="","",11)</f>
        <v/>
      </c>
      <c r="B20" s="73" t="str">
        <f aca="false">IF($AI20="","",INDEX('REGISTRE ELEVES'!$B$10:$B$250,$AI20))</f>
        <v/>
      </c>
      <c r="C20" s="74" t="str">
        <f aca="false">IF($AI20="","",INDEX('REGISTRE ELEVES'!$D$10:$D$250,$AI20))</f>
        <v/>
      </c>
      <c r="D20" s="73" t="str">
        <f aca="false">IF($AI20="","",INDEX('REGISTRE ELEVES'!$E$10:$E$250,$AI20))</f>
        <v/>
      </c>
      <c r="E20" s="73" t="str">
        <f aca="false">IF($AI20="","",INDEX('REGISTRE ELEVES'!$F$10:$F$250,$AI20))</f>
        <v/>
      </c>
      <c r="F20" s="73" t="str">
        <f aca="false">IF($AI20="","",INDEX('REGISTRE ELEVES'!$AE$10:$AE$250,$AI20))</f>
        <v/>
      </c>
      <c r="G20" s="75"/>
      <c r="H20" s="76"/>
      <c r="I20" s="76"/>
      <c r="J20" s="76"/>
      <c r="K20" s="76"/>
      <c r="L20" s="79" t="str">
        <f aca="false">IF(B20="","",IF($G20="NON",0,IF(COUNT(H20:K20)=0,"",SUM(H20:K20))))</f>
        <v/>
      </c>
      <c r="M20" s="77" t="str">
        <f aca="false">IF(B20="","",IF($G20="NON",0,IF(COUNT(H20:K20)=0,"",IFERROR(ROUND(SUM(H20:K20)/SUMPRODUCT(ISNUMBER(H20:K20)*$H$8:$K$8)*10,2),""))))</f>
        <v/>
      </c>
      <c r="N20" s="75"/>
      <c r="O20" s="76"/>
      <c r="P20" s="76"/>
      <c r="Q20" s="76"/>
      <c r="R20" s="76"/>
      <c r="S20" s="79" t="str">
        <f aca="false">IF(B20="","",IF($N20="NON",0,IF(COUNT(O20:R20)=0,"",SUM(O20:R20))))</f>
        <v/>
      </c>
      <c r="T20" s="77" t="str">
        <f aca="false">IF(B20="","",IF($N20="NON",0,IF(COUNT(O20:R20)=0,"",IFERROR(ROUND(SUM(O20:R20)/SUMPRODUCT(ISNUMBER(O20:R20)*$O$8:$R$8)*10,2),""))))</f>
        <v/>
      </c>
      <c r="U20" s="75"/>
      <c r="V20" s="76"/>
      <c r="W20" s="76"/>
      <c r="X20" s="76"/>
      <c r="Y20" s="76"/>
      <c r="Z20" s="79" t="str">
        <f aca="false">IF(B20="","",IF($U20="NON",0,IF(COUNT(V20:Y20)=0,"",SUM(V20:Y20))))</f>
        <v/>
      </c>
      <c r="AA20" s="77" t="str">
        <f aca="false">IF(B20="","",IF($U20="NON",0,IF(COUNT(V20:Y20)=0,"",IFERROR(ROUND(SUM(V20:Y20)/SUMPRODUCT(ISNUMBER(V20:Y20)*$V$8:$Y$8)*10,2),""))))</f>
        <v/>
      </c>
      <c r="AB20" s="75"/>
      <c r="AC20" s="76"/>
      <c r="AD20" s="76"/>
      <c r="AE20" s="76"/>
      <c r="AF20" s="76"/>
      <c r="AG20" s="79" t="str">
        <f aca="false">IF(B20="","",IF($AB20="NON",0,IF(COUNT(AC20:AF20)=0,"",SUM(AC20:AF20))))</f>
        <v/>
      </c>
      <c r="AH20" s="77" t="str">
        <f aca="false">IF(B20="","",IF($AB20="NON",0,IF(COUNT(AC20:AF20)=0,"",IFERROR(ROUND(SUM(AC20:AF20)/SUMPRODUCT(ISNUMBER(AC20:AF20)*$AC$8:$AF$8)*10,2),""))))</f>
        <v/>
      </c>
      <c r="AI20" s="51" t="str">
        <f aca="false">IFERROR(MATCH("CE1-11",'REGISTRE ELEVES'!$AI$10:$AI$250,0),"")</f>
        <v/>
      </c>
    </row>
    <row r="21" customFormat="false" ht="15" hidden="false" customHeight="false" outlineLevel="0" collapsed="false">
      <c r="A21" s="73" t="str">
        <f aca="false">IF(B21="","",12)</f>
        <v/>
      </c>
      <c r="B21" s="73" t="str">
        <f aca="false">IF($AI21="","",INDEX('REGISTRE ELEVES'!$B$10:$B$250,$AI21))</f>
        <v/>
      </c>
      <c r="C21" s="74" t="str">
        <f aca="false">IF($AI21="","",INDEX('REGISTRE ELEVES'!$D$10:$D$250,$AI21))</f>
        <v/>
      </c>
      <c r="D21" s="73" t="str">
        <f aca="false">IF($AI21="","",INDEX('REGISTRE ELEVES'!$E$10:$E$250,$AI21))</f>
        <v/>
      </c>
      <c r="E21" s="73" t="str">
        <f aca="false">IF($AI21="","",INDEX('REGISTRE ELEVES'!$F$10:$F$250,$AI21))</f>
        <v/>
      </c>
      <c r="F21" s="73" t="str">
        <f aca="false">IF($AI21="","",INDEX('REGISTRE ELEVES'!$AE$10:$AE$250,$AI21))</f>
        <v/>
      </c>
      <c r="G21" s="75"/>
      <c r="H21" s="76"/>
      <c r="I21" s="76"/>
      <c r="J21" s="76"/>
      <c r="K21" s="76"/>
      <c r="L21" s="79" t="str">
        <f aca="false">IF(B21="","",IF($G21="NON",0,IF(COUNT(H21:K21)=0,"",SUM(H21:K21))))</f>
        <v/>
      </c>
      <c r="M21" s="77" t="str">
        <f aca="false">IF(B21="","",IF($G21="NON",0,IF(COUNT(H21:K21)=0,"",IFERROR(ROUND(SUM(H21:K21)/SUMPRODUCT(ISNUMBER(H21:K21)*$H$8:$K$8)*10,2),""))))</f>
        <v/>
      </c>
      <c r="N21" s="75"/>
      <c r="O21" s="76"/>
      <c r="P21" s="76"/>
      <c r="Q21" s="76"/>
      <c r="R21" s="76"/>
      <c r="S21" s="79" t="str">
        <f aca="false">IF(B21="","",IF($N21="NON",0,IF(COUNT(O21:R21)=0,"",SUM(O21:R21))))</f>
        <v/>
      </c>
      <c r="T21" s="77" t="str">
        <f aca="false">IF(B21="","",IF($N21="NON",0,IF(COUNT(O21:R21)=0,"",IFERROR(ROUND(SUM(O21:R21)/SUMPRODUCT(ISNUMBER(O21:R21)*$O$8:$R$8)*10,2),""))))</f>
        <v/>
      </c>
      <c r="U21" s="75"/>
      <c r="V21" s="76"/>
      <c r="W21" s="76"/>
      <c r="X21" s="76"/>
      <c r="Y21" s="76"/>
      <c r="Z21" s="79" t="str">
        <f aca="false">IF(B21="","",IF($U21="NON",0,IF(COUNT(V21:Y21)=0,"",SUM(V21:Y21))))</f>
        <v/>
      </c>
      <c r="AA21" s="77" t="str">
        <f aca="false">IF(B21="","",IF($U21="NON",0,IF(COUNT(V21:Y21)=0,"",IFERROR(ROUND(SUM(V21:Y21)/SUMPRODUCT(ISNUMBER(V21:Y21)*$V$8:$Y$8)*10,2),""))))</f>
        <v/>
      </c>
      <c r="AB21" s="75"/>
      <c r="AC21" s="76"/>
      <c r="AD21" s="76"/>
      <c r="AE21" s="76"/>
      <c r="AF21" s="76"/>
      <c r="AG21" s="79" t="str">
        <f aca="false">IF(B21="","",IF($AB21="NON",0,IF(COUNT(AC21:AF21)=0,"",SUM(AC21:AF21))))</f>
        <v/>
      </c>
      <c r="AH21" s="77" t="str">
        <f aca="false">IF(B21="","",IF($AB21="NON",0,IF(COUNT(AC21:AF21)=0,"",IFERROR(ROUND(SUM(AC21:AF21)/SUMPRODUCT(ISNUMBER(AC21:AF21)*$AC$8:$AF$8)*10,2),""))))</f>
        <v/>
      </c>
      <c r="AI21" s="51" t="str">
        <f aca="false">IFERROR(MATCH("CE1-12",'REGISTRE ELEVES'!$AI$10:$AI$250,0),"")</f>
        <v/>
      </c>
    </row>
    <row r="22" customFormat="false" ht="15" hidden="false" customHeight="false" outlineLevel="0" collapsed="false">
      <c r="A22" s="73" t="str">
        <f aca="false">IF(B22="","",13)</f>
        <v/>
      </c>
      <c r="B22" s="73" t="str">
        <f aca="false">IF($AI22="","",INDEX('REGISTRE ELEVES'!$B$10:$B$250,$AI22))</f>
        <v/>
      </c>
      <c r="C22" s="74" t="str">
        <f aca="false">IF($AI22="","",INDEX('REGISTRE ELEVES'!$D$10:$D$250,$AI22))</f>
        <v/>
      </c>
      <c r="D22" s="73" t="str">
        <f aca="false">IF($AI22="","",INDEX('REGISTRE ELEVES'!$E$10:$E$250,$AI22))</f>
        <v/>
      </c>
      <c r="E22" s="73" t="str">
        <f aca="false">IF($AI22="","",INDEX('REGISTRE ELEVES'!$F$10:$F$250,$AI22))</f>
        <v/>
      </c>
      <c r="F22" s="73" t="str">
        <f aca="false">IF($AI22="","",INDEX('REGISTRE ELEVES'!$AE$10:$AE$250,$AI22))</f>
        <v/>
      </c>
      <c r="G22" s="75"/>
      <c r="H22" s="76"/>
      <c r="I22" s="76"/>
      <c r="J22" s="76"/>
      <c r="K22" s="76"/>
      <c r="L22" s="79" t="str">
        <f aca="false">IF(B22="","",IF($G22="NON",0,IF(COUNT(H22:K22)=0,"",SUM(H22:K22))))</f>
        <v/>
      </c>
      <c r="M22" s="77" t="str">
        <f aca="false">IF(B22="","",IF($G22="NON",0,IF(COUNT(H22:K22)=0,"",IFERROR(ROUND(SUM(H22:K22)/SUMPRODUCT(ISNUMBER(H22:K22)*$H$8:$K$8)*10,2),""))))</f>
        <v/>
      </c>
      <c r="N22" s="75"/>
      <c r="O22" s="76"/>
      <c r="P22" s="76"/>
      <c r="Q22" s="76"/>
      <c r="R22" s="76"/>
      <c r="S22" s="79" t="str">
        <f aca="false">IF(B22="","",IF($N22="NON",0,IF(COUNT(O22:R22)=0,"",SUM(O22:R22))))</f>
        <v/>
      </c>
      <c r="T22" s="77" t="str">
        <f aca="false">IF(B22="","",IF($N22="NON",0,IF(COUNT(O22:R22)=0,"",IFERROR(ROUND(SUM(O22:R22)/SUMPRODUCT(ISNUMBER(O22:R22)*$O$8:$R$8)*10,2),""))))</f>
        <v/>
      </c>
      <c r="U22" s="75"/>
      <c r="V22" s="76"/>
      <c r="W22" s="76"/>
      <c r="X22" s="76"/>
      <c r="Y22" s="76"/>
      <c r="Z22" s="79" t="str">
        <f aca="false">IF(B22="","",IF($U22="NON",0,IF(COUNT(V22:Y22)=0,"",SUM(V22:Y22))))</f>
        <v/>
      </c>
      <c r="AA22" s="77" t="str">
        <f aca="false">IF(B22="","",IF($U22="NON",0,IF(COUNT(V22:Y22)=0,"",IFERROR(ROUND(SUM(V22:Y22)/SUMPRODUCT(ISNUMBER(V22:Y22)*$V$8:$Y$8)*10,2),""))))</f>
        <v/>
      </c>
      <c r="AB22" s="75"/>
      <c r="AC22" s="76"/>
      <c r="AD22" s="76"/>
      <c r="AE22" s="76"/>
      <c r="AF22" s="76"/>
      <c r="AG22" s="79" t="str">
        <f aca="false">IF(B22="","",IF($AB22="NON",0,IF(COUNT(AC22:AF22)=0,"",SUM(AC22:AF22))))</f>
        <v/>
      </c>
      <c r="AH22" s="77" t="str">
        <f aca="false">IF(B22="","",IF($AB22="NON",0,IF(COUNT(AC22:AF22)=0,"",IFERROR(ROUND(SUM(AC22:AF22)/SUMPRODUCT(ISNUMBER(AC22:AF22)*$AC$8:$AF$8)*10,2),""))))</f>
        <v/>
      </c>
      <c r="AI22" s="51" t="str">
        <f aca="false">IFERROR(MATCH("CE1-13",'REGISTRE ELEVES'!$AI$10:$AI$250,0),"")</f>
        <v/>
      </c>
    </row>
    <row r="23" customFormat="false" ht="15" hidden="false" customHeight="false" outlineLevel="0" collapsed="false">
      <c r="A23" s="73" t="str">
        <f aca="false">IF(B23="","",14)</f>
        <v/>
      </c>
      <c r="B23" s="73" t="str">
        <f aca="false">IF($AI23="","",INDEX('REGISTRE ELEVES'!$B$10:$B$250,$AI23))</f>
        <v/>
      </c>
      <c r="C23" s="74" t="str">
        <f aca="false">IF($AI23="","",INDEX('REGISTRE ELEVES'!$D$10:$D$250,$AI23))</f>
        <v/>
      </c>
      <c r="D23" s="73" t="str">
        <f aca="false">IF($AI23="","",INDEX('REGISTRE ELEVES'!$E$10:$E$250,$AI23))</f>
        <v/>
      </c>
      <c r="E23" s="73" t="str">
        <f aca="false">IF($AI23="","",INDEX('REGISTRE ELEVES'!$F$10:$F$250,$AI23))</f>
        <v/>
      </c>
      <c r="F23" s="73" t="str">
        <f aca="false">IF($AI23="","",INDEX('REGISTRE ELEVES'!$AE$10:$AE$250,$AI23))</f>
        <v/>
      </c>
      <c r="G23" s="75"/>
      <c r="H23" s="76"/>
      <c r="I23" s="76"/>
      <c r="J23" s="76"/>
      <c r="K23" s="76"/>
      <c r="L23" s="79" t="str">
        <f aca="false">IF(B23="","",IF($G23="NON",0,IF(COUNT(H23:K23)=0,"",SUM(H23:K23))))</f>
        <v/>
      </c>
      <c r="M23" s="77" t="str">
        <f aca="false">IF(B23="","",IF($G23="NON",0,IF(COUNT(H23:K23)=0,"",IFERROR(ROUND(SUM(H23:K23)/SUMPRODUCT(ISNUMBER(H23:K23)*$H$8:$K$8)*10,2),""))))</f>
        <v/>
      </c>
      <c r="N23" s="75"/>
      <c r="O23" s="76"/>
      <c r="P23" s="76"/>
      <c r="Q23" s="76"/>
      <c r="R23" s="76"/>
      <c r="S23" s="79" t="str">
        <f aca="false">IF(B23="","",IF($N23="NON",0,IF(COUNT(O23:R23)=0,"",SUM(O23:R23))))</f>
        <v/>
      </c>
      <c r="T23" s="77" t="str">
        <f aca="false">IF(B23="","",IF($N23="NON",0,IF(COUNT(O23:R23)=0,"",IFERROR(ROUND(SUM(O23:R23)/SUMPRODUCT(ISNUMBER(O23:R23)*$O$8:$R$8)*10,2),""))))</f>
        <v/>
      </c>
      <c r="U23" s="75"/>
      <c r="V23" s="76"/>
      <c r="W23" s="76"/>
      <c r="X23" s="76"/>
      <c r="Y23" s="76"/>
      <c r="Z23" s="79" t="str">
        <f aca="false">IF(B23="","",IF($U23="NON",0,IF(COUNT(V23:Y23)=0,"",SUM(V23:Y23))))</f>
        <v/>
      </c>
      <c r="AA23" s="77" t="str">
        <f aca="false">IF(B23="","",IF($U23="NON",0,IF(COUNT(V23:Y23)=0,"",IFERROR(ROUND(SUM(V23:Y23)/SUMPRODUCT(ISNUMBER(V23:Y23)*$V$8:$Y$8)*10,2),""))))</f>
        <v/>
      </c>
      <c r="AB23" s="75"/>
      <c r="AC23" s="76"/>
      <c r="AD23" s="76"/>
      <c r="AE23" s="76"/>
      <c r="AF23" s="76"/>
      <c r="AG23" s="79" t="str">
        <f aca="false">IF(B23="","",IF($AB23="NON",0,IF(COUNT(AC23:AF23)=0,"",SUM(AC23:AF23))))</f>
        <v/>
      </c>
      <c r="AH23" s="77" t="str">
        <f aca="false">IF(B23="","",IF($AB23="NON",0,IF(COUNT(AC23:AF23)=0,"",IFERROR(ROUND(SUM(AC23:AF23)/SUMPRODUCT(ISNUMBER(AC23:AF23)*$AC$8:$AF$8)*10,2),""))))</f>
        <v/>
      </c>
      <c r="AI23" s="51" t="str">
        <f aca="false">IFERROR(MATCH("CE1-14",'REGISTRE ELEVES'!$AI$10:$AI$250,0),"")</f>
        <v/>
      </c>
    </row>
    <row r="24" customFormat="false" ht="15" hidden="false" customHeight="false" outlineLevel="0" collapsed="false">
      <c r="A24" s="73" t="str">
        <f aca="false">IF(B24="","",15)</f>
        <v/>
      </c>
      <c r="B24" s="73" t="str">
        <f aca="false">IF($AI24="","",INDEX('REGISTRE ELEVES'!$B$10:$B$250,$AI24))</f>
        <v/>
      </c>
      <c r="C24" s="74" t="str">
        <f aca="false">IF($AI24="","",INDEX('REGISTRE ELEVES'!$D$10:$D$250,$AI24))</f>
        <v/>
      </c>
      <c r="D24" s="73" t="str">
        <f aca="false">IF($AI24="","",INDEX('REGISTRE ELEVES'!$E$10:$E$250,$AI24))</f>
        <v/>
      </c>
      <c r="E24" s="73" t="str">
        <f aca="false">IF($AI24="","",INDEX('REGISTRE ELEVES'!$F$10:$F$250,$AI24))</f>
        <v/>
      </c>
      <c r="F24" s="73" t="str">
        <f aca="false">IF($AI24="","",INDEX('REGISTRE ELEVES'!$AE$10:$AE$250,$AI24))</f>
        <v/>
      </c>
      <c r="G24" s="75"/>
      <c r="H24" s="76"/>
      <c r="I24" s="76"/>
      <c r="J24" s="76"/>
      <c r="K24" s="76"/>
      <c r="L24" s="79" t="str">
        <f aca="false">IF(B24="","",IF($G24="NON",0,IF(COUNT(H24:K24)=0,"",SUM(H24:K24))))</f>
        <v/>
      </c>
      <c r="M24" s="77" t="str">
        <f aca="false">IF(B24="","",IF($G24="NON",0,IF(COUNT(H24:K24)=0,"",IFERROR(ROUND(SUM(H24:K24)/SUMPRODUCT(ISNUMBER(H24:K24)*$H$8:$K$8)*10,2),""))))</f>
        <v/>
      </c>
      <c r="N24" s="75"/>
      <c r="O24" s="76"/>
      <c r="P24" s="76"/>
      <c r="Q24" s="76"/>
      <c r="R24" s="76"/>
      <c r="S24" s="79" t="str">
        <f aca="false">IF(B24="","",IF($N24="NON",0,IF(COUNT(O24:R24)=0,"",SUM(O24:R24))))</f>
        <v/>
      </c>
      <c r="T24" s="77" t="str">
        <f aca="false">IF(B24="","",IF($N24="NON",0,IF(COUNT(O24:R24)=0,"",IFERROR(ROUND(SUM(O24:R24)/SUMPRODUCT(ISNUMBER(O24:R24)*$O$8:$R$8)*10,2),""))))</f>
        <v/>
      </c>
      <c r="U24" s="75"/>
      <c r="V24" s="76"/>
      <c r="W24" s="76"/>
      <c r="X24" s="76"/>
      <c r="Y24" s="76"/>
      <c r="Z24" s="79" t="str">
        <f aca="false">IF(B24="","",IF($U24="NON",0,IF(COUNT(V24:Y24)=0,"",SUM(V24:Y24))))</f>
        <v/>
      </c>
      <c r="AA24" s="77" t="str">
        <f aca="false">IF(B24="","",IF($U24="NON",0,IF(COUNT(V24:Y24)=0,"",IFERROR(ROUND(SUM(V24:Y24)/SUMPRODUCT(ISNUMBER(V24:Y24)*$V$8:$Y$8)*10,2),""))))</f>
        <v/>
      </c>
      <c r="AB24" s="75"/>
      <c r="AC24" s="76"/>
      <c r="AD24" s="76"/>
      <c r="AE24" s="76"/>
      <c r="AF24" s="76"/>
      <c r="AG24" s="79" t="str">
        <f aca="false">IF(B24="","",IF($AB24="NON",0,IF(COUNT(AC24:AF24)=0,"",SUM(AC24:AF24))))</f>
        <v/>
      </c>
      <c r="AH24" s="77" t="str">
        <f aca="false">IF(B24="","",IF($AB24="NON",0,IF(COUNT(AC24:AF24)=0,"",IFERROR(ROUND(SUM(AC24:AF24)/SUMPRODUCT(ISNUMBER(AC24:AF24)*$AC$8:$AF$8)*10,2),""))))</f>
        <v/>
      </c>
      <c r="AI24" s="51" t="str">
        <f aca="false">IFERROR(MATCH("CE1-15",'REGISTRE ELEVES'!$AI$10:$AI$250,0),"")</f>
        <v/>
      </c>
    </row>
    <row r="25" customFormat="false" ht="15" hidden="false" customHeight="false" outlineLevel="0" collapsed="false">
      <c r="A25" s="73" t="str">
        <f aca="false">IF(B25="","",16)</f>
        <v/>
      </c>
      <c r="B25" s="73" t="str">
        <f aca="false">IF($AI25="","",INDEX('REGISTRE ELEVES'!$B$10:$B$250,$AI25))</f>
        <v/>
      </c>
      <c r="C25" s="74" t="str">
        <f aca="false">IF($AI25="","",INDEX('REGISTRE ELEVES'!$D$10:$D$250,$AI25))</f>
        <v/>
      </c>
      <c r="D25" s="73" t="str">
        <f aca="false">IF($AI25="","",INDEX('REGISTRE ELEVES'!$E$10:$E$250,$AI25))</f>
        <v/>
      </c>
      <c r="E25" s="73" t="str">
        <f aca="false">IF($AI25="","",INDEX('REGISTRE ELEVES'!$F$10:$F$250,$AI25))</f>
        <v/>
      </c>
      <c r="F25" s="73" t="str">
        <f aca="false">IF($AI25="","",INDEX('REGISTRE ELEVES'!$AE$10:$AE$250,$AI25))</f>
        <v/>
      </c>
      <c r="G25" s="75"/>
      <c r="H25" s="76"/>
      <c r="I25" s="76"/>
      <c r="J25" s="76"/>
      <c r="K25" s="76"/>
      <c r="L25" s="79" t="str">
        <f aca="false">IF(B25="","",IF($G25="NON",0,IF(COUNT(H25:K25)=0,"",SUM(H25:K25))))</f>
        <v/>
      </c>
      <c r="M25" s="77" t="str">
        <f aca="false">IF(B25="","",IF($G25="NON",0,IF(COUNT(H25:K25)=0,"",IFERROR(ROUND(SUM(H25:K25)/SUMPRODUCT(ISNUMBER(H25:K25)*$H$8:$K$8)*10,2),""))))</f>
        <v/>
      </c>
      <c r="N25" s="75"/>
      <c r="O25" s="76"/>
      <c r="P25" s="76"/>
      <c r="Q25" s="76"/>
      <c r="R25" s="76"/>
      <c r="S25" s="79" t="str">
        <f aca="false">IF(B25="","",IF($N25="NON",0,IF(COUNT(O25:R25)=0,"",SUM(O25:R25))))</f>
        <v/>
      </c>
      <c r="T25" s="77" t="str">
        <f aca="false">IF(B25="","",IF($N25="NON",0,IF(COUNT(O25:R25)=0,"",IFERROR(ROUND(SUM(O25:R25)/SUMPRODUCT(ISNUMBER(O25:R25)*$O$8:$R$8)*10,2),""))))</f>
        <v/>
      </c>
      <c r="U25" s="75"/>
      <c r="V25" s="76"/>
      <c r="W25" s="76"/>
      <c r="X25" s="76"/>
      <c r="Y25" s="76"/>
      <c r="Z25" s="79" t="str">
        <f aca="false">IF(B25="","",IF($U25="NON",0,IF(COUNT(V25:Y25)=0,"",SUM(V25:Y25))))</f>
        <v/>
      </c>
      <c r="AA25" s="77" t="str">
        <f aca="false">IF(B25="","",IF($U25="NON",0,IF(COUNT(V25:Y25)=0,"",IFERROR(ROUND(SUM(V25:Y25)/SUMPRODUCT(ISNUMBER(V25:Y25)*$V$8:$Y$8)*10,2),""))))</f>
        <v/>
      </c>
      <c r="AB25" s="75"/>
      <c r="AC25" s="76"/>
      <c r="AD25" s="76"/>
      <c r="AE25" s="76"/>
      <c r="AF25" s="76"/>
      <c r="AG25" s="79" t="str">
        <f aca="false">IF(B25="","",IF($AB25="NON",0,IF(COUNT(AC25:AF25)=0,"",SUM(AC25:AF25))))</f>
        <v/>
      </c>
      <c r="AH25" s="77" t="str">
        <f aca="false">IF(B25="","",IF($AB25="NON",0,IF(COUNT(AC25:AF25)=0,"",IFERROR(ROUND(SUM(AC25:AF25)/SUMPRODUCT(ISNUMBER(AC25:AF25)*$AC$8:$AF$8)*10,2),""))))</f>
        <v/>
      </c>
      <c r="AI25" s="51" t="str">
        <f aca="false">IFERROR(MATCH("CE1-16",'REGISTRE ELEVES'!$AI$10:$AI$250,0),"")</f>
        <v/>
      </c>
    </row>
    <row r="26" customFormat="false" ht="15" hidden="false" customHeight="false" outlineLevel="0" collapsed="false">
      <c r="A26" s="73" t="str">
        <f aca="false">IF(B26="","",17)</f>
        <v/>
      </c>
      <c r="B26" s="73" t="str">
        <f aca="false">IF($AI26="","",INDEX('REGISTRE ELEVES'!$B$10:$B$250,$AI26))</f>
        <v/>
      </c>
      <c r="C26" s="74" t="str">
        <f aca="false">IF($AI26="","",INDEX('REGISTRE ELEVES'!$D$10:$D$250,$AI26))</f>
        <v/>
      </c>
      <c r="D26" s="73" t="str">
        <f aca="false">IF($AI26="","",INDEX('REGISTRE ELEVES'!$E$10:$E$250,$AI26))</f>
        <v/>
      </c>
      <c r="E26" s="73" t="str">
        <f aca="false">IF($AI26="","",INDEX('REGISTRE ELEVES'!$F$10:$F$250,$AI26))</f>
        <v/>
      </c>
      <c r="F26" s="73" t="str">
        <f aca="false">IF($AI26="","",INDEX('REGISTRE ELEVES'!$AE$10:$AE$250,$AI26))</f>
        <v/>
      </c>
      <c r="G26" s="75"/>
      <c r="H26" s="76"/>
      <c r="I26" s="76"/>
      <c r="J26" s="76"/>
      <c r="K26" s="76"/>
      <c r="L26" s="79" t="str">
        <f aca="false">IF(B26="","",IF($G26="NON",0,IF(COUNT(H26:K26)=0,"",SUM(H26:K26))))</f>
        <v/>
      </c>
      <c r="M26" s="77" t="str">
        <f aca="false">IF(B26="","",IF($G26="NON",0,IF(COUNT(H26:K26)=0,"",IFERROR(ROUND(SUM(H26:K26)/SUMPRODUCT(ISNUMBER(H26:K26)*$H$8:$K$8)*10,2),""))))</f>
        <v/>
      </c>
      <c r="N26" s="75"/>
      <c r="O26" s="76"/>
      <c r="P26" s="76"/>
      <c r="Q26" s="76"/>
      <c r="R26" s="76"/>
      <c r="S26" s="79" t="str">
        <f aca="false">IF(B26="","",IF($N26="NON",0,IF(COUNT(O26:R26)=0,"",SUM(O26:R26))))</f>
        <v/>
      </c>
      <c r="T26" s="77" t="str">
        <f aca="false">IF(B26="","",IF($N26="NON",0,IF(COUNT(O26:R26)=0,"",IFERROR(ROUND(SUM(O26:R26)/SUMPRODUCT(ISNUMBER(O26:R26)*$O$8:$R$8)*10,2),""))))</f>
        <v/>
      </c>
      <c r="U26" s="75"/>
      <c r="V26" s="76"/>
      <c r="W26" s="76"/>
      <c r="X26" s="76"/>
      <c r="Y26" s="76"/>
      <c r="Z26" s="79" t="str">
        <f aca="false">IF(B26="","",IF($U26="NON",0,IF(COUNT(V26:Y26)=0,"",SUM(V26:Y26))))</f>
        <v/>
      </c>
      <c r="AA26" s="77" t="str">
        <f aca="false">IF(B26="","",IF($U26="NON",0,IF(COUNT(V26:Y26)=0,"",IFERROR(ROUND(SUM(V26:Y26)/SUMPRODUCT(ISNUMBER(V26:Y26)*$V$8:$Y$8)*10,2),""))))</f>
        <v/>
      </c>
      <c r="AB26" s="75"/>
      <c r="AC26" s="76"/>
      <c r="AD26" s="76"/>
      <c r="AE26" s="76"/>
      <c r="AF26" s="76"/>
      <c r="AG26" s="79" t="str">
        <f aca="false">IF(B26="","",IF($AB26="NON",0,IF(COUNT(AC26:AF26)=0,"",SUM(AC26:AF26))))</f>
        <v/>
      </c>
      <c r="AH26" s="77" t="str">
        <f aca="false">IF(B26="","",IF($AB26="NON",0,IF(COUNT(AC26:AF26)=0,"",IFERROR(ROUND(SUM(AC26:AF26)/SUMPRODUCT(ISNUMBER(AC26:AF26)*$AC$8:$AF$8)*10,2),""))))</f>
        <v/>
      </c>
      <c r="AI26" s="51" t="str">
        <f aca="false">IFERROR(MATCH("CE1-17",'REGISTRE ELEVES'!$AI$10:$AI$250,0),"")</f>
        <v/>
      </c>
    </row>
    <row r="27" customFormat="false" ht="15" hidden="false" customHeight="false" outlineLevel="0" collapsed="false">
      <c r="A27" s="73" t="str">
        <f aca="false">IF(B27="","",18)</f>
        <v/>
      </c>
      <c r="B27" s="73" t="str">
        <f aca="false">IF($AI27="","",INDEX('REGISTRE ELEVES'!$B$10:$B$250,$AI27))</f>
        <v/>
      </c>
      <c r="C27" s="74" t="str">
        <f aca="false">IF($AI27="","",INDEX('REGISTRE ELEVES'!$D$10:$D$250,$AI27))</f>
        <v/>
      </c>
      <c r="D27" s="73" t="str">
        <f aca="false">IF($AI27="","",INDEX('REGISTRE ELEVES'!$E$10:$E$250,$AI27))</f>
        <v/>
      </c>
      <c r="E27" s="73" t="str">
        <f aca="false">IF($AI27="","",INDEX('REGISTRE ELEVES'!$F$10:$F$250,$AI27))</f>
        <v/>
      </c>
      <c r="F27" s="73" t="str">
        <f aca="false">IF($AI27="","",INDEX('REGISTRE ELEVES'!$AE$10:$AE$250,$AI27))</f>
        <v/>
      </c>
      <c r="G27" s="75"/>
      <c r="H27" s="76"/>
      <c r="I27" s="76"/>
      <c r="J27" s="76"/>
      <c r="K27" s="76"/>
      <c r="L27" s="79" t="str">
        <f aca="false">IF(B27="","",IF($G27="NON",0,IF(COUNT(H27:K27)=0,"",SUM(H27:K27))))</f>
        <v/>
      </c>
      <c r="M27" s="77" t="str">
        <f aca="false">IF(B27="","",IF($G27="NON",0,IF(COUNT(H27:K27)=0,"",IFERROR(ROUND(SUM(H27:K27)/SUMPRODUCT(ISNUMBER(H27:K27)*$H$8:$K$8)*10,2),""))))</f>
        <v/>
      </c>
      <c r="N27" s="75"/>
      <c r="O27" s="76"/>
      <c r="P27" s="76"/>
      <c r="Q27" s="76"/>
      <c r="R27" s="76"/>
      <c r="S27" s="79" t="str">
        <f aca="false">IF(B27="","",IF($N27="NON",0,IF(COUNT(O27:R27)=0,"",SUM(O27:R27))))</f>
        <v/>
      </c>
      <c r="T27" s="77" t="str">
        <f aca="false">IF(B27="","",IF($N27="NON",0,IF(COUNT(O27:R27)=0,"",IFERROR(ROUND(SUM(O27:R27)/SUMPRODUCT(ISNUMBER(O27:R27)*$O$8:$R$8)*10,2),""))))</f>
        <v/>
      </c>
      <c r="U27" s="75"/>
      <c r="V27" s="76"/>
      <c r="W27" s="76"/>
      <c r="X27" s="76"/>
      <c r="Y27" s="76"/>
      <c r="Z27" s="79" t="str">
        <f aca="false">IF(B27="","",IF($U27="NON",0,IF(COUNT(V27:Y27)=0,"",SUM(V27:Y27))))</f>
        <v/>
      </c>
      <c r="AA27" s="77" t="str">
        <f aca="false">IF(B27="","",IF($U27="NON",0,IF(COUNT(V27:Y27)=0,"",IFERROR(ROUND(SUM(V27:Y27)/SUMPRODUCT(ISNUMBER(V27:Y27)*$V$8:$Y$8)*10,2),""))))</f>
        <v/>
      </c>
      <c r="AB27" s="75"/>
      <c r="AC27" s="76"/>
      <c r="AD27" s="76"/>
      <c r="AE27" s="76"/>
      <c r="AF27" s="76"/>
      <c r="AG27" s="79" t="str">
        <f aca="false">IF(B27="","",IF($AB27="NON",0,IF(COUNT(AC27:AF27)=0,"",SUM(AC27:AF27))))</f>
        <v/>
      </c>
      <c r="AH27" s="77" t="str">
        <f aca="false">IF(B27="","",IF($AB27="NON",0,IF(COUNT(AC27:AF27)=0,"",IFERROR(ROUND(SUM(AC27:AF27)/SUMPRODUCT(ISNUMBER(AC27:AF27)*$AC$8:$AF$8)*10,2),""))))</f>
        <v/>
      </c>
      <c r="AI27" s="51" t="str">
        <f aca="false">IFERROR(MATCH("CE1-18",'REGISTRE ELEVES'!$AI$10:$AI$250,0),"")</f>
        <v/>
      </c>
    </row>
    <row r="28" customFormat="false" ht="15" hidden="false" customHeight="false" outlineLevel="0" collapsed="false">
      <c r="A28" s="73" t="str">
        <f aca="false">IF(B28="","",19)</f>
        <v/>
      </c>
      <c r="B28" s="73" t="str">
        <f aca="false">IF($AI28="","",INDEX('REGISTRE ELEVES'!$B$10:$B$250,$AI28))</f>
        <v/>
      </c>
      <c r="C28" s="74" t="str">
        <f aca="false">IF($AI28="","",INDEX('REGISTRE ELEVES'!$D$10:$D$250,$AI28))</f>
        <v/>
      </c>
      <c r="D28" s="73" t="str">
        <f aca="false">IF($AI28="","",INDEX('REGISTRE ELEVES'!$E$10:$E$250,$AI28))</f>
        <v/>
      </c>
      <c r="E28" s="73" t="str">
        <f aca="false">IF($AI28="","",INDEX('REGISTRE ELEVES'!$F$10:$F$250,$AI28))</f>
        <v/>
      </c>
      <c r="F28" s="73" t="str">
        <f aca="false">IF($AI28="","",INDEX('REGISTRE ELEVES'!$AE$10:$AE$250,$AI28))</f>
        <v/>
      </c>
      <c r="G28" s="75"/>
      <c r="H28" s="76"/>
      <c r="I28" s="76"/>
      <c r="J28" s="76"/>
      <c r="K28" s="76"/>
      <c r="L28" s="79" t="str">
        <f aca="false">IF(B28="","",IF($G28="NON",0,IF(COUNT(H28:K28)=0,"",SUM(H28:K28))))</f>
        <v/>
      </c>
      <c r="M28" s="77" t="str">
        <f aca="false">IF(B28="","",IF($G28="NON",0,IF(COUNT(H28:K28)=0,"",IFERROR(ROUND(SUM(H28:K28)/SUMPRODUCT(ISNUMBER(H28:K28)*$H$8:$K$8)*10,2),""))))</f>
        <v/>
      </c>
      <c r="N28" s="75"/>
      <c r="O28" s="76"/>
      <c r="P28" s="76"/>
      <c r="Q28" s="76"/>
      <c r="R28" s="76"/>
      <c r="S28" s="79" t="str">
        <f aca="false">IF(B28="","",IF($N28="NON",0,IF(COUNT(O28:R28)=0,"",SUM(O28:R28))))</f>
        <v/>
      </c>
      <c r="T28" s="77" t="str">
        <f aca="false">IF(B28="","",IF($N28="NON",0,IF(COUNT(O28:R28)=0,"",IFERROR(ROUND(SUM(O28:R28)/SUMPRODUCT(ISNUMBER(O28:R28)*$O$8:$R$8)*10,2),""))))</f>
        <v/>
      </c>
      <c r="U28" s="75"/>
      <c r="V28" s="76"/>
      <c r="W28" s="76"/>
      <c r="X28" s="76"/>
      <c r="Y28" s="76"/>
      <c r="Z28" s="79" t="str">
        <f aca="false">IF(B28="","",IF($U28="NON",0,IF(COUNT(V28:Y28)=0,"",SUM(V28:Y28))))</f>
        <v/>
      </c>
      <c r="AA28" s="77" t="str">
        <f aca="false">IF(B28="","",IF($U28="NON",0,IF(COUNT(V28:Y28)=0,"",IFERROR(ROUND(SUM(V28:Y28)/SUMPRODUCT(ISNUMBER(V28:Y28)*$V$8:$Y$8)*10,2),""))))</f>
        <v/>
      </c>
      <c r="AB28" s="75"/>
      <c r="AC28" s="76"/>
      <c r="AD28" s="76"/>
      <c r="AE28" s="76"/>
      <c r="AF28" s="76"/>
      <c r="AG28" s="79" t="str">
        <f aca="false">IF(B28="","",IF($AB28="NON",0,IF(COUNT(AC28:AF28)=0,"",SUM(AC28:AF28))))</f>
        <v/>
      </c>
      <c r="AH28" s="77" t="str">
        <f aca="false">IF(B28="","",IF($AB28="NON",0,IF(COUNT(AC28:AF28)=0,"",IFERROR(ROUND(SUM(AC28:AF28)/SUMPRODUCT(ISNUMBER(AC28:AF28)*$AC$8:$AF$8)*10,2),""))))</f>
        <v/>
      </c>
      <c r="AI28" s="51" t="str">
        <f aca="false">IFERROR(MATCH("CE1-19",'REGISTRE ELEVES'!$AI$10:$AI$250,0),"")</f>
        <v/>
      </c>
    </row>
    <row r="29" customFormat="false" ht="15" hidden="false" customHeight="false" outlineLevel="0" collapsed="false">
      <c r="A29" s="73" t="str">
        <f aca="false">IF(B29="","",20)</f>
        <v/>
      </c>
      <c r="B29" s="73" t="str">
        <f aca="false">IF($AI29="","",INDEX('REGISTRE ELEVES'!$B$10:$B$250,$AI29))</f>
        <v/>
      </c>
      <c r="C29" s="74" t="str">
        <f aca="false">IF($AI29="","",INDEX('REGISTRE ELEVES'!$D$10:$D$250,$AI29))</f>
        <v/>
      </c>
      <c r="D29" s="73" t="str">
        <f aca="false">IF($AI29="","",INDEX('REGISTRE ELEVES'!$E$10:$E$250,$AI29))</f>
        <v/>
      </c>
      <c r="E29" s="73" t="str">
        <f aca="false">IF($AI29="","",INDEX('REGISTRE ELEVES'!$F$10:$F$250,$AI29))</f>
        <v/>
      </c>
      <c r="F29" s="73" t="str">
        <f aca="false">IF($AI29="","",INDEX('REGISTRE ELEVES'!$AE$10:$AE$250,$AI29))</f>
        <v/>
      </c>
      <c r="G29" s="75"/>
      <c r="H29" s="76"/>
      <c r="I29" s="76"/>
      <c r="J29" s="76"/>
      <c r="K29" s="76"/>
      <c r="L29" s="79" t="str">
        <f aca="false">IF(B29="","",IF($G29="NON",0,IF(COUNT(H29:K29)=0,"",SUM(H29:K29))))</f>
        <v/>
      </c>
      <c r="M29" s="77" t="str">
        <f aca="false">IF(B29="","",IF($G29="NON",0,IF(COUNT(H29:K29)=0,"",IFERROR(ROUND(SUM(H29:K29)/SUMPRODUCT(ISNUMBER(H29:K29)*$H$8:$K$8)*10,2),""))))</f>
        <v/>
      </c>
      <c r="N29" s="75"/>
      <c r="O29" s="76"/>
      <c r="P29" s="76"/>
      <c r="Q29" s="76"/>
      <c r="R29" s="76"/>
      <c r="S29" s="79" t="str">
        <f aca="false">IF(B29="","",IF($N29="NON",0,IF(COUNT(O29:R29)=0,"",SUM(O29:R29))))</f>
        <v/>
      </c>
      <c r="T29" s="77" t="str">
        <f aca="false">IF(B29="","",IF($N29="NON",0,IF(COUNT(O29:R29)=0,"",IFERROR(ROUND(SUM(O29:R29)/SUMPRODUCT(ISNUMBER(O29:R29)*$O$8:$R$8)*10,2),""))))</f>
        <v/>
      </c>
      <c r="U29" s="75"/>
      <c r="V29" s="76"/>
      <c r="W29" s="76"/>
      <c r="X29" s="76"/>
      <c r="Y29" s="76"/>
      <c r="Z29" s="79" t="str">
        <f aca="false">IF(B29="","",IF($U29="NON",0,IF(COUNT(V29:Y29)=0,"",SUM(V29:Y29))))</f>
        <v/>
      </c>
      <c r="AA29" s="77" t="str">
        <f aca="false">IF(B29="","",IF($U29="NON",0,IF(COUNT(V29:Y29)=0,"",IFERROR(ROUND(SUM(V29:Y29)/SUMPRODUCT(ISNUMBER(V29:Y29)*$V$8:$Y$8)*10,2),""))))</f>
        <v/>
      </c>
      <c r="AB29" s="75"/>
      <c r="AC29" s="76"/>
      <c r="AD29" s="76"/>
      <c r="AE29" s="76"/>
      <c r="AF29" s="76"/>
      <c r="AG29" s="79" t="str">
        <f aca="false">IF(B29="","",IF($AB29="NON",0,IF(COUNT(AC29:AF29)=0,"",SUM(AC29:AF29))))</f>
        <v/>
      </c>
      <c r="AH29" s="77" t="str">
        <f aca="false">IF(B29="","",IF($AB29="NON",0,IF(COUNT(AC29:AF29)=0,"",IFERROR(ROUND(SUM(AC29:AF29)/SUMPRODUCT(ISNUMBER(AC29:AF29)*$AC$8:$AF$8)*10,2),""))))</f>
        <v/>
      </c>
      <c r="AI29" s="51" t="str">
        <f aca="false">IFERROR(MATCH("CE1-20",'REGISTRE ELEVES'!$AI$10:$AI$250,0),"")</f>
        <v/>
      </c>
    </row>
    <row r="30" customFormat="false" ht="15" hidden="false" customHeight="false" outlineLevel="0" collapsed="false">
      <c r="A30" s="73" t="str">
        <f aca="false">IF(B30="","",21)</f>
        <v/>
      </c>
      <c r="B30" s="73" t="str">
        <f aca="false">IF($AI30="","",INDEX('REGISTRE ELEVES'!$B$10:$B$250,$AI30))</f>
        <v/>
      </c>
      <c r="C30" s="74" t="str">
        <f aca="false">IF($AI30="","",INDEX('REGISTRE ELEVES'!$D$10:$D$250,$AI30))</f>
        <v/>
      </c>
      <c r="D30" s="73" t="str">
        <f aca="false">IF($AI30="","",INDEX('REGISTRE ELEVES'!$E$10:$E$250,$AI30))</f>
        <v/>
      </c>
      <c r="E30" s="73" t="str">
        <f aca="false">IF($AI30="","",INDEX('REGISTRE ELEVES'!$F$10:$F$250,$AI30))</f>
        <v/>
      </c>
      <c r="F30" s="73" t="str">
        <f aca="false">IF($AI30="","",INDEX('REGISTRE ELEVES'!$AE$10:$AE$250,$AI30))</f>
        <v/>
      </c>
      <c r="G30" s="75"/>
      <c r="H30" s="76"/>
      <c r="I30" s="76"/>
      <c r="J30" s="76"/>
      <c r="K30" s="76"/>
      <c r="L30" s="79" t="str">
        <f aca="false">IF(B30="","",IF($G30="NON",0,IF(COUNT(H30:K30)=0,"",SUM(H30:K30))))</f>
        <v/>
      </c>
      <c r="M30" s="77" t="str">
        <f aca="false">IF(B30="","",IF($G30="NON",0,IF(COUNT(H30:K30)=0,"",IFERROR(ROUND(SUM(H30:K30)/SUMPRODUCT(ISNUMBER(H30:K30)*$H$8:$K$8)*10,2),""))))</f>
        <v/>
      </c>
      <c r="N30" s="75"/>
      <c r="O30" s="76"/>
      <c r="P30" s="76"/>
      <c r="Q30" s="76"/>
      <c r="R30" s="76"/>
      <c r="S30" s="79" t="str">
        <f aca="false">IF(B30="","",IF($N30="NON",0,IF(COUNT(O30:R30)=0,"",SUM(O30:R30))))</f>
        <v/>
      </c>
      <c r="T30" s="77" t="str">
        <f aca="false">IF(B30="","",IF($N30="NON",0,IF(COUNT(O30:R30)=0,"",IFERROR(ROUND(SUM(O30:R30)/SUMPRODUCT(ISNUMBER(O30:R30)*$O$8:$R$8)*10,2),""))))</f>
        <v/>
      </c>
      <c r="U30" s="75"/>
      <c r="V30" s="76"/>
      <c r="W30" s="76"/>
      <c r="X30" s="76"/>
      <c r="Y30" s="76"/>
      <c r="Z30" s="79" t="str">
        <f aca="false">IF(B30="","",IF($U30="NON",0,IF(COUNT(V30:Y30)=0,"",SUM(V30:Y30))))</f>
        <v/>
      </c>
      <c r="AA30" s="77" t="str">
        <f aca="false">IF(B30="","",IF($U30="NON",0,IF(COUNT(V30:Y30)=0,"",IFERROR(ROUND(SUM(V30:Y30)/SUMPRODUCT(ISNUMBER(V30:Y30)*$V$8:$Y$8)*10,2),""))))</f>
        <v/>
      </c>
      <c r="AB30" s="75"/>
      <c r="AC30" s="76"/>
      <c r="AD30" s="76"/>
      <c r="AE30" s="76"/>
      <c r="AF30" s="76"/>
      <c r="AG30" s="79" t="str">
        <f aca="false">IF(B30="","",IF($AB30="NON",0,IF(COUNT(AC30:AF30)=0,"",SUM(AC30:AF30))))</f>
        <v/>
      </c>
      <c r="AH30" s="77" t="str">
        <f aca="false">IF(B30="","",IF($AB30="NON",0,IF(COUNT(AC30:AF30)=0,"",IFERROR(ROUND(SUM(AC30:AF30)/SUMPRODUCT(ISNUMBER(AC30:AF30)*$AC$8:$AF$8)*10,2),""))))</f>
        <v/>
      </c>
      <c r="AI30" s="51" t="str">
        <f aca="false">IFERROR(MATCH("CE1-21",'REGISTRE ELEVES'!$AI$10:$AI$250,0),"")</f>
        <v/>
      </c>
    </row>
    <row r="31" customFormat="false" ht="15" hidden="false" customHeight="false" outlineLevel="0" collapsed="false">
      <c r="A31" s="73" t="str">
        <f aca="false">IF(B31="","",22)</f>
        <v/>
      </c>
      <c r="B31" s="73" t="str">
        <f aca="false">IF($AI31="","",INDEX('REGISTRE ELEVES'!$B$10:$B$250,$AI31))</f>
        <v/>
      </c>
      <c r="C31" s="74" t="str">
        <f aca="false">IF($AI31="","",INDEX('REGISTRE ELEVES'!$D$10:$D$250,$AI31))</f>
        <v/>
      </c>
      <c r="D31" s="73" t="str">
        <f aca="false">IF($AI31="","",INDEX('REGISTRE ELEVES'!$E$10:$E$250,$AI31))</f>
        <v/>
      </c>
      <c r="E31" s="73" t="str">
        <f aca="false">IF($AI31="","",INDEX('REGISTRE ELEVES'!$F$10:$F$250,$AI31))</f>
        <v/>
      </c>
      <c r="F31" s="73" t="str">
        <f aca="false">IF($AI31="","",INDEX('REGISTRE ELEVES'!$AE$10:$AE$250,$AI31))</f>
        <v/>
      </c>
      <c r="G31" s="75"/>
      <c r="H31" s="76"/>
      <c r="I31" s="76"/>
      <c r="J31" s="76"/>
      <c r="K31" s="76"/>
      <c r="L31" s="79" t="str">
        <f aca="false">IF(B31="","",IF($G31="NON",0,IF(COUNT(H31:K31)=0,"",SUM(H31:K31))))</f>
        <v/>
      </c>
      <c r="M31" s="77" t="str">
        <f aca="false">IF(B31="","",IF($G31="NON",0,IF(COUNT(H31:K31)=0,"",IFERROR(ROUND(SUM(H31:K31)/SUMPRODUCT(ISNUMBER(H31:K31)*$H$8:$K$8)*10,2),""))))</f>
        <v/>
      </c>
      <c r="N31" s="75"/>
      <c r="O31" s="76"/>
      <c r="P31" s="76"/>
      <c r="Q31" s="76"/>
      <c r="R31" s="76"/>
      <c r="S31" s="79" t="str">
        <f aca="false">IF(B31="","",IF($N31="NON",0,IF(COUNT(O31:R31)=0,"",SUM(O31:R31))))</f>
        <v/>
      </c>
      <c r="T31" s="77" t="str">
        <f aca="false">IF(B31="","",IF($N31="NON",0,IF(COUNT(O31:R31)=0,"",IFERROR(ROUND(SUM(O31:R31)/SUMPRODUCT(ISNUMBER(O31:R31)*$O$8:$R$8)*10,2),""))))</f>
        <v/>
      </c>
      <c r="U31" s="75"/>
      <c r="V31" s="76"/>
      <c r="W31" s="76"/>
      <c r="X31" s="76"/>
      <c r="Y31" s="76"/>
      <c r="Z31" s="79" t="str">
        <f aca="false">IF(B31="","",IF($U31="NON",0,IF(COUNT(V31:Y31)=0,"",SUM(V31:Y31))))</f>
        <v/>
      </c>
      <c r="AA31" s="77" t="str">
        <f aca="false">IF(B31="","",IF($U31="NON",0,IF(COUNT(V31:Y31)=0,"",IFERROR(ROUND(SUM(V31:Y31)/SUMPRODUCT(ISNUMBER(V31:Y31)*$V$8:$Y$8)*10,2),""))))</f>
        <v/>
      </c>
      <c r="AB31" s="75"/>
      <c r="AC31" s="76"/>
      <c r="AD31" s="76"/>
      <c r="AE31" s="76"/>
      <c r="AF31" s="76"/>
      <c r="AG31" s="79" t="str">
        <f aca="false">IF(B31="","",IF($AB31="NON",0,IF(COUNT(AC31:AF31)=0,"",SUM(AC31:AF31))))</f>
        <v/>
      </c>
      <c r="AH31" s="77" t="str">
        <f aca="false">IF(B31="","",IF($AB31="NON",0,IF(COUNT(AC31:AF31)=0,"",IFERROR(ROUND(SUM(AC31:AF31)/SUMPRODUCT(ISNUMBER(AC31:AF31)*$AC$8:$AF$8)*10,2),""))))</f>
        <v/>
      </c>
      <c r="AI31" s="51" t="str">
        <f aca="false">IFERROR(MATCH("CE1-22",'REGISTRE ELEVES'!$AI$10:$AI$250,0),"")</f>
        <v/>
      </c>
    </row>
    <row r="32" customFormat="false" ht="15" hidden="false" customHeight="false" outlineLevel="0" collapsed="false">
      <c r="A32" s="73" t="str">
        <f aca="false">IF(B32="","",23)</f>
        <v/>
      </c>
      <c r="B32" s="73" t="str">
        <f aca="false">IF($AI32="","",INDEX('REGISTRE ELEVES'!$B$10:$B$250,$AI32))</f>
        <v/>
      </c>
      <c r="C32" s="74" t="str">
        <f aca="false">IF($AI32="","",INDEX('REGISTRE ELEVES'!$D$10:$D$250,$AI32))</f>
        <v/>
      </c>
      <c r="D32" s="73" t="str">
        <f aca="false">IF($AI32="","",INDEX('REGISTRE ELEVES'!$E$10:$E$250,$AI32))</f>
        <v/>
      </c>
      <c r="E32" s="73" t="str">
        <f aca="false">IF($AI32="","",INDEX('REGISTRE ELEVES'!$F$10:$F$250,$AI32))</f>
        <v/>
      </c>
      <c r="F32" s="73" t="str">
        <f aca="false">IF($AI32="","",INDEX('REGISTRE ELEVES'!$AE$10:$AE$250,$AI32))</f>
        <v/>
      </c>
      <c r="G32" s="75"/>
      <c r="H32" s="76"/>
      <c r="I32" s="76"/>
      <c r="J32" s="76"/>
      <c r="K32" s="76"/>
      <c r="L32" s="79" t="str">
        <f aca="false">IF(B32="","",IF($G32="NON",0,IF(COUNT(H32:K32)=0,"",SUM(H32:K32))))</f>
        <v/>
      </c>
      <c r="M32" s="77" t="str">
        <f aca="false">IF(B32="","",IF($G32="NON",0,IF(COUNT(H32:K32)=0,"",IFERROR(ROUND(SUM(H32:K32)/SUMPRODUCT(ISNUMBER(H32:K32)*$H$8:$K$8)*10,2),""))))</f>
        <v/>
      </c>
      <c r="N32" s="75"/>
      <c r="O32" s="76"/>
      <c r="P32" s="76"/>
      <c r="Q32" s="76"/>
      <c r="R32" s="76"/>
      <c r="S32" s="79" t="str">
        <f aca="false">IF(B32="","",IF($N32="NON",0,IF(COUNT(O32:R32)=0,"",SUM(O32:R32))))</f>
        <v/>
      </c>
      <c r="T32" s="77" t="str">
        <f aca="false">IF(B32="","",IF($N32="NON",0,IF(COUNT(O32:R32)=0,"",IFERROR(ROUND(SUM(O32:R32)/SUMPRODUCT(ISNUMBER(O32:R32)*$O$8:$R$8)*10,2),""))))</f>
        <v/>
      </c>
      <c r="U32" s="75"/>
      <c r="V32" s="76"/>
      <c r="W32" s="76"/>
      <c r="X32" s="76"/>
      <c r="Y32" s="76"/>
      <c r="Z32" s="79" t="str">
        <f aca="false">IF(B32="","",IF($U32="NON",0,IF(COUNT(V32:Y32)=0,"",SUM(V32:Y32))))</f>
        <v/>
      </c>
      <c r="AA32" s="77" t="str">
        <f aca="false">IF(B32="","",IF($U32="NON",0,IF(COUNT(V32:Y32)=0,"",IFERROR(ROUND(SUM(V32:Y32)/SUMPRODUCT(ISNUMBER(V32:Y32)*$V$8:$Y$8)*10,2),""))))</f>
        <v/>
      </c>
      <c r="AB32" s="75"/>
      <c r="AC32" s="76"/>
      <c r="AD32" s="76"/>
      <c r="AE32" s="76"/>
      <c r="AF32" s="76"/>
      <c r="AG32" s="79" t="str">
        <f aca="false">IF(B32="","",IF($AB32="NON",0,IF(COUNT(AC32:AF32)=0,"",SUM(AC32:AF32))))</f>
        <v/>
      </c>
      <c r="AH32" s="77" t="str">
        <f aca="false">IF(B32="","",IF($AB32="NON",0,IF(COUNT(AC32:AF32)=0,"",IFERROR(ROUND(SUM(AC32:AF32)/SUMPRODUCT(ISNUMBER(AC32:AF32)*$AC$8:$AF$8)*10,2),""))))</f>
        <v/>
      </c>
      <c r="AI32" s="51" t="str">
        <f aca="false">IFERROR(MATCH("CE1-23",'REGISTRE ELEVES'!$AI$10:$AI$250,0),"")</f>
        <v/>
      </c>
    </row>
    <row r="33" customFormat="false" ht="15" hidden="false" customHeight="false" outlineLevel="0" collapsed="false">
      <c r="A33" s="73" t="str">
        <f aca="false">IF(B33="","",24)</f>
        <v/>
      </c>
      <c r="B33" s="73" t="str">
        <f aca="false">IF($AI33="","",INDEX('REGISTRE ELEVES'!$B$10:$B$250,$AI33))</f>
        <v/>
      </c>
      <c r="C33" s="74" t="str">
        <f aca="false">IF($AI33="","",INDEX('REGISTRE ELEVES'!$D$10:$D$250,$AI33))</f>
        <v/>
      </c>
      <c r="D33" s="73" t="str">
        <f aca="false">IF($AI33="","",INDEX('REGISTRE ELEVES'!$E$10:$E$250,$AI33))</f>
        <v/>
      </c>
      <c r="E33" s="73" t="str">
        <f aca="false">IF($AI33="","",INDEX('REGISTRE ELEVES'!$F$10:$F$250,$AI33))</f>
        <v/>
      </c>
      <c r="F33" s="73" t="str">
        <f aca="false">IF($AI33="","",INDEX('REGISTRE ELEVES'!$AE$10:$AE$250,$AI33))</f>
        <v/>
      </c>
      <c r="G33" s="75"/>
      <c r="H33" s="76"/>
      <c r="I33" s="76"/>
      <c r="J33" s="76"/>
      <c r="K33" s="76"/>
      <c r="L33" s="79" t="str">
        <f aca="false">IF(B33="","",IF($G33="NON",0,IF(COUNT(H33:K33)=0,"",SUM(H33:K33))))</f>
        <v/>
      </c>
      <c r="M33" s="77" t="str">
        <f aca="false">IF(B33="","",IF($G33="NON",0,IF(COUNT(H33:K33)=0,"",IFERROR(ROUND(SUM(H33:K33)/SUMPRODUCT(ISNUMBER(H33:K33)*$H$8:$K$8)*10,2),""))))</f>
        <v/>
      </c>
      <c r="N33" s="75"/>
      <c r="O33" s="76"/>
      <c r="P33" s="76"/>
      <c r="Q33" s="76"/>
      <c r="R33" s="76"/>
      <c r="S33" s="79" t="str">
        <f aca="false">IF(B33="","",IF($N33="NON",0,IF(COUNT(O33:R33)=0,"",SUM(O33:R33))))</f>
        <v/>
      </c>
      <c r="T33" s="77" t="str">
        <f aca="false">IF(B33="","",IF($N33="NON",0,IF(COUNT(O33:R33)=0,"",IFERROR(ROUND(SUM(O33:R33)/SUMPRODUCT(ISNUMBER(O33:R33)*$O$8:$R$8)*10,2),""))))</f>
        <v/>
      </c>
      <c r="U33" s="75"/>
      <c r="V33" s="76"/>
      <c r="W33" s="76"/>
      <c r="X33" s="76"/>
      <c r="Y33" s="76"/>
      <c r="Z33" s="79" t="str">
        <f aca="false">IF(B33="","",IF($U33="NON",0,IF(COUNT(V33:Y33)=0,"",SUM(V33:Y33))))</f>
        <v/>
      </c>
      <c r="AA33" s="77" t="str">
        <f aca="false">IF(B33="","",IF($U33="NON",0,IF(COUNT(V33:Y33)=0,"",IFERROR(ROUND(SUM(V33:Y33)/SUMPRODUCT(ISNUMBER(V33:Y33)*$V$8:$Y$8)*10,2),""))))</f>
        <v/>
      </c>
      <c r="AB33" s="75"/>
      <c r="AC33" s="76"/>
      <c r="AD33" s="76"/>
      <c r="AE33" s="76"/>
      <c r="AF33" s="76"/>
      <c r="AG33" s="79" t="str">
        <f aca="false">IF(B33="","",IF($AB33="NON",0,IF(COUNT(AC33:AF33)=0,"",SUM(AC33:AF33))))</f>
        <v/>
      </c>
      <c r="AH33" s="77" t="str">
        <f aca="false">IF(B33="","",IF($AB33="NON",0,IF(COUNT(AC33:AF33)=0,"",IFERROR(ROUND(SUM(AC33:AF33)/SUMPRODUCT(ISNUMBER(AC33:AF33)*$AC$8:$AF$8)*10,2),""))))</f>
        <v/>
      </c>
      <c r="AI33" s="51" t="str">
        <f aca="false">IFERROR(MATCH("CE1-24",'REGISTRE ELEVES'!$AI$10:$AI$250,0),"")</f>
        <v/>
      </c>
    </row>
    <row r="34" customFormat="false" ht="15" hidden="false" customHeight="false" outlineLevel="0" collapsed="false">
      <c r="A34" s="73" t="str">
        <f aca="false">IF(B34="","",25)</f>
        <v/>
      </c>
      <c r="B34" s="73" t="str">
        <f aca="false">IF($AI34="","",INDEX('REGISTRE ELEVES'!$B$10:$B$250,$AI34))</f>
        <v/>
      </c>
      <c r="C34" s="74" t="str">
        <f aca="false">IF($AI34="","",INDEX('REGISTRE ELEVES'!$D$10:$D$250,$AI34))</f>
        <v/>
      </c>
      <c r="D34" s="73" t="str">
        <f aca="false">IF($AI34="","",INDEX('REGISTRE ELEVES'!$E$10:$E$250,$AI34))</f>
        <v/>
      </c>
      <c r="E34" s="73" t="str">
        <f aca="false">IF($AI34="","",INDEX('REGISTRE ELEVES'!$F$10:$F$250,$AI34))</f>
        <v/>
      </c>
      <c r="F34" s="73" t="str">
        <f aca="false">IF($AI34="","",INDEX('REGISTRE ELEVES'!$AE$10:$AE$250,$AI34))</f>
        <v/>
      </c>
      <c r="G34" s="75"/>
      <c r="H34" s="76"/>
      <c r="I34" s="76"/>
      <c r="J34" s="76"/>
      <c r="K34" s="76"/>
      <c r="L34" s="79" t="str">
        <f aca="false">IF(B34="","",IF($G34="NON",0,IF(COUNT(H34:K34)=0,"",SUM(H34:K34))))</f>
        <v/>
      </c>
      <c r="M34" s="77" t="str">
        <f aca="false">IF(B34="","",IF($G34="NON",0,IF(COUNT(H34:K34)=0,"",IFERROR(ROUND(SUM(H34:K34)/SUMPRODUCT(ISNUMBER(H34:K34)*$H$8:$K$8)*10,2),""))))</f>
        <v/>
      </c>
      <c r="N34" s="75"/>
      <c r="O34" s="76"/>
      <c r="P34" s="76"/>
      <c r="Q34" s="76"/>
      <c r="R34" s="76"/>
      <c r="S34" s="79" t="str">
        <f aca="false">IF(B34="","",IF($N34="NON",0,IF(COUNT(O34:R34)=0,"",SUM(O34:R34))))</f>
        <v/>
      </c>
      <c r="T34" s="77" t="str">
        <f aca="false">IF(B34="","",IF($N34="NON",0,IF(COUNT(O34:R34)=0,"",IFERROR(ROUND(SUM(O34:R34)/SUMPRODUCT(ISNUMBER(O34:R34)*$O$8:$R$8)*10,2),""))))</f>
        <v/>
      </c>
      <c r="U34" s="75"/>
      <c r="V34" s="76"/>
      <c r="W34" s="76"/>
      <c r="X34" s="76"/>
      <c r="Y34" s="76"/>
      <c r="Z34" s="79" t="str">
        <f aca="false">IF(B34="","",IF($U34="NON",0,IF(COUNT(V34:Y34)=0,"",SUM(V34:Y34))))</f>
        <v/>
      </c>
      <c r="AA34" s="77" t="str">
        <f aca="false">IF(B34="","",IF($U34="NON",0,IF(COUNT(V34:Y34)=0,"",IFERROR(ROUND(SUM(V34:Y34)/SUMPRODUCT(ISNUMBER(V34:Y34)*$V$8:$Y$8)*10,2),""))))</f>
        <v/>
      </c>
      <c r="AB34" s="75"/>
      <c r="AC34" s="76"/>
      <c r="AD34" s="76"/>
      <c r="AE34" s="76"/>
      <c r="AF34" s="76"/>
      <c r="AG34" s="79" t="str">
        <f aca="false">IF(B34="","",IF($AB34="NON",0,IF(COUNT(AC34:AF34)=0,"",SUM(AC34:AF34))))</f>
        <v/>
      </c>
      <c r="AH34" s="77" t="str">
        <f aca="false">IF(B34="","",IF($AB34="NON",0,IF(COUNT(AC34:AF34)=0,"",IFERROR(ROUND(SUM(AC34:AF34)/SUMPRODUCT(ISNUMBER(AC34:AF34)*$AC$8:$AF$8)*10,2),""))))</f>
        <v/>
      </c>
      <c r="AI34" s="51" t="str">
        <f aca="false">IFERROR(MATCH("CE1-25",'REGISTRE ELEVES'!$AI$10:$AI$250,0),"")</f>
        <v/>
      </c>
    </row>
    <row r="35" customFormat="false" ht="15" hidden="false" customHeight="false" outlineLevel="0" collapsed="false">
      <c r="A35" s="73" t="str">
        <f aca="false">IF(B35="","",26)</f>
        <v/>
      </c>
      <c r="B35" s="73" t="str">
        <f aca="false">IF($AI35="","",INDEX('REGISTRE ELEVES'!$B$10:$B$250,$AI35))</f>
        <v/>
      </c>
      <c r="C35" s="74" t="str">
        <f aca="false">IF($AI35="","",INDEX('REGISTRE ELEVES'!$D$10:$D$250,$AI35))</f>
        <v/>
      </c>
      <c r="D35" s="73" t="str">
        <f aca="false">IF($AI35="","",INDEX('REGISTRE ELEVES'!$E$10:$E$250,$AI35))</f>
        <v/>
      </c>
      <c r="E35" s="73" t="str">
        <f aca="false">IF($AI35="","",INDEX('REGISTRE ELEVES'!$F$10:$F$250,$AI35))</f>
        <v/>
      </c>
      <c r="F35" s="73" t="str">
        <f aca="false">IF($AI35="","",INDEX('REGISTRE ELEVES'!$AE$10:$AE$250,$AI35))</f>
        <v/>
      </c>
      <c r="G35" s="75"/>
      <c r="H35" s="76"/>
      <c r="I35" s="76"/>
      <c r="J35" s="76"/>
      <c r="K35" s="76"/>
      <c r="L35" s="79" t="str">
        <f aca="false">IF(B35="","",IF($G35="NON",0,IF(COUNT(H35:K35)=0,"",SUM(H35:K35))))</f>
        <v/>
      </c>
      <c r="M35" s="77" t="str">
        <f aca="false">IF(B35="","",IF($G35="NON",0,IF(COUNT(H35:K35)=0,"",IFERROR(ROUND(SUM(H35:K35)/SUMPRODUCT(ISNUMBER(H35:K35)*$H$8:$K$8)*10,2),""))))</f>
        <v/>
      </c>
      <c r="N35" s="75"/>
      <c r="O35" s="76"/>
      <c r="P35" s="76"/>
      <c r="Q35" s="76"/>
      <c r="R35" s="76"/>
      <c r="S35" s="79" t="str">
        <f aca="false">IF(B35="","",IF($N35="NON",0,IF(COUNT(O35:R35)=0,"",SUM(O35:R35))))</f>
        <v/>
      </c>
      <c r="T35" s="77" t="str">
        <f aca="false">IF(B35="","",IF($N35="NON",0,IF(COUNT(O35:R35)=0,"",IFERROR(ROUND(SUM(O35:R35)/SUMPRODUCT(ISNUMBER(O35:R35)*$O$8:$R$8)*10,2),""))))</f>
        <v/>
      </c>
      <c r="U35" s="75"/>
      <c r="V35" s="76"/>
      <c r="W35" s="76"/>
      <c r="X35" s="76"/>
      <c r="Y35" s="76"/>
      <c r="Z35" s="79" t="str">
        <f aca="false">IF(B35="","",IF($U35="NON",0,IF(COUNT(V35:Y35)=0,"",SUM(V35:Y35))))</f>
        <v/>
      </c>
      <c r="AA35" s="77" t="str">
        <f aca="false">IF(B35="","",IF($U35="NON",0,IF(COUNT(V35:Y35)=0,"",IFERROR(ROUND(SUM(V35:Y35)/SUMPRODUCT(ISNUMBER(V35:Y35)*$V$8:$Y$8)*10,2),""))))</f>
        <v/>
      </c>
      <c r="AB35" s="75"/>
      <c r="AC35" s="76"/>
      <c r="AD35" s="76"/>
      <c r="AE35" s="76"/>
      <c r="AF35" s="76"/>
      <c r="AG35" s="79" t="str">
        <f aca="false">IF(B35="","",IF($AB35="NON",0,IF(COUNT(AC35:AF35)=0,"",SUM(AC35:AF35))))</f>
        <v/>
      </c>
      <c r="AH35" s="77" t="str">
        <f aca="false">IF(B35="","",IF($AB35="NON",0,IF(COUNT(AC35:AF35)=0,"",IFERROR(ROUND(SUM(AC35:AF35)/SUMPRODUCT(ISNUMBER(AC35:AF35)*$AC$8:$AF$8)*10,2),""))))</f>
        <v/>
      </c>
      <c r="AI35" s="51" t="str">
        <f aca="false">IFERROR(MATCH("CE1-26",'REGISTRE ELEVES'!$AI$10:$AI$250,0),"")</f>
        <v/>
      </c>
    </row>
    <row r="36" customFormat="false" ht="15" hidden="false" customHeight="false" outlineLevel="0" collapsed="false">
      <c r="A36" s="73" t="str">
        <f aca="false">IF(B36="","",27)</f>
        <v/>
      </c>
      <c r="B36" s="73" t="str">
        <f aca="false">IF($AI36="","",INDEX('REGISTRE ELEVES'!$B$10:$B$250,$AI36))</f>
        <v/>
      </c>
      <c r="C36" s="74" t="str">
        <f aca="false">IF($AI36="","",INDEX('REGISTRE ELEVES'!$D$10:$D$250,$AI36))</f>
        <v/>
      </c>
      <c r="D36" s="73" t="str">
        <f aca="false">IF($AI36="","",INDEX('REGISTRE ELEVES'!$E$10:$E$250,$AI36))</f>
        <v/>
      </c>
      <c r="E36" s="73" t="str">
        <f aca="false">IF($AI36="","",INDEX('REGISTRE ELEVES'!$F$10:$F$250,$AI36))</f>
        <v/>
      </c>
      <c r="F36" s="73" t="str">
        <f aca="false">IF($AI36="","",INDEX('REGISTRE ELEVES'!$AE$10:$AE$250,$AI36))</f>
        <v/>
      </c>
      <c r="G36" s="75"/>
      <c r="H36" s="76"/>
      <c r="I36" s="76"/>
      <c r="J36" s="76"/>
      <c r="K36" s="76"/>
      <c r="L36" s="79" t="str">
        <f aca="false">IF(B36="","",IF($G36="NON",0,IF(COUNT(H36:K36)=0,"",SUM(H36:K36))))</f>
        <v/>
      </c>
      <c r="M36" s="77" t="str">
        <f aca="false">IF(B36="","",IF($G36="NON",0,IF(COUNT(H36:K36)=0,"",IFERROR(ROUND(SUM(H36:K36)/SUMPRODUCT(ISNUMBER(H36:K36)*$H$8:$K$8)*10,2),""))))</f>
        <v/>
      </c>
      <c r="N36" s="75"/>
      <c r="O36" s="76"/>
      <c r="P36" s="76"/>
      <c r="Q36" s="76"/>
      <c r="R36" s="76"/>
      <c r="S36" s="79" t="str">
        <f aca="false">IF(B36="","",IF($N36="NON",0,IF(COUNT(O36:R36)=0,"",SUM(O36:R36))))</f>
        <v/>
      </c>
      <c r="T36" s="77" t="str">
        <f aca="false">IF(B36="","",IF($N36="NON",0,IF(COUNT(O36:R36)=0,"",IFERROR(ROUND(SUM(O36:R36)/SUMPRODUCT(ISNUMBER(O36:R36)*$O$8:$R$8)*10,2),""))))</f>
        <v/>
      </c>
      <c r="U36" s="75"/>
      <c r="V36" s="76"/>
      <c r="W36" s="76"/>
      <c r="X36" s="76"/>
      <c r="Y36" s="76"/>
      <c r="Z36" s="79" t="str">
        <f aca="false">IF(B36="","",IF($U36="NON",0,IF(COUNT(V36:Y36)=0,"",SUM(V36:Y36))))</f>
        <v/>
      </c>
      <c r="AA36" s="77" t="str">
        <f aca="false">IF(B36="","",IF($U36="NON",0,IF(COUNT(V36:Y36)=0,"",IFERROR(ROUND(SUM(V36:Y36)/SUMPRODUCT(ISNUMBER(V36:Y36)*$V$8:$Y$8)*10,2),""))))</f>
        <v/>
      </c>
      <c r="AB36" s="75"/>
      <c r="AC36" s="76"/>
      <c r="AD36" s="76"/>
      <c r="AE36" s="76"/>
      <c r="AF36" s="76"/>
      <c r="AG36" s="79" t="str">
        <f aca="false">IF(B36="","",IF($AB36="NON",0,IF(COUNT(AC36:AF36)=0,"",SUM(AC36:AF36))))</f>
        <v/>
      </c>
      <c r="AH36" s="77" t="str">
        <f aca="false">IF(B36="","",IF($AB36="NON",0,IF(COUNT(AC36:AF36)=0,"",IFERROR(ROUND(SUM(AC36:AF36)/SUMPRODUCT(ISNUMBER(AC36:AF36)*$AC$8:$AF$8)*10,2),""))))</f>
        <v/>
      </c>
      <c r="AI36" s="51" t="str">
        <f aca="false">IFERROR(MATCH("CE1-27",'REGISTRE ELEVES'!$AI$10:$AI$250,0),"")</f>
        <v/>
      </c>
    </row>
    <row r="37" customFormat="false" ht="15" hidden="false" customHeight="false" outlineLevel="0" collapsed="false">
      <c r="A37" s="73" t="str">
        <f aca="false">IF(B37="","",28)</f>
        <v/>
      </c>
      <c r="B37" s="73" t="str">
        <f aca="false">IF($AI37="","",INDEX('REGISTRE ELEVES'!$B$10:$B$250,$AI37))</f>
        <v/>
      </c>
      <c r="C37" s="74" t="str">
        <f aca="false">IF($AI37="","",INDEX('REGISTRE ELEVES'!$D$10:$D$250,$AI37))</f>
        <v/>
      </c>
      <c r="D37" s="73" t="str">
        <f aca="false">IF($AI37="","",INDEX('REGISTRE ELEVES'!$E$10:$E$250,$AI37))</f>
        <v/>
      </c>
      <c r="E37" s="73" t="str">
        <f aca="false">IF($AI37="","",INDEX('REGISTRE ELEVES'!$F$10:$F$250,$AI37))</f>
        <v/>
      </c>
      <c r="F37" s="73" t="str">
        <f aca="false">IF($AI37="","",INDEX('REGISTRE ELEVES'!$AE$10:$AE$250,$AI37))</f>
        <v/>
      </c>
      <c r="G37" s="75"/>
      <c r="H37" s="76"/>
      <c r="I37" s="76"/>
      <c r="J37" s="76"/>
      <c r="K37" s="76"/>
      <c r="L37" s="79" t="str">
        <f aca="false">IF(B37="","",IF($G37="NON",0,IF(COUNT(H37:K37)=0,"",SUM(H37:K37))))</f>
        <v/>
      </c>
      <c r="M37" s="77" t="str">
        <f aca="false">IF(B37="","",IF($G37="NON",0,IF(COUNT(H37:K37)=0,"",IFERROR(ROUND(SUM(H37:K37)/SUMPRODUCT(ISNUMBER(H37:K37)*$H$8:$K$8)*10,2),""))))</f>
        <v/>
      </c>
      <c r="N37" s="75"/>
      <c r="O37" s="76"/>
      <c r="P37" s="76"/>
      <c r="Q37" s="76"/>
      <c r="R37" s="76"/>
      <c r="S37" s="79" t="str">
        <f aca="false">IF(B37="","",IF($N37="NON",0,IF(COUNT(O37:R37)=0,"",SUM(O37:R37))))</f>
        <v/>
      </c>
      <c r="T37" s="77" t="str">
        <f aca="false">IF(B37="","",IF($N37="NON",0,IF(COUNT(O37:R37)=0,"",IFERROR(ROUND(SUM(O37:R37)/SUMPRODUCT(ISNUMBER(O37:R37)*$O$8:$R$8)*10,2),""))))</f>
        <v/>
      </c>
      <c r="U37" s="75"/>
      <c r="V37" s="76"/>
      <c r="W37" s="76"/>
      <c r="X37" s="76"/>
      <c r="Y37" s="76"/>
      <c r="Z37" s="79" t="str">
        <f aca="false">IF(B37="","",IF($U37="NON",0,IF(COUNT(V37:Y37)=0,"",SUM(V37:Y37))))</f>
        <v/>
      </c>
      <c r="AA37" s="77" t="str">
        <f aca="false">IF(B37="","",IF($U37="NON",0,IF(COUNT(V37:Y37)=0,"",IFERROR(ROUND(SUM(V37:Y37)/SUMPRODUCT(ISNUMBER(V37:Y37)*$V$8:$Y$8)*10,2),""))))</f>
        <v/>
      </c>
      <c r="AB37" s="75"/>
      <c r="AC37" s="76"/>
      <c r="AD37" s="76"/>
      <c r="AE37" s="76"/>
      <c r="AF37" s="76"/>
      <c r="AG37" s="79" t="str">
        <f aca="false">IF(B37="","",IF($AB37="NON",0,IF(COUNT(AC37:AF37)=0,"",SUM(AC37:AF37))))</f>
        <v/>
      </c>
      <c r="AH37" s="77" t="str">
        <f aca="false">IF(B37="","",IF($AB37="NON",0,IF(COUNT(AC37:AF37)=0,"",IFERROR(ROUND(SUM(AC37:AF37)/SUMPRODUCT(ISNUMBER(AC37:AF37)*$AC$8:$AF$8)*10,2),""))))</f>
        <v/>
      </c>
      <c r="AI37" s="51" t="str">
        <f aca="false">IFERROR(MATCH("CE1-28",'REGISTRE ELEVES'!$AI$10:$AI$250,0),"")</f>
        <v/>
      </c>
    </row>
    <row r="38" customFormat="false" ht="15" hidden="false" customHeight="false" outlineLevel="0" collapsed="false">
      <c r="A38" s="73" t="str">
        <f aca="false">IF(B38="","",29)</f>
        <v/>
      </c>
      <c r="B38" s="73" t="str">
        <f aca="false">IF($AI38="","",INDEX('REGISTRE ELEVES'!$B$10:$B$250,$AI38))</f>
        <v/>
      </c>
      <c r="C38" s="74" t="str">
        <f aca="false">IF($AI38="","",INDEX('REGISTRE ELEVES'!$D$10:$D$250,$AI38))</f>
        <v/>
      </c>
      <c r="D38" s="73" t="str">
        <f aca="false">IF($AI38="","",INDEX('REGISTRE ELEVES'!$E$10:$E$250,$AI38))</f>
        <v/>
      </c>
      <c r="E38" s="73" t="str">
        <f aca="false">IF($AI38="","",INDEX('REGISTRE ELEVES'!$F$10:$F$250,$AI38))</f>
        <v/>
      </c>
      <c r="F38" s="73" t="str">
        <f aca="false">IF($AI38="","",INDEX('REGISTRE ELEVES'!$AE$10:$AE$250,$AI38))</f>
        <v/>
      </c>
      <c r="G38" s="75"/>
      <c r="H38" s="76"/>
      <c r="I38" s="76"/>
      <c r="J38" s="76"/>
      <c r="K38" s="76"/>
      <c r="L38" s="79" t="str">
        <f aca="false">IF(B38="","",IF($G38="NON",0,IF(COUNT(H38:K38)=0,"",SUM(H38:K38))))</f>
        <v/>
      </c>
      <c r="M38" s="77" t="str">
        <f aca="false">IF(B38="","",IF($G38="NON",0,IF(COUNT(H38:K38)=0,"",IFERROR(ROUND(SUM(H38:K38)/SUMPRODUCT(ISNUMBER(H38:K38)*$H$8:$K$8)*10,2),""))))</f>
        <v/>
      </c>
      <c r="N38" s="75"/>
      <c r="O38" s="76"/>
      <c r="P38" s="76"/>
      <c r="Q38" s="76"/>
      <c r="R38" s="76"/>
      <c r="S38" s="79" t="str">
        <f aca="false">IF(B38="","",IF($N38="NON",0,IF(COUNT(O38:R38)=0,"",SUM(O38:R38))))</f>
        <v/>
      </c>
      <c r="T38" s="77" t="str">
        <f aca="false">IF(B38="","",IF($N38="NON",0,IF(COUNT(O38:R38)=0,"",IFERROR(ROUND(SUM(O38:R38)/SUMPRODUCT(ISNUMBER(O38:R38)*$O$8:$R$8)*10,2),""))))</f>
        <v/>
      </c>
      <c r="U38" s="75"/>
      <c r="V38" s="76"/>
      <c r="W38" s="76"/>
      <c r="X38" s="76"/>
      <c r="Y38" s="76"/>
      <c r="Z38" s="79" t="str">
        <f aca="false">IF(B38="","",IF($U38="NON",0,IF(COUNT(V38:Y38)=0,"",SUM(V38:Y38))))</f>
        <v/>
      </c>
      <c r="AA38" s="77" t="str">
        <f aca="false">IF(B38="","",IF($U38="NON",0,IF(COUNT(V38:Y38)=0,"",IFERROR(ROUND(SUM(V38:Y38)/SUMPRODUCT(ISNUMBER(V38:Y38)*$V$8:$Y$8)*10,2),""))))</f>
        <v/>
      </c>
      <c r="AB38" s="75"/>
      <c r="AC38" s="76"/>
      <c r="AD38" s="76"/>
      <c r="AE38" s="76"/>
      <c r="AF38" s="76"/>
      <c r="AG38" s="79" t="str">
        <f aca="false">IF(B38="","",IF($AB38="NON",0,IF(COUNT(AC38:AF38)=0,"",SUM(AC38:AF38))))</f>
        <v/>
      </c>
      <c r="AH38" s="77" t="str">
        <f aca="false">IF(B38="","",IF($AB38="NON",0,IF(COUNT(AC38:AF38)=0,"",IFERROR(ROUND(SUM(AC38:AF38)/SUMPRODUCT(ISNUMBER(AC38:AF38)*$AC$8:$AF$8)*10,2),""))))</f>
        <v/>
      </c>
      <c r="AI38" s="51" t="str">
        <f aca="false">IFERROR(MATCH("CE1-29",'REGISTRE ELEVES'!$AI$10:$AI$250,0),"")</f>
        <v/>
      </c>
    </row>
    <row r="39" customFormat="false" ht="15" hidden="false" customHeight="false" outlineLevel="0" collapsed="false">
      <c r="A39" s="73" t="str">
        <f aca="false">IF(B39="","",30)</f>
        <v/>
      </c>
      <c r="B39" s="73" t="str">
        <f aca="false">IF($AI39="","",INDEX('REGISTRE ELEVES'!$B$10:$B$250,$AI39))</f>
        <v/>
      </c>
      <c r="C39" s="74" t="str">
        <f aca="false">IF($AI39="","",INDEX('REGISTRE ELEVES'!$D$10:$D$250,$AI39))</f>
        <v/>
      </c>
      <c r="D39" s="73" t="str">
        <f aca="false">IF($AI39="","",INDEX('REGISTRE ELEVES'!$E$10:$E$250,$AI39))</f>
        <v/>
      </c>
      <c r="E39" s="73" t="str">
        <f aca="false">IF($AI39="","",INDEX('REGISTRE ELEVES'!$F$10:$F$250,$AI39))</f>
        <v/>
      </c>
      <c r="F39" s="73" t="str">
        <f aca="false">IF($AI39="","",INDEX('REGISTRE ELEVES'!$AE$10:$AE$250,$AI39))</f>
        <v/>
      </c>
      <c r="G39" s="75"/>
      <c r="H39" s="76"/>
      <c r="I39" s="76"/>
      <c r="J39" s="76"/>
      <c r="K39" s="76"/>
      <c r="L39" s="79" t="str">
        <f aca="false">IF(B39="","",IF($G39="NON",0,IF(COUNT(H39:K39)=0,"",SUM(H39:K39))))</f>
        <v/>
      </c>
      <c r="M39" s="77" t="str">
        <f aca="false">IF(B39="","",IF($G39="NON",0,IF(COUNT(H39:K39)=0,"",IFERROR(ROUND(SUM(H39:K39)/SUMPRODUCT(ISNUMBER(H39:K39)*$H$8:$K$8)*10,2),""))))</f>
        <v/>
      </c>
      <c r="N39" s="75"/>
      <c r="O39" s="76"/>
      <c r="P39" s="76"/>
      <c r="Q39" s="76"/>
      <c r="R39" s="76"/>
      <c r="S39" s="79" t="str">
        <f aca="false">IF(B39="","",IF($N39="NON",0,IF(COUNT(O39:R39)=0,"",SUM(O39:R39))))</f>
        <v/>
      </c>
      <c r="T39" s="77" t="str">
        <f aca="false">IF(B39="","",IF($N39="NON",0,IF(COUNT(O39:R39)=0,"",IFERROR(ROUND(SUM(O39:R39)/SUMPRODUCT(ISNUMBER(O39:R39)*$O$8:$R$8)*10,2),""))))</f>
        <v/>
      </c>
      <c r="U39" s="75"/>
      <c r="V39" s="76"/>
      <c r="W39" s="76"/>
      <c r="X39" s="76"/>
      <c r="Y39" s="76"/>
      <c r="Z39" s="79" t="str">
        <f aca="false">IF(B39="","",IF($U39="NON",0,IF(COUNT(V39:Y39)=0,"",SUM(V39:Y39))))</f>
        <v/>
      </c>
      <c r="AA39" s="77" t="str">
        <f aca="false">IF(B39="","",IF($U39="NON",0,IF(COUNT(V39:Y39)=0,"",IFERROR(ROUND(SUM(V39:Y39)/SUMPRODUCT(ISNUMBER(V39:Y39)*$V$8:$Y$8)*10,2),""))))</f>
        <v/>
      </c>
      <c r="AB39" s="75"/>
      <c r="AC39" s="76"/>
      <c r="AD39" s="76"/>
      <c r="AE39" s="76"/>
      <c r="AF39" s="76"/>
      <c r="AG39" s="79" t="str">
        <f aca="false">IF(B39="","",IF($AB39="NON",0,IF(COUNT(AC39:AF39)=0,"",SUM(AC39:AF39))))</f>
        <v/>
      </c>
      <c r="AH39" s="77" t="str">
        <f aca="false">IF(B39="","",IF($AB39="NON",0,IF(COUNT(AC39:AF39)=0,"",IFERROR(ROUND(SUM(AC39:AF39)/SUMPRODUCT(ISNUMBER(AC39:AF39)*$AC$8:$AF$8)*10,2),""))))</f>
        <v/>
      </c>
      <c r="AI39" s="51" t="str">
        <f aca="false">IFERROR(MATCH("CE1-30",'REGISTRE ELEVES'!$AI$10:$AI$250,0),"")</f>
        <v/>
      </c>
    </row>
    <row r="40" customFormat="false" ht="15" hidden="false" customHeight="false" outlineLevel="0" collapsed="false">
      <c r="A40" s="73" t="str">
        <f aca="false">IF(B40="","",31)</f>
        <v/>
      </c>
      <c r="B40" s="73" t="str">
        <f aca="false">IF($AI40="","",INDEX('REGISTRE ELEVES'!$B$10:$B$250,$AI40))</f>
        <v/>
      </c>
      <c r="C40" s="74" t="str">
        <f aca="false">IF($AI40="","",INDEX('REGISTRE ELEVES'!$D$10:$D$250,$AI40))</f>
        <v/>
      </c>
      <c r="D40" s="73" t="str">
        <f aca="false">IF($AI40="","",INDEX('REGISTRE ELEVES'!$E$10:$E$250,$AI40))</f>
        <v/>
      </c>
      <c r="E40" s="73" t="str">
        <f aca="false">IF($AI40="","",INDEX('REGISTRE ELEVES'!$F$10:$F$250,$AI40))</f>
        <v/>
      </c>
      <c r="F40" s="73" t="str">
        <f aca="false">IF($AI40="","",INDEX('REGISTRE ELEVES'!$AE$10:$AE$250,$AI40))</f>
        <v/>
      </c>
      <c r="G40" s="75"/>
      <c r="H40" s="76"/>
      <c r="I40" s="76"/>
      <c r="J40" s="76"/>
      <c r="K40" s="76"/>
      <c r="L40" s="79" t="str">
        <f aca="false">IF(B40="","",IF($G40="NON",0,IF(COUNT(H40:K40)=0,"",SUM(H40:K40))))</f>
        <v/>
      </c>
      <c r="M40" s="77" t="str">
        <f aca="false">IF(B40="","",IF($G40="NON",0,IF(COUNT(H40:K40)=0,"",IFERROR(ROUND(SUM(H40:K40)/SUMPRODUCT(ISNUMBER(H40:K40)*$H$8:$K$8)*10,2),""))))</f>
        <v/>
      </c>
      <c r="N40" s="75"/>
      <c r="O40" s="76"/>
      <c r="P40" s="76"/>
      <c r="Q40" s="76"/>
      <c r="R40" s="76"/>
      <c r="S40" s="79" t="str">
        <f aca="false">IF(B40="","",IF($N40="NON",0,IF(COUNT(O40:R40)=0,"",SUM(O40:R40))))</f>
        <v/>
      </c>
      <c r="T40" s="77" t="str">
        <f aca="false">IF(B40="","",IF($N40="NON",0,IF(COUNT(O40:R40)=0,"",IFERROR(ROUND(SUM(O40:R40)/SUMPRODUCT(ISNUMBER(O40:R40)*$O$8:$R$8)*10,2),""))))</f>
        <v/>
      </c>
      <c r="U40" s="75"/>
      <c r="V40" s="76"/>
      <c r="W40" s="76"/>
      <c r="X40" s="76"/>
      <c r="Y40" s="76"/>
      <c r="Z40" s="79" t="str">
        <f aca="false">IF(B40="","",IF($U40="NON",0,IF(COUNT(V40:Y40)=0,"",SUM(V40:Y40))))</f>
        <v/>
      </c>
      <c r="AA40" s="77" t="str">
        <f aca="false">IF(B40="","",IF($U40="NON",0,IF(COUNT(V40:Y40)=0,"",IFERROR(ROUND(SUM(V40:Y40)/SUMPRODUCT(ISNUMBER(V40:Y40)*$V$8:$Y$8)*10,2),""))))</f>
        <v/>
      </c>
      <c r="AB40" s="75"/>
      <c r="AC40" s="76"/>
      <c r="AD40" s="76"/>
      <c r="AE40" s="76"/>
      <c r="AF40" s="76"/>
      <c r="AG40" s="79" t="str">
        <f aca="false">IF(B40="","",IF($AB40="NON",0,IF(COUNT(AC40:AF40)=0,"",SUM(AC40:AF40))))</f>
        <v/>
      </c>
      <c r="AH40" s="77" t="str">
        <f aca="false">IF(B40="","",IF($AB40="NON",0,IF(COUNT(AC40:AF40)=0,"",IFERROR(ROUND(SUM(AC40:AF40)/SUMPRODUCT(ISNUMBER(AC40:AF40)*$AC$8:$AF$8)*10,2),""))))</f>
        <v/>
      </c>
      <c r="AI40" s="51" t="str">
        <f aca="false">IFERROR(MATCH("CE1-31",'REGISTRE ELEVES'!$AI$10:$AI$250,0),"")</f>
        <v/>
      </c>
    </row>
    <row r="41" customFormat="false" ht="15" hidden="false" customHeight="false" outlineLevel="0" collapsed="false">
      <c r="A41" s="73" t="str">
        <f aca="false">IF(B41="","",32)</f>
        <v/>
      </c>
      <c r="B41" s="73" t="str">
        <f aca="false">IF($AI41="","",INDEX('REGISTRE ELEVES'!$B$10:$B$250,$AI41))</f>
        <v/>
      </c>
      <c r="C41" s="74" t="str">
        <f aca="false">IF($AI41="","",INDEX('REGISTRE ELEVES'!$D$10:$D$250,$AI41))</f>
        <v/>
      </c>
      <c r="D41" s="73" t="str">
        <f aca="false">IF($AI41="","",INDEX('REGISTRE ELEVES'!$E$10:$E$250,$AI41))</f>
        <v/>
      </c>
      <c r="E41" s="73" t="str">
        <f aca="false">IF($AI41="","",INDEX('REGISTRE ELEVES'!$F$10:$F$250,$AI41))</f>
        <v/>
      </c>
      <c r="F41" s="73" t="str">
        <f aca="false">IF($AI41="","",INDEX('REGISTRE ELEVES'!$AE$10:$AE$250,$AI41))</f>
        <v/>
      </c>
      <c r="G41" s="75"/>
      <c r="H41" s="76"/>
      <c r="I41" s="76"/>
      <c r="J41" s="76"/>
      <c r="K41" s="76"/>
      <c r="L41" s="79" t="str">
        <f aca="false">IF(B41="","",IF($G41="NON",0,IF(COUNT(H41:K41)=0,"",SUM(H41:K41))))</f>
        <v/>
      </c>
      <c r="M41" s="77" t="str">
        <f aca="false">IF(B41="","",IF($G41="NON",0,IF(COUNT(H41:K41)=0,"",IFERROR(ROUND(SUM(H41:K41)/SUMPRODUCT(ISNUMBER(H41:K41)*$H$8:$K$8)*10,2),""))))</f>
        <v/>
      </c>
      <c r="N41" s="75"/>
      <c r="O41" s="76"/>
      <c r="P41" s="76"/>
      <c r="Q41" s="76"/>
      <c r="R41" s="76"/>
      <c r="S41" s="79" t="str">
        <f aca="false">IF(B41="","",IF($N41="NON",0,IF(COUNT(O41:R41)=0,"",SUM(O41:R41))))</f>
        <v/>
      </c>
      <c r="T41" s="77" t="str">
        <f aca="false">IF(B41="","",IF($N41="NON",0,IF(COUNT(O41:R41)=0,"",IFERROR(ROUND(SUM(O41:R41)/SUMPRODUCT(ISNUMBER(O41:R41)*$O$8:$R$8)*10,2),""))))</f>
        <v/>
      </c>
      <c r="U41" s="75"/>
      <c r="V41" s="76"/>
      <c r="W41" s="76"/>
      <c r="X41" s="76"/>
      <c r="Y41" s="76"/>
      <c r="Z41" s="79" t="str">
        <f aca="false">IF(B41="","",IF($U41="NON",0,IF(COUNT(V41:Y41)=0,"",SUM(V41:Y41))))</f>
        <v/>
      </c>
      <c r="AA41" s="77" t="str">
        <f aca="false">IF(B41="","",IF($U41="NON",0,IF(COUNT(V41:Y41)=0,"",IFERROR(ROUND(SUM(V41:Y41)/SUMPRODUCT(ISNUMBER(V41:Y41)*$V$8:$Y$8)*10,2),""))))</f>
        <v/>
      </c>
      <c r="AB41" s="75"/>
      <c r="AC41" s="76"/>
      <c r="AD41" s="76"/>
      <c r="AE41" s="76"/>
      <c r="AF41" s="76"/>
      <c r="AG41" s="79" t="str">
        <f aca="false">IF(B41="","",IF($AB41="NON",0,IF(COUNT(AC41:AF41)=0,"",SUM(AC41:AF41))))</f>
        <v/>
      </c>
      <c r="AH41" s="77" t="str">
        <f aca="false">IF(B41="","",IF($AB41="NON",0,IF(COUNT(AC41:AF41)=0,"",IFERROR(ROUND(SUM(AC41:AF41)/SUMPRODUCT(ISNUMBER(AC41:AF41)*$AC$8:$AF$8)*10,2),""))))</f>
        <v/>
      </c>
      <c r="AI41" s="51" t="str">
        <f aca="false">IFERROR(MATCH("CE1-32",'REGISTRE ELEVES'!$AI$10:$AI$250,0),"")</f>
        <v/>
      </c>
    </row>
    <row r="42" customFormat="false" ht="15" hidden="false" customHeight="false" outlineLevel="0" collapsed="false">
      <c r="A42" s="73" t="str">
        <f aca="false">IF(B42="","",33)</f>
        <v/>
      </c>
      <c r="B42" s="73" t="str">
        <f aca="false">IF($AI42="","",INDEX('REGISTRE ELEVES'!$B$10:$B$250,$AI42))</f>
        <v/>
      </c>
      <c r="C42" s="74" t="str">
        <f aca="false">IF($AI42="","",INDEX('REGISTRE ELEVES'!$D$10:$D$250,$AI42))</f>
        <v/>
      </c>
      <c r="D42" s="73" t="str">
        <f aca="false">IF($AI42="","",INDEX('REGISTRE ELEVES'!$E$10:$E$250,$AI42))</f>
        <v/>
      </c>
      <c r="E42" s="73" t="str">
        <f aca="false">IF($AI42="","",INDEX('REGISTRE ELEVES'!$F$10:$F$250,$AI42))</f>
        <v/>
      </c>
      <c r="F42" s="73" t="str">
        <f aca="false">IF($AI42="","",INDEX('REGISTRE ELEVES'!$AE$10:$AE$250,$AI42))</f>
        <v/>
      </c>
      <c r="G42" s="75"/>
      <c r="H42" s="76"/>
      <c r="I42" s="76"/>
      <c r="J42" s="76"/>
      <c r="K42" s="76"/>
      <c r="L42" s="79" t="str">
        <f aca="false">IF(B42="","",IF($G42="NON",0,IF(COUNT(H42:K42)=0,"",SUM(H42:K42))))</f>
        <v/>
      </c>
      <c r="M42" s="77" t="str">
        <f aca="false">IF(B42="","",IF($G42="NON",0,IF(COUNT(H42:K42)=0,"",IFERROR(ROUND(SUM(H42:K42)/SUMPRODUCT(ISNUMBER(H42:K42)*$H$8:$K$8)*10,2),""))))</f>
        <v/>
      </c>
      <c r="N42" s="75"/>
      <c r="O42" s="76"/>
      <c r="P42" s="76"/>
      <c r="Q42" s="76"/>
      <c r="R42" s="76"/>
      <c r="S42" s="79" t="str">
        <f aca="false">IF(B42="","",IF($N42="NON",0,IF(COUNT(O42:R42)=0,"",SUM(O42:R42))))</f>
        <v/>
      </c>
      <c r="T42" s="77" t="str">
        <f aca="false">IF(B42="","",IF($N42="NON",0,IF(COUNT(O42:R42)=0,"",IFERROR(ROUND(SUM(O42:R42)/SUMPRODUCT(ISNUMBER(O42:R42)*$O$8:$R$8)*10,2),""))))</f>
        <v/>
      </c>
      <c r="U42" s="75"/>
      <c r="V42" s="76"/>
      <c r="W42" s="76"/>
      <c r="X42" s="76"/>
      <c r="Y42" s="76"/>
      <c r="Z42" s="79" t="str">
        <f aca="false">IF(B42="","",IF($U42="NON",0,IF(COUNT(V42:Y42)=0,"",SUM(V42:Y42))))</f>
        <v/>
      </c>
      <c r="AA42" s="77" t="str">
        <f aca="false">IF(B42="","",IF($U42="NON",0,IF(COUNT(V42:Y42)=0,"",IFERROR(ROUND(SUM(V42:Y42)/SUMPRODUCT(ISNUMBER(V42:Y42)*$V$8:$Y$8)*10,2),""))))</f>
        <v/>
      </c>
      <c r="AB42" s="75"/>
      <c r="AC42" s="76"/>
      <c r="AD42" s="76"/>
      <c r="AE42" s="76"/>
      <c r="AF42" s="76"/>
      <c r="AG42" s="79" t="str">
        <f aca="false">IF(B42="","",IF($AB42="NON",0,IF(COUNT(AC42:AF42)=0,"",SUM(AC42:AF42))))</f>
        <v/>
      </c>
      <c r="AH42" s="77" t="str">
        <f aca="false">IF(B42="","",IF($AB42="NON",0,IF(COUNT(AC42:AF42)=0,"",IFERROR(ROUND(SUM(AC42:AF42)/SUMPRODUCT(ISNUMBER(AC42:AF42)*$AC$8:$AF$8)*10,2),""))))</f>
        <v/>
      </c>
      <c r="AI42" s="51" t="str">
        <f aca="false">IFERROR(MATCH("CE1-33",'REGISTRE ELEVES'!$AI$10:$AI$250,0),"")</f>
        <v/>
      </c>
    </row>
    <row r="43" customFormat="false" ht="15" hidden="false" customHeight="false" outlineLevel="0" collapsed="false">
      <c r="A43" s="73" t="str">
        <f aca="false">IF(B43="","",34)</f>
        <v/>
      </c>
      <c r="B43" s="73" t="str">
        <f aca="false">IF($AI43="","",INDEX('REGISTRE ELEVES'!$B$10:$B$250,$AI43))</f>
        <v/>
      </c>
      <c r="C43" s="74" t="str">
        <f aca="false">IF($AI43="","",INDEX('REGISTRE ELEVES'!$D$10:$D$250,$AI43))</f>
        <v/>
      </c>
      <c r="D43" s="73" t="str">
        <f aca="false">IF($AI43="","",INDEX('REGISTRE ELEVES'!$E$10:$E$250,$AI43))</f>
        <v/>
      </c>
      <c r="E43" s="73" t="str">
        <f aca="false">IF($AI43="","",INDEX('REGISTRE ELEVES'!$F$10:$F$250,$AI43))</f>
        <v/>
      </c>
      <c r="F43" s="73" t="str">
        <f aca="false">IF($AI43="","",INDEX('REGISTRE ELEVES'!$AE$10:$AE$250,$AI43))</f>
        <v/>
      </c>
      <c r="G43" s="75"/>
      <c r="H43" s="76"/>
      <c r="I43" s="76"/>
      <c r="J43" s="76"/>
      <c r="K43" s="76"/>
      <c r="L43" s="79" t="str">
        <f aca="false">IF(B43="","",IF($G43="NON",0,IF(COUNT(H43:K43)=0,"",SUM(H43:K43))))</f>
        <v/>
      </c>
      <c r="M43" s="77" t="str">
        <f aca="false">IF(B43="","",IF($G43="NON",0,IF(COUNT(H43:K43)=0,"",IFERROR(ROUND(SUM(H43:K43)/SUMPRODUCT(ISNUMBER(H43:K43)*$H$8:$K$8)*10,2),""))))</f>
        <v/>
      </c>
      <c r="N43" s="75"/>
      <c r="O43" s="76"/>
      <c r="P43" s="76"/>
      <c r="Q43" s="76"/>
      <c r="R43" s="76"/>
      <c r="S43" s="79" t="str">
        <f aca="false">IF(B43="","",IF($N43="NON",0,IF(COUNT(O43:R43)=0,"",SUM(O43:R43))))</f>
        <v/>
      </c>
      <c r="T43" s="77" t="str">
        <f aca="false">IF(B43="","",IF($N43="NON",0,IF(COUNT(O43:R43)=0,"",IFERROR(ROUND(SUM(O43:R43)/SUMPRODUCT(ISNUMBER(O43:R43)*$O$8:$R$8)*10,2),""))))</f>
        <v/>
      </c>
      <c r="U43" s="75"/>
      <c r="V43" s="76"/>
      <c r="W43" s="76"/>
      <c r="X43" s="76"/>
      <c r="Y43" s="76"/>
      <c r="Z43" s="79" t="str">
        <f aca="false">IF(B43="","",IF($U43="NON",0,IF(COUNT(V43:Y43)=0,"",SUM(V43:Y43))))</f>
        <v/>
      </c>
      <c r="AA43" s="77" t="str">
        <f aca="false">IF(B43="","",IF($U43="NON",0,IF(COUNT(V43:Y43)=0,"",IFERROR(ROUND(SUM(V43:Y43)/SUMPRODUCT(ISNUMBER(V43:Y43)*$V$8:$Y$8)*10,2),""))))</f>
        <v/>
      </c>
      <c r="AB43" s="75"/>
      <c r="AC43" s="76"/>
      <c r="AD43" s="76"/>
      <c r="AE43" s="76"/>
      <c r="AF43" s="76"/>
      <c r="AG43" s="79" t="str">
        <f aca="false">IF(B43="","",IF($AB43="NON",0,IF(COUNT(AC43:AF43)=0,"",SUM(AC43:AF43))))</f>
        <v/>
      </c>
      <c r="AH43" s="77" t="str">
        <f aca="false">IF(B43="","",IF($AB43="NON",0,IF(COUNT(AC43:AF43)=0,"",IFERROR(ROUND(SUM(AC43:AF43)/SUMPRODUCT(ISNUMBER(AC43:AF43)*$AC$8:$AF$8)*10,2),""))))</f>
        <v/>
      </c>
      <c r="AI43" s="51" t="str">
        <f aca="false">IFERROR(MATCH("CE1-34",'REGISTRE ELEVES'!$AI$10:$AI$250,0),"")</f>
        <v/>
      </c>
    </row>
    <row r="44" customFormat="false" ht="15" hidden="false" customHeight="false" outlineLevel="0" collapsed="false">
      <c r="A44" s="73" t="str">
        <f aca="false">IF(B44="","",35)</f>
        <v/>
      </c>
      <c r="B44" s="73" t="str">
        <f aca="false">IF($AI44="","",INDEX('REGISTRE ELEVES'!$B$10:$B$250,$AI44))</f>
        <v/>
      </c>
      <c r="C44" s="74" t="str">
        <f aca="false">IF($AI44="","",INDEX('REGISTRE ELEVES'!$D$10:$D$250,$AI44))</f>
        <v/>
      </c>
      <c r="D44" s="73" t="str">
        <f aca="false">IF($AI44="","",INDEX('REGISTRE ELEVES'!$E$10:$E$250,$AI44))</f>
        <v/>
      </c>
      <c r="E44" s="73" t="str">
        <f aca="false">IF($AI44="","",INDEX('REGISTRE ELEVES'!$F$10:$F$250,$AI44))</f>
        <v/>
      </c>
      <c r="F44" s="73" t="str">
        <f aca="false">IF($AI44="","",INDEX('REGISTRE ELEVES'!$AE$10:$AE$250,$AI44))</f>
        <v/>
      </c>
      <c r="G44" s="75"/>
      <c r="H44" s="76"/>
      <c r="I44" s="76"/>
      <c r="J44" s="76"/>
      <c r="K44" s="76"/>
      <c r="L44" s="79" t="str">
        <f aca="false">IF(B44="","",IF($G44="NON",0,IF(COUNT(H44:K44)=0,"",SUM(H44:K44))))</f>
        <v/>
      </c>
      <c r="M44" s="77" t="str">
        <f aca="false">IF(B44="","",IF($G44="NON",0,IF(COUNT(H44:K44)=0,"",IFERROR(ROUND(SUM(H44:K44)/SUMPRODUCT(ISNUMBER(H44:K44)*$H$8:$K$8)*10,2),""))))</f>
        <v/>
      </c>
      <c r="N44" s="75"/>
      <c r="O44" s="76"/>
      <c r="P44" s="76"/>
      <c r="Q44" s="76"/>
      <c r="R44" s="76"/>
      <c r="S44" s="79" t="str">
        <f aca="false">IF(B44="","",IF($N44="NON",0,IF(COUNT(O44:R44)=0,"",SUM(O44:R44))))</f>
        <v/>
      </c>
      <c r="T44" s="77" t="str">
        <f aca="false">IF(B44="","",IF($N44="NON",0,IF(COUNT(O44:R44)=0,"",IFERROR(ROUND(SUM(O44:R44)/SUMPRODUCT(ISNUMBER(O44:R44)*$O$8:$R$8)*10,2),""))))</f>
        <v/>
      </c>
      <c r="U44" s="75"/>
      <c r="V44" s="76"/>
      <c r="W44" s="76"/>
      <c r="X44" s="76"/>
      <c r="Y44" s="76"/>
      <c r="Z44" s="79" t="str">
        <f aca="false">IF(B44="","",IF($U44="NON",0,IF(COUNT(V44:Y44)=0,"",SUM(V44:Y44))))</f>
        <v/>
      </c>
      <c r="AA44" s="77" t="str">
        <f aca="false">IF(B44="","",IF($U44="NON",0,IF(COUNT(V44:Y44)=0,"",IFERROR(ROUND(SUM(V44:Y44)/SUMPRODUCT(ISNUMBER(V44:Y44)*$V$8:$Y$8)*10,2),""))))</f>
        <v/>
      </c>
      <c r="AB44" s="75"/>
      <c r="AC44" s="76"/>
      <c r="AD44" s="76"/>
      <c r="AE44" s="76"/>
      <c r="AF44" s="76"/>
      <c r="AG44" s="79" t="str">
        <f aca="false">IF(B44="","",IF($AB44="NON",0,IF(COUNT(AC44:AF44)=0,"",SUM(AC44:AF44))))</f>
        <v/>
      </c>
      <c r="AH44" s="77" t="str">
        <f aca="false">IF(B44="","",IF($AB44="NON",0,IF(COUNT(AC44:AF44)=0,"",IFERROR(ROUND(SUM(AC44:AF44)/SUMPRODUCT(ISNUMBER(AC44:AF44)*$AC$8:$AF$8)*10,2),""))))</f>
        <v/>
      </c>
      <c r="AI44" s="51" t="str">
        <f aca="false">IFERROR(MATCH("CE1-35",'REGISTRE ELEVES'!$AI$10:$AI$250,0),"")</f>
        <v/>
      </c>
    </row>
    <row r="45" customFormat="false" ht="15" hidden="false" customHeight="false" outlineLevel="0" collapsed="false">
      <c r="A45" s="73" t="str">
        <f aca="false">IF(B45="","",36)</f>
        <v/>
      </c>
      <c r="B45" s="73" t="str">
        <f aca="false">IF($AI45="","",INDEX('REGISTRE ELEVES'!$B$10:$B$250,$AI45))</f>
        <v/>
      </c>
      <c r="C45" s="74" t="str">
        <f aca="false">IF($AI45="","",INDEX('REGISTRE ELEVES'!$D$10:$D$250,$AI45))</f>
        <v/>
      </c>
      <c r="D45" s="73" t="str">
        <f aca="false">IF($AI45="","",INDEX('REGISTRE ELEVES'!$E$10:$E$250,$AI45))</f>
        <v/>
      </c>
      <c r="E45" s="73" t="str">
        <f aca="false">IF($AI45="","",INDEX('REGISTRE ELEVES'!$F$10:$F$250,$AI45))</f>
        <v/>
      </c>
      <c r="F45" s="73" t="str">
        <f aca="false">IF($AI45="","",INDEX('REGISTRE ELEVES'!$AE$10:$AE$250,$AI45))</f>
        <v/>
      </c>
      <c r="G45" s="75"/>
      <c r="H45" s="76"/>
      <c r="I45" s="76"/>
      <c r="J45" s="76"/>
      <c r="K45" s="76"/>
      <c r="L45" s="79" t="str">
        <f aca="false">IF(B45="","",IF($G45="NON",0,IF(COUNT(H45:K45)=0,"",SUM(H45:K45))))</f>
        <v/>
      </c>
      <c r="M45" s="77" t="str">
        <f aca="false">IF(B45="","",IF($G45="NON",0,IF(COUNT(H45:K45)=0,"",IFERROR(ROUND(SUM(H45:K45)/SUMPRODUCT(ISNUMBER(H45:K45)*$H$8:$K$8)*10,2),""))))</f>
        <v/>
      </c>
      <c r="N45" s="75"/>
      <c r="O45" s="76"/>
      <c r="P45" s="76"/>
      <c r="Q45" s="76"/>
      <c r="R45" s="76"/>
      <c r="S45" s="79" t="str">
        <f aca="false">IF(B45="","",IF($N45="NON",0,IF(COUNT(O45:R45)=0,"",SUM(O45:R45))))</f>
        <v/>
      </c>
      <c r="T45" s="77" t="str">
        <f aca="false">IF(B45="","",IF($N45="NON",0,IF(COUNT(O45:R45)=0,"",IFERROR(ROUND(SUM(O45:R45)/SUMPRODUCT(ISNUMBER(O45:R45)*$O$8:$R$8)*10,2),""))))</f>
        <v/>
      </c>
      <c r="U45" s="75"/>
      <c r="V45" s="76"/>
      <c r="W45" s="76"/>
      <c r="X45" s="76"/>
      <c r="Y45" s="76"/>
      <c r="Z45" s="79" t="str">
        <f aca="false">IF(B45="","",IF($U45="NON",0,IF(COUNT(V45:Y45)=0,"",SUM(V45:Y45))))</f>
        <v/>
      </c>
      <c r="AA45" s="77" t="str">
        <f aca="false">IF(B45="","",IF($U45="NON",0,IF(COUNT(V45:Y45)=0,"",IFERROR(ROUND(SUM(V45:Y45)/SUMPRODUCT(ISNUMBER(V45:Y45)*$V$8:$Y$8)*10,2),""))))</f>
        <v/>
      </c>
      <c r="AB45" s="75"/>
      <c r="AC45" s="76"/>
      <c r="AD45" s="76"/>
      <c r="AE45" s="76"/>
      <c r="AF45" s="76"/>
      <c r="AG45" s="79" t="str">
        <f aca="false">IF(B45="","",IF($AB45="NON",0,IF(COUNT(AC45:AF45)=0,"",SUM(AC45:AF45))))</f>
        <v/>
      </c>
      <c r="AH45" s="77" t="str">
        <f aca="false">IF(B45="","",IF($AB45="NON",0,IF(COUNT(AC45:AF45)=0,"",IFERROR(ROUND(SUM(AC45:AF45)/SUMPRODUCT(ISNUMBER(AC45:AF45)*$AC$8:$AF$8)*10,2),""))))</f>
        <v/>
      </c>
      <c r="AI45" s="51" t="str">
        <f aca="false">IFERROR(MATCH("CE1-36",'REGISTRE ELEVES'!$AI$10:$AI$250,0),"")</f>
        <v/>
      </c>
    </row>
    <row r="46" customFormat="false" ht="15" hidden="false" customHeight="false" outlineLevel="0" collapsed="false">
      <c r="A46" s="73" t="str">
        <f aca="false">IF(B46="","",37)</f>
        <v/>
      </c>
      <c r="B46" s="73" t="str">
        <f aca="false">IF($AI46="","",INDEX('REGISTRE ELEVES'!$B$10:$B$250,$AI46))</f>
        <v/>
      </c>
      <c r="C46" s="74" t="str">
        <f aca="false">IF($AI46="","",INDEX('REGISTRE ELEVES'!$D$10:$D$250,$AI46))</f>
        <v/>
      </c>
      <c r="D46" s="73" t="str">
        <f aca="false">IF($AI46="","",INDEX('REGISTRE ELEVES'!$E$10:$E$250,$AI46))</f>
        <v/>
      </c>
      <c r="E46" s="73" t="str">
        <f aca="false">IF($AI46="","",INDEX('REGISTRE ELEVES'!$F$10:$F$250,$AI46))</f>
        <v/>
      </c>
      <c r="F46" s="73" t="str">
        <f aca="false">IF($AI46="","",INDEX('REGISTRE ELEVES'!$AE$10:$AE$250,$AI46))</f>
        <v/>
      </c>
      <c r="G46" s="75"/>
      <c r="H46" s="76"/>
      <c r="I46" s="76"/>
      <c r="J46" s="76"/>
      <c r="K46" s="76"/>
      <c r="L46" s="79" t="str">
        <f aca="false">IF(B46="","",IF($G46="NON",0,IF(COUNT(H46:K46)=0,"",SUM(H46:K46))))</f>
        <v/>
      </c>
      <c r="M46" s="77" t="str">
        <f aca="false">IF(B46="","",IF($G46="NON",0,IF(COUNT(H46:K46)=0,"",IFERROR(ROUND(SUM(H46:K46)/SUMPRODUCT(ISNUMBER(H46:K46)*$H$8:$K$8)*10,2),""))))</f>
        <v/>
      </c>
      <c r="N46" s="75"/>
      <c r="O46" s="76"/>
      <c r="P46" s="76"/>
      <c r="Q46" s="76"/>
      <c r="R46" s="76"/>
      <c r="S46" s="79" t="str">
        <f aca="false">IF(B46="","",IF($N46="NON",0,IF(COUNT(O46:R46)=0,"",SUM(O46:R46))))</f>
        <v/>
      </c>
      <c r="T46" s="77" t="str">
        <f aca="false">IF(B46="","",IF($N46="NON",0,IF(COUNT(O46:R46)=0,"",IFERROR(ROUND(SUM(O46:R46)/SUMPRODUCT(ISNUMBER(O46:R46)*$O$8:$R$8)*10,2),""))))</f>
        <v/>
      </c>
      <c r="U46" s="75"/>
      <c r="V46" s="76"/>
      <c r="W46" s="76"/>
      <c r="X46" s="76"/>
      <c r="Y46" s="76"/>
      <c r="Z46" s="79" t="str">
        <f aca="false">IF(B46="","",IF($U46="NON",0,IF(COUNT(V46:Y46)=0,"",SUM(V46:Y46))))</f>
        <v/>
      </c>
      <c r="AA46" s="77" t="str">
        <f aca="false">IF(B46="","",IF($U46="NON",0,IF(COUNT(V46:Y46)=0,"",IFERROR(ROUND(SUM(V46:Y46)/SUMPRODUCT(ISNUMBER(V46:Y46)*$V$8:$Y$8)*10,2),""))))</f>
        <v/>
      </c>
      <c r="AB46" s="75"/>
      <c r="AC46" s="76"/>
      <c r="AD46" s="76"/>
      <c r="AE46" s="76"/>
      <c r="AF46" s="76"/>
      <c r="AG46" s="79" t="str">
        <f aca="false">IF(B46="","",IF($AB46="NON",0,IF(COUNT(AC46:AF46)=0,"",SUM(AC46:AF46))))</f>
        <v/>
      </c>
      <c r="AH46" s="77" t="str">
        <f aca="false">IF(B46="","",IF($AB46="NON",0,IF(COUNT(AC46:AF46)=0,"",IFERROR(ROUND(SUM(AC46:AF46)/SUMPRODUCT(ISNUMBER(AC46:AF46)*$AC$8:$AF$8)*10,2),""))))</f>
        <v/>
      </c>
      <c r="AI46" s="51" t="str">
        <f aca="false">IFERROR(MATCH("CE1-37",'REGISTRE ELEVES'!$AI$10:$AI$250,0),"")</f>
        <v/>
      </c>
    </row>
    <row r="47" customFormat="false" ht="15" hidden="false" customHeight="false" outlineLevel="0" collapsed="false">
      <c r="A47" s="73" t="str">
        <f aca="false">IF(B47="","",38)</f>
        <v/>
      </c>
      <c r="B47" s="73" t="str">
        <f aca="false">IF($AI47="","",INDEX('REGISTRE ELEVES'!$B$10:$B$250,$AI47))</f>
        <v/>
      </c>
      <c r="C47" s="74" t="str">
        <f aca="false">IF($AI47="","",INDEX('REGISTRE ELEVES'!$D$10:$D$250,$AI47))</f>
        <v/>
      </c>
      <c r="D47" s="73" t="str">
        <f aca="false">IF($AI47="","",INDEX('REGISTRE ELEVES'!$E$10:$E$250,$AI47))</f>
        <v/>
      </c>
      <c r="E47" s="73" t="str">
        <f aca="false">IF($AI47="","",INDEX('REGISTRE ELEVES'!$F$10:$F$250,$AI47))</f>
        <v/>
      </c>
      <c r="F47" s="73" t="str">
        <f aca="false">IF($AI47="","",INDEX('REGISTRE ELEVES'!$AE$10:$AE$250,$AI47))</f>
        <v/>
      </c>
      <c r="G47" s="75"/>
      <c r="H47" s="76"/>
      <c r="I47" s="76"/>
      <c r="J47" s="76"/>
      <c r="K47" s="76"/>
      <c r="L47" s="79" t="str">
        <f aca="false">IF(B47="","",IF($G47="NON",0,IF(COUNT(H47:K47)=0,"",SUM(H47:K47))))</f>
        <v/>
      </c>
      <c r="M47" s="77" t="str">
        <f aca="false">IF(B47="","",IF($G47="NON",0,IF(COUNT(H47:K47)=0,"",IFERROR(ROUND(SUM(H47:K47)/SUMPRODUCT(ISNUMBER(H47:K47)*$H$8:$K$8)*10,2),""))))</f>
        <v/>
      </c>
      <c r="N47" s="75"/>
      <c r="O47" s="76"/>
      <c r="P47" s="76"/>
      <c r="Q47" s="76"/>
      <c r="R47" s="76"/>
      <c r="S47" s="79" t="str">
        <f aca="false">IF(B47="","",IF($N47="NON",0,IF(COUNT(O47:R47)=0,"",SUM(O47:R47))))</f>
        <v/>
      </c>
      <c r="T47" s="77" t="str">
        <f aca="false">IF(B47="","",IF($N47="NON",0,IF(COUNT(O47:R47)=0,"",IFERROR(ROUND(SUM(O47:R47)/SUMPRODUCT(ISNUMBER(O47:R47)*$O$8:$R$8)*10,2),""))))</f>
        <v/>
      </c>
      <c r="U47" s="75"/>
      <c r="V47" s="76"/>
      <c r="W47" s="76"/>
      <c r="X47" s="76"/>
      <c r="Y47" s="76"/>
      <c r="Z47" s="79" t="str">
        <f aca="false">IF(B47="","",IF($U47="NON",0,IF(COUNT(V47:Y47)=0,"",SUM(V47:Y47))))</f>
        <v/>
      </c>
      <c r="AA47" s="77" t="str">
        <f aca="false">IF(B47="","",IF($U47="NON",0,IF(COUNT(V47:Y47)=0,"",IFERROR(ROUND(SUM(V47:Y47)/SUMPRODUCT(ISNUMBER(V47:Y47)*$V$8:$Y$8)*10,2),""))))</f>
        <v/>
      </c>
      <c r="AB47" s="75"/>
      <c r="AC47" s="76"/>
      <c r="AD47" s="76"/>
      <c r="AE47" s="76"/>
      <c r="AF47" s="76"/>
      <c r="AG47" s="79" t="str">
        <f aca="false">IF(B47="","",IF($AB47="NON",0,IF(COUNT(AC47:AF47)=0,"",SUM(AC47:AF47))))</f>
        <v/>
      </c>
      <c r="AH47" s="77" t="str">
        <f aca="false">IF(B47="","",IF($AB47="NON",0,IF(COUNT(AC47:AF47)=0,"",IFERROR(ROUND(SUM(AC47:AF47)/SUMPRODUCT(ISNUMBER(AC47:AF47)*$AC$8:$AF$8)*10,2),""))))</f>
        <v/>
      </c>
      <c r="AI47" s="51" t="str">
        <f aca="false">IFERROR(MATCH("CE1-38",'REGISTRE ELEVES'!$AI$10:$AI$250,0),"")</f>
        <v/>
      </c>
    </row>
    <row r="48" customFormat="false" ht="15" hidden="false" customHeight="false" outlineLevel="0" collapsed="false">
      <c r="A48" s="73" t="str">
        <f aca="false">IF(B48="","",39)</f>
        <v/>
      </c>
      <c r="B48" s="73" t="str">
        <f aca="false">IF($AI48="","",INDEX('REGISTRE ELEVES'!$B$10:$B$250,$AI48))</f>
        <v/>
      </c>
      <c r="C48" s="74" t="str">
        <f aca="false">IF($AI48="","",INDEX('REGISTRE ELEVES'!$D$10:$D$250,$AI48))</f>
        <v/>
      </c>
      <c r="D48" s="73" t="str">
        <f aca="false">IF($AI48="","",INDEX('REGISTRE ELEVES'!$E$10:$E$250,$AI48))</f>
        <v/>
      </c>
      <c r="E48" s="73" t="str">
        <f aca="false">IF($AI48="","",INDEX('REGISTRE ELEVES'!$F$10:$F$250,$AI48))</f>
        <v/>
      </c>
      <c r="F48" s="73" t="str">
        <f aca="false">IF($AI48="","",INDEX('REGISTRE ELEVES'!$AE$10:$AE$250,$AI48))</f>
        <v/>
      </c>
      <c r="G48" s="75"/>
      <c r="H48" s="76"/>
      <c r="I48" s="76"/>
      <c r="J48" s="76"/>
      <c r="K48" s="76"/>
      <c r="L48" s="79" t="str">
        <f aca="false">IF(B48="","",IF($G48="NON",0,IF(COUNT(H48:K48)=0,"",SUM(H48:K48))))</f>
        <v/>
      </c>
      <c r="M48" s="77" t="str">
        <f aca="false">IF(B48="","",IF($G48="NON",0,IF(COUNT(H48:K48)=0,"",IFERROR(ROUND(SUM(H48:K48)/SUMPRODUCT(ISNUMBER(H48:K48)*$H$8:$K$8)*10,2),""))))</f>
        <v/>
      </c>
      <c r="N48" s="75"/>
      <c r="O48" s="76"/>
      <c r="P48" s="76"/>
      <c r="Q48" s="76"/>
      <c r="R48" s="76"/>
      <c r="S48" s="79" t="str">
        <f aca="false">IF(B48="","",IF($N48="NON",0,IF(COUNT(O48:R48)=0,"",SUM(O48:R48))))</f>
        <v/>
      </c>
      <c r="T48" s="77" t="str">
        <f aca="false">IF(B48="","",IF($N48="NON",0,IF(COUNT(O48:R48)=0,"",IFERROR(ROUND(SUM(O48:R48)/SUMPRODUCT(ISNUMBER(O48:R48)*$O$8:$R$8)*10,2),""))))</f>
        <v/>
      </c>
      <c r="U48" s="75"/>
      <c r="V48" s="76"/>
      <c r="W48" s="76"/>
      <c r="X48" s="76"/>
      <c r="Y48" s="76"/>
      <c r="Z48" s="79" t="str">
        <f aca="false">IF(B48="","",IF($U48="NON",0,IF(COUNT(V48:Y48)=0,"",SUM(V48:Y48))))</f>
        <v/>
      </c>
      <c r="AA48" s="77" t="str">
        <f aca="false">IF(B48="","",IF($U48="NON",0,IF(COUNT(V48:Y48)=0,"",IFERROR(ROUND(SUM(V48:Y48)/SUMPRODUCT(ISNUMBER(V48:Y48)*$V$8:$Y$8)*10,2),""))))</f>
        <v/>
      </c>
      <c r="AB48" s="75"/>
      <c r="AC48" s="76"/>
      <c r="AD48" s="76"/>
      <c r="AE48" s="76"/>
      <c r="AF48" s="76"/>
      <c r="AG48" s="79" t="str">
        <f aca="false">IF(B48="","",IF($AB48="NON",0,IF(COUNT(AC48:AF48)=0,"",SUM(AC48:AF48))))</f>
        <v/>
      </c>
      <c r="AH48" s="77" t="str">
        <f aca="false">IF(B48="","",IF($AB48="NON",0,IF(COUNT(AC48:AF48)=0,"",IFERROR(ROUND(SUM(AC48:AF48)/SUMPRODUCT(ISNUMBER(AC48:AF48)*$AC$8:$AF$8)*10,2),""))))</f>
        <v/>
      </c>
      <c r="AI48" s="51" t="str">
        <f aca="false">IFERROR(MATCH("CE1-39",'REGISTRE ELEVES'!$AI$10:$AI$250,0),"")</f>
        <v/>
      </c>
    </row>
    <row r="49" customFormat="false" ht="15" hidden="false" customHeight="false" outlineLevel="0" collapsed="false">
      <c r="A49" s="73" t="str">
        <f aca="false">IF(B49="","",40)</f>
        <v/>
      </c>
      <c r="B49" s="73" t="str">
        <f aca="false">IF($AI49="","",INDEX('REGISTRE ELEVES'!$B$10:$B$250,$AI49))</f>
        <v/>
      </c>
      <c r="C49" s="74" t="str">
        <f aca="false">IF($AI49="","",INDEX('REGISTRE ELEVES'!$D$10:$D$250,$AI49))</f>
        <v/>
      </c>
      <c r="D49" s="73" t="str">
        <f aca="false">IF($AI49="","",INDEX('REGISTRE ELEVES'!$E$10:$E$250,$AI49))</f>
        <v/>
      </c>
      <c r="E49" s="73" t="str">
        <f aca="false">IF($AI49="","",INDEX('REGISTRE ELEVES'!$F$10:$F$250,$AI49))</f>
        <v/>
      </c>
      <c r="F49" s="73" t="str">
        <f aca="false">IF($AI49="","",INDEX('REGISTRE ELEVES'!$AE$10:$AE$250,$AI49))</f>
        <v/>
      </c>
      <c r="G49" s="75"/>
      <c r="H49" s="76"/>
      <c r="I49" s="76"/>
      <c r="J49" s="76"/>
      <c r="K49" s="76"/>
      <c r="L49" s="79" t="str">
        <f aca="false">IF(B49="","",IF($G49="NON",0,IF(COUNT(H49:K49)=0,"",SUM(H49:K49))))</f>
        <v/>
      </c>
      <c r="M49" s="77" t="str">
        <f aca="false">IF(B49="","",IF($G49="NON",0,IF(COUNT(H49:K49)=0,"",IFERROR(ROUND(SUM(H49:K49)/SUMPRODUCT(ISNUMBER(H49:K49)*$H$8:$K$8)*10,2),""))))</f>
        <v/>
      </c>
      <c r="N49" s="75"/>
      <c r="O49" s="76"/>
      <c r="P49" s="76"/>
      <c r="Q49" s="76"/>
      <c r="R49" s="76"/>
      <c r="S49" s="79" t="str">
        <f aca="false">IF(B49="","",IF($N49="NON",0,IF(COUNT(O49:R49)=0,"",SUM(O49:R49))))</f>
        <v/>
      </c>
      <c r="T49" s="77" t="str">
        <f aca="false">IF(B49="","",IF($N49="NON",0,IF(COUNT(O49:R49)=0,"",IFERROR(ROUND(SUM(O49:R49)/SUMPRODUCT(ISNUMBER(O49:R49)*$O$8:$R$8)*10,2),""))))</f>
        <v/>
      </c>
      <c r="U49" s="75"/>
      <c r="V49" s="76"/>
      <c r="W49" s="76"/>
      <c r="X49" s="76"/>
      <c r="Y49" s="76"/>
      <c r="Z49" s="79" t="str">
        <f aca="false">IF(B49="","",IF($U49="NON",0,IF(COUNT(V49:Y49)=0,"",SUM(V49:Y49))))</f>
        <v/>
      </c>
      <c r="AA49" s="77" t="str">
        <f aca="false">IF(B49="","",IF($U49="NON",0,IF(COUNT(V49:Y49)=0,"",IFERROR(ROUND(SUM(V49:Y49)/SUMPRODUCT(ISNUMBER(V49:Y49)*$V$8:$Y$8)*10,2),""))))</f>
        <v/>
      </c>
      <c r="AB49" s="75"/>
      <c r="AC49" s="76"/>
      <c r="AD49" s="76"/>
      <c r="AE49" s="76"/>
      <c r="AF49" s="76"/>
      <c r="AG49" s="79" t="str">
        <f aca="false">IF(B49="","",IF($AB49="NON",0,IF(COUNT(AC49:AF49)=0,"",SUM(AC49:AF49))))</f>
        <v/>
      </c>
      <c r="AH49" s="77" t="str">
        <f aca="false">IF(B49="","",IF($AB49="NON",0,IF(COUNT(AC49:AF49)=0,"",IFERROR(ROUND(SUM(AC49:AF49)/SUMPRODUCT(ISNUMBER(AC49:AF49)*$AC$8:$AF$8)*10,2),""))))</f>
        <v/>
      </c>
      <c r="AI49" s="51" t="str">
        <f aca="false">IFERROR(MATCH("CE1-40",'REGISTRE ELEVES'!$AI$10:$AI$250,0),"")</f>
        <v/>
      </c>
    </row>
    <row r="50" customFormat="false" ht="15" hidden="false" customHeight="false" outlineLevel="0" collapsed="false">
      <c r="A50" s="73" t="str">
        <f aca="false">IF(B50="","",41)</f>
        <v/>
      </c>
      <c r="B50" s="73" t="str">
        <f aca="false">IF($AI50="","",INDEX('REGISTRE ELEVES'!$B$10:$B$250,$AI50))</f>
        <v/>
      </c>
      <c r="C50" s="74" t="str">
        <f aca="false">IF($AI50="","",INDEX('REGISTRE ELEVES'!$D$10:$D$250,$AI50))</f>
        <v/>
      </c>
      <c r="D50" s="73" t="str">
        <f aca="false">IF($AI50="","",INDEX('REGISTRE ELEVES'!$E$10:$E$250,$AI50))</f>
        <v/>
      </c>
      <c r="E50" s="73" t="str">
        <f aca="false">IF($AI50="","",INDEX('REGISTRE ELEVES'!$F$10:$F$250,$AI50))</f>
        <v/>
      </c>
      <c r="F50" s="73" t="str">
        <f aca="false">IF($AI50="","",INDEX('REGISTRE ELEVES'!$AE$10:$AE$250,$AI50))</f>
        <v/>
      </c>
      <c r="G50" s="75"/>
      <c r="H50" s="76"/>
      <c r="I50" s="76"/>
      <c r="J50" s="76"/>
      <c r="K50" s="76"/>
      <c r="L50" s="79" t="str">
        <f aca="false">IF(B50="","",IF($G50="NON",0,IF(COUNT(H50:K50)=0,"",SUM(H50:K50))))</f>
        <v/>
      </c>
      <c r="M50" s="77" t="str">
        <f aca="false">IF(B50="","",IF($G50="NON",0,IF(COUNT(H50:K50)=0,"",IFERROR(ROUND(SUM(H50:K50)/SUMPRODUCT(ISNUMBER(H50:K50)*$H$8:$K$8)*10,2),""))))</f>
        <v/>
      </c>
      <c r="N50" s="75"/>
      <c r="O50" s="76"/>
      <c r="P50" s="76"/>
      <c r="Q50" s="76"/>
      <c r="R50" s="76"/>
      <c r="S50" s="79" t="str">
        <f aca="false">IF(B50="","",IF($N50="NON",0,IF(COUNT(O50:R50)=0,"",SUM(O50:R50))))</f>
        <v/>
      </c>
      <c r="T50" s="77" t="str">
        <f aca="false">IF(B50="","",IF($N50="NON",0,IF(COUNT(O50:R50)=0,"",IFERROR(ROUND(SUM(O50:R50)/SUMPRODUCT(ISNUMBER(O50:R50)*$O$8:$R$8)*10,2),""))))</f>
        <v/>
      </c>
      <c r="U50" s="75"/>
      <c r="V50" s="76"/>
      <c r="W50" s="76"/>
      <c r="X50" s="76"/>
      <c r="Y50" s="76"/>
      <c r="Z50" s="79" t="str">
        <f aca="false">IF(B50="","",IF($U50="NON",0,IF(COUNT(V50:Y50)=0,"",SUM(V50:Y50))))</f>
        <v/>
      </c>
      <c r="AA50" s="77" t="str">
        <f aca="false">IF(B50="","",IF($U50="NON",0,IF(COUNT(V50:Y50)=0,"",IFERROR(ROUND(SUM(V50:Y50)/SUMPRODUCT(ISNUMBER(V50:Y50)*$V$8:$Y$8)*10,2),""))))</f>
        <v/>
      </c>
      <c r="AB50" s="75"/>
      <c r="AC50" s="76"/>
      <c r="AD50" s="76"/>
      <c r="AE50" s="76"/>
      <c r="AF50" s="76"/>
      <c r="AG50" s="79" t="str">
        <f aca="false">IF(B50="","",IF($AB50="NON",0,IF(COUNT(AC50:AF50)=0,"",SUM(AC50:AF50))))</f>
        <v/>
      </c>
      <c r="AH50" s="77" t="str">
        <f aca="false">IF(B50="","",IF($AB50="NON",0,IF(COUNT(AC50:AF50)=0,"",IFERROR(ROUND(SUM(AC50:AF50)/SUMPRODUCT(ISNUMBER(AC50:AF50)*$AC$8:$AF$8)*10,2),""))))</f>
        <v/>
      </c>
      <c r="AI50" s="51" t="str">
        <f aca="false">IFERROR(MATCH("CE1-41",'REGISTRE ELEVES'!$AI$10:$AI$250,0),"")</f>
        <v/>
      </c>
    </row>
    <row r="51" customFormat="false" ht="15" hidden="false" customHeight="false" outlineLevel="0" collapsed="false">
      <c r="A51" s="73" t="str">
        <f aca="false">IF(B51="","",42)</f>
        <v/>
      </c>
      <c r="B51" s="73" t="str">
        <f aca="false">IF($AI51="","",INDEX('REGISTRE ELEVES'!$B$10:$B$250,$AI51))</f>
        <v/>
      </c>
      <c r="C51" s="74" t="str">
        <f aca="false">IF($AI51="","",INDEX('REGISTRE ELEVES'!$D$10:$D$250,$AI51))</f>
        <v/>
      </c>
      <c r="D51" s="73" t="str">
        <f aca="false">IF($AI51="","",INDEX('REGISTRE ELEVES'!$E$10:$E$250,$AI51))</f>
        <v/>
      </c>
      <c r="E51" s="73" t="str">
        <f aca="false">IF($AI51="","",INDEX('REGISTRE ELEVES'!$F$10:$F$250,$AI51))</f>
        <v/>
      </c>
      <c r="F51" s="73" t="str">
        <f aca="false">IF($AI51="","",INDEX('REGISTRE ELEVES'!$AE$10:$AE$250,$AI51))</f>
        <v/>
      </c>
      <c r="G51" s="75"/>
      <c r="H51" s="76"/>
      <c r="I51" s="76"/>
      <c r="J51" s="76"/>
      <c r="K51" s="76"/>
      <c r="L51" s="79" t="str">
        <f aca="false">IF(B51="","",IF($G51="NON",0,IF(COUNT(H51:K51)=0,"",SUM(H51:K51))))</f>
        <v/>
      </c>
      <c r="M51" s="77" t="str">
        <f aca="false">IF(B51="","",IF($G51="NON",0,IF(COUNT(H51:K51)=0,"",IFERROR(ROUND(SUM(H51:K51)/SUMPRODUCT(ISNUMBER(H51:K51)*$H$8:$K$8)*10,2),""))))</f>
        <v/>
      </c>
      <c r="N51" s="75"/>
      <c r="O51" s="76"/>
      <c r="P51" s="76"/>
      <c r="Q51" s="76"/>
      <c r="R51" s="76"/>
      <c r="S51" s="79" t="str">
        <f aca="false">IF(B51="","",IF($N51="NON",0,IF(COUNT(O51:R51)=0,"",SUM(O51:R51))))</f>
        <v/>
      </c>
      <c r="T51" s="77" t="str">
        <f aca="false">IF(B51="","",IF($N51="NON",0,IF(COUNT(O51:R51)=0,"",IFERROR(ROUND(SUM(O51:R51)/SUMPRODUCT(ISNUMBER(O51:R51)*$O$8:$R$8)*10,2),""))))</f>
        <v/>
      </c>
      <c r="U51" s="75"/>
      <c r="V51" s="76"/>
      <c r="W51" s="76"/>
      <c r="X51" s="76"/>
      <c r="Y51" s="76"/>
      <c r="Z51" s="79" t="str">
        <f aca="false">IF(B51="","",IF($U51="NON",0,IF(COUNT(V51:Y51)=0,"",SUM(V51:Y51))))</f>
        <v/>
      </c>
      <c r="AA51" s="77" t="str">
        <f aca="false">IF(B51="","",IF($U51="NON",0,IF(COUNT(V51:Y51)=0,"",IFERROR(ROUND(SUM(V51:Y51)/SUMPRODUCT(ISNUMBER(V51:Y51)*$V$8:$Y$8)*10,2),""))))</f>
        <v/>
      </c>
      <c r="AB51" s="75"/>
      <c r="AC51" s="76"/>
      <c r="AD51" s="76"/>
      <c r="AE51" s="76"/>
      <c r="AF51" s="76"/>
      <c r="AG51" s="79" t="str">
        <f aca="false">IF(B51="","",IF($AB51="NON",0,IF(COUNT(AC51:AF51)=0,"",SUM(AC51:AF51))))</f>
        <v/>
      </c>
      <c r="AH51" s="77" t="str">
        <f aca="false">IF(B51="","",IF($AB51="NON",0,IF(COUNT(AC51:AF51)=0,"",IFERROR(ROUND(SUM(AC51:AF51)/SUMPRODUCT(ISNUMBER(AC51:AF51)*$AC$8:$AF$8)*10,2),""))))</f>
        <v/>
      </c>
      <c r="AI51" s="51" t="str">
        <f aca="false">IFERROR(MATCH("CE1-42",'REGISTRE ELEVES'!$AI$10:$AI$250,0),"")</f>
        <v/>
      </c>
    </row>
    <row r="52" customFormat="false" ht="15" hidden="false" customHeight="false" outlineLevel="0" collapsed="false">
      <c r="A52" s="73" t="str">
        <f aca="false">IF(B52="","",43)</f>
        <v/>
      </c>
      <c r="B52" s="73" t="str">
        <f aca="false">IF($AI52="","",INDEX('REGISTRE ELEVES'!$B$10:$B$250,$AI52))</f>
        <v/>
      </c>
      <c r="C52" s="74" t="str">
        <f aca="false">IF($AI52="","",INDEX('REGISTRE ELEVES'!$D$10:$D$250,$AI52))</f>
        <v/>
      </c>
      <c r="D52" s="73" t="str">
        <f aca="false">IF($AI52="","",INDEX('REGISTRE ELEVES'!$E$10:$E$250,$AI52))</f>
        <v/>
      </c>
      <c r="E52" s="73" t="str">
        <f aca="false">IF($AI52="","",INDEX('REGISTRE ELEVES'!$F$10:$F$250,$AI52))</f>
        <v/>
      </c>
      <c r="F52" s="73" t="str">
        <f aca="false">IF($AI52="","",INDEX('REGISTRE ELEVES'!$AE$10:$AE$250,$AI52))</f>
        <v/>
      </c>
      <c r="G52" s="75"/>
      <c r="H52" s="76"/>
      <c r="I52" s="76"/>
      <c r="J52" s="76"/>
      <c r="K52" s="76"/>
      <c r="L52" s="79" t="str">
        <f aca="false">IF(B52="","",IF($G52="NON",0,IF(COUNT(H52:K52)=0,"",SUM(H52:K52))))</f>
        <v/>
      </c>
      <c r="M52" s="77" t="str">
        <f aca="false">IF(B52="","",IF($G52="NON",0,IF(COUNT(H52:K52)=0,"",IFERROR(ROUND(SUM(H52:K52)/SUMPRODUCT(ISNUMBER(H52:K52)*$H$8:$K$8)*10,2),""))))</f>
        <v/>
      </c>
      <c r="N52" s="75"/>
      <c r="O52" s="76"/>
      <c r="P52" s="76"/>
      <c r="Q52" s="76"/>
      <c r="R52" s="76"/>
      <c r="S52" s="79" t="str">
        <f aca="false">IF(B52="","",IF($N52="NON",0,IF(COUNT(O52:R52)=0,"",SUM(O52:R52))))</f>
        <v/>
      </c>
      <c r="T52" s="77" t="str">
        <f aca="false">IF(B52="","",IF($N52="NON",0,IF(COUNT(O52:R52)=0,"",IFERROR(ROUND(SUM(O52:R52)/SUMPRODUCT(ISNUMBER(O52:R52)*$O$8:$R$8)*10,2),""))))</f>
        <v/>
      </c>
      <c r="U52" s="75"/>
      <c r="V52" s="76"/>
      <c r="W52" s="76"/>
      <c r="X52" s="76"/>
      <c r="Y52" s="76"/>
      <c r="Z52" s="79" t="str">
        <f aca="false">IF(B52="","",IF($U52="NON",0,IF(COUNT(V52:Y52)=0,"",SUM(V52:Y52))))</f>
        <v/>
      </c>
      <c r="AA52" s="77" t="str">
        <f aca="false">IF(B52="","",IF($U52="NON",0,IF(COUNT(V52:Y52)=0,"",IFERROR(ROUND(SUM(V52:Y52)/SUMPRODUCT(ISNUMBER(V52:Y52)*$V$8:$Y$8)*10,2),""))))</f>
        <v/>
      </c>
      <c r="AB52" s="75"/>
      <c r="AC52" s="76"/>
      <c r="AD52" s="76"/>
      <c r="AE52" s="76"/>
      <c r="AF52" s="76"/>
      <c r="AG52" s="79" t="str">
        <f aca="false">IF(B52="","",IF($AB52="NON",0,IF(COUNT(AC52:AF52)=0,"",SUM(AC52:AF52))))</f>
        <v/>
      </c>
      <c r="AH52" s="77" t="str">
        <f aca="false">IF(B52="","",IF($AB52="NON",0,IF(COUNT(AC52:AF52)=0,"",IFERROR(ROUND(SUM(AC52:AF52)/SUMPRODUCT(ISNUMBER(AC52:AF52)*$AC$8:$AF$8)*10,2),""))))</f>
        <v/>
      </c>
      <c r="AI52" s="51" t="str">
        <f aca="false">IFERROR(MATCH("CE1-43",'REGISTRE ELEVES'!$AI$10:$AI$250,0),"")</f>
        <v/>
      </c>
    </row>
    <row r="53" customFormat="false" ht="15" hidden="false" customHeight="false" outlineLevel="0" collapsed="false">
      <c r="A53" s="73" t="str">
        <f aca="false">IF(B53="","",44)</f>
        <v/>
      </c>
      <c r="B53" s="73" t="str">
        <f aca="false">IF($AI53="","",INDEX('REGISTRE ELEVES'!$B$10:$B$250,$AI53))</f>
        <v/>
      </c>
      <c r="C53" s="74" t="str">
        <f aca="false">IF($AI53="","",INDEX('REGISTRE ELEVES'!$D$10:$D$250,$AI53))</f>
        <v/>
      </c>
      <c r="D53" s="73" t="str">
        <f aca="false">IF($AI53="","",INDEX('REGISTRE ELEVES'!$E$10:$E$250,$AI53))</f>
        <v/>
      </c>
      <c r="E53" s="73" t="str">
        <f aca="false">IF($AI53="","",INDEX('REGISTRE ELEVES'!$F$10:$F$250,$AI53))</f>
        <v/>
      </c>
      <c r="F53" s="73" t="str">
        <f aca="false">IF($AI53="","",INDEX('REGISTRE ELEVES'!$AE$10:$AE$250,$AI53))</f>
        <v/>
      </c>
      <c r="G53" s="75"/>
      <c r="H53" s="76"/>
      <c r="I53" s="76"/>
      <c r="J53" s="76"/>
      <c r="K53" s="76"/>
      <c r="L53" s="79" t="str">
        <f aca="false">IF(B53="","",IF($G53="NON",0,IF(COUNT(H53:K53)=0,"",SUM(H53:K53))))</f>
        <v/>
      </c>
      <c r="M53" s="77" t="str">
        <f aca="false">IF(B53="","",IF($G53="NON",0,IF(COUNT(H53:K53)=0,"",IFERROR(ROUND(SUM(H53:K53)/SUMPRODUCT(ISNUMBER(H53:K53)*$H$8:$K$8)*10,2),""))))</f>
        <v/>
      </c>
      <c r="N53" s="75"/>
      <c r="O53" s="76"/>
      <c r="P53" s="76"/>
      <c r="Q53" s="76"/>
      <c r="R53" s="76"/>
      <c r="S53" s="79" t="str">
        <f aca="false">IF(B53="","",IF($N53="NON",0,IF(COUNT(O53:R53)=0,"",SUM(O53:R53))))</f>
        <v/>
      </c>
      <c r="T53" s="77" t="str">
        <f aca="false">IF(B53="","",IF($N53="NON",0,IF(COUNT(O53:R53)=0,"",IFERROR(ROUND(SUM(O53:R53)/SUMPRODUCT(ISNUMBER(O53:R53)*$O$8:$R$8)*10,2),""))))</f>
        <v/>
      </c>
      <c r="U53" s="75"/>
      <c r="V53" s="76"/>
      <c r="W53" s="76"/>
      <c r="X53" s="76"/>
      <c r="Y53" s="76"/>
      <c r="Z53" s="79" t="str">
        <f aca="false">IF(B53="","",IF($U53="NON",0,IF(COUNT(V53:Y53)=0,"",SUM(V53:Y53))))</f>
        <v/>
      </c>
      <c r="AA53" s="77" t="str">
        <f aca="false">IF(B53="","",IF($U53="NON",0,IF(COUNT(V53:Y53)=0,"",IFERROR(ROUND(SUM(V53:Y53)/SUMPRODUCT(ISNUMBER(V53:Y53)*$V$8:$Y$8)*10,2),""))))</f>
        <v/>
      </c>
      <c r="AB53" s="75"/>
      <c r="AC53" s="76"/>
      <c r="AD53" s="76"/>
      <c r="AE53" s="76"/>
      <c r="AF53" s="76"/>
      <c r="AG53" s="79" t="str">
        <f aca="false">IF(B53="","",IF($AB53="NON",0,IF(COUNT(AC53:AF53)=0,"",SUM(AC53:AF53))))</f>
        <v/>
      </c>
      <c r="AH53" s="77" t="str">
        <f aca="false">IF(B53="","",IF($AB53="NON",0,IF(COUNT(AC53:AF53)=0,"",IFERROR(ROUND(SUM(AC53:AF53)/SUMPRODUCT(ISNUMBER(AC53:AF53)*$AC$8:$AF$8)*10,2),""))))</f>
        <v/>
      </c>
      <c r="AI53" s="51" t="str">
        <f aca="false">IFERROR(MATCH("CE1-44",'REGISTRE ELEVES'!$AI$10:$AI$250,0),"")</f>
        <v/>
      </c>
    </row>
    <row r="54" customFormat="false" ht="15" hidden="false" customHeight="false" outlineLevel="0" collapsed="false">
      <c r="A54" s="73" t="str">
        <f aca="false">IF(B54="","",45)</f>
        <v/>
      </c>
      <c r="B54" s="73" t="str">
        <f aca="false">IF($AI54="","",INDEX('REGISTRE ELEVES'!$B$10:$B$250,$AI54))</f>
        <v/>
      </c>
      <c r="C54" s="74" t="str">
        <f aca="false">IF($AI54="","",INDEX('REGISTRE ELEVES'!$D$10:$D$250,$AI54))</f>
        <v/>
      </c>
      <c r="D54" s="73" t="str">
        <f aca="false">IF($AI54="","",INDEX('REGISTRE ELEVES'!$E$10:$E$250,$AI54))</f>
        <v/>
      </c>
      <c r="E54" s="73" t="str">
        <f aca="false">IF($AI54="","",INDEX('REGISTRE ELEVES'!$F$10:$F$250,$AI54))</f>
        <v/>
      </c>
      <c r="F54" s="73" t="str">
        <f aca="false">IF($AI54="","",INDEX('REGISTRE ELEVES'!$AE$10:$AE$250,$AI54))</f>
        <v/>
      </c>
      <c r="G54" s="75"/>
      <c r="H54" s="76"/>
      <c r="I54" s="76"/>
      <c r="J54" s="76"/>
      <c r="K54" s="76"/>
      <c r="L54" s="79" t="str">
        <f aca="false">IF(B54="","",IF($G54="NON",0,IF(COUNT(H54:K54)=0,"",SUM(H54:K54))))</f>
        <v/>
      </c>
      <c r="M54" s="77" t="str">
        <f aca="false">IF(B54="","",IF($G54="NON",0,IF(COUNT(H54:K54)=0,"",IFERROR(ROUND(SUM(H54:K54)/SUMPRODUCT(ISNUMBER(H54:K54)*$H$8:$K$8)*10,2),""))))</f>
        <v/>
      </c>
      <c r="N54" s="75"/>
      <c r="O54" s="76"/>
      <c r="P54" s="76"/>
      <c r="Q54" s="76"/>
      <c r="R54" s="76"/>
      <c r="S54" s="79" t="str">
        <f aca="false">IF(B54="","",IF($N54="NON",0,IF(COUNT(O54:R54)=0,"",SUM(O54:R54))))</f>
        <v/>
      </c>
      <c r="T54" s="77" t="str">
        <f aca="false">IF(B54="","",IF($N54="NON",0,IF(COUNT(O54:R54)=0,"",IFERROR(ROUND(SUM(O54:R54)/SUMPRODUCT(ISNUMBER(O54:R54)*$O$8:$R$8)*10,2),""))))</f>
        <v/>
      </c>
      <c r="U54" s="75"/>
      <c r="V54" s="76"/>
      <c r="W54" s="76"/>
      <c r="X54" s="76"/>
      <c r="Y54" s="76"/>
      <c r="Z54" s="79" t="str">
        <f aca="false">IF(B54="","",IF($U54="NON",0,IF(COUNT(V54:Y54)=0,"",SUM(V54:Y54))))</f>
        <v/>
      </c>
      <c r="AA54" s="77" t="str">
        <f aca="false">IF(B54="","",IF($U54="NON",0,IF(COUNT(V54:Y54)=0,"",IFERROR(ROUND(SUM(V54:Y54)/SUMPRODUCT(ISNUMBER(V54:Y54)*$V$8:$Y$8)*10,2),""))))</f>
        <v/>
      </c>
      <c r="AB54" s="75"/>
      <c r="AC54" s="76"/>
      <c r="AD54" s="76"/>
      <c r="AE54" s="76"/>
      <c r="AF54" s="76"/>
      <c r="AG54" s="79" t="str">
        <f aca="false">IF(B54="","",IF($AB54="NON",0,IF(COUNT(AC54:AF54)=0,"",SUM(AC54:AF54))))</f>
        <v/>
      </c>
      <c r="AH54" s="77" t="str">
        <f aca="false">IF(B54="","",IF($AB54="NON",0,IF(COUNT(AC54:AF54)=0,"",IFERROR(ROUND(SUM(AC54:AF54)/SUMPRODUCT(ISNUMBER(AC54:AF54)*$AC$8:$AF$8)*10,2),""))))</f>
        <v/>
      </c>
      <c r="AI54" s="51" t="str">
        <f aca="false">IFERROR(MATCH("CE1-45",'REGISTRE ELEVES'!$AI$10:$AI$250,0),"")</f>
        <v/>
      </c>
    </row>
    <row r="55" customFormat="false" ht="15" hidden="false" customHeight="false" outlineLevel="0" collapsed="false">
      <c r="A55" s="73" t="str">
        <f aca="false">IF(B55="","",46)</f>
        <v/>
      </c>
      <c r="B55" s="73" t="str">
        <f aca="false">IF($AI55="","",INDEX('REGISTRE ELEVES'!$B$10:$B$250,$AI55))</f>
        <v/>
      </c>
      <c r="C55" s="74" t="str">
        <f aca="false">IF($AI55="","",INDEX('REGISTRE ELEVES'!$D$10:$D$250,$AI55))</f>
        <v/>
      </c>
      <c r="D55" s="73" t="str">
        <f aca="false">IF($AI55="","",INDEX('REGISTRE ELEVES'!$E$10:$E$250,$AI55))</f>
        <v/>
      </c>
      <c r="E55" s="73" t="str">
        <f aca="false">IF($AI55="","",INDEX('REGISTRE ELEVES'!$F$10:$F$250,$AI55))</f>
        <v/>
      </c>
      <c r="F55" s="73" t="str">
        <f aca="false">IF($AI55="","",INDEX('REGISTRE ELEVES'!$AE$10:$AE$250,$AI55))</f>
        <v/>
      </c>
      <c r="G55" s="75"/>
      <c r="H55" s="76"/>
      <c r="I55" s="76"/>
      <c r="J55" s="76"/>
      <c r="K55" s="76"/>
      <c r="L55" s="79" t="str">
        <f aca="false">IF(B55="","",IF($G55="NON",0,IF(COUNT(H55:K55)=0,"",SUM(H55:K55))))</f>
        <v/>
      </c>
      <c r="M55" s="77" t="str">
        <f aca="false">IF(B55="","",IF($G55="NON",0,IF(COUNT(H55:K55)=0,"",IFERROR(ROUND(SUM(H55:K55)/SUMPRODUCT(ISNUMBER(H55:K55)*$H$8:$K$8)*10,2),""))))</f>
        <v/>
      </c>
      <c r="N55" s="75"/>
      <c r="O55" s="76"/>
      <c r="P55" s="76"/>
      <c r="Q55" s="76"/>
      <c r="R55" s="76"/>
      <c r="S55" s="79" t="str">
        <f aca="false">IF(B55="","",IF($N55="NON",0,IF(COUNT(O55:R55)=0,"",SUM(O55:R55))))</f>
        <v/>
      </c>
      <c r="T55" s="77" t="str">
        <f aca="false">IF(B55="","",IF($N55="NON",0,IF(COUNT(O55:R55)=0,"",IFERROR(ROUND(SUM(O55:R55)/SUMPRODUCT(ISNUMBER(O55:R55)*$O$8:$R$8)*10,2),""))))</f>
        <v/>
      </c>
      <c r="U55" s="75"/>
      <c r="V55" s="76"/>
      <c r="W55" s="76"/>
      <c r="X55" s="76"/>
      <c r="Y55" s="76"/>
      <c r="Z55" s="79" t="str">
        <f aca="false">IF(B55="","",IF($U55="NON",0,IF(COUNT(V55:Y55)=0,"",SUM(V55:Y55))))</f>
        <v/>
      </c>
      <c r="AA55" s="77" t="str">
        <f aca="false">IF(B55="","",IF($U55="NON",0,IF(COUNT(V55:Y55)=0,"",IFERROR(ROUND(SUM(V55:Y55)/SUMPRODUCT(ISNUMBER(V55:Y55)*$V$8:$Y$8)*10,2),""))))</f>
        <v/>
      </c>
      <c r="AB55" s="75"/>
      <c r="AC55" s="76"/>
      <c r="AD55" s="76"/>
      <c r="AE55" s="76"/>
      <c r="AF55" s="76"/>
      <c r="AG55" s="79" t="str">
        <f aca="false">IF(B55="","",IF($AB55="NON",0,IF(COUNT(AC55:AF55)=0,"",SUM(AC55:AF55))))</f>
        <v/>
      </c>
      <c r="AH55" s="77" t="str">
        <f aca="false">IF(B55="","",IF($AB55="NON",0,IF(COUNT(AC55:AF55)=0,"",IFERROR(ROUND(SUM(AC55:AF55)/SUMPRODUCT(ISNUMBER(AC55:AF55)*$AC$8:$AF$8)*10,2),""))))</f>
        <v/>
      </c>
      <c r="AI55" s="51" t="str">
        <f aca="false">IFERROR(MATCH("CE1-46",'REGISTRE ELEVES'!$AI$10:$AI$250,0),"")</f>
        <v/>
      </c>
    </row>
    <row r="56" customFormat="false" ht="15" hidden="false" customHeight="false" outlineLevel="0" collapsed="false">
      <c r="A56" s="73" t="str">
        <f aca="false">IF(B56="","",47)</f>
        <v/>
      </c>
      <c r="B56" s="73" t="str">
        <f aca="false">IF($AI56="","",INDEX('REGISTRE ELEVES'!$B$10:$B$250,$AI56))</f>
        <v/>
      </c>
      <c r="C56" s="74" t="str">
        <f aca="false">IF($AI56="","",INDEX('REGISTRE ELEVES'!$D$10:$D$250,$AI56))</f>
        <v/>
      </c>
      <c r="D56" s="73" t="str">
        <f aca="false">IF($AI56="","",INDEX('REGISTRE ELEVES'!$E$10:$E$250,$AI56))</f>
        <v/>
      </c>
      <c r="E56" s="73" t="str">
        <f aca="false">IF($AI56="","",INDEX('REGISTRE ELEVES'!$F$10:$F$250,$AI56))</f>
        <v/>
      </c>
      <c r="F56" s="73" t="str">
        <f aca="false">IF($AI56="","",INDEX('REGISTRE ELEVES'!$AE$10:$AE$250,$AI56))</f>
        <v/>
      </c>
      <c r="G56" s="75"/>
      <c r="H56" s="76"/>
      <c r="I56" s="76"/>
      <c r="J56" s="76"/>
      <c r="K56" s="76"/>
      <c r="L56" s="79" t="str">
        <f aca="false">IF(B56="","",IF($G56="NON",0,IF(COUNT(H56:K56)=0,"",SUM(H56:K56))))</f>
        <v/>
      </c>
      <c r="M56" s="77" t="str">
        <f aca="false">IF(B56="","",IF($G56="NON",0,IF(COUNT(H56:K56)=0,"",IFERROR(ROUND(SUM(H56:K56)/SUMPRODUCT(ISNUMBER(H56:K56)*$H$8:$K$8)*10,2),""))))</f>
        <v/>
      </c>
      <c r="N56" s="75"/>
      <c r="O56" s="76"/>
      <c r="P56" s="76"/>
      <c r="Q56" s="76"/>
      <c r="R56" s="76"/>
      <c r="S56" s="79" t="str">
        <f aca="false">IF(B56="","",IF($N56="NON",0,IF(COUNT(O56:R56)=0,"",SUM(O56:R56))))</f>
        <v/>
      </c>
      <c r="T56" s="77" t="str">
        <f aca="false">IF(B56="","",IF($N56="NON",0,IF(COUNT(O56:R56)=0,"",IFERROR(ROUND(SUM(O56:R56)/SUMPRODUCT(ISNUMBER(O56:R56)*$O$8:$R$8)*10,2),""))))</f>
        <v/>
      </c>
      <c r="U56" s="75"/>
      <c r="V56" s="76"/>
      <c r="W56" s="76"/>
      <c r="X56" s="76"/>
      <c r="Y56" s="76"/>
      <c r="Z56" s="79" t="str">
        <f aca="false">IF(B56="","",IF($U56="NON",0,IF(COUNT(V56:Y56)=0,"",SUM(V56:Y56))))</f>
        <v/>
      </c>
      <c r="AA56" s="77" t="str">
        <f aca="false">IF(B56="","",IF($U56="NON",0,IF(COUNT(V56:Y56)=0,"",IFERROR(ROUND(SUM(V56:Y56)/SUMPRODUCT(ISNUMBER(V56:Y56)*$V$8:$Y$8)*10,2),""))))</f>
        <v/>
      </c>
      <c r="AB56" s="75"/>
      <c r="AC56" s="76"/>
      <c r="AD56" s="76"/>
      <c r="AE56" s="76"/>
      <c r="AF56" s="76"/>
      <c r="AG56" s="79" t="str">
        <f aca="false">IF(B56="","",IF($AB56="NON",0,IF(COUNT(AC56:AF56)=0,"",SUM(AC56:AF56))))</f>
        <v/>
      </c>
      <c r="AH56" s="77" t="str">
        <f aca="false">IF(B56="","",IF($AB56="NON",0,IF(COUNT(AC56:AF56)=0,"",IFERROR(ROUND(SUM(AC56:AF56)/SUMPRODUCT(ISNUMBER(AC56:AF56)*$AC$8:$AF$8)*10,2),""))))</f>
        <v/>
      </c>
      <c r="AI56" s="51" t="str">
        <f aca="false">IFERROR(MATCH("CE1-47",'REGISTRE ELEVES'!$AI$10:$AI$250,0),"")</f>
        <v/>
      </c>
    </row>
    <row r="57" customFormat="false" ht="15" hidden="false" customHeight="false" outlineLevel="0" collapsed="false">
      <c r="A57" s="73" t="str">
        <f aca="false">IF(B57="","",48)</f>
        <v/>
      </c>
      <c r="B57" s="73" t="str">
        <f aca="false">IF($AI57="","",INDEX('REGISTRE ELEVES'!$B$10:$B$250,$AI57))</f>
        <v/>
      </c>
      <c r="C57" s="74" t="str">
        <f aca="false">IF($AI57="","",INDEX('REGISTRE ELEVES'!$D$10:$D$250,$AI57))</f>
        <v/>
      </c>
      <c r="D57" s="73" t="str">
        <f aca="false">IF($AI57="","",INDEX('REGISTRE ELEVES'!$E$10:$E$250,$AI57))</f>
        <v/>
      </c>
      <c r="E57" s="73" t="str">
        <f aca="false">IF($AI57="","",INDEX('REGISTRE ELEVES'!$F$10:$F$250,$AI57))</f>
        <v/>
      </c>
      <c r="F57" s="73" t="str">
        <f aca="false">IF($AI57="","",INDEX('REGISTRE ELEVES'!$AE$10:$AE$250,$AI57))</f>
        <v/>
      </c>
      <c r="G57" s="75"/>
      <c r="H57" s="76"/>
      <c r="I57" s="76"/>
      <c r="J57" s="76"/>
      <c r="K57" s="76"/>
      <c r="L57" s="79" t="str">
        <f aca="false">IF(B57="","",IF($G57="NON",0,IF(COUNT(H57:K57)=0,"",SUM(H57:K57))))</f>
        <v/>
      </c>
      <c r="M57" s="77" t="str">
        <f aca="false">IF(B57="","",IF($G57="NON",0,IF(COUNT(H57:K57)=0,"",IFERROR(ROUND(SUM(H57:K57)/SUMPRODUCT(ISNUMBER(H57:K57)*$H$8:$K$8)*10,2),""))))</f>
        <v/>
      </c>
      <c r="N57" s="75"/>
      <c r="O57" s="76"/>
      <c r="P57" s="76"/>
      <c r="Q57" s="76"/>
      <c r="R57" s="76"/>
      <c r="S57" s="79" t="str">
        <f aca="false">IF(B57="","",IF($N57="NON",0,IF(COUNT(O57:R57)=0,"",SUM(O57:R57))))</f>
        <v/>
      </c>
      <c r="T57" s="77" t="str">
        <f aca="false">IF(B57="","",IF($N57="NON",0,IF(COUNT(O57:R57)=0,"",IFERROR(ROUND(SUM(O57:R57)/SUMPRODUCT(ISNUMBER(O57:R57)*$O$8:$R$8)*10,2),""))))</f>
        <v/>
      </c>
      <c r="U57" s="75"/>
      <c r="V57" s="76"/>
      <c r="W57" s="76"/>
      <c r="X57" s="76"/>
      <c r="Y57" s="76"/>
      <c r="Z57" s="79" t="str">
        <f aca="false">IF(B57="","",IF($U57="NON",0,IF(COUNT(V57:Y57)=0,"",SUM(V57:Y57))))</f>
        <v/>
      </c>
      <c r="AA57" s="77" t="str">
        <f aca="false">IF(B57="","",IF($U57="NON",0,IF(COUNT(V57:Y57)=0,"",IFERROR(ROUND(SUM(V57:Y57)/SUMPRODUCT(ISNUMBER(V57:Y57)*$V$8:$Y$8)*10,2),""))))</f>
        <v/>
      </c>
      <c r="AB57" s="75"/>
      <c r="AC57" s="76"/>
      <c r="AD57" s="76"/>
      <c r="AE57" s="76"/>
      <c r="AF57" s="76"/>
      <c r="AG57" s="79" t="str">
        <f aca="false">IF(B57="","",IF($AB57="NON",0,IF(COUNT(AC57:AF57)=0,"",SUM(AC57:AF57))))</f>
        <v/>
      </c>
      <c r="AH57" s="77" t="str">
        <f aca="false">IF(B57="","",IF($AB57="NON",0,IF(COUNT(AC57:AF57)=0,"",IFERROR(ROUND(SUM(AC57:AF57)/SUMPRODUCT(ISNUMBER(AC57:AF57)*$AC$8:$AF$8)*10,2),""))))</f>
        <v/>
      </c>
      <c r="AI57" s="51" t="str">
        <f aca="false">IFERROR(MATCH("CE1-48",'REGISTRE ELEVES'!$AI$10:$AI$250,0),"")</f>
        <v/>
      </c>
    </row>
    <row r="58" customFormat="false" ht="15" hidden="false" customHeight="false" outlineLevel="0" collapsed="false">
      <c r="A58" s="73" t="str">
        <f aca="false">IF(B58="","",49)</f>
        <v/>
      </c>
      <c r="B58" s="73" t="str">
        <f aca="false">IF($AI58="","",INDEX('REGISTRE ELEVES'!$B$10:$B$250,$AI58))</f>
        <v/>
      </c>
      <c r="C58" s="74" t="str">
        <f aca="false">IF($AI58="","",INDEX('REGISTRE ELEVES'!$D$10:$D$250,$AI58))</f>
        <v/>
      </c>
      <c r="D58" s="73" t="str">
        <f aca="false">IF($AI58="","",INDEX('REGISTRE ELEVES'!$E$10:$E$250,$AI58))</f>
        <v/>
      </c>
      <c r="E58" s="73" t="str">
        <f aca="false">IF($AI58="","",INDEX('REGISTRE ELEVES'!$F$10:$F$250,$AI58))</f>
        <v/>
      </c>
      <c r="F58" s="73" t="str">
        <f aca="false">IF($AI58="","",INDEX('REGISTRE ELEVES'!$AE$10:$AE$250,$AI58))</f>
        <v/>
      </c>
      <c r="G58" s="75"/>
      <c r="H58" s="76"/>
      <c r="I58" s="76"/>
      <c r="J58" s="76"/>
      <c r="K58" s="76"/>
      <c r="L58" s="79" t="str">
        <f aca="false">IF(B58="","",IF($G58="NON",0,IF(COUNT(H58:K58)=0,"",SUM(H58:K58))))</f>
        <v/>
      </c>
      <c r="M58" s="77" t="str">
        <f aca="false">IF(B58="","",IF($G58="NON",0,IF(COUNT(H58:K58)=0,"",IFERROR(ROUND(SUM(H58:K58)/SUMPRODUCT(ISNUMBER(H58:K58)*$H$8:$K$8)*10,2),""))))</f>
        <v/>
      </c>
      <c r="N58" s="75"/>
      <c r="O58" s="76"/>
      <c r="P58" s="76"/>
      <c r="Q58" s="76"/>
      <c r="R58" s="76"/>
      <c r="S58" s="79" t="str">
        <f aca="false">IF(B58="","",IF($N58="NON",0,IF(COUNT(O58:R58)=0,"",SUM(O58:R58))))</f>
        <v/>
      </c>
      <c r="T58" s="77" t="str">
        <f aca="false">IF(B58="","",IF($N58="NON",0,IF(COUNT(O58:R58)=0,"",IFERROR(ROUND(SUM(O58:R58)/SUMPRODUCT(ISNUMBER(O58:R58)*$O$8:$R$8)*10,2),""))))</f>
        <v/>
      </c>
      <c r="U58" s="75"/>
      <c r="V58" s="76"/>
      <c r="W58" s="76"/>
      <c r="X58" s="76"/>
      <c r="Y58" s="76"/>
      <c r="Z58" s="79" t="str">
        <f aca="false">IF(B58="","",IF($U58="NON",0,IF(COUNT(V58:Y58)=0,"",SUM(V58:Y58))))</f>
        <v/>
      </c>
      <c r="AA58" s="77" t="str">
        <f aca="false">IF(B58="","",IF($U58="NON",0,IF(COUNT(V58:Y58)=0,"",IFERROR(ROUND(SUM(V58:Y58)/SUMPRODUCT(ISNUMBER(V58:Y58)*$V$8:$Y$8)*10,2),""))))</f>
        <v/>
      </c>
      <c r="AB58" s="75"/>
      <c r="AC58" s="76"/>
      <c r="AD58" s="76"/>
      <c r="AE58" s="76"/>
      <c r="AF58" s="76"/>
      <c r="AG58" s="79" t="str">
        <f aca="false">IF(B58="","",IF($AB58="NON",0,IF(COUNT(AC58:AF58)=0,"",SUM(AC58:AF58))))</f>
        <v/>
      </c>
      <c r="AH58" s="77" t="str">
        <f aca="false">IF(B58="","",IF($AB58="NON",0,IF(COUNT(AC58:AF58)=0,"",IFERROR(ROUND(SUM(AC58:AF58)/SUMPRODUCT(ISNUMBER(AC58:AF58)*$AC$8:$AF$8)*10,2),""))))</f>
        <v/>
      </c>
      <c r="AI58" s="51" t="str">
        <f aca="false">IFERROR(MATCH("CE1-49",'REGISTRE ELEVES'!$AI$10:$AI$250,0),"")</f>
        <v/>
      </c>
    </row>
    <row r="59" customFormat="false" ht="15" hidden="false" customHeight="false" outlineLevel="0" collapsed="false">
      <c r="A59" s="73" t="str">
        <f aca="false">IF(B59="","",50)</f>
        <v/>
      </c>
      <c r="B59" s="73" t="str">
        <f aca="false">IF($AI59="","",INDEX('REGISTRE ELEVES'!$B$10:$B$250,$AI59))</f>
        <v/>
      </c>
      <c r="C59" s="74" t="str">
        <f aca="false">IF($AI59="","",INDEX('REGISTRE ELEVES'!$D$10:$D$250,$AI59))</f>
        <v/>
      </c>
      <c r="D59" s="73" t="str">
        <f aca="false">IF($AI59="","",INDEX('REGISTRE ELEVES'!$E$10:$E$250,$AI59))</f>
        <v/>
      </c>
      <c r="E59" s="73" t="str">
        <f aca="false">IF($AI59="","",INDEX('REGISTRE ELEVES'!$F$10:$F$250,$AI59))</f>
        <v/>
      </c>
      <c r="F59" s="73" t="str">
        <f aca="false">IF($AI59="","",INDEX('REGISTRE ELEVES'!$AE$10:$AE$250,$AI59))</f>
        <v/>
      </c>
      <c r="G59" s="75"/>
      <c r="H59" s="76"/>
      <c r="I59" s="76"/>
      <c r="J59" s="76"/>
      <c r="K59" s="76"/>
      <c r="L59" s="79" t="str">
        <f aca="false">IF(B59="","",IF($G59="NON",0,IF(COUNT(H59:K59)=0,"",SUM(H59:K59))))</f>
        <v/>
      </c>
      <c r="M59" s="77" t="str">
        <f aca="false">IF(B59="","",IF($G59="NON",0,IF(COUNT(H59:K59)=0,"",IFERROR(ROUND(SUM(H59:K59)/SUMPRODUCT(ISNUMBER(H59:K59)*$H$8:$K$8)*10,2),""))))</f>
        <v/>
      </c>
      <c r="N59" s="75"/>
      <c r="O59" s="76"/>
      <c r="P59" s="76"/>
      <c r="Q59" s="76"/>
      <c r="R59" s="76"/>
      <c r="S59" s="79" t="str">
        <f aca="false">IF(B59="","",IF($N59="NON",0,IF(COUNT(O59:R59)=0,"",SUM(O59:R59))))</f>
        <v/>
      </c>
      <c r="T59" s="77" t="str">
        <f aca="false">IF(B59="","",IF($N59="NON",0,IF(COUNT(O59:R59)=0,"",IFERROR(ROUND(SUM(O59:R59)/SUMPRODUCT(ISNUMBER(O59:R59)*$O$8:$R$8)*10,2),""))))</f>
        <v/>
      </c>
      <c r="U59" s="75"/>
      <c r="V59" s="76"/>
      <c r="W59" s="76"/>
      <c r="X59" s="76"/>
      <c r="Y59" s="76"/>
      <c r="Z59" s="79" t="str">
        <f aca="false">IF(B59="","",IF($U59="NON",0,IF(COUNT(V59:Y59)=0,"",SUM(V59:Y59))))</f>
        <v/>
      </c>
      <c r="AA59" s="77" t="str">
        <f aca="false">IF(B59="","",IF($U59="NON",0,IF(COUNT(V59:Y59)=0,"",IFERROR(ROUND(SUM(V59:Y59)/SUMPRODUCT(ISNUMBER(V59:Y59)*$V$8:$Y$8)*10,2),""))))</f>
        <v/>
      </c>
      <c r="AB59" s="75"/>
      <c r="AC59" s="76"/>
      <c r="AD59" s="76"/>
      <c r="AE59" s="76"/>
      <c r="AF59" s="76"/>
      <c r="AG59" s="79" t="str">
        <f aca="false">IF(B59="","",IF($AB59="NON",0,IF(COUNT(AC59:AF59)=0,"",SUM(AC59:AF59))))</f>
        <v/>
      </c>
      <c r="AH59" s="77" t="str">
        <f aca="false">IF(B59="","",IF($AB59="NON",0,IF(COUNT(AC59:AF59)=0,"",IFERROR(ROUND(SUM(AC59:AF59)/SUMPRODUCT(ISNUMBER(AC59:AF59)*$AC$8:$AF$8)*10,2),""))))</f>
        <v/>
      </c>
      <c r="AI59" s="51" t="str">
        <f aca="false">IFERROR(MATCH("CE1-50",'REGISTRE ELEVES'!$AI$10:$AI$250,0),"")</f>
        <v/>
      </c>
    </row>
    <row r="60" customFormat="false" ht="15" hidden="false" customHeight="false" outlineLevel="0" collapsed="false">
      <c r="A60" s="73" t="str">
        <f aca="false">IF(B60="","",51)</f>
        <v/>
      </c>
      <c r="B60" s="73" t="str">
        <f aca="false">IF($AI60="","",INDEX('REGISTRE ELEVES'!$B$10:$B$250,$AI60))</f>
        <v/>
      </c>
      <c r="C60" s="74" t="str">
        <f aca="false">IF($AI60="","",INDEX('REGISTRE ELEVES'!$D$10:$D$250,$AI60))</f>
        <v/>
      </c>
      <c r="D60" s="73" t="str">
        <f aca="false">IF($AI60="","",INDEX('REGISTRE ELEVES'!$E$10:$E$250,$AI60))</f>
        <v/>
      </c>
      <c r="E60" s="73" t="str">
        <f aca="false">IF($AI60="","",INDEX('REGISTRE ELEVES'!$F$10:$F$250,$AI60))</f>
        <v/>
      </c>
      <c r="F60" s="73" t="str">
        <f aca="false">IF($AI60="","",INDEX('REGISTRE ELEVES'!$AE$10:$AE$250,$AI60))</f>
        <v/>
      </c>
      <c r="G60" s="75"/>
      <c r="H60" s="76"/>
      <c r="I60" s="76"/>
      <c r="J60" s="76"/>
      <c r="K60" s="76"/>
      <c r="L60" s="79" t="str">
        <f aca="false">IF(B60="","",IF($G60="NON",0,IF(COUNT(H60:K60)=0,"",SUM(H60:K60))))</f>
        <v/>
      </c>
      <c r="M60" s="77" t="str">
        <f aca="false">IF(B60="","",IF($G60="NON",0,IF(COUNT(H60:K60)=0,"",IFERROR(ROUND(SUM(H60:K60)/SUMPRODUCT(ISNUMBER(H60:K60)*$H$8:$K$8)*10,2),""))))</f>
        <v/>
      </c>
      <c r="N60" s="75"/>
      <c r="O60" s="76"/>
      <c r="P60" s="76"/>
      <c r="Q60" s="76"/>
      <c r="R60" s="76"/>
      <c r="S60" s="79" t="str">
        <f aca="false">IF(B60="","",IF($N60="NON",0,IF(COUNT(O60:R60)=0,"",SUM(O60:R60))))</f>
        <v/>
      </c>
      <c r="T60" s="77" t="str">
        <f aca="false">IF(B60="","",IF($N60="NON",0,IF(COUNT(O60:R60)=0,"",IFERROR(ROUND(SUM(O60:R60)/SUMPRODUCT(ISNUMBER(O60:R60)*$O$8:$R$8)*10,2),""))))</f>
        <v/>
      </c>
      <c r="U60" s="75"/>
      <c r="V60" s="76"/>
      <c r="W60" s="76"/>
      <c r="X60" s="76"/>
      <c r="Y60" s="76"/>
      <c r="Z60" s="79" t="str">
        <f aca="false">IF(B60="","",IF($U60="NON",0,IF(COUNT(V60:Y60)=0,"",SUM(V60:Y60))))</f>
        <v/>
      </c>
      <c r="AA60" s="77" t="str">
        <f aca="false">IF(B60="","",IF($U60="NON",0,IF(COUNT(V60:Y60)=0,"",IFERROR(ROUND(SUM(V60:Y60)/SUMPRODUCT(ISNUMBER(V60:Y60)*$V$8:$Y$8)*10,2),""))))</f>
        <v/>
      </c>
      <c r="AB60" s="75"/>
      <c r="AC60" s="76"/>
      <c r="AD60" s="76"/>
      <c r="AE60" s="76"/>
      <c r="AF60" s="76"/>
      <c r="AG60" s="79" t="str">
        <f aca="false">IF(B60="","",IF($AB60="NON",0,IF(COUNT(AC60:AF60)=0,"",SUM(AC60:AF60))))</f>
        <v/>
      </c>
      <c r="AH60" s="77" t="str">
        <f aca="false">IF(B60="","",IF($AB60="NON",0,IF(COUNT(AC60:AF60)=0,"",IFERROR(ROUND(SUM(AC60:AF60)/SUMPRODUCT(ISNUMBER(AC60:AF60)*$AC$8:$AF$8)*10,2),""))))</f>
        <v/>
      </c>
      <c r="AI60" s="51" t="str">
        <f aca="false">IFERROR(MATCH("CE1-51",'REGISTRE ELEVES'!$AI$10:$AI$250,0),"")</f>
        <v/>
      </c>
    </row>
    <row r="61" customFormat="false" ht="15" hidden="false" customHeight="false" outlineLevel="0" collapsed="false">
      <c r="A61" s="73" t="str">
        <f aca="false">IF(B61="","",52)</f>
        <v/>
      </c>
      <c r="B61" s="73" t="str">
        <f aca="false">IF($AI61="","",INDEX('REGISTRE ELEVES'!$B$10:$B$250,$AI61))</f>
        <v/>
      </c>
      <c r="C61" s="74" t="str">
        <f aca="false">IF($AI61="","",INDEX('REGISTRE ELEVES'!$D$10:$D$250,$AI61))</f>
        <v/>
      </c>
      <c r="D61" s="73" t="str">
        <f aca="false">IF($AI61="","",INDEX('REGISTRE ELEVES'!$E$10:$E$250,$AI61))</f>
        <v/>
      </c>
      <c r="E61" s="73" t="str">
        <f aca="false">IF($AI61="","",INDEX('REGISTRE ELEVES'!$F$10:$F$250,$AI61))</f>
        <v/>
      </c>
      <c r="F61" s="73" t="str">
        <f aca="false">IF($AI61="","",INDEX('REGISTRE ELEVES'!$AE$10:$AE$250,$AI61))</f>
        <v/>
      </c>
      <c r="G61" s="75"/>
      <c r="H61" s="76"/>
      <c r="I61" s="76"/>
      <c r="J61" s="76"/>
      <c r="K61" s="76"/>
      <c r="L61" s="79" t="str">
        <f aca="false">IF(B61="","",IF($G61="NON",0,IF(COUNT(H61:K61)=0,"",SUM(H61:K61))))</f>
        <v/>
      </c>
      <c r="M61" s="77" t="str">
        <f aca="false">IF(B61="","",IF($G61="NON",0,IF(COUNT(H61:K61)=0,"",IFERROR(ROUND(SUM(H61:K61)/SUMPRODUCT(ISNUMBER(H61:K61)*$H$8:$K$8)*10,2),""))))</f>
        <v/>
      </c>
      <c r="N61" s="75"/>
      <c r="O61" s="76"/>
      <c r="P61" s="76"/>
      <c r="Q61" s="76"/>
      <c r="R61" s="76"/>
      <c r="S61" s="79" t="str">
        <f aca="false">IF(B61="","",IF($N61="NON",0,IF(COUNT(O61:R61)=0,"",SUM(O61:R61))))</f>
        <v/>
      </c>
      <c r="T61" s="77" t="str">
        <f aca="false">IF(B61="","",IF($N61="NON",0,IF(COUNT(O61:R61)=0,"",IFERROR(ROUND(SUM(O61:R61)/SUMPRODUCT(ISNUMBER(O61:R61)*$O$8:$R$8)*10,2),""))))</f>
        <v/>
      </c>
      <c r="U61" s="75"/>
      <c r="V61" s="76"/>
      <c r="W61" s="76"/>
      <c r="X61" s="76"/>
      <c r="Y61" s="76"/>
      <c r="Z61" s="79" t="str">
        <f aca="false">IF(B61="","",IF($U61="NON",0,IF(COUNT(V61:Y61)=0,"",SUM(V61:Y61))))</f>
        <v/>
      </c>
      <c r="AA61" s="77" t="str">
        <f aca="false">IF(B61="","",IF($U61="NON",0,IF(COUNT(V61:Y61)=0,"",IFERROR(ROUND(SUM(V61:Y61)/SUMPRODUCT(ISNUMBER(V61:Y61)*$V$8:$Y$8)*10,2),""))))</f>
        <v/>
      </c>
      <c r="AB61" s="75"/>
      <c r="AC61" s="76"/>
      <c r="AD61" s="76"/>
      <c r="AE61" s="76"/>
      <c r="AF61" s="76"/>
      <c r="AG61" s="79" t="str">
        <f aca="false">IF(B61="","",IF($AB61="NON",0,IF(COUNT(AC61:AF61)=0,"",SUM(AC61:AF61))))</f>
        <v/>
      </c>
      <c r="AH61" s="77" t="str">
        <f aca="false">IF(B61="","",IF($AB61="NON",0,IF(COUNT(AC61:AF61)=0,"",IFERROR(ROUND(SUM(AC61:AF61)/SUMPRODUCT(ISNUMBER(AC61:AF61)*$AC$8:$AF$8)*10,2),""))))</f>
        <v/>
      </c>
      <c r="AI61" s="51" t="str">
        <f aca="false">IFERROR(MATCH("CE1-52",'REGISTRE ELEVES'!$AI$10:$AI$250,0),"")</f>
        <v/>
      </c>
    </row>
    <row r="62" customFormat="false" ht="15" hidden="false" customHeight="false" outlineLevel="0" collapsed="false">
      <c r="A62" s="73" t="str">
        <f aca="false">IF(B62="","",53)</f>
        <v/>
      </c>
      <c r="B62" s="73" t="str">
        <f aca="false">IF($AI62="","",INDEX('REGISTRE ELEVES'!$B$10:$B$250,$AI62))</f>
        <v/>
      </c>
      <c r="C62" s="74" t="str">
        <f aca="false">IF($AI62="","",INDEX('REGISTRE ELEVES'!$D$10:$D$250,$AI62))</f>
        <v/>
      </c>
      <c r="D62" s="73" t="str">
        <f aca="false">IF($AI62="","",INDEX('REGISTRE ELEVES'!$E$10:$E$250,$AI62))</f>
        <v/>
      </c>
      <c r="E62" s="73" t="str">
        <f aca="false">IF($AI62="","",INDEX('REGISTRE ELEVES'!$F$10:$F$250,$AI62))</f>
        <v/>
      </c>
      <c r="F62" s="73" t="str">
        <f aca="false">IF($AI62="","",INDEX('REGISTRE ELEVES'!$AE$10:$AE$250,$AI62))</f>
        <v/>
      </c>
      <c r="G62" s="75"/>
      <c r="H62" s="76"/>
      <c r="I62" s="76"/>
      <c r="J62" s="76"/>
      <c r="K62" s="76"/>
      <c r="L62" s="79" t="str">
        <f aca="false">IF(B62="","",IF($G62="NON",0,IF(COUNT(H62:K62)=0,"",SUM(H62:K62))))</f>
        <v/>
      </c>
      <c r="M62" s="77" t="str">
        <f aca="false">IF(B62="","",IF($G62="NON",0,IF(COUNT(H62:K62)=0,"",IFERROR(ROUND(SUM(H62:K62)/SUMPRODUCT(ISNUMBER(H62:K62)*$H$8:$K$8)*10,2),""))))</f>
        <v/>
      </c>
      <c r="N62" s="75"/>
      <c r="O62" s="76"/>
      <c r="P62" s="76"/>
      <c r="Q62" s="76"/>
      <c r="R62" s="76"/>
      <c r="S62" s="79" t="str">
        <f aca="false">IF(B62="","",IF($N62="NON",0,IF(COUNT(O62:R62)=0,"",SUM(O62:R62))))</f>
        <v/>
      </c>
      <c r="T62" s="77" t="str">
        <f aca="false">IF(B62="","",IF($N62="NON",0,IF(COUNT(O62:R62)=0,"",IFERROR(ROUND(SUM(O62:R62)/SUMPRODUCT(ISNUMBER(O62:R62)*$O$8:$R$8)*10,2),""))))</f>
        <v/>
      </c>
      <c r="U62" s="75"/>
      <c r="V62" s="76"/>
      <c r="W62" s="76"/>
      <c r="X62" s="76"/>
      <c r="Y62" s="76"/>
      <c r="Z62" s="79" t="str">
        <f aca="false">IF(B62="","",IF($U62="NON",0,IF(COUNT(V62:Y62)=0,"",SUM(V62:Y62))))</f>
        <v/>
      </c>
      <c r="AA62" s="77" t="str">
        <f aca="false">IF(B62="","",IF($U62="NON",0,IF(COUNT(V62:Y62)=0,"",IFERROR(ROUND(SUM(V62:Y62)/SUMPRODUCT(ISNUMBER(V62:Y62)*$V$8:$Y$8)*10,2),""))))</f>
        <v/>
      </c>
      <c r="AB62" s="75"/>
      <c r="AC62" s="76"/>
      <c r="AD62" s="76"/>
      <c r="AE62" s="76"/>
      <c r="AF62" s="76"/>
      <c r="AG62" s="79" t="str">
        <f aca="false">IF(B62="","",IF($AB62="NON",0,IF(COUNT(AC62:AF62)=0,"",SUM(AC62:AF62))))</f>
        <v/>
      </c>
      <c r="AH62" s="77" t="str">
        <f aca="false">IF(B62="","",IF($AB62="NON",0,IF(COUNT(AC62:AF62)=0,"",IFERROR(ROUND(SUM(AC62:AF62)/SUMPRODUCT(ISNUMBER(AC62:AF62)*$AC$8:$AF$8)*10,2),""))))</f>
        <v/>
      </c>
      <c r="AI62" s="51" t="str">
        <f aca="false">IFERROR(MATCH("CE1-53",'REGISTRE ELEVES'!$AI$10:$AI$250,0),"")</f>
        <v/>
      </c>
    </row>
    <row r="63" customFormat="false" ht="15" hidden="false" customHeight="false" outlineLevel="0" collapsed="false">
      <c r="A63" s="73" t="str">
        <f aca="false">IF(B63="","",54)</f>
        <v/>
      </c>
      <c r="B63" s="73" t="str">
        <f aca="false">IF($AI63="","",INDEX('REGISTRE ELEVES'!$B$10:$B$250,$AI63))</f>
        <v/>
      </c>
      <c r="C63" s="74" t="str">
        <f aca="false">IF($AI63="","",INDEX('REGISTRE ELEVES'!$D$10:$D$250,$AI63))</f>
        <v/>
      </c>
      <c r="D63" s="73" t="str">
        <f aca="false">IF($AI63="","",INDEX('REGISTRE ELEVES'!$E$10:$E$250,$AI63))</f>
        <v/>
      </c>
      <c r="E63" s="73" t="str">
        <f aca="false">IF($AI63="","",INDEX('REGISTRE ELEVES'!$F$10:$F$250,$AI63))</f>
        <v/>
      </c>
      <c r="F63" s="73" t="str">
        <f aca="false">IF($AI63="","",INDEX('REGISTRE ELEVES'!$AE$10:$AE$250,$AI63))</f>
        <v/>
      </c>
      <c r="G63" s="75"/>
      <c r="H63" s="76"/>
      <c r="I63" s="76"/>
      <c r="J63" s="76"/>
      <c r="K63" s="76"/>
      <c r="L63" s="79" t="str">
        <f aca="false">IF(B63="","",IF($G63="NON",0,IF(COUNT(H63:K63)=0,"",SUM(H63:K63))))</f>
        <v/>
      </c>
      <c r="M63" s="77" t="str">
        <f aca="false">IF(B63="","",IF($G63="NON",0,IF(COUNT(H63:K63)=0,"",IFERROR(ROUND(SUM(H63:K63)/SUMPRODUCT(ISNUMBER(H63:K63)*$H$8:$K$8)*10,2),""))))</f>
        <v/>
      </c>
      <c r="N63" s="75"/>
      <c r="O63" s="76"/>
      <c r="P63" s="76"/>
      <c r="Q63" s="76"/>
      <c r="R63" s="76"/>
      <c r="S63" s="79" t="str">
        <f aca="false">IF(B63="","",IF($N63="NON",0,IF(COUNT(O63:R63)=0,"",SUM(O63:R63))))</f>
        <v/>
      </c>
      <c r="T63" s="77" t="str">
        <f aca="false">IF(B63="","",IF($N63="NON",0,IF(COUNT(O63:R63)=0,"",IFERROR(ROUND(SUM(O63:R63)/SUMPRODUCT(ISNUMBER(O63:R63)*$O$8:$R$8)*10,2),""))))</f>
        <v/>
      </c>
      <c r="U63" s="75"/>
      <c r="V63" s="76"/>
      <c r="W63" s="76"/>
      <c r="X63" s="76"/>
      <c r="Y63" s="76"/>
      <c r="Z63" s="79" t="str">
        <f aca="false">IF(B63="","",IF($U63="NON",0,IF(COUNT(V63:Y63)=0,"",SUM(V63:Y63))))</f>
        <v/>
      </c>
      <c r="AA63" s="77" t="str">
        <f aca="false">IF(B63="","",IF($U63="NON",0,IF(COUNT(V63:Y63)=0,"",IFERROR(ROUND(SUM(V63:Y63)/SUMPRODUCT(ISNUMBER(V63:Y63)*$V$8:$Y$8)*10,2),""))))</f>
        <v/>
      </c>
      <c r="AB63" s="75"/>
      <c r="AC63" s="76"/>
      <c r="AD63" s="76"/>
      <c r="AE63" s="76"/>
      <c r="AF63" s="76"/>
      <c r="AG63" s="79" t="str">
        <f aca="false">IF(B63="","",IF($AB63="NON",0,IF(COUNT(AC63:AF63)=0,"",SUM(AC63:AF63))))</f>
        <v/>
      </c>
      <c r="AH63" s="77" t="str">
        <f aca="false">IF(B63="","",IF($AB63="NON",0,IF(COUNT(AC63:AF63)=0,"",IFERROR(ROUND(SUM(AC63:AF63)/SUMPRODUCT(ISNUMBER(AC63:AF63)*$AC$8:$AF$8)*10,2),""))))</f>
        <v/>
      </c>
      <c r="AI63" s="51" t="str">
        <f aca="false">IFERROR(MATCH("CE1-54",'REGISTRE ELEVES'!$AI$10:$AI$250,0),"")</f>
        <v/>
      </c>
    </row>
    <row r="64" customFormat="false" ht="15" hidden="false" customHeight="false" outlineLevel="0" collapsed="false">
      <c r="A64" s="73" t="str">
        <f aca="false">IF(B64="","",55)</f>
        <v/>
      </c>
      <c r="B64" s="73" t="str">
        <f aca="false">IF($AI64="","",INDEX('REGISTRE ELEVES'!$B$10:$B$250,$AI64))</f>
        <v/>
      </c>
      <c r="C64" s="74" t="str">
        <f aca="false">IF($AI64="","",INDEX('REGISTRE ELEVES'!$D$10:$D$250,$AI64))</f>
        <v/>
      </c>
      <c r="D64" s="73" t="str">
        <f aca="false">IF($AI64="","",INDEX('REGISTRE ELEVES'!$E$10:$E$250,$AI64))</f>
        <v/>
      </c>
      <c r="E64" s="73" t="str">
        <f aca="false">IF($AI64="","",INDEX('REGISTRE ELEVES'!$F$10:$F$250,$AI64))</f>
        <v/>
      </c>
      <c r="F64" s="73" t="str">
        <f aca="false">IF($AI64="","",INDEX('REGISTRE ELEVES'!$AE$10:$AE$250,$AI64))</f>
        <v/>
      </c>
      <c r="G64" s="75"/>
      <c r="H64" s="76"/>
      <c r="I64" s="76"/>
      <c r="J64" s="76"/>
      <c r="K64" s="76"/>
      <c r="L64" s="79" t="str">
        <f aca="false">IF(B64="","",IF($G64="NON",0,IF(COUNT(H64:K64)=0,"",SUM(H64:K64))))</f>
        <v/>
      </c>
      <c r="M64" s="77" t="str">
        <f aca="false">IF(B64="","",IF($G64="NON",0,IF(COUNT(H64:K64)=0,"",IFERROR(ROUND(SUM(H64:K64)/SUMPRODUCT(ISNUMBER(H64:K64)*$H$8:$K$8)*10,2),""))))</f>
        <v/>
      </c>
      <c r="N64" s="75"/>
      <c r="O64" s="76"/>
      <c r="P64" s="76"/>
      <c r="Q64" s="76"/>
      <c r="R64" s="76"/>
      <c r="S64" s="79" t="str">
        <f aca="false">IF(B64="","",IF($N64="NON",0,IF(COUNT(O64:R64)=0,"",SUM(O64:R64))))</f>
        <v/>
      </c>
      <c r="T64" s="77" t="str">
        <f aca="false">IF(B64="","",IF($N64="NON",0,IF(COUNT(O64:R64)=0,"",IFERROR(ROUND(SUM(O64:R64)/SUMPRODUCT(ISNUMBER(O64:R64)*$O$8:$R$8)*10,2),""))))</f>
        <v/>
      </c>
      <c r="U64" s="75"/>
      <c r="V64" s="76"/>
      <c r="W64" s="76"/>
      <c r="X64" s="76"/>
      <c r="Y64" s="76"/>
      <c r="Z64" s="79" t="str">
        <f aca="false">IF(B64="","",IF($U64="NON",0,IF(COUNT(V64:Y64)=0,"",SUM(V64:Y64))))</f>
        <v/>
      </c>
      <c r="AA64" s="77" t="str">
        <f aca="false">IF(B64="","",IF($U64="NON",0,IF(COUNT(V64:Y64)=0,"",IFERROR(ROUND(SUM(V64:Y64)/SUMPRODUCT(ISNUMBER(V64:Y64)*$V$8:$Y$8)*10,2),""))))</f>
        <v/>
      </c>
      <c r="AB64" s="75"/>
      <c r="AC64" s="76"/>
      <c r="AD64" s="76"/>
      <c r="AE64" s="76"/>
      <c r="AF64" s="76"/>
      <c r="AG64" s="79" t="str">
        <f aca="false">IF(B64="","",IF($AB64="NON",0,IF(COUNT(AC64:AF64)=0,"",SUM(AC64:AF64))))</f>
        <v/>
      </c>
      <c r="AH64" s="77" t="str">
        <f aca="false">IF(B64="","",IF($AB64="NON",0,IF(COUNT(AC64:AF64)=0,"",IFERROR(ROUND(SUM(AC64:AF64)/SUMPRODUCT(ISNUMBER(AC64:AF64)*$AC$8:$AF$8)*10,2),""))))</f>
        <v/>
      </c>
      <c r="AI64" s="51" t="str">
        <f aca="false">IFERROR(MATCH("CE1-55",'REGISTRE ELEVES'!$AI$10:$AI$250,0),"")</f>
        <v/>
      </c>
    </row>
    <row r="65" customFormat="false" ht="15" hidden="false" customHeight="false" outlineLevel="0" collapsed="false">
      <c r="A65" s="73" t="str">
        <f aca="false">IF(B65="","",56)</f>
        <v/>
      </c>
      <c r="B65" s="73" t="str">
        <f aca="false">IF($AI65="","",INDEX('REGISTRE ELEVES'!$B$10:$B$250,$AI65))</f>
        <v/>
      </c>
      <c r="C65" s="74" t="str">
        <f aca="false">IF($AI65="","",INDEX('REGISTRE ELEVES'!$D$10:$D$250,$AI65))</f>
        <v/>
      </c>
      <c r="D65" s="73" t="str">
        <f aca="false">IF($AI65="","",INDEX('REGISTRE ELEVES'!$E$10:$E$250,$AI65))</f>
        <v/>
      </c>
      <c r="E65" s="73" t="str">
        <f aca="false">IF($AI65="","",INDEX('REGISTRE ELEVES'!$F$10:$F$250,$AI65))</f>
        <v/>
      </c>
      <c r="F65" s="73" t="str">
        <f aca="false">IF($AI65="","",INDEX('REGISTRE ELEVES'!$AE$10:$AE$250,$AI65))</f>
        <v/>
      </c>
      <c r="G65" s="75"/>
      <c r="H65" s="76"/>
      <c r="I65" s="76"/>
      <c r="J65" s="76"/>
      <c r="K65" s="76"/>
      <c r="L65" s="79" t="str">
        <f aca="false">IF(B65="","",IF($G65="NON",0,IF(COUNT(H65:K65)=0,"",SUM(H65:K65))))</f>
        <v/>
      </c>
      <c r="M65" s="77" t="str">
        <f aca="false">IF(B65="","",IF($G65="NON",0,IF(COUNT(H65:K65)=0,"",IFERROR(ROUND(SUM(H65:K65)/SUMPRODUCT(ISNUMBER(H65:K65)*$H$8:$K$8)*10,2),""))))</f>
        <v/>
      </c>
      <c r="N65" s="75"/>
      <c r="O65" s="76"/>
      <c r="P65" s="76"/>
      <c r="Q65" s="76"/>
      <c r="R65" s="76"/>
      <c r="S65" s="79" t="str">
        <f aca="false">IF(B65="","",IF($N65="NON",0,IF(COUNT(O65:R65)=0,"",SUM(O65:R65))))</f>
        <v/>
      </c>
      <c r="T65" s="77" t="str">
        <f aca="false">IF(B65="","",IF($N65="NON",0,IF(COUNT(O65:R65)=0,"",IFERROR(ROUND(SUM(O65:R65)/SUMPRODUCT(ISNUMBER(O65:R65)*$O$8:$R$8)*10,2),""))))</f>
        <v/>
      </c>
      <c r="U65" s="75"/>
      <c r="V65" s="76"/>
      <c r="W65" s="76"/>
      <c r="X65" s="76"/>
      <c r="Y65" s="76"/>
      <c r="Z65" s="79" t="str">
        <f aca="false">IF(B65="","",IF($U65="NON",0,IF(COUNT(V65:Y65)=0,"",SUM(V65:Y65))))</f>
        <v/>
      </c>
      <c r="AA65" s="77" t="str">
        <f aca="false">IF(B65="","",IF($U65="NON",0,IF(COUNT(V65:Y65)=0,"",IFERROR(ROUND(SUM(V65:Y65)/SUMPRODUCT(ISNUMBER(V65:Y65)*$V$8:$Y$8)*10,2),""))))</f>
        <v/>
      </c>
      <c r="AB65" s="75"/>
      <c r="AC65" s="76"/>
      <c r="AD65" s="76"/>
      <c r="AE65" s="76"/>
      <c r="AF65" s="76"/>
      <c r="AG65" s="79" t="str">
        <f aca="false">IF(B65="","",IF($AB65="NON",0,IF(COUNT(AC65:AF65)=0,"",SUM(AC65:AF65))))</f>
        <v/>
      </c>
      <c r="AH65" s="77" t="str">
        <f aca="false">IF(B65="","",IF($AB65="NON",0,IF(COUNT(AC65:AF65)=0,"",IFERROR(ROUND(SUM(AC65:AF65)/SUMPRODUCT(ISNUMBER(AC65:AF65)*$AC$8:$AF$8)*10,2),""))))</f>
        <v/>
      </c>
      <c r="AI65" s="51" t="str">
        <f aca="false">IFERROR(MATCH("CE1-56",'REGISTRE ELEVES'!$AI$10:$AI$250,0),"")</f>
        <v/>
      </c>
    </row>
    <row r="66" customFormat="false" ht="15" hidden="false" customHeight="false" outlineLevel="0" collapsed="false">
      <c r="A66" s="73" t="str">
        <f aca="false">IF(B66="","",57)</f>
        <v/>
      </c>
      <c r="B66" s="73" t="str">
        <f aca="false">IF($AI66="","",INDEX('REGISTRE ELEVES'!$B$10:$B$250,$AI66))</f>
        <v/>
      </c>
      <c r="C66" s="74" t="str">
        <f aca="false">IF($AI66="","",INDEX('REGISTRE ELEVES'!$D$10:$D$250,$AI66))</f>
        <v/>
      </c>
      <c r="D66" s="73" t="str">
        <f aca="false">IF($AI66="","",INDEX('REGISTRE ELEVES'!$E$10:$E$250,$AI66))</f>
        <v/>
      </c>
      <c r="E66" s="73" t="str">
        <f aca="false">IF($AI66="","",INDEX('REGISTRE ELEVES'!$F$10:$F$250,$AI66))</f>
        <v/>
      </c>
      <c r="F66" s="73" t="str">
        <f aca="false">IF($AI66="","",INDEX('REGISTRE ELEVES'!$AE$10:$AE$250,$AI66))</f>
        <v/>
      </c>
      <c r="G66" s="75"/>
      <c r="H66" s="76"/>
      <c r="I66" s="76"/>
      <c r="J66" s="76"/>
      <c r="K66" s="76"/>
      <c r="L66" s="79" t="str">
        <f aca="false">IF(B66="","",IF($G66="NON",0,IF(COUNT(H66:K66)=0,"",SUM(H66:K66))))</f>
        <v/>
      </c>
      <c r="M66" s="77" t="str">
        <f aca="false">IF(B66="","",IF($G66="NON",0,IF(COUNT(H66:K66)=0,"",IFERROR(ROUND(SUM(H66:K66)/SUMPRODUCT(ISNUMBER(H66:K66)*$H$8:$K$8)*10,2),""))))</f>
        <v/>
      </c>
      <c r="N66" s="75"/>
      <c r="O66" s="76"/>
      <c r="P66" s="76"/>
      <c r="Q66" s="76"/>
      <c r="R66" s="76"/>
      <c r="S66" s="79" t="str">
        <f aca="false">IF(B66="","",IF($N66="NON",0,IF(COUNT(O66:R66)=0,"",SUM(O66:R66))))</f>
        <v/>
      </c>
      <c r="T66" s="77" t="str">
        <f aca="false">IF(B66="","",IF($N66="NON",0,IF(COUNT(O66:R66)=0,"",IFERROR(ROUND(SUM(O66:R66)/SUMPRODUCT(ISNUMBER(O66:R66)*$O$8:$R$8)*10,2),""))))</f>
        <v/>
      </c>
      <c r="U66" s="75"/>
      <c r="V66" s="76"/>
      <c r="W66" s="76"/>
      <c r="X66" s="76"/>
      <c r="Y66" s="76"/>
      <c r="Z66" s="79" t="str">
        <f aca="false">IF(B66="","",IF($U66="NON",0,IF(COUNT(V66:Y66)=0,"",SUM(V66:Y66))))</f>
        <v/>
      </c>
      <c r="AA66" s="77" t="str">
        <f aca="false">IF(B66="","",IF($U66="NON",0,IF(COUNT(V66:Y66)=0,"",IFERROR(ROUND(SUM(V66:Y66)/SUMPRODUCT(ISNUMBER(V66:Y66)*$V$8:$Y$8)*10,2),""))))</f>
        <v/>
      </c>
      <c r="AB66" s="75"/>
      <c r="AC66" s="76"/>
      <c r="AD66" s="76"/>
      <c r="AE66" s="76"/>
      <c r="AF66" s="76"/>
      <c r="AG66" s="79" t="str">
        <f aca="false">IF(B66="","",IF($AB66="NON",0,IF(COUNT(AC66:AF66)=0,"",SUM(AC66:AF66))))</f>
        <v/>
      </c>
      <c r="AH66" s="77" t="str">
        <f aca="false">IF(B66="","",IF($AB66="NON",0,IF(COUNT(AC66:AF66)=0,"",IFERROR(ROUND(SUM(AC66:AF66)/SUMPRODUCT(ISNUMBER(AC66:AF66)*$AC$8:$AF$8)*10,2),""))))</f>
        <v/>
      </c>
      <c r="AI66" s="51" t="str">
        <f aca="false">IFERROR(MATCH("CE1-57",'REGISTRE ELEVES'!$AI$10:$AI$250,0),"")</f>
        <v/>
      </c>
    </row>
    <row r="67" customFormat="false" ht="15" hidden="false" customHeight="false" outlineLevel="0" collapsed="false">
      <c r="A67" s="73" t="str">
        <f aca="false">IF(B67="","",58)</f>
        <v/>
      </c>
      <c r="B67" s="73" t="str">
        <f aca="false">IF($AI67="","",INDEX('REGISTRE ELEVES'!$B$10:$B$250,$AI67))</f>
        <v/>
      </c>
      <c r="C67" s="74" t="str">
        <f aca="false">IF($AI67="","",INDEX('REGISTRE ELEVES'!$D$10:$D$250,$AI67))</f>
        <v/>
      </c>
      <c r="D67" s="73" t="str">
        <f aca="false">IF($AI67="","",INDEX('REGISTRE ELEVES'!$E$10:$E$250,$AI67))</f>
        <v/>
      </c>
      <c r="E67" s="73" t="str">
        <f aca="false">IF($AI67="","",INDEX('REGISTRE ELEVES'!$F$10:$F$250,$AI67))</f>
        <v/>
      </c>
      <c r="F67" s="73" t="str">
        <f aca="false">IF($AI67="","",INDEX('REGISTRE ELEVES'!$AE$10:$AE$250,$AI67))</f>
        <v/>
      </c>
      <c r="G67" s="75"/>
      <c r="H67" s="76"/>
      <c r="I67" s="76"/>
      <c r="J67" s="76"/>
      <c r="K67" s="76"/>
      <c r="L67" s="79" t="str">
        <f aca="false">IF(B67="","",IF($G67="NON",0,IF(COUNT(H67:K67)=0,"",SUM(H67:K67))))</f>
        <v/>
      </c>
      <c r="M67" s="77" t="str">
        <f aca="false">IF(B67="","",IF($G67="NON",0,IF(COUNT(H67:K67)=0,"",IFERROR(ROUND(SUM(H67:K67)/SUMPRODUCT(ISNUMBER(H67:K67)*$H$8:$K$8)*10,2),""))))</f>
        <v/>
      </c>
      <c r="N67" s="75"/>
      <c r="O67" s="76"/>
      <c r="P67" s="76"/>
      <c r="Q67" s="76"/>
      <c r="R67" s="76"/>
      <c r="S67" s="79" t="str">
        <f aca="false">IF(B67="","",IF($N67="NON",0,IF(COUNT(O67:R67)=0,"",SUM(O67:R67))))</f>
        <v/>
      </c>
      <c r="T67" s="77" t="str">
        <f aca="false">IF(B67="","",IF($N67="NON",0,IF(COUNT(O67:R67)=0,"",IFERROR(ROUND(SUM(O67:R67)/SUMPRODUCT(ISNUMBER(O67:R67)*$O$8:$R$8)*10,2),""))))</f>
        <v/>
      </c>
      <c r="U67" s="75"/>
      <c r="V67" s="76"/>
      <c r="W67" s="76"/>
      <c r="X67" s="76"/>
      <c r="Y67" s="76"/>
      <c r="Z67" s="79" t="str">
        <f aca="false">IF(B67="","",IF($U67="NON",0,IF(COUNT(V67:Y67)=0,"",SUM(V67:Y67))))</f>
        <v/>
      </c>
      <c r="AA67" s="77" t="str">
        <f aca="false">IF(B67="","",IF($U67="NON",0,IF(COUNT(V67:Y67)=0,"",IFERROR(ROUND(SUM(V67:Y67)/SUMPRODUCT(ISNUMBER(V67:Y67)*$V$8:$Y$8)*10,2),""))))</f>
        <v/>
      </c>
      <c r="AB67" s="75"/>
      <c r="AC67" s="76"/>
      <c r="AD67" s="76"/>
      <c r="AE67" s="76"/>
      <c r="AF67" s="76"/>
      <c r="AG67" s="79" t="str">
        <f aca="false">IF(B67="","",IF($AB67="NON",0,IF(COUNT(AC67:AF67)=0,"",SUM(AC67:AF67))))</f>
        <v/>
      </c>
      <c r="AH67" s="77" t="str">
        <f aca="false">IF(B67="","",IF($AB67="NON",0,IF(COUNT(AC67:AF67)=0,"",IFERROR(ROUND(SUM(AC67:AF67)/SUMPRODUCT(ISNUMBER(AC67:AF67)*$AC$8:$AF$8)*10,2),""))))</f>
        <v/>
      </c>
      <c r="AI67" s="51" t="str">
        <f aca="false">IFERROR(MATCH("CE1-58",'REGISTRE ELEVES'!$AI$10:$AI$250,0),"")</f>
        <v/>
      </c>
    </row>
    <row r="68" customFormat="false" ht="15" hidden="false" customHeight="false" outlineLevel="0" collapsed="false">
      <c r="A68" s="73" t="str">
        <f aca="false">IF(B68="","",59)</f>
        <v/>
      </c>
      <c r="B68" s="73" t="str">
        <f aca="false">IF($AI68="","",INDEX('REGISTRE ELEVES'!$B$10:$B$250,$AI68))</f>
        <v/>
      </c>
      <c r="C68" s="74" t="str">
        <f aca="false">IF($AI68="","",INDEX('REGISTRE ELEVES'!$D$10:$D$250,$AI68))</f>
        <v/>
      </c>
      <c r="D68" s="73" t="str">
        <f aca="false">IF($AI68="","",INDEX('REGISTRE ELEVES'!$E$10:$E$250,$AI68))</f>
        <v/>
      </c>
      <c r="E68" s="73" t="str">
        <f aca="false">IF($AI68="","",INDEX('REGISTRE ELEVES'!$F$10:$F$250,$AI68))</f>
        <v/>
      </c>
      <c r="F68" s="73" t="str">
        <f aca="false">IF($AI68="","",INDEX('REGISTRE ELEVES'!$AE$10:$AE$250,$AI68))</f>
        <v/>
      </c>
      <c r="G68" s="75"/>
      <c r="H68" s="76"/>
      <c r="I68" s="76"/>
      <c r="J68" s="76"/>
      <c r="K68" s="76"/>
      <c r="L68" s="79" t="str">
        <f aca="false">IF(B68="","",IF($G68="NON",0,IF(COUNT(H68:K68)=0,"",SUM(H68:K68))))</f>
        <v/>
      </c>
      <c r="M68" s="77" t="str">
        <f aca="false">IF(B68="","",IF($G68="NON",0,IF(COUNT(H68:K68)=0,"",IFERROR(ROUND(SUM(H68:K68)/SUMPRODUCT(ISNUMBER(H68:K68)*$H$8:$K$8)*10,2),""))))</f>
        <v/>
      </c>
      <c r="N68" s="75"/>
      <c r="O68" s="76"/>
      <c r="P68" s="76"/>
      <c r="Q68" s="76"/>
      <c r="R68" s="76"/>
      <c r="S68" s="79" t="str">
        <f aca="false">IF(B68="","",IF($N68="NON",0,IF(COUNT(O68:R68)=0,"",SUM(O68:R68))))</f>
        <v/>
      </c>
      <c r="T68" s="77" t="str">
        <f aca="false">IF(B68="","",IF($N68="NON",0,IF(COUNT(O68:R68)=0,"",IFERROR(ROUND(SUM(O68:R68)/SUMPRODUCT(ISNUMBER(O68:R68)*$O$8:$R$8)*10,2),""))))</f>
        <v/>
      </c>
      <c r="U68" s="75"/>
      <c r="V68" s="76"/>
      <c r="W68" s="76"/>
      <c r="X68" s="76"/>
      <c r="Y68" s="76"/>
      <c r="Z68" s="79" t="str">
        <f aca="false">IF(B68="","",IF($U68="NON",0,IF(COUNT(V68:Y68)=0,"",SUM(V68:Y68))))</f>
        <v/>
      </c>
      <c r="AA68" s="77" t="str">
        <f aca="false">IF(B68="","",IF($U68="NON",0,IF(COUNT(V68:Y68)=0,"",IFERROR(ROUND(SUM(V68:Y68)/SUMPRODUCT(ISNUMBER(V68:Y68)*$V$8:$Y$8)*10,2),""))))</f>
        <v/>
      </c>
      <c r="AB68" s="75"/>
      <c r="AC68" s="76"/>
      <c r="AD68" s="76"/>
      <c r="AE68" s="76"/>
      <c r="AF68" s="76"/>
      <c r="AG68" s="79" t="str">
        <f aca="false">IF(B68="","",IF($AB68="NON",0,IF(COUNT(AC68:AF68)=0,"",SUM(AC68:AF68))))</f>
        <v/>
      </c>
      <c r="AH68" s="77" t="str">
        <f aca="false">IF(B68="","",IF($AB68="NON",0,IF(COUNT(AC68:AF68)=0,"",IFERROR(ROUND(SUM(AC68:AF68)/SUMPRODUCT(ISNUMBER(AC68:AF68)*$AC$8:$AF$8)*10,2),""))))</f>
        <v/>
      </c>
      <c r="AI68" s="51" t="str">
        <f aca="false">IFERROR(MATCH("CE1-59",'REGISTRE ELEVES'!$AI$10:$AI$250,0),"")</f>
        <v/>
      </c>
    </row>
    <row r="69" customFormat="false" ht="15" hidden="false" customHeight="false" outlineLevel="0" collapsed="false">
      <c r="A69" s="73" t="str">
        <f aca="false">IF(B69="","",60)</f>
        <v/>
      </c>
      <c r="B69" s="73" t="str">
        <f aca="false">IF($AI69="","",INDEX('REGISTRE ELEVES'!$B$10:$B$250,$AI69))</f>
        <v/>
      </c>
      <c r="C69" s="74" t="str">
        <f aca="false">IF($AI69="","",INDEX('REGISTRE ELEVES'!$D$10:$D$250,$AI69))</f>
        <v/>
      </c>
      <c r="D69" s="73" t="str">
        <f aca="false">IF($AI69="","",INDEX('REGISTRE ELEVES'!$E$10:$E$250,$AI69))</f>
        <v/>
      </c>
      <c r="E69" s="73" t="str">
        <f aca="false">IF($AI69="","",INDEX('REGISTRE ELEVES'!$F$10:$F$250,$AI69))</f>
        <v/>
      </c>
      <c r="F69" s="73" t="str">
        <f aca="false">IF($AI69="","",INDEX('REGISTRE ELEVES'!$AE$10:$AE$250,$AI69))</f>
        <v/>
      </c>
      <c r="G69" s="75"/>
      <c r="H69" s="76"/>
      <c r="I69" s="76"/>
      <c r="J69" s="76"/>
      <c r="K69" s="76"/>
      <c r="L69" s="79" t="str">
        <f aca="false">IF(B69="","",IF($G69="NON",0,IF(COUNT(H69:K69)=0,"",SUM(H69:K69))))</f>
        <v/>
      </c>
      <c r="M69" s="77" t="str">
        <f aca="false">IF(B69="","",IF($G69="NON",0,IF(COUNT(H69:K69)=0,"",IFERROR(ROUND(SUM(H69:K69)/SUMPRODUCT(ISNUMBER(H69:K69)*$H$8:$K$8)*10,2),""))))</f>
        <v/>
      </c>
      <c r="N69" s="75"/>
      <c r="O69" s="76"/>
      <c r="P69" s="76"/>
      <c r="Q69" s="76"/>
      <c r="R69" s="76"/>
      <c r="S69" s="79" t="str">
        <f aca="false">IF(B69="","",IF($N69="NON",0,IF(COUNT(O69:R69)=0,"",SUM(O69:R69))))</f>
        <v/>
      </c>
      <c r="T69" s="77" t="str">
        <f aca="false">IF(B69="","",IF($N69="NON",0,IF(COUNT(O69:R69)=0,"",IFERROR(ROUND(SUM(O69:R69)/SUMPRODUCT(ISNUMBER(O69:R69)*$O$8:$R$8)*10,2),""))))</f>
        <v/>
      </c>
      <c r="U69" s="75"/>
      <c r="V69" s="76"/>
      <c r="W69" s="76"/>
      <c r="X69" s="76"/>
      <c r="Y69" s="76"/>
      <c r="Z69" s="79" t="str">
        <f aca="false">IF(B69="","",IF($U69="NON",0,IF(COUNT(V69:Y69)=0,"",SUM(V69:Y69))))</f>
        <v/>
      </c>
      <c r="AA69" s="77" t="str">
        <f aca="false">IF(B69="","",IF($U69="NON",0,IF(COUNT(V69:Y69)=0,"",IFERROR(ROUND(SUM(V69:Y69)/SUMPRODUCT(ISNUMBER(V69:Y69)*$V$8:$Y$8)*10,2),""))))</f>
        <v/>
      </c>
      <c r="AB69" s="75"/>
      <c r="AC69" s="76"/>
      <c r="AD69" s="76"/>
      <c r="AE69" s="76"/>
      <c r="AF69" s="76"/>
      <c r="AG69" s="79" t="str">
        <f aca="false">IF(B69="","",IF($AB69="NON",0,IF(COUNT(AC69:AF69)=0,"",SUM(AC69:AF69))))</f>
        <v/>
      </c>
      <c r="AH69" s="77" t="str">
        <f aca="false">IF(B69="","",IF($AB69="NON",0,IF(COUNT(AC69:AF69)=0,"",IFERROR(ROUND(SUM(AC69:AF69)/SUMPRODUCT(ISNUMBER(AC69:AF69)*$AC$8:$AF$8)*10,2),""))))</f>
        <v/>
      </c>
      <c r="AI69" s="51" t="str">
        <f aca="false">IFERROR(MATCH("CE1-60",'REGISTRE ELEVES'!$AI$10:$AI$250,0),"")</f>
        <v/>
      </c>
    </row>
    <row r="70" customFormat="false" ht="15" hidden="false" customHeight="false" outlineLevel="0" collapsed="false">
      <c r="A70" s="73" t="str">
        <f aca="false">IF(B70="","",61)</f>
        <v/>
      </c>
      <c r="B70" s="73" t="str">
        <f aca="false">IF($AI70="","",INDEX('REGISTRE ELEVES'!$B$10:$B$250,$AI70))</f>
        <v/>
      </c>
      <c r="C70" s="74" t="str">
        <f aca="false">IF($AI70="","",INDEX('REGISTRE ELEVES'!$D$10:$D$250,$AI70))</f>
        <v/>
      </c>
      <c r="D70" s="73" t="str">
        <f aca="false">IF($AI70="","",INDEX('REGISTRE ELEVES'!$E$10:$E$250,$AI70))</f>
        <v/>
      </c>
      <c r="E70" s="73" t="str">
        <f aca="false">IF($AI70="","",INDEX('REGISTRE ELEVES'!$F$10:$F$250,$AI70))</f>
        <v/>
      </c>
      <c r="F70" s="73" t="str">
        <f aca="false">IF($AI70="","",INDEX('REGISTRE ELEVES'!$AE$10:$AE$250,$AI70))</f>
        <v/>
      </c>
      <c r="G70" s="75"/>
      <c r="H70" s="76"/>
      <c r="I70" s="76"/>
      <c r="J70" s="76"/>
      <c r="K70" s="76"/>
      <c r="L70" s="79" t="str">
        <f aca="false">IF(B70="","",IF($G70="NON",0,IF(COUNT(H70:K70)=0,"",SUM(H70:K70))))</f>
        <v/>
      </c>
      <c r="M70" s="77" t="str">
        <f aca="false">IF(B70="","",IF($G70="NON",0,IF(COUNT(H70:K70)=0,"",IFERROR(ROUND(SUM(H70:K70)/SUMPRODUCT(ISNUMBER(H70:K70)*$H$8:$K$8)*10,2),""))))</f>
        <v/>
      </c>
      <c r="N70" s="75"/>
      <c r="O70" s="76"/>
      <c r="P70" s="76"/>
      <c r="Q70" s="76"/>
      <c r="R70" s="76"/>
      <c r="S70" s="79" t="str">
        <f aca="false">IF(B70="","",IF($N70="NON",0,IF(COUNT(O70:R70)=0,"",SUM(O70:R70))))</f>
        <v/>
      </c>
      <c r="T70" s="77" t="str">
        <f aca="false">IF(B70="","",IF($N70="NON",0,IF(COUNT(O70:R70)=0,"",IFERROR(ROUND(SUM(O70:R70)/SUMPRODUCT(ISNUMBER(O70:R70)*$O$8:$R$8)*10,2),""))))</f>
        <v/>
      </c>
      <c r="U70" s="75"/>
      <c r="V70" s="76"/>
      <c r="W70" s="76"/>
      <c r="X70" s="76"/>
      <c r="Y70" s="76"/>
      <c r="Z70" s="79" t="str">
        <f aca="false">IF(B70="","",IF($U70="NON",0,IF(COUNT(V70:Y70)=0,"",SUM(V70:Y70))))</f>
        <v/>
      </c>
      <c r="AA70" s="77" t="str">
        <f aca="false">IF(B70="","",IF($U70="NON",0,IF(COUNT(V70:Y70)=0,"",IFERROR(ROUND(SUM(V70:Y70)/SUMPRODUCT(ISNUMBER(V70:Y70)*$V$8:$Y$8)*10,2),""))))</f>
        <v/>
      </c>
      <c r="AB70" s="75"/>
      <c r="AC70" s="76"/>
      <c r="AD70" s="76"/>
      <c r="AE70" s="76"/>
      <c r="AF70" s="76"/>
      <c r="AG70" s="79" t="str">
        <f aca="false">IF(B70="","",IF($AB70="NON",0,IF(COUNT(AC70:AF70)=0,"",SUM(AC70:AF70))))</f>
        <v/>
      </c>
      <c r="AH70" s="77" t="str">
        <f aca="false">IF(B70="","",IF($AB70="NON",0,IF(COUNT(AC70:AF70)=0,"",IFERROR(ROUND(SUM(AC70:AF70)/SUMPRODUCT(ISNUMBER(AC70:AF70)*$AC$8:$AF$8)*10,2),""))))</f>
        <v/>
      </c>
      <c r="AI70" s="51" t="str">
        <f aca="false">IFERROR(MATCH("CE1-61",'REGISTRE ELEVES'!$AI$10:$AI$250,0),"")</f>
        <v/>
      </c>
    </row>
    <row r="71" customFormat="false" ht="15" hidden="false" customHeight="false" outlineLevel="0" collapsed="false">
      <c r="A71" s="73" t="str">
        <f aca="false">IF(B71="","",62)</f>
        <v/>
      </c>
      <c r="B71" s="73" t="str">
        <f aca="false">IF($AI71="","",INDEX('REGISTRE ELEVES'!$B$10:$B$250,$AI71))</f>
        <v/>
      </c>
      <c r="C71" s="74" t="str">
        <f aca="false">IF($AI71="","",INDEX('REGISTRE ELEVES'!$D$10:$D$250,$AI71))</f>
        <v/>
      </c>
      <c r="D71" s="73" t="str">
        <f aca="false">IF($AI71="","",INDEX('REGISTRE ELEVES'!$E$10:$E$250,$AI71))</f>
        <v/>
      </c>
      <c r="E71" s="73" t="str">
        <f aca="false">IF($AI71="","",INDEX('REGISTRE ELEVES'!$F$10:$F$250,$AI71))</f>
        <v/>
      </c>
      <c r="F71" s="73" t="str">
        <f aca="false">IF($AI71="","",INDEX('REGISTRE ELEVES'!$AE$10:$AE$250,$AI71))</f>
        <v/>
      </c>
      <c r="G71" s="75"/>
      <c r="H71" s="76"/>
      <c r="I71" s="76"/>
      <c r="J71" s="76"/>
      <c r="K71" s="76"/>
      <c r="L71" s="79" t="str">
        <f aca="false">IF(B71="","",IF($G71="NON",0,IF(COUNT(H71:K71)=0,"",SUM(H71:K71))))</f>
        <v/>
      </c>
      <c r="M71" s="77" t="str">
        <f aca="false">IF(B71="","",IF($G71="NON",0,IF(COUNT(H71:K71)=0,"",IFERROR(ROUND(SUM(H71:K71)/SUMPRODUCT(ISNUMBER(H71:K71)*$H$8:$K$8)*10,2),""))))</f>
        <v/>
      </c>
      <c r="N71" s="75"/>
      <c r="O71" s="76"/>
      <c r="P71" s="76"/>
      <c r="Q71" s="76"/>
      <c r="R71" s="76"/>
      <c r="S71" s="79" t="str">
        <f aca="false">IF(B71="","",IF($N71="NON",0,IF(COUNT(O71:R71)=0,"",SUM(O71:R71))))</f>
        <v/>
      </c>
      <c r="T71" s="77" t="str">
        <f aca="false">IF(B71="","",IF($N71="NON",0,IF(COUNT(O71:R71)=0,"",IFERROR(ROUND(SUM(O71:R71)/SUMPRODUCT(ISNUMBER(O71:R71)*$O$8:$R$8)*10,2),""))))</f>
        <v/>
      </c>
      <c r="U71" s="75"/>
      <c r="V71" s="76"/>
      <c r="W71" s="76"/>
      <c r="X71" s="76"/>
      <c r="Y71" s="76"/>
      <c r="Z71" s="79" t="str">
        <f aca="false">IF(B71="","",IF($U71="NON",0,IF(COUNT(V71:Y71)=0,"",SUM(V71:Y71))))</f>
        <v/>
      </c>
      <c r="AA71" s="77" t="str">
        <f aca="false">IF(B71="","",IF($U71="NON",0,IF(COUNT(V71:Y71)=0,"",IFERROR(ROUND(SUM(V71:Y71)/SUMPRODUCT(ISNUMBER(V71:Y71)*$V$8:$Y$8)*10,2),""))))</f>
        <v/>
      </c>
      <c r="AB71" s="75"/>
      <c r="AC71" s="76"/>
      <c r="AD71" s="76"/>
      <c r="AE71" s="76"/>
      <c r="AF71" s="76"/>
      <c r="AG71" s="79" t="str">
        <f aca="false">IF(B71="","",IF($AB71="NON",0,IF(COUNT(AC71:AF71)=0,"",SUM(AC71:AF71))))</f>
        <v/>
      </c>
      <c r="AH71" s="77" t="str">
        <f aca="false">IF(B71="","",IF($AB71="NON",0,IF(COUNT(AC71:AF71)=0,"",IFERROR(ROUND(SUM(AC71:AF71)/SUMPRODUCT(ISNUMBER(AC71:AF71)*$AC$8:$AF$8)*10,2),""))))</f>
        <v/>
      </c>
      <c r="AI71" s="51" t="str">
        <f aca="false">IFERROR(MATCH("CE1-62",'REGISTRE ELEVES'!$AI$10:$AI$250,0),"")</f>
        <v/>
      </c>
    </row>
    <row r="72" customFormat="false" ht="15" hidden="false" customHeight="false" outlineLevel="0" collapsed="false">
      <c r="A72" s="73" t="str">
        <f aca="false">IF(B72="","",63)</f>
        <v/>
      </c>
      <c r="B72" s="73" t="str">
        <f aca="false">IF($AI72="","",INDEX('REGISTRE ELEVES'!$B$10:$B$250,$AI72))</f>
        <v/>
      </c>
      <c r="C72" s="74" t="str">
        <f aca="false">IF($AI72="","",INDEX('REGISTRE ELEVES'!$D$10:$D$250,$AI72))</f>
        <v/>
      </c>
      <c r="D72" s="73" t="str">
        <f aca="false">IF($AI72="","",INDEX('REGISTRE ELEVES'!$E$10:$E$250,$AI72))</f>
        <v/>
      </c>
      <c r="E72" s="73" t="str">
        <f aca="false">IF($AI72="","",INDEX('REGISTRE ELEVES'!$F$10:$F$250,$AI72))</f>
        <v/>
      </c>
      <c r="F72" s="73" t="str">
        <f aca="false">IF($AI72="","",INDEX('REGISTRE ELEVES'!$AE$10:$AE$250,$AI72))</f>
        <v/>
      </c>
      <c r="G72" s="75"/>
      <c r="H72" s="76"/>
      <c r="I72" s="76"/>
      <c r="J72" s="76"/>
      <c r="K72" s="76"/>
      <c r="L72" s="79" t="str">
        <f aca="false">IF(B72="","",IF($G72="NON",0,IF(COUNT(H72:K72)=0,"",SUM(H72:K72))))</f>
        <v/>
      </c>
      <c r="M72" s="77" t="str">
        <f aca="false">IF(B72="","",IF($G72="NON",0,IF(COUNT(H72:K72)=0,"",IFERROR(ROUND(SUM(H72:K72)/SUMPRODUCT(ISNUMBER(H72:K72)*$H$8:$K$8)*10,2),""))))</f>
        <v/>
      </c>
      <c r="N72" s="75"/>
      <c r="O72" s="76"/>
      <c r="P72" s="76"/>
      <c r="Q72" s="76"/>
      <c r="R72" s="76"/>
      <c r="S72" s="79" t="str">
        <f aca="false">IF(B72="","",IF($N72="NON",0,IF(COUNT(O72:R72)=0,"",SUM(O72:R72))))</f>
        <v/>
      </c>
      <c r="T72" s="77" t="str">
        <f aca="false">IF(B72="","",IF($N72="NON",0,IF(COUNT(O72:R72)=0,"",IFERROR(ROUND(SUM(O72:R72)/SUMPRODUCT(ISNUMBER(O72:R72)*$O$8:$R$8)*10,2),""))))</f>
        <v/>
      </c>
      <c r="U72" s="75"/>
      <c r="V72" s="76"/>
      <c r="W72" s="76"/>
      <c r="X72" s="76"/>
      <c r="Y72" s="76"/>
      <c r="Z72" s="79" t="str">
        <f aca="false">IF(B72="","",IF($U72="NON",0,IF(COUNT(V72:Y72)=0,"",SUM(V72:Y72))))</f>
        <v/>
      </c>
      <c r="AA72" s="77" t="str">
        <f aca="false">IF(B72="","",IF($U72="NON",0,IF(COUNT(V72:Y72)=0,"",IFERROR(ROUND(SUM(V72:Y72)/SUMPRODUCT(ISNUMBER(V72:Y72)*$V$8:$Y$8)*10,2),""))))</f>
        <v/>
      </c>
      <c r="AB72" s="75"/>
      <c r="AC72" s="76"/>
      <c r="AD72" s="76"/>
      <c r="AE72" s="76"/>
      <c r="AF72" s="76"/>
      <c r="AG72" s="79" t="str">
        <f aca="false">IF(B72="","",IF($AB72="NON",0,IF(COUNT(AC72:AF72)=0,"",SUM(AC72:AF72))))</f>
        <v/>
      </c>
      <c r="AH72" s="77" t="str">
        <f aca="false">IF(B72="","",IF($AB72="NON",0,IF(COUNT(AC72:AF72)=0,"",IFERROR(ROUND(SUM(AC72:AF72)/SUMPRODUCT(ISNUMBER(AC72:AF72)*$AC$8:$AF$8)*10,2),""))))</f>
        <v/>
      </c>
      <c r="AI72" s="51" t="str">
        <f aca="false">IFERROR(MATCH("CE1-63",'REGISTRE ELEVES'!$AI$10:$AI$250,0),"")</f>
        <v/>
      </c>
    </row>
    <row r="73" customFormat="false" ht="15" hidden="false" customHeight="false" outlineLevel="0" collapsed="false">
      <c r="A73" s="73" t="str">
        <f aca="false">IF(B73="","",64)</f>
        <v/>
      </c>
      <c r="B73" s="73" t="str">
        <f aca="false">IF($AI73="","",INDEX('REGISTRE ELEVES'!$B$10:$B$250,$AI73))</f>
        <v/>
      </c>
      <c r="C73" s="74" t="str">
        <f aca="false">IF($AI73="","",INDEX('REGISTRE ELEVES'!$D$10:$D$250,$AI73))</f>
        <v/>
      </c>
      <c r="D73" s="73" t="str">
        <f aca="false">IF($AI73="","",INDEX('REGISTRE ELEVES'!$E$10:$E$250,$AI73))</f>
        <v/>
      </c>
      <c r="E73" s="73" t="str">
        <f aca="false">IF($AI73="","",INDEX('REGISTRE ELEVES'!$F$10:$F$250,$AI73))</f>
        <v/>
      </c>
      <c r="F73" s="73" t="str">
        <f aca="false">IF($AI73="","",INDEX('REGISTRE ELEVES'!$AE$10:$AE$250,$AI73))</f>
        <v/>
      </c>
      <c r="G73" s="75"/>
      <c r="H73" s="76"/>
      <c r="I73" s="76"/>
      <c r="J73" s="76"/>
      <c r="K73" s="76"/>
      <c r="L73" s="79" t="str">
        <f aca="false">IF(B73="","",IF($G73="NON",0,IF(COUNT(H73:K73)=0,"",SUM(H73:K73))))</f>
        <v/>
      </c>
      <c r="M73" s="77" t="str">
        <f aca="false">IF(B73="","",IF($G73="NON",0,IF(COUNT(H73:K73)=0,"",IFERROR(ROUND(SUM(H73:K73)/SUMPRODUCT(ISNUMBER(H73:K73)*$H$8:$K$8)*10,2),""))))</f>
        <v/>
      </c>
      <c r="N73" s="75"/>
      <c r="O73" s="76"/>
      <c r="P73" s="76"/>
      <c r="Q73" s="76"/>
      <c r="R73" s="76"/>
      <c r="S73" s="79" t="str">
        <f aca="false">IF(B73="","",IF($N73="NON",0,IF(COUNT(O73:R73)=0,"",SUM(O73:R73))))</f>
        <v/>
      </c>
      <c r="T73" s="77" t="str">
        <f aca="false">IF(B73="","",IF($N73="NON",0,IF(COUNT(O73:R73)=0,"",IFERROR(ROUND(SUM(O73:R73)/SUMPRODUCT(ISNUMBER(O73:R73)*$O$8:$R$8)*10,2),""))))</f>
        <v/>
      </c>
      <c r="U73" s="75"/>
      <c r="V73" s="76"/>
      <c r="W73" s="76"/>
      <c r="X73" s="76"/>
      <c r="Y73" s="76"/>
      <c r="Z73" s="79" t="str">
        <f aca="false">IF(B73="","",IF($U73="NON",0,IF(COUNT(V73:Y73)=0,"",SUM(V73:Y73))))</f>
        <v/>
      </c>
      <c r="AA73" s="77" t="str">
        <f aca="false">IF(B73="","",IF($U73="NON",0,IF(COUNT(V73:Y73)=0,"",IFERROR(ROUND(SUM(V73:Y73)/SUMPRODUCT(ISNUMBER(V73:Y73)*$V$8:$Y$8)*10,2),""))))</f>
        <v/>
      </c>
      <c r="AB73" s="75"/>
      <c r="AC73" s="76"/>
      <c r="AD73" s="76"/>
      <c r="AE73" s="76"/>
      <c r="AF73" s="76"/>
      <c r="AG73" s="79" t="str">
        <f aca="false">IF(B73="","",IF($AB73="NON",0,IF(COUNT(AC73:AF73)=0,"",SUM(AC73:AF73))))</f>
        <v/>
      </c>
      <c r="AH73" s="77" t="str">
        <f aca="false">IF(B73="","",IF($AB73="NON",0,IF(COUNT(AC73:AF73)=0,"",IFERROR(ROUND(SUM(AC73:AF73)/SUMPRODUCT(ISNUMBER(AC73:AF73)*$AC$8:$AF$8)*10,2),""))))</f>
        <v/>
      </c>
      <c r="AI73" s="51" t="str">
        <f aca="false">IFERROR(MATCH("CE1-64",'REGISTRE ELEVES'!$AI$10:$AI$250,0),"")</f>
        <v/>
      </c>
    </row>
    <row r="74" customFormat="false" ht="15" hidden="false" customHeight="false" outlineLevel="0" collapsed="false">
      <c r="A74" s="73" t="str">
        <f aca="false">IF(B74="","",65)</f>
        <v/>
      </c>
      <c r="B74" s="73" t="str">
        <f aca="false">IF($AI74="","",INDEX('REGISTRE ELEVES'!$B$10:$B$250,$AI74))</f>
        <v/>
      </c>
      <c r="C74" s="74" t="str">
        <f aca="false">IF($AI74="","",INDEX('REGISTRE ELEVES'!$D$10:$D$250,$AI74))</f>
        <v/>
      </c>
      <c r="D74" s="73" t="str">
        <f aca="false">IF($AI74="","",INDEX('REGISTRE ELEVES'!$E$10:$E$250,$AI74))</f>
        <v/>
      </c>
      <c r="E74" s="73" t="str">
        <f aca="false">IF($AI74="","",INDEX('REGISTRE ELEVES'!$F$10:$F$250,$AI74))</f>
        <v/>
      </c>
      <c r="F74" s="73" t="str">
        <f aca="false">IF($AI74="","",INDEX('REGISTRE ELEVES'!$AE$10:$AE$250,$AI74))</f>
        <v/>
      </c>
      <c r="G74" s="75"/>
      <c r="H74" s="76"/>
      <c r="I74" s="76"/>
      <c r="J74" s="76"/>
      <c r="K74" s="76"/>
      <c r="L74" s="79" t="str">
        <f aca="false">IF(B74="","",IF($G74="NON",0,IF(COUNT(H74:K74)=0,"",SUM(H74:K74))))</f>
        <v/>
      </c>
      <c r="M74" s="77" t="str">
        <f aca="false">IF(B74="","",IF($G74="NON",0,IF(COUNT(H74:K74)=0,"",IFERROR(ROUND(SUM(H74:K74)/SUMPRODUCT(ISNUMBER(H74:K74)*$H$8:$K$8)*10,2),""))))</f>
        <v/>
      </c>
      <c r="N74" s="75"/>
      <c r="O74" s="76"/>
      <c r="P74" s="76"/>
      <c r="Q74" s="76"/>
      <c r="R74" s="76"/>
      <c r="S74" s="79" t="str">
        <f aca="false">IF(B74="","",IF($N74="NON",0,IF(COUNT(O74:R74)=0,"",SUM(O74:R74))))</f>
        <v/>
      </c>
      <c r="T74" s="77" t="str">
        <f aca="false">IF(B74="","",IF($N74="NON",0,IF(COUNT(O74:R74)=0,"",IFERROR(ROUND(SUM(O74:R74)/SUMPRODUCT(ISNUMBER(O74:R74)*$O$8:$R$8)*10,2),""))))</f>
        <v/>
      </c>
      <c r="U74" s="75"/>
      <c r="V74" s="76"/>
      <c r="W74" s="76"/>
      <c r="X74" s="76"/>
      <c r="Y74" s="76"/>
      <c r="Z74" s="79" t="str">
        <f aca="false">IF(B74="","",IF($U74="NON",0,IF(COUNT(V74:Y74)=0,"",SUM(V74:Y74))))</f>
        <v/>
      </c>
      <c r="AA74" s="77" t="str">
        <f aca="false">IF(B74="","",IF($U74="NON",0,IF(COUNT(V74:Y74)=0,"",IFERROR(ROUND(SUM(V74:Y74)/SUMPRODUCT(ISNUMBER(V74:Y74)*$V$8:$Y$8)*10,2),""))))</f>
        <v/>
      </c>
      <c r="AB74" s="75"/>
      <c r="AC74" s="76"/>
      <c r="AD74" s="76"/>
      <c r="AE74" s="76"/>
      <c r="AF74" s="76"/>
      <c r="AG74" s="79" t="str">
        <f aca="false">IF(B74="","",IF($AB74="NON",0,IF(COUNT(AC74:AF74)=0,"",SUM(AC74:AF74))))</f>
        <v/>
      </c>
      <c r="AH74" s="77" t="str">
        <f aca="false">IF(B74="","",IF($AB74="NON",0,IF(COUNT(AC74:AF74)=0,"",IFERROR(ROUND(SUM(AC74:AF74)/SUMPRODUCT(ISNUMBER(AC74:AF74)*$AC$8:$AF$8)*10,2),""))))</f>
        <v/>
      </c>
      <c r="AI74" s="51" t="str">
        <f aca="false">IFERROR(MATCH("CE1-65",'REGISTRE ELEVES'!$AI$10:$AI$250,0),"")</f>
        <v/>
      </c>
    </row>
    <row r="75" customFormat="false" ht="15" hidden="false" customHeight="false" outlineLevel="0" collapsed="false">
      <c r="A75" s="73" t="str">
        <f aca="false">IF(B75="","",66)</f>
        <v/>
      </c>
      <c r="B75" s="73" t="str">
        <f aca="false">IF($AI75="","",INDEX('REGISTRE ELEVES'!$B$10:$B$250,$AI75))</f>
        <v/>
      </c>
      <c r="C75" s="74" t="str">
        <f aca="false">IF($AI75="","",INDEX('REGISTRE ELEVES'!$D$10:$D$250,$AI75))</f>
        <v/>
      </c>
      <c r="D75" s="73" t="str">
        <f aca="false">IF($AI75="","",INDEX('REGISTRE ELEVES'!$E$10:$E$250,$AI75))</f>
        <v/>
      </c>
      <c r="E75" s="73" t="str">
        <f aca="false">IF($AI75="","",INDEX('REGISTRE ELEVES'!$F$10:$F$250,$AI75))</f>
        <v/>
      </c>
      <c r="F75" s="73" t="str">
        <f aca="false">IF($AI75="","",INDEX('REGISTRE ELEVES'!$AE$10:$AE$250,$AI75))</f>
        <v/>
      </c>
      <c r="G75" s="75"/>
      <c r="H75" s="76"/>
      <c r="I75" s="76"/>
      <c r="J75" s="76"/>
      <c r="K75" s="76"/>
      <c r="L75" s="79" t="str">
        <f aca="false">IF(B75="","",IF($G75="NON",0,IF(COUNT(H75:K75)=0,"",SUM(H75:K75))))</f>
        <v/>
      </c>
      <c r="M75" s="77" t="str">
        <f aca="false">IF(B75="","",IF($G75="NON",0,IF(COUNT(H75:K75)=0,"",IFERROR(ROUND(SUM(H75:K75)/SUMPRODUCT(ISNUMBER(H75:K75)*$H$8:$K$8)*10,2),""))))</f>
        <v/>
      </c>
      <c r="N75" s="75"/>
      <c r="O75" s="76"/>
      <c r="P75" s="76"/>
      <c r="Q75" s="76"/>
      <c r="R75" s="76"/>
      <c r="S75" s="79" t="str">
        <f aca="false">IF(B75="","",IF($N75="NON",0,IF(COUNT(O75:R75)=0,"",SUM(O75:R75))))</f>
        <v/>
      </c>
      <c r="T75" s="77" t="str">
        <f aca="false">IF(B75="","",IF($N75="NON",0,IF(COUNT(O75:R75)=0,"",IFERROR(ROUND(SUM(O75:R75)/SUMPRODUCT(ISNUMBER(O75:R75)*$O$8:$R$8)*10,2),""))))</f>
        <v/>
      </c>
      <c r="U75" s="75"/>
      <c r="V75" s="76"/>
      <c r="W75" s="76"/>
      <c r="X75" s="76"/>
      <c r="Y75" s="76"/>
      <c r="Z75" s="79" t="str">
        <f aca="false">IF(B75="","",IF($U75="NON",0,IF(COUNT(V75:Y75)=0,"",SUM(V75:Y75))))</f>
        <v/>
      </c>
      <c r="AA75" s="77" t="str">
        <f aca="false">IF(B75="","",IF($U75="NON",0,IF(COUNT(V75:Y75)=0,"",IFERROR(ROUND(SUM(V75:Y75)/SUMPRODUCT(ISNUMBER(V75:Y75)*$V$8:$Y$8)*10,2),""))))</f>
        <v/>
      </c>
      <c r="AB75" s="75"/>
      <c r="AC75" s="76"/>
      <c r="AD75" s="76"/>
      <c r="AE75" s="76"/>
      <c r="AF75" s="76"/>
      <c r="AG75" s="79" t="str">
        <f aca="false">IF(B75="","",IF($AB75="NON",0,IF(COUNT(AC75:AF75)=0,"",SUM(AC75:AF75))))</f>
        <v/>
      </c>
      <c r="AH75" s="77" t="str">
        <f aca="false">IF(B75="","",IF($AB75="NON",0,IF(COUNT(AC75:AF75)=0,"",IFERROR(ROUND(SUM(AC75:AF75)/SUMPRODUCT(ISNUMBER(AC75:AF75)*$AC$8:$AF$8)*10,2),""))))</f>
        <v/>
      </c>
      <c r="AI75" s="51" t="str">
        <f aca="false">IFERROR(MATCH("CE1-66",'REGISTRE ELEVES'!$AI$10:$AI$250,0),"")</f>
        <v/>
      </c>
    </row>
    <row r="76" customFormat="false" ht="15" hidden="false" customHeight="false" outlineLevel="0" collapsed="false">
      <c r="A76" s="73" t="str">
        <f aca="false">IF(B76="","",67)</f>
        <v/>
      </c>
      <c r="B76" s="73" t="str">
        <f aca="false">IF($AI76="","",INDEX('REGISTRE ELEVES'!$B$10:$B$250,$AI76))</f>
        <v/>
      </c>
      <c r="C76" s="74" t="str">
        <f aca="false">IF($AI76="","",INDEX('REGISTRE ELEVES'!$D$10:$D$250,$AI76))</f>
        <v/>
      </c>
      <c r="D76" s="73" t="str">
        <f aca="false">IF($AI76="","",INDEX('REGISTRE ELEVES'!$E$10:$E$250,$AI76))</f>
        <v/>
      </c>
      <c r="E76" s="73" t="str">
        <f aca="false">IF($AI76="","",INDEX('REGISTRE ELEVES'!$F$10:$F$250,$AI76))</f>
        <v/>
      </c>
      <c r="F76" s="73" t="str">
        <f aca="false">IF($AI76="","",INDEX('REGISTRE ELEVES'!$AE$10:$AE$250,$AI76))</f>
        <v/>
      </c>
      <c r="G76" s="75"/>
      <c r="H76" s="76"/>
      <c r="I76" s="76"/>
      <c r="J76" s="76"/>
      <c r="K76" s="76"/>
      <c r="L76" s="79" t="str">
        <f aca="false">IF(B76="","",IF($G76="NON",0,IF(COUNT(H76:K76)=0,"",SUM(H76:K76))))</f>
        <v/>
      </c>
      <c r="M76" s="77" t="str">
        <f aca="false">IF(B76="","",IF($G76="NON",0,IF(COUNT(H76:K76)=0,"",IFERROR(ROUND(SUM(H76:K76)/SUMPRODUCT(ISNUMBER(H76:K76)*$H$8:$K$8)*10,2),""))))</f>
        <v/>
      </c>
      <c r="N76" s="75"/>
      <c r="O76" s="76"/>
      <c r="P76" s="76"/>
      <c r="Q76" s="76"/>
      <c r="R76" s="76"/>
      <c r="S76" s="79" t="str">
        <f aca="false">IF(B76="","",IF($N76="NON",0,IF(COUNT(O76:R76)=0,"",SUM(O76:R76))))</f>
        <v/>
      </c>
      <c r="T76" s="77" t="str">
        <f aca="false">IF(B76="","",IF($N76="NON",0,IF(COUNT(O76:R76)=0,"",IFERROR(ROUND(SUM(O76:R76)/SUMPRODUCT(ISNUMBER(O76:R76)*$O$8:$R$8)*10,2),""))))</f>
        <v/>
      </c>
      <c r="U76" s="75"/>
      <c r="V76" s="76"/>
      <c r="W76" s="76"/>
      <c r="X76" s="76"/>
      <c r="Y76" s="76"/>
      <c r="Z76" s="79" t="str">
        <f aca="false">IF(B76="","",IF($U76="NON",0,IF(COUNT(V76:Y76)=0,"",SUM(V76:Y76))))</f>
        <v/>
      </c>
      <c r="AA76" s="77" t="str">
        <f aca="false">IF(B76="","",IF($U76="NON",0,IF(COUNT(V76:Y76)=0,"",IFERROR(ROUND(SUM(V76:Y76)/SUMPRODUCT(ISNUMBER(V76:Y76)*$V$8:$Y$8)*10,2),""))))</f>
        <v/>
      </c>
      <c r="AB76" s="75"/>
      <c r="AC76" s="76"/>
      <c r="AD76" s="76"/>
      <c r="AE76" s="76"/>
      <c r="AF76" s="76"/>
      <c r="AG76" s="79" t="str">
        <f aca="false">IF(B76="","",IF($AB76="NON",0,IF(COUNT(AC76:AF76)=0,"",SUM(AC76:AF76))))</f>
        <v/>
      </c>
      <c r="AH76" s="77" t="str">
        <f aca="false">IF(B76="","",IF($AB76="NON",0,IF(COUNT(AC76:AF76)=0,"",IFERROR(ROUND(SUM(AC76:AF76)/SUMPRODUCT(ISNUMBER(AC76:AF76)*$AC$8:$AF$8)*10,2),""))))</f>
        <v/>
      </c>
      <c r="AI76" s="51" t="str">
        <f aca="false">IFERROR(MATCH("CE1-67",'REGISTRE ELEVES'!$AI$10:$AI$250,0),"")</f>
        <v/>
      </c>
    </row>
    <row r="77" customFormat="false" ht="15" hidden="false" customHeight="false" outlineLevel="0" collapsed="false">
      <c r="A77" s="73" t="str">
        <f aca="false">IF(B77="","",68)</f>
        <v/>
      </c>
      <c r="B77" s="73" t="str">
        <f aca="false">IF($AI77="","",INDEX('REGISTRE ELEVES'!$B$10:$B$250,$AI77))</f>
        <v/>
      </c>
      <c r="C77" s="74" t="str">
        <f aca="false">IF($AI77="","",INDEX('REGISTRE ELEVES'!$D$10:$D$250,$AI77))</f>
        <v/>
      </c>
      <c r="D77" s="73" t="str">
        <f aca="false">IF($AI77="","",INDEX('REGISTRE ELEVES'!$E$10:$E$250,$AI77))</f>
        <v/>
      </c>
      <c r="E77" s="73" t="str">
        <f aca="false">IF($AI77="","",INDEX('REGISTRE ELEVES'!$F$10:$F$250,$AI77))</f>
        <v/>
      </c>
      <c r="F77" s="73" t="str">
        <f aca="false">IF($AI77="","",INDEX('REGISTRE ELEVES'!$AE$10:$AE$250,$AI77))</f>
        <v/>
      </c>
      <c r="G77" s="75"/>
      <c r="H77" s="76"/>
      <c r="I77" s="76"/>
      <c r="J77" s="76"/>
      <c r="K77" s="76"/>
      <c r="L77" s="79" t="str">
        <f aca="false">IF(B77="","",IF($G77="NON",0,IF(COUNT(H77:K77)=0,"",SUM(H77:K77))))</f>
        <v/>
      </c>
      <c r="M77" s="77" t="str">
        <f aca="false">IF(B77="","",IF($G77="NON",0,IF(COUNT(H77:K77)=0,"",IFERROR(ROUND(SUM(H77:K77)/SUMPRODUCT(ISNUMBER(H77:K77)*$H$8:$K$8)*10,2),""))))</f>
        <v/>
      </c>
      <c r="N77" s="75"/>
      <c r="O77" s="76"/>
      <c r="P77" s="76"/>
      <c r="Q77" s="76"/>
      <c r="R77" s="76"/>
      <c r="S77" s="79" t="str">
        <f aca="false">IF(B77="","",IF($N77="NON",0,IF(COUNT(O77:R77)=0,"",SUM(O77:R77))))</f>
        <v/>
      </c>
      <c r="T77" s="77" t="str">
        <f aca="false">IF(B77="","",IF($N77="NON",0,IF(COUNT(O77:R77)=0,"",IFERROR(ROUND(SUM(O77:R77)/SUMPRODUCT(ISNUMBER(O77:R77)*$O$8:$R$8)*10,2),""))))</f>
        <v/>
      </c>
      <c r="U77" s="75"/>
      <c r="V77" s="76"/>
      <c r="W77" s="76"/>
      <c r="X77" s="76"/>
      <c r="Y77" s="76"/>
      <c r="Z77" s="79" t="str">
        <f aca="false">IF(B77="","",IF($U77="NON",0,IF(COUNT(V77:Y77)=0,"",SUM(V77:Y77))))</f>
        <v/>
      </c>
      <c r="AA77" s="77" t="str">
        <f aca="false">IF(B77="","",IF($U77="NON",0,IF(COUNT(V77:Y77)=0,"",IFERROR(ROUND(SUM(V77:Y77)/SUMPRODUCT(ISNUMBER(V77:Y77)*$V$8:$Y$8)*10,2),""))))</f>
        <v/>
      </c>
      <c r="AB77" s="75"/>
      <c r="AC77" s="76"/>
      <c r="AD77" s="76"/>
      <c r="AE77" s="76"/>
      <c r="AF77" s="76"/>
      <c r="AG77" s="79" t="str">
        <f aca="false">IF(B77="","",IF($AB77="NON",0,IF(COUNT(AC77:AF77)=0,"",SUM(AC77:AF77))))</f>
        <v/>
      </c>
      <c r="AH77" s="77" t="str">
        <f aca="false">IF(B77="","",IF($AB77="NON",0,IF(COUNT(AC77:AF77)=0,"",IFERROR(ROUND(SUM(AC77:AF77)/SUMPRODUCT(ISNUMBER(AC77:AF77)*$AC$8:$AF$8)*10,2),""))))</f>
        <v/>
      </c>
      <c r="AI77" s="51" t="str">
        <f aca="false">IFERROR(MATCH("CE1-68",'REGISTRE ELEVES'!$AI$10:$AI$250,0),"")</f>
        <v/>
      </c>
    </row>
    <row r="78" customFormat="false" ht="15" hidden="false" customHeight="false" outlineLevel="0" collapsed="false">
      <c r="A78" s="73" t="str">
        <f aca="false">IF(B78="","",69)</f>
        <v/>
      </c>
      <c r="B78" s="73" t="str">
        <f aca="false">IF($AI78="","",INDEX('REGISTRE ELEVES'!$B$10:$B$250,$AI78))</f>
        <v/>
      </c>
      <c r="C78" s="74" t="str">
        <f aca="false">IF($AI78="","",INDEX('REGISTRE ELEVES'!$D$10:$D$250,$AI78))</f>
        <v/>
      </c>
      <c r="D78" s="73" t="str">
        <f aca="false">IF($AI78="","",INDEX('REGISTRE ELEVES'!$E$10:$E$250,$AI78))</f>
        <v/>
      </c>
      <c r="E78" s="73" t="str">
        <f aca="false">IF($AI78="","",INDEX('REGISTRE ELEVES'!$F$10:$F$250,$AI78))</f>
        <v/>
      </c>
      <c r="F78" s="73" t="str">
        <f aca="false">IF($AI78="","",INDEX('REGISTRE ELEVES'!$AE$10:$AE$250,$AI78))</f>
        <v/>
      </c>
      <c r="G78" s="75"/>
      <c r="H78" s="76"/>
      <c r="I78" s="76"/>
      <c r="J78" s="76"/>
      <c r="K78" s="76"/>
      <c r="L78" s="79" t="str">
        <f aca="false">IF(B78="","",IF($G78="NON",0,IF(COUNT(H78:K78)=0,"",SUM(H78:K78))))</f>
        <v/>
      </c>
      <c r="M78" s="77" t="str">
        <f aca="false">IF(B78="","",IF($G78="NON",0,IF(COUNT(H78:K78)=0,"",IFERROR(ROUND(SUM(H78:K78)/SUMPRODUCT(ISNUMBER(H78:K78)*$H$8:$K$8)*10,2),""))))</f>
        <v/>
      </c>
      <c r="N78" s="75"/>
      <c r="O78" s="76"/>
      <c r="P78" s="76"/>
      <c r="Q78" s="76"/>
      <c r="R78" s="76"/>
      <c r="S78" s="79" t="str">
        <f aca="false">IF(B78="","",IF($N78="NON",0,IF(COUNT(O78:R78)=0,"",SUM(O78:R78))))</f>
        <v/>
      </c>
      <c r="T78" s="77" t="str">
        <f aca="false">IF(B78="","",IF($N78="NON",0,IF(COUNT(O78:R78)=0,"",IFERROR(ROUND(SUM(O78:R78)/SUMPRODUCT(ISNUMBER(O78:R78)*$O$8:$R$8)*10,2),""))))</f>
        <v/>
      </c>
      <c r="U78" s="75"/>
      <c r="V78" s="76"/>
      <c r="W78" s="76"/>
      <c r="X78" s="76"/>
      <c r="Y78" s="76"/>
      <c r="Z78" s="79" t="str">
        <f aca="false">IF(B78="","",IF($U78="NON",0,IF(COUNT(V78:Y78)=0,"",SUM(V78:Y78))))</f>
        <v/>
      </c>
      <c r="AA78" s="77" t="str">
        <f aca="false">IF(B78="","",IF($U78="NON",0,IF(COUNT(V78:Y78)=0,"",IFERROR(ROUND(SUM(V78:Y78)/SUMPRODUCT(ISNUMBER(V78:Y78)*$V$8:$Y$8)*10,2),""))))</f>
        <v/>
      </c>
      <c r="AB78" s="75"/>
      <c r="AC78" s="76"/>
      <c r="AD78" s="76"/>
      <c r="AE78" s="76"/>
      <c r="AF78" s="76"/>
      <c r="AG78" s="79" t="str">
        <f aca="false">IF(B78="","",IF($AB78="NON",0,IF(COUNT(AC78:AF78)=0,"",SUM(AC78:AF78))))</f>
        <v/>
      </c>
      <c r="AH78" s="77" t="str">
        <f aca="false">IF(B78="","",IF($AB78="NON",0,IF(COUNT(AC78:AF78)=0,"",IFERROR(ROUND(SUM(AC78:AF78)/SUMPRODUCT(ISNUMBER(AC78:AF78)*$AC$8:$AF$8)*10,2),""))))</f>
        <v/>
      </c>
      <c r="AI78" s="51" t="str">
        <f aca="false">IFERROR(MATCH("CE1-69",'REGISTRE ELEVES'!$AI$10:$AI$250,0),"")</f>
        <v/>
      </c>
    </row>
    <row r="79" customFormat="false" ht="15" hidden="false" customHeight="false" outlineLevel="0" collapsed="false">
      <c r="A79" s="73" t="str">
        <f aca="false">IF(B79="","",70)</f>
        <v/>
      </c>
      <c r="B79" s="73" t="str">
        <f aca="false">IF($AI79="","",INDEX('REGISTRE ELEVES'!$B$10:$B$250,$AI79))</f>
        <v/>
      </c>
      <c r="C79" s="74" t="str">
        <f aca="false">IF($AI79="","",INDEX('REGISTRE ELEVES'!$D$10:$D$250,$AI79))</f>
        <v/>
      </c>
      <c r="D79" s="73" t="str">
        <f aca="false">IF($AI79="","",INDEX('REGISTRE ELEVES'!$E$10:$E$250,$AI79))</f>
        <v/>
      </c>
      <c r="E79" s="73" t="str">
        <f aca="false">IF($AI79="","",INDEX('REGISTRE ELEVES'!$F$10:$F$250,$AI79))</f>
        <v/>
      </c>
      <c r="F79" s="73" t="str">
        <f aca="false">IF($AI79="","",INDEX('REGISTRE ELEVES'!$AE$10:$AE$250,$AI79))</f>
        <v/>
      </c>
      <c r="G79" s="75"/>
      <c r="H79" s="76"/>
      <c r="I79" s="76"/>
      <c r="J79" s="76"/>
      <c r="K79" s="76"/>
      <c r="L79" s="79" t="str">
        <f aca="false">IF(B79="","",IF($G79="NON",0,IF(COUNT(H79:K79)=0,"",SUM(H79:K79))))</f>
        <v/>
      </c>
      <c r="M79" s="77" t="str">
        <f aca="false">IF(B79="","",IF($G79="NON",0,IF(COUNT(H79:K79)=0,"",IFERROR(ROUND(SUM(H79:K79)/SUMPRODUCT(ISNUMBER(H79:K79)*$H$8:$K$8)*10,2),""))))</f>
        <v/>
      </c>
      <c r="N79" s="75"/>
      <c r="O79" s="76"/>
      <c r="P79" s="76"/>
      <c r="Q79" s="76"/>
      <c r="R79" s="76"/>
      <c r="S79" s="79" t="str">
        <f aca="false">IF(B79="","",IF($N79="NON",0,IF(COUNT(O79:R79)=0,"",SUM(O79:R79))))</f>
        <v/>
      </c>
      <c r="T79" s="77" t="str">
        <f aca="false">IF(B79="","",IF($N79="NON",0,IF(COUNT(O79:R79)=0,"",IFERROR(ROUND(SUM(O79:R79)/SUMPRODUCT(ISNUMBER(O79:R79)*$O$8:$R$8)*10,2),""))))</f>
        <v/>
      </c>
      <c r="U79" s="75"/>
      <c r="V79" s="76"/>
      <c r="W79" s="76"/>
      <c r="X79" s="76"/>
      <c r="Y79" s="76"/>
      <c r="Z79" s="79" t="str">
        <f aca="false">IF(B79="","",IF($U79="NON",0,IF(COUNT(V79:Y79)=0,"",SUM(V79:Y79))))</f>
        <v/>
      </c>
      <c r="AA79" s="77" t="str">
        <f aca="false">IF(B79="","",IF($U79="NON",0,IF(COUNT(V79:Y79)=0,"",IFERROR(ROUND(SUM(V79:Y79)/SUMPRODUCT(ISNUMBER(V79:Y79)*$V$8:$Y$8)*10,2),""))))</f>
        <v/>
      </c>
      <c r="AB79" s="75"/>
      <c r="AC79" s="76"/>
      <c r="AD79" s="76"/>
      <c r="AE79" s="76"/>
      <c r="AF79" s="76"/>
      <c r="AG79" s="79" t="str">
        <f aca="false">IF(B79="","",IF($AB79="NON",0,IF(COUNT(AC79:AF79)=0,"",SUM(AC79:AF79))))</f>
        <v/>
      </c>
      <c r="AH79" s="77" t="str">
        <f aca="false">IF(B79="","",IF($AB79="NON",0,IF(COUNT(AC79:AF79)=0,"",IFERROR(ROUND(SUM(AC79:AF79)/SUMPRODUCT(ISNUMBER(AC79:AF79)*$AC$8:$AF$8)*10,2),""))))</f>
        <v/>
      </c>
      <c r="AI79" s="51" t="str">
        <f aca="false">IFERROR(MATCH("CE1-70",'REGISTRE ELEVES'!$AI$10:$AI$250,0),"")</f>
        <v/>
      </c>
    </row>
    <row r="80" customFormat="false" ht="15" hidden="false" customHeight="false" outlineLevel="0" collapsed="false">
      <c r="A80" s="73" t="str">
        <f aca="false">IF(B80="","",71)</f>
        <v/>
      </c>
      <c r="B80" s="73" t="str">
        <f aca="false">IF($AI80="","",INDEX('REGISTRE ELEVES'!$B$10:$B$250,$AI80))</f>
        <v/>
      </c>
      <c r="C80" s="74" t="str">
        <f aca="false">IF($AI80="","",INDEX('REGISTRE ELEVES'!$D$10:$D$250,$AI80))</f>
        <v/>
      </c>
      <c r="D80" s="73" t="str">
        <f aca="false">IF($AI80="","",INDEX('REGISTRE ELEVES'!$E$10:$E$250,$AI80))</f>
        <v/>
      </c>
      <c r="E80" s="73" t="str">
        <f aca="false">IF($AI80="","",INDEX('REGISTRE ELEVES'!$F$10:$F$250,$AI80))</f>
        <v/>
      </c>
      <c r="F80" s="73" t="str">
        <f aca="false">IF($AI80="","",INDEX('REGISTRE ELEVES'!$AE$10:$AE$250,$AI80))</f>
        <v/>
      </c>
      <c r="G80" s="75"/>
      <c r="H80" s="76"/>
      <c r="I80" s="76"/>
      <c r="J80" s="76"/>
      <c r="K80" s="76"/>
      <c r="L80" s="79" t="str">
        <f aca="false">IF(B80="","",IF($G80="NON",0,IF(COUNT(H80:K80)=0,"",SUM(H80:K80))))</f>
        <v/>
      </c>
      <c r="M80" s="77" t="str">
        <f aca="false">IF(B80="","",IF($G80="NON",0,IF(COUNT(H80:K80)=0,"",IFERROR(ROUND(SUM(H80:K80)/SUMPRODUCT(ISNUMBER(H80:K80)*$H$8:$K$8)*10,2),""))))</f>
        <v/>
      </c>
      <c r="N80" s="75"/>
      <c r="O80" s="76"/>
      <c r="P80" s="76"/>
      <c r="Q80" s="76"/>
      <c r="R80" s="76"/>
      <c r="S80" s="79" t="str">
        <f aca="false">IF(B80="","",IF($N80="NON",0,IF(COUNT(O80:R80)=0,"",SUM(O80:R80))))</f>
        <v/>
      </c>
      <c r="T80" s="77" t="str">
        <f aca="false">IF(B80="","",IF($N80="NON",0,IF(COUNT(O80:R80)=0,"",IFERROR(ROUND(SUM(O80:R80)/SUMPRODUCT(ISNUMBER(O80:R80)*$O$8:$R$8)*10,2),""))))</f>
        <v/>
      </c>
      <c r="U80" s="75"/>
      <c r="V80" s="76"/>
      <c r="W80" s="76"/>
      <c r="X80" s="76"/>
      <c r="Y80" s="76"/>
      <c r="Z80" s="79" t="str">
        <f aca="false">IF(B80="","",IF($U80="NON",0,IF(COUNT(V80:Y80)=0,"",SUM(V80:Y80))))</f>
        <v/>
      </c>
      <c r="AA80" s="77" t="str">
        <f aca="false">IF(B80="","",IF($U80="NON",0,IF(COUNT(V80:Y80)=0,"",IFERROR(ROUND(SUM(V80:Y80)/SUMPRODUCT(ISNUMBER(V80:Y80)*$V$8:$Y$8)*10,2),""))))</f>
        <v/>
      </c>
      <c r="AB80" s="75"/>
      <c r="AC80" s="76"/>
      <c r="AD80" s="76"/>
      <c r="AE80" s="76"/>
      <c r="AF80" s="76"/>
      <c r="AG80" s="79" t="str">
        <f aca="false">IF(B80="","",IF($AB80="NON",0,IF(COUNT(AC80:AF80)=0,"",SUM(AC80:AF80))))</f>
        <v/>
      </c>
      <c r="AH80" s="77" t="str">
        <f aca="false">IF(B80="","",IF($AB80="NON",0,IF(COUNT(AC80:AF80)=0,"",IFERROR(ROUND(SUM(AC80:AF80)/SUMPRODUCT(ISNUMBER(AC80:AF80)*$AC$8:$AF$8)*10,2),""))))</f>
        <v/>
      </c>
      <c r="AI80" s="51" t="str">
        <f aca="false">IFERROR(MATCH("CE1-71",'REGISTRE ELEVES'!$AI$10:$AI$250,0),"")</f>
        <v/>
      </c>
    </row>
    <row r="81" customFormat="false" ht="15" hidden="false" customHeight="false" outlineLevel="0" collapsed="false">
      <c r="A81" s="73" t="str">
        <f aca="false">IF(B81="","",72)</f>
        <v/>
      </c>
      <c r="B81" s="73" t="str">
        <f aca="false">IF($AI81="","",INDEX('REGISTRE ELEVES'!$B$10:$B$250,$AI81))</f>
        <v/>
      </c>
      <c r="C81" s="74" t="str">
        <f aca="false">IF($AI81="","",INDEX('REGISTRE ELEVES'!$D$10:$D$250,$AI81))</f>
        <v/>
      </c>
      <c r="D81" s="73" t="str">
        <f aca="false">IF($AI81="","",INDEX('REGISTRE ELEVES'!$E$10:$E$250,$AI81))</f>
        <v/>
      </c>
      <c r="E81" s="73" t="str">
        <f aca="false">IF($AI81="","",INDEX('REGISTRE ELEVES'!$F$10:$F$250,$AI81))</f>
        <v/>
      </c>
      <c r="F81" s="73" t="str">
        <f aca="false">IF($AI81="","",INDEX('REGISTRE ELEVES'!$AE$10:$AE$250,$AI81))</f>
        <v/>
      </c>
      <c r="G81" s="75"/>
      <c r="H81" s="76"/>
      <c r="I81" s="76"/>
      <c r="J81" s="76"/>
      <c r="K81" s="76"/>
      <c r="L81" s="79" t="str">
        <f aca="false">IF(B81="","",IF($G81="NON",0,IF(COUNT(H81:K81)=0,"",SUM(H81:K81))))</f>
        <v/>
      </c>
      <c r="M81" s="77" t="str">
        <f aca="false">IF(B81="","",IF($G81="NON",0,IF(COUNT(H81:K81)=0,"",IFERROR(ROUND(SUM(H81:K81)/SUMPRODUCT(ISNUMBER(H81:K81)*$H$8:$K$8)*10,2),""))))</f>
        <v/>
      </c>
      <c r="N81" s="75"/>
      <c r="O81" s="76"/>
      <c r="P81" s="76"/>
      <c r="Q81" s="76"/>
      <c r="R81" s="76"/>
      <c r="S81" s="79" t="str">
        <f aca="false">IF(B81="","",IF($N81="NON",0,IF(COUNT(O81:R81)=0,"",SUM(O81:R81))))</f>
        <v/>
      </c>
      <c r="T81" s="77" t="str">
        <f aca="false">IF(B81="","",IF($N81="NON",0,IF(COUNT(O81:R81)=0,"",IFERROR(ROUND(SUM(O81:R81)/SUMPRODUCT(ISNUMBER(O81:R81)*$O$8:$R$8)*10,2),""))))</f>
        <v/>
      </c>
      <c r="U81" s="75"/>
      <c r="V81" s="76"/>
      <c r="W81" s="76"/>
      <c r="X81" s="76"/>
      <c r="Y81" s="76"/>
      <c r="Z81" s="79" t="str">
        <f aca="false">IF(B81="","",IF($U81="NON",0,IF(COUNT(V81:Y81)=0,"",SUM(V81:Y81))))</f>
        <v/>
      </c>
      <c r="AA81" s="77" t="str">
        <f aca="false">IF(B81="","",IF($U81="NON",0,IF(COUNT(V81:Y81)=0,"",IFERROR(ROUND(SUM(V81:Y81)/SUMPRODUCT(ISNUMBER(V81:Y81)*$V$8:$Y$8)*10,2),""))))</f>
        <v/>
      </c>
      <c r="AB81" s="75"/>
      <c r="AC81" s="76"/>
      <c r="AD81" s="76"/>
      <c r="AE81" s="76"/>
      <c r="AF81" s="76"/>
      <c r="AG81" s="79" t="str">
        <f aca="false">IF(B81="","",IF($AB81="NON",0,IF(COUNT(AC81:AF81)=0,"",SUM(AC81:AF81))))</f>
        <v/>
      </c>
      <c r="AH81" s="77" t="str">
        <f aca="false">IF(B81="","",IF($AB81="NON",0,IF(COUNT(AC81:AF81)=0,"",IFERROR(ROUND(SUM(AC81:AF81)/SUMPRODUCT(ISNUMBER(AC81:AF81)*$AC$8:$AF$8)*10,2),""))))</f>
        <v/>
      </c>
      <c r="AI81" s="51" t="str">
        <f aca="false">IFERROR(MATCH("CE1-72",'REGISTRE ELEVES'!$AI$10:$AI$250,0),"")</f>
        <v/>
      </c>
    </row>
    <row r="82" customFormat="false" ht="15" hidden="false" customHeight="false" outlineLevel="0" collapsed="false">
      <c r="A82" s="73" t="str">
        <f aca="false">IF(B82="","",73)</f>
        <v/>
      </c>
      <c r="B82" s="73" t="str">
        <f aca="false">IF($AI82="","",INDEX('REGISTRE ELEVES'!$B$10:$B$250,$AI82))</f>
        <v/>
      </c>
      <c r="C82" s="74" t="str">
        <f aca="false">IF($AI82="","",INDEX('REGISTRE ELEVES'!$D$10:$D$250,$AI82))</f>
        <v/>
      </c>
      <c r="D82" s="73" t="str">
        <f aca="false">IF($AI82="","",INDEX('REGISTRE ELEVES'!$E$10:$E$250,$AI82))</f>
        <v/>
      </c>
      <c r="E82" s="73" t="str">
        <f aca="false">IF($AI82="","",INDEX('REGISTRE ELEVES'!$F$10:$F$250,$AI82))</f>
        <v/>
      </c>
      <c r="F82" s="73" t="str">
        <f aca="false">IF($AI82="","",INDEX('REGISTRE ELEVES'!$AE$10:$AE$250,$AI82))</f>
        <v/>
      </c>
      <c r="G82" s="75"/>
      <c r="H82" s="76"/>
      <c r="I82" s="76"/>
      <c r="J82" s="76"/>
      <c r="K82" s="76"/>
      <c r="L82" s="79" t="str">
        <f aca="false">IF(B82="","",IF($G82="NON",0,IF(COUNT(H82:K82)=0,"",SUM(H82:K82))))</f>
        <v/>
      </c>
      <c r="M82" s="77" t="str">
        <f aca="false">IF(B82="","",IF($G82="NON",0,IF(COUNT(H82:K82)=0,"",IFERROR(ROUND(SUM(H82:K82)/SUMPRODUCT(ISNUMBER(H82:K82)*$H$8:$K$8)*10,2),""))))</f>
        <v/>
      </c>
      <c r="N82" s="75"/>
      <c r="O82" s="76"/>
      <c r="P82" s="76"/>
      <c r="Q82" s="76"/>
      <c r="R82" s="76"/>
      <c r="S82" s="79" t="str">
        <f aca="false">IF(B82="","",IF($N82="NON",0,IF(COUNT(O82:R82)=0,"",SUM(O82:R82))))</f>
        <v/>
      </c>
      <c r="T82" s="77" t="str">
        <f aca="false">IF(B82="","",IF($N82="NON",0,IF(COUNT(O82:R82)=0,"",IFERROR(ROUND(SUM(O82:R82)/SUMPRODUCT(ISNUMBER(O82:R82)*$O$8:$R$8)*10,2),""))))</f>
        <v/>
      </c>
      <c r="U82" s="75"/>
      <c r="V82" s="76"/>
      <c r="W82" s="76"/>
      <c r="X82" s="76"/>
      <c r="Y82" s="76"/>
      <c r="Z82" s="79" t="str">
        <f aca="false">IF(B82="","",IF($U82="NON",0,IF(COUNT(V82:Y82)=0,"",SUM(V82:Y82))))</f>
        <v/>
      </c>
      <c r="AA82" s="77" t="str">
        <f aca="false">IF(B82="","",IF($U82="NON",0,IF(COUNT(V82:Y82)=0,"",IFERROR(ROUND(SUM(V82:Y82)/SUMPRODUCT(ISNUMBER(V82:Y82)*$V$8:$Y$8)*10,2),""))))</f>
        <v/>
      </c>
      <c r="AB82" s="75"/>
      <c r="AC82" s="76"/>
      <c r="AD82" s="76"/>
      <c r="AE82" s="76"/>
      <c r="AF82" s="76"/>
      <c r="AG82" s="79" t="str">
        <f aca="false">IF(B82="","",IF($AB82="NON",0,IF(COUNT(AC82:AF82)=0,"",SUM(AC82:AF82))))</f>
        <v/>
      </c>
      <c r="AH82" s="77" t="str">
        <f aca="false">IF(B82="","",IF($AB82="NON",0,IF(COUNT(AC82:AF82)=0,"",IFERROR(ROUND(SUM(AC82:AF82)/SUMPRODUCT(ISNUMBER(AC82:AF82)*$AC$8:$AF$8)*10,2),""))))</f>
        <v/>
      </c>
      <c r="AI82" s="51" t="str">
        <f aca="false">IFERROR(MATCH("CE1-73",'REGISTRE ELEVES'!$AI$10:$AI$250,0),"")</f>
        <v/>
      </c>
    </row>
    <row r="83" customFormat="false" ht="15" hidden="false" customHeight="false" outlineLevel="0" collapsed="false">
      <c r="A83" s="73" t="str">
        <f aca="false">IF(B83="","",74)</f>
        <v/>
      </c>
      <c r="B83" s="73" t="str">
        <f aca="false">IF($AI83="","",INDEX('REGISTRE ELEVES'!$B$10:$B$250,$AI83))</f>
        <v/>
      </c>
      <c r="C83" s="74" t="str">
        <f aca="false">IF($AI83="","",INDEX('REGISTRE ELEVES'!$D$10:$D$250,$AI83))</f>
        <v/>
      </c>
      <c r="D83" s="73" t="str">
        <f aca="false">IF($AI83="","",INDEX('REGISTRE ELEVES'!$E$10:$E$250,$AI83))</f>
        <v/>
      </c>
      <c r="E83" s="73" t="str">
        <f aca="false">IF($AI83="","",INDEX('REGISTRE ELEVES'!$F$10:$F$250,$AI83))</f>
        <v/>
      </c>
      <c r="F83" s="73" t="str">
        <f aca="false">IF($AI83="","",INDEX('REGISTRE ELEVES'!$AE$10:$AE$250,$AI83))</f>
        <v/>
      </c>
      <c r="G83" s="75"/>
      <c r="H83" s="76"/>
      <c r="I83" s="76"/>
      <c r="J83" s="76"/>
      <c r="K83" s="76"/>
      <c r="L83" s="79" t="str">
        <f aca="false">IF(B83="","",IF($G83="NON",0,IF(COUNT(H83:K83)=0,"",SUM(H83:K83))))</f>
        <v/>
      </c>
      <c r="M83" s="77" t="str">
        <f aca="false">IF(B83="","",IF($G83="NON",0,IF(COUNT(H83:K83)=0,"",IFERROR(ROUND(SUM(H83:K83)/SUMPRODUCT(ISNUMBER(H83:K83)*$H$8:$K$8)*10,2),""))))</f>
        <v/>
      </c>
      <c r="N83" s="75"/>
      <c r="O83" s="76"/>
      <c r="P83" s="76"/>
      <c r="Q83" s="76"/>
      <c r="R83" s="76"/>
      <c r="S83" s="79" t="str">
        <f aca="false">IF(B83="","",IF($N83="NON",0,IF(COUNT(O83:R83)=0,"",SUM(O83:R83))))</f>
        <v/>
      </c>
      <c r="T83" s="77" t="str">
        <f aca="false">IF(B83="","",IF($N83="NON",0,IF(COUNT(O83:R83)=0,"",IFERROR(ROUND(SUM(O83:R83)/SUMPRODUCT(ISNUMBER(O83:R83)*$O$8:$R$8)*10,2),""))))</f>
        <v/>
      </c>
      <c r="U83" s="75"/>
      <c r="V83" s="76"/>
      <c r="W83" s="76"/>
      <c r="X83" s="76"/>
      <c r="Y83" s="76"/>
      <c r="Z83" s="79" t="str">
        <f aca="false">IF(B83="","",IF($U83="NON",0,IF(COUNT(V83:Y83)=0,"",SUM(V83:Y83))))</f>
        <v/>
      </c>
      <c r="AA83" s="77" t="str">
        <f aca="false">IF(B83="","",IF($U83="NON",0,IF(COUNT(V83:Y83)=0,"",IFERROR(ROUND(SUM(V83:Y83)/SUMPRODUCT(ISNUMBER(V83:Y83)*$V$8:$Y$8)*10,2),""))))</f>
        <v/>
      </c>
      <c r="AB83" s="75"/>
      <c r="AC83" s="76"/>
      <c r="AD83" s="76"/>
      <c r="AE83" s="76"/>
      <c r="AF83" s="76"/>
      <c r="AG83" s="79" t="str">
        <f aca="false">IF(B83="","",IF($AB83="NON",0,IF(COUNT(AC83:AF83)=0,"",SUM(AC83:AF83))))</f>
        <v/>
      </c>
      <c r="AH83" s="77" t="str">
        <f aca="false">IF(B83="","",IF($AB83="NON",0,IF(COUNT(AC83:AF83)=0,"",IFERROR(ROUND(SUM(AC83:AF83)/SUMPRODUCT(ISNUMBER(AC83:AF83)*$AC$8:$AF$8)*10,2),""))))</f>
        <v/>
      </c>
      <c r="AI83" s="51" t="str">
        <f aca="false">IFERROR(MATCH("CE1-74",'REGISTRE ELEVES'!$AI$10:$AI$250,0),"")</f>
        <v/>
      </c>
    </row>
    <row r="84" customFormat="false" ht="15" hidden="false" customHeight="false" outlineLevel="0" collapsed="false">
      <c r="A84" s="73" t="str">
        <f aca="false">IF(B84="","",75)</f>
        <v/>
      </c>
      <c r="B84" s="73" t="str">
        <f aca="false">IF($AI84="","",INDEX('REGISTRE ELEVES'!$B$10:$B$250,$AI84))</f>
        <v/>
      </c>
      <c r="C84" s="74" t="str">
        <f aca="false">IF($AI84="","",INDEX('REGISTRE ELEVES'!$D$10:$D$250,$AI84))</f>
        <v/>
      </c>
      <c r="D84" s="73" t="str">
        <f aca="false">IF($AI84="","",INDEX('REGISTRE ELEVES'!$E$10:$E$250,$AI84))</f>
        <v/>
      </c>
      <c r="E84" s="73" t="str">
        <f aca="false">IF($AI84="","",INDEX('REGISTRE ELEVES'!$F$10:$F$250,$AI84))</f>
        <v/>
      </c>
      <c r="F84" s="73" t="str">
        <f aca="false">IF($AI84="","",INDEX('REGISTRE ELEVES'!$AE$10:$AE$250,$AI84))</f>
        <v/>
      </c>
      <c r="G84" s="75"/>
      <c r="H84" s="76"/>
      <c r="I84" s="76"/>
      <c r="J84" s="76"/>
      <c r="K84" s="76"/>
      <c r="L84" s="79" t="str">
        <f aca="false">IF(B84="","",IF($G84="NON",0,IF(COUNT(H84:K84)=0,"",SUM(H84:K84))))</f>
        <v/>
      </c>
      <c r="M84" s="77" t="str">
        <f aca="false">IF(B84="","",IF($G84="NON",0,IF(COUNT(H84:K84)=0,"",IFERROR(ROUND(SUM(H84:K84)/SUMPRODUCT(ISNUMBER(H84:K84)*$H$8:$K$8)*10,2),""))))</f>
        <v/>
      </c>
      <c r="N84" s="75"/>
      <c r="O84" s="76"/>
      <c r="P84" s="76"/>
      <c r="Q84" s="76"/>
      <c r="R84" s="76"/>
      <c r="S84" s="79" t="str">
        <f aca="false">IF(B84="","",IF($N84="NON",0,IF(COUNT(O84:R84)=0,"",SUM(O84:R84))))</f>
        <v/>
      </c>
      <c r="T84" s="77" t="str">
        <f aca="false">IF(B84="","",IF($N84="NON",0,IF(COUNT(O84:R84)=0,"",IFERROR(ROUND(SUM(O84:R84)/SUMPRODUCT(ISNUMBER(O84:R84)*$O$8:$R$8)*10,2),""))))</f>
        <v/>
      </c>
      <c r="U84" s="75"/>
      <c r="V84" s="76"/>
      <c r="W84" s="76"/>
      <c r="X84" s="76"/>
      <c r="Y84" s="76"/>
      <c r="Z84" s="79" t="str">
        <f aca="false">IF(B84="","",IF($U84="NON",0,IF(COUNT(V84:Y84)=0,"",SUM(V84:Y84))))</f>
        <v/>
      </c>
      <c r="AA84" s="77" t="str">
        <f aca="false">IF(B84="","",IF($U84="NON",0,IF(COUNT(V84:Y84)=0,"",IFERROR(ROUND(SUM(V84:Y84)/SUMPRODUCT(ISNUMBER(V84:Y84)*$V$8:$Y$8)*10,2),""))))</f>
        <v/>
      </c>
      <c r="AB84" s="75"/>
      <c r="AC84" s="76"/>
      <c r="AD84" s="76"/>
      <c r="AE84" s="76"/>
      <c r="AF84" s="76"/>
      <c r="AG84" s="79" t="str">
        <f aca="false">IF(B84="","",IF($AB84="NON",0,IF(COUNT(AC84:AF84)=0,"",SUM(AC84:AF84))))</f>
        <v/>
      </c>
      <c r="AH84" s="77" t="str">
        <f aca="false">IF(B84="","",IF($AB84="NON",0,IF(COUNT(AC84:AF84)=0,"",IFERROR(ROUND(SUM(AC84:AF84)/SUMPRODUCT(ISNUMBER(AC84:AF84)*$AC$8:$AF$8)*10,2),""))))</f>
        <v/>
      </c>
      <c r="AI84" s="51" t="str">
        <f aca="false">IFERROR(MATCH("CE1-75",'REGISTRE ELEVES'!$AI$10:$AI$250,0),"")</f>
        <v/>
      </c>
    </row>
    <row r="85" customFormat="false" ht="15" hidden="false" customHeight="false" outlineLevel="0" collapsed="false">
      <c r="A85" s="73" t="str">
        <f aca="false">IF(B85="","",76)</f>
        <v/>
      </c>
      <c r="B85" s="73" t="str">
        <f aca="false">IF($AI85="","",INDEX('REGISTRE ELEVES'!$B$10:$B$250,$AI85))</f>
        <v/>
      </c>
      <c r="C85" s="74" t="str">
        <f aca="false">IF($AI85="","",INDEX('REGISTRE ELEVES'!$D$10:$D$250,$AI85))</f>
        <v/>
      </c>
      <c r="D85" s="73" t="str">
        <f aca="false">IF($AI85="","",INDEX('REGISTRE ELEVES'!$E$10:$E$250,$AI85))</f>
        <v/>
      </c>
      <c r="E85" s="73" t="str">
        <f aca="false">IF($AI85="","",INDEX('REGISTRE ELEVES'!$F$10:$F$250,$AI85))</f>
        <v/>
      </c>
      <c r="F85" s="73" t="str">
        <f aca="false">IF($AI85="","",INDEX('REGISTRE ELEVES'!$AE$10:$AE$250,$AI85))</f>
        <v/>
      </c>
      <c r="G85" s="75"/>
      <c r="H85" s="76"/>
      <c r="I85" s="76"/>
      <c r="J85" s="76"/>
      <c r="K85" s="76"/>
      <c r="L85" s="79" t="str">
        <f aca="false">IF(B85="","",IF($G85="NON",0,IF(COUNT(H85:K85)=0,"",SUM(H85:K85))))</f>
        <v/>
      </c>
      <c r="M85" s="77" t="str">
        <f aca="false">IF(B85="","",IF($G85="NON",0,IF(COUNT(H85:K85)=0,"",IFERROR(ROUND(SUM(H85:K85)/SUMPRODUCT(ISNUMBER(H85:K85)*$H$8:$K$8)*10,2),""))))</f>
        <v/>
      </c>
      <c r="N85" s="75"/>
      <c r="O85" s="76"/>
      <c r="P85" s="76"/>
      <c r="Q85" s="76"/>
      <c r="R85" s="76"/>
      <c r="S85" s="79" t="str">
        <f aca="false">IF(B85="","",IF($N85="NON",0,IF(COUNT(O85:R85)=0,"",SUM(O85:R85))))</f>
        <v/>
      </c>
      <c r="T85" s="77" t="str">
        <f aca="false">IF(B85="","",IF($N85="NON",0,IF(COUNT(O85:R85)=0,"",IFERROR(ROUND(SUM(O85:R85)/SUMPRODUCT(ISNUMBER(O85:R85)*$O$8:$R$8)*10,2),""))))</f>
        <v/>
      </c>
      <c r="U85" s="75"/>
      <c r="V85" s="76"/>
      <c r="W85" s="76"/>
      <c r="X85" s="76"/>
      <c r="Y85" s="76"/>
      <c r="Z85" s="79" t="str">
        <f aca="false">IF(B85="","",IF($U85="NON",0,IF(COUNT(V85:Y85)=0,"",SUM(V85:Y85))))</f>
        <v/>
      </c>
      <c r="AA85" s="77" t="str">
        <f aca="false">IF(B85="","",IF($U85="NON",0,IF(COUNT(V85:Y85)=0,"",IFERROR(ROUND(SUM(V85:Y85)/SUMPRODUCT(ISNUMBER(V85:Y85)*$V$8:$Y$8)*10,2),""))))</f>
        <v/>
      </c>
      <c r="AB85" s="75"/>
      <c r="AC85" s="76"/>
      <c r="AD85" s="76"/>
      <c r="AE85" s="76"/>
      <c r="AF85" s="76"/>
      <c r="AG85" s="79" t="str">
        <f aca="false">IF(B85="","",IF($AB85="NON",0,IF(COUNT(AC85:AF85)=0,"",SUM(AC85:AF85))))</f>
        <v/>
      </c>
      <c r="AH85" s="77" t="str">
        <f aca="false">IF(B85="","",IF($AB85="NON",0,IF(COUNT(AC85:AF85)=0,"",IFERROR(ROUND(SUM(AC85:AF85)/SUMPRODUCT(ISNUMBER(AC85:AF85)*$AC$8:$AF$8)*10,2),""))))</f>
        <v/>
      </c>
      <c r="AI85" s="51" t="str">
        <f aca="false">IFERROR(MATCH("CE1-76",'REGISTRE ELEVES'!$AI$10:$AI$250,0),"")</f>
        <v/>
      </c>
    </row>
    <row r="86" customFormat="false" ht="15" hidden="false" customHeight="false" outlineLevel="0" collapsed="false">
      <c r="A86" s="73" t="str">
        <f aca="false">IF(B86="","",77)</f>
        <v/>
      </c>
      <c r="B86" s="73" t="str">
        <f aca="false">IF($AI86="","",INDEX('REGISTRE ELEVES'!$B$10:$B$250,$AI86))</f>
        <v/>
      </c>
      <c r="C86" s="74" t="str">
        <f aca="false">IF($AI86="","",INDEX('REGISTRE ELEVES'!$D$10:$D$250,$AI86))</f>
        <v/>
      </c>
      <c r="D86" s="73" t="str">
        <f aca="false">IF($AI86="","",INDEX('REGISTRE ELEVES'!$E$10:$E$250,$AI86))</f>
        <v/>
      </c>
      <c r="E86" s="73" t="str">
        <f aca="false">IF($AI86="","",INDEX('REGISTRE ELEVES'!$F$10:$F$250,$AI86))</f>
        <v/>
      </c>
      <c r="F86" s="73" t="str">
        <f aca="false">IF($AI86="","",INDEX('REGISTRE ELEVES'!$AE$10:$AE$250,$AI86))</f>
        <v/>
      </c>
      <c r="G86" s="75"/>
      <c r="H86" s="76"/>
      <c r="I86" s="76"/>
      <c r="J86" s="76"/>
      <c r="K86" s="76"/>
      <c r="L86" s="79" t="str">
        <f aca="false">IF(B86="","",IF($G86="NON",0,IF(COUNT(H86:K86)=0,"",SUM(H86:K86))))</f>
        <v/>
      </c>
      <c r="M86" s="77" t="str">
        <f aca="false">IF(B86="","",IF($G86="NON",0,IF(COUNT(H86:K86)=0,"",IFERROR(ROUND(SUM(H86:K86)/SUMPRODUCT(ISNUMBER(H86:K86)*$H$8:$K$8)*10,2),""))))</f>
        <v/>
      </c>
      <c r="N86" s="75"/>
      <c r="O86" s="76"/>
      <c r="P86" s="76"/>
      <c r="Q86" s="76"/>
      <c r="R86" s="76"/>
      <c r="S86" s="79" t="str">
        <f aca="false">IF(B86="","",IF($N86="NON",0,IF(COUNT(O86:R86)=0,"",SUM(O86:R86))))</f>
        <v/>
      </c>
      <c r="T86" s="77" t="str">
        <f aca="false">IF(B86="","",IF($N86="NON",0,IF(COUNT(O86:R86)=0,"",IFERROR(ROUND(SUM(O86:R86)/SUMPRODUCT(ISNUMBER(O86:R86)*$O$8:$R$8)*10,2),""))))</f>
        <v/>
      </c>
      <c r="U86" s="75"/>
      <c r="V86" s="76"/>
      <c r="W86" s="76"/>
      <c r="X86" s="76"/>
      <c r="Y86" s="76"/>
      <c r="Z86" s="79" t="str">
        <f aca="false">IF(B86="","",IF($U86="NON",0,IF(COUNT(V86:Y86)=0,"",SUM(V86:Y86))))</f>
        <v/>
      </c>
      <c r="AA86" s="77" t="str">
        <f aca="false">IF(B86="","",IF($U86="NON",0,IF(COUNT(V86:Y86)=0,"",IFERROR(ROUND(SUM(V86:Y86)/SUMPRODUCT(ISNUMBER(V86:Y86)*$V$8:$Y$8)*10,2),""))))</f>
        <v/>
      </c>
      <c r="AB86" s="75"/>
      <c r="AC86" s="76"/>
      <c r="AD86" s="76"/>
      <c r="AE86" s="76"/>
      <c r="AF86" s="76"/>
      <c r="AG86" s="79" t="str">
        <f aca="false">IF(B86="","",IF($AB86="NON",0,IF(COUNT(AC86:AF86)=0,"",SUM(AC86:AF86))))</f>
        <v/>
      </c>
      <c r="AH86" s="77" t="str">
        <f aca="false">IF(B86="","",IF($AB86="NON",0,IF(COUNT(AC86:AF86)=0,"",IFERROR(ROUND(SUM(AC86:AF86)/SUMPRODUCT(ISNUMBER(AC86:AF86)*$AC$8:$AF$8)*10,2),""))))</f>
        <v/>
      </c>
      <c r="AI86" s="51" t="str">
        <f aca="false">IFERROR(MATCH("CE1-77",'REGISTRE ELEVES'!$AI$10:$AI$250,0),"")</f>
        <v/>
      </c>
    </row>
    <row r="87" customFormat="false" ht="15" hidden="false" customHeight="false" outlineLevel="0" collapsed="false">
      <c r="A87" s="73" t="str">
        <f aca="false">IF(B87="","",78)</f>
        <v/>
      </c>
      <c r="B87" s="73" t="str">
        <f aca="false">IF($AI87="","",INDEX('REGISTRE ELEVES'!$B$10:$B$250,$AI87))</f>
        <v/>
      </c>
      <c r="C87" s="74" t="str">
        <f aca="false">IF($AI87="","",INDEX('REGISTRE ELEVES'!$D$10:$D$250,$AI87))</f>
        <v/>
      </c>
      <c r="D87" s="73" t="str">
        <f aca="false">IF($AI87="","",INDEX('REGISTRE ELEVES'!$E$10:$E$250,$AI87))</f>
        <v/>
      </c>
      <c r="E87" s="73" t="str">
        <f aca="false">IF($AI87="","",INDEX('REGISTRE ELEVES'!$F$10:$F$250,$AI87))</f>
        <v/>
      </c>
      <c r="F87" s="73" t="str">
        <f aca="false">IF($AI87="","",INDEX('REGISTRE ELEVES'!$AE$10:$AE$250,$AI87))</f>
        <v/>
      </c>
      <c r="G87" s="75"/>
      <c r="H87" s="76"/>
      <c r="I87" s="76"/>
      <c r="J87" s="76"/>
      <c r="K87" s="76"/>
      <c r="L87" s="79" t="str">
        <f aca="false">IF(B87="","",IF($G87="NON",0,IF(COUNT(H87:K87)=0,"",SUM(H87:K87))))</f>
        <v/>
      </c>
      <c r="M87" s="77" t="str">
        <f aca="false">IF(B87="","",IF($G87="NON",0,IF(COUNT(H87:K87)=0,"",IFERROR(ROUND(SUM(H87:K87)/SUMPRODUCT(ISNUMBER(H87:K87)*$H$8:$K$8)*10,2),""))))</f>
        <v/>
      </c>
      <c r="N87" s="75"/>
      <c r="O87" s="76"/>
      <c r="P87" s="76"/>
      <c r="Q87" s="76"/>
      <c r="R87" s="76"/>
      <c r="S87" s="79" t="str">
        <f aca="false">IF(B87="","",IF($N87="NON",0,IF(COUNT(O87:R87)=0,"",SUM(O87:R87))))</f>
        <v/>
      </c>
      <c r="T87" s="77" t="str">
        <f aca="false">IF(B87="","",IF($N87="NON",0,IF(COUNT(O87:R87)=0,"",IFERROR(ROUND(SUM(O87:R87)/SUMPRODUCT(ISNUMBER(O87:R87)*$O$8:$R$8)*10,2),""))))</f>
        <v/>
      </c>
      <c r="U87" s="75"/>
      <c r="V87" s="76"/>
      <c r="W87" s="76"/>
      <c r="X87" s="76"/>
      <c r="Y87" s="76"/>
      <c r="Z87" s="79" t="str">
        <f aca="false">IF(B87="","",IF($U87="NON",0,IF(COUNT(V87:Y87)=0,"",SUM(V87:Y87))))</f>
        <v/>
      </c>
      <c r="AA87" s="77" t="str">
        <f aca="false">IF(B87="","",IF($U87="NON",0,IF(COUNT(V87:Y87)=0,"",IFERROR(ROUND(SUM(V87:Y87)/SUMPRODUCT(ISNUMBER(V87:Y87)*$V$8:$Y$8)*10,2),""))))</f>
        <v/>
      </c>
      <c r="AB87" s="75"/>
      <c r="AC87" s="76"/>
      <c r="AD87" s="76"/>
      <c r="AE87" s="76"/>
      <c r="AF87" s="76"/>
      <c r="AG87" s="79" t="str">
        <f aca="false">IF(B87="","",IF($AB87="NON",0,IF(COUNT(AC87:AF87)=0,"",SUM(AC87:AF87))))</f>
        <v/>
      </c>
      <c r="AH87" s="77" t="str">
        <f aca="false">IF(B87="","",IF($AB87="NON",0,IF(COUNT(AC87:AF87)=0,"",IFERROR(ROUND(SUM(AC87:AF87)/SUMPRODUCT(ISNUMBER(AC87:AF87)*$AC$8:$AF$8)*10,2),""))))</f>
        <v/>
      </c>
      <c r="AI87" s="51" t="str">
        <f aca="false">IFERROR(MATCH("CE1-78",'REGISTRE ELEVES'!$AI$10:$AI$250,0),"")</f>
        <v/>
      </c>
    </row>
    <row r="88" customFormat="false" ht="15" hidden="false" customHeight="false" outlineLevel="0" collapsed="false">
      <c r="A88" s="73" t="str">
        <f aca="false">IF(B88="","",79)</f>
        <v/>
      </c>
      <c r="B88" s="73" t="str">
        <f aca="false">IF($AI88="","",INDEX('REGISTRE ELEVES'!$B$10:$B$250,$AI88))</f>
        <v/>
      </c>
      <c r="C88" s="74" t="str">
        <f aca="false">IF($AI88="","",INDEX('REGISTRE ELEVES'!$D$10:$D$250,$AI88))</f>
        <v/>
      </c>
      <c r="D88" s="73" t="str">
        <f aca="false">IF($AI88="","",INDEX('REGISTRE ELEVES'!$E$10:$E$250,$AI88))</f>
        <v/>
      </c>
      <c r="E88" s="73" t="str">
        <f aca="false">IF($AI88="","",INDEX('REGISTRE ELEVES'!$F$10:$F$250,$AI88))</f>
        <v/>
      </c>
      <c r="F88" s="73" t="str">
        <f aca="false">IF($AI88="","",INDEX('REGISTRE ELEVES'!$AE$10:$AE$250,$AI88))</f>
        <v/>
      </c>
      <c r="G88" s="75"/>
      <c r="H88" s="76"/>
      <c r="I88" s="76"/>
      <c r="J88" s="76"/>
      <c r="K88" s="76"/>
      <c r="L88" s="79" t="str">
        <f aca="false">IF(B88="","",IF($G88="NON",0,IF(COUNT(H88:K88)=0,"",SUM(H88:K88))))</f>
        <v/>
      </c>
      <c r="M88" s="77" t="str">
        <f aca="false">IF(B88="","",IF($G88="NON",0,IF(COUNT(H88:K88)=0,"",IFERROR(ROUND(SUM(H88:K88)/SUMPRODUCT(ISNUMBER(H88:K88)*$H$8:$K$8)*10,2),""))))</f>
        <v/>
      </c>
      <c r="N88" s="75"/>
      <c r="O88" s="76"/>
      <c r="P88" s="76"/>
      <c r="Q88" s="76"/>
      <c r="R88" s="76"/>
      <c r="S88" s="79" t="str">
        <f aca="false">IF(B88="","",IF($N88="NON",0,IF(COUNT(O88:R88)=0,"",SUM(O88:R88))))</f>
        <v/>
      </c>
      <c r="T88" s="77" t="str">
        <f aca="false">IF(B88="","",IF($N88="NON",0,IF(COUNT(O88:R88)=0,"",IFERROR(ROUND(SUM(O88:R88)/SUMPRODUCT(ISNUMBER(O88:R88)*$O$8:$R$8)*10,2),""))))</f>
        <v/>
      </c>
      <c r="U88" s="75"/>
      <c r="V88" s="76"/>
      <c r="W88" s="76"/>
      <c r="X88" s="76"/>
      <c r="Y88" s="76"/>
      <c r="Z88" s="79" t="str">
        <f aca="false">IF(B88="","",IF($U88="NON",0,IF(COUNT(V88:Y88)=0,"",SUM(V88:Y88))))</f>
        <v/>
      </c>
      <c r="AA88" s="77" t="str">
        <f aca="false">IF(B88="","",IF($U88="NON",0,IF(COUNT(V88:Y88)=0,"",IFERROR(ROUND(SUM(V88:Y88)/SUMPRODUCT(ISNUMBER(V88:Y88)*$V$8:$Y$8)*10,2),""))))</f>
        <v/>
      </c>
      <c r="AB88" s="75"/>
      <c r="AC88" s="76"/>
      <c r="AD88" s="76"/>
      <c r="AE88" s="76"/>
      <c r="AF88" s="76"/>
      <c r="AG88" s="79" t="str">
        <f aca="false">IF(B88="","",IF($AB88="NON",0,IF(COUNT(AC88:AF88)=0,"",SUM(AC88:AF88))))</f>
        <v/>
      </c>
      <c r="AH88" s="77" t="str">
        <f aca="false">IF(B88="","",IF($AB88="NON",0,IF(COUNT(AC88:AF88)=0,"",IFERROR(ROUND(SUM(AC88:AF88)/SUMPRODUCT(ISNUMBER(AC88:AF88)*$AC$8:$AF$8)*10,2),""))))</f>
        <v/>
      </c>
      <c r="AI88" s="51" t="str">
        <f aca="false">IFERROR(MATCH("CE1-79",'REGISTRE ELEVES'!$AI$10:$AI$250,0),"")</f>
        <v/>
      </c>
    </row>
    <row r="89" customFormat="false" ht="15" hidden="false" customHeight="false" outlineLevel="0" collapsed="false">
      <c r="A89" s="73" t="str">
        <f aca="false">IF(B89="","",80)</f>
        <v/>
      </c>
      <c r="B89" s="73" t="str">
        <f aca="false">IF($AI89="","",INDEX('REGISTRE ELEVES'!$B$10:$B$250,$AI89))</f>
        <v/>
      </c>
      <c r="C89" s="74" t="str">
        <f aca="false">IF($AI89="","",INDEX('REGISTRE ELEVES'!$D$10:$D$250,$AI89))</f>
        <v/>
      </c>
      <c r="D89" s="73" t="str">
        <f aca="false">IF($AI89="","",INDEX('REGISTRE ELEVES'!$E$10:$E$250,$AI89))</f>
        <v/>
      </c>
      <c r="E89" s="73" t="str">
        <f aca="false">IF($AI89="","",INDEX('REGISTRE ELEVES'!$F$10:$F$250,$AI89))</f>
        <v/>
      </c>
      <c r="F89" s="73" t="str">
        <f aca="false">IF($AI89="","",INDEX('REGISTRE ELEVES'!$AE$10:$AE$250,$AI89))</f>
        <v/>
      </c>
      <c r="G89" s="75"/>
      <c r="H89" s="76"/>
      <c r="I89" s="76"/>
      <c r="J89" s="76"/>
      <c r="K89" s="76"/>
      <c r="L89" s="79" t="str">
        <f aca="false">IF(B89="","",IF($G89="NON",0,IF(COUNT(H89:K89)=0,"",SUM(H89:K89))))</f>
        <v/>
      </c>
      <c r="M89" s="77" t="str">
        <f aca="false">IF(B89="","",IF($G89="NON",0,IF(COUNT(H89:K89)=0,"",IFERROR(ROUND(SUM(H89:K89)/SUMPRODUCT(ISNUMBER(H89:K89)*$H$8:$K$8)*10,2),""))))</f>
        <v/>
      </c>
      <c r="N89" s="75"/>
      <c r="O89" s="76"/>
      <c r="P89" s="76"/>
      <c r="Q89" s="76"/>
      <c r="R89" s="76"/>
      <c r="S89" s="79" t="str">
        <f aca="false">IF(B89="","",IF($N89="NON",0,IF(COUNT(O89:R89)=0,"",SUM(O89:R89))))</f>
        <v/>
      </c>
      <c r="T89" s="77" t="str">
        <f aca="false">IF(B89="","",IF($N89="NON",0,IF(COUNT(O89:R89)=0,"",IFERROR(ROUND(SUM(O89:R89)/SUMPRODUCT(ISNUMBER(O89:R89)*$O$8:$R$8)*10,2),""))))</f>
        <v/>
      </c>
      <c r="U89" s="75"/>
      <c r="V89" s="76"/>
      <c r="W89" s="76"/>
      <c r="X89" s="76"/>
      <c r="Y89" s="76"/>
      <c r="Z89" s="79" t="str">
        <f aca="false">IF(B89="","",IF($U89="NON",0,IF(COUNT(V89:Y89)=0,"",SUM(V89:Y89))))</f>
        <v/>
      </c>
      <c r="AA89" s="77" t="str">
        <f aca="false">IF(B89="","",IF($U89="NON",0,IF(COUNT(V89:Y89)=0,"",IFERROR(ROUND(SUM(V89:Y89)/SUMPRODUCT(ISNUMBER(V89:Y89)*$V$8:$Y$8)*10,2),""))))</f>
        <v/>
      </c>
      <c r="AB89" s="75"/>
      <c r="AC89" s="76"/>
      <c r="AD89" s="76"/>
      <c r="AE89" s="76"/>
      <c r="AF89" s="76"/>
      <c r="AG89" s="79" t="str">
        <f aca="false">IF(B89="","",IF($AB89="NON",0,IF(COUNT(AC89:AF89)=0,"",SUM(AC89:AF89))))</f>
        <v/>
      </c>
      <c r="AH89" s="77" t="str">
        <f aca="false">IF(B89="","",IF($AB89="NON",0,IF(COUNT(AC89:AF89)=0,"",IFERROR(ROUND(SUM(AC89:AF89)/SUMPRODUCT(ISNUMBER(AC89:AF89)*$AC$8:$AF$8)*10,2),""))))</f>
        <v/>
      </c>
      <c r="AI89" s="51" t="str">
        <f aca="false">IFERROR(MATCH("CE1-80",'REGISTRE ELEVES'!$AI$10:$AI$250,0),"")</f>
        <v/>
      </c>
    </row>
    <row r="90" customFormat="false" ht="15" hidden="false" customHeight="false" outlineLevel="0" collapsed="false">
      <c r="A90" s="73" t="str">
        <f aca="false">IF(B90="","",81)</f>
        <v/>
      </c>
      <c r="B90" s="73" t="str">
        <f aca="false">IF($AI90="","",INDEX('REGISTRE ELEVES'!$B$10:$B$250,$AI90))</f>
        <v/>
      </c>
      <c r="C90" s="74" t="str">
        <f aca="false">IF($AI90="","",INDEX('REGISTRE ELEVES'!$D$10:$D$250,$AI90))</f>
        <v/>
      </c>
      <c r="D90" s="73" t="str">
        <f aca="false">IF($AI90="","",INDEX('REGISTRE ELEVES'!$E$10:$E$250,$AI90))</f>
        <v/>
      </c>
      <c r="E90" s="73" t="str">
        <f aca="false">IF($AI90="","",INDEX('REGISTRE ELEVES'!$F$10:$F$250,$AI90))</f>
        <v/>
      </c>
      <c r="F90" s="73" t="str">
        <f aca="false">IF($AI90="","",INDEX('REGISTRE ELEVES'!$AE$10:$AE$250,$AI90))</f>
        <v/>
      </c>
      <c r="G90" s="75"/>
      <c r="H90" s="76"/>
      <c r="I90" s="76"/>
      <c r="J90" s="76"/>
      <c r="K90" s="76"/>
      <c r="L90" s="79" t="str">
        <f aca="false">IF(B90="","",IF($G90="NON",0,IF(COUNT(H90:K90)=0,"",SUM(H90:K90))))</f>
        <v/>
      </c>
      <c r="M90" s="77" t="str">
        <f aca="false">IF(B90="","",IF($G90="NON",0,IF(COUNT(H90:K90)=0,"",IFERROR(ROUND(SUM(H90:K90)/SUMPRODUCT(ISNUMBER(H90:K90)*$H$8:$K$8)*10,2),""))))</f>
        <v/>
      </c>
      <c r="N90" s="75"/>
      <c r="O90" s="76"/>
      <c r="P90" s="76"/>
      <c r="Q90" s="76"/>
      <c r="R90" s="76"/>
      <c r="S90" s="79" t="str">
        <f aca="false">IF(B90="","",IF($N90="NON",0,IF(COUNT(O90:R90)=0,"",SUM(O90:R90))))</f>
        <v/>
      </c>
      <c r="T90" s="77" t="str">
        <f aca="false">IF(B90="","",IF($N90="NON",0,IF(COUNT(O90:R90)=0,"",IFERROR(ROUND(SUM(O90:R90)/SUMPRODUCT(ISNUMBER(O90:R90)*$O$8:$R$8)*10,2),""))))</f>
        <v/>
      </c>
      <c r="U90" s="75"/>
      <c r="V90" s="76"/>
      <c r="W90" s="76"/>
      <c r="X90" s="76"/>
      <c r="Y90" s="76"/>
      <c r="Z90" s="79" t="str">
        <f aca="false">IF(B90="","",IF($U90="NON",0,IF(COUNT(V90:Y90)=0,"",SUM(V90:Y90))))</f>
        <v/>
      </c>
      <c r="AA90" s="77" t="str">
        <f aca="false">IF(B90="","",IF($U90="NON",0,IF(COUNT(V90:Y90)=0,"",IFERROR(ROUND(SUM(V90:Y90)/SUMPRODUCT(ISNUMBER(V90:Y90)*$V$8:$Y$8)*10,2),""))))</f>
        <v/>
      </c>
      <c r="AB90" s="75"/>
      <c r="AC90" s="76"/>
      <c r="AD90" s="76"/>
      <c r="AE90" s="76"/>
      <c r="AF90" s="76"/>
      <c r="AG90" s="79" t="str">
        <f aca="false">IF(B90="","",IF($AB90="NON",0,IF(COUNT(AC90:AF90)=0,"",SUM(AC90:AF90))))</f>
        <v/>
      </c>
      <c r="AH90" s="77" t="str">
        <f aca="false">IF(B90="","",IF($AB90="NON",0,IF(COUNT(AC90:AF90)=0,"",IFERROR(ROUND(SUM(AC90:AF90)/SUMPRODUCT(ISNUMBER(AC90:AF90)*$AC$8:$AF$8)*10,2),""))))</f>
        <v/>
      </c>
      <c r="AI90" s="51" t="str">
        <f aca="false">IFERROR(MATCH("CE1-81",'REGISTRE ELEVES'!$AI$10:$AI$250,0),"")</f>
        <v/>
      </c>
    </row>
    <row r="91" customFormat="false" ht="15" hidden="false" customHeight="false" outlineLevel="0" collapsed="false">
      <c r="A91" s="73" t="str">
        <f aca="false">IF(B91="","",82)</f>
        <v/>
      </c>
      <c r="B91" s="73" t="str">
        <f aca="false">IF($AI91="","",INDEX('REGISTRE ELEVES'!$B$10:$B$250,$AI91))</f>
        <v/>
      </c>
      <c r="C91" s="74" t="str">
        <f aca="false">IF($AI91="","",INDEX('REGISTRE ELEVES'!$D$10:$D$250,$AI91))</f>
        <v/>
      </c>
      <c r="D91" s="73" t="str">
        <f aca="false">IF($AI91="","",INDEX('REGISTRE ELEVES'!$E$10:$E$250,$AI91))</f>
        <v/>
      </c>
      <c r="E91" s="73" t="str">
        <f aca="false">IF($AI91="","",INDEX('REGISTRE ELEVES'!$F$10:$F$250,$AI91))</f>
        <v/>
      </c>
      <c r="F91" s="73" t="str">
        <f aca="false">IF($AI91="","",INDEX('REGISTRE ELEVES'!$AE$10:$AE$250,$AI91))</f>
        <v/>
      </c>
      <c r="G91" s="75"/>
      <c r="H91" s="76"/>
      <c r="I91" s="76"/>
      <c r="J91" s="76"/>
      <c r="K91" s="76"/>
      <c r="L91" s="79" t="str">
        <f aca="false">IF(B91="","",IF($G91="NON",0,IF(COUNT(H91:K91)=0,"",SUM(H91:K91))))</f>
        <v/>
      </c>
      <c r="M91" s="77" t="str">
        <f aca="false">IF(B91="","",IF($G91="NON",0,IF(COUNT(H91:K91)=0,"",IFERROR(ROUND(SUM(H91:K91)/SUMPRODUCT(ISNUMBER(H91:K91)*$H$8:$K$8)*10,2),""))))</f>
        <v/>
      </c>
      <c r="N91" s="75"/>
      <c r="O91" s="76"/>
      <c r="P91" s="76"/>
      <c r="Q91" s="76"/>
      <c r="R91" s="76"/>
      <c r="S91" s="79" t="str">
        <f aca="false">IF(B91="","",IF($N91="NON",0,IF(COUNT(O91:R91)=0,"",SUM(O91:R91))))</f>
        <v/>
      </c>
      <c r="T91" s="77" t="str">
        <f aca="false">IF(B91="","",IF($N91="NON",0,IF(COUNT(O91:R91)=0,"",IFERROR(ROUND(SUM(O91:R91)/SUMPRODUCT(ISNUMBER(O91:R91)*$O$8:$R$8)*10,2),""))))</f>
        <v/>
      </c>
      <c r="U91" s="75"/>
      <c r="V91" s="76"/>
      <c r="W91" s="76"/>
      <c r="X91" s="76"/>
      <c r="Y91" s="76"/>
      <c r="Z91" s="79" t="str">
        <f aca="false">IF(B91="","",IF($U91="NON",0,IF(COUNT(V91:Y91)=0,"",SUM(V91:Y91))))</f>
        <v/>
      </c>
      <c r="AA91" s="77" t="str">
        <f aca="false">IF(B91="","",IF($U91="NON",0,IF(COUNT(V91:Y91)=0,"",IFERROR(ROUND(SUM(V91:Y91)/SUMPRODUCT(ISNUMBER(V91:Y91)*$V$8:$Y$8)*10,2),""))))</f>
        <v/>
      </c>
      <c r="AB91" s="75"/>
      <c r="AC91" s="76"/>
      <c r="AD91" s="76"/>
      <c r="AE91" s="76"/>
      <c r="AF91" s="76"/>
      <c r="AG91" s="79" t="str">
        <f aca="false">IF(B91="","",IF($AB91="NON",0,IF(COUNT(AC91:AF91)=0,"",SUM(AC91:AF91))))</f>
        <v/>
      </c>
      <c r="AH91" s="77" t="str">
        <f aca="false">IF(B91="","",IF($AB91="NON",0,IF(COUNT(AC91:AF91)=0,"",IFERROR(ROUND(SUM(AC91:AF91)/SUMPRODUCT(ISNUMBER(AC91:AF91)*$AC$8:$AF$8)*10,2),""))))</f>
        <v/>
      </c>
      <c r="AI91" s="51" t="str">
        <f aca="false">IFERROR(MATCH("CE1-82",'REGISTRE ELEVES'!$AI$10:$AI$250,0),"")</f>
        <v/>
      </c>
    </row>
    <row r="92" customFormat="false" ht="15" hidden="false" customHeight="false" outlineLevel="0" collapsed="false">
      <c r="A92" s="73" t="str">
        <f aca="false">IF(B92="","",83)</f>
        <v/>
      </c>
      <c r="B92" s="73" t="str">
        <f aca="false">IF($AI92="","",INDEX('REGISTRE ELEVES'!$B$10:$B$250,$AI92))</f>
        <v/>
      </c>
      <c r="C92" s="74" t="str">
        <f aca="false">IF($AI92="","",INDEX('REGISTRE ELEVES'!$D$10:$D$250,$AI92))</f>
        <v/>
      </c>
      <c r="D92" s="73" t="str">
        <f aca="false">IF($AI92="","",INDEX('REGISTRE ELEVES'!$E$10:$E$250,$AI92))</f>
        <v/>
      </c>
      <c r="E92" s="73" t="str">
        <f aca="false">IF($AI92="","",INDEX('REGISTRE ELEVES'!$F$10:$F$250,$AI92))</f>
        <v/>
      </c>
      <c r="F92" s="73" t="str">
        <f aca="false">IF($AI92="","",INDEX('REGISTRE ELEVES'!$AE$10:$AE$250,$AI92))</f>
        <v/>
      </c>
      <c r="G92" s="75"/>
      <c r="H92" s="76"/>
      <c r="I92" s="76"/>
      <c r="J92" s="76"/>
      <c r="K92" s="76"/>
      <c r="L92" s="79" t="str">
        <f aca="false">IF(B92="","",IF($G92="NON",0,IF(COUNT(H92:K92)=0,"",SUM(H92:K92))))</f>
        <v/>
      </c>
      <c r="M92" s="77" t="str">
        <f aca="false">IF(B92="","",IF($G92="NON",0,IF(COUNT(H92:K92)=0,"",IFERROR(ROUND(SUM(H92:K92)/SUMPRODUCT(ISNUMBER(H92:K92)*$H$8:$K$8)*10,2),""))))</f>
        <v/>
      </c>
      <c r="N92" s="75"/>
      <c r="O92" s="76"/>
      <c r="P92" s="76"/>
      <c r="Q92" s="76"/>
      <c r="R92" s="76"/>
      <c r="S92" s="79" t="str">
        <f aca="false">IF(B92="","",IF($N92="NON",0,IF(COUNT(O92:R92)=0,"",SUM(O92:R92))))</f>
        <v/>
      </c>
      <c r="T92" s="77" t="str">
        <f aca="false">IF(B92="","",IF($N92="NON",0,IF(COUNT(O92:R92)=0,"",IFERROR(ROUND(SUM(O92:R92)/SUMPRODUCT(ISNUMBER(O92:R92)*$O$8:$R$8)*10,2),""))))</f>
        <v/>
      </c>
      <c r="U92" s="75"/>
      <c r="V92" s="76"/>
      <c r="W92" s="76"/>
      <c r="X92" s="76"/>
      <c r="Y92" s="76"/>
      <c r="Z92" s="79" t="str">
        <f aca="false">IF(B92="","",IF($U92="NON",0,IF(COUNT(V92:Y92)=0,"",SUM(V92:Y92))))</f>
        <v/>
      </c>
      <c r="AA92" s="77" t="str">
        <f aca="false">IF(B92="","",IF($U92="NON",0,IF(COUNT(V92:Y92)=0,"",IFERROR(ROUND(SUM(V92:Y92)/SUMPRODUCT(ISNUMBER(V92:Y92)*$V$8:$Y$8)*10,2),""))))</f>
        <v/>
      </c>
      <c r="AB92" s="75"/>
      <c r="AC92" s="76"/>
      <c r="AD92" s="76"/>
      <c r="AE92" s="76"/>
      <c r="AF92" s="76"/>
      <c r="AG92" s="79" t="str">
        <f aca="false">IF(B92="","",IF($AB92="NON",0,IF(COUNT(AC92:AF92)=0,"",SUM(AC92:AF92))))</f>
        <v/>
      </c>
      <c r="AH92" s="77" t="str">
        <f aca="false">IF(B92="","",IF($AB92="NON",0,IF(COUNT(AC92:AF92)=0,"",IFERROR(ROUND(SUM(AC92:AF92)/SUMPRODUCT(ISNUMBER(AC92:AF92)*$AC$8:$AF$8)*10,2),""))))</f>
        <v/>
      </c>
      <c r="AI92" s="51" t="str">
        <f aca="false">IFERROR(MATCH("CE1-83",'REGISTRE ELEVES'!$AI$10:$AI$250,0),"")</f>
        <v/>
      </c>
    </row>
    <row r="93" customFormat="false" ht="15" hidden="false" customHeight="false" outlineLevel="0" collapsed="false">
      <c r="A93" s="73" t="str">
        <f aca="false">IF(B93="","",84)</f>
        <v/>
      </c>
      <c r="B93" s="73" t="str">
        <f aca="false">IF($AI93="","",INDEX('REGISTRE ELEVES'!$B$10:$B$250,$AI93))</f>
        <v/>
      </c>
      <c r="C93" s="74" t="str">
        <f aca="false">IF($AI93="","",INDEX('REGISTRE ELEVES'!$D$10:$D$250,$AI93))</f>
        <v/>
      </c>
      <c r="D93" s="73" t="str">
        <f aca="false">IF($AI93="","",INDEX('REGISTRE ELEVES'!$E$10:$E$250,$AI93))</f>
        <v/>
      </c>
      <c r="E93" s="73" t="str">
        <f aca="false">IF($AI93="","",INDEX('REGISTRE ELEVES'!$F$10:$F$250,$AI93))</f>
        <v/>
      </c>
      <c r="F93" s="73" t="str">
        <f aca="false">IF($AI93="","",INDEX('REGISTRE ELEVES'!$AE$10:$AE$250,$AI93))</f>
        <v/>
      </c>
      <c r="G93" s="75"/>
      <c r="H93" s="76"/>
      <c r="I93" s="76"/>
      <c r="J93" s="76"/>
      <c r="K93" s="76"/>
      <c r="L93" s="79" t="str">
        <f aca="false">IF(B93="","",IF($G93="NON",0,IF(COUNT(H93:K93)=0,"",SUM(H93:K93))))</f>
        <v/>
      </c>
      <c r="M93" s="77" t="str">
        <f aca="false">IF(B93="","",IF($G93="NON",0,IF(COUNT(H93:K93)=0,"",IFERROR(ROUND(SUM(H93:K93)/SUMPRODUCT(ISNUMBER(H93:K93)*$H$8:$K$8)*10,2),""))))</f>
        <v/>
      </c>
      <c r="N93" s="75"/>
      <c r="O93" s="76"/>
      <c r="P93" s="76"/>
      <c r="Q93" s="76"/>
      <c r="R93" s="76"/>
      <c r="S93" s="79" t="str">
        <f aca="false">IF(B93="","",IF($N93="NON",0,IF(COUNT(O93:R93)=0,"",SUM(O93:R93))))</f>
        <v/>
      </c>
      <c r="T93" s="77" t="str">
        <f aca="false">IF(B93="","",IF($N93="NON",0,IF(COUNT(O93:R93)=0,"",IFERROR(ROUND(SUM(O93:R93)/SUMPRODUCT(ISNUMBER(O93:R93)*$O$8:$R$8)*10,2),""))))</f>
        <v/>
      </c>
      <c r="U93" s="75"/>
      <c r="V93" s="76"/>
      <c r="W93" s="76"/>
      <c r="X93" s="76"/>
      <c r="Y93" s="76"/>
      <c r="Z93" s="79" t="str">
        <f aca="false">IF(B93="","",IF($U93="NON",0,IF(COUNT(V93:Y93)=0,"",SUM(V93:Y93))))</f>
        <v/>
      </c>
      <c r="AA93" s="77" t="str">
        <f aca="false">IF(B93="","",IF($U93="NON",0,IF(COUNT(V93:Y93)=0,"",IFERROR(ROUND(SUM(V93:Y93)/SUMPRODUCT(ISNUMBER(V93:Y93)*$V$8:$Y$8)*10,2),""))))</f>
        <v/>
      </c>
      <c r="AB93" s="75"/>
      <c r="AC93" s="76"/>
      <c r="AD93" s="76"/>
      <c r="AE93" s="76"/>
      <c r="AF93" s="76"/>
      <c r="AG93" s="79" t="str">
        <f aca="false">IF(B93="","",IF($AB93="NON",0,IF(COUNT(AC93:AF93)=0,"",SUM(AC93:AF93))))</f>
        <v/>
      </c>
      <c r="AH93" s="77" t="str">
        <f aca="false">IF(B93="","",IF($AB93="NON",0,IF(COUNT(AC93:AF93)=0,"",IFERROR(ROUND(SUM(AC93:AF93)/SUMPRODUCT(ISNUMBER(AC93:AF93)*$AC$8:$AF$8)*10,2),""))))</f>
        <v/>
      </c>
      <c r="AI93" s="51" t="str">
        <f aca="false">IFERROR(MATCH("CE1-84",'REGISTRE ELEVES'!$AI$10:$AI$250,0),"")</f>
        <v/>
      </c>
    </row>
    <row r="94" customFormat="false" ht="15" hidden="false" customHeight="false" outlineLevel="0" collapsed="false">
      <c r="A94" s="73" t="str">
        <f aca="false">IF(B94="","",85)</f>
        <v/>
      </c>
      <c r="B94" s="73" t="str">
        <f aca="false">IF($AI94="","",INDEX('REGISTRE ELEVES'!$B$10:$B$250,$AI94))</f>
        <v/>
      </c>
      <c r="C94" s="74" t="str">
        <f aca="false">IF($AI94="","",INDEX('REGISTRE ELEVES'!$D$10:$D$250,$AI94))</f>
        <v/>
      </c>
      <c r="D94" s="73" t="str">
        <f aca="false">IF($AI94="","",INDEX('REGISTRE ELEVES'!$E$10:$E$250,$AI94))</f>
        <v/>
      </c>
      <c r="E94" s="73" t="str">
        <f aca="false">IF($AI94="","",INDEX('REGISTRE ELEVES'!$F$10:$F$250,$AI94))</f>
        <v/>
      </c>
      <c r="F94" s="73" t="str">
        <f aca="false">IF($AI94="","",INDEX('REGISTRE ELEVES'!$AE$10:$AE$250,$AI94))</f>
        <v/>
      </c>
      <c r="G94" s="75"/>
      <c r="H94" s="76"/>
      <c r="I94" s="76"/>
      <c r="J94" s="76"/>
      <c r="K94" s="76"/>
      <c r="L94" s="79" t="str">
        <f aca="false">IF(B94="","",IF($G94="NON",0,IF(COUNT(H94:K94)=0,"",SUM(H94:K94))))</f>
        <v/>
      </c>
      <c r="M94" s="77" t="str">
        <f aca="false">IF(B94="","",IF($G94="NON",0,IF(COUNT(H94:K94)=0,"",IFERROR(ROUND(SUM(H94:K94)/SUMPRODUCT(ISNUMBER(H94:K94)*$H$8:$K$8)*10,2),""))))</f>
        <v/>
      </c>
      <c r="N94" s="75"/>
      <c r="O94" s="76"/>
      <c r="P94" s="76"/>
      <c r="Q94" s="76"/>
      <c r="R94" s="76"/>
      <c r="S94" s="79" t="str">
        <f aca="false">IF(B94="","",IF($N94="NON",0,IF(COUNT(O94:R94)=0,"",SUM(O94:R94))))</f>
        <v/>
      </c>
      <c r="T94" s="77" t="str">
        <f aca="false">IF(B94="","",IF($N94="NON",0,IF(COUNT(O94:R94)=0,"",IFERROR(ROUND(SUM(O94:R94)/SUMPRODUCT(ISNUMBER(O94:R94)*$O$8:$R$8)*10,2),""))))</f>
        <v/>
      </c>
      <c r="U94" s="75"/>
      <c r="V94" s="76"/>
      <c r="W94" s="76"/>
      <c r="X94" s="76"/>
      <c r="Y94" s="76"/>
      <c r="Z94" s="79" t="str">
        <f aca="false">IF(B94="","",IF($U94="NON",0,IF(COUNT(V94:Y94)=0,"",SUM(V94:Y94))))</f>
        <v/>
      </c>
      <c r="AA94" s="77" t="str">
        <f aca="false">IF(B94="","",IF($U94="NON",0,IF(COUNT(V94:Y94)=0,"",IFERROR(ROUND(SUM(V94:Y94)/SUMPRODUCT(ISNUMBER(V94:Y94)*$V$8:$Y$8)*10,2),""))))</f>
        <v/>
      </c>
      <c r="AB94" s="75"/>
      <c r="AC94" s="76"/>
      <c r="AD94" s="76"/>
      <c r="AE94" s="76"/>
      <c r="AF94" s="76"/>
      <c r="AG94" s="79" t="str">
        <f aca="false">IF(B94="","",IF($AB94="NON",0,IF(COUNT(AC94:AF94)=0,"",SUM(AC94:AF94))))</f>
        <v/>
      </c>
      <c r="AH94" s="77" t="str">
        <f aca="false">IF(B94="","",IF($AB94="NON",0,IF(COUNT(AC94:AF94)=0,"",IFERROR(ROUND(SUM(AC94:AF94)/SUMPRODUCT(ISNUMBER(AC94:AF94)*$AC$8:$AF$8)*10,2),""))))</f>
        <v/>
      </c>
      <c r="AI94" s="51" t="str">
        <f aca="false">IFERROR(MATCH("CE1-85",'REGISTRE ELEVES'!$AI$10:$AI$250,0),"")</f>
        <v/>
      </c>
    </row>
    <row r="95" customFormat="false" ht="15" hidden="false" customHeight="false" outlineLevel="0" collapsed="false">
      <c r="A95" s="73" t="str">
        <f aca="false">IF(B95="","",86)</f>
        <v/>
      </c>
      <c r="B95" s="73" t="str">
        <f aca="false">IF($AI95="","",INDEX('REGISTRE ELEVES'!$B$10:$B$250,$AI95))</f>
        <v/>
      </c>
      <c r="C95" s="74" t="str">
        <f aca="false">IF($AI95="","",INDEX('REGISTRE ELEVES'!$D$10:$D$250,$AI95))</f>
        <v/>
      </c>
      <c r="D95" s="73" t="str">
        <f aca="false">IF($AI95="","",INDEX('REGISTRE ELEVES'!$E$10:$E$250,$AI95))</f>
        <v/>
      </c>
      <c r="E95" s="73" t="str">
        <f aca="false">IF($AI95="","",INDEX('REGISTRE ELEVES'!$F$10:$F$250,$AI95))</f>
        <v/>
      </c>
      <c r="F95" s="73" t="str">
        <f aca="false">IF($AI95="","",INDEX('REGISTRE ELEVES'!$AE$10:$AE$250,$AI95))</f>
        <v/>
      </c>
      <c r="G95" s="75"/>
      <c r="H95" s="76"/>
      <c r="I95" s="76"/>
      <c r="J95" s="76"/>
      <c r="K95" s="76"/>
      <c r="L95" s="79" t="str">
        <f aca="false">IF(B95="","",IF($G95="NON",0,IF(COUNT(H95:K95)=0,"",SUM(H95:K95))))</f>
        <v/>
      </c>
      <c r="M95" s="77" t="str">
        <f aca="false">IF(B95="","",IF($G95="NON",0,IF(COUNT(H95:K95)=0,"",IFERROR(ROUND(SUM(H95:K95)/SUMPRODUCT(ISNUMBER(H95:K95)*$H$8:$K$8)*10,2),""))))</f>
        <v/>
      </c>
      <c r="N95" s="75"/>
      <c r="O95" s="76"/>
      <c r="P95" s="76"/>
      <c r="Q95" s="76"/>
      <c r="R95" s="76"/>
      <c r="S95" s="79" t="str">
        <f aca="false">IF(B95="","",IF($N95="NON",0,IF(COUNT(O95:R95)=0,"",SUM(O95:R95))))</f>
        <v/>
      </c>
      <c r="T95" s="77" t="str">
        <f aca="false">IF(B95="","",IF($N95="NON",0,IF(COUNT(O95:R95)=0,"",IFERROR(ROUND(SUM(O95:R95)/SUMPRODUCT(ISNUMBER(O95:R95)*$O$8:$R$8)*10,2),""))))</f>
        <v/>
      </c>
      <c r="U95" s="75"/>
      <c r="V95" s="76"/>
      <c r="W95" s="76"/>
      <c r="X95" s="76"/>
      <c r="Y95" s="76"/>
      <c r="Z95" s="79" t="str">
        <f aca="false">IF(B95="","",IF($U95="NON",0,IF(COUNT(V95:Y95)=0,"",SUM(V95:Y95))))</f>
        <v/>
      </c>
      <c r="AA95" s="77" t="str">
        <f aca="false">IF(B95="","",IF($U95="NON",0,IF(COUNT(V95:Y95)=0,"",IFERROR(ROUND(SUM(V95:Y95)/SUMPRODUCT(ISNUMBER(V95:Y95)*$V$8:$Y$8)*10,2),""))))</f>
        <v/>
      </c>
      <c r="AB95" s="75"/>
      <c r="AC95" s="76"/>
      <c r="AD95" s="76"/>
      <c r="AE95" s="76"/>
      <c r="AF95" s="76"/>
      <c r="AG95" s="79" t="str">
        <f aca="false">IF(B95="","",IF($AB95="NON",0,IF(COUNT(AC95:AF95)=0,"",SUM(AC95:AF95))))</f>
        <v/>
      </c>
      <c r="AH95" s="77" t="str">
        <f aca="false">IF(B95="","",IF($AB95="NON",0,IF(COUNT(AC95:AF95)=0,"",IFERROR(ROUND(SUM(AC95:AF95)/SUMPRODUCT(ISNUMBER(AC95:AF95)*$AC$8:$AF$8)*10,2),""))))</f>
        <v/>
      </c>
      <c r="AI95" s="51" t="str">
        <f aca="false">IFERROR(MATCH("CE1-86",'REGISTRE ELEVES'!$AI$10:$AI$250,0),"")</f>
        <v/>
      </c>
    </row>
    <row r="96" customFormat="false" ht="15" hidden="false" customHeight="false" outlineLevel="0" collapsed="false">
      <c r="A96" s="73" t="str">
        <f aca="false">IF(B96="","",87)</f>
        <v/>
      </c>
      <c r="B96" s="73" t="str">
        <f aca="false">IF($AI96="","",INDEX('REGISTRE ELEVES'!$B$10:$B$250,$AI96))</f>
        <v/>
      </c>
      <c r="C96" s="74" t="str">
        <f aca="false">IF($AI96="","",INDEX('REGISTRE ELEVES'!$D$10:$D$250,$AI96))</f>
        <v/>
      </c>
      <c r="D96" s="73" t="str">
        <f aca="false">IF($AI96="","",INDEX('REGISTRE ELEVES'!$E$10:$E$250,$AI96))</f>
        <v/>
      </c>
      <c r="E96" s="73" t="str">
        <f aca="false">IF($AI96="","",INDEX('REGISTRE ELEVES'!$F$10:$F$250,$AI96))</f>
        <v/>
      </c>
      <c r="F96" s="73" t="str">
        <f aca="false">IF($AI96="","",INDEX('REGISTRE ELEVES'!$AE$10:$AE$250,$AI96))</f>
        <v/>
      </c>
      <c r="G96" s="75"/>
      <c r="H96" s="76"/>
      <c r="I96" s="76"/>
      <c r="J96" s="76"/>
      <c r="K96" s="76"/>
      <c r="L96" s="79" t="str">
        <f aca="false">IF(B96="","",IF($G96="NON",0,IF(COUNT(H96:K96)=0,"",SUM(H96:K96))))</f>
        <v/>
      </c>
      <c r="M96" s="77" t="str">
        <f aca="false">IF(B96="","",IF($G96="NON",0,IF(COUNT(H96:K96)=0,"",IFERROR(ROUND(SUM(H96:K96)/SUMPRODUCT(ISNUMBER(H96:K96)*$H$8:$K$8)*10,2),""))))</f>
        <v/>
      </c>
      <c r="N96" s="75"/>
      <c r="O96" s="76"/>
      <c r="P96" s="76"/>
      <c r="Q96" s="76"/>
      <c r="R96" s="76"/>
      <c r="S96" s="79" t="str">
        <f aca="false">IF(B96="","",IF($N96="NON",0,IF(COUNT(O96:R96)=0,"",SUM(O96:R96))))</f>
        <v/>
      </c>
      <c r="T96" s="77" t="str">
        <f aca="false">IF(B96="","",IF($N96="NON",0,IF(COUNT(O96:R96)=0,"",IFERROR(ROUND(SUM(O96:R96)/SUMPRODUCT(ISNUMBER(O96:R96)*$O$8:$R$8)*10,2),""))))</f>
        <v/>
      </c>
      <c r="U96" s="75"/>
      <c r="V96" s="76"/>
      <c r="W96" s="76"/>
      <c r="X96" s="76"/>
      <c r="Y96" s="76"/>
      <c r="Z96" s="79" t="str">
        <f aca="false">IF(B96="","",IF($U96="NON",0,IF(COUNT(V96:Y96)=0,"",SUM(V96:Y96))))</f>
        <v/>
      </c>
      <c r="AA96" s="77" t="str">
        <f aca="false">IF(B96="","",IF($U96="NON",0,IF(COUNT(V96:Y96)=0,"",IFERROR(ROUND(SUM(V96:Y96)/SUMPRODUCT(ISNUMBER(V96:Y96)*$V$8:$Y$8)*10,2),""))))</f>
        <v/>
      </c>
      <c r="AB96" s="75"/>
      <c r="AC96" s="76"/>
      <c r="AD96" s="76"/>
      <c r="AE96" s="76"/>
      <c r="AF96" s="76"/>
      <c r="AG96" s="79" t="str">
        <f aca="false">IF(B96="","",IF($AB96="NON",0,IF(COUNT(AC96:AF96)=0,"",SUM(AC96:AF96))))</f>
        <v/>
      </c>
      <c r="AH96" s="77" t="str">
        <f aca="false">IF(B96="","",IF($AB96="NON",0,IF(COUNT(AC96:AF96)=0,"",IFERROR(ROUND(SUM(AC96:AF96)/SUMPRODUCT(ISNUMBER(AC96:AF96)*$AC$8:$AF$8)*10,2),""))))</f>
        <v/>
      </c>
      <c r="AI96" s="51" t="str">
        <f aca="false">IFERROR(MATCH("CE1-87",'REGISTRE ELEVES'!$AI$10:$AI$250,0),"")</f>
        <v/>
      </c>
    </row>
    <row r="97" customFormat="false" ht="15" hidden="false" customHeight="false" outlineLevel="0" collapsed="false">
      <c r="A97" s="73" t="str">
        <f aca="false">IF(B97="","",88)</f>
        <v/>
      </c>
      <c r="B97" s="73" t="str">
        <f aca="false">IF($AI97="","",INDEX('REGISTRE ELEVES'!$B$10:$B$250,$AI97))</f>
        <v/>
      </c>
      <c r="C97" s="74" t="str">
        <f aca="false">IF($AI97="","",INDEX('REGISTRE ELEVES'!$D$10:$D$250,$AI97))</f>
        <v/>
      </c>
      <c r="D97" s="73" t="str">
        <f aca="false">IF($AI97="","",INDEX('REGISTRE ELEVES'!$E$10:$E$250,$AI97))</f>
        <v/>
      </c>
      <c r="E97" s="73" t="str">
        <f aca="false">IF($AI97="","",INDEX('REGISTRE ELEVES'!$F$10:$F$250,$AI97))</f>
        <v/>
      </c>
      <c r="F97" s="73" t="str">
        <f aca="false">IF($AI97="","",INDEX('REGISTRE ELEVES'!$AE$10:$AE$250,$AI97))</f>
        <v/>
      </c>
      <c r="G97" s="75"/>
      <c r="H97" s="76"/>
      <c r="I97" s="76"/>
      <c r="J97" s="76"/>
      <c r="K97" s="76"/>
      <c r="L97" s="79" t="str">
        <f aca="false">IF(B97="","",IF($G97="NON",0,IF(COUNT(H97:K97)=0,"",SUM(H97:K97))))</f>
        <v/>
      </c>
      <c r="M97" s="77" t="str">
        <f aca="false">IF(B97="","",IF($G97="NON",0,IF(COUNT(H97:K97)=0,"",IFERROR(ROUND(SUM(H97:K97)/SUMPRODUCT(ISNUMBER(H97:K97)*$H$8:$K$8)*10,2),""))))</f>
        <v/>
      </c>
      <c r="N97" s="75"/>
      <c r="O97" s="76"/>
      <c r="P97" s="76"/>
      <c r="Q97" s="76"/>
      <c r="R97" s="76"/>
      <c r="S97" s="79" t="str">
        <f aca="false">IF(B97="","",IF($N97="NON",0,IF(COUNT(O97:R97)=0,"",SUM(O97:R97))))</f>
        <v/>
      </c>
      <c r="T97" s="77" t="str">
        <f aca="false">IF(B97="","",IF($N97="NON",0,IF(COUNT(O97:R97)=0,"",IFERROR(ROUND(SUM(O97:R97)/SUMPRODUCT(ISNUMBER(O97:R97)*$O$8:$R$8)*10,2),""))))</f>
        <v/>
      </c>
      <c r="U97" s="75"/>
      <c r="V97" s="76"/>
      <c r="W97" s="76"/>
      <c r="X97" s="76"/>
      <c r="Y97" s="76"/>
      <c r="Z97" s="79" t="str">
        <f aca="false">IF(B97="","",IF($U97="NON",0,IF(COUNT(V97:Y97)=0,"",SUM(V97:Y97))))</f>
        <v/>
      </c>
      <c r="AA97" s="77" t="str">
        <f aca="false">IF(B97="","",IF($U97="NON",0,IF(COUNT(V97:Y97)=0,"",IFERROR(ROUND(SUM(V97:Y97)/SUMPRODUCT(ISNUMBER(V97:Y97)*$V$8:$Y$8)*10,2),""))))</f>
        <v/>
      </c>
      <c r="AB97" s="75"/>
      <c r="AC97" s="76"/>
      <c r="AD97" s="76"/>
      <c r="AE97" s="76"/>
      <c r="AF97" s="76"/>
      <c r="AG97" s="79" t="str">
        <f aca="false">IF(B97="","",IF($AB97="NON",0,IF(COUNT(AC97:AF97)=0,"",SUM(AC97:AF97))))</f>
        <v/>
      </c>
      <c r="AH97" s="77" t="str">
        <f aca="false">IF(B97="","",IF($AB97="NON",0,IF(COUNT(AC97:AF97)=0,"",IFERROR(ROUND(SUM(AC97:AF97)/SUMPRODUCT(ISNUMBER(AC97:AF97)*$AC$8:$AF$8)*10,2),""))))</f>
        <v/>
      </c>
      <c r="AI97" s="51" t="str">
        <f aca="false">IFERROR(MATCH("CE1-88",'REGISTRE ELEVES'!$AI$10:$AI$250,0),"")</f>
        <v/>
      </c>
    </row>
    <row r="98" customFormat="false" ht="15" hidden="false" customHeight="false" outlineLevel="0" collapsed="false">
      <c r="A98" s="73" t="str">
        <f aca="false">IF(B98="","",89)</f>
        <v/>
      </c>
      <c r="B98" s="73" t="str">
        <f aca="false">IF($AI98="","",INDEX('REGISTRE ELEVES'!$B$10:$B$250,$AI98))</f>
        <v/>
      </c>
      <c r="C98" s="74" t="str">
        <f aca="false">IF($AI98="","",INDEX('REGISTRE ELEVES'!$D$10:$D$250,$AI98))</f>
        <v/>
      </c>
      <c r="D98" s="73" t="str">
        <f aca="false">IF($AI98="","",INDEX('REGISTRE ELEVES'!$E$10:$E$250,$AI98))</f>
        <v/>
      </c>
      <c r="E98" s="73" t="str">
        <f aca="false">IF($AI98="","",INDEX('REGISTRE ELEVES'!$F$10:$F$250,$AI98))</f>
        <v/>
      </c>
      <c r="F98" s="73" t="str">
        <f aca="false">IF($AI98="","",INDEX('REGISTRE ELEVES'!$AE$10:$AE$250,$AI98))</f>
        <v/>
      </c>
      <c r="G98" s="75"/>
      <c r="H98" s="76"/>
      <c r="I98" s="76"/>
      <c r="J98" s="76"/>
      <c r="K98" s="76"/>
      <c r="L98" s="79" t="str">
        <f aca="false">IF(B98="","",IF($G98="NON",0,IF(COUNT(H98:K98)=0,"",SUM(H98:K98))))</f>
        <v/>
      </c>
      <c r="M98" s="77" t="str">
        <f aca="false">IF(B98="","",IF($G98="NON",0,IF(COUNT(H98:K98)=0,"",IFERROR(ROUND(SUM(H98:K98)/SUMPRODUCT(ISNUMBER(H98:K98)*$H$8:$K$8)*10,2),""))))</f>
        <v/>
      </c>
      <c r="N98" s="75"/>
      <c r="O98" s="76"/>
      <c r="P98" s="76"/>
      <c r="Q98" s="76"/>
      <c r="R98" s="76"/>
      <c r="S98" s="79" t="str">
        <f aca="false">IF(B98="","",IF($N98="NON",0,IF(COUNT(O98:R98)=0,"",SUM(O98:R98))))</f>
        <v/>
      </c>
      <c r="T98" s="77" t="str">
        <f aca="false">IF(B98="","",IF($N98="NON",0,IF(COUNT(O98:R98)=0,"",IFERROR(ROUND(SUM(O98:R98)/SUMPRODUCT(ISNUMBER(O98:R98)*$O$8:$R$8)*10,2),""))))</f>
        <v/>
      </c>
      <c r="U98" s="75"/>
      <c r="V98" s="76"/>
      <c r="W98" s="76"/>
      <c r="X98" s="76"/>
      <c r="Y98" s="76"/>
      <c r="Z98" s="79" t="str">
        <f aca="false">IF(B98="","",IF($U98="NON",0,IF(COUNT(V98:Y98)=0,"",SUM(V98:Y98))))</f>
        <v/>
      </c>
      <c r="AA98" s="77" t="str">
        <f aca="false">IF(B98="","",IF($U98="NON",0,IF(COUNT(V98:Y98)=0,"",IFERROR(ROUND(SUM(V98:Y98)/SUMPRODUCT(ISNUMBER(V98:Y98)*$V$8:$Y$8)*10,2),""))))</f>
        <v/>
      </c>
      <c r="AB98" s="75"/>
      <c r="AC98" s="76"/>
      <c r="AD98" s="76"/>
      <c r="AE98" s="76"/>
      <c r="AF98" s="76"/>
      <c r="AG98" s="79" t="str">
        <f aca="false">IF(B98="","",IF($AB98="NON",0,IF(COUNT(AC98:AF98)=0,"",SUM(AC98:AF98))))</f>
        <v/>
      </c>
      <c r="AH98" s="77" t="str">
        <f aca="false">IF(B98="","",IF($AB98="NON",0,IF(COUNT(AC98:AF98)=0,"",IFERROR(ROUND(SUM(AC98:AF98)/SUMPRODUCT(ISNUMBER(AC98:AF98)*$AC$8:$AF$8)*10,2),""))))</f>
        <v/>
      </c>
      <c r="AI98" s="51" t="str">
        <f aca="false">IFERROR(MATCH("CE1-89",'REGISTRE ELEVES'!$AI$10:$AI$250,0),"")</f>
        <v/>
      </c>
    </row>
    <row r="99" customFormat="false" ht="15" hidden="false" customHeight="false" outlineLevel="0" collapsed="false">
      <c r="A99" s="73" t="str">
        <f aca="false">IF(B99="","",90)</f>
        <v/>
      </c>
      <c r="B99" s="73" t="str">
        <f aca="false">IF($AI99="","",INDEX('REGISTRE ELEVES'!$B$10:$B$250,$AI99))</f>
        <v/>
      </c>
      <c r="C99" s="74" t="str">
        <f aca="false">IF($AI99="","",INDEX('REGISTRE ELEVES'!$D$10:$D$250,$AI99))</f>
        <v/>
      </c>
      <c r="D99" s="73" t="str">
        <f aca="false">IF($AI99="","",INDEX('REGISTRE ELEVES'!$E$10:$E$250,$AI99))</f>
        <v/>
      </c>
      <c r="E99" s="73" t="str">
        <f aca="false">IF($AI99="","",INDEX('REGISTRE ELEVES'!$F$10:$F$250,$AI99))</f>
        <v/>
      </c>
      <c r="F99" s="73" t="str">
        <f aca="false">IF($AI99="","",INDEX('REGISTRE ELEVES'!$AE$10:$AE$250,$AI99))</f>
        <v/>
      </c>
      <c r="G99" s="75"/>
      <c r="H99" s="76"/>
      <c r="I99" s="76"/>
      <c r="J99" s="76"/>
      <c r="K99" s="76"/>
      <c r="L99" s="79" t="str">
        <f aca="false">IF(B99="","",IF($G99="NON",0,IF(COUNT(H99:K99)=0,"",SUM(H99:K99))))</f>
        <v/>
      </c>
      <c r="M99" s="77" t="str">
        <f aca="false">IF(B99="","",IF($G99="NON",0,IF(COUNT(H99:K99)=0,"",IFERROR(ROUND(SUM(H99:K99)/SUMPRODUCT(ISNUMBER(H99:K99)*$H$8:$K$8)*10,2),""))))</f>
        <v/>
      </c>
      <c r="N99" s="75"/>
      <c r="O99" s="76"/>
      <c r="P99" s="76"/>
      <c r="Q99" s="76"/>
      <c r="R99" s="76"/>
      <c r="S99" s="79" t="str">
        <f aca="false">IF(B99="","",IF($N99="NON",0,IF(COUNT(O99:R99)=0,"",SUM(O99:R99))))</f>
        <v/>
      </c>
      <c r="T99" s="77" t="str">
        <f aca="false">IF(B99="","",IF($N99="NON",0,IF(COUNT(O99:R99)=0,"",IFERROR(ROUND(SUM(O99:R99)/SUMPRODUCT(ISNUMBER(O99:R99)*$O$8:$R$8)*10,2),""))))</f>
        <v/>
      </c>
      <c r="U99" s="75"/>
      <c r="V99" s="76"/>
      <c r="W99" s="76"/>
      <c r="X99" s="76"/>
      <c r="Y99" s="76"/>
      <c r="Z99" s="79" t="str">
        <f aca="false">IF(B99="","",IF($U99="NON",0,IF(COUNT(V99:Y99)=0,"",SUM(V99:Y99))))</f>
        <v/>
      </c>
      <c r="AA99" s="77" t="str">
        <f aca="false">IF(B99="","",IF($U99="NON",0,IF(COUNT(V99:Y99)=0,"",IFERROR(ROUND(SUM(V99:Y99)/SUMPRODUCT(ISNUMBER(V99:Y99)*$V$8:$Y$8)*10,2),""))))</f>
        <v/>
      </c>
      <c r="AB99" s="75"/>
      <c r="AC99" s="76"/>
      <c r="AD99" s="76"/>
      <c r="AE99" s="76"/>
      <c r="AF99" s="76"/>
      <c r="AG99" s="79" t="str">
        <f aca="false">IF(B99="","",IF($AB99="NON",0,IF(COUNT(AC99:AF99)=0,"",SUM(AC99:AF99))))</f>
        <v/>
      </c>
      <c r="AH99" s="77" t="str">
        <f aca="false">IF(B99="","",IF($AB99="NON",0,IF(COUNT(AC99:AF99)=0,"",IFERROR(ROUND(SUM(AC99:AF99)/SUMPRODUCT(ISNUMBER(AC99:AF99)*$AC$8:$AF$8)*10,2),""))))</f>
        <v/>
      </c>
      <c r="AI99" s="51" t="str">
        <f aca="false">IFERROR(MATCH("CE1-90",'REGISTRE ELEVES'!$AI$10:$AI$250,0),"")</f>
        <v/>
      </c>
    </row>
    <row r="100" customFormat="false" ht="15" hidden="false" customHeight="false" outlineLevel="0" collapsed="false">
      <c r="A100" s="73" t="str">
        <f aca="false">IF(B100="","",91)</f>
        <v/>
      </c>
      <c r="B100" s="73" t="str">
        <f aca="false">IF($AI100="","",INDEX('REGISTRE ELEVES'!$B$10:$B$250,$AI100))</f>
        <v/>
      </c>
      <c r="C100" s="74" t="str">
        <f aca="false">IF($AI100="","",INDEX('REGISTRE ELEVES'!$D$10:$D$250,$AI100))</f>
        <v/>
      </c>
      <c r="D100" s="73" t="str">
        <f aca="false">IF($AI100="","",INDEX('REGISTRE ELEVES'!$E$10:$E$250,$AI100))</f>
        <v/>
      </c>
      <c r="E100" s="73" t="str">
        <f aca="false">IF($AI100="","",INDEX('REGISTRE ELEVES'!$F$10:$F$250,$AI100))</f>
        <v/>
      </c>
      <c r="F100" s="73" t="str">
        <f aca="false">IF($AI100="","",INDEX('REGISTRE ELEVES'!$AE$10:$AE$250,$AI100))</f>
        <v/>
      </c>
      <c r="G100" s="75"/>
      <c r="H100" s="76"/>
      <c r="I100" s="76"/>
      <c r="J100" s="76"/>
      <c r="K100" s="76"/>
      <c r="L100" s="79" t="str">
        <f aca="false">IF(B100="","",IF($G100="NON",0,IF(COUNT(H100:K100)=0,"",SUM(H100:K100))))</f>
        <v/>
      </c>
      <c r="M100" s="77" t="str">
        <f aca="false">IF(B100="","",IF($G100="NON",0,IF(COUNT(H100:K100)=0,"",IFERROR(ROUND(SUM(H100:K100)/SUMPRODUCT(ISNUMBER(H100:K100)*$H$8:$K$8)*10,2),""))))</f>
        <v/>
      </c>
      <c r="N100" s="75"/>
      <c r="O100" s="76"/>
      <c r="P100" s="76"/>
      <c r="Q100" s="76"/>
      <c r="R100" s="76"/>
      <c r="S100" s="79" t="str">
        <f aca="false">IF(B100="","",IF($N100="NON",0,IF(COUNT(O100:R100)=0,"",SUM(O100:R100))))</f>
        <v/>
      </c>
      <c r="T100" s="77" t="str">
        <f aca="false">IF(B100="","",IF($N100="NON",0,IF(COUNT(O100:R100)=0,"",IFERROR(ROUND(SUM(O100:R100)/SUMPRODUCT(ISNUMBER(O100:R100)*$O$8:$R$8)*10,2),""))))</f>
        <v/>
      </c>
      <c r="U100" s="75"/>
      <c r="V100" s="76"/>
      <c r="W100" s="76"/>
      <c r="X100" s="76"/>
      <c r="Y100" s="76"/>
      <c r="Z100" s="79" t="str">
        <f aca="false">IF(B100="","",IF($U100="NON",0,IF(COUNT(V100:Y100)=0,"",SUM(V100:Y100))))</f>
        <v/>
      </c>
      <c r="AA100" s="77" t="str">
        <f aca="false">IF(B100="","",IF($U100="NON",0,IF(COUNT(V100:Y100)=0,"",IFERROR(ROUND(SUM(V100:Y100)/SUMPRODUCT(ISNUMBER(V100:Y100)*$V$8:$Y$8)*10,2),""))))</f>
        <v/>
      </c>
      <c r="AB100" s="75"/>
      <c r="AC100" s="76"/>
      <c r="AD100" s="76"/>
      <c r="AE100" s="76"/>
      <c r="AF100" s="76"/>
      <c r="AG100" s="79" t="str">
        <f aca="false">IF(B100="","",IF($AB100="NON",0,IF(COUNT(AC100:AF100)=0,"",SUM(AC100:AF100))))</f>
        <v/>
      </c>
      <c r="AH100" s="77" t="str">
        <f aca="false">IF(B100="","",IF($AB100="NON",0,IF(COUNT(AC100:AF100)=0,"",IFERROR(ROUND(SUM(AC100:AF100)/SUMPRODUCT(ISNUMBER(AC100:AF100)*$AC$8:$AF$8)*10,2),""))))</f>
        <v/>
      </c>
      <c r="AI100" s="51" t="str">
        <f aca="false">IFERROR(MATCH("CE1-91",'REGISTRE ELEVES'!$AI$10:$AI$250,0),"")</f>
        <v/>
      </c>
    </row>
    <row r="101" customFormat="false" ht="15" hidden="false" customHeight="false" outlineLevel="0" collapsed="false">
      <c r="A101" s="73" t="str">
        <f aca="false">IF(B101="","",92)</f>
        <v/>
      </c>
      <c r="B101" s="73" t="str">
        <f aca="false">IF($AI101="","",INDEX('REGISTRE ELEVES'!$B$10:$B$250,$AI101))</f>
        <v/>
      </c>
      <c r="C101" s="74" t="str">
        <f aca="false">IF($AI101="","",INDEX('REGISTRE ELEVES'!$D$10:$D$250,$AI101))</f>
        <v/>
      </c>
      <c r="D101" s="73" t="str">
        <f aca="false">IF($AI101="","",INDEX('REGISTRE ELEVES'!$E$10:$E$250,$AI101))</f>
        <v/>
      </c>
      <c r="E101" s="73" t="str">
        <f aca="false">IF($AI101="","",INDEX('REGISTRE ELEVES'!$F$10:$F$250,$AI101))</f>
        <v/>
      </c>
      <c r="F101" s="73" t="str">
        <f aca="false">IF($AI101="","",INDEX('REGISTRE ELEVES'!$AE$10:$AE$250,$AI101))</f>
        <v/>
      </c>
      <c r="G101" s="75"/>
      <c r="H101" s="76"/>
      <c r="I101" s="76"/>
      <c r="J101" s="76"/>
      <c r="K101" s="76"/>
      <c r="L101" s="79" t="str">
        <f aca="false">IF(B101="","",IF($G101="NON",0,IF(COUNT(H101:K101)=0,"",SUM(H101:K101))))</f>
        <v/>
      </c>
      <c r="M101" s="77" t="str">
        <f aca="false">IF(B101="","",IF($G101="NON",0,IF(COUNT(H101:K101)=0,"",IFERROR(ROUND(SUM(H101:K101)/SUMPRODUCT(ISNUMBER(H101:K101)*$H$8:$K$8)*10,2),""))))</f>
        <v/>
      </c>
      <c r="N101" s="75"/>
      <c r="O101" s="76"/>
      <c r="P101" s="76"/>
      <c r="Q101" s="76"/>
      <c r="R101" s="76"/>
      <c r="S101" s="79" t="str">
        <f aca="false">IF(B101="","",IF($N101="NON",0,IF(COUNT(O101:R101)=0,"",SUM(O101:R101))))</f>
        <v/>
      </c>
      <c r="T101" s="77" t="str">
        <f aca="false">IF(B101="","",IF($N101="NON",0,IF(COUNT(O101:R101)=0,"",IFERROR(ROUND(SUM(O101:R101)/SUMPRODUCT(ISNUMBER(O101:R101)*$O$8:$R$8)*10,2),""))))</f>
        <v/>
      </c>
      <c r="U101" s="75"/>
      <c r="V101" s="76"/>
      <c r="W101" s="76"/>
      <c r="X101" s="76"/>
      <c r="Y101" s="76"/>
      <c r="Z101" s="79" t="str">
        <f aca="false">IF(B101="","",IF($U101="NON",0,IF(COUNT(V101:Y101)=0,"",SUM(V101:Y101))))</f>
        <v/>
      </c>
      <c r="AA101" s="77" t="str">
        <f aca="false">IF(B101="","",IF($U101="NON",0,IF(COUNT(V101:Y101)=0,"",IFERROR(ROUND(SUM(V101:Y101)/SUMPRODUCT(ISNUMBER(V101:Y101)*$V$8:$Y$8)*10,2),""))))</f>
        <v/>
      </c>
      <c r="AB101" s="75"/>
      <c r="AC101" s="76"/>
      <c r="AD101" s="76"/>
      <c r="AE101" s="76"/>
      <c r="AF101" s="76"/>
      <c r="AG101" s="79" t="str">
        <f aca="false">IF(B101="","",IF($AB101="NON",0,IF(COUNT(AC101:AF101)=0,"",SUM(AC101:AF101))))</f>
        <v/>
      </c>
      <c r="AH101" s="77" t="str">
        <f aca="false">IF(B101="","",IF($AB101="NON",0,IF(COUNT(AC101:AF101)=0,"",IFERROR(ROUND(SUM(AC101:AF101)/SUMPRODUCT(ISNUMBER(AC101:AF101)*$AC$8:$AF$8)*10,2),""))))</f>
        <v/>
      </c>
      <c r="AI101" s="51" t="str">
        <f aca="false">IFERROR(MATCH("CE1-92",'REGISTRE ELEVES'!$AI$10:$AI$250,0),"")</f>
        <v/>
      </c>
    </row>
    <row r="102" customFormat="false" ht="15" hidden="false" customHeight="false" outlineLevel="0" collapsed="false">
      <c r="A102" s="73" t="str">
        <f aca="false">IF(B102="","",93)</f>
        <v/>
      </c>
      <c r="B102" s="73" t="str">
        <f aca="false">IF($AI102="","",INDEX('REGISTRE ELEVES'!$B$10:$B$250,$AI102))</f>
        <v/>
      </c>
      <c r="C102" s="74" t="str">
        <f aca="false">IF($AI102="","",INDEX('REGISTRE ELEVES'!$D$10:$D$250,$AI102))</f>
        <v/>
      </c>
      <c r="D102" s="73" t="str">
        <f aca="false">IF($AI102="","",INDEX('REGISTRE ELEVES'!$E$10:$E$250,$AI102))</f>
        <v/>
      </c>
      <c r="E102" s="73" t="str">
        <f aca="false">IF($AI102="","",INDEX('REGISTRE ELEVES'!$F$10:$F$250,$AI102))</f>
        <v/>
      </c>
      <c r="F102" s="73" t="str">
        <f aca="false">IF($AI102="","",INDEX('REGISTRE ELEVES'!$AE$10:$AE$250,$AI102))</f>
        <v/>
      </c>
      <c r="G102" s="75"/>
      <c r="H102" s="76"/>
      <c r="I102" s="76"/>
      <c r="J102" s="76"/>
      <c r="K102" s="76"/>
      <c r="L102" s="79" t="str">
        <f aca="false">IF(B102="","",IF($G102="NON",0,IF(COUNT(H102:K102)=0,"",SUM(H102:K102))))</f>
        <v/>
      </c>
      <c r="M102" s="77" t="str">
        <f aca="false">IF(B102="","",IF($G102="NON",0,IF(COUNT(H102:K102)=0,"",IFERROR(ROUND(SUM(H102:K102)/SUMPRODUCT(ISNUMBER(H102:K102)*$H$8:$K$8)*10,2),""))))</f>
        <v/>
      </c>
      <c r="N102" s="75"/>
      <c r="O102" s="76"/>
      <c r="P102" s="76"/>
      <c r="Q102" s="76"/>
      <c r="R102" s="76"/>
      <c r="S102" s="79" t="str">
        <f aca="false">IF(B102="","",IF($N102="NON",0,IF(COUNT(O102:R102)=0,"",SUM(O102:R102))))</f>
        <v/>
      </c>
      <c r="T102" s="77" t="str">
        <f aca="false">IF(B102="","",IF($N102="NON",0,IF(COUNT(O102:R102)=0,"",IFERROR(ROUND(SUM(O102:R102)/SUMPRODUCT(ISNUMBER(O102:R102)*$O$8:$R$8)*10,2),""))))</f>
        <v/>
      </c>
      <c r="U102" s="75"/>
      <c r="V102" s="76"/>
      <c r="W102" s="76"/>
      <c r="X102" s="76"/>
      <c r="Y102" s="76"/>
      <c r="Z102" s="79" t="str">
        <f aca="false">IF(B102="","",IF($U102="NON",0,IF(COUNT(V102:Y102)=0,"",SUM(V102:Y102))))</f>
        <v/>
      </c>
      <c r="AA102" s="77" t="str">
        <f aca="false">IF(B102="","",IF($U102="NON",0,IF(COUNT(V102:Y102)=0,"",IFERROR(ROUND(SUM(V102:Y102)/SUMPRODUCT(ISNUMBER(V102:Y102)*$V$8:$Y$8)*10,2),""))))</f>
        <v/>
      </c>
      <c r="AB102" s="75"/>
      <c r="AC102" s="76"/>
      <c r="AD102" s="76"/>
      <c r="AE102" s="76"/>
      <c r="AF102" s="76"/>
      <c r="AG102" s="79" t="str">
        <f aca="false">IF(B102="","",IF($AB102="NON",0,IF(COUNT(AC102:AF102)=0,"",SUM(AC102:AF102))))</f>
        <v/>
      </c>
      <c r="AH102" s="77" t="str">
        <f aca="false">IF(B102="","",IF($AB102="NON",0,IF(COUNT(AC102:AF102)=0,"",IFERROR(ROUND(SUM(AC102:AF102)/SUMPRODUCT(ISNUMBER(AC102:AF102)*$AC$8:$AF$8)*10,2),""))))</f>
        <v/>
      </c>
      <c r="AI102" s="51" t="str">
        <f aca="false">IFERROR(MATCH("CE1-93",'REGISTRE ELEVES'!$AI$10:$AI$250,0),"")</f>
        <v/>
      </c>
    </row>
    <row r="103" customFormat="false" ht="15" hidden="false" customHeight="false" outlineLevel="0" collapsed="false">
      <c r="A103" s="73" t="str">
        <f aca="false">IF(B103="","",94)</f>
        <v/>
      </c>
      <c r="B103" s="73" t="str">
        <f aca="false">IF($AI103="","",INDEX('REGISTRE ELEVES'!$B$10:$B$250,$AI103))</f>
        <v/>
      </c>
      <c r="C103" s="74" t="str">
        <f aca="false">IF($AI103="","",INDEX('REGISTRE ELEVES'!$D$10:$D$250,$AI103))</f>
        <v/>
      </c>
      <c r="D103" s="73" t="str">
        <f aca="false">IF($AI103="","",INDEX('REGISTRE ELEVES'!$E$10:$E$250,$AI103))</f>
        <v/>
      </c>
      <c r="E103" s="73" t="str">
        <f aca="false">IF($AI103="","",INDEX('REGISTRE ELEVES'!$F$10:$F$250,$AI103))</f>
        <v/>
      </c>
      <c r="F103" s="73" t="str">
        <f aca="false">IF($AI103="","",INDEX('REGISTRE ELEVES'!$AE$10:$AE$250,$AI103))</f>
        <v/>
      </c>
      <c r="G103" s="75"/>
      <c r="H103" s="76"/>
      <c r="I103" s="76"/>
      <c r="J103" s="76"/>
      <c r="K103" s="76"/>
      <c r="L103" s="79" t="str">
        <f aca="false">IF(B103="","",IF($G103="NON",0,IF(COUNT(H103:K103)=0,"",SUM(H103:K103))))</f>
        <v/>
      </c>
      <c r="M103" s="77" t="str">
        <f aca="false">IF(B103="","",IF($G103="NON",0,IF(COUNT(H103:K103)=0,"",IFERROR(ROUND(SUM(H103:K103)/SUMPRODUCT(ISNUMBER(H103:K103)*$H$8:$K$8)*10,2),""))))</f>
        <v/>
      </c>
      <c r="N103" s="75"/>
      <c r="O103" s="76"/>
      <c r="P103" s="76"/>
      <c r="Q103" s="76"/>
      <c r="R103" s="76"/>
      <c r="S103" s="79" t="str">
        <f aca="false">IF(B103="","",IF($N103="NON",0,IF(COUNT(O103:R103)=0,"",SUM(O103:R103))))</f>
        <v/>
      </c>
      <c r="T103" s="77" t="str">
        <f aca="false">IF(B103="","",IF($N103="NON",0,IF(COUNT(O103:R103)=0,"",IFERROR(ROUND(SUM(O103:R103)/SUMPRODUCT(ISNUMBER(O103:R103)*$O$8:$R$8)*10,2),""))))</f>
        <v/>
      </c>
      <c r="U103" s="75"/>
      <c r="V103" s="76"/>
      <c r="W103" s="76"/>
      <c r="X103" s="76"/>
      <c r="Y103" s="76"/>
      <c r="Z103" s="79" t="str">
        <f aca="false">IF(B103="","",IF($U103="NON",0,IF(COUNT(V103:Y103)=0,"",SUM(V103:Y103))))</f>
        <v/>
      </c>
      <c r="AA103" s="77" t="str">
        <f aca="false">IF(B103="","",IF($U103="NON",0,IF(COUNT(V103:Y103)=0,"",IFERROR(ROUND(SUM(V103:Y103)/SUMPRODUCT(ISNUMBER(V103:Y103)*$V$8:$Y$8)*10,2),""))))</f>
        <v/>
      </c>
      <c r="AB103" s="75"/>
      <c r="AC103" s="76"/>
      <c r="AD103" s="76"/>
      <c r="AE103" s="76"/>
      <c r="AF103" s="76"/>
      <c r="AG103" s="79" t="str">
        <f aca="false">IF(B103="","",IF($AB103="NON",0,IF(COUNT(AC103:AF103)=0,"",SUM(AC103:AF103))))</f>
        <v/>
      </c>
      <c r="AH103" s="77" t="str">
        <f aca="false">IF(B103="","",IF($AB103="NON",0,IF(COUNT(AC103:AF103)=0,"",IFERROR(ROUND(SUM(AC103:AF103)/SUMPRODUCT(ISNUMBER(AC103:AF103)*$AC$8:$AF$8)*10,2),""))))</f>
        <v/>
      </c>
      <c r="AI103" s="51" t="str">
        <f aca="false">IFERROR(MATCH("CE1-94",'REGISTRE ELEVES'!$AI$10:$AI$250,0),"")</f>
        <v/>
      </c>
    </row>
    <row r="104" customFormat="false" ht="15" hidden="false" customHeight="false" outlineLevel="0" collapsed="false">
      <c r="A104" s="73" t="str">
        <f aca="false">IF(B104="","",95)</f>
        <v/>
      </c>
      <c r="B104" s="73" t="str">
        <f aca="false">IF($AI104="","",INDEX('REGISTRE ELEVES'!$B$10:$B$250,$AI104))</f>
        <v/>
      </c>
      <c r="C104" s="74" t="str">
        <f aca="false">IF($AI104="","",INDEX('REGISTRE ELEVES'!$D$10:$D$250,$AI104))</f>
        <v/>
      </c>
      <c r="D104" s="73" t="str">
        <f aca="false">IF($AI104="","",INDEX('REGISTRE ELEVES'!$E$10:$E$250,$AI104))</f>
        <v/>
      </c>
      <c r="E104" s="73" t="str">
        <f aca="false">IF($AI104="","",INDEX('REGISTRE ELEVES'!$F$10:$F$250,$AI104))</f>
        <v/>
      </c>
      <c r="F104" s="73" t="str">
        <f aca="false">IF($AI104="","",INDEX('REGISTRE ELEVES'!$AE$10:$AE$250,$AI104))</f>
        <v/>
      </c>
      <c r="G104" s="75"/>
      <c r="H104" s="76"/>
      <c r="I104" s="76"/>
      <c r="J104" s="76"/>
      <c r="K104" s="76"/>
      <c r="L104" s="79" t="str">
        <f aca="false">IF(B104="","",IF($G104="NON",0,IF(COUNT(H104:K104)=0,"",SUM(H104:K104))))</f>
        <v/>
      </c>
      <c r="M104" s="77" t="str">
        <f aca="false">IF(B104="","",IF($G104="NON",0,IF(COUNT(H104:K104)=0,"",IFERROR(ROUND(SUM(H104:K104)/SUMPRODUCT(ISNUMBER(H104:K104)*$H$8:$K$8)*10,2),""))))</f>
        <v/>
      </c>
      <c r="N104" s="75"/>
      <c r="O104" s="76"/>
      <c r="P104" s="76"/>
      <c r="Q104" s="76"/>
      <c r="R104" s="76"/>
      <c r="S104" s="79" t="str">
        <f aca="false">IF(B104="","",IF($N104="NON",0,IF(COUNT(O104:R104)=0,"",SUM(O104:R104))))</f>
        <v/>
      </c>
      <c r="T104" s="77" t="str">
        <f aca="false">IF(B104="","",IF($N104="NON",0,IF(COUNT(O104:R104)=0,"",IFERROR(ROUND(SUM(O104:R104)/SUMPRODUCT(ISNUMBER(O104:R104)*$O$8:$R$8)*10,2),""))))</f>
        <v/>
      </c>
      <c r="U104" s="75"/>
      <c r="V104" s="76"/>
      <c r="W104" s="76"/>
      <c r="X104" s="76"/>
      <c r="Y104" s="76"/>
      <c r="Z104" s="79" t="str">
        <f aca="false">IF(B104="","",IF($U104="NON",0,IF(COUNT(V104:Y104)=0,"",SUM(V104:Y104))))</f>
        <v/>
      </c>
      <c r="AA104" s="77" t="str">
        <f aca="false">IF(B104="","",IF($U104="NON",0,IF(COUNT(V104:Y104)=0,"",IFERROR(ROUND(SUM(V104:Y104)/SUMPRODUCT(ISNUMBER(V104:Y104)*$V$8:$Y$8)*10,2),""))))</f>
        <v/>
      </c>
      <c r="AB104" s="75"/>
      <c r="AC104" s="76"/>
      <c r="AD104" s="76"/>
      <c r="AE104" s="76"/>
      <c r="AF104" s="76"/>
      <c r="AG104" s="79" t="str">
        <f aca="false">IF(B104="","",IF($AB104="NON",0,IF(COUNT(AC104:AF104)=0,"",SUM(AC104:AF104))))</f>
        <v/>
      </c>
      <c r="AH104" s="77" t="str">
        <f aca="false">IF(B104="","",IF($AB104="NON",0,IF(COUNT(AC104:AF104)=0,"",IFERROR(ROUND(SUM(AC104:AF104)/SUMPRODUCT(ISNUMBER(AC104:AF104)*$AC$8:$AF$8)*10,2),""))))</f>
        <v/>
      </c>
      <c r="AI104" s="51" t="str">
        <f aca="false">IFERROR(MATCH("CE1-95",'REGISTRE ELEVES'!$AI$10:$AI$250,0),"")</f>
        <v/>
      </c>
    </row>
    <row r="105" customFormat="false" ht="15" hidden="false" customHeight="false" outlineLevel="0" collapsed="false">
      <c r="A105" s="73" t="str">
        <f aca="false">IF(B105="","",96)</f>
        <v/>
      </c>
      <c r="B105" s="73" t="str">
        <f aca="false">IF($AI105="","",INDEX('REGISTRE ELEVES'!$B$10:$B$250,$AI105))</f>
        <v/>
      </c>
      <c r="C105" s="74" t="str">
        <f aca="false">IF($AI105="","",INDEX('REGISTRE ELEVES'!$D$10:$D$250,$AI105))</f>
        <v/>
      </c>
      <c r="D105" s="73" t="str">
        <f aca="false">IF($AI105="","",INDEX('REGISTRE ELEVES'!$E$10:$E$250,$AI105))</f>
        <v/>
      </c>
      <c r="E105" s="73" t="str">
        <f aca="false">IF($AI105="","",INDEX('REGISTRE ELEVES'!$F$10:$F$250,$AI105))</f>
        <v/>
      </c>
      <c r="F105" s="73" t="str">
        <f aca="false">IF($AI105="","",INDEX('REGISTRE ELEVES'!$AE$10:$AE$250,$AI105))</f>
        <v/>
      </c>
      <c r="G105" s="75"/>
      <c r="H105" s="76"/>
      <c r="I105" s="76"/>
      <c r="J105" s="76"/>
      <c r="K105" s="76"/>
      <c r="L105" s="79" t="str">
        <f aca="false">IF(B105="","",IF($G105="NON",0,IF(COUNT(H105:K105)=0,"",SUM(H105:K105))))</f>
        <v/>
      </c>
      <c r="M105" s="77" t="str">
        <f aca="false">IF(B105="","",IF($G105="NON",0,IF(COUNT(H105:K105)=0,"",IFERROR(ROUND(SUM(H105:K105)/SUMPRODUCT(ISNUMBER(H105:K105)*$H$8:$K$8)*10,2),""))))</f>
        <v/>
      </c>
      <c r="N105" s="75"/>
      <c r="O105" s="76"/>
      <c r="P105" s="76"/>
      <c r="Q105" s="76"/>
      <c r="R105" s="76"/>
      <c r="S105" s="79" t="str">
        <f aca="false">IF(B105="","",IF($N105="NON",0,IF(COUNT(O105:R105)=0,"",SUM(O105:R105))))</f>
        <v/>
      </c>
      <c r="T105" s="77" t="str">
        <f aca="false">IF(B105="","",IF($N105="NON",0,IF(COUNT(O105:R105)=0,"",IFERROR(ROUND(SUM(O105:R105)/SUMPRODUCT(ISNUMBER(O105:R105)*$O$8:$R$8)*10,2),""))))</f>
        <v/>
      </c>
      <c r="U105" s="75"/>
      <c r="V105" s="76"/>
      <c r="W105" s="76"/>
      <c r="X105" s="76"/>
      <c r="Y105" s="76"/>
      <c r="Z105" s="79" t="str">
        <f aca="false">IF(B105="","",IF($U105="NON",0,IF(COUNT(V105:Y105)=0,"",SUM(V105:Y105))))</f>
        <v/>
      </c>
      <c r="AA105" s="77" t="str">
        <f aca="false">IF(B105="","",IF($U105="NON",0,IF(COUNT(V105:Y105)=0,"",IFERROR(ROUND(SUM(V105:Y105)/SUMPRODUCT(ISNUMBER(V105:Y105)*$V$8:$Y$8)*10,2),""))))</f>
        <v/>
      </c>
      <c r="AB105" s="75"/>
      <c r="AC105" s="76"/>
      <c r="AD105" s="76"/>
      <c r="AE105" s="76"/>
      <c r="AF105" s="76"/>
      <c r="AG105" s="79" t="str">
        <f aca="false">IF(B105="","",IF($AB105="NON",0,IF(COUNT(AC105:AF105)=0,"",SUM(AC105:AF105))))</f>
        <v/>
      </c>
      <c r="AH105" s="77" t="str">
        <f aca="false">IF(B105="","",IF($AB105="NON",0,IF(COUNT(AC105:AF105)=0,"",IFERROR(ROUND(SUM(AC105:AF105)/SUMPRODUCT(ISNUMBER(AC105:AF105)*$AC$8:$AF$8)*10,2),""))))</f>
        <v/>
      </c>
      <c r="AI105" s="51" t="str">
        <f aca="false">IFERROR(MATCH("CE1-96",'REGISTRE ELEVES'!$AI$10:$AI$250,0),"")</f>
        <v/>
      </c>
    </row>
    <row r="106" customFormat="false" ht="15" hidden="false" customHeight="false" outlineLevel="0" collapsed="false">
      <c r="A106" s="73" t="str">
        <f aca="false">IF(B106="","",97)</f>
        <v/>
      </c>
      <c r="B106" s="73" t="str">
        <f aca="false">IF($AI106="","",INDEX('REGISTRE ELEVES'!$B$10:$B$250,$AI106))</f>
        <v/>
      </c>
      <c r="C106" s="74" t="str">
        <f aca="false">IF($AI106="","",INDEX('REGISTRE ELEVES'!$D$10:$D$250,$AI106))</f>
        <v/>
      </c>
      <c r="D106" s="73" t="str">
        <f aca="false">IF($AI106="","",INDEX('REGISTRE ELEVES'!$E$10:$E$250,$AI106))</f>
        <v/>
      </c>
      <c r="E106" s="73" t="str">
        <f aca="false">IF($AI106="","",INDEX('REGISTRE ELEVES'!$F$10:$F$250,$AI106))</f>
        <v/>
      </c>
      <c r="F106" s="73" t="str">
        <f aca="false">IF($AI106="","",INDEX('REGISTRE ELEVES'!$AE$10:$AE$250,$AI106))</f>
        <v/>
      </c>
      <c r="G106" s="75"/>
      <c r="H106" s="76"/>
      <c r="I106" s="76"/>
      <c r="J106" s="76"/>
      <c r="K106" s="76"/>
      <c r="L106" s="79" t="str">
        <f aca="false">IF(B106="","",IF($G106="NON",0,IF(COUNT(H106:K106)=0,"",SUM(H106:K106))))</f>
        <v/>
      </c>
      <c r="M106" s="77" t="str">
        <f aca="false">IF(B106="","",IF($G106="NON",0,IF(COUNT(H106:K106)=0,"",IFERROR(ROUND(SUM(H106:K106)/SUMPRODUCT(ISNUMBER(H106:K106)*$H$8:$K$8)*10,2),""))))</f>
        <v/>
      </c>
      <c r="N106" s="75"/>
      <c r="O106" s="76"/>
      <c r="P106" s="76"/>
      <c r="Q106" s="76"/>
      <c r="R106" s="76"/>
      <c r="S106" s="79" t="str">
        <f aca="false">IF(B106="","",IF($N106="NON",0,IF(COUNT(O106:R106)=0,"",SUM(O106:R106))))</f>
        <v/>
      </c>
      <c r="T106" s="77" t="str">
        <f aca="false">IF(B106="","",IF($N106="NON",0,IF(COUNT(O106:R106)=0,"",IFERROR(ROUND(SUM(O106:R106)/SUMPRODUCT(ISNUMBER(O106:R106)*$O$8:$R$8)*10,2),""))))</f>
        <v/>
      </c>
      <c r="U106" s="75"/>
      <c r="V106" s="76"/>
      <c r="W106" s="76"/>
      <c r="X106" s="76"/>
      <c r="Y106" s="76"/>
      <c r="Z106" s="79" t="str">
        <f aca="false">IF(B106="","",IF($U106="NON",0,IF(COUNT(V106:Y106)=0,"",SUM(V106:Y106))))</f>
        <v/>
      </c>
      <c r="AA106" s="77" t="str">
        <f aca="false">IF(B106="","",IF($U106="NON",0,IF(COUNT(V106:Y106)=0,"",IFERROR(ROUND(SUM(V106:Y106)/SUMPRODUCT(ISNUMBER(V106:Y106)*$V$8:$Y$8)*10,2),""))))</f>
        <v/>
      </c>
      <c r="AB106" s="75"/>
      <c r="AC106" s="76"/>
      <c r="AD106" s="76"/>
      <c r="AE106" s="76"/>
      <c r="AF106" s="76"/>
      <c r="AG106" s="79" t="str">
        <f aca="false">IF(B106="","",IF($AB106="NON",0,IF(COUNT(AC106:AF106)=0,"",SUM(AC106:AF106))))</f>
        <v/>
      </c>
      <c r="AH106" s="77" t="str">
        <f aca="false">IF(B106="","",IF($AB106="NON",0,IF(COUNT(AC106:AF106)=0,"",IFERROR(ROUND(SUM(AC106:AF106)/SUMPRODUCT(ISNUMBER(AC106:AF106)*$AC$8:$AF$8)*10,2),""))))</f>
        <v/>
      </c>
      <c r="AI106" s="51" t="str">
        <f aca="false">IFERROR(MATCH("CE1-97",'REGISTRE ELEVES'!$AI$10:$AI$250,0),"")</f>
        <v/>
      </c>
    </row>
    <row r="107" customFormat="false" ht="15" hidden="false" customHeight="false" outlineLevel="0" collapsed="false">
      <c r="A107" s="73" t="str">
        <f aca="false">IF(B107="","",98)</f>
        <v/>
      </c>
      <c r="B107" s="73" t="str">
        <f aca="false">IF($AI107="","",INDEX('REGISTRE ELEVES'!$B$10:$B$250,$AI107))</f>
        <v/>
      </c>
      <c r="C107" s="74" t="str">
        <f aca="false">IF($AI107="","",INDEX('REGISTRE ELEVES'!$D$10:$D$250,$AI107))</f>
        <v/>
      </c>
      <c r="D107" s="73" t="str">
        <f aca="false">IF($AI107="","",INDEX('REGISTRE ELEVES'!$E$10:$E$250,$AI107))</f>
        <v/>
      </c>
      <c r="E107" s="73" t="str">
        <f aca="false">IF($AI107="","",INDEX('REGISTRE ELEVES'!$F$10:$F$250,$AI107))</f>
        <v/>
      </c>
      <c r="F107" s="73" t="str">
        <f aca="false">IF($AI107="","",INDEX('REGISTRE ELEVES'!$AE$10:$AE$250,$AI107))</f>
        <v/>
      </c>
      <c r="G107" s="75"/>
      <c r="H107" s="76"/>
      <c r="I107" s="76"/>
      <c r="J107" s="76"/>
      <c r="K107" s="76"/>
      <c r="L107" s="79" t="str">
        <f aca="false">IF(B107="","",IF($G107="NON",0,IF(COUNT(H107:K107)=0,"",SUM(H107:K107))))</f>
        <v/>
      </c>
      <c r="M107" s="77" t="str">
        <f aca="false">IF(B107="","",IF($G107="NON",0,IF(COUNT(H107:K107)=0,"",IFERROR(ROUND(SUM(H107:K107)/SUMPRODUCT(ISNUMBER(H107:K107)*$H$8:$K$8)*10,2),""))))</f>
        <v/>
      </c>
      <c r="N107" s="75"/>
      <c r="O107" s="76"/>
      <c r="P107" s="76"/>
      <c r="Q107" s="76"/>
      <c r="R107" s="76"/>
      <c r="S107" s="79" t="str">
        <f aca="false">IF(B107="","",IF($N107="NON",0,IF(COUNT(O107:R107)=0,"",SUM(O107:R107))))</f>
        <v/>
      </c>
      <c r="T107" s="77" t="str">
        <f aca="false">IF(B107="","",IF($N107="NON",0,IF(COUNT(O107:R107)=0,"",IFERROR(ROUND(SUM(O107:R107)/SUMPRODUCT(ISNUMBER(O107:R107)*$O$8:$R$8)*10,2),""))))</f>
        <v/>
      </c>
      <c r="U107" s="75"/>
      <c r="V107" s="76"/>
      <c r="W107" s="76"/>
      <c r="X107" s="76"/>
      <c r="Y107" s="76"/>
      <c r="Z107" s="79" t="str">
        <f aca="false">IF(B107="","",IF($U107="NON",0,IF(COUNT(V107:Y107)=0,"",SUM(V107:Y107))))</f>
        <v/>
      </c>
      <c r="AA107" s="77" t="str">
        <f aca="false">IF(B107="","",IF($U107="NON",0,IF(COUNT(V107:Y107)=0,"",IFERROR(ROUND(SUM(V107:Y107)/SUMPRODUCT(ISNUMBER(V107:Y107)*$V$8:$Y$8)*10,2),""))))</f>
        <v/>
      </c>
      <c r="AB107" s="75"/>
      <c r="AC107" s="76"/>
      <c r="AD107" s="76"/>
      <c r="AE107" s="76"/>
      <c r="AF107" s="76"/>
      <c r="AG107" s="79" t="str">
        <f aca="false">IF(B107="","",IF($AB107="NON",0,IF(COUNT(AC107:AF107)=0,"",SUM(AC107:AF107))))</f>
        <v/>
      </c>
      <c r="AH107" s="77" t="str">
        <f aca="false">IF(B107="","",IF($AB107="NON",0,IF(COUNT(AC107:AF107)=0,"",IFERROR(ROUND(SUM(AC107:AF107)/SUMPRODUCT(ISNUMBER(AC107:AF107)*$AC$8:$AF$8)*10,2),""))))</f>
        <v/>
      </c>
      <c r="AI107" s="51" t="str">
        <f aca="false">IFERROR(MATCH("CE1-98",'REGISTRE ELEVES'!$AI$10:$AI$250,0),"")</f>
        <v/>
      </c>
    </row>
    <row r="108" customFormat="false" ht="15" hidden="false" customHeight="false" outlineLevel="0" collapsed="false">
      <c r="A108" s="73" t="str">
        <f aca="false">IF(B108="","",99)</f>
        <v/>
      </c>
      <c r="B108" s="73" t="str">
        <f aca="false">IF($AI108="","",INDEX('REGISTRE ELEVES'!$B$10:$B$250,$AI108))</f>
        <v/>
      </c>
      <c r="C108" s="74" t="str">
        <f aca="false">IF($AI108="","",INDEX('REGISTRE ELEVES'!$D$10:$D$250,$AI108))</f>
        <v/>
      </c>
      <c r="D108" s="73" t="str">
        <f aca="false">IF($AI108="","",INDEX('REGISTRE ELEVES'!$E$10:$E$250,$AI108))</f>
        <v/>
      </c>
      <c r="E108" s="73" t="str">
        <f aca="false">IF($AI108="","",INDEX('REGISTRE ELEVES'!$F$10:$F$250,$AI108))</f>
        <v/>
      </c>
      <c r="F108" s="73" t="str">
        <f aca="false">IF($AI108="","",INDEX('REGISTRE ELEVES'!$AE$10:$AE$250,$AI108))</f>
        <v/>
      </c>
      <c r="G108" s="75"/>
      <c r="H108" s="76"/>
      <c r="I108" s="76"/>
      <c r="J108" s="76"/>
      <c r="K108" s="76"/>
      <c r="L108" s="79" t="str">
        <f aca="false">IF(B108="","",IF($G108="NON",0,IF(COUNT(H108:K108)=0,"",SUM(H108:K108))))</f>
        <v/>
      </c>
      <c r="M108" s="77" t="str">
        <f aca="false">IF(B108="","",IF($G108="NON",0,IF(COUNT(H108:K108)=0,"",IFERROR(ROUND(SUM(H108:K108)/SUMPRODUCT(ISNUMBER(H108:K108)*$H$8:$K$8)*10,2),""))))</f>
        <v/>
      </c>
      <c r="N108" s="75"/>
      <c r="O108" s="76"/>
      <c r="P108" s="76"/>
      <c r="Q108" s="76"/>
      <c r="R108" s="76"/>
      <c r="S108" s="79" t="str">
        <f aca="false">IF(B108="","",IF($N108="NON",0,IF(COUNT(O108:R108)=0,"",SUM(O108:R108))))</f>
        <v/>
      </c>
      <c r="T108" s="77" t="str">
        <f aca="false">IF(B108="","",IF($N108="NON",0,IF(COUNT(O108:R108)=0,"",IFERROR(ROUND(SUM(O108:R108)/SUMPRODUCT(ISNUMBER(O108:R108)*$O$8:$R$8)*10,2),""))))</f>
        <v/>
      </c>
      <c r="U108" s="75"/>
      <c r="V108" s="76"/>
      <c r="W108" s="76"/>
      <c r="X108" s="76"/>
      <c r="Y108" s="76"/>
      <c r="Z108" s="79" t="str">
        <f aca="false">IF(B108="","",IF($U108="NON",0,IF(COUNT(V108:Y108)=0,"",SUM(V108:Y108))))</f>
        <v/>
      </c>
      <c r="AA108" s="77" t="str">
        <f aca="false">IF(B108="","",IF($U108="NON",0,IF(COUNT(V108:Y108)=0,"",IFERROR(ROUND(SUM(V108:Y108)/SUMPRODUCT(ISNUMBER(V108:Y108)*$V$8:$Y$8)*10,2),""))))</f>
        <v/>
      </c>
      <c r="AB108" s="75"/>
      <c r="AC108" s="76"/>
      <c r="AD108" s="76"/>
      <c r="AE108" s="76"/>
      <c r="AF108" s="76"/>
      <c r="AG108" s="79" t="str">
        <f aca="false">IF(B108="","",IF($AB108="NON",0,IF(COUNT(AC108:AF108)=0,"",SUM(AC108:AF108))))</f>
        <v/>
      </c>
      <c r="AH108" s="77" t="str">
        <f aca="false">IF(B108="","",IF($AB108="NON",0,IF(COUNT(AC108:AF108)=0,"",IFERROR(ROUND(SUM(AC108:AF108)/SUMPRODUCT(ISNUMBER(AC108:AF108)*$AC$8:$AF$8)*10,2),""))))</f>
        <v/>
      </c>
      <c r="AI108" s="51" t="str">
        <f aca="false">IFERROR(MATCH("CE1-99",'REGISTRE ELEVES'!$AI$10:$AI$250,0),"")</f>
        <v/>
      </c>
    </row>
    <row r="109" customFormat="false" ht="15" hidden="false" customHeight="false" outlineLevel="0" collapsed="false">
      <c r="A109" s="73" t="str">
        <f aca="false">IF(B109="","",100)</f>
        <v/>
      </c>
      <c r="B109" s="73" t="str">
        <f aca="false">IF($AI109="","",INDEX('REGISTRE ELEVES'!$B$10:$B$250,$AI109))</f>
        <v/>
      </c>
      <c r="C109" s="74" t="str">
        <f aca="false">IF($AI109="","",INDEX('REGISTRE ELEVES'!$D$10:$D$250,$AI109))</f>
        <v/>
      </c>
      <c r="D109" s="73" t="str">
        <f aca="false">IF($AI109="","",INDEX('REGISTRE ELEVES'!$E$10:$E$250,$AI109))</f>
        <v/>
      </c>
      <c r="E109" s="73" t="str">
        <f aca="false">IF($AI109="","",INDEX('REGISTRE ELEVES'!$F$10:$F$250,$AI109))</f>
        <v/>
      </c>
      <c r="F109" s="73" t="str">
        <f aca="false">IF($AI109="","",INDEX('REGISTRE ELEVES'!$AE$10:$AE$250,$AI109))</f>
        <v/>
      </c>
      <c r="G109" s="75"/>
      <c r="H109" s="76"/>
      <c r="I109" s="76"/>
      <c r="J109" s="76"/>
      <c r="K109" s="76"/>
      <c r="L109" s="79" t="str">
        <f aca="false">IF(B109="","",IF($G109="NON",0,IF(COUNT(H109:K109)=0,"",SUM(H109:K109))))</f>
        <v/>
      </c>
      <c r="M109" s="77" t="str">
        <f aca="false">IF(B109="","",IF($G109="NON",0,IF(COUNT(H109:K109)=0,"",IFERROR(ROUND(SUM(H109:K109)/SUMPRODUCT(ISNUMBER(H109:K109)*$H$8:$K$8)*10,2),""))))</f>
        <v/>
      </c>
      <c r="N109" s="75"/>
      <c r="O109" s="76"/>
      <c r="P109" s="76"/>
      <c r="Q109" s="76"/>
      <c r="R109" s="76"/>
      <c r="S109" s="79" t="str">
        <f aca="false">IF(B109="","",IF($N109="NON",0,IF(COUNT(O109:R109)=0,"",SUM(O109:R109))))</f>
        <v/>
      </c>
      <c r="T109" s="77" t="str">
        <f aca="false">IF(B109="","",IF($N109="NON",0,IF(COUNT(O109:R109)=0,"",IFERROR(ROUND(SUM(O109:R109)/SUMPRODUCT(ISNUMBER(O109:R109)*$O$8:$R$8)*10,2),""))))</f>
        <v/>
      </c>
      <c r="U109" s="75"/>
      <c r="V109" s="76"/>
      <c r="W109" s="76"/>
      <c r="X109" s="76"/>
      <c r="Y109" s="76"/>
      <c r="Z109" s="79" t="str">
        <f aca="false">IF(B109="","",IF($U109="NON",0,IF(COUNT(V109:Y109)=0,"",SUM(V109:Y109))))</f>
        <v/>
      </c>
      <c r="AA109" s="77" t="str">
        <f aca="false">IF(B109="","",IF($U109="NON",0,IF(COUNT(V109:Y109)=0,"",IFERROR(ROUND(SUM(V109:Y109)/SUMPRODUCT(ISNUMBER(V109:Y109)*$V$8:$Y$8)*10,2),""))))</f>
        <v/>
      </c>
      <c r="AB109" s="75"/>
      <c r="AC109" s="76"/>
      <c r="AD109" s="76"/>
      <c r="AE109" s="76"/>
      <c r="AF109" s="76"/>
      <c r="AG109" s="79" t="str">
        <f aca="false">IF(B109="","",IF($AB109="NON",0,IF(COUNT(AC109:AF109)=0,"",SUM(AC109:AF109))))</f>
        <v/>
      </c>
      <c r="AH109" s="77" t="str">
        <f aca="false">IF(B109="","",IF($AB109="NON",0,IF(COUNT(AC109:AF109)=0,"",IFERROR(ROUND(SUM(AC109:AF109)/SUMPRODUCT(ISNUMBER(AC109:AF109)*$AC$8:$AF$8)*10,2),""))))</f>
        <v/>
      </c>
      <c r="AI109" s="51" t="str">
        <f aca="false">IFERROR(MATCH("CE1-100",'REGISTRE ELEVES'!$AI$10:$AI$250,0),"")</f>
        <v/>
      </c>
    </row>
    <row r="110" customFormat="false" ht="15" hidden="false" customHeight="false" outlineLevel="0" collapsed="false">
      <c r="A110" s="73" t="str">
        <f aca="false">IF(B110="","",101)</f>
        <v/>
      </c>
      <c r="B110" s="73" t="str">
        <f aca="false">IF($AI110="","",INDEX('REGISTRE ELEVES'!$B$10:$B$250,$AI110))</f>
        <v/>
      </c>
      <c r="C110" s="74" t="str">
        <f aca="false">IF($AI110="","",INDEX('REGISTRE ELEVES'!$D$10:$D$250,$AI110))</f>
        <v/>
      </c>
      <c r="D110" s="73" t="str">
        <f aca="false">IF($AI110="","",INDEX('REGISTRE ELEVES'!$E$10:$E$250,$AI110))</f>
        <v/>
      </c>
      <c r="E110" s="73" t="str">
        <f aca="false">IF($AI110="","",INDEX('REGISTRE ELEVES'!$F$10:$F$250,$AI110))</f>
        <v/>
      </c>
      <c r="F110" s="73" t="str">
        <f aca="false">IF($AI110="","",INDEX('REGISTRE ELEVES'!$AE$10:$AE$250,$AI110))</f>
        <v/>
      </c>
      <c r="G110" s="75"/>
      <c r="H110" s="76"/>
      <c r="I110" s="76"/>
      <c r="J110" s="76"/>
      <c r="K110" s="76"/>
      <c r="L110" s="79" t="str">
        <f aca="false">IF(B110="","",IF($G110="NON",0,IF(COUNT(H110:K110)=0,"",SUM(H110:K110))))</f>
        <v/>
      </c>
      <c r="M110" s="77" t="str">
        <f aca="false">IF(B110="","",IF($G110="NON",0,IF(COUNT(H110:K110)=0,"",IFERROR(ROUND(SUM(H110:K110)/SUMPRODUCT(ISNUMBER(H110:K110)*$H$8:$K$8)*10,2),""))))</f>
        <v/>
      </c>
      <c r="N110" s="75"/>
      <c r="O110" s="76"/>
      <c r="P110" s="76"/>
      <c r="Q110" s="76"/>
      <c r="R110" s="76"/>
      <c r="S110" s="79" t="str">
        <f aca="false">IF(B110="","",IF($N110="NON",0,IF(COUNT(O110:R110)=0,"",SUM(O110:R110))))</f>
        <v/>
      </c>
      <c r="T110" s="77" t="str">
        <f aca="false">IF(B110="","",IF($N110="NON",0,IF(COUNT(O110:R110)=0,"",IFERROR(ROUND(SUM(O110:R110)/SUMPRODUCT(ISNUMBER(O110:R110)*$O$8:$R$8)*10,2),""))))</f>
        <v/>
      </c>
      <c r="U110" s="75"/>
      <c r="V110" s="76"/>
      <c r="W110" s="76"/>
      <c r="X110" s="76"/>
      <c r="Y110" s="76"/>
      <c r="Z110" s="79" t="str">
        <f aca="false">IF(B110="","",IF($U110="NON",0,IF(COUNT(V110:Y110)=0,"",SUM(V110:Y110))))</f>
        <v/>
      </c>
      <c r="AA110" s="77" t="str">
        <f aca="false">IF(B110="","",IF($U110="NON",0,IF(COUNT(V110:Y110)=0,"",IFERROR(ROUND(SUM(V110:Y110)/SUMPRODUCT(ISNUMBER(V110:Y110)*$V$8:$Y$8)*10,2),""))))</f>
        <v/>
      </c>
      <c r="AB110" s="75"/>
      <c r="AC110" s="76"/>
      <c r="AD110" s="76"/>
      <c r="AE110" s="76"/>
      <c r="AF110" s="76"/>
      <c r="AG110" s="79" t="str">
        <f aca="false">IF(B110="","",IF($AB110="NON",0,IF(COUNT(AC110:AF110)=0,"",SUM(AC110:AF110))))</f>
        <v/>
      </c>
      <c r="AH110" s="77" t="str">
        <f aca="false">IF(B110="","",IF($AB110="NON",0,IF(COUNT(AC110:AF110)=0,"",IFERROR(ROUND(SUM(AC110:AF110)/SUMPRODUCT(ISNUMBER(AC110:AF110)*$AC$8:$AF$8)*10,2),""))))</f>
        <v/>
      </c>
      <c r="AI110" s="51" t="str">
        <f aca="false">IFERROR(MATCH("CE1-101",'REGISTRE ELEVES'!$AI$10:$AI$250,0),"")</f>
        <v/>
      </c>
    </row>
    <row r="111" customFormat="false" ht="15" hidden="false" customHeight="false" outlineLevel="0" collapsed="false">
      <c r="A111" s="73" t="str">
        <f aca="false">IF(B111="","",102)</f>
        <v/>
      </c>
      <c r="B111" s="73" t="str">
        <f aca="false">IF($AI111="","",INDEX('REGISTRE ELEVES'!$B$10:$B$250,$AI111))</f>
        <v/>
      </c>
      <c r="C111" s="74" t="str">
        <f aca="false">IF($AI111="","",INDEX('REGISTRE ELEVES'!$D$10:$D$250,$AI111))</f>
        <v/>
      </c>
      <c r="D111" s="73" t="str">
        <f aca="false">IF($AI111="","",INDEX('REGISTRE ELEVES'!$E$10:$E$250,$AI111))</f>
        <v/>
      </c>
      <c r="E111" s="73" t="str">
        <f aca="false">IF($AI111="","",INDEX('REGISTRE ELEVES'!$F$10:$F$250,$AI111))</f>
        <v/>
      </c>
      <c r="F111" s="73" t="str">
        <f aca="false">IF($AI111="","",INDEX('REGISTRE ELEVES'!$AE$10:$AE$250,$AI111))</f>
        <v/>
      </c>
      <c r="G111" s="75"/>
      <c r="H111" s="76"/>
      <c r="I111" s="76"/>
      <c r="J111" s="76"/>
      <c r="K111" s="76"/>
      <c r="L111" s="79" t="str">
        <f aca="false">IF(B111="","",IF($G111="NON",0,IF(COUNT(H111:K111)=0,"",SUM(H111:K111))))</f>
        <v/>
      </c>
      <c r="M111" s="77" t="str">
        <f aca="false">IF(B111="","",IF($G111="NON",0,IF(COUNT(H111:K111)=0,"",IFERROR(ROUND(SUM(H111:K111)/SUMPRODUCT(ISNUMBER(H111:K111)*$H$8:$K$8)*10,2),""))))</f>
        <v/>
      </c>
      <c r="N111" s="75"/>
      <c r="O111" s="76"/>
      <c r="P111" s="76"/>
      <c r="Q111" s="76"/>
      <c r="R111" s="76"/>
      <c r="S111" s="79" t="str">
        <f aca="false">IF(B111="","",IF($N111="NON",0,IF(COUNT(O111:R111)=0,"",SUM(O111:R111))))</f>
        <v/>
      </c>
      <c r="T111" s="77" t="str">
        <f aca="false">IF(B111="","",IF($N111="NON",0,IF(COUNT(O111:R111)=0,"",IFERROR(ROUND(SUM(O111:R111)/SUMPRODUCT(ISNUMBER(O111:R111)*$O$8:$R$8)*10,2),""))))</f>
        <v/>
      </c>
      <c r="U111" s="75"/>
      <c r="V111" s="76"/>
      <c r="W111" s="76"/>
      <c r="X111" s="76"/>
      <c r="Y111" s="76"/>
      <c r="Z111" s="79" t="str">
        <f aca="false">IF(B111="","",IF($U111="NON",0,IF(COUNT(V111:Y111)=0,"",SUM(V111:Y111))))</f>
        <v/>
      </c>
      <c r="AA111" s="77" t="str">
        <f aca="false">IF(B111="","",IF($U111="NON",0,IF(COUNT(V111:Y111)=0,"",IFERROR(ROUND(SUM(V111:Y111)/SUMPRODUCT(ISNUMBER(V111:Y111)*$V$8:$Y$8)*10,2),""))))</f>
        <v/>
      </c>
      <c r="AB111" s="75"/>
      <c r="AC111" s="76"/>
      <c r="AD111" s="76"/>
      <c r="AE111" s="76"/>
      <c r="AF111" s="76"/>
      <c r="AG111" s="79" t="str">
        <f aca="false">IF(B111="","",IF($AB111="NON",0,IF(COUNT(AC111:AF111)=0,"",SUM(AC111:AF111))))</f>
        <v/>
      </c>
      <c r="AH111" s="77" t="str">
        <f aca="false">IF(B111="","",IF($AB111="NON",0,IF(COUNT(AC111:AF111)=0,"",IFERROR(ROUND(SUM(AC111:AF111)/SUMPRODUCT(ISNUMBER(AC111:AF111)*$AC$8:$AF$8)*10,2),""))))</f>
        <v/>
      </c>
      <c r="AI111" s="51" t="str">
        <f aca="false">IFERROR(MATCH("CE1-102",'REGISTRE ELEVES'!$AI$10:$AI$250,0),"")</f>
        <v/>
      </c>
    </row>
    <row r="112" customFormat="false" ht="15" hidden="false" customHeight="false" outlineLevel="0" collapsed="false">
      <c r="A112" s="73" t="str">
        <f aca="false">IF(B112="","",103)</f>
        <v/>
      </c>
      <c r="B112" s="73" t="str">
        <f aca="false">IF($AI112="","",INDEX('REGISTRE ELEVES'!$B$10:$B$250,$AI112))</f>
        <v/>
      </c>
      <c r="C112" s="74" t="str">
        <f aca="false">IF($AI112="","",INDEX('REGISTRE ELEVES'!$D$10:$D$250,$AI112))</f>
        <v/>
      </c>
      <c r="D112" s="73" t="str">
        <f aca="false">IF($AI112="","",INDEX('REGISTRE ELEVES'!$E$10:$E$250,$AI112))</f>
        <v/>
      </c>
      <c r="E112" s="73" t="str">
        <f aca="false">IF($AI112="","",INDEX('REGISTRE ELEVES'!$F$10:$F$250,$AI112))</f>
        <v/>
      </c>
      <c r="F112" s="73" t="str">
        <f aca="false">IF($AI112="","",INDEX('REGISTRE ELEVES'!$AE$10:$AE$250,$AI112))</f>
        <v/>
      </c>
      <c r="G112" s="75"/>
      <c r="H112" s="76"/>
      <c r="I112" s="76"/>
      <c r="J112" s="76"/>
      <c r="K112" s="76"/>
      <c r="L112" s="79" t="str">
        <f aca="false">IF(B112="","",IF($G112="NON",0,IF(COUNT(H112:K112)=0,"",SUM(H112:K112))))</f>
        <v/>
      </c>
      <c r="M112" s="77" t="str">
        <f aca="false">IF(B112="","",IF($G112="NON",0,IF(COUNT(H112:K112)=0,"",IFERROR(ROUND(SUM(H112:K112)/SUMPRODUCT(ISNUMBER(H112:K112)*$H$8:$K$8)*10,2),""))))</f>
        <v/>
      </c>
      <c r="N112" s="75"/>
      <c r="O112" s="76"/>
      <c r="P112" s="76"/>
      <c r="Q112" s="76"/>
      <c r="R112" s="76"/>
      <c r="S112" s="79" t="str">
        <f aca="false">IF(B112="","",IF($N112="NON",0,IF(COUNT(O112:R112)=0,"",SUM(O112:R112))))</f>
        <v/>
      </c>
      <c r="T112" s="77" t="str">
        <f aca="false">IF(B112="","",IF($N112="NON",0,IF(COUNT(O112:R112)=0,"",IFERROR(ROUND(SUM(O112:R112)/SUMPRODUCT(ISNUMBER(O112:R112)*$O$8:$R$8)*10,2),""))))</f>
        <v/>
      </c>
      <c r="U112" s="75"/>
      <c r="V112" s="76"/>
      <c r="W112" s="76"/>
      <c r="X112" s="76"/>
      <c r="Y112" s="76"/>
      <c r="Z112" s="79" t="str">
        <f aca="false">IF(B112="","",IF($U112="NON",0,IF(COUNT(V112:Y112)=0,"",SUM(V112:Y112))))</f>
        <v/>
      </c>
      <c r="AA112" s="77" t="str">
        <f aca="false">IF(B112="","",IF($U112="NON",0,IF(COUNT(V112:Y112)=0,"",IFERROR(ROUND(SUM(V112:Y112)/SUMPRODUCT(ISNUMBER(V112:Y112)*$V$8:$Y$8)*10,2),""))))</f>
        <v/>
      </c>
      <c r="AB112" s="75"/>
      <c r="AC112" s="76"/>
      <c r="AD112" s="76"/>
      <c r="AE112" s="76"/>
      <c r="AF112" s="76"/>
      <c r="AG112" s="79" t="str">
        <f aca="false">IF(B112="","",IF($AB112="NON",0,IF(COUNT(AC112:AF112)=0,"",SUM(AC112:AF112))))</f>
        <v/>
      </c>
      <c r="AH112" s="77" t="str">
        <f aca="false">IF(B112="","",IF($AB112="NON",0,IF(COUNT(AC112:AF112)=0,"",IFERROR(ROUND(SUM(AC112:AF112)/SUMPRODUCT(ISNUMBER(AC112:AF112)*$AC$8:$AF$8)*10,2),""))))</f>
        <v/>
      </c>
      <c r="AI112" s="51" t="str">
        <f aca="false">IFERROR(MATCH("CE1-103",'REGISTRE ELEVES'!$AI$10:$AI$250,0),"")</f>
        <v/>
      </c>
    </row>
    <row r="113" customFormat="false" ht="15" hidden="false" customHeight="false" outlineLevel="0" collapsed="false">
      <c r="A113" s="73" t="str">
        <f aca="false">IF(B113="","",104)</f>
        <v/>
      </c>
      <c r="B113" s="73" t="str">
        <f aca="false">IF($AI113="","",INDEX('REGISTRE ELEVES'!$B$10:$B$250,$AI113))</f>
        <v/>
      </c>
      <c r="C113" s="74" t="str">
        <f aca="false">IF($AI113="","",INDEX('REGISTRE ELEVES'!$D$10:$D$250,$AI113))</f>
        <v/>
      </c>
      <c r="D113" s="73" t="str">
        <f aca="false">IF($AI113="","",INDEX('REGISTRE ELEVES'!$E$10:$E$250,$AI113))</f>
        <v/>
      </c>
      <c r="E113" s="73" t="str">
        <f aca="false">IF($AI113="","",INDEX('REGISTRE ELEVES'!$F$10:$F$250,$AI113))</f>
        <v/>
      </c>
      <c r="F113" s="73" t="str">
        <f aca="false">IF($AI113="","",INDEX('REGISTRE ELEVES'!$AE$10:$AE$250,$AI113))</f>
        <v/>
      </c>
      <c r="G113" s="75"/>
      <c r="H113" s="76"/>
      <c r="I113" s="76"/>
      <c r="J113" s="76"/>
      <c r="K113" s="76"/>
      <c r="L113" s="79" t="str">
        <f aca="false">IF(B113="","",IF($G113="NON",0,IF(COUNT(H113:K113)=0,"",SUM(H113:K113))))</f>
        <v/>
      </c>
      <c r="M113" s="77" t="str">
        <f aca="false">IF(B113="","",IF($G113="NON",0,IF(COUNT(H113:K113)=0,"",IFERROR(ROUND(SUM(H113:K113)/SUMPRODUCT(ISNUMBER(H113:K113)*$H$8:$K$8)*10,2),""))))</f>
        <v/>
      </c>
      <c r="N113" s="75"/>
      <c r="O113" s="76"/>
      <c r="P113" s="76"/>
      <c r="Q113" s="76"/>
      <c r="R113" s="76"/>
      <c r="S113" s="79" t="str">
        <f aca="false">IF(B113="","",IF($N113="NON",0,IF(COUNT(O113:R113)=0,"",SUM(O113:R113))))</f>
        <v/>
      </c>
      <c r="T113" s="77" t="str">
        <f aca="false">IF(B113="","",IF($N113="NON",0,IF(COUNT(O113:R113)=0,"",IFERROR(ROUND(SUM(O113:R113)/SUMPRODUCT(ISNUMBER(O113:R113)*$O$8:$R$8)*10,2),""))))</f>
        <v/>
      </c>
      <c r="U113" s="75"/>
      <c r="V113" s="76"/>
      <c r="W113" s="76"/>
      <c r="X113" s="76"/>
      <c r="Y113" s="76"/>
      <c r="Z113" s="79" t="str">
        <f aca="false">IF(B113="","",IF($U113="NON",0,IF(COUNT(V113:Y113)=0,"",SUM(V113:Y113))))</f>
        <v/>
      </c>
      <c r="AA113" s="77" t="str">
        <f aca="false">IF(B113="","",IF($U113="NON",0,IF(COUNT(V113:Y113)=0,"",IFERROR(ROUND(SUM(V113:Y113)/SUMPRODUCT(ISNUMBER(V113:Y113)*$V$8:$Y$8)*10,2),""))))</f>
        <v/>
      </c>
      <c r="AB113" s="75"/>
      <c r="AC113" s="76"/>
      <c r="AD113" s="76"/>
      <c r="AE113" s="76"/>
      <c r="AF113" s="76"/>
      <c r="AG113" s="79" t="str">
        <f aca="false">IF(B113="","",IF($AB113="NON",0,IF(COUNT(AC113:AF113)=0,"",SUM(AC113:AF113))))</f>
        <v/>
      </c>
      <c r="AH113" s="77" t="str">
        <f aca="false">IF(B113="","",IF($AB113="NON",0,IF(COUNT(AC113:AF113)=0,"",IFERROR(ROUND(SUM(AC113:AF113)/SUMPRODUCT(ISNUMBER(AC113:AF113)*$AC$8:$AF$8)*10,2),""))))</f>
        <v/>
      </c>
      <c r="AI113" s="51" t="str">
        <f aca="false">IFERROR(MATCH("CE1-104",'REGISTRE ELEVES'!$AI$10:$AI$250,0),"")</f>
        <v/>
      </c>
    </row>
    <row r="114" customFormat="false" ht="15" hidden="false" customHeight="false" outlineLevel="0" collapsed="false">
      <c r="A114" s="73" t="str">
        <f aca="false">IF(B114="","",105)</f>
        <v/>
      </c>
      <c r="B114" s="73" t="str">
        <f aca="false">IF($AI114="","",INDEX('REGISTRE ELEVES'!$B$10:$B$250,$AI114))</f>
        <v/>
      </c>
      <c r="C114" s="74" t="str">
        <f aca="false">IF($AI114="","",INDEX('REGISTRE ELEVES'!$D$10:$D$250,$AI114))</f>
        <v/>
      </c>
      <c r="D114" s="73" t="str">
        <f aca="false">IF($AI114="","",INDEX('REGISTRE ELEVES'!$E$10:$E$250,$AI114))</f>
        <v/>
      </c>
      <c r="E114" s="73" t="str">
        <f aca="false">IF($AI114="","",INDEX('REGISTRE ELEVES'!$F$10:$F$250,$AI114))</f>
        <v/>
      </c>
      <c r="F114" s="73" t="str">
        <f aca="false">IF($AI114="","",INDEX('REGISTRE ELEVES'!$AE$10:$AE$250,$AI114))</f>
        <v/>
      </c>
      <c r="G114" s="75"/>
      <c r="H114" s="76"/>
      <c r="I114" s="76"/>
      <c r="J114" s="76"/>
      <c r="K114" s="76"/>
      <c r="L114" s="79" t="str">
        <f aca="false">IF(B114="","",IF($G114="NON",0,IF(COUNT(H114:K114)=0,"",SUM(H114:K114))))</f>
        <v/>
      </c>
      <c r="M114" s="77" t="str">
        <f aca="false">IF(B114="","",IF($G114="NON",0,IF(COUNT(H114:K114)=0,"",IFERROR(ROUND(SUM(H114:K114)/SUMPRODUCT(ISNUMBER(H114:K114)*$H$8:$K$8)*10,2),""))))</f>
        <v/>
      </c>
      <c r="N114" s="75"/>
      <c r="O114" s="76"/>
      <c r="P114" s="76"/>
      <c r="Q114" s="76"/>
      <c r="R114" s="76"/>
      <c r="S114" s="79" t="str">
        <f aca="false">IF(B114="","",IF($N114="NON",0,IF(COUNT(O114:R114)=0,"",SUM(O114:R114))))</f>
        <v/>
      </c>
      <c r="T114" s="77" t="str">
        <f aca="false">IF(B114="","",IF($N114="NON",0,IF(COUNT(O114:R114)=0,"",IFERROR(ROUND(SUM(O114:R114)/SUMPRODUCT(ISNUMBER(O114:R114)*$O$8:$R$8)*10,2),""))))</f>
        <v/>
      </c>
      <c r="U114" s="75"/>
      <c r="V114" s="76"/>
      <c r="W114" s="76"/>
      <c r="X114" s="76"/>
      <c r="Y114" s="76"/>
      <c r="Z114" s="79" t="str">
        <f aca="false">IF(B114="","",IF($U114="NON",0,IF(COUNT(V114:Y114)=0,"",SUM(V114:Y114))))</f>
        <v/>
      </c>
      <c r="AA114" s="77" t="str">
        <f aca="false">IF(B114="","",IF($U114="NON",0,IF(COUNT(V114:Y114)=0,"",IFERROR(ROUND(SUM(V114:Y114)/SUMPRODUCT(ISNUMBER(V114:Y114)*$V$8:$Y$8)*10,2),""))))</f>
        <v/>
      </c>
      <c r="AB114" s="75"/>
      <c r="AC114" s="76"/>
      <c r="AD114" s="76"/>
      <c r="AE114" s="76"/>
      <c r="AF114" s="76"/>
      <c r="AG114" s="79" t="str">
        <f aca="false">IF(B114="","",IF($AB114="NON",0,IF(COUNT(AC114:AF114)=0,"",SUM(AC114:AF114))))</f>
        <v/>
      </c>
      <c r="AH114" s="77" t="str">
        <f aca="false">IF(B114="","",IF($AB114="NON",0,IF(COUNT(AC114:AF114)=0,"",IFERROR(ROUND(SUM(AC114:AF114)/SUMPRODUCT(ISNUMBER(AC114:AF114)*$AC$8:$AF$8)*10,2),""))))</f>
        <v/>
      </c>
      <c r="AI114" s="51" t="str">
        <f aca="false">IFERROR(MATCH("CE1-105",'REGISTRE ELEVES'!$AI$10:$AI$250,0),"")</f>
        <v/>
      </c>
    </row>
    <row r="115" customFormat="false" ht="15" hidden="false" customHeight="false" outlineLevel="0" collapsed="false">
      <c r="A115" s="73" t="str">
        <f aca="false">IF(B115="","",106)</f>
        <v/>
      </c>
      <c r="B115" s="73" t="str">
        <f aca="false">IF($AI115="","",INDEX('REGISTRE ELEVES'!$B$10:$B$250,$AI115))</f>
        <v/>
      </c>
      <c r="C115" s="74" t="str">
        <f aca="false">IF($AI115="","",INDEX('REGISTRE ELEVES'!$D$10:$D$250,$AI115))</f>
        <v/>
      </c>
      <c r="D115" s="73" t="str">
        <f aca="false">IF($AI115="","",INDEX('REGISTRE ELEVES'!$E$10:$E$250,$AI115))</f>
        <v/>
      </c>
      <c r="E115" s="73" t="str">
        <f aca="false">IF($AI115="","",INDEX('REGISTRE ELEVES'!$F$10:$F$250,$AI115))</f>
        <v/>
      </c>
      <c r="F115" s="73" t="str">
        <f aca="false">IF($AI115="","",INDEX('REGISTRE ELEVES'!$AE$10:$AE$250,$AI115))</f>
        <v/>
      </c>
      <c r="G115" s="75"/>
      <c r="H115" s="76"/>
      <c r="I115" s="76"/>
      <c r="J115" s="76"/>
      <c r="K115" s="76"/>
      <c r="L115" s="79" t="str">
        <f aca="false">IF(B115="","",IF($G115="NON",0,IF(COUNT(H115:K115)=0,"",SUM(H115:K115))))</f>
        <v/>
      </c>
      <c r="M115" s="77" t="str">
        <f aca="false">IF(B115="","",IF($G115="NON",0,IF(COUNT(H115:K115)=0,"",IFERROR(ROUND(SUM(H115:K115)/SUMPRODUCT(ISNUMBER(H115:K115)*$H$8:$K$8)*10,2),""))))</f>
        <v/>
      </c>
      <c r="N115" s="75"/>
      <c r="O115" s="76"/>
      <c r="P115" s="76"/>
      <c r="Q115" s="76"/>
      <c r="R115" s="76"/>
      <c r="S115" s="79" t="str">
        <f aca="false">IF(B115="","",IF($N115="NON",0,IF(COUNT(O115:R115)=0,"",SUM(O115:R115))))</f>
        <v/>
      </c>
      <c r="T115" s="77" t="str">
        <f aca="false">IF(B115="","",IF($N115="NON",0,IF(COUNT(O115:R115)=0,"",IFERROR(ROUND(SUM(O115:R115)/SUMPRODUCT(ISNUMBER(O115:R115)*$O$8:$R$8)*10,2),""))))</f>
        <v/>
      </c>
      <c r="U115" s="75"/>
      <c r="V115" s="76"/>
      <c r="W115" s="76"/>
      <c r="X115" s="76"/>
      <c r="Y115" s="76"/>
      <c r="Z115" s="79" t="str">
        <f aca="false">IF(B115="","",IF($U115="NON",0,IF(COUNT(V115:Y115)=0,"",SUM(V115:Y115))))</f>
        <v/>
      </c>
      <c r="AA115" s="77" t="str">
        <f aca="false">IF(B115="","",IF($U115="NON",0,IF(COUNT(V115:Y115)=0,"",IFERROR(ROUND(SUM(V115:Y115)/SUMPRODUCT(ISNUMBER(V115:Y115)*$V$8:$Y$8)*10,2),""))))</f>
        <v/>
      </c>
      <c r="AB115" s="75"/>
      <c r="AC115" s="76"/>
      <c r="AD115" s="76"/>
      <c r="AE115" s="76"/>
      <c r="AF115" s="76"/>
      <c r="AG115" s="79" t="str">
        <f aca="false">IF(B115="","",IF($AB115="NON",0,IF(COUNT(AC115:AF115)=0,"",SUM(AC115:AF115))))</f>
        <v/>
      </c>
      <c r="AH115" s="77" t="str">
        <f aca="false">IF(B115="","",IF($AB115="NON",0,IF(COUNT(AC115:AF115)=0,"",IFERROR(ROUND(SUM(AC115:AF115)/SUMPRODUCT(ISNUMBER(AC115:AF115)*$AC$8:$AF$8)*10,2),""))))</f>
        <v/>
      </c>
      <c r="AI115" s="51" t="str">
        <f aca="false">IFERROR(MATCH("CE1-106",'REGISTRE ELEVES'!$AI$10:$AI$250,0),"")</f>
        <v/>
      </c>
    </row>
    <row r="116" customFormat="false" ht="15" hidden="false" customHeight="false" outlineLevel="0" collapsed="false">
      <c r="A116" s="73" t="str">
        <f aca="false">IF(B116="","",107)</f>
        <v/>
      </c>
      <c r="B116" s="73" t="str">
        <f aca="false">IF($AI116="","",INDEX('REGISTRE ELEVES'!$B$10:$B$250,$AI116))</f>
        <v/>
      </c>
      <c r="C116" s="74" t="str">
        <f aca="false">IF($AI116="","",INDEX('REGISTRE ELEVES'!$D$10:$D$250,$AI116))</f>
        <v/>
      </c>
      <c r="D116" s="73" t="str">
        <f aca="false">IF($AI116="","",INDEX('REGISTRE ELEVES'!$E$10:$E$250,$AI116))</f>
        <v/>
      </c>
      <c r="E116" s="73" t="str">
        <f aca="false">IF($AI116="","",INDEX('REGISTRE ELEVES'!$F$10:$F$250,$AI116))</f>
        <v/>
      </c>
      <c r="F116" s="73" t="str">
        <f aca="false">IF($AI116="","",INDEX('REGISTRE ELEVES'!$AE$10:$AE$250,$AI116))</f>
        <v/>
      </c>
      <c r="G116" s="75"/>
      <c r="H116" s="76"/>
      <c r="I116" s="76"/>
      <c r="J116" s="76"/>
      <c r="K116" s="76"/>
      <c r="L116" s="79" t="str">
        <f aca="false">IF(B116="","",IF($G116="NON",0,IF(COUNT(H116:K116)=0,"",SUM(H116:K116))))</f>
        <v/>
      </c>
      <c r="M116" s="77" t="str">
        <f aca="false">IF(B116="","",IF($G116="NON",0,IF(COUNT(H116:K116)=0,"",IFERROR(ROUND(SUM(H116:K116)/SUMPRODUCT(ISNUMBER(H116:K116)*$H$8:$K$8)*10,2),""))))</f>
        <v/>
      </c>
      <c r="N116" s="75"/>
      <c r="O116" s="76"/>
      <c r="P116" s="76"/>
      <c r="Q116" s="76"/>
      <c r="R116" s="76"/>
      <c r="S116" s="79" t="str">
        <f aca="false">IF(B116="","",IF($N116="NON",0,IF(COUNT(O116:R116)=0,"",SUM(O116:R116))))</f>
        <v/>
      </c>
      <c r="T116" s="77" t="str">
        <f aca="false">IF(B116="","",IF($N116="NON",0,IF(COUNT(O116:R116)=0,"",IFERROR(ROUND(SUM(O116:R116)/SUMPRODUCT(ISNUMBER(O116:R116)*$O$8:$R$8)*10,2),""))))</f>
        <v/>
      </c>
      <c r="U116" s="75"/>
      <c r="V116" s="76"/>
      <c r="W116" s="76"/>
      <c r="X116" s="76"/>
      <c r="Y116" s="76"/>
      <c r="Z116" s="79" t="str">
        <f aca="false">IF(B116="","",IF($U116="NON",0,IF(COUNT(V116:Y116)=0,"",SUM(V116:Y116))))</f>
        <v/>
      </c>
      <c r="AA116" s="77" t="str">
        <f aca="false">IF(B116="","",IF($U116="NON",0,IF(COUNT(V116:Y116)=0,"",IFERROR(ROUND(SUM(V116:Y116)/SUMPRODUCT(ISNUMBER(V116:Y116)*$V$8:$Y$8)*10,2),""))))</f>
        <v/>
      </c>
      <c r="AB116" s="75"/>
      <c r="AC116" s="76"/>
      <c r="AD116" s="76"/>
      <c r="AE116" s="76"/>
      <c r="AF116" s="76"/>
      <c r="AG116" s="79" t="str">
        <f aca="false">IF(B116="","",IF($AB116="NON",0,IF(COUNT(AC116:AF116)=0,"",SUM(AC116:AF116))))</f>
        <v/>
      </c>
      <c r="AH116" s="77" t="str">
        <f aca="false">IF(B116="","",IF($AB116="NON",0,IF(COUNT(AC116:AF116)=0,"",IFERROR(ROUND(SUM(AC116:AF116)/SUMPRODUCT(ISNUMBER(AC116:AF116)*$AC$8:$AF$8)*10,2),""))))</f>
        <v/>
      </c>
      <c r="AI116" s="51" t="str">
        <f aca="false">IFERROR(MATCH("CE1-107",'REGISTRE ELEVES'!$AI$10:$AI$250,0),"")</f>
        <v/>
      </c>
    </row>
    <row r="117" customFormat="false" ht="15" hidden="false" customHeight="false" outlineLevel="0" collapsed="false">
      <c r="A117" s="73" t="str">
        <f aca="false">IF(B117="","",108)</f>
        <v/>
      </c>
      <c r="B117" s="73" t="str">
        <f aca="false">IF($AI117="","",INDEX('REGISTRE ELEVES'!$B$10:$B$250,$AI117))</f>
        <v/>
      </c>
      <c r="C117" s="74" t="str">
        <f aca="false">IF($AI117="","",INDEX('REGISTRE ELEVES'!$D$10:$D$250,$AI117))</f>
        <v/>
      </c>
      <c r="D117" s="73" t="str">
        <f aca="false">IF($AI117="","",INDEX('REGISTRE ELEVES'!$E$10:$E$250,$AI117))</f>
        <v/>
      </c>
      <c r="E117" s="73" t="str">
        <f aca="false">IF($AI117="","",INDEX('REGISTRE ELEVES'!$F$10:$F$250,$AI117))</f>
        <v/>
      </c>
      <c r="F117" s="73" t="str">
        <f aca="false">IF($AI117="","",INDEX('REGISTRE ELEVES'!$AE$10:$AE$250,$AI117))</f>
        <v/>
      </c>
      <c r="G117" s="75"/>
      <c r="H117" s="76"/>
      <c r="I117" s="76"/>
      <c r="J117" s="76"/>
      <c r="K117" s="76"/>
      <c r="L117" s="79" t="str">
        <f aca="false">IF(B117="","",IF($G117="NON",0,IF(COUNT(H117:K117)=0,"",SUM(H117:K117))))</f>
        <v/>
      </c>
      <c r="M117" s="77" t="str">
        <f aca="false">IF(B117="","",IF($G117="NON",0,IF(COUNT(H117:K117)=0,"",IFERROR(ROUND(SUM(H117:K117)/SUMPRODUCT(ISNUMBER(H117:K117)*$H$8:$K$8)*10,2),""))))</f>
        <v/>
      </c>
      <c r="N117" s="75"/>
      <c r="O117" s="76"/>
      <c r="P117" s="76"/>
      <c r="Q117" s="76"/>
      <c r="R117" s="76"/>
      <c r="S117" s="79" t="str">
        <f aca="false">IF(B117="","",IF($N117="NON",0,IF(COUNT(O117:R117)=0,"",SUM(O117:R117))))</f>
        <v/>
      </c>
      <c r="T117" s="77" t="str">
        <f aca="false">IF(B117="","",IF($N117="NON",0,IF(COUNT(O117:R117)=0,"",IFERROR(ROUND(SUM(O117:R117)/SUMPRODUCT(ISNUMBER(O117:R117)*$O$8:$R$8)*10,2),""))))</f>
        <v/>
      </c>
      <c r="U117" s="75"/>
      <c r="V117" s="76"/>
      <c r="W117" s="76"/>
      <c r="X117" s="76"/>
      <c r="Y117" s="76"/>
      <c r="Z117" s="79" t="str">
        <f aca="false">IF(B117="","",IF($U117="NON",0,IF(COUNT(V117:Y117)=0,"",SUM(V117:Y117))))</f>
        <v/>
      </c>
      <c r="AA117" s="77" t="str">
        <f aca="false">IF(B117="","",IF($U117="NON",0,IF(COUNT(V117:Y117)=0,"",IFERROR(ROUND(SUM(V117:Y117)/SUMPRODUCT(ISNUMBER(V117:Y117)*$V$8:$Y$8)*10,2),""))))</f>
        <v/>
      </c>
      <c r="AB117" s="75"/>
      <c r="AC117" s="76"/>
      <c r="AD117" s="76"/>
      <c r="AE117" s="76"/>
      <c r="AF117" s="76"/>
      <c r="AG117" s="79" t="str">
        <f aca="false">IF(B117="","",IF($AB117="NON",0,IF(COUNT(AC117:AF117)=0,"",SUM(AC117:AF117))))</f>
        <v/>
      </c>
      <c r="AH117" s="77" t="str">
        <f aca="false">IF(B117="","",IF($AB117="NON",0,IF(COUNT(AC117:AF117)=0,"",IFERROR(ROUND(SUM(AC117:AF117)/SUMPRODUCT(ISNUMBER(AC117:AF117)*$AC$8:$AF$8)*10,2),""))))</f>
        <v/>
      </c>
      <c r="AI117" s="51" t="str">
        <f aca="false">IFERROR(MATCH("CE1-108",'REGISTRE ELEVES'!$AI$10:$AI$250,0),"")</f>
        <v/>
      </c>
    </row>
    <row r="118" customFormat="false" ht="15" hidden="false" customHeight="false" outlineLevel="0" collapsed="false">
      <c r="A118" s="73" t="str">
        <f aca="false">IF(B118="","",109)</f>
        <v/>
      </c>
      <c r="B118" s="73" t="str">
        <f aca="false">IF($AI118="","",INDEX('REGISTRE ELEVES'!$B$10:$B$250,$AI118))</f>
        <v/>
      </c>
      <c r="C118" s="74" t="str">
        <f aca="false">IF($AI118="","",INDEX('REGISTRE ELEVES'!$D$10:$D$250,$AI118))</f>
        <v/>
      </c>
      <c r="D118" s="73" t="str">
        <f aca="false">IF($AI118="","",INDEX('REGISTRE ELEVES'!$E$10:$E$250,$AI118))</f>
        <v/>
      </c>
      <c r="E118" s="73" t="str">
        <f aca="false">IF($AI118="","",INDEX('REGISTRE ELEVES'!$F$10:$F$250,$AI118))</f>
        <v/>
      </c>
      <c r="F118" s="73" t="str">
        <f aca="false">IF($AI118="","",INDEX('REGISTRE ELEVES'!$AE$10:$AE$250,$AI118))</f>
        <v/>
      </c>
      <c r="G118" s="75"/>
      <c r="H118" s="76"/>
      <c r="I118" s="76"/>
      <c r="J118" s="76"/>
      <c r="K118" s="76"/>
      <c r="L118" s="79" t="str">
        <f aca="false">IF(B118="","",IF($G118="NON",0,IF(COUNT(H118:K118)=0,"",SUM(H118:K118))))</f>
        <v/>
      </c>
      <c r="M118" s="77" t="str">
        <f aca="false">IF(B118="","",IF($G118="NON",0,IF(COUNT(H118:K118)=0,"",IFERROR(ROUND(SUM(H118:K118)/SUMPRODUCT(ISNUMBER(H118:K118)*$H$8:$K$8)*10,2),""))))</f>
        <v/>
      </c>
      <c r="N118" s="75"/>
      <c r="O118" s="76"/>
      <c r="P118" s="76"/>
      <c r="Q118" s="76"/>
      <c r="R118" s="76"/>
      <c r="S118" s="79" t="str">
        <f aca="false">IF(B118="","",IF($N118="NON",0,IF(COUNT(O118:R118)=0,"",SUM(O118:R118))))</f>
        <v/>
      </c>
      <c r="T118" s="77" t="str">
        <f aca="false">IF(B118="","",IF($N118="NON",0,IF(COUNT(O118:R118)=0,"",IFERROR(ROUND(SUM(O118:R118)/SUMPRODUCT(ISNUMBER(O118:R118)*$O$8:$R$8)*10,2),""))))</f>
        <v/>
      </c>
      <c r="U118" s="75"/>
      <c r="V118" s="76"/>
      <c r="W118" s="76"/>
      <c r="X118" s="76"/>
      <c r="Y118" s="76"/>
      <c r="Z118" s="79" t="str">
        <f aca="false">IF(B118="","",IF($U118="NON",0,IF(COUNT(V118:Y118)=0,"",SUM(V118:Y118))))</f>
        <v/>
      </c>
      <c r="AA118" s="77" t="str">
        <f aca="false">IF(B118="","",IF($U118="NON",0,IF(COUNT(V118:Y118)=0,"",IFERROR(ROUND(SUM(V118:Y118)/SUMPRODUCT(ISNUMBER(V118:Y118)*$V$8:$Y$8)*10,2),""))))</f>
        <v/>
      </c>
      <c r="AB118" s="75"/>
      <c r="AC118" s="76"/>
      <c r="AD118" s="76"/>
      <c r="AE118" s="76"/>
      <c r="AF118" s="76"/>
      <c r="AG118" s="79" t="str">
        <f aca="false">IF(B118="","",IF($AB118="NON",0,IF(COUNT(AC118:AF118)=0,"",SUM(AC118:AF118))))</f>
        <v/>
      </c>
      <c r="AH118" s="77" t="str">
        <f aca="false">IF(B118="","",IF($AB118="NON",0,IF(COUNT(AC118:AF118)=0,"",IFERROR(ROUND(SUM(AC118:AF118)/SUMPRODUCT(ISNUMBER(AC118:AF118)*$AC$8:$AF$8)*10,2),""))))</f>
        <v/>
      </c>
      <c r="AI118" s="51" t="str">
        <f aca="false">IFERROR(MATCH("CE1-109",'REGISTRE ELEVES'!$AI$10:$AI$250,0),"")</f>
        <v/>
      </c>
    </row>
    <row r="119" customFormat="false" ht="15" hidden="false" customHeight="false" outlineLevel="0" collapsed="false">
      <c r="A119" s="73" t="str">
        <f aca="false">IF(B119="","",110)</f>
        <v/>
      </c>
      <c r="B119" s="73" t="str">
        <f aca="false">IF($AI119="","",INDEX('REGISTRE ELEVES'!$B$10:$B$250,$AI119))</f>
        <v/>
      </c>
      <c r="C119" s="74" t="str">
        <f aca="false">IF($AI119="","",INDEX('REGISTRE ELEVES'!$D$10:$D$250,$AI119))</f>
        <v/>
      </c>
      <c r="D119" s="73" t="str">
        <f aca="false">IF($AI119="","",INDEX('REGISTRE ELEVES'!$E$10:$E$250,$AI119))</f>
        <v/>
      </c>
      <c r="E119" s="73" t="str">
        <f aca="false">IF($AI119="","",INDEX('REGISTRE ELEVES'!$F$10:$F$250,$AI119))</f>
        <v/>
      </c>
      <c r="F119" s="73" t="str">
        <f aca="false">IF($AI119="","",INDEX('REGISTRE ELEVES'!$AE$10:$AE$250,$AI119))</f>
        <v/>
      </c>
      <c r="G119" s="75"/>
      <c r="H119" s="76"/>
      <c r="I119" s="76"/>
      <c r="J119" s="76"/>
      <c r="K119" s="76"/>
      <c r="L119" s="79" t="str">
        <f aca="false">IF(B119="","",IF($G119="NON",0,IF(COUNT(H119:K119)=0,"",SUM(H119:K119))))</f>
        <v/>
      </c>
      <c r="M119" s="77" t="str">
        <f aca="false">IF(B119="","",IF($G119="NON",0,IF(COUNT(H119:K119)=0,"",IFERROR(ROUND(SUM(H119:K119)/SUMPRODUCT(ISNUMBER(H119:K119)*$H$8:$K$8)*10,2),""))))</f>
        <v/>
      </c>
      <c r="N119" s="75"/>
      <c r="O119" s="76"/>
      <c r="P119" s="76"/>
      <c r="Q119" s="76"/>
      <c r="R119" s="76"/>
      <c r="S119" s="79" t="str">
        <f aca="false">IF(B119="","",IF($N119="NON",0,IF(COUNT(O119:R119)=0,"",SUM(O119:R119))))</f>
        <v/>
      </c>
      <c r="T119" s="77" t="str">
        <f aca="false">IF(B119="","",IF($N119="NON",0,IF(COUNT(O119:R119)=0,"",IFERROR(ROUND(SUM(O119:R119)/SUMPRODUCT(ISNUMBER(O119:R119)*$O$8:$R$8)*10,2),""))))</f>
        <v/>
      </c>
      <c r="U119" s="75"/>
      <c r="V119" s="76"/>
      <c r="W119" s="76"/>
      <c r="X119" s="76"/>
      <c r="Y119" s="76"/>
      <c r="Z119" s="79" t="str">
        <f aca="false">IF(B119="","",IF($U119="NON",0,IF(COUNT(V119:Y119)=0,"",SUM(V119:Y119))))</f>
        <v/>
      </c>
      <c r="AA119" s="77" t="str">
        <f aca="false">IF(B119="","",IF($U119="NON",0,IF(COUNT(V119:Y119)=0,"",IFERROR(ROUND(SUM(V119:Y119)/SUMPRODUCT(ISNUMBER(V119:Y119)*$V$8:$Y$8)*10,2),""))))</f>
        <v/>
      </c>
      <c r="AB119" s="75"/>
      <c r="AC119" s="76"/>
      <c r="AD119" s="76"/>
      <c r="AE119" s="76"/>
      <c r="AF119" s="76"/>
      <c r="AG119" s="79" t="str">
        <f aca="false">IF(B119="","",IF($AB119="NON",0,IF(COUNT(AC119:AF119)=0,"",SUM(AC119:AF119))))</f>
        <v/>
      </c>
      <c r="AH119" s="77" t="str">
        <f aca="false">IF(B119="","",IF($AB119="NON",0,IF(COUNT(AC119:AF119)=0,"",IFERROR(ROUND(SUM(AC119:AF119)/SUMPRODUCT(ISNUMBER(AC119:AF119)*$AC$8:$AF$8)*10,2),""))))</f>
        <v/>
      </c>
      <c r="AI119" s="51" t="str">
        <f aca="false">IFERROR(MATCH("CE1-110",'REGISTRE ELEVES'!$AI$10:$AI$250,0),"")</f>
        <v/>
      </c>
    </row>
    <row r="120" customFormat="false" ht="15" hidden="false" customHeight="false" outlineLevel="0" collapsed="false">
      <c r="A120" s="73" t="str">
        <f aca="false">IF(B120="","",111)</f>
        <v/>
      </c>
      <c r="B120" s="73" t="str">
        <f aca="false">IF($AI120="","",INDEX('REGISTRE ELEVES'!$B$10:$B$250,$AI120))</f>
        <v/>
      </c>
      <c r="C120" s="74" t="str">
        <f aca="false">IF($AI120="","",INDEX('REGISTRE ELEVES'!$D$10:$D$250,$AI120))</f>
        <v/>
      </c>
      <c r="D120" s="73" t="str">
        <f aca="false">IF($AI120="","",INDEX('REGISTRE ELEVES'!$E$10:$E$250,$AI120))</f>
        <v/>
      </c>
      <c r="E120" s="73" t="str">
        <f aca="false">IF($AI120="","",INDEX('REGISTRE ELEVES'!$F$10:$F$250,$AI120))</f>
        <v/>
      </c>
      <c r="F120" s="73" t="str">
        <f aca="false">IF($AI120="","",INDEX('REGISTRE ELEVES'!$AE$10:$AE$250,$AI120))</f>
        <v/>
      </c>
      <c r="G120" s="75"/>
      <c r="H120" s="76"/>
      <c r="I120" s="76"/>
      <c r="J120" s="76"/>
      <c r="K120" s="76"/>
      <c r="L120" s="79" t="str">
        <f aca="false">IF(B120="","",IF($G120="NON",0,IF(COUNT(H120:K120)=0,"",SUM(H120:K120))))</f>
        <v/>
      </c>
      <c r="M120" s="77" t="str">
        <f aca="false">IF(B120="","",IF($G120="NON",0,IF(COUNT(H120:K120)=0,"",IFERROR(ROUND(SUM(H120:K120)/SUMPRODUCT(ISNUMBER(H120:K120)*$H$8:$K$8)*10,2),""))))</f>
        <v/>
      </c>
      <c r="N120" s="75"/>
      <c r="O120" s="76"/>
      <c r="P120" s="76"/>
      <c r="Q120" s="76"/>
      <c r="R120" s="76"/>
      <c r="S120" s="79" t="str">
        <f aca="false">IF(B120="","",IF($N120="NON",0,IF(COUNT(O120:R120)=0,"",SUM(O120:R120))))</f>
        <v/>
      </c>
      <c r="T120" s="77" t="str">
        <f aca="false">IF(B120="","",IF($N120="NON",0,IF(COUNT(O120:R120)=0,"",IFERROR(ROUND(SUM(O120:R120)/SUMPRODUCT(ISNUMBER(O120:R120)*$O$8:$R$8)*10,2),""))))</f>
        <v/>
      </c>
      <c r="U120" s="75"/>
      <c r="V120" s="76"/>
      <c r="W120" s="76"/>
      <c r="X120" s="76"/>
      <c r="Y120" s="76"/>
      <c r="Z120" s="79" t="str">
        <f aca="false">IF(B120="","",IF($U120="NON",0,IF(COUNT(V120:Y120)=0,"",SUM(V120:Y120))))</f>
        <v/>
      </c>
      <c r="AA120" s="77" t="str">
        <f aca="false">IF(B120="","",IF($U120="NON",0,IF(COUNT(V120:Y120)=0,"",IFERROR(ROUND(SUM(V120:Y120)/SUMPRODUCT(ISNUMBER(V120:Y120)*$V$8:$Y$8)*10,2),""))))</f>
        <v/>
      </c>
      <c r="AB120" s="75"/>
      <c r="AC120" s="76"/>
      <c r="AD120" s="76"/>
      <c r="AE120" s="76"/>
      <c r="AF120" s="76"/>
      <c r="AG120" s="79" t="str">
        <f aca="false">IF(B120="","",IF($AB120="NON",0,IF(COUNT(AC120:AF120)=0,"",SUM(AC120:AF120))))</f>
        <v/>
      </c>
      <c r="AH120" s="77" t="str">
        <f aca="false">IF(B120="","",IF($AB120="NON",0,IF(COUNT(AC120:AF120)=0,"",IFERROR(ROUND(SUM(AC120:AF120)/SUMPRODUCT(ISNUMBER(AC120:AF120)*$AC$8:$AF$8)*10,2),""))))</f>
        <v/>
      </c>
      <c r="AI120" s="51" t="str">
        <f aca="false">IFERROR(MATCH("CE1-111",'REGISTRE ELEVES'!$AI$10:$AI$250,0),"")</f>
        <v/>
      </c>
    </row>
    <row r="121" customFormat="false" ht="15" hidden="false" customHeight="false" outlineLevel="0" collapsed="false">
      <c r="A121" s="73" t="str">
        <f aca="false">IF(B121="","",112)</f>
        <v/>
      </c>
      <c r="B121" s="73" t="str">
        <f aca="false">IF($AI121="","",INDEX('REGISTRE ELEVES'!$B$10:$B$250,$AI121))</f>
        <v/>
      </c>
      <c r="C121" s="74" t="str">
        <f aca="false">IF($AI121="","",INDEX('REGISTRE ELEVES'!$D$10:$D$250,$AI121))</f>
        <v/>
      </c>
      <c r="D121" s="73" t="str">
        <f aca="false">IF($AI121="","",INDEX('REGISTRE ELEVES'!$E$10:$E$250,$AI121))</f>
        <v/>
      </c>
      <c r="E121" s="73" t="str">
        <f aca="false">IF($AI121="","",INDEX('REGISTRE ELEVES'!$F$10:$F$250,$AI121))</f>
        <v/>
      </c>
      <c r="F121" s="73" t="str">
        <f aca="false">IF($AI121="","",INDEX('REGISTRE ELEVES'!$AE$10:$AE$250,$AI121))</f>
        <v/>
      </c>
      <c r="G121" s="75"/>
      <c r="H121" s="76"/>
      <c r="I121" s="76"/>
      <c r="J121" s="76"/>
      <c r="K121" s="76"/>
      <c r="L121" s="79" t="str">
        <f aca="false">IF(B121="","",IF($G121="NON",0,IF(COUNT(H121:K121)=0,"",SUM(H121:K121))))</f>
        <v/>
      </c>
      <c r="M121" s="77" t="str">
        <f aca="false">IF(B121="","",IF($G121="NON",0,IF(COUNT(H121:K121)=0,"",IFERROR(ROUND(SUM(H121:K121)/SUMPRODUCT(ISNUMBER(H121:K121)*$H$8:$K$8)*10,2),""))))</f>
        <v/>
      </c>
      <c r="N121" s="75"/>
      <c r="O121" s="76"/>
      <c r="P121" s="76"/>
      <c r="Q121" s="76"/>
      <c r="R121" s="76"/>
      <c r="S121" s="79" t="str">
        <f aca="false">IF(B121="","",IF($N121="NON",0,IF(COUNT(O121:R121)=0,"",SUM(O121:R121))))</f>
        <v/>
      </c>
      <c r="T121" s="77" t="str">
        <f aca="false">IF(B121="","",IF($N121="NON",0,IF(COUNT(O121:R121)=0,"",IFERROR(ROUND(SUM(O121:R121)/SUMPRODUCT(ISNUMBER(O121:R121)*$O$8:$R$8)*10,2),""))))</f>
        <v/>
      </c>
      <c r="U121" s="75"/>
      <c r="V121" s="76"/>
      <c r="W121" s="76"/>
      <c r="X121" s="76"/>
      <c r="Y121" s="76"/>
      <c r="Z121" s="79" t="str">
        <f aca="false">IF(B121="","",IF($U121="NON",0,IF(COUNT(V121:Y121)=0,"",SUM(V121:Y121))))</f>
        <v/>
      </c>
      <c r="AA121" s="77" t="str">
        <f aca="false">IF(B121="","",IF($U121="NON",0,IF(COUNT(V121:Y121)=0,"",IFERROR(ROUND(SUM(V121:Y121)/SUMPRODUCT(ISNUMBER(V121:Y121)*$V$8:$Y$8)*10,2),""))))</f>
        <v/>
      </c>
      <c r="AB121" s="75"/>
      <c r="AC121" s="76"/>
      <c r="AD121" s="76"/>
      <c r="AE121" s="76"/>
      <c r="AF121" s="76"/>
      <c r="AG121" s="79" t="str">
        <f aca="false">IF(B121="","",IF($AB121="NON",0,IF(COUNT(AC121:AF121)=0,"",SUM(AC121:AF121))))</f>
        <v/>
      </c>
      <c r="AH121" s="77" t="str">
        <f aca="false">IF(B121="","",IF($AB121="NON",0,IF(COUNT(AC121:AF121)=0,"",IFERROR(ROUND(SUM(AC121:AF121)/SUMPRODUCT(ISNUMBER(AC121:AF121)*$AC$8:$AF$8)*10,2),""))))</f>
        <v/>
      </c>
      <c r="AI121" s="51" t="str">
        <f aca="false">IFERROR(MATCH("CE1-112",'REGISTRE ELEVES'!$AI$10:$AI$250,0),"")</f>
        <v/>
      </c>
    </row>
    <row r="122" customFormat="false" ht="15" hidden="false" customHeight="false" outlineLevel="0" collapsed="false">
      <c r="A122" s="73" t="str">
        <f aca="false">IF(B122="","",113)</f>
        <v/>
      </c>
      <c r="B122" s="73" t="str">
        <f aca="false">IF($AI122="","",INDEX('REGISTRE ELEVES'!$B$10:$B$250,$AI122))</f>
        <v/>
      </c>
      <c r="C122" s="74" t="str">
        <f aca="false">IF($AI122="","",INDEX('REGISTRE ELEVES'!$D$10:$D$250,$AI122))</f>
        <v/>
      </c>
      <c r="D122" s="73" t="str">
        <f aca="false">IF($AI122="","",INDEX('REGISTRE ELEVES'!$E$10:$E$250,$AI122))</f>
        <v/>
      </c>
      <c r="E122" s="73" t="str">
        <f aca="false">IF($AI122="","",INDEX('REGISTRE ELEVES'!$F$10:$F$250,$AI122))</f>
        <v/>
      </c>
      <c r="F122" s="73" t="str">
        <f aca="false">IF($AI122="","",INDEX('REGISTRE ELEVES'!$AE$10:$AE$250,$AI122))</f>
        <v/>
      </c>
      <c r="G122" s="75"/>
      <c r="H122" s="76"/>
      <c r="I122" s="76"/>
      <c r="J122" s="76"/>
      <c r="K122" s="76"/>
      <c r="L122" s="79" t="str">
        <f aca="false">IF(B122="","",IF($G122="NON",0,IF(COUNT(H122:K122)=0,"",SUM(H122:K122))))</f>
        <v/>
      </c>
      <c r="M122" s="77" t="str">
        <f aca="false">IF(B122="","",IF($G122="NON",0,IF(COUNT(H122:K122)=0,"",IFERROR(ROUND(SUM(H122:K122)/SUMPRODUCT(ISNUMBER(H122:K122)*$H$8:$K$8)*10,2),""))))</f>
        <v/>
      </c>
      <c r="N122" s="75"/>
      <c r="O122" s="76"/>
      <c r="P122" s="76"/>
      <c r="Q122" s="76"/>
      <c r="R122" s="76"/>
      <c r="S122" s="79" t="str">
        <f aca="false">IF(B122="","",IF($N122="NON",0,IF(COUNT(O122:R122)=0,"",SUM(O122:R122))))</f>
        <v/>
      </c>
      <c r="T122" s="77" t="str">
        <f aca="false">IF(B122="","",IF($N122="NON",0,IF(COUNT(O122:R122)=0,"",IFERROR(ROUND(SUM(O122:R122)/SUMPRODUCT(ISNUMBER(O122:R122)*$O$8:$R$8)*10,2),""))))</f>
        <v/>
      </c>
      <c r="U122" s="75"/>
      <c r="V122" s="76"/>
      <c r="W122" s="76"/>
      <c r="X122" s="76"/>
      <c r="Y122" s="76"/>
      <c r="Z122" s="79" t="str">
        <f aca="false">IF(B122="","",IF($U122="NON",0,IF(COUNT(V122:Y122)=0,"",SUM(V122:Y122))))</f>
        <v/>
      </c>
      <c r="AA122" s="77" t="str">
        <f aca="false">IF(B122="","",IF($U122="NON",0,IF(COUNT(V122:Y122)=0,"",IFERROR(ROUND(SUM(V122:Y122)/SUMPRODUCT(ISNUMBER(V122:Y122)*$V$8:$Y$8)*10,2),""))))</f>
        <v/>
      </c>
      <c r="AB122" s="75"/>
      <c r="AC122" s="76"/>
      <c r="AD122" s="76"/>
      <c r="AE122" s="76"/>
      <c r="AF122" s="76"/>
      <c r="AG122" s="79" t="str">
        <f aca="false">IF(B122="","",IF($AB122="NON",0,IF(COUNT(AC122:AF122)=0,"",SUM(AC122:AF122))))</f>
        <v/>
      </c>
      <c r="AH122" s="77" t="str">
        <f aca="false">IF(B122="","",IF($AB122="NON",0,IF(COUNT(AC122:AF122)=0,"",IFERROR(ROUND(SUM(AC122:AF122)/SUMPRODUCT(ISNUMBER(AC122:AF122)*$AC$8:$AF$8)*10,2),""))))</f>
        <v/>
      </c>
      <c r="AI122" s="51" t="str">
        <f aca="false">IFERROR(MATCH("CE1-113",'REGISTRE ELEVES'!$AI$10:$AI$250,0),"")</f>
        <v/>
      </c>
    </row>
    <row r="123" customFormat="false" ht="15" hidden="false" customHeight="false" outlineLevel="0" collapsed="false">
      <c r="A123" s="73" t="str">
        <f aca="false">IF(B123="","",114)</f>
        <v/>
      </c>
      <c r="B123" s="73" t="str">
        <f aca="false">IF($AI123="","",INDEX('REGISTRE ELEVES'!$B$10:$B$250,$AI123))</f>
        <v/>
      </c>
      <c r="C123" s="74" t="str">
        <f aca="false">IF($AI123="","",INDEX('REGISTRE ELEVES'!$D$10:$D$250,$AI123))</f>
        <v/>
      </c>
      <c r="D123" s="73" t="str">
        <f aca="false">IF($AI123="","",INDEX('REGISTRE ELEVES'!$E$10:$E$250,$AI123))</f>
        <v/>
      </c>
      <c r="E123" s="73" t="str">
        <f aca="false">IF($AI123="","",INDEX('REGISTRE ELEVES'!$F$10:$F$250,$AI123))</f>
        <v/>
      </c>
      <c r="F123" s="73" t="str">
        <f aca="false">IF($AI123="","",INDEX('REGISTRE ELEVES'!$AE$10:$AE$250,$AI123))</f>
        <v/>
      </c>
      <c r="G123" s="75"/>
      <c r="H123" s="76"/>
      <c r="I123" s="76"/>
      <c r="J123" s="76"/>
      <c r="K123" s="76"/>
      <c r="L123" s="79" t="str">
        <f aca="false">IF(B123="","",IF($G123="NON",0,IF(COUNT(H123:K123)=0,"",SUM(H123:K123))))</f>
        <v/>
      </c>
      <c r="M123" s="77" t="str">
        <f aca="false">IF(B123="","",IF($G123="NON",0,IF(COUNT(H123:K123)=0,"",IFERROR(ROUND(SUM(H123:K123)/SUMPRODUCT(ISNUMBER(H123:K123)*$H$8:$K$8)*10,2),""))))</f>
        <v/>
      </c>
      <c r="N123" s="75"/>
      <c r="O123" s="76"/>
      <c r="P123" s="76"/>
      <c r="Q123" s="76"/>
      <c r="R123" s="76"/>
      <c r="S123" s="79" t="str">
        <f aca="false">IF(B123="","",IF($N123="NON",0,IF(COUNT(O123:R123)=0,"",SUM(O123:R123))))</f>
        <v/>
      </c>
      <c r="T123" s="77" t="str">
        <f aca="false">IF(B123="","",IF($N123="NON",0,IF(COUNT(O123:R123)=0,"",IFERROR(ROUND(SUM(O123:R123)/SUMPRODUCT(ISNUMBER(O123:R123)*$O$8:$R$8)*10,2),""))))</f>
        <v/>
      </c>
      <c r="U123" s="75"/>
      <c r="V123" s="76"/>
      <c r="W123" s="76"/>
      <c r="X123" s="76"/>
      <c r="Y123" s="76"/>
      <c r="Z123" s="79" t="str">
        <f aca="false">IF(B123="","",IF($U123="NON",0,IF(COUNT(V123:Y123)=0,"",SUM(V123:Y123))))</f>
        <v/>
      </c>
      <c r="AA123" s="77" t="str">
        <f aca="false">IF(B123="","",IF($U123="NON",0,IF(COUNT(V123:Y123)=0,"",IFERROR(ROUND(SUM(V123:Y123)/SUMPRODUCT(ISNUMBER(V123:Y123)*$V$8:$Y$8)*10,2),""))))</f>
        <v/>
      </c>
      <c r="AB123" s="75"/>
      <c r="AC123" s="76"/>
      <c r="AD123" s="76"/>
      <c r="AE123" s="76"/>
      <c r="AF123" s="76"/>
      <c r="AG123" s="79" t="str">
        <f aca="false">IF(B123="","",IF($AB123="NON",0,IF(COUNT(AC123:AF123)=0,"",SUM(AC123:AF123))))</f>
        <v/>
      </c>
      <c r="AH123" s="77" t="str">
        <f aca="false">IF(B123="","",IF($AB123="NON",0,IF(COUNT(AC123:AF123)=0,"",IFERROR(ROUND(SUM(AC123:AF123)/SUMPRODUCT(ISNUMBER(AC123:AF123)*$AC$8:$AF$8)*10,2),""))))</f>
        <v/>
      </c>
      <c r="AI123" s="51" t="str">
        <f aca="false">IFERROR(MATCH("CE1-114",'REGISTRE ELEVES'!$AI$10:$AI$250,0),"")</f>
        <v/>
      </c>
    </row>
    <row r="124" customFormat="false" ht="15" hidden="false" customHeight="false" outlineLevel="0" collapsed="false">
      <c r="A124" s="73" t="str">
        <f aca="false">IF(B124="","",115)</f>
        <v/>
      </c>
      <c r="B124" s="73" t="str">
        <f aca="false">IF($AI124="","",INDEX('REGISTRE ELEVES'!$B$10:$B$250,$AI124))</f>
        <v/>
      </c>
      <c r="C124" s="74" t="str">
        <f aca="false">IF($AI124="","",INDEX('REGISTRE ELEVES'!$D$10:$D$250,$AI124))</f>
        <v/>
      </c>
      <c r="D124" s="73" t="str">
        <f aca="false">IF($AI124="","",INDEX('REGISTRE ELEVES'!$E$10:$E$250,$AI124))</f>
        <v/>
      </c>
      <c r="E124" s="73" t="str">
        <f aca="false">IF($AI124="","",INDEX('REGISTRE ELEVES'!$F$10:$F$250,$AI124))</f>
        <v/>
      </c>
      <c r="F124" s="73" t="str">
        <f aca="false">IF($AI124="","",INDEX('REGISTRE ELEVES'!$AE$10:$AE$250,$AI124))</f>
        <v/>
      </c>
      <c r="G124" s="75"/>
      <c r="H124" s="76"/>
      <c r="I124" s="76"/>
      <c r="J124" s="76"/>
      <c r="K124" s="76"/>
      <c r="L124" s="79" t="str">
        <f aca="false">IF(B124="","",IF($G124="NON",0,IF(COUNT(H124:K124)=0,"",SUM(H124:K124))))</f>
        <v/>
      </c>
      <c r="M124" s="77" t="str">
        <f aca="false">IF(B124="","",IF($G124="NON",0,IF(COUNT(H124:K124)=0,"",IFERROR(ROUND(SUM(H124:K124)/SUMPRODUCT(ISNUMBER(H124:K124)*$H$8:$K$8)*10,2),""))))</f>
        <v/>
      </c>
      <c r="N124" s="75"/>
      <c r="O124" s="76"/>
      <c r="P124" s="76"/>
      <c r="Q124" s="76"/>
      <c r="R124" s="76"/>
      <c r="S124" s="79" t="str">
        <f aca="false">IF(B124="","",IF($N124="NON",0,IF(COUNT(O124:R124)=0,"",SUM(O124:R124))))</f>
        <v/>
      </c>
      <c r="T124" s="77" t="str">
        <f aca="false">IF(B124="","",IF($N124="NON",0,IF(COUNT(O124:R124)=0,"",IFERROR(ROUND(SUM(O124:R124)/SUMPRODUCT(ISNUMBER(O124:R124)*$O$8:$R$8)*10,2),""))))</f>
        <v/>
      </c>
      <c r="U124" s="75"/>
      <c r="V124" s="76"/>
      <c r="W124" s="76"/>
      <c r="X124" s="76"/>
      <c r="Y124" s="76"/>
      <c r="Z124" s="79" t="str">
        <f aca="false">IF(B124="","",IF($U124="NON",0,IF(COUNT(V124:Y124)=0,"",SUM(V124:Y124))))</f>
        <v/>
      </c>
      <c r="AA124" s="77" t="str">
        <f aca="false">IF(B124="","",IF($U124="NON",0,IF(COUNT(V124:Y124)=0,"",IFERROR(ROUND(SUM(V124:Y124)/SUMPRODUCT(ISNUMBER(V124:Y124)*$V$8:$Y$8)*10,2),""))))</f>
        <v/>
      </c>
      <c r="AB124" s="75"/>
      <c r="AC124" s="76"/>
      <c r="AD124" s="76"/>
      <c r="AE124" s="76"/>
      <c r="AF124" s="76"/>
      <c r="AG124" s="79" t="str">
        <f aca="false">IF(B124="","",IF($AB124="NON",0,IF(COUNT(AC124:AF124)=0,"",SUM(AC124:AF124))))</f>
        <v/>
      </c>
      <c r="AH124" s="77" t="str">
        <f aca="false">IF(B124="","",IF($AB124="NON",0,IF(COUNT(AC124:AF124)=0,"",IFERROR(ROUND(SUM(AC124:AF124)/SUMPRODUCT(ISNUMBER(AC124:AF124)*$AC$8:$AF$8)*10,2),""))))</f>
        <v/>
      </c>
      <c r="AI124" s="51" t="str">
        <f aca="false">IFERROR(MATCH("CE1-115",'REGISTRE ELEVES'!$AI$10:$AI$250,0),"")</f>
        <v/>
      </c>
    </row>
    <row r="125" customFormat="false" ht="15" hidden="false" customHeight="false" outlineLevel="0" collapsed="false">
      <c r="A125" s="73" t="str">
        <f aca="false">IF(B125="","",116)</f>
        <v/>
      </c>
      <c r="B125" s="73" t="str">
        <f aca="false">IF($AI125="","",INDEX('REGISTRE ELEVES'!$B$10:$B$250,$AI125))</f>
        <v/>
      </c>
      <c r="C125" s="74" t="str">
        <f aca="false">IF($AI125="","",INDEX('REGISTRE ELEVES'!$D$10:$D$250,$AI125))</f>
        <v/>
      </c>
      <c r="D125" s="73" t="str">
        <f aca="false">IF($AI125="","",INDEX('REGISTRE ELEVES'!$E$10:$E$250,$AI125))</f>
        <v/>
      </c>
      <c r="E125" s="73" t="str">
        <f aca="false">IF($AI125="","",INDEX('REGISTRE ELEVES'!$F$10:$F$250,$AI125))</f>
        <v/>
      </c>
      <c r="F125" s="73" t="str">
        <f aca="false">IF($AI125="","",INDEX('REGISTRE ELEVES'!$AE$10:$AE$250,$AI125))</f>
        <v/>
      </c>
      <c r="G125" s="75"/>
      <c r="H125" s="76"/>
      <c r="I125" s="76"/>
      <c r="J125" s="76"/>
      <c r="K125" s="76"/>
      <c r="L125" s="79" t="str">
        <f aca="false">IF(B125="","",IF($G125="NON",0,IF(COUNT(H125:K125)=0,"",SUM(H125:K125))))</f>
        <v/>
      </c>
      <c r="M125" s="77" t="str">
        <f aca="false">IF(B125="","",IF($G125="NON",0,IF(COUNT(H125:K125)=0,"",IFERROR(ROUND(SUM(H125:K125)/SUMPRODUCT(ISNUMBER(H125:K125)*$H$8:$K$8)*10,2),""))))</f>
        <v/>
      </c>
      <c r="N125" s="75"/>
      <c r="O125" s="76"/>
      <c r="P125" s="76"/>
      <c r="Q125" s="76"/>
      <c r="R125" s="76"/>
      <c r="S125" s="79" t="str">
        <f aca="false">IF(B125="","",IF($N125="NON",0,IF(COUNT(O125:R125)=0,"",SUM(O125:R125))))</f>
        <v/>
      </c>
      <c r="T125" s="77" t="str">
        <f aca="false">IF(B125="","",IF($N125="NON",0,IF(COUNT(O125:R125)=0,"",IFERROR(ROUND(SUM(O125:R125)/SUMPRODUCT(ISNUMBER(O125:R125)*$O$8:$R$8)*10,2),""))))</f>
        <v/>
      </c>
      <c r="U125" s="75"/>
      <c r="V125" s="76"/>
      <c r="W125" s="76"/>
      <c r="X125" s="76"/>
      <c r="Y125" s="76"/>
      <c r="Z125" s="79" t="str">
        <f aca="false">IF(B125="","",IF($U125="NON",0,IF(COUNT(V125:Y125)=0,"",SUM(V125:Y125))))</f>
        <v/>
      </c>
      <c r="AA125" s="77" t="str">
        <f aca="false">IF(B125="","",IF($U125="NON",0,IF(COUNT(V125:Y125)=0,"",IFERROR(ROUND(SUM(V125:Y125)/SUMPRODUCT(ISNUMBER(V125:Y125)*$V$8:$Y$8)*10,2),""))))</f>
        <v/>
      </c>
      <c r="AB125" s="75"/>
      <c r="AC125" s="76"/>
      <c r="AD125" s="76"/>
      <c r="AE125" s="76"/>
      <c r="AF125" s="76"/>
      <c r="AG125" s="79" t="str">
        <f aca="false">IF(B125="","",IF($AB125="NON",0,IF(COUNT(AC125:AF125)=0,"",SUM(AC125:AF125))))</f>
        <v/>
      </c>
      <c r="AH125" s="77" t="str">
        <f aca="false">IF(B125="","",IF($AB125="NON",0,IF(COUNT(AC125:AF125)=0,"",IFERROR(ROUND(SUM(AC125:AF125)/SUMPRODUCT(ISNUMBER(AC125:AF125)*$AC$8:$AF$8)*10,2),""))))</f>
        <v/>
      </c>
      <c r="AI125" s="51" t="str">
        <f aca="false">IFERROR(MATCH("CE1-116",'REGISTRE ELEVES'!$AI$10:$AI$250,0),"")</f>
        <v/>
      </c>
    </row>
    <row r="126" customFormat="false" ht="15" hidden="false" customHeight="false" outlineLevel="0" collapsed="false">
      <c r="A126" s="73" t="str">
        <f aca="false">IF(B126="","",117)</f>
        <v/>
      </c>
      <c r="B126" s="73" t="str">
        <f aca="false">IF($AI126="","",INDEX('REGISTRE ELEVES'!$B$10:$B$250,$AI126))</f>
        <v/>
      </c>
      <c r="C126" s="74" t="str">
        <f aca="false">IF($AI126="","",INDEX('REGISTRE ELEVES'!$D$10:$D$250,$AI126))</f>
        <v/>
      </c>
      <c r="D126" s="73" t="str">
        <f aca="false">IF($AI126="","",INDEX('REGISTRE ELEVES'!$E$10:$E$250,$AI126))</f>
        <v/>
      </c>
      <c r="E126" s="73" t="str">
        <f aca="false">IF($AI126="","",INDEX('REGISTRE ELEVES'!$F$10:$F$250,$AI126))</f>
        <v/>
      </c>
      <c r="F126" s="73" t="str">
        <f aca="false">IF($AI126="","",INDEX('REGISTRE ELEVES'!$AE$10:$AE$250,$AI126))</f>
        <v/>
      </c>
      <c r="G126" s="75"/>
      <c r="H126" s="76"/>
      <c r="I126" s="76"/>
      <c r="J126" s="76"/>
      <c r="K126" s="76"/>
      <c r="L126" s="79" t="str">
        <f aca="false">IF(B126="","",IF($G126="NON",0,IF(COUNT(H126:K126)=0,"",SUM(H126:K126))))</f>
        <v/>
      </c>
      <c r="M126" s="77" t="str">
        <f aca="false">IF(B126="","",IF($G126="NON",0,IF(COUNT(H126:K126)=0,"",IFERROR(ROUND(SUM(H126:K126)/SUMPRODUCT(ISNUMBER(H126:K126)*$H$8:$K$8)*10,2),""))))</f>
        <v/>
      </c>
      <c r="N126" s="75"/>
      <c r="O126" s="76"/>
      <c r="P126" s="76"/>
      <c r="Q126" s="76"/>
      <c r="R126" s="76"/>
      <c r="S126" s="79" t="str">
        <f aca="false">IF(B126="","",IF($N126="NON",0,IF(COUNT(O126:R126)=0,"",SUM(O126:R126))))</f>
        <v/>
      </c>
      <c r="T126" s="77" t="str">
        <f aca="false">IF(B126="","",IF($N126="NON",0,IF(COUNT(O126:R126)=0,"",IFERROR(ROUND(SUM(O126:R126)/SUMPRODUCT(ISNUMBER(O126:R126)*$O$8:$R$8)*10,2),""))))</f>
        <v/>
      </c>
      <c r="U126" s="75"/>
      <c r="V126" s="76"/>
      <c r="W126" s="76"/>
      <c r="X126" s="76"/>
      <c r="Y126" s="76"/>
      <c r="Z126" s="79" t="str">
        <f aca="false">IF(B126="","",IF($U126="NON",0,IF(COUNT(V126:Y126)=0,"",SUM(V126:Y126))))</f>
        <v/>
      </c>
      <c r="AA126" s="77" t="str">
        <f aca="false">IF(B126="","",IF($U126="NON",0,IF(COUNT(V126:Y126)=0,"",IFERROR(ROUND(SUM(V126:Y126)/SUMPRODUCT(ISNUMBER(V126:Y126)*$V$8:$Y$8)*10,2),""))))</f>
        <v/>
      </c>
      <c r="AB126" s="75"/>
      <c r="AC126" s="76"/>
      <c r="AD126" s="76"/>
      <c r="AE126" s="76"/>
      <c r="AF126" s="76"/>
      <c r="AG126" s="79" t="str">
        <f aca="false">IF(B126="","",IF($AB126="NON",0,IF(COUNT(AC126:AF126)=0,"",SUM(AC126:AF126))))</f>
        <v/>
      </c>
      <c r="AH126" s="77" t="str">
        <f aca="false">IF(B126="","",IF($AB126="NON",0,IF(COUNT(AC126:AF126)=0,"",IFERROR(ROUND(SUM(AC126:AF126)/SUMPRODUCT(ISNUMBER(AC126:AF126)*$AC$8:$AF$8)*10,2),""))))</f>
        <v/>
      </c>
      <c r="AI126" s="51" t="str">
        <f aca="false">IFERROR(MATCH("CE1-117",'REGISTRE ELEVES'!$AI$10:$AI$250,0),"")</f>
        <v/>
      </c>
    </row>
    <row r="127" customFormat="false" ht="15" hidden="false" customHeight="false" outlineLevel="0" collapsed="false">
      <c r="A127" s="73" t="str">
        <f aca="false">IF(B127="","",118)</f>
        <v/>
      </c>
      <c r="B127" s="73" t="str">
        <f aca="false">IF($AI127="","",INDEX('REGISTRE ELEVES'!$B$10:$B$250,$AI127))</f>
        <v/>
      </c>
      <c r="C127" s="74" t="str">
        <f aca="false">IF($AI127="","",INDEX('REGISTRE ELEVES'!$D$10:$D$250,$AI127))</f>
        <v/>
      </c>
      <c r="D127" s="73" t="str">
        <f aca="false">IF($AI127="","",INDEX('REGISTRE ELEVES'!$E$10:$E$250,$AI127))</f>
        <v/>
      </c>
      <c r="E127" s="73" t="str">
        <f aca="false">IF($AI127="","",INDEX('REGISTRE ELEVES'!$F$10:$F$250,$AI127))</f>
        <v/>
      </c>
      <c r="F127" s="73" t="str">
        <f aca="false">IF($AI127="","",INDEX('REGISTRE ELEVES'!$AE$10:$AE$250,$AI127))</f>
        <v/>
      </c>
      <c r="G127" s="75"/>
      <c r="H127" s="76"/>
      <c r="I127" s="76"/>
      <c r="J127" s="76"/>
      <c r="K127" s="76"/>
      <c r="L127" s="79" t="str">
        <f aca="false">IF(B127="","",IF($G127="NON",0,IF(COUNT(H127:K127)=0,"",SUM(H127:K127))))</f>
        <v/>
      </c>
      <c r="M127" s="77" t="str">
        <f aca="false">IF(B127="","",IF($G127="NON",0,IF(COUNT(H127:K127)=0,"",IFERROR(ROUND(SUM(H127:K127)/SUMPRODUCT(ISNUMBER(H127:K127)*$H$8:$K$8)*10,2),""))))</f>
        <v/>
      </c>
      <c r="N127" s="75"/>
      <c r="O127" s="76"/>
      <c r="P127" s="76"/>
      <c r="Q127" s="76"/>
      <c r="R127" s="76"/>
      <c r="S127" s="79" t="str">
        <f aca="false">IF(B127="","",IF($N127="NON",0,IF(COUNT(O127:R127)=0,"",SUM(O127:R127))))</f>
        <v/>
      </c>
      <c r="T127" s="77" t="str">
        <f aca="false">IF(B127="","",IF($N127="NON",0,IF(COUNT(O127:R127)=0,"",IFERROR(ROUND(SUM(O127:R127)/SUMPRODUCT(ISNUMBER(O127:R127)*$O$8:$R$8)*10,2),""))))</f>
        <v/>
      </c>
      <c r="U127" s="75"/>
      <c r="V127" s="76"/>
      <c r="W127" s="76"/>
      <c r="X127" s="76"/>
      <c r="Y127" s="76"/>
      <c r="Z127" s="79" t="str">
        <f aca="false">IF(B127="","",IF($U127="NON",0,IF(COUNT(V127:Y127)=0,"",SUM(V127:Y127))))</f>
        <v/>
      </c>
      <c r="AA127" s="77" t="str">
        <f aca="false">IF(B127="","",IF($U127="NON",0,IF(COUNT(V127:Y127)=0,"",IFERROR(ROUND(SUM(V127:Y127)/SUMPRODUCT(ISNUMBER(V127:Y127)*$V$8:$Y$8)*10,2),""))))</f>
        <v/>
      </c>
      <c r="AB127" s="75"/>
      <c r="AC127" s="76"/>
      <c r="AD127" s="76"/>
      <c r="AE127" s="76"/>
      <c r="AF127" s="76"/>
      <c r="AG127" s="79" t="str">
        <f aca="false">IF(B127="","",IF($AB127="NON",0,IF(COUNT(AC127:AF127)=0,"",SUM(AC127:AF127))))</f>
        <v/>
      </c>
      <c r="AH127" s="77" t="str">
        <f aca="false">IF(B127="","",IF($AB127="NON",0,IF(COUNT(AC127:AF127)=0,"",IFERROR(ROUND(SUM(AC127:AF127)/SUMPRODUCT(ISNUMBER(AC127:AF127)*$AC$8:$AF$8)*10,2),""))))</f>
        <v/>
      </c>
      <c r="AI127" s="51" t="str">
        <f aca="false">IFERROR(MATCH("CE1-118",'REGISTRE ELEVES'!$AI$10:$AI$250,0),"")</f>
        <v/>
      </c>
    </row>
    <row r="128" customFormat="false" ht="15" hidden="false" customHeight="false" outlineLevel="0" collapsed="false">
      <c r="A128" s="73" t="str">
        <f aca="false">IF(B128="","",119)</f>
        <v/>
      </c>
      <c r="B128" s="73" t="str">
        <f aca="false">IF($AI128="","",INDEX('REGISTRE ELEVES'!$B$10:$B$250,$AI128))</f>
        <v/>
      </c>
      <c r="C128" s="74" t="str">
        <f aca="false">IF($AI128="","",INDEX('REGISTRE ELEVES'!$D$10:$D$250,$AI128))</f>
        <v/>
      </c>
      <c r="D128" s="73" t="str">
        <f aca="false">IF($AI128="","",INDEX('REGISTRE ELEVES'!$E$10:$E$250,$AI128))</f>
        <v/>
      </c>
      <c r="E128" s="73" t="str">
        <f aca="false">IF($AI128="","",INDEX('REGISTRE ELEVES'!$F$10:$F$250,$AI128))</f>
        <v/>
      </c>
      <c r="F128" s="73" t="str">
        <f aca="false">IF($AI128="","",INDEX('REGISTRE ELEVES'!$AE$10:$AE$250,$AI128))</f>
        <v/>
      </c>
      <c r="G128" s="75"/>
      <c r="H128" s="76"/>
      <c r="I128" s="76"/>
      <c r="J128" s="76"/>
      <c r="K128" s="76"/>
      <c r="L128" s="79" t="str">
        <f aca="false">IF(B128="","",IF($G128="NON",0,IF(COUNT(H128:K128)=0,"",SUM(H128:K128))))</f>
        <v/>
      </c>
      <c r="M128" s="77" t="str">
        <f aca="false">IF(B128="","",IF($G128="NON",0,IF(COUNT(H128:K128)=0,"",IFERROR(ROUND(SUM(H128:K128)/SUMPRODUCT(ISNUMBER(H128:K128)*$H$8:$K$8)*10,2),""))))</f>
        <v/>
      </c>
      <c r="N128" s="75"/>
      <c r="O128" s="76"/>
      <c r="P128" s="76"/>
      <c r="Q128" s="76"/>
      <c r="R128" s="76"/>
      <c r="S128" s="79" t="str">
        <f aca="false">IF(B128="","",IF($N128="NON",0,IF(COUNT(O128:R128)=0,"",SUM(O128:R128))))</f>
        <v/>
      </c>
      <c r="T128" s="77" t="str">
        <f aca="false">IF(B128="","",IF($N128="NON",0,IF(COUNT(O128:R128)=0,"",IFERROR(ROUND(SUM(O128:R128)/SUMPRODUCT(ISNUMBER(O128:R128)*$O$8:$R$8)*10,2),""))))</f>
        <v/>
      </c>
      <c r="U128" s="75"/>
      <c r="V128" s="76"/>
      <c r="W128" s="76"/>
      <c r="X128" s="76"/>
      <c r="Y128" s="76"/>
      <c r="Z128" s="79" t="str">
        <f aca="false">IF(B128="","",IF($U128="NON",0,IF(COUNT(V128:Y128)=0,"",SUM(V128:Y128))))</f>
        <v/>
      </c>
      <c r="AA128" s="77" t="str">
        <f aca="false">IF(B128="","",IF($U128="NON",0,IF(COUNT(V128:Y128)=0,"",IFERROR(ROUND(SUM(V128:Y128)/SUMPRODUCT(ISNUMBER(V128:Y128)*$V$8:$Y$8)*10,2),""))))</f>
        <v/>
      </c>
      <c r="AB128" s="75"/>
      <c r="AC128" s="76"/>
      <c r="AD128" s="76"/>
      <c r="AE128" s="76"/>
      <c r="AF128" s="76"/>
      <c r="AG128" s="79" t="str">
        <f aca="false">IF(B128="","",IF($AB128="NON",0,IF(COUNT(AC128:AF128)=0,"",SUM(AC128:AF128))))</f>
        <v/>
      </c>
      <c r="AH128" s="77" t="str">
        <f aca="false">IF(B128="","",IF($AB128="NON",0,IF(COUNT(AC128:AF128)=0,"",IFERROR(ROUND(SUM(AC128:AF128)/SUMPRODUCT(ISNUMBER(AC128:AF128)*$AC$8:$AF$8)*10,2),""))))</f>
        <v/>
      </c>
      <c r="AI128" s="51" t="str">
        <f aca="false">IFERROR(MATCH("CE1-119",'REGISTRE ELEVES'!$AI$10:$AI$250,0),"")</f>
        <v/>
      </c>
    </row>
    <row r="129" customFormat="false" ht="15" hidden="false" customHeight="false" outlineLevel="0" collapsed="false">
      <c r="A129" s="73" t="str">
        <f aca="false">IF(B129="","",120)</f>
        <v/>
      </c>
      <c r="B129" s="73" t="str">
        <f aca="false">IF($AI129="","",INDEX('REGISTRE ELEVES'!$B$10:$B$250,$AI129))</f>
        <v/>
      </c>
      <c r="C129" s="74" t="str">
        <f aca="false">IF($AI129="","",INDEX('REGISTRE ELEVES'!$D$10:$D$250,$AI129))</f>
        <v/>
      </c>
      <c r="D129" s="73" t="str">
        <f aca="false">IF($AI129="","",INDEX('REGISTRE ELEVES'!$E$10:$E$250,$AI129))</f>
        <v/>
      </c>
      <c r="E129" s="73" t="str">
        <f aca="false">IF($AI129="","",INDEX('REGISTRE ELEVES'!$F$10:$F$250,$AI129))</f>
        <v/>
      </c>
      <c r="F129" s="73" t="str">
        <f aca="false">IF($AI129="","",INDEX('REGISTRE ELEVES'!$AE$10:$AE$250,$AI129))</f>
        <v/>
      </c>
      <c r="G129" s="75"/>
      <c r="H129" s="76"/>
      <c r="I129" s="76"/>
      <c r="J129" s="76"/>
      <c r="K129" s="76"/>
      <c r="L129" s="79" t="str">
        <f aca="false">IF(B129="","",IF($G129="NON",0,IF(COUNT(H129:K129)=0,"",SUM(H129:K129))))</f>
        <v/>
      </c>
      <c r="M129" s="77" t="str">
        <f aca="false">IF(B129="","",IF($G129="NON",0,IF(COUNT(H129:K129)=0,"",IFERROR(ROUND(SUM(H129:K129)/SUMPRODUCT(ISNUMBER(H129:K129)*$H$8:$K$8)*10,2),""))))</f>
        <v/>
      </c>
      <c r="N129" s="75"/>
      <c r="O129" s="76"/>
      <c r="P129" s="76"/>
      <c r="Q129" s="76"/>
      <c r="R129" s="76"/>
      <c r="S129" s="79" t="str">
        <f aca="false">IF(B129="","",IF($N129="NON",0,IF(COUNT(O129:R129)=0,"",SUM(O129:R129))))</f>
        <v/>
      </c>
      <c r="T129" s="77" t="str">
        <f aca="false">IF(B129="","",IF($N129="NON",0,IF(COUNT(O129:R129)=0,"",IFERROR(ROUND(SUM(O129:R129)/SUMPRODUCT(ISNUMBER(O129:R129)*$O$8:$R$8)*10,2),""))))</f>
        <v/>
      </c>
      <c r="U129" s="75"/>
      <c r="V129" s="76"/>
      <c r="W129" s="76"/>
      <c r="X129" s="76"/>
      <c r="Y129" s="76"/>
      <c r="Z129" s="79" t="str">
        <f aca="false">IF(B129="","",IF($U129="NON",0,IF(COUNT(V129:Y129)=0,"",SUM(V129:Y129))))</f>
        <v/>
      </c>
      <c r="AA129" s="77" t="str">
        <f aca="false">IF(B129="","",IF($U129="NON",0,IF(COUNT(V129:Y129)=0,"",IFERROR(ROUND(SUM(V129:Y129)/SUMPRODUCT(ISNUMBER(V129:Y129)*$V$8:$Y$8)*10,2),""))))</f>
        <v/>
      </c>
      <c r="AB129" s="75"/>
      <c r="AC129" s="76"/>
      <c r="AD129" s="76"/>
      <c r="AE129" s="76"/>
      <c r="AF129" s="76"/>
      <c r="AG129" s="79" t="str">
        <f aca="false">IF(B129="","",IF($AB129="NON",0,IF(COUNT(AC129:AF129)=0,"",SUM(AC129:AF129))))</f>
        <v/>
      </c>
      <c r="AH129" s="77" t="str">
        <f aca="false">IF(B129="","",IF($AB129="NON",0,IF(COUNT(AC129:AF129)=0,"",IFERROR(ROUND(SUM(AC129:AF129)/SUMPRODUCT(ISNUMBER(AC129:AF129)*$AC$8:$AF$8)*10,2),""))))</f>
        <v/>
      </c>
      <c r="AI129" s="51" t="str">
        <f aca="false">IFERROR(MATCH("CE1-120",'REGISTRE ELEVES'!$AI$10:$AI$250,0),"")</f>
        <v/>
      </c>
    </row>
    <row r="130" customFormat="false" ht="15" hidden="false" customHeight="false" outlineLevel="0" collapsed="false">
      <c r="A130" s="73" t="str">
        <f aca="false">IF(B130="","",121)</f>
        <v/>
      </c>
      <c r="B130" s="73" t="str">
        <f aca="false">IF($AI130="","",INDEX('REGISTRE ELEVES'!$B$10:$B$250,$AI130))</f>
        <v/>
      </c>
      <c r="C130" s="74" t="str">
        <f aca="false">IF($AI130="","",INDEX('REGISTRE ELEVES'!$D$10:$D$250,$AI130))</f>
        <v/>
      </c>
      <c r="D130" s="73" t="str">
        <f aca="false">IF($AI130="","",INDEX('REGISTRE ELEVES'!$E$10:$E$250,$AI130))</f>
        <v/>
      </c>
      <c r="E130" s="73" t="str">
        <f aca="false">IF($AI130="","",INDEX('REGISTRE ELEVES'!$F$10:$F$250,$AI130))</f>
        <v/>
      </c>
      <c r="F130" s="73" t="str">
        <f aca="false">IF($AI130="","",INDEX('REGISTRE ELEVES'!$AE$10:$AE$250,$AI130))</f>
        <v/>
      </c>
      <c r="G130" s="75"/>
      <c r="H130" s="76"/>
      <c r="I130" s="76"/>
      <c r="J130" s="76"/>
      <c r="K130" s="76"/>
      <c r="L130" s="79" t="str">
        <f aca="false">IF(B130="","",IF($G130="NON",0,IF(COUNT(H130:K130)=0,"",SUM(H130:K130))))</f>
        <v/>
      </c>
      <c r="M130" s="77" t="str">
        <f aca="false">IF(B130="","",IF($G130="NON",0,IF(COUNT(H130:K130)=0,"",IFERROR(ROUND(SUM(H130:K130)/SUMPRODUCT(ISNUMBER(H130:K130)*$H$8:$K$8)*10,2),""))))</f>
        <v/>
      </c>
      <c r="N130" s="75"/>
      <c r="O130" s="76"/>
      <c r="P130" s="76"/>
      <c r="Q130" s="76"/>
      <c r="R130" s="76"/>
      <c r="S130" s="79" t="str">
        <f aca="false">IF(B130="","",IF($N130="NON",0,IF(COUNT(O130:R130)=0,"",SUM(O130:R130))))</f>
        <v/>
      </c>
      <c r="T130" s="77" t="str">
        <f aca="false">IF(B130="","",IF($N130="NON",0,IF(COUNT(O130:R130)=0,"",IFERROR(ROUND(SUM(O130:R130)/SUMPRODUCT(ISNUMBER(O130:R130)*$O$8:$R$8)*10,2),""))))</f>
        <v/>
      </c>
      <c r="U130" s="75"/>
      <c r="V130" s="76"/>
      <c r="W130" s="76"/>
      <c r="X130" s="76"/>
      <c r="Y130" s="76"/>
      <c r="Z130" s="79" t="str">
        <f aca="false">IF(B130="","",IF($U130="NON",0,IF(COUNT(V130:Y130)=0,"",SUM(V130:Y130))))</f>
        <v/>
      </c>
      <c r="AA130" s="77" t="str">
        <f aca="false">IF(B130="","",IF($U130="NON",0,IF(COUNT(V130:Y130)=0,"",IFERROR(ROUND(SUM(V130:Y130)/SUMPRODUCT(ISNUMBER(V130:Y130)*$V$8:$Y$8)*10,2),""))))</f>
        <v/>
      </c>
      <c r="AB130" s="75"/>
      <c r="AC130" s="76"/>
      <c r="AD130" s="76"/>
      <c r="AE130" s="76"/>
      <c r="AF130" s="76"/>
      <c r="AG130" s="79" t="str">
        <f aca="false">IF(B130="","",IF($AB130="NON",0,IF(COUNT(AC130:AF130)=0,"",SUM(AC130:AF130))))</f>
        <v/>
      </c>
      <c r="AH130" s="77" t="str">
        <f aca="false">IF(B130="","",IF($AB130="NON",0,IF(COUNT(AC130:AF130)=0,"",IFERROR(ROUND(SUM(AC130:AF130)/SUMPRODUCT(ISNUMBER(AC130:AF130)*$AC$8:$AF$8)*10,2),""))))</f>
        <v/>
      </c>
      <c r="AI130" s="51" t="str">
        <f aca="false">IFERROR(MATCH("CE1-121",'REGISTRE ELEVES'!$AI$10:$AI$250,0),"")</f>
        <v/>
      </c>
    </row>
    <row r="131" customFormat="false" ht="15" hidden="false" customHeight="false" outlineLevel="0" collapsed="false">
      <c r="A131" s="73" t="str">
        <f aca="false">IF(B131="","",122)</f>
        <v/>
      </c>
      <c r="B131" s="73" t="str">
        <f aca="false">IF($AI131="","",INDEX('REGISTRE ELEVES'!$B$10:$B$250,$AI131))</f>
        <v/>
      </c>
      <c r="C131" s="74" t="str">
        <f aca="false">IF($AI131="","",INDEX('REGISTRE ELEVES'!$D$10:$D$250,$AI131))</f>
        <v/>
      </c>
      <c r="D131" s="73" t="str">
        <f aca="false">IF($AI131="","",INDEX('REGISTRE ELEVES'!$E$10:$E$250,$AI131))</f>
        <v/>
      </c>
      <c r="E131" s="73" t="str">
        <f aca="false">IF($AI131="","",INDEX('REGISTRE ELEVES'!$F$10:$F$250,$AI131))</f>
        <v/>
      </c>
      <c r="F131" s="73" t="str">
        <f aca="false">IF($AI131="","",INDEX('REGISTRE ELEVES'!$AE$10:$AE$250,$AI131))</f>
        <v/>
      </c>
      <c r="G131" s="75"/>
      <c r="H131" s="76"/>
      <c r="I131" s="76"/>
      <c r="J131" s="76"/>
      <c r="K131" s="76"/>
      <c r="L131" s="79" t="str">
        <f aca="false">IF(B131="","",IF($G131="NON",0,IF(COUNT(H131:K131)=0,"",SUM(H131:K131))))</f>
        <v/>
      </c>
      <c r="M131" s="77" t="str">
        <f aca="false">IF(B131="","",IF($G131="NON",0,IF(COUNT(H131:K131)=0,"",IFERROR(ROUND(SUM(H131:K131)/SUMPRODUCT(ISNUMBER(H131:K131)*$H$8:$K$8)*10,2),""))))</f>
        <v/>
      </c>
      <c r="N131" s="75"/>
      <c r="O131" s="76"/>
      <c r="P131" s="76"/>
      <c r="Q131" s="76"/>
      <c r="R131" s="76"/>
      <c r="S131" s="79" t="str">
        <f aca="false">IF(B131="","",IF($N131="NON",0,IF(COUNT(O131:R131)=0,"",SUM(O131:R131))))</f>
        <v/>
      </c>
      <c r="T131" s="77" t="str">
        <f aca="false">IF(B131="","",IF($N131="NON",0,IF(COUNT(O131:R131)=0,"",IFERROR(ROUND(SUM(O131:R131)/SUMPRODUCT(ISNUMBER(O131:R131)*$O$8:$R$8)*10,2),""))))</f>
        <v/>
      </c>
      <c r="U131" s="75"/>
      <c r="V131" s="76"/>
      <c r="W131" s="76"/>
      <c r="X131" s="76"/>
      <c r="Y131" s="76"/>
      <c r="Z131" s="79" t="str">
        <f aca="false">IF(B131="","",IF($U131="NON",0,IF(COUNT(V131:Y131)=0,"",SUM(V131:Y131))))</f>
        <v/>
      </c>
      <c r="AA131" s="77" t="str">
        <f aca="false">IF(B131="","",IF($U131="NON",0,IF(COUNT(V131:Y131)=0,"",IFERROR(ROUND(SUM(V131:Y131)/SUMPRODUCT(ISNUMBER(V131:Y131)*$V$8:$Y$8)*10,2),""))))</f>
        <v/>
      </c>
      <c r="AB131" s="75"/>
      <c r="AC131" s="76"/>
      <c r="AD131" s="76"/>
      <c r="AE131" s="76"/>
      <c r="AF131" s="76"/>
      <c r="AG131" s="79" t="str">
        <f aca="false">IF(B131="","",IF($AB131="NON",0,IF(COUNT(AC131:AF131)=0,"",SUM(AC131:AF131))))</f>
        <v/>
      </c>
      <c r="AH131" s="77" t="str">
        <f aca="false">IF(B131="","",IF($AB131="NON",0,IF(COUNT(AC131:AF131)=0,"",IFERROR(ROUND(SUM(AC131:AF131)/SUMPRODUCT(ISNUMBER(AC131:AF131)*$AC$8:$AF$8)*10,2),""))))</f>
        <v/>
      </c>
      <c r="AI131" s="51" t="str">
        <f aca="false">IFERROR(MATCH("CE1-122",'REGISTRE ELEVES'!$AI$10:$AI$250,0),"")</f>
        <v/>
      </c>
    </row>
    <row r="132" customFormat="false" ht="15" hidden="false" customHeight="false" outlineLevel="0" collapsed="false">
      <c r="A132" s="73" t="str">
        <f aca="false">IF(B132="","",123)</f>
        <v/>
      </c>
      <c r="B132" s="73" t="str">
        <f aca="false">IF($AI132="","",INDEX('REGISTRE ELEVES'!$B$10:$B$250,$AI132))</f>
        <v/>
      </c>
      <c r="C132" s="74" t="str">
        <f aca="false">IF($AI132="","",INDEX('REGISTRE ELEVES'!$D$10:$D$250,$AI132))</f>
        <v/>
      </c>
      <c r="D132" s="73" t="str">
        <f aca="false">IF($AI132="","",INDEX('REGISTRE ELEVES'!$E$10:$E$250,$AI132))</f>
        <v/>
      </c>
      <c r="E132" s="73" t="str">
        <f aca="false">IF($AI132="","",INDEX('REGISTRE ELEVES'!$F$10:$F$250,$AI132))</f>
        <v/>
      </c>
      <c r="F132" s="73" t="str">
        <f aca="false">IF($AI132="","",INDEX('REGISTRE ELEVES'!$AE$10:$AE$250,$AI132))</f>
        <v/>
      </c>
      <c r="G132" s="75"/>
      <c r="H132" s="76"/>
      <c r="I132" s="76"/>
      <c r="J132" s="76"/>
      <c r="K132" s="76"/>
      <c r="L132" s="79" t="str">
        <f aca="false">IF(B132="","",IF($G132="NON",0,IF(COUNT(H132:K132)=0,"",SUM(H132:K132))))</f>
        <v/>
      </c>
      <c r="M132" s="77" t="str">
        <f aca="false">IF(B132="","",IF($G132="NON",0,IF(COUNT(H132:K132)=0,"",IFERROR(ROUND(SUM(H132:K132)/SUMPRODUCT(ISNUMBER(H132:K132)*$H$8:$K$8)*10,2),""))))</f>
        <v/>
      </c>
      <c r="N132" s="75"/>
      <c r="O132" s="76"/>
      <c r="P132" s="76"/>
      <c r="Q132" s="76"/>
      <c r="R132" s="76"/>
      <c r="S132" s="79" t="str">
        <f aca="false">IF(B132="","",IF($N132="NON",0,IF(COUNT(O132:R132)=0,"",SUM(O132:R132))))</f>
        <v/>
      </c>
      <c r="T132" s="77" t="str">
        <f aca="false">IF(B132="","",IF($N132="NON",0,IF(COUNT(O132:R132)=0,"",IFERROR(ROUND(SUM(O132:R132)/SUMPRODUCT(ISNUMBER(O132:R132)*$O$8:$R$8)*10,2),""))))</f>
        <v/>
      </c>
      <c r="U132" s="75"/>
      <c r="V132" s="76"/>
      <c r="W132" s="76"/>
      <c r="X132" s="76"/>
      <c r="Y132" s="76"/>
      <c r="Z132" s="79" t="str">
        <f aca="false">IF(B132="","",IF($U132="NON",0,IF(COUNT(V132:Y132)=0,"",SUM(V132:Y132))))</f>
        <v/>
      </c>
      <c r="AA132" s="77" t="str">
        <f aca="false">IF(B132="","",IF($U132="NON",0,IF(COUNT(V132:Y132)=0,"",IFERROR(ROUND(SUM(V132:Y132)/SUMPRODUCT(ISNUMBER(V132:Y132)*$V$8:$Y$8)*10,2),""))))</f>
        <v/>
      </c>
      <c r="AB132" s="75"/>
      <c r="AC132" s="76"/>
      <c r="AD132" s="76"/>
      <c r="AE132" s="76"/>
      <c r="AF132" s="76"/>
      <c r="AG132" s="79" t="str">
        <f aca="false">IF(B132="","",IF($AB132="NON",0,IF(COUNT(AC132:AF132)=0,"",SUM(AC132:AF132))))</f>
        <v/>
      </c>
      <c r="AH132" s="77" t="str">
        <f aca="false">IF(B132="","",IF($AB132="NON",0,IF(COUNT(AC132:AF132)=0,"",IFERROR(ROUND(SUM(AC132:AF132)/SUMPRODUCT(ISNUMBER(AC132:AF132)*$AC$8:$AF$8)*10,2),""))))</f>
        <v/>
      </c>
      <c r="AI132" s="51" t="str">
        <f aca="false">IFERROR(MATCH("CE1-123",'REGISTRE ELEVES'!$AI$10:$AI$250,0),"")</f>
        <v/>
      </c>
    </row>
    <row r="133" customFormat="false" ht="15" hidden="false" customHeight="false" outlineLevel="0" collapsed="false">
      <c r="A133" s="73" t="str">
        <f aca="false">IF(B133="","",124)</f>
        <v/>
      </c>
      <c r="B133" s="73" t="str">
        <f aca="false">IF($AI133="","",INDEX('REGISTRE ELEVES'!$B$10:$B$250,$AI133))</f>
        <v/>
      </c>
      <c r="C133" s="74" t="str">
        <f aca="false">IF($AI133="","",INDEX('REGISTRE ELEVES'!$D$10:$D$250,$AI133))</f>
        <v/>
      </c>
      <c r="D133" s="73" t="str">
        <f aca="false">IF($AI133="","",INDEX('REGISTRE ELEVES'!$E$10:$E$250,$AI133))</f>
        <v/>
      </c>
      <c r="E133" s="73" t="str">
        <f aca="false">IF($AI133="","",INDEX('REGISTRE ELEVES'!$F$10:$F$250,$AI133))</f>
        <v/>
      </c>
      <c r="F133" s="73" t="str">
        <f aca="false">IF($AI133="","",INDEX('REGISTRE ELEVES'!$AE$10:$AE$250,$AI133))</f>
        <v/>
      </c>
      <c r="G133" s="75"/>
      <c r="H133" s="76"/>
      <c r="I133" s="76"/>
      <c r="J133" s="76"/>
      <c r="K133" s="76"/>
      <c r="L133" s="79" t="str">
        <f aca="false">IF(B133="","",IF($G133="NON",0,IF(COUNT(H133:K133)=0,"",SUM(H133:K133))))</f>
        <v/>
      </c>
      <c r="M133" s="77" t="str">
        <f aca="false">IF(B133="","",IF($G133="NON",0,IF(COUNT(H133:K133)=0,"",IFERROR(ROUND(SUM(H133:K133)/SUMPRODUCT(ISNUMBER(H133:K133)*$H$8:$K$8)*10,2),""))))</f>
        <v/>
      </c>
      <c r="N133" s="75"/>
      <c r="O133" s="76"/>
      <c r="P133" s="76"/>
      <c r="Q133" s="76"/>
      <c r="R133" s="76"/>
      <c r="S133" s="79" t="str">
        <f aca="false">IF(B133="","",IF($N133="NON",0,IF(COUNT(O133:R133)=0,"",SUM(O133:R133))))</f>
        <v/>
      </c>
      <c r="T133" s="77" t="str">
        <f aca="false">IF(B133="","",IF($N133="NON",0,IF(COUNT(O133:R133)=0,"",IFERROR(ROUND(SUM(O133:R133)/SUMPRODUCT(ISNUMBER(O133:R133)*$O$8:$R$8)*10,2),""))))</f>
        <v/>
      </c>
      <c r="U133" s="75"/>
      <c r="V133" s="76"/>
      <c r="W133" s="76"/>
      <c r="X133" s="76"/>
      <c r="Y133" s="76"/>
      <c r="Z133" s="79" t="str">
        <f aca="false">IF(B133="","",IF($U133="NON",0,IF(COUNT(V133:Y133)=0,"",SUM(V133:Y133))))</f>
        <v/>
      </c>
      <c r="AA133" s="77" t="str">
        <f aca="false">IF(B133="","",IF($U133="NON",0,IF(COUNT(V133:Y133)=0,"",IFERROR(ROUND(SUM(V133:Y133)/SUMPRODUCT(ISNUMBER(V133:Y133)*$V$8:$Y$8)*10,2),""))))</f>
        <v/>
      </c>
      <c r="AB133" s="75"/>
      <c r="AC133" s="76"/>
      <c r="AD133" s="76"/>
      <c r="AE133" s="76"/>
      <c r="AF133" s="76"/>
      <c r="AG133" s="79" t="str">
        <f aca="false">IF(B133="","",IF($AB133="NON",0,IF(COUNT(AC133:AF133)=0,"",SUM(AC133:AF133))))</f>
        <v/>
      </c>
      <c r="AH133" s="77" t="str">
        <f aca="false">IF(B133="","",IF($AB133="NON",0,IF(COUNT(AC133:AF133)=0,"",IFERROR(ROUND(SUM(AC133:AF133)/SUMPRODUCT(ISNUMBER(AC133:AF133)*$AC$8:$AF$8)*10,2),""))))</f>
        <v/>
      </c>
      <c r="AI133" s="51" t="str">
        <f aca="false">IFERROR(MATCH("CE1-124",'REGISTRE ELEVES'!$AI$10:$AI$250,0),"")</f>
        <v/>
      </c>
    </row>
    <row r="134" customFormat="false" ht="15" hidden="false" customHeight="false" outlineLevel="0" collapsed="false">
      <c r="A134" s="73" t="str">
        <f aca="false">IF(B134="","",125)</f>
        <v/>
      </c>
      <c r="B134" s="73" t="str">
        <f aca="false">IF($AI134="","",INDEX('REGISTRE ELEVES'!$B$10:$B$250,$AI134))</f>
        <v/>
      </c>
      <c r="C134" s="74" t="str">
        <f aca="false">IF($AI134="","",INDEX('REGISTRE ELEVES'!$D$10:$D$250,$AI134))</f>
        <v/>
      </c>
      <c r="D134" s="73" t="str">
        <f aca="false">IF($AI134="","",INDEX('REGISTRE ELEVES'!$E$10:$E$250,$AI134))</f>
        <v/>
      </c>
      <c r="E134" s="73" t="str">
        <f aca="false">IF($AI134="","",INDEX('REGISTRE ELEVES'!$F$10:$F$250,$AI134))</f>
        <v/>
      </c>
      <c r="F134" s="73" t="str">
        <f aca="false">IF($AI134="","",INDEX('REGISTRE ELEVES'!$AE$10:$AE$250,$AI134))</f>
        <v/>
      </c>
      <c r="G134" s="75"/>
      <c r="H134" s="76"/>
      <c r="I134" s="76"/>
      <c r="J134" s="76"/>
      <c r="K134" s="76"/>
      <c r="L134" s="79" t="str">
        <f aca="false">IF(B134="","",IF($G134="NON",0,IF(COUNT(H134:K134)=0,"",SUM(H134:K134))))</f>
        <v/>
      </c>
      <c r="M134" s="77" t="str">
        <f aca="false">IF(B134="","",IF($G134="NON",0,IF(COUNT(H134:K134)=0,"",IFERROR(ROUND(SUM(H134:K134)/SUMPRODUCT(ISNUMBER(H134:K134)*$H$8:$K$8)*10,2),""))))</f>
        <v/>
      </c>
      <c r="N134" s="75"/>
      <c r="O134" s="76"/>
      <c r="P134" s="76"/>
      <c r="Q134" s="76"/>
      <c r="R134" s="76"/>
      <c r="S134" s="79" t="str">
        <f aca="false">IF(B134="","",IF($N134="NON",0,IF(COUNT(O134:R134)=0,"",SUM(O134:R134))))</f>
        <v/>
      </c>
      <c r="T134" s="77" t="str">
        <f aca="false">IF(B134="","",IF($N134="NON",0,IF(COUNT(O134:R134)=0,"",IFERROR(ROUND(SUM(O134:R134)/SUMPRODUCT(ISNUMBER(O134:R134)*$O$8:$R$8)*10,2),""))))</f>
        <v/>
      </c>
      <c r="U134" s="75"/>
      <c r="V134" s="76"/>
      <c r="W134" s="76"/>
      <c r="X134" s="76"/>
      <c r="Y134" s="76"/>
      <c r="Z134" s="79" t="str">
        <f aca="false">IF(B134="","",IF($U134="NON",0,IF(COUNT(V134:Y134)=0,"",SUM(V134:Y134))))</f>
        <v/>
      </c>
      <c r="AA134" s="77" t="str">
        <f aca="false">IF(B134="","",IF($U134="NON",0,IF(COUNT(V134:Y134)=0,"",IFERROR(ROUND(SUM(V134:Y134)/SUMPRODUCT(ISNUMBER(V134:Y134)*$V$8:$Y$8)*10,2),""))))</f>
        <v/>
      </c>
      <c r="AB134" s="75"/>
      <c r="AC134" s="76"/>
      <c r="AD134" s="76"/>
      <c r="AE134" s="76"/>
      <c r="AF134" s="76"/>
      <c r="AG134" s="79" t="str">
        <f aca="false">IF(B134="","",IF($AB134="NON",0,IF(COUNT(AC134:AF134)=0,"",SUM(AC134:AF134))))</f>
        <v/>
      </c>
      <c r="AH134" s="77" t="str">
        <f aca="false">IF(B134="","",IF($AB134="NON",0,IF(COUNT(AC134:AF134)=0,"",IFERROR(ROUND(SUM(AC134:AF134)/SUMPRODUCT(ISNUMBER(AC134:AF134)*$AC$8:$AF$8)*10,2),""))))</f>
        <v/>
      </c>
      <c r="AI134" s="51" t="str">
        <f aca="false">IFERROR(MATCH("CE1-125",'REGISTRE ELEVES'!$AI$10:$AI$250,0),"")</f>
        <v/>
      </c>
    </row>
    <row r="135" customFormat="false" ht="15" hidden="false" customHeight="false" outlineLevel="0" collapsed="false">
      <c r="A135" s="73" t="str">
        <f aca="false">IF(B135="","",126)</f>
        <v/>
      </c>
      <c r="B135" s="73" t="str">
        <f aca="false">IF($AI135="","",INDEX('REGISTRE ELEVES'!$B$10:$B$250,$AI135))</f>
        <v/>
      </c>
      <c r="C135" s="74" t="str">
        <f aca="false">IF($AI135="","",INDEX('REGISTRE ELEVES'!$D$10:$D$250,$AI135))</f>
        <v/>
      </c>
      <c r="D135" s="73" t="str">
        <f aca="false">IF($AI135="","",INDEX('REGISTRE ELEVES'!$E$10:$E$250,$AI135))</f>
        <v/>
      </c>
      <c r="E135" s="73" t="str">
        <f aca="false">IF($AI135="","",INDEX('REGISTRE ELEVES'!$F$10:$F$250,$AI135))</f>
        <v/>
      </c>
      <c r="F135" s="73" t="str">
        <f aca="false">IF($AI135="","",INDEX('REGISTRE ELEVES'!$AE$10:$AE$250,$AI135))</f>
        <v/>
      </c>
      <c r="G135" s="75"/>
      <c r="H135" s="76"/>
      <c r="I135" s="76"/>
      <c r="J135" s="76"/>
      <c r="K135" s="76"/>
      <c r="L135" s="79" t="str">
        <f aca="false">IF(B135="","",IF($G135="NON",0,IF(COUNT(H135:K135)=0,"",SUM(H135:K135))))</f>
        <v/>
      </c>
      <c r="M135" s="77" t="str">
        <f aca="false">IF(B135="","",IF($G135="NON",0,IF(COUNT(H135:K135)=0,"",IFERROR(ROUND(SUM(H135:K135)/SUMPRODUCT(ISNUMBER(H135:K135)*$H$8:$K$8)*10,2),""))))</f>
        <v/>
      </c>
      <c r="N135" s="75"/>
      <c r="O135" s="76"/>
      <c r="P135" s="76"/>
      <c r="Q135" s="76"/>
      <c r="R135" s="76"/>
      <c r="S135" s="79" t="str">
        <f aca="false">IF(B135="","",IF($N135="NON",0,IF(COUNT(O135:R135)=0,"",SUM(O135:R135))))</f>
        <v/>
      </c>
      <c r="T135" s="77" t="str">
        <f aca="false">IF(B135="","",IF($N135="NON",0,IF(COUNT(O135:R135)=0,"",IFERROR(ROUND(SUM(O135:R135)/SUMPRODUCT(ISNUMBER(O135:R135)*$O$8:$R$8)*10,2),""))))</f>
        <v/>
      </c>
      <c r="U135" s="75"/>
      <c r="V135" s="76"/>
      <c r="W135" s="76"/>
      <c r="X135" s="76"/>
      <c r="Y135" s="76"/>
      <c r="Z135" s="79" t="str">
        <f aca="false">IF(B135="","",IF($U135="NON",0,IF(COUNT(V135:Y135)=0,"",SUM(V135:Y135))))</f>
        <v/>
      </c>
      <c r="AA135" s="77" t="str">
        <f aca="false">IF(B135="","",IF($U135="NON",0,IF(COUNT(V135:Y135)=0,"",IFERROR(ROUND(SUM(V135:Y135)/SUMPRODUCT(ISNUMBER(V135:Y135)*$V$8:$Y$8)*10,2),""))))</f>
        <v/>
      </c>
      <c r="AB135" s="75"/>
      <c r="AC135" s="76"/>
      <c r="AD135" s="76"/>
      <c r="AE135" s="76"/>
      <c r="AF135" s="76"/>
      <c r="AG135" s="79" t="str">
        <f aca="false">IF(B135="","",IF($AB135="NON",0,IF(COUNT(AC135:AF135)=0,"",SUM(AC135:AF135))))</f>
        <v/>
      </c>
      <c r="AH135" s="77" t="str">
        <f aca="false">IF(B135="","",IF($AB135="NON",0,IF(COUNT(AC135:AF135)=0,"",IFERROR(ROUND(SUM(AC135:AF135)/SUMPRODUCT(ISNUMBER(AC135:AF135)*$AC$8:$AF$8)*10,2),""))))</f>
        <v/>
      </c>
      <c r="AI135" s="51" t="str">
        <f aca="false">IFERROR(MATCH("CE1-126",'REGISTRE ELEVES'!$AI$10:$AI$250,0),"")</f>
        <v/>
      </c>
    </row>
    <row r="136" customFormat="false" ht="15" hidden="false" customHeight="false" outlineLevel="0" collapsed="false">
      <c r="A136" s="73" t="str">
        <f aca="false">IF(B136="","",127)</f>
        <v/>
      </c>
      <c r="B136" s="73" t="str">
        <f aca="false">IF($AI136="","",INDEX('REGISTRE ELEVES'!$B$10:$B$250,$AI136))</f>
        <v/>
      </c>
      <c r="C136" s="74" t="str">
        <f aca="false">IF($AI136="","",INDEX('REGISTRE ELEVES'!$D$10:$D$250,$AI136))</f>
        <v/>
      </c>
      <c r="D136" s="73" t="str">
        <f aca="false">IF($AI136="","",INDEX('REGISTRE ELEVES'!$E$10:$E$250,$AI136))</f>
        <v/>
      </c>
      <c r="E136" s="73" t="str">
        <f aca="false">IF($AI136="","",INDEX('REGISTRE ELEVES'!$F$10:$F$250,$AI136))</f>
        <v/>
      </c>
      <c r="F136" s="73" t="str">
        <f aca="false">IF($AI136="","",INDEX('REGISTRE ELEVES'!$AE$10:$AE$250,$AI136))</f>
        <v/>
      </c>
      <c r="G136" s="75"/>
      <c r="H136" s="76"/>
      <c r="I136" s="76"/>
      <c r="J136" s="76"/>
      <c r="K136" s="76"/>
      <c r="L136" s="79" t="str">
        <f aca="false">IF(B136="","",IF($G136="NON",0,IF(COUNT(H136:K136)=0,"",SUM(H136:K136))))</f>
        <v/>
      </c>
      <c r="M136" s="77" t="str">
        <f aca="false">IF(B136="","",IF($G136="NON",0,IF(COUNT(H136:K136)=0,"",IFERROR(ROUND(SUM(H136:K136)/SUMPRODUCT(ISNUMBER(H136:K136)*$H$8:$K$8)*10,2),""))))</f>
        <v/>
      </c>
      <c r="N136" s="75"/>
      <c r="O136" s="76"/>
      <c r="P136" s="76"/>
      <c r="Q136" s="76"/>
      <c r="R136" s="76"/>
      <c r="S136" s="79" t="str">
        <f aca="false">IF(B136="","",IF($N136="NON",0,IF(COUNT(O136:R136)=0,"",SUM(O136:R136))))</f>
        <v/>
      </c>
      <c r="T136" s="77" t="str">
        <f aca="false">IF(B136="","",IF($N136="NON",0,IF(COUNT(O136:R136)=0,"",IFERROR(ROUND(SUM(O136:R136)/SUMPRODUCT(ISNUMBER(O136:R136)*$O$8:$R$8)*10,2),""))))</f>
        <v/>
      </c>
      <c r="U136" s="75"/>
      <c r="V136" s="76"/>
      <c r="W136" s="76"/>
      <c r="X136" s="76"/>
      <c r="Y136" s="76"/>
      <c r="Z136" s="79" t="str">
        <f aca="false">IF(B136="","",IF($U136="NON",0,IF(COUNT(V136:Y136)=0,"",SUM(V136:Y136))))</f>
        <v/>
      </c>
      <c r="AA136" s="77" t="str">
        <f aca="false">IF(B136="","",IF($U136="NON",0,IF(COUNT(V136:Y136)=0,"",IFERROR(ROUND(SUM(V136:Y136)/SUMPRODUCT(ISNUMBER(V136:Y136)*$V$8:$Y$8)*10,2),""))))</f>
        <v/>
      </c>
      <c r="AB136" s="75"/>
      <c r="AC136" s="76"/>
      <c r="AD136" s="76"/>
      <c r="AE136" s="76"/>
      <c r="AF136" s="76"/>
      <c r="AG136" s="79" t="str">
        <f aca="false">IF(B136="","",IF($AB136="NON",0,IF(COUNT(AC136:AF136)=0,"",SUM(AC136:AF136))))</f>
        <v/>
      </c>
      <c r="AH136" s="77" t="str">
        <f aca="false">IF(B136="","",IF($AB136="NON",0,IF(COUNT(AC136:AF136)=0,"",IFERROR(ROUND(SUM(AC136:AF136)/SUMPRODUCT(ISNUMBER(AC136:AF136)*$AC$8:$AF$8)*10,2),""))))</f>
        <v/>
      </c>
      <c r="AI136" s="51" t="str">
        <f aca="false">IFERROR(MATCH("CE1-127",'REGISTRE ELEVES'!$AI$10:$AI$250,0),"")</f>
        <v/>
      </c>
    </row>
    <row r="137" customFormat="false" ht="15" hidden="false" customHeight="false" outlineLevel="0" collapsed="false">
      <c r="A137" s="73" t="str">
        <f aca="false">IF(B137="","",128)</f>
        <v/>
      </c>
      <c r="B137" s="73" t="str">
        <f aca="false">IF($AI137="","",INDEX('REGISTRE ELEVES'!$B$10:$B$250,$AI137))</f>
        <v/>
      </c>
      <c r="C137" s="74" t="str">
        <f aca="false">IF($AI137="","",INDEX('REGISTRE ELEVES'!$D$10:$D$250,$AI137))</f>
        <v/>
      </c>
      <c r="D137" s="73" t="str">
        <f aca="false">IF($AI137="","",INDEX('REGISTRE ELEVES'!$E$10:$E$250,$AI137))</f>
        <v/>
      </c>
      <c r="E137" s="73" t="str">
        <f aca="false">IF($AI137="","",INDEX('REGISTRE ELEVES'!$F$10:$F$250,$AI137))</f>
        <v/>
      </c>
      <c r="F137" s="73" t="str">
        <f aca="false">IF($AI137="","",INDEX('REGISTRE ELEVES'!$AE$10:$AE$250,$AI137))</f>
        <v/>
      </c>
      <c r="G137" s="75"/>
      <c r="H137" s="76"/>
      <c r="I137" s="76"/>
      <c r="J137" s="76"/>
      <c r="K137" s="76"/>
      <c r="L137" s="79" t="str">
        <f aca="false">IF(B137="","",IF($G137="NON",0,IF(COUNT(H137:K137)=0,"",SUM(H137:K137))))</f>
        <v/>
      </c>
      <c r="M137" s="77" t="str">
        <f aca="false">IF(B137="","",IF($G137="NON",0,IF(COUNT(H137:K137)=0,"",IFERROR(ROUND(SUM(H137:K137)/SUMPRODUCT(ISNUMBER(H137:K137)*$H$8:$K$8)*10,2),""))))</f>
        <v/>
      </c>
      <c r="N137" s="75"/>
      <c r="O137" s="76"/>
      <c r="P137" s="76"/>
      <c r="Q137" s="76"/>
      <c r="R137" s="76"/>
      <c r="S137" s="79" t="str">
        <f aca="false">IF(B137="","",IF($N137="NON",0,IF(COUNT(O137:R137)=0,"",SUM(O137:R137))))</f>
        <v/>
      </c>
      <c r="T137" s="77" t="str">
        <f aca="false">IF(B137="","",IF($N137="NON",0,IF(COUNT(O137:R137)=0,"",IFERROR(ROUND(SUM(O137:R137)/SUMPRODUCT(ISNUMBER(O137:R137)*$O$8:$R$8)*10,2),""))))</f>
        <v/>
      </c>
      <c r="U137" s="75"/>
      <c r="V137" s="76"/>
      <c r="W137" s="76"/>
      <c r="X137" s="76"/>
      <c r="Y137" s="76"/>
      <c r="Z137" s="79" t="str">
        <f aca="false">IF(B137="","",IF($U137="NON",0,IF(COUNT(V137:Y137)=0,"",SUM(V137:Y137))))</f>
        <v/>
      </c>
      <c r="AA137" s="77" t="str">
        <f aca="false">IF(B137="","",IF($U137="NON",0,IF(COUNT(V137:Y137)=0,"",IFERROR(ROUND(SUM(V137:Y137)/SUMPRODUCT(ISNUMBER(V137:Y137)*$V$8:$Y$8)*10,2),""))))</f>
        <v/>
      </c>
      <c r="AB137" s="75"/>
      <c r="AC137" s="76"/>
      <c r="AD137" s="76"/>
      <c r="AE137" s="76"/>
      <c r="AF137" s="76"/>
      <c r="AG137" s="79" t="str">
        <f aca="false">IF(B137="","",IF($AB137="NON",0,IF(COUNT(AC137:AF137)=0,"",SUM(AC137:AF137))))</f>
        <v/>
      </c>
      <c r="AH137" s="77" t="str">
        <f aca="false">IF(B137="","",IF($AB137="NON",0,IF(COUNT(AC137:AF137)=0,"",IFERROR(ROUND(SUM(AC137:AF137)/SUMPRODUCT(ISNUMBER(AC137:AF137)*$AC$8:$AF$8)*10,2),""))))</f>
        <v/>
      </c>
      <c r="AI137" s="51" t="str">
        <f aca="false">IFERROR(MATCH("CE1-128",'REGISTRE ELEVES'!$AI$10:$AI$250,0),"")</f>
        <v/>
      </c>
    </row>
    <row r="138" customFormat="false" ht="15" hidden="false" customHeight="false" outlineLevel="0" collapsed="false">
      <c r="A138" s="73" t="str">
        <f aca="false">IF(B138="","",129)</f>
        <v/>
      </c>
      <c r="B138" s="73" t="str">
        <f aca="false">IF($AI138="","",INDEX('REGISTRE ELEVES'!$B$10:$B$250,$AI138))</f>
        <v/>
      </c>
      <c r="C138" s="74" t="str">
        <f aca="false">IF($AI138="","",INDEX('REGISTRE ELEVES'!$D$10:$D$250,$AI138))</f>
        <v/>
      </c>
      <c r="D138" s="73" t="str">
        <f aca="false">IF($AI138="","",INDEX('REGISTRE ELEVES'!$E$10:$E$250,$AI138))</f>
        <v/>
      </c>
      <c r="E138" s="73" t="str">
        <f aca="false">IF($AI138="","",INDEX('REGISTRE ELEVES'!$F$10:$F$250,$AI138))</f>
        <v/>
      </c>
      <c r="F138" s="73" t="str">
        <f aca="false">IF($AI138="","",INDEX('REGISTRE ELEVES'!$AE$10:$AE$250,$AI138))</f>
        <v/>
      </c>
      <c r="G138" s="75"/>
      <c r="H138" s="76"/>
      <c r="I138" s="76"/>
      <c r="J138" s="76"/>
      <c r="K138" s="76"/>
      <c r="L138" s="79" t="str">
        <f aca="false">IF(B138="","",IF($G138="NON",0,IF(COUNT(H138:K138)=0,"",SUM(H138:K138))))</f>
        <v/>
      </c>
      <c r="M138" s="77" t="str">
        <f aca="false">IF(B138="","",IF($G138="NON",0,IF(COUNT(H138:K138)=0,"",IFERROR(ROUND(SUM(H138:K138)/SUMPRODUCT(ISNUMBER(H138:K138)*$H$8:$K$8)*10,2),""))))</f>
        <v/>
      </c>
      <c r="N138" s="75"/>
      <c r="O138" s="76"/>
      <c r="P138" s="76"/>
      <c r="Q138" s="76"/>
      <c r="R138" s="76"/>
      <c r="S138" s="79" t="str">
        <f aca="false">IF(B138="","",IF($N138="NON",0,IF(COUNT(O138:R138)=0,"",SUM(O138:R138))))</f>
        <v/>
      </c>
      <c r="T138" s="77" t="str">
        <f aca="false">IF(B138="","",IF($N138="NON",0,IF(COUNT(O138:R138)=0,"",IFERROR(ROUND(SUM(O138:R138)/SUMPRODUCT(ISNUMBER(O138:R138)*$O$8:$R$8)*10,2),""))))</f>
        <v/>
      </c>
      <c r="U138" s="75"/>
      <c r="V138" s="76"/>
      <c r="W138" s="76"/>
      <c r="X138" s="76"/>
      <c r="Y138" s="76"/>
      <c r="Z138" s="79" t="str">
        <f aca="false">IF(B138="","",IF($U138="NON",0,IF(COUNT(V138:Y138)=0,"",SUM(V138:Y138))))</f>
        <v/>
      </c>
      <c r="AA138" s="77" t="str">
        <f aca="false">IF(B138="","",IF($U138="NON",0,IF(COUNT(V138:Y138)=0,"",IFERROR(ROUND(SUM(V138:Y138)/SUMPRODUCT(ISNUMBER(V138:Y138)*$V$8:$Y$8)*10,2),""))))</f>
        <v/>
      </c>
      <c r="AB138" s="75"/>
      <c r="AC138" s="76"/>
      <c r="AD138" s="76"/>
      <c r="AE138" s="76"/>
      <c r="AF138" s="76"/>
      <c r="AG138" s="79" t="str">
        <f aca="false">IF(B138="","",IF($AB138="NON",0,IF(COUNT(AC138:AF138)=0,"",SUM(AC138:AF138))))</f>
        <v/>
      </c>
      <c r="AH138" s="77" t="str">
        <f aca="false">IF(B138="","",IF($AB138="NON",0,IF(COUNT(AC138:AF138)=0,"",IFERROR(ROUND(SUM(AC138:AF138)/SUMPRODUCT(ISNUMBER(AC138:AF138)*$AC$8:$AF$8)*10,2),""))))</f>
        <v/>
      </c>
      <c r="AI138" s="51" t="str">
        <f aca="false">IFERROR(MATCH("CE1-129",'REGISTRE ELEVES'!$AI$10:$AI$250,0),"")</f>
        <v/>
      </c>
    </row>
    <row r="139" customFormat="false" ht="15" hidden="false" customHeight="false" outlineLevel="0" collapsed="false">
      <c r="A139" s="73" t="str">
        <f aca="false">IF(B139="","",130)</f>
        <v/>
      </c>
      <c r="B139" s="73" t="str">
        <f aca="false">IF($AI139="","",INDEX('REGISTRE ELEVES'!$B$10:$B$250,$AI139))</f>
        <v/>
      </c>
      <c r="C139" s="74" t="str">
        <f aca="false">IF($AI139="","",INDEX('REGISTRE ELEVES'!$D$10:$D$250,$AI139))</f>
        <v/>
      </c>
      <c r="D139" s="73" t="str">
        <f aca="false">IF($AI139="","",INDEX('REGISTRE ELEVES'!$E$10:$E$250,$AI139))</f>
        <v/>
      </c>
      <c r="E139" s="73" t="str">
        <f aca="false">IF($AI139="","",INDEX('REGISTRE ELEVES'!$F$10:$F$250,$AI139))</f>
        <v/>
      </c>
      <c r="F139" s="73" t="str">
        <f aca="false">IF($AI139="","",INDEX('REGISTRE ELEVES'!$AE$10:$AE$250,$AI139))</f>
        <v/>
      </c>
      <c r="G139" s="75"/>
      <c r="H139" s="76"/>
      <c r="I139" s="76"/>
      <c r="J139" s="76"/>
      <c r="K139" s="76"/>
      <c r="L139" s="79" t="str">
        <f aca="false">IF(B139="","",IF($G139="NON",0,IF(COUNT(H139:K139)=0,"",SUM(H139:K139))))</f>
        <v/>
      </c>
      <c r="M139" s="77" t="str">
        <f aca="false">IF(B139="","",IF($G139="NON",0,IF(COUNT(H139:K139)=0,"",IFERROR(ROUND(SUM(H139:K139)/SUMPRODUCT(ISNUMBER(H139:K139)*$H$8:$K$8)*10,2),""))))</f>
        <v/>
      </c>
      <c r="N139" s="75"/>
      <c r="O139" s="76"/>
      <c r="P139" s="76"/>
      <c r="Q139" s="76"/>
      <c r="R139" s="76"/>
      <c r="S139" s="79" t="str">
        <f aca="false">IF(B139="","",IF($N139="NON",0,IF(COUNT(O139:R139)=0,"",SUM(O139:R139))))</f>
        <v/>
      </c>
      <c r="T139" s="77" t="str">
        <f aca="false">IF(B139="","",IF($N139="NON",0,IF(COUNT(O139:R139)=0,"",IFERROR(ROUND(SUM(O139:R139)/SUMPRODUCT(ISNUMBER(O139:R139)*$O$8:$R$8)*10,2),""))))</f>
        <v/>
      </c>
      <c r="U139" s="75"/>
      <c r="V139" s="76"/>
      <c r="W139" s="76"/>
      <c r="X139" s="76"/>
      <c r="Y139" s="76"/>
      <c r="Z139" s="79" t="str">
        <f aca="false">IF(B139="","",IF($U139="NON",0,IF(COUNT(V139:Y139)=0,"",SUM(V139:Y139))))</f>
        <v/>
      </c>
      <c r="AA139" s="77" t="str">
        <f aca="false">IF(B139="","",IF($U139="NON",0,IF(COUNT(V139:Y139)=0,"",IFERROR(ROUND(SUM(V139:Y139)/SUMPRODUCT(ISNUMBER(V139:Y139)*$V$8:$Y$8)*10,2),""))))</f>
        <v/>
      </c>
      <c r="AB139" s="75"/>
      <c r="AC139" s="76"/>
      <c r="AD139" s="76"/>
      <c r="AE139" s="76"/>
      <c r="AF139" s="76"/>
      <c r="AG139" s="79" t="str">
        <f aca="false">IF(B139="","",IF($AB139="NON",0,IF(COUNT(AC139:AF139)=0,"",SUM(AC139:AF139))))</f>
        <v/>
      </c>
      <c r="AH139" s="77" t="str">
        <f aca="false">IF(B139="","",IF($AB139="NON",0,IF(COUNT(AC139:AF139)=0,"",IFERROR(ROUND(SUM(AC139:AF139)/SUMPRODUCT(ISNUMBER(AC139:AF139)*$AC$8:$AF$8)*10,2),""))))</f>
        <v/>
      </c>
      <c r="AI139" s="51" t="str">
        <f aca="false">IFERROR(MATCH("CE1-130",'REGISTRE ELEVES'!$AI$10:$AI$250,0),"")</f>
        <v/>
      </c>
    </row>
    <row r="140" customFormat="false" ht="15" hidden="false" customHeight="false" outlineLevel="0" collapsed="false">
      <c r="A140" s="73" t="str">
        <f aca="false">IF(B140="","",131)</f>
        <v/>
      </c>
      <c r="B140" s="73" t="str">
        <f aca="false">IF($AI140="","",INDEX('REGISTRE ELEVES'!$B$10:$B$250,$AI140))</f>
        <v/>
      </c>
      <c r="C140" s="74" t="str">
        <f aca="false">IF($AI140="","",INDEX('REGISTRE ELEVES'!$D$10:$D$250,$AI140))</f>
        <v/>
      </c>
      <c r="D140" s="73" t="str">
        <f aca="false">IF($AI140="","",INDEX('REGISTRE ELEVES'!$E$10:$E$250,$AI140))</f>
        <v/>
      </c>
      <c r="E140" s="73" t="str">
        <f aca="false">IF($AI140="","",INDEX('REGISTRE ELEVES'!$F$10:$F$250,$AI140))</f>
        <v/>
      </c>
      <c r="F140" s="73" t="str">
        <f aca="false">IF($AI140="","",INDEX('REGISTRE ELEVES'!$AE$10:$AE$250,$AI140))</f>
        <v/>
      </c>
      <c r="G140" s="75"/>
      <c r="H140" s="76"/>
      <c r="I140" s="76"/>
      <c r="J140" s="76"/>
      <c r="K140" s="76"/>
      <c r="L140" s="79" t="str">
        <f aca="false">IF(B140="","",IF($G140="NON",0,IF(COUNT(H140:K140)=0,"",SUM(H140:K140))))</f>
        <v/>
      </c>
      <c r="M140" s="77" t="str">
        <f aca="false">IF(B140="","",IF($G140="NON",0,IF(COUNT(H140:K140)=0,"",IFERROR(ROUND(SUM(H140:K140)/SUMPRODUCT(ISNUMBER(H140:K140)*$H$8:$K$8)*10,2),""))))</f>
        <v/>
      </c>
      <c r="N140" s="75"/>
      <c r="O140" s="76"/>
      <c r="P140" s="76"/>
      <c r="Q140" s="76"/>
      <c r="R140" s="76"/>
      <c r="S140" s="79" t="str">
        <f aca="false">IF(B140="","",IF($N140="NON",0,IF(COUNT(O140:R140)=0,"",SUM(O140:R140))))</f>
        <v/>
      </c>
      <c r="T140" s="77" t="str">
        <f aca="false">IF(B140="","",IF($N140="NON",0,IF(COUNT(O140:R140)=0,"",IFERROR(ROUND(SUM(O140:R140)/SUMPRODUCT(ISNUMBER(O140:R140)*$O$8:$R$8)*10,2),""))))</f>
        <v/>
      </c>
      <c r="U140" s="75"/>
      <c r="V140" s="76"/>
      <c r="W140" s="76"/>
      <c r="X140" s="76"/>
      <c r="Y140" s="76"/>
      <c r="Z140" s="79" t="str">
        <f aca="false">IF(B140="","",IF($U140="NON",0,IF(COUNT(V140:Y140)=0,"",SUM(V140:Y140))))</f>
        <v/>
      </c>
      <c r="AA140" s="77" t="str">
        <f aca="false">IF(B140="","",IF($U140="NON",0,IF(COUNT(V140:Y140)=0,"",IFERROR(ROUND(SUM(V140:Y140)/SUMPRODUCT(ISNUMBER(V140:Y140)*$V$8:$Y$8)*10,2),""))))</f>
        <v/>
      </c>
      <c r="AB140" s="75"/>
      <c r="AC140" s="76"/>
      <c r="AD140" s="76"/>
      <c r="AE140" s="76"/>
      <c r="AF140" s="76"/>
      <c r="AG140" s="79" t="str">
        <f aca="false">IF(B140="","",IF($AB140="NON",0,IF(COUNT(AC140:AF140)=0,"",SUM(AC140:AF140))))</f>
        <v/>
      </c>
      <c r="AH140" s="77" t="str">
        <f aca="false">IF(B140="","",IF($AB140="NON",0,IF(COUNT(AC140:AF140)=0,"",IFERROR(ROUND(SUM(AC140:AF140)/SUMPRODUCT(ISNUMBER(AC140:AF140)*$AC$8:$AF$8)*10,2),""))))</f>
        <v/>
      </c>
      <c r="AI140" s="51" t="str">
        <f aca="false">IFERROR(MATCH("CE1-131",'REGISTRE ELEVES'!$AI$10:$AI$250,0),"")</f>
        <v/>
      </c>
    </row>
    <row r="141" customFormat="false" ht="15" hidden="false" customHeight="false" outlineLevel="0" collapsed="false">
      <c r="A141" s="73" t="str">
        <f aca="false">IF(B141="","",132)</f>
        <v/>
      </c>
      <c r="B141" s="73" t="str">
        <f aca="false">IF($AI141="","",INDEX('REGISTRE ELEVES'!$B$10:$B$250,$AI141))</f>
        <v/>
      </c>
      <c r="C141" s="74" t="str">
        <f aca="false">IF($AI141="","",INDEX('REGISTRE ELEVES'!$D$10:$D$250,$AI141))</f>
        <v/>
      </c>
      <c r="D141" s="73" t="str">
        <f aca="false">IF($AI141="","",INDEX('REGISTRE ELEVES'!$E$10:$E$250,$AI141))</f>
        <v/>
      </c>
      <c r="E141" s="73" t="str">
        <f aca="false">IF($AI141="","",INDEX('REGISTRE ELEVES'!$F$10:$F$250,$AI141))</f>
        <v/>
      </c>
      <c r="F141" s="73" t="str">
        <f aca="false">IF($AI141="","",INDEX('REGISTRE ELEVES'!$AE$10:$AE$250,$AI141))</f>
        <v/>
      </c>
      <c r="G141" s="75"/>
      <c r="H141" s="76"/>
      <c r="I141" s="76"/>
      <c r="J141" s="76"/>
      <c r="K141" s="76"/>
      <c r="L141" s="79" t="str">
        <f aca="false">IF(B141="","",IF($G141="NON",0,IF(COUNT(H141:K141)=0,"",SUM(H141:K141))))</f>
        <v/>
      </c>
      <c r="M141" s="77" t="str">
        <f aca="false">IF(B141="","",IF($G141="NON",0,IF(COUNT(H141:K141)=0,"",IFERROR(ROUND(SUM(H141:K141)/SUMPRODUCT(ISNUMBER(H141:K141)*$H$8:$K$8)*10,2),""))))</f>
        <v/>
      </c>
      <c r="N141" s="75"/>
      <c r="O141" s="76"/>
      <c r="P141" s="76"/>
      <c r="Q141" s="76"/>
      <c r="R141" s="76"/>
      <c r="S141" s="79" t="str">
        <f aca="false">IF(B141="","",IF($N141="NON",0,IF(COUNT(O141:R141)=0,"",SUM(O141:R141))))</f>
        <v/>
      </c>
      <c r="T141" s="77" t="str">
        <f aca="false">IF(B141="","",IF($N141="NON",0,IF(COUNT(O141:R141)=0,"",IFERROR(ROUND(SUM(O141:R141)/SUMPRODUCT(ISNUMBER(O141:R141)*$O$8:$R$8)*10,2),""))))</f>
        <v/>
      </c>
      <c r="U141" s="75"/>
      <c r="V141" s="76"/>
      <c r="W141" s="76"/>
      <c r="X141" s="76"/>
      <c r="Y141" s="76"/>
      <c r="Z141" s="79" t="str">
        <f aca="false">IF(B141="","",IF($U141="NON",0,IF(COUNT(V141:Y141)=0,"",SUM(V141:Y141))))</f>
        <v/>
      </c>
      <c r="AA141" s="77" t="str">
        <f aca="false">IF(B141="","",IF($U141="NON",0,IF(COUNT(V141:Y141)=0,"",IFERROR(ROUND(SUM(V141:Y141)/SUMPRODUCT(ISNUMBER(V141:Y141)*$V$8:$Y$8)*10,2),""))))</f>
        <v/>
      </c>
      <c r="AB141" s="75"/>
      <c r="AC141" s="76"/>
      <c r="AD141" s="76"/>
      <c r="AE141" s="76"/>
      <c r="AF141" s="76"/>
      <c r="AG141" s="79" t="str">
        <f aca="false">IF(B141="","",IF($AB141="NON",0,IF(COUNT(AC141:AF141)=0,"",SUM(AC141:AF141))))</f>
        <v/>
      </c>
      <c r="AH141" s="77" t="str">
        <f aca="false">IF(B141="","",IF($AB141="NON",0,IF(COUNT(AC141:AF141)=0,"",IFERROR(ROUND(SUM(AC141:AF141)/SUMPRODUCT(ISNUMBER(AC141:AF141)*$AC$8:$AF$8)*10,2),""))))</f>
        <v/>
      </c>
      <c r="AI141" s="51" t="str">
        <f aca="false">IFERROR(MATCH("CE1-132",'REGISTRE ELEVES'!$AI$10:$AI$250,0),"")</f>
        <v/>
      </c>
    </row>
    <row r="142" customFormat="false" ht="15" hidden="false" customHeight="false" outlineLevel="0" collapsed="false">
      <c r="A142" s="73" t="str">
        <f aca="false">IF(B142="","",133)</f>
        <v/>
      </c>
      <c r="B142" s="73" t="str">
        <f aca="false">IF($AI142="","",INDEX('REGISTRE ELEVES'!$B$10:$B$250,$AI142))</f>
        <v/>
      </c>
      <c r="C142" s="74" t="str">
        <f aca="false">IF($AI142="","",INDEX('REGISTRE ELEVES'!$D$10:$D$250,$AI142))</f>
        <v/>
      </c>
      <c r="D142" s="73" t="str">
        <f aca="false">IF($AI142="","",INDEX('REGISTRE ELEVES'!$E$10:$E$250,$AI142))</f>
        <v/>
      </c>
      <c r="E142" s="73" t="str">
        <f aca="false">IF($AI142="","",INDEX('REGISTRE ELEVES'!$F$10:$F$250,$AI142))</f>
        <v/>
      </c>
      <c r="F142" s="73" t="str">
        <f aca="false">IF($AI142="","",INDEX('REGISTRE ELEVES'!$AE$10:$AE$250,$AI142))</f>
        <v/>
      </c>
      <c r="G142" s="75"/>
      <c r="H142" s="76"/>
      <c r="I142" s="76"/>
      <c r="J142" s="76"/>
      <c r="K142" s="76"/>
      <c r="L142" s="79" t="str">
        <f aca="false">IF(B142="","",IF($G142="NON",0,IF(COUNT(H142:K142)=0,"",SUM(H142:K142))))</f>
        <v/>
      </c>
      <c r="M142" s="77" t="str">
        <f aca="false">IF(B142="","",IF($G142="NON",0,IF(COUNT(H142:K142)=0,"",IFERROR(ROUND(SUM(H142:K142)/SUMPRODUCT(ISNUMBER(H142:K142)*$H$8:$K$8)*10,2),""))))</f>
        <v/>
      </c>
      <c r="N142" s="75"/>
      <c r="O142" s="76"/>
      <c r="P142" s="76"/>
      <c r="Q142" s="76"/>
      <c r="R142" s="76"/>
      <c r="S142" s="79" t="str">
        <f aca="false">IF(B142="","",IF($N142="NON",0,IF(COUNT(O142:R142)=0,"",SUM(O142:R142))))</f>
        <v/>
      </c>
      <c r="T142" s="77" t="str">
        <f aca="false">IF(B142="","",IF($N142="NON",0,IF(COUNT(O142:R142)=0,"",IFERROR(ROUND(SUM(O142:R142)/SUMPRODUCT(ISNUMBER(O142:R142)*$O$8:$R$8)*10,2),""))))</f>
        <v/>
      </c>
      <c r="U142" s="75"/>
      <c r="V142" s="76"/>
      <c r="W142" s="76"/>
      <c r="X142" s="76"/>
      <c r="Y142" s="76"/>
      <c r="Z142" s="79" t="str">
        <f aca="false">IF(B142="","",IF($U142="NON",0,IF(COUNT(V142:Y142)=0,"",SUM(V142:Y142))))</f>
        <v/>
      </c>
      <c r="AA142" s="77" t="str">
        <f aca="false">IF(B142="","",IF($U142="NON",0,IF(COUNT(V142:Y142)=0,"",IFERROR(ROUND(SUM(V142:Y142)/SUMPRODUCT(ISNUMBER(V142:Y142)*$V$8:$Y$8)*10,2),""))))</f>
        <v/>
      </c>
      <c r="AB142" s="75"/>
      <c r="AC142" s="76"/>
      <c r="AD142" s="76"/>
      <c r="AE142" s="76"/>
      <c r="AF142" s="76"/>
      <c r="AG142" s="79" t="str">
        <f aca="false">IF(B142="","",IF($AB142="NON",0,IF(COUNT(AC142:AF142)=0,"",SUM(AC142:AF142))))</f>
        <v/>
      </c>
      <c r="AH142" s="77" t="str">
        <f aca="false">IF(B142="","",IF($AB142="NON",0,IF(COUNT(AC142:AF142)=0,"",IFERROR(ROUND(SUM(AC142:AF142)/SUMPRODUCT(ISNUMBER(AC142:AF142)*$AC$8:$AF$8)*10,2),""))))</f>
        <v/>
      </c>
      <c r="AI142" s="51" t="str">
        <f aca="false">IFERROR(MATCH("CE1-133",'REGISTRE ELEVES'!$AI$10:$AI$250,0),"")</f>
        <v/>
      </c>
    </row>
    <row r="143" customFormat="false" ht="15" hidden="false" customHeight="false" outlineLevel="0" collapsed="false">
      <c r="A143" s="73" t="str">
        <f aca="false">IF(B143="","",134)</f>
        <v/>
      </c>
      <c r="B143" s="73" t="str">
        <f aca="false">IF($AI143="","",INDEX('REGISTRE ELEVES'!$B$10:$B$250,$AI143))</f>
        <v/>
      </c>
      <c r="C143" s="74" t="str">
        <f aca="false">IF($AI143="","",INDEX('REGISTRE ELEVES'!$D$10:$D$250,$AI143))</f>
        <v/>
      </c>
      <c r="D143" s="73" t="str">
        <f aca="false">IF($AI143="","",INDEX('REGISTRE ELEVES'!$E$10:$E$250,$AI143))</f>
        <v/>
      </c>
      <c r="E143" s="73" t="str">
        <f aca="false">IF($AI143="","",INDEX('REGISTRE ELEVES'!$F$10:$F$250,$AI143))</f>
        <v/>
      </c>
      <c r="F143" s="73" t="str">
        <f aca="false">IF($AI143="","",INDEX('REGISTRE ELEVES'!$AE$10:$AE$250,$AI143))</f>
        <v/>
      </c>
      <c r="G143" s="75"/>
      <c r="H143" s="76"/>
      <c r="I143" s="76"/>
      <c r="J143" s="76"/>
      <c r="K143" s="76"/>
      <c r="L143" s="79" t="str">
        <f aca="false">IF(B143="","",IF($G143="NON",0,IF(COUNT(H143:K143)=0,"",SUM(H143:K143))))</f>
        <v/>
      </c>
      <c r="M143" s="77" t="str">
        <f aca="false">IF(B143="","",IF($G143="NON",0,IF(COUNT(H143:K143)=0,"",IFERROR(ROUND(SUM(H143:K143)/SUMPRODUCT(ISNUMBER(H143:K143)*$H$8:$K$8)*10,2),""))))</f>
        <v/>
      </c>
      <c r="N143" s="75"/>
      <c r="O143" s="76"/>
      <c r="P143" s="76"/>
      <c r="Q143" s="76"/>
      <c r="R143" s="76"/>
      <c r="S143" s="79" t="str">
        <f aca="false">IF(B143="","",IF($N143="NON",0,IF(COUNT(O143:R143)=0,"",SUM(O143:R143))))</f>
        <v/>
      </c>
      <c r="T143" s="77" t="str">
        <f aca="false">IF(B143="","",IF($N143="NON",0,IF(COUNT(O143:R143)=0,"",IFERROR(ROUND(SUM(O143:R143)/SUMPRODUCT(ISNUMBER(O143:R143)*$O$8:$R$8)*10,2),""))))</f>
        <v/>
      </c>
      <c r="U143" s="75"/>
      <c r="V143" s="76"/>
      <c r="W143" s="76"/>
      <c r="X143" s="76"/>
      <c r="Y143" s="76"/>
      <c r="Z143" s="79" t="str">
        <f aca="false">IF(B143="","",IF($U143="NON",0,IF(COUNT(V143:Y143)=0,"",SUM(V143:Y143))))</f>
        <v/>
      </c>
      <c r="AA143" s="77" t="str">
        <f aca="false">IF(B143="","",IF($U143="NON",0,IF(COUNT(V143:Y143)=0,"",IFERROR(ROUND(SUM(V143:Y143)/SUMPRODUCT(ISNUMBER(V143:Y143)*$V$8:$Y$8)*10,2),""))))</f>
        <v/>
      </c>
      <c r="AB143" s="75"/>
      <c r="AC143" s="76"/>
      <c r="AD143" s="76"/>
      <c r="AE143" s="76"/>
      <c r="AF143" s="76"/>
      <c r="AG143" s="79" t="str">
        <f aca="false">IF(B143="","",IF($AB143="NON",0,IF(COUNT(AC143:AF143)=0,"",SUM(AC143:AF143))))</f>
        <v/>
      </c>
      <c r="AH143" s="77" t="str">
        <f aca="false">IF(B143="","",IF($AB143="NON",0,IF(COUNT(AC143:AF143)=0,"",IFERROR(ROUND(SUM(AC143:AF143)/SUMPRODUCT(ISNUMBER(AC143:AF143)*$AC$8:$AF$8)*10,2),""))))</f>
        <v/>
      </c>
      <c r="AI143" s="51" t="str">
        <f aca="false">IFERROR(MATCH("CE1-134",'REGISTRE ELEVES'!$AI$10:$AI$250,0),"")</f>
        <v/>
      </c>
    </row>
    <row r="144" customFormat="false" ht="15" hidden="false" customHeight="false" outlineLevel="0" collapsed="false">
      <c r="A144" s="73" t="str">
        <f aca="false">IF(B144="","",135)</f>
        <v/>
      </c>
      <c r="B144" s="73" t="str">
        <f aca="false">IF($AI144="","",INDEX('REGISTRE ELEVES'!$B$10:$B$250,$AI144))</f>
        <v/>
      </c>
      <c r="C144" s="74" t="str">
        <f aca="false">IF($AI144="","",INDEX('REGISTRE ELEVES'!$D$10:$D$250,$AI144))</f>
        <v/>
      </c>
      <c r="D144" s="73" t="str">
        <f aca="false">IF($AI144="","",INDEX('REGISTRE ELEVES'!$E$10:$E$250,$AI144))</f>
        <v/>
      </c>
      <c r="E144" s="73" t="str">
        <f aca="false">IF($AI144="","",INDEX('REGISTRE ELEVES'!$F$10:$F$250,$AI144))</f>
        <v/>
      </c>
      <c r="F144" s="73" t="str">
        <f aca="false">IF($AI144="","",INDEX('REGISTRE ELEVES'!$AE$10:$AE$250,$AI144))</f>
        <v/>
      </c>
      <c r="G144" s="75"/>
      <c r="H144" s="76"/>
      <c r="I144" s="76"/>
      <c r="J144" s="76"/>
      <c r="K144" s="76"/>
      <c r="L144" s="79" t="str">
        <f aca="false">IF(B144="","",IF($G144="NON",0,IF(COUNT(H144:K144)=0,"",SUM(H144:K144))))</f>
        <v/>
      </c>
      <c r="M144" s="77" t="str">
        <f aca="false">IF(B144="","",IF($G144="NON",0,IF(COUNT(H144:K144)=0,"",IFERROR(ROUND(SUM(H144:K144)/SUMPRODUCT(ISNUMBER(H144:K144)*$H$8:$K$8)*10,2),""))))</f>
        <v/>
      </c>
      <c r="N144" s="75"/>
      <c r="O144" s="76"/>
      <c r="P144" s="76"/>
      <c r="Q144" s="76"/>
      <c r="R144" s="76"/>
      <c r="S144" s="79" t="str">
        <f aca="false">IF(B144="","",IF($N144="NON",0,IF(COUNT(O144:R144)=0,"",SUM(O144:R144))))</f>
        <v/>
      </c>
      <c r="T144" s="77" t="str">
        <f aca="false">IF(B144="","",IF($N144="NON",0,IF(COUNT(O144:R144)=0,"",IFERROR(ROUND(SUM(O144:R144)/SUMPRODUCT(ISNUMBER(O144:R144)*$O$8:$R$8)*10,2),""))))</f>
        <v/>
      </c>
      <c r="U144" s="75"/>
      <c r="V144" s="76"/>
      <c r="W144" s="76"/>
      <c r="X144" s="76"/>
      <c r="Y144" s="76"/>
      <c r="Z144" s="79" t="str">
        <f aca="false">IF(B144="","",IF($U144="NON",0,IF(COUNT(V144:Y144)=0,"",SUM(V144:Y144))))</f>
        <v/>
      </c>
      <c r="AA144" s="77" t="str">
        <f aca="false">IF(B144="","",IF($U144="NON",0,IF(COUNT(V144:Y144)=0,"",IFERROR(ROUND(SUM(V144:Y144)/SUMPRODUCT(ISNUMBER(V144:Y144)*$V$8:$Y$8)*10,2),""))))</f>
        <v/>
      </c>
      <c r="AB144" s="75"/>
      <c r="AC144" s="76"/>
      <c r="AD144" s="76"/>
      <c r="AE144" s="76"/>
      <c r="AF144" s="76"/>
      <c r="AG144" s="79" t="str">
        <f aca="false">IF(B144="","",IF($AB144="NON",0,IF(COUNT(AC144:AF144)=0,"",SUM(AC144:AF144))))</f>
        <v/>
      </c>
      <c r="AH144" s="77" t="str">
        <f aca="false">IF(B144="","",IF($AB144="NON",0,IF(COUNT(AC144:AF144)=0,"",IFERROR(ROUND(SUM(AC144:AF144)/SUMPRODUCT(ISNUMBER(AC144:AF144)*$AC$8:$AF$8)*10,2),""))))</f>
        <v/>
      </c>
      <c r="AI144" s="51" t="str">
        <f aca="false">IFERROR(MATCH("CE1-135",'REGISTRE ELEVES'!$AI$10:$AI$250,0),"")</f>
        <v/>
      </c>
    </row>
    <row r="145" customFormat="false" ht="15" hidden="false" customHeight="false" outlineLevel="0" collapsed="false">
      <c r="A145" s="73" t="str">
        <f aca="false">IF(B145="","",136)</f>
        <v/>
      </c>
      <c r="B145" s="73" t="str">
        <f aca="false">IF($AI145="","",INDEX('REGISTRE ELEVES'!$B$10:$B$250,$AI145))</f>
        <v/>
      </c>
      <c r="C145" s="74" t="str">
        <f aca="false">IF($AI145="","",INDEX('REGISTRE ELEVES'!$D$10:$D$250,$AI145))</f>
        <v/>
      </c>
      <c r="D145" s="73" t="str">
        <f aca="false">IF($AI145="","",INDEX('REGISTRE ELEVES'!$E$10:$E$250,$AI145))</f>
        <v/>
      </c>
      <c r="E145" s="73" t="str">
        <f aca="false">IF($AI145="","",INDEX('REGISTRE ELEVES'!$F$10:$F$250,$AI145))</f>
        <v/>
      </c>
      <c r="F145" s="73" t="str">
        <f aca="false">IF($AI145="","",INDEX('REGISTRE ELEVES'!$AE$10:$AE$250,$AI145))</f>
        <v/>
      </c>
      <c r="G145" s="75"/>
      <c r="H145" s="76"/>
      <c r="I145" s="76"/>
      <c r="J145" s="76"/>
      <c r="K145" s="76"/>
      <c r="L145" s="79" t="str">
        <f aca="false">IF(B145="","",IF($G145="NON",0,IF(COUNT(H145:K145)=0,"",SUM(H145:K145))))</f>
        <v/>
      </c>
      <c r="M145" s="77" t="str">
        <f aca="false">IF(B145="","",IF($G145="NON",0,IF(COUNT(H145:K145)=0,"",IFERROR(ROUND(SUM(H145:K145)/SUMPRODUCT(ISNUMBER(H145:K145)*$H$8:$K$8)*10,2),""))))</f>
        <v/>
      </c>
      <c r="N145" s="75"/>
      <c r="O145" s="76"/>
      <c r="P145" s="76"/>
      <c r="Q145" s="76"/>
      <c r="R145" s="76"/>
      <c r="S145" s="79" t="str">
        <f aca="false">IF(B145="","",IF($N145="NON",0,IF(COUNT(O145:R145)=0,"",SUM(O145:R145))))</f>
        <v/>
      </c>
      <c r="T145" s="77" t="str">
        <f aca="false">IF(B145="","",IF($N145="NON",0,IF(COUNT(O145:R145)=0,"",IFERROR(ROUND(SUM(O145:R145)/SUMPRODUCT(ISNUMBER(O145:R145)*$O$8:$R$8)*10,2),""))))</f>
        <v/>
      </c>
      <c r="U145" s="75"/>
      <c r="V145" s="76"/>
      <c r="W145" s="76"/>
      <c r="X145" s="76"/>
      <c r="Y145" s="76"/>
      <c r="Z145" s="79" t="str">
        <f aca="false">IF(B145="","",IF($U145="NON",0,IF(COUNT(V145:Y145)=0,"",SUM(V145:Y145))))</f>
        <v/>
      </c>
      <c r="AA145" s="77" t="str">
        <f aca="false">IF(B145="","",IF($U145="NON",0,IF(COUNT(V145:Y145)=0,"",IFERROR(ROUND(SUM(V145:Y145)/SUMPRODUCT(ISNUMBER(V145:Y145)*$V$8:$Y$8)*10,2),""))))</f>
        <v/>
      </c>
      <c r="AB145" s="75"/>
      <c r="AC145" s="76"/>
      <c r="AD145" s="76"/>
      <c r="AE145" s="76"/>
      <c r="AF145" s="76"/>
      <c r="AG145" s="79" t="str">
        <f aca="false">IF(B145="","",IF($AB145="NON",0,IF(COUNT(AC145:AF145)=0,"",SUM(AC145:AF145))))</f>
        <v/>
      </c>
      <c r="AH145" s="77" t="str">
        <f aca="false">IF(B145="","",IF($AB145="NON",0,IF(COUNT(AC145:AF145)=0,"",IFERROR(ROUND(SUM(AC145:AF145)/SUMPRODUCT(ISNUMBER(AC145:AF145)*$AC$8:$AF$8)*10,2),""))))</f>
        <v/>
      </c>
      <c r="AI145" s="51" t="str">
        <f aca="false">IFERROR(MATCH("CE1-136",'REGISTRE ELEVES'!$AI$10:$AI$250,0),"")</f>
        <v/>
      </c>
    </row>
    <row r="146" customFormat="false" ht="15" hidden="false" customHeight="false" outlineLevel="0" collapsed="false">
      <c r="A146" s="73" t="str">
        <f aca="false">IF(B146="","",137)</f>
        <v/>
      </c>
      <c r="B146" s="73" t="str">
        <f aca="false">IF($AI146="","",INDEX('REGISTRE ELEVES'!$B$10:$B$250,$AI146))</f>
        <v/>
      </c>
      <c r="C146" s="74" t="str">
        <f aca="false">IF($AI146="","",INDEX('REGISTRE ELEVES'!$D$10:$D$250,$AI146))</f>
        <v/>
      </c>
      <c r="D146" s="73" t="str">
        <f aca="false">IF($AI146="","",INDEX('REGISTRE ELEVES'!$E$10:$E$250,$AI146))</f>
        <v/>
      </c>
      <c r="E146" s="73" t="str">
        <f aca="false">IF($AI146="","",INDEX('REGISTRE ELEVES'!$F$10:$F$250,$AI146))</f>
        <v/>
      </c>
      <c r="F146" s="73" t="str">
        <f aca="false">IF($AI146="","",INDEX('REGISTRE ELEVES'!$AE$10:$AE$250,$AI146))</f>
        <v/>
      </c>
      <c r="G146" s="75"/>
      <c r="H146" s="76"/>
      <c r="I146" s="76"/>
      <c r="J146" s="76"/>
      <c r="K146" s="76"/>
      <c r="L146" s="79" t="str">
        <f aca="false">IF(B146="","",IF($G146="NON",0,IF(COUNT(H146:K146)=0,"",SUM(H146:K146))))</f>
        <v/>
      </c>
      <c r="M146" s="77" t="str">
        <f aca="false">IF(B146="","",IF($G146="NON",0,IF(COUNT(H146:K146)=0,"",IFERROR(ROUND(SUM(H146:K146)/SUMPRODUCT(ISNUMBER(H146:K146)*$H$8:$K$8)*10,2),""))))</f>
        <v/>
      </c>
      <c r="N146" s="75"/>
      <c r="O146" s="76"/>
      <c r="P146" s="76"/>
      <c r="Q146" s="76"/>
      <c r="R146" s="76"/>
      <c r="S146" s="79" t="str">
        <f aca="false">IF(B146="","",IF($N146="NON",0,IF(COUNT(O146:R146)=0,"",SUM(O146:R146))))</f>
        <v/>
      </c>
      <c r="T146" s="77" t="str">
        <f aca="false">IF(B146="","",IF($N146="NON",0,IF(COUNT(O146:R146)=0,"",IFERROR(ROUND(SUM(O146:R146)/SUMPRODUCT(ISNUMBER(O146:R146)*$O$8:$R$8)*10,2),""))))</f>
        <v/>
      </c>
      <c r="U146" s="75"/>
      <c r="V146" s="76"/>
      <c r="W146" s="76"/>
      <c r="X146" s="76"/>
      <c r="Y146" s="76"/>
      <c r="Z146" s="79" t="str">
        <f aca="false">IF(B146="","",IF($U146="NON",0,IF(COUNT(V146:Y146)=0,"",SUM(V146:Y146))))</f>
        <v/>
      </c>
      <c r="AA146" s="77" t="str">
        <f aca="false">IF(B146="","",IF($U146="NON",0,IF(COUNT(V146:Y146)=0,"",IFERROR(ROUND(SUM(V146:Y146)/SUMPRODUCT(ISNUMBER(V146:Y146)*$V$8:$Y$8)*10,2),""))))</f>
        <v/>
      </c>
      <c r="AB146" s="75"/>
      <c r="AC146" s="76"/>
      <c r="AD146" s="76"/>
      <c r="AE146" s="76"/>
      <c r="AF146" s="76"/>
      <c r="AG146" s="79" t="str">
        <f aca="false">IF(B146="","",IF($AB146="NON",0,IF(COUNT(AC146:AF146)=0,"",SUM(AC146:AF146))))</f>
        <v/>
      </c>
      <c r="AH146" s="77" t="str">
        <f aca="false">IF(B146="","",IF($AB146="NON",0,IF(COUNT(AC146:AF146)=0,"",IFERROR(ROUND(SUM(AC146:AF146)/SUMPRODUCT(ISNUMBER(AC146:AF146)*$AC$8:$AF$8)*10,2),""))))</f>
        <v/>
      </c>
      <c r="AI146" s="51" t="str">
        <f aca="false">IFERROR(MATCH("CE1-137",'REGISTRE ELEVES'!$AI$10:$AI$250,0),"")</f>
        <v/>
      </c>
    </row>
    <row r="147" customFormat="false" ht="15" hidden="false" customHeight="false" outlineLevel="0" collapsed="false">
      <c r="A147" s="73" t="str">
        <f aca="false">IF(B147="","",138)</f>
        <v/>
      </c>
      <c r="B147" s="73" t="str">
        <f aca="false">IF($AI147="","",INDEX('REGISTRE ELEVES'!$B$10:$B$250,$AI147))</f>
        <v/>
      </c>
      <c r="C147" s="74" t="str">
        <f aca="false">IF($AI147="","",INDEX('REGISTRE ELEVES'!$D$10:$D$250,$AI147))</f>
        <v/>
      </c>
      <c r="D147" s="73" t="str">
        <f aca="false">IF($AI147="","",INDEX('REGISTRE ELEVES'!$E$10:$E$250,$AI147))</f>
        <v/>
      </c>
      <c r="E147" s="73" t="str">
        <f aca="false">IF($AI147="","",INDEX('REGISTRE ELEVES'!$F$10:$F$250,$AI147))</f>
        <v/>
      </c>
      <c r="F147" s="73" t="str">
        <f aca="false">IF($AI147="","",INDEX('REGISTRE ELEVES'!$AE$10:$AE$250,$AI147))</f>
        <v/>
      </c>
      <c r="G147" s="75"/>
      <c r="H147" s="76"/>
      <c r="I147" s="76"/>
      <c r="J147" s="76"/>
      <c r="K147" s="76"/>
      <c r="L147" s="79" t="str">
        <f aca="false">IF(B147="","",IF($G147="NON",0,IF(COUNT(H147:K147)=0,"",SUM(H147:K147))))</f>
        <v/>
      </c>
      <c r="M147" s="77" t="str">
        <f aca="false">IF(B147="","",IF($G147="NON",0,IF(COUNT(H147:K147)=0,"",IFERROR(ROUND(SUM(H147:K147)/SUMPRODUCT(ISNUMBER(H147:K147)*$H$8:$K$8)*10,2),""))))</f>
        <v/>
      </c>
      <c r="N147" s="75"/>
      <c r="O147" s="76"/>
      <c r="P147" s="76"/>
      <c r="Q147" s="76"/>
      <c r="R147" s="76"/>
      <c r="S147" s="79" t="str">
        <f aca="false">IF(B147="","",IF($N147="NON",0,IF(COUNT(O147:R147)=0,"",SUM(O147:R147))))</f>
        <v/>
      </c>
      <c r="T147" s="77" t="str">
        <f aca="false">IF(B147="","",IF($N147="NON",0,IF(COUNT(O147:R147)=0,"",IFERROR(ROUND(SUM(O147:R147)/SUMPRODUCT(ISNUMBER(O147:R147)*$O$8:$R$8)*10,2),""))))</f>
        <v/>
      </c>
      <c r="U147" s="75"/>
      <c r="V147" s="76"/>
      <c r="W147" s="76"/>
      <c r="X147" s="76"/>
      <c r="Y147" s="76"/>
      <c r="Z147" s="79" t="str">
        <f aca="false">IF(B147="","",IF($U147="NON",0,IF(COUNT(V147:Y147)=0,"",SUM(V147:Y147))))</f>
        <v/>
      </c>
      <c r="AA147" s="77" t="str">
        <f aca="false">IF(B147="","",IF($U147="NON",0,IF(COUNT(V147:Y147)=0,"",IFERROR(ROUND(SUM(V147:Y147)/SUMPRODUCT(ISNUMBER(V147:Y147)*$V$8:$Y$8)*10,2),""))))</f>
        <v/>
      </c>
      <c r="AB147" s="75"/>
      <c r="AC147" s="76"/>
      <c r="AD147" s="76"/>
      <c r="AE147" s="76"/>
      <c r="AF147" s="76"/>
      <c r="AG147" s="79" t="str">
        <f aca="false">IF(B147="","",IF($AB147="NON",0,IF(COUNT(AC147:AF147)=0,"",SUM(AC147:AF147))))</f>
        <v/>
      </c>
      <c r="AH147" s="77" t="str">
        <f aca="false">IF(B147="","",IF($AB147="NON",0,IF(COUNT(AC147:AF147)=0,"",IFERROR(ROUND(SUM(AC147:AF147)/SUMPRODUCT(ISNUMBER(AC147:AF147)*$AC$8:$AF$8)*10,2),""))))</f>
        <v/>
      </c>
      <c r="AI147" s="51" t="str">
        <f aca="false">IFERROR(MATCH("CE1-138",'REGISTRE ELEVES'!$AI$10:$AI$250,0),"")</f>
        <v/>
      </c>
    </row>
    <row r="148" customFormat="false" ht="15" hidden="false" customHeight="false" outlineLevel="0" collapsed="false">
      <c r="A148" s="73" t="str">
        <f aca="false">IF(B148="","",139)</f>
        <v/>
      </c>
      <c r="B148" s="73" t="str">
        <f aca="false">IF($AI148="","",INDEX('REGISTRE ELEVES'!$B$10:$B$250,$AI148))</f>
        <v/>
      </c>
      <c r="C148" s="74" t="str">
        <f aca="false">IF($AI148="","",INDEX('REGISTRE ELEVES'!$D$10:$D$250,$AI148))</f>
        <v/>
      </c>
      <c r="D148" s="73" t="str">
        <f aca="false">IF($AI148="","",INDEX('REGISTRE ELEVES'!$E$10:$E$250,$AI148))</f>
        <v/>
      </c>
      <c r="E148" s="73" t="str">
        <f aca="false">IF($AI148="","",INDEX('REGISTRE ELEVES'!$F$10:$F$250,$AI148))</f>
        <v/>
      </c>
      <c r="F148" s="73" t="str">
        <f aca="false">IF($AI148="","",INDEX('REGISTRE ELEVES'!$AE$10:$AE$250,$AI148))</f>
        <v/>
      </c>
      <c r="G148" s="75"/>
      <c r="H148" s="76"/>
      <c r="I148" s="76"/>
      <c r="J148" s="76"/>
      <c r="K148" s="76"/>
      <c r="L148" s="79" t="str">
        <f aca="false">IF(B148="","",IF($G148="NON",0,IF(COUNT(H148:K148)=0,"",SUM(H148:K148))))</f>
        <v/>
      </c>
      <c r="M148" s="77" t="str">
        <f aca="false">IF(B148="","",IF($G148="NON",0,IF(COUNT(H148:K148)=0,"",IFERROR(ROUND(SUM(H148:K148)/SUMPRODUCT(ISNUMBER(H148:K148)*$H$8:$K$8)*10,2),""))))</f>
        <v/>
      </c>
      <c r="N148" s="75"/>
      <c r="O148" s="76"/>
      <c r="P148" s="76"/>
      <c r="Q148" s="76"/>
      <c r="R148" s="76"/>
      <c r="S148" s="79" t="str">
        <f aca="false">IF(B148="","",IF($N148="NON",0,IF(COUNT(O148:R148)=0,"",SUM(O148:R148))))</f>
        <v/>
      </c>
      <c r="T148" s="77" t="str">
        <f aca="false">IF(B148="","",IF($N148="NON",0,IF(COUNT(O148:R148)=0,"",IFERROR(ROUND(SUM(O148:R148)/SUMPRODUCT(ISNUMBER(O148:R148)*$O$8:$R$8)*10,2),""))))</f>
        <v/>
      </c>
      <c r="U148" s="75"/>
      <c r="V148" s="76"/>
      <c r="W148" s="76"/>
      <c r="X148" s="76"/>
      <c r="Y148" s="76"/>
      <c r="Z148" s="79" t="str">
        <f aca="false">IF(B148="","",IF($U148="NON",0,IF(COUNT(V148:Y148)=0,"",SUM(V148:Y148))))</f>
        <v/>
      </c>
      <c r="AA148" s="77" t="str">
        <f aca="false">IF(B148="","",IF($U148="NON",0,IF(COUNT(V148:Y148)=0,"",IFERROR(ROUND(SUM(V148:Y148)/SUMPRODUCT(ISNUMBER(V148:Y148)*$V$8:$Y$8)*10,2),""))))</f>
        <v/>
      </c>
      <c r="AB148" s="75"/>
      <c r="AC148" s="76"/>
      <c r="AD148" s="76"/>
      <c r="AE148" s="76"/>
      <c r="AF148" s="76"/>
      <c r="AG148" s="79" t="str">
        <f aca="false">IF(B148="","",IF($AB148="NON",0,IF(COUNT(AC148:AF148)=0,"",SUM(AC148:AF148))))</f>
        <v/>
      </c>
      <c r="AH148" s="77" t="str">
        <f aca="false">IF(B148="","",IF($AB148="NON",0,IF(COUNT(AC148:AF148)=0,"",IFERROR(ROUND(SUM(AC148:AF148)/SUMPRODUCT(ISNUMBER(AC148:AF148)*$AC$8:$AF$8)*10,2),""))))</f>
        <v/>
      </c>
      <c r="AI148" s="51" t="str">
        <f aca="false">IFERROR(MATCH("CE1-139",'REGISTRE ELEVES'!$AI$10:$AI$250,0),"")</f>
        <v/>
      </c>
    </row>
    <row r="149" customFormat="false" ht="15" hidden="false" customHeight="false" outlineLevel="0" collapsed="false">
      <c r="A149" s="73" t="str">
        <f aca="false">IF(B149="","",140)</f>
        <v/>
      </c>
      <c r="B149" s="73" t="str">
        <f aca="false">IF($AI149="","",INDEX('REGISTRE ELEVES'!$B$10:$B$250,$AI149))</f>
        <v/>
      </c>
      <c r="C149" s="74" t="str">
        <f aca="false">IF($AI149="","",INDEX('REGISTRE ELEVES'!$D$10:$D$250,$AI149))</f>
        <v/>
      </c>
      <c r="D149" s="73" t="str">
        <f aca="false">IF($AI149="","",INDEX('REGISTRE ELEVES'!$E$10:$E$250,$AI149))</f>
        <v/>
      </c>
      <c r="E149" s="73" t="str">
        <f aca="false">IF($AI149="","",INDEX('REGISTRE ELEVES'!$F$10:$F$250,$AI149))</f>
        <v/>
      </c>
      <c r="F149" s="73" t="str">
        <f aca="false">IF($AI149="","",INDEX('REGISTRE ELEVES'!$AE$10:$AE$250,$AI149))</f>
        <v/>
      </c>
      <c r="G149" s="75"/>
      <c r="H149" s="76"/>
      <c r="I149" s="76"/>
      <c r="J149" s="76"/>
      <c r="K149" s="76"/>
      <c r="L149" s="79" t="str">
        <f aca="false">IF(B149="","",IF($G149="NON",0,IF(COUNT(H149:K149)=0,"",SUM(H149:K149))))</f>
        <v/>
      </c>
      <c r="M149" s="77" t="str">
        <f aca="false">IF(B149="","",IF($G149="NON",0,IF(COUNT(H149:K149)=0,"",IFERROR(ROUND(SUM(H149:K149)/SUMPRODUCT(ISNUMBER(H149:K149)*$H$8:$K$8)*10,2),""))))</f>
        <v/>
      </c>
      <c r="N149" s="75"/>
      <c r="O149" s="76"/>
      <c r="P149" s="76"/>
      <c r="Q149" s="76"/>
      <c r="R149" s="76"/>
      <c r="S149" s="79" t="str">
        <f aca="false">IF(B149="","",IF($N149="NON",0,IF(COUNT(O149:R149)=0,"",SUM(O149:R149))))</f>
        <v/>
      </c>
      <c r="T149" s="77" t="str">
        <f aca="false">IF(B149="","",IF($N149="NON",0,IF(COUNT(O149:R149)=0,"",IFERROR(ROUND(SUM(O149:R149)/SUMPRODUCT(ISNUMBER(O149:R149)*$O$8:$R$8)*10,2),""))))</f>
        <v/>
      </c>
      <c r="U149" s="75"/>
      <c r="V149" s="76"/>
      <c r="W149" s="76"/>
      <c r="X149" s="76"/>
      <c r="Y149" s="76"/>
      <c r="Z149" s="79" t="str">
        <f aca="false">IF(B149="","",IF($U149="NON",0,IF(COUNT(V149:Y149)=0,"",SUM(V149:Y149))))</f>
        <v/>
      </c>
      <c r="AA149" s="77" t="str">
        <f aca="false">IF(B149="","",IF($U149="NON",0,IF(COUNT(V149:Y149)=0,"",IFERROR(ROUND(SUM(V149:Y149)/SUMPRODUCT(ISNUMBER(V149:Y149)*$V$8:$Y$8)*10,2),""))))</f>
        <v/>
      </c>
      <c r="AB149" s="75"/>
      <c r="AC149" s="76"/>
      <c r="AD149" s="76"/>
      <c r="AE149" s="76"/>
      <c r="AF149" s="76"/>
      <c r="AG149" s="79" t="str">
        <f aca="false">IF(B149="","",IF($AB149="NON",0,IF(COUNT(AC149:AF149)=0,"",SUM(AC149:AF149))))</f>
        <v/>
      </c>
      <c r="AH149" s="77" t="str">
        <f aca="false">IF(B149="","",IF($AB149="NON",0,IF(COUNT(AC149:AF149)=0,"",IFERROR(ROUND(SUM(AC149:AF149)/SUMPRODUCT(ISNUMBER(AC149:AF149)*$AC$8:$AF$8)*10,2),""))))</f>
        <v/>
      </c>
      <c r="AI149" s="51" t="str">
        <f aca="false">IFERROR(MATCH("CE1-140",'REGISTRE ELEVES'!$AI$10:$AI$250,0),"")</f>
        <v/>
      </c>
    </row>
    <row r="150" customFormat="false" ht="15" hidden="false" customHeight="false" outlineLevel="0" collapsed="false">
      <c r="A150" s="73" t="str">
        <f aca="false">IF(B150="","",141)</f>
        <v/>
      </c>
      <c r="B150" s="73" t="str">
        <f aca="false">IF($AI150="","",INDEX('REGISTRE ELEVES'!$B$10:$B$250,$AI150))</f>
        <v/>
      </c>
      <c r="C150" s="74" t="str">
        <f aca="false">IF($AI150="","",INDEX('REGISTRE ELEVES'!$D$10:$D$250,$AI150))</f>
        <v/>
      </c>
      <c r="D150" s="73" t="str">
        <f aca="false">IF($AI150="","",INDEX('REGISTRE ELEVES'!$E$10:$E$250,$AI150))</f>
        <v/>
      </c>
      <c r="E150" s="73" t="str">
        <f aca="false">IF($AI150="","",INDEX('REGISTRE ELEVES'!$F$10:$F$250,$AI150))</f>
        <v/>
      </c>
      <c r="F150" s="73" t="str">
        <f aca="false">IF($AI150="","",INDEX('REGISTRE ELEVES'!$AE$10:$AE$250,$AI150))</f>
        <v/>
      </c>
      <c r="G150" s="75"/>
      <c r="H150" s="76"/>
      <c r="I150" s="76"/>
      <c r="J150" s="76"/>
      <c r="K150" s="76"/>
      <c r="L150" s="79" t="str">
        <f aca="false">IF(B150="","",IF($G150="NON",0,IF(COUNT(H150:K150)=0,"",SUM(H150:K150))))</f>
        <v/>
      </c>
      <c r="M150" s="77" t="str">
        <f aca="false">IF(B150="","",IF($G150="NON",0,IF(COUNT(H150:K150)=0,"",IFERROR(ROUND(SUM(H150:K150)/SUMPRODUCT(ISNUMBER(H150:K150)*$H$8:$K$8)*10,2),""))))</f>
        <v/>
      </c>
      <c r="N150" s="75"/>
      <c r="O150" s="76"/>
      <c r="P150" s="76"/>
      <c r="Q150" s="76"/>
      <c r="R150" s="76"/>
      <c r="S150" s="79" t="str">
        <f aca="false">IF(B150="","",IF($N150="NON",0,IF(COUNT(O150:R150)=0,"",SUM(O150:R150))))</f>
        <v/>
      </c>
      <c r="T150" s="77" t="str">
        <f aca="false">IF(B150="","",IF($N150="NON",0,IF(COUNT(O150:R150)=0,"",IFERROR(ROUND(SUM(O150:R150)/SUMPRODUCT(ISNUMBER(O150:R150)*$O$8:$R$8)*10,2),""))))</f>
        <v/>
      </c>
      <c r="U150" s="75"/>
      <c r="V150" s="76"/>
      <c r="W150" s="76"/>
      <c r="X150" s="76"/>
      <c r="Y150" s="76"/>
      <c r="Z150" s="79" t="str">
        <f aca="false">IF(B150="","",IF($U150="NON",0,IF(COUNT(V150:Y150)=0,"",SUM(V150:Y150))))</f>
        <v/>
      </c>
      <c r="AA150" s="77" t="str">
        <f aca="false">IF(B150="","",IF($U150="NON",0,IF(COUNT(V150:Y150)=0,"",IFERROR(ROUND(SUM(V150:Y150)/SUMPRODUCT(ISNUMBER(V150:Y150)*$V$8:$Y$8)*10,2),""))))</f>
        <v/>
      </c>
      <c r="AB150" s="75"/>
      <c r="AC150" s="76"/>
      <c r="AD150" s="76"/>
      <c r="AE150" s="76"/>
      <c r="AF150" s="76"/>
      <c r="AG150" s="79" t="str">
        <f aca="false">IF(B150="","",IF($AB150="NON",0,IF(COUNT(AC150:AF150)=0,"",SUM(AC150:AF150))))</f>
        <v/>
      </c>
      <c r="AH150" s="77" t="str">
        <f aca="false">IF(B150="","",IF($AB150="NON",0,IF(COUNT(AC150:AF150)=0,"",IFERROR(ROUND(SUM(AC150:AF150)/SUMPRODUCT(ISNUMBER(AC150:AF150)*$AC$8:$AF$8)*10,2),""))))</f>
        <v/>
      </c>
      <c r="AI150" s="51" t="str">
        <f aca="false">IFERROR(MATCH("CE1-141",'REGISTRE ELEVES'!$AI$10:$AI$250,0),"")</f>
        <v/>
      </c>
    </row>
    <row r="151" customFormat="false" ht="15" hidden="false" customHeight="false" outlineLevel="0" collapsed="false">
      <c r="A151" s="73" t="str">
        <f aca="false">IF(B151="","",142)</f>
        <v/>
      </c>
      <c r="B151" s="73" t="str">
        <f aca="false">IF($AI151="","",INDEX('REGISTRE ELEVES'!$B$10:$B$250,$AI151))</f>
        <v/>
      </c>
      <c r="C151" s="74" t="str">
        <f aca="false">IF($AI151="","",INDEX('REGISTRE ELEVES'!$D$10:$D$250,$AI151))</f>
        <v/>
      </c>
      <c r="D151" s="73" t="str">
        <f aca="false">IF($AI151="","",INDEX('REGISTRE ELEVES'!$E$10:$E$250,$AI151))</f>
        <v/>
      </c>
      <c r="E151" s="73" t="str">
        <f aca="false">IF($AI151="","",INDEX('REGISTRE ELEVES'!$F$10:$F$250,$AI151))</f>
        <v/>
      </c>
      <c r="F151" s="73" t="str">
        <f aca="false">IF($AI151="","",INDEX('REGISTRE ELEVES'!$AE$10:$AE$250,$AI151))</f>
        <v/>
      </c>
      <c r="G151" s="75"/>
      <c r="H151" s="76"/>
      <c r="I151" s="76"/>
      <c r="J151" s="76"/>
      <c r="K151" s="76"/>
      <c r="L151" s="79" t="str">
        <f aca="false">IF(B151="","",IF($G151="NON",0,IF(COUNT(H151:K151)=0,"",SUM(H151:K151))))</f>
        <v/>
      </c>
      <c r="M151" s="77" t="str">
        <f aca="false">IF(B151="","",IF($G151="NON",0,IF(COUNT(H151:K151)=0,"",IFERROR(ROUND(SUM(H151:K151)/SUMPRODUCT(ISNUMBER(H151:K151)*$H$8:$K$8)*10,2),""))))</f>
        <v/>
      </c>
      <c r="N151" s="75"/>
      <c r="O151" s="76"/>
      <c r="P151" s="76"/>
      <c r="Q151" s="76"/>
      <c r="R151" s="76"/>
      <c r="S151" s="79" t="str">
        <f aca="false">IF(B151="","",IF($N151="NON",0,IF(COUNT(O151:R151)=0,"",SUM(O151:R151))))</f>
        <v/>
      </c>
      <c r="T151" s="77" t="str">
        <f aca="false">IF(B151="","",IF($N151="NON",0,IF(COUNT(O151:R151)=0,"",IFERROR(ROUND(SUM(O151:R151)/SUMPRODUCT(ISNUMBER(O151:R151)*$O$8:$R$8)*10,2),""))))</f>
        <v/>
      </c>
      <c r="U151" s="75"/>
      <c r="V151" s="76"/>
      <c r="W151" s="76"/>
      <c r="X151" s="76"/>
      <c r="Y151" s="76"/>
      <c r="Z151" s="79" t="str">
        <f aca="false">IF(B151="","",IF($U151="NON",0,IF(COUNT(V151:Y151)=0,"",SUM(V151:Y151))))</f>
        <v/>
      </c>
      <c r="AA151" s="77" t="str">
        <f aca="false">IF(B151="","",IF($U151="NON",0,IF(COUNT(V151:Y151)=0,"",IFERROR(ROUND(SUM(V151:Y151)/SUMPRODUCT(ISNUMBER(V151:Y151)*$V$8:$Y$8)*10,2),""))))</f>
        <v/>
      </c>
      <c r="AB151" s="75"/>
      <c r="AC151" s="76"/>
      <c r="AD151" s="76"/>
      <c r="AE151" s="76"/>
      <c r="AF151" s="76"/>
      <c r="AG151" s="79" t="str">
        <f aca="false">IF(B151="","",IF($AB151="NON",0,IF(COUNT(AC151:AF151)=0,"",SUM(AC151:AF151))))</f>
        <v/>
      </c>
      <c r="AH151" s="77" t="str">
        <f aca="false">IF(B151="","",IF($AB151="NON",0,IF(COUNT(AC151:AF151)=0,"",IFERROR(ROUND(SUM(AC151:AF151)/SUMPRODUCT(ISNUMBER(AC151:AF151)*$AC$8:$AF$8)*10,2),""))))</f>
        <v/>
      </c>
      <c r="AI151" s="51" t="str">
        <f aca="false">IFERROR(MATCH("CE1-142",'REGISTRE ELEVES'!$AI$10:$AI$250,0),"")</f>
        <v/>
      </c>
    </row>
    <row r="152" customFormat="false" ht="15" hidden="false" customHeight="false" outlineLevel="0" collapsed="false">
      <c r="A152" s="73" t="str">
        <f aca="false">IF(B152="","",143)</f>
        <v/>
      </c>
      <c r="B152" s="73" t="str">
        <f aca="false">IF($AI152="","",INDEX('REGISTRE ELEVES'!$B$10:$B$250,$AI152))</f>
        <v/>
      </c>
      <c r="C152" s="74" t="str">
        <f aca="false">IF($AI152="","",INDEX('REGISTRE ELEVES'!$D$10:$D$250,$AI152))</f>
        <v/>
      </c>
      <c r="D152" s="73" t="str">
        <f aca="false">IF($AI152="","",INDEX('REGISTRE ELEVES'!$E$10:$E$250,$AI152))</f>
        <v/>
      </c>
      <c r="E152" s="73" t="str">
        <f aca="false">IF($AI152="","",INDEX('REGISTRE ELEVES'!$F$10:$F$250,$AI152))</f>
        <v/>
      </c>
      <c r="F152" s="73" t="str">
        <f aca="false">IF($AI152="","",INDEX('REGISTRE ELEVES'!$AE$10:$AE$250,$AI152))</f>
        <v/>
      </c>
      <c r="G152" s="75"/>
      <c r="H152" s="76"/>
      <c r="I152" s="76"/>
      <c r="J152" s="76"/>
      <c r="K152" s="76"/>
      <c r="L152" s="79" t="str">
        <f aca="false">IF(B152="","",IF($G152="NON",0,IF(COUNT(H152:K152)=0,"",SUM(H152:K152))))</f>
        <v/>
      </c>
      <c r="M152" s="77" t="str">
        <f aca="false">IF(B152="","",IF($G152="NON",0,IF(COUNT(H152:K152)=0,"",IFERROR(ROUND(SUM(H152:K152)/SUMPRODUCT(ISNUMBER(H152:K152)*$H$8:$K$8)*10,2),""))))</f>
        <v/>
      </c>
      <c r="N152" s="75"/>
      <c r="O152" s="76"/>
      <c r="P152" s="76"/>
      <c r="Q152" s="76"/>
      <c r="R152" s="76"/>
      <c r="S152" s="79" t="str">
        <f aca="false">IF(B152="","",IF($N152="NON",0,IF(COUNT(O152:R152)=0,"",SUM(O152:R152))))</f>
        <v/>
      </c>
      <c r="T152" s="77" t="str">
        <f aca="false">IF(B152="","",IF($N152="NON",0,IF(COUNT(O152:R152)=0,"",IFERROR(ROUND(SUM(O152:R152)/SUMPRODUCT(ISNUMBER(O152:R152)*$O$8:$R$8)*10,2),""))))</f>
        <v/>
      </c>
      <c r="U152" s="75"/>
      <c r="V152" s="76"/>
      <c r="W152" s="76"/>
      <c r="X152" s="76"/>
      <c r="Y152" s="76"/>
      <c r="Z152" s="79" t="str">
        <f aca="false">IF(B152="","",IF($U152="NON",0,IF(COUNT(V152:Y152)=0,"",SUM(V152:Y152))))</f>
        <v/>
      </c>
      <c r="AA152" s="77" t="str">
        <f aca="false">IF(B152="","",IF($U152="NON",0,IF(COUNT(V152:Y152)=0,"",IFERROR(ROUND(SUM(V152:Y152)/SUMPRODUCT(ISNUMBER(V152:Y152)*$V$8:$Y$8)*10,2),""))))</f>
        <v/>
      </c>
      <c r="AB152" s="75"/>
      <c r="AC152" s="76"/>
      <c r="AD152" s="76"/>
      <c r="AE152" s="76"/>
      <c r="AF152" s="76"/>
      <c r="AG152" s="79" t="str">
        <f aca="false">IF(B152="","",IF($AB152="NON",0,IF(COUNT(AC152:AF152)=0,"",SUM(AC152:AF152))))</f>
        <v/>
      </c>
      <c r="AH152" s="77" t="str">
        <f aca="false">IF(B152="","",IF($AB152="NON",0,IF(COUNT(AC152:AF152)=0,"",IFERROR(ROUND(SUM(AC152:AF152)/SUMPRODUCT(ISNUMBER(AC152:AF152)*$AC$8:$AF$8)*10,2),""))))</f>
        <v/>
      </c>
      <c r="AI152" s="51" t="str">
        <f aca="false">IFERROR(MATCH("CE1-143",'REGISTRE ELEVES'!$AI$10:$AI$250,0),"")</f>
        <v/>
      </c>
    </row>
    <row r="153" customFormat="false" ht="15" hidden="false" customHeight="false" outlineLevel="0" collapsed="false">
      <c r="A153" s="73" t="str">
        <f aca="false">IF(B153="","",144)</f>
        <v/>
      </c>
      <c r="B153" s="73" t="str">
        <f aca="false">IF($AI153="","",INDEX('REGISTRE ELEVES'!$B$10:$B$250,$AI153))</f>
        <v/>
      </c>
      <c r="C153" s="74" t="str">
        <f aca="false">IF($AI153="","",INDEX('REGISTRE ELEVES'!$D$10:$D$250,$AI153))</f>
        <v/>
      </c>
      <c r="D153" s="73" t="str">
        <f aca="false">IF($AI153="","",INDEX('REGISTRE ELEVES'!$E$10:$E$250,$AI153))</f>
        <v/>
      </c>
      <c r="E153" s="73" t="str">
        <f aca="false">IF($AI153="","",INDEX('REGISTRE ELEVES'!$F$10:$F$250,$AI153))</f>
        <v/>
      </c>
      <c r="F153" s="73" t="str">
        <f aca="false">IF($AI153="","",INDEX('REGISTRE ELEVES'!$AE$10:$AE$250,$AI153))</f>
        <v/>
      </c>
      <c r="G153" s="75"/>
      <c r="H153" s="76"/>
      <c r="I153" s="76"/>
      <c r="J153" s="76"/>
      <c r="K153" s="76"/>
      <c r="L153" s="79" t="str">
        <f aca="false">IF(B153="","",IF($G153="NON",0,IF(COUNT(H153:K153)=0,"",SUM(H153:K153))))</f>
        <v/>
      </c>
      <c r="M153" s="77" t="str">
        <f aca="false">IF(B153="","",IF($G153="NON",0,IF(COUNT(H153:K153)=0,"",IFERROR(ROUND(SUM(H153:K153)/SUMPRODUCT(ISNUMBER(H153:K153)*$H$8:$K$8)*10,2),""))))</f>
        <v/>
      </c>
      <c r="N153" s="75"/>
      <c r="O153" s="76"/>
      <c r="P153" s="76"/>
      <c r="Q153" s="76"/>
      <c r="R153" s="76"/>
      <c r="S153" s="79" t="str">
        <f aca="false">IF(B153="","",IF($N153="NON",0,IF(COUNT(O153:R153)=0,"",SUM(O153:R153))))</f>
        <v/>
      </c>
      <c r="T153" s="77" t="str">
        <f aca="false">IF(B153="","",IF($N153="NON",0,IF(COUNT(O153:R153)=0,"",IFERROR(ROUND(SUM(O153:R153)/SUMPRODUCT(ISNUMBER(O153:R153)*$O$8:$R$8)*10,2),""))))</f>
        <v/>
      </c>
      <c r="U153" s="75"/>
      <c r="V153" s="76"/>
      <c r="W153" s="76"/>
      <c r="X153" s="76"/>
      <c r="Y153" s="76"/>
      <c r="Z153" s="79" t="str">
        <f aca="false">IF(B153="","",IF($U153="NON",0,IF(COUNT(V153:Y153)=0,"",SUM(V153:Y153))))</f>
        <v/>
      </c>
      <c r="AA153" s="77" t="str">
        <f aca="false">IF(B153="","",IF($U153="NON",0,IF(COUNT(V153:Y153)=0,"",IFERROR(ROUND(SUM(V153:Y153)/SUMPRODUCT(ISNUMBER(V153:Y153)*$V$8:$Y$8)*10,2),""))))</f>
        <v/>
      </c>
      <c r="AB153" s="75"/>
      <c r="AC153" s="76"/>
      <c r="AD153" s="76"/>
      <c r="AE153" s="76"/>
      <c r="AF153" s="76"/>
      <c r="AG153" s="79" t="str">
        <f aca="false">IF(B153="","",IF($AB153="NON",0,IF(COUNT(AC153:AF153)=0,"",SUM(AC153:AF153))))</f>
        <v/>
      </c>
      <c r="AH153" s="77" t="str">
        <f aca="false">IF(B153="","",IF($AB153="NON",0,IF(COUNT(AC153:AF153)=0,"",IFERROR(ROUND(SUM(AC153:AF153)/SUMPRODUCT(ISNUMBER(AC153:AF153)*$AC$8:$AF$8)*10,2),""))))</f>
        <v/>
      </c>
      <c r="AI153" s="51" t="str">
        <f aca="false">IFERROR(MATCH("CE1-144",'REGISTRE ELEVES'!$AI$10:$AI$250,0),"")</f>
        <v/>
      </c>
    </row>
    <row r="154" customFormat="false" ht="15" hidden="false" customHeight="false" outlineLevel="0" collapsed="false">
      <c r="A154" s="73" t="str">
        <f aca="false">IF(B154="","",145)</f>
        <v/>
      </c>
      <c r="B154" s="73" t="str">
        <f aca="false">IF($AI154="","",INDEX('REGISTRE ELEVES'!$B$10:$B$250,$AI154))</f>
        <v/>
      </c>
      <c r="C154" s="74" t="str">
        <f aca="false">IF($AI154="","",INDEX('REGISTRE ELEVES'!$D$10:$D$250,$AI154))</f>
        <v/>
      </c>
      <c r="D154" s="73" t="str">
        <f aca="false">IF($AI154="","",INDEX('REGISTRE ELEVES'!$E$10:$E$250,$AI154))</f>
        <v/>
      </c>
      <c r="E154" s="73" t="str">
        <f aca="false">IF($AI154="","",INDEX('REGISTRE ELEVES'!$F$10:$F$250,$AI154))</f>
        <v/>
      </c>
      <c r="F154" s="73" t="str">
        <f aca="false">IF($AI154="","",INDEX('REGISTRE ELEVES'!$AE$10:$AE$250,$AI154))</f>
        <v/>
      </c>
      <c r="G154" s="75"/>
      <c r="H154" s="76"/>
      <c r="I154" s="76"/>
      <c r="J154" s="76"/>
      <c r="K154" s="76"/>
      <c r="L154" s="79" t="str">
        <f aca="false">IF(B154="","",IF($G154="NON",0,IF(COUNT(H154:K154)=0,"",SUM(H154:K154))))</f>
        <v/>
      </c>
      <c r="M154" s="77" t="str">
        <f aca="false">IF(B154="","",IF($G154="NON",0,IF(COUNT(H154:K154)=0,"",IFERROR(ROUND(SUM(H154:K154)/SUMPRODUCT(ISNUMBER(H154:K154)*$H$8:$K$8)*10,2),""))))</f>
        <v/>
      </c>
      <c r="N154" s="75"/>
      <c r="O154" s="76"/>
      <c r="P154" s="76"/>
      <c r="Q154" s="76"/>
      <c r="R154" s="76"/>
      <c r="S154" s="79" t="str">
        <f aca="false">IF(B154="","",IF($N154="NON",0,IF(COUNT(O154:R154)=0,"",SUM(O154:R154))))</f>
        <v/>
      </c>
      <c r="T154" s="77" t="str">
        <f aca="false">IF(B154="","",IF($N154="NON",0,IF(COUNT(O154:R154)=0,"",IFERROR(ROUND(SUM(O154:R154)/SUMPRODUCT(ISNUMBER(O154:R154)*$O$8:$R$8)*10,2),""))))</f>
        <v/>
      </c>
      <c r="U154" s="75"/>
      <c r="V154" s="76"/>
      <c r="W154" s="76"/>
      <c r="X154" s="76"/>
      <c r="Y154" s="76"/>
      <c r="Z154" s="79" t="str">
        <f aca="false">IF(B154="","",IF($U154="NON",0,IF(COUNT(V154:Y154)=0,"",SUM(V154:Y154))))</f>
        <v/>
      </c>
      <c r="AA154" s="77" t="str">
        <f aca="false">IF(B154="","",IF($U154="NON",0,IF(COUNT(V154:Y154)=0,"",IFERROR(ROUND(SUM(V154:Y154)/SUMPRODUCT(ISNUMBER(V154:Y154)*$V$8:$Y$8)*10,2),""))))</f>
        <v/>
      </c>
      <c r="AB154" s="75"/>
      <c r="AC154" s="76"/>
      <c r="AD154" s="76"/>
      <c r="AE154" s="76"/>
      <c r="AF154" s="76"/>
      <c r="AG154" s="79" t="str">
        <f aca="false">IF(B154="","",IF($AB154="NON",0,IF(COUNT(AC154:AF154)=0,"",SUM(AC154:AF154))))</f>
        <v/>
      </c>
      <c r="AH154" s="77" t="str">
        <f aca="false">IF(B154="","",IF($AB154="NON",0,IF(COUNT(AC154:AF154)=0,"",IFERROR(ROUND(SUM(AC154:AF154)/SUMPRODUCT(ISNUMBER(AC154:AF154)*$AC$8:$AF$8)*10,2),""))))</f>
        <v/>
      </c>
      <c r="AI154" s="51" t="str">
        <f aca="false">IFERROR(MATCH("CE1-145",'REGISTRE ELEVES'!$AI$10:$AI$250,0),"")</f>
        <v/>
      </c>
    </row>
    <row r="155" customFormat="false" ht="15" hidden="false" customHeight="false" outlineLevel="0" collapsed="false">
      <c r="A155" s="73" t="str">
        <f aca="false">IF(B155="","",146)</f>
        <v/>
      </c>
      <c r="B155" s="73" t="str">
        <f aca="false">IF($AI155="","",INDEX('REGISTRE ELEVES'!$B$10:$B$250,$AI155))</f>
        <v/>
      </c>
      <c r="C155" s="74" t="str">
        <f aca="false">IF($AI155="","",INDEX('REGISTRE ELEVES'!$D$10:$D$250,$AI155))</f>
        <v/>
      </c>
      <c r="D155" s="73" t="str">
        <f aca="false">IF($AI155="","",INDEX('REGISTRE ELEVES'!$E$10:$E$250,$AI155))</f>
        <v/>
      </c>
      <c r="E155" s="73" t="str">
        <f aca="false">IF($AI155="","",INDEX('REGISTRE ELEVES'!$F$10:$F$250,$AI155))</f>
        <v/>
      </c>
      <c r="F155" s="73" t="str">
        <f aca="false">IF($AI155="","",INDEX('REGISTRE ELEVES'!$AE$10:$AE$250,$AI155))</f>
        <v/>
      </c>
      <c r="G155" s="75"/>
      <c r="H155" s="76"/>
      <c r="I155" s="76"/>
      <c r="J155" s="76"/>
      <c r="K155" s="76"/>
      <c r="L155" s="79" t="str">
        <f aca="false">IF(B155="","",IF($G155="NON",0,IF(COUNT(H155:K155)=0,"",SUM(H155:K155))))</f>
        <v/>
      </c>
      <c r="M155" s="77" t="str">
        <f aca="false">IF(B155="","",IF($G155="NON",0,IF(COUNT(H155:K155)=0,"",IFERROR(ROUND(SUM(H155:K155)/SUMPRODUCT(ISNUMBER(H155:K155)*$H$8:$K$8)*10,2),""))))</f>
        <v/>
      </c>
      <c r="N155" s="75"/>
      <c r="O155" s="76"/>
      <c r="P155" s="76"/>
      <c r="Q155" s="76"/>
      <c r="R155" s="76"/>
      <c r="S155" s="79" t="str">
        <f aca="false">IF(B155="","",IF($N155="NON",0,IF(COUNT(O155:R155)=0,"",SUM(O155:R155))))</f>
        <v/>
      </c>
      <c r="T155" s="77" t="str">
        <f aca="false">IF(B155="","",IF($N155="NON",0,IF(COUNT(O155:R155)=0,"",IFERROR(ROUND(SUM(O155:R155)/SUMPRODUCT(ISNUMBER(O155:R155)*$O$8:$R$8)*10,2),""))))</f>
        <v/>
      </c>
      <c r="U155" s="75"/>
      <c r="V155" s="76"/>
      <c r="W155" s="76"/>
      <c r="X155" s="76"/>
      <c r="Y155" s="76"/>
      <c r="Z155" s="79" t="str">
        <f aca="false">IF(B155="","",IF($U155="NON",0,IF(COUNT(V155:Y155)=0,"",SUM(V155:Y155))))</f>
        <v/>
      </c>
      <c r="AA155" s="77" t="str">
        <f aca="false">IF(B155="","",IF($U155="NON",0,IF(COUNT(V155:Y155)=0,"",IFERROR(ROUND(SUM(V155:Y155)/SUMPRODUCT(ISNUMBER(V155:Y155)*$V$8:$Y$8)*10,2),""))))</f>
        <v/>
      </c>
      <c r="AB155" s="75"/>
      <c r="AC155" s="76"/>
      <c r="AD155" s="76"/>
      <c r="AE155" s="76"/>
      <c r="AF155" s="76"/>
      <c r="AG155" s="79" t="str">
        <f aca="false">IF(B155="","",IF($AB155="NON",0,IF(COUNT(AC155:AF155)=0,"",SUM(AC155:AF155))))</f>
        <v/>
      </c>
      <c r="AH155" s="77" t="str">
        <f aca="false">IF(B155="","",IF($AB155="NON",0,IF(COUNT(AC155:AF155)=0,"",IFERROR(ROUND(SUM(AC155:AF155)/SUMPRODUCT(ISNUMBER(AC155:AF155)*$AC$8:$AF$8)*10,2),""))))</f>
        <v/>
      </c>
      <c r="AI155" s="51" t="str">
        <f aca="false">IFERROR(MATCH("CE1-146",'REGISTRE ELEVES'!$AI$10:$AI$250,0),"")</f>
        <v/>
      </c>
    </row>
    <row r="156" customFormat="false" ht="15" hidden="false" customHeight="false" outlineLevel="0" collapsed="false">
      <c r="A156" s="73" t="str">
        <f aca="false">IF(B156="","",147)</f>
        <v/>
      </c>
      <c r="B156" s="73" t="str">
        <f aca="false">IF($AI156="","",INDEX('REGISTRE ELEVES'!$B$10:$B$250,$AI156))</f>
        <v/>
      </c>
      <c r="C156" s="74" t="str">
        <f aca="false">IF($AI156="","",INDEX('REGISTRE ELEVES'!$D$10:$D$250,$AI156))</f>
        <v/>
      </c>
      <c r="D156" s="73" t="str">
        <f aca="false">IF($AI156="","",INDEX('REGISTRE ELEVES'!$E$10:$E$250,$AI156))</f>
        <v/>
      </c>
      <c r="E156" s="73" t="str">
        <f aca="false">IF($AI156="","",INDEX('REGISTRE ELEVES'!$F$10:$F$250,$AI156))</f>
        <v/>
      </c>
      <c r="F156" s="73" t="str">
        <f aca="false">IF($AI156="","",INDEX('REGISTRE ELEVES'!$AE$10:$AE$250,$AI156))</f>
        <v/>
      </c>
      <c r="G156" s="75"/>
      <c r="H156" s="76"/>
      <c r="I156" s="76"/>
      <c r="J156" s="76"/>
      <c r="K156" s="76"/>
      <c r="L156" s="79" t="str">
        <f aca="false">IF(B156="","",IF($G156="NON",0,IF(COUNT(H156:K156)=0,"",SUM(H156:K156))))</f>
        <v/>
      </c>
      <c r="M156" s="77" t="str">
        <f aca="false">IF(B156="","",IF($G156="NON",0,IF(COUNT(H156:K156)=0,"",IFERROR(ROUND(SUM(H156:K156)/SUMPRODUCT(ISNUMBER(H156:K156)*$H$8:$K$8)*10,2),""))))</f>
        <v/>
      </c>
      <c r="N156" s="75"/>
      <c r="O156" s="76"/>
      <c r="P156" s="76"/>
      <c r="Q156" s="76"/>
      <c r="R156" s="76"/>
      <c r="S156" s="79" t="str">
        <f aca="false">IF(B156="","",IF($N156="NON",0,IF(COUNT(O156:R156)=0,"",SUM(O156:R156))))</f>
        <v/>
      </c>
      <c r="T156" s="77" t="str">
        <f aca="false">IF(B156="","",IF($N156="NON",0,IF(COUNT(O156:R156)=0,"",IFERROR(ROUND(SUM(O156:R156)/SUMPRODUCT(ISNUMBER(O156:R156)*$O$8:$R$8)*10,2),""))))</f>
        <v/>
      </c>
      <c r="U156" s="75"/>
      <c r="V156" s="76"/>
      <c r="W156" s="76"/>
      <c r="X156" s="76"/>
      <c r="Y156" s="76"/>
      <c r="Z156" s="79" t="str">
        <f aca="false">IF(B156="","",IF($U156="NON",0,IF(COUNT(V156:Y156)=0,"",SUM(V156:Y156))))</f>
        <v/>
      </c>
      <c r="AA156" s="77" t="str">
        <f aca="false">IF(B156="","",IF($U156="NON",0,IF(COUNT(V156:Y156)=0,"",IFERROR(ROUND(SUM(V156:Y156)/SUMPRODUCT(ISNUMBER(V156:Y156)*$V$8:$Y$8)*10,2),""))))</f>
        <v/>
      </c>
      <c r="AB156" s="75"/>
      <c r="AC156" s="76"/>
      <c r="AD156" s="76"/>
      <c r="AE156" s="76"/>
      <c r="AF156" s="76"/>
      <c r="AG156" s="79" t="str">
        <f aca="false">IF(B156="","",IF($AB156="NON",0,IF(COUNT(AC156:AF156)=0,"",SUM(AC156:AF156))))</f>
        <v/>
      </c>
      <c r="AH156" s="77" t="str">
        <f aca="false">IF(B156="","",IF($AB156="NON",0,IF(COUNT(AC156:AF156)=0,"",IFERROR(ROUND(SUM(AC156:AF156)/SUMPRODUCT(ISNUMBER(AC156:AF156)*$AC$8:$AF$8)*10,2),""))))</f>
        <v/>
      </c>
      <c r="AI156" s="51" t="str">
        <f aca="false">IFERROR(MATCH("CE1-147",'REGISTRE ELEVES'!$AI$10:$AI$250,0),"")</f>
        <v/>
      </c>
    </row>
    <row r="157" customFormat="false" ht="15" hidden="false" customHeight="false" outlineLevel="0" collapsed="false">
      <c r="A157" s="73" t="str">
        <f aca="false">IF(B157="","",148)</f>
        <v/>
      </c>
      <c r="B157" s="73" t="str">
        <f aca="false">IF($AI157="","",INDEX('REGISTRE ELEVES'!$B$10:$B$250,$AI157))</f>
        <v/>
      </c>
      <c r="C157" s="74" t="str">
        <f aca="false">IF($AI157="","",INDEX('REGISTRE ELEVES'!$D$10:$D$250,$AI157))</f>
        <v/>
      </c>
      <c r="D157" s="73" t="str">
        <f aca="false">IF($AI157="","",INDEX('REGISTRE ELEVES'!$E$10:$E$250,$AI157))</f>
        <v/>
      </c>
      <c r="E157" s="73" t="str">
        <f aca="false">IF($AI157="","",INDEX('REGISTRE ELEVES'!$F$10:$F$250,$AI157))</f>
        <v/>
      </c>
      <c r="F157" s="73" t="str">
        <f aca="false">IF($AI157="","",INDEX('REGISTRE ELEVES'!$AE$10:$AE$250,$AI157))</f>
        <v/>
      </c>
      <c r="G157" s="75"/>
      <c r="H157" s="76"/>
      <c r="I157" s="76"/>
      <c r="J157" s="76"/>
      <c r="K157" s="76"/>
      <c r="L157" s="79" t="str">
        <f aca="false">IF(B157="","",IF($G157="NON",0,IF(COUNT(H157:K157)=0,"",SUM(H157:K157))))</f>
        <v/>
      </c>
      <c r="M157" s="77" t="str">
        <f aca="false">IF(B157="","",IF($G157="NON",0,IF(COUNT(H157:K157)=0,"",IFERROR(ROUND(SUM(H157:K157)/SUMPRODUCT(ISNUMBER(H157:K157)*$H$8:$K$8)*10,2),""))))</f>
        <v/>
      </c>
      <c r="N157" s="75"/>
      <c r="O157" s="76"/>
      <c r="P157" s="76"/>
      <c r="Q157" s="76"/>
      <c r="R157" s="76"/>
      <c r="S157" s="79" t="str">
        <f aca="false">IF(B157="","",IF($N157="NON",0,IF(COUNT(O157:R157)=0,"",SUM(O157:R157))))</f>
        <v/>
      </c>
      <c r="T157" s="77" t="str">
        <f aca="false">IF(B157="","",IF($N157="NON",0,IF(COUNT(O157:R157)=0,"",IFERROR(ROUND(SUM(O157:R157)/SUMPRODUCT(ISNUMBER(O157:R157)*$O$8:$R$8)*10,2),""))))</f>
        <v/>
      </c>
      <c r="U157" s="75"/>
      <c r="V157" s="76"/>
      <c r="W157" s="76"/>
      <c r="X157" s="76"/>
      <c r="Y157" s="76"/>
      <c r="Z157" s="79" t="str">
        <f aca="false">IF(B157="","",IF($U157="NON",0,IF(COUNT(V157:Y157)=0,"",SUM(V157:Y157))))</f>
        <v/>
      </c>
      <c r="AA157" s="77" t="str">
        <f aca="false">IF(B157="","",IF($U157="NON",0,IF(COUNT(V157:Y157)=0,"",IFERROR(ROUND(SUM(V157:Y157)/SUMPRODUCT(ISNUMBER(V157:Y157)*$V$8:$Y$8)*10,2),""))))</f>
        <v/>
      </c>
      <c r="AB157" s="75"/>
      <c r="AC157" s="76"/>
      <c r="AD157" s="76"/>
      <c r="AE157" s="76"/>
      <c r="AF157" s="76"/>
      <c r="AG157" s="79" t="str">
        <f aca="false">IF(B157="","",IF($AB157="NON",0,IF(COUNT(AC157:AF157)=0,"",SUM(AC157:AF157))))</f>
        <v/>
      </c>
      <c r="AH157" s="77" t="str">
        <f aca="false">IF(B157="","",IF($AB157="NON",0,IF(COUNT(AC157:AF157)=0,"",IFERROR(ROUND(SUM(AC157:AF157)/SUMPRODUCT(ISNUMBER(AC157:AF157)*$AC$8:$AF$8)*10,2),""))))</f>
        <v/>
      </c>
      <c r="AI157" s="51" t="str">
        <f aca="false">IFERROR(MATCH("CE1-148",'REGISTRE ELEVES'!$AI$10:$AI$250,0),"")</f>
        <v/>
      </c>
    </row>
    <row r="158" customFormat="false" ht="15" hidden="false" customHeight="false" outlineLevel="0" collapsed="false">
      <c r="A158" s="73" t="str">
        <f aca="false">IF(B158="","",149)</f>
        <v/>
      </c>
      <c r="B158" s="73" t="str">
        <f aca="false">IF($AI158="","",INDEX('REGISTRE ELEVES'!$B$10:$B$250,$AI158))</f>
        <v/>
      </c>
      <c r="C158" s="74" t="str">
        <f aca="false">IF($AI158="","",INDEX('REGISTRE ELEVES'!$D$10:$D$250,$AI158))</f>
        <v/>
      </c>
      <c r="D158" s="73" t="str">
        <f aca="false">IF($AI158="","",INDEX('REGISTRE ELEVES'!$E$10:$E$250,$AI158))</f>
        <v/>
      </c>
      <c r="E158" s="73" t="str">
        <f aca="false">IF($AI158="","",INDEX('REGISTRE ELEVES'!$F$10:$F$250,$AI158))</f>
        <v/>
      </c>
      <c r="F158" s="73" t="str">
        <f aca="false">IF($AI158="","",INDEX('REGISTRE ELEVES'!$AE$10:$AE$250,$AI158))</f>
        <v/>
      </c>
      <c r="G158" s="75"/>
      <c r="H158" s="76"/>
      <c r="I158" s="76"/>
      <c r="J158" s="76"/>
      <c r="K158" s="76"/>
      <c r="L158" s="79" t="str">
        <f aca="false">IF(B158="","",IF($G158="NON",0,IF(COUNT(H158:K158)=0,"",SUM(H158:K158))))</f>
        <v/>
      </c>
      <c r="M158" s="77" t="str">
        <f aca="false">IF(B158="","",IF($G158="NON",0,IF(COUNT(H158:K158)=0,"",IFERROR(ROUND(SUM(H158:K158)/SUMPRODUCT(ISNUMBER(H158:K158)*$H$8:$K$8)*10,2),""))))</f>
        <v/>
      </c>
      <c r="N158" s="75"/>
      <c r="O158" s="76"/>
      <c r="P158" s="76"/>
      <c r="Q158" s="76"/>
      <c r="R158" s="76"/>
      <c r="S158" s="79" t="str">
        <f aca="false">IF(B158="","",IF($N158="NON",0,IF(COUNT(O158:R158)=0,"",SUM(O158:R158))))</f>
        <v/>
      </c>
      <c r="T158" s="77" t="str">
        <f aca="false">IF(B158="","",IF($N158="NON",0,IF(COUNT(O158:R158)=0,"",IFERROR(ROUND(SUM(O158:R158)/SUMPRODUCT(ISNUMBER(O158:R158)*$O$8:$R$8)*10,2),""))))</f>
        <v/>
      </c>
      <c r="U158" s="75"/>
      <c r="V158" s="76"/>
      <c r="W158" s="76"/>
      <c r="X158" s="76"/>
      <c r="Y158" s="76"/>
      <c r="Z158" s="79" t="str">
        <f aca="false">IF(B158="","",IF($U158="NON",0,IF(COUNT(V158:Y158)=0,"",SUM(V158:Y158))))</f>
        <v/>
      </c>
      <c r="AA158" s="77" t="str">
        <f aca="false">IF(B158="","",IF($U158="NON",0,IF(COUNT(V158:Y158)=0,"",IFERROR(ROUND(SUM(V158:Y158)/SUMPRODUCT(ISNUMBER(V158:Y158)*$V$8:$Y$8)*10,2),""))))</f>
        <v/>
      </c>
      <c r="AB158" s="75"/>
      <c r="AC158" s="76"/>
      <c r="AD158" s="76"/>
      <c r="AE158" s="76"/>
      <c r="AF158" s="76"/>
      <c r="AG158" s="79" t="str">
        <f aca="false">IF(B158="","",IF($AB158="NON",0,IF(COUNT(AC158:AF158)=0,"",SUM(AC158:AF158))))</f>
        <v/>
      </c>
      <c r="AH158" s="77" t="str">
        <f aca="false">IF(B158="","",IF($AB158="NON",0,IF(COUNT(AC158:AF158)=0,"",IFERROR(ROUND(SUM(AC158:AF158)/SUMPRODUCT(ISNUMBER(AC158:AF158)*$AC$8:$AF$8)*10,2),""))))</f>
        <v/>
      </c>
      <c r="AI158" s="51" t="str">
        <f aca="false">IFERROR(MATCH("CE1-149",'REGISTRE ELEVES'!$AI$10:$AI$250,0),"")</f>
        <v/>
      </c>
    </row>
    <row r="159" customFormat="false" ht="15" hidden="false" customHeight="false" outlineLevel="0" collapsed="false">
      <c r="A159" s="73" t="str">
        <f aca="false">IF(B159="","",150)</f>
        <v/>
      </c>
      <c r="B159" s="73" t="str">
        <f aca="false">IF($AI159="","",INDEX('REGISTRE ELEVES'!$B$10:$B$250,$AI159))</f>
        <v/>
      </c>
      <c r="C159" s="74" t="str">
        <f aca="false">IF($AI159="","",INDEX('REGISTRE ELEVES'!$D$10:$D$250,$AI159))</f>
        <v/>
      </c>
      <c r="D159" s="73" t="str">
        <f aca="false">IF($AI159="","",INDEX('REGISTRE ELEVES'!$E$10:$E$250,$AI159))</f>
        <v/>
      </c>
      <c r="E159" s="73" t="str">
        <f aca="false">IF($AI159="","",INDEX('REGISTRE ELEVES'!$F$10:$F$250,$AI159))</f>
        <v/>
      </c>
      <c r="F159" s="73" t="str">
        <f aca="false">IF($AI159="","",INDEX('REGISTRE ELEVES'!$AE$10:$AE$250,$AI159))</f>
        <v/>
      </c>
      <c r="G159" s="75"/>
      <c r="H159" s="76"/>
      <c r="I159" s="76"/>
      <c r="J159" s="76"/>
      <c r="K159" s="76"/>
      <c r="L159" s="79" t="str">
        <f aca="false">IF(B159="","",IF($G159="NON",0,IF(COUNT(H159:K159)=0,"",SUM(H159:K159))))</f>
        <v/>
      </c>
      <c r="M159" s="77" t="str">
        <f aca="false">IF(B159="","",IF($G159="NON",0,IF(COUNT(H159:K159)=0,"",IFERROR(ROUND(SUM(H159:K159)/SUMPRODUCT(ISNUMBER(H159:K159)*$H$8:$K$8)*10,2),""))))</f>
        <v/>
      </c>
      <c r="N159" s="75"/>
      <c r="O159" s="76"/>
      <c r="P159" s="76"/>
      <c r="Q159" s="76"/>
      <c r="R159" s="76"/>
      <c r="S159" s="79" t="str">
        <f aca="false">IF(B159="","",IF($N159="NON",0,IF(COUNT(O159:R159)=0,"",SUM(O159:R159))))</f>
        <v/>
      </c>
      <c r="T159" s="77" t="str">
        <f aca="false">IF(B159="","",IF($N159="NON",0,IF(COUNT(O159:R159)=0,"",IFERROR(ROUND(SUM(O159:R159)/SUMPRODUCT(ISNUMBER(O159:R159)*$O$8:$R$8)*10,2),""))))</f>
        <v/>
      </c>
      <c r="U159" s="75"/>
      <c r="V159" s="76"/>
      <c r="W159" s="76"/>
      <c r="X159" s="76"/>
      <c r="Y159" s="76"/>
      <c r="Z159" s="79" t="str">
        <f aca="false">IF(B159="","",IF($U159="NON",0,IF(COUNT(V159:Y159)=0,"",SUM(V159:Y159))))</f>
        <v/>
      </c>
      <c r="AA159" s="77" t="str">
        <f aca="false">IF(B159="","",IF($U159="NON",0,IF(COUNT(V159:Y159)=0,"",IFERROR(ROUND(SUM(V159:Y159)/SUMPRODUCT(ISNUMBER(V159:Y159)*$V$8:$Y$8)*10,2),""))))</f>
        <v/>
      </c>
      <c r="AB159" s="75"/>
      <c r="AC159" s="76"/>
      <c r="AD159" s="76"/>
      <c r="AE159" s="76"/>
      <c r="AF159" s="76"/>
      <c r="AG159" s="79" t="str">
        <f aca="false">IF(B159="","",IF($AB159="NON",0,IF(COUNT(AC159:AF159)=0,"",SUM(AC159:AF159))))</f>
        <v/>
      </c>
      <c r="AH159" s="77" t="str">
        <f aca="false">IF(B159="","",IF($AB159="NON",0,IF(COUNT(AC159:AF159)=0,"",IFERROR(ROUND(SUM(AC159:AF159)/SUMPRODUCT(ISNUMBER(AC159:AF159)*$AC$8:$AF$8)*10,2),""))))</f>
        <v/>
      </c>
      <c r="AI159" s="51" t="str">
        <f aca="false">IFERROR(MATCH("CE1-150",'REGISTRE ELEVES'!$AI$10:$AI$250,0),"")</f>
        <v/>
      </c>
    </row>
    <row r="160" customFormat="false" ht="15" hidden="false" customHeight="false" outlineLevel="0" collapsed="false">
      <c r="A160" s="73" t="str">
        <f aca="false">IF(B160="","",151)</f>
        <v/>
      </c>
      <c r="B160" s="73" t="str">
        <f aca="false">IF($AI160="","",INDEX('REGISTRE ELEVES'!$B$10:$B$250,$AI160))</f>
        <v/>
      </c>
      <c r="C160" s="74" t="str">
        <f aca="false">IF($AI160="","",INDEX('REGISTRE ELEVES'!$D$10:$D$250,$AI160))</f>
        <v/>
      </c>
      <c r="D160" s="73" t="str">
        <f aca="false">IF($AI160="","",INDEX('REGISTRE ELEVES'!$E$10:$E$250,$AI160))</f>
        <v/>
      </c>
      <c r="E160" s="73" t="str">
        <f aca="false">IF($AI160="","",INDEX('REGISTRE ELEVES'!$F$10:$F$250,$AI160))</f>
        <v/>
      </c>
      <c r="F160" s="73" t="str">
        <f aca="false">IF($AI160="","",INDEX('REGISTRE ELEVES'!$AE$10:$AE$250,$AI160))</f>
        <v/>
      </c>
      <c r="G160" s="75"/>
      <c r="H160" s="76"/>
      <c r="I160" s="76"/>
      <c r="J160" s="76"/>
      <c r="K160" s="76"/>
      <c r="L160" s="79" t="str">
        <f aca="false">IF(B160="","",IF($G160="NON",0,IF(COUNT(H160:K160)=0,"",SUM(H160:K160))))</f>
        <v/>
      </c>
      <c r="M160" s="77" t="str">
        <f aca="false">IF(B160="","",IF($G160="NON",0,IF(COUNT(H160:K160)=0,"",IFERROR(ROUND(SUM(H160:K160)/SUMPRODUCT(ISNUMBER(H160:K160)*$H$8:$K$8)*10,2),""))))</f>
        <v/>
      </c>
      <c r="N160" s="75"/>
      <c r="O160" s="76"/>
      <c r="P160" s="76"/>
      <c r="Q160" s="76"/>
      <c r="R160" s="76"/>
      <c r="S160" s="79" t="str">
        <f aca="false">IF(B160="","",IF($N160="NON",0,IF(COUNT(O160:R160)=0,"",SUM(O160:R160))))</f>
        <v/>
      </c>
      <c r="T160" s="77" t="str">
        <f aca="false">IF(B160="","",IF($N160="NON",0,IF(COUNT(O160:R160)=0,"",IFERROR(ROUND(SUM(O160:R160)/SUMPRODUCT(ISNUMBER(O160:R160)*$O$8:$R$8)*10,2),""))))</f>
        <v/>
      </c>
      <c r="U160" s="75"/>
      <c r="V160" s="76"/>
      <c r="W160" s="76"/>
      <c r="X160" s="76"/>
      <c r="Y160" s="76"/>
      <c r="Z160" s="79" t="str">
        <f aca="false">IF(B160="","",IF($U160="NON",0,IF(COUNT(V160:Y160)=0,"",SUM(V160:Y160))))</f>
        <v/>
      </c>
      <c r="AA160" s="77" t="str">
        <f aca="false">IF(B160="","",IF($U160="NON",0,IF(COUNT(V160:Y160)=0,"",IFERROR(ROUND(SUM(V160:Y160)/SUMPRODUCT(ISNUMBER(V160:Y160)*$V$8:$Y$8)*10,2),""))))</f>
        <v/>
      </c>
      <c r="AB160" s="75"/>
      <c r="AC160" s="76"/>
      <c r="AD160" s="76"/>
      <c r="AE160" s="76"/>
      <c r="AF160" s="76"/>
      <c r="AG160" s="79" t="str">
        <f aca="false">IF(B160="","",IF($AB160="NON",0,IF(COUNT(AC160:AF160)=0,"",SUM(AC160:AF160))))</f>
        <v/>
      </c>
      <c r="AH160" s="77" t="str">
        <f aca="false">IF(B160="","",IF($AB160="NON",0,IF(COUNT(AC160:AF160)=0,"",IFERROR(ROUND(SUM(AC160:AF160)/SUMPRODUCT(ISNUMBER(AC160:AF160)*$AC$8:$AF$8)*10,2),""))))</f>
        <v/>
      </c>
      <c r="AI160" s="51" t="str">
        <f aca="false">IFERROR(MATCH("CE1-151",'REGISTRE ELEVES'!$AI$10:$AI$250,0),"")</f>
        <v/>
      </c>
    </row>
    <row r="161" customFormat="false" ht="15" hidden="false" customHeight="false" outlineLevel="0" collapsed="false">
      <c r="A161" s="73" t="str">
        <f aca="false">IF(B161="","",152)</f>
        <v/>
      </c>
      <c r="B161" s="73" t="str">
        <f aca="false">IF($AI161="","",INDEX('REGISTRE ELEVES'!$B$10:$B$250,$AI161))</f>
        <v/>
      </c>
      <c r="C161" s="74" t="str">
        <f aca="false">IF($AI161="","",INDEX('REGISTRE ELEVES'!$D$10:$D$250,$AI161))</f>
        <v/>
      </c>
      <c r="D161" s="73" t="str">
        <f aca="false">IF($AI161="","",INDEX('REGISTRE ELEVES'!$E$10:$E$250,$AI161))</f>
        <v/>
      </c>
      <c r="E161" s="73" t="str">
        <f aca="false">IF($AI161="","",INDEX('REGISTRE ELEVES'!$F$10:$F$250,$AI161))</f>
        <v/>
      </c>
      <c r="F161" s="73" t="str">
        <f aca="false">IF($AI161="","",INDEX('REGISTRE ELEVES'!$AE$10:$AE$250,$AI161))</f>
        <v/>
      </c>
      <c r="G161" s="75"/>
      <c r="H161" s="76"/>
      <c r="I161" s="76"/>
      <c r="J161" s="76"/>
      <c r="K161" s="76"/>
      <c r="L161" s="79" t="str">
        <f aca="false">IF(B161="","",IF($G161="NON",0,IF(COUNT(H161:K161)=0,"",SUM(H161:K161))))</f>
        <v/>
      </c>
      <c r="M161" s="77" t="str">
        <f aca="false">IF(B161="","",IF($G161="NON",0,IF(COUNT(H161:K161)=0,"",IFERROR(ROUND(SUM(H161:K161)/SUMPRODUCT(ISNUMBER(H161:K161)*$H$8:$K$8)*10,2),""))))</f>
        <v/>
      </c>
      <c r="N161" s="75"/>
      <c r="O161" s="76"/>
      <c r="P161" s="76"/>
      <c r="Q161" s="76"/>
      <c r="R161" s="76"/>
      <c r="S161" s="79" t="str">
        <f aca="false">IF(B161="","",IF($N161="NON",0,IF(COUNT(O161:R161)=0,"",SUM(O161:R161))))</f>
        <v/>
      </c>
      <c r="T161" s="77" t="str">
        <f aca="false">IF(B161="","",IF($N161="NON",0,IF(COUNT(O161:R161)=0,"",IFERROR(ROUND(SUM(O161:R161)/SUMPRODUCT(ISNUMBER(O161:R161)*$O$8:$R$8)*10,2),""))))</f>
        <v/>
      </c>
      <c r="U161" s="75"/>
      <c r="V161" s="76"/>
      <c r="W161" s="76"/>
      <c r="X161" s="76"/>
      <c r="Y161" s="76"/>
      <c r="Z161" s="79" t="str">
        <f aca="false">IF(B161="","",IF($U161="NON",0,IF(COUNT(V161:Y161)=0,"",SUM(V161:Y161))))</f>
        <v/>
      </c>
      <c r="AA161" s="77" t="str">
        <f aca="false">IF(B161="","",IF($U161="NON",0,IF(COUNT(V161:Y161)=0,"",IFERROR(ROUND(SUM(V161:Y161)/SUMPRODUCT(ISNUMBER(V161:Y161)*$V$8:$Y$8)*10,2),""))))</f>
        <v/>
      </c>
      <c r="AB161" s="75"/>
      <c r="AC161" s="76"/>
      <c r="AD161" s="76"/>
      <c r="AE161" s="76"/>
      <c r="AF161" s="76"/>
      <c r="AG161" s="79" t="str">
        <f aca="false">IF(B161="","",IF($AB161="NON",0,IF(COUNT(AC161:AF161)=0,"",SUM(AC161:AF161))))</f>
        <v/>
      </c>
      <c r="AH161" s="77" t="str">
        <f aca="false">IF(B161="","",IF($AB161="NON",0,IF(COUNT(AC161:AF161)=0,"",IFERROR(ROUND(SUM(AC161:AF161)/SUMPRODUCT(ISNUMBER(AC161:AF161)*$AC$8:$AF$8)*10,2),""))))</f>
        <v/>
      </c>
      <c r="AI161" s="51" t="str">
        <f aca="false">IFERROR(MATCH("CE1-152",'REGISTRE ELEVES'!$AI$10:$AI$250,0),"")</f>
        <v/>
      </c>
    </row>
    <row r="162" customFormat="false" ht="15" hidden="false" customHeight="false" outlineLevel="0" collapsed="false">
      <c r="A162" s="73" t="str">
        <f aca="false">IF(B162="","",153)</f>
        <v/>
      </c>
      <c r="B162" s="73" t="str">
        <f aca="false">IF($AI162="","",INDEX('REGISTRE ELEVES'!$B$10:$B$250,$AI162))</f>
        <v/>
      </c>
      <c r="C162" s="74" t="str">
        <f aca="false">IF($AI162="","",INDEX('REGISTRE ELEVES'!$D$10:$D$250,$AI162))</f>
        <v/>
      </c>
      <c r="D162" s="73" t="str">
        <f aca="false">IF($AI162="","",INDEX('REGISTRE ELEVES'!$E$10:$E$250,$AI162))</f>
        <v/>
      </c>
      <c r="E162" s="73" t="str">
        <f aca="false">IF($AI162="","",INDEX('REGISTRE ELEVES'!$F$10:$F$250,$AI162))</f>
        <v/>
      </c>
      <c r="F162" s="73" t="str">
        <f aca="false">IF($AI162="","",INDEX('REGISTRE ELEVES'!$AE$10:$AE$250,$AI162))</f>
        <v/>
      </c>
      <c r="G162" s="75"/>
      <c r="H162" s="76"/>
      <c r="I162" s="76"/>
      <c r="J162" s="76"/>
      <c r="K162" s="76"/>
      <c r="L162" s="79" t="str">
        <f aca="false">IF(B162="","",IF($G162="NON",0,IF(COUNT(H162:K162)=0,"",SUM(H162:K162))))</f>
        <v/>
      </c>
      <c r="M162" s="77" t="str">
        <f aca="false">IF(B162="","",IF($G162="NON",0,IF(COUNT(H162:K162)=0,"",IFERROR(ROUND(SUM(H162:K162)/SUMPRODUCT(ISNUMBER(H162:K162)*$H$8:$K$8)*10,2),""))))</f>
        <v/>
      </c>
      <c r="N162" s="75"/>
      <c r="O162" s="76"/>
      <c r="P162" s="76"/>
      <c r="Q162" s="76"/>
      <c r="R162" s="76"/>
      <c r="S162" s="79" t="str">
        <f aca="false">IF(B162="","",IF($N162="NON",0,IF(COUNT(O162:R162)=0,"",SUM(O162:R162))))</f>
        <v/>
      </c>
      <c r="T162" s="77" t="str">
        <f aca="false">IF(B162="","",IF($N162="NON",0,IF(COUNT(O162:R162)=0,"",IFERROR(ROUND(SUM(O162:R162)/SUMPRODUCT(ISNUMBER(O162:R162)*$O$8:$R$8)*10,2),""))))</f>
        <v/>
      </c>
      <c r="U162" s="75"/>
      <c r="V162" s="76"/>
      <c r="W162" s="76"/>
      <c r="X162" s="76"/>
      <c r="Y162" s="76"/>
      <c r="Z162" s="79" t="str">
        <f aca="false">IF(B162="","",IF($U162="NON",0,IF(COUNT(V162:Y162)=0,"",SUM(V162:Y162))))</f>
        <v/>
      </c>
      <c r="AA162" s="77" t="str">
        <f aca="false">IF(B162="","",IF($U162="NON",0,IF(COUNT(V162:Y162)=0,"",IFERROR(ROUND(SUM(V162:Y162)/SUMPRODUCT(ISNUMBER(V162:Y162)*$V$8:$Y$8)*10,2),""))))</f>
        <v/>
      </c>
      <c r="AB162" s="75"/>
      <c r="AC162" s="76"/>
      <c r="AD162" s="76"/>
      <c r="AE162" s="76"/>
      <c r="AF162" s="76"/>
      <c r="AG162" s="79" t="str">
        <f aca="false">IF(B162="","",IF($AB162="NON",0,IF(COUNT(AC162:AF162)=0,"",SUM(AC162:AF162))))</f>
        <v/>
      </c>
      <c r="AH162" s="77" t="str">
        <f aca="false">IF(B162="","",IF($AB162="NON",0,IF(COUNT(AC162:AF162)=0,"",IFERROR(ROUND(SUM(AC162:AF162)/SUMPRODUCT(ISNUMBER(AC162:AF162)*$AC$8:$AF$8)*10,2),""))))</f>
        <v/>
      </c>
      <c r="AI162" s="51" t="str">
        <f aca="false">IFERROR(MATCH("CE1-153",'REGISTRE ELEVES'!$AI$10:$AI$250,0),"")</f>
        <v/>
      </c>
    </row>
    <row r="163" customFormat="false" ht="15" hidden="false" customHeight="false" outlineLevel="0" collapsed="false">
      <c r="A163" s="73" t="str">
        <f aca="false">IF(B163="","",154)</f>
        <v/>
      </c>
      <c r="B163" s="73" t="str">
        <f aca="false">IF($AI163="","",INDEX('REGISTRE ELEVES'!$B$10:$B$250,$AI163))</f>
        <v/>
      </c>
      <c r="C163" s="74" t="str">
        <f aca="false">IF($AI163="","",INDEX('REGISTRE ELEVES'!$D$10:$D$250,$AI163))</f>
        <v/>
      </c>
      <c r="D163" s="73" t="str">
        <f aca="false">IF($AI163="","",INDEX('REGISTRE ELEVES'!$E$10:$E$250,$AI163))</f>
        <v/>
      </c>
      <c r="E163" s="73" t="str">
        <f aca="false">IF($AI163="","",INDEX('REGISTRE ELEVES'!$F$10:$F$250,$AI163))</f>
        <v/>
      </c>
      <c r="F163" s="73" t="str">
        <f aca="false">IF($AI163="","",INDEX('REGISTRE ELEVES'!$AE$10:$AE$250,$AI163))</f>
        <v/>
      </c>
      <c r="G163" s="75"/>
      <c r="H163" s="76"/>
      <c r="I163" s="76"/>
      <c r="J163" s="76"/>
      <c r="K163" s="76"/>
      <c r="L163" s="79" t="str">
        <f aca="false">IF(B163="","",IF($G163="NON",0,IF(COUNT(H163:K163)=0,"",SUM(H163:K163))))</f>
        <v/>
      </c>
      <c r="M163" s="77" t="str">
        <f aca="false">IF(B163="","",IF($G163="NON",0,IF(COUNT(H163:K163)=0,"",IFERROR(ROUND(SUM(H163:K163)/SUMPRODUCT(ISNUMBER(H163:K163)*$H$8:$K$8)*10,2),""))))</f>
        <v/>
      </c>
      <c r="N163" s="75"/>
      <c r="O163" s="76"/>
      <c r="P163" s="76"/>
      <c r="Q163" s="76"/>
      <c r="R163" s="76"/>
      <c r="S163" s="79" t="str">
        <f aca="false">IF(B163="","",IF($N163="NON",0,IF(COUNT(O163:R163)=0,"",SUM(O163:R163))))</f>
        <v/>
      </c>
      <c r="T163" s="77" t="str">
        <f aca="false">IF(B163="","",IF($N163="NON",0,IF(COUNT(O163:R163)=0,"",IFERROR(ROUND(SUM(O163:R163)/SUMPRODUCT(ISNUMBER(O163:R163)*$O$8:$R$8)*10,2),""))))</f>
        <v/>
      </c>
      <c r="U163" s="75"/>
      <c r="V163" s="76"/>
      <c r="W163" s="76"/>
      <c r="X163" s="76"/>
      <c r="Y163" s="76"/>
      <c r="Z163" s="79" t="str">
        <f aca="false">IF(B163="","",IF($U163="NON",0,IF(COUNT(V163:Y163)=0,"",SUM(V163:Y163))))</f>
        <v/>
      </c>
      <c r="AA163" s="77" t="str">
        <f aca="false">IF(B163="","",IF($U163="NON",0,IF(COUNT(V163:Y163)=0,"",IFERROR(ROUND(SUM(V163:Y163)/SUMPRODUCT(ISNUMBER(V163:Y163)*$V$8:$Y$8)*10,2),""))))</f>
        <v/>
      </c>
      <c r="AB163" s="75"/>
      <c r="AC163" s="76"/>
      <c r="AD163" s="76"/>
      <c r="AE163" s="76"/>
      <c r="AF163" s="76"/>
      <c r="AG163" s="79" t="str">
        <f aca="false">IF(B163="","",IF($AB163="NON",0,IF(COUNT(AC163:AF163)=0,"",SUM(AC163:AF163))))</f>
        <v/>
      </c>
      <c r="AH163" s="77" t="str">
        <f aca="false">IF(B163="","",IF($AB163="NON",0,IF(COUNT(AC163:AF163)=0,"",IFERROR(ROUND(SUM(AC163:AF163)/SUMPRODUCT(ISNUMBER(AC163:AF163)*$AC$8:$AF$8)*10,2),""))))</f>
        <v/>
      </c>
      <c r="AI163" s="51" t="str">
        <f aca="false">IFERROR(MATCH("CE1-154",'REGISTRE ELEVES'!$AI$10:$AI$250,0),"")</f>
        <v/>
      </c>
    </row>
    <row r="164" customFormat="false" ht="15" hidden="false" customHeight="false" outlineLevel="0" collapsed="false">
      <c r="A164" s="73" t="str">
        <f aca="false">IF(B164="","",155)</f>
        <v/>
      </c>
      <c r="B164" s="73" t="str">
        <f aca="false">IF($AI164="","",INDEX('REGISTRE ELEVES'!$B$10:$B$250,$AI164))</f>
        <v/>
      </c>
      <c r="C164" s="74" t="str">
        <f aca="false">IF($AI164="","",INDEX('REGISTRE ELEVES'!$D$10:$D$250,$AI164))</f>
        <v/>
      </c>
      <c r="D164" s="73" t="str">
        <f aca="false">IF($AI164="","",INDEX('REGISTRE ELEVES'!$E$10:$E$250,$AI164))</f>
        <v/>
      </c>
      <c r="E164" s="73" t="str">
        <f aca="false">IF($AI164="","",INDEX('REGISTRE ELEVES'!$F$10:$F$250,$AI164))</f>
        <v/>
      </c>
      <c r="F164" s="73" t="str">
        <f aca="false">IF($AI164="","",INDEX('REGISTRE ELEVES'!$AE$10:$AE$250,$AI164))</f>
        <v/>
      </c>
      <c r="G164" s="75"/>
      <c r="H164" s="76"/>
      <c r="I164" s="76"/>
      <c r="J164" s="76"/>
      <c r="K164" s="76"/>
      <c r="L164" s="79" t="str">
        <f aca="false">IF(B164="","",IF($G164="NON",0,IF(COUNT(H164:K164)=0,"",SUM(H164:K164))))</f>
        <v/>
      </c>
      <c r="M164" s="77" t="str">
        <f aca="false">IF(B164="","",IF($G164="NON",0,IF(COUNT(H164:K164)=0,"",IFERROR(ROUND(SUM(H164:K164)/SUMPRODUCT(ISNUMBER(H164:K164)*$H$8:$K$8)*10,2),""))))</f>
        <v/>
      </c>
      <c r="N164" s="75"/>
      <c r="O164" s="76"/>
      <c r="P164" s="76"/>
      <c r="Q164" s="76"/>
      <c r="R164" s="76"/>
      <c r="S164" s="79" t="str">
        <f aca="false">IF(B164="","",IF($N164="NON",0,IF(COUNT(O164:R164)=0,"",SUM(O164:R164))))</f>
        <v/>
      </c>
      <c r="T164" s="77" t="str">
        <f aca="false">IF(B164="","",IF($N164="NON",0,IF(COUNT(O164:R164)=0,"",IFERROR(ROUND(SUM(O164:R164)/SUMPRODUCT(ISNUMBER(O164:R164)*$O$8:$R$8)*10,2),""))))</f>
        <v/>
      </c>
      <c r="U164" s="75"/>
      <c r="V164" s="76"/>
      <c r="W164" s="76"/>
      <c r="X164" s="76"/>
      <c r="Y164" s="76"/>
      <c r="Z164" s="79" t="str">
        <f aca="false">IF(B164="","",IF($U164="NON",0,IF(COUNT(V164:Y164)=0,"",SUM(V164:Y164))))</f>
        <v/>
      </c>
      <c r="AA164" s="77" t="str">
        <f aca="false">IF(B164="","",IF($U164="NON",0,IF(COUNT(V164:Y164)=0,"",IFERROR(ROUND(SUM(V164:Y164)/SUMPRODUCT(ISNUMBER(V164:Y164)*$V$8:$Y$8)*10,2),""))))</f>
        <v/>
      </c>
      <c r="AB164" s="75"/>
      <c r="AC164" s="76"/>
      <c r="AD164" s="76"/>
      <c r="AE164" s="76"/>
      <c r="AF164" s="76"/>
      <c r="AG164" s="79" t="str">
        <f aca="false">IF(B164="","",IF($AB164="NON",0,IF(COUNT(AC164:AF164)=0,"",SUM(AC164:AF164))))</f>
        <v/>
      </c>
      <c r="AH164" s="77" t="str">
        <f aca="false">IF(B164="","",IF($AB164="NON",0,IF(COUNT(AC164:AF164)=0,"",IFERROR(ROUND(SUM(AC164:AF164)/SUMPRODUCT(ISNUMBER(AC164:AF164)*$AC$8:$AF$8)*10,2),""))))</f>
        <v/>
      </c>
      <c r="AI164" s="51" t="str">
        <f aca="false">IFERROR(MATCH("CE1-155",'REGISTRE ELEVES'!$AI$10:$AI$250,0),"")</f>
        <v/>
      </c>
    </row>
    <row r="165" customFormat="false" ht="15" hidden="false" customHeight="false" outlineLevel="0" collapsed="false">
      <c r="A165" s="73" t="str">
        <f aca="false">IF(B165="","",156)</f>
        <v/>
      </c>
      <c r="B165" s="73" t="str">
        <f aca="false">IF($AI165="","",INDEX('REGISTRE ELEVES'!$B$10:$B$250,$AI165))</f>
        <v/>
      </c>
      <c r="C165" s="74" t="str">
        <f aca="false">IF($AI165="","",INDEX('REGISTRE ELEVES'!$D$10:$D$250,$AI165))</f>
        <v/>
      </c>
      <c r="D165" s="73" t="str">
        <f aca="false">IF($AI165="","",INDEX('REGISTRE ELEVES'!$E$10:$E$250,$AI165))</f>
        <v/>
      </c>
      <c r="E165" s="73" t="str">
        <f aca="false">IF($AI165="","",INDEX('REGISTRE ELEVES'!$F$10:$F$250,$AI165))</f>
        <v/>
      </c>
      <c r="F165" s="73" t="str">
        <f aca="false">IF($AI165="","",INDEX('REGISTRE ELEVES'!$AE$10:$AE$250,$AI165))</f>
        <v/>
      </c>
      <c r="G165" s="75"/>
      <c r="H165" s="76"/>
      <c r="I165" s="76"/>
      <c r="J165" s="76"/>
      <c r="K165" s="76"/>
      <c r="L165" s="79" t="str">
        <f aca="false">IF(B165="","",IF($G165="NON",0,IF(COUNT(H165:K165)=0,"",SUM(H165:K165))))</f>
        <v/>
      </c>
      <c r="M165" s="77" t="str">
        <f aca="false">IF(B165="","",IF($G165="NON",0,IF(COUNT(H165:K165)=0,"",IFERROR(ROUND(SUM(H165:K165)/SUMPRODUCT(ISNUMBER(H165:K165)*$H$8:$K$8)*10,2),""))))</f>
        <v/>
      </c>
      <c r="N165" s="75"/>
      <c r="O165" s="76"/>
      <c r="P165" s="76"/>
      <c r="Q165" s="76"/>
      <c r="R165" s="76"/>
      <c r="S165" s="79" t="str">
        <f aca="false">IF(B165="","",IF($N165="NON",0,IF(COUNT(O165:R165)=0,"",SUM(O165:R165))))</f>
        <v/>
      </c>
      <c r="T165" s="77" t="str">
        <f aca="false">IF(B165="","",IF($N165="NON",0,IF(COUNT(O165:R165)=0,"",IFERROR(ROUND(SUM(O165:R165)/SUMPRODUCT(ISNUMBER(O165:R165)*$O$8:$R$8)*10,2),""))))</f>
        <v/>
      </c>
      <c r="U165" s="75"/>
      <c r="V165" s="76"/>
      <c r="W165" s="76"/>
      <c r="X165" s="76"/>
      <c r="Y165" s="76"/>
      <c r="Z165" s="79" t="str">
        <f aca="false">IF(B165="","",IF($U165="NON",0,IF(COUNT(V165:Y165)=0,"",SUM(V165:Y165))))</f>
        <v/>
      </c>
      <c r="AA165" s="77" t="str">
        <f aca="false">IF(B165="","",IF($U165="NON",0,IF(COUNT(V165:Y165)=0,"",IFERROR(ROUND(SUM(V165:Y165)/SUMPRODUCT(ISNUMBER(V165:Y165)*$V$8:$Y$8)*10,2),""))))</f>
        <v/>
      </c>
      <c r="AB165" s="75"/>
      <c r="AC165" s="76"/>
      <c r="AD165" s="76"/>
      <c r="AE165" s="76"/>
      <c r="AF165" s="76"/>
      <c r="AG165" s="79" t="str">
        <f aca="false">IF(B165="","",IF($AB165="NON",0,IF(COUNT(AC165:AF165)=0,"",SUM(AC165:AF165))))</f>
        <v/>
      </c>
      <c r="AH165" s="77" t="str">
        <f aca="false">IF(B165="","",IF($AB165="NON",0,IF(COUNT(AC165:AF165)=0,"",IFERROR(ROUND(SUM(AC165:AF165)/SUMPRODUCT(ISNUMBER(AC165:AF165)*$AC$8:$AF$8)*10,2),""))))</f>
        <v/>
      </c>
      <c r="AI165" s="51" t="str">
        <f aca="false">IFERROR(MATCH("CE1-156",'REGISTRE ELEVES'!$AI$10:$AI$250,0),"")</f>
        <v/>
      </c>
    </row>
    <row r="166" customFormat="false" ht="15" hidden="false" customHeight="false" outlineLevel="0" collapsed="false">
      <c r="A166" s="73" t="str">
        <f aca="false">IF(B166="","",157)</f>
        <v/>
      </c>
      <c r="B166" s="73" t="str">
        <f aca="false">IF($AI166="","",INDEX('REGISTRE ELEVES'!$B$10:$B$250,$AI166))</f>
        <v/>
      </c>
      <c r="C166" s="74" t="str">
        <f aca="false">IF($AI166="","",INDEX('REGISTRE ELEVES'!$D$10:$D$250,$AI166))</f>
        <v/>
      </c>
      <c r="D166" s="73" t="str">
        <f aca="false">IF($AI166="","",INDEX('REGISTRE ELEVES'!$E$10:$E$250,$AI166))</f>
        <v/>
      </c>
      <c r="E166" s="73" t="str">
        <f aca="false">IF($AI166="","",INDEX('REGISTRE ELEVES'!$F$10:$F$250,$AI166))</f>
        <v/>
      </c>
      <c r="F166" s="73" t="str">
        <f aca="false">IF($AI166="","",INDEX('REGISTRE ELEVES'!$AE$10:$AE$250,$AI166))</f>
        <v/>
      </c>
      <c r="G166" s="75"/>
      <c r="H166" s="76"/>
      <c r="I166" s="76"/>
      <c r="J166" s="76"/>
      <c r="K166" s="76"/>
      <c r="L166" s="79" t="str">
        <f aca="false">IF(B166="","",IF($G166="NON",0,IF(COUNT(H166:K166)=0,"",SUM(H166:K166))))</f>
        <v/>
      </c>
      <c r="M166" s="77" t="str">
        <f aca="false">IF(B166="","",IF($G166="NON",0,IF(COUNT(H166:K166)=0,"",IFERROR(ROUND(SUM(H166:K166)/SUMPRODUCT(ISNUMBER(H166:K166)*$H$8:$K$8)*10,2),""))))</f>
        <v/>
      </c>
      <c r="N166" s="75"/>
      <c r="O166" s="76"/>
      <c r="P166" s="76"/>
      <c r="Q166" s="76"/>
      <c r="R166" s="76"/>
      <c r="S166" s="79" t="str">
        <f aca="false">IF(B166="","",IF($N166="NON",0,IF(COUNT(O166:R166)=0,"",SUM(O166:R166))))</f>
        <v/>
      </c>
      <c r="T166" s="77" t="str">
        <f aca="false">IF(B166="","",IF($N166="NON",0,IF(COUNT(O166:R166)=0,"",IFERROR(ROUND(SUM(O166:R166)/SUMPRODUCT(ISNUMBER(O166:R166)*$O$8:$R$8)*10,2),""))))</f>
        <v/>
      </c>
      <c r="U166" s="75"/>
      <c r="V166" s="76"/>
      <c r="W166" s="76"/>
      <c r="X166" s="76"/>
      <c r="Y166" s="76"/>
      <c r="Z166" s="79" t="str">
        <f aca="false">IF(B166="","",IF($U166="NON",0,IF(COUNT(V166:Y166)=0,"",SUM(V166:Y166))))</f>
        <v/>
      </c>
      <c r="AA166" s="77" t="str">
        <f aca="false">IF(B166="","",IF($U166="NON",0,IF(COUNT(V166:Y166)=0,"",IFERROR(ROUND(SUM(V166:Y166)/SUMPRODUCT(ISNUMBER(V166:Y166)*$V$8:$Y$8)*10,2),""))))</f>
        <v/>
      </c>
      <c r="AB166" s="75"/>
      <c r="AC166" s="76"/>
      <c r="AD166" s="76"/>
      <c r="AE166" s="76"/>
      <c r="AF166" s="76"/>
      <c r="AG166" s="79" t="str">
        <f aca="false">IF(B166="","",IF($AB166="NON",0,IF(COUNT(AC166:AF166)=0,"",SUM(AC166:AF166))))</f>
        <v/>
      </c>
      <c r="AH166" s="77" t="str">
        <f aca="false">IF(B166="","",IF($AB166="NON",0,IF(COUNT(AC166:AF166)=0,"",IFERROR(ROUND(SUM(AC166:AF166)/SUMPRODUCT(ISNUMBER(AC166:AF166)*$AC$8:$AF$8)*10,2),""))))</f>
        <v/>
      </c>
      <c r="AI166" s="51" t="str">
        <f aca="false">IFERROR(MATCH("CE1-157",'REGISTRE ELEVES'!$AI$10:$AI$250,0),"")</f>
        <v/>
      </c>
    </row>
    <row r="167" customFormat="false" ht="15" hidden="false" customHeight="false" outlineLevel="0" collapsed="false">
      <c r="A167" s="73" t="str">
        <f aca="false">IF(B167="","",158)</f>
        <v/>
      </c>
      <c r="B167" s="73" t="str">
        <f aca="false">IF($AI167="","",INDEX('REGISTRE ELEVES'!$B$10:$B$250,$AI167))</f>
        <v/>
      </c>
      <c r="C167" s="74" t="str">
        <f aca="false">IF($AI167="","",INDEX('REGISTRE ELEVES'!$D$10:$D$250,$AI167))</f>
        <v/>
      </c>
      <c r="D167" s="73" t="str">
        <f aca="false">IF($AI167="","",INDEX('REGISTRE ELEVES'!$E$10:$E$250,$AI167))</f>
        <v/>
      </c>
      <c r="E167" s="73" t="str">
        <f aca="false">IF($AI167="","",INDEX('REGISTRE ELEVES'!$F$10:$F$250,$AI167))</f>
        <v/>
      </c>
      <c r="F167" s="73" t="str">
        <f aca="false">IF($AI167="","",INDEX('REGISTRE ELEVES'!$AE$10:$AE$250,$AI167))</f>
        <v/>
      </c>
      <c r="G167" s="75"/>
      <c r="H167" s="76"/>
      <c r="I167" s="76"/>
      <c r="J167" s="76"/>
      <c r="K167" s="76"/>
      <c r="L167" s="79" t="str">
        <f aca="false">IF(B167="","",IF($G167="NON",0,IF(COUNT(H167:K167)=0,"",SUM(H167:K167))))</f>
        <v/>
      </c>
      <c r="M167" s="77" t="str">
        <f aca="false">IF(B167="","",IF($G167="NON",0,IF(COUNT(H167:K167)=0,"",IFERROR(ROUND(SUM(H167:K167)/SUMPRODUCT(ISNUMBER(H167:K167)*$H$8:$K$8)*10,2),""))))</f>
        <v/>
      </c>
      <c r="N167" s="75"/>
      <c r="O167" s="76"/>
      <c r="P167" s="76"/>
      <c r="Q167" s="76"/>
      <c r="R167" s="76"/>
      <c r="S167" s="79" t="str">
        <f aca="false">IF(B167="","",IF($N167="NON",0,IF(COUNT(O167:R167)=0,"",SUM(O167:R167))))</f>
        <v/>
      </c>
      <c r="T167" s="77" t="str">
        <f aca="false">IF(B167="","",IF($N167="NON",0,IF(COUNT(O167:R167)=0,"",IFERROR(ROUND(SUM(O167:R167)/SUMPRODUCT(ISNUMBER(O167:R167)*$O$8:$R$8)*10,2),""))))</f>
        <v/>
      </c>
      <c r="U167" s="75"/>
      <c r="V167" s="76"/>
      <c r="W167" s="76"/>
      <c r="X167" s="76"/>
      <c r="Y167" s="76"/>
      <c r="Z167" s="79" t="str">
        <f aca="false">IF(B167="","",IF($U167="NON",0,IF(COUNT(V167:Y167)=0,"",SUM(V167:Y167))))</f>
        <v/>
      </c>
      <c r="AA167" s="77" t="str">
        <f aca="false">IF(B167="","",IF($U167="NON",0,IF(COUNT(V167:Y167)=0,"",IFERROR(ROUND(SUM(V167:Y167)/SUMPRODUCT(ISNUMBER(V167:Y167)*$V$8:$Y$8)*10,2),""))))</f>
        <v/>
      </c>
      <c r="AB167" s="75"/>
      <c r="AC167" s="76"/>
      <c r="AD167" s="76"/>
      <c r="AE167" s="76"/>
      <c r="AF167" s="76"/>
      <c r="AG167" s="79" t="str">
        <f aca="false">IF(B167="","",IF($AB167="NON",0,IF(COUNT(AC167:AF167)=0,"",SUM(AC167:AF167))))</f>
        <v/>
      </c>
      <c r="AH167" s="77" t="str">
        <f aca="false">IF(B167="","",IF($AB167="NON",0,IF(COUNT(AC167:AF167)=0,"",IFERROR(ROUND(SUM(AC167:AF167)/SUMPRODUCT(ISNUMBER(AC167:AF167)*$AC$8:$AF$8)*10,2),""))))</f>
        <v/>
      </c>
      <c r="AI167" s="51" t="str">
        <f aca="false">IFERROR(MATCH("CE1-158",'REGISTRE ELEVES'!$AI$10:$AI$250,0),"")</f>
        <v/>
      </c>
    </row>
    <row r="168" customFormat="false" ht="15" hidden="false" customHeight="false" outlineLevel="0" collapsed="false">
      <c r="A168" s="73" t="str">
        <f aca="false">IF(B168="","",159)</f>
        <v/>
      </c>
      <c r="B168" s="73" t="str">
        <f aca="false">IF($AI168="","",INDEX('REGISTRE ELEVES'!$B$10:$B$250,$AI168))</f>
        <v/>
      </c>
      <c r="C168" s="74" t="str">
        <f aca="false">IF($AI168="","",INDEX('REGISTRE ELEVES'!$D$10:$D$250,$AI168))</f>
        <v/>
      </c>
      <c r="D168" s="73" t="str">
        <f aca="false">IF($AI168="","",INDEX('REGISTRE ELEVES'!$E$10:$E$250,$AI168))</f>
        <v/>
      </c>
      <c r="E168" s="73" t="str">
        <f aca="false">IF($AI168="","",INDEX('REGISTRE ELEVES'!$F$10:$F$250,$AI168))</f>
        <v/>
      </c>
      <c r="F168" s="73" t="str">
        <f aca="false">IF($AI168="","",INDEX('REGISTRE ELEVES'!$AE$10:$AE$250,$AI168))</f>
        <v/>
      </c>
      <c r="G168" s="75"/>
      <c r="H168" s="76"/>
      <c r="I168" s="76"/>
      <c r="J168" s="76"/>
      <c r="K168" s="76"/>
      <c r="L168" s="79" t="str">
        <f aca="false">IF(B168="","",IF($G168="NON",0,IF(COUNT(H168:K168)=0,"",SUM(H168:K168))))</f>
        <v/>
      </c>
      <c r="M168" s="77" t="str">
        <f aca="false">IF(B168="","",IF($G168="NON",0,IF(COUNT(H168:K168)=0,"",IFERROR(ROUND(SUM(H168:K168)/SUMPRODUCT(ISNUMBER(H168:K168)*$H$8:$K$8)*10,2),""))))</f>
        <v/>
      </c>
      <c r="N168" s="75"/>
      <c r="O168" s="76"/>
      <c r="P168" s="76"/>
      <c r="Q168" s="76"/>
      <c r="R168" s="76"/>
      <c r="S168" s="79" t="str">
        <f aca="false">IF(B168="","",IF($N168="NON",0,IF(COUNT(O168:R168)=0,"",SUM(O168:R168))))</f>
        <v/>
      </c>
      <c r="T168" s="77" t="str">
        <f aca="false">IF(B168="","",IF($N168="NON",0,IF(COUNT(O168:R168)=0,"",IFERROR(ROUND(SUM(O168:R168)/SUMPRODUCT(ISNUMBER(O168:R168)*$O$8:$R$8)*10,2),""))))</f>
        <v/>
      </c>
      <c r="U168" s="75"/>
      <c r="V168" s="76"/>
      <c r="W168" s="76"/>
      <c r="X168" s="76"/>
      <c r="Y168" s="76"/>
      <c r="Z168" s="79" t="str">
        <f aca="false">IF(B168="","",IF($U168="NON",0,IF(COUNT(V168:Y168)=0,"",SUM(V168:Y168))))</f>
        <v/>
      </c>
      <c r="AA168" s="77" t="str">
        <f aca="false">IF(B168="","",IF($U168="NON",0,IF(COUNT(V168:Y168)=0,"",IFERROR(ROUND(SUM(V168:Y168)/SUMPRODUCT(ISNUMBER(V168:Y168)*$V$8:$Y$8)*10,2),""))))</f>
        <v/>
      </c>
      <c r="AB168" s="75"/>
      <c r="AC168" s="76"/>
      <c r="AD168" s="76"/>
      <c r="AE168" s="76"/>
      <c r="AF168" s="76"/>
      <c r="AG168" s="79" t="str">
        <f aca="false">IF(B168="","",IF($AB168="NON",0,IF(COUNT(AC168:AF168)=0,"",SUM(AC168:AF168))))</f>
        <v/>
      </c>
      <c r="AH168" s="77" t="str">
        <f aca="false">IF(B168="","",IF($AB168="NON",0,IF(COUNT(AC168:AF168)=0,"",IFERROR(ROUND(SUM(AC168:AF168)/SUMPRODUCT(ISNUMBER(AC168:AF168)*$AC$8:$AF$8)*10,2),""))))</f>
        <v/>
      </c>
      <c r="AI168" s="51" t="str">
        <f aca="false">IFERROR(MATCH("CE1-159",'REGISTRE ELEVES'!$AI$10:$AI$250,0),"")</f>
        <v/>
      </c>
    </row>
    <row r="169" customFormat="false" ht="15" hidden="false" customHeight="false" outlineLevel="0" collapsed="false">
      <c r="A169" s="73" t="str">
        <f aca="false">IF(B169="","",160)</f>
        <v/>
      </c>
      <c r="B169" s="73" t="str">
        <f aca="false">IF($AI169="","",INDEX('REGISTRE ELEVES'!$B$10:$B$250,$AI169))</f>
        <v/>
      </c>
      <c r="C169" s="74" t="str">
        <f aca="false">IF($AI169="","",INDEX('REGISTRE ELEVES'!$D$10:$D$250,$AI169))</f>
        <v/>
      </c>
      <c r="D169" s="73" t="str">
        <f aca="false">IF($AI169="","",INDEX('REGISTRE ELEVES'!$E$10:$E$250,$AI169))</f>
        <v/>
      </c>
      <c r="E169" s="73" t="str">
        <f aca="false">IF($AI169="","",INDEX('REGISTRE ELEVES'!$F$10:$F$250,$AI169))</f>
        <v/>
      </c>
      <c r="F169" s="73" t="str">
        <f aca="false">IF($AI169="","",INDEX('REGISTRE ELEVES'!$AE$10:$AE$250,$AI169))</f>
        <v/>
      </c>
      <c r="G169" s="75"/>
      <c r="H169" s="76"/>
      <c r="I169" s="76"/>
      <c r="J169" s="76"/>
      <c r="K169" s="76"/>
      <c r="L169" s="79" t="str">
        <f aca="false">IF(B169="","",IF($G169="NON",0,IF(COUNT(H169:K169)=0,"",SUM(H169:K169))))</f>
        <v/>
      </c>
      <c r="M169" s="77" t="str">
        <f aca="false">IF(B169="","",IF($G169="NON",0,IF(COUNT(H169:K169)=0,"",IFERROR(ROUND(SUM(H169:K169)/SUMPRODUCT(ISNUMBER(H169:K169)*$H$8:$K$8)*10,2),""))))</f>
        <v/>
      </c>
      <c r="N169" s="75"/>
      <c r="O169" s="76"/>
      <c r="P169" s="76"/>
      <c r="Q169" s="76"/>
      <c r="R169" s="76"/>
      <c r="S169" s="79" t="str">
        <f aca="false">IF(B169="","",IF($N169="NON",0,IF(COUNT(O169:R169)=0,"",SUM(O169:R169))))</f>
        <v/>
      </c>
      <c r="T169" s="77" t="str">
        <f aca="false">IF(B169="","",IF($N169="NON",0,IF(COUNT(O169:R169)=0,"",IFERROR(ROUND(SUM(O169:R169)/SUMPRODUCT(ISNUMBER(O169:R169)*$O$8:$R$8)*10,2),""))))</f>
        <v/>
      </c>
      <c r="U169" s="75"/>
      <c r="V169" s="76"/>
      <c r="W169" s="76"/>
      <c r="X169" s="76"/>
      <c r="Y169" s="76"/>
      <c r="Z169" s="79" t="str">
        <f aca="false">IF(B169="","",IF($U169="NON",0,IF(COUNT(V169:Y169)=0,"",SUM(V169:Y169))))</f>
        <v/>
      </c>
      <c r="AA169" s="77" t="str">
        <f aca="false">IF(B169="","",IF($U169="NON",0,IF(COUNT(V169:Y169)=0,"",IFERROR(ROUND(SUM(V169:Y169)/SUMPRODUCT(ISNUMBER(V169:Y169)*$V$8:$Y$8)*10,2),""))))</f>
        <v/>
      </c>
      <c r="AB169" s="75"/>
      <c r="AC169" s="76"/>
      <c r="AD169" s="76"/>
      <c r="AE169" s="76"/>
      <c r="AF169" s="76"/>
      <c r="AG169" s="79" t="str">
        <f aca="false">IF(B169="","",IF($AB169="NON",0,IF(COUNT(AC169:AF169)=0,"",SUM(AC169:AF169))))</f>
        <v/>
      </c>
      <c r="AH169" s="77" t="str">
        <f aca="false">IF(B169="","",IF($AB169="NON",0,IF(COUNT(AC169:AF169)=0,"",IFERROR(ROUND(SUM(AC169:AF169)/SUMPRODUCT(ISNUMBER(AC169:AF169)*$AC$8:$AF$8)*10,2),""))))</f>
        <v/>
      </c>
      <c r="AI169" s="51" t="str">
        <f aca="false">IFERROR(MATCH("CE1-160",'REGISTRE ELEVES'!$AI$10:$AI$250,0),"")</f>
        <v/>
      </c>
    </row>
    <row r="170" customFormat="false" ht="15" hidden="false" customHeight="false" outlineLevel="0" collapsed="false">
      <c r="A170" s="73" t="str">
        <f aca="false">IF(B170="","",161)</f>
        <v/>
      </c>
      <c r="B170" s="73" t="str">
        <f aca="false">IF($AI170="","",INDEX('REGISTRE ELEVES'!$B$10:$B$250,$AI170))</f>
        <v/>
      </c>
      <c r="C170" s="74" t="str">
        <f aca="false">IF($AI170="","",INDEX('REGISTRE ELEVES'!$D$10:$D$250,$AI170))</f>
        <v/>
      </c>
      <c r="D170" s="73" t="str">
        <f aca="false">IF($AI170="","",INDEX('REGISTRE ELEVES'!$E$10:$E$250,$AI170))</f>
        <v/>
      </c>
      <c r="E170" s="73" t="str">
        <f aca="false">IF($AI170="","",INDEX('REGISTRE ELEVES'!$F$10:$F$250,$AI170))</f>
        <v/>
      </c>
      <c r="F170" s="73" t="str">
        <f aca="false">IF($AI170="","",INDEX('REGISTRE ELEVES'!$AE$10:$AE$250,$AI170))</f>
        <v/>
      </c>
      <c r="G170" s="75"/>
      <c r="H170" s="76"/>
      <c r="I170" s="76"/>
      <c r="J170" s="76"/>
      <c r="K170" s="76"/>
      <c r="L170" s="79" t="str">
        <f aca="false">IF(B170="","",IF($G170="NON",0,IF(COUNT(H170:K170)=0,"",SUM(H170:K170))))</f>
        <v/>
      </c>
      <c r="M170" s="77" t="str">
        <f aca="false">IF(B170="","",IF($G170="NON",0,IF(COUNT(H170:K170)=0,"",IFERROR(ROUND(SUM(H170:K170)/SUMPRODUCT(ISNUMBER(H170:K170)*$H$8:$K$8)*10,2),""))))</f>
        <v/>
      </c>
      <c r="N170" s="75"/>
      <c r="O170" s="76"/>
      <c r="P170" s="76"/>
      <c r="Q170" s="76"/>
      <c r="R170" s="76"/>
      <c r="S170" s="79" t="str">
        <f aca="false">IF(B170="","",IF($N170="NON",0,IF(COUNT(O170:R170)=0,"",SUM(O170:R170))))</f>
        <v/>
      </c>
      <c r="T170" s="77" t="str">
        <f aca="false">IF(B170="","",IF($N170="NON",0,IF(COUNT(O170:R170)=0,"",IFERROR(ROUND(SUM(O170:R170)/SUMPRODUCT(ISNUMBER(O170:R170)*$O$8:$R$8)*10,2),""))))</f>
        <v/>
      </c>
      <c r="U170" s="75"/>
      <c r="V170" s="76"/>
      <c r="W170" s="76"/>
      <c r="X170" s="76"/>
      <c r="Y170" s="76"/>
      <c r="Z170" s="79" t="str">
        <f aca="false">IF(B170="","",IF($U170="NON",0,IF(COUNT(V170:Y170)=0,"",SUM(V170:Y170))))</f>
        <v/>
      </c>
      <c r="AA170" s="77" t="str">
        <f aca="false">IF(B170="","",IF($U170="NON",0,IF(COUNT(V170:Y170)=0,"",IFERROR(ROUND(SUM(V170:Y170)/SUMPRODUCT(ISNUMBER(V170:Y170)*$V$8:$Y$8)*10,2),""))))</f>
        <v/>
      </c>
      <c r="AB170" s="75"/>
      <c r="AC170" s="76"/>
      <c r="AD170" s="76"/>
      <c r="AE170" s="76"/>
      <c r="AF170" s="76"/>
      <c r="AG170" s="79" t="str">
        <f aca="false">IF(B170="","",IF($AB170="NON",0,IF(COUNT(AC170:AF170)=0,"",SUM(AC170:AF170))))</f>
        <v/>
      </c>
      <c r="AH170" s="77" t="str">
        <f aca="false">IF(B170="","",IF($AB170="NON",0,IF(COUNT(AC170:AF170)=0,"",IFERROR(ROUND(SUM(AC170:AF170)/SUMPRODUCT(ISNUMBER(AC170:AF170)*$AC$8:$AF$8)*10,2),""))))</f>
        <v/>
      </c>
      <c r="AI170" s="51" t="str">
        <f aca="false">IFERROR(MATCH("CE1-161",'REGISTRE ELEVES'!$AI$10:$AI$250,0),"")</f>
        <v/>
      </c>
    </row>
    <row r="171" customFormat="false" ht="15" hidden="false" customHeight="false" outlineLevel="0" collapsed="false">
      <c r="A171" s="73" t="str">
        <f aca="false">IF(B171="","",162)</f>
        <v/>
      </c>
      <c r="B171" s="73" t="str">
        <f aca="false">IF($AI171="","",INDEX('REGISTRE ELEVES'!$B$10:$B$250,$AI171))</f>
        <v/>
      </c>
      <c r="C171" s="74" t="str">
        <f aca="false">IF($AI171="","",INDEX('REGISTRE ELEVES'!$D$10:$D$250,$AI171))</f>
        <v/>
      </c>
      <c r="D171" s="73" t="str">
        <f aca="false">IF($AI171="","",INDEX('REGISTRE ELEVES'!$E$10:$E$250,$AI171))</f>
        <v/>
      </c>
      <c r="E171" s="73" t="str">
        <f aca="false">IF($AI171="","",INDEX('REGISTRE ELEVES'!$F$10:$F$250,$AI171))</f>
        <v/>
      </c>
      <c r="F171" s="73" t="str">
        <f aca="false">IF($AI171="","",INDEX('REGISTRE ELEVES'!$AE$10:$AE$250,$AI171))</f>
        <v/>
      </c>
      <c r="G171" s="75"/>
      <c r="H171" s="76"/>
      <c r="I171" s="76"/>
      <c r="J171" s="76"/>
      <c r="K171" s="76"/>
      <c r="L171" s="79" t="str">
        <f aca="false">IF(B171="","",IF($G171="NON",0,IF(COUNT(H171:K171)=0,"",SUM(H171:K171))))</f>
        <v/>
      </c>
      <c r="M171" s="77" t="str">
        <f aca="false">IF(B171="","",IF($G171="NON",0,IF(COUNT(H171:K171)=0,"",IFERROR(ROUND(SUM(H171:K171)/SUMPRODUCT(ISNUMBER(H171:K171)*$H$8:$K$8)*10,2),""))))</f>
        <v/>
      </c>
      <c r="N171" s="75"/>
      <c r="O171" s="76"/>
      <c r="P171" s="76"/>
      <c r="Q171" s="76"/>
      <c r="R171" s="76"/>
      <c r="S171" s="79" t="str">
        <f aca="false">IF(B171="","",IF($N171="NON",0,IF(COUNT(O171:R171)=0,"",SUM(O171:R171))))</f>
        <v/>
      </c>
      <c r="T171" s="77" t="str">
        <f aca="false">IF(B171="","",IF($N171="NON",0,IF(COUNT(O171:R171)=0,"",IFERROR(ROUND(SUM(O171:R171)/SUMPRODUCT(ISNUMBER(O171:R171)*$O$8:$R$8)*10,2),""))))</f>
        <v/>
      </c>
      <c r="U171" s="75"/>
      <c r="V171" s="76"/>
      <c r="W171" s="76"/>
      <c r="X171" s="76"/>
      <c r="Y171" s="76"/>
      <c r="Z171" s="79" t="str">
        <f aca="false">IF(B171="","",IF($U171="NON",0,IF(COUNT(V171:Y171)=0,"",SUM(V171:Y171))))</f>
        <v/>
      </c>
      <c r="AA171" s="77" t="str">
        <f aca="false">IF(B171="","",IF($U171="NON",0,IF(COUNT(V171:Y171)=0,"",IFERROR(ROUND(SUM(V171:Y171)/SUMPRODUCT(ISNUMBER(V171:Y171)*$V$8:$Y$8)*10,2),""))))</f>
        <v/>
      </c>
      <c r="AB171" s="75"/>
      <c r="AC171" s="76"/>
      <c r="AD171" s="76"/>
      <c r="AE171" s="76"/>
      <c r="AF171" s="76"/>
      <c r="AG171" s="79" t="str">
        <f aca="false">IF(B171="","",IF($AB171="NON",0,IF(COUNT(AC171:AF171)=0,"",SUM(AC171:AF171))))</f>
        <v/>
      </c>
      <c r="AH171" s="77" t="str">
        <f aca="false">IF(B171="","",IF($AB171="NON",0,IF(COUNT(AC171:AF171)=0,"",IFERROR(ROUND(SUM(AC171:AF171)/SUMPRODUCT(ISNUMBER(AC171:AF171)*$AC$8:$AF$8)*10,2),""))))</f>
        <v/>
      </c>
      <c r="AI171" s="51" t="str">
        <f aca="false">IFERROR(MATCH("CE1-162",'REGISTRE ELEVES'!$AI$10:$AI$250,0),"")</f>
        <v/>
      </c>
    </row>
    <row r="172" customFormat="false" ht="15" hidden="false" customHeight="false" outlineLevel="0" collapsed="false">
      <c r="A172" s="73" t="str">
        <f aca="false">IF(B172="","",163)</f>
        <v/>
      </c>
      <c r="B172" s="73" t="str">
        <f aca="false">IF($AI172="","",INDEX('REGISTRE ELEVES'!$B$10:$B$250,$AI172))</f>
        <v/>
      </c>
      <c r="C172" s="74" t="str">
        <f aca="false">IF($AI172="","",INDEX('REGISTRE ELEVES'!$D$10:$D$250,$AI172))</f>
        <v/>
      </c>
      <c r="D172" s="73" t="str">
        <f aca="false">IF($AI172="","",INDEX('REGISTRE ELEVES'!$E$10:$E$250,$AI172))</f>
        <v/>
      </c>
      <c r="E172" s="73" t="str">
        <f aca="false">IF($AI172="","",INDEX('REGISTRE ELEVES'!$F$10:$F$250,$AI172))</f>
        <v/>
      </c>
      <c r="F172" s="73" t="str">
        <f aca="false">IF($AI172="","",INDEX('REGISTRE ELEVES'!$AE$10:$AE$250,$AI172))</f>
        <v/>
      </c>
      <c r="G172" s="75"/>
      <c r="H172" s="76"/>
      <c r="I172" s="76"/>
      <c r="J172" s="76"/>
      <c r="K172" s="76"/>
      <c r="L172" s="79" t="str">
        <f aca="false">IF(B172="","",IF($G172="NON",0,IF(COUNT(H172:K172)=0,"",SUM(H172:K172))))</f>
        <v/>
      </c>
      <c r="M172" s="77" t="str">
        <f aca="false">IF(B172="","",IF($G172="NON",0,IF(COUNT(H172:K172)=0,"",IFERROR(ROUND(SUM(H172:K172)/SUMPRODUCT(ISNUMBER(H172:K172)*$H$8:$K$8)*10,2),""))))</f>
        <v/>
      </c>
      <c r="N172" s="75"/>
      <c r="O172" s="76"/>
      <c r="P172" s="76"/>
      <c r="Q172" s="76"/>
      <c r="R172" s="76"/>
      <c r="S172" s="79" t="str">
        <f aca="false">IF(B172="","",IF($N172="NON",0,IF(COUNT(O172:R172)=0,"",SUM(O172:R172))))</f>
        <v/>
      </c>
      <c r="T172" s="77" t="str">
        <f aca="false">IF(B172="","",IF($N172="NON",0,IF(COUNT(O172:R172)=0,"",IFERROR(ROUND(SUM(O172:R172)/SUMPRODUCT(ISNUMBER(O172:R172)*$O$8:$R$8)*10,2),""))))</f>
        <v/>
      </c>
      <c r="U172" s="75"/>
      <c r="V172" s="76"/>
      <c r="W172" s="76"/>
      <c r="X172" s="76"/>
      <c r="Y172" s="76"/>
      <c r="Z172" s="79" t="str">
        <f aca="false">IF(B172="","",IF($U172="NON",0,IF(COUNT(V172:Y172)=0,"",SUM(V172:Y172))))</f>
        <v/>
      </c>
      <c r="AA172" s="77" t="str">
        <f aca="false">IF(B172="","",IF($U172="NON",0,IF(COUNT(V172:Y172)=0,"",IFERROR(ROUND(SUM(V172:Y172)/SUMPRODUCT(ISNUMBER(V172:Y172)*$V$8:$Y$8)*10,2),""))))</f>
        <v/>
      </c>
      <c r="AB172" s="75"/>
      <c r="AC172" s="76"/>
      <c r="AD172" s="76"/>
      <c r="AE172" s="76"/>
      <c r="AF172" s="76"/>
      <c r="AG172" s="79" t="str">
        <f aca="false">IF(B172="","",IF($AB172="NON",0,IF(COUNT(AC172:AF172)=0,"",SUM(AC172:AF172))))</f>
        <v/>
      </c>
      <c r="AH172" s="77" t="str">
        <f aca="false">IF(B172="","",IF($AB172="NON",0,IF(COUNT(AC172:AF172)=0,"",IFERROR(ROUND(SUM(AC172:AF172)/SUMPRODUCT(ISNUMBER(AC172:AF172)*$AC$8:$AF$8)*10,2),""))))</f>
        <v/>
      </c>
      <c r="AI172" s="51" t="str">
        <f aca="false">IFERROR(MATCH("CE1-163",'REGISTRE ELEVES'!$AI$10:$AI$250,0),"")</f>
        <v/>
      </c>
    </row>
    <row r="173" customFormat="false" ht="15" hidden="false" customHeight="false" outlineLevel="0" collapsed="false">
      <c r="A173" s="73" t="str">
        <f aca="false">IF(B173="","",164)</f>
        <v/>
      </c>
      <c r="B173" s="73" t="str">
        <f aca="false">IF($AI173="","",INDEX('REGISTRE ELEVES'!$B$10:$B$250,$AI173))</f>
        <v/>
      </c>
      <c r="C173" s="74" t="str">
        <f aca="false">IF($AI173="","",INDEX('REGISTRE ELEVES'!$D$10:$D$250,$AI173))</f>
        <v/>
      </c>
      <c r="D173" s="73" t="str">
        <f aca="false">IF($AI173="","",INDEX('REGISTRE ELEVES'!$E$10:$E$250,$AI173))</f>
        <v/>
      </c>
      <c r="E173" s="73" t="str">
        <f aca="false">IF($AI173="","",INDEX('REGISTRE ELEVES'!$F$10:$F$250,$AI173))</f>
        <v/>
      </c>
      <c r="F173" s="73" t="str">
        <f aca="false">IF($AI173="","",INDEX('REGISTRE ELEVES'!$AE$10:$AE$250,$AI173))</f>
        <v/>
      </c>
      <c r="G173" s="75"/>
      <c r="H173" s="76"/>
      <c r="I173" s="76"/>
      <c r="J173" s="76"/>
      <c r="K173" s="76"/>
      <c r="L173" s="79" t="str">
        <f aca="false">IF(B173="","",IF($G173="NON",0,IF(COUNT(H173:K173)=0,"",SUM(H173:K173))))</f>
        <v/>
      </c>
      <c r="M173" s="77" t="str">
        <f aca="false">IF(B173="","",IF($G173="NON",0,IF(COUNT(H173:K173)=0,"",IFERROR(ROUND(SUM(H173:K173)/SUMPRODUCT(ISNUMBER(H173:K173)*$H$8:$K$8)*10,2),""))))</f>
        <v/>
      </c>
      <c r="N173" s="75"/>
      <c r="O173" s="76"/>
      <c r="P173" s="76"/>
      <c r="Q173" s="76"/>
      <c r="R173" s="76"/>
      <c r="S173" s="79" t="str">
        <f aca="false">IF(B173="","",IF($N173="NON",0,IF(COUNT(O173:R173)=0,"",SUM(O173:R173))))</f>
        <v/>
      </c>
      <c r="T173" s="77" t="str">
        <f aca="false">IF(B173="","",IF($N173="NON",0,IF(COUNT(O173:R173)=0,"",IFERROR(ROUND(SUM(O173:R173)/SUMPRODUCT(ISNUMBER(O173:R173)*$O$8:$R$8)*10,2),""))))</f>
        <v/>
      </c>
      <c r="U173" s="75"/>
      <c r="V173" s="76"/>
      <c r="W173" s="76"/>
      <c r="X173" s="76"/>
      <c r="Y173" s="76"/>
      <c r="Z173" s="79" t="str">
        <f aca="false">IF(B173="","",IF($U173="NON",0,IF(COUNT(V173:Y173)=0,"",SUM(V173:Y173))))</f>
        <v/>
      </c>
      <c r="AA173" s="77" t="str">
        <f aca="false">IF(B173="","",IF($U173="NON",0,IF(COUNT(V173:Y173)=0,"",IFERROR(ROUND(SUM(V173:Y173)/SUMPRODUCT(ISNUMBER(V173:Y173)*$V$8:$Y$8)*10,2),""))))</f>
        <v/>
      </c>
      <c r="AB173" s="75"/>
      <c r="AC173" s="76"/>
      <c r="AD173" s="76"/>
      <c r="AE173" s="76"/>
      <c r="AF173" s="76"/>
      <c r="AG173" s="79" t="str">
        <f aca="false">IF(B173="","",IF($AB173="NON",0,IF(COUNT(AC173:AF173)=0,"",SUM(AC173:AF173))))</f>
        <v/>
      </c>
      <c r="AH173" s="77" t="str">
        <f aca="false">IF(B173="","",IF($AB173="NON",0,IF(COUNT(AC173:AF173)=0,"",IFERROR(ROUND(SUM(AC173:AF173)/SUMPRODUCT(ISNUMBER(AC173:AF173)*$AC$8:$AF$8)*10,2),""))))</f>
        <v/>
      </c>
      <c r="AI173" s="51" t="str">
        <f aca="false">IFERROR(MATCH("CE1-164",'REGISTRE ELEVES'!$AI$10:$AI$250,0),"")</f>
        <v/>
      </c>
    </row>
    <row r="174" customFormat="false" ht="15" hidden="false" customHeight="false" outlineLevel="0" collapsed="false">
      <c r="A174" s="73" t="str">
        <f aca="false">IF(B174="","",165)</f>
        <v/>
      </c>
      <c r="B174" s="73" t="str">
        <f aca="false">IF($AI174="","",INDEX('REGISTRE ELEVES'!$B$10:$B$250,$AI174))</f>
        <v/>
      </c>
      <c r="C174" s="74" t="str">
        <f aca="false">IF($AI174="","",INDEX('REGISTRE ELEVES'!$D$10:$D$250,$AI174))</f>
        <v/>
      </c>
      <c r="D174" s="73" t="str">
        <f aca="false">IF($AI174="","",INDEX('REGISTRE ELEVES'!$E$10:$E$250,$AI174))</f>
        <v/>
      </c>
      <c r="E174" s="73" t="str">
        <f aca="false">IF($AI174="","",INDEX('REGISTRE ELEVES'!$F$10:$F$250,$AI174))</f>
        <v/>
      </c>
      <c r="F174" s="73" t="str">
        <f aca="false">IF($AI174="","",INDEX('REGISTRE ELEVES'!$AE$10:$AE$250,$AI174))</f>
        <v/>
      </c>
      <c r="G174" s="75"/>
      <c r="H174" s="76"/>
      <c r="I174" s="76"/>
      <c r="J174" s="76"/>
      <c r="K174" s="76"/>
      <c r="L174" s="79" t="str">
        <f aca="false">IF(B174="","",IF($G174="NON",0,IF(COUNT(H174:K174)=0,"",SUM(H174:K174))))</f>
        <v/>
      </c>
      <c r="M174" s="77" t="str">
        <f aca="false">IF(B174="","",IF($G174="NON",0,IF(COUNT(H174:K174)=0,"",IFERROR(ROUND(SUM(H174:K174)/SUMPRODUCT(ISNUMBER(H174:K174)*$H$8:$K$8)*10,2),""))))</f>
        <v/>
      </c>
      <c r="N174" s="75"/>
      <c r="O174" s="76"/>
      <c r="P174" s="76"/>
      <c r="Q174" s="76"/>
      <c r="R174" s="76"/>
      <c r="S174" s="79" t="str">
        <f aca="false">IF(B174="","",IF($N174="NON",0,IF(COUNT(O174:R174)=0,"",SUM(O174:R174))))</f>
        <v/>
      </c>
      <c r="T174" s="77" t="str">
        <f aca="false">IF(B174="","",IF($N174="NON",0,IF(COUNT(O174:R174)=0,"",IFERROR(ROUND(SUM(O174:R174)/SUMPRODUCT(ISNUMBER(O174:R174)*$O$8:$R$8)*10,2),""))))</f>
        <v/>
      </c>
      <c r="U174" s="75"/>
      <c r="V174" s="76"/>
      <c r="W174" s="76"/>
      <c r="X174" s="76"/>
      <c r="Y174" s="76"/>
      <c r="Z174" s="79" t="str">
        <f aca="false">IF(B174="","",IF($U174="NON",0,IF(COUNT(V174:Y174)=0,"",SUM(V174:Y174))))</f>
        <v/>
      </c>
      <c r="AA174" s="77" t="str">
        <f aca="false">IF(B174="","",IF($U174="NON",0,IF(COUNT(V174:Y174)=0,"",IFERROR(ROUND(SUM(V174:Y174)/SUMPRODUCT(ISNUMBER(V174:Y174)*$V$8:$Y$8)*10,2),""))))</f>
        <v/>
      </c>
      <c r="AB174" s="75"/>
      <c r="AC174" s="76"/>
      <c r="AD174" s="76"/>
      <c r="AE174" s="76"/>
      <c r="AF174" s="76"/>
      <c r="AG174" s="79" t="str">
        <f aca="false">IF(B174="","",IF($AB174="NON",0,IF(COUNT(AC174:AF174)=0,"",SUM(AC174:AF174))))</f>
        <v/>
      </c>
      <c r="AH174" s="77" t="str">
        <f aca="false">IF(B174="","",IF($AB174="NON",0,IF(COUNT(AC174:AF174)=0,"",IFERROR(ROUND(SUM(AC174:AF174)/SUMPRODUCT(ISNUMBER(AC174:AF174)*$AC$8:$AF$8)*10,2),""))))</f>
        <v/>
      </c>
      <c r="AI174" s="51" t="str">
        <f aca="false">IFERROR(MATCH("CE1-165",'REGISTRE ELEVES'!$AI$10:$AI$250,0),"")</f>
        <v/>
      </c>
    </row>
    <row r="175" customFormat="false" ht="15" hidden="false" customHeight="false" outlineLevel="0" collapsed="false">
      <c r="A175" s="73" t="str">
        <f aca="false">IF(B175="","",166)</f>
        <v/>
      </c>
      <c r="B175" s="73" t="str">
        <f aca="false">IF($AI175="","",INDEX('REGISTRE ELEVES'!$B$10:$B$250,$AI175))</f>
        <v/>
      </c>
      <c r="C175" s="74" t="str">
        <f aca="false">IF($AI175="","",INDEX('REGISTRE ELEVES'!$D$10:$D$250,$AI175))</f>
        <v/>
      </c>
      <c r="D175" s="73" t="str">
        <f aca="false">IF($AI175="","",INDEX('REGISTRE ELEVES'!$E$10:$E$250,$AI175))</f>
        <v/>
      </c>
      <c r="E175" s="73" t="str">
        <f aca="false">IF($AI175="","",INDEX('REGISTRE ELEVES'!$F$10:$F$250,$AI175))</f>
        <v/>
      </c>
      <c r="F175" s="73" t="str">
        <f aca="false">IF($AI175="","",INDEX('REGISTRE ELEVES'!$AE$10:$AE$250,$AI175))</f>
        <v/>
      </c>
      <c r="G175" s="75"/>
      <c r="H175" s="76"/>
      <c r="I175" s="76"/>
      <c r="J175" s="76"/>
      <c r="K175" s="76"/>
      <c r="L175" s="79" t="str">
        <f aca="false">IF(B175="","",IF($G175="NON",0,IF(COUNT(H175:K175)=0,"",SUM(H175:K175))))</f>
        <v/>
      </c>
      <c r="M175" s="77" t="str">
        <f aca="false">IF(B175="","",IF($G175="NON",0,IF(COUNT(H175:K175)=0,"",IFERROR(ROUND(SUM(H175:K175)/SUMPRODUCT(ISNUMBER(H175:K175)*$H$8:$K$8)*10,2),""))))</f>
        <v/>
      </c>
      <c r="N175" s="75"/>
      <c r="O175" s="76"/>
      <c r="P175" s="76"/>
      <c r="Q175" s="76"/>
      <c r="R175" s="76"/>
      <c r="S175" s="79" t="str">
        <f aca="false">IF(B175="","",IF($N175="NON",0,IF(COUNT(O175:R175)=0,"",SUM(O175:R175))))</f>
        <v/>
      </c>
      <c r="T175" s="77" t="str">
        <f aca="false">IF(B175="","",IF($N175="NON",0,IF(COUNT(O175:R175)=0,"",IFERROR(ROUND(SUM(O175:R175)/SUMPRODUCT(ISNUMBER(O175:R175)*$O$8:$R$8)*10,2),""))))</f>
        <v/>
      </c>
      <c r="U175" s="75"/>
      <c r="V175" s="76"/>
      <c r="W175" s="76"/>
      <c r="X175" s="76"/>
      <c r="Y175" s="76"/>
      <c r="Z175" s="79" t="str">
        <f aca="false">IF(B175="","",IF($U175="NON",0,IF(COUNT(V175:Y175)=0,"",SUM(V175:Y175))))</f>
        <v/>
      </c>
      <c r="AA175" s="77" t="str">
        <f aca="false">IF(B175="","",IF($U175="NON",0,IF(COUNT(V175:Y175)=0,"",IFERROR(ROUND(SUM(V175:Y175)/SUMPRODUCT(ISNUMBER(V175:Y175)*$V$8:$Y$8)*10,2),""))))</f>
        <v/>
      </c>
      <c r="AB175" s="75"/>
      <c r="AC175" s="76"/>
      <c r="AD175" s="76"/>
      <c r="AE175" s="76"/>
      <c r="AF175" s="76"/>
      <c r="AG175" s="79" t="str">
        <f aca="false">IF(B175="","",IF($AB175="NON",0,IF(COUNT(AC175:AF175)=0,"",SUM(AC175:AF175))))</f>
        <v/>
      </c>
      <c r="AH175" s="77" t="str">
        <f aca="false">IF(B175="","",IF($AB175="NON",0,IF(COUNT(AC175:AF175)=0,"",IFERROR(ROUND(SUM(AC175:AF175)/SUMPRODUCT(ISNUMBER(AC175:AF175)*$AC$8:$AF$8)*10,2),""))))</f>
        <v/>
      </c>
      <c r="AI175" s="51" t="str">
        <f aca="false">IFERROR(MATCH("CE1-166",'REGISTRE ELEVES'!$AI$10:$AI$250,0),"")</f>
        <v/>
      </c>
    </row>
    <row r="176" customFormat="false" ht="15" hidden="false" customHeight="false" outlineLevel="0" collapsed="false">
      <c r="A176" s="73" t="str">
        <f aca="false">IF(B176="","",167)</f>
        <v/>
      </c>
      <c r="B176" s="73" t="str">
        <f aca="false">IF($AI176="","",INDEX('REGISTRE ELEVES'!$B$10:$B$250,$AI176))</f>
        <v/>
      </c>
      <c r="C176" s="74" t="str">
        <f aca="false">IF($AI176="","",INDEX('REGISTRE ELEVES'!$D$10:$D$250,$AI176))</f>
        <v/>
      </c>
      <c r="D176" s="73" t="str">
        <f aca="false">IF($AI176="","",INDEX('REGISTRE ELEVES'!$E$10:$E$250,$AI176))</f>
        <v/>
      </c>
      <c r="E176" s="73" t="str">
        <f aca="false">IF($AI176="","",INDEX('REGISTRE ELEVES'!$F$10:$F$250,$AI176))</f>
        <v/>
      </c>
      <c r="F176" s="73" t="str">
        <f aca="false">IF($AI176="","",INDEX('REGISTRE ELEVES'!$AE$10:$AE$250,$AI176))</f>
        <v/>
      </c>
      <c r="G176" s="75"/>
      <c r="H176" s="76"/>
      <c r="I176" s="76"/>
      <c r="J176" s="76"/>
      <c r="K176" s="76"/>
      <c r="L176" s="79" t="str">
        <f aca="false">IF(B176="","",IF($G176="NON",0,IF(COUNT(H176:K176)=0,"",SUM(H176:K176))))</f>
        <v/>
      </c>
      <c r="M176" s="77" t="str">
        <f aca="false">IF(B176="","",IF($G176="NON",0,IF(COUNT(H176:K176)=0,"",IFERROR(ROUND(SUM(H176:K176)/SUMPRODUCT(ISNUMBER(H176:K176)*$H$8:$K$8)*10,2),""))))</f>
        <v/>
      </c>
      <c r="N176" s="75"/>
      <c r="O176" s="76"/>
      <c r="P176" s="76"/>
      <c r="Q176" s="76"/>
      <c r="R176" s="76"/>
      <c r="S176" s="79" t="str">
        <f aca="false">IF(B176="","",IF($N176="NON",0,IF(COUNT(O176:R176)=0,"",SUM(O176:R176))))</f>
        <v/>
      </c>
      <c r="T176" s="77" t="str">
        <f aca="false">IF(B176="","",IF($N176="NON",0,IF(COUNT(O176:R176)=0,"",IFERROR(ROUND(SUM(O176:R176)/SUMPRODUCT(ISNUMBER(O176:R176)*$O$8:$R$8)*10,2),""))))</f>
        <v/>
      </c>
      <c r="U176" s="75"/>
      <c r="V176" s="76"/>
      <c r="W176" s="76"/>
      <c r="X176" s="76"/>
      <c r="Y176" s="76"/>
      <c r="Z176" s="79" t="str">
        <f aca="false">IF(B176="","",IF($U176="NON",0,IF(COUNT(V176:Y176)=0,"",SUM(V176:Y176))))</f>
        <v/>
      </c>
      <c r="AA176" s="77" t="str">
        <f aca="false">IF(B176="","",IF($U176="NON",0,IF(COUNT(V176:Y176)=0,"",IFERROR(ROUND(SUM(V176:Y176)/SUMPRODUCT(ISNUMBER(V176:Y176)*$V$8:$Y$8)*10,2),""))))</f>
        <v/>
      </c>
      <c r="AB176" s="75"/>
      <c r="AC176" s="76"/>
      <c r="AD176" s="76"/>
      <c r="AE176" s="76"/>
      <c r="AF176" s="76"/>
      <c r="AG176" s="79" t="str">
        <f aca="false">IF(B176="","",IF($AB176="NON",0,IF(COUNT(AC176:AF176)=0,"",SUM(AC176:AF176))))</f>
        <v/>
      </c>
      <c r="AH176" s="77" t="str">
        <f aca="false">IF(B176="","",IF($AB176="NON",0,IF(COUNT(AC176:AF176)=0,"",IFERROR(ROUND(SUM(AC176:AF176)/SUMPRODUCT(ISNUMBER(AC176:AF176)*$AC$8:$AF$8)*10,2),""))))</f>
        <v/>
      </c>
      <c r="AI176" s="51" t="str">
        <f aca="false">IFERROR(MATCH("CE1-167",'REGISTRE ELEVES'!$AI$10:$AI$250,0),"")</f>
        <v/>
      </c>
    </row>
    <row r="177" customFormat="false" ht="15" hidden="false" customHeight="false" outlineLevel="0" collapsed="false">
      <c r="A177" s="73" t="str">
        <f aca="false">IF(B177="","",168)</f>
        <v/>
      </c>
      <c r="B177" s="73" t="str">
        <f aca="false">IF($AI177="","",INDEX('REGISTRE ELEVES'!$B$10:$B$250,$AI177))</f>
        <v/>
      </c>
      <c r="C177" s="74" t="str">
        <f aca="false">IF($AI177="","",INDEX('REGISTRE ELEVES'!$D$10:$D$250,$AI177))</f>
        <v/>
      </c>
      <c r="D177" s="73" t="str">
        <f aca="false">IF($AI177="","",INDEX('REGISTRE ELEVES'!$E$10:$E$250,$AI177))</f>
        <v/>
      </c>
      <c r="E177" s="73" t="str">
        <f aca="false">IF($AI177="","",INDEX('REGISTRE ELEVES'!$F$10:$F$250,$AI177))</f>
        <v/>
      </c>
      <c r="F177" s="73" t="str">
        <f aca="false">IF($AI177="","",INDEX('REGISTRE ELEVES'!$AE$10:$AE$250,$AI177))</f>
        <v/>
      </c>
      <c r="G177" s="75"/>
      <c r="H177" s="76"/>
      <c r="I177" s="76"/>
      <c r="J177" s="76"/>
      <c r="K177" s="76"/>
      <c r="L177" s="79" t="str">
        <f aca="false">IF(B177="","",IF($G177="NON",0,IF(COUNT(H177:K177)=0,"",SUM(H177:K177))))</f>
        <v/>
      </c>
      <c r="M177" s="77" t="str">
        <f aca="false">IF(B177="","",IF($G177="NON",0,IF(COUNT(H177:K177)=0,"",IFERROR(ROUND(SUM(H177:K177)/SUMPRODUCT(ISNUMBER(H177:K177)*$H$8:$K$8)*10,2),""))))</f>
        <v/>
      </c>
      <c r="N177" s="75"/>
      <c r="O177" s="76"/>
      <c r="P177" s="76"/>
      <c r="Q177" s="76"/>
      <c r="R177" s="76"/>
      <c r="S177" s="79" t="str">
        <f aca="false">IF(B177="","",IF($N177="NON",0,IF(COUNT(O177:R177)=0,"",SUM(O177:R177))))</f>
        <v/>
      </c>
      <c r="T177" s="77" t="str">
        <f aca="false">IF(B177="","",IF($N177="NON",0,IF(COUNT(O177:R177)=0,"",IFERROR(ROUND(SUM(O177:R177)/SUMPRODUCT(ISNUMBER(O177:R177)*$O$8:$R$8)*10,2),""))))</f>
        <v/>
      </c>
      <c r="U177" s="75"/>
      <c r="V177" s="76"/>
      <c r="W177" s="76"/>
      <c r="X177" s="76"/>
      <c r="Y177" s="76"/>
      <c r="Z177" s="79" t="str">
        <f aca="false">IF(B177="","",IF($U177="NON",0,IF(COUNT(V177:Y177)=0,"",SUM(V177:Y177))))</f>
        <v/>
      </c>
      <c r="AA177" s="77" t="str">
        <f aca="false">IF(B177="","",IF($U177="NON",0,IF(COUNT(V177:Y177)=0,"",IFERROR(ROUND(SUM(V177:Y177)/SUMPRODUCT(ISNUMBER(V177:Y177)*$V$8:$Y$8)*10,2),""))))</f>
        <v/>
      </c>
      <c r="AB177" s="75"/>
      <c r="AC177" s="76"/>
      <c r="AD177" s="76"/>
      <c r="AE177" s="76"/>
      <c r="AF177" s="76"/>
      <c r="AG177" s="79" t="str">
        <f aca="false">IF(B177="","",IF($AB177="NON",0,IF(COUNT(AC177:AF177)=0,"",SUM(AC177:AF177))))</f>
        <v/>
      </c>
      <c r="AH177" s="77" t="str">
        <f aca="false">IF(B177="","",IF($AB177="NON",0,IF(COUNT(AC177:AF177)=0,"",IFERROR(ROUND(SUM(AC177:AF177)/SUMPRODUCT(ISNUMBER(AC177:AF177)*$AC$8:$AF$8)*10,2),""))))</f>
        <v/>
      </c>
      <c r="AI177" s="51" t="str">
        <f aca="false">IFERROR(MATCH("CE1-168",'REGISTRE ELEVES'!$AI$10:$AI$250,0),"")</f>
        <v/>
      </c>
    </row>
    <row r="178" customFormat="false" ht="15" hidden="false" customHeight="false" outlineLevel="0" collapsed="false">
      <c r="A178" s="73" t="str">
        <f aca="false">IF(B178="","",169)</f>
        <v/>
      </c>
      <c r="B178" s="73" t="str">
        <f aca="false">IF($AI178="","",INDEX('REGISTRE ELEVES'!$B$10:$B$250,$AI178))</f>
        <v/>
      </c>
      <c r="C178" s="74" t="str">
        <f aca="false">IF($AI178="","",INDEX('REGISTRE ELEVES'!$D$10:$D$250,$AI178))</f>
        <v/>
      </c>
      <c r="D178" s="73" t="str">
        <f aca="false">IF($AI178="","",INDEX('REGISTRE ELEVES'!$E$10:$E$250,$AI178))</f>
        <v/>
      </c>
      <c r="E178" s="73" t="str">
        <f aca="false">IF($AI178="","",INDEX('REGISTRE ELEVES'!$F$10:$F$250,$AI178))</f>
        <v/>
      </c>
      <c r="F178" s="73" t="str">
        <f aca="false">IF($AI178="","",INDEX('REGISTRE ELEVES'!$AE$10:$AE$250,$AI178))</f>
        <v/>
      </c>
      <c r="G178" s="75"/>
      <c r="H178" s="76"/>
      <c r="I178" s="76"/>
      <c r="J178" s="76"/>
      <c r="K178" s="76"/>
      <c r="L178" s="79" t="str">
        <f aca="false">IF(B178="","",IF($G178="NON",0,IF(COUNT(H178:K178)=0,"",SUM(H178:K178))))</f>
        <v/>
      </c>
      <c r="M178" s="77" t="str">
        <f aca="false">IF(B178="","",IF($G178="NON",0,IF(COUNT(H178:K178)=0,"",IFERROR(ROUND(SUM(H178:K178)/SUMPRODUCT(ISNUMBER(H178:K178)*$H$8:$K$8)*10,2),""))))</f>
        <v/>
      </c>
      <c r="N178" s="75"/>
      <c r="O178" s="76"/>
      <c r="P178" s="76"/>
      <c r="Q178" s="76"/>
      <c r="R178" s="76"/>
      <c r="S178" s="79" t="str">
        <f aca="false">IF(B178="","",IF($N178="NON",0,IF(COUNT(O178:R178)=0,"",SUM(O178:R178))))</f>
        <v/>
      </c>
      <c r="T178" s="77" t="str">
        <f aca="false">IF(B178="","",IF($N178="NON",0,IF(COUNT(O178:R178)=0,"",IFERROR(ROUND(SUM(O178:R178)/SUMPRODUCT(ISNUMBER(O178:R178)*$O$8:$R$8)*10,2),""))))</f>
        <v/>
      </c>
      <c r="U178" s="75"/>
      <c r="V178" s="76"/>
      <c r="W178" s="76"/>
      <c r="X178" s="76"/>
      <c r="Y178" s="76"/>
      <c r="Z178" s="79" t="str">
        <f aca="false">IF(B178="","",IF($U178="NON",0,IF(COUNT(V178:Y178)=0,"",SUM(V178:Y178))))</f>
        <v/>
      </c>
      <c r="AA178" s="77" t="str">
        <f aca="false">IF(B178="","",IF($U178="NON",0,IF(COUNT(V178:Y178)=0,"",IFERROR(ROUND(SUM(V178:Y178)/SUMPRODUCT(ISNUMBER(V178:Y178)*$V$8:$Y$8)*10,2),""))))</f>
        <v/>
      </c>
      <c r="AB178" s="75"/>
      <c r="AC178" s="76"/>
      <c r="AD178" s="76"/>
      <c r="AE178" s="76"/>
      <c r="AF178" s="76"/>
      <c r="AG178" s="79" t="str">
        <f aca="false">IF(B178="","",IF($AB178="NON",0,IF(COUNT(AC178:AF178)=0,"",SUM(AC178:AF178))))</f>
        <v/>
      </c>
      <c r="AH178" s="77" t="str">
        <f aca="false">IF(B178="","",IF($AB178="NON",0,IF(COUNT(AC178:AF178)=0,"",IFERROR(ROUND(SUM(AC178:AF178)/SUMPRODUCT(ISNUMBER(AC178:AF178)*$AC$8:$AF$8)*10,2),""))))</f>
        <v/>
      </c>
      <c r="AI178" s="51" t="str">
        <f aca="false">IFERROR(MATCH("CE1-169",'REGISTRE ELEVES'!$AI$10:$AI$250,0),"")</f>
        <v/>
      </c>
    </row>
    <row r="179" customFormat="false" ht="15" hidden="false" customHeight="false" outlineLevel="0" collapsed="false">
      <c r="A179" s="73" t="str">
        <f aca="false">IF(B179="","",170)</f>
        <v/>
      </c>
      <c r="B179" s="73" t="str">
        <f aca="false">IF($AI179="","",INDEX('REGISTRE ELEVES'!$B$10:$B$250,$AI179))</f>
        <v/>
      </c>
      <c r="C179" s="74" t="str">
        <f aca="false">IF($AI179="","",INDEX('REGISTRE ELEVES'!$D$10:$D$250,$AI179))</f>
        <v/>
      </c>
      <c r="D179" s="73" t="str">
        <f aca="false">IF($AI179="","",INDEX('REGISTRE ELEVES'!$E$10:$E$250,$AI179))</f>
        <v/>
      </c>
      <c r="E179" s="73" t="str">
        <f aca="false">IF($AI179="","",INDEX('REGISTRE ELEVES'!$F$10:$F$250,$AI179))</f>
        <v/>
      </c>
      <c r="F179" s="73" t="str">
        <f aca="false">IF($AI179="","",INDEX('REGISTRE ELEVES'!$AE$10:$AE$250,$AI179))</f>
        <v/>
      </c>
      <c r="G179" s="75"/>
      <c r="H179" s="76"/>
      <c r="I179" s="76"/>
      <c r="J179" s="76"/>
      <c r="K179" s="76"/>
      <c r="L179" s="79" t="str">
        <f aca="false">IF(B179="","",IF($G179="NON",0,IF(COUNT(H179:K179)=0,"",SUM(H179:K179))))</f>
        <v/>
      </c>
      <c r="M179" s="77" t="str">
        <f aca="false">IF(B179="","",IF($G179="NON",0,IF(COUNT(H179:K179)=0,"",IFERROR(ROUND(SUM(H179:K179)/SUMPRODUCT(ISNUMBER(H179:K179)*$H$8:$K$8)*10,2),""))))</f>
        <v/>
      </c>
      <c r="N179" s="75"/>
      <c r="O179" s="76"/>
      <c r="P179" s="76"/>
      <c r="Q179" s="76"/>
      <c r="R179" s="76"/>
      <c r="S179" s="79" t="str">
        <f aca="false">IF(B179="","",IF($N179="NON",0,IF(COUNT(O179:R179)=0,"",SUM(O179:R179))))</f>
        <v/>
      </c>
      <c r="T179" s="77" t="str">
        <f aca="false">IF(B179="","",IF($N179="NON",0,IF(COUNT(O179:R179)=0,"",IFERROR(ROUND(SUM(O179:R179)/SUMPRODUCT(ISNUMBER(O179:R179)*$O$8:$R$8)*10,2),""))))</f>
        <v/>
      </c>
      <c r="U179" s="75"/>
      <c r="V179" s="76"/>
      <c r="W179" s="76"/>
      <c r="X179" s="76"/>
      <c r="Y179" s="76"/>
      <c r="Z179" s="79" t="str">
        <f aca="false">IF(B179="","",IF($U179="NON",0,IF(COUNT(V179:Y179)=0,"",SUM(V179:Y179))))</f>
        <v/>
      </c>
      <c r="AA179" s="77" t="str">
        <f aca="false">IF(B179="","",IF($U179="NON",0,IF(COUNT(V179:Y179)=0,"",IFERROR(ROUND(SUM(V179:Y179)/SUMPRODUCT(ISNUMBER(V179:Y179)*$V$8:$Y$8)*10,2),""))))</f>
        <v/>
      </c>
      <c r="AB179" s="75"/>
      <c r="AC179" s="76"/>
      <c r="AD179" s="76"/>
      <c r="AE179" s="76"/>
      <c r="AF179" s="76"/>
      <c r="AG179" s="79" t="str">
        <f aca="false">IF(B179="","",IF($AB179="NON",0,IF(COUNT(AC179:AF179)=0,"",SUM(AC179:AF179))))</f>
        <v/>
      </c>
      <c r="AH179" s="77" t="str">
        <f aca="false">IF(B179="","",IF($AB179="NON",0,IF(COUNT(AC179:AF179)=0,"",IFERROR(ROUND(SUM(AC179:AF179)/SUMPRODUCT(ISNUMBER(AC179:AF179)*$AC$8:$AF$8)*10,2),""))))</f>
        <v/>
      </c>
      <c r="AI179" s="51" t="str">
        <f aca="false">IFERROR(MATCH("CE1-170",'REGISTRE ELEVES'!$AI$10:$AI$250,0),"")</f>
        <v/>
      </c>
    </row>
    <row r="180" customFormat="false" ht="15" hidden="false" customHeight="false" outlineLevel="0" collapsed="false">
      <c r="A180" s="73" t="str">
        <f aca="false">IF(B180="","",171)</f>
        <v/>
      </c>
      <c r="B180" s="73" t="str">
        <f aca="false">IF($AI180="","",INDEX('REGISTRE ELEVES'!$B$10:$B$250,$AI180))</f>
        <v/>
      </c>
      <c r="C180" s="74" t="str">
        <f aca="false">IF($AI180="","",INDEX('REGISTRE ELEVES'!$D$10:$D$250,$AI180))</f>
        <v/>
      </c>
      <c r="D180" s="73" t="str">
        <f aca="false">IF($AI180="","",INDEX('REGISTRE ELEVES'!$E$10:$E$250,$AI180))</f>
        <v/>
      </c>
      <c r="E180" s="73" t="str">
        <f aca="false">IF($AI180="","",INDEX('REGISTRE ELEVES'!$F$10:$F$250,$AI180))</f>
        <v/>
      </c>
      <c r="F180" s="73" t="str">
        <f aca="false">IF($AI180="","",INDEX('REGISTRE ELEVES'!$AE$10:$AE$250,$AI180))</f>
        <v/>
      </c>
      <c r="G180" s="75"/>
      <c r="H180" s="76"/>
      <c r="I180" s="76"/>
      <c r="J180" s="76"/>
      <c r="K180" s="76"/>
      <c r="L180" s="79" t="str">
        <f aca="false">IF(B180="","",IF($G180="NON",0,IF(COUNT(H180:K180)=0,"",SUM(H180:K180))))</f>
        <v/>
      </c>
      <c r="M180" s="77" t="str">
        <f aca="false">IF(B180="","",IF($G180="NON",0,IF(COUNT(H180:K180)=0,"",IFERROR(ROUND(SUM(H180:K180)/SUMPRODUCT(ISNUMBER(H180:K180)*$H$8:$K$8)*10,2),""))))</f>
        <v/>
      </c>
      <c r="N180" s="75"/>
      <c r="O180" s="76"/>
      <c r="P180" s="76"/>
      <c r="Q180" s="76"/>
      <c r="R180" s="76"/>
      <c r="S180" s="79" t="str">
        <f aca="false">IF(B180="","",IF($N180="NON",0,IF(COUNT(O180:R180)=0,"",SUM(O180:R180))))</f>
        <v/>
      </c>
      <c r="T180" s="77" t="str">
        <f aca="false">IF(B180="","",IF($N180="NON",0,IF(COUNT(O180:R180)=0,"",IFERROR(ROUND(SUM(O180:R180)/SUMPRODUCT(ISNUMBER(O180:R180)*$O$8:$R$8)*10,2),""))))</f>
        <v/>
      </c>
      <c r="U180" s="75"/>
      <c r="V180" s="76"/>
      <c r="W180" s="76"/>
      <c r="X180" s="76"/>
      <c r="Y180" s="76"/>
      <c r="Z180" s="79" t="str">
        <f aca="false">IF(B180="","",IF($U180="NON",0,IF(COUNT(V180:Y180)=0,"",SUM(V180:Y180))))</f>
        <v/>
      </c>
      <c r="AA180" s="77" t="str">
        <f aca="false">IF(B180="","",IF($U180="NON",0,IF(COUNT(V180:Y180)=0,"",IFERROR(ROUND(SUM(V180:Y180)/SUMPRODUCT(ISNUMBER(V180:Y180)*$V$8:$Y$8)*10,2),""))))</f>
        <v/>
      </c>
      <c r="AB180" s="75"/>
      <c r="AC180" s="76"/>
      <c r="AD180" s="76"/>
      <c r="AE180" s="76"/>
      <c r="AF180" s="76"/>
      <c r="AG180" s="79" t="str">
        <f aca="false">IF(B180="","",IF($AB180="NON",0,IF(COUNT(AC180:AF180)=0,"",SUM(AC180:AF180))))</f>
        <v/>
      </c>
      <c r="AH180" s="77" t="str">
        <f aca="false">IF(B180="","",IF($AB180="NON",0,IF(COUNT(AC180:AF180)=0,"",IFERROR(ROUND(SUM(AC180:AF180)/SUMPRODUCT(ISNUMBER(AC180:AF180)*$AC$8:$AF$8)*10,2),""))))</f>
        <v/>
      </c>
      <c r="AI180" s="51" t="str">
        <f aca="false">IFERROR(MATCH("CE1-171",'REGISTRE ELEVES'!$AI$10:$AI$250,0),"")</f>
        <v/>
      </c>
    </row>
    <row r="181" customFormat="false" ht="15" hidden="false" customHeight="false" outlineLevel="0" collapsed="false">
      <c r="A181" s="73" t="str">
        <f aca="false">IF(B181="","",172)</f>
        <v/>
      </c>
      <c r="B181" s="73" t="str">
        <f aca="false">IF($AI181="","",INDEX('REGISTRE ELEVES'!$B$10:$B$250,$AI181))</f>
        <v/>
      </c>
      <c r="C181" s="74" t="str">
        <f aca="false">IF($AI181="","",INDEX('REGISTRE ELEVES'!$D$10:$D$250,$AI181))</f>
        <v/>
      </c>
      <c r="D181" s="73" t="str">
        <f aca="false">IF($AI181="","",INDEX('REGISTRE ELEVES'!$E$10:$E$250,$AI181))</f>
        <v/>
      </c>
      <c r="E181" s="73" t="str">
        <f aca="false">IF($AI181="","",INDEX('REGISTRE ELEVES'!$F$10:$F$250,$AI181))</f>
        <v/>
      </c>
      <c r="F181" s="73" t="str">
        <f aca="false">IF($AI181="","",INDEX('REGISTRE ELEVES'!$AE$10:$AE$250,$AI181))</f>
        <v/>
      </c>
      <c r="G181" s="75"/>
      <c r="H181" s="76"/>
      <c r="I181" s="76"/>
      <c r="J181" s="76"/>
      <c r="K181" s="76"/>
      <c r="L181" s="79" t="str">
        <f aca="false">IF(B181="","",IF($G181="NON",0,IF(COUNT(H181:K181)=0,"",SUM(H181:K181))))</f>
        <v/>
      </c>
      <c r="M181" s="77" t="str">
        <f aca="false">IF(B181="","",IF($G181="NON",0,IF(COUNT(H181:K181)=0,"",IFERROR(ROUND(SUM(H181:K181)/SUMPRODUCT(ISNUMBER(H181:K181)*$H$8:$K$8)*10,2),""))))</f>
        <v/>
      </c>
      <c r="N181" s="75"/>
      <c r="O181" s="76"/>
      <c r="P181" s="76"/>
      <c r="Q181" s="76"/>
      <c r="R181" s="76"/>
      <c r="S181" s="79" t="str">
        <f aca="false">IF(B181="","",IF($N181="NON",0,IF(COUNT(O181:R181)=0,"",SUM(O181:R181))))</f>
        <v/>
      </c>
      <c r="T181" s="77" t="str">
        <f aca="false">IF(B181="","",IF($N181="NON",0,IF(COUNT(O181:R181)=0,"",IFERROR(ROUND(SUM(O181:R181)/SUMPRODUCT(ISNUMBER(O181:R181)*$O$8:$R$8)*10,2),""))))</f>
        <v/>
      </c>
      <c r="U181" s="75"/>
      <c r="V181" s="76"/>
      <c r="W181" s="76"/>
      <c r="X181" s="76"/>
      <c r="Y181" s="76"/>
      <c r="Z181" s="79" t="str">
        <f aca="false">IF(B181="","",IF($U181="NON",0,IF(COUNT(V181:Y181)=0,"",SUM(V181:Y181))))</f>
        <v/>
      </c>
      <c r="AA181" s="77" t="str">
        <f aca="false">IF(B181="","",IF($U181="NON",0,IF(COUNT(V181:Y181)=0,"",IFERROR(ROUND(SUM(V181:Y181)/SUMPRODUCT(ISNUMBER(V181:Y181)*$V$8:$Y$8)*10,2),""))))</f>
        <v/>
      </c>
      <c r="AB181" s="75"/>
      <c r="AC181" s="76"/>
      <c r="AD181" s="76"/>
      <c r="AE181" s="76"/>
      <c r="AF181" s="76"/>
      <c r="AG181" s="79" t="str">
        <f aca="false">IF(B181="","",IF($AB181="NON",0,IF(COUNT(AC181:AF181)=0,"",SUM(AC181:AF181))))</f>
        <v/>
      </c>
      <c r="AH181" s="77" t="str">
        <f aca="false">IF(B181="","",IF($AB181="NON",0,IF(COUNT(AC181:AF181)=0,"",IFERROR(ROUND(SUM(AC181:AF181)/SUMPRODUCT(ISNUMBER(AC181:AF181)*$AC$8:$AF$8)*10,2),""))))</f>
        <v/>
      </c>
      <c r="AI181" s="51" t="str">
        <f aca="false">IFERROR(MATCH("CE1-172",'REGISTRE ELEVES'!$AI$10:$AI$250,0),"")</f>
        <v/>
      </c>
    </row>
    <row r="182" customFormat="false" ht="15" hidden="false" customHeight="false" outlineLevel="0" collapsed="false">
      <c r="A182" s="73" t="str">
        <f aca="false">IF(B182="","",173)</f>
        <v/>
      </c>
      <c r="B182" s="73" t="str">
        <f aca="false">IF($AI182="","",INDEX('REGISTRE ELEVES'!$B$10:$B$250,$AI182))</f>
        <v/>
      </c>
      <c r="C182" s="74" t="str">
        <f aca="false">IF($AI182="","",INDEX('REGISTRE ELEVES'!$D$10:$D$250,$AI182))</f>
        <v/>
      </c>
      <c r="D182" s="73" t="str">
        <f aca="false">IF($AI182="","",INDEX('REGISTRE ELEVES'!$E$10:$E$250,$AI182))</f>
        <v/>
      </c>
      <c r="E182" s="73" t="str">
        <f aca="false">IF($AI182="","",INDEX('REGISTRE ELEVES'!$F$10:$F$250,$AI182))</f>
        <v/>
      </c>
      <c r="F182" s="73" t="str">
        <f aca="false">IF($AI182="","",INDEX('REGISTRE ELEVES'!$AE$10:$AE$250,$AI182))</f>
        <v/>
      </c>
      <c r="G182" s="75"/>
      <c r="H182" s="76"/>
      <c r="I182" s="76"/>
      <c r="J182" s="76"/>
      <c r="K182" s="76"/>
      <c r="L182" s="79" t="str">
        <f aca="false">IF(B182="","",IF($G182="NON",0,IF(COUNT(H182:K182)=0,"",SUM(H182:K182))))</f>
        <v/>
      </c>
      <c r="M182" s="77" t="str">
        <f aca="false">IF(B182="","",IF($G182="NON",0,IF(COUNT(H182:K182)=0,"",IFERROR(ROUND(SUM(H182:K182)/SUMPRODUCT(ISNUMBER(H182:K182)*$H$8:$K$8)*10,2),""))))</f>
        <v/>
      </c>
      <c r="N182" s="75"/>
      <c r="O182" s="76"/>
      <c r="P182" s="76"/>
      <c r="Q182" s="76"/>
      <c r="R182" s="76"/>
      <c r="S182" s="79" t="str">
        <f aca="false">IF(B182="","",IF($N182="NON",0,IF(COUNT(O182:R182)=0,"",SUM(O182:R182))))</f>
        <v/>
      </c>
      <c r="T182" s="77" t="str">
        <f aca="false">IF(B182="","",IF($N182="NON",0,IF(COUNT(O182:R182)=0,"",IFERROR(ROUND(SUM(O182:R182)/SUMPRODUCT(ISNUMBER(O182:R182)*$O$8:$R$8)*10,2),""))))</f>
        <v/>
      </c>
      <c r="U182" s="75"/>
      <c r="V182" s="76"/>
      <c r="W182" s="76"/>
      <c r="X182" s="76"/>
      <c r="Y182" s="76"/>
      <c r="Z182" s="79" t="str">
        <f aca="false">IF(B182="","",IF($U182="NON",0,IF(COUNT(V182:Y182)=0,"",SUM(V182:Y182))))</f>
        <v/>
      </c>
      <c r="AA182" s="77" t="str">
        <f aca="false">IF(B182="","",IF($U182="NON",0,IF(COUNT(V182:Y182)=0,"",IFERROR(ROUND(SUM(V182:Y182)/SUMPRODUCT(ISNUMBER(V182:Y182)*$V$8:$Y$8)*10,2),""))))</f>
        <v/>
      </c>
      <c r="AB182" s="75"/>
      <c r="AC182" s="76"/>
      <c r="AD182" s="76"/>
      <c r="AE182" s="76"/>
      <c r="AF182" s="76"/>
      <c r="AG182" s="79" t="str">
        <f aca="false">IF(B182="","",IF($AB182="NON",0,IF(COUNT(AC182:AF182)=0,"",SUM(AC182:AF182))))</f>
        <v/>
      </c>
      <c r="AH182" s="77" t="str">
        <f aca="false">IF(B182="","",IF($AB182="NON",0,IF(COUNT(AC182:AF182)=0,"",IFERROR(ROUND(SUM(AC182:AF182)/SUMPRODUCT(ISNUMBER(AC182:AF182)*$AC$8:$AF$8)*10,2),""))))</f>
        <v/>
      </c>
      <c r="AI182" s="51" t="str">
        <f aca="false">IFERROR(MATCH("CE1-173",'REGISTRE ELEVES'!$AI$10:$AI$250,0),"")</f>
        <v/>
      </c>
    </row>
    <row r="183" customFormat="false" ht="15" hidden="false" customHeight="false" outlineLevel="0" collapsed="false">
      <c r="A183" s="73" t="str">
        <f aca="false">IF(B183="","",174)</f>
        <v/>
      </c>
      <c r="B183" s="73" t="str">
        <f aca="false">IF($AI183="","",INDEX('REGISTRE ELEVES'!$B$10:$B$250,$AI183))</f>
        <v/>
      </c>
      <c r="C183" s="74" t="str">
        <f aca="false">IF($AI183="","",INDEX('REGISTRE ELEVES'!$D$10:$D$250,$AI183))</f>
        <v/>
      </c>
      <c r="D183" s="73" t="str">
        <f aca="false">IF($AI183="","",INDEX('REGISTRE ELEVES'!$E$10:$E$250,$AI183))</f>
        <v/>
      </c>
      <c r="E183" s="73" t="str">
        <f aca="false">IF($AI183="","",INDEX('REGISTRE ELEVES'!$F$10:$F$250,$AI183))</f>
        <v/>
      </c>
      <c r="F183" s="73" t="str">
        <f aca="false">IF($AI183="","",INDEX('REGISTRE ELEVES'!$AE$10:$AE$250,$AI183))</f>
        <v/>
      </c>
      <c r="G183" s="75"/>
      <c r="H183" s="76"/>
      <c r="I183" s="76"/>
      <c r="J183" s="76"/>
      <c r="K183" s="76"/>
      <c r="L183" s="79" t="str">
        <f aca="false">IF(B183="","",IF($G183="NON",0,IF(COUNT(H183:K183)=0,"",SUM(H183:K183))))</f>
        <v/>
      </c>
      <c r="M183" s="77" t="str">
        <f aca="false">IF(B183="","",IF($G183="NON",0,IF(COUNT(H183:K183)=0,"",IFERROR(ROUND(SUM(H183:K183)/SUMPRODUCT(ISNUMBER(H183:K183)*$H$8:$K$8)*10,2),""))))</f>
        <v/>
      </c>
      <c r="N183" s="75"/>
      <c r="O183" s="76"/>
      <c r="P183" s="76"/>
      <c r="Q183" s="76"/>
      <c r="R183" s="76"/>
      <c r="S183" s="79" t="str">
        <f aca="false">IF(B183="","",IF($N183="NON",0,IF(COUNT(O183:R183)=0,"",SUM(O183:R183))))</f>
        <v/>
      </c>
      <c r="T183" s="77" t="str">
        <f aca="false">IF(B183="","",IF($N183="NON",0,IF(COUNT(O183:R183)=0,"",IFERROR(ROUND(SUM(O183:R183)/SUMPRODUCT(ISNUMBER(O183:R183)*$O$8:$R$8)*10,2),""))))</f>
        <v/>
      </c>
      <c r="U183" s="75"/>
      <c r="V183" s="76"/>
      <c r="W183" s="76"/>
      <c r="X183" s="76"/>
      <c r="Y183" s="76"/>
      <c r="Z183" s="79" t="str">
        <f aca="false">IF(B183="","",IF($U183="NON",0,IF(COUNT(V183:Y183)=0,"",SUM(V183:Y183))))</f>
        <v/>
      </c>
      <c r="AA183" s="77" t="str">
        <f aca="false">IF(B183="","",IF($U183="NON",0,IF(COUNT(V183:Y183)=0,"",IFERROR(ROUND(SUM(V183:Y183)/SUMPRODUCT(ISNUMBER(V183:Y183)*$V$8:$Y$8)*10,2),""))))</f>
        <v/>
      </c>
      <c r="AB183" s="75"/>
      <c r="AC183" s="76"/>
      <c r="AD183" s="76"/>
      <c r="AE183" s="76"/>
      <c r="AF183" s="76"/>
      <c r="AG183" s="79" t="str">
        <f aca="false">IF(B183="","",IF($AB183="NON",0,IF(COUNT(AC183:AF183)=0,"",SUM(AC183:AF183))))</f>
        <v/>
      </c>
      <c r="AH183" s="77" t="str">
        <f aca="false">IF(B183="","",IF($AB183="NON",0,IF(COUNT(AC183:AF183)=0,"",IFERROR(ROUND(SUM(AC183:AF183)/SUMPRODUCT(ISNUMBER(AC183:AF183)*$AC$8:$AF$8)*10,2),""))))</f>
        <v/>
      </c>
      <c r="AI183" s="51" t="str">
        <f aca="false">IFERROR(MATCH("CE1-174",'REGISTRE ELEVES'!$AI$10:$AI$250,0),"")</f>
        <v/>
      </c>
    </row>
    <row r="184" customFormat="false" ht="15" hidden="false" customHeight="false" outlineLevel="0" collapsed="false">
      <c r="A184" s="73" t="str">
        <f aca="false">IF(B184="","",175)</f>
        <v/>
      </c>
      <c r="B184" s="73" t="str">
        <f aca="false">IF($AI184="","",INDEX('REGISTRE ELEVES'!$B$10:$B$250,$AI184))</f>
        <v/>
      </c>
      <c r="C184" s="74" t="str">
        <f aca="false">IF($AI184="","",INDEX('REGISTRE ELEVES'!$D$10:$D$250,$AI184))</f>
        <v/>
      </c>
      <c r="D184" s="73" t="str">
        <f aca="false">IF($AI184="","",INDEX('REGISTRE ELEVES'!$E$10:$E$250,$AI184))</f>
        <v/>
      </c>
      <c r="E184" s="73" t="str">
        <f aca="false">IF($AI184="","",INDEX('REGISTRE ELEVES'!$F$10:$F$250,$AI184))</f>
        <v/>
      </c>
      <c r="F184" s="73" t="str">
        <f aca="false">IF($AI184="","",INDEX('REGISTRE ELEVES'!$AE$10:$AE$250,$AI184))</f>
        <v/>
      </c>
      <c r="G184" s="75"/>
      <c r="H184" s="76"/>
      <c r="I184" s="76"/>
      <c r="J184" s="76"/>
      <c r="K184" s="76"/>
      <c r="L184" s="79" t="str">
        <f aca="false">IF(B184="","",IF($G184="NON",0,IF(COUNT(H184:K184)=0,"",SUM(H184:K184))))</f>
        <v/>
      </c>
      <c r="M184" s="77" t="str">
        <f aca="false">IF(B184="","",IF($G184="NON",0,IF(COUNT(H184:K184)=0,"",IFERROR(ROUND(SUM(H184:K184)/SUMPRODUCT(ISNUMBER(H184:K184)*$H$8:$K$8)*10,2),""))))</f>
        <v/>
      </c>
      <c r="N184" s="75"/>
      <c r="O184" s="76"/>
      <c r="P184" s="76"/>
      <c r="Q184" s="76"/>
      <c r="R184" s="76"/>
      <c r="S184" s="79" t="str">
        <f aca="false">IF(B184="","",IF($N184="NON",0,IF(COUNT(O184:R184)=0,"",SUM(O184:R184))))</f>
        <v/>
      </c>
      <c r="T184" s="77" t="str">
        <f aca="false">IF(B184="","",IF($N184="NON",0,IF(COUNT(O184:R184)=0,"",IFERROR(ROUND(SUM(O184:R184)/SUMPRODUCT(ISNUMBER(O184:R184)*$O$8:$R$8)*10,2),""))))</f>
        <v/>
      </c>
      <c r="U184" s="75"/>
      <c r="V184" s="76"/>
      <c r="W184" s="76"/>
      <c r="X184" s="76"/>
      <c r="Y184" s="76"/>
      <c r="Z184" s="79" t="str">
        <f aca="false">IF(B184="","",IF($U184="NON",0,IF(COUNT(V184:Y184)=0,"",SUM(V184:Y184))))</f>
        <v/>
      </c>
      <c r="AA184" s="77" t="str">
        <f aca="false">IF(B184="","",IF($U184="NON",0,IF(COUNT(V184:Y184)=0,"",IFERROR(ROUND(SUM(V184:Y184)/SUMPRODUCT(ISNUMBER(V184:Y184)*$V$8:$Y$8)*10,2),""))))</f>
        <v/>
      </c>
      <c r="AB184" s="75"/>
      <c r="AC184" s="76"/>
      <c r="AD184" s="76"/>
      <c r="AE184" s="76"/>
      <c r="AF184" s="76"/>
      <c r="AG184" s="79" t="str">
        <f aca="false">IF(B184="","",IF($AB184="NON",0,IF(COUNT(AC184:AF184)=0,"",SUM(AC184:AF184))))</f>
        <v/>
      </c>
      <c r="AH184" s="77" t="str">
        <f aca="false">IF(B184="","",IF($AB184="NON",0,IF(COUNT(AC184:AF184)=0,"",IFERROR(ROUND(SUM(AC184:AF184)/SUMPRODUCT(ISNUMBER(AC184:AF184)*$AC$8:$AF$8)*10,2),""))))</f>
        <v/>
      </c>
      <c r="AI184" s="51" t="str">
        <f aca="false">IFERROR(MATCH("CE1-175",'REGISTRE ELEVES'!$AI$10:$AI$250,0),"")</f>
        <v/>
      </c>
    </row>
    <row r="185" customFormat="false" ht="15" hidden="false" customHeight="false" outlineLevel="0" collapsed="false">
      <c r="A185" s="73" t="str">
        <f aca="false">IF(B185="","",176)</f>
        <v/>
      </c>
      <c r="B185" s="73" t="str">
        <f aca="false">IF($AI185="","",INDEX('REGISTRE ELEVES'!$B$10:$B$250,$AI185))</f>
        <v/>
      </c>
      <c r="C185" s="74" t="str">
        <f aca="false">IF($AI185="","",INDEX('REGISTRE ELEVES'!$D$10:$D$250,$AI185))</f>
        <v/>
      </c>
      <c r="D185" s="73" t="str">
        <f aca="false">IF($AI185="","",INDEX('REGISTRE ELEVES'!$E$10:$E$250,$AI185))</f>
        <v/>
      </c>
      <c r="E185" s="73" t="str">
        <f aca="false">IF($AI185="","",INDEX('REGISTRE ELEVES'!$F$10:$F$250,$AI185))</f>
        <v/>
      </c>
      <c r="F185" s="73" t="str">
        <f aca="false">IF($AI185="","",INDEX('REGISTRE ELEVES'!$AE$10:$AE$250,$AI185))</f>
        <v/>
      </c>
      <c r="G185" s="75"/>
      <c r="H185" s="76"/>
      <c r="I185" s="76"/>
      <c r="J185" s="76"/>
      <c r="K185" s="76"/>
      <c r="L185" s="79" t="str">
        <f aca="false">IF(B185="","",IF($G185="NON",0,IF(COUNT(H185:K185)=0,"",SUM(H185:K185))))</f>
        <v/>
      </c>
      <c r="M185" s="77" t="str">
        <f aca="false">IF(B185="","",IF($G185="NON",0,IF(COUNT(H185:K185)=0,"",IFERROR(ROUND(SUM(H185:K185)/SUMPRODUCT(ISNUMBER(H185:K185)*$H$8:$K$8)*10,2),""))))</f>
        <v/>
      </c>
      <c r="N185" s="75"/>
      <c r="O185" s="76"/>
      <c r="P185" s="76"/>
      <c r="Q185" s="76"/>
      <c r="R185" s="76"/>
      <c r="S185" s="79" t="str">
        <f aca="false">IF(B185="","",IF($N185="NON",0,IF(COUNT(O185:R185)=0,"",SUM(O185:R185))))</f>
        <v/>
      </c>
      <c r="T185" s="77" t="str">
        <f aca="false">IF(B185="","",IF($N185="NON",0,IF(COUNT(O185:R185)=0,"",IFERROR(ROUND(SUM(O185:R185)/SUMPRODUCT(ISNUMBER(O185:R185)*$O$8:$R$8)*10,2),""))))</f>
        <v/>
      </c>
      <c r="U185" s="75"/>
      <c r="V185" s="76"/>
      <c r="W185" s="76"/>
      <c r="X185" s="76"/>
      <c r="Y185" s="76"/>
      <c r="Z185" s="79" t="str">
        <f aca="false">IF(B185="","",IF($U185="NON",0,IF(COUNT(V185:Y185)=0,"",SUM(V185:Y185))))</f>
        <v/>
      </c>
      <c r="AA185" s="77" t="str">
        <f aca="false">IF(B185="","",IF($U185="NON",0,IF(COUNT(V185:Y185)=0,"",IFERROR(ROUND(SUM(V185:Y185)/SUMPRODUCT(ISNUMBER(V185:Y185)*$V$8:$Y$8)*10,2),""))))</f>
        <v/>
      </c>
      <c r="AB185" s="75"/>
      <c r="AC185" s="76"/>
      <c r="AD185" s="76"/>
      <c r="AE185" s="76"/>
      <c r="AF185" s="76"/>
      <c r="AG185" s="79" t="str">
        <f aca="false">IF(B185="","",IF($AB185="NON",0,IF(COUNT(AC185:AF185)=0,"",SUM(AC185:AF185))))</f>
        <v/>
      </c>
      <c r="AH185" s="77" t="str">
        <f aca="false">IF(B185="","",IF($AB185="NON",0,IF(COUNT(AC185:AF185)=0,"",IFERROR(ROUND(SUM(AC185:AF185)/SUMPRODUCT(ISNUMBER(AC185:AF185)*$AC$8:$AF$8)*10,2),""))))</f>
        <v/>
      </c>
      <c r="AI185" s="51" t="str">
        <f aca="false">IFERROR(MATCH("CE1-176",'REGISTRE ELEVES'!$AI$10:$AI$250,0),"")</f>
        <v/>
      </c>
    </row>
    <row r="186" customFormat="false" ht="15" hidden="false" customHeight="false" outlineLevel="0" collapsed="false">
      <c r="A186" s="73" t="str">
        <f aca="false">IF(B186="","",177)</f>
        <v/>
      </c>
      <c r="B186" s="73" t="str">
        <f aca="false">IF($AI186="","",INDEX('REGISTRE ELEVES'!$B$10:$B$250,$AI186))</f>
        <v/>
      </c>
      <c r="C186" s="74" t="str">
        <f aca="false">IF($AI186="","",INDEX('REGISTRE ELEVES'!$D$10:$D$250,$AI186))</f>
        <v/>
      </c>
      <c r="D186" s="73" t="str">
        <f aca="false">IF($AI186="","",INDEX('REGISTRE ELEVES'!$E$10:$E$250,$AI186))</f>
        <v/>
      </c>
      <c r="E186" s="73" t="str">
        <f aca="false">IF($AI186="","",INDEX('REGISTRE ELEVES'!$F$10:$F$250,$AI186))</f>
        <v/>
      </c>
      <c r="F186" s="73" t="str">
        <f aca="false">IF($AI186="","",INDEX('REGISTRE ELEVES'!$AE$10:$AE$250,$AI186))</f>
        <v/>
      </c>
      <c r="G186" s="75"/>
      <c r="H186" s="76"/>
      <c r="I186" s="76"/>
      <c r="J186" s="76"/>
      <c r="K186" s="76"/>
      <c r="L186" s="79" t="str">
        <f aca="false">IF(B186="","",IF($G186="NON",0,IF(COUNT(H186:K186)=0,"",SUM(H186:K186))))</f>
        <v/>
      </c>
      <c r="M186" s="77" t="str">
        <f aca="false">IF(B186="","",IF($G186="NON",0,IF(COUNT(H186:K186)=0,"",IFERROR(ROUND(SUM(H186:K186)/SUMPRODUCT(ISNUMBER(H186:K186)*$H$8:$K$8)*10,2),""))))</f>
        <v/>
      </c>
      <c r="N186" s="75"/>
      <c r="O186" s="76"/>
      <c r="P186" s="76"/>
      <c r="Q186" s="76"/>
      <c r="R186" s="76"/>
      <c r="S186" s="79" t="str">
        <f aca="false">IF(B186="","",IF($N186="NON",0,IF(COUNT(O186:R186)=0,"",SUM(O186:R186))))</f>
        <v/>
      </c>
      <c r="T186" s="77" t="str">
        <f aca="false">IF(B186="","",IF($N186="NON",0,IF(COUNT(O186:R186)=0,"",IFERROR(ROUND(SUM(O186:R186)/SUMPRODUCT(ISNUMBER(O186:R186)*$O$8:$R$8)*10,2),""))))</f>
        <v/>
      </c>
      <c r="U186" s="75"/>
      <c r="V186" s="76"/>
      <c r="W186" s="76"/>
      <c r="X186" s="76"/>
      <c r="Y186" s="76"/>
      <c r="Z186" s="79" t="str">
        <f aca="false">IF(B186="","",IF($U186="NON",0,IF(COUNT(V186:Y186)=0,"",SUM(V186:Y186))))</f>
        <v/>
      </c>
      <c r="AA186" s="77" t="str">
        <f aca="false">IF(B186="","",IF($U186="NON",0,IF(COUNT(V186:Y186)=0,"",IFERROR(ROUND(SUM(V186:Y186)/SUMPRODUCT(ISNUMBER(V186:Y186)*$V$8:$Y$8)*10,2),""))))</f>
        <v/>
      </c>
      <c r="AB186" s="75"/>
      <c r="AC186" s="76"/>
      <c r="AD186" s="76"/>
      <c r="AE186" s="76"/>
      <c r="AF186" s="76"/>
      <c r="AG186" s="79" t="str">
        <f aca="false">IF(B186="","",IF($AB186="NON",0,IF(COUNT(AC186:AF186)=0,"",SUM(AC186:AF186))))</f>
        <v/>
      </c>
      <c r="AH186" s="77" t="str">
        <f aca="false">IF(B186="","",IF($AB186="NON",0,IF(COUNT(AC186:AF186)=0,"",IFERROR(ROUND(SUM(AC186:AF186)/SUMPRODUCT(ISNUMBER(AC186:AF186)*$AC$8:$AF$8)*10,2),""))))</f>
        <v/>
      </c>
      <c r="AI186" s="51" t="str">
        <f aca="false">IFERROR(MATCH("CE1-177",'REGISTRE ELEVES'!$AI$10:$AI$250,0),"")</f>
        <v/>
      </c>
    </row>
    <row r="187" customFormat="false" ht="15" hidden="false" customHeight="false" outlineLevel="0" collapsed="false">
      <c r="A187" s="73" t="str">
        <f aca="false">IF(B187="","",178)</f>
        <v/>
      </c>
      <c r="B187" s="73" t="str">
        <f aca="false">IF($AI187="","",INDEX('REGISTRE ELEVES'!$B$10:$B$250,$AI187))</f>
        <v/>
      </c>
      <c r="C187" s="74" t="str">
        <f aca="false">IF($AI187="","",INDEX('REGISTRE ELEVES'!$D$10:$D$250,$AI187))</f>
        <v/>
      </c>
      <c r="D187" s="73" t="str">
        <f aca="false">IF($AI187="","",INDEX('REGISTRE ELEVES'!$E$10:$E$250,$AI187))</f>
        <v/>
      </c>
      <c r="E187" s="73" t="str">
        <f aca="false">IF($AI187="","",INDEX('REGISTRE ELEVES'!$F$10:$F$250,$AI187))</f>
        <v/>
      </c>
      <c r="F187" s="73" t="str">
        <f aca="false">IF($AI187="","",INDEX('REGISTRE ELEVES'!$AE$10:$AE$250,$AI187))</f>
        <v/>
      </c>
      <c r="G187" s="75"/>
      <c r="H187" s="76"/>
      <c r="I187" s="76"/>
      <c r="J187" s="76"/>
      <c r="K187" s="76"/>
      <c r="L187" s="79" t="str">
        <f aca="false">IF(B187="","",IF($G187="NON",0,IF(COUNT(H187:K187)=0,"",SUM(H187:K187))))</f>
        <v/>
      </c>
      <c r="M187" s="77" t="str">
        <f aca="false">IF(B187="","",IF($G187="NON",0,IF(COUNT(H187:K187)=0,"",IFERROR(ROUND(SUM(H187:K187)/SUMPRODUCT(ISNUMBER(H187:K187)*$H$8:$K$8)*10,2),""))))</f>
        <v/>
      </c>
      <c r="N187" s="75"/>
      <c r="O187" s="76"/>
      <c r="P187" s="76"/>
      <c r="Q187" s="76"/>
      <c r="R187" s="76"/>
      <c r="S187" s="79" t="str">
        <f aca="false">IF(B187="","",IF($N187="NON",0,IF(COUNT(O187:R187)=0,"",SUM(O187:R187))))</f>
        <v/>
      </c>
      <c r="T187" s="77" t="str">
        <f aca="false">IF(B187="","",IF($N187="NON",0,IF(COUNT(O187:R187)=0,"",IFERROR(ROUND(SUM(O187:R187)/SUMPRODUCT(ISNUMBER(O187:R187)*$O$8:$R$8)*10,2),""))))</f>
        <v/>
      </c>
      <c r="U187" s="75"/>
      <c r="V187" s="76"/>
      <c r="W187" s="76"/>
      <c r="X187" s="76"/>
      <c r="Y187" s="76"/>
      <c r="Z187" s="79" t="str">
        <f aca="false">IF(B187="","",IF($U187="NON",0,IF(COUNT(V187:Y187)=0,"",SUM(V187:Y187))))</f>
        <v/>
      </c>
      <c r="AA187" s="77" t="str">
        <f aca="false">IF(B187="","",IF($U187="NON",0,IF(COUNT(V187:Y187)=0,"",IFERROR(ROUND(SUM(V187:Y187)/SUMPRODUCT(ISNUMBER(V187:Y187)*$V$8:$Y$8)*10,2),""))))</f>
        <v/>
      </c>
      <c r="AB187" s="75"/>
      <c r="AC187" s="76"/>
      <c r="AD187" s="76"/>
      <c r="AE187" s="76"/>
      <c r="AF187" s="76"/>
      <c r="AG187" s="79" t="str">
        <f aca="false">IF(B187="","",IF($AB187="NON",0,IF(COUNT(AC187:AF187)=0,"",SUM(AC187:AF187))))</f>
        <v/>
      </c>
      <c r="AH187" s="77" t="str">
        <f aca="false">IF(B187="","",IF($AB187="NON",0,IF(COUNT(AC187:AF187)=0,"",IFERROR(ROUND(SUM(AC187:AF187)/SUMPRODUCT(ISNUMBER(AC187:AF187)*$AC$8:$AF$8)*10,2),""))))</f>
        <v/>
      </c>
      <c r="AI187" s="51" t="str">
        <f aca="false">IFERROR(MATCH("CE1-178",'REGISTRE ELEVES'!$AI$10:$AI$250,0),"")</f>
        <v/>
      </c>
    </row>
    <row r="188" customFormat="false" ht="15" hidden="false" customHeight="false" outlineLevel="0" collapsed="false">
      <c r="A188" s="73" t="str">
        <f aca="false">IF(B188="","",179)</f>
        <v/>
      </c>
      <c r="B188" s="73" t="str">
        <f aca="false">IF($AI188="","",INDEX('REGISTRE ELEVES'!$B$10:$B$250,$AI188))</f>
        <v/>
      </c>
      <c r="C188" s="74" t="str">
        <f aca="false">IF($AI188="","",INDEX('REGISTRE ELEVES'!$D$10:$D$250,$AI188))</f>
        <v/>
      </c>
      <c r="D188" s="73" t="str">
        <f aca="false">IF($AI188="","",INDEX('REGISTRE ELEVES'!$E$10:$E$250,$AI188))</f>
        <v/>
      </c>
      <c r="E188" s="73" t="str">
        <f aca="false">IF($AI188="","",INDEX('REGISTRE ELEVES'!$F$10:$F$250,$AI188))</f>
        <v/>
      </c>
      <c r="F188" s="73" t="str">
        <f aca="false">IF($AI188="","",INDEX('REGISTRE ELEVES'!$AE$10:$AE$250,$AI188))</f>
        <v/>
      </c>
      <c r="G188" s="75"/>
      <c r="H188" s="76"/>
      <c r="I188" s="76"/>
      <c r="J188" s="76"/>
      <c r="K188" s="76"/>
      <c r="L188" s="79" t="str">
        <f aca="false">IF(B188="","",IF($G188="NON",0,IF(COUNT(H188:K188)=0,"",SUM(H188:K188))))</f>
        <v/>
      </c>
      <c r="M188" s="77" t="str">
        <f aca="false">IF(B188="","",IF($G188="NON",0,IF(COUNT(H188:K188)=0,"",IFERROR(ROUND(SUM(H188:K188)/SUMPRODUCT(ISNUMBER(H188:K188)*$H$8:$K$8)*10,2),""))))</f>
        <v/>
      </c>
      <c r="N188" s="75"/>
      <c r="O188" s="76"/>
      <c r="P188" s="76"/>
      <c r="Q188" s="76"/>
      <c r="R188" s="76"/>
      <c r="S188" s="79" t="str">
        <f aca="false">IF(B188="","",IF($N188="NON",0,IF(COUNT(O188:R188)=0,"",SUM(O188:R188))))</f>
        <v/>
      </c>
      <c r="T188" s="77" t="str">
        <f aca="false">IF(B188="","",IF($N188="NON",0,IF(COUNT(O188:R188)=0,"",IFERROR(ROUND(SUM(O188:R188)/SUMPRODUCT(ISNUMBER(O188:R188)*$O$8:$R$8)*10,2),""))))</f>
        <v/>
      </c>
      <c r="U188" s="75"/>
      <c r="V188" s="76"/>
      <c r="W188" s="76"/>
      <c r="X188" s="76"/>
      <c r="Y188" s="76"/>
      <c r="Z188" s="79" t="str">
        <f aca="false">IF(B188="","",IF($U188="NON",0,IF(COUNT(V188:Y188)=0,"",SUM(V188:Y188))))</f>
        <v/>
      </c>
      <c r="AA188" s="77" t="str">
        <f aca="false">IF(B188="","",IF($U188="NON",0,IF(COUNT(V188:Y188)=0,"",IFERROR(ROUND(SUM(V188:Y188)/SUMPRODUCT(ISNUMBER(V188:Y188)*$V$8:$Y$8)*10,2),""))))</f>
        <v/>
      </c>
      <c r="AB188" s="75"/>
      <c r="AC188" s="76"/>
      <c r="AD188" s="76"/>
      <c r="AE188" s="76"/>
      <c r="AF188" s="76"/>
      <c r="AG188" s="79" t="str">
        <f aca="false">IF(B188="","",IF($AB188="NON",0,IF(COUNT(AC188:AF188)=0,"",SUM(AC188:AF188))))</f>
        <v/>
      </c>
      <c r="AH188" s="77" t="str">
        <f aca="false">IF(B188="","",IF($AB188="NON",0,IF(COUNT(AC188:AF188)=0,"",IFERROR(ROUND(SUM(AC188:AF188)/SUMPRODUCT(ISNUMBER(AC188:AF188)*$AC$8:$AF$8)*10,2),""))))</f>
        <v/>
      </c>
      <c r="AI188" s="51" t="str">
        <f aca="false">IFERROR(MATCH("CE1-179",'REGISTRE ELEVES'!$AI$10:$AI$250,0),"")</f>
        <v/>
      </c>
    </row>
    <row r="189" customFormat="false" ht="15" hidden="false" customHeight="false" outlineLevel="0" collapsed="false">
      <c r="A189" s="73" t="str">
        <f aca="false">IF(B189="","",180)</f>
        <v/>
      </c>
      <c r="B189" s="73" t="str">
        <f aca="false">IF($AI189="","",INDEX('REGISTRE ELEVES'!$B$10:$B$250,$AI189))</f>
        <v/>
      </c>
      <c r="C189" s="74" t="str">
        <f aca="false">IF($AI189="","",INDEX('REGISTRE ELEVES'!$D$10:$D$250,$AI189))</f>
        <v/>
      </c>
      <c r="D189" s="73" t="str">
        <f aca="false">IF($AI189="","",INDEX('REGISTRE ELEVES'!$E$10:$E$250,$AI189))</f>
        <v/>
      </c>
      <c r="E189" s="73" t="str">
        <f aca="false">IF($AI189="","",INDEX('REGISTRE ELEVES'!$F$10:$F$250,$AI189))</f>
        <v/>
      </c>
      <c r="F189" s="73" t="str">
        <f aca="false">IF($AI189="","",INDEX('REGISTRE ELEVES'!$AE$10:$AE$250,$AI189))</f>
        <v/>
      </c>
      <c r="G189" s="75"/>
      <c r="H189" s="76"/>
      <c r="I189" s="76"/>
      <c r="J189" s="76"/>
      <c r="K189" s="76"/>
      <c r="L189" s="79" t="str">
        <f aca="false">IF(B189="","",IF($G189="NON",0,IF(COUNT(H189:K189)=0,"",SUM(H189:K189))))</f>
        <v/>
      </c>
      <c r="M189" s="77" t="str">
        <f aca="false">IF(B189="","",IF($G189="NON",0,IF(COUNT(H189:K189)=0,"",IFERROR(ROUND(SUM(H189:K189)/SUMPRODUCT(ISNUMBER(H189:K189)*$H$8:$K$8)*10,2),""))))</f>
        <v/>
      </c>
      <c r="N189" s="75"/>
      <c r="O189" s="76"/>
      <c r="P189" s="76"/>
      <c r="Q189" s="76"/>
      <c r="R189" s="76"/>
      <c r="S189" s="79" t="str">
        <f aca="false">IF(B189="","",IF($N189="NON",0,IF(COUNT(O189:R189)=0,"",SUM(O189:R189))))</f>
        <v/>
      </c>
      <c r="T189" s="77" t="str">
        <f aca="false">IF(B189="","",IF($N189="NON",0,IF(COUNT(O189:R189)=0,"",IFERROR(ROUND(SUM(O189:R189)/SUMPRODUCT(ISNUMBER(O189:R189)*$O$8:$R$8)*10,2),""))))</f>
        <v/>
      </c>
      <c r="U189" s="75"/>
      <c r="V189" s="76"/>
      <c r="W189" s="76"/>
      <c r="X189" s="76"/>
      <c r="Y189" s="76"/>
      <c r="Z189" s="79" t="str">
        <f aca="false">IF(B189="","",IF($U189="NON",0,IF(COUNT(V189:Y189)=0,"",SUM(V189:Y189))))</f>
        <v/>
      </c>
      <c r="AA189" s="77" t="str">
        <f aca="false">IF(B189="","",IF($U189="NON",0,IF(COUNT(V189:Y189)=0,"",IFERROR(ROUND(SUM(V189:Y189)/SUMPRODUCT(ISNUMBER(V189:Y189)*$V$8:$Y$8)*10,2),""))))</f>
        <v/>
      </c>
      <c r="AB189" s="75"/>
      <c r="AC189" s="76"/>
      <c r="AD189" s="76"/>
      <c r="AE189" s="76"/>
      <c r="AF189" s="76"/>
      <c r="AG189" s="79" t="str">
        <f aca="false">IF(B189="","",IF($AB189="NON",0,IF(COUNT(AC189:AF189)=0,"",SUM(AC189:AF189))))</f>
        <v/>
      </c>
      <c r="AH189" s="77" t="str">
        <f aca="false">IF(B189="","",IF($AB189="NON",0,IF(COUNT(AC189:AF189)=0,"",IFERROR(ROUND(SUM(AC189:AF189)/SUMPRODUCT(ISNUMBER(AC189:AF189)*$AC$8:$AF$8)*10,2),""))))</f>
        <v/>
      </c>
      <c r="AI189" s="51" t="str">
        <f aca="false">IFERROR(MATCH("CE1-180",'REGISTRE ELEVES'!$AI$10:$AI$250,0),"")</f>
        <v/>
      </c>
    </row>
    <row r="190" customFormat="false" ht="15" hidden="false" customHeight="false" outlineLevel="0" collapsed="false">
      <c r="A190" s="73" t="str">
        <f aca="false">IF(B190="","",181)</f>
        <v/>
      </c>
      <c r="B190" s="73" t="str">
        <f aca="false">IF($AI190="","",INDEX('REGISTRE ELEVES'!$B$10:$B$250,$AI190))</f>
        <v/>
      </c>
      <c r="C190" s="74" t="str">
        <f aca="false">IF($AI190="","",INDEX('REGISTRE ELEVES'!$D$10:$D$250,$AI190))</f>
        <v/>
      </c>
      <c r="D190" s="73" t="str">
        <f aca="false">IF($AI190="","",INDEX('REGISTRE ELEVES'!$E$10:$E$250,$AI190))</f>
        <v/>
      </c>
      <c r="E190" s="73" t="str">
        <f aca="false">IF($AI190="","",INDEX('REGISTRE ELEVES'!$F$10:$F$250,$AI190))</f>
        <v/>
      </c>
      <c r="F190" s="73" t="str">
        <f aca="false">IF($AI190="","",INDEX('REGISTRE ELEVES'!$AE$10:$AE$250,$AI190))</f>
        <v/>
      </c>
      <c r="G190" s="75"/>
      <c r="H190" s="76"/>
      <c r="I190" s="76"/>
      <c r="J190" s="76"/>
      <c r="K190" s="76"/>
      <c r="L190" s="79" t="str">
        <f aca="false">IF(B190="","",IF($G190="NON",0,IF(COUNT(H190:K190)=0,"",SUM(H190:K190))))</f>
        <v/>
      </c>
      <c r="M190" s="77" t="str">
        <f aca="false">IF(B190="","",IF($G190="NON",0,IF(COUNT(H190:K190)=0,"",IFERROR(ROUND(SUM(H190:K190)/SUMPRODUCT(ISNUMBER(H190:K190)*$H$8:$K$8)*10,2),""))))</f>
        <v/>
      </c>
      <c r="N190" s="75"/>
      <c r="O190" s="76"/>
      <c r="P190" s="76"/>
      <c r="Q190" s="76"/>
      <c r="R190" s="76"/>
      <c r="S190" s="79" t="str">
        <f aca="false">IF(B190="","",IF($N190="NON",0,IF(COUNT(O190:R190)=0,"",SUM(O190:R190))))</f>
        <v/>
      </c>
      <c r="T190" s="77" t="str">
        <f aca="false">IF(B190="","",IF($N190="NON",0,IF(COUNT(O190:R190)=0,"",IFERROR(ROUND(SUM(O190:R190)/SUMPRODUCT(ISNUMBER(O190:R190)*$O$8:$R$8)*10,2),""))))</f>
        <v/>
      </c>
      <c r="U190" s="75"/>
      <c r="V190" s="76"/>
      <c r="W190" s="76"/>
      <c r="X190" s="76"/>
      <c r="Y190" s="76"/>
      <c r="Z190" s="79" t="str">
        <f aca="false">IF(B190="","",IF($U190="NON",0,IF(COUNT(V190:Y190)=0,"",SUM(V190:Y190))))</f>
        <v/>
      </c>
      <c r="AA190" s="77" t="str">
        <f aca="false">IF(B190="","",IF($U190="NON",0,IF(COUNT(V190:Y190)=0,"",IFERROR(ROUND(SUM(V190:Y190)/SUMPRODUCT(ISNUMBER(V190:Y190)*$V$8:$Y$8)*10,2),""))))</f>
        <v/>
      </c>
      <c r="AB190" s="75"/>
      <c r="AC190" s="76"/>
      <c r="AD190" s="76"/>
      <c r="AE190" s="76"/>
      <c r="AF190" s="76"/>
      <c r="AG190" s="79" t="str">
        <f aca="false">IF(B190="","",IF($AB190="NON",0,IF(COUNT(AC190:AF190)=0,"",SUM(AC190:AF190))))</f>
        <v/>
      </c>
      <c r="AH190" s="77" t="str">
        <f aca="false">IF(B190="","",IF($AB190="NON",0,IF(COUNT(AC190:AF190)=0,"",IFERROR(ROUND(SUM(AC190:AF190)/SUMPRODUCT(ISNUMBER(AC190:AF190)*$AC$8:$AF$8)*10,2),""))))</f>
        <v/>
      </c>
      <c r="AI190" s="51" t="str">
        <f aca="false">IFERROR(MATCH("CE1-181",'REGISTRE ELEVES'!$AI$10:$AI$250,0),"")</f>
        <v/>
      </c>
    </row>
    <row r="191" customFormat="false" ht="15" hidden="false" customHeight="false" outlineLevel="0" collapsed="false">
      <c r="A191" s="73" t="str">
        <f aca="false">IF(B191="","",182)</f>
        <v/>
      </c>
      <c r="B191" s="73" t="str">
        <f aca="false">IF($AI191="","",INDEX('REGISTRE ELEVES'!$B$10:$B$250,$AI191))</f>
        <v/>
      </c>
      <c r="C191" s="74" t="str">
        <f aca="false">IF($AI191="","",INDEX('REGISTRE ELEVES'!$D$10:$D$250,$AI191))</f>
        <v/>
      </c>
      <c r="D191" s="73" t="str">
        <f aca="false">IF($AI191="","",INDEX('REGISTRE ELEVES'!$E$10:$E$250,$AI191))</f>
        <v/>
      </c>
      <c r="E191" s="73" t="str">
        <f aca="false">IF($AI191="","",INDEX('REGISTRE ELEVES'!$F$10:$F$250,$AI191))</f>
        <v/>
      </c>
      <c r="F191" s="73" t="str">
        <f aca="false">IF($AI191="","",INDEX('REGISTRE ELEVES'!$AE$10:$AE$250,$AI191))</f>
        <v/>
      </c>
      <c r="G191" s="75"/>
      <c r="H191" s="76"/>
      <c r="I191" s="76"/>
      <c r="J191" s="76"/>
      <c r="K191" s="76"/>
      <c r="L191" s="79" t="str">
        <f aca="false">IF(B191="","",IF($G191="NON",0,IF(COUNT(H191:K191)=0,"",SUM(H191:K191))))</f>
        <v/>
      </c>
      <c r="M191" s="77" t="str">
        <f aca="false">IF(B191="","",IF($G191="NON",0,IF(COUNT(H191:K191)=0,"",IFERROR(ROUND(SUM(H191:K191)/SUMPRODUCT(ISNUMBER(H191:K191)*$H$8:$K$8)*10,2),""))))</f>
        <v/>
      </c>
      <c r="N191" s="75"/>
      <c r="O191" s="76"/>
      <c r="P191" s="76"/>
      <c r="Q191" s="76"/>
      <c r="R191" s="76"/>
      <c r="S191" s="79" t="str">
        <f aca="false">IF(B191="","",IF($N191="NON",0,IF(COUNT(O191:R191)=0,"",SUM(O191:R191))))</f>
        <v/>
      </c>
      <c r="T191" s="77" t="str">
        <f aca="false">IF(B191="","",IF($N191="NON",0,IF(COUNT(O191:R191)=0,"",IFERROR(ROUND(SUM(O191:R191)/SUMPRODUCT(ISNUMBER(O191:R191)*$O$8:$R$8)*10,2),""))))</f>
        <v/>
      </c>
      <c r="U191" s="75"/>
      <c r="V191" s="76"/>
      <c r="W191" s="76"/>
      <c r="X191" s="76"/>
      <c r="Y191" s="76"/>
      <c r="Z191" s="79" t="str">
        <f aca="false">IF(B191="","",IF($U191="NON",0,IF(COUNT(V191:Y191)=0,"",SUM(V191:Y191))))</f>
        <v/>
      </c>
      <c r="AA191" s="77" t="str">
        <f aca="false">IF(B191="","",IF($U191="NON",0,IF(COUNT(V191:Y191)=0,"",IFERROR(ROUND(SUM(V191:Y191)/SUMPRODUCT(ISNUMBER(V191:Y191)*$V$8:$Y$8)*10,2),""))))</f>
        <v/>
      </c>
      <c r="AB191" s="75"/>
      <c r="AC191" s="76"/>
      <c r="AD191" s="76"/>
      <c r="AE191" s="76"/>
      <c r="AF191" s="76"/>
      <c r="AG191" s="79" t="str">
        <f aca="false">IF(B191="","",IF($AB191="NON",0,IF(COUNT(AC191:AF191)=0,"",SUM(AC191:AF191))))</f>
        <v/>
      </c>
      <c r="AH191" s="77" t="str">
        <f aca="false">IF(B191="","",IF($AB191="NON",0,IF(COUNT(AC191:AF191)=0,"",IFERROR(ROUND(SUM(AC191:AF191)/SUMPRODUCT(ISNUMBER(AC191:AF191)*$AC$8:$AF$8)*10,2),""))))</f>
        <v/>
      </c>
      <c r="AI191" s="51" t="str">
        <f aca="false">IFERROR(MATCH("CE1-182",'REGISTRE ELEVES'!$AI$10:$AI$250,0),"")</f>
        <v/>
      </c>
    </row>
    <row r="192" customFormat="false" ht="15" hidden="false" customHeight="false" outlineLevel="0" collapsed="false">
      <c r="A192" s="73" t="str">
        <f aca="false">IF(B192="","",183)</f>
        <v/>
      </c>
      <c r="B192" s="73" t="str">
        <f aca="false">IF($AI192="","",INDEX('REGISTRE ELEVES'!$B$10:$B$250,$AI192))</f>
        <v/>
      </c>
      <c r="C192" s="74" t="str">
        <f aca="false">IF($AI192="","",INDEX('REGISTRE ELEVES'!$D$10:$D$250,$AI192))</f>
        <v/>
      </c>
      <c r="D192" s="73" t="str">
        <f aca="false">IF($AI192="","",INDEX('REGISTRE ELEVES'!$E$10:$E$250,$AI192))</f>
        <v/>
      </c>
      <c r="E192" s="73" t="str">
        <f aca="false">IF($AI192="","",INDEX('REGISTRE ELEVES'!$F$10:$F$250,$AI192))</f>
        <v/>
      </c>
      <c r="F192" s="73" t="str">
        <f aca="false">IF($AI192="","",INDEX('REGISTRE ELEVES'!$AE$10:$AE$250,$AI192))</f>
        <v/>
      </c>
      <c r="G192" s="75"/>
      <c r="H192" s="76"/>
      <c r="I192" s="76"/>
      <c r="J192" s="76"/>
      <c r="K192" s="76"/>
      <c r="L192" s="79" t="str">
        <f aca="false">IF(B192="","",IF($G192="NON",0,IF(COUNT(H192:K192)=0,"",SUM(H192:K192))))</f>
        <v/>
      </c>
      <c r="M192" s="77" t="str">
        <f aca="false">IF(B192="","",IF($G192="NON",0,IF(COUNT(H192:K192)=0,"",IFERROR(ROUND(SUM(H192:K192)/SUMPRODUCT(ISNUMBER(H192:K192)*$H$8:$K$8)*10,2),""))))</f>
        <v/>
      </c>
      <c r="N192" s="75"/>
      <c r="O192" s="76"/>
      <c r="P192" s="76"/>
      <c r="Q192" s="76"/>
      <c r="R192" s="76"/>
      <c r="S192" s="79" t="str">
        <f aca="false">IF(B192="","",IF($N192="NON",0,IF(COUNT(O192:R192)=0,"",SUM(O192:R192))))</f>
        <v/>
      </c>
      <c r="T192" s="77" t="str">
        <f aca="false">IF(B192="","",IF($N192="NON",0,IF(COUNT(O192:R192)=0,"",IFERROR(ROUND(SUM(O192:R192)/SUMPRODUCT(ISNUMBER(O192:R192)*$O$8:$R$8)*10,2),""))))</f>
        <v/>
      </c>
      <c r="U192" s="75"/>
      <c r="V192" s="76"/>
      <c r="W192" s="76"/>
      <c r="X192" s="76"/>
      <c r="Y192" s="76"/>
      <c r="Z192" s="79" t="str">
        <f aca="false">IF(B192="","",IF($U192="NON",0,IF(COUNT(V192:Y192)=0,"",SUM(V192:Y192))))</f>
        <v/>
      </c>
      <c r="AA192" s="77" t="str">
        <f aca="false">IF(B192="","",IF($U192="NON",0,IF(COUNT(V192:Y192)=0,"",IFERROR(ROUND(SUM(V192:Y192)/SUMPRODUCT(ISNUMBER(V192:Y192)*$V$8:$Y$8)*10,2),""))))</f>
        <v/>
      </c>
      <c r="AB192" s="75"/>
      <c r="AC192" s="76"/>
      <c r="AD192" s="76"/>
      <c r="AE192" s="76"/>
      <c r="AF192" s="76"/>
      <c r="AG192" s="79" t="str">
        <f aca="false">IF(B192="","",IF($AB192="NON",0,IF(COUNT(AC192:AF192)=0,"",SUM(AC192:AF192))))</f>
        <v/>
      </c>
      <c r="AH192" s="77" t="str">
        <f aca="false">IF(B192="","",IF($AB192="NON",0,IF(COUNT(AC192:AF192)=0,"",IFERROR(ROUND(SUM(AC192:AF192)/SUMPRODUCT(ISNUMBER(AC192:AF192)*$AC$8:$AF$8)*10,2),""))))</f>
        <v/>
      </c>
      <c r="AI192" s="51" t="str">
        <f aca="false">IFERROR(MATCH("CE1-183",'REGISTRE ELEVES'!$AI$10:$AI$250,0),"")</f>
        <v/>
      </c>
    </row>
    <row r="193" customFormat="false" ht="15" hidden="false" customHeight="false" outlineLevel="0" collapsed="false">
      <c r="A193" s="73" t="str">
        <f aca="false">IF(B193="","",184)</f>
        <v/>
      </c>
      <c r="B193" s="73" t="str">
        <f aca="false">IF($AI193="","",INDEX('REGISTRE ELEVES'!$B$10:$B$250,$AI193))</f>
        <v/>
      </c>
      <c r="C193" s="74" t="str">
        <f aca="false">IF($AI193="","",INDEX('REGISTRE ELEVES'!$D$10:$D$250,$AI193))</f>
        <v/>
      </c>
      <c r="D193" s="73" t="str">
        <f aca="false">IF($AI193="","",INDEX('REGISTRE ELEVES'!$E$10:$E$250,$AI193))</f>
        <v/>
      </c>
      <c r="E193" s="73" t="str">
        <f aca="false">IF($AI193="","",INDEX('REGISTRE ELEVES'!$F$10:$F$250,$AI193))</f>
        <v/>
      </c>
      <c r="F193" s="73" t="str">
        <f aca="false">IF($AI193="","",INDEX('REGISTRE ELEVES'!$AE$10:$AE$250,$AI193))</f>
        <v/>
      </c>
      <c r="G193" s="75"/>
      <c r="H193" s="76"/>
      <c r="I193" s="76"/>
      <c r="J193" s="76"/>
      <c r="K193" s="76"/>
      <c r="L193" s="79" t="str">
        <f aca="false">IF(B193="","",IF($G193="NON",0,IF(COUNT(H193:K193)=0,"",SUM(H193:K193))))</f>
        <v/>
      </c>
      <c r="M193" s="77" t="str">
        <f aca="false">IF(B193="","",IF($G193="NON",0,IF(COUNT(H193:K193)=0,"",IFERROR(ROUND(SUM(H193:K193)/SUMPRODUCT(ISNUMBER(H193:K193)*$H$8:$K$8)*10,2),""))))</f>
        <v/>
      </c>
      <c r="N193" s="75"/>
      <c r="O193" s="76"/>
      <c r="P193" s="76"/>
      <c r="Q193" s="76"/>
      <c r="R193" s="76"/>
      <c r="S193" s="79" t="str">
        <f aca="false">IF(B193="","",IF($N193="NON",0,IF(COUNT(O193:R193)=0,"",SUM(O193:R193))))</f>
        <v/>
      </c>
      <c r="T193" s="77" t="str">
        <f aca="false">IF(B193="","",IF($N193="NON",0,IF(COUNT(O193:R193)=0,"",IFERROR(ROUND(SUM(O193:R193)/SUMPRODUCT(ISNUMBER(O193:R193)*$O$8:$R$8)*10,2),""))))</f>
        <v/>
      </c>
      <c r="U193" s="75"/>
      <c r="V193" s="76"/>
      <c r="W193" s="76"/>
      <c r="X193" s="76"/>
      <c r="Y193" s="76"/>
      <c r="Z193" s="79" t="str">
        <f aca="false">IF(B193="","",IF($U193="NON",0,IF(COUNT(V193:Y193)=0,"",SUM(V193:Y193))))</f>
        <v/>
      </c>
      <c r="AA193" s="77" t="str">
        <f aca="false">IF(B193="","",IF($U193="NON",0,IF(COUNT(V193:Y193)=0,"",IFERROR(ROUND(SUM(V193:Y193)/SUMPRODUCT(ISNUMBER(V193:Y193)*$V$8:$Y$8)*10,2),""))))</f>
        <v/>
      </c>
      <c r="AB193" s="75"/>
      <c r="AC193" s="76"/>
      <c r="AD193" s="76"/>
      <c r="AE193" s="76"/>
      <c r="AF193" s="76"/>
      <c r="AG193" s="79" t="str">
        <f aca="false">IF(B193="","",IF($AB193="NON",0,IF(COUNT(AC193:AF193)=0,"",SUM(AC193:AF193))))</f>
        <v/>
      </c>
      <c r="AH193" s="77" t="str">
        <f aca="false">IF(B193="","",IF($AB193="NON",0,IF(COUNT(AC193:AF193)=0,"",IFERROR(ROUND(SUM(AC193:AF193)/SUMPRODUCT(ISNUMBER(AC193:AF193)*$AC$8:$AF$8)*10,2),""))))</f>
        <v/>
      </c>
      <c r="AI193" s="51" t="str">
        <f aca="false">IFERROR(MATCH("CE1-184",'REGISTRE ELEVES'!$AI$10:$AI$250,0),"")</f>
        <v/>
      </c>
    </row>
    <row r="194" customFormat="false" ht="15" hidden="false" customHeight="false" outlineLevel="0" collapsed="false">
      <c r="A194" s="73" t="str">
        <f aca="false">IF(B194="","",185)</f>
        <v/>
      </c>
      <c r="B194" s="73" t="str">
        <f aca="false">IF($AI194="","",INDEX('REGISTRE ELEVES'!$B$10:$B$250,$AI194))</f>
        <v/>
      </c>
      <c r="C194" s="74" t="str">
        <f aca="false">IF($AI194="","",INDEX('REGISTRE ELEVES'!$D$10:$D$250,$AI194))</f>
        <v/>
      </c>
      <c r="D194" s="73" t="str">
        <f aca="false">IF($AI194="","",INDEX('REGISTRE ELEVES'!$E$10:$E$250,$AI194))</f>
        <v/>
      </c>
      <c r="E194" s="73" t="str">
        <f aca="false">IF($AI194="","",INDEX('REGISTRE ELEVES'!$F$10:$F$250,$AI194))</f>
        <v/>
      </c>
      <c r="F194" s="73" t="str">
        <f aca="false">IF($AI194="","",INDEX('REGISTRE ELEVES'!$AE$10:$AE$250,$AI194))</f>
        <v/>
      </c>
      <c r="G194" s="75"/>
      <c r="H194" s="76"/>
      <c r="I194" s="76"/>
      <c r="J194" s="76"/>
      <c r="K194" s="76"/>
      <c r="L194" s="79" t="str">
        <f aca="false">IF(B194="","",IF($G194="NON",0,IF(COUNT(H194:K194)=0,"",SUM(H194:K194))))</f>
        <v/>
      </c>
      <c r="M194" s="77" t="str">
        <f aca="false">IF(B194="","",IF($G194="NON",0,IF(COUNT(H194:K194)=0,"",IFERROR(ROUND(SUM(H194:K194)/SUMPRODUCT(ISNUMBER(H194:K194)*$H$8:$K$8)*10,2),""))))</f>
        <v/>
      </c>
      <c r="N194" s="75"/>
      <c r="O194" s="76"/>
      <c r="P194" s="76"/>
      <c r="Q194" s="76"/>
      <c r="R194" s="76"/>
      <c r="S194" s="79" t="str">
        <f aca="false">IF(B194="","",IF($N194="NON",0,IF(COUNT(O194:R194)=0,"",SUM(O194:R194))))</f>
        <v/>
      </c>
      <c r="T194" s="77" t="str">
        <f aca="false">IF(B194="","",IF($N194="NON",0,IF(COUNT(O194:R194)=0,"",IFERROR(ROUND(SUM(O194:R194)/SUMPRODUCT(ISNUMBER(O194:R194)*$O$8:$R$8)*10,2),""))))</f>
        <v/>
      </c>
      <c r="U194" s="75"/>
      <c r="V194" s="76"/>
      <c r="W194" s="76"/>
      <c r="X194" s="76"/>
      <c r="Y194" s="76"/>
      <c r="Z194" s="79" t="str">
        <f aca="false">IF(B194="","",IF($U194="NON",0,IF(COUNT(V194:Y194)=0,"",SUM(V194:Y194))))</f>
        <v/>
      </c>
      <c r="AA194" s="77" t="str">
        <f aca="false">IF(B194="","",IF($U194="NON",0,IF(COUNT(V194:Y194)=0,"",IFERROR(ROUND(SUM(V194:Y194)/SUMPRODUCT(ISNUMBER(V194:Y194)*$V$8:$Y$8)*10,2),""))))</f>
        <v/>
      </c>
      <c r="AB194" s="75"/>
      <c r="AC194" s="76"/>
      <c r="AD194" s="76"/>
      <c r="AE194" s="76"/>
      <c r="AF194" s="76"/>
      <c r="AG194" s="79" t="str">
        <f aca="false">IF(B194="","",IF($AB194="NON",0,IF(COUNT(AC194:AF194)=0,"",SUM(AC194:AF194))))</f>
        <v/>
      </c>
      <c r="AH194" s="77" t="str">
        <f aca="false">IF(B194="","",IF($AB194="NON",0,IF(COUNT(AC194:AF194)=0,"",IFERROR(ROUND(SUM(AC194:AF194)/SUMPRODUCT(ISNUMBER(AC194:AF194)*$AC$8:$AF$8)*10,2),""))))</f>
        <v/>
      </c>
      <c r="AI194" s="51" t="str">
        <f aca="false">IFERROR(MATCH("CE1-185",'REGISTRE ELEVES'!$AI$10:$AI$250,0),"")</f>
        <v/>
      </c>
    </row>
    <row r="195" customFormat="false" ht="15" hidden="false" customHeight="false" outlineLevel="0" collapsed="false">
      <c r="A195" s="73" t="str">
        <f aca="false">IF(B195="","",186)</f>
        <v/>
      </c>
      <c r="B195" s="73" t="str">
        <f aca="false">IF($AI195="","",INDEX('REGISTRE ELEVES'!$B$10:$B$250,$AI195))</f>
        <v/>
      </c>
      <c r="C195" s="74" t="str">
        <f aca="false">IF($AI195="","",INDEX('REGISTRE ELEVES'!$D$10:$D$250,$AI195))</f>
        <v/>
      </c>
      <c r="D195" s="73" t="str">
        <f aca="false">IF($AI195="","",INDEX('REGISTRE ELEVES'!$E$10:$E$250,$AI195))</f>
        <v/>
      </c>
      <c r="E195" s="73" t="str">
        <f aca="false">IF($AI195="","",INDEX('REGISTRE ELEVES'!$F$10:$F$250,$AI195))</f>
        <v/>
      </c>
      <c r="F195" s="73" t="str">
        <f aca="false">IF($AI195="","",INDEX('REGISTRE ELEVES'!$AE$10:$AE$250,$AI195))</f>
        <v/>
      </c>
      <c r="G195" s="75"/>
      <c r="H195" s="76"/>
      <c r="I195" s="76"/>
      <c r="J195" s="76"/>
      <c r="K195" s="76"/>
      <c r="L195" s="79" t="str">
        <f aca="false">IF(B195="","",IF($G195="NON",0,IF(COUNT(H195:K195)=0,"",SUM(H195:K195))))</f>
        <v/>
      </c>
      <c r="M195" s="77" t="str">
        <f aca="false">IF(B195="","",IF($G195="NON",0,IF(COUNT(H195:K195)=0,"",IFERROR(ROUND(SUM(H195:K195)/SUMPRODUCT(ISNUMBER(H195:K195)*$H$8:$K$8)*10,2),""))))</f>
        <v/>
      </c>
      <c r="N195" s="75"/>
      <c r="O195" s="76"/>
      <c r="P195" s="76"/>
      <c r="Q195" s="76"/>
      <c r="R195" s="76"/>
      <c r="S195" s="79" t="str">
        <f aca="false">IF(B195="","",IF($N195="NON",0,IF(COUNT(O195:R195)=0,"",SUM(O195:R195))))</f>
        <v/>
      </c>
      <c r="T195" s="77" t="str">
        <f aca="false">IF(B195="","",IF($N195="NON",0,IF(COUNT(O195:R195)=0,"",IFERROR(ROUND(SUM(O195:R195)/SUMPRODUCT(ISNUMBER(O195:R195)*$O$8:$R$8)*10,2),""))))</f>
        <v/>
      </c>
      <c r="U195" s="75"/>
      <c r="V195" s="76"/>
      <c r="W195" s="76"/>
      <c r="X195" s="76"/>
      <c r="Y195" s="76"/>
      <c r="Z195" s="79" t="str">
        <f aca="false">IF(B195="","",IF($U195="NON",0,IF(COUNT(V195:Y195)=0,"",SUM(V195:Y195))))</f>
        <v/>
      </c>
      <c r="AA195" s="77" t="str">
        <f aca="false">IF(B195="","",IF($U195="NON",0,IF(COUNT(V195:Y195)=0,"",IFERROR(ROUND(SUM(V195:Y195)/SUMPRODUCT(ISNUMBER(V195:Y195)*$V$8:$Y$8)*10,2),""))))</f>
        <v/>
      </c>
      <c r="AB195" s="75"/>
      <c r="AC195" s="76"/>
      <c r="AD195" s="76"/>
      <c r="AE195" s="76"/>
      <c r="AF195" s="76"/>
      <c r="AG195" s="79" t="str">
        <f aca="false">IF(B195="","",IF($AB195="NON",0,IF(COUNT(AC195:AF195)=0,"",SUM(AC195:AF195))))</f>
        <v/>
      </c>
      <c r="AH195" s="77" t="str">
        <f aca="false">IF(B195="","",IF($AB195="NON",0,IF(COUNT(AC195:AF195)=0,"",IFERROR(ROUND(SUM(AC195:AF195)/SUMPRODUCT(ISNUMBER(AC195:AF195)*$AC$8:$AF$8)*10,2),""))))</f>
        <v/>
      </c>
      <c r="AI195" s="51" t="str">
        <f aca="false">IFERROR(MATCH("CE1-186",'REGISTRE ELEVES'!$AI$10:$AI$250,0),"")</f>
        <v/>
      </c>
    </row>
    <row r="196" customFormat="false" ht="15" hidden="false" customHeight="false" outlineLevel="0" collapsed="false">
      <c r="A196" s="73" t="str">
        <f aca="false">IF(B196="","",187)</f>
        <v/>
      </c>
      <c r="B196" s="73" t="str">
        <f aca="false">IF($AI196="","",INDEX('REGISTRE ELEVES'!$B$10:$B$250,$AI196))</f>
        <v/>
      </c>
      <c r="C196" s="74" t="str">
        <f aca="false">IF($AI196="","",INDEX('REGISTRE ELEVES'!$D$10:$D$250,$AI196))</f>
        <v/>
      </c>
      <c r="D196" s="73" t="str">
        <f aca="false">IF($AI196="","",INDEX('REGISTRE ELEVES'!$E$10:$E$250,$AI196))</f>
        <v/>
      </c>
      <c r="E196" s="73" t="str">
        <f aca="false">IF($AI196="","",INDEX('REGISTRE ELEVES'!$F$10:$F$250,$AI196))</f>
        <v/>
      </c>
      <c r="F196" s="73" t="str">
        <f aca="false">IF($AI196="","",INDEX('REGISTRE ELEVES'!$AE$10:$AE$250,$AI196))</f>
        <v/>
      </c>
      <c r="G196" s="75"/>
      <c r="H196" s="76"/>
      <c r="I196" s="76"/>
      <c r="J196" s="76"/>
      <c r="K196" s="76"/>
      <c r="L196" s="79" t="str">
        <f aca="false">IF(B196="","",IF($G196="NON",0,IF(COUNT(H196:K196)=0,"",SUM(H196:K196))))</f>
        <v/>
      </c>
      <c r="M196" s="77" t="str">
        <f aca="false">IF(B196="","",IF($G196="NON",0,IF(COUNT(H196:K196)=0,"",IFERROR(ROUND(SUM(H196:K196)/SUMPRODUCT(ISNUMBER(H196:K196)*$H$8:$K$8)*10,2),""))))</f>
        <v/>
      </c>
      <c r="N196" s="75"/>
      <c r="O196" s="76"/>
      <c r="P196" s="76"/>
      <c r="Q196" s="76"/>
      <c r="R196" s="76"/>
      <c r="S196" s="79" t="str">
        <f aca="false">IF(B196="","",IF($N196="NON",0,IF(COUNT(O196:R196)=0,"",SUM(O196:R196))))</f>
        <v/>
      </c>
      <c r="T196" s="77" t="str">
        <f aca="false">IF(B196="","",IF($N196="NON",0,IF(COUNT(O196:R196)=0,"",IFERROR(ROUND(SUM(O196:R196)/SUMPRODUCT(ISNUMBER(O196:R196)*$O$8:$R$8)*10,2),""))))</f>
        <v/>
      </c>
      <c r="U196" s="75"/>
      <c r="V196" s="76"/>
      <c r="W196" s="76"/>
      <c r="X196" s="76"/>
      <c r="Y196" s="76"/>
      <c r="Z196" s="79" t="str">
        <f aca="false">IF(B196="","",IF($U196="NON",0,IF(COUNT(V196:Y196)=0,"",SUM(V196:Y196))))</f>
        <v/>
      </c>
      <c r="AA196" s="77" t="str">
        <f aca="false">IF(B196="","",IF($U196="NON",0,IF(COUNT(V196:Y196)=0,"",IFERROR(ROUND(SUM(V196:Y196)/SUMPRODUCT(ISNUMBER(V196:Y196)*$V$8:$Y$8)*10,2),""))))</f>
        <v/>
      </c>
      <c r="AB196" s="75"/>
      <c r="AC196" s="76"/>
      <c r="AD196" s="76"/>
      <c r="AE196" s="76"/>
      <c r="AF196" s="76"/>
      <c r="AG196" s="79" t="str">
        <f aca="false">IF(B196="","",IF($AB196="NON",0,IF(COUNT(AC196:AF196)=0,"",SUM(AC196:AF196))))</f>
        <v/>
      </c>
      <c r="AH196" s="77" t="str">
        <f aca="false">IF(B196="","",IF($AB196="NON",0,IF(COUNT(AC196:AF196)=0,"",IFERROR(ROUND(SUM(AC196:AF196)/SUMPRODUCT(ISNUMBER(AC196:AF196)*$AC$8:$AF$8)*10,2),""))))</f>
        <v/>
      </c>
      <c r="AI196" s="51" t="str">
        <f aca="false">IFERROR(MATCH("CE1-187",'REGISTRE ELEVES'!$AI$10:$AI$250,0),"")</f>
        <v/>
      </c>
    </row>
    <row r="197" customFormat="false" ht="15" hidden="false" customHeight="false" outlineLevel="0" collapsed="false">
      <c r="A197" s="73" t="str">
        <f aca="false">IF(B197="","",188)</f>
        <v/>
      </c>
      <c r="B197" s="73" t="str">
        <f aca="false">IF($AI197="","",INDEX('REGISTRE ELEVES'!$B$10:$B$250,$AI197))</f>
        <v/>
      </c>
      <c r="C197" s="74" t="str">
        <f aca="false">IF($AI197="","",INDEX('REGISTRE ELEVES'!$D$10:$D$250,$AI197))</f>
        <v/>
      </c>
      <c r="D197" s="73" t="str">
        <f aca="false">IF($AI197="","",INDEX('REGISTRE ELEVES'!$E$10:$E$250,$AI197))</f>
        <v/>
      </c>
      <c r="E197" s="73" t="str">
        <f aca="false">IF($AI197="","",INDEX('REGISTRE ELEVES'!$F$10:$F$250,$AI197))</f>
        <v/>
      </c>
      <c r="F197" s="73" t="str">
        <f aca="false">IF($AI197="","",INDEX('REGISTRE ELEVES'!$AE$10:$AE$250,$AI197))</f>
        <v/>
      </c>
      <c r="G197" s="75"/>
      <c r="H197" s="76"/>
      <c r="I197" s="76"/>
      <c r="J197" s="76"/>
      <c r="K197" s="76"/>
      <c r="L197" s="79" t="str">
        <f aca="false">IF(B197="","",IF($G197="NON",0,IF(COUNT(H197:K197)=0,"",SUM(H197:K197))))</f>
        <v/>
      </c>
      <c r="M197" s="77" t="str">
        <f aca="false">IF(B197="","",IF($G197="NON",0,IF(COUNT(H197:K197)=0,"",IFERROR(ROUND(SUM(H197:K197)/SUMPRODUCT(ISNUMBER(H197:K197)*$H$8:$K$8)*10,2),""))))</f>
        <v/>
      </c>
      <c r="N197" s="75"/>
      <c r="O197" s="76"/>
      <c r="P197" s="76"/>
      <c r="Q197" s="76"/>
      <c r="R197" s="76"/>
      <c r="S197" s="79" t="str">
        <f aca="false">IF(B197="","",IF($N197="NON",0,IF(COUNT(O197:R197)=0,"",SUM(O197:R197))))</f>
        <v/>
      </c>
      <c r="T197" s="77" t="str">
        <f aca="false">IF(B197="","",IF($N197="NON",0,IF(COUNT(O197:R197)=0,"",IFERROR(ROUND(SUM(O197:R197)/SUMPRODUCT(ISNUMBER(O197:R197)*$O$8:$R$8)*10,2),""))))</f>
        <v/>
      </c>
      <c r="U197" s="75"/>
      <c r="V197" s="76"/>
      <c r="W197" s="76"/>
      <c r="X197" s="76"/>
      <c r="Y197" s="76"/>
      <c r="Z197" s="79" t="str">
        <f aca="false">IF(B197="","",IF($U197="NON",0,IF(COUNT(V197:Y197)=0,"",SUM(V197:Y197))))</f>
        <v/>
      </c>
      <c r="AA197" s="77" t="str">
        <f aca="false">IF(B197="","",IF($U197="NON",0,IF(COUNT(V197:Y197)=0,"",IFERROR(ROUND(SUM(V197:Y197)/SUMPRODUCT(ISNUMBER(V197:Y197)*$V$8:$Y$8)*10,2),""))))</f>
        <v/>
      </c>
      <c r="AB197" s="75"/>
      <c r="AC197" s="76"/>
      <c r="AD197" s="76"/>
      <c r="AE197" s="76"/>
      <c r="AF197" s="76"/>
      <c r="AG197" s="79" t="str">
        <f aca="false">IF(B197="","",IF($AB197="NON",0,IF(COUNT(AC197:AF197)=0,"",SUM(AC197:AF197))))</f>
        <v/>
      </c>
      <c r="AH197" s="77" t="str">
        <f aca="false">IF(B197="","",IF($AB197="NON",0,IF(COUNT(AC197:AF197)=0,"",IFERROR(ROUND(SUM(AC197:AF197)/SUMPRODUCT(ISNUMBER(AC197:AF197)*$AC$8:$AF$8)*10,2),""))))</f>
        <v/>
      </c>
      <c r="AI197" s="51" t="str">
        <f aca="false">IFERROR(MATCH("CE1-188",'REGISTRE ELEVES'!$AI$10:$AI$250,0),"")</f>
        <v/>
      </c>
    </row>
    <row r="198" customFormat="false" ht="15" hidden="false" customHeight="false" outlineLevel="0" collapsed="false">
      <c r="A198" s="73" t="str">
        <f aca="false">IF(B198="","",189)</f>
        <v/>
      </c>
      <c r="B198" s="73" t="str">
        <f aca="false">IF($AI198="","",INDEX('REGISTRE ELEVES'!$B$10:$B$250,$AI198))</f>
        <v/>
      </c>
      <c r="C198" s="74" t="str">
        <f aca="false">IF($AI198="","",INDEX('REGISTRE ELEVES'!$D$10:$D$250,$AI198))</f>
        <v/>
      </c>
      <c r="D198" s="73" t="str">
        <f aca="false">IF($AI198="","",INDEX('REGISTRE ELEVES'!$E$10:$E$250,$AI198))</f>
        <v/>
      </c>
      <c r="E198" s="73" t="str">
        <f aca="false">IF($AI198="","",INDEX('REGISTRE ELEVES'!$F$10:$F$250,$AI198))</f>
        <v/>
      </c>
      <c r="F198" s="73" t="str">
        <f aca="false">IF($AI198="","",INDEX('REGISTRE ELEVES'!$AE$10:$AE$250,$AI198))</f>
        <v/>
      </c>
      <c r="G198" s="75"/>
      <c r="H198" s="76"/>
      <c r="I198" s="76"/>
      <c r="J198" s="76"/>
      <c r="K198" s="76"/>
      <c r="L198" s="79" t="str">
        <f aca="false">IF(B198="","",IF($G198="NON",0,IF(COUNT(H198:K198)=0,"",SUM(H198:K198))))</f>
        <v/>
      </c>
      <c r="M198" s="77" t="str">
        <f aca="false">IF(B198="","",IF($G198="NON",0,IF(COUNT(H198:K198)=0,"",IFERROR(ROUND(SUM(H198:K198)/SUMPRODUCT(ISNUMBER(H198:K198)*$H$8:$K$8)*10,2),""))))</f>
        <v/>
      </c>
      <c r="N198" s="75"/>
      <c r="O198" s="76"/>
      <c r="P198" s="76"/>
      <c r="Q198" s="76"/>
      <c r="R198" s="76"/>
      <c r="S198" s="79" t="str">
        <f aca="false">IF(B198="","",IF($N198="NON",0,IF(COUNT(O198:R198)=0,"",SUM(O198:R198))))</f>
        <v/>
      </c>
      <c r="T198" s="77" t="str">
        <f aca="false">IF(B198="","",IF($N198="NON",0,IF(COUNT(O198:R198)=0,"",IFERROR(ROUND(SUM(O198:R198)/SUMPRODUCT(ISNUMBER(O198:R198)*$O$8:$R$8)*10,2),""))))</f>
        <v/>
      </c>
      <c r="U198" s="75"/>
      <c r="V198" s="76"/>
      <c r="W198" s="76"/>
      <c r="X198" s="76"/>
      <c r="Y198" s="76"/>
      <c r="Z198" s="79" t="str">
        <f aca="false">IF(B198="","",IF($U198="NON",0,IF(COUNT(V198:Y198)=0,"",SUM(V198:Y198))))</f>
        <v/>
      </c>
      <c r="AA198" s="77" t="str">
        <f aca="false">IF(B198="","",IF($U198="NON",0,IF(COUNT(V198:Y198)=0,"",IFERROR(ROUND(SUM(V198:Y198)/SUMPRODUCT(ISNUMBER(V198:Y198)*$V$8:$Y$8)*10,2),""))))</f>
        <v/>
      </c>
      <c r="AB198" s="75"/>
      <c r="AC198" s="76"/>
      <c r="AD198" s="76"/>
      <c r="AE198" s="76"/>
      <c r="AF198" s="76"/>
      <c r="AG198" s="79" t="str">
        <f aca="false">IF(B198="","",IF($AB198="NON",0,IF(COUNT(AC198:AF198)=0,"",SUM(AC198:AF198))))</f>
        <v/>
      </c>
      <c r="AH198" s="77" t="str">
        <f aca="false">IF(B198="","",IF($AB198="NON",0,IF(COUNT(AC198:AF198)=0,"",IFERROR(ROUND(SUM(AC198:AF198)/SUMPRODUCT(ISNUMBER(AC198:AF198)*$AC$8:$AF$8)*10,2),""))))</f>
        <v/>
      </c>
      <c r="AI198" s="51" t="str">
        <f aca="false">IFERROR(MATCH("CE1-189",'REGISTRE ELEVES'!$AI$10:$AI$250,0),"")</f>
        <v/>
      </c>
    </row>
    <row r="199" customFormat="false" ht="15" hidden="false" customHeight="false" outlineLevel="0" collapsed="false">
      <c r="A199" s="73" t="str">
        <f aca="false">IF(B199="","",190)</f>
        <v/>
      </c>
      <c r="B199" s="73" t="str">
        <f aca="false">IF($AI199="","",INDEX('REGISTRE ELEVES'!$B$10:$B$250,$AI199))</f>
        <v/>
      </c>
      <c r="C199" s="74" t="str">
        <f aca="false">IF($AI199="","",INDEX('REGISTRE ELEVES'!$D$10:$D$250,$AI199))</f>
        <v/>
      </c>
      <c r="D199" s="73" t="str">
        <f aca="false">IF($AI199="","",INDEX('REGISTRE ELEVES'!$E$10:$E$250,$AI199))</f>
        <v/>
      </c>
      <c r="E199" s="73" t="str">
        <f aca="false">IF($AI199="","",INDEX('REGISTRE ELEVES'!$F$10:$F$250,$AI199))</f>
        <v/>
      </c>
      <c r="F199" s="73" t="str">
        <f aca="false">IF($AI199="","",INDEX('REGISTRE ELEVES'!$AE$10:$AE$250,$AI199))</f>
        <v/>
      </c>
      <c r="G199" s="75"/>
      <c r="H199" s="76"/>
      <c r="I199" s="76"/>
      <c r="J199" s="76"/>
      <c r="K199" s="76"/>
      <c r="L199" s="79" t="str">
        <f aca="false">IF(B199="","",IF($G199="NON",0,IF(COUNT(H199:K199)=0,"",SUM(H199:K199))))</f>
        <v/>
      </c>
      <c r="M199" s="77" t="str">
        <f aca="false">IF(B199="","",IF($G199="NON",0,IF(COUNT(H199:K199)=0,"",IFERROR(ROUND(SUM(H199:K199)/SUMPRODUCT(ISNUMBER(H199:K199)*$H$8:$K$8)*10,2),""))))</f>
        <v/>
      </c>
      <c r="N199" s="75"/>
      <c r="O199" s="76"/>
      <c r="P199" s="76"/>
      <c r="Q199" s="76"/>
      <c r="R199" s="76"/>
      <c r="S199" s="79" t="str">
        <f aca="false">IF(B199="","",IF($N199="NON",0,IF(COUNT(O199:R199)=0,"",SUM(O199:R199))))</f>
        <v/>
      </c>
      <c r="T199" s="77" t="str">
        <f aca="false">IF(B199="","",IF($N199="NON",0,IF(COUNT(O199:R199)=0,"",IFERROR(ROUND(SUM(O199:R199)/SUMPRODUCT(ISNUMBER(O199:R199)*$O$8:$R$8)*10,2),""))))</f>
        <v/>
      </c>
      <c r="U199" s="75"/>
      <c r="V199" s="76"/>
      <c r="W199" s="76"/>
      <c r="X199" s="76"/>
      <c r="Y199" s="76"/>
      <c r="Z199" s="79" t="str">
        <f aca="false">IF(B199="","",IF($U199="NON",0,IF(COUNT(V199:Y199)=0,"",SUM(V199:Y199))))</f>
        <v/>
      </c>
      <c r="AA199" s="77" t="str">
        <f aca="false">IF(B199="","",IF($U199="NON",0,IF(COUNT(V199:Y199)=0,"",IFERROR(ROUND(SUM(V199:Y199)/SUMPRODUCT(ISNUMBER(V199:Y199)*$V$8:$Y$8)*10,2),""))))</f>
        <v/>
      </c>
      <c r="AB199" s="75"/>
      <c r="AC199" s="76"/>
      <c r="AD199" s="76"/>
      <c r="AE199" s="76"/>
      <c r="AF199" s="76"/>
      <c r="AG199" s="79" t="str">
        <f aca="false">IF(B199="","",IF($AB199="NON",0,IF(COUNT(AC199:AF199)=0,"",SUM(AC199:AF199))))</f>
        <v/>
      </c>
      <c r="AH199" s="77" t="str">
        <f aca="false">IF(B199="","",IF($AB199="NON",0,IF(COUNT(AC199:AF199)=0,"",IFERROR(ROUND(SUM(AC199:AF199)/SUMPRODUCT(ISNUMBER(AC199:AF199)*$AC$8:$AF$8)*10,2),""))))</f>
        <v/>
      </c>
      <c r="AI199" s="51" t="str">
        <f aca="false">IFERROR(MATCH("CE1-190",'REGISTRE ELEVES'!$AI$10:$AI$250,0),"")</f>
        <v/>
      </c>
    </row>
    <row r="200" customFormat="false" ht="15" hidden="false" customHeight="false" outlineLevel="0" collapsed="false">
      <c r="A200" s="73" t="str">
        <f aca="false">IF(B200="","",191)</f>
        <v/>
      </c>
      <c r="B200" s="73" t="str">
        <f aca="false">IF($AI200="","",INDEX('REGISTRE ELEVES'!$B$10:$B$250,$AI200))</f>
        <v/>
      </c>
      <c r="C200" s="74" t="str">
        <f aca="false">IF($AI200="","",INDEX('REGISTRE ELEVES'!$D$10:$D$250,$AI200))</f>
        <v/>
      </c>
      <c r="D200" s="73" t="str">
        <f aca="false">IF($AI200="","",INDEX('REGISTRE ELEVES'!$E$10:$E$250,$AI200))</f>
        <v/>
      </c>
      <c r="E200" s="73" t="str">
        <f aca="false">IF($AI200="","",INDEX('REGISTRE ELEVES'!$F$10:$F$250,$AI200))</f>
        <v/>
      </c>
      <c r="F200" s="73" t="str">
        <f aca="false">IF($AI200="","",INDEX('REGISTRE ELEVES'!$AE$10:$AE$250,$AI200))</f>
        <v/>
      </c>
      <c r="G200" s="75"/>
      <c r="H200" s="76"/>
      <c r="I200" s="76"/>
      <c r="J200" s="76"/>
      <c r="K200" s="76"/>
      <c r="L200" s="79" t="str">
        <f aca="false">IF(B200="","",IF($G200="NON",0,IF(COUNT(H200:K200)=0,"",SUM(H200:K200))))</f>
        <v/>
      </c>
      <c r="M200" s="77" t="str">
        <f aca="false">IF(B200="","",IF($G200="NON",0,IF(COUNT(H200:K200)=0,"",IFERROR(ROUND(SUM(H200:K200)/SUMPRODUCT(ISNUMBER(H200:K200)*$H$8:$K$8)*10,2),""))))</f>
        <v/>
      </c>
      <c r="N200" s="75"/>
      <c r="O200" s="76"/>
      <c r="P200" s="76"/>
      <c r="Q200" s="76"/>
      <c r="R200" s="76"/>
      <c r="S200" s="79" t="str">
        <f aca="false">IF(B200="","",IF($N200="NON",0,IF(COUNT(O200:R200)=0,"",SUM(O200:R200))))</f>
        <v/>
      </c>
      <c r="T200" s="77" t="str">
        <f aca="false">IF(B200="","",IF($N200="NON",0,IF(COUNT(O200:R200)=0,"",IFERROR(ROUND(SUM(O200:R200)/SUMPRODUCT(ISNUMBER(O200:R200)*$O$8:$R$8)*10,2),""))))</f>
        <v/>
      </c>
      <c r="U200" s="75"/>
      <c r="V200" s="76"/>
      <c r="W200" s="76"/>
      <c r="X200" s="76"/>
      <c r="Y200" s="76"/>
      <c r="Z200" s="79" t="str">
        <f aca="false">IF(B200="","",IF($U200="NON",0,IF(COUNT(V200:Y200)=0,"",SUM(V200:Y200))))</f>
        <v/>
      </c>
      <c r="AA200" s="77" t="str">
        <f aca="false">IF(B200="","",IF($U200="NON",0,IF(COUNT(V200:Y200)=0,"",IFERROR(ROUND(SUM(V200:Y200)/SUMPRODUCT(ISNUMBER(V200:Y200)*$V$8:$Y$8)*10,2),""))))</f>
        <v/>
      </c>
      <c r="AB200" s="75"/>
      <c r="AC200" s="76"/>
      <c r="AD200" s="76"/>
      <c r="AE200" s="76"/>
      <c r="AF200" s="76"/>
      <c r="AG200" s="79" t="str">
        <f aca="false">IF(B200="","",IF($AB200="NON",0,IF(COUNT(AC200:AF200)=0,"",SUM(AC200:AF200))))</f>
        <v/>
      </c>
      <c r="AH200" s="77" t="str">
        <f aca="false">IF(B200="","",IF($AB200="NON",0,IF(COUNT(AC200:AF200)=0,"",IFERROR(ROUND(SUM(AC200:AF200)/SUMPRODUCT(ISNUMBER(AC200:AF200)*$AC$8:$AF$8)*10,2),""))))</f>
        <v/>
      </c>
      <c r="AI200" s="51" t="str">
        <f aca="false">IFERROR(MATCH("CE1-191",'REGISTRE ELEVES'!$AI$10:$AI$250,0),"")</f>
        <v/>
      </c>
    </row>
    <row r="201" customFormat="false" ht="15" hidden="false" customHeight="false" outlineLevel="0" collapsed="false">
      <c r="A201" s="73" t="str">
        <f aca="false">IF(B201="","",192)</f>
        <v/>
      </c>
      <c r="B201" s="73" t="str">
        <f aca="false">IF($AI201="","",INDEX('REGISTRE ELEVES'!$B$10:$B$250,$AI201))</f>
        <v/>
      </c>
      <c r="C201" s="74" t="str">
        <f aca="false">IF($AI201="","",INDEX('REGISTRE ELEVES'!$D$10:$D$250,$AI201))</f>
        <v/>
      </c>
      <c r="D201" s="73" t="str">
        <f aca="false">IF($AI201="","",INDEX('REGISTRE ELEVES'!$E$10:$E$250,$AI201))</f>
        <v/>
      </c>
      <c r="E201" s="73" t="str">
        <f aca="false">IF($AI201="","",INDEX('REGISTRE ELEVES'!$F$10:$F$250,$AI201))</f>
        <v/>
      </c>
      <c r="F201" s="73" t="str">
        <f aca="false">IF($AI201="","",INDEX('REGISTRE ELEVES'!$AE$10:$AE$250,$AI201))</f>
        <v/>
      </c>
      <c r="G201" s="75"/>
      <c r="H201" s="76"/>
      <c r="I201" s="76"/>
      <c r="J201" s="76"/>
      <c r="K201" s="76"/>
      <c r="L201" s="79" t="str">
        <f aca="false">IF(B201="","",IF($G201="NON",0,IF(COUNT(H201:K201)=0,"",SUM(H201:K201))))</f>
        <v/>
      </c>
      <c r="M201" s="77" t="str">
        <f aca="false">IF(B201="","",IF($G201="NON",0,IF(COUNT(H201:K201)=0,"",IFERROR(ROUND(SUM(H201:K201)/SUMPRODUCT(ISNUMBER(H201:K201)*$H$8:$K$8)*10,2),""))))</f>
        <v/>
      </c>
      <c r="N201" s="75"/>
      <c r="O201" s="76"/>
      <c r="P201" s="76"/>
      <c r="Q201" s="76"/>
      <c r="R201" s="76"/>
      <c r="S201" s="79" t="str">
        <f aca="false">IF(B201="","",IF($N201="NON",0,IF(COUNT(O201:R201)=0,"",SUM(O201:R201))))</f>
        <v/>
      </c>
      <c r="T201" s="77" t="str">
        <f aca="false">IF(B201="","",IF($N201="NON",0,IF(COUNT(O201:R201)=0,"",IFERROR(ROUND(SUM(O201:R201)/SUMPRODUCT(ISNUMBER(O201:R201)*$O$8:$R$8)*10,2),""))))</f>
        <v/>
      </c>
      <c r="U201" s="75"/>
      <c r="V201" s="76"/>
      <c r="W201" s="76"/>
      <c r="X201" s="76"/>
      <c r="Y201" s="76"/>
      <c r="Z201" s="79" t="str">
        <f aca="false">IF(B201="","",IF($U201="NON",0,IF(COUNT(V201:Y201)=0,"",SUM(V201:Y201))))</f>
        <v/>
      </c>
      <c r="AA201" s="77" t="str">
        <f aca="false">IF(B201="","",IF($U201="NON",0,IF(COUNT(V201:Y201)=0,"",IFERROR(ROUND(SUM(V201:Y201)/SUMPRODUCT(ISNUMBER(V201:Y201)*$V$8:$Y$8)*10,2),""))))</f>
        <v/>
      </c>
      <c r="AB201" s="75"/>
      <c r="AC201" s="76"/>
      <c r="AD201" s="76"/>
      <c r="AE201" s="76"/>
      <c r="AF201" s="76"/>
      <c r="AG201" s="79" t="str">
        <f aca="false">IF(B201="","",IF($AB201="NON",0,IF(COUNT(AC201:AF201)=0,"",SUM(AC201:AF201))))</f>
        <v/>
      </c>
      <c r="AH201" s="77" t="str">
        <f aca="false">IF(B201="","",IF($AB201="NON",0,IF(COUNT(AC201:AF201)=0,"",IFERROR(ROUND(SUM(AC201:AF201)/SUMPRODUCT(ISNUMBER(AC201:AF201)*$AC$8:$AF$8)*10,2),""))))</f>
        <v/>
      </c>
      <c r="AI201" s="51" t="str">
        <f aca="false">IFERROR(MATCH("CE1-192",'REGISTRE ELEVES'!$AI$10:$AI$250,0),"")</f>
        <v/>
      </c>
    </row>
    <row r="202" customFormat="false" ht="15" hidden="false" customHeight="false" outlineLevel="0" collapsed="false">
      <c r="A202" s="73" t="str">
        <f aca="false">IF(B202="","",193)</f>
        <v/>
      </c>
      <c r="B202" s="73" t="str">
        <f aca="false">IF($AI202="","",INDEX('REGISTRE ELEVES'!$B$10:$B$250,$AI202))</f>
        <v/>
      </c>
      <c r="C202" s="74" t="str">
        <f aca="false">IF($AI202="","",INDEX('REGISTRE ELEVES'!$D$10:$D$250,$AI202))</f>
        <v/>
      </c>
      <c r="D202" s="73" t="str">
        <f aca="false">IF($AI202="","",INDEX('REGISTRE ELEVES'!$E$10:$E$250,$AI202))</f>
        <v/>
      </c>
      <c r="E202" s="73" t="str">
        <f aca="false">IF($AI202="","",INDEX('REGISTRE ELEVES'!$F$10:$F$250,$AI202))</f>
        <v/>
      </c>
      <c r="F202" s="73" t="str">
        <f aca="false">IF($AI202="","",INDEX('REGISTRE ELEVES'!$AE$10:$AE$250,$AI202))</f>
        <v/>
      </c>
      <c r="G202" s="75"/>
      <c r="H202" s="76"/>
      <c r="I202" s="76"/>
      <c r="J202" s="76"/>
      <c r="K202" s="76"/>
      <c r="L202" s="79" t="str">
        <f aca="false">IF(B202="","",IF($G202="NON",0,IF(COUNT(H202:K202)=0,"",SUM(H202:K202))))</f>
        <v/>
      </c>
      <c r="M202" s="77" t="str">
        <f aca="false">IF(B202="","",IF($G202="NON",0,IF(COUNT(H202:K202)=0,"",IFERROR(ROUND(SUM(H202:K202)/SUMPRODUCT(ISNUMBER(H202:K202)*$H$8:$K$8)*10,2),""))))</f>
        <v/>
      </c>
      <c r="N202" s="75"/>
      <c r="O202" s="76"/>
      <c r="P202" s="76"/>
      <c r="Q202" s="76"/>
      <c r="R202" s="76"/>
      <c r="S202" s="79" t="str">
        <f aca="false">IF(B202="","",IF($N202="NON",0,IF(COUNT(O202:R202)=0,"",SUM(O202:R202))))</f>
        <v/>
      </c>
      <c r="T202" s="77" t="str">
        <f aca="false">IF(B202="","",IF($N202="NON",0,IF(COUNT(O202:R202)=0,"",IFERROR(ROUND(SUM(O202:R202)/SUMPRODUCT(ISNUMBER(O202:R202)*$O$8:$R$8)*10,2),""))))</f>
        <v/>
      </c>
      <c r="U202" s="75"/>
      <c r="V202" s="76"/>
      <c r="W202" s="76"/>
      <c r="X202" s="76"/>
      <c r="Y202" s="76"/>
      <c r="Z202" s="79" t="str">
        <f aca="false">IF(B202="","",IF($U202="NON",0,IF(COUNT(V202:Y202)=0,"",SUM(V202:Y202))))</f>
        <v/>
      </c>
      <c r="AA202" s="77" t="str">
        <f aca="false">IF(B202="","",IF($U202="NON",0,IF(COUNT(V202:Y202)=0,"",IFERROR(ROUND(SUM(V202:Y202)/SUMPRODUCT(ISNUMBER(V202:Y202)*$V$8:$Y$8)*10,2),""))))</f>
        <v/>
      </c>
      <c r="AB202" s="75"/>
      <c r="AC202" s="76"/>
      <c r="AD202" s="76"/>
      <c r="AE202" s="76"/>
      <c r="AF202" s="76"/>
      <c r="AG202" s="79" t="str">
        <f aca="false">IF(B202="","",IF($AB202="NON",0,IF(COUNT(AC202:AF202)=0,"",SUM(AC202:AF202))))</f>
        <v/>
      </c>
      <c r="AH202" s="77" t="str">
        <f aca="false">IF(B202="","",IF($AB202="NON",0,IF(COUNT(AC202:AF202)=0,"",IFERROR(ROUND(SUM(AC202:AF202)/SUMPRODUCT(ISNUMBER(AC202:AF202)*$AC$8:$AF$8)*10,2),""))))</f>
        <v/>
      </c>
      <c r="AI202" s="51" t="str">
        <f aca="false">IFERROR(MATCH("CE1-193",'REGISTRE ELEVES'!$AI$10:$AI$250,0),"")</f>
        <v/>
      </c>
    </row>
    <row r="203" customFormat="false" ht="15" hidden="false" customHeight="false" outlineLevel="0" collapsed="false">
      <c r="A203" s="73" t="str">
        <f aca="false">IF(B203="","",194)</f>
        <v/>
      </c>
      <c r="B203" s="73" t="str">
        <f aca="false">IF($AI203="","",INDEX('REGISTRE ELEVES'!$B$10:$B$250,$AI203))</f>
        <v/>
      </c>
      <c r="C203" s="74" t="str">
        <f aca="false">IF($AI203="","",INDEX('REGISTRE ELEVES'!$D$10:$D$250,$AI203))</f>
        <v/>
      </c>
      <c r="D203" s="73" t="str">
        <f aca="false">IF($AI203="","",INDEX('REGISTRE ELEVES'!$E$10:$E$250,$AI203))</f>
        <v/>
      </c>
      <c r="E203" s="73" t="str">
        <f aca="false">IF($AI203="","",INDEX('REGISTRE ELEVES'!$F$10:$F$250,$AI203))</f>
        <v/>
      </c>
      <c r="F203" s="73" t="str">
        <f aca="false">IF($AI203="","",INDEX('REGISTRE ELEVES'!$AE$10:$AE$250,$AI203))</f>
        <v/>
      </c>
      <c r="G203" s="75"/>
      <c r="H203" s="76"/>
      <c r="I203" s="76"/>
      <c r="J203" s="76"/>
      <c r="K203" s="76"/>
      <c r="L203" s="79" t="str">
        <f aca="false">IF(B203="","",IF($G203="NON",0,IF(COUNT(H203:K203)=0,"",SUM(H203:K203))))</f>
        <v/>
      </c>
      <c r="M203" s="77" t="str">
        <f aca="false">IF(B203="","",IF($G203="NON",0,IF(COUNT(H203:K203)=0,"",IFERROR(ROUND(SUM(H203:K203)/SUMPRODUCT(ISNUMBER(H203:K203)*$H$8:$K$8)*10,2),""))))</f>
        <v/>
      </c>
      <c r="N203" s="75"/>
      <c r="O203" s="76"/>
      <c r="P203" s="76"/>
      <c r="Q203" s="76"/>
      <c r="R203" s="76"/>
      <c r="S203" s="79" t="str">
        <f aca="false">IF(B203="","",IF($N203="NON",0,IF(COUNT(O203:R203)=0,"",SUM(O203:R203))))</f>
        <v/>
      </c>
      <c r="T203" s="77" t="str">
        <f aca="false">IF(B203="","",IF($N203="NON",0,IF(COUNT(O203:R203)=0,"",IFERROR(ROUND(SUM(O203:R203)/SUMPRODUCT(ISNUMBER(O203:R203)*$O$8:$R$8)*10,2),""))))</f>
        <v/>
      </c>
      <c r="U203" s="75"/>
      <c r="V203" s="76"/>
      <c r="W203" s="76"/>
      <c r="X203" s="76"/>
      <c r="Y203" s="76"/>
      <c r="Z203" s="79" t="str">
        <f aca="false">IF(B203="","",IF($U203="NON",0,IF(COUNT(V203:Y203)=0,"",SUM(V203:Y203))))</f>
        <v/>
      </c>
      <c r="AA203" s="77" t="str">
        <f aca="false">IF(B203="","",IF($U203="NON",0,IF(COUNT(V203:Y203)=0,"",IFERROR(ROUND(SUM(V203:Y203)/SUMPRODUCT(ISNUMBER(V203:Y203)*$V$8:$Y$8)*10,2),""))))</f>
        <v/>
      </c>
      <c r="AB203" s="75"/>
      <c r="AC203" s="76"/>
      <c r="AD203" s="76"/>
      <c r="AE203" s="76"/>
      <c r="AF203" s="76"/>
      <c r="AG203" s="79" t="str">
        <f aca="false">IF(B203="","",IF($AB203="NON",0,IF(COUNT(AC203:AF203)=0,"",SUM(AC203:AF203))))</f>
        <v/>
      </c>
      <c r="AH203" s="77" t="str">
        <f aca="false">IF(B203="","",IF($AB203="NON",0,IF(COUNT(AC203:AF203)=0,"",IFERROR(ROUND(SUM(AC203:AF203)/SUMPRODUCT(ISNUMBER(AC203:AF203)*$AC$8:$AF$8)*10,2),""))))</f>
        <v/>
      </c>
      <c r="AI203" s="51" t="str">
        <f aca="false">IFERROR(MATCH("CE1-194",'REGISTRE ELEVES'!$AI$10:$AI$250,0),"")</f>
        <v/>
      </c>
    </row>
    <row r="204" customFormat="false" ht="15" hidden="false" customHeight="false" outlineLevel="0" collapsed="false">
      <c r="A204" s="73" t="str">
        <f aca="false">IF(B204="","",195)</f>
        <v/>
      </c>
      <c r="B204" s="73" t="str">
        <f aca="false">IF($AI204="","",INDEX('REGISTRE ELEVES'!$B$10:$B$250,$AI204))</f>
        <v/>
      </c>
      <c r="C204" s="74" t="str">
        <f aca="false">IF($AI204="","",INDEX('REGISTRE ELEVES'!$D$10:$D$250,$AI204))</f>
        <v/>
      </c>
      <c r="D204" s="73" t="str">
        <f aca="false">IF($AI204="","",INDEX('REGISTRE ELEVES'!$E$10:$E$250,$AI204))</f>
        <v/>
      </c>
      <c r="E204" s="73" t="str">
        <f aca="false">IF($AI204="","",INDEX('REGISTRE ELEVES'!$F$10:$F$250,$AI204))</f>
        <v/>
      </c>
      <c r="F204" s="73" t="str">
        <f aca="false">IF($AI204="","",INDEX('REGISTRE ELEVES'!$AE$10:$AE$250,$AI204))</f>
        <v/>
      </c>
      <c r="G204" s="75"/>
      <c r="H204" s="76"/>
      <c r="I204" s="76"/>
      <c r="J204" s="76"/>
      <c r="K204" s="76"/>
      <c r="L204" s="79" t="str">
        <f aca="false">IF(B204="","",IF($G204="NON",0,IF(COUNT(H204:K204)=0,"",SUM(H204:K204))))</f>
        <v/>
      </c>
      <c r="M204" s="77" t="str">
        <f aca="false">IF(B204="","",IF($G204="NON",0,IF(COUNT(H204:K204)=0,"",IFERROR(ROUND(SUM(H204:K204)/SUMPRODUCT(ISNUMBER(H204:K204)*$H$8:$K$8)*10,2),""))))</f>
        <v/>
      </c>
      <c r="N204" s="75"/>
      <c r="O204" s="76"/>
      <c r="P204" s="76"/>
      <c r="Q204" s="76"/>
      <c r="R204" s="76"/>
      <c r="S204" s="79" t="str">
        <f aca="false">IF(B204="","",IF($N204="NON",0,IF(COUNT(O204:R204)=0,"",SUM(O204:R204))))</f>
        <v/>
      </c>
      <c r="T204" s="77" t="str">
        <f aca="false">IF(B204="","",IF($N204="NON",0,IF(COUNT(O204:R204)=0,"",IFERROR(ROUND(SUM(O204:R204)/SUMPRODUCT(ISNUMBER(O204:R204)*$O$8:$R$8)*10,2),""))))</f>
        <v/>
      </c>
      <c r="U204" s="75"/>
      <c r="V204" s="76"/>
      <c r="W204" s="76"/>
      <c r="X204" s="76"/>
      <c r="Y204" s="76"/>
      <c r="Z204" s="79" t="str">
        <f aca="false">IF(B204="","",IF($U204="NON",0,IF(COUNT(V204:Y204)=0,"",SUM(V204:Y204))))</f>
        <v/>
      </c>
      <c r="AA204" s="77" t="str">
        <f aca="false">IF(B204="","",IF($U204="NON",0,IF(COUNT(V204:Y204)=0,"",IFERROR(ROUND(SUM(V204:Y204)/SUMPRODUCT(ISNUMBER(V204:Y204)*$V$8:$Y$8)*10,2),""))))</f>
        <v/>
      </c>
      <c r="AB204" s="75"/>
      <c r="AC204" s="76"/>
      <c r="AD204" s="76"/>
      <c r="AE204" s="76"/>
      <c r="AF204" s="76"/>
      <c r="AG204" s="79" t="str">
        <f aca="false">IF(B204="","",IF($AB204="NON",0,IF(COUNT(AC204:AF204)=0,"",SUM(AC204:AF204))))</f>
        <v/>
      </c>
      <c r="AH204" s="77" t="str">
        <f aca="false">IF(B204="","",IF($AB204="NON",0,IF(COUNT(AC204:AF204)=0,"",IFERROR(ROUND(SUM(AC204:AF204)/SUMPRODUCT(ISNUMBER(AC204:AF204)*$AC$8:$AF$8)*10,2),""))))</f>
        <v/>
      </c>
      <c r="AI204" s="51" t="str">
        <f aca="false">IFERROR(MATCH("CE1-195",'REGISTRE ELEVES'!$AI$10:$AI$250,0),"")</f>
        <v/>
      </c>
    </row>
    <row r="205" customFormat="false" ht="15" hidden="false" customHeight="false" outlineLevel="0" collapsed="false">
      <c r="A205" s="73" t="str">
        <f aca="false">IF(B205="","",196)</f>
        <v/>
      </c>
      <c r="B205" s="73" t="str">
        <f aca="false">IF($AI205="","",INDEX('REGISTRE ELEVES'!$B$10:$B$250,$AI205))</f>
        <v/>
      </c>
      <c r="C205" s="74" t="str">
        <f aca="false">IF($AI205="","",INDEX('REGISTRE ELEVES'!$D$10:$D$250,$AI205))</f>
        <v/>
      </c>
      <c r="D205" s="73" t="str">
        <f aca="false">IF($AI205="","",INDEX('REGISTRE ELEVES'!$E$10:$E$250,$AI205))</f>
        <v/>
      </c>
      <c r="E205" s="73" t="str">
        <f aca="false">IF($AI205="","",INDEX('REGISTRE ELEVES'!$F$10:$F$250,$AI205))</f>
        <v/>
      </c>
      <c r="F205" s="73" t="str">
        <f aca="false">IF($AI205="","",INDEX('REGISTRE ELEVES'!$AE$10:$AE$250,$AI205))</f>
        <v/>
      </c>
      <c r="G205" s="75"/>
      <c r="H205" s="76"/>
      <c r="I205" s="76"/>
      <c r="J205" s="76"/>
      <c r="K205" s="76"/>
      <c r="L205" s="79" t="str">
        <f aca="false">IF(B205="","",IF($G205="NON",0,IF(COUNT(H205:K205)=0,"",SUM(H205:K205))))</f>
        <v/>
      </c>
      <c r="M205" s="77" t="str">
        <f aca="false">IF(B205="","",IF($G205="NON",0,IF(COUNT(H205:K205)=0,"",IFERROR(ROUND(SUM(H205:K205)/SUMPRODUCT(ISNUMBER(H205:K205)*$H$8:$K$8)*10,2),""))))</f>
        <v/>
      </c>
      <c r="N205" s="75"/>
      <c r="O205" s="76"/>
      <c r="P205" s="76"/>
      <c r="Q205" s="76"/>
      <c r="R205" s="76"/>
      <c r="S205" s="79" t="str">
        <f aca="false">IF(B205="","",IF($N205="NON",0,IF(COUNT(O205:R205)=0,"",SUM(O205:R205))))</f>
        <v/>
      </c>
      <c r="T205" s="77" t="str">
        <f aca="false">IF(B205="","",IF($N205="NON",0,IF(COUNT(O205:R205)=0,"",IFERROR(ROUND(SUM(O205:R205)/SUMPRODUCT(ISNUMBER(O205:R205)*$O$8:$R$8)*10,2),""))))</f>
        <v/>
      </c>
      <c r="U205" s="75"/>
      <c r="V205" s="76"/>
      <c r="W205" s="76"/>
      <c r="X205" s="76"/>
      <c r="Y205" s="76"/>
      <c r="Z205" s="79" t="str">
        <f aca="false">IF(B205="","",IF($U205="NON",0,IF(COUNT(V205:Y205)=0,"",SUM(V205:Y205))))</f>
        <v/>
      </c>
      <c r="AA205" s="77" t="str">
        <f aca="false">IF(B205="","",IF($U205="NON",0,IF(COUNT(V205:Y205)=0,"",IFERROR(ROUND(SUM(V205:Y205)/SUMPRODUCT(ISNUMBER(V205:Y205)*$V$8:$Y$8)*10,2),""))))</f>
        <v/>
      </c>
      <c r="AB205" s="75"/>
      <c r="AC205" s="76"/>
      <c r="AD205" s="76"/>
      <c r="AE205" s="76"/>
      <c r="AF205" s="76"/>
      <c r="AG205" s="79" t="str">
        <f aca="false">IF(B205="","",IF($AB205="NON",0,IF(COUNT(AC205:AF205)=0,"",SUM(AC205:AF205))))</f>
        <v/>
      </c>
      <c r="AH205" s="77" t="str">
        <f aca="false">IF(B205="","",IF($AB205="NON",0,IF(COUNT(AC205:AF205)=0,"",IFERROR(ROUND(SUM(AC205:AF205)/SUMPRODUCT(ISNUMBER(AC205:AF205)*$AC$8:$AF$8)*10,2),""))))</f>
        <v/>
      </c>
      <c r="AI205" s="51" t="str">
        <f aca="false">IFERROR(MATCH("CE1-196",'REGISTRE ELEVES'!$AI$10:$AI$250,0),"")</f>
        <v/>
      </c>
    </row>
    <row r="206" customFormat="false" ht="15" hidden="false" customHeight="false" outlineLevel="0" collapsed="false">
      <c r="A206" s="73" t="str">
        <f aca="false">IF(B206="","",197)</f>
        <v/>
      </c>
      <c r="B206" s="73" t="str">
        <f aca="false">IF($AI206="","",INDEX('REGISTRE ELEVES'!$B$10:$B$250,$AI206))</f>
        <v/>
      </c>
      <c r="C206" s="74" t="str">
        <f aca="false">IF($AI206="","",INDEX('REGISTRE ELEVES'!$D$10:$D$250,$AI206))</f>
        <v/>
      </c>
      <c r="D206" s="73" t="str">
        <f aca="false">IF($AI206="","",INDEX('REGISTRE ELEVES'!$E$10:$E$250,$AI206))</f>
        <v/>
      </c>
      <c r="E206" s="73" t="str">
        <f aca="false">IF($AI206="","",INDEX('REGISTRE ELEVES'!$F$10:$F$250,$AI206))</f>
        <v/>
      </c>
      <c r="F206" s="73" t="str">
        <f aca="false">IF($AI206="","",INDEX('REGISTRE ELEVES'!$AE$10:$AE$250,$AI206))</f>
        <v/>
      </c>
      <c r="G206" s="75"/>
      <c r="H206" s="76"/>
      <c r="I206" s="76"/>
      <c r="J206" s="76"/>
      <c r="K206" s="76"/>
      <c r="L206" s="79" t="str">
        <f aca="false">IF(B206="","",IF($G206="NON",0,IF(COUNT(H206:K206)=0,"",SUM(H206:K206))))</f>
        <v/>
      </c>
      <c r="M206" s="77" t="str">
        <f aca="false">IF(B206="","",IF($G206="NON",0,IF(COUNT(H206:K206)=0,"",IFERROR(ROUND(SUM(H206:K206)/SUMPRODUCT(ISNUMBER(H206:K206)*$H$8:$K$8)*10,2),""))))</f>
        <v/>
      </c>
      <c r="N206" s="75"/>
      <c r="O206" s="76"/>
      <c r="P206" s="76"/>
      <c r="Q206" s="76"/>
      <c r="R206" s="76"/>
      <c r="S206" s="79" t="str">
        <f aca="false">IF(B206="","",IF($N206="NON",0,IF(COUNT(O206:R206)=0,"",SUM(O206:R206))))</f>
        <v/>
      </c>
      <c r="T206" s="77" t="str">
        <f aca="false">IF(B206="","",IF($N206="NON",0,IF(COUNT(O206:R206)=0,"",IFERROR(ROUND(SUM(O206:R206)/SUMPRODUCT(ISNUMBER(O206:R206)*$O$8:$R$8)*10,2),""))))</f>
        <v/>
      </c>
      <c r="U206" s="75"/>
      <c r="V206" s="76"/>
      <c r="W206" s="76"/>
      <c r="X206" s="76"/>
      <c r="Y206" s="76"/>
      <c r="Z206" s="79" t="str">
        <f aca="false">IF(B206="","",IF($U206="NON",0,IF(COUNT(V206:Y206)=0,"",SUM(V206:Y206))))</f>
        <v/>
      </c>
      <c r="AA206" s="77" t="str">
        <f aca="false">IF(B206="","",IF($U206="NON",0,IF(COUNT(V206:Y206)=0,"",IFERROR(ROUND(SUM(V206:Y206)/SUMPRODUCT(ISNUMBER(V206:Y206)*$V$8:$Y$8)*10,2),""))))</f>
        <v/>
      </c>
      <c r="AB206" s="75"/>
      <c r="AC206" s="76"/>
      <c r="AD206" s="76"/>
      <c r="AE206" s="76"/>
      <c r="AF206" s="76"/>
      <c r="AG206" s="79" t="str">
        <f aca="false">IF(B206="","",IF($AB206="NON",0,IF(COUNT(AC206:AF206)=0,"",SUM(AC206:AF206))))</f>
        <v/>
      </c>
      <c r="AH206" s="77" t="str">
        <f aca="false">IF(B206="","",IF($AB206="NON",0,IF(COUNT(AC206:AF206)=0,"",IFERROR(ROUND(SUM(AC206:AF206)/SUMPRODUCT(ISNUMBER(AC206:AF206)*$AC$8:$AF$8)*10,2),""))))</f>
        <v/>
      </c>
      <c r="AI206" s="51" t="str">
        <f aca="false">IFERROR(MATCH("CE1-197",'REGISTRE ELEVES'!$AI$10:$AI$250,0),"")</f>
        <v/>
      </c>
    </row>
    <row r="207" customFormat="false" ht="15" hidden="false" customHeight="false" outlineLevel="0" collapsed="false">
      <c r="A207" s="73" t="str">
        <f aca="false">IF(B207="","",198)</f>
        <v/>
      </c>
      <c r="B207" s="73" t="str">
        <f aca="false">IF($AI207="","",INDEX('REGISTRE ELEVES'!$B$10:$B$250,$AI207))</f>
        <v/>
      </c>
      <c r="C207" s="74" t="str">
        <f aca="false">IF($AI207="","",INDEX('REGISTRE ELEVES'!$D$10:$D$250,$AI207))</f>
        <v/>
      </c>
      <c r="D207" s="73" t="str">
        <f aca="false">IF($AI207="","",INDEX('REGISTRE ELEVES'!$E$10:$E$250,$AI207))</f>
        <v/>
      </c>
      <c r="E207" s="73" t="str">
        <f aca="false">IF($AI207="","",INDEX('REGISTRE ELEVES'!$F$10:$F$250,$AI207))</f>
        <v/>
      </c>
      <c r="F207" s="73" t="str">
        <f aca="false">IF($AI207="","",INDEX('REGISTRE ELEVES'!$AE$10:$AE$250,$AI207))</f>
        <v/>
      </c>
      <c r="G207" s="75"/>
      <c r="H207" s="76"/>
      <c r="I207" s="76"/>
      <c r="J207" s="76"/>
      <c r="K207" s="76"/>
      <c r="L207" s="79" t="str">
        <f aca="false">IF(B207="","",IF($G207="NON",0,IF(COUNT(H207:K207)=0,"",SUM(H207:K207))))</f>
        <v/>
      </c>
      <c r="M207" s="77" t="str">
        <f aca="false">IF(B207="","",IF($G207="NON",0,IF(COUNT(H207:K207)=0,"",IFERROR(ROUND(SUM(H207:K207)/SUMPRODUCT(ISNUMBER(H207:K207)*$H$8:$K$8)*10,2),""))))</f>
        <v/>
      </c>
      <c r="N207" s="75"/>
      <c r="O207" s="76"/>
      <c r="P207" s="76"/>
      <c r="Q207" s="76"/>
      <c r="R207" s="76"/>
      <c r="S207" s="79" t="str">
        <f aca="false">IF(B207="","",IF($N207="NON",0,IF(COUNT(O207:R207)=0,"",SUM(O207:R207))))</f>
        <v/>
      </c>
      <c r="T207" s="77" t="str">
        <f aca="false">IF(B207="","",IF($N207="NON",0,IF(COUNT(O207:R207)=0,"",IFERROR(ROUND(SUM(O207:R207)/SUMPRODUCT(ISNUMBER(O207:R207)*$O$8:$R$8)*10,2),""))))</f>
        <v/>
      </c>
      <c r="U207" s="75"/>
      <c r="V207" s="76"/>
      <c r="W207" s="76"/>
      <c r="X207" s="76"/>
      <c r="Y207" s="76"/>
      <c r="Z207" s="79" t="str">
        <f aca="false">IF(B207="","",IF($U207="NON",0,IF(COUNT(V207:Y207)=0,"",SUM(V207:Y207))))</f>
        <v/>
      </c>
      <c r="AA207" s="77" t="str">
        <f aca="false">IF(B207="","",IF($U207="NON",0,IF(COUNT(V207:Y207)=0,"",IFERROR(ROUND(SUM(V207:Y207)/SUMPRODUCT(ISNUMBER(V207:Y207)*$V$8:$Y$8)*10,2),""))))</f>
        <v/>
      </c>
      <c r="AB207" s="75"/>
      <c r="AC207" s="76"/>
      <c r="AD207" s="76"/>
      <c r="AE207" s="76"/>
      <c r="AF207" s="76"/>
      <c r="AG207" s="79" t="str">
        <f aca="false">IF(B207="","",IF($AB207="NON",0,IF(COUNT(AC207:AF207)=0,"",SUM(AC207:AF207))))</f>
        <v/>
      </c>
      <c r="AH207" s="77" t="str">
        <f aca="false">IF(B207="","",IF($AB207="NON",0,IF(COUNT(AC207:AF207)=0,"",IFERROR(ROUND(SUM(AC207:AF207)/SUMPRODUCT(ISNUMBER(AC207:AF207)*$AC$8:$AF$8)*10,2),""))))</f>
        <v/>
      </c>
      <c r="AI207" s="51" t="str">
        <f aca="false">IFERROR(MATCH("CE1-198",'REGISTRE ELEVES'!$AI$10:$AI$250,0),"")</f>
        <v/>
      </c>
    </row>
    <row r="208" customFormat="false" ht="15" hidden="false" customHeight="false" outlineLevel="0" collapsed="false">
      <c r="A208" s="73" t="str">
        <f aca="false">IF(B208="","",199)</f>
        <v/>
      </c>
      <c r="B208" s="73" t="str">
        <f aca="false">IF($AI208="","",INDEX('REGISTRE ELEVES'!$B$10:$B$250,$AI208))</f>
        <v/>
      </c>
      <c r="C208" s="74" t="str">
        <f aca="false">IF($AI208="","",INDEX('REGISTRE ELEVES'!$D$10:$D$250,$AI208))</f>
        <v/>
      </c>
      <c r="D208" s="73" t="str">
        <f aca="false">IF($AI208="","",INDEX('REGISTRE ELEVES'!$E$10:$E$250,$AI208))</f>
        <v/>
      </c>
      <c r="E208" s="73" t="str">
        <f aca="false">IF($AI208="","",INDEX('REGISTRE ELEVES'!$F$10:$F$250,$AI208))</f>
        <v/>
      </c>
      <c r="F208" s="73" t="str">
        <f aca="false">IF($AI208="","",INDEX('REGISTRE ELEVES'!$AE$10:$AE$250,$AI208))</f>
        <v/>
      </c>
      <c r="G208" s="75"/>
      <c r="H208" s="76"/>
      <c r="I208" s="76"/>
      <c r="J208" s="76"/>
      <c r="K208" s="76"/>
      <c r="L208" s="79" t="str">
        <f aca="false">IF(B208="","",IF($G208="NON",0,IF(COUNT(H208:K208)=0,"",SUM(H208:K208))))</f>
        <v/>
      </c>
      <c r="M208" s="77" t="str">
        <f aca="false">IF(B208="","",IF($G208="NON",0,IF(COUNT(H208:K208)=0,"",IFERROR(ROUND(SUM(H208:K208)/SUMPRODUCT(ISNUMBER(H208:K208)*$H$8:$K$8)*10,2),""))))</f>
        <v/>
      </c>
      <c r="N208" s="75"/>
      <c r="O208" s="76"/>
      <c r="P208" s="76"/>
      <c r="Q208" s="76"/>
      <c r="R208" s="76"/>
      <c r="S208" s="79" t="str">
        <f aca="false">IF(B208="","",IF($N208="NON",0,IF(COUNT(O208:R208)=0,"",SUM(O208:R208))))</f>
        <v/>
      </c>
      <c r="T208" s="77" t="str">
        <f aca="false">IF(B208="","",IF($N208="NON",0,IF(COUNT(O208:R208)=0,"",IFERROR(ROUND(SUM(O208:R208)/SUMPRODUCT(ISNUMBER(O208:R208)*$O$8:$R$8)*10,2),""))))</f>
        <v/>
      </c>
      <c r="U208" s="75"/>
      <c r="V208" s="76"/>
      <c r="W208" s="76"/>
      <c r="X208" s="76"/>
      <c r="Y208" s="76"/>
      <c r="Z208" s="79" t="str">
        <f aca="false">IF(B208="","",IF($U208="NON",0,IF(COUNT(V208:Y208)=0,"",SUM(V208:Y208))))</f>
        <v/>
      </c>
      <c r="AA208" s="77" t="str">
        <f aca="false">IF(B208="","",IF($U208="NON",0,IF(COUNT(V208:Y208)=0,"",IFERROR(ROUND(SUM(V208:Y208)/SUMPRODUCT(ISNUMBER(V208:Y208)*$V$8:$Y$8)*10,2),""))))</f>
        <v/>
      </c>
      <c r="AB208" s="75"/>
      <c r="AC208" s="76"/>
      <c r="AD208" s="76"/>
      <c r="AE208" s="76"/>
      <c r="AF208" s="76"/>
      <c r="AG208" s="79" t="str">
        <f aca="false">IF(B208="","",IF($AB208="NON",0,IF(COUNT(AC208:AF208)=0,"",SUM(AC208:AF208))))</f>
        <v/>
      </c>
      <c r="AH208" s="77" t="str">
        <f aca="false">IF(B208="","",IF($AB208="NON",0,IF(COUNT(AC208:AF208)=0,"",IFERROR(ROUND(SUM(AC208:AF208)/SUMPRODUCT(ISNUMBER(AC208:AF208)*$AC$8:$AF$8)*10,2),""))))</f>
        <v/>
      </c>
      <c r="AI208" s="51" t="str">
        <f aca="false">IFERROR(MATCH("CE1-199",'REGISTRE ELEVES'!$AI$10:$AI$250,0),"")</f>
        <v/>
      </c>
    </row>
    <row r="209" customFormat="false" ht="15" hidden="false" customHeight="false" outlineLevel="0" collapsed="false">
      <c r="A209" s="73" t="str">
        <f aca="false">IF(B209="","",200)</f>
        <v/>
      </c>
      <c r="B209" s="73" t="str">
        <f aca="false">IF($AI209="","",INDEX('REGISTRE ELEVES'!$B$10:$B$250,$AI209))</f>
        <v/>
      </c>
      <c r="C209" s="74" t="str">
        <f aca="false">IF($AI209="","",INDEX('REGISTRE ELEVES'!$D$10:$D$250,$AI209))</f>
        <v/>
      </c>
      <c r="D209" s="73" t="str">
        <f aca="false">IF($AI209="","",INDEX('REGISTRE ELEVES'!$E$10:$E$250,$AI209))</f>
        <v/>
      </c>
      <c r="E209" s="73" t="str">
        <f aca="false">IF($AI209="","",INDEX('REGISTRE ELEVES'!$F$10:$F$250,$AI209))</f>
        <v/>
      </c>
      <c r="F209" s="73" t="str">
        <f aca="false">IF($AI209="","",INDEX('REGISTRE ELEVES'!$AE$10:$AE$250,$AI209))</f>
        <v/>
      </c>
      <c r="G209" s="75"/>
      <c r="H209" s="76"/>
      <c r="I209" s="76"/>
      <c r="J209" s="76"/>
      <c r="K209" s="76"/>
      <c r="L209" s="79" t="str">
        <f aca="false">IF(B209="","",IF($G209="NON",0,IF(COUNT(H209:K209)=0,"",SUM(H209:K209))))</f>
        <v/>
      </c>
      <c r="M209" s="77" t="str">
        <f aca="false">IF(B209="","",IF($G209="NON",0,IF(COUNT(H209:K209)=0,"",IFERROR(ROUND(SUM(H209:K209)/SUMPRODUCT(ISNUMBER(H209:K209)*$H$8:$K$8)*10,2),""))))</f>
        <v/>
      </c>
      <c r="N209" s="75"/>
      <c r="O209" s="76"/>
      <c r="P209" s="76"/>
      <c r="Q209" s="76"/>
      <c r="R209" s="76"/>
      <c r="S209" s="79" t="str">
        <f aca="false">IF(B209="","",IF($N209="NON",0,IF(COUNT(O209:R209)=0,"",SUM(O209:R209))))</f>
        <v/>
      </c>
      <c r="T209" s="77" t="str">
        <f aca="false">IF(B209="","",IF($N209="NON",0,IF(COUNT(O209:R209)=0,"",IFERROR(ROUND(SUM(O209:R209)/SUMPRODUCT(ISNUMBER(O209:R209)*$O$8:$R$8)*10,2),""))))</f>
        <v/>
      </c>
      <c r="U209" s="75"/>
      <c r="V209" s="76"/>
      <c r="W209" s="76"/>
      <c r="X209" s="76"/>
      <c r="Y209" s="76"/>
      <c r="Z209" s="79" t="str">
        <f aca="false">IF(B209="","",IF($U209="NON",0,IF(COUNT(V209:Y209)=0,"",SUM(V209:Y209))))</f>
        <v/>
      </c>
      <c r="AA209" s="77" t="str">
        <f aca="false">IF(B209="","",IF($U209="NON",0,IF(COUNT(V209:Y209)=0,"",IFERROR(ROUND(SUM(V209:Y209)/SUMPRODUCT(ISNUMBER(V209:Y209)*$V$8:$Y$8)*10,2),""))))</f>
        <v/>
      </c>
      <c r="AB209" s="75"/>
      <c r="AC209" s="76"/>
      <c r="AD209" s="76"/>
      <c r="AE209" s="76"/>
      <c r="AF209" s="76"/>
      <c r="AG209" s="79" t="str">
        <f aca="false">IF(B209="","",IF($AB209="NON",0,IF(COUNT(AC209:AF209)=0,"",SUM(AC209:AF209))))</f>
        <v/>
      </c>
      <c r="AH209" s="77" t="str">
        <f aca="false">IF(B209="","",IF($AB209="NON",0,IF(COUNT(AC209:AF209)=0,"",IFERROR(ROUND(SUM(AC209:AF209)/SUMPRODUCT(ISNUMBER(AC209:AF209)*$AC$8:$AF$8)*10,2),""))))</f>
        <v/>
      </c>
      <c r="AI209" s="51" t="str">
        <f aca="false">IFERROR(MATCH("CE1-200",'REGISTRE ELEVES'!$AI$10:$AI$250,0),"")</f>
        <v/>
      </c>
    </row>
    <row r="210" customFormat="false" ht="15" hidden="false" customHeight="false" outlineLevel="0" collapsed="false">
      <c r="A210" s="73" t="str">
        <f aca="false">IF(B210="","",201)</f>
        <v/>
      </c>
      <c r="B210" s="73" t="str">
        <f aca="false">IF($AI210="","",INDEX('REGISTRE ELEVES'!$B$10:$B$250,$AI210))</f>
        <v/>
      </c>
      <c r="C210" s="74" t="str">
        <f aca="false">IF($AI210="","",INDEX('REGISTRE ELEVES'!$D$10:$D$250,$AI210))</f>
        <v/>
      </c>
      <c r="D210" s="73" t="str">
        <f aca="false">IF($AI210="","",INDEX('REGISTRE ELEVES'!$E$10:$E$250,$AI210))</f>
        <v/>
      </c>
      <c r="E210" s="73" t="str">
        <f aca="false">IF($AI210="","",INDEX('REGISTRE ELEVES'!$F$10:$F$250,$AI210))</f>
        <v/>
      </c>
      <c r="F210" s="73" t="str">
        <f aca="false">IF($AI210="","",INDEX('REGISTRE ELEVES'!$AE$10:$AE$250,$AI210))</f>
        <v/>
      </c>
      <c r="G210" s="75"/>
      <c r="H210" s="76"/>
      <c r="I210" s="76"/>
      <c r="J210" s="76"/>
      <c r="K210" s="76"/>
      <c r="L210" s="79" t="str">
        <f aca="false">IF(B210="","",IF($G210="NON",0,IF(COUNT(H210:K210)=0,"",SUM(H210:K210))))</f>
        <v/>
      </c>
      <c r="M210" s="77" t="str">
        <f aca="false">IF(B210="","",IF($G210="NON",0,IF(COUNT(H210:K210)=0,"",IFERROR(ROUND(SUM(H210:K210)/SUMPRODUCT(ISNUMBER(H210:K210)*$H$8:$K$8)*10,2),""))))</f>
        <v/>
      </c>
      <c r="N210" s="75"/>
      <c r="O210" s="76"/>
      <c r="P210" s="76"/>
      <c r="Q210" s="76"/>
      <c r="R210" s="76"/>
      <c r="S210" s="79" t="str">
        <f aca="false">IF(B210="","",IF($N210="NON",0,IF(COUNT(O210:R210)=0,"",SUM(O210:R210))))</f>
        <v/>
      </c>
      <c r="T210" s="77" t="str">
        <f aca="false">IF(B210="","",IF($N210="NON",0,IF(COUNT(O210:R210)=0,"",IFERROR(ROUND(SUM(O210:R210)/SUMPRODUCT(ISNUMBER(O210:R210)*$O$8:$R$8)*10,2),""))))</f>
        <v/>
      </c>
      <c r="U210" s="75"/>
      <c r="V210" s="76"/>
      <c r="W210" s="76"/>
      <c r="X210" s="76"/>
      <c r="Y210" s="76"/>
      <c r="Z210" s="79" t="str">
        <f aca="false">IF(B210="","",IF($U210="NON",0,IF(COUNT(V210:Y210)=0,"",SUM(V210:Y210))))</f>
        <v/>
      </c>
      <c r="AA210" s="77" t="str">
        <f aca="false">IF(B210="","",IF($U210="NON",0,IF(COUNT(V210:Y210)=0,"",IFERROR(ROUND(SUM(V210:Y210)/SUMPRODUCT(ISNUMBER(V210:Y210)*$V$8:$Y$8)*10,2),""))))</f>
        <v/>
      </c>
      <c r="AB210" s="75"/>
      <c r="AC210" s="76"/>
      <c r="AD210" s="76"/>
      <c r="AE210" s="76"/>
      <c r="AF210" s="76"/>
      <c r="AG210" s="79" t="str">
        <f aca="false">IF(B210="","",IF($AB210="NON",0,IF(COUNT(AC210:AF210)=0,"",SUM(AC210:AF210))))</f>
        <v/>
      </c>
      <c r="AH210" s="77" t="str">
        <f aca="false">IF(B210="","",IF($AB210="NON",0,IF(COUNT(AC210:AF210)=0,"",IFERROR(ROUND(SUM(AC210:AF210)/SUMPRODUCT(ISNUMBER(AC210:AF210)*$AC$8:$AF$8)*10,2),""))))</f>
        <v/>
      </c>
      <c r="AI210" s="51" t="str">
        <f aca="false">IFERROR(MATCH("CE1-201",'REGISTRE ELEVES'!$AI$10:$AI$250,0),"")</f>
        <v/>
      </c>
    </row>
    <row r="211" customFormat="false" ht="15" hidden="false" customHeight="false" outlineLevel="0" collapsed="false">
      <c r="A211" s="73" t="str">
        <f aca="false">IF(B211="","",202)</f>
        <v/>
      </c>
      <c r="B211" s="73" t="str">
        <f aca="false">IF($AI211="","",INDEX('REGISTRE ELEVES'!$B$10:$B$250,$AI211))</f>
        <v/>
      </c>
      <c r="C211" s="74" t="str">
        <f aca="false">IF($AI211="","",INDEX('REGISTRE ELEVES'!$D$10:$D$250,$AI211))</f>
        <v/>
      </c>
      <c r="D211" s="73" t="str">
        <f aca="false">IF($AI211="","",INDEX('REGISTRE ELEVES'!$E$10:$E$250,$AI211))</f>
        <v/>
      </c>
      <c r="E211" s="73" t="str">
        <f aca="false">IF($AI211="","",INDEX('REGISTRE ELEVES'!$F$10:$F$250,$AI211))</f>
        <v/>
      </c>
      <c r="F211" s="73" t="str">
        <f aca="false">IF($AI211="","",INDEX('REGISTRE ELEVES'!$AE$10:$AE$250,$AI211))</f>
        <v/>
      </c>
      <c r="G211" s="75"/>
      <c r="H211" s="76"/>
      <c r="I211" s="76"/>
      <c r="J211" s="76"/>
      <c r="K211" s="76"/>
      <c r="L211" s="79" t="str">
        <f aca="false">IF(B211="","",IF($G211="NON",0,IF(COUNT(H211:K211)=0,"",SUM(H211:K211))))</f>
        <v/>
      </c>
      <c r="M211" s="77" t="str">
        <f aca="false">IF(B211="","",IF($G211="NON",0,IF(COUNT(H211:K211)=0,"",IFERROR(ROUND(SUM(H211:K211)/SUMPRODUCT(ISNUMBER(H211:K211)*$H$8:$K$8)*10,2),""))))</f>
        <v/>
      </c>
      <c r="N211" s="75"/>
      <c r="O211" s="76"/>
      <c r="P211" s="76"/>
      <c r="Q211" s="76"/>
      <c r="R211" s="76"/>
      <c r="S211" s="79" t="str">
        <f aca="false">IF(B211="","",IF($N211="NON",0,IF(COUNT(O211:R211)=0,"",SUM(O211:R211))))</f>
        <v/>
      </c>
      <c r="T211" s="77" t="str">
        <f aca="false">IF(B211="","",IF($N211="NON",0,IF(COUNT(O211:R211)=0,"",IFERROR(ROUND(SUM(O211:R211)/SUMPRODUCT(ISNUMBER(O211:R211)*$O$8:$R$8)*10,2),""))))</f>
        <v/>
      </c>
      <c r="U211" s="75"/>
      <c r="V211" s="76"/>
      <c r="W211" s="76"/>
      <c r="X211" s="76"/>
      <c r="Y211" s="76"/>
      <c r="Z211" s="79" t="str">
        <f aca="false">IF(B211="","",IF($U211="NON",0,IF(COUNT(V211:Y211)=0,"",SUM(V211:Y211))))</f>
        <v/>
      </c>
      <c r="AA211" s="77" t="str">
        <f aca="false">IF(B211="","",IF($U211="NON",0,IF(COUNT(V211:Y211)=0,"",IFERROR(ROUND(SUM(V211:Y211)/SUMPRODUCT(ISNUMBER(V211:Y211)*$V$8:$Y$8)*10,2),""))))</f>
        <v/>
      </c>
      <c r="AB211" s="75"/>
      <c r="AC211" s="76"/>
      <c r="AD211" s="76"/>
      <c r="AE211" s="76"/>
      <c r="AF211" s="76"/>
      <c r="AG211" s="79" t="str">
        <f aca="false">IF(B211="","",IF($AB211="NON",0,IF(COUNT(AC211:AF211)=0,"",SUM(AC211:AF211))))</f>
        <v/>
      </c>
      <c r="AH211" s="77" t="str">
        <f aca="false">IF(B211="","",IF($AB211="NON",0,IF(COUNT(AC211:AF211)=0,"",IFERROR(ROUND(SUM(AC211:AF211)/SUMPRODUCT(ISNUMBER(AC211:AF211)*$AC$8:$AF$8)*10,2),""))))</f>
        <v/>
      </c>
      <c r="AI211" s="51" t="str">
        <f aca="false">IFERROR(MATCH("CE1-202",'REGISTRE ELEVES'!$AI$10:$AI$250,0),"")</f>
        <v/>
      </c>
    </row>
    <row r="212" customFormat="false" ht="15" hidden="false" customHeight="false" outlineLevel="0" collapsed="false">
      <c r="A212" s="73" t="str">
        <f aca="false">IF(B212="","",203)</f>
        <v/>
      </c>
      <c r="B212" s="73" t="str">
        <f aca="false">IF($AI212="","",INDEX('REGISTRE ELEVES'!$B$10:$B$250,$AI212))</f>
        <v/>
      </c>
      <c r="C212" s="74" t="str">
        <f aca="false">IF($AI212="","",INDEX('REGISTRE ELEVES'!$D$10:$D$250,$AI212))</f>
        <v/>
      </c>
      <c r="D212" s="73" t="str">
        <f aca="false">IF($AI212="","",INDEX('REGISTRE ELEVES'!$E$10:$E$250,$AI212))</f>
        <v/>
      </c>
      <c r="E212" s="73" t="str">
        <f aca="false">IF($AI212="","",INDEX('REGISTRE ELEVES'!$F$10:$F$250,$AI212))</f>
        <v/>
      </c>
      <c r="F212" s="73" t="str">
        <f aca="false">IF($AI212="","",INDEX('REGISTRE ELEVES'!$AE$10:$AE$250,$AI212))</f>
        <v/>
      </c>
      <c r="G212" s="75"/>
      <c r="H212" s="76"/>
      <c r="I212" s="76"/>
      <c r="J212" s="76"/>
      <c r="K212" s="76"/>
      <c r="L212" s="79" t="str">
        <f aca="false">IF(B212="","",IF($G212="NON",0,IF(COUNT(H212:K212)=0,"",SUM(H212:K212))))</f>
        <v/>
      </c>
      <c r="M212" s="77" t="str">
        <f aca="false">IF(B212="","",IF($G212="NON",0,IF(COUNT(H212:K212)=0,"",IFERROR(ROUND(SUM(H212:K212)/SUMPRODUCT(ISNUMBER(H212:K212)*$H$8:$K$8)*10,2),""))))</f>
        <v/>
      </c>
      <c r="N212" s="75"/>
      <c r="O212" s="76"/>
      <c r="P212" s="76"/>
      <c r="Q212" s="76"/>
      <c r="R212" s="76"/>
      <c r="S212" s="79" t="str">
        <f aca="false">IF(B212="","",IF($N212="NON",0,IF(COUNT(O212:R212)=0,"",SUM(O212:R212))))</f>
        <v/>
      </c>
      <c r="T212" s="77" t="str">
        <f aca="false">IF(B212="","",IF($N212="NON",0,IF(COUNT(O212:R212)=0,"",IFERROR(ROUND(SUM(O212:R212)/SUMPRODUCT(ISNUMBER(O212:R212)*$O$8:$R$8)*10,2),""))))</f>
        <v/>
      </c>
      <c r="U212" s="75"/>
      <c r="V212" s="76"/>
      <c r="W212" s="76"/>
      <c r="X212" s="76"/>
      <c r="Y212" s="76"/>
      <c r="Z212" s="79" t="str">
        <f aca="false">IF(B212="","",IF($U212="NON",0,IF(COUNT(V212:Y212)=0,"",SUM(V212:Y212))))</f>
        <v/>
      </c>
      <c r="AA212" s="77" t="str">
        <f aca="false">IF(B212="","",IF($U212="NON",0,IF(COUNT(V212:Y212)=0,"",IFERROR(ROUND(SUM(V212:Y212)/SUMPRODUCT(ISNUMBER(V212:Y212)*$V$8:$Y$8)*10,2),""))))</f>
        <v/>
      </c>
      <c r="AB212" s="75"/>
      <c r="AC212" s="76"/>
      <c r="AD212" s="76"/>
      <c r="AE212" s="76"/>
      <c r="AF212" s="76"/>
      <c r="AG212" s="79" t="str">
        <f aca="false">IF(B212="","",IF($AB212="NON",0,IF(COUNT(AC212:AF212)=0,"",SUM(AC212:AF212))))</f>
        <v/>
      </c>
      <c r="AH212" s="77" t="str">
        <f aca="false">IF(B212="","",IF($AB212="NON",0,IF(COUNT(AC212:AF212)=0,"",IFERROR(ROUND(SUM(AC212:AF212)/SUMPRODUCT(ISNUMBER(AC212:AF212)*$AC$8:$AF$8)*10,2),""))))</f>
        <v/>
      </c>
      <c r="AI212" s="51" t="str">
        <f aca="false">IFERROR(MATCH("CE1-203",'REGISTRE ELEVES'!$AI$10:$AI$250,0),"")</f>
        <v/>
      </c>
    </row>
    <row r="213" customFormat="false" ht="15" hidden="false" customHeight="false" outlineLevel="0" collapsed="false">
      <c r="A213" s="73" t="str">
        <f aca="false">IF(B213="","",204)</f>
        <v/>
      </c>
      <c r="B213" s="73" t="str">
        <f aca="false">IF($AI213="","",INDEX('REGISTRE ELEVES'!$B$10:$B$250,$AI213))</f>
        <v/>
      </c>
      <c r="C213" s="74" t="str">
        <f aca="false">IF($AI213="","",INDEX('REGISTRE ELEVES'!$D$10:$D$250,$AI213))</f>
        <v/>
      </c>
      <c r="D213" s="73" t="str">
        <f aca="false">IF($AI213="","",INDEX('REGISTRE ELEVES'!$E$10:$E$250,$AI213))</f>
        <v/>
      </c>
      <c r="E213" s="73" t="str">
        <f aca="false">IF($AI213="","",INDEX('REGISTRE ELEVES'!$F$10:$F$250,$AI213))</f>
        <v/>
      </c>
      <c r="F213" s="73" t="str">
        <f aca="false">IF($AI213="","",INDEX('REGISTRE ELEVES'!$AE$10:$AE$250,$AI213))</f>
        <v/>
      </c>
      <c r="G213" s="75"/>
      <c r="H213" s="76"/>
      <c r="I213" s="76"/>
      <c r="J213" s="76"/>
      <c r="K213" s="76"/>
      <c r="L213" s="79" t="str">
        <f aca="false">IF(B213="","",IF($G213="NON",0,IF(COUNT(H213:K213)=0,"",SUM(H213:K213))))</f>
        <v/>
      </c>
      <c r="M213" s="77" t="str">
        <f aca="false">IF(B213="","",IF($G213="NON",0,IF(COUNT(H213:K213)=0,"",IFERROR(ROUND(SUM(H213:K213)/SUMPRODUCT(ISNUMBER(H213:K213)*$H$8:$K$8)*10,2),""))))</f>
        <v/>
      </c>
      <c r="N213" s="75"/>
      <c r="O213" s="76"/>
      <c r="P213" s="76"/>
      <c r="Q213" s="76"/>
      <c r="R213" s="76"/>
      <c r="S213" s="79" t="str">
        <f aca="false">IF(B213="","",IF($N213="NON",0,IF(COUNT(O213:R213)=0,"",SUM(O213:R213))))</f>
        <v/>
      </c>
      <c r="T213" s="77" t="str">
        <f aca="false">IF(B213="","",IF($N213="NON",0,IF(COUNT(O213:R213)=0,"",IFERROR(ROUND(SUM(O213:R213)/SUMPRODUCT(ISNUMBER(O213:R213)*$O$8:$R$8)*10,2),""))))</f>
        <v/>
      </c>
      <c r="U213" s="75"/>
      <c r="V213" s="76"/>
      <c r="W213" s="76"/>
      <c r="X213" s="76"/>
      <c r="Y213" s="76"/>
      <c r="Z213" s="79" t="str">
        <f aca="false">IF(B213="","",IF($U213="NON",0,IF(COUNT(V213:Y213)=0,"",SUM(V213:Y213))))</f>
        <v/>
      </c>
      <c r="AA213" s="77" t="str">
        <f aca="false">IF(B213="","",IF($U213="NON",0,IF(COUNT(V213:Y213)=0,"",IFERROR(ROUND(SUM(V213:Y213)/SUMPRODUCT(ISNUMBER(V213:Y213)*$V$8:$Y$8)*10,2),""))))</f>
        <v/>
      </c>
      <c r="AB213" s="75"/>
      <c r="AC213" s="76"/>
      <c r="AD213" s="76"/>
      <c r="AE213" s="76"/>
      <c r="AF213" s="76"/>
      <c r="AG213" s="79" t="str">
        <f aca="false">IF(B213="","",IF($AB213="NON",0,IF(COUNT(AC213:AF213)=0,"",SUM(AC213:AF213))))</f>
        <v/>
      </c>
      <c r="AH213" s="77" t="str">
        <f aca="false">IF(B213="","",IF($AB213="NON",0,IF(COUNT(AC213:AF213)=0,"",IFERROR(ROUND(SUM(AC213:AF213)/SUMPRODUCT(ISNUMBER(AC213:AF213)*$AC$8:$AF$8)*10,2),""))))</f>
        <v/>
      </c>
      <c r="AI213" s="51" t="str">
        <f aca="false">IFERROR(MATCH("CE1-204",'REGISTRE ELEVES'!$AI$10:$AI$250,0),"")</f>
        <v/>
      </c>
    </row>
    <row r="214" customFormat="false" ht="15" hidden="false" customHeight="false" outlineLevel="0" collapsed="false">
      <c r="A214" s="73" t="str">
        <f aca="false">IF(B214="","",205)</f>
        <v/>
      </c>
      <c r="B214" s="73" t="str">
        <f aca="false">IF($AI214="","",INDEX('REGISTRE ELEVES'!$B$10:$B$250,$AI214))</f>
        <v/>
      </c>
      <c r="C214" s="74" t="str">
        <f aca="false">IF($AI214="","",INDEX('REGISTRE ELEVES'!$D$10:$D$250,$AI214))</f>
        <v/>
      </c>
      <c r="D214" s="73" t="str">
        <f aca="false">IF($AI214="","",INDEX('REGISTRE ELEVES'!$E$10:$E$250,$AI214))</f>
        <v/>
      </c>
      <c r="E214" s="73" t="str">
        <f aca="false">IF($AI214="","",INDEX('REGISTRE ELEVES'!$F$10:$F$250,$AI214))</f>
        <v/>
      </c>
      <c r="F214" s="73" t="str">
        <f aca="false">IF($AI214="","",INDEX('REGISTRE ELEVES'!$AE$10:$AE$250,$AI214))</f>
        <v/>
      </c>
      <c r="G214" s="75"/>
      <c r="H214" s="76"/>
      <c r="I214" s="76"/>
      <c r="J214" s="76"/>
      <c r="K214" s="76"/>
      <c r="L214" s="79" t="str">
        <f aca="false">IF(B214="","",IF($G214="NON",0,IF(COUNT(H214:K214)=0,"",SUM(H214:K214))))</f>
        <v/>
      </c>
      <c r="M214" s="77" t="str">
        <f aca="false">IF(B214="","",IF($G214="NON",0,IF(COUNT(H214:K214)=0,"",IFERROR(ROUND(SUM(H214:K214)/SUMPRODUCT(ISNUMBER(H214:K214)*$H$8:$K$8)*10,2),""))))</f>
        <v/>
      </c>
      <c r="N214" s="75"/>
      <c r="O214" s="76"/>
      <c r="P214" s="76"/>
      <c r="Q214" s="76"/>
      <c r="R214" s="76"/>
      <c r="S214" s="79" t="str">
        <f aca="false">IF(B214="","",IF($N214="NON",0,IF(COUNT(O214:R214)=0,"",SUM(O214:R214))))</f>
        <v/>
      </c>
      <c r="T214" s="77" t="str">
        <f aca="false">IF(B214="","",IF($N214="NON",0,IF(COUNT(O214:R214)=0,"",IFERROR(ROUND(SUM(O214:R214)/SUMPRODUCT(ISNUMBER(O214:R214)*$O$8:$R$8)*10,2),""))))</f>
        <v/>
      </c>
      <c r="U214" s="75"/>
      <c r="V214" s="76"/>
      <c r="W214" s="76"/>
      <c r="X214" s="76"/>
      <c r="Y214" s="76"/>
      <c r="Z214" s="79" t="str">
        <f aca="false">IF(B214="","",IF($U214="NON",0,IF(COUNT(V214:Y214)=0,"",SUM(V214:Y214))))</f>
        <v/>
      </c>
      <c r="AA214" s="77" t="str">
        <f aca="false">IF(B214="","",IF($U214="NON",0,IF(COUNT(V214:Y214)=0,"",IFERROR(ROUND(SUM(V214:Y214)/SUMPRODUCT(ISNUMBER(V214:Y214)*$V$8:$Y$8)*10,2),""))))</f>
        <v/>
      </c>
      <c r="AB214" s="75"/>
      <c r="AC214" s="76"/>
      <c r="AD214" s="76"/>
      <c r="AE214" s="76"/>
      <c r="AF214" s="76"/>
      <c r="AG214" s="79" t="str">
        <f aca="false">IF(B214="","",IF($AB214="NON",0,IF(COUNT(AC214:AF214)=0,"",SUM(AC214:AF214))))</f>
        <v/>
      </c>
      <c r="AH214" s="77" t="str">
        <f aca="false">IF(B214="","",IF($AB214="NON",0,IF(COUNT(AC214:AF214)=0,"",IFERROR(ROUND(SUM(AC214:AF214)/SUMPRODUCT(ISNUMBER(AC214:AF214)*$AC$8:$AF$8)*10,2),""))))</f>
        <v/>
      </c>
      <c r="AI214" s="51" t="str">
        <f aca="false">IFERROR(MATCH("CE1-205",'REGISTRE ELEVES'!$AI$10:$AI$250,0),"")</f>
        <v/>
      </c>
    </row>
    <row r="215" customFormat="false" ht="15" hidden="false" customHeight="false" outlineLevel="0" collapsed="false">
      <c r="A215" s="73" t="str">
        <f aca="false">IF(B215="","",206)</f>
        <v/>
      </c>
      <c r="B215" s="73" t="str">
        <f aca="false">IF($AI215="","",INDEX('REGISTRE ELEVES'!$B$10:$B$250,$AI215))</f>
        <v/>
      </c>
      <c r="C215" s="74" t="str">
        <f aca="false">IF($AI215="","",INDEX('REGISTRE ELEVES'!$D$10:$D$250,$AI215))</f>
        <v/>
      </c>
      <c r="D215" s="73" t="str">
        <f aca="false">IF($AI215="","",INDEX('REGISTRE ELEVES'!$E$10:$E$250,$AI215))</f>
        <v/>
      </c>
      <c r="E215" s="73" t="str">
        <f aca="false">IF($AI215="","",INDEX('REGISTRE ELEVES'!$F$10:$F$250,$AI215))</f>
        <v/>
      </c>
      <c r="F215" s="73" t="str">
        <f aca="false">IF($AI215="","",INDEX('REGISTRE ELEVES'!$AE$10:$AE$250,$AI215))</f>
        <v/>
      </c>
      <c r="G215" s="75"/>
      <c r="H215" s="76"/>
      <c r="I215" s="76"/>
      <c r="J215" s="76"/>
      <c r="K215" s="76"/>
      <c r="L215" s="79" t="str">
        <f aca="false">IF(B215="","",IF($G215="NON",0,IF(COUNT(H215:K215)=0,"",SUM(H215:K215))))</f>
        <v/>
      </c>
      <c r="M215" s="77" t="str">
        <f aca="false">IF(B215="","",IF($G215="NON",0,IF(COUNT(H215:K215)=0,"",IFERROR(ROUND(SUM(H215:K215)/SUMPRODUCT(ISNUMBER(H215:K215)*$H$8:$K$8)*10,2),""))))</f>
        <v/>
      </c>
      <c r="N215" s="75"/>
      <c r="O215" s="76"/>
      <c r="P215" s="76"/>
      <c r="Q215" s="76"/>
      <c r="R215" s="76"/>
      <c r="S215" s="79" t="str">
        <f aca="false">IF(B215="","",IF($N215="NON",0,IF(COUNT(O215:R215)=0,"",SUM(O215:R215))))</f>
        <v/>
      </c>
      <c r="T215" s="77" t="str">
        <f aca="false">IF(B215="","",IF($N215="NON",0,IF(COUNT(O215:R215)=0,"",IFERROR(ROUND(SUM(O215:R215)/SUMPRODUCT(ISNUMBER(O215:R215)*$O$8:$R$8)*10,2),""))))</f>
        <v/>
      </c>
      <c r="U215" s="75"/>
      <c r="V215" s="76"/>
      <c r="W215" s="76"/>
      <c r="X215" s="76"/>
      <c r="Y215" s="76"/>
      <c r="Z215" s="79" t="str">
        <f aca="false">IF(B215="","",IF($U215="NON",0,IF(COUNT(V215:Y215)=0,"",SUM(V215:Y215))))</f>
        <v/>
      </c>
      <c r="AA215" s="77" t="str">
        <f aca="false">IF(B215="","",IF($U215="NON",0,IF(COUNT(V215:Y215)=0,"",IFERROR(ROUND(SUM(V215:Y215)/SUMPRODUCT(ISNUMBER(V215:Y215)*$V$8:$Y$8)*10,2),""))))</f>
        <v/>
      </c>
      <c r="AB215" s="75"/>
      <c r="AC215" s="76"/>
      <c r="AD215" s="76"/>
      <c r="AE215" s="76"/>
      <c r="AF215" s="76"/>
      <c r="AG215" s="79" t="str">
        <f aca="false">IF(B215="","",IF($AB215="NON",0,IF(COUNT(AC215:AF215)=0,"",SUM(AC215:AF215))))</f>
        <v/>
      </c>
      <c r="AH215" s="77" t="str">
        <f aca="false">IF(B215="","",IF($AB215="NON",0,IF(COUNT(AC215:AF215)=0,"",IFERROR(ROUND(SUM(AC215:AF215)/SUMPRODUCT(ISNUMBER(AC215:AF215)*$AC$8:$AF$8)*10,2),""))))</f>
        <v/>
      </c>
      <c r="AI215" s="51" t="str">
        <f aca="false">IFERROR(MATCH("CE1-206",'REGISTRE ELEVES'!$AI$10:$AI$250,0),"")</f>
        <v/>
      </c>
    </row>
    <row r="216" customFormat="false" ht="15" hidden="false" customHeight="false" outlineLevel="0" collapsed="false">
      <c r="A216" s="73" t="str">
        <f aca="false">IF(B216="","",207)</f>
        <v/>
      </c>
      <c r="B216" s="73" t="str">
        <f aca="false">IF($AI216="","",INDEX('REGISTRE ELEVES'!$B$10:$B$250,$AI216))</f>
        <v/>
      </c>
      <c r="C216" s="74" t="str">
        <f aca="false">IF($AI216="","",INDEX('REGISTRE ELEVES'!$D$10:$D$250,$AI216))</f>
        <v/>
      </c>
      <c r="D216" s="73" t="str">
        <f aca="false">IF($AI216="","",INDEX('REGISTRE ELEVES'!$E$10:$E$250,$AI216))</f>
        <v/>
      </c>
      <c r="E216" s="73" t="str">
        <f aca="false">IF($AI216="","",INDEX('REGISTRE ELEVES'!$F$10:$F$250,$AI216))</f>
        <v/>
      </c>
      <c r="F216" s="73" t="str">
        <f aca="false">IF($AI216="","",INDEX('REGISTRE ELEVES'!$AE$10:$AE$250,$AI216))</f>
        <v/>
      </c>
      <c r="G216" s="75"/>
      <c r="H216" s="76"/>
      <c r="I216" s="76"/>
      <c r="J216" s="76"/>
      <c r="K216" s="76"/>
      <c r="L216" s="79" t="str">
        <f aca="false">IF(B216="","",IF($G216="NON",0,IF(COUNT(H216:K216)=0,"",SUM(H216:K216))))</f>
        <v/>
      </c>
      <c r="M216" s="77" t="str">
        <f aca="false">IF(B216="","",IF($G216="NON",0,IF(COUNT(H216:K216)=0,"",IFERROR(ROUND(SUM(H216:K216)/SUMPRODUCT(ISNUMBER(H216:K216)*$H$8:$K$8)*10,2),""))))</f>
        <v/>
      </c>
      <c r="N216" s="75"/>
      <c r="O216" s="76"/>
      <c r="P216" s="76"/>
      <c r="Q216" s="76"/>
      <c r="R216" s="76"/>
      <c r="S216" s="79" t="str">
        <f aca="false">IF(B216="","",IF($N216="NON",0,IF(COUNT(O216:R216)=0,"",SUM(O216:R216))))</f>
        <v/>
      </c>
      <c r="T216" s="77" t="str">
        <f aca="false">IF(B216="","",IF($N216="NON",0,IF(COUNT(O216:R216)=0,"",IFERROR(ROUND(SUM(O216:R216)/SUMPRODUCT(ISNUMBER(O216:R216)*$O$8:$R$8)*10,2),""))))</f>
        <v/>
      </c>
      <c r="U216" s="75"/>
      <c r="V216" s="76"/>
      <c r="W216" s="76"/>
      <c r="X216" s="76"/>
      <c r="Y216" s="76"/>
      <c r="Z216" s="79" t="str">
        <f aca="false">IF(B216="","",IF($U216="NON",0,IF(COUNT(V216:Y216)=0,"",SUM(V216:Y216))))</f>
        <v/>
      </c>
      <c r="AA216" s="77" t="str">
        <f aca="false">IF(B216="","",IF($U216="NON",0,IF(COUNT(V216:Y216)=0,"",IFERROR(ROUND(SUM(V216:Y216)/SUMPRODUCT(ISNUMBER(V216:Y216)*$V$8:$Y$8)*10,2),""))))</f>
        <v/>
      </c>
      <c r="AB216" s="75"/>
      <c r="AC216" s="76"/>
      <c r="AD216" s="76"/>
      <c r="AE216" s="76"/>
      <c r="AF216" s="76"/>
      <c r="AG216" s="79" t="str">
        <f aca="false">IF(B216="","",IF($AB216="NON",0,IF(COUNT(AC216:AF216)=0,"",SUM(AC216:AF216))))</f>
        <v/>
      </c>
      <c r="AH216" s="77" t="str">
        <f aca="false">IF(B216="","",IF($AB216="NON",0,IF(COUNT(AC216:AF216)=0,"",IFERROR(ROUND(SUM(AC216:AF216)/SUMPRODUCT(ISNUMBER(AC216:AF216)*$AC$8:$AF$8)*10,2),""))))</f>
        <v/>
      </c>
      <c r="AI216" s="51" t="str">
        <f aca="false">IFERROR(MATCH("CE1-207",'REGISTRE ELEVES'!$AI$10:$AI$250,0),"")</f>
        <v/>
      </c>
    </row>
    <row r="217" customFormat="false" ht="15" hidden="false" customHeight="false" outlineLevel="0" collapsed="false">
      <c r="A217" s="73" t="str">
        <f aca="false">IF(B217="","",208)</f>
        <v/>
      </c>
      <c r="B217" s="73" t="str">
        <f aca="false">IF($AI217="","",INDEX('REGISTRE ELEVES'!$B$10:$B$250,$AI217))</f>
        <v/>
      </c>
      <c r="C217" s="74" t="str">
        <f aca="false">IF($AI217="","",INDEX('REGISTRE ELEVES'!$D$10:$D$250,$AI217))</f>
        <v/>
      </c>
      <c r="D217" s="73" t="str">
        <f aca="false">IF($AI217="","",INDEX('REGISTRE ELEVES'!$E$10:$E$250,$AI217))</f>
        <v/>
      </c>
      <c r="E217" s="73" t="str">
        <f aca="false">IF($AI217="","",INDEX('REGISTRE ELEVES'!$F$10:$F$250,$AI217))</f>
        <v/>
      </c>
      <c r="F217" s="73" t="str">
        <f aca="false">IF($AI217="","",INDEX('REGISTRE ELEVES'!$AE$10:$AE$250,$AI217))</f>
        <v/>
      </c>
      <c r="G217" s="75"/>
      <c r="H217" s="76"/>
      <c r="I217" s="76"/>
      <c r="J217" s="76"/>
      <c r="K217" s="76"/>
      <c r="L217" s="79" t="str">
        <f aca="false">IF(B217="","",IF($G217="NON",0,IF(COUNT(H217:K217)=0,"",SUM(H217:K217))))</f>
        <v/>
      </c>
      <c r="M217" s="77" t="str">
        <f aca="false">IF(B217="","",IF($G217="NON",0,IF(COUNT(H217:K217)=0,"",IFERROR(ROUND(SUM(H217:K217)/SUMPRODUCT(ISNUMBER(H217:K217)*$H$8:$K$8)*10,2),""))))</f>
        <v/>
      </c>
      <c r="N217" s="75"/>
      <c r="O217" s="76"/>
      <c r="P217" s="76"/>
      <c r="Q217" s="76"/>
      <c r="R217" s="76"/>
      <c r="S217" s="79" t="str">
        <f aca="false">IF(B217="","",IF($N217="NON",0,IF(COUNT(O217:R217)=0,"",SUM(O217:R217))))</f>
        <v/>
      </c>
      <c r="T217" s="77" t="str">
        <f aca="false">IF(B217="","",IF($N217="NON",0,IF(COUNT(O217:R217)=0,"",IFERROR(ROUND(SUM(O217:R217)/SUMPRODUCT(ISNUMBER(O217:R217)*$O$8:$R$8)*10,2),""))))</f>
        <v/>
      </c>
      <c r="U217" s="75"/>
      <c r="V217" s="76"/>
      <c r="W217" s="76"/>
      <c r="X217" s="76"/>
      <c r="Y217" s="76"/>
      <c r="Z217" s="79" t="str">
        <f aca="false">IF(B217="","",IF($U217="NON",0,IF(COUNT(V217:Y217)=0,"",SUM(V217:Y217))))</f>
        <v/>
      </c>
      <c r="AA217" s="77" t="str">
        <f aca="false">IF(B217="","",IF($U217="NON",0,IF(COUNT(V217:Y217)=0,"",IFERROR(ROUND(SUM(V217:Y217)/SUMPRODUCT(ISNUMBER(V217:Y217)*$V$8:$Y$8)*10,2),""))))</f>
        <v/>
      </c>
      <c r="AB217" s="75"/>
      <c r="AC217" s="76"/>
      <c r="AD217" s="76"/>
      <c r="AE217" s="76"/>
      <c r="AF217" s="76"/>
      <c r="AG217" s="79" t="str">
        <f aca="false">IF(B217="","",IF($AB217="NON",0,IF(COUNT(AC217:AF217)=0,"",SUM(AC217:AF217))))</f>
        <v/>
      </c>
      <c r="AH217" s="77" t="str">
        <f aca="false">IF(B217="","",IF($AB217="NON",0,IF(COUNT(AC217:AF217)=0,"",IFERROR(ROUND(SUM(AC217:AF217)/SUMPRODUCT(ISNUMBER(AC217:AF217)*$AC$8:$AF$8)*10,2),""))))</f>
        <v/>
      </c>
      <c r="AI217" s="51" t="str">
        <f aca="false">IFERROR(MATCH("CE1-208",'REGISTRE ELEVES'!$AI$10:$AI$250,0),"")</f>
        <v/>
      </c>
    </row>
    <row r="218" customFormat="false" ht="15" hidden="false" customHeight="false" outlineLevel="0" collapsed="false">
      <c r="A218" s="73" t="str">
        <f aca="false">IF(B218="","",209)</f>
        <v/>
      </c>
      <c r="B218" s="73" t="str">
        <f aca="false">IF($AI218="","",INDEX('REGISTRE ELEVES'!$B$10:$B$250,$AI218))</f>
        <v/>
      </c>
      <c r="C218" s="74" t="str">
        <f aca="false">IF($AI218="","",INDEX('REGISTRE ELEVES'!$D$10:$D$250,$AI218))</f>
        <v/>
      </c>
      <c r="D218" s="73" t="str">
        <f aca="false">IF($AI218="","",INDEX('REGISTRE ELEVES'!$E$10:$E$250,$AI218))</f>
        <v/>
      </c>
      <c r="E218" s="73" t="str">
        <f aca="false">IF($AI218="","",INDEX('REGISTRE ELEVES'!$F$10:$F$250,$AI218))</f>
        <v/>
      </c>
      <c r="F218" s="73" t="str">
        <f aca="false">IF($AI218="","",INDEX('REGISTRE ELEVES'!$AE$10:$AE$250,$AI218))</f>
        <v/>
      </c>
      <c r="G218" s="75"/>
      <c r="H218" s="76"/>
      <c r="I218" s="76"/>
      <c r="J218" s="76"/>
      <c r="K218" s="76"/>
      <c r="L218" s="79" t="str">
        <f aca="false">IF(B218="","",IF($G218="NON",0,IF(COUNT(H218:K218)=0,"",SUM(H218:K218))))</f>
        <v/>
      </c>
      <c r="M218" s="77" t="str">
        <f aca="false">IF(B218="","",IF($G218="NON",0,IF(COUNT(H218:K218)=0,"",IFERROR(ROUND(SUM(H218:K218)/SUMPRODUCT(ISNUMBER(H218:K218)*$H$8:$K$8)*10,2),""))))</f>
        <v/>
      </c>
      <c r="N218" s="75"/>
      <c r="O218" s="76"/>
      <c r="P218" s="76"/>
      <c r="Q218" s="76"/>
      <c r="R218" s="76"/>
      <c r="S218" s="79" t="str">
        <f aca="false">IF(B218="","",IF($N218="NON",0,IF(COUNT(O218:R218)=0,"",SUM(O218:R218))))</f>
        <v/>
      </c>
      <c r="T218" s="77" t="str">
        <f aca="false">IF(B218="","",IF($N218="NON",0,IF(COUNT(O218:R218)=0,"",IFERROR(ROUND(SUM(O218:R218)/SUMPRODUCT(ISNUMBER(O218:R218)*$O$8:$R$8)*10,2),""))))</f>
        <v/>
      </c>
      <c r="U218" s="75"/>
      <c r="V218" s="76"/>
      <c r="W218" s="76"/>
      <c r="X218" s="76"/>
      <c r="Y218" s="76"/>
      <c r="Z218" s="79" t="str">
        <f aca="false">IF(B218="","",IF($U218="NON",0,IF(COUNT(V218:Y218)=0,"",SUM(V218:Y218))))</f>
        <v/>
      </c>
      <c r="AA218" s="77" t="str">
        <f aca="false">IF(B218="","",IF($U218="NON",0,IF(COUNT(V218:Y218)=0,"",IFERROR(ROUND(SUM(V218:Y218)/SUMPRODUCT(ISNUMBER(V218:Y218)*$V$8:$Y$8)*10,2),""))))</f>
        <v/>
      </c>
      <c r="AB218" s="75"/>
      <c r="AC218" s="76"/>
      <c r="AD218" s="76"/>
      <c r="AE218" s="76"/>
      <c r="AF218" s="76"/>
      <c r="AG218" s="79" t="str">
        <f aca="false">IF(B218="","",IF($AB218="NON",0,IF(COUNT(AC218:AF218)=0,"",SUM(AC218:AF218))))</f>
        <v/>
      </c>
      <c r="AH218" s="77" t="str">
        <f aca="false">IF(B218="","",IF($AB218="NON",0,IF(COUNT(AC218:AF218)=0,"",IFERROR(ROUND(SUM(AC218:AF218)/SUMPRODUCT(ISNUMBER(AC218:AF218)*$AC$8:$AF$8)*10,2),""))))</f>
        <v/>
      </c>
      <c r="AI218" s="51" t="str">
        <f aca="false">IFERROR(MATCH("CE1-209",'REGISTRE ELEVES'!$AI$10:$AI$250,0),"")</f>
        <v/>
      </c>
    </row>
    <row r="219" customFormat="false" ht="15" hidden="false" customHeight="false" outlineLevel="0" collapsed="false">
      <c r="A219" s="73" t="str">
        <f aca="false">IF(B219="","",210)</f>
        <v/>
      </c>
      <c r="B219" s="73" t="str">
        <f aca="false">IF($AI219="","",INDEX('REGISTRE ELEVES'!$B$10:$B$250,$AI219))</f>
        <v/>
      </c>
      <c r="C219" s="74" t="str">
        <f aca="false">IF($AI219="","",INDEX('REGISTRE ELEVES'!$D$10:$D$250,$AI219))</f>
        <v/>
      </c>
      <c r="D219" s="73" t="str">
        <f aca="false">IF($AI219="","",INDEX('REGISTRE ELEVES'!$E$10:$E$250,$AI219))</f>
        <v/>
      </c>
      <c r="E219" s="73" t="str">
        <f aca="false">IF($AI219="","",INDEX('REGISTRE ELEVES'!$F$10:$F$250,$AI219))</f>
        <v/>
      </c>
      <c r="F219" s="73" t="str">
        <f aca="false">IF($AI219="","",INDEX('REGISTRE ELEVES'!$AE$10:$AE$250,$AI219))</f>
        <v/>
      </c>
      <c r="G219" s="75"/>
      <c r="H219" s="76"/>
      <c r="I219" s="76"/>
      <c r="J219" s="76"/>
      <c r="K219" s="76"/>
      <c r="L219" s="79" t="str">
        <f aca="false">IF(B219="","",IF($G219="NON",0,IF(COUNT(H219:K219)=0,"",SUM(H219:K219))))</f>
        <v/>
      </c>
      <c r="M219" s="77" t="str">
        <f aca="false">IF(B219="","",IF($G219="NON",0,IF(COUNT(H219:K219)=0,"",IFERROR(ROUND(SUM(H219:K219)/SUMPRODUCT(ISNUMBER(H219:K219)*$H$8:$K$8)*10,2),""))))</f>
        <v/>
      </c>
      <c r="N219" s="75"/>
      <c r="O219" s="76"/>
      <c r="P219" s="76"/>
      <c r="Q219" s="76"/>
      <c r="R219" s="76"/>
      <c r="S219" s="79" t="str">
        <f aca="false">IF(B219="","",IF($N219="NON",0,IF(COUNT(O219:R219)=0,"",SUM(O219:R219))))</f>
        <v/>
      </c>
      <c r="T219" s="77" t="str">
        <f aca="false">IF(B219="","",IF($N219="NON",0,IF(COUNT(O219:R219)=0,"",IFERROR(ROUND(SUM(O219:R219)/SUMPRODUCT(ISNUMBER(O219:R219)*$O$8:$R$8)*10,2),""))))</f>
        <v/>
      </c>
      <c r="U219" s="75"/>
      <c r="V219" s="76"/>
      <c r="W219" s="76"/>
      <c r="X219" s="76"/>
      <c r="Y219" s="76"/>
      <c r="Z219" s="79" t="str">
        <f aca="false">IF(B219="","",IF($U219="NON",0,IF(COUNT(V219:Y219)=0,"",SUM(V219:Y219))))</f>
        <v/>
      </c>
      <c r="AA219" s="77" t="str">
        <f aca="false">IF(B219="","",IF($U219="NON",0,IF(COUNT(V219:Y219)=0,"",IFERROR(ROUND(SUM(V219:Y219)/SUMPRODUCT(ISNUMBER(V219:Y219)*$V$8:$Y$8)*10,2),""))))</f>
        <v/>
      </c>
      <c r="AB219" s="75"/>
      <c r="AC219" s="76"/>
      <c r="AD219" s="76"/>
      <c r="AE219" s="76"/>
      <c r="AF219" s="76"/>
      <c r="AG219" s="79" t="str">
        <f aca="false">IF(B219="","",IF($AB219="NON",0,IF(COUNT(AC219:AF219)=0,"",SUM(AC219:AF219))))</f>
        <v/>
      </c>
      <c r="AH219" s="77" t="str">
        <f aca="false">IF(B219="","",IF($AB219="NON",0,IF(COUNT(AC219:AF219)=0,"",IFERROR(ROUND(SUM(AC219:AF219)/SUMPRODUCT(ISNUMBER(AC219:AF219)*$AC$8:$AF$8)*10,2),""))))</f>
        <v/>
      </c>
      <c r="AI219" s="51" t="str">
        <f aca="false">IFERROR(MATCH("CE1-210",'REGISTRE ELEVES'!$AI$10:$AI$250,0),"")</f>
        <v/>
      </c>
    </row>
    <row r="220" customFormat="false" ht="15" hidden="false" customHeight="false" outlineLevel="0" collapsed="false">
      <c r="A220" s="73" t="str">
        <f aca="false">IF(B220="","",211)</f>
        <v/>
      </c>
      <c r="B220" s="73" t="str">
        <f aca="false">IF($AI220="","",INDEX('REGISTRE ELEVES'!$B$10:$B$250,$AI220))</f>
        <v/>
      </c>
      <c r="C220" s="74" t="str">
        <f aca="false">IF($AI220="","",INDEX('REGISTRE ELEVES'!$D$10:$D$250,$AI220))</f>
        <v/>
      </c>
      <c r="D220" s="73" t="str">
        <f aca="false">IF($AI220="","",INDEX('REGISTRE ELEVES'!$E$10:$E$250,$AI220))</f>
        <v/>
      </c>
      <c r="E220" s="73" t="str">
        <f aca="false">IF($AI220="","",INDEX('REGISTRE ELEVES'!$F$10:$F$250,$AI220))</f>
        <v/>
      </c>
      <c r="F220" s="73" t="str">
        <f aca="false">IF($AI220="","",INDEX('REGISTRE ELEVES'!$AE$10:$AE$250,$AI220))</f>
        <v/>
      </c>
      <c r="G220" s="75"/>
      <c r="H220" s="76"/>
      <c r="I220" s="76"/>
      <c r="J220" s="76"/>
      <c r="K220" s="76"/>
      <c r="L220" s="79" t="str">
        <f aca="false">IF(B220="","",IF($G220="NON",0,IF(COUNT(H220:K220)=0,"",SUM(H220:K220))))</f>
        <v/>
      </c>
      <c r="M220" s="77" t="str">
        <f aca="false">IF(B220="","",IF($G220="NON",0,IF(COUNT(H220:K220)=0,"",IFERROR(ROUND(SUM(H220:K220)/SUMPRODUCT(ISNUMBER(H220:K220)*$H$8:$K$8)*10,2),""))))</f>
        <v/>
      </c>
      <c r="N220" s="75"/>
      <c r="O220" s="76"/>
      <c r="P220" s="76"/>
      <c r="Q220" s="76"/>
      <c r="R220" s="76"/>
      <c r="S220" s="79" t="str">
        <f aca="false">IF(B220="","",IF($N220="NON",0,IF(COUNT(O220:R220)=0,"",SUM(O220:R220))))</f>
        <v/>
      </c>
      <c r="T220" s="77" t="str">
        <f aca="false">IF(B220="","",IF($N220="NON",0,IF(COUNT(O220:R220)=0,"",IFERROR(ROUND(SUM(O220:R220)/SUMPRODUCT(ISNUMBER(O220:R220)*$O$8:$R$8)*10,2),""))))</f>
        <v/>
      </c>
      <c r="U220" s="75"/>
      <c r="V220" s="76"/>
      <c r="W220" s="76"/>
      <c r="X220" s="76"/>
      <c r="Y220" s="76"/>
      <c r="Z220" s="79" t="str">
        <f aca="false">IF(B220="","",IF($U220="NON",0,IF(COUNT(V220:Y220)=0,"",SUM(V220:Y220))))</f>
        <v/>
      </c>
      <c r="AA220" s="77" t="str">
        <f aca="false">IF(B220="","",IF($U220="NON",0,IF(COUNT(V220:Y220)=0,"",IFERROR(ROUND(SUM(V220:Y220)/SUMPRODUCT(ISNUMBER(V220:Y220)*$V$8:$Y$8)*10,2),""))))</f>
        <v/>
      </c>
      <c r="AB220" s="75"/>
      <c r="AC220" s="76"/>
      <c r="AD220" s="76"/>
      <c r="AE220" s="76"/>
      <c r="AF220" s="76"/>
      <c r="AG220" s="79" t="str">
        <f aca="false">IF(B220="","",IF($AB220="NON",0,IF(COUNT(AC220:AF220)=0,"",SUM(AC220:AF220))))</f>
        <v/>
      </c>
      <c r="AH220" s="77" t="str">
        <f aca="false">IF(B220="","",IF($AB220="NON",0,IF(COUNT(AC220:AF220)=0,"",IFERROR(ROUND(SUM(AC220:AF220)/SUMPRODUCT(ISNUMBER(AC220:AF220)*$AC$8:$AF$8)*10,2),""))))</f>
        <v/>
      </c>
      <c r="AI220" s="51" t="str">
        <f aca="false">IFERROR(MATCH("CE1-211",'REGISTRE ELEVES'!$AI$10:$AI$250,0),"")</f>
        <v/>
      </c>
    </row>
    <row r="221" customFormat="false" ht="15" hidden="false" customHeight="false" outlineLevel="0" collapsed="false">
      <c r="A221" s="73" t="str">
        <f aca="false">IF(B221="","",212)</f>
        <v/>
      </c>
      <c r="B221" s="73" t="str">
        <f aca="false">IF($AI221="","",INDEX('REGISTRE ELEVES'!$B$10:$B$250,$AI221))</f>
        <v/>
      </c>
      <c r="C221" s="74" t="str">
        <f aca="false">IF($AI221="","",INDEX('REGISTRE ELEVES'!$D$10:$D$250,$AI221))</f>
        <v/>
      </c>
      <c r="D221" s="73" t="str">
        <f aca="false">IF($AI221="","",INDEX('REGISTRE ELEVES'!$E$10:$E$250,$AI221))</f>
        <v/>
      </c>
      <c r="E221" s="73" t="str">
        <f aca="false">IF($AI221="","",INDEX('REGISTRE ELEVES'!$F$10:$F$250,$AI221))</f>
        <v/>
      </c>
      <c r="F221" s="73" t="str">
        <f aca="false">IF($AI221="","",INDEX('REGISTRE ELEVES'!$AE$10:$AE$250,$AI221))</f>
        <v/>
      </c>
      <c r="G221" s="75"/>
      <c r="H221" s="76"/>
      <c r="I221" s="76"/>
      <c r="J221" s="76"/>
      <c r="K221" s="76"/>
      <c r="L221" s="79" t="str">
        <f aca="false">IF(B221="","",IF($G221="NON",0,IF(COUNT(H221:K221)=0,"",SUM(H221:K221))))</f>
        <v/>
      </c>
      <c r="M221" s="77" t="str">
        <f aca="false">IF(B221="","",IF($G221="NON",0,IF(COUNT(H221:K221)=0,"",IFERROR(ROUND(SUM(H221:K221)/SUMPRODUCT(ISNUMBER(H221:K221)*$H$8:$K$8)*10,2),""))))</f>
        <v/>
      </c>
      <c r="N221" s="75"/>
      <c r="O221" s="76"/>
      <c r="P221" s="76"/>
      <c r="Q221" s="76"/>
      <c r="R221" s="76"/>
      <c r="S221" s="79" t="str">
        <f aca="false">IF(B221="","",IF($N221="NON",0,IF(COUNT(O221:R221)=0,"",SUM(O221:R221))))</f>
        <v/>
      </c>
      <c r="T221" s="77" t="str">
        <f aca="false">IF(B221="","",IF($N221="NON",0,IF(COUNT(O221:R221)=0,"",IFERROR(ROUND(SUM(O221:R221)/SUMPRODUCT(ISNUMBER(O221:R221)*$O$8:$R$8)*10,2),""))))</f>
        <v/>
      </c>
      <c r="U221" s="75"/>
      <c r="V221" s="76"/>
      <c r="W221" s="76"/>
      <c r="X221" s="76"/>
      <c r="Y221" s="76"/>
      <c r="Z221" s="79" t="str">
        <f aca="false">IF(B221="","",IF($U221="NON",0,IF(COUNT(V221:Y221)=0,"",SUM(V221:Y221))))</f>
        <v/>
      </c>
      <c r="AA221" s="77" t="str">
        <f aca="false">IF(B221="","",IF($U221="NON",0,IF(COUNT(V221:Y221)=0,"",IFERROR(ROUND(SUM(V221:Y221)/SUMPRODUCT(ISNUMBER(V221:Y221)*$V$8:$Y$8)*10,2),""))))</f>
        <v/>
      </c>
      <c r="AB221" s="75"/>
      <c r="AC221" s="76"/>
      <c r="AD221" s="76"/>
      <c r="AE221" s="76"/>
      <c r="AF221" s="76"/>
      <c r="AG221" s="79" t="str">
        <f aca="false">IF(B221="","",IF($AB221="NON",0,IF(COUNT(AC221:AF221)=0,"",SUM(AC221:AF221))))</f>
        <v/>
      </c>
      <c r="AH221" s="77" t="str">
        <f aca="false">IF(B221="","",IF($AB221="NON",0,IF(COUNT(AC221:AF221)=0,"",IFERROR(ROUND(SUM(AC221:AF221)/SUMPRODUCT(ISNUMBER(AC221:AF221)*$AC$8:$AF$8)*10,2),""))))</f>
        <v/>
      </c>
      <c r="AI221" s="51" t="str">
        <f aca="false">IFERROR(MATCH("CE1-212",'REGISTRE ELEVES'!$AI$10:$AI$250,0),"")</f>
        <v/>
      </c>
    </row>
    <row r="222" customFormat="false" ht="15" hidden="false" customHeight="false" outlineLevel="0" collapsed="false">
      <c r="A222" s="73" t="str">
        <f aca="false">IF(B222="","",213)</f>
        <v/>
      </c>
      <c r="B222" s="73" t="str">
        <f aca="false">IF($AI222="","",INDEX('REGISTRE ELEVES'!$B$10:$B$250,$AI222))</f>
        <v/>
      </c>
      <c r="C222" s="74" t="str">
        <f aca="false">IF($AI222="","",INDEX('REGISTRE ELEVES'!$D$10:$D$250,$AI222))</f>
        <v/>
      </c>
      <c r="D222" s="73" t="str">
        <f aca="false">IF($AI222="","",INDEX('REGISTRE ELEVES'!$E$10:$E$250,$AI222))</f>
        <v/>
      </c>
      <c r="E222" s="73" t="str">
        <f aca="false">IF($AI222="","",INDEX('REGISTRE ELEVES'!$F$10:$F$250,$AI222))</f>
        <v/>
      </c>
      <c r="F222" s="73" t="str">
        <f aca="false">IF($AI222="","",INDEX('REGISTRE ELEVES'!$AE$10:$AE$250,$AI222))</f>
        <v/>
      </c>
      <c r="G222" s="75"/>
      <c r="H222" s="76"/>
      <c r="I222" s="76"/>
      <c r="J222" s="76"/>
      <c r="K222" s="76"/>
      <c r="L222" s="79" t="str">
        <f aca="false">IF(B222="","",IF($G222="NON",0,IF(COUNT(H222:K222)=0,"",SUM(H222:K222))))</f>
        <v/>
      </c>
      <c r="M222" s="77" t="str">
        <f aca="false">IF(B222="","",IF($G222="NON",0,IF(COUNT(H222:K222)=0,"",IFERROR(ROUND(SUM(H222:K222)/SUMPRODUCT(ISNUMBER(H222:K222)*$H$8:$K$8)*10,2),""))))</f>
        <v/>
      </c>
      <c r="N222" s="75"/>
      <c r="O222" s="76"/>
      <c r="P222" s="76"/>
      <c r="Q222" s="76"/>
      <c r="R222" s="76"/>
      <c r="S222" s="79" t="str">
        <f aca="false">IF(B222="","",IF($N222="NON",0,IF(COUNT(O222:R222)=0,"",SUM(O222:R222))))</f>
        <v/>
      </c>
      <c r="T222" s="77" t="str">
        <f aca="false">IF(B222="","",IF($N222="NON",0,IF(COUNT(O222:R222)=0,"",IFERROR(ROUND(SUM(O222:R222)/SUMPRODUCT(ISNUMBER(O222:R222)*$O$8:$R$8)*10,2),""))))</f>
        <v/>
      </c>
      <c r="U222" s="75"/>
      <c r="V222" s="76"/>
      <c r="W222" s="76"/>
      <c r="X222" s="76"/>
      <c r="Y222" s="76"/>
      <c r="Z222" s="79" t="str">
        <f aca="false">IF(B222="","",IF($U222="NON",0,IF(COUNT(V222:Y222)=0,"",SUM(V222:Y222))))</f>
        <v/>
      </c>
      <c r="AA222" s="77" t="str">
        <f aca="false">IF(B222="","",IF($U222="NON",0,IF(COUNT(V222:Y222)=0,"",IFERROR(ROUND(SUM(V222:Y222)/SUMPRODUCT(ISNUMBER(V222:Y222)*$V$8:$Y$8)*10,2),""))))</f>
        <v/>
      </c>
      <c r="AB222" s="75"/>
      <c r="AC222" s="76"/>
      <c r="AD222" s="76"/>
      <c r="AE222" s="76"/>
      <c r="AF222" s="76"/>
      <c r="AG222" s="79" t="str">
        <f aca="false">IF(B222="","",IF($AB222="NON",0,IF(COUNT(AC222:AF222)=0,"",SUM(AC222:AF222))))</f>
        <v/>
      </c>
      <c r="AH222" s="77" t="str">
        <f aca="false">IF(B222="","",IF($AB222="NON",0,IF(COUNT(AC222:AF222)=0,"",IFERROR(ROUND(SUM(AC222:AF222)/SUMPRODUCT(ISNUMBER(AC222:AF222)*$AC$8:$AF$8)*10,2),""))))</f>
        <v/>
      </c>
      <c r="AI222" s="51" t="str">
        <f aca="false">IFERROR(MATCH("CE1-213",'REGISTRE ELEVES'!$AI$10:$AI$250,0),"")</f>
        <v/>
      </c>
    </row>
    <row r="223" customFormat="false" ht="15" hidden="false" customHeight="false" outlineLevel="0" collapsed="false">
      <c r="A223" s="73" t="str">
        <f aca="false">IF(B223="","",214)</f>
        <v/>
      </c>
      <c r="B223" s="73" t="str">
        <f aca="false">IF($AI223="","",INDEX('REGISTRE ELEVES'!$B$10:$B$250,$AI223))</f>
        <v/>
      </c>
      <c r="C223" s="74" t="str">
        <f aca="false">IF($AI223="","",INDEX('REGISTRE ELEVES'!$D$10:$D$250,$AI223))</f>
        <v/>
      </c>
      <c r="D223" s="73" t="str">
        <f aca="false">IF($AI223="","",INDEX('REGISTRE ELEVES'!$E$10:$E$250,$AI223))</f>
        <v/>
      </c>
      <c r="E223" s="73" t="str">
        <f aca="false">IF($AI223="","",INDEX('REGISTRE ELEVES'!$F$10:$F$250,$AI223))</f>
        <v/>
      </c>
      <c r="F223" s="73" t="str">
        <f aca="false">IF($AI223="","",INDEX('REGISTRE ELEVES'!$AE$10:$AE$250,$AI223))</f>
        <v/>
      </c>
      <c r="G223" s="75"/>
      <c r="H223" s="76"/>
      <c r="I223" s="76"/>
      <c r="J223" s="76"/>
      <c r="K223" s="76"/>
      <c r="L223" s="79" t="str">
        <f aca="false">IF(B223="","",IF($G223="NON",0,IF(COUNT(H223:K223)=0,"",SUM(H223:K223))))</f>
        <v/>
      </c>
      <c r="M223" s="77" t="str">
        <f aca="false">IF(B223="","",IF($G223="NON",0,IF(COUNT(H223:K223)=0,"",IFERROR(ROUND(SUM(H223:K223)/SUMPRODUCT(ISNUMBER(H223:K223)*$H$8:$K$8)*10,2),""))))</f>
        <v/>
      </c>
      <c r="N223" s="75"/>
      <c r="O223" s="76"/>
      <c r="P223" s="76"/>
      <c r="Q223" s="76"/>
      <c r="R223" s="76"/>
      <c r="S223" s="79" t="str">
        <f aca="false">IF(B223="","",IF($N223="NON",0,IF(COUNT(O223:R223)=0,"",SUM(O223:R223))))</f>
        <v/>
      </c>
      <c r="T223" s="77" t="str">
        <f aca="false">IF(B223="","",IF($N223="NON",0,IF(COUNT(O223:R223)=0,"",IFERROR(ROUND(SUM(O223:R223)/SUMPRODUCT(ISNUMBER(O223:R223)*$O$8:$R$8)*10,2),""))))</f>
        <v/>
      </c>
      <c r="U223" s="75"/>
      <c r="V223" s="76"/>
      <c r="W223" s="76"/>
      <c r="X223" s="76"/>
      <c r="Y223" s="76"/>
      <c r="Z223" s="79" t="str">
        <f aca="false">IF(B223="","",IF($U223="NON",0,IF(COUNT(V223:Y223)=0,"",SUM(V223:Y223))))</f>
        <v/>
      </c>
      <c r="AA223" s="77" t="str">
        <f aca="false">IF(B223="","",IF($U223="NON",0,IF(COUNT(V223:Y223)=0,"",IFERROR(ROUND(SUM(V223:Y223)/SUMPRODUCT(ISNUMBER(V223:Y223)*$V$8:$Y$8)*10,2),""))))</f>
        <v/>
      </c>
      <c r="AB223" s="75"/>
      <c r="AC223" s="76"/>
      <c r="AD223" s="76"/>
      <c r="AE223" s="76"/>
      <c r="AF223" s="76"/>
      <c r="AG223" s="79" t="str">
        <f aca="false">IF(B223="","",IF($AB223="NON",0,IF(COUNT(AC223:AF223)=0,"",SUM(AC223:AF223))))</f>
        <v/>
      </c>
      <c r="AH223" s="77" t="str">
        <f aca="false">IF(B223="","",IF($AB223="NON",0,IF(COUNT(AC223:AF223)=0,"",IFERROR(ROUND(SUM(AC223:AF223)/SUMPRODUCT(ISNUMBER(AC223:AF223)*$AC$8:$AF$8)*10,2),""))))</f>
        <v/>
      </c>
      <c r="AI223" s="51" t="str">
        <f aca="false">IFERROR(MATCH("CE1-214",'REGISTRE ELEVES'!$AI$10:$AI$250,0),"")</f>
        <v/>
      </c>
    </row>
    <row r="224" customFormat="false" ht="15" hidden="false" customHeight="false" outlineLevel="0" collapsed="false">
      <c r="A224" s="73" t="str">
        <f aca="false">IF(B224="","",215)</f>
        <v/>
      </c>
      <c r="B224" s="73" t="str">
        <f aca="false">IF($AI224="","",INDEX('REGISTRE ELEVES'!$B$10:$B$250,$AI224))</f>
        <v/>
      </c>
      <c r="C224" s="74" t="str">
        <f aca="false">IF($AI224="","",INDEX('REGISTRE ELEVES'!$D$10:$D$250,$AI224))</f>
        <v/>
      </c>
      <c r="D224" s="73" t="str">
        <f aca="false">IF($AI224="","",INDEX('REGISTRE ELEVES'!$E$10:$E$250,$AI224))</f>
        <v/>
      </c>
      <c r="E224" s="73" t="str">
        <f aca="false">IF($AI224="","",INDEX('REGISTRE ELEVES'!$F$10:$F$250,$AI224))</f>
        <v/>
      </c>
      <c r="F224" s="73" t="str">
        <f aca="false">IF($AI224="","",INDEX('REGISTRE ELEVES'!$AE$10:$AE$250,$AI224))</f>
        <v/>
      </c>
      <c r="G224" s="75"/>
      <c r="H224" s="76"/>
      <c r="I224" s="76"/>
      <c r="J224" s="76"/>
      <c r="K224" s="76"/>
      <c r="L224" s="79" t="str">
        <f aca="false">IF(B224="","",IF($G224="NON",0,IF(COUNT(H224:K224)=0,"",SUM(H224:K224))))</f>
        <v/>
      </c>
      <c r="M224" s="77" t="str">
        <f aca="false">IF(B224="","",IF($G224="NON",0,IF(COUNT(H224:K224)=0,"",IFERROR(ROUND(SUM(H224:K224)/SUMPRODUCT(ISNUMBER(H224:K224)*$H$8:$K$8)*10,2),""))))</f>
        <v/>
      </c>
      <c r="N224" s="75"/>
      <c r="O224" s="76"/>
      <c r="P224" s="76"/>
      <c r="Q224" s="76"/>
      <c r="R224" s="76"/>
      <c r="S224" s="79" t="str">
        <f aca="false">IF(B224="","",IF($N224="NON",0,IF(COUNT(O224:R224)=0,"",SUM(O224:R224))))</f>
        <v/>
      </c>
      <c r="T224" s="77" t="str">
        <f aca="false">IF(B224="","",IF($N224="NON",0,IF(COUNT(O224:R224)=0,"",IFERROR(ROUND(SUM(O224:R224)/SUMPRODUCT(ISNUMBER(O224:R224)*$O$8:$R$8)*10,2),""))))</f>
        <v/>
      </c>
      <c r="U224" s="75"/>
      <c r="V224" s="76"/>
      <c r="W224" s="76"/>
      <c r="X224" s="76"/>
      <c r="Y224" s="76"/>
      <c r="Z224" s="79" t="str">
        <f aca="false">IF(B224="","",IF($U224="NON",0,IF(COUNT(V224:Y224)=0,"",SUM(V224:Y224))))</f>
        <v/>
      </c>
      <c r="AA224" s="77" t="str">
        <f aca="false">IF(B224="","",IF($U224="NON",0,IF(COUNT(V224:Y224)=0,"",IFERROR(ROUND(SUM(V224:Y224)/SUMPRODUCT(ISNUMBER(V224:Y224)*$V$8:$Y$8)*10,2),""))))</f>
        <v/>
      </c>
      <c r="AB224" s="75"/>
      <c r="AC224" s="76"/>
      <c r="AD224" s="76"/>
      <c r="AE224" s="76"/>
      <c r="AF224" s="76"/>
      <c r="AG224" s="79" t="str">
        <f aca="false">IF(B224="","",IF($AB224="NON",0,IF(COUNT(AC224:AF224)=0,"",SUM(AC224:AF224))))</f>
        <v/>
      </c>
      <c r="AH224" s="77" t="str">
        <f aca="false">IF(B224="","",IF($AB224="NON",0,IF(COUNT(AC224:AF224)=0,"",IFERROR(ROUND(SUM(AC224:AF224)/SUMPRODUCT(ISNUMBER(AC224:AF224)*$AC$8:$AF$8)*10,2),""))))</f>
        <v/>
      </c>
      <c r="AI224" s="51" t="str">
        <f aca="false">IFERROR(MATCH("CE1-215",'REGISTRE ELEVES'!$AI$10:$AI$250,0),"")</f>
        <v/>
      </c>
    </row>
    <row r="225" customFormat="false" ht="15" hidden="false" customHeight="false" outlineLevel="0" collapsed="false">
      <c r="A225" s="73" t="str">
        <f aca="false">IF(B225="","",216)</f>
        <v/>
      </c>
      <c r="B225" s="73" t="str">
        <f aca="false">IF($AI225="","",INDEX('REGISTRE ELEVES'!$B$10:$B$250,$AI225))</f>
        <v/>
      </c>
      <c r="C225" s="74" t="str">
        <f aca="false">IF($AI225="","",INDEX('REGISTRE ELEVES'!$D$10:$D$250,$AI225))</f>
        <v/>
      </c>
      <c r="D225" s="73" t="str">
        <f aca="false">IF($AI225="","",INDEX('REGISTRE ELEVES'!$E$10:$E$250,$AI225))</f>
        <v/>
      </c>
      <c r="E225" s="73" t="str">
        <f aca="false">IF($AI225="","",INDEX('REGISTRE ELEVES'!$F$10:$F$250,$AI225))</f>
        <v/>
      </c>
      <c r="F225" s="73" t="str">
        <f aca="false">IF($AI225="","",INDEX('REGISTRE ELEVES'!$AE$10:$AE$250,$AI225))</f>
        <v/>
      </c>
      <c r="G225" s="75"/>
      <c r="H225" s="76"/>
      <c r="I225" s="76"/>
      <c r="J225" s="76"/>
      <c r="K225" s="76"/>
      <c r="L225" s="79" t="str">
        <f aca="false">IF(B225="","",IF($G225="NON",0,IF(COUNT(H225:K225)=0,"",SUM(H225:K225))))</f>
        <v/>
      </c>
      <c r="M225" s="77" t="str">
        <f aca="false">IF(B225="","",IF($G225="NON",0,IF(COUNT(H225:K225)=0,"",IFERROR(ROUND(SUM(H225:K225)/SUMPRODUCT(ISNUMBER(H225:K225)*$H$8:$K$8)*10,2),""))))</f>
        <v/>
      </c>
      <c r="N225" s="75"/>
      <c r="O225" s="76"/>
      <c r="P225" s="76"/>
      <c r="Q225" s="76"/>
      <c r="R225" s="76"/>
      <c r="S225" s="79" t="str">
        <f aca="false">IF(B225="","",IF($N225="NON",0,IF(COUNT(O225:R225)=0,"",SUM(O225:R225))))</f>
        <v/>
      </c>
      <c r="T225" s="77" t="str">
        <f aca="false">IF(B225="","",IF($N225="NON",0,IF(COUNT(O225:R225)=0,"",IFERROR(ROUND(SUM(O225:R225)/SUMPRODUCT(ISNUMBER(O225:R225)*$O$8:$R$8)*10,2),""))))</f>
        <v/>
      </c>
      <c r="U225" s="75"/>
      <c r="V225" s="76"/>
      <c r="W225" s="76"/>
      <c r="X225" s="76"/>
      <c r="Y225" s="76"/>
      <c r="Z225" s="79" t="str">
        <f aca="false">IF(B225="","",IF($U225="NON",0,IF(COUNT(V225:Y225)=0,"",SUM(V225:Y225))))</f>
        <v/>
      </c>
      <c r="AA225" s="77" t="str">
        <f aca="false">IF(B225="","",IF($U225="NON",0,IF(COUNT(V225:Y225)=0,"",IFERROR(ROUND(SUM(V225:Y225)/SUMPRODUCT(ISNUMBER(V225:Y225)*$V$8:$Y$8)*10,2),""))))</f>
        <v/>
      </c>
      <c r="AB225" s="75"/>
      <c r="AC225" s="76"/>
      <c r="AD225" s="76"/>
      <c r="AE225" s="76"/>
      <c r="AF225" s="76"/>
      <c r="AG225" s="79" t="str">
        <f aca="false">IF(B225="","",IF($AB225="NON",0,IF(COUNT(AC225:AF225)=0,"",SUM(AC225:AF225))))</f>
        <v/>
      </c>
      <c r="AH225" s="77" t="str">
        <f aca="false">IF(B225="","",IF($AB225="NON",0,IF(COUNT(AC225:AF225)=0,"",IFERROR(ROUND(SUM(AC225:AF225)/SUMPRODUCT(ISNUMBER(AC225:AF225)*$AC$8:$AF$8)*10,2),""))))</f>
        <v/>
      </c>
      <c r="AI225" s="51" t="str">
        <f aca="false">IFERROR(MATCH("CE1-216",'REGISTRE ELEVES'!$AI$10:$AI$250,0),"")</f>
        <v/>
      </c>
    </row>
    <row r="226" customFormat="false" ht="15" hidden="false" customHeight="false" outlineLevel="0" collapsed="false">
      <c r="A226" s="73" t="str">
        <f aca="false">IF(B226="","",217)</f>
        <v/>
      </c>
      <c r="B226" s="73" t="str">
        <f aca="false">IF($AI226="","",INDEX('REGISTRE ELEVES'!$B$10:$B$250,$AI226))</f>
        <v/>
      </c>
      <c r="C226" s="74" t="str">
        <f aca="false">IF($AI226="","",INDEX('REGISTRE ELEVES'!$D$10:$D$250,$AI226))</f>
        <v/>
      </c>
      <c r="D226" s="73" t="str">
        <f aca="false">IF($AI226="","",INDEX('REGISTRE ELEVES'!$E$10:$E$250,$AI226))</f>
        <v/>
      </c>
      <c r="E226" s="73" t="str">
        <f aca="false">IF($AI226="","",INDEX('REGISTRE ELEVES'!$F$10:$F$250,$AI226))</f>
        <v/>
      </c>
      <c r="F226" s="73" t="str">
        <f aca="false">IF($AI226="","",INDEX('REGISTRE ELEVES'!$AE$10:$AE$250,$AI226))</f>
        <v/>
      </c>
      <c r="G226" s="75"/>
      <c r="H226" s="76"/>
      <c r="I226" s="76"/>
      <c r="J226" s="76"/>
      <c r="K226" s="76"/>
      <c r="L226" s="79" t="str">
        <f aca="false">IF(B226="","",IF($G226="NON",0,IF(COUNT(H226:K226)=0,"",SUM(H226:K226))))</f>
        <v/>
      </c>
      <c r="M226" s="77" t="str">
        <f aca="false">IF(B226="","",IF($G226="NON",0,IF(COUNT(H226:K226)=0,"",IFERROR(ROUND(SUM(H226:K226)/SUMPRODUCT(ISNUMBER(H226:K226)*$H$8:$K$8)*10,2),""))))</f>
        <v/>
      </c>
      <c r="N226" s="75"/>
      <c r="O226" s="76"/>
      <c r="P226" s="76"/>
      <c r="Q226" s="76"/>
      <c r="R226" s="76"/>
      <c r="S226" s="79" t="str">
        <f aca="false">IF(B226="","",IF($N226="NON",0,IF(COUNT(O226:R226)=0,"",SUM(O226:R226))))</f>
        <v/>
      </c>
      <c r="T226" s="77" t="str">
        <f aca="false">IF(B226="","",IF($N226="NON",0,IF(COUNT(O226:R226)=0,"",IFERROR(ROUND(SUM(O226:R226)/SUMPRODUCT(ISNUMBER(O226:R226)*$O$8:$R$8)*10,2),""))))</f>
        <v/>
      </c>
      <c r="U226" s="75"/>
      <c r="V226" s="76"/>
      <c r="W226" s="76"/>
      <c r="X226" s="76"/>
      <c r="Y226" s="76"/>
      <c r="Z226" s="79" t="str">
        <f aca="false">IF(B226="","",IF($U226="NON",0,IF(COUNT(V226:Y226)=0,"",SUM(V226:Y226))))</f>
        <v/>
      </c>
      <c r="AA226" s="77" t="str">
        <f aca="false">IF(B226="","",IF($U226="NON",0,IF(COUNT(V226:Y226)=0,"",IFERROR(ROUND(SUM(V226:Y226)/SUMPRODUCT(ISNUMBER(V226:Y226)*$V$8:$Y$8)*10,2),""))))</f>
        <v/>
      </c>
      <c r="AB226" s="75"/>
      <c r="AC226" s="76"/>
      <c r="AD226" s="76"/>
      <c r="AE226" s="76"/>
      <c r="AF226" s="76"/>
      <c r="AG226" s="79" t="str">
        <f aca="false">IF(B226="","",IF($AB226="NON",0,IF(COUNT(AC226:AF226)=0,"",SUM(AC226:AF226))))</f>
        <v/>
      </c>
      <c r="AH226" s="77" t="str">
        <f aca="false">IF(B226="","",IF($AB226="NON",0,IF(COUNT(AC226:AF226)=0,"",IFERROR(ROUND(SUM(AC226:AF226)/SUMPRODUCT(ISNUMBER(AC226:AF226)*$AC$8:$AF$8)*10,2),""))))</f>
        <v/>
      </c>
      <c r="AI226" s="51" t="str">
        <f aca="false">IFERROR(MATCH("CE1-217",'REGISTRE ELEVES'!$AI$10:$AI$250,0),"")</f>
        <v/>
      </c>
    </row>
    <row r="227" customFormat="false" ht="15" hidden="false" customHeight="false" outlineLevel="0" collapsed="false">
      <c r="A227" s="73" t="str">
        <f aca="false">IF(B227="","",218)</f>
        <v/>
      </c>
      <c r="B227" s="73" t="str">
        <f aca="false">IF($AI227="","",INDEX('REGISTRE ELEVES'!$B$10:$B$250,$AI227))</f>
        <v/>
      </c>
      <c r="C227" s="74" t="str">
        <f aca="false">IF($AI227="","",INDEX('REGISTRE ELEVES'!$D$10:$D$250,$AI227))</f>
        <v/>
      </c>
      <c r="D227" s="73" t="str">
        <f aca="false">IF($AI227="","",INDEX('REGISTRE ELEVES'!$E$10:$E$250,$AI227))</f>
        <v/>
      </c>
      <c r="E227" s="73" t="str">
        <f aca="false">IF($AI227="","",INDEX('REGISTRE ELEVES'!$F$10:$F$250,$AI227))</f>
        <v/>
      </c>
      <c r="F227" s="73" t="str">
        <f aca="false">IF($AI227="","",INDEX('REGISTRE ELEVES'!$AE$10:$AE$250,$AI227))</f>
        <v/>
      </c>
      <c r="G227" s="75"/>
      <c r="H227" s="76"/>
      <c r="I227" s="76"/>
      <c r="J227" s="76"/>
      <c r="K227" s="76"/>
      <c r="L227" s="79" t="str">
        <f aca="false">IF(B227="","",IF($G227="NON",0,IF(COUNT(H227:K227)=0,"",SUM(H227:K227))))</f>
        <v/>
      </c>
      <c r="M227" s="77" t="str">
        <f aca="false">IF(B227="","",IF($G227="NON",0,IF(COUNT(H227:K227)=0,"",IFERROR(ROUND(SUM(H227:K227)/SUMPRODUCT(ISNUMBER(H227:K227)*$H$8:$K$8)*10,2),""))))</f>
        <v/>
      </c>
      <c r="N227" s="75"/>
      <c r="O227" s="76"/>
      <c r="P227" s="76"/>
      <c r="Q227" s="76"/>
      <c r="R227" s="76"/>
      <c r="S227" s="79" t="str">
        <f aca="false">IF(B227="","",IF($N227="NON",0,IF(COUNT(O227:R227)=0,"",SUM(O227:R227))))</f>
        <v/>
      </c>
      <c r="T227" s="77" t="str">
        <f aca="false">IF(B227="","",IF($N227="NON",0,IF(COUNT(O227:R227)=0,"",IFERROR(ROUND(SUM(O227:R227)/SUMPRODUCT(ISNUMBER(O227:R227)*$O$8:$R$8)*10,2),""))))</f>
        <v/>
      </c>
      <c r="U227" s="75"/>
      <c r="V227" s="76"/>
      <c r="W227" s="76"/>
      <c r="X227" s="76"/>
      <c r="Y227" s="76"/>
      <c r="Z227" s="79" t="str">
        <f aca="false">IF(B227="","",IF($U227="NON",0,IF(COUNT(V227:Y227)=0,"",SUM(V227:Y227))))</f>
        <v/>
      </c>
      <c r="AA227" s="77" t="str">
        <f aca="false">IF(B227="","",IF($U227="NON",0,IF(COUNT(V227:Y227)=0,"",IFERROR(ROUND(SUM(V227:Y227)/SUMPRODUCT(ISNUMBER(V227:Y227)*$V$8:$Y$8)*10,2),""))))</f>
        <v/>
      </c>
      <c r="AB227" s="75"/>
      <c r="AC227" s="76"/>
      <c r="AD227" s="76"/>
      <c r="AE227" s="76"/>
      <c r="AF227" s="76"/>
      <c r="AG227" s="79" t="str">
        <f aca="false">IF(B227="","",IF($AB227="NON",0,IF(COUNT(AC227:AF227)=0,"",SUM(AC227:AF227))))</f>
        <v/>
      </c>
      <c r="AH227" s="77" t="str">
        <f aca="false">IF(B227="","",IF($AB227="NON",0,IF(COUNT(AC227:AF227)=0,"",IFERROR(ROUND(SUM(AC227:AF227)/SUMPRODUCT(ISNUMBER(AC227:AF227)*$AC$8:$AF$8)*10,2),""))))</f>
        <v/>
      </c>
      <c r="AI227" s="51" t="str">
        <f aca="false">IFERROR(MATCH("CE1-218",'REGISTRE ELEVES'!$AI$10:$AI$250,0),"")</f>
        <v/>
      </c>
    </row>
    <row r="228" customFormat="false" ht="15" hidden="false" customHeight="false" outlineLevel="0" collapsed="false">
      <c r="A228" s="73" t="str">
        <f aca="false">IF(B228="","",219)</f>
        <v/>
      </c>
      <c r="B228" s="73" t="str">
        <f aca="false">IF($AI228="","",INDEX('REGISTRE ELEVES'!$B$10:$B$250,$AI228))</f>
        <v/>
      </c>
      <c r="C228" s="74" t="str">
        <f aca="false">IF($AI228="","",INDEX('REGISTRE ELEVES'!$D$10:$D$250,$AI228))</f>
        <v/>
      </c>
      <c r="D228" s="73" t="str">
        <f aca="false">IF($AI228="","",INDEX('REGISTRE ELEVES'!$E$10:$E$250,$AI228))</f>
        <v/>
      </c>
      <c r="E228" s="73" t="str">
        <f aca="false">IF($AI228="","",INDEX('REGISTRE ELEVES'!$F$10:$F$250,$AI228))</f>
        <v/>
      </c>
      <c r="F228" s="73" t="str">
        <f aca="false">IF($AI228="","",INDEX('REGISTRE ELEVES'!$AE$10:$AE$250,$AI228))</f>
        <v/>
      </c>
      <c r="G228" s="75"/>
      <c r="H228" s="76"/>
      <c r="I228" s="76"/>
      <c r="J228" s="76"/>
      <c r="K228" s="76"/>
      <c r="L228" s="79" t="str">
        <f aca="false">IF(B228="","",IF($G228="NON",0,IF(COUNT(H228:K228)=0,"",SUM(H228:K228))))</f>
        <v/>
      </c>
      <c r="M228" s="77" t="str">
        <f aca="false">IF(B228="","",IF($G228="NON",0,IF(COUNT(H228:K228)=0,"",IFERROR(ROUND(SUM(H228:K228)/SUMPRODUCT(ISNUMBER(H228:K228)*$H$8:$K$8)*10,2),""))))</f>
        <v/>
      </c>
      <c r="N228" s="75"/>
      <c r="O228" s="76"/>
      <c r="P228" s="76"/>
      <c r="Q228" s="76"/>
      <c r="R228" s="76"/>
      <c r="S228" s="79" t="str">
        <f aca="false">IF(B228="","",IF($N228="NON",0,IF(COUNT(O228:R228)=0,"",SUM(O228:R228))))</f>
        <v/>
      </c>
      <c r="T228" s="77" t="str">
        <f aca="false">IF(B228="","",IF($N228="NON",0,IF(COUNT(O228:R228)=0,"",IFERROR(ROUND(SUM(O228:R228)/SUMPRODUCT(ISNUMBER(O228:R228)*$O$8:$R$8)*10,2),""))))</f>
        <v/>
      </c>
      <c r="U228" s="75"/>
      <c r="V228" s="76"/>
      <c r="W228" s="76"/>
      <c r="X228" s="76"/>
      <c r="Y228" s="76"/>
      <c r="Z228" s="79" t="str">
        <f aca="false">IF(B228="","",IF($U228="NON",0,IF(COUNT(V228:Y228)=0,"",SUM(V228:Y228))))</f>
        <v/>
      </c>
      <c r="AA228" s="77" t="str">
        <f aca="false">IF(B228="","",IF($U228="NON",0,IF(COUNT(V228:Y228)=0,"",IFERROR(ROUND(SUM(V228:Y228)/SUMPRODUCT(ISNUMBER(V228:Y228)*$V$8:$Y$8)*10,2),""))))</f>
        <v/>
      </c>
      <c r="AB228" s="75"/>
      <c r="AC228" s="76"/>
      <c r="AD228" s="76"/>
      <c r="AE228" s="76"/>
      <c r="AF228" s="76"/>
      <c r="AG228" s="79" t="str">
        <f aca="false">IF(B228="","",IF($AB228="NON",0,IF(COUNT(AC228:AF228)=0,"",SUM(AC228:AF228))))</f>
        <v/>
      </c>
      <c r="AH228" s="77" t="str">
        <f aca="false">IF(B228="","",IF($AB228="NON",0,IF(COUNT(AC228:AF228)=0,"",IFERROR(ROUND(SUM(AC228:AF228)/SUMPRODUCT(ISNUMBER(AC228:AF228)*$AC$8:$AF$8)*10,2),""))))</f>
        <v/>
      </c>
      <c r="AI228" s="51" t="str">
        <f aca="false">IFERROR(MATCH("CE1-219",'REGISTRE ELEVES'!$AI$10:$AI$250,0),"")</f>
        <v/>
      </c>
    </row>
    <row r="229" customFormat="false" ht="15" hidden="false" customHeight="false" outlineLevel="0" collapsed="false">
      <c r="A229" s="73" t="str">
        <f aca="false">IF(B229="","",220)</f>
        <v/>
      </c>
      <c r="B229" s="73" t="str">
        <f aca="false">IF($AI229="","",INDEX('REGISTRE ELEVES'!$B$10:$B$250,$AI229))</f>
        <v/>
      </c>
      <c r="C229" s="74" t="str">
        <f aca="false">IF($AI229="","",INDEX('REGISTRE ELEVES'!$D$10:$D$250,$AI229))</f>
        <v/>
      </c>
      <c r="D229" s="73" t="str">
        <f aca="false">IF($AI229="","",INDEX('REGISTRE ELEVES'!$E$10:$E$250,$AI229))</f>
        <v/>
      </c>
      <c r="E229" s="73" t="str">
        <f aca="false">IF($AI229="","",INDEX('REGISTRE ELEVES'!$F$10:$F$250,$AI229))</f>
        <v/>
      </c>
      <c r="F229" s="73" t="str">
        <f aca="false">IF($AI229="","",INDEX('REGISTRE ELEVES'!$AE$10:$AE$250,$AI229))</f>
        <v/>
      </c>
      <c r="G229" s="75"/>
      <c r="H229" s="76"/>
      <c r="I229" s="76"/>
      <c r="J229" s="76"/>
      <c r="K229" s="76"/>
      <c r="L229" s="79" t="str">
        <f aca="false">IF(B229="","",IF($G229="NON",0,IF(COUNT(H229:K229)=0,"",SUM(H229:K229))))</f>
        <v/>
      </c>
      <c r="M229" s="77" t="str">
        <f aca="false">IF(B229="","",IF($G229="NON",0,IF(COUNT(H229:K229)=0,"",IFERROR(ROUND(SUM(H229:K229)/SUMPRODUCT(ISNUMBER(H229:K229)*$H$8:$K$8)*10,2),""))))</f>
        <v/>
      </c>
      <c r="N229" s="75"/>
      <c r="O229" s="76"/>
      <c r="P229" s="76"/>
      <c r="Q229" s="76"/>
      <c r="R229" s="76"/>
      <c r="S229" s="79" t="str">
        <f aca="false">IF(B229="","",IF($N229="NON",0,IF(COUNT(O229:R229)=0,"",SUM(O229:R229))))</f>
        <v/>
      </c>
      <c r="T229" s="77" t="str">
        <f aca="false">IF(B229="","",IF($N229="NON",0,IF(COUNT(O229:R229)=0,"",IFERROR(ROUND(SUM(O229:R229)/SUMPRODUCT(ISNUMBER(O229:R229)*$O$8:$R$8)*10,2),""))))</f>
        <v/>
      </c>
      <c r="U229" s="75"/>
      <c r="V229" s="76"/>
      <c r="W229" s="76"/>
      <c r="X229" s="76"/>
      <c r="Y229" s="76"/>
      <c r="Z229" s="79" t="str">
        <f aca="false">IF(B229="","",IF($U229="NON",0,IF(COUNT(V229:Y229)=0,"",SUM(V229:Y229))))</f>
        <v/>
      </c>
      <c r="AA229" s="77" t="str">
        <f aca="false">IF(B229="","",IF($U229="NON",0,IF(COUNT(V229:Y229)=0,"",IFERROR(ROUND(SUM(V229:Y229)/SUMPRODUCT(ISNUMBER(V229:Y229)*$V$8:$Y$8)*10,2),""))))</f>
        <v/>
      </c>
      <c r="AB229" s="75"/>
      <c r="AC229" s="76"/>
      <c r="AD229" s="76"/>
      <c r="AE229" s="76"/>
      <c r="AF229" s="76"/>
      <c r="AG229" s="79" t="str">
        <f aca="false">IF(B229="","",IF($AB229="NON",0,IF(COUNT(AC229:AF229)=0,"",SUM(AC229:AF229))))</f>
        <v/>
      </c>
      <c r="AH229" s="77" t="str">
        <f aca="false">IF(B229="","",IF($AB229="NON",0,IF(COUNT(AC229:AF229)=0,"",IFERROR(ROUND(SUM(AC229:AF229)/SUMPRODUCT(ISNUMBER(AC229:AF229)*$AC$8:$AF$8)*10,2),""))))</f>
        <v/>
      </c>
      <c r="AI229" s="51" t="str">
        <f aca="false">IFERROR(MATCH("CE1-220",'REGISTRE ELEVES'!$AI$10:$AI$250,0),"")</f>
        <v/>
      </c>
    </row>
    <row r="230" customFormat="false" ht="15" hidden="false" customHeight="false" outlineLevel="0" collapsed="false">
      <c r="A230" s="73" t="str">
        <f aca="false">IF(B230="","",221)</f>
        <v/>
      </c>
      <c r="B230" s="73" t="str">
        <f aca="false">IF($AI230="","",INDEX('REGISTRE ELEVES'!$B$10:$B$250,$AI230))</f>
        <v/>
      </c>
      <c r="C230" s="74" t="str">
        <f aca="false">IF($AI230="","",INDEX('REGISTRE ELEVES'!$D$10:$D$250,$AI230))</f>
        <v/>
      </c>
      <c r="D230" s="73" t="str">
        <f aca="false">IF($AI230="","",INDEX('REGISTRE ELEVES'!$E$10:$E$250,$AI230))</f>
        <v/>
      </c>
      <c r="E230" s="73" t="str">
        <f aca="false">IF($AI230="","",INDEX('REGISTRE ELEVES'!$F$10:$F$250,$AI230))</f>
        <v/>
      </c>
      <c r="F230" s="73" t="str">
        <f aca="false">IF($AI230="","",INDEX('REGISTRE ELEVES'!$AE$10:$AE$250,$AI230))</f>
        <v/>
      </c>
      <c r="G230" s="75"/>
      <c r="H230" s="76"/>
      <c r="I230" s="76"/>
      <c r="J230" s="76"/>
      <c r="K230" s="76"/>
      <c r="L230" s="79" t="str">
        <f aca="false">IF(B230="","",IF($G230="NON",0,IF(COUNT(H230:K230)=0,"",SUM(H230:K230))))</f>
        <v/>
      </c>
      <c r="M230" s="77" t="str">
        <f aca="false">IF(B230="","",IF($G230="NON",0,IF(COUNT(H230:K230)=0,"",IFERROR(ROUND(SUM(H230:K230)/SUMPRODUCT(ISNUMBER(H230:K230)*$H$8:$K$8)*10,2),""))))</f>
        <v/>
      </c>
      <c r="N230" s="75"/>
      <c r="O230" s="76"/>
      <c r="P230" s="76"/>
      <c r="Q230" s="76"/>
      <c r="R230" s="76"/>
      <c r="S230" s="79" t="str">
        <f aca="false">IF(B230="","",IF($N230="NON",0,IF(COUNT(O230:R230)=0,"",SUM(O230:R230))))</f>
        <v/>
      </c>
      <c r="T230" s="77" t="str">
        <f aca="false">IF(B230="","",IF($N230="NON",0,IF(COUNT(O230:R230)=0,"",IFERROR(ROUND(SUM(O230:R230)/SUMPRODUCT(ISNUMBER(O230:R230)*$O$8:$R$8)*10,2),""))))</f>
        <v/>
      </c>
      <c r="U230" s="75"/>
      <c r="V230" s="76"/>
      <c r="W230" s="76"/>
      <c r="X230" s="76"/>
      <c r="Y230" s="76"/>
      <c r="Z230" s="79" t="str">
        <f aca="false">IF(B230="","",IF($U230="NON",0,IF(COUNT(V230:Y230)=0,"",SUM(V230:Y230))))</f>
        <v/>
      </c>
      <c r="AA230" s="77" t="str">
        <f aca="false">IF(B230="","",IF($U230="NON",0,IF(COUNT(V230:Y230)=0,"",IFERROR(ROUND(SUM(V230:Y230)/SUMPRODUCT(ISNUMBER(V230:Y230)*$V$8:$Y$8)*10,2),""))))</f>
        <v/>
      </c>
      <c r="AB230" s="75"/>
      <c r="AC230" s="76"/>
      <c r="AD230" s="76"/>
      <c r="AE230" s="76"/>
      <c r="AF230" s="76"/>
      <c r="AG230" s="79" t="str">
        <f aca="false">IF(B230="","",IF($AB230="NON",0,IF(COUNT(AC230:AF230)=0,"",SUM(AC230:AF230))))</f>
        <v/>
      </c>
      <c r="AH230" s="77" t="str">
        <f aca="false">IF(B230="","",IF($AB230="NON",0,IF(COUNT(AC230:AF230)=0,"",IFERROR(ROUND(SUM(AC230:AF230)/SUMPRODUCT(ISNUMBER(AC230:AF230)*$AC$8:$AF$8)*10,2),""))))</f>
        <v/>
      </c>
      <c r="AI230" s="51" t="str">
        <f aca="false">IFERROR(MATCH("CE1-221",'REGISTRE ELEVES'!$AI$10:$AI$250,0),"")</f>
        <v/>
      </c>
    </row>
    <row r="231" customFormat="false" ht="15" hidden="false" customHeight="false" outlineLevel="0" collapsed="false">
      <c r="A231" s="73" t="str">
        <f aca="false">IF(B231="","",222)</f>
        <v/>
      </c>
      <c r="B231" s="73" t="str">
        <f aca="false">IF($AI231="","",INDEX('REGISTRE ELEVES'!$B$10:$B$250,$AI231))</f>
        <v/>
      </c>
      <c r="C231" s="74" t="str">
        <f aca="false">IF($AI231="","",INDEX('REGISTRE ELEVES'!$D$10:$D$250,$AI231))</f>
        <v/>
      </c>
      <c r="D231" s="73" t="str">
        <f aca="false">IF($AI231="","",INDEX('REGISTRE ELEVES'!$E$10:$E$250,$AI231))</f>
        <v/>
      </c>
      <c r="E231" s="73" t="str">
        <f aca="false">IF($AI231="","",INDEX('REGISTRE ELEVES'!$F$10:$F$250,$AI231))</f>
        <v/>
      </c>
      <c r="F231" s="73" t="str">
        <f aca="false">IF($AI231="","",INDEX('REGISTRE ELEVES'!$AE$10:$AE$250,$AI231))</f>
        <v/>
      </c>
      <c r="G231" s="75"/>
      <c r="H231" s="76"/>
      <c r="I231" s="76"/>
      <c r="J231" s="76"/>
      <c r="K231" s="76"/>
      <c r="L231" s="79" t="str">
        <f aca="false">IF(B231="","",IF($G231="NON",0,IF(COUNT(H231:K231)=0,"",SUM(H231:K231))))</f>
        <v/>
      </c>
      <c r="M231" s="77" t="str">
        <f aca="false">IF(B231="","",IF($G231="NON",0,IF(COUNT(H231:K231)=0,"",IFERROR(ROUND(SUM(H231:K231)/SUMPRODUCT(ISNUMBER(H231:K231)*$H$8:$K$8)*10,2),""))))</f>
        <v/>
      </c>
      <c r="N231" s="75"/>
      <c r="O231" s="76"/>
      <c r="P231" s="76"/>
      <c r="Q231" s="76"/>
      <c r="R231" s="76"/>
      <c r="S231" s="79" t="str">
        <f aca="false">IF(B231="","",IF($N231="NON",0,IF(COUNT(O231:R231)=0,"",SUM(O231:R231))))</f>
        <v/>
      </c>
      <c r="T231" s="77" t="str">
        <f aca="false">IF(B231="","",IF($N231="NON",0,IF(COUNT(O231:R231)=0,"",IFERROR(ROUND(SUM(O231:R231)/SUMPRODUCT(ISNUMBER(O231:R231)*$O$8:$R$8)*10,2),""))))</f>
        <v/>
      </c>
      <c r="U231" s="75"/>
      <c r="V231" s="76"/>
      <c r="W231" s="76"/>
      <c r="X231" s="76"/>
      <c r="Y231" s="76"/>
      <c r="Z231" s="79" t="str">
        <f aca="false">IF(B231="","",IF($U231="NON",0,IF(COUNT(V231:Y231)=0,"",SUM(V231:Y231))))</f>
        <v/>
      </c>
      <c r="AA231" s="77" t="str">
        <f aca="false">IF(B231="","",IF($U231="NON",0,IF(COUNT(V231:Y231)=0,"",IFERROR(ROUND(SUM(V231:Y231)/SUMPRODUCT(ISNUMBER(V231:Y231)*$V$8:$Y$8)*10,2),""))))</f>
        <v/>
      </c>
      <c r="AB231" s="75"/>
      <c r="AC231" s="76"/>
      <c r="AD231" s="76"/>
      <c r="AE231" s="76"/>
      <c r="AF231" s="76"/>
      <c r="AG231" s="79" t="str">
        <f aca="false">IF(B231="","",IF($AB231="NON",0,IF(COUNT(AC231:AF231)=0,"",SUM(AC231:AF231))))</f>
        <v/>
      </c>
      <c r="AH231" s="77" t="str">
        <f aca="false">IF(B231="","",IF($AB231="NON",0,IF(COUNT(AC231:AF231)=0,"",IFERROR(ROUND(SUM(AC231:AF231)/SUMPRODUCT(ISNUMBER(AC231:AF231)*$AC$8:$AF$8)*10,2),""))))</f>
        <v/>
      </c>
      <c r="AI231" s="51" t="str">
        <f aca="false">IFERROR(MATCH("CE1-222",'REGISTRE ELEVES'!$AI$10:$AI$250,0),"")</f>
        <v/>
      </c>
    </row>
    <row r="232" customFormat="false" ht="15" hidden="false" customHeight="false" outlineLevel="0" collapsed="false">
      <c r="A232" s="73" t="str">
        <f aca="false">IF(B232="","",223)</f>
        <v/>
      </c>
      <c r="B232" s="73" t="str">
        <f aca="false">IF($AI232="","",INDEX('REGISTRE ELEVES'!$B$10:$B$250,$AI232))</f>
        <v/>
      </c>
      <c r="C232" s="74" t="str">
        <f aca="false">IF($AI232="","",INDEX('REGISTRE ELEVES'!$D$10:$D$250,$AI232))</f>
        <v/>
      </c>
      <c r="D232" s="73" t="str">
        <f aca="false">IF($AI232="","",INDEX('REGISTRE ELEVES'!$E$10:$E$250,$AI232))</f>
        <v/>
      </c>
      <c r="E232" s="73" t="str">
        <f aca="false">IF($AI232="","",INDEX('REGISTRE ELEVES'!$F$10:$F$250,$AI232))</f>
        <v/>
      </c>
      <c r="F232" s="73" t="str">
        <f aca="false">IF($AI232="","",INDEX('REGISTRE ELEVES'!$AE$10:$AE$250,$AI232))</f>
        <v/>
      </c>
      <c r="G232" s="75"/>
      <c r="H232" s="76"/>
      <c r="I232" s="76"/>
      <c r="J232" s="76"/>
      <c r="K232" s="76"/>
      <c r="L232" s="79" t="str">
        <f aca="false">IF(B232="","",IF($G232="NON",0,IF(COUNT(H232:K232)=0,"",SUM(H232:K232))))</f>
        <v/>
      </c>
      <c r="M232" s="77" t="str">
        <f aca="false">IF(B232="","",IF($G232="NON",0,IF(COUNT(H232:K232)=0,"",IFERROR(ROUND(SUM(H232:K232)/SUMPRODUCT(ISNUMBER(H232:K232)*$H$8:$K$8)*10,2),""))))</f>
        <v/>
      </c>
      <c r="N232" s="75"/>
      <c r="O232" s="76"/>
      <c r="P232" s="76"/>
      <c r="Q232" s="76"/>
      <c r="R232" s="76"/>
      <c r="S232" s="79" t="str">
        <f aca="false">IF(B232="","",IF($N232="NON",0,IF(COUNT(O232:R232)=0,"",SUM(O232:R232))))</f>
        <v/>
      </c>
      <c r="T232" s="77" t="str">
        <f aca="false">IF(B232="","",IF($N232="NON",0,IF(COUNT(O232:R232)=0,"",IFERROR(ROUND(SUM(O232:R232)/SUMPRODUCT(ISNUMBER(O232:R232)*$O$8:$R$8)*10,2),""))))</f>
        <v/>
      </c>
      <c r="U232" s="75"/>
      <c r="V232" s="76"/>
      <c r="W232" s="76"/>
      <c r="X232" s="76"/>
      <c r="Y232" s="76"/>
      <c r="Z232" s="79" t="str">
        <f aca="false">IF(B232="","",IF($U232="NON",0,IF(COUNT(V232:Y232)=0,"",SUM(V232:Y232))))</f>
        <v/>
      </c>
      <c r="AA232" s="77" t="str">
        <f aca="false">IF(B232="","",IF($U232="NON",0,IF(COUNT(V232:Y232)=0,"",IFERROR(ROUND(SUM(V232:Y232)/SUMPRODUCT(ISNUMBER(V232:Y232)*$V$8:$Y$8)*10,2),""))))</f>
        <v/>
      </c>
      <c r="AB232" s="75"/>
      <c r="AC232" s="76"/>
      <c r="AD232" s="76"/>
      <c r="AE232" s="76"/>
      <c r="AF232" s="76"/>
      <c r="AG232" s="79" t="str">
        <f aca="false">IF(B232="","",IF($AB232="NON",0,IF(COUNT(AC232:AF232)=0,"",SUM(AC232:AF232))))</f>
        <v/>
      </c>
      <c r="AH232" s="77" t="str">
        <f aca="false">IF(B232="","",IF($AB232="NON",0,IF(COUNT(AC232:AF232)=0,"",IFERROR(ROUND(SUM(AC232:AF232)/SUMPRODUCT(ISNUMBER(AC232:AF232)*$AC$8:$AF$8)*10,2),""))))</f>
        <v/>
      </c>
      <c r="AI232" s="51" t="str">
        <f aca="false">IFERROR(MATCH("CE1-223",'REGISTRE ELEVES'!$AI$10:$AI$250,0),"")</f>
        <v/>
      </c>
    </row>
    <row r="233" customFormat="false" ht="15" hidden="false" customHeight="false" outlineLevel="0" collapsed="false">
      <c r="A233" s="73" t="str">
        <f aca="false">IF(B233="","",224)</f>
        <v/>
      </c>
      <c r="B233" s="73" t="str">
        <f aca="false">IF($AI233="","",INDEX('REGISTRE ELEVES'!$B$10:$B$250,$AI233))</f>
        <v/>
      </c>
      <c r="C233" s="74" t="str">
        <f aca="false">IF($AI233="","",INDEX('REGISTRE ELEVES'!$D$10:$D$250,$AI233))</f>
        <v/>
      </c>
      <c r="D233" s="73" t="str">
        <f aca="false">IF($AI233="","",INDEX('REGISTRE ELEVES'!$E$10:$E$250,$AI233))</f>
        <v/>
      </c>
      <c r="E233" s="73" t="str">
        <f aca="false">IF($AI233="","",INDEX('REGISTRE ELEVES'!$F$10:$F$250,$AI233))</f>
        <v/>
      </c>
      <c r="F233" s="73" t="str">
        <f aca="false">IF($AI233="","",INDEX('REGISTRE ELEVES'!$AE$10:$AE$250,$AI233))</f>
        <v/>
      </c>
      <c r="G233" s="75"/>
      <c r="H233" s="76"/>
      <c r="I233" s="76"/>
      <c r="J233" s="76"/>
      <c r="K233" s="76"/>
      <c r="L233" s="79" t="str">
        <f aca="false">IF(B233="","",IF($G233="NON",0,IF(COUNT(H233:K233)=0,"",SUM(H233:K233))))</f>
        <v/>
      </c>
      <c r="M233" s="77" t="str">
        <f aca="false">IF(B233="","",IF($G233="NON",0,IF(COUNT(H233:K233)=0,"",IFERROR(ROUND(SUM(H233:K233)/SUMPRODUCT(ISNUMBER(H233:K233)*$H$8:$K$8)*10,2),""))))</f>
        <v/>
      </c>
      <c r="N233" s="75"/>
      <c r="O233" s="76"/>
      <c r="P233" s="76"/>
      <c r="Q233" s="76"/>
      <c r="R233" s="76"/>
      <c r="S233" s="79" t="str">
        <f aca="false">IF(B233="","",IF($N233="NON",0,IF(COUNT(O233:R233)=0,"",SUM(O233:R233))))</f>
        <v/>
      </c>
      <c r="T233" s="77" t="str">
        <f aca="false">IF(B233="","",IF($N233="NON",0,IF(COUNT(O233:R233)=0,"",IFERROR(ROUND(SUM(O233:R233)/SUMPRODUCT(ISNUMBER(O233:R233)*$O$8:$R$8)*10,2),""))))</f>
        <v/>
      </c>
      <c r="U233" s="75"/>
      <c r="V233" s="76"/>
      <c r="W233" s="76"/>
      <c r="X233" s="76"/>
      <c r="Y233" s="76"/>
      <c r="Z233" s="79" t="str">
        <f aca="false">IF(B233="","",IF($U233="NON",0,IF(COUNT(V233:Y233)=0,"",SUM(V233:Y233))))</f>
        <v/>
      </c>
      <c r="AA233" s="77" t="str">
        <f aca="false">IF(B233="","",IF($U233="NON",0,IF(COUNT(V233:Y233)=0,"",IFERROR(ROUND(SUM(V233:Y233)/SUMPRODUCT(ISNUMBER(V233:Y233)*$V$8:$Y$8)*10,2),""))))</f>
        <v/>
      </c>
      <c r="AB233" s="75"/>
      <c r="AC233" s="76"/>
      <c r="AD233" s="76"/>
      <c r="AE233" s="76"/>
      <c r="AF233" s="76"/>
      <c r="AG233" s="79" t="str">
        <f aca="false">IF(B233="","",IF($AB233="NON",0,IF(COUNT(AC233:AF233)=0,"",SUM(AC233:AF233))))</f>
        <v/>
      </c>
      <c r="AH233" s="77" t="str">
        <f aca="false">IF(B233="","",IF($AB233="NON",0,IF(COUNT(AC233:AF233)=0,"",IFERROR(ROUND(SUM(AC233:AF233)/SUMPRODUCT(ISNUMBER(AC233:AF233)*$AC$8:$AF$8)*10,2),""))))</f>
        <v/>
      </c>
      <c r="AI233" s="51" t="str">
        <f aca="false">IFERROR(MATCH("CE1-224",'REGISTRE ELEVES'!$AI$10:$AI$250,0),"")</f>
        <v/>
      </c>
    </row>
    <row r="234" customFormat="false" ht="15" hidden="false" customHeight="false" outlineLevel="0" collapsed="false">
      <c r="A234" s="73" t="str">
        <f aca="false">IF(B234="","",225)</f>
        <v/>
      </c>
      <c r="B234" s="73" t="str">
        <f aca="false">IF($AI234="","",INDEX('REGISTRE ELEVES'!$B$10:$B$250,$AI234))</f>
        <v/>
      </c>
      <c r="C234" s="74" t="str">
        <f aca="false">IF($AI234="","",INDEX('REGISTRE ELEVES'!$D$10:$D$250,$AI234))</f>
        <v/>
      </c>
      <c r="D234" s="73" t="str">
        <f aca="false">IF($AI234="","",INDEX('REGISTRE ELEVES'!$E$10:$E$250,$AI234))</f>
        <v/>
      </c>
      <c r="E234" s="73" t="str">
        <f aca="false">IF($AI234="","",INDEX('REGISTRE ELEVES'!$F$10:$F$250,$AI234))</f>
        <v/>
      </c>
      <c r="F234" s="73" t="str">
        <f aca="false">IF($AI234="","",INDEX('REGISTRE ELEVES'!$AE$10:$AE$250,$AI234))</f>
        <v/>
      </c>
      <c r="G234" s="75"/>
      <c r="H234" s="76"/>
      <c r="I234" s="76"/>
      <c r="J234" s="76"/>
      <c r="K234" s="76"/>
      <c r="L234" s="79" t="str">
        <f aca="false">IF(B234="","",IF($G234="NON",0,IF(COUNT(H234:K234)=0,"",SUM(H234:K234))))</f>
        <v/>
      </c>
      <c r="M234" s="77" t="str">
        <f aca="false">IF(B234="","",IF($G234="NON",0,IF(COUNT(H234:K234)=0,"",IFERROR(ROUND(SUM(H234:K234)/SUMPRODUCT(ISNUMBER(H234:K234)*$H$8:$K$8)*10,2),""))))</f>
        <v/>
      </c>
      <c r="N234" s="75"/>
      <c r="O234" s="76"/>
      <c r="P234" s="76"/>
      <c r="Q234" s="76"/>
      <c r="R234" s="76"/>
      <c r="S234" s="79" t="str">
        <f aca="false">IF(B234="","",IF($N234="NON",0,IF(COUNT(O234:R234)=0,"",SUM(O234:R234))))</f>
        <v/>
      </c>
      <c r="T234" s="77" t="str">
        <f aca="false">IF(B234="","",IF($N234="NON",0,IF(COUNT(O234:R234)=0,"",IFERROR(ROUND(SUM(O234:R234)/SUMPRODUCT(ISNUMBER(O234:R234)*$O$8:$R$8)*10,2),""))))</f>
        <v/>
      </c>
      <c r="U234" s="75"/>
      <c r="V234" s="76"/>
      <c r="W234" s="76"/>
      <c r="X234" s="76"/>
      <c r="Y234" s="76"/>
      <c r="Z234" s="79" t="str">
        <f aca="false">IF(B234="","",IF($U234="NON",0,IF(COUNT(V234:Y234)=0,"",SUM(V234:Y234))))</f>
        <v/>
      </c>
      <c r="AA234" s="77" t="str">
        <f aca="false">IF(B234="","",IF($U234="NON",0,IF(COUNT(V234:Y234)=0,"",IFERROR(ROUND(SUM(V234:Y234)/SUMPRODUCT(ISNUMBER(V234:Y234)*$V$8:$Y$8)*10,2),""))))</f>
        <v/>
      </c>
      <c r="AB234" s="75"/>
      <c r="AC234" s="76"/>
      <c r="AD234" s="76"/>
      <c r="AE234" s="76"/>
      <c r="AF234" s="76"/>
      <c r="AG234" s="79" t="str">
        <f aca="false">IF(B234="","",IF($AB234="NON",0,IF(COUNT(AC234:AF234)=0,"",SUM(AC234:AF234))))</f>
        <v/>
      </c>
      <c r="AH234" s="77" t="str">
        <f aca="false">IF(B234="","",IF($AB234="NON",0,IF(COUNT(AC234:AF234)=0,"",IFERROR(ROUND(SUM(AC234:AF234)/SUMPRODUCT(ISNUMBER(AC234:AF234)*$AC$8:$AF$8)*10,2),""))))</f>
        <v/>
      </c>
      <c r="AI234" s="51" t="str">
        <f aca="false">IFERROR(MATCH("CE1-225",'REGISTRE ELEVES'!$AI$10:$AI$250,0),"")</f>
        <v/>
      </c>
    </row>
    <row r="235" customFormat="false" ht="15" hidden="false" customHeight="false" outlineLevel="0" collapsed="false">
      <c r="A235" s="73" t="str">
        <f aca="false">IF(B235="","",226)</f>
        <v/>
      </c>
      <c r="B235" s="73" t="str">
        <f aca="false">IF($AI235="","",INDEX('REGISTRE ELEVES'!$B$10:$B$250,$AI235))</f>
        <v/>
      </c>
      <c r="C235" s="74" t="str">
        <f aca="false">IF($AI235="","",INDEX('REGISTRE ELEVES'!$D$10:$D$250,$AI235))</f>
        <v/>
      </c>
      <c r="D235" s="73" t="str">
        <f aca="false">IF($AI235="","",INDEX('REGISTRE ELEVES'!$E$10:$E$250,$AI235))</f>
        <v/>
      </c>
      <c r="E235" s="73" t="str">
        <f aca="false">IF($AI235="","",INDEX('REGISTRE ELEVES'!$F$10:$F$250,$AI235))</f>
        <v/>
      </c>
      <c r="F235" s="73" t="str">
        <f aca="false">IF($AI235="","",INDEX('REGISTRE ELEVES'!$AE$10:$AE$250,$AI235))</f>
        <v/>
      </c>
      <c r="G235" s="75"/>
      <c r="H235" s="76"/>
      <c r="I235" s="76"/>
      <c r="J235" s="76"/>
      <c r="K235" s="76"/>
      <c r="L235" s="79" t="str">
        <f aca="false">IF(B235="","",IF($G235="NON",0,IF(COUNT(H235:K235)=0,"",SUM(H235:K235))))</f>
        <v/>
      </c>
      <c r="M235" s="77" t="str">
        <f aca="false">IF(B235="","",IF($G235="NON",0,IF(COUNT(H235:K235)=0,"",IFERROR(ROUND(SUM(H235:K235)/SUMPRODUCT(ISNUMBER(H235:K235)*$H$8:$K$8)*10,2),""))))</f>
        <v/>
      </c>
      <c r="N235" s="75"/>
      <c r="O235" s="76"/>
      <c r="P235" s="76"/>
      <c r="Q235" s="76"/>
      <c r="R235" s="76"/>
      <c r="S235" s="79" t="str">
        <f aca="false">IF(B235="","",IF($N235="NON",0,IF(COUNT(O235:R235)=0,"",SUM(O235:R235))))</f>
        <v/>
      </c>
      <c r="T235" s="77" t="str">
        <f aca="false">IF(B235="","",IF($N235="NON",0,IF(COUNT(O235:R235)=0,"",IFERROR(ROUND(SUM(O235:R235)/SUMPRODUCT(ISNUMBER(O235:R235)*$O$8:$R$8)*10,2),""))))</f>
        <v/>
      </c>
      <c r="U235" s="75"/>
      <c r="V235" s="76"/>
      <c r="W235" s="76"/>
      <c r="X235" s="76"/>
      <c r="Y235" s="76"/>
      <c r="Z235" s="79" t="str">
        <f aca="false">IF(B235="","",IF($U235="NON",0,IF(COUNT(V235:Y235)=0,"",SUM(V235:Y235))))</f>
        <v/>
      </c>
      <c r="AA235" s="77" t="str">
        <f aca="false">IF(B235="","",IF($U235="NON",0,IF(COUNT(V235:Y235)=0,"",IFERROR(ROUND(SUM(V235:Y235)/SUMPRODUCT(ISNUMBER(V235:Y235)*$V$8:$Y$8)*10,2),""))))</f>
        <v/>
      </c>
      <c r="AB235" s="75"/>
      <c r="AC235" s="76"/>
      <c r="AD235" s="76"/>
      <c r="AE235" s="76"/>
      <c r="AF235" s="76"/>
      <c r="AG235" s="79" t="str">
        <f aca="false">IF(B235="","",IF($AB235="NON",0,IF(COUNT(AC235:AF235)=0,"",SUM(AC235:AF235))))</f>
        <v/>
      </c>
      <c r="AH235" s="77" t="str">
        <f aca="false">IF(B235="","",IF($AB235="NON",0,IF(COUNT(AC235:AF235)=0,"",IFERROR(ROUND(SUM(AC235:AF235)/SUMPRODUCT(ISNUMBER(AC235:AF235)*$AC$8:$AF$8)*10,2),""))))</f>
        <v/>
      </c>
      <c r="AI235" s="51" t="str">
        <f aca="false">IFERROR(MATCH("CE1-226",'REGISTRE ELEVES'!$AI$10:$AI$250,0),"")</f>
        <v/>
      </c>
    </row>
    <row r="236" customFormat="false" ht="15" hidden="false" customHeight="false" outlineLevel="0" collapsed="false">
      <c r="A236" s="73" t="str">
        <f aca="false">IF(B236="","",227)</f>
        <v/>
      </c>
      <c r="B236" s="73" t="str">
        <f aca="false">IF($AI236="","",INDEX('REGISTRE ELEVES'!$B$10:$B$250,$AI236))</f>
        <v/>
      </c>
      <c r="C236" s="74" t="str">
        <f aca="false">IF($AI236="","",INDEX('REGISTRE ELEVES'!$D$10:$D$250,$AI236))</f>
        <v/>
      </c>
      <c r="D236" s="73" t="str">
        <f aca="false">IF($AI236="","",INDEX('REGISTRE ELEVES'!$E$10:$E$250,$AI236))</f>
        <v/>
      </c>
      <c r="E236" s="73" t="str">
        <f aca="false">IF($AI236="","",INDEX('REGISTRE ELEVES'!$F$10:$F$250,$AI236))</f>
        <v/>
      </c>
      <c r="F236" s="73" t="str">
        <f aca="false">IF($AI236="","",INDEX('REGISTRE ELEVES'!$AE$10:$AE$250,$AI236))</f>
        <v/>
      </c>
      <c r="G236" s="75"/>
      <c r="H236" s="76"/>
      <c r="I236" s="76"/>
      <c r="J236" s="76"/>
      <c r="K236" s="76"/>
      <c r="L236" s="79" t="str">
        <f aca="false">IF(B236="","",IF($G236="NON",0,IF(COUNT(H236:K236)=0,"",SUM(H236:K236))))</f>
        <v/>
      </c>
      <c r="M236" s="77" t="str">
        <f aca="false">IF(B236="","",IF($G236="NON",0,IF(COUNT(H236:K236)=0,"",IFERROR(ROUND(SUM(H236:K236)/SUMPRODUCT(ISNUMBER(H236:K236)*$H$8:$K$8)*10,2),""))))</f>
        <v/>
      </c>
      <c r="N236" s="75"/>
      <c r="O236" s="76"/>
      <c r="P236" s="76"/>
      <c r="Q236" s="76"/>
      <c r="R236" s="76"/>
      <c r="S236" s="79" t="str">
        <f aca="false">IF(B236="","",IF($N236="NON",0,IF(COUNT(O236:R236)=0,"",SUM(O236:R236))))</f>
        <v/>
      </c>
      <c r="T236" s="77" t="str">
        <f aca="false">IF(B236="","",IF($N236="NON",0,IF(COUNT(O236:R236)=0,"",IFERROR(ROUND(SUM(O236:R236)/SUMPRODUCT(ISNUMBER(O236:R236)*$O$8:$R$8)*10,2),""))))</f>
        <v/>
      </c>
      <c r="U236" s="75"/>
      <c r="V236" s="76"/>
      <c r="W236" s="76"/>
      <c r="X236" s="76"/>
      <c r="Y236" s="76"/>
      <c r="Z236" s="79" t="str">
        <f aca="false">IF(B236="","",IF($U236="NON",0,IF(COUNT(V236:Y236)=0,"",SUM(V236:Y236))))</f>
        <v/>
      </c>
      <c r="AA236" s="77" t="str">
        <f aca="false">IF(B236="","",IF($U236="NON",0,IF(COUNT(V236:Y236)=0,"",IFERROR(ROUND(SUM(V236:Y236)/SUMPRODUCT(ISNUMBER(V236:Y236)*$V$8:$Y$8)*10,2),""))))</f>
        <v/>
      </c>
      <c r="AB236" s="75"/>
      <c r="AC236" s="76"/>
      <c r="AD236" s="76"/>
      <c r="AE236" s="76"/>
      <c r="AF236" s="76"/>
      <c r="AG236" s="79" t="str">
        <f aca="false">IF(B236="","",IF($AB236="NON",0,IF(COUNT(AC236:AF236)=0,"",SUM(AC236:AF236))))</f>
        <v/>
      </c>
      <c r="AH236" s="77" t="str">
        <f aca="false">IF(B236="","",IF($AB236="NON",0,IF(COUNT(AC236:AF236)=0,"",IFERROR(ROUND(SUM(AC236:AF236)/SUMPRODUCT(ISNUMBER(AC236:AF236)*$AC$8:$AF$8)*10,2),""))))</f>
        <v/>
      </c>
      <c r="AI236" s="51" t="str">
        <f aca="false">IFERROR(MATCH("CE1-227",'REGISTRE ELEVES'!$AI$10:$AI$250,0),"")</f>
        <v/>
      </c>
    </row>
    <row r="237" customFormat="false" ht="15" hidden="false" customHeight="false" outlineLevel="0" collapsed="false">
      <c r="A237" s="73" t="str">
        <f aca="false">IF(B237="","",228)</f>
        <v/>
      </c>
      <c r="B237" s="73" t="str">
        <f aca="false">IF($AI237="","",INDEX('REGISTRE ELEVES'!$B$10:$B$250,$AI237))</f>
        <v/>
      </c>
      <c r="C237" s="74" t="str">
        <f aca="false">IF($AI237="","",INDEX('REGISTRE ELEVES'!$D$10:$D$250,$AI237))</f>
        <v/>
      </c>
      <c r="D237" s="73" t="str">
        <f aca="false">IF($AI237="","",INDEX('REGISTRE ELEVES'!$E$10:$E$250,$AI237))</f>
        <v/>
      </c>
      <c r="E237" s="73" t="str">
        <f aca="false">IF($AI237="","",INDEX('REGISTRE ELEVES'!$F$10:$F$250,$AI237))</f>
        <v/>
      </c>
      <c r="F237" s="73" t="str">
        <f aca="false">IF($AI237="","",INDEX('REGISTRE ELEVES'!$AE$10:$AE$250,$AI237))</f>
        <v/>
      </c>
      <c r="G237" s="75"/>
      <c r="H237" s="76"/>
      <c r="I237" s="76"/>
      <c r="J237" s="76"/>
      <c r="K237" s="76"/>
      <c r="L237" s="79" t="str">
        <f aca="false">IF(B237="","",IF($G237="NON",0,IF(COUNT(H237:K237)=0,"",SUM(H237:K237))))</f>
        <v/>
      </c>
      <c r="M237" s="77" t="str">
        <f aca="false">IF(B237="","",IF($G237="NON",0,IF(COUNT(H237:K237)=0,"",IFERROR(ROUND(SUM(H237:K237)/SUMPRODUCT(ISNUMBER(H237:K237)*$H$8:$K$8)*10,2),""))))</f>
        <v/>
      </c>
      <c r="N237" s="75"/>
      <c r="O237" s="76"/>
      <c r="P237" s="76"/>
      <c r="Q237" s="76"/>
      <c r="R237" s="76"/>
      <c r="S237" s="79" t="str">
        <f aca="false">IF(B237="","",IF($N237="NON",0,IF(COUNT(O237:R237)=0,"",SUM(O237:R237))))</f>
        <v/>
      </c>
      <c r="T237" s="77" t="str">
        <f aca="false">IF(B237="","",IF($N237="NON",0,IF(COUNT(O237:R237)=0,"",IFERROR(ROUND(SUM(O237:R237)/SUMPRODUCT(ISNUMBER(O237:R237)*$O$8:$R$8)*10,2),""))))</f>
        <v/>
      </c>
      <c r="U237" s="75"/>
      <c r="V237" s="76"/>
      <c r="W237" s="76"/>
      <c r="X237" s="76"/>
      <c r="Y237" s="76"/>
      <c r="Z237" s="79" t="str">
        <f aca="false">IF(B237="","",IF($U237="NON",0,IF(COUNT(V237:Y237)=0,"",SUM(V237:Y237))))</f>
        <v/>
      </c>
      <c r="AA237" s="77" t="str">
        <f aca="false">IF(B237="","",IF($U237="NON",0,IF(COUNT(V237:Y237)=0,"",IFERROR(ROUND(SUM(V237:Y237)/SUMPRODUCT(ISNUMBER(V237:Y237)*$V$8:$Y$8)*10,2),""))))</f>
        <v/>
      </c>
      <c r="AB237" s="75"/>
      <c r="AC237" s="76"/>
      <c r="AD237" s="76"/>
      <c r="AE237" s="76"/>
      <c r="AF237" s="76"/>
      <c r="AG237" s="79" t="str">
        <f aca="false">IF(B237="","",IF($AB237="NON",0,IF(COUNT(AC237:AF237)=0,"",SUM(AC237:AF237))))</f>
        <v/>
      </c>
      <c r="AH237" s="77" t="str">
        <f aca="false">IF(B237="","",IF($AB237="NON",0,IF(COUNT(AC237:AF237)=0,"",IFERROR(ROUND(SUM(AC237:AF237)/SUMPRODUCT(ISNUMBER(AC237:AF237)*$AC$8:$AF$8)*10,2),""))))</f>
        <v/>
      </c>
      <c r="AI237" s="51" t="str">
        <f aca="false">IFERROR(MATCH("CE1-228",'REGISTRE ELEVES'!$AI$10:$AI$250,0),"")</f>
        <v/>
      </c>
    </row>
    <row r="238" customFormat="false" ht="15" hidden="false" customHeight="false" outlineLevel="0" collapsed="false">
      <c r="A238" s="73" t="str">
        <f aca="false">IF(B238="","",229)</f>
        <v/>
      </c>
      <c r="B238" s="73" t="str">
        <f aca="false">IF($AI238="","",INDEX('REGISTRE ELEVES'!$B$10:$B$250,$AI238))</f>
        <v/>
      </c>
      <c r="C238" s="74" t="str">
        <f aca="false">IF($AI238="","",INDEX('REGISTRE ELEVES'!$D$10:$D$250,$AI238))</f>
        <v/>
      </c>
      <c r="D238" s="73" t="str">
        <f aca="false">IF($AI238="","",INDEX('REGISTRE ELEVES'!$E$10:$E$250,$AI238))</f>
        <v/>
      </c>
      <c r="E238" s="73" t="str">
        <f aca="false">IF($AI238="","",INDEX('REGISTRE ELEVES'!$F$10:$F$250,$AI238))</f>
        <v/>
      </c>
      <c r="F238" s="73" t="str">
        <f aca="false">IF($AI238="","",INDEX('REGISTRE ELEVES'!$AE$10:$AE$250,$AI238))</f>
        <v/>
      </c>
      <c r="G238" s="75"/>
      <c r="H238" s="76"/>
      <c r="I238" s="76"/>
      <c r="J238" s="76"/>
      <c r="K238" s="76"/>
      <c r="L238" s="79" t="str">
        <f aca="false">IF(B238="","",IF($G238="NON",0,IF(COUNT(H238:K238)=0,"",SUM(H238:K238))))</f>
        <v/>
      </c>
      <c r="M238" s="77" t="str">
        <f aca="false">IF(B238="","",IF($G238="NON",0,IF(COUNT(H238:K238)=0,"",IFERROR(ROUND(SUM(H238:K238)/SUMPRODUCT(ISNUMBER(H238:K238)*$H$8:$K$8)*10,2),""))))</f>
        <v/>
      </c>
      <c r="N238" s="75"/>
      <c r="O238" s="76"/>
      <c r="P238" s="76"/>
      <c r="Q238" s="76"/>
      <c r="R238" s="76"/>
      <c r="S238" s="79" t="str">
        <f aca="false">IF(B238="","",IF($N238="NON",0,IF(COUNT(O238:R238)=0,"",SUM(O238:R238))))</f>
        <v/>
      </c>
      <c r="T238" s="77" t="str">
        <f aca="false">IF(B238="","",IF($N238="NON",0,IF(COUNT(O238:R238)=0,"",IFERROR(ROUND(SUM(O238:R238)/SUMPRODUCT(ISNUMBER(O238:R238)*$O$8:$R$8)*10,2),""))))</f>
        <v/>
      </c>
      <c r="U238" s="75"/>
      <c r="V238" s="76"/>
      <c r="W238" s="76"/>
      <c r="X238" s="76"/>
      <c r="Y238" s="76"/>
      <c r="Z238" s="79" t="str">
        <f aca="false">IF(B238="","",IF($U238="NON",0,IF(COUNT(V238:Y238)=0,"",SUM(V238:Y238))))</f>
        <v/>
      </c>
      <c r="AA238" s="77" t="str">
        <f aca="false">IF(B238="","",IF($U238="NON",0,IF(COUNT(V238:Y238)=0,"",IFERROR(ROUND(SUM(V238:Y238)/SUMPRODUCT(ISNUMBER(V238:Y238)*$V$8:$Y$8)*10,2),""))))</f>
        <v/>
      </c>
      <c r="AB238" s="75"/>
      <c r="AC238" s="76"/>
      <c r="AD238" s="76"/>
      <c r="AE238" s="76"/>
      <c r="AF238" s="76"/>
      <c r="AG238" s="79" t="str">
        <f aca="false">IF(B238="","",IF($AB238="NON",0,IF(COUNT(AC238:AF238)=0,"",SUM(AC238:AF238))))</f>
        <v/>
      </c>
      <c r="AH238" s="77" t="str">
        <f aca="false">IF(B238="","",IF($AB238="NON",0,IF(COUNT(AC238:AF238)=0,"",IFERROR(ROUND(SUM(AC238:AF238)/SUMPRODUCT(ISNUMBER(AC238:AF238)*$AC$8:$AF$8)*10,2),""))))</f>
        <v/>
      </c>
      <c r="AI238" s="51" t="str">
        <f aca="false">IFERROR(MATCH("CE1-229",'REGISTRE ELEVES'!$AI$10:$AI$250,0),"")</f>
        <v/>
      </c>
    </row>
    <row r="239" customFormat="false" ht="15" hidden="false" customHeight="false" outlineLevel="0" collapsed="false">
      <c r="A239" s="73" t="str">
        <f aca="false">IF(B239="","",230)</f>
        <v/>
      </c>
      <c r="B239" s="73" t="str">
        <f aca="false">IF($AI239="","",INDEX('REGISTRE ELEVES'!$B$10:$B$250,$AI239))</f>
        <v/>
      </c>
      <c r="C239" s="74" t="str">
        <f aca="false">IF($AI239="","",INDEX('REGISTRE ELEVES'!$D$10:$D$250,$AI239))</f>
        <v/>
      </c>
      <c r="D239" s="73" t="str">
        <f aca="false">IF($AI239="","",INDEX('REGISTRE ELEVES'!$E$10:$E$250,$AI239))</f>
        <v/>
      </c>
      <c r="E239" s="73" t="str">
        <f aca="false">IF($AI239="","",INDEX('REGISTRE ELEVES'!$F$10:$F$250,$AI239))</f>
        <v/>
      </c>
      <c r="F239" s="73" t="str">
        <f aca="false">IF($AI239="","",INDEX('REGISTRE ELEVES'!$AE$10:$AE$250,$AI239))</f>
        <v/>
      </c>
      <c r="G239" s="75"/>
      <c r="H239" s="76"/>
      <c r="I239" s="76"/>
      <c r="J239" s="76"/>
      <c r="K239" s="76"/>
      <c r="L239" s="79" t="str">
        <f aca="false">IF(B239="","",IF($G239="NON",0,IF(COUNT(H239:K239)=0,"",SUM(H239:K239))))</f>
        <v/>
      </c>
      <c r="M239" s="77" t="str">
        <f aca="false">IF(B239="","",IF($G239="NON",0,IF(COUNT(H239:K239)=0,"",IFERROR(ROUND(SUM(H239:K239)/SUMPRODUCT(ISNUMBER(H239:K239)*$H$8:$K$8)*10,2),""))))</f>
        <v/>
      </c>
      <c r="N239" s="75"/>
      <c r="O239" s="76"/>
      <c r="P239" s="76"/>
      <c r="Q239" s="76"/>
      <c r="R239" s="76"/>
      <c r="S239" s="79" t="str">
        <f aca="false">IF(B239="","",IF($N239="NON",0,IF(COUNT(O239:R239)=0,"",SUM(O239:R239))))</f>
        <v/>
      </c>
      <c r="T239" s="77" t="str">
        <f aca="false">IF(B239="","",IF($N239="NON",0,IF(COUNT(O239:R239)=0,"",IFERROR(ROUND(SUM(O239:R239)/SUMPRODUCT(ISNUMBER(O239:R239)*$O$8:$R$8)*10,2),""))))</f>
        <v/>
      </c>
      <c r="U239" s="75"/>
      <c r="V239" s="76"/>
      <c r="W239" s="76"/>
      <c r="X239" s="76"/>
      <c r="Y239" s="76"/>
      <c r="Z239" s="79" t="str">
        <f aca="false">IF(B239="","",IF($U239="NON",0,IF(COUNT(V239:Y239)=0,"",SUM(V239:Y239))))</f>
        <v/>
      </c>
      <c r="AA239" s="77" t="str">
        <f aca="false">IF(B239="","",IF($U239="NON",0,IF(COUNT(V239:Y239)=0,"",IFERROR(ROUND(SUM(V239:Y239)/SUMPRODUCT(ISNUMBER(V239:Y239)*$V$8:$Y$8)*10,2),""))))</f>
        <v/>
      </c>
      <c r="AB239" s="75"/>
      <c r="AC239" s="76"/>
      <c r="AD239" s="76"/>
      <c r="AE239" s="76"/>
      <c r="AF239" s="76"/>
      <c r="AG239" s="79" t="str">
        <f aca="false">IF(B239="","",IF($AB239="NON",0,IF(COUNT(AC239:AF239)=0,"",SUM(AC239:AF239))))</f>
        <v/>
      </c>
      <c r="AH239" s="77" t="str">
        <f aca="false">IF(B239="","",IF($AB239="NON",0,IF(COUNT(AC239:AF239)=0,"",IFERROR(ROUND(SUM(AC239:AF239)/SUMPRODUCT(ISNUMBER(AC239:AF239)*$AC$8:$AF$8)*10,2),""))))</f>
        <v/>
      </c>
      <c r="AI239" s="51" t="str">
        <f aca="false">IFERROR(MATCH("CE1-230",'REGISTRE ELEVES'!$AI$10:$AI$250,0),"")</f>
        <v/>
      </c>
    </row>
    <row r="240" customFormat="false" ht="15" hidden="false" customHeight="false" outlineLevel="0" collapsed="false">
      <c r="A240" s="73" t="str">
        <f aca="false">IF(B240="","",231)</f>
        <v/>
      </c>
      <c r="B240" s="73" t="str">
        <f aca="false">IF($AI240="","",INDEX('REGISTRE ELEVES'!$B$10:$B$250,$AI240))</f>
        <v/>
      </c>
      <c r="C240" s="74" t="str">
        <f aca="false">IF($AI240="","",INDEX('REGISTRE ELEVES'!$D$10:$D$250,$AI240))</f>
        <v/>
      </c>
      <c r="D240" s="73" t="str">
        <f aca="false">IF($AI240="","",INDEX('REGISTRE ELEVES'!$E$10:$E$250,$AI240))</f>
        <v/>
      </c>
      <c r="E240" s="73" t="str">
        <f aca="false">IF($AI240="","",INDEX('REGISTRE ELEVES'!$F$10:$F$250,$AI240))</f>
        <v/>
      </c>
      <c r="F240" s="73" t="str">
        <f aca="false">IF($AI240="","",INDEX('REGISTRE ELEVES'!$AE$10:$AE$250,$AI240))</f>
        <v/>
      </c>
      <c r="G240" s="75"/>
      <c r="H240" s="76"/>
      <c r="I240" s="76"/>
      <c r="J240" s="76"/>
      <c r="K240" s="76"/>
      <c r="L240" s="79" t="str">
        <f aca="false">IF(B240="","",IF($G240="NON",0,IF(COUNT(H240:K240)=0,"",SUM(H240:K240))))</f>
        <v/>
      </c>
      <c r="M240" s="77" t="str">
        <f aca="false">IF(B240="","",IF($G240="NON",0,IF(COUNT(H240:K240)=0,"",IFERROR(ROUND(SUM(H240:K240)/SUMPRODUCT(ISNUMBER(H240:K240)*$H$8:$K$8)*10,2),""))))</f>
        <v/>
      </c>
      <c r="N240" s="75"/>
      <c r="O240" s="76"/>
      <c r="P240" s="76"/>
      <c r="Q240" s="76"/>
      <c r="R240" s="76"/>
      <c r="S240" s="79" t="str">
        <f aca="false">IF(B240="","",IF($N240="NON",0,IF(COUNT(O240:R240)=0,"",SUM(O240:R240))))</f>
        <v/>
      </c>
      <c r="T240" s="77" t="str">
        <f aca="false">IF(B240="","",IF($N240="NON",0,IF(COUNT(O240:R240)=0,"",IFERROR(ROUND(SUM(O240:R240)/SUMPRODUCT(ISNUMBER(O240:R240)*$O$8:$R$8)*10,2),""))))</f>
        <v/>
      </c>
      <c r="U240" s="75"/>
      <c r="V240" s="76"/>
      <c r="W240" s="76"/>
      <c r="X240" s="76"/>
      <c r="Y240" s="76"/>
      <c r="Z240" s="79" t="str">
        <f aca="false">IF(B240="","",IF($U240="NON",0,IF(COUNT(V240:Y240)=0,"",SUM(V240:Y240))))</f>
        <v/>
      </c>
      <c r="AA240" s="77" t="str">
        <f aca="false">IF(B240="","",IF($U240="NON",0,IF(COUNT(V240:Y240)=0,"",IFERROR(ROUND(SUM(V240:Y240)/SUMPRODUCT(ISNUMBER(V240:Y240)*$V$8:$Y$8)*10,2),""))))</f>
        <v/>
      </c>
      <c r="AB240" s="75"/>
      <c r="AC240" s="76"/>
      <c r="AD240" s="76"/>
      <c r="AE240" s="76"/>
      <c r="AF240" s="76"/>
      <c r="AG240" s="79" t="str">
        <f aca="false">IF(B240="","",IF($AB240="NON",0,IF(COUNT(AC240:AF240)=0,"",SUM(AC240:AF240))))</f>
        <v/>
      </c>
      <c r="AH240" s="77" t="str">
        <f aca="false">IF(B240="","",IF($AB240="NON",0,IF(COUNT(AC240:AF240)=0,"",IFERROR(ROUND(SUM(AC240:AF240)/SUMPRODUCT(ISNUMBER(AC240:AF240)*$AC$8:$AF$8)*10,2),""))))</f>
        <v/>
      </c>
      <c r="AI240" s="51" t="str">
        <f aca="false">IFERROR(MATCH("CE1-231",'REGISTRE ELEVES'!$AI$10:$AI$250,0),"")</f>
        <v/>
      </c>
    </row>
    <row r="241" customFormat="false" ht="15" hidden="false" customHeight="false" outlineLevel="0" collapsed="false">
      <c r="A241" s="73" t="str">
        <f aca="false">IF(B241="","",232)</f>
        <v/>
      </c>
      <c r="B241" s="73" t="str">
        <f aca="false">IF($AI241="","",INDEX('REGISTRE ELEVES'!$B$10:$B$250,$AI241))</f>
        <v/>
      </c>
      <c r="C241" s="74" t="str">
        <f aca="false">IF($AI241="","",INDEX('REGISTRE ELEVES'!$D$10:$D$250,$AI241))</f>
        <v/>
      </c>
      <c r="D241" s="73" t="str">
        <f aca="false">IF($AI241="","",INDEX('REGISTRE ELEVES'!$E$10:$E$250,$AI241))</f>
        <v/>
      </c>
      <c r="E241" s="73" t="str">
        <f aca="false">IF($AI241="","",INDEX('REGISTRE ELEVES'!$F$10:$F$250,$AI241))</f>
        <v/>
      </c>
      <c r="F241" s="73" t="str">
        <f aca="false">IF($AI241="","",INDEX('REGISTRE ELEVES'!$AE$10:$AE$250,$AI241))</f>
        <v/>
      </c>
      <c r="G241" s="75"/>
      <c r="H241" s="76"/>
      <c r="I241" s="76"/>
      <c r="J241" s="76"/>
      <c r="K241" s="76"/>
      <c r="L241" s="79" t="str">
        <f aca="false">IF(B241="","",IF($G241="NON",0,IF(COUNT(H241:K241)=0,"",SUM(H241:K241))))</f>
        <v/>
      </c>
      <c r="M241" s="77" t="str">
        <f aca="false">IF(B241="","",IF($G241="NON",0,IF(COUNT(H241:K241)=0,"",IFERROR(ROUND(SUM(H241:K241)/SUMPRODUCT(ISNUMBER(H241:K241)*$H$8:$K$8)*10,2),""))))</f>
        <v/>
      </c>
      <c r="N241" s="75"/>
      <c r="O241" s="76"/>
      <c r="P241" s="76"/>
      <c r="Q241" s="76"/>
      <c r="R241" s="76"/>
      <c r="S241" s="79" t="str">
        <f aca="false">IF(B241="","",IF($N241="NON",0,IF(COUNT(O241:R241)=0,"",SUM(O241:R241))))</f>
        <v/>
      </c>
      <c r="T241" s="77" t="str">
        <f aca="false">IF(B241="","",IF($N241="NON",0,IF(COUNT(O241:R241)=0,"",IFERROR(ROUND(SUM(O241:R241)/SUMPRODUCT(ISNUMBER(O241:R241)*$O$8:$R$8)*10,2),""))))</f>
        <v/>
      </c>
      <c r="U241" s="75"/>
      <c r="V241" s="76"/>
      <c r="W241" s="76"/>
      <c r="X241" s="76"/>
      <c r="Y241" s="76"/>
      <c r="Z241" s="79" t="str">
        <f aca="false">IF(B241="","",IF($U241="NON",0,IF(COUNT(V241:Y241)=0,"",SUM(V241:Y241))))</f>
        <v/>
      </c>
      <c r="AA241" s="77" t="str">
        <f aca="false">IF(B241="","",IF($U241="NON",0,IF(COUNT(V241:Y241)=0,"",IFERROR(ROUND(SUM(V241:Y241)/SUMPRODUCT(ISNUMBER(V241:Y241)*$V$8:$Y$8)*10,2),""))))</f>
        <v/>
      </c>
      <c r="AB241" s="75"/>
      <c r="AC241" s="76"/>
      <c r="AD241" s="76"/>
      <c r="AE241" s="76"/>
      <c r="AF241" s="76"/>
      <c r="AG241" s="79" t="str">
        <f aca="false">IF(B241="","",IF($AB241="NON",0,IF(COUNT(AC241:AF241)=0,"",SUM(AC241:AF241))))</f>
        <v/>
      </c>
      <c r="AH241" s="77" t="str">
        <f aca="false">IF(B241="","",IF($AB241="NON",0,IF(COUNT(AC241:AF241)=0,"",IFERROR(ROUND(SUM(AC241:AF241)/SUMPRODUCT(ISNUMBER(AC241:AF241)*$AC$8:$AF$8)*10,2),""))))</f>
        <v/>
      </c>
      <c r="AI241" s="51" t="str">
        <f aca="false">IFERROR(MATCH("CE1-232",'REGISTRE ELEVES'!$AI$10:$AI$250,0),"")</f>
        <v/>
      </c>
    </row>
    <row r="242" customFormat="false" ht="15" hidden="false" customHeight="false" outlineLevel="0" collapsed="false">
      <c r="A242" s="73" t="str">
        <f aca="false">IF(B242="","",233)</f>
        <v/>
      </c>
      <c r="B242" s="73" t="str">
        <f aca="false">IF($AI242="","",INDEX('REGISTRE ELEVES'!$B$10:$B$250,$AI242))</f>
        <v/>
      </c>
      <c r="C242" s="74" t="str">
        <f aca="false">IF($AI242="","",INDEX('REGISTRE ELEVES'!$D$10:$D$250,$AI242))</f>
        <v/>
      </c>
      <c r="D242" s="73" t="str">
        <f aca="false">IF($AI242="","",INDEX('REGISTRE ELEVES'!$E$10:$E$250,$AI242))</f>
        <v/>
      </c>
      <c r="E242" s="73" t="str">
        <f aca="false">IF($AI242="","",INDEX('REGISTRE ELEVES'!$F$10:$F$250,$AI242))</f>
        <v/>
      </c>
      <c r="F242" s="73" t="str">
        <f aca="false">IF($AI242="","",INDEX('REGISTRE ELEVES'!$AE$10:$AE$250,$AI242))</f>
        <v/>
      </c>
      <c r="G242" s="75"/>
      <c r="H242" s="76"/>
      <c r="I242" s="76"/>
      <c r="J242" s="76"/>
      <c r="K242" s="76"/>
      <c r="L242" s="79" t="str">
        <f aca="false">IF(B242="","",IF($G242="NON",0,IF(COUNT(H242:K242)=0,"",SUM(H242:K242))))</f>
        <v/>
      </c>
      <c r="M242" s="77" t="str">
        <f aca="false">IF(B242="","",IF($G242="NON",0,IF(COUNT(H242:K242)=0,"",IFERROR(ROUND(SUM(H242:K242)/SUMPRODUCT(ISNUMBER(H242:K242)*$H$8:$K$8)*10,2),""))))</f>
        <v/>
      </c>
      <c r="N242" s="75"/>
      <c r="O242" s="76"/>
      <c r="P242" s="76"/>
      <c r="Q242" s="76"/>
      <c r="R242" s="76"/>
      <c r="S242" s="79" t="str">
        <f aca="false">IF(B242="","",IF($N242="NON",0,IF(COUNT(O242:R242)=0,"",SUM(O242:R242))))</f>
        <v/>
      </c>
      <c r="T242" s="77" t="str">
        <f aca="false">IF(B242="","",IF($N242="NON",0,IF(COUNT(O242:R242)=0,"",IFERROR(ROUND(SUM(O242:R242)/SUMPRODUCT(ISNUMBER(O242:R242)*$O$8:$R$8)*10,2),""))))</f>
        <v/>
      </c>
      <c r="U242" s="75"/>
      <c r="V242" s="76"/>
      <c r="W242" s="76"/>
      <c r="X242" s="76"/>
      <c r="Y242" s="76"/>
      <c r="Z242" s="79" t="str">
        <f aca="false">IF(B242="","",IF($U242="NON",0,IF(COUNT(V242:Y242)=0,"",SUM(V242:Y242))))</f>
        <v/>
      </c>
      <c r="AA242" s="77" t="str">
        <f aca="false">IF(B242="","",IF($U242="NON",0,IF(COUNT(V242:Y242)=0,"",IFERROR(ROUND(SUM(V242:Y242)/SUMPRODUCT(ISNUMBER(V242:Y242)*$V$8:$Y$8)*10,2),""))))</f>
        <v/>
      </c>
      <c r="AB242" s="75"/>
      <c r="AC242" s="76"/>
      <c r="AD242" s="76"/>
      <c r="AE242" s="76"/>
      <c r="AF242" s="76"/>
      <c r="AG242" s="79" t="str">
        <f aca="false">IF(B242="","",IF($AB242="NON",0,IF(COUNT(AC242:AF242)=0,"",SUM(AC242:AF242))))</f>
        <v/>
      </c>
      <c r="AH242" s="77" t="str">
        <f aca="false">IF(B242="","",IF($AB242="NON",0,IF(COUNT(AC242:AF242)=0,"",IFERROR(ROUND(SUM(AC242:AF242)/SUMPRODUCT(ISNUMBER(AC242:AF242)*$AC$8:$AF$8)*10,2),""))))</f>
        <v/>
      </c>
      <c r="AI242" s="51" t="str">
        <f aca="false">IFERROR(MATCH("CE1-233",'REGISTRE ELEVES'!$AI$10:$AI$250,0),"")</f>
        <v/>
      </c>
    </row>
    <row r="243" customFormat="false" ht="15" hidden="false" customHeight="false" outlineLevel="0" collapsed="false">
      <c r="A243" s="73" t="str">
        <f aca="false">IF(B243="","",234)</f>
        <v/>
      </c>
      <c r="B243" s="73" t="str">
        <f aca="false">IF($AI243="","",INDEX('REGISTRE ELEVES'!$B$10:$B$250,$AI243))</f>
        <v/>
      </c>
      <c r="C243" s="74" t="str">
        <f aca="false">IF($AI243="","",INDEX('REGISTRE ELEVES'!$D$10:$D$250,$AI243))</f>
        <v/>
      </c>
      <c r="D243" s="73" t="str">
        <f aca="false">IF($AI243="","",INDEX('REGISTRE ELEVES'!$E$10:$E$250,$AI243))</f>
        <v/>
      </c>
      <c r="E243" s="73" t="str">
        <f aca="false">IF($AI243="","",INDEX('REGISTRE ELEVES'!$F$10:$F$250,$AI243))</f>
        <v/>
      </c>
      <c r="F243" s="73" t="str">
        <f aca="false">IF($AI243="","",INDEX('REGISTRE ELEVES'!$AE$10:$AE$250,$AI243))</f>
        <v/>
      </c>
      <c r="G243" s="75"/>
      <c r="H243" s="76"/>
      <c r="I243" s="76"/>
      <c r="J243" s="76"/>
      <c r="K243" s="76"/>
      <c r="L243" s="79" t="str">
        <f aca="false">IF(B243="","",IF($G243="NON",0,IF(COUNT(H243:K243)=0,"",SUM(H243:K243))))</f>
        <v/>
      </c>
      <c r="M243" s="77" t="str">
        <f aca="false">IF(B243="","",IF($G243="NON",0,IF(COUNT(H243:K243)=0,"",IFERROR(ROUND(SUM(H243:K243)/SUMPRODUCT(ISNUMBER(H243:K243)*$H$8:$K$8)*10,2),""))))</f>
        <v/>
      </c>
      <c r="N243" s="75"/>
      <c r="O243" s="76"/>
      <c r="P243" s="76"/>
      <c r="Q243" s="76"/>
      <c r="R243" s="76"/>
      <c r="S243" s="79" t="str">
        <f aca="false">IF(B243="","",IF($N243="NON",0,IF(COUNT(O243:R243)=0,"",SUM(O243:R243))))</f>
        <v/>
      </c>
      <c r="T243" s="77" t="str">
        <f aca="false">IF(B243="","",IF($N243="NON",0,IF(COUNT(O243:R243)=0,"",IFERROR(ROUND(SUM(O243:R243)/SUMPRODUCT(ISNUMBER(O243:R243)*$O$8:$R$8)*10,2),""))))</f>
        <v/>
      </c>
      <c r="U243" s="75"/>
      <c r="V243" s="76"/>
      <c r="W243" s="76"/>
      <c r="X243" s="76"/>
      <c r="Y243" s="76"/>
      <c r="Z243" s="79" t="str">
        <f aca="false">IF(B243="","",IF($U243="NON",0,IF(COUNT(V243:Y243)=0,"",SUM(V243:Y243))))</f>
        <v/>
      </c>
      <c r="AA243" s="77" t="str">
        <f aca="false">IF(B243="","",IF($U243="NON",0,IF(COUNT(V243:Y243)=0,"",IFERROR(ROUND(SUM(V243:Y243)/SUMPRODUCT(ISNUMBER(V243:Y243)*$V$8:$Y$8)*10,2),""))))</f>
        <v/>
      </c>
      <c r="AB243" s="75"/>
      <c r="AC243" s="76"/>
      <c r="AD243" s="76"/>
      <c r="AE243" s="76"/>
      <c r="AF243" s="76"/>
      <c r="AG243" s="79" t="str">
        <f aca="false">IF(B243="","",IF($AB243="NON",0,IF(COUNT(AC243:AF243)=0,"",SUM(AC243:AF243))))</f>
        <v/>
      </c>
      <c r="AH243" s="77" t="str">
        <f aca="false">IF(B243="","",IF($AB243="NON",0,IF(COUNT(AC243:AF243)=0,"",IFERROR(ROUND(SUM(AC243:AF243)/SUMPRODUCT(ISNUMBER(AC243:AF243)*$AC$8:$AF$8)*10,2),""))))</f>
        <v/>
      </c>
      <c r="AI243" s="51" t="str">
        <f aca="false">IFERROR(MATCH("CE1-234",'REGISTRE ELEVES'!$AI$10:$AI$250,0),"")</f>
        <v/>
      </c>
    </row>
    <row r="244" customFormat="false" ht="15" hidden="false" customHeight="false" outlineLevel="0" collapsed="false">
      <c r="A244" s="73" t="str">
        <f aca="false">IF(B244="","",235)</f>
        <v/>
      </c>
      <c r="B244" s="73" t="str">
        <f aca="false">IF($AI244="","",INDEX('REGISTRE ELEVES'!$B$10:$B$250,$AI244))</f>
        <v/>
      </c>
      <c r="C244" s="74" t="str">
        <f aca="false">IF($AI244="","",INDEX('REGISTRE ELEVES'!$D$10:$D$250,$AI244))</f>
        <v/>
      </c>
      <c r="D244" s="73" t="str">
        <f aca="false">IF($AI244="","",INDEX('REGISTRE ELEVES'!$E$10:$E$250,$AI244))</f>
        <v/>
      </c>
      <c r="E244" s="73" t="str">
        <f aca="false">IF($AI244="","",INDEX('REGISTRE ELEVES'!$F$10:$F$250,$AI244))</f>
        <v/>
      </c>
      <c r="F244" s="73" t="str">
        <f aca="false">IF($AI244="","",INDEX('REGISTRE ELEVES'!$AE$10:$AE$250,$AI244))</f>
        <v/>
      </c>
      <c r="G244" s="75"/>
      <c r="H244" s="76"/>
      <c r="I244" s="76"/>
      <c r="J244" s="76"/>
      <c r="K244" s="76"/>
      <c r="L244" s="79" t="str">
        <f aca="false">IF(B244="","",IF($G244="NON",0,IF(COUNT(H244:K244)=0,"",SUM(H244:K244))))</f>
        <v/>
      </c>
      <c r="M244" s="77" t="str">
        <f aca="false">IF(B244="","",IF($G244="NON",0,IF(COUNT(H244:K244)=0,"",IFERROR(ROUND(SUM(H244:K244)/SUMPRODUCT(ISNUMBER(H244:K244)*$H$8:$K$8)*10,2),""))))</f>
        <v/>
      </c>
      <c r="N244" s="75"/>
      <c r="O244" s="76"/>
      <c r="P244" s="76"/>
      <c r="Q244" s="76"/>
      <c r="R244" s="76"/>
      <c r="S244" s="79" t="str">
        <f aca="false">IF(B244="","",IF($N244="NON",0,IF(COUNT(O244:R244)=0,"",SUM(O244:R244))))</f>
        <v/>
      </c>
      <c r="T244" s="77" t="str">
        <f aca="false">IF(B244="","",IF($N244="NON",0,IF(COUNT(O244:R244)=0,"",IFERROR(ROUND(SUM(O244:R244)/SUMPRODUCT(ISNUMBER(O244:R244)*$O$8:$R$8)*10,2),""))))</f>
        <v/>
      </c>
      <c r="U244" s="75"/>
      <c r="V244" s="76"/>
      <c r="W244" s="76"/>
      <c r="X244" s="76"/>
      <c r="Y244" s="76"/>
      <c r="Z244" s="79" t="str">
        <f aca="false">IF(B244="","",IF($U244="NON",0,IF(COUNT(V244:Y244)=0,"",SUM(V244:Y244))))</f>
        <v/>
      </c>
      <c r="AA244" s="77" t="str">
        <f aca="false">IF(B244="","",IF($U244="NON",0,IF(COUNT(V244:Y244)=0,"",IFERROR(ROUND(SUM(V244:Y244)/SUMPRODUCT(ISNUMBER(V244:Y244)*$V$8:$Y$8)*10,2),""))))</f>
        <v/>
      </c>
      <c r="AB244" s="75"/>
      <c r="AC244" s="76"/>
      <c r="AD244" s="76"/>
      <c r="AE244" s="76"/>
      <c r="AF244" s="76"/>
      <c r="AG244" s="79" t="str">
        <f aca="false">IF(B244="","",IF($AB244="NON",0,IF(COUNT(AC244:AF244)=0,"",SUM(AC244:AF244))))</f>
        <v/>
      </c>
      <c r="AH244" s="77" t="str">
        <f aca="false">IF(B244="","",IF($AB244="NON",0,IF(COUNT(AC244:AF244)=0,"",IFERROR(ROUND(SUM(AC244:AF244)/SUMPRODUCT(ISNUMBER(AC244:AF244)*$AC$8:$AF$8)*10,2),""))))</f>
        <v/>
      </c>
      <c r="AI244" s="51" t="str">
        <f aca="false">IFERROR(MATCH("CE1-235",'REGISTRE ELEVES'!$AI$10:$AI$250,0),"")</f>
        <v/>
      </c>
    </row>
    <row r="245" customFormat="false" ht="15" hidden="false" customHeight="false" outlineLevel="0" collapsed="false">
      <c r="A245" s="73" t="str">
        <f aca="false">IF(B245="","",236)</f>
        <v/>
      </c>
      <c r="B245" s="73" t="str">
        <f aca="false">IF($AI245="","",INDEX('REGISTRE ELEVES'!$B$10:$B$250,$AI245))</f>
        <v/>
      </c>
      <c r="C245" s="74" t="str">
        <f aca="false">IF($AI245="","",INDEX('REGISTRE ELEVES'!$D$10:$D$250,$AI245))</f>
        <v/>
      </c>
      <c r="D245" s="73" t="str">
        <f aca="false">IF($AI245="","",INDEX('REGISTRE ELEVES'!$E$10:$E$250,$AI245))</f>
        <v/>
      </c>
      <c r="E245" s="73" t="str">
        <f aca="false">IF($AI245="","",INDEX('REGISTRE ELEVES'!$F$10:$F$250,$AI245))</f>
        <v/>
      </c>
      <c r="F245" s="73" t="str">
        <f aca="false">IF($AI245="","",INDEX('REGISTRE ELEVES'!$AE$10:$AE$250,$AI245))</f>
        <v/>
      </c>
      <c r="G245" s="75"/>
      <c r="H245" s="76"/>
      <c r="I245" s="76"/>
      <c r="J245" s="76"/>
      <c r="K245" s="76"/>
      <c r="L245" s="79" t="str">
        <f aca="false">IF(B245="","",IF($G245="NON",0,IF(COUNT(H245:K245)=0,"",SUM(H245:K245))))</f>
        <v/>
      </c>
      <c r="M245" s="77" t="str">
        <f aca="false">IF(B245="","",IF($G245="NON",0,IF(COUNT(H245:K245)=0,"",IFERROR(ROUND(SUM(H245:K245)/SUMPRODUCT(ISNUMBER(H245:K245)*$H$8:$K$8)*10,2),""))))</f>
        <v/>
      </c>
      <c r="N245" s="75"/>
      <c r="O245" s="76"/>
      <c r="P245" s="76"/>
      <c r="Q245" s="76"/>
      <c r="R245" s="76"/>
      <c r="S245" s="79" t="str">
        <f aca="false">IF(B245="","",IF($N245="NON",0,IF(COUNT(O245:R245)=0,"",SUM(O245:R245))))</f>
        <v/>
      </c>
      <c r="T245" s="77" t="str">
        <f aca="false">IF(B245="","",IF($N245="NON",0,IF(COUNT(O245:R245)=0,"",IFERROR(ROUND(SUM(O245:R245)/SUMPRODUCT(ISNUMBER(O245:R245)*$O$8:$R$8)*10,2),""))))</f>
        <v/>
      </c>
      <c r="U245" s="75"/>
      <c r="V245" s="76"/>
      <c r="W245" s="76"/>
      <c r="X245" s="76"/>
      <c r="Y245" s="76"/>
      <c r="Z245" s="79" t="str">
        <f aca="false">IF(B245="","",IF($U245="NON",0,IF(COUNT(V245:Y245)=0,"",SUM(V245:Y245))))</f>
        <v/>
      </c>
      <c r="AA245" s="77" t="str">
        <f aca="false">IF(B245="","",IF($U245="NON",0,IF(COUNT(V245:Y245)=0,"",IFERROR(ROUND(SUM(V245:Y245)/SUMPRODUCT(ISNUMBER(V245:Y245)*$V$8:$Y$8)*10,2),""))))</f>
        <v/>
      </c>
      <c r="AB245" s="75"/>
      <c r="AC245" s="76"/>
      <c r="AD245" s="76"/>
      <c r="AE245" s="76"/>
      <c r="AF245" s="76"/>
      <c r="AG245" s="79" t="str">
        <f aca="false">IF(B245="","",IF($AB245="NON",0,IF(COUNT(AC245:AF245)=0,"",SUM(AC245:AF245))))</f>
        <v/>
      </c>
      <c r="AH245" s="77" t="str">
        <f aca="false">IF(B245="","",IF($AB245="NON",0,IF(COUNT(AC245:AF245)=0,"",IFERROR(ROUND(SUM(AC245:AF245)/SUMPRODUCT(ISNUMBER(AC245:AF245)*$AC$8:$AF$8)*10,2),""))))</f>
        <v/>
      </c>
      <c r="AI245" s="51" t="str">
        <f aca="false">IFERROR(MATCH("CE1-236",'REGISTRE ELEVES'!$AI$10:$AI$250,0),"")</f>
        <v/>
      </c>
    </row>
    <row r="246" customFormat="false" ht="15" hidden="false" customHeight="false" outlineLevel="0" collapsed="false">
      <c r="A246" s="73" t="str">
        <f aca="false">IF(B246="","",237)</f>
        <v/>
      </c>
      <c r="B246" s="73" t="str">
        <f aca="false">IF($AI246="","",INDEX('REGISTRE ELEVES'!$B$10:$B$250,$AI246))</f>
        <v/>
      </c>
      <c r="C246" s="74" t="str">
        <f aca="false">IF($AI246="","",INDEX('REGISTRE ELEVES'!$D$10:$D$250,$AI246))</f>
        <v/>
      </c>
      <c r="D246" s="73" t="str">
        <f aca="false">IF($AI246="","",INDEX('REGISTRE ELEVES'!$E$10:$E$250,$AI246))</f>
        <v/>
      </c>
      <c r="E246" s="73" t="str">
        <f aca="false">IF($AI246="","",INDEX('REGISTRE ELEVES'!$F$10:$F$250,$AI246))</f>
        <v/>
      </c>
      <c r="F246" s="73" t="str">
        <f aca="false">IF($AI246="","",INDEX('REGISTRE ELEVES'!$AE$10:$AE$250,$AI246))</f>
        <v/>
      </c>
      <c r="G246" s="75"/>
      <c r="H246" s="76"/>
      <c r="I246" s="76"/>
      <c r="J246" s="76"/>
      <c r="K246" s="76"/>
      <c r="L246" s="79" t="str">
        <f aca="false">IF(B246="","",IF($G246="NON",0,IF(COUNT(H246:K246)=0,"",SUM(H246:K246))))</f>
        <v/>
      </c>
      <c r="M246" s="77" t="str">
        <f aca="false">IF(B246="","",IF($G246="NON",0,IF(COUNT(H246:K246)=0,"",IFERROR(ROUND(SUM(H246:K246)/SUMPRODUCT(ISNUMBER(H246:K246)*$H$8:$K$8)*10,2),""))))</f>
        <v/>
      </c>
      <c r="N246" s="75"/>
      <c r="O246" s="76"/>
      <c r="P246" s="76"/>
      <c r="Q246" s="76"/>
      <c r="R246" s="76"/>
      <c r="S246" s="79" t="str">
        <f aca="false">IF(B246="","",IF($N246="NON",0,IF(COUNT(O246:R246)=0,"",SUM(O246:R246))))</f>
        <v/>
      </c>
      <c r="T246" s="77" t="str">
        <f aca="false">IF(B246="","",IF($N246="NON",0,IF(COUNT(O246:R246)=0,"",IFERROR(ROUND(SUM(O246:R246)/SUMPRODUCT(ISNUMBER(O246:R246)*$O$8:$R$8)*10,2),""))))</f>
        <v/>
      </c>
      <c r="U246" s="75"/>
      <c r="V246" s="76"/>
      <c r="W246" s="76"/>
      <c r="X246" s="76"/>
      <c r="Y246" s="76"/>
      <c r="Z246" s="79" t="str">
        <f aca="false">IF(B246="","",IF($U246="NON",0,IF(COUNT(V246:Y246)=0,"",SUM(V246:Y246))))</f>
        <v/>
      </c>
      <c r="AA246" s="77" t="str">
        <f aca="false">IF(B246="","",IF($U246="NON",0,IF(COUNT(V246:Y246)=0,"",IFERROR(ROUND(SUM(V246:Y246)/SUMPRODUCT(ISNUMBER(V246:Y246)*$V$8:$Y$8)*10,2),""))))</f>
        <v/>
      </c>
      <c r="AB246" s="75"/>
      <c r="AC246" s="76"/>
      <c r="AD246" s="76"/>
      <c r="AE246" s="76"/>
      <c r="AF246" s="76"/>
      <c r="AG246" s="79" t="str">
        <f aca="false">IF(B246="","",IF($AB246="NON",0,IF(COUNT(AC246:AF246)=0,"",SUM(AC246:AF246))))</f>
        <v/>
      </c>
      <c r="AH246" s="77" t="str">
        <f aca="false">IF(B246="","",IF($AB246="NON",0,IF(COUNT(AC246:AF246)=0,"",IFERROR(ROUND(SUM(AC246:AF246)/SUMPRODUCT(ISNUMBER(AC246:AF246)*$AC$8:$AF$8)*10,2),""))))</f>
        <v/>
      </c>
      <c r="AI246" s="51" t="str">
        <f aca="false">IFERROR(MATCH("CE1-237",'REGISTRE ELEVES'!$AI$10:$AI$250,0),"")</f>
        <v/>
      </c>
    </row>
    <row r="247" customFormat="false" ht="15" hidden="false" customHeight="false" outlineLevel="0" collapsed="false">
      <c r="A247" s="73" t="str">
        <f aca="false">IF(B247="","",238)</f>
        <v/>
      </c>
      <c r="B247" s="73" t="str">
        <f aca="false">IF($AI247="","",INDEX('REGISTRE ELEVES'!$B$10:$B$250,$AI247))</f>
        <v/>
      </c>
      <c r="C247" s="74" t="str">
        <f aca="false">IF($AI247="","",INDEX('REGISTRE ELEVES'!$D$10:$D$250,$AI247))</f>
        <v/>
      </c>
      <c r="D247" s="73" t="str">
        <f aca="false">IF($AI247="","",INDEX('REGISTRE ELEVES'!$E$10:$E$250,$AI247))</f>
        <v/>
      </c>
      <c r="E247" s="73" t="str">
        <f aca="false">IF($AI247="","",INDEX('REGISTRE ELEVES'!$F$10:$F$250,$AI247))</f>
        <v/>
      </c>
      <c r="F247" s="73" t="str">
        <f aca="false">IF($AI247="","",INDEX('REGISTRE ELEVES'!$AE$10:$AE$250,$AI247))</f>
        <v/>
      </c>
      <c r="G247" s="75"/>
      <c r="H247" s="76"/>
      <c r="I247" s="76"/>
      <c r="J247" s="76"/>
      <c r="K247" s="76"/>
      <c r="L247" s="79" t="str">
        <f aca="false">IF(B247="","",IF($G247="NON",0,IF(COUNT(H247:K247)=0,"",SUM(H247:K247))))</f>
        <v/>
      </c>
      <c r="M247" s="77" t="str">
        <f aca="false">IF(B247="","",IF($G247="NON",0,IF(COUNT(H247:K247)=0,"",IFERROR(ROUND(SUM(H247:K247)/SUMPRODUCT(ISNUMBER(H247:K247)*$H$8:$K$8)*10,2),""))))</f>
        <v/>
      </c>
      <c r="N247" s="75"/>
      <c r="O247" s="76"/>
      <c r="P247" s="76"/>
      <c r="Q247" s="76"/>
      <c r="R247" s="76"/>
      <c r="S247" s="79" t="str">
        <f aca="false">IF(B247="","",IF($N247="NON",0,IF(COUNT(O247:R247)=0,"",SUM(O247:R247))))</f>
        <v/>
      </c>
      <c r="T247" s="77" t="str">
        <f aca="false">IF(B247="","",IF($N247="NON",0,IF(COUNT(O247:R247)=0,"",IFERROR(ROUND(SUM(O247:R247)/SUMPRODUCT(ISNUMBER(O247:R247)*$O$8:$R$8)*10,2),""))))</f>
        <v/>
      </c>
      <c r="U247" s="75"/>
      <c r="V247" s="76"/>
      <c r="W247" s="76"/>
      <c r="X247" s="76"/>
      <c r="Y247" s="76"/>
      <c r="Z247" s="79" t="str">
        <f aca="false">IF(B247="","",IF($U247="NON",0,IF(COUNT(V247:Y247)=0,"",SUM(V247:Y247))))</f>
        <v/>
      </c>
      <c r="AA247" s="77" t="str">
        <f aca="false">IF(B247="","",IF($U247="NON",0,IF(COUNT(V247:Y247)=0,"",IFERROR(ROUND(SUM(V247:Y247)/SUMPRODUCT(ISNUMBER(V247:Y247)*$V$8:$Y$8)*10,2),""))))</f>
        <v/>
      </c>
      <c r="AB247" s="75"/>
      <c r="AC247" s="76"/>
      <c r="AD247" s="76"/>
      <c r="AE247" s="76"/>
      <c r="AF247" s="76"/>
      <c r="AG247" s="79" t="str">
        <f aca="false">IF(B247="","",IF($AB247="NON",0,IF(COUNT(AC247:AF247)=0,"",SUM(AC247:AF247))))</f>
        <v/>
      </c>
      <c r="AH247" s="77" t="str">
        <f aca="false">IF(B247="","",IF($AB247="NON",0,IF(COUNT(AC247:AF247)=0,"",IFERROR(ROUND(SUM(AC247:AF247)/SUMPRODUCT(ISNUMBER(AC247:AF247)*$AC$8:$AF$8)*10,2),""))))</f>
        <v/>
      </c>
      <c r="AI247" s="51" t="str">
        <f aca="false">IFERROR(MATCH("CE1-238",'REGISTRE ELEVES'!$AI$10:$AI$250,0),"")</f>
        <v/>
      </c>
    </row>
    <row r="248" customFormat="false" ht="15" hidden="false" customHeight="false" outlineLevel="0" collapsed="false">
      <c r="A248" s="73" t="str">
        <f aca="false">IF(B248="","",239)</f>
        <v/>
      </c>
      <c r="B248" s="73" t="str">
        <f aca="false">IF($AI248="","",INDEX('REGISTRE ELEVES'!$B$10:$B$250,$AI248))</f>
        <v/>
      </c>
      <c r="C248" s="74" t="str">
        <f aca="false">IF($AI248="","",INDEX('REGISTRE ELEVES'!$D$10:$D$250,$AI248))</f>
        <v/>
      </c>
      <c r="D248" s="73" t="str">
        <f aca="false">IF($AI248="","",INDEX('REGISTRE ELEVES'!$E$10:$E$250,$AI248))</f>
        <v/>
      </c>
      <c r="E248" s="73" t="str">
        <f aca="false">IF($AI248="","",INDEX('REGISTRE ELEVES'!$F$10:$F$250,$AI248))</f>
        <v/>
      </c>
      <c r="F248" s="73" t="str">
        <f aca="false">IF($AI248="","",INDEX('REGISTRE ELEVES'!$AE$10:$AE$250,$AI248))</f>
        <v/>
      </c>
      <c r="G248" s="75"/>
      <c r="H248" s="76"/>
      <c r="I248" s="76"/>
      <c r="J248" s="76"/>
      <c r="K248" s="76"/>
      <c r="L248" s="79" t="str">
        <f aca="false">IF(B248="","",IF($G248="NON",0,IF(COUNT(H248:K248)=0,"",SUM(H248:K248))))</f>
        <v/>
      </c>
      <c r="M248" s="77" t="str">
        <f aca="false">IF(B248="","",IF($G248="NON",0,IF(COUNT(H248:K248)=0,"",IFERROR(ROUND(SUM(H248:K248)/SUMPRODUCT(ISNUMBER(H248:K248)*$H$8:$K$8)*10,2),""))))</f>
        <v/>
      </c>
      <c r="N248" s="75"/>
      <c r="O248" s="76"/>
      <c r="P248" s="76"/>
      <c r="Q248" s="76"/>
      <c r="R248" s="76"/>
      <c r="S248" s="79" t="str">
        <f aca="false">IF(B248="","",IF($N248="NON",0,IF(COUNT(O248:R248)=0,"",SUM(O248:R248))))</f>
        <v/>
      </c>
      <c r="T248" s="77" t="str">
        <f aca="false">IF(B248="","",IF($N248="NON",0,IF(COUNT(O248:R248)=0,"",IFERROR(ROUND(SUM(O248:R248)/SUMPRODUCT(ISNUMBER(O248:R248)*$O$8:$R$8)*10,2),""))))</f>
        <v/>
      </c>
      <c r="U248" s="75"/>
      <c r="V248" s="76"/>
      <c r="W248" s="76"/>
      <c r="X248" s="76"/>
      <c r="Y248" s="76"/>
      <c r="Z248" s="79" t="str">
        <f aca="false">IF(B248="","",IF($U248="NON",0,IF(COUNT(V248:Y248)=0,"",SUM(V248:Y248))))</f>
        <v/>
      </c>
      <c r="AA248" s="77" t="str">
        <f aca="false">IF(B248="","",IF($U248="NON",0,IF(COUNT(V248:Y248)=0,"",IFERROR(ROUND(SUM(V248:Y248)/SUMPRODUCT(ISNUMBER(V248:Y248)*$V$8:$Y$8)*10,2),""))))</f>
        <v/>
      </c>
      <c r="AB248" s="75"/>
      <c r="AC248" s="76"/>
      <c r="AD248" s="76"/>
      <c r="AE248" s="76"/>
      <c r="AF248" s="76"/>
      <c r="AG248" s="79" t="str">
        <f aca="false">IF(B248="","",IF($AB248="NON",0,IF(COUNT(AC248:AF248)=0,"",SUM(AC248:AF248))))</f>
        <v/>
      </c>
      <c r="AH248" s="77" t="str">
        <f aca="false">IF(B248="","",IF($AB248="NON",0,IF(COUNT(AC248:AF248)=0,"",IFERROR(ROUND(SUM(AC248:AF248)/SUMPRODUCT(ISNUMBER(AC248:AF248)*$AC$8:$AF$8)*10,2),""))))</f>
        <v/>
      </c>
      <c r="AI248" s="51" t="str">
        <f aca="false">IFERROR(MATCH("CE1-239",'REGISTRE ELEVES'!$AI$10:$AI$250,0),"")</f>
        <v/>
      </c>
    </row>
    <row r="249" customFormat="false" ht="15" hidden="false" customHeight="false" outlineLevel="0" collapsed="false">
      <c r="A249" s="73" t="str">
        <f aca="false">IF(B249="","",240)</f>
        <v/>
      </c>
      <c r="B249" s="73" t="str">
        <f aca="false">IF($AI249="","",INDEX('REGISTRE ELEVES'!$B$10:$B$250,$AI249))</f>
        <v/>
      </c>
      <c r="C249" s="74" t="str">
        <f aca="false">IF($AI249="","",INDEX('REGISTRE ELEVES'!$D$10:$D$250,$AI249))</f>
        <v/>
      </c>
      <c r="D249" s="73" t="str">
        <f aca="false">IF($AI249="","",INDEX('REGISTRE ELEVES'!$E$10:$E$250,$AI249))</f>
        <v/>
      </c>
      <c r="E249" s="73" t="str">
        <f aca="false">IF($AI249="","",INDEX('REGISTRE ELEVES'!$F$10:$F$250,$AI249))</f>
        <v/>
      </c>
      <c r="F249" s="73" t="str">
        <f aca="false">IF($AI249="","",INDEX('REGISTRE ELEVES'!$AE$10:$AE$250,$AI249))</f>
        <v/>
      </c>
      <c r="G249" s="75"/>
      <c r="H249" s="76"/>
      <c r="I249" s="76"/>
      <c r="J249" s="76"/>
      <c r="K249" s="76"/>
      <c r="L249" s="79" t="str">
        <f aca="false">IF(B249="","",IF($G249="NON",0,IF(COUNT(H249:K249)=0,"",SUM(H249:K249))))</f>
        <v/>
      </c>
      <c r="M249" s="77" t="str">
        <f aca="false">IF(B249="","",IF($G249="NON",0,IF(COUNT(H249:K249)=0,"",IFERROR(ROUND(SUM(H249:K249)/SUMPRODUCT(ISNUMBER(H249:K249)*$H$8:$K$8)*10,2),""))))</f>
        <v/>
      </c>
      <c r="N249" s="75"/>
      <c r="O249" s="76"/>
      <c r="P249" s="76"/>
      <c r="Q249" s="76"/>
      <c r="R249" s="76"/>
      <c r="S249" s="79" t="str">
        <f aca="false">IF(B249="","",IF($N249="NON",0,IF(COUNT(O249:R249)=0,"",SUM(O249:R249))))</f>
        <v/>
      </c>
      <c r="T249" s="77" t="str">
        <f aca="false">IF(B249="","",IF($N249="NON",0,IF(COUNT(O249:R249)=0,"",IFERROR(ROUND(SUM(O249:R249)/SUMPRODUCT(ISNUMBER(O249:R249)*$O$8:$R$8)*10,2),""))))</f>
        <v/>
      </c>
      <c r="U249" s="75"/>
      <c r="V249" s="76"/>
      <c r="W249" s="76"/>
      <c r="X249" s="76"/>
      <c r="Y249" s="76"/>
      <c r="Z249" s="79" t="str">
        <f aca="false">IF(B249="","",IF($U249="NON",0,IF(COUNT(V249:Y249)=0,"",SUM(V249:Y249))))</f>
        <v/>
      </c>
      <c r="AA249" s="77" t="str">
        <f aca="false">IF(B249="","",IF($U249="NON",0,IF(COUNT(V249:Y249)=0,"",IFERROR(ROUND(SUM(V249:Y249)/SUMPRODUCT(ISNUMBER(V249:Y249)*$V$8:$Y$8)*10,2),""))))</f>
        <v/>
      </c>
      <c r="AB249" s="75"/>
      <c r="AC249" s="76"/>
      <c r="AD249" s="76"/>
      <c r="AE249" s="76"/>
      <c r="AF249" s="76"/>
      <c r="AG249" s="79" t="str">
        <f aca="false">IF(B249="","",IF($AB249="NON",0,IF(COUNT(AC249:AF249)=0,"",SUM(AC249:AF249))))</f>
        <v/>
      </c>
      <c r="AH249" s="77" t="str">
        <f aca="false">IF(B249="","",IF($AB249="NON",0,IF(COUNT(AC249:AF249)=0,"",IFERROR(ROUND(SUM(AC249:AF249)/SUMPRODUCT(ISNUMBER(AC249:AF249)*$AC$8:$AF$8)*10,2),""))))</f>
        <v/>
      </c>
      <c r="AI249" s="51" t="str">
        <f aca="false">IFERROR(MATCH("CE1-240",'REGISTRE ELEVES'!$AI$10:$AI$250,0),"")</f>
        <v/>
      </c>
    </row>
    <row r="250" customFormat="false" ht="15" hidden="false" customHeight="false" outlineLevel="0" collapsed="false">
      <c r="A250" s="73" t="str">
        <f aca="false">IF(B250="","",241)</f>
        <v/>
      </c>
      <c r="B250" s="73" t="str">
        <f aca="false">IF($AI250="","",INDEX('REGISTRE ELEVES'!$B$10:$B$250,$AI250))</f>
        <v/>
      </c>
      <c r="C250" s="74" t="str">
        <f aca="false">IF($AI250="","",INDEX('REGISTRE ELEVES'!$D$10:$D$250,$AI250))</f>
        <v/>
      </c>
      <c r="D250" s="73" t="str">
        <f aca="false">IF($AI250="","",INDEX('REGISTRE ELEVES'!$E$10:$E$250,$AI250))</f>
        <v/>
      </c>
      <c r="E250" s="73" t="str">
        <f aca="false">IF($AI250="","",INDEX('REGISTRE ELEVES'!$F$10:$F$250,$AI250))</f>
        <v/>
      </c>
      <c r="F250" s="73" t="str">
        <f aca="false">IF($AI250="","",INDEX('REGISTRE ELEVES'!$AE$10:$AE$250,$AI250))</f>
        <v/>
      </c>
      <c r="G250" s="75"/>
      <c r="H250" s="76"/>
      <c r="I250" s="76"/>
      <c r="J250" s="76"/>
      <c r="K250" s="76"/>
      <c r="L250" s="79" t="str">
        <f aca="false">IF(B250="","",IF($G250="NON",0,IF(COUNT(H250:K250)=0,"",SUM(H250:K250))))</f>
        <v/>
      </c>
      <c r="M250" s="77" t="str">
        <f aca="false">IF(B250="","",IF($G250="NON",0,IF(COUNT(H250:K250)=0,"",IFERROR(ROUND(SUM(H250:K250)/SUMPRODUCT(ISNUMBER(H250:K250)*$H$8:$K$8)*10,2),""))))</f>
        <v/>
      </c>
      <c r="N250" s="75"/>
      <c r="O250" s="76"/>
      <c r="P250" s="76"/>
      <c r="Q250" s="76"/>
      <c r="R250" s="76"/>
      <c r="S250" s="79" t="str">
        <f aca="false">IF(B250="","",IF($N250="NON",0,IF(COUNT(O250:R250)=0,"",SUM(O250:R250))))</f>
        <v/>
      </c>
      <c r="T250" s="77" t="str">
        <f aca="false">IF(B250="","",IF($N250="NON",0,IF(COUNT(O250:R250)=0,"",IFERROR(ROUND(SUM(O250:R250)/SUMPRODUCT(ISNUMBER(O250:R250)*$O$8:$R$8)*10,2),""))))</f>
        <v/>
      </c>
      <c r="U250" s="75"/>
      <c r="V250" s="76"/>
      <c r="W250" s="76"/>
      <c r="X250" s="76"/>
      <c r="Y250" s="76"/>
      <c r="Z250" s="79" t="str">
        <f aca="false">IF(B250="","",IF($U250="NON",0,IF(COUNT(V250:Y250)=0,"",SUM(V250:Y250))))</f>
        <v/>
      </c>
      <c r="AA250" s="77" t="str">
        <f aca="false">IF(B250="","",IF($U250="NON",0,IF(COUNT(V250:Y250)=0,"",IFERROR(ROUND(SUM(V250:Y250)/SUMPRODUCT(ISNUMBER(V250:Y250)*$V$8:$Y$8)*10,2),""))))</f>
        <v/>
      </c>
      <c r="AB250" s="75"/>
      <c r="AC250" s="76"/>
      <c r="AD250" s="76"/>
      <c r="AE250" s="76"/>
      <c r="AF250" s="76"/>
      <c r="AG250" s="79" t="str">
        <f aca="false">IF(B250="","",IF($AB250="NON",0,IF(COUNT(AC250:AF250)=0,"",SUM(AC250:AF250))))</f>
        <v/>
      </c>
      <c r="AH250" s="77" t="str">
        <f aca="false">IF(B250="","",IF($AB250="NON",0,IF(COUNT(AC250:AF250)=0,"",IFERROR(ROUND(SUM(AC250:AF250)/SUMPRODUCT(ISNUMBER(AC250:AF250)*$AC$8:$AF$8)*10,2),""))))</f>
        <v/>
      </c>
      <c r="AI250" s="51" t="str">
        <f aca="false">IFERROR(MATCH("CE1-241",'REGISTRE ELEVES'!$AI$10:$AI$250,0),"")</f>
        <v/>
      </c>
    </row>
  </sheetData>
  <autoFilter ref="A9:AH250"/>
  <mergeCells count="13">
    <mergeCell ref="A1:Q1"/>
    <mergeCell ref="R1:AH1"/>
    <mergeCell ref="A2:Q2"/>
    <mergeCell ref="R2:AH2"/>
    <mergeCell ref="A3:Q3"/>
    <mergeCell ref="R3:AH3"/>
    <mergeCell ref="A4:Q4"/>
    <mergeCell ref="A6:AH6"/>
    <mergeCell ref="G7:M7"/>
    <mergeCell ref="N7:T7"/>
    <mergeCell ref="U7:AA7"/>
    <mergeCell ref="AB7:AH7"/>
    <mergeCell ref="C8:F8"/>
  </mergeCells>
  <conditionalFormatting sqref="H10:M250">
    <cfRule type="expression" priority="2" aboveAverage="0" equalAverage="0" bottom="0" percent="0" rank="0" text="" dxfId="25">
      <formula>$G10="NON"</formula>
    </cfRule>
  </conditionalFormatting>
  <conditionalFormatting sqref="G10:G250">
    <cfRule type="cellIs" priority="3" operator="equal" aboveAverage="0" equalAverage="0" bottom="0" percent="0" rank="0" text="" dxfId="26">
      <formula>"NON"</formula>
    </cfRule>
  </conditionalFormatting>
  <conditionalFormatting sqref="O10:T250">
    <cfRule type="expression" priority="4" aboveAverage="0" equalAverage="0" bottom="0" percent="0" rank="0" text="" dxfId="25">
      <formula>$N10="NON"</formula>
    </cfRule>
  </conditionalFormatting>
  <conditionalFormatting sqref="N10:N250">
    <cfRule type="cellIs" priority="5" operator="equal" aboveAverage="0" equalAverage="0" bottom="0" percent="0" rank="0" text="" dxfId="26">
      <formula>"NON"</formula>
    </cfRule>
  </conditionalFormatting>
  <conditionalFormatting sqref="V10:AA250">
    <cfRule type="expression" priority="6" aboveAverage="0" equalAverage="0" bottom="0" percent="0" rank="0" text="" dxfId="25">
      <formula>$U10="NON"</formula>
    </cfRule>
  </conditionalFormatting>
  <conditionalFormatting sqref="U10:U250">
    <cfRule type="cellIs" priority="7" operator="equal" aboveAverage="0" equalAverage="0" bottom="0" percent="0" rank="0" text="" dxfId="26">
      <formula>"NON"</formula>
    </cfRule>
  </conditionalFormatting>
  <conditionalFormatting sqref="AC10:AH250">
    <cfRule type="expression" priority="8" aboveAverage="0" equalAverage="0" bottom="0" percent="0" rank="0" text="" dxfId="25">
      <formula>$AB10="NON"</formula>
    </cfRule>
  </conditionalFormatting>
  <conditionalFormatting sqref="AB10:AB250">
    <cfRule type="cellIs" priority="9" operator="equal" aboveAverage="0" equalAverage="0" bottom="0" percent="0" rank="0" text="" dxfId="26">
      <formula>"NON"</formula>
    </cfRule>
  </conditionalFormatting>
  <conditionalFormatting sqref="M10:M250">
    <cfRule type="expression" priority="10" aboveAverage="0" equalAverage="0" bottom="0" percent="0" rank="0" text="" dxfId="26">
      <formula>$G10="NON"</formula>
    </cfRule>
    <cfRule type="expression" priority="11" aboveAverage="0" equalAverage="0" bottom="0" percent="0" rank="0" text="" dxfId="27">
      <formula>AND(ISNUMBER(M10),M10&lt;10/2)</formula>
    </cfRule>
  </conditionalFormatting>
  <conditionalFormatting sqref="T10:T250">
    <cfRule type="expression" priority="12" aboveAverage="0" equalAverage="0" bottom="0" percent="0" rank="0" text="" dxfId="26">
      <formula>$N10="NON"</formula>
    </cfRule>
    <cfRule type="expression" priority="13" aboveAverage="0" equalAverage="0" bottom="0" percent="0" rank="0" text="" dxfId="27">
      <formula>AND(ISNUMBER(T10),T10&lt;10/2)</formula>
    </cfRule>
  </conditionalFormatting>
  <conditionalFormatting sqref="AA10:AA250">
    <cfRule type="expression" priority="14" aboveAverage="0" equalAverage="0" bottom="0" percent="0" rank="0" text="" dxfId="26">
      <formula>$U10="NON"</formula>
    </cfRule>
    <cfRule type="expression" priority="15" aboveAverage="0" equalAverage="0" bottom="0" percent="0" rank="0" text="" dxfId="27">
      <formula>AND(ISNUMBER(AA10),AA10&lt;10/2)</formula>
    </cfRule>
  </conditionalFormatting>
  <conditionalFormatting sqref="AH10:AH250">
    <cfRule type="expression" priority="16" aboveAverage="0" equalAverage="0" bottom="0" percent="0" rank="0" text="" dxfId="26">
      <formula>$AB10="NON"</formula>
    </cfRule>
    <cfRule type="expression" priority="17" aboveAverage="0" equalAverage="0" bottom="0" percent="0" rank="0" text="" dxfId="27">
      <formula>AND(ISNUMBER(AH10),AH10&lt;10/2)</formula>
    </cfRule>
  </conditionalFormatting>
  <conditionalFormatting sqref="A10:AH250">
    <cfRule type="expression" priority="18" aboveAverage="0" equalAverage="0" bottom="0" percent="0" rank="0" text="" dxfId="28">
      <formula>$F10="ABANDON"</formula>
    </cfRule>
  </conditionalFormatting>
  <conditionalFormatting sqref="H10:K250">
    <cfRule type="expression" priority="19" aboveAverage="0" equalAverage="0" bottom="0" percent="0" rank="0" text="" dxfId="29">
      <formula>AND(ISNUMBER(H10),H10&gt;H$8)</formula>
    </cfRule>
    <cfRule type="expression" priority="20" aboveAverage="0" equalAverage="0" bottom="0" percent="0" rank="0" text="" dxfId="30">
      <formula>AND(ISNUMBER(H10),H10&lt;H$8/2)</formula>
    </cfRule>
  </conditionalFormatting>
  <conditionalFormatting sqref="O10:R250">
    <cfRule type="expression" priority="21" aboveAverage="0" equalAverage="0" bottom="0" percent="0" rank="0" text="" dxfId="29">
      <formula>AND(ISNUMBER(O10),O10&gt;O$8)</formula>
    </cfRule>
    <cfRule type="expression" priority="22" aboveAverage="0" equalAverage="0" bottom="0" percent="0" rank="0" text="" dxfId="30">
      <formula>AND(ISNUMBER(O10),O10&lt;O$8/2)</formula>
    </cfRule>
  </conditionalFormatting>
  <conditionalFormatting sqref="V10:Y250">
    <cfRule type="expression" priority="23" aboveAverage="0" equalAverage="0" bottom="0" percent="0" rank="0" text="" dxfId="29">
      <formula>AND(ISNUMBER(V10),V10&gt;V$8)</formula>
    </cfRule>
    <cfRule type="expression" priority="24" aboveAverage="0" equalAverage="0" bottom="0" percent="0" rank="0" text="" dxfId="30">
      <formula>AND(ISNUMBER(V10),V10&lt;V$8/2)</formula>
    </cfRule>
  </conditionalFormatting>
  <conditionalFormatting sqref="AC10:AF250">
    <cfRule type="expression" priority="25" aboveAverage="0" equalAverage="0" bottom="0" percent="0" rank="0" text="" dxfId="29">
      <formula>AND(ISNUMBER(AC10),AC10&gt;AC$8)</formula>
    </cfRule>
    <cfRule type="expression" priority="26" aboveAverage="0" equalAverage="0" bottom="0" percent="0" rank="0" text="" dxfId="30">
      <formula>AND(ISNUMBER(AC10),AC10&lt;AC$8/2)</formula>
    </cfRule>
  </conditionalFormatting>
  <dataValidations count="17">
    <dataValidation allowBlank="true" error="OUI ou NON (vide = présent)" errorStyle="stop" errorTitle="Présence" operator="between" showDropDown="false" showErrorMessage="true" showInputMessage="false" sqref="G10:G250 N10:N250 U10:U250 AB10:AB250" type="list">
      <formula1>"OUI,NON"</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H10:H250" type="custom">
      <formula1>AND($G10&lt;&gt;"NON",ISNUMBER(H10),H10&gt;=0,H10&lt;=H$8)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I10:I250" type="custom">
      <formula1>AND($G10&lt;&gt;"NON",ISNUMBER(I10),I10&gt;=0,I10&lt;=I$8)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J10:J250" type="custom">
      <formula1>AND($G10&lt;&gt;"NON",ISNUMBER(J10),J10&gt;=0,J10&lt;=J$8)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K10:K250" type="custom">
      <formula1>AND($G10&lt;&gt;"NON",ISNUMBER(K10),K10&gt;=0,K10&lt;=K$8)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O10:O250" type="custom">
      <formula1>AND($N10&lt;&gt;"NON",ISNUMBER(O10),O10&gt;=0,O10&lt;=O$8)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P10:P250" type="custom">
      <formula1>AND($N10&lt;&gt;"NON",ISNUMBER(P10),P10&gt;=0,P10&lt;=P$8)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Q10:Q250" type="custom">
      <formula1>AND($N10&lt;&gt;"NON",ISNUMBER(Q10),Q10&gt;=0,Q10&lt;=Q$8)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R10:R250" type="custom">
      <formula1>AND($N10&lt;&gt;"NON",ISNUMBER(R10),R10&gt;=0,R10&lt;=R$8)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V10:V250" type="custom">
      <formula1>AND($U10&lt;&gt;"NON",ISNUMBER(V10),V10&gt;=0,V10&lt;=V$8)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W10:W250" type="custom">
      <formula1>AND($U10&lt;&gt;"NON",ISNUMBER(W10),W10&gt;=0,W10&lt;=W$8)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X10:X250" type="custom">
      <formula1>AND($U10&lt;&gt;"NON",ISNUMBER(X10),X10&gt;=0,X10&lt;=X$8)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Y10:Y250" type="custom">
      <formula1>AND($U10&lt;&gt;"NON",ISNUMBER(Y10),Y10&gt;=0,Y10&lt;=Y$8)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AC10:AC250" type="custom">
      <formula1>AND($AB10&lt;&gt;"NON",ISNUMBER(AC10),AC10&gt;=0,AC10&lt;=AC$8)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AD10:AD250" type="custom">
      <formula1>AND($AB10&lt;&gt;"NON",ISNUMBER(AD10),AD10&gt;=0,AD10&lt;=AD$8)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AE10:AE250" type="custom">
      <formula1>AND($AB10&lt;&gt;"NON",ISNUMBER(AE10),AE10&gt;=0,AE10&lt;=AE$8)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AF10:AF250" type="custom">
      <formula1>AND($AB10&lt;&gt;"NON",ISNUMBER(AF10),AF10&gt;=0,AF10&lt;=AF$8)</formula1>
      <formula2>0</formula2>
    </dataValidation>
  </dataValidations>
  <printOptions headings="false" gridLines="false" gridLinesSet="true" horizontalCentered="true" verticalCentered="false"/>
  <pageMargins left="0.309722222222222" right="0.309722222222222" top="0.470138888888889" bottom="0.470138888888889" header="0.511811023622047" footer="0.511811023622047"/>
  <pageSetup paperSize="9" scale="70" fitToWidth="1" fitToHeight="1" pageOrder="downThenOver" orientation="landscape" blackAndWhite="false" draft="false" cellComments="none" horizontalDpi="300" verticalDpi="300" copies="1"/>
  <headerFooter differentFirst="false" differentOddEven="false">
    <oddHeader/>
    <oddFooter/>
  </headerFooter>
  <colBreaks count="3" manualBreakCount="3">
    <brk id="13" man="true" max="65535" min="0"/>
    <brk id="20" man="true" max="65535" min="0"/>
    <brk id="27" man="true" max="65535" min="0"/>
  </col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Feuil6" filterMode="false">
    <tabColor rgb="FFF2A900"/>
    <pageSetUpPr fitToPage="false"/>
  </sheetPr>
  <dimension ref="A1:AI25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6" ySplit="9" topLeftCell="G10" activePane="bottomRight" state="frozen"/>
      <selection pane="topLeft" activeCell="A1" activeCellId="0" sqref="A1"/>
      <selection pane="topRight" activeCell="G1" activeCellId="0" sqref="G1"/>
      <selection pane="bottomLeft" activeCell="A10" activeCellId="0" sqref="A10"/>
      <selection pane="bottomRight" activeCell="A1" activeCellId="0" sqref="A1"/>
    </sheetView>
  </sheetViews>
  <sheetFormatPr defaultColWidth="8.6796875" defaultRowHeight="15" zeroHeight="false" outlineLevelRow="0" outlineLevelCol="0"/>
  <cols>
    <col collapsed="false" customWidth="true" hidden="false" outlineLevel="0" max="1" min="1" style="0" width="5"/>
    <col collapsed="false" customWidth="true" hidden="false" outlineLevel="0" max="2" min="2" style="0" width="13"/>
    <col collapsed="false" customWidth="true" hidden="false" outlineLevel="0" max="3" min="3" style="0" width="30"/>
    <col collapsed="false" customWidth="true" hidden="false" outlineLevel="0" max="4" min="4" style="0" width="6"/>
    <col collapsed="false" customWidth="true" hidden="false" outlineLevel="0" max="5" min="5" style="0" width="7"/>
    <col collapsed="false" customWidth="true" hidden="false" outlineLevel="0" max="6" min="6" style="0" width="10"/>
    <col collapsed="false" customWidth="true" hidden="false" outlineLevel="0" max="7" min="7" style="0" width="8"/>
    <col collapsed="false" customWidth="true" hidden="false" outlineLevel="0" max="12" min="8" style="0" width="9"/>
    <col collapsed="false" customWidth="true" hidden="false" outlineLevel="0" max="13" min="13" style="0" width="9.51"/>
    <col collapsed="false" customWidth="true" hidden="false" outlineLevel="0" max="14" min="14" style="0" width="8"/>
    <col collapsed="false" customWidth="true" hidden="false" outlineLevel="0" max="19" min="15" style="0" width="9"/>
    <col collapsed="false" customWidth="true" hidden="false" outlineLevel="0" max="20" min="20" style="0" width="9.51"/>
    <col collapsed="false" customWidth="true" hidden="false" outlineLevel="0" max="21" min="21" style="0" width="8"/>
    <col collapsed="false" customWidth="true" hidden="false" outlineLevel="0" max="26" min="22" style="0" width="9"/>
    <col collapsed="false" customWidth="true" hidden="false" outlineLevel="0" max="27" min="27" style="0" width="9.51"/>
    <col collapsed="false" customWidth="true" hidden="false" outlineLevel="0" max="28" min="28" style="0" width="8"/>
    <col collapsed="false" customWidth="true" hidden="false" outlineLevel="0" max="33" min="29" style="0" width="9"/>
    <col collapsed="false" customWidth="true" hidden="false" outlineLevel="0" max="34" min="34" style="0" width="9.51"/>
    <col collapsed="false" customWidth="true" hidden="true" outlineLevel="0" max="35" min="35" style="0" width="13"/>
  </cols>
  <sheetData>
    <row r="1" customFormat="false" ht="15" hidden="false" customHeight="true" outlineLevel="0" collapsed="false">
      <c r="A1" s="47" t="str">
        <f aca="false">PARAMETRES!$C$4</f>
        <v>MINISTERE DE L'EDUCATION NATIONALE ET DE L'ALPHABETISATION</v>
      </c>
      <c r="B1" s="47"/>
      <c r="C1" s="47"/>
      <c r="D1" s="47"/>
      <c r="E1" s="47"/>
      <c r="F1" s="47"/>
      <c r="G1" s="47"/>
      <c r="H1" s="47"/>
      <c r="I1" s="47"/>
      <c r="J1" s="47"/>
      <c r="K1" s="47"/>
      <c r="L1" s="47"/>
      <c r="M1" s="47"/>
      <c r="N1" s="47"/>
      <c r="O1" s="47"/>
      <c r="P1" s="47"/>
      <c r="Q1" s="47"/>
      <c r="R1" s="47" t="s">
        <v>115</v>
      </c>
      <c r="S1" s="47"/>
      <c r="T1" s="47"/>
      <c r="U1" s="47"/>
      <c r="V1" s="47"/>
      <c r="W1" s="47"/>
      <c r="X1" s="47"/>
      <c r="Y1" s="47"/>
      <c r="Z1" s="47"/>
      <c r="AA1" s="47"/>
      <c r="AB1" s="47"/>
      <c r="AC1" s="47"/>
      <c r="AD1" s="47"/>
      <c r="AE1" s="47"/>
      <c r="AF1" s="47"/>
      <c r="AG1" s="47"/>
      <c r="AH1" s="47"/>
    </row>
    <row r="2" customFormat="false" ht="15" hidden="false" customHeight="true" outlineLevel="0" collapsed="false">
      <c r="A2" s="48" t="str">
        <f aca="false">PARAMETRES!$C$5</f>
        <v>DIRECTION REGIONALE DE L'EDUCATION NATIONALE DE GAGNOA</v>
      </c>
      <c r="B2" s="48"/>
      <c r="C2" s="48"/>
      <c r="D2" s="48"/>
      <c r="E2" s="48"/>
      <c r="F2" s="48"/>
      <c r="G2" s="48"/>
      <c r="H2" s="48"/>
      <c r="I2" s="48"/>
      <c r="J2" s="48"/>
      <c r="K2" s="48"/>
      <c r="L2" s="48"/>
      <c r="M2" s="48"/>
      <c r="N2" s="48"/>
      <c r="O2" s="48"/>
      <c r="P2" s="48"/>
      <c r="Q2" s="48"/>
      <c r="R2" s="48" t="s">
        <v>116</v>
      </c>
      <c r="S2" s="48"/>
      <c r="T2" s="48"/>
      <c r="U2" s="48"/>
      <c r="V2" s="48"/>
      <c r="W2" s="48"/>
      <c r="X2" s="48"/>
      <c r="Y2" s="48"/>
      <c r="Z2" s="48"/>
      <c r="AA2" s="48"/>
      <c r="AB2" s="48"/>
      <c r="AC2" s="48"/>
      <c r="AD2" s="48"/>
      <c r="AE2" s="48"/>
      <c r="AF2" s="48"/>
      <c r="AG2" s="48"/>
      <c r="AH2" s="48"/>
    </row>
    <row r="3" customFormat="false" ht="15" hidden="false" customHeight="false" outlineLevel="0" collapsed="false">
      <c r="A3" s="47" t="str">
        <f aca="false">PARAMETRES!$C$6</f>
        <v>IEPP GAGNOA 2</v>
      </c>
      <c r="B3" s="47"/>
      <c r="C3" s="47"/>
      <c r="D3" s="47"/>
      <c r="E3" s="47"/>
      <c r="F3" s="47"/>
      <c r="G3" s="47"/>
      <c r="H3" s="47"/>
      <c r="I3" s="47"/>
      <c r="J3" s="47"/>
      <c r="K3" s="47"/>
      <c r="L3" s="47"/>
      <c r="M3" s="47"/>
      <c r="N3" s="47"/>
      <c r="O3" s="47"/>
      <c r="P3" s="47"/>
      <c r="Q3" s="47"/>
      <c r="R3" s="47" t="str">
        <f aca="false">"ANNEE SCOLAIRE : "&amp;PARAMETRES!$C$9</f>
        <v>ANNEE SCOLAIRE : 2026-2027</v>
      </c>
      <c r="S3" s="47"/>
      <c r="T3" s="47"/>
      <c r="U3" s="47"/>
      <c r="V3" s="47"/>
      <c r="W3" s="47"/>
      <c r="X3" s="47"/>
      <c r="Y3" s="47"/>
      <c r="Z3" s="47"/>
      <c r="AA3" s="47"/>
      <c r="AB3" s="47"/>
      <c r="AC3" s="47"/>
      <c r="AD3" s="47"/>
      <c r="AE3" s="47"/>
      <c r="AF3" s="47"/>
      <c r="AG3" s="47"/>
      <c r="AH3" s="47"/>
    </row>
    <row r="4" customFormat="false" ht="15" hidden="false" customHeight="false" outlineLevel="0" collapsed="false">
      <c r="A4" s="48" t="str">
        <f aca="false">PARAMETRES!$C$7&amp;"  -  Code : "&amp;PARAMETRES!$C$8</f>
        <v>EPP LIGUIYO  -  Code : EPP-GAG-0123</v>
      </c>
      <c r="B4" s="48"/>
      <c r="C4" s="48"/>
      <c r="D4" s="48"/>
      <c r="E4" s="48"/>
      <c r="F4" s="48"/>
      <c r="G4" s="48"/>
      <c r="H4" s="48"/>
      <c r="I4" s="48"/>
      <c r="J4" s="48"/>
      <c r="K4" s="48"/>
      <c r="L4" s="48"/>
      <c r="M4" s="48"/>
      <c r="N4" s="48"/>
      <c r="O4" s="48"/>
      <c r="P4" s="48"/>
      <c r="Q4" s="48"/>
      <c r="R4" s="49"/>
    </row>
    <row r="6" customFormat="false" ht="27.75" hidden="false" customHeight="true" outlineLevel="0" collapsed="false">
      <c r="A6" s="30" t="s">
        <v>585</v>
      </c>
      <c r="B6" s="30"/>
      <c r="C6" s="30"/>
      <c r="D6" s="30"/>
      <c r="E6" s="30"/>
      <c r="F6" s="30"/>
      <c r="G6" s="30"/>
      <c r="H6" s="30"/>
      <c r="I6" s="30"/>
      <c r="J6" s="30"/>
      <c r="K6" s="30"/>
      <c r="L6" s="30"/>
      <c r="M6" s="30"/>
      <c r="N6" s="30"/>
      <c r="O6" s="30"/>
      <c r="P6" s="30"/>
      <c r="Q6" s="30"/>
      <c r="R6" s="30"/>
      <c r="S6" s="30"/>
      <c r="T6" s="30"/>
      <c r="U6" s="30"/>
      <c r="V6" s="30"/>
      <c r="W6" s="30"/>
      <c r="X6" s="30"/>
      <c r="Y6" s="30"/>
      <c r="Z6" s="30"/>
      <c r="AA6" s="30"/>
      <c r="AB6" s="30"/>
      <c r="AC6" s="30"/>
      <c r="AD6" s="30"/>
      <c r="AE6" s="30"/>
      <c r="AF6" s="30"/>
      <c r="AG6" s="30"/>
      <c r="AH6" s="30"/>
    </row>
    <row r="7" customFormat="false" ht="15" hidden="false" customHeight="true" outlineLevel="0" collapsed="false">
      <c r="G7" s="41" t="s">
        <v>559</v>
      </c>
      <c r="H7" s="41"/>
      <c r="I7" s="41"/>
      <c r="J7" s="41"/>
      <c r="K7" s="41"/>
      <c r="L7" s="41"/>
      <c r="M7" s="41"/>
      <c r="N7" s="60" t="s">
        <v>560</v>
      </c>
      <c r="O7" s="60"/>
      <c r="P7" s="60"/>
      <c r="Q7" s="60"/>
      <c r="R7" s="60"/>
      <c r="S7" s="60"/>
      <c r="T7" s="60"/>
      <c r="U7" s="61" t="s">
        <v>561</v>
      </c>
      <c r="V7" s="61"/>
      <c r="W7" s="61"/>
      <c r="X7" s="61"/>
      <c r="Y7" s="61"/>
      <c r="Z7" s="61"/>
      <c r="AA7" s="61"/>
      <c r="AB7" s="62" t="s">
        <v>562</v>
      </c>
      <c r="AC7" s="62"/>
      <c r="AD7" s="62"/>
      <c r="AE7" s="62"/>
      <c r="AF7" s="62"/>
      <c r="AG7" s="62"/>
      <c r="AH7" s="62"/>
    </row>
    <row r="8" customFormat="false" ht="15" hidden="false" customHeight="false" outlineLevel="0" collapsed="false">
      <c r="B8" s="63" t="s">
        <v>578</v>
      </c>
      <c r="C8" s="64" t="s">
        <v>579</v>
      </c>
      <c r="D8" s="64"/>
      <c r="E8" s="64"/>
      <c r="F8" s="64"/>
      <c r="G8" s="65" t="s">
        <v>565</v>
      </c>
      <c r="H8" s="66" t="n">
        <v>50</v>
      </c>
      <c r="I8" s="66" t="n">
        <v>50</v>
      </c>
      <c r="J8" s="66" t="n">
        <v>50</v>
      </c>
      <c r="K8" s="66" t="n">
        <v>20</v>
      </c>
      <c r="N8" s="65" t="s">
        <v>565</v>
      </c>
      <c r="O8" s="66" t="n">
        <v>50</v>
      </c>
      <c r="P8" s="66" t="n">
        <v>50</v>
      </c>
      <c r="Q8" s="66" t="n">
        <v>50</v>
      </c>
      <c r="R8" s="66" t="n">
        <v>20</v>
      </c>
      <c r="U8" s="65" t="s">
        <v>565</v>
      </c>
      <c r="V8" s="66" t="n">
        <v>50</v>
      </c>
      <c r="W8" s="66" t="n">
        <v>50</v>
      </c>
      <c r="X8" s="66" t="n">
        <v>50</v>
      </c>
      <c r="Y8" s="66" t="n">
        <v>20</v>
      </c>
      <c r="AB8" s="65" t="s">
        <v>565</v>
      </c>
      <c r="AC8" s="66" t="n">
        <v>50</v>
      </c>
      <c r="AD8" s="66" t="n">
        <v>50</v>
      </c>
      <c r="AE8" s="66" t="n">
        <v>50</v>
      </c>
      <c r="AF8" s="66" t="n">
        <v>20</v>
      </c>
    </row>
    <row r="9" customFormat="false" ht="60" hidden="false" customHeight="true" outlineLevel="0" collapsed="false">
      <c r="A9" s="50" t="s">
        <v>120</v>
      </c>
      <c r="B9" s="50" t="s">
        <v>121</v>
      </c>
      <c r="C9" s="50" t="s">
        <v>123</v>
      </c>
      <c r="D9" s="50" t="s">
        <v>32</v>
      </c>
      <c r="E9" s="50" t="s">
        <v>12</v>
      </c>
      <c r="F9" s="50" t="s">
        <v>36</v>
      </c>
      <c r="G9" s="67" t="s">
        <v>566</v>
      </c>
      <c r="H9" s="68" t="s">
        <v>580</v>
      </c>
      <c r="I9" s="68" t="s">
        <v>586</v>
      </c>
      <c r="J9" s="68" t="s">
        <v>587</v>
      </c>
      <c r="K9" s="68" t="s">
        <v>588</v>
      </c>
      <c r="L9" s="78" t="str">
        <f aca="false">"TOTAL
(/"&amp;SUM(H8:K8)&amp;")"</f>
        <v>TOTAL
(/170)</v>
      </c>
      <c r="M9" s="69" t="s">
        <v>584</v>
      </c>
      <c r="N9" s="67" t="s">
        <v>566</v>
      </c>
      <c r="O9" s="70" t="s">
        <v>580</v>
      </c>
      <c r="P9" s="70" t="s">
        <v>586</v>
      </c>
      <c r="Q9" s="70" t="s">
        <v>587</v>
      </c>
      <c r="R9" s="70" t="s">
        <v>588</v>
      </c>
      <c r="S9" s="78" t="str">
        <f aca="false">"TOTAL
(/"&amp;SUM(O8:R8)&amp;")"</f>
        <v>TOTAL
(/170)</v>
      </c>
      <c r="T9" s="69" t="s">
        <v>584</v>
      </c>
      <c r="U9" s="67" t="s">
        <v>566</v>
      </c>
      <c r="V9" s="71" t="s">
        <v>580</v>
      </c>
      <c r="W9" s="71" t="s">
        <v>586</v>
      </c>
      <c r="X9" s="71" t="s">
        <v>587</v>
      </c>
      <c r="Y9" s="71" t="s">
        <v>588</v>
      </c>
      <c r="Z9" s="78" t="str">
        <f aca="false">"TOTAL
(/"&amp;SUM(V8:Y8)&amp;")"</f>
        <v>TOTAL
(/170)</v>
      </c>
      <c r="AA9" s="69" t="s">
        <v>584</v>
      </c>
      <c r="AB9" s="67" t="s">
        <v>566</v>
      </c>
      <c r="AC9" s="72" t="s">
        <v>580</v>
      </c>
      <c r="AD9" s="72" t="s">
        <v>586</v>
      </c>
      <c r="AE9" s="72" t="s">
        <v>587</v>
      </c>
      <c r="AF9" s="72" t="s">
        <v>588</v>
      </c>
      <c r="AG9" s="78" t="str">
        <f aca="false">"TOTAL
(/"&amp;SUM(AC8:AF8)&amp;")"</f>
        <v>TOTAL
(/170)</v>
      </c>
      <c r="AH9" s="69" t="s">
        <v>584</v>
      </c>
      <c r="AI9" s="51" t="s">
        <v>576</v>
      </c>
    </row>
    <row r="10" customFormat="false" ht="15" hidden="false" customHeight="false" outlineLevel="0" collapsed="false">
      <c r="A10" s="73" t="n">
        <f aca="false">IF(B10="","",1)</f>
        <v>1</v>
      </c>
      <c r="B10" s="73" t="str">
        <f aca="false">IF($AI10="","",INDEX('REGISTRE ELEVES'!$B$10:$B$250,$AI10))</f>
        <v>CE2-001-26</v>
      </c>
      <c r="C10" s="74" t="str">
        <f aca="false">IF($AI10="","",INDEX('REGISTRE ELEVES'!$D$10:$D$250,$AI10))</f>
        <v>GBOGOU Emmanuel Konan</v>
      </c>
      <c r="D10" s="73" t="str">
        <f aca="false">IF($AI10="","",INDEX('REGISTRE ELEVES'!$E$10:$E$250,$AI10))</f>
        <v>M</v>
      </c>
      <c r="E10" s="73" t="str">
        <f aca="false">IF($AI10="","",INDEX('REGISTRE ELEVES'!$F$10:$F$250,$AI10))</f>
        <v>CE2</v>
      </c>
      <c r="F10" s="73" t="str">
        <f aca="false">IF($AI10="","",INDEX('REGISTRE ELEVES'!$AE$10:$AE$250,$AI10))</f>
        <v>PRESENT</v>
      </c>
      <c r="G10" s="75" t="s">
        <v>39</v>
      </c>
      <c r="H10" s="76" t="n">
        <v>15.5</v>
      </c>
      <c r="I10" s="76" t="n">
        <v>13</v>
      </c>
      <c r="J10" s="76" t="n">
        <v>28</v>
      </c>
      <c r="K10" s="76" t="n">
        <v>11.5</v>
      </c>
      <c r="L10" s="79" t="n">
        <f aca="false">IF(B10="","",IF($G10="NON",0,IF(COUNT(H10:K10)=0,"",SUM(H10:K10))))</f>
        <v>68</v>
      </c>
      <c r="M10" s="77" t="n">
        <f aca="false">IF(B10="","",IF($G10="NON",0,IF(COUNT(H10:K10)=0,"",IFERROR(ROUND(SUM(H10:K10)/SUMPRODUCT(ISNUMBER(H10:K10)*$H$8:$K$8)*10,2),""))))</f>
        <v>4</v>
      </c>
      <c r="N10" s="75" t="s">
        <v>39</v>
      </c>
      <c r="O10" s="76" t="n">
        <v>16.5</v>
      </c>
      <c r="P10" s="76" t="n">
        <v>25.5</v>
      </c>
      <c r="Q10" s="76" t="n">
        <v>29.5</v>
      </c>
      <c r="R10" s="76" t="n">
        <v>12.5</v>
      </c>
      <c r="S10" s="79" t="n">
        <f aca="false">IF(B10="","",IF($N10="NON",0,IF(COUNT(O10:R10)=0,"",SUM(O10:R10))))</f>
        <v>84</v>
      </c>
      <c r="T10" s="77" t="n">
        <f aca="false">IF(B10="","",IF($N10="NON",0,IF(COUNT(O10:R10)=0,"",IFERROR(ROUND(SUM(O10:R10)/SUMPRODUCT(ISNUMBER(O10:R10)*$O$8:$R$8)*10,2),""))))</f>
        <v>4.94</v>
      </c>
      <c r="U10" s="75" t="s">
        <v>39</v>
      </c>
      <c r="V10" s="76" t="n">
        <v>28</v>
      </c>
      <c r="W10" s="76" t="n">
        <v>29</v>
      </c>
      <c r="X10" s="76" t="n">
        <v>27.5</v>
      </c>
      <c r="Y10" s="76" t="n">
        <v>7.5</v>
      </c>
      <c r="Z10" s="79" t="n">
        <f aca="false">IF(B10="","",IF($U10="NON",0,IF(COUNT(V10:Y10)=0,"",SUM(V10:Y10))))</f>
        <v>92</v>
      </c>
      <c r="AA10" s="77" t="n">
        <f aca="false">IF(B10="","",IF($U10="NON",0,IF(COUNT(V10:Y10)=0,"",IFERROR(ROUND(SUM(V10:Y10)/SUMPRODUCT(ISNUMBER(V10:Y10)*$V$8:$Y$8)*10,2),""))))</f>
        <v>5.41</v>
      </c>
      <c r="AB10" s="75" t="s">
        <v>39</v>
      </c>
      <c r="AC10" s="76" t="n">
        <v>29</v>
      </c>
      <c r="AD10" s="76" t="n">
        <v>19</v>
      </c>
      <c r="AE10" s="76" t="n">
        <v>20</v>
      </c>
      <c r="AF10" s="76" t="n">
        <v>9.5</v>
      </c>
      <c r="AG10" s="79" t="n">
        <f aca="false">IF(B10="","",IF($AB10="NON",0,IF(COUNT(AC10:AF10)=0,"",SUM(AC10:AF10))))</f>
        <v>77.5</v>
      </c>
      <c r="AH10" s="77" t="n">
        <f aca="false">IF(B10="","",IF($AB10="NON",0,IF(COUNT(AC10:AF10)=0,"",IFERROR(ROUND(SUM(AC10:AF10)/SUMPRODUCT(ISNUMBER(AC10:AF10)*$AC$8:$AF$8)*10,2),""))))</f>
        <v>4.56</v>
      </c>
      <c r="AI10" s="51" t="n">
        <f aca="false">IFERROR(MATCH("CEM-1",'REGISTRE ELEVES'!$AI$10:$AI$250,0),"")</f>
        <v>33</v>
      </c>
    </row>
    <row r="11" customFormat="false" ht="15" hidden="false" customHeight="false" outlineLevel="0" collapsed="false">
      <c r="A11" s="73" t="n">
        <f aca="false">IF(B11="","",2)</f>
        <v>2</v>
      </c>
      <c r="B11" s="73" t="str">
        <f aca="false">IF($AI11="","",INDEX('REGISTRE ELEVES'!$B$10:$B$250,$AI11))</f>
        <v>CE2-002-26</v>
      </c>
      <c r="C11" s="74" t="str">
        <f aca="false">IF($AI11="","",INDEX('REGISTRE ELEVES'!$D$10:$D$250,$AI11))</f>
        <v>GNAGNE Estelle Amenan</v>
      </c>
      <c r="D11" s="73" t="str">
        <f aca="false">IF($AI11="","",INDEX('REGISTRE ELEVES'!$E$10:$E$250,$AI11))</f>
        <v>F</v>
      </c>
      <c r="E11" s="73" t="str">
        <f aca="false">IF($AI11="","",INDEX('REGISTRE ELEVES'!$F$10:$F$250,$AI11))</f>
        <v>CE2</v>
      </c>
      <c r="F11" s="73" t="str">
        <f aca="false">IF($AI11="","",INDEX('REGISTRE ELEVES'!$AE$10:$AE$250,$AI11))</f>
        <v>PRESENT</v>
      </c>
      <c r="G11" s="75" t="s">
        <v>39</v>
      </c>
      <c r="H11" s="76" t="n">
        <v>21</v>
      </c>
      <c r="I11" s="76" t="n">
        <v>17</v>
      </c>
      <c r="J11" s="76" t="n">
        <v>27.5</v>
      </c>
      <c r="K11" s="76" t="n">
        <v>11.5</v>
      </c>
      <c r="L11" s="79" t="n">
        <f aca="false">IF(B11="","",IF($G11="NON",0,IF(COUNT(H11:K11)=0,"",SUM(H11:K11))))</f>
        <v>77</v>
      </c>
      <c r="M11" s="77" t="n">
        <f aca="false">IF(B11="","",IF($G11="NON",0,IF(COUNT(H11:K11)=0,"",IFERROR(ROUND(SUM(H11:K11)/SUMPRODUCT(ISNUMBER(H11:K11)*$H$8:$K$8)*10,2),""))))</f>
        <v>4.53</v>
      </c>
      <c r="N11" s="75" t="s">
        <v>39</v>
      </c>
      <c r="O11" s="76" t="n">
        <v>30</v>
      </c>
      <c r="P11" s="76" t="n">
        <v>34</v>
      </c>
      <c r="Q11" s="76" t="n">
        <v>35</v>
      </c>
      <c r="R11" s="76" t="n">
        <v>10.5</v>
      </c>
      <c r="S11" s="79" t="n">
        <f aca="false">IF(B11="","",IF($N11="NON",0,IF(COUNT(O11:R11)=0,"",SUM(O11:R11))))</f>
        <v>109.5</v>
      </c>
      <c r="T11" s="77" t="n">
        <f aca="false">IF(B11="","",IF($N11="NON",0,IF(COUNT(O11:R11)=0,"",IFERROR(ROUND(SUM(O11:R11)/SUMPRODUCT(ISNUMBER(O11:R11)*$O$8:$R$8)*10,2),""))))</f>
        <v>6.44</v>
      </c>
      <c r="U11" s="75" t="s">
        <v>39</v>
      </c>
      <c r="V11" s="76" t="n">
        <v>19</v>
      </c>
      <c r="W11" s="76" t="n">
        <v>22</v>
      </c>
      <c r="X11" s="76" t="n">
        <v>27.5</v>
      </c>
      <c r="Y11" s="76" t="n">
        <v>7</v>
      </c>
      <c r="Z11" s="79" t="n">
        <f aca="false">IF(B11="","",IF($U11="NON",0,IF(COUNT(V11:Y11)=0,"",SUM(V11:Y11))))</f>
        <v>75.5</v>
      </c>
      <c r="AA11" s="77" t="n">
        <f aca="false">IF(B11="","",IF($U11="NON",0,IF(COUNT(V11:Y11)=0,"",IFERROR(ROUND(SUM(V11:Y11)/SUMPRODUCT(ISNUMBER(V11:Y11)*$V$8:$Y$8)*10,2),""))))</f>
        <v>4.44</v>
      </c>
      <c r="AB11" s="75" t="s">
        <v>39</v>
      </c>
      <c r="AC11" s="76" t="n">
        <v>19.5</v>
      </c>
      <c r="AD11" s="76" t="n">
        <v>25</v>
      </c>
      <c r="AE11" s="76" t="n">
        <v>35.5</v>
      </c>
      <c r="AF11" s="76" t="n">
        <v>7</v>
      </c>
      <c r="AG11" s="79" t="n">
        <f aca="false">IF(B11="","",IF($AB11="NON",0,IF(COUNT(AC11:AF11)=0,"",SUM(AC11:AF11))))</f>
        <v>87</v>
      </c>
      <c r="AH11" s="77" t="n">
        <f aca="false">IF(B11="","",IF($AB11="NON",0,IF(COUNT(AC11:AF11)=0,"",IFERROR(ROUND(SUM(AC11:AF11)/SUMPRODUCT(ISNUMBER(AC11:AF11)*$AC$8:$AF$8)*10,2),""))))</f>
        <v>5.12</v>
      </c>
      <c r="AI11" s="51" t="n">
        <f aca="false">IFERROR(MATCH("CEM-2",'REGISTRE ELEVES'!$AI$10:$AI$250,0),"")</f>
        <v>34</v>
      </c>
    </row>
    <row r="12" customFormat="false" ht="15" hidden="false" customHeight="false" outlineLevel="0" collapsed="false">
      <c r="A12" s="73" t="n">
        <f aca="false">IF(B12="","",3)</f>
        <v>3</v>
      </c>
      <c r="B12" s="73" t="str">
        <f aca="false">IF($AI12="","",INDEX('REGISTRE ELEVES'!$B$10:$B$250,$AI12))</f>
        <v>CE2-003-26</v>
      </c>
      <c r="C12" s="74" t="str">
        <f aca="false">IF($AI12="","",INDEX('REGISTRE ELEVES'!$D$10:$D$250,$AI12))</f>
        <v>KOFFI Estelle Akissi</v>
      </c>
      <c r="D12" s="73" t="str">
        <f aca="false">IF($AI12="","",INDEX('REGISTRE ELEVES'!$E$10:$E$250,$AI12))</f>
        <v>F</v>
      </c>
      <c r="E12" s="73" t="str">
        <f aca="false">IF($AI12="","",INDEX('REGISTRE ELEVES'!$F$10:$F$250,$AI12))</f>
        <v>CE2</v>
      </c>
      <c r="F12" s="73" t="str">
        <f aca="false">IF($AI12="","",INDEX('REGISTRE ELEVES'!$AE$10:$AE$250,$AI12))</f>
        <v>PRESENT</v>
      </c>
      <c r="G12" s="75" t="s">
        <v>39</v>
      </c>
      <c r="H12" s="76" t="n">
        <v>10</v>
      </c>
      <c r="I12" s="76" t="n">
        <v>20.5</v>
      </c>
      <c r="J12" s="76" t="n">
        <v>6.5</v>
      </c>
      <c r="K12" s="76" t="n">
        <v>9</v>
      </c>
      <c r="L12" s="79" t="n">
        <f aca="false">IF(B12="","",IF($G12="NON",0,IF(COUNT(H12:K12)=0,"",SUM(H12:K12))))</f>
        <v>46</v>
      </c>
      <c r="M12" s="77" t="n">
        <f aca="false">IF(B12="","",IF($G12="NON",0,IF(COUNT(H12:K12)=0,"",IFERROR(ROUND(SUM(H12:K12)/SUMPRODUCT(ISNUMBER(H12:K12)*$H$8:$K$8)*10,2),""))))</f>
        <v>2.71</v>
      </c>
      <c r="N12" s="75" t="s">
        <v>39</v>
      </c>
      <c r="O12" s="76" t="n">
        <v>22</v>
      </c>
      <c r="P12" s="76" t="n">
        <v>14.5</v>
      </c>
      <c r="Q12" s="76" t="n">
        <v>12</v>
      </c>
      <c r="R12" s="76" t="n">
        <v>8</v>
      </c>
      <c r="S12" s="79" t="n">
        <f aca="false">IF(B12="","",IF($N12="NON",0,IF(COUNT(O12:R12)=0,"",SUM(O12:R12))))</f>
        <v>56.5</v>
      </c>
      <c r="T12" s="77" t="n">
        <f aca="false">IF(B12="","",IF($N12="NON",0,IF(COUNT(O12:R12)=0,"",IFERROR(ROUND(SUM(O12:R12)/SUMPRODUCT(ISNUMBER(O12:R12)*$O$8:$R$8)*10,2),""))))</f>
        <v>3.32</v>
      </c>
      <c r="U12" s="75" t="s">
        <v>39</v>
      </c>
      <c r="V12" s="76" t="n">
        <v>14.5</v>
      </c>
      <c r="W12" s="76" t="n">
        <v>13</v>
      </c>
      <c r="X12" s="76" t="n">
        <v>15</v>
      </c>
      <c r="Y12" s="76" t="n">
        <v>8</v>
      </c>
      <c r="Z12" s="79" t="n">
        <f aca="false">IF(B12="","",IF($U12="NON",0,IF(COUNT(V12:Y12)=0,"",SUM(V12:Y12))))</f>
        <v>50.5</v>
      </c>
      <c r="AA12" s="77" t="n">
        <f aca="false">IF(B12="","",IF($U12="NON",0,IF(COUNT(V12:Y12)=0,"",IFERROR(ROUND(SUM(V12:Y12)/SUMPRODUCT(ISNUMBER(V12:Y12)*$V$8:$Y$8)*10,2),""))))</f>
        <v>2.97</v>
      </c>
      <c r="AB12" s="75" t="s">
        <v>39</v>
      </c>
      <c r="AC12" s="76" t="n">
        <v>24.5</v>
      </c>
      <c r="AD12" s="76" t="n">
        <v>9.5</v>
      </c>
      <c r="AE12" s="76" t="n">
        <v>12</v>
      </c>
      <c r="AF12" s="76" t="n">
        <v>6</v>
      </c>
      <c r="AG12" s="79" t="n">
        <f aca="false">IF(B12="","",IF($AB12="NON",0,IF(COUNT(AC12:AF12)=0,"",SUM(AC12:AF12))))</f>
        <v>52</v>
      </c>
      <c r="AH12" s="77" t="n">
        <f aca="false">IF(B12="","",IF($AB12="NON",0,IF(COUNT(AC12:AF12)=0,"",IFERROR(ROUND(SUM(AC12:AF12)/SUMPRODUCT(ISNUMBER(AC12:AF12)*$AC$8:$AF$8)*10,2),""))))</f>
        <v>3.06</v>
      </c>
      <c r="AI12" s="51" t="n">
        <f aca="false">IFERROR(MATCH("CEM-3",'REGISTRE ELEVES'!$AI$10:$AI$250,0),"")</f>
        <v>35</v>
      </c>
    </row>
    <row r="13" customFormat="false" ht="15" hidden="false" customHeight="false" outlineLevel="0" collapsed="false">
      <c r="A13" s="73" t="n">
        <f aca="false">IF(B13="","",4)</f>
        <v>4</v>
      </c>
      <c r="B13" s="73" t="str">
        <f aca="false">IF($AI13="","",INDEX('REGISTRE ELEVES'!$B$10:$B$250,$AI13))</f>
        <v>CE2-004-26</v>
      </c>
      <c r="C13" s="74" t="str">
        <f aca="false">IF($AI13="","",INDEX('REGISTRE ELEVES'!$D$10:$D$250,$AI13))</f>
        <v>BOHOUSSOU Adjoua Akissi</v>
      </c>
      <c r="D13" s="73" t="str">
        <f aca="false">IF($AI13="","",INDEX('REGISTRE ELEVES'!$E$10:$E$250,$AI13))</f>
        <v>F</v>
      </c>
      <c r="E13" s="73" t="str">
        <f aca="false">IF($AI13="","",INDEX('REGISTRE ELEVES'!$F$10:$F$250,$AI13))</f>
        <v>CE2</v>
      </c>
      <c r="F13" s="73" t="str">
        <f aca="false">IF($AI13="","",INDEX('REGISTRE ELEVES'!$AE$10:$AE$250,$AI13))</f>
        <v>PRESENT</v>
      </c>
      <c r="G13" s="75" t="s">
        <v>39</v>
      </c>
      <c r="H13" s="76" t="n">
        <v>26</v>
      </c>
      <c r="I13" s="76" t="n">
        <v>23.5</v>
      </c>
      <c r="J13" s="76" t="n">
        <v>28.5</v>
      </c>
      <c r="K13" s="76" t="n">
        <v>12.5</v>
      </c>
      <c r="L13" s="79" t="n">
        <f aca="false">IF(B13="","",IF($G13="NON",0,IF(COUNT(H13:K13)=0,"",SUM(H13:K13))))</f>
        <v>90.5</v>
      </c>
      <c r="M13" s="77" t="n">
        <f aca="false">IF(B13="","",IF($G13="NON",0,IF(COUNT(H13:K13)=0,"",IFERROR(ROUND(SUM(H13:K13)/SUMPRODUCT(ISNUMBER(H13:K13)*$H$8:$K$8)*10,2),""))))</f>
        <v>5.32</v>
      </c>
      <c r="N13" s="75" t="s">
        <v>39</v>
      </c>
      <c r="O13" s="76" t="n">
        <v>40</v>
      </c>
      <c r="P13" s="76" t="n">
        <v>39</v>
      </c>
      <c r="Q13" s="76" t="n">
        <v>41.5</v>
      </c>
      <c r="R13" s="76" t="n">
        <v>16.5</v>
      </c>
      <c r="S13" s="79" t="n">
        <f aca="false">IF(B13="","",IF($N13="NON",0,IF(COUNT(O13:R13)=0,"",SUM(O13:R13))))</f>
        <v>137</v>
      </c>
      <c r="T13" s="77" t="n">
        <f aca="false">IF(B13="","",IF($N13="NON",0,IF(COUNT(O13:R13)=0,"",IFERROR(ROUND(SUM(O13:R13)/SUMPRODUCT(ISNUMBER(O13:R13)*$O$8:$R$8)*10,2),""))))</f>
        <v>8.06</v>
      </c>
      <c r="U13" s="75" t="s">
        <v>39</v>
      </c>
      <c r="V13" s="76" t="n">
        <v>38</v>
      </c>
      <c r="W13" s="76" t="n">
        <v>23</v>
      </c>
      <c r="X13" s="76" t="n">
        <v>35.5</v>
      </c>
      <c r="Y13" s="76" t="n">
        <v>13.5</v>
      </c>
      <c r="Z13" s="79" t="n">
        <f aca="false">IF(B13="","",IF($U13="NON",0,IF(COUNT(V13:Y13)=0,"",SUM(V13:Y13))))</f>
        <v>110</v>
      </c>
      <c r="AA13" s="77" t="n">
        <f aca="false">IF(B13="","",IF($U13="NON",0,IF(COUNT(V13:Y13)=0,"",IFERROR(ROUND(SUM(V13:Y13)/SUMPRODUCT(ISNUMBER(V13:Y13)*$V$8:$Y$8)*10,2),""))))</f>
        <v>6.47</v>
      </c>
      <c r="AB13" s="75" t="s">
        <v>39</v>
      </c>
      <c r="AC13" s="76" t="n">
        <v>33.5</v>
      </c>
      <c r="AD13" s="76" t="n">
        <v>41</v>
      </c>
      <c r="AE13" s="76" t="n">
        <v>31.5</v>
      </c>
      <c r="AF13" s="76" t="n">
        <v>14</v>
      </c>
      <c r="AG13" s="79" t="n">
        <f aca="false">IF(B13="","",IF($AB13="NON",0,IF(COUNT(AC13:AF13)=0,"",SUM(AC13:AF13))))</f>
        <v>120</v>
      </c>
      <c r="AH13" s="77" t="n">
        <f aca="false">IF(B13="","",IF($AB13="NON",0,IF(COUNT(AC13:AF13)=0,"",IFERROR(ROUND(SUM(AC13:AF13)/SUMPRODUCT(ISNUMBER(AC13:AF13)*$AC$8:$AF$8)*10,2),""))))</f>
        <v>7.06</v>
      </c>
      <c r="AI13" s="51" t="n">
        <f aca="false">IFERROR(MATCH("CEM-4",'REGISTRE ELEVES'!$AI$10:$AI$250,0),"")</f>
        <v>36</v>
      </c>
    </row>
    <row r="14" customFormat="false" ht="15" hidden="false" customHeight="false" outlineLevel="0" collapsed="false">
      <c r="A14" s="73" t="n">
        <f aca="false">IF(B14="","",5)</f>
        <v>5</v>
      </c>
      <c r="B14" s="73" t="str">
        <f aca="false">IF($AI14="","",INDEX('REGISTRE ELEVES'!$B$10:$B$250,$AI14))</f>
        <v>CE2-005-26</v>
      </c>
      <c r="C14" s="74" t="str">
        <f aca="false">IF($AI14="","",INDEX('REGISTRE ELEVES'!$D$10:$D$250,$AI14))</f>
        <v>GNAGNE Yao Abdoulaye</v>
      </c>
      <c r="D14" s="73" t="str">
        <f aca="false">IF($AI14="","",INDEX('REGISTRE ELEVES'!$E$10:$E$250,$AI14))</f>
        <v>M</v>
      </c>
      <c r="E14" s="73" t="str">
        <f aca="false">IF($AI14="","",INDEX('REGISTRE ELEVES'!$F$10:$F$250,$AI14))</f>
        <v>CE2</v>
      </c>
      <c r="F14" s="73" t="str">
        <f aca="false">IF($AI14="","",INDEX('REGISTRE ELEVES'!$AE$10:$AE$250,$AI14))</f>
        <v>ABANDON</v>
      </c>
      <c r="G14" s="75" t="s">
        <v>39</v>
      </c>
      <c r="H14" s="76" t="n">
        <v>31.5</v>
      </c>
      <c r="I14" s="76" t="n">
        <v>14.5</v>
      </c>
      <c r="J14" s="76" t="n">
        <v>18</v>
      </c>
      <c r="K14" s="76" t="n">
        <v>11</v>
      </c>
      <c r="L14" s="79" t="n">
        <f aca="false">IF(B14="","",IF($G14="NON",0,IF(COUNT(H14:K14)=0,"",SUM(H14:K14))))</f>
        <v>75</v>
      </c>
      <c r="M14" s="77" t="n">
        <f aca="false">IF(B14="","",IF($G14="NON",0,IF(COUNT(H14:K14)=0,"",IFERROR(ROUND(SUM(H14:K14)/SUMPRODUCT(ISNUMBER(H14:K14)*$H$8:$K$8)*10,2),""))))</f>
        <v>4.41</v>
      </c>
      <c r="N14" s="75" t="s">
        <v>39</v>
      </c>
      <c r="O14" s="76" t="n">
        <v>15.5</v>
      </c>
      <c r="P14" s="76" t="n">
        <v>27</v>
      </c>
      <c r="Q14" s="76" t="n">
        <v>21.5</v>
      </c>
      <c r="R14" s="76" t="n">
        <v>10</v>
      </c>
      <c r="S14" s="79" t="n">
        <f aca="false">IF(B14="","",IF($N14="NON",0,IF(COUNT(O14:R14)=0,"",SUM(O14:R14))))</f>
        <v>74</v>
      </c>
      <c r="T14" s="77" t="n">
        <f aca="false">IF(B14="","",IF($N14="NON",0,IF(COUNT(O14:R14)=0,"",IFERROR(ROUND(SUM(O14:R14)/SUMPRODUCT(ISNUMBER(O14:R14)*$O$8:$R$8)*10,2),""))))</f>
        <v>4.35</v>
      </c>
      <c r="U14" s="75" t="s">
        <v>46</v>
      </c>
      <c r="V14" s="76"/>
      <c r="W14" s="76"/>
      <c r="X14" s="76"/>
      <c r="Y14" s="76"/>
      <c r="Z14" s="79" t="n">
        <f aca="false">IF(B14="","",IF($U14="NON",0,IF(COUNT(V14:Y14)=0,"",SUM(V14:Y14))))</f>
        <v>0</v>
      </c>
      <c r="AA14" s="77" t="n">
        <f aca="false">IF(B14="","",IF($U14="NON",0,IF(COUNT(V14:Y14)=0,"",IFERROR(ROUND(SUM(V14:Y14)/SUMPRODUCT(ISNUMBER(V14:Y14)*$V$8:$Y$8)*10,2),""))))</f>
        <v>0</v>
      </c>
      <c r="AB14" s="75" t="s">
        <v>46</v>
      </c>
      <c r="AC14" s="76"/>
      <c r="AD14" s="76"/>
      <c r="AE14" s="76"/>
      <c r="AF14" s="76"/>
      <c r="AG14" s="79" t="n">
        <f aca="false">IF(B14="","",IF($AB14="NON",0,IF(COUNT(AC14:AF14)=0,"",SUM(AC14:AF14))))</f>
        <v>0</v>
      </c>
      <c r="AH14" s="77" t="n">
        <f aca="false">IF(B14="","",IF($AB14="NON",0,IF(COUNT(AC14:AF14)=0,"",IFERROR(ROUND(SUM(AC14:AF14)/SUMPRODUCT(ISNUMBER(AC14:AF14)*$AC$8:$AF$8)*10,2),""))))</f>
        <v>0</v>
      </c>
      <c r="AI14" s="51" t="n">
        <f aca="false">IFERROR(MATCH("CEM-5",'REGISTRE ELEVES'!$AI$10:$AI$250,0),"")</f>
        <v>37</v>
      </c>
    </row>
    <row r="15" customFormat="false" ht="15" hidden="false" customHeight="false" outlineLevel="0" collapsed="false">
      <c r="A15" s="73" t="n">
        <f aca="false">IF(B15="","",6)</f>
        <v>6</v>
      </c>
      <c r="B15" s="73" t="str">
        <f aca="false">IF($AI15="","",INDEX('REGISTRE ELEVES'!$B$10:$B$250,$AI15))</f>
        <v>CE2-006-26</v>
      </c>
      <c r="C15" s="74" t="str">
        <f aca="false">IF($AI15="","",INDEX('REGISTRE ELEVES'!$D$10:$D$250,$AI15))</f>
        <v>LOBA Aya Rebecca</v>
      </c>
      <c r="D15" s="73" t="str">
        <f aca="false">IF($AI15="","",INDEX('REGISTRE ELEVES'!$E$10:$E$250,$AI15))</f>
        <v>F</v>
      </c>
      <c r="E15" s="73" t="str">
        <f aca="false">IF($AI15="","",INDEX('REGISTRE ELEVES'!$F$10:$F$250,$AI15))</f>
        <v>CE2</v>
      </c>
      <c r="F15" s="73" t="str">
        <f aca="false">IF($AI15="","",INDEX('REGISTRE ELEVES'!$AE$10:$AE$250,$AI15))</f>
        <v>PRESENT</v>
      </c>
      <c r="G15" s="75" t="s">
        <v>39</v>
      </c>
      <c r="H15" s="76" t="n">
        <v>29</v>
      </c>
      <c r="I15" s="76" t="n">
        <v>25.5</v>
      </c>
      <c r="J15" s="76" t="n">
        <v>20</v>
      </c>
      <c r="K15" s="76" t="n">
        <v>8.5</v>
      </c>
      <c r="L15" s="79" t="n">
        <f aca="false">IF(B15="","",IF($G15="NON",0,IF(COUNT(H15:K15)=0,"",SUM(H15:K15))))</f>
        <v>83</v>
      </c>
      <c r="M15" s="77" t="n">
        <f aca="false">IF(B15="","",IF($G15="NON",0,IF(COUNT(H15:K15)=0,"",IFERROR(ROUND(SUM(H15:K15)/SUMPRODUCT(ISNUMBER(H15:K15)*$H$8:$K$8)*10,2),""))))</f>
        <v>4.88</v>
      </c>
      <c r="N15" s="75" t="s">
        <v>39</v>
      </c>
      <c r="O15" s="76" t="n">
        <v>28.5</v>
      </c>
      <c r="P15" s="76" t="n">
        <v>19.5</v>
      </c>
      <c r="Q15" s="76" t="n">
        <v>34.5</v>
      </c>
      <c r="R15" s="76" t="n">
        <v>9</v>
      </c>
      <c r="S15" s="79" t="n">
        <f aca="false">IF(B15="","",IF($N15="NON",0,IF(COUNT(O15:R15)=0,"",SUM(O15:R15))))</f>
        <v>91.5</v>
      </c>
      <c r="T15" s="77" t="n">
        <f aca="false">IF(B15="","",IF($N15="NON",0,IF(COUNT(O15:R15)=0,"",IFERROR(ROUND(SUM(O15:R15)/SUMPRODUCT(ISNUMBER(O15:R15)*$O$8:$R$8)*10,2),""))))</f>
        <v>5.38</v>
      </c>
      <c r="U15" s="75" t="s">
        <v>39</v>
      </c>
      <c r="V15" s="76" t="n">
        <v>28</v>
      </c>
      <c r="W15" s="76" t="n">
        <v>22.5</v>
      </c>
      <c r="X15" s="76" t="n">
        <v>27.5</v>
      </c>
      <c r="Y15" s="76" t="n">
        <v>11.5</v>
      </c>
      <c r="Z15" s="79" t="n">
        <f aca="false">IF(B15="","",IF($U15="NON",0,IF(COUNT(V15:Y15)=0,"",SUM(V15:Y15))))</f>
        <v>89.5</v>
      </c>
      <c r="AA15" s="77" t="n">
        <f aca="false">IF(B15="","",IF($U15="NON",0,IF(COUNT(V15:Y15)=0,"",IFERROR(ROUND(SUM(V15:Y15)/SUMPRODUCT(ISNUMBER(V15:Y15)*$V$8:$Y$8)*10,2),""))))</f>
        <v>5.26</v>
      </c>
      <c r="AB15" s="75" t="s">
        <v>39</v>
      </c>
      <c r="AC15" s="76" t="n">
        <v>29</v>
      </c>
      <c r="AD15" s="76" t="n">
        <v>20</v>
      </c>
      <c r="AE15" s="76" t="n">
        <v>28</v>
      </c>
      <c r="AF15" s="76" t="n">
        <v>11.5</v>
      </c>
      <c r="AG15" s="79" t="n">
        <f aca="false">IF(B15="","",IF($AB15="NON",0,IF(COUNT(AC15:AF15)=0,"",SUM(AC15:AF15))))</f>
        <v>88.5</v>
      </c>
      <c r="AH15" s="77" t="n">
        <f aca="false">IF(B15="","",IF($AB15="NON",0,IF(COUNT(AC15:AF15)=0,"",IFERROR(ROUND(SUM(AC15:AF15)/SUMPRODUCT(ISNUMBER(AC15:AF15)*$AC$8:$AF$8)*10,2),""))))</f>
        <v>5.21</v>
      </c>
      <c r="AI15" s="51" t="n">
        <f aca="false">IFERROR(MATCH("CEM-6",'REGISTRE ELEVES'!$AI$10:$AI$250,0),"")</f>
        <v>38</v>
      </c>
    </row>
    <row r="16" customFormat="false" ht="15" hidden="false" customHeight="false" outlineLevel="0" collapsed="false">
      <c r="A16" s="73" t="n">
        <f aca="false">IF(B16="","",7)</f>
        <v>7</v>
      </c>
      <c r="B16" s="73" t="str">
        <f aca="false">IF($AI16="","",INDEX('REGISTRE ELEVES'!$B$10:$B$250,$AI16))</f>
        <v>CE2-007-26</v>
      </c>
      <c r="C16" s="74" t="str">
        <f aca="false">IF($AI16="","",INDEX('REGISTRE ELEVES'!$D$10:$D$250,$AI16))</f>
        <v>AKA Franck Moussa</v>
      </c>
      <c r="D16" s="73" t="str">
        <f aca="false">IF($AI16="","",INDEX('REGISTRE ELEVES'!$E$10:$E$250,$AI16))</f>
        <v>M</v>
      </c>
      <c r="E16" s="73" t="str">
        <f aca="false">IF($AI16="","",INDEX('REGISTRE ELEVES'!$F$10:$F$250,$AI16))</f>
        <v>CE2</v>
      </c>
      <c r="F16" s="73" t="str">
        <f aca="false">IF($AI16="","",INDEX('REGISTRE ELEVES'!$AE$10:$AE$250,$AI16))</f>
        <v>PRESENT</v>
      </c>
      <c r="G16" s="75" t="s">
        <v>39</v>
      </c>
      <c r="H16" s="76" t="n">
        <v>9</v>
      </c>
      <c r="I16" s="76" t="n">
        <v>16</v>
      </c>
      <c r="J16" s="76" t="n">
        <v>24.5</v>
      </c>
      <c r="K16" s="76" t="n">
        <v>7.5</v>
      </c>
      <c r="L16" s="79" t="n">
        <f aca="false">IF(B16="","",IF($G16="NON",0,IF(COUNT(H16:K16)=0,"",SUM(H16:K16))))</f>
        <v>57</v>
      </c>
      <c r="M16" s="77" t="n">
        <f aca="false">IF(B16="","",IF($G16="NON",0,IF(COUNT(H16:K16)=0,"",IFERROR(ROUND(SUM(H16:K16)/SUMPRODUCT(ISNUMBER(H16:K16)*$H$8:$K$8)*10,2),""))))</f>
        <v>3.35</v>
      </c>
      <c r="N16" s="75" t="s">
        <v>39</v>
      </c>
      <c r="O16" s="76" t="n">
        <v>22.5</v>
      </c>
      <c r="P16" s="76" t="n">
        <v>9.5</v>
      </c>
      <c r="Q16" s="76" t="n">
        <v>27</v>
      </c>
      <c r="R16" s="76" t="n">
        <v>8.5</v>
      </c>
      <c r="S16" s="79" t="n">
        <f aca="false">IF(B16="","",IF($N16="NON",0,IF(COUNT(O16:R16)=0,"",SUM(O16:R16))))</f>
        <v>67.5</v>
      </c>
      <c r="T16" s="77" t="n">
        <f aca="false">IF(B16="","",IF($N16="NON",0,IF(COUNT(O16:R16)=0,"",IFERROR(ROUND(SUM(O16:R16)/SUMPRODUCT(ISNUMBER(O16:R16)*$O$8:$R$8)*10,2),""))))</f>
        <v>3.97</v>
      </c>
      <c r="U16" s="75" t="s">
        <v>39</v>
      </c>
      <c r="V16" s="76" t="n">
        <v>24</v>
      </c>
      <c r="W16" s="76" t="n">
        <v>15</v>
      </c>
      <c r="X16" s="76" t="n">
        <v>11</v>
      </c>
      <c r="Y16" s="76" t="n">
        <v>10.5</v>
      </c>
      <c r="Z16" s="79" t="n">
        <f aca="false">IF(B16="","",IF($U16="NON",0,IF(COUNT(V16:Y16)=0,"",SUM(V16:Y16))))</f>
        <v>60.5</v>
      </c>
      <c r="AA16" s="77" t="n">
        <f aca="false">IF(B16="","",IF($U16="NON",0,IF(COUNT(V16:Y16)=0,"",IFERROR(ROUND(SUM(V16:Y16)/SUMPRODUCT(ISNUMBER(V16:Y16)*$V$8:$Y$8)*10,2),""))))</f>
        <v>3.56</v>
      </c>
      <c r="AB16" s="75" t="s">
        <v>39</v>
      </c>
      <c r="AC16" s="76" t="n">
        <v>23</v>
      </c>
      <c r="AD16" s="76" t="n">
        <v>10</v>
      </c>
      <c r="AE16" s="76" t="n">
        <v>23</v>
      </c>
      <c r="AF16" s="76" t="n">
        <v>3.5</v>
      </c>
      <c r="AG16" s="79" t="n">
        <f aca="false">IF(B16="","",IF($AB16="NON",0,IF(COUNT(AC16:AF16)=0,"",SUM(AC16:AF16))))</f>
        <v>59.5</v>
      </c>
      <c r="AH16" s="77" t="n">
        <f aca="false">IF(B16="","",IF($AB16="NON",0,IF(COUNT(AC16:AF16)=0,"",IFERROR(ROUND(SUM(AC16:AF16)/SUMPRODUCT(ISNUMBER(AC16:AF16)*$AC$8:$AF$8)*10,2),""))))</f>
        <v>3.5</v>
      </c>
      <c r="AI16" s="51" t="n">
        <f aca="false">IFERROR(MATCH("CEM-7",'REGISTRE ELEVES'!$AI$10:$AI$250,0),"")</f>
        <v>39</v>
      </c>
    </row>
    <row r="17" customFormat="false" ht="15" hidden="false" customHeight="false" outlineLevel="0" collapsed="false">
      <c r="A17" s="73" t="n">
        <f aca="false">IF(B17="","",8)</f>
        <v>8</v>
      </c>
      <c r="B17" s="73" t="str">
        <f aca="false">IF($AI17="","",INDEX('REGISTRE ELEVES'!$B$10:$B$250,$AI17))</f>
        <v>CE2-008-26</v>
      </c>
      <c r="C17" s="74" t="str">
        <f aca="false">IF($AI17="","",INDEX('REGISTRE ELEVES'!$D$10:$D$250,$AI17))</f>
        <v>N'GUESSAN Clarisse Affoué</v>
      </c>
      <c r="D17" s="73" t="str">
        <f aca="false">IF($AI17="","",INDEX('REGISTRE ELEVES'!$E$10:$E$250,$AI17))</f>
        <v>F</v>
      </c>
      <c r="E17" s="73" t="str">
        <f aca="false">IF($AI17="","",INDEX('REGISTRE ELEVES'!$F$10:$F$250,$AI17))</f>
        <v>CE2</v>
      </c>
      <c r="F17" s="73" t="str">
        <f aca="false">IF($AI17="","",INDEX('REGISTRE ELEVES'!$AE$10:$AE$250,$AI17))</f>
        <v>PRESENT</v>
      </c>
      <c r="G17" s="75" t="s">
        <v>39</v>
      </c>
      <c r="H17" s="76" t="n">
        <v>12.5</v>
      </c>
      <c r="I17" s="76" t="n">
        <v>24</v>
      </c>
      <c r="J17" s="76" t="n">
        <v>16.5</v>
      </c>
      <c r="K17" s="76" t="n">
        <v>7</v>
      </c>
      <c r="L17" s="79" t="n">
        <f aca="false">IF(B17="","",IF($G17="NON",0,IF(COUNT(H17:K17)=0,"",SUM(H17:K17))))</f>
        <v>60</v>
      </c>
      <c r="M17" s="77" t="n">
        <f aca="false">IF(B17="","",IF($G17="NON",0,IF(COUNT(H17:K17)=0,"",IFERROR(ROUND(SUM(H17:K17)/SUMPRODUCT(ISNUMBER(H17:K17)*$H$8:$K$8)*10,2),""))))</f>
        <v>3.53</v>
      </c>
      <c r="N17" s="75" t="s">
        <v>39</v>
      </c>
      <c r="O17" s="76" t="n">
        <v>20.5</v>
      </c>
      <c r="P17" s="76" t="n">
        <v>30</v>
      </c>
      <c r="Q17" s="76" t="n">
        <v>24.5</v>
      </c>
      <c r="R17" s="76" t="n">
        <v>12</v>
      </c>
      <c r="S17" s="79" t="n">
        <f aca="false">IF(B17="","",IF($N17="NON",0,IF(COUNT(O17:R17)=0,"",SUM(O17:R17))))</f>
        <v>87</v>
      </c>
      <c r="T17" s="77" t="n">
        <f aca="false">IF(B17="","",IF($N17="NON",0,IF(COUNT(O17:R17)=0,"",IFERROR(ROUND(SUM(O17:R17)/SUMPRODUCT(ISNUMBER(O17:R17)*$O$8:$R$8)*10,2),""))))</f>
        <v>5.12</v>
      </c>
      <c r="U17" s="75" t="s">
        <v>39</v>
      </c>
      <c r="V17" s="76" t="n">
        <v>30.5</v>
      </c>
      <c r="W17" s="76" t="n">
        <v>29.5</v>
      </c>
      <c r="X17" s="76" t="n">
        <v>15.5</v>
      </c>
      <c r="Y17" s="76" t="n">
        <v>11</v>
      </c>
      <c r="Z17" s="79" t="n">
        <f aca="false">IF(B17="","",IF($U17="NON",0,IF(COUNT(V17:Y17)=0,"",SUM(V17:Y17))))</f>
        <v>86.5</v>
      </c>
      <c r="AA17" s="77" t="n">
        <f aca="false">IF(B17="","",IF($U17="NON",0,IF(COUNT(V17:Y17)=0,"",IFERROR(ROUND(SUM(V17:Y17)/SUMPRODUCT(ISNUMBER(V17:Y17)*$V$8:$Y$8)*10,2),""))))</f>
        <v>5.09</v>
      </c>
      <c r="AB17" s="75" t="s">
        <v>39</v>
      </c>
      <c r="AC17" s="76" t="n">
        <v>27.5</v>
      </c>
      <c r="AD17" s="76" t="n">
        <v>25.5</v>
      </c>
      <c r="AE17" s="76" t="n">
        <v>28.5</v>
      </c>
      <c r="AF17" s="76" t="n">
        <v>6</v>
      </c>
      <c r="AG17" s="79" t="n">
        <f aca="false">IF(B17="","",IF($AB17="NON",0,IF(COUNT(AC17:AF17)=0,"",SUM(AC17:AF17))))</f>
        <v>87.5</v>
      </c>
      <c r="AH17" s="77" t="n">
        <f aca="false">IF(B17="","",IF($AB17="NON",0,IF(COUNT(AC17:AF17)=0,"",IFERROR(ROUND(SUM(AC17:AF17)/SUMPRODUCT(ISNUMBER(AC17:AF17)*$AC$8:$AF$8)*10,2),""))))</f>
        <v>5.15</v>
      </c>
      <c r="AI17" s="51" t="n">
        <f aca="false">IFERROR(MATCH("CEM-8",'REGISTRE ELEVES'!$AI$10:$AI$250,0),"")</f>
        <v>40</v>
      </c>
    </row>
    <row r="18" customFormat="false" ht="15" hidden="false" customHeight="false" outlineLevel="0" collapsed="false">
      <c r="A18" s="73" t="n">
        <f aca="false">IF(B18="","",9)</f>
        <v>9</v>
      </c>
      <c r="B18" s="73" t="str">
        <f aca="false">IF($AI18="","",INDEX('REGISTRE ELEVES'!$B$10:$B$250,$AI18))</f>
        <v>CE2-009-26</v>
      </c>
      <c r="C18" s="74" t="str">
        <f aca="false">IF($AI18="","",INDEX('REGISTRE ELEVES'!$D$10:$D$250,$AI18))</f>
        <v>YAO Awa Estelle</v>
      </c>
      <c r="D18" s="73" t="str">
        <f aca="false">IF($AI18="","",INDEX('REGISTRE ELEVES'!$E$10:$E$250,$AI18))</f>
        <v>F</v>
      </c>
      <c r="E18" s="73" t="str">
        <f aca="false">IF($AI18="","",INDEX('REGISTRE ELEVES'!$F$10:$F$250,$AI18))</f>
        <v>CE2</v>
      </c>
      <c r="F18" s="73" t="str">
        <f aca="false">IF($AI18="","",INDEX('REGISTRE ELEVES'!$AE$10:$AE$250,$AI18))</f>
        <v>PRESENT</v>
      </c>
      <c r="G18" s="75" t="s">
        <v>39</v>
      </c>
      <c r="H18" s="76" t="n">
        <v>35</v>
      </c>
      <c r="I18" s="76" t="n">
        <v>30.5</v>
      </c>
      <c r="J18" s="76" t="n">
        <v>17</v>
      </c>
      <c r="K18" s="76" t="n">
        <v>11.5</v>
      </c>
      <c r="L18" s="79" t="n">
        <f aca="false">IF(B18="","",IF($G18="NON",0,IF(COUNT(H18:K18)=0,"",SUM(H18:K18))))</f>
        <v>94</v>
      </c>
      <c r="M18" s="77" t="n">
        <f aca="false">IF(B18="","",IF($G18="NON",0,IF(COUNT(H18:K18)=0,"",IFERROR(ROUND(SUM(H18:K18)/SUMPRODUCT(ISNUMBER(H18:K18)*$H$8:$K$8)*10,2),""))))</f>
        <v>5.53</v>
      </c>
      <c r="N18" s="75" t="s">
        <v>39</v>
      </c>
      <c r="O18" s="76" t="n">
        <v>27</v>
      </c>
      <c r="P18" s="76" t="n">
        <v>32.5</v>
      </c>
      <c r="Q18" s="76" t="n">
        <v>18.5</v>
      </c>
      <c r="R18" s="76" t="n">
        <v>14</v>
      </c>
      <c r="S18" s="79" t="n">
        <f aca="false">IF(B18="","",IF($N18="NON",0,IF(COUNT(O18:R18)=0,"",SUM(O18:R18))))</f>
        <v>92</v>
      </c>
      <c r="T18" s="77" t="n">
        <f aca="false">IF(B18="","",IF($N18="NON",0,IF(COUNT(O18:R18)=0,"",IFERROR(ROUND(SUM(O18:R18)/SUMPRODUCT(ISNUMBER(O18:R18)*$O$8:$R$8)*10,2),""))))</f>
        <v>5.41</v>
      </c>
      <c r="U18" s="75" t="s">
        <v>39</v>
      </c>
      <c r="V18" s="76" t="n">
        <v>21.5</v>
      </c>
      <c r="W18" s="76" t="n">
        <v>20</v>
      </c>
      <c r="X18" s="76" t="n">
        <v>25</v>
      </c>
      <c r="Y18" s="76" t="n">
        <v>13</v>
      </c>
      <c r="Z18" s="79" t="n">
        <f aca="false">IF(B18="","",IF($U18="NON",0,IF(COUNT(V18:Y18)=0,"",SUM(V18:Y18))))</f>
        <v>79.5</v>
      </c>
      <c r="AA18" s="77" t="n">
        <f aca="false">IF(B18="","",IF($U18="NON",0,IF(COUNT(V18:Y18)=0,"",IFERROR(ROUND(SUM(V18:Y18)/SUMPRODUCT(ISNUMBER(V18:Y18)*$V$8:$Y$8)*10,2),""))))</f>
        <v>4.68</v>
      </c>
      <c r="AB18" s="75" t="s">
        <v>39</v>
      </c>
      <c r="AC18" s="76" t="n">
        <v>18.5</v>
      </c>
      <c r="AD18" s="76" t="n">
        <v>16.5</v>
      </c>
      <c r="AE18" s="76" t="n">
        <v>18.5</v>
      </c>
      <c r="AF18" s="76" t="n">
        <v>13</v>
      </c>
      <c r="AG18" s="79" t="n">
        <f aca="false">IF(B18="","",IF($AB18="NON",0,IF(COUNT(AC18:AF18)=0,"",SUM(AC18:AF18))))</f>
        <v>66.5</v>
      </c>
      <c r="AH18" s="77" t="n">
        <f aca="false">IF(B18="","",IF($AB18="NON",0,IF(COUNT(AC18:AF18)=0,"",IFERROR(ROUND(SUM(AC18:AF18)/SUMPRODUCT(ISNUMBER(AC18:AF18)*$AC$8:$AF$8)*10,2),""))))</f>
        <v>3.91</v>
      </c>
      <c r="AI18" s="51" t="n">
        <f aca="false">IFERROR(MATCH("CEM-9",'REGISTRE ELEVES'!$AI$10:$AI$250,0),"")</f>
        <v>41</v>
      </c>
    </row>
    <row r="19" customFormat="false" ht="15" hidden="false" customHeight="false" outlineLevel="0" collapsed="false">
      <c r="A19" s="73" t="n">
        <f aca="false">IF(B19="","",10)</f>
        <v>10</v>
      </c>
      <c r="B19" s="73" t="str">
        <f aca="false">IF($AI19="","",INDEX('REGISTRE ELEVES'!$B$10:$B$250,$AI19))</f>
        <v>CE2-010-26</v>
      </c>
      <c r="C19" s="74" t="str">
        <f aca="false">IF($AI19="","",INDEX('REGISTRE ELEVES'!$D$10:$D$250,$AI19))</f>
        <v>COULIBALY Cédric Jean-Marc</v>
      </c>
      <c r="D19" s="73" t="str">
        <f aca="false">IF($AI19="","",INDEX('REGISTRE ELEVES'!$E$10:$E$250,$AI19))</f>
        <v>M</v>
      </c>
      <c r="E19" s="73" t="str">
        <f aca="false">IF($AI19="","",INDEX('REGISTRE ELEVES'!$F$10:$F$250,$AI19))</f>
        <v>CE2</v>
      </c>
      <c r="F19" s="73" t="str">
        <f aca="false">IF($AI19="","",INDEX('REGISTRE ELEVES'!$AE$10:$AE$250,$AI19))</f>
        <v>PRESENT</v>
      </c>
      <c r="G19" s="75" t="s">
        <v>39</v>
      </c>
      <c r="H19" s="76" t="n">
        <v>16.5</v>
      </c>
      <c r="I19" s="76" t="n">
        <v>24.5</v>
      </c>
      <c r="J19" s="76" t="n">
        <v>18</v>
      </c>
      <c r="K19" s="76" t="n">
        <v>5.5</v>
      </c>
      <c r="L19" s="79" t="n">
        <f aca="false">IF(B19="","",IF($G19="NON",0,IF(COUNT(H19:K19)=0,"",SUM(H19:K19))))</f>
        <v>64.5</v>
      </c>
      <c r="M19" s="77" t="n">
        <f aca="false">IF(B19="","",IF($G19="NON",0,IF(COUNT(H19:K19)=0,"",IFERROR(ROUND(SUM(H19:K19)/SUMPRODUCT(ISNUMBER(H19:K19)*$H$8:$K$8)*10,2),""))))</f>
        <v>3.79</v>
      </c>
      <c r="N19" s="75" t="s">
        <v>39</v>
      </c>
      <c r="O19" s="76" t="n">
        <v>21.5</v>
      </c>
      <c r="P19" s="76" t="n">
        <v>24.5</v>
      </c>
      <c r="Q19" s="76" t="n">
        <v>26.5</v>
      </c>
      <c r="R19" s="76" t="n">
        <v>12</v>
      </c>
      <c r="S19" s="79" t="n">
        <f aca="false">IF(B19="","",IF($N19="NON",0,IF(COUNT(O19:R19)=0,"",SUM(O19:R19))))</f>
        <v>84.5</v>
      </c>
      <c r="T19" s="77" t="n">
        <f aca="false">IF(B19="","",IF($N19="NON",0,IF(COUNT(O19:R19)=0,"",IFERROR(ROUND(SUM(O19:R19)/SUMPRODUCT(ISNUMBER(O19:R19)*$O$8:$R$8)*10,2),""))))</f>
        <v>4.97</v>
      </c>
      <c r="U19" s="75" t="s">
        <v>46</v>
      </c>
      <c r="V19" s="76"/>
      <c r="W19" s="76"/>
      <c r="X19" s="76"/>
      <c r="Y19" s="76"/>
      <c r="Z19" s="79" t="n">
        <f aca="false">IF(B19="","",IF($U19="NON",0,IF(COUNT(V19:Y19)=0,"",SUM(V19:Y19))))</f>
        <v>0</v>
      </c>
      <c r="AA19" s="77" t="n">
        <f aca="false">IF(B19="","",IF($U19="NON",0,IF(COUNT(V19:Y19)=0,"",IFERROR(ROUND(SUM(V19:Y19)/SUMPRODUCT(ISNUMBER(V19:Y19)*$V$8:$Y$8)*10,2),""))))</f>
        <v>0</v>
      </c>
      <c r="AB19" s="75" t="s">
        <v>39</v>
      </c>
      <c r="AC19" s="76" t="n">
        <v>13.5</v>
      </c>
      <c r="AD19" s="76" t="n">
        <v>20.5</v>
      </c>
      <c r="AE19" s="76" t="n">
        <v>28</v>
      </c>
      <c r="AF19" s="76" t="n">
        <v>10.5</v>
      </c>
      <c r="AG19" s="79" t="n">
        <f aca="false">IF(B19="","",IF($AB19="NON",0,IF(COUNT(AC19:AF19)=0,"",SUM(AC19:AF19))))</f>
        <v>72.5</v>
      </c>
      <c r="AH19" s="77" t="n">
        <f aca="false">IF(B19="","",IF($AB19="NON",0,IF(COUNT(AC19:AF19)=0,"",IFERROR(ROUND(SUM(AC19:AF19)/SUMPRODUCT(ISNUMBER(AC19:AF19)*$AC$8:$AF$8)*10,2),""))))</f>
        <v>4.26</v>
      </c>
      <c r="AI19" s="51" t="n">
        <f aca="false">IFERROR(MATCH("CEM-10",'REGISTRE ELEVES'!$AI$10:$AI$250,0),"")</f>
        <v>42</v>
      </c>
    </row>
    <row r="20" customFormat="false" ht="15" hidden="false" customHeight="false" outlineLevel="0" collapsed="false">
      <c r="A20" s="73" t="n">
        <f aca="false">IF(B20="","",11)</f>
        <v>11</v>
      </c>
      <c r="B20" s="73" t="str">
        <f aca="false">IF($AI20="","",INDEX('REGISTRE ELEVES'!$B$10:$B$250,$AI20))</f>
        <v>CE2-011-26</v>
      </c>
      <c r="C20" s="74" t="str">
        <f aca="false">IF($AI20="","",INDEX('REGISTRE ELEVES'!$D$10:$D$250,$AI20))</f>
        <v>AKA Abdoulaye Yao</v>
      </c>
      <c r="D20" s="73" t="str">
        <f aca="false">IF($AI20="","",INDEX('REGISTRE ELEVES'!$E$10:$E$250,$AI20))</f>
        <v>M</v>
      </c>
      <c r="E20" s="73" t="str">
        <f aca="false">IF($AI20="","",INDEX('REGISTRE ELEVES'!$F$10:$F$250,$AI20))</f>
        <v>CE2</v>
      </c>
      <c r="F20" s="73" t="str">
        <f aca="false">IF($AI20="","",INDEX('REGISTRE ELEVES'!$AE$10:$AE$250,$AI20))</f>
        <v>PRESENT</v>
      </c>
      <c r="G20" s="75" t="s">
        <v>39</v>
      </c>
      <c r="H20" s="76" t="n">
        <v>22.5</v>
      </c>
      <c r="I20" s="76" t="n">
        <v>19.5</v>
      </c>
      <c r="J20" s="76" t="n">
        <v>14</v>
      </c>
      <c r="K20" s="76" t="n">
        <v>6</v>
      </c>
      <c r="L20" s="79" t="n">
        <f aca="false">IF(B20="","",IF($G20="NON",0,IF(COUNT(H20:K20)=0,"",SUM(H20:K20))))</f>
        <v>62</v>
      </c>
      <c r="M20" s="77" t="n">
        <f aca="false">IF(B20="","",IF($G20="NON",0,IF(COUNT(H20:K20)=0,"",IFERROR(ROUND(SUM(H20:K20)/SUMPRODUCT(ISNUMBER(H20:K20)*$H$8:$K$8)*10,2),""))))</f>
        <v>3.65</v>
      </c>
      <c r="N20" s="75" t="s">
        <v>39</v>
      </c>
      <c r="O20" s="76" t="n">
        <v>23</v>
      </c>
      <c r="P20" s="76" t="n">
        <v>14</v>
      </c>
      <c r="Q20" s="76" t="n">
        <v>23.5</v>
      </c>
      <c r="R20" s="76" t="n">
        <v>7.5</v>
      </c>
      <c r="S20" s="79" t="n">
        <f aca="false">IF(B20="","",IF($N20="NON",0,IF(COUNT(O20:R20)=0,"",SUM(O20:R20))))</f>
        <v>68</v>
      </c>
      <c r="T20" s="77" t="n">
        <f aca="false">IF(B20="","",IF($N20="NON",0,IF(COUNT(O20:R20)=0,"",IFERROR(ROUND(SUM(O20:R20)/SUMPRODUCT(ISNUMBER(O20:R20)*$O$8:$R$8)*10,2),""))))</f>
        <v>4</v>
      </c>
      <c r="U20" s="75" t="s">
        <v>39</v>
      </c>
      <c r="V20" s="76" t="n">
        <v>12.5</v>
      </c>
      <c r="W20" s="76" t="n">
        <v>10.5</v>
      </c>
      <c r="X20" s="76" t="n">
        <v>24</v>
      </c>
      <c r="Y20" s="76" t="n">
        <v>7</v>
      </c>
      <c r="Z20" s="79" t="n">
        <f aca="false">IF(B20="","",IF($U20="NON",0,IF(COUNT(V20:Y20)=0,"",SUM(V20:Y20))))</f>
        <v>54</v>
      </c>
      <c r="AA20" s="77" t="n">
        <f aca="false">IF(B20="","",IF($U20="NON",0,IF(COUNT(V20:Y20)=0,"",IFERROR(ROUND(SUM(V20:Y20)/SUMPRODUCT(ISNUMBER(V20:Y20)*$V$8:$Y$8)*10,2),""))))</f>
        <v>3.18</v>
      </c>
      <c r="AB20" s="75" t="s">
        <v>39</v>
      </c>
      <c r="AC20" s="76" t="n">
        <v>9.5</v>
      </c>
      <c r="AD20" s="76" t="n">
        <v>13.5</v>
      </c>
      <c r="AE20" s="76" t="n">
        <v>15.5</v>
      </c>
      <c r="AF20" s="76" t="n">
        <v>7</v>
      </c>
      <c r="AG20" s="79" t="n">
        <f aca="false">IF(B20="","",IF($AB20="NON",0,IF(COUNT(AC20:AF20)=0,"",SUM(AC20:AF20))))</f>
        <v>45.5</v>
      </c>
      <c r="AH20" s="77" t="n">
        <f aca="false">IF(B20="","",IF($AB20="NON",0,IF(COUNT(AC20:AF20)=0,"",IFERROR(ROUND(SUM(AC20:AF20)/SUMPRODUCT(ISNUMBER(AC20:AF20)*$AC$8:$AF$8)*10,2),""))))</f>
        <v>2.68</v>
      </c>
      <c r="AI20" s="51" t="n">
        <f aca="false">IFERROR(MATCH("CEM-11",'REGISTRE ELEVES'!$AI$10:$AI$250,0),"")</f>
        <v>43</v>
      </c>
    </row>
    <row r="21" customFormat="false" ht="15" hidden="false" customHeight="false" outlineLevel="0" collapsed="false">
      <c r="A21" s="73" t="n">
        <f aca="false">IF(B21="","",12)</f>
        <v>12</v>
      </c>
      <c r="B21" s="73" t="str">
        <f aca="false">IF($AI21="","",INDEX('REGISTRE ELEVES'!$B$10:$B$250,$AI21))</f>
        <v>CE2-012-26</v>
      </c>
      <c r="C21" s="74" t="str">
        <f aca="false">IF($AI21="","",INDEX('REGISTRE ELEVES'!$D$10:$D$250,$AI21))</f>
        <v>TRAORE Koffi Moussa</v>
      </c>
      <c r="D21" s="73" t="str">
        <f aca="false">IF($AI21="","",INDEX('REGISTRE ELEVES'!$E$10:$E$250,$AI21))</f>
        <v>M</v>
      </c>
      <c r="E21" s="73" t="str">
        <f aca="false">IF($AI21="","",INDEX('REGISTRE ELEVES'!$F$10:$F$250,$AI21))</f>
        <v>CE2</v>
      </c>
      <c r="F21" s="73" t="str">
        <f aca="false">IF($AI21="","",INDEX('REGISTRE ELEVES'!$AE$10:$AE$250,$AI21))</f>
        <v>PRESENT</v>
      </c>
      <c r="G21" s="75" t="s">
        <v>39</v>
      </c>
      <c r="H21" s="76" t="n">
        <v>17</v>
      </c>
      <c r="I21" s="76" t="n">
        <v>28</v>
      </c>
      <c r="J21" s="76" t="n">
        <v>23.5</v>
      </c>
      <c r="K21" s="76" t="n">
        <v>7</v>
      </c>
      <c r="L21" s="79" t="n">
        <f aca="false">IF(B21="","",IF($G21="NON",0,IF(COUNT(H21:K21)=0,"",SUM(H21:K21))))</f>
        <v>75.5</v>
      </c>
      <c r="M21" s="77" t="n">
        <f aca="false">IF(B21="","",IF($G21="NON",0,IF(COUNT(H21:K21)=0,"",IFERROR(ROUND(SUM(H21:K21)/SUMPRODUCT(ISNUMBER(H21:K21)*$H$8:$K$8)*10,2),""))))</f>
        <v>4.44</v>
      </c>
      <c r="N21" s="75" t="s">
        <v>39</v>
      </c>
      <c r="O21" s="76" t="n">
        <v>36.5</v>
      </c>
      <c r="P21" s="76" t="n">
        <v>17.5</v>
      </c>
      <c r="Q21" s="76" t="n">
        <v>19.5</v>
      </c>
      <c r="R21" s="76" t="n">
        <v>12</v>
      </c>
      <c r="S21" s="79" t="n">
        <f aca="false">IF(B21="","",IF($N21="NON",0,IF(COUNT(O21:R21)=0,"",SUM(O21:R21))))</f>
        <v>85.5</v>
      </c>
      <c r="T21" s="77" t="n">
        <f aca="false">IF(B21="","",IF($N21="NON",0,IF(COUNT(O21:R21)=0,"",IFERROR(ROUND(SUM(O21:R21)/SUMPRODUCT(ISNUMBER(O21:R21)*$O$8:$R$8)*10,2),""))))</f>
        <v>5.03</v>
      </c>
      <c r="U21" s="75" t="s">
        <v>39</v>
      </c>
      <c r="V21" s="76" t="n">
        <v>22</v>
      </c>
      <c r="W21" s="76" t="n">
        <v>26.5</v>
      </c>
      <c r="X21" s="76" t="n">
        <v>22</v>
      </c>
      <c r="Y21" s="76" t="n">
        <v>11</v>
      </c>
      <c r="Z21" s="79" t="n">
        <f aca="false">IF(B21="","",IF($U21="NON",0,IF(COUNT(V21:Y21)=0,"",SUM(V21:Y21))))</f>
        <v>81.5</v>
      </c>
      <c r="AA21" s="77" t="n">
        <f aca="false">IF(B21="","",IF($U21="NON",0,IF(COUNT(V21:Y21)=0,"",IFERROR(ROUND(SUM(V21:Y21)/SUMPRODUCT(ISNUMBER(V21:Y21)*$V$8:$Y$8)*10,2),""))))</f>
        <v>4.79</v>
      </c>
      <c r="AB21" s="75" t="s">
        <v>39</v>
      </c>
      <c r="AC21" s="76" t="n">
        <v>36</v>
      </c>
      <c r="AD21" s="76" t="n">
        <v>36.5</v>
      </c>
      <c r="AE21" s="76" t="n">
        <v>17.5</v>
      </c>
      <c r="AF21" s="76" t="n">
        <v>11</v>
      </c>
      <c r="AG21" s="79" t="n">
        <f aca="false">IF(B21="","",IF($AB21="NON",0,IF(COUNT(AC21:AF21)=0,"",SUM(AC21:AF21))))</f>
        <v>101</v>
      </c>
      <c r="AH21" s="77" t="n">
        <f aca="false">IF(B21="","",IF($AB21="NON",0,IF(COUNT(AC21:AF21)=0,"",IFERROR(ROUND(SUM(AC21:AF21)/SUMPRODUCT(ISNUMBER(AC21:AF21)*$AC$8:$AF$8)*10,2),""))))</f>
        <v>5.94</v>
      </c>
      <c r="AI21" s="51" t="n">
        <f aca="false">IFERROR(MATCH("CEM-12",'REGISTRE ELEVES'!$AI$10:$AI$250,0),"")</f>
        <v>44</v>
      </c>
    </row>
    <row r="22" customFormat="false" ht="15" hidden="false" customHeight="false" outlineLevel="0" collapsed="false">
      <c r="A22" s="73" t="n">
        <f aca="false">IF(B22="","",13)</f>
        <v>13</v>
      </c>
      <c r="B22" s="73" t="str">
        <f aca="false">IF($AI22="","",INDEX('REGISTRE ELEVES'!$B$10:$B$250,$AI22))</f>
        <v>CM1-001-26</v>
      </c>
      <c r="C22" s="74" t="str">
        <f aca="false">IF($AI22="","",INDEX('REGISTRE ELEVES'!$D$10:$D$250,$AI22))</f>
        <v>TRAORE Koffi Abdoulaye</v>
      </c>
      <c r="D22" s="73" t="str">
        <f aca="false">IF($AI22="","",INDEX('REGISTRE ELEVES'!$E$10:$E$250,$AI22))</f>
        <v>M</v>
      </c>
      <c r="E22" s="73" t="str">
        <f aca="false">IF($AI22="","",INDEX('REGISTRE ELEVES'!$F$10:$F$250,$AI22))</f>
        <v>CM1</v>
      </c>
      <c r="F22" s="73" t="str">
        <f aca="false">IF($AI22="","",INDEX('REGISTRE ELEVES'!$AE$10:$AE$250,$AI22))</f>
        <v>PRESENT</v>
      </c>
      <c r="G22" s="75" t="s">
        <v>39</v>
      </c>
      <c r="H22" s="76" t="n">
        <v>43.5</v>
      </c>
      <c r="I22" s="76" t="n">
        <v>41</v>
      </c>
      <c r="J22" s="76" t="n">
        <v>41</v>
      </c>
      <c r="K22" s="76" t="n">
        <v>14</v>
      </c>
      <c r="L22" s="79" t="n">
        <f aca="false">IF(B22="","",IF($G22="NON",0,IF(COUNT(H22:K22)=0,"",SUM(H22:K22))))</f>
        <v>139.5</v>
      </c>
      <c r="M22" s="77" t="n">
        <f aca="false">IF(B22="","",IF($G22="NON",0,IF(COUNT(H22:K22)=0,"",IFERROR(ROUND(SUM(H22:K22)/SUMPRODUCT(ISNUMBER(H22:K22)*$H$8:$K$8)*10,2),""))))</f>
        <v>8.21</v>
      </c>
      <c r="N22" s="75" t="s">
        <v>39</v>
      </c>
      <c r="O22" s="76" t="n">
        <v>44</v>
      </c>
      <c r="P22" s="76" t="n">
        <v>45.5</v>
      </c>
      <c r="Q22" s="76" t="n">
        <v>47</v>
      </c>
      <c r="R22" s="76" t="n">
        <v>16.5</v>
      </c>
      <c r="S22" s="79" t="n">
        <f aca="false">IF(B22="","",IF($N22="NON",0,IF(COUNT(O22:R22)=0,"",SUM(O22:R22))))</f>
        <v>153</v>
      </c>
      <c r="T22" s="77" t="n">
        <f aca="false">IF(B22="","",IF($N22="NON",0,IF(COUNT(O22:R22)=0,"",IFERROR(ROUND(SUM(O22:R22)/SUMPRODUCT(ISNUMBER(O22:R22)*$O$8:$R$8)*10,2),""))))</f>
        <v>9</v>
      </c>
      <c r="U22" s="75" t="s">
        <v>39</v>
      </c>
      <c r="V22" s="76" t="n">
        <v>43.5</v>
      </c>
      <c r="W22" s="76" t="n">
        <v>43</v>
      </c>
      <c r="X22" s="76" t="n">
        <v>38.5</v>
      </c>
      <c r="Y22" s="76" t="n">
        <v>16.5</v>
      </c>
      <c r="Z22" s="79" t="n">
        <f aca="false">IF(B22="","",IF($U22="NON",0,IF(COUNT(V22:Y22)=0,"",SUM(V22:Y22))))</f>
        <v>141.5</v>
      </c>
      <c r="AA22" s="77" t="n">
        <f aca="false">IF(B22="","",IF($U22="NON",0,IF(COUNT(V22:Y22)=0,"",IFERROR(ROUND(SUM(V22:Y22)/SUMPRODUCT(ISNUMBER(V22:Y22)*$V$8:$Y$8)*10,2),""))))</f>
        <v>8.32</v>
      </c>
      <c r="AB22" s="75" t="s">
        <v>39</v>
      </c>
      <c r="AC22" s="76" t="n">
        <v>39</v>
      </c>
      <c r="AD22" s="76" t="n">
        <v>36</v>
      </c>
      <c r="AE22" s="76" t="n">
        <v>29.5</v>
      </c>
      <c r="AF22" s="76" t="n">
        <v>14</v>
      </c>
      <c r="AG22" s="79" t="n">
        <f aca="false">IF(B22="","",IF($AB22="NON",0,IF(COUNT(AC22:AF22)=0,"",SUM(AC22:AF22))))</f>
        <v>118.5</v>
      </c>
      <c r="AH22" s="77" t="n">
        <f aca="false">IF(B22="","",IF($AB22="NON",0,IF(COUNT(AC22:AF22)=0,"",IFERROR(ROUND(SUM(AC22:AF22)/SUMPRODUCT(ISNUMBER(AC22:AF22)*$AC$8:$AF$8)*10,2),""))))</f>
        <v>6.97</v>
      </c>
      <c r="AI22" s="51" t="n">
        <f aca="false">IFERROR(MATCH("CEM-13",'REGISTRE ELEVES'!$AI$10:$AI$250,0),"")</f>
        <v>45</v>
      </c>
    </row>
    <row r="23" customFormat="false" ht="15" hidden="false" customHeight="false" outlineLevel="0" collapsed="false">
      <c r="A23" s="73" t="n">
        <f aca="false">IF(B23="","",14)</f>
        <v>14</v>
      </c>
      <c r="B23" s="73" t="str">
        <f aca="false">IF($AI23="","",INDEX('REGISTRE ELEVES'!$B$10:$B$250,$AI23))</f>
        <v>CM1-002-26</v>
      </c>
      <c r="C23" s="74" t="str">
        <f aca="false">IF($AI23="","",INDEX('REGISTRE ELEVES'!$D$10:$D$250,$AI23))</f>
        <v>KONE Fatoumata Marie-Ange</v>
      </c>
      <c r="D23" s="73" t="str">
        <f aca="false">IF($AI23="","",INDEX('REGISTRE ELEVES'!$E$10:$E$250,$AI23))</f>
        <v>F</v>
      </c>
      <c r="E23" s="73" t="str">
        <f aca="false">IF($AI23="","",INDEX('REGISTRE ELEVES'!$F$10:$F$250,$AI23))</f>
        <v>CM1</v>
      </c>
      <c r="F23" s="73" t="str">
        <f aca="false">IF($AI23="","",INDEX('REGISTRE ELEVES'!$AE$10:$AE$250,$AI23))</f>
        <v>PRESENT</v>
      </c>
      <c r="G23" s="75" t="s">
        <v>39</v>
      </c>
      <c r="H23" s="76" t="n">
        <v>24.5</v>
      </c>
      <c r="I23" s="76" t="n">
        <v>22</v>
      </c>
      <c r="J23" s="76" t="n">
        <v>19.5</v>
      </c>
      <c r="K23" s="76" t="n">
        <v>8</v>
      </c>
      <c r="L23" s="79" t="n">
        <f aca="false">IF(B23="","",IF($G23="NON",0,IF(COUNT(H23:K23)=0,"",SUM(H23:K23))))</f>
        <v>74</v>
      </c>
      <c r="M23" s="77" t="n">
        <f aca="false">IF(B23="","",IF($G23="NON",0,IF(COUNT(H23:K23)=0,"",IFERROR(ROUND(SUM(H23:K23)/SUMPRODUCT(ISNUMBER(H23:K23)*$H$8:$K$8)*10,2),""))))</f>
        <v>4.35</v>
      </c>
      <c r="N23" s="75" t="s">
        <v>39</v>
      </c>
      <c r="O23" s="76" t="n">
        <v>17.5</v>
      </c>
      <c r="P23" s="76" t="n">
        <v>15</v>
      </c>
      <c r="Q23" s="76" t="n">
        <v>32</v>
      </c>
      <c r="R23" s="76" t="n">
        <v>9.5</v>
      </c>
      <c r="S23" s="79" t="n">
        <f aca="false">IF(B23="","",IF($N23="NON",0,IF(COUNT(O23:R23)=0,"",SUM(O23:R23))))</f>
        <v>74</v>
      </c>
      <c r="T23" s="77" t="n">
        <f aca="false">IF(B23="","",IF($N23="NON",0,IF(COUNT(O23:R23)=0,"",IFERROR(ROUND(SUM(O23:R23)/SUMPRODUCT(ISNUMBER(O23:R23)*$O$8:$R$8)*10,2),""))))</f>
        <v>4.35</v>
      </c>
      <c r="U23" s="75" t="s">
        <v>39</v>
      </c>
      <c r="V23" s="76" t="n">
        <v>26</v>
      </c>
      <c r="W23" s="76" t="n">
        <v>20.5</v>
      </c>
      <c r="X23" s="76" t="n">
        <v>18</v>
      </c>
      <c r="Y23" s="76" t="n">
        <v>6.5</v>
      </c>
      <c r="Z23" s="79" t="n">
        <f aca="false">IF(B23="","",IF($U23="NON",0,IF(COUNT(V23:Y23)=0,"",SUM(V23:Y23))))</f>
        <v>71</v>
      </c>
      <c r="AA23" s="77" t="n">
        <f aca="false">IF(B23="","",IF($U23="NON",0,IF(COUNT(V23:Y23)=0,"",IFERROR(ROUND(SUM(V23:Y23)/SUMPRODUCT(ISNUMBER(V23:Y23)*$V$8:$Y$8)*10,2),""))))</f>
        <v>4.18</v>
      </c>
      <c r="AB23" s="75" t="s">
        <v>39</v>
      </c>
      <c r="AC23" s="76" t="n">
        <v>21</v>
      </c>
      <c r="AD23" s="76" t="n">
        <v>29</v>
      </c>
      <c r="AE23" s="76" t="n">
        <v>25.5</v>
      </c>
      <c r="AF23" s="76" t="n">
        <v>13.5</v>
      </c>
      <c r="AG23" s="79" t="n">
        <f aca="false">IF(B23="","",IF($AB23="NON",0,IF(COUNT(AC23:AF23)=0,"",SUM(AC23:AF23))))</f>
        <v>89</v>
      </c>
      <c r="AH23" s="77" t="n">
        <f aca="false">IF(B23="","",IF($AB23="NON",0,IF(COUNT(AC23:AF23)=0,"",IFERROR(ROUND(SUM(AC23:AF23)/SUMPRODUCT(ISNUMBER(AC23:AF23)*$AC$8:$AF$8)*10,2),""))))</f>
        <v>5.24</v>
      </c>
      <c r="AI23" s="51" t="n">
        <f aca="false">IFERROR(MATCH("CEM-14",'REGISTRE ELEVES'!$AI$10:$AI$250,0),"")</f>
        <v>46</v>
      </c>
    </row>
    <row r="24" customFormat="false" ht="15" hidden="false" customHeight="false" outlineLevel="0" collapsed="false">
      <c r="A24" s="73" t="n">
        <f aca="false">IF(B24="","",15)</f>
        <v>15</v>
      </c>
      <c r="B24" s="73" t="str">
        <f aca="false">IF($AI24="","",INDEX('REGISTRE ELEVES'!$B$10:$B$250,$AI24))</f>
        <v>CM1-003-26</v>
      </c>
      <c r="C24" s="74" t="str">
        <f aca="false">IF($AI24="","",INDEX('REGISTRE ELEVES'!$D$10:$D$250,$AI24))</f>
        <v>KONAN Adjoua Mariam</v>
      </c>
      <c r="D24" s="73" t="str">
        <f aca="false">IF($AI24="","",INDEX('REGISTRE ELEVES'!$E$10:$E$250,$AI24))</f>
        <v>F</v>
      </c>
      <c r="E24" s="73" t="str">
        <f aca="false">IF($AI24="","",INDEX('REGISTRE ELEVES'!$F$10:$F$250,$AI24))</f>
        <v>CM1</v>
      </c>
      <c r="F24" s="73" t="str">
        <f aca="false">IF($AI24="","",INDEX('REGISTRE ELEVES'!$AE$10:$AE$250,$AI24))</f>
        <v>PRESENT</v>
      </c>
      <c r="G24" s="75" t="s">
        <v>39</v>
      </c>
      <c r="H24" s="76" t="n">
        <v>27</v>
      </c>
      <c r="I24" s="76" t="n">
        <v>17</v>
      </c>
      <c r="J24" s="76" t="n">
        <v>19</v>
      </c>
      <c r="K24" s="76" t="n">
        <v>10.5</v>
      </c>
      <c r="L24" s="79" t="n">
        <f aca="false">IF(B24="","",IF($G24="NON",0,IF(COUNT(H24:K24)=0,"",SUM(H24:K24))))</f>
        <v>73.5</v>
      </c>
      <c r="M24" s="77" t="n">
        <f aca="false">IF(B24="","",IF($G24="NON",0,IF(COUNT(H24:K24)=0,"",IFERROR(ROUND(SUM(H24:K24)/SUMPRODUCT(ISNUMBER(H24:K24)*$H$8:$K$8)*10,2),""))))</f>
        <v>4.32</v>
      </c>
      <c r="N24" s="75" t="s">
        <v>39</v>
      </c>
      <c r="O24" s="76" t="n">
        <v>22.5</v>
      </c>
      <c r="P24" s="76" t="n">
        <v>30.5</v>
      </c>
      <c r="Q24" s="76" t="n">
        <v>24</v>
      </c>
      <c r="R24" s="76" t="n">
        <v>13</v>
      </c>
      <c r="S24" s="79" t="n">
        <f aca="false">IF(B24="","",IF($N24="NON",0,IF(COUNT(O24:R24)=0,"",SUM(O24:R24))))</f>
        <v>90</v>
      </c>
      <c r="T24" s="77" t="n">
        <f aca="false">IF(B24="","",IF($N24="NON",0,IF(COUNT(O24:R24)=0,"",IFERROR(ROUND(SUM(O24:R24)/SUMPRODUCT(ISNUMBER(O24:R24)*$O$8:$R$8)*10,2),""))))</f>
        <v>5.29</v>
      </c>
      <c r="U24" s="75" t="s">
        <v>39</v>
      </c>
      <c r="V24" s="76" t="n">
        <v>25</v>
      </c>
      <c r="W24" s="76" t="n">
        <v>33</v>
      </c>
      <c r="X24" s="76" t="n">
        <v>20.5</v>
      </c>
      <c r="Y24" s="76" t="n">
        <v>8</v>
      </c>
      <c r="Z24" s="79" t="n">
        <f aca="false">IF(B24="","",IF($U24="NON",0,IF(COUNT(V24:Y24)=0,"",SUM(V24:Y24))))</f>
        <v>86.5</v>
      </c>
      <c r="AA24" s="77" t="n">
        <f aca="false">IF(B24="","",IF($U24="NON",0,IF(COUNT(V24:Y24)=0,"",IFERROR(ROUND(SUM(V24:Y24)/SUMPRODUCT(ISNUMBER(V24:Y24)*$V$8:$Y$8)*10,2),""))))</f>
        <v>5.09</v>
      </c>
      <c r="AB24" s="75" t="s">
        <v>46</v>
      </c>
      <c r="AC24" s="76"/>
      <c r="AD24" s="76"/>
      <c r="AE24" s="76"/>
      <c r="AF24" s="76"/>
      <c r="AG24" s="79" t="n">
        <f aca="false">IF(B24="","",IF($AB24="NON",0,IF(COUNT(AC24:AF24)=0,"",SUM(AC24:AF24))))</f>
        <v>0</v>
      </c>
      <c r="AH24" s="77" t="n">
        <f aca="false">IF(B24="","",IF($AB24="NON",0,IF(COUNT(AC24:AF24)=0,"",IFERROR(ROUND(SUM(AC24:AF24)/SUMPRODUCT(ISNUMBER(AC24:AF24)*$AC$8:$AF$8)*10,2),""))))</f>
        <v>0</v>
      </c>
      <c r="AI24" s="51" t="n">
        <f aca="false">IFERROR(MATCH("CEM-15",'REGISTRE ELEVES'!$AI$10:$AI$250,0),"")</f>
        <v>47</v>
      </c>
    </row>
    <row r="25" customFormat="false" ht="15" hidden="false" customHeight="false" outlineLevel="0" collapsed="false">
      <c r="A25" s="73" t="n">
        <f aca="false">IF(B25="","",16)</f>
        <v>16</v>
      </c>
      <c r="B25" s="73" t="str">
        <f aca="false">IF($AI25="","",INDEX('REGISTRE ELEVES'!$B$10:$B$250,$AI25))</f>
        <v>CM1-004-26</v>
      </c>
      <c r="C25" s="74" t="str">
        <f aca="false">IF($AI25="","",INDEX('REGISTRE ELEVES'!$D$10:$D$250,$AI25))</f>
        <v>SORO Koffi Ismaël</v>
      </c>
      <c r="D25" s="73" t="str">
        <f aca="false">IF($AI25="","",INDEX('REGISTRE ELEVES'!$E$10:$E$250,$AI25))</f>
        <v>M</v>
      </c>
      <c r="E25" s="73" t="str">
        <f aca="false">IF($AI25="","",INDEX('REGISTRE ELEVES'!$F$10:$F$250,$AI25))</f>
        <v>CM1</v>
      </c>
      <c r="F25" s="73" t="str">
        <f aca="false">IF($AI25="","",INDEX('REGISTRE ELEVES'!$AE$10:$AE$250,$AI25))</f>
        <v>PRESENT</v>
      </c>
      <c r="G25" s="75" t="s">
        <v>39</v>
      </c>
      <c r="H25" s="76" t="n">
        <v>24</v>
      </c>
      <c r="I25" s="76" t="n">
        <v>14.5</v>
      </c>
      <c r="J25" s="76" t="n">
        <v>18</v>
      </c>
      <c r="K25" s="76" t="n">
        <v>5.5</v>
      </c>
      <c r="L25" s="79" t="n">
        <f aca="false">IF(B25="","",IF($G25="NON",0,IF(COUNT(H25:K25)=0,"",SUM(H25:K25))))</f>
        <v>62</v>
      </c>
      <c r="M25" s="77" t="n">
        <f aca="false">IF(B25="","",IF($G25="NON",0,IF(COUNT(H25:K25)=0,"",IFERROR(ROUND(SUM(H25:K25)/SUMPRODUCT(ISNUMBER(H25:K25)*$H$8:$K$8)*10,2),""))))</f>
        <v>3.65</v>
      </c>
      <c r="N25" s="75" t="s">
        <v>39</v>
      </c>
      <c r="O25" s="76" t="n">
        <v>27</v>
      </c>
      <c r="P25" s="76" t="n">
        <v>23</v>
      </c>
      <c r="Q25" s="76" t="n">
        <v>14</v>
      </c>
      <c r="R25" s="76" t="n">
        <v>10</v>
      </c>
      <c r="S25" s="79" t="n">
        <f aca="false">IF(B25="","",IF($N25="NON",0,IF(COUNT(O25:R25)=0,"",SUM(O25:R25))))</f>
        <v>74</v>
      </c>
      <c r="T25" s="77" t="n">
        <f aca="false">IF(B25="","",IF($N25="NON",0,IF(COUNT(O25:R25)=0,"",IFERROR(ROUND(SUM(O25:R25)/SUMPRODUCT(ISNUMBER(O25:R25)*$O$8:$R$8)*10,2),""))))</f>
        <v>4.35</v>
      </c>
      <c r="U25" s="75" t="s">
        <v>39</v>
      </c>
      <c r="V25" s="76" t="n">
        <v>22</v>
      </c>
      <c r="W25" s="76" t="n">
        <v>11.5</v>
      </c>
      <c r="X25" s="76" t="n">
        <v>26</v>
      </c>
      <c r="Y25" s="76" t="n">
        <v>11</v>
      </c>
      <c r="Z25" s="79" t="n">
        <f aca="false">IF(B25="","",IF($U25="NON",0,IF(COUNT(V25:Y25)=0,"",SUM(V25:Y25))))</f>
        <v>70.5</v>
      </c>
      <c r="AA25" s="77" t="n">
        <f aca="false">IF(B25="","",IF($U25="NON",0,IF(COUNT(V25:Y25)=0,"",IFERROR(ROUND(SUM(V25:Y25)/SUMPRODUCT(ISNUMBER(V25:Y25)*$V$8:$Y$8)*10,2),""))))</f>
        <v>4.15</v>
      </c>
      <c r="AB25" s="75" t="s">
        <v>39</v>
      </c>
      <c r="AC25" s="76" t="n">
        <v>12.5</v>
      </c>
      <c r="AD25" s="76" t="n">
        <v>13.5</v>
      </c>
      <c r="AE25" s="76" t="n">
        <v>20.5</v>
      </c>
      <c r="AF25" s="76" t="n">
        <v>11</v>
      </c>
      <c r="AG25" s="79" t="n">
        <f aca="false">IF(B25="","",IF($AB25="NON",0,IF(COUNT(AC25:AF25)=0,"",SUM(AC25:AF25))))</f>
        <v>57.5</v>
      </c>
      <c r="AH25" s="77" t="n">
        <f aca="false">IF(B25="","",IF($AB25="NON",0,IF(COUNT(AC25:AF25)=0,"",IFERROR(ROUND(SUM(AC25:AF25)/SUMPRODUCT(ISNUMBER(AC25:AF25)*$AC$8:$AF$8)*10,2),""))))</f>
        <v>3.38</v>
      </c>
      <c r="AI25" s="51" t="n">
        <f aca="false">IFERROR(MATCH("CEM-16",'REGISTRE ELEVES'!$AI$10:$AI$250,0),"")</f>
        <v>48</v>
      </c>
    </row>
    <row r="26" customFormat="false" ht="15" hidden="false" customHeight="false" outlineLevel="0" collapsed="false">
      <c r="A26" s="73" t="n">
        <f aca="false">IF(B26="","",17)</f>
        <v>17</v>
      </c>
      <c r="B26" s="73" t="str">
        <f aca="false">IF($AI26="","",INDEX('REGISTRE ELEVES'!$B$10:$B$250,$AI26))</f>
        <v>CM1-005-26</v>
      </c>
      <c r="C26" s="74" t="str">
        <f aca="false">IF($AI26="","",INDEX('REGISTRE ELEVES'!$D$10:$D$250,$AI26))</f>
        <v>SERI Konan Franck</v>
      </c>
      <c r="D26" s="73" t="str">
        <f aca="false">IF($AI26="","",INDEX('REGISTRE ELEVES'!$E$10:$E$250,$AI26))</f>
        <v>M</v>
      </c>
      <c r="E26" s="73" t="str">
        <f aca="false">IF($AI26="","",INDEX('REGISTRE ELEVES'!$F$10:$F$250,$AI26))</f>
        <v>CM1</v>
      </c>
      <c r="F26" s="73" t="str">
        <f aca="false">IF($AI26="","",INDEX('REGISTRE ELEVES'!$AE$10:$AE$250,$AI26))</f>
        <v>PRESENT</v>
      </c>
      <c r="G26" s="75" t="s">
        <v>39</v>
      </c>
      <c r="H26" s="76" t="n">
        <v>28.5</v>
      </c>
      <c r="I26" s="76" t="n">
        <v>30.5</v>
      </c>
      <c r="J26" s="76" t="n">
        <v>39</v>
      </c>
      <c r="K26" s="76" t="n">
        <v>15</v>
      </c>
      <c r="L26" s="79" t="n">
        <f aca="false">IF(B26="","",IF($G26="NON",0,IF(COUNT(H26:K26)=0,"",SUM(H26:K26))))</f>
        <v>113</v>
      </c>
      <c r="M26" s="77" t="n">
        <f aca="false">IF(B26="","",IF($G26="NON",0,IF(COUNT(H26:K26)=0,"",IFERROR(ROUND(SUM(H26:K26)/SUMPRODUCT(ISNUMBER(H26:K26)*$H$8:$K$8)*10,2),""))))</f>
        <v>6.65</v>
      </c>
      <c r="N26" s="75" t="s">
        <v>39</v>
      </c>
      <c r="O26" s="76" t="n">
        <v>38</v>
      </c>
      <c r="P26" s="76" t="n">
        <v>31</v>
      </c>
      <c r="Q26" s="76" t="n">
        <v>25.5</v>
      </c>
      <c r="R26" s="76" t="n">
        <v>13</v>
      </c>
      <c r="S26" s="79" t="n">
        <f aca="false">IF(B26="","",IF($N26="NON",0,IF(COUNT(O26:R26)=0,"",SUM(O26:R26))))</f>
        <v>107.5</v>
      </c>
      <c r="T26" s="77" t="n">
        <f aca="false">IF(B26="","",IF($N26="NON",0,IF(COUNT(O26:R26)=0,"",IFERROR(ROUND(SUM(O26:R26)/SUMPRODUCT(ISNUMBER(O26:R26)*$O$8:$R$8)*10,2),""))))</f>
        <v>6.32</v>
      </c>
      <c r="U26" s="75" t="s">
        <v>39</v>
      </c>
      <c r="V26" s="76" t="n">
        <v>36.5</v>
      </c>
      <c r="W26" s="76" t="n">
        <v>31</v>
      </c>
      <c r="X26" s="76" t="n">
        <v>34</v>
      </c>
      <c r="Y26" s="76" t="n">
        <v>14.5</v>
      </c>
      <c r="Z26" s="79" t="n">
        <f aca="false">IF(B26="","",IF($U26="NON",0,IF(COUNT(V26:Y26)=0,"",SUM(V26:Y26))))</f>
        <v>116</v>
      </c>
      <c r="AA26" s="77" t="n">
        <f aca="false">IF(B26="","",IF($U26="NON",0,IF(COUNT(V26:Y26)=0,"",IFERROR(ROUND(SUM(V26:Y26)/SUMPRODUCT(ISNUMBER(V26:Y26)*$V$8:$Y$8)*10,2),""))))</f>
        <v>6.82</v>
      </c>
      <c r="AB26" s="75" t="s">
        <v>39</v>
      </c>
      <c r="AC26" s="76" t="n">
        <v>33.5</v>
      </c>
      <c r="AD26" s="76" t="n">
        <v>24.5</v>
      </c>
      <c r="AE26" s="76" t="n">
        <v>42.5</v>
      </c>
      <c r="AF26" s="76" t="n">
        <v>14</v>
      </c>
      <c r="AG26" s="79" t="n">
        <f aca="false">IF(B26="","",IF($AB26="NON",0,IF(COUNT(AC26:AF26)=0,"",SUM(AC26:AF26))))</f>
        <v>114.5</v>
      </c>
      <c r="AH26" s="77" t="n">
        <f aca="false">IF(B26="","",IF($AB26="NON",0,IF(COUNT(AC26:AF26)=0,"",IFERROR(ROUND(SUM(AC26:AF26)/SUMPRODUCT(ISNUMBER(AC26:AF26)*$AC$8:$AF$8)*10,2),""))))</f>
        <v>6.74</v>
      </c>
      <c r="AI26" s="51" t="n">
        <f aca="false">IFERROR(MATCH("CEM-17",'REGISTRE ELEVES'!$AI$10:$AI$250,0),"")</f>
        <v>49</v>
      </c>
    </row>
    <row r="27" customFormat="false" ht="15" hidden="false" customHeight="false" outlineLevel="0" collapsed="false">
      <c r="A27" s="73" t="n">
        <f aca="false">IF(B27="","",18)</f>
        <v>18</v>
      </c>
      <c r="B27" s="73" t="str">
        <f aca="false">IF($AI27="","",INDEX('REGISTRE ELEVES'!$B$10:$B$250,$AI27))</f>
        <v>CM1-006-26</v>
      </c>
      <c r="C27" s="74" t="str">
        <f aca="false">IF($AI27="","",INDEX('REGISTRE ELEVES'!$D$10:$D$250,$AI27))</f>
        <v>N'GUESSAN Jean-Marc Junior</v>
      </c>
      <c r="D27" s="73" t="str">
        <f aca="false">IF($AI27="","",INDEX('REGISTRE ELEVES'!$E$10:$E$250,$AI27))</f>
        <v>M</v>
      </c>
      <c r="E27" s="73" t="str">
        <f aca="false">IF($AI27="","",INDEX('REGISTRE ELEVES'!$F$10:$F$250,$AI27))</f>
        <v>CM1</v>
      </c>
      <c r="F27" s="73" t="str">
        <f aca="false">IF($AI27="","",INDEX('REGISTRE ELEVES'!$AE$10:$AE$250,$AI27))</f>
        <v>PRESENT</v>
      </c>
      <c r="G27" s="75" t="s">
        <v>39</v>
      </c>
      <c r="H27" s="76" t="n">
        <v>47</v>
      </c>
      <c r="I27" s="76" t="n">
        <v>49</v>
      </c>
      <c r="J27" s="76" t="n">
        <v>41</v>
      </c>
      <c r="K27" s="76" t="n">
        <v>14.5</v>
      </c>
      <c r="L27" s="79" t="n">
        <f aca="false">IF(B27="","",IF($G27="NON",0,IF(COUNT(H27:K27)=0,"",SUM(H27:K27))))</f>
        <v>151.5</v>
      </c>
      <c r="M27" s="77" t="n">
        <f aca="false">IF(B27="","",IF($G27="NON",0,IF(COUNT(H27:K27)=0,"",IFERROR(ROUND(SUM(H27:K27)/SUMPRODUCT(ISNUMBER(H27:K27)*$H$8:$K$8)*10,2),""))))</f>
        <v>8.91</v>
      </c>
      <c r="N27" s="75" t="s">
        <v>39</v>
      </c>
      <c r="O27" s="76" t="n">
        <v>37.5</v>
      </c>
      <c r="P27" s="76" t="n">
        <v>50</v>
      </c>
      <c r="Q27" s="76" t="n">
        <v>36.5</v>
      </c>
      <c r="R27" s="76" t="n">
        <v>20</v>
      </c>
      <c r="S27" s="79" t="n">
        <f aca="false">IF(B27="","",IF($N27="NON",0,IF(COUNT(O27:R27)=0,"",SUM(O27:R27))))</f>
        <v>144</v>
      </c>
      <c r="T27" s="77" t="n">
        <f aca="false">IF(B27="","",IF($N27="NON",0,IF(COUNT(O27:R27)=0,"",IFERROR(ROUND(SUM(O27:R27)/SUMPRODUCT(ISNUMBER(O27:R27)*$O$8:$R$8)*10,2),""))))</f>
        <v>8.47</v>
      </c>
      <c r="U27" s="75" t="s">
        <v>39</v>
      </c>
      <c r="V27" s="76" t="n">
        <v>45.5</v>
      </c>
      <c r="W27" s="76" t="n">
        <v>46.5</v>
      </c>
      <c r="X27" s="76" t="n">
        <v>45.5</v>
      </c>
      <c r="Y27" s="76" t="n">
        <v>19</v>
      </c>
      <c r="Z27" s="79" t="n">
        <f aca="false">IF(B27="","",IF($U27="NON",0,IF(COUNT(V27:Y27)=0,"",SUM(V27:Y27))))</f>
        <v>156.5</v>
      </c>
      <c r="AA27" s="77" t="n">
        <f aca="false">IF(B27="","",IF($U27="NON",0,IF(COUNT(V27:Y27)=0,"",IFERROR(ROUND(SUM(V27:Y27)/SUMPRODUCT(ISNUMBER(V27:Y27)*$V$8:$Y$8)*10,2),""))))</f>
        <v>9.21</v>
      </c>
      <c r="AB27" s="75" t="s">
        <v>39</v>
      </c>
      <c r="AC27" s="76" t="n">
        <v>41</v>
      </c>
      <c r="AD27" s="76" t="n">
        <v>49.5</v>
      </c>
      <c r="AE27" s="76" t="n">
        <v>40</v>
      </c>
      <c r="AF27" s="76" t="n">
        <v>19.5</v>
      </c>
      <c r="AG27" s="79" t="n">
        <f aca="false">IF(B27="","",IF($AB27="NON",0,IF(COUNT(AC27:AF27)=0,"",SUM(AC27:AF27))))</f>
        <v>150</v>
      </c>
      <c r="AH27" s="77" t="n">
        <f aca="false">IF(B27="","",IF($AB27="NON",0,IF(COUNT(AC27:AF27)=0,"",IFERROR(ROUND(SUM(AC27:AF27)/SUMPRODUCT(ISNUMBER(AC27:AF27)*$AC$8:$AF$8)*10,2),""))))</f>
        <v>8.82</v>
      </c>
      <c r="AI27" s="51" t="n">
        <f aca="false">IFERROR(MATCH("CEM-18",'REGISTRE ELEVES'!$AI$10:$AI$250,0),"")</f>
        <v>50</v>
      </c>
    </row>
    <row r="28" customFormat="false" ht="15" hidden="false" customHeight="false" outlineLevel="0" collapsed="false">
      <c r="A28" s="73" t="n">
        <f aca="false">IF(B28="","",19)</f>
        <v>19</v>
      </c>
      <c r="B28" s="73" t="str">
        <f aca="false">IF($AI28="","",INDEX('REGISTRE ELEVES'!$B$10:$B$250,$AI28))</f>
        <v>CM1-007-26</v>
      </c>
      <c r="C28" s="74" t="str">
        <f aca="false">IF($AI28="","",INDEX('REGISTRE ELEVES'!$D$10:$D$250,$AI28))</f>
        <v>DIGBEU Cédric Ismaël</v>
      </c>
      <c r="D28" s="73" t="str">
        <f aca="false">IF($AI28="","",INDEX('REGISTRE ELEVES'!$E$10:$E$250,$AI28))</f>
        <v>M</v>
      </c>
      <c r="E28" s="73" t="str">
        <f aca="false">IF($AI28="","",INDEX('REGISTRE ELEVES'!$F$10:$F$250,$AI28))</f>
        <v>CM1</v>
      </c>
      <c r="F28" s="73" t="str">
        <f aca="false">IF($AI28="","",INDEX('REGISTRE ELEVES'!$AE$10:$AE$250,$AI28))</f>
        <v>PRESENT</v>
      </c>
      <c r="G28" s="75" t="s">
        <v>39</v>
      </c>
      <c r="H28" s="76" t="n">
        <v>34</v>
      </c>
      <c r="I28" s="76" t="n">
        <v>43.5</v>
      </c>
      <c r="J28" s="76" t="n">
        <v>47.5</v>
      </c>
      <c r="K28" s="76" t="n">
        <v>15</v>
      </c>
      <c r="L28" s="79" t="n">
        <f aca="false">IF(B28="","",IF($G28="NON",0,IF(COUNT(H28:K28)=0,"",SUM(H28:K28))))</f>
        <v>140</v>
      </c>
      <c r="M28" s="77" t="n">
        <f aca="false">IF(B28="","",IF($G28="NON",0,IF(COUNT(H28:K28)=0,"",IFERROR(ROUND(SUM(H28:K28)/SUMPRODUCT(ISNUMBER(H28:K28)*$H$8:$K$8)*10,2),""))))</f>
        <v>8.24</v>
      </c>
      <c r="N28" s="75" t="s">
        <v>39</v>
      </c>
      <c r="O28" s="76" t="n">
        <v>38.5</v>
      </c>
      <c r="P28" s="76" t="n">
        <v>46.5</v>
      </c>
      <c r="Q28" s="76" t="n">
        <v>30.5</v>
      </c>
      <c r="R28" s="76" t="n">
        <v>11</v>
      </c>
      <c r="S28" s="79" t="n">
        <f aca="false">IF(B28="","",IF($N28="NON",0,IF(COUNT(O28:R28)=0,"",SUM(O28:R28))))</f>
        <v>126.5</v>
      </c>
      <c r="T28" s="77" t="n">
        <f aca="false">IF(B28="","",IF($N28="NON",0,IF(COUNT(O28:R28)=0,"",IFERROR(ROUND(SUM(O28:R28)/SUMPRODUCT(ISNUMBER(O28:R28)*$O$8:$R$8)*10,2),""))))</f>
        <v>7.44</v>
      </c>
      <c r="U28" s="75" t="s">
        <v>39</v>
      </c>
      <c r="V28" s="76" t="n">
        <v>41</v>
      </c>
      <c r="W28" s="76" t="n">
        <v>43.5</v>
      </c>
      <c r="X28" s="76" t="n">
        <v>35</v>
      </c>
      <c r="Y28" s="76" t="n">
        <v>19</v>
      </c>
      <c r="Z28" s="79" t="n">
        <f aca="false">IF(B28="","",IF($U28="NON",0,IF(COUNT(V28:Y28)=0,"",SUM(V28:Y28))))</f>
        <v>138.5</v>
      </c>
      <c r="AA28" s="77" t="n">
        <f aca="false">IF(B28="","",IF($U28="NON",0,IF(COUNT(V28:Y28)=0,"",IFERROR(ROUND(SUM(V28:Y28)/SUMPRODUCT(ISNUMBER(V28:Y28)*$V$8:$Y$8)*10,2),""))))</f>
        <v>8.15</v>
      </c>
      <c r="AB28" s="75" t="s">
        <v>39</v>
      </c>
      <c r="AC28" s="76" t="n">
        <v>43</v>
      </c>
      <c r="AD28" s="76" t="n">
        <v>29.5</v>
      </c>
      <c r="AE28" s="76" t="n">
        <v>28.5</v>
      </c>
      <c r="AF28" s="76" t="n">
        <v>12</v>
      </c>
      <c r="AG28" s="79" t="n">
        <f aca="false">IF(B28="","",IF($AB28="NON",0,IF(COUNT(AC28:AF28)=0,"",SUM(AC28:AF28))))</f>
        <v>113</v>
      </c>
      <c r="AH28" s="77" t="n">
        <f aca="false">IF(B28="","",IF($AB28="NON",0,IF(COUNT(AC28:AF28)=0,"",IFERROR(ROUND(SUM(AC28:AF28)/SUMPRODUCT(ISNUMBER(AC28:AF28)*$AC$8:$AF$8)*10,2),""))))</f>
        <v>6.65</v>
      </c>
      <c r="AI28" s="51" t="n">
        <f aca="false">IFERROR(MATCH("CEM-19",'REGISTRE ELEVES'!$AI$10:$AI$250,0),"")</f>
        <v>51</v>
      </c>
    </row>
    <row r="29" customFormat="false" ht="15" hidden="false" customHeight="false" outlineLevel="0" collapsed="false">
      <c r="A29" s="73" t="n">
        <f aca="false">IF(B29="","",20)</f>
        <v>20</v>
      </c>
      <c r="B29" s="73" t="str">
        <f aca="false">IF($AI29="","",INDEX('REGISTRE ELEVES'!$B$10:$B$250,$AI29))</f>
        <v>CM1-008-26</v>
      </c>
      <c r="C29" s="74" t="str">
        <f aca="false">IF($AI29="","",INDEX('REGISTRE ELEVES'!$D$10:$D$250,$AI29))</f>
        <v>KOFFI Awa Amenan</v>
      </c>
      <c r="D29" s="73" t="str">
        <f aca="false">IF($AI29="","",INDEX('REGISTRE ELEVES'!$E$10:$E$250,$AI29))</f>
        <v>F</v>
      </c>
      <c r="E29" s="73" t="str">
        <f aca="false">IF($AI29="","",INDEX('REGISTRE ELEVES'!$F$10:$F$250,$AI29))</f>
        <v>CM1</v>
      </c>
      <c r="F29" s="73" t="str">
        <f aca="false">IF($AI29="","",INDEX('REGISTRE ELEVES'!$AE$10:$AE$250,$AI29))</f>
        <v>PRESENT</v>
      </c>
      <c r="G29" s="75" t="s">
        <v>39</v>
      </c>
      <c r="H29" s="76" t="n">
        <v>18</v>
      </c>
      <c r="I29" s="76" t="n">
        <v>10.5</v>
      </c>
      <c r="J29" s="76" t="n">
        <v>25.5</v>
      </c>
      <c r="K29" s="76" t="n">
        <v>5.5</v>
      </c>
      <c r="L29" s="79" t="n">
        <f aca="false">IF(B29="","",IF($G29="NON",0,IF(COUNT(H29:K29)=0,"",SUM(H29:K29))))</f>
        <v>59.5</v>
      </c>
      <c r="M29" s="77" t="n">
        <f aca="false">IF(B29="","",IF($G29="NON",0,IF(COUNT(H29:K29)=0,"",IFERROR(ROUND(SUM(H29:K29)/SUMPRODUCT(ISNUMBER(H29:K29)*$H$8:$K$8)*10,2),""))))</f>
        <v>3.5</v>
      </c>
      <c r="N29" s="75" t="s">
        <v>39</v>
      </c>
      <c r="O29" s="76" t="n">
        <v>10.5</v>
      </c>
      <c r="P29" s="76" t="n">
        <v>21.5</v>
      </c>
      <c r="Q29" s="76" t="n">
        <v>25</v>
      </c>
      <c r="R29" s="76" t="n">
        <v>4</v>
      </c>
      <c r="S29" s="79" t="n">
        <f aca="false">IF(B29="","",IF($N29="NON",0,IF(COUNT(O29:R29)=0,"",SUM(O29:R29))))</f>
        <v>61</v>
      </c>
      <c r="T29" s="77" t="n">
        <f aca="false">IF(B29="","",IF($N29="NON",0,IF(COUNT(O29:R29)=0,"",IFERROR(ROUND(SUM(O29:R29)/SUMPRODUCT(ISNUMBER(O29:R29)*$O$8:$R$8)*10,2),""))))</f>
        <v>3.59</v>
      </c>
      <c r="U29" s="75" t="s">
        <v>46</v>
      </c>
      <c r="V29" s="76"/>
      <c r="W29" s="76"/>
      <c r="X29" s="76"/>
      <c r="Y29" s="76"/>
      <c r="Z29" s="79" t="n">
        <f aca="false">IF(B29="","",IF($U29="NON",0,IF(COUNT(V29:Y29)=0,"",SUM(V29:Y29))))</f>
        <v>0</v>
      </c>
      <c r="AA29" s="77" t="n">
        <f aca="false">IF(B29="","",IF($U29="NON",0,IF(COUNT(V29:Y29)=0,"",IFERROR(ROUND(SUM(V29:Y29)/SUMPRODUCT(ISNUMBER(V29:Y29)*$V$8:$Y$8)*10,2),""))))</f>
        <v>0</v>
      </c>
      <c r="AB29" s="75" t="s">
        <v>39</v>
      </c>
      <c r="AC29" s="76" t="n">
        <v>11.5</v>
      </c>
      <c r="AD29" s="76" t="n">
        <v>26.5</v>
      </c>
      <c r="AE29" s="76" t="n">
        <v>17</v>
      </c>
      <c r="AF29" s="76" t="n">
        <v>8</v>
      </c>
      <c r="AG29" s="79" t="n">
        <f aca="false">IF(B29="","",IF($AB29="NON",0,IF(COUNT(AC29:AF29)=0,"",SUM(AC29:AF29))))</f>
        <v>63</v>
      </c>
      <c r="AH29" s="77" t="n">
        <f aca="false">IF(B29="","",IF($AB29="NON",0,IF(COUNT(AC29:AF29)=0,"",IFERROR(ROUND(SUM(AC29:AF29)/SUMPRODUCT(ISNUMBER(AC29:AF29)*$AC$8:$AF$8)*10,2),""))))</f>
        <v>3.71</v>
      </c>
      <c r="AI29" s="51" t="n">
        <f aca="false">IFERROR(MATCH("CEM-20",'REGISTRE ELEVES'!$AI$10:$AI$250,0),"")</f>
        <v>52</v>
      </c>
    </row>
    <row r="30" customFormat="false" ht="15" hidden="false" customHeight="false" outlineLevel="0" collapsed="false">
      <c r="A30" s="73" t="n">
        <f aca="false">IF(B30="","",21)</f>
        <v>21</v>
      </c>
      <c r="B30" s="73" t="str">
        <f aca="false">IF($AI30="","",INDEX('REGISTRE ELEVES'!$B$10:$B$250,$AI30))</f>
        <v>CM1-009-26</v>
      </c>
      <c r="C30" s="74" t="str">
        <f aca="false">IF($AI30="","",INDEX('REGISTRE ELEVES'!$D$10:$D$250,$AI30))</f>
        <v>DIABATE Jean-Marc Cédric</v>
      </c>
      <c r="D30" s="73" t="str">
        <f aca="false">IF($AI30="","",INDEX('REGISTRE ELEVES'!$E$10:$E$250,$AI30))</f>
        <v>M</v>
      </c>
      <c r="E30" s="73" t="str">
        <f aca="false">IF($AI30="","",INDEX('REGISTRE ELEVES'!$F$10:$F$250,$AI30))</f>
        <v>CM1</v>
      </c>
      <c r="F30" s="73" t="str">
        <f aca="false">IF($AI30="","",INDEX('REGISTRE ELEVES'!$AE$10:$AE$250,$AI30))</f>
        <v>PRESENT</v>
      </c>
      <c r="G30" s="75" t="s">
        <v>39</v>
      </c>
      <c r="H30" s="76" t="n">
        <v>24.5</v>
      </c>
      <c r="I30" s="76" t="n">
        <v>22</v>
      </c>
      <c r="J30" s="76" t="n">
        <v>33.5</v>
      </c>
      <c r="K30" s="76" t="n">
        <v>7</v>
      </c>
      <c r="L30" s="79" t="n">
        <f aca="false">IF(B30="","",IF($G30="NON",0,IF(COUNT(H30:K30)=0,"",SUM(H30:K30))))</f>
        <v>87</v>
      </c>
      <c r="M30" s="77" t="n">
        <f aca="false">IF(B30="","",IF($G30="NON",0,IF(COUNT(H30:K30)=0,"",IFERROR(ROUND(SUM(H30:K30)/SUMPRODUCT(ISNUMBER(H30:K30)*$H$8:$K$8)*10,2),""))))</f>
        <v>5.12</v>
      </c>
      <c r="N30" s="75" t="s">
        <v>39</v>
      </c>
      <c r="O30" s="76" t="n">
        <v>16.5</v>
      </c>
      <c r="P30" s="76" t="n">
        <v>28</v>
      </c>
      <c r="Q30" s="76" t="n">
        <v>23.5</v>
      </c>
      <c r="R30" s="76" t="n">
        <v>13</v>
      </c>
      <c r="S30" s="79" t="n">
        <f aca="false">IF(B30="","",IF($N30="NON",0,IF(COUNT(O30:R30)=0,"",SUM(O30:R30))))</f>
        <v>81</v>
      </c>
      <c r="T30" s="77" t="n">
        <f aca="false">IF(B30="","",IF($N30="NON",0,IF(COUNT(O30:R30)=0,"",IFERROR(ROUND(SUM(O30:R30)/SUMPRODUCT(ISNUMBER(O30:R30)*$O$8:$R$8)*10,2),""))))</f>
        <v>4.76</v>
      </c>
      <c r="U30" s="75" t="s">
        <v>39</v>
      </c>
      <c r="V30" s="76" t="n">
        <v>26.5</v>
      </c>
      <c r="W30" s="76" t="n">
        <v>23.5</v>
      </c>
      <c r="X30" s="76" t="n">
        <v>33.5</v>
      </c>
      <c r="Y30" s="76" t="n">
        <v>13.5</v>
      </c>
      <c r="Z30" s="79" t="n">
        <f aca="false">IF(B30="","",IF($U30="NON",0,IF(COUNT(V30:Y30)=0,"",SUM(V30:Y30))))</f>
        <v>97</v>
      </c>
      <c r="AA30" s="77" t="n">
        <f aca="false">IF(B30="","",IF($U30="NON",0,IF(COUNT(V30:Y30)=0,"",IFERROR(ROUND(SUM(V30:Y30)/SUMPRODUCT(ISNUMBER(V30:Y30)*$V$8:$Y$8)*10,2),""))))</f>
        <v>5.71</v>
      </c>
      <c r="AB30" s="75" t="s">
        <v>39</v>
      </c>
      <c r="AC30" s="76" t="n">
        <v>20</v>
      </c>
      <c r="AD30" s="76" t="n">
        <v>20.5</v>
      </c>
      <c r="AE30" s="76" t="n">
        <v>20.5</v>
      </c>
      <c r="AF30" s="76" t="n">
        <v>9.5</v>
      </c>
      <c r="AG30" s="79" t="n">
        <f aca="false">IF(B30="","",IF($AB30="NON",0,IF(COUNT(AC30:AF30)=0,"",SUM(AC30:AF30))))</f>
        <v>70.5</v>
      </c>
      <c r="AH30" s="77" t="n">
        <f aca="false">IF(B30="","",IF($AB30="NON",0,IF(COUNT(AC30:AF30)=0,"",IFERROR(ROUND(SUM(AC30:AF30)/SUMPRODUCT(ISNUMBER(AC30:AF30)*$AC$8:$AF$8)*10,2),""))))</f>
        <v>4.15</v>
      </c>
      <c r="AI30" s="51" t="n">
        <f aca="false">IFERROR(MATCH("CEM-21",'REGISTRE ELEVES'!$AI$10:$AI$250,0),"")</f>
        <v>53</v>
      </c>
    </row>
    <row r="31" customFormat="false" ht="15" hidden="false" customHeight="false" outlineLevel="0" collapsed="false">
      <c r="A31" s="73" t="n">
        <f aca="false">IF(B31="","",22)</f>
        <v>22</v>
      </c>
      <c r="B31" s="73" t="str">
        <f aca="false">IF($AI31="","",INDEX('REGISTRE ELEVES'!$B$10:$B$250,$AI31))</f>
        <v>CM1-010-26</v>
      </c>
      <c r="C31" s="74" t="str">
        <f aca="false">IF($AI31="","",INDEX('REGISTRE ELEVES'!$D$10:$D$250,$AI31))</f>
        <v>YAO Sylvain Kouakou</v>
      </c>
      <c r="D31" s="73" t="str">
        <f aca="false">IF($AI31="","",INDEX('REGISTRE ELEVES'!$E$10:$E$250,$AI31))</f>
        <v>M</v>
      </c>
      <c r="E31" s="73" t="str">
        <f aca="false">IF($AI31="","",INDEX('REGISTRE ELEVES'!$F$10:$F$250,$AI31))</f>
        <v>CM1</v>
      </c>
      <c r="F31" s="73" t="str">
        <f aca="false">IF($AI31="","",INDEX('REGISTRE ELEVES'!$AE$10:$AE$250,$AI31))</f>
        <v>PRESENT</v>
      </c>
      <c r="G31" s="75" t="s">
        <v>39</v>
      </c>
      <c r="H31" s="76" t="n">
        <v>27</v>
      </c>
      <c r="I31" s="76" t="n">
        <v>25</v>
      </c>
      <c r="J31" s="76" t="n">
        <v>18</v>
      </c>
      <c r="K31" s="76" t="n">
        <v>12.5</v>
      </c>
      <c r="L31" s="79" t="n">
        <f aca="false">IF(B31="","",IF($G31="NON",0,IF(COUNT(H31:K31)=0,"",SUM(H31:K31))))</f>
        <v>82.5</v>
      </c>
      <c r="M31" s="77" t="n">
        <f aca="false">IF(B31="","",IF($G31="NON",0,IF(COUNT(H31:K31)=0,"",IFERROR(ROUND(SUM(H31:K31)/SUMPRODUCT(ISNUMBER(H31:K31)*$H$8:$K$8)*10,2),""))))</f>
        <v>4.85</v>
      </c>
      <c r="N31" s="75" t="s">
        <v>39</v>
      </c>
      <c r="O31" s="76" t="n">
        <v>23.5</v>
      </c>
      <c r="P31" s="76" t="n">
        <v>15</v>
      </c>
      <c r="Q31" s="76" t="n">
        <v>29</v>
      </c>
      <c r="R31" s="76" t="n">
        <v>11.5</v>
      </c>
      <c r="S31" s="79" t="n">
        <f aca="false">IF(B31="","",IF($N31="NON",0,IF(COUNT(O31:R31)=0,"",SUM(O31:R31))))</f>
        <v>79</v>
      </c>
      <c r="T31" s="77" t="n">
        <f aca="false">IF(B31="","",IF($N31="NON",0,IF(COUNT(O31:R31)=0,"",IFERROR(ROUND(SUM(O31:R31)/SUMPRODUCT(ISNUMBER(O31:R31)*$O$8:$R$8)*10,2),""))))</f>
        <v>4.65</v>
      </c>
      <c r="U31" s="75" t="s">
        <v>39</v>
      </c>
      <c r="V31" s="76" t="n">
        <v>27</v>
      </c>
      <c r="W31" s="76" t="n">
        <v>28.5</v>
      </c>
      <c r="X31" s="76" t="n">
        <v>17.5</v>
      </c>
      <c r="Y31" s="76" t="n">
        <v>7.5</v>
      </c>
      <c r="Z31" s="79" t="n">
        <f aca="false">IF(B31="","",IF($U31="NON",0,IF(COUNT(V31:Y31)=0,"",SUM(V31:Y31))))</f>
        <v>80.5</v>
      </c>
      <c r="AA31" s="77" t="n">
        <f aca="false">IF(B31="","",IF($U31="NON",0,IF(COUNT(V31:Y31)=0,"",IFERROR(ROUND(SUM(V31:Y31)/SUMPRODUCT(ISNUMBER(V31:Y31)*$V$8:$Y$8)*10,2),""))))</f>
        <v>4.74</v>
      </c>
      <c r="AB31" s="75" t="s">
        <v>39</v>
      </c>
      <c r="AC31" s="76" t="n">
        <v>30</v>
      </c>
      <c r="AD31" s="76" t="n">
        <v>15</v>
      </c>
      <c r="AE31" s="76" t="n">
        <v>25.5</v>
      </c>
      <c r="AF31" s="76" t="n">
        <v>9.5</v>
      </c>
      <c r="AG31" s="79" t="n">
        <f aca="false">IF(B31="","",IF($AB31="NON",0,IF(COUNT(AC31:AF31)=0,"",SUM(AC31:AF31))))</f>
        <v>80</v>
      </c>
      <c r="AH31" s="77" t="n">
        <f aca="false">IF(B31="","",IF($AB31="NON",0,IF(COUNT(AC31:AF31)=0,"",IFERROR(ROUND(SUM(AC31:AF31)/SUMPRODUCT(ISNUMBER(AC31:AF31)*$AC$8:$AF$8)*10,2),""))))</f>
        <v>4.71</v>
      </c>
      <c r="AI31" s="51" t="n">
        <f aca="false">IFERROR(MATCH("CEM-22",'REGISTRE ELEVES'!$AI$10:$AI$250,0),"")</f>
        <v>54</v>
      </c>
    </row>
    <row r="32" customFormat="false" ht="15" hidden="false" customHeight="false" outlineLevel="0" collapsed="false">
      <c r="A32" s="73" t="n">
        <f aca="false">IF(B32="","",23)</f>
        <v>23</v>
      </c>
      <c r="B32" s="73" t="str">
        <f aca="false">IF($AI32="","",INDEX('REGISTRE ELEVES'!$B$10:$B$250,$AI32))</f>
        <v>CM1-011-26</v>
      </c>
      <c r="C32" s="74" t="str">
        <f aca="false">IF($AI32="","",INDEX('REGISTRE ELEVES'!$D$10:$D$250,$AI32))</f>
        <v>AKA Emmanuel Junior</v>
      </c>
      <c r="D32" s="73" t="str">
        <f aca="false">IF($AI32="","",INDEX('REGISTRE ELEVES'!$E$10:$E$250,$AI32))</f>
        <v>M</v>
      </c>
      <c r="E32" s="73" t="str">
        <f aca="false">IF($AI32="","",INDEX('REGISTRE ELEVES'!$F$10:$F$250,$AI32))</f>
        <v>CM1</v>
      </c>
      <c r="F32" s="73" t="str">
        <f aca="false">IF($AI32="","",INDEX('REGISTRE ELEVES'!$AE$10:$AE$250,$AI32))</f>
        <v>PRESENT</v>
      </c>
      <c r="G32" s="75" t="s">
        <v>39</v>
      </c>
      <c r="H32" s="76" t="n">
        <v>36</v>
      </c>
      <c r="I32" s="76" t="n">
        <v>23</v>
      </c>
      <c r="J32" s="76" t="n">
        <v>36.5</v>
      </c>
      <c r="K32" s="76" t="n">
        <v>10.5</v>
      </c>
      <c r="L32" s="79" t="n">
        <f aca="false">IF(B32="","",IF($G32="NON",0,IF(COUNT(H32:K32)=0,"",SUM(H32:K32))))</f>
        <v>106</v>
      </c>
      <c r="M32" s="77" t="n">
        <f aca="false">IF(B32="","",IF($G32="NON",0,IF(COUNT(H32:K32)=0,"",IFERROR(ROUND(SUM(H32:K32)/SUMPRODUCT(ISNUMBER(H32:K32)*$H$8:$K$8)*10,2),""))))</f>
        <v>6.24</v>
      </c>
      <c r="N32" s="75" t="s">
        <v>39</v>
      </c>
      <c r="O32" s="76" t="n">
        <v>36</v>
      </c>
      <c r="P32" s="76" t="n">
        <v>22</v>
      </c>
      <c r="Q32" s="76" t="n">
        <v>36</v>
      </c>
      <c r="R32" s="76" t="n">
        <v>15.5</v>
      </c>
      <c r="S32" s="79" t="n">
        <f aca="false">IF(B32="","",IF($N32="NON",0,IF(COUNT(O32:R32)=0,"",SUM(O32:R32))))</f>
        <v>109.5</v>
      </c>
      <c r="T32" s="77" t="n">
        <f aca="false">IF(B32="","",IF($N32="NON",0,IF(COUNT(O32:R32)=0,"",IFERROR(ROUND(SUM(O32:R32)/SUMPRODUCT(ISNUMBER(O32:R32)*$O$8:$R$8)*10,2),""))))</f>
        <v>6.44</v>
      </c>
      <c r="U32" s="75" t="s">
        <v>39</v>
      </c>
      <c r="V32" s="76" t="n">
        <v>19</v>
      </c>
      <c r="W32" s="76" t="n">
        <v>21</v>
      </c>
      <c r="X32" s="76" t="n">
        <v>38</v>
      </c>
      <c r="Y32" s="76" t="n">
        <v>7.5</v>
      </c>
      <c r="Z32" s="79" t="n">
        <f aca="false">IF(B32="","",IF($U32="NON",0,IF(COUNT(V32:Y32)=0,"",SUM(V32:Y32))))</f>
        <v>85.5</v>
      </c>
      <c r="AA32" s="77" t="n">
        <f aca="false">IF(B32="","",IF($U32="NON",0,IF(COUNT(V32:Y32)=0,"",IFERROR(ROUND(SUM(V32:Y32)/SUMPRODUCT(ISNUMBER(V32:Y32)*$V$8:$Y$8)*10,2),""))))</f>
        <v>5.03</v>
      </c>
      <c r="AB32" s="75" t="s">
        <v>39</v>
      </c>
      <c r="AC32" s="76" t="n">
        <v>21.5</v>
      </c>
      <c r="AD32" s="76" t="n">
        <v>33.5</v>
      </c>
      <c r="AE32" s="76" t="n">
        <v>20.5</v>
      </c>
      <c r="AF32" s="76" t="n">
        <v>9</v>
      </c>
      <c r="AG32" s="79" t="n">
        <f aca="false">IF(B32="","",IF($AB32="NON",0,IF(COUNT(AC32:AF32)=0,"",SUM(AC32:AF32))))</f>
        <v>84.5</v>
      </c>
      <c r="AH32" s="77" t="n">
        <f aca="false">IF(B32="","",IF($AB32="NON",0,IF(COUNT(AC32:AF32)=0,"",IFERROR(ROUND(SUM(AC32:AF32)/SUMPRODUCT(ISNUMBER(AC32:AF32)*$AC$8:$AF$8)*10,2),""))))</f>
        <v>4.97</v>
      </c>
      <c r="AI32" s="51" t="n">
        <f aca="false">IFERROR(MATCH("CEM-23",'REGISTRE ELEVES'!$AI$10:$AI$250,0),"")</f>
        <v>55</v>
      </c>
    </row>
    <row r="33" customFormat="false" ht="15" hidden="false" customHeight="false" outlineLevel="0" collapsed="false">
      <c r="A33" s="73" t="str">
        <f aca="false">IF(B33="","",24)</f>
        <v/>
      </c>
      <c r="B33" s="73" t="str">
        <f aca="false">IF($AI33="","",INDEX('REGISTRE ELEVES'!$B$10:$B$250,$AI33))</f>
        <v/>
      </c>
      <c r="C33" s="74" t="str">
        <f aca="false">IF($AI33="","",INDEX('REGISTRE ELEVES'!$D$10:$D$250,$AI33))</f>
        <v/>
      </c>
      <c r="D33" s="73" t="str">
        <f aca="false">IF($AI33="","",INDEX('REGISTRE ELEVES'!$E$10:$E$250,$AI33))</f>
        <v/>
      </c>
      <c r="E33" s="73" t="str">
        <f aca="false">IF($AI33="","",INDEX('REGISTRE ELEVES'!$F$10:$F$250,$AI33))</f>
        <v/>
      </c>
      <c r="F33" s="73" t="str">
        <f aca="false">IF($AI33="","",INDEX('REGISTRE ELEVES'!$AE$10:$AE$250,$AI33))</f>
        <v/>
      </c>
      <c r="G33" s="75"/>
      <c r="H33" s="76"/>
      <c r="I33" s="76"/>
      <c r="J33" s="76"/>
      <c r="K33" s="76"/>
      <c r="L33" s="79" t="str">
        <f aca="false">IF(B33="","",IF($G33="NON",0,IF(COUNT(H33:K33)=0,"",SUM(H33:K33))))</f>
        <v/>
      </c>
      <c r="M33" s="77" t="str">
        <f aca="false">IF(B33="","",IF($G33="NON",0,IF(COUNT(H33:K33)=0,"",IFERROR(ROUND(SUM(H33:K33)/SUMPRODUCT(ISNUMBER(H33:K33)*$H$8:$K$8)*10,2),""))))</f>
        <v/>
      </c>
      <c r="N33" s="75"/>
      <c r="O33" s="76"/>
      <c r="P33" s="76"/>
      <c r="Q33" s="76"/>
      <c r="R33" s="76"/>
      <c r="S33" s="79" t="str">
        <f aca="false">IF(B33="","",IF($N33="NON",0,IF(COUNT(O33:R33)=0,"",SUM(O33:R33))))</f>
        <v/>
      </c>
      <c r="T33" s="77" t="str">
        <f aca="false">IF(B33="","",IF($N33="NON",0,IF(COUNT(O33:R33)=0,"",IFERROR(ROUND(SUM(O33:R33)/SUMPRODUCT(ISNUMBER(O33:R33)*$O$8:$R$8)*10,2),""))))</f>
        <v/>
      </c>
      <c r="U33" s="75"/>
      <c r="V33" s="76"/>
      <c r="W33" s="76"/>
      <c r="X33" s="76"/>
      <c r="Y33" s="76"/>
      <c r="Z33" s="79" t="str">
        <f aca="false">IF(B33="","",IF($U33="NON",0,IF(COUNT(V33:Y33)=0,"",SUM(V33:Y33))))</f>
        <v/>
      </c>
      <c r="AA33" s="77" t="str">
        <f aca="false">IF(B33="","",IF($U33="NON",0,IF(COUNT(V33:Y33)=0,"",IFERROR(ROUND(SUM(V33:Y33)/SUMPRODUCT(ISNUMBER(V33:Y33)*$V$8:$Y$8)*10,2),""))))</f>
        <v/>
      </c>
      <c r="AB33" s="75"/>
      <c r="AC33" s="76"/>
      <c r="AD33" s="76"/>
      <c r="AE33" s="76"/>
      <c r="AF33" s="76"/>
      <c r="AG33" s="79" t="str">
        <f aca="false">IF(B33="","",IF($AB33="NON",0,IF(COUNT(AC33:AF33)=0,"",SUM(AC33:AF33))))</f>
        <v/>
      </c>
      <c r="AH33" s="77" t="str">
        <f aca="false">IF(B33="","",IF($AB33="NON",0,IF(COUNT(AC33:AF33)=0,"",IFERROR(ROUND(SUM(AC33:AF33)/SUMPRODUCT(ISNUMBER(AC33:AF33)*$AC$8:$AF$8)*10,2),""))))</f>
        <v/>
      </c>
      <c r="AI33" s="51" t="str">
        <f aca="false">IFERROR(MATCH("CEM-24",'REGISTRE ELEVES'!$AI$10:$AI$250,0),"")</f>
        <v/>
      </c>
    </row>
    <row r="34" customFormat="false" ht="15" hidden="false" customHeight="false" outlineLevel="0" collapsed="false">
      <c r="A34" s="73" t="str">
        <f aca="false">IF(B34="","",25)</f>
        <v/>
      </c>
      <c r="B34" s="73" t="str">
        <f aca="false">IF($AI34="","",INDEX('REGISTRE ELEVES'!$B$10:$B$250,$AI34))</f>
        <v/>
      </c>
      <c r="C34" s="74" t="str">
        <f aca="false">IF($AI34="","",INDEX('REGISTRE ELEVES'!$D$10:$D$250,$AI34))</f>
        <v/>
      </c>
      <c r="D34" s="73" t="str">
        <f aca="false">IF($AI34="","",INDEX('REGISTRE ELEVES'!$E$10:$E$250,$AI34))</f>
        <v/>
      </c>
      <c r="E34" s="73" t="str">
        <f aca="false">IF($AI34="","",INDEX('REGISTRE ELEVES'!$F$10:$F$250,$AI34))</f>
        <v/>
      </c>
      <c r="F34" s="73" t="str">
        <f aca="false">IF($AI34="","",INDEX('REGISTRE ELEVES'!$AE$10:$AE$250,$AI34))</f>
        <v/>
      </c>
      <c r="G34" s="75"/>
      <c r="H34" s="76"/>
      <c r="I34" s="76"/>
      <c r="J34" s="76"/>
      <c r="K34" s="76"/>
      <c r="L34" s="79" t="str">
        <f aca="false">IF(B34="","",IF($G34="NON",0,IF(COUNT(H34:K34)=0,"",SUM(H34:K34))))</f>
        <v/>
      </c>
      <c r="M34" s="77" t="str">
        <f aca="false">IF(B34="","",IF($G34="NON",0,IF(COUNT(H34:K34)=0,"",IFERROR(ROUND(SUM(H34:K34)/SUMPRODUCT(ISNUMBER(H34:K34)*$H$8:$K$8)*10,2),""))))</f>
        <v/>
      </c>
      <c r="N34" s="75"/>
      <c r="O34" s="76"/>
      <c r="P34" s="76"/>
      <c r="Q34" s="76"/>
      <c r="R34" s="76"/>
      <c r="S34" s="79" t="str">
        <f aca="false">IF(B34="","",IF($N34="NON",0,IF(COUNT(O34:R34)=0,"",SUM(O34:R34))))</f>
        <v/>
      </c>
      <c r="T34" s="77" t="str">
        <f aca="false">IF(B34="","",IF($N34="NON",0,IF(COUNT(O34:R34)=0,"",IFERROR(ROUND(SUM(O34:R34)/SUMPRODUCT(ISNUMBER(O34:R34)*$O$8:$R$8)*10,2),""))))</f>
        <v/>
      </c>
      <c r="U34" s="75"/>
      <c r="V34" s="76"/>
      <c r="W34" s="76"/>
      <c r="X34" s="76"/>
      <c r="Y34" s="76"/>
      <c r="Z34" s="79" t="str">
        <f aca="false">IF(B34="","",IF($U34="NON",0,IF(COUNT(V34:Y34)=0,"",SUM(V34:Y34))))</f>
        <v/>
      </c>
      <c r="AA34" s="77" t="str">
        <f aca="false">IF(B34="","",IF($U34="NON",0,IF(COUNT(V34:Y34)=0,"",IFERROR(ROUND(SUM(V34:Y34)/SUMPRODUCT(ISNUMBER(V34:Y34)*$V$8:$Y$8)*10,2),""))))</f>
        <v/>
      </c>
      <c r="AB34" s="75"/>
      <c r="AC34" s="76"/>
      <c r="AD34" s="76"/>
      <c r="AE34" s="76"/>
      <c r="AF34" s="76"/>
      <c r="AG34" s="79" t="str">
        <f aca="false">IF(B34="","",IF($AB34="NON",0,IF(COUNT(AC34:AF34)=0,"",SUM(AC34:AF34))))</f>
        <v/>
      </c>
      <c r="AH34" s="77" t="str">
        <f aca="false">IF(B34="","",IF($AB34="NON",0,IF(COUNT(AC34:AF34)=0,"",IFERROR(ROUND(SUM(AC34:AF34)/SUMPRODUCT(ISNUMBER(AC34:AF34)*$AC$8:$AF$8)*10,2),""))))</f>
        <v/>
      </c>
      <c r="AI34" s="51" t="str">
        <f aca="false">IFERROR(MATCH("CEM-25",'REGISTRE ELEVES'!$AI$10:$AI$250,0),"")</f>
        <v/>
      </c>
    </row>
    <row r="35" customFormat="false" ht="15" hidden="false" customHeight="false" outlineLevel="0" collapsed="false">
      <c r="A35" s="73" t="str">
        <f aca="false">IF(B35="","",26)</f>
        <v/>
      </c>
      <c r="B35" s="73" t="str">
        <f aca="false">IF($AI35="","",INDEX('REGISTRE ELEVES'!$B$10:$B$250,$AI35))</f>
        <v/>
      </c>
      <c r="C35" s="74" t="str">
        <f aca="false">IF($AI35="","",INDEX('REGISTRE ELEVES'!$D$10:$D$250,$AI35))</f>
        <v/>
      </c>
      <c r="D35" s="73" t="str">
        <f aca="false">IF($AI35="","",INDEX('REGISTRE ELEVES'!$E$10:$E$250,$AI35))</f>
        <v/>
      </c>
      <c r="E35" s="73" t="str">
        <f aca="false">IF($AI35="","",INDEX('REGISTRE ELEVES'!$F$10:$F$250,$AI35))</f>
        <v/>
      </c>
      <c r="F35" s="73" t="str">
        <f aca="false">IF($AI35="","",INDEX('REGISTRE ELEVES'!$AE$10:$AE$250,$AI35))</f>
        <v/>
      </c>
      <c r="G35" s="75"/>
      <c r="H35" s="76"/>
      <c r="I35" s="76"/>
      <c r="J35" s="76"/>
      <c r="K35" s="76"/>
      <c r="L35" s="79" t="str">
        <f aca="false">IF(B35="","",IF($G35="NON",0,IF(COUNT(H35:K35)=0,"",SUM(H35:K35))))</f>
        <v/>
      </c>
      <c r="M35" s="77" t="str">
        <f aca="false">IF(B35="","",IF($G35="NON",0,IF(COUNT(H35:K35)=0,"",IFERROR(ROUND(SUM(H35:K35)/SUMPRODUCT(ISNUMBER(H35:K35)*$H$8:$K$8)*10,2),""))))</f>
        <v/>
      </c>
      <c r="N35" s="75"/>
      <c r="O35" s="76"/>
      <c r="P35" s="76"/>
      <c r="Q35" s="76"/>
      <c r="R35" s="76"/>
      <c r="S35" s="79" t="str">
        <f aca="false">IF(B35="","",IF($N35="NON",0,IF(COUNT(O35:R35)=0,"",SUM(O35:R35))))</f>
        <v/>
      </c>
      <c r="T35" s="77" t="str">
        <f aca="false">IF(B35="","",IF($N35="NON",0,IF(COUNT(O35:R35)=0,"",IFERROR(ROUND(SUM(O35:R35)/SUMPRODUCT(ISNUMBER(O35:R35)*$O$8:$R$8)*10,2),""))))</f>
        <v/>
      </c>
      <c r="U35" s="75"/>
      <c r="V35" s="76"/>
      <c r="W35" s="76"/>
      <c r="X35" s="76"/>
      <c r="Y35" s="76"/>
      <c r="Z35" s="79" t="str">
        <f aca="false">IF(B35="","",IF($U35="NON",0,IF(COUNT(V35:Y35)=0,"",SUM(V35:Y35))))</f>
        <v/>
      </c>
      <c r="AA35" s="77" t="str">
        <f aca="false">IF(B35="","",IF($U35="NON",0,IF(COUNT(V35:Y35)=0,"",IFERROR(ROUND(SUM(V35:Y35)/SUMPRODUCT(ISNUMBER(V35:Y35)*$V$8:$Y$8)*10,2),""))))</f>
        <v/>
      </c>
      <c r="AB35" s="75"/>
      <c r="AC35" s="76"/>
      <c r="AD35" s="76"/>
      <c r="AE35" s="76"/>
      <c r="AF35" s="76"/>
      <c r="AG35" s="79" t="str">
        <f aca="false">IF(B35="","",IF($AB35="NON",0,IF(COUNT(AC35:AF35)=0,"",SUM(AC35:AF35))))</f>
        <v/>
      </c>
      <c r="AH35" s="77" t="str">
        <f aca="false">IF(B35="","",IF($AB35="NON",0,IF(COUNT(AC35:AF35)=0,"",IFERROR(ROUND(SUM(AC35:AF35)/SUMPRODUCT(ISNUMBER(AC35:AF35)*$AC$8:$AF$8)*10,2),""))))</f>
        <v/>
      </c>
      <c r="AI35" s="51" t="str">
        <f aca="false">IFERROR(MATCH("CEM-26",'REGISTRE ELEVES'!$AI$10:$AI$250,0),"")</f>
        <v/>
      </c>
    </row>
    <row r="36" customFormat="false" ht="15" hidden="false" customHeight="false" outlineLevel="0" collapsed="false">
      <c r="A36" s="73" t="str">
        <f aca="false">IF(B36="","",27)</f>
        <v/>
      </c>
      <c r="B36" s="73" t="str">
        <f aca="false">IF($AI36="","",INDEX('REGISTRE ELEVES'!$B$10:$B$250,$AI36))</f>
        <v/>
      </c>
      <c r="C36" s="74" t="str">
        <f aca="false">IF($AI36="","",INDEX('REGISTRE ELEVES'!$D$10:$D$250,$AI36))</f>
        <v/>
      </c>
      <c r="D36" s="73" t="str">
        <f aca="false">IF($AI36="","",INDEX('REGISTRE ELEVES'!$E$10:$E$250,$AI36))</f>
        <v/>
      </c>
      <c r="E36" s="73" t="str">
        <f aca="false">IF($AI36="","",INDEX('REGISTRE ELEVES'!$F$10:$F$250,$AI36))</f>
        <v/>
      </c>
      <c r="F36" s="73" t="str">
        <f aca="false">IF($AI36="","",INDEX('REGISTRE ELEVES'!$AE$10:$AE$250,$AI36))</f>
        <v/>
      </c>
      <c r="G36" s="75"/>
      <c r="H36" s="76"/>
      <c r="I36" s="76"/>
      <c r="J36" s="76"/>
      <c r="K36" s="76"/>
      <c r="L36" s="79" t="str">
        <f aca="false">IF(B36="","",IF($G36="NON",0,IF(COUNT(H36:K36)=0,"",SUM(H36:K36))))</f>
        <v/>
      </c>
      <c r="M36" s="77" t="str">
        <f aca="false">IF(B36="","",IF($G36="NON",0,IF(COUNT(H36:K36)=0,"",IFERROR(ROUND(SUM(H36:K36)/SUMPRODUCT(ISNUMBER(H36:K36)*$H$8:$K$8)*10,2),""))))</f>
        <v/>
      </c>
      <c r="N36" s="75"/>
      <c r="O36" s="76"/>
      <c r="P36" s="76"/>
      <c r="Q36" s="76"/>
      <c r="R36" s="76"/>
      <c r="S36" s="79" t="str">
        <f aca="false">IF(B36="","",IF($N36="NON",0,IF(COUNT(O36:R36)=0,"",SUM(O36:R36))))</f>
        <v/>
      </c>
      <c r="T36" s="77" t="str">
        <f aca="false">IF(B36="","",IF($N36="NON",0,IF(COUNT(O36:R36)=0,"",IFERROR(ROUND(SUM(O36:R36)/SUMPRODUCT(ISNUMBER(O36:R36)*$O$8:$R$8)*10,2),""))))</f>
        <v/>
      </c>
      <c r="U36" s="75"/>
      <c r="V36" s="76"/>
      <c r="W36" s="76"/>
      <c r="X36" s="76"/>
      <c r="Y36" s="76"/>
      <c r="Z36" s="79" t="str">
        <f aca="false">IF(B36="","",IF($U36="NON",0,IF(COUNT(V36:Y36)=0,"",SUM(V36:Y36))))</f>
        <v/>
      </c>
      <c r="AA36" s="77" t="str">
        <f aca="false">IF(B36="","",IF($U36="NON",0,IF(COUNT(V36:Y36)=0,"",IFERROR(ROUND(SUM(V36:Y36)/SUMPRODUCT(ISNUMBER(V36:Y36)*$V$8:$Y$8)*10,2),""))))</f>
        <v/>
      </c>
      <c r="AB36" s="75"/>
      <c r="AC36" s="76"/>
      <c r="AD36" s="76"/>
      <c r="AE36" s="76"/>
      <c r="AF36" s="76"/>
      <c r="AG36" s="79" t="str">
        <f aca="false">IF(B36="","",IF($AB36="NON",0,IF(COUNT(AC36:AF36)=0,"",SUM(AC36:AF36))))</f>
        <v/>
      </c>
      <c r="AH36" s="77" t="str">
        <f aca="false">IF(B36="","",IF($AB36="NON",0,IF(COUNT(AC36:AF36)=0,"",IFERROR(ROUND(SUM(AC36:AF36)/SUMPRODUCT(ISNUMBER(AC36:AF36)*$AC$8:$AF$8)*10,2),""))))</f>
        <v/>
      </c>
      <c r="AI36" s="51" t="str">
        <f aca="false">IFERROR(MATCH("CEM-27",'REGISTRE ELEVES'!$AI$10:$AI$250,0),"")</f>
        <v/>
      </c>
    </row>
    <row r="37" customFormat="false" ht="15" hidden="false" customHeight="false" outlineLevel="0" collapsed="false">
      <c r="A37" s="73" t="str">
        <f aca="false">IF(B37="","",28)</f>
        <v/>
      </c>
      <c r="B37" s="73" t="str">
        <f aca="false">IF($AI37="","",INDEX('REGISTRE ELEVES'!$B$10:$B$250,$AI37))</f>
        <v/>
      </c>
      <c r="C37" s="74" t="str">
        <f aca="false">IF($AI37="","",INDEX('REGISTRE ELEVES'!$D$10:$D$250,$AI37))</f>
        <v/>
      </c>
      <c r="D37" s="73" t="str">
        <f aca="false">IF($AI37="","",INDEX('REGISTRE ELEVES'!$E$10:$E$250,$AI37))</f>
        <v/>
      </c>
      <c r="E37" s="73" t="str">
        <f aca="false">IF($AI37="","",INDEX('REGISTRE ELEVES'!$F$10:$F$250,$AI37))</f>
        <v/>
      </c>
      <c r="F37" s="73" t="str">
        <f aca="false">IF($AI37="","",INDEX('REGISTRE ELEVES'!$AE$10:$AE$250,$AI37))</f>
        <v/>
      </c>
      <c r="G37" s="75"/>
      <c r="H37" s="76"/>
      <c r="I37" s="76"/>
      <c r="J37" s="76"/>
      <c r="K37" s="76"/>
      <c r="L37" s="79" t="str">
        <f aca="false">IF(B37="","",IF($G37="NON",0,IF(COUNT(H37:K37)=0,"",SUM(H37:K37))))</f>
        <v/>
      </c>
      <c r="M37" s="77" t="str">
        <f aca="false">IF(B37="","",IF($G37="NON",0,IF(COUNT(H37:K37)=0,"",IFERROR(ROUND(SUM(H37:K37)/SUMPRODUCT(ISNUMBER(H37:K37)*$H$8:$K$8)*10,2),""))))</f>
        <v/>
      </c>
      <c r="N37" s="75"/>
      <c r="O37" s="76"/>
      <c r="P37" s="76"/>
      <c r="Q37" s="76"/>
      <c r="R37" s="76"/>
      <c r="S37" s="79" t="str">
        <f aca="false">IF(B37="","",IF($N37="NON",0,IF(COUNT(O37:R37)=0,"",SUM(O37:R37))))</f>
        <v/>
      </c>
      <c r="T37" s="77" t="str">
        <f aca="false">IF(B37="","",IF($N37="NON",0,IF(COUNT(O37:R37)=0,"",IFERROR(ROUND(SUM(O37:R37)/SUMPRODUCT(ISNUMBER(O37:R37)*$O$8:$R$8)*10,2),""))))</f>
        <v/>
      </c>
      <c r="U37" s="75"/>
      <c r="V37" s="76"/>
      <c r="W37" s="76"/>
      <c r="X37" s="76"/>
      <c r="Y37" s="76"/>
      <c r="Z37" s="79" t="str">
        <f aca="false">IF(B37="","",IF($U37="NON",0,IF(COUNT(V37:Y37)=0,"",SUM(V37:Y37))))</f>
        <v/>
      </c>
      <c r="AA37" s="77" t="str">
        <f aca="false">IF(B37="","",IF($U37="NON",0,IF(COUNT(V37:Y37)=0,"",IFERROR(ROUND(SUM(V37:Y37)/SUMPRODUCT(ISNUMBER(V37:Y37)*$V$8:$Y$8)*10,2),""))))</f>
        <v/>
      </c>
      <c r="AB37" s="75"/>
      <c r="AC37" s="76"/>
      <c r="AD37" s="76"/>
      <c r="AE37" s="76"/>
      <c r="AF37" s="76"/>
      <c r="AG37" s="79" t="str">
        <f aca="false">IF(B37="","",IF($AB37="NON",0,IF(COUNT(AC37:AF37)=0,"",SUM(AC37:AF37))))</f>
        <v/>
      </c>
      <c r="AH37" s="77" t="str">
        <f aca="false">IF(B37="","",IF($AB37="NON",0,IF(COUNT(AC37:AF37)=0,"",IFERROR(ROUND(SUM(AC37:AF37)/SUMPRODUCT(ISNUMBER(AC37:AF37)*$AC$8:$AF$8)*10,2),""))))</f>
        <v/>
      </c>
      <c r="AI37" s="51" t="str">
        <f aca="false">IFERROR(MATCH("CEM-28",'REGISTRE ELEVES'!$AI$10:$AI$250,0),"")</f>
        <v/>
      </c>
    </row>
    <row r="38" customFormat="false" ht="15" hidden="false" customHeight="false" outlineLevel="0" collapsed="false">
      <c r="A38" s="73" t="str">
        <f aca="false">IF(B38="","",29)</f>
        <v/>
      </c>
      <c r="B38" s="73" t="str">
        <f aca="false">IF($AI38="","",INDEX('REGISTRE ELEVES'!$B$10:$B$250,$AI38))</f>
        <v/>
      </c>
      <c r="C38" s="74" t="str">
        <f aca="false">IF($AI38="","",INDEX('REGISTRE ELEVES'!$D$10:$D$250,$AI38))</f>
        <v/>
      </c>
      <c r="D38" s="73" t="str">
        <f aca="false">IF($AI38="","",INDEX('REGISTRE ELEVES'!$E$10:$E$250,$AI38))</f>
        <v/>
      </c>
      <c r="E38" s="73" t="str">
        <f aca="false">IF($AI38="","",INDEX('REGISTRE ELEVES'!$F$10:$F$250,$AI38))</f>
        <v/>
      </c>
      <c r="F38" s="73" t="str">
        <f aca="false">IF($AI38="","",INDEX('REGISTRE ELEVES'!$AE$10:$AE$250,$AI38))</f>
        <v/>
      </c>
      <c r="G38" s="75"/>
      <c r="H38" s="76"/>
      <c r="I38" s="76"/>
      <c r="J38" s="76"/>
      <c r="K38" s="76"/>
      <c r="L38" s="79" t="str">
        <f aca="false">IF(B38="","",IF($G38="NON",0,IF(COUNT(H38:K38)=0,"",SUM(H38:K38))))</f>
        <v/>
      </c>
      <c r="M38" s="77" t="str">
        <f aca="false">IF(B38="","",IF($G38="NON",0,IF(COUNT(H38:K38)=0,"",IFERROR(ROUND(SUM(H38:K38)/SUMPRODUCT(ISNUMBER(H38:K38)*$H$8:$K$8)*10,2),""))))</f>
        <v/>
      </c>
      <c r="N38" s="75"/>
      <c r="O38" s="76"/>
      <c r="P38" s="76"/>
      <c r="Q38" s="76"/>
      <c r="R38" s="76"/>
      <c r="S38" s="79" t="str">
        <f aca="false">IF(B38="","",IF($N38="NON",0,IF(COUNT(O38:R38)=0,"",SUM(O38:R38))))</f>
        <v/>
      </c>
      <c r="T38" s="77" t="str">
        <f aca="false">IF(B38="","",IF($N38="NON",0,IF(COUNT(O38:R38)=0,"",IFERROR(ROUND(SUM(O38:R38)/SUMPRODUCT(ISNUMBER(O38:R38)*$O$8:$R$8)*10,2),""))))</f>
        <v/>
      </c>
      <c r="U38" s="75"/>
      <c r="V38" s="76"/>
      <c r="W38" s="76"/>
      <c r="X38" s="76"/>
      <c r="Y38" s="76"/>
      <c r="Z38" s="79" t="str">
        <f aca="false">IF(B38="","",IF($U38="NON",0,IF(COUNT(V38:Y38)=0,"",SUM(V38:Y38))))</f>
        <v/>
      </c>
      <c r="AA38" s="77" t="str">
        <f aca="false">IF(B38="","",IF($U38="NON",0,IF(COUNT(V38:Y38)=0,"",IFERROR(ROUND(SUM(V38:Y38)/SUMPRODUCT(ISNUMBER(V38:Y38)*$V$8:$Y$8)*10,2),""))))</f>
        <v/>
      </c>
      <c r="AB38" s="75"/>
      <c r="AC38" s="76"/>
      <c r="AD38" s="76"/>
      <c r="AE38" s="76"/>
      <c r="AF38" s="76"/>
      <c r="AG38" s="79" t="str">
        <f aca="false">IF(B38="","",IF($AB38="NON",0,IF(COUNT(AC38:AF38)=0,"",SUM(AC38:AF38))))</f>
        <v/>
      </c>
      <c r="AH38" s="77" t="str">
        <f aca="false">IF(B38="","",IF($AB38="NON",0,IF(COUNT(AC38:AF38)=0,"",IFERROR(ROUND(SUM(AC38:AF38)/SUMPRODUCT(ISNUMBER(AC38:AF38)*$AC$8:$AF$8)*10,2),""))))</f>
        <v/>
      </c>
      <c r="AI38" s="51" t="str">
        <f aca="false">IFERROR(MATCH("CEM-29",'REGISTRE ELEVES'!$AI$10:$AI$250,0),"")</f>
        <v/>
      </c>
    </row>
    <row r="39" customFormat="false" ht="15" hidden="false" customHeight="false" outlineLevel="0" collapsed="false">
      <c r="A39" s="73" t="str">
        <f aca="false">IF(B39="","",30)</f>
        <v/>
      </c>
      <c r="B39" s="73" t="str">
        <f aca="false">IF($AI39="","",INDEX('REGISTRE ELEVES'!$B$10:$B$250,$AI39))</f>
        <v/>
      </c>
      <c r="C39" s="74" t="str">
        <f aca="false">IF($AI39="","",INDEX('REGISTRE ELEVES'!$D$10:$D$250,$AI39))</f>
        <v/>
      </c>
      <c r="D39" s="73" t="str">
        <f aca="false">IF($AI39="","",INDEX('REGISTRE ELEVES'!$E$10:$E$250,$AI39))</f>
        <v/>
      </c>
      <c r="E39" s="73" t="str">
        <f aca="false">IF($AI39="","",INDEX('REGISTRE ELEVES'!$F$10:$F$250,$AI39))</f>
        <v/>
      </c>
      <c r="F39" s="73" t="str">
        <f aca="false">IF($AI39="","",INDEX('REGISTRE ELEVES'!$AE$10:$AE$250,$AI39))</f>
        <v/>
      </c>
      <c r="G39" s="75"/>
      <c r="H39" s="76"/>
      <c r="I39" s="76"/>
      <c r="J39" s="76"/>
      <c r="K39" s="76"/>
      <c r="L39" s="79" t="str">
        <f aca="false">IF(B39="","",IF($G39="NON",0,IF(COUNT(H39:K39)=0,"",SUM(H39:K39))))</f>
        <v/>
      </c>
      <c r="M39" s="77" t="str">
        <f aca="false">IF(B39="","",IF($G39="NON",0,IF(COUNT(H39:K39)=0,"",IFERROR(ROUND(SUM(H39:K39)/SUMPRODUCT(ISNUMBER(H39:K39)*$H$8:$K$8)*10,2),""))))</f>
        <v/>
      </c>
      <c r="N39" s="75"/>
      <c r="O39" s="76"/>
      <c r="P39" s="76"/>
      <c r="Q39" s="76"/>
      <c r="R39" s="76"/>
      <c r="S39" s="79" t="str">
        <f aca="false">IF(B39="","",IF($N39="NON",0,IF(COUNT(O39:R39)=0,"",SUM(O39:R39))))</f>
        <v/>
      </c>
      <c r="T39" s="77" t="str">
        <f aca="false">IF(B39="","",IF($N39="NON",0,IF(COUNT(O39:R39)=0,"",IFERROR(ROUND(SUM(O39:R39)/SUMPRODUCT(ISNUMBER(O39:R39)*$O$8:$R$8)*10,2),""))))</f>
        <v/>
      </c>
      <c r="U39" s="75"/>
      <c r="V39" s="76"/>
      <c r="W39" s="76"/>
      <c r="X39" s="76"/>
      <c r="Y39" s="76"/>
      <c r="Z39" s="79" t="str">
        <f aca="false">IF(B39="","",IF($U39="NON",0,IF(COUNT(V39:Y39)=0,"",SUM(V39:Y39))))</f>
        <v/>
      </c>
      <c r="AA39" s="77" t="str">
        <f aca="false">IF(B39="","",IF($U39="NON",0,IF(COUNT(V39:Y39)=0,"",IFERROR(ROUND(SUM(V39:Y39)/SUMPRODUCT(ISNUMBER(V39:Y39)*$V$8:$Y$8)*10,2),""))))</f>
        <v/>
      </c>
      <c r="AB39" s="75"/>
      <c r="AC39" s="76"/>
      <c r="AD39" s="76"/>
      <c r="AE39" s="76"/>
      <c r="AF39" s="76"/>
      <c r="AG39" s="79" t="str">
        <f aca="false">IF(B39="","",IF($AB39="NON",0,IF(COUNT(AC39:AF39)=0,"",SUM(AC39:AF39))))</f>
        <v/>
      </c>
      <c r="AH39" s="77" t="str">
        <f aca="false">IF(B39="","",IF($AB39="NON",0,IF(COUNT(AC39:AF39)=0,"",IFERROR(ROUND(SUM(AC39:AF39)/SUMPRODUCT(ISNUMBER(AC39:AF39)*$AC$8:$AF$8)*10,2),""))))</f>
        <v/>
      </c>
      <c r="AI39" s="51" t="str">
        <f aca="false">IFERROR(MATCH("CEM-30",'REGISTRE ELEVES'!$AI$10:$AI$250,0),"")</f>
        <v/>
      </c>
    </row>
    <row r="40" customFormat="false" ht="15" hidden="false" customHeight="false" outlineLevel="0" collapsed="false">
      <c r="A40" s="73" t="str">
        <f aca="false">IF(B40="","",31)</f>
        <v/>
      </c>
      <c r="B40" s="73" t="str">
        <f aca="false">IF($AI40="","",INDEX('REGISTRE ELEVES'!$B$10:$B$250,$AI40))</f>
        <v/>
      </c>
      <c r="C40" s="74" t="str">
        <f aca="false">IF($AI40="","",INDEX('REGISTRE ELEVES'!$D$10:$D$250,$AI40))</f>
        <v/>
      </c>
      <c r="D40" s="73" t="str">
        <f aca="false">IF($AI40="","",INDEX('REGISTRE ELEVES'!$E$10:$E$250,$AI40))</f>
        <v/>
      </c>
      <c r="E40" s="73" t="str">
        <f aca="false">IF($AI40="","",INDEX('REGISTRE ELEVES'!$F$10:$F$250,$AI40))</f>
        <v/>
      </c>
      <c r="F40" s="73" t="str">
        <f aca="false">IF($AI40="","",INDEX('REGISTRE ELEVES'!$AE$10:$AE$250,$AI40))</f>
        <v/>
      </c>
      <c r="G40" s="75"/>
      <c r="H40" s="76"/>
      <c r="I40" s="76"/>
      <c r="J40" s="76"/>
      <c r="K40" s="76"/>
      <c r="L40" s="79" t="str">
        <f aca="false">IF(B40="","",IF($G40="NON",0,IF(COUNT(H40:K40)=0,"",SUM(H40:K40))))</f>
        <v/>
      </c>
      <c r="M40" s="77" t="str">
        <f aca="false">IF(B40="","",IF($G40="NON",0,IF(COUNT(H40:K40)=0,"",IFERROR(ROUND(SUM(H40:K40)/SUMPRODUCT(ISNUMBER(H40:K40)*$H$8:$K$8)*10,2),""))))</f>
        <v/>
      </c>
      <c r="N40" s="75"/>
      <c r="O40" s="76"/>
      <c r="P40" s="76"/>
      <c r="Q40" s="76"/>
      <c r="R40" s="76"/>
      <c r="S40" s="79" t="str">
        <f aca="false">IF(B40="","",IF($N40="NON",0,IF(COUNT(O40:R40)=0,"",SUM(O40:R40))))</f>
        <v/>
      </c>
      <c r="T40" s="77" t="str">
        <f aca="false">IF(B40="","",IF($N40="NON",0,IF(COUNT(O40:R40)=0,"",IFERROR(ROUND(SUM(O40:R40)/SUMPRODUCT(ISNUMBER(O40:R40)*$O$8:$R$8)*10,2),""))))</f>
        <v/>
      </c>
      <c r="U40" s="75"/>
      <c r="V40" s="76"/>
      <c r="W40" s="76"/>
      <c r="X40" s="76"/>
      <c r="Y40" s="76"/>
      <c r="Z40" s="79" t="str">
        <f aca="false">IF(B40="","",IF($U40="NON",0,IF(COUNT(V40:Y40)=0,"",SUM(V40:Y40))))</f>
        <v/>
      </c>
      <c r="AA40" s="77" t="str">
        <f aca="false">IF(B40="","",IF($U40="NON",0,IF(COUNT(V40:Y40)=0,"",IFERROR(ROUND(SUM(V40:Y40)/SUMPRODUCT(ISNUMBER(V40:Y40)*$V$8:$Y$8)*10,2),""))))</f>
        <v/>
      </c>
      <c r="AB40" s="75"/>
      <c r="AC40" s="76"/>
      <c r="AD40" s="76"/>
      <c r="AE40" s="76"/>
      <c r="AF40" s="76"/>
      <c r="AG40" s="79" t="str">
        <f aca="false">IF(B40="","",IF($AB40="NON",0,IF(COUNT(AC40:AF40)=0,"",SUM(AC40:AF40))))</f>
        <v/>
      </c>
      <c r="AH40" s="77" t="str">
        <f aca="false">IF(B40="","",IF($AB40="NON",0,IF(COUNT(AC40:AF40)=0,"",IFERROR(ROUND(SUM(AC40:AF40)/SUMPRODUCT(ISNUMBER(AC40:AF40)*$AC$8:$AF$8)*10,2),""))))</f>
        <v/>
      </c>
      <c r="AI40" s="51" t="str">
        <f aca="false">IFERROR(MATCH("CEM-31",'REGISTRE ELEVES'!$AI$10:$AI$250,0),"")</f>
        <v/>
      </c>
    </row>
    <row r="41" customFormat="false" ht="15" hidden="false" customHeight="false" outlineLevel="0" collapsed="false">
      <c r="A41" s="73" t="str">
        <f aca="false">IF(B41="","",32)</f>
        <v/>
      </c>
      <c r="B41" s="73" t="str">
        <f aca="false">IF($AI41="","",INDEX('REGISTRE ELEVES'!$B$10:$B$250,$AI41))</f>
        <v/>
      </c>
      <c r="C41" s="74" t="str">
        <f aca="false">IF($AI41="","",INDEX('REGISTRE ELEVES'!$D$10:$D$250,$AI41))</f>
        <v/>
      </c>
      <c r="D41" s="73" t="str">
        <f aca="false">IF($AI41="","",INDEX('REGISTRE ELEVES'!$E$10:$E$250,$AI41))</f>
        <v/>
      </c>
      <c r="E41" s="73" t="str">
        <f aca="false">IF($AI41="","",INDEX('REGISTRE ELEVES'!$F$10:$F$250,$AI41))</f>
        <v/>
      </c>
      <c r="F41" s="73" t="str">
        <f aca="false">IF($AI41="","",INDEX('REGISTRE ELEVES'!$AE$10:$AE$250,$AI41))</f>
        <v/>
      </c>
      <c r="G41" s="75"/>
      <c r="H41" s="76"/>
      <c r="I41" s="76"/>
      <c r="J41" s="76"/>
      <c r="K41" s="76"/>
      <c r="L41" s="79" t="str">
        <f aca="false">IF(B41="","",IF($G41="NON",0,IF(COUNT(H41:K41)=0,"",SUM(H41:K41))))</f>
        <v/>
      </c>
      <c r="M41" s="77" t="str">
        <f aca="false">IF(B41="","",IF($G41="NON",0,IF(COUNT(H41:K41)=0,"",IFERROR(ROUND(SUM(H41:K41)/SUMPRODUCT(ISNUMBER(H41:K41)*$H$8:$K$8)*10,2),""))))</f>
        <v/>
      </c>
      <c r="N41" s="75"/>
      <c r="O41" s="76"/>
      <c r="P41" s="76"/>
      <c r="Q41" s="76"/>
      <c r="R41" s="76"/>
      <c r="S41" s="79" t="str">
        <f aca="false">IF(B41="","",IF($N41="NON",0,IF(COUNT(O41:R41)=0,"",SUM(O41:R41))))</f>
        <v/>
      </c>
      <c r="T41" s="77" t="str">
        <f aca="false">IF(B41="","",IF($N41="NON",0,IF(COUNT(O41:R41)=0,"",IFERROR(ROUND(SUM(O41:R41)/SUMPRODUCT(ISNUMBER(O41:R41)*$O$8:$R$8)*10,2),""))))</f>
        <v/>
      </c>
      <c r="U41" s="75"/>
      <c r="V41" s="76"/>
      <c r="W41" s="76"/>
      <c r="X41" s="76"/>
      <c r="Y41" s="76"/>
      <c r="Z41" s="79" t="str">
        <f aca="false">IF(B41="","",IF($U41="NON",0,IF(COUNT(V41:Y41)=0,"",SUM(V41:Y41))))</f>
        <v/>
      </c>
      <c r="AA41" s="77" t="str">
        <f aca="false">IF(B41="","",IF($U41="NON",0,IF(COUNT(V41:Y41)=0,"",IFERROR(ROUND(SUM(V41:Y41)/SUMPRODUCT(ISNUMBER(V41:Y41)*$V$8:$Y$8)*10,2),""))))</f>
        <v/>
      </c>
      <c r="AB41" s="75"/>
      <c r="AC41" s="76"/>
      <c r="AD41" s="76"/>
      <c r="AE41" s="76"/>
      <c r="AF41" s="76"/>
      <c r="AG41" s="79" t="str">
        <f aca="false">IF(B41="","",IF($AB41="NON",0,IF(COUNT(AC41:AF41)=0,"",SUM(AC41:AF41))))</f>
        <v/>
      </c>
      <c r="AH41" s="77" t="str">
        <f aca="false">IF(B41="","",IF($AB41="NON",0,IF(COUNT(AC41:AF41)=0,"",IFERROR(ROUND(SUM(AC41:AF41)/SUMPRODUCT(ISNUMBER(AC41:AF41)*$AC$8:$AF$8)*10,2),""))))</f>
        <v/>
      </c>
      <c r="AI41" s="51" t="str">
        <f aca="false">IFERROR(MATCH("CEM-32",'REGISTRE ELEVES'!$AI$10:$AI$250,0),"")</f>
        <v/>
      </c>
    </row>
    <row r="42" customFormat="false" ht="15" hidden="false" customHeight="false" outlineLevel="0" collapsed="false">
      <c r="A42" s="73" t="str">
        <f aca="false">IF(B42="","",33)</f>
        <v/>
      </c>
      <c r="B42" s="73" t="str">
        <f aca="false">IF($AI42="","",INDEX('REGISTRE ELEVES'!$B$10:$B$250,$AI42))</f>
        <v/>
      </c>
      <c r="C42" s="74" t="str">
        <f aca="false">IF($AI42="","",INDEX('REGISTRE ELEVES'!$D$10:$D$250,$AI42))</f>
        <v/>
      </c>
      <c r="D42" s="73" t="str">
        <f aca="false">IF($AI42="","",INDEX('REGISTRE ELEVES'!$E$10:$E$250,$AI42))</f>
        <v/>
      </c>
      <c r="E42" s="73" t="str">
        <f aca="false">IF($AI42="","",INDEX('REGISTRE ELEVES'!$F$10:$F$250,$AI42))</f>
        <v/>
      </c>
      <c r="F42" s="73" t="str">
        <f aca="false">IF($AI42="","",INDEX('REGISTRE ELEVES'!$AE$10:$AE$250,$AI42))</f>
        <v/>
      </c>
      <c r="G42" s="75"/>
      <c r="H42" s="76"/>
      <c r="I42" s="76"/>
      <c r="J42" s="76"/>
      <c r="K42" s="76"/>
      <c r="L42" s="79" t="str">
        <f aca="false">IF(B42="","",IF($G42="NON",0,IF(COUNT(H42:K42)=0,"",SUM(H42:K42))))</f>
        <v/>
      </c>
      <c r="M42" s="77" t="str">
        <f aca="false">IF(B42="","",IF($G42="NON",0,IF(COUNT(H42:K42)=0,"",IFERROR(ROUND(SUM(H42:K42)/SUMPRODUCT(ISNUMBER(H42:K42)*$H$8:$K$8)*10,2),""))))</f>
        <v/>
      </c>
      <c r="N42" s="75"/>
      <c r="O42" s="76"/>
      <c r="P42" s="76"/>
      <c r="Q42" s="76"/>
      <c r="R42" s="76"/>
      <c r="S42" s="79" t="str">
        <f aca="false">IF(B42="","",IF($N42="NON",0,IF(COUNT(O42:R42)=0,"",SUM(O42:R42))))</f>
        <v/>
      </c>
      <c r="T42" s="77" t="str">
        <f aca="false">IF(B42="","",IF($N42="NON",0,IF(COUNT(O42:R42)=0,"",IFERROR(ROUND(SUM(O42:R42)/SUMPRODUCT(ISNUMBER(O42:R42)*$O$8:$R$8)*10,2),""))))</f>
        <v/>
      </c>
      <c r="U42" s="75"/>
      <c r="V42" s="76"/>
      <c r="W42" s="76"/>
      <c r="X42" s="76"/>
      <c r="Y42" s="76"/>
      <c r="Z42" s="79" t="str">
        <f aca="false">IF(B42="","",IF($U42="NON",0,IF(COUNT(V42:Y42)=0,"",SUM(V42:Y42))))</f>
        <v/>
      </c>
      <c r="AA42" s="77" t="str">
        <f aca="false">IF(B42="","",IF($U42="NON",0,IF(COUNT(V42:Y42)=0,"",IFERROR(ROUND(SUM(V42:Y42)/SUMPRODUCT(ISNUMBER(V42:Y42)*$V$8:$Y$8)*10,2),""))))</f>
        <v/>
      </c>
      <c r="AB42" s="75"/>
      <c r="AC42" s="76"/>
      <c r="AD42" s="76"/>
      <c r="AE42" s="76"/>
      <c r="AF42" s="76"/>
      <c r="AG42" s="79" t="str">
        <f aca="false">IF(B42="","",IF($AB42="NON",0,IF(COUNT(AC42:AF42)=0,"",SUM(AC42:AF42))))</f>
        <v/>
      </c>
      <c r="AH42" s="77" t="str">
        <f aca="false">IF(B42="","",IF($AB42="NON",0,IF(COUNT(AC42:AF42)=0,"",IFERROR(ROUND(SUM(AC42:AF42)/SUMPRODUCT(ISNUMBER(AC42:AF42)*$AC$8:$AF$8)*10,2),""))))</f>
        <v/>
      </c>
      <c r="AI42" s="51" t="str">
        <f aca="false">IFERROR(MATCH("CEM-33",'REGISTRE ELEVES'!$AI$10:$AI$250,0),"")</f>
        <v/>
      </c>
    </row>
    <row r="43" customFormat="false" ht="15" hidden="false" customHeight="false" outlineLevel="0" collapsed="false">
      <c r="A43" s="73" t="str">
        <f aca="false">IF(B43="","",34)</f>
        <v/>
      </c>
      <c r="B43" s="73" t="str">
        <f aca="false">IF($AI43="","",INDEX('REGISTRE ELEVES'!$B$10:$B$250,$AI43))</f>
        <v/>
      </c>
      <c r="C43" s="74" t="str">
        <f aca="false">IF($AI43="","",INDEX('REGISTRE ELEVES'!$D$10:$D$250,$AI43))</f>
        <v/>
      </c>
      <c r="D43" s="73" t="str">
        <f aca="false">IF($AI43="","",INDEX('REGISTRE ELEVES'!$E$10:$E$250,$AI43))</f>
        <v/>
      </c>
      <c r="E43" s="73" t="str">
        <f aca="false">IF($AI43="","",INDEX('REGISTRE ELEVES'!$F$10:$F$250,$AI43))</f>
        <v/>
      </c>
      <c r="F43" s="73" t="str">
        <f aca="false">IF($AI43="","",INDEX('REGISTRE ELEVES'!$AE$10:$AE$250,$AI43))</f>
        <v/>
      </c>
      <c r="G43" s="75"/>
      <c r="H43" s="76"/>
      <c r="I43" s="76"/>
      <c r="J43" s="76"/>
      <c r="K43" s="76"/>
      <c r="L43" s="79" t="str">
        <f aca="false">IF(B43="","",IF($G43="NON",0,IF(COUNT(H43:K43)=0,"",SUM(H43:K43))))</f>
        <v/>
      </c>
      <c r="M43" s="77" t="str">
        <f aca="false">IF(B43="","",IF($G43="NON",0,IF(COUNT(H43:K43)=0,"",IFERROR(ROUND(SUM(H43:K43)/SUMPRODUCT(ISNUMBER(H43:K43)*$H$8:$K$8)*10,2),""))))</f>
        <v/>
      </c>
      <c r="N43" s="75"/>
      <c r="O43" s="76"/>
      <c r="P43" s="76"/>
      <c r="Q43" s="76"/>
      <c r="R43" s="76"/>
      <c r="S43" s="79" t="str">
        <f aca="false">IF(B43="","",IF($N43="NON",0,IF(COUNT(O43:R43)=0,"",SUM(O43:R43))))</f>
        <v/>
      </c>
      <c r="T43" s="77" t="str">
        <f aca="false">IF(B43="","",IF($N43="NON",0,IF(COUNT(O43:R43)=0,"",IFERROR(ROUND(SUM(O43:R43)/SUMPRODUCT(ISNUMBER(O43:R43)*$O$8:$R$8)*10,2),""))))</f>
        <v/>
      </c>
      <c r="U43" s="75"/>
      <c r="V43" s="76"/>
      <c r="W43" s="76"/>
      <c r="X43" s="76"/>
      <c r="Y43" s="76"/>
      <c r="Z43" s="79" t="str">
        <f aca="false">IF(B43="","",IF($U43="NON",0,IF(COUNT(V43:Y43)=0,"",SUM(V43:Y43))))</f>
        <v/>
      </c>
      <c r="AA43" s="77" t="str">
        <f aca="false">IF(B43="","",IF($U43="NON",0,IF(COUNT(V43:Y43)=0,"",IFERROR(ROUND(SUM(V43:Y43)/SUMPRODUCT(ISNUMBER(V43:Y43)*$V$8:$Y$8)*10,2),""))))</f>
        <v/>
      </c>
      <c r="AB43" s="75"/>
      <c r="AC43" s="76"/>
      <c r="AD43" s="76"/>
      <c r="AE43" s="76"/>
      <c r="AF43" s="76"/>
      <c r="AG43" s="79" t="str">
        <f aca="false">IF(B43="","",IF($AB43="NON",0,IF(COUNT(AC43:AF43)=0,"",SUM(AC43:AF43))))</f>
        <v/>
      </c>
      <c r="AH43" s="77" t="str">
        <f aca="false">IF(B43="","",IF($AB43="NON",0,IF(COUNT(AC43:AF43)=0,"",IFERROR(ROUND(SUM(AC43:AF43)/SUMPRODUCT(ISNUMBER(AC43:AF43)*$AC$8:$AF$8)*10,2),""))))</f>
        <v/>
      </c>
      <c r="AI43" s="51" t="str">
        <f aca="false">IFERROR(MATCH("CEM-34",'REGISTRE ELEVES'!$AI$10:$AI$250,0),"")</f>
        <v/>
      </c>
    </row>
    <row r="44" customFormat="false" ht="15" hidden="false" customHeight="false" outlineLevel="0" collapsed="false">
      <c r="A44" s="73" t="str">
        <f aca="false">IF(B44="","",35)</f>
        <v/>
      </c>
      <c r="B44" s="73" t="str">
        <f aca="false">IF($AI44="","",INDEX('REGISTRE ELEVES'!$B$10:$B$250,$AI44))</f>
        <v/>
      </c>
      <c r="C44" s="74" t="str">
        <f aca="false">IF($AI44="","",INDEX('REGISTRE ELEVES'!$D$10:$D$250,$AI44))</f>
        <v/>
      </c>
      <c r="D44" s="73" t="str">
        <f aca="false">IF($AI44="","",INDEX('REGISTRE ELEVES'!$E$10:$E$250,$AI44))</f>
        <v/>
      </c>
      <c r="E44" s="73" t="str">
        <f aca="false">IF($AI44="","",INDEX('REGISTRE ELEVES'!$F$10:$F$250,$AI44))</f>
        <v/>
      </c>
      <c r="F44" s="73" t="str">
        <f aca="false">IF($AI44="","",INDEX('REGISTRE ELEVES'!$AE$10:$AE$250,$AI44))</f>
        <v/>
      </c>
      <c r="G44" s="75"/>
      <c r="H44" s="76"/>
      <c r="I44" s="76"/>
      <c r="J44" s="76"/>
      <c r="K44" s="76"/>
      <c r="L44" s="79" t="str">
        <f aca="false">IF(B44="","",IF($G44="NON",0,IF(COUNT(H44:K44)=0,"",SUM(H44:K44))))</f>
        <v/>
      </c>
      <c r="M44" s="77" t="str">
        <f aca="false">IF(B44="","",IF($G44="NON",0,IF(COUNT(H44:K44)=0,"",IFERROR(ROUND(SUM(H44:K44)/SUMPRODUCT(ISNUMBER(H44:K44)*$H$8:$K$8)*10,2),""))))</f>
        <v/>
      </c>
      <c r="N44" s="75"/>
      <c r="O44" s="76"/>
      <c r="P44" s="76"/>
      <c r="Q44" s="76"/>
      <c r="R44" s="76"/>
      <c r="S44" s="79" t="str">
        <f aca="false">IF(B44="","",IF($N44="NON",0,IF(COUNT(O44:R44)=0,"",SUM(O44:R44))))</f>
        <v/>
      </c>
      <c r="T44" s="77" t="str">
        <f aca="false">IF(B44="","",IF($N44="NON",0,IF(COUNT(O44:R44)=0,"",IFERROR(ROUND(SUM(O44:R44)/SUMPRODUCT(ISNUMBER(O44:R44)*$O$8:$R$8)*10,2),""))))</f>
        <v/>
      </c>
      <c r="U44" s="75"/>
      <c r="V44" s="76"/>
      <c r="W44" s="76"/>
      <c r="X44" s="76"/>
      <c r="Y44" s="76"/>
      <c r="Z44" s="79" t="str">
        <f aca="false">IF(B44="","",IF($U44="NON",0,IF(COUNT(V44:Y44)=0,"",SUM(V44:Y44))))</f>
        <v/>
      </c>
      <c r="AA44" s="77" t="str">
        <f aca="false">IF(B44="","",IF($U44="NON",0,IF(COUNT(V44:Y44)=0,"",IFERROR(ROUND(SUM(V44:Y44)/SUMPRODUCT(ISNUMBER(V44:Y44)*$V$8:$Y$8)*10,2),""))))</f>
        <v/>
      </c>
      <c r="AB44" s="75"/>
      <c r="AC44" s="76"/>
      <c r="AD44" s="76"/>
      <c r="AE44" s="76"/>
      <c r="AF44" s="76"/>
      <c r="AG44" s="79" t="str">
        <f aca="false">IF(B44="","",IF($AB44="NON",0,IF(COUNT(AC44:AF44)=0,"",SUM(AC44:AF44))))</f>
        <v/>
      </c>
      <c r="AH44" s="77" t="str">
        <f aca="false">IF(B44="","",IF($AB44="NON",0,IF(COUNT(AC44:AF44)=0,"",IFERROR(ROUND(SUM(AC44:AF44)/SUMPRODUCT(ISNUMBER(AC44:AF44)*$AC$8:$AF$8)*10,2),""))))</f>
        <v/>
      </c>
      <c r="AI44" s="51" t="str">
        <f aca="false">IFERROR(MATCH("CEM-35",'REGISTRE ELEVES'!$AI$10:$AI$250,0),"")</f>
        <v/>
      </c>
    </row>
    <row r="45" customFormat="false" ht="15" hidden="false" customHeight="false" outlineLevel="0" collapsed="false">
      <c r="A45" s="73" t="str">
        <f aca="false">IF(B45="","",36)</f>
        <v/>
      </c>
      <c r="B45" s="73" t="str">
        <f aca="false">IF($AI45="","",INDEX('REGISTRE ELEVES'!$B$10:$B$250,$AI45))</f>
        <v/>
      </c>
      <c r="C45" s="74" t="str">
        <f aca="false">IF($AI45="","",INDEX('REGISTRE ELEVES'!$D$10:$D$250,$AI45))</f>
        <v/>
      </c>
      <c r="D45" s="73" t="str">
        <f aca="false">IF($AI45="","",INDEX('REGISTRE ELEVES'!$E$10:$E$250,$AI45))</f>
        <v/>
      </c>
      <c r="E45" s="73" t="str">
        <f aca="false">IF($AI45="","",INDEX('REGISTRE ELEVES'!$F$10:$F$250,$AI45))</f>
        <v/>
      </c>
      <c r="F45" s="73" t="str">
        <f aca="false">IF($AI45="","",INDEX('REGISTRE ELEVES'!$AE$10:$AE$250,$AI45))</f>
        <v/>
      </c>
      <c r="G45" s="75"/>
      <c r="H45" s="76"/>
      <c r="I45" s="76"/>
      <c r="J45" s="76"/>
      <c r="K45" s="76"/>
      <c r="L45" s="79" t="str">
        <f aca="false">IF(B45="","",IF($G45="NON",0,IF(COUNT(H45:K45)=0,"",SUM(H45:K45))))</f>
        <v/>
      </c>
      <c r="M45" s="77" t="str">
        <f aca="false">IF(B45="","",IF($G45="NON",0,IF(COUNT(H45:K45)=0,"",IFERROR(ROUND(SUM(H45:K45)/SUMPRODUCT(ISNUMBER(H45:K45)*$H$8:$K$8)*10,2),""))))</f>
        <v/>
      </c>
      <c r="N45" s="75"/>
      <c r="O45" s="76"/>
      <c r="P45" s="76"/>
      <c r="Q45" s="76"/>
      <c r="R45" s="76"/>
      <c r="S45" s="79" t="str">
        <f aca="false">IF(B45="","",IF($N45="NON",0,IF(COUNT(O45:R45)=0,"",SUM(O45:R45))))</f>
        <v/>
      </c>
      <c r="T45" s="77" t="str">
        <f aca="false">IF(B45="","",IF($N45="NON",0,IF(COUNT(O45:R45)=0,"",IFERROR(ROUND(SUM(O45:R45)/SUMPRODUCT(ISNUMBER(O45:R45)*$O$8:$R$8)*10,2),""))))</f>
        <v/>
      </c>
      <c r="U45" s="75"/>
      <c r="V45" s="76"/>
      <c r="W45" s="76"/>
      <c r="X45" s="76"/>
      <c r="Y45" s="76"/>
      <c r="Z45" s="79" t="str">
        <f aca="false">IF(B45="","",IF($U45="NON",0,IF(COUNT(V45:Y45)=0,"",SUM(V45:Y45))))</f>
        <v/>
      </c>
      <c r="AA45" s="77" t="str">
        <f aca="false">IF(B45="","",IF($U45="NON",0,IF(COUNT(V45:Y45)=0,"",IFERROR(ROUND(SUM(V45:Y45)/SUMPRODUCT(ISNUMBER(V45:Y45)*$V$8:$Y$8)*10,2),""))))</f>
        <v/>
      </c>
      <c r="AB45" s="75"/>
      <c r="AC45" s="76"/>
      <c r="AD45" s="76"/>
      <c r="AE45" s="76"/>
      <c r="AF45" s="76"/>
      <c r="AG45" s="79" t="str">
        <f aca="false">IF(B45="","",IF($AB45="NON",0,IF(COUNT(AC45:AF45)=0,"",SUM(AC45:AF45))))</f>
        <v/>
      </c>
      <c r="AH45" s="77" t="str">
        <f aca="false">IF(B45="","",IF($AB45="NON",0,IF(COUNT(AC45:AF45)=0,"",IFERROR(ROUND(SUM(AC45:AF45)/SUMPRODUCT(ISNUMBER(AC45:AF45)*$AC$8:$AF$8)*10,2),""))))</f>
        <v/>
      </c>
      <c r="AI45" s="51" t="str">
        <f aca="false">IFERROR(MATCH("CEM-36",'REGISTRE ELEVES'!$AI$10:$AI$250,0),"")</f>
        <v/>
      </c>
    </row>
    <row r="46" customFormat="false" ht="15" hidden="false" customHeight="false" outlineLevel="0" collapsed="false">
      <c r="A46" s="73" t="str">
        <f aca="false">IF(B46="","",37)</f>
        <v/>
      </c>
      <c r="B46" s="73" t="str">
        <f aca="false">IF($AI46="","",INDEX('REGISTRE ELEVES'!$B$10:$B$250,$AI46))</f>
        <v/>
      </c>
      <c r="C46" s="74" t="str">
        <f aca="false">IF($AI46="","",INDEX('REGISTRE ELEVES'!$D$10:$D$250,$AI46))</f>
        <v/>
      </c>
      <c r="D46" s="73" t="str">
        <f aca="false">IF($AI46="","",INDEX('REGISTRE ELEVES'!$E$10:$E$250,$AI46))</f>
        <v/>
      </c>
      <c r="E46" s="73" t="str">
        <f aca="false">IF($AI46="","",INDEX('REGISTRE ELEVES'!$F$10:$F$250,$AI46))</f>
        <v/>
      </c>
      <c r="F46" s="73" t="str">
        <f aca="false">IF($AI46="","",INDEX('REGISTRE ELEVES'!$AE$10:$AE$250,$AI46))</f>
        <v/>
      </c>
      <c r="G46" s="75"/>
      <c r="H46" s="76"/>
      <c r="I46" s="76"/>
      <c r="J46" s="76"/>
      <c r="K46" s="76"/>
      <c r="L46" s="79" t="str">
        <f aca="false">IF(B46="","",IF($G46="NON",0,IF(COUNT(H46:K46)=0,"",SUM(H46:K46))))</f>
        <v/>
      </c>
      <c r="M46" s="77" t="str">
        <f aca="false">IF(B46="","",IF($G46="NON",0,IF(COUNT(H46:K46)=0,"",IFERROR(ROUND(SUM(H46:K46)/SUMPRODUCT(ISNUMBER(H46:K46)*$H$8:$K$8)*10,2),""))))</f>
        <v/>
      </c>
      <c r="N46" s="75"/>
      <c r="O46" s="76"/>
      <c r="P46" s="76"/>
      <c r="Q46" s="76"/>
      <c r="R46" s="76"/>
      <c r="S46" s="79" t="str">
        <f aca="false">IF(B46="","",IF($N46="NON",0,IF(COUNT(O46:R46)=0,"",SUM(O46:R46))))</f>
        <v/>
      </c>
      <c r="T46" s="77" t="str">
        <f aca="false">IF(B46="","",IF($N46="NON",0,IF(COUNT(O46:R46)=0,"",IFERROR(ROUND(SUM(O46:R46)/SUMPRODUCT(ISNUMBER(O46:R46)*$O$8:$R$8)*10,2),""))))</f>
        <v/>
      </c>
      <c r="U46" s="75"/>
      <c r="V46" s="76"/>
      <c r="W46" s="76"/>
      <c r="X46" s="76"/>
      <c r="Y46" s="76"/>
      <c r="Z46" s="79" t="str">
        <f aca="false">IF(B46="","",IF($U46="NON",0,IF(COUNT(V46:Y46)=0,"",SUM(V46:Y46))))</f>
        <v/>
      </c>
      <c r="AA46" s="77" t="str">
        <f aca="false">IF(B46="","",IF($U46="NON",0,IF(COUNT(V46:Y46)=0,"",IFERROR(ROUND(SUM(V46:Y46)/SUMPRODUCT(ISNUMBER(V46:Y46)*$V$8:$Y$8)*10,2),""))))</f>
        <v/>
      </c>
      <c r="AB46" s="75"/>
      <c r="AC46" s="76"/>
      <c r="AD46" s="76"/>
      <c r="AE46" s="76"/>
      <c r="AF46" s="76"/>
      <c r="AG46" s="79" t="str">
        <f aca="false">IF(B46="","",IF($AB46="NON",0,IF(COUNT(AC46:AF46)=0,"",SUM(AC46:AF46))))</f>
        <v/>
      </c>
      <c r="AH46" s="77" t="str">
        <f aca="false">IF(B46="","",IF($AB46="NON",0,IF(COUNT(AC46:AF46)=0,"",IFERROR(ROUND(SUM(AC46:AF46)/SUMPRODUCT(ISNUMBER(AC46:AF46)*$AC$8:$AF$8)*10,2),""))))</f>
        <v/>
      </c>
      <c r="AI46" s="51" t="str">
        <f aca="false">IFERROR(MATCH("CEM-37",'REGISTRE ELEVES'!$AI$10:$AI$250,0),"")</f>
        <v/>
      </c>
    </row>
    <row r="47" customFormat="false" ht="15" hidden="false" customHeight="false" outlineLevel="0" collapsed="false">
      <c r="A47" s="73" t="str">
        <f aca="false">IF(B47="","",38)</f>
        <v/>
      </c>
      <c r="B47" s="73" t="str">
        <f aca="false">IF($AI47="","",INDEX('REGISTRE ELEVES'!$B$10:$B$250,$AI47))</f>
        <v/>
      </c>
      <c r="C47" s="74" t="str">
        <f aca="false">IF($AI47="","",INDEX('REGISTRE ELEVES'!$D$10:$D$250,$AI47))</f>
        <v/>
      </c>
      <c r="D47" s="73" t="str">
        <f aca="false">IF($AI47="","",INDEX('REGISTRE ELEVES'!$E$10:$E$250,$AI47))</f>
        <v/>
      </c>
      <c r="E47" s="73" t="str">
        <f aca="false">IF($AI47="","",INDEX('REGISTRE ELEVES'!$F$10:$F$250,$AI47))</f>
        <v/>
      </c>
      <c r="F47" s="73" t="str">
        <f aca="false">IF($AI47="","",INDEX('REGISTRE ELEVES'!$AE$10:$AE$250,$AI47))</f>
        <v/>
      </c>
      <c r="G47" s="75"/>
      <c r="H47" s="76"/>
      <c r="I47" s="76"/>
      <c r="J47" s="76"/>
      <c r="K47" s="76"/>
      <c r="L47" s="79" t="str">
        <f aca="false">IF(B47="","",IF($G47="NON",0,IF(COUNT(H47:K47)=0,"",SUM(H47:K47))))</f>
        <v/>
      </c>
      <c r="M47" s="77" t="str">
        <f aca="false">IF(B47="","",IF($G47="NON",0,IF(COUNT(H47:K47)=0,"",IFERROR(ROUND(SUM(H47:K47)/SUMPRODUCT(ISNUMBER(H47:K47)*$H$8:$K$8)*10,2),""))))</f>
        <v/>
      </c>
      <c r="N47" s="75"/>
      <c r="O47" s="76"/>
      <c r="P47" s="76"/>
      <c r="Q47" s="76"/>
      <c r="R47" s="76"/>
      <c r="S47" s="79" t="str">
        <f aca="false">IF(B47="","",IF($N47="NON",0,IF(COUNT(O47:R47)=0,"",SUM(O47:R47))))</f>
        <v/>
      </c>
      <c r="T47" s="77" t="str">
        <f aca="false">IF(B47="","",IF($N47="NON",0,IF(COUNT(O47:R47)=0,"",IFERROR(ROUND(SUM(O47:R47)/SUMPRODUCT(ISNUMBER(O47:R47)*$O$8:$R$8)*10,2),""))))</f>
        <v/>
      </c>
      <c r="U47" s="75"/>
      <c r="V47" s="76"/>
      <c r="W47" s="76"/>
      <c r="X47" s="76"/>
      <c r="Y47" s="76"/>
      <c r="Z47" s="79" t="str">
        <f aca="false">IF(B47="","",IF($U47="NON",0,IF(COUNT(V47:Y47)=0,"",SUM(V47:Y47))))</f>
        <v/>
      </c>
      <c r="AA47" s="77" t="str">
        <f aca="false">IF(B47="","",IF($U47="NON",0,IF(COUNT(V47:Y47)=0,"",IFERROR(ROUND(SUM(V47:Y47)/SUMPRODUCT(ISNUMBER(V47:Y47)*$V$8:$Y$8)*10,2),""))))</f>
        <v/>
      </c>
      <c r="AB47" s="75"/>
      <c r="AC47" s="76"/>
      <c r="AD47" s="76"/>
      <c r="AE47" s="76"/>
      <c r="AF47" s="76"/>
      <c r="AG47" s="79" t="str">
        <f aca="false">IF(B47="","",IF($AB47="NON",0,IF(COUNT(AC47:AF47)=0,"",SUM(AC47:AF47))))</f>
        <v/>
      </c>
      <c r="AH47" s="77" t="str">
        <f aca="false">IF(B47="","",IF($AB47="NON",0,IF(COUNT(AC47:AF47)=0,"",IFERROR(ROUND(SUM(AC47:AF47)/SUMPRODUCT(ISNUMBER(AC47:AF47)*$AC$8:$AF$8)*10,2),""))))</f>
        <v/>
      </c>
      <c r="AI47" s="51" t="str">
        <f aca="false">IFERROR(MATCH("CEM-38",'REGISTRE ELEVES'!$AI$10:$AI$250,0),"")</f>
        <v/>
      </c>
    </row>
    <row r="48" customFormat="false" ht="15" hidden="false" customHeight="false" outlineLevel="0" collapsed="false">
      <c r="A48" s="73" t="str">
        <f aca="false">IF(B48="","",39)</f>
        <v/>
      </c>
      <c r="B48" s="73" t="str">
        <f aca="false">IF($AI48="","",INDEX('REGISTRE ELEVES'!$B$10:$B$250,$AI48))</f>
        <v/>
      </c>
      <c r="C48" s="74" t="str">
        <f aca="false">IF($AI48="","",INDEX('REGISTRE ELEVES'!$D$10:$D$250,$AI48))</f>
        <v/>
      </c>
      <c r="D48" s="73" t="str">
        <f aca="false">IF($AI48="","",INDEX('REGISTRE ELEVES'!$E$10:$E$250,$AI48))</f>
        <v/>
      </c>
      <c r="E48" s="73" t="str">
        <f aca="false">IF($AI48="","",INDEX('REGISTRE ELEVES'!$F$10:$F$250,$AI48))</f>
        <v/>
      </c>
      <c r="F48" s="73" t="str">
        <f aca="false">IF($AI48="","",INDEX('REGISTRE ELEVES'!$AE$10:$AE$250,$AI48))</f>
        <v/>
      </c>
      <c r="G48" s="75"/>
      <c r="H48" s="76"/>
      <c r="I48" s="76"/>
      <c r="J48" s="76"/>
      <c r="K48" s="76"/>
      <c r="L48" s="79" t="str">
        <f aca="false">IF(B48="","",IF($G48="NON",0,IF(COUNT(H48:K48)=0,"",SUM(H48:K48))))</f>
        <v/>
      </c>
      <c r="M48" s="77" t="str">
        <f aca="false">IF(B48="","",IF($G48="NON",0,IF(COUNT(H48:K48)=0,"",IFERROR(ROUND(SUM(H48:K48)/SUMPRODUCT(ISNUMBER(H48:K48)*$H$8:$K$8)*10,2),""))))</f>
        <v/>
      </c>
      <c r="N48" s="75"/>
      <c r="O48" s="76"/>
      <c r="P48" s="76"/>
      <c r="Q48" s="76"/>
      <c r="R48" s="76"/>
      <c r="S48" s="79" t="str">
        <f aca="false">IF(B48="","",IF($N48="NON",0,IF(COUNT(O48:R48)=0,"",SUM(O48:R48))))</f>
        <v/>
      </c>
      <c r="T48" s="77" t="str">
        <f aca="false">IF(B48="","",IF($N48="NON",0,IF(COUNT(O48:R48)=0,"",IFERROR(ROUND(SUM(O48:R48)/SUMPRODUCT(ISNUMBER(O48:R48)*$O$8:$R$8)*10,2),""))))</f>
        <v/>
      </c>
      <c r="U48" s="75"/>
      <c r="V48" s="76"/>
      <c r="W48" s="76"/>
      <c r="X48" s="76"/>
      <c r="Y48" s="76"/>
      <c r="Z48" s="79" t="str">
        <f aca="false">IF(B48="","",IF($U48="NON",0,IF(COUNT(V48:Y48)=0,"",SUM(V48:Y48))))</f>
        <v/>
      </c>
      <c r="AA48" s="77" t="str">
        <f aca="false">IF(B48="","",IF($U48="NON",0,IF(COUNT(V48:Y48)=0,"",IFERROR(ROUND(SUM(V48:Y48)/SUMPRODUCT(ISNUMBER(V48:Y48)*$V$8:$Y$8)*10,2),""))))</f>
        <v/>
      </c>
      <c r="AB48" s="75"/>
      <c r="AC48" s="76"/>
      <c r="AD48" s="76"/>
      <c r="AE48" s="76"/>
      <c r="AF48" s="76"/>
      <c r="AG48" s="79" t="str">
        <f aca="false">IF(B48="","",IF($AB48="NON",0,IF(COUNT(AC48:AF48)=0,"",SUM(AC48:AF48))))</f>
        <v/>
      </c>
      <c r="AH48" s="77" t="str">
        <f aca="false">IF(B48="","",IF($AB48="NON",0,IF(COUNT(AC48:AF48)=0,"",IFERROR(ROUND(SUM(AC48:AF48)/SUMPRODUCT(ISNUMBER(AC48:AF48)*$AC$8:$AF$8)*10,2),""))))</f>
        <v/>
      </c>
      <c r="AI48" s="51" t="str">
        <f aca="false">IFERROR(MATCH("CEM-39",'REGISTRE ELEVES'!$AI$10:$AI$250,0),"")</f>
        <v/>
      </c>
    </row>
    <row r="49" customFormat="false" ht="15" hidden="false" customHeight="false" outlineLevel="0" collapsed="false">
      <c r="A49" s="73" t="str">
        <f aca="false">IF(B49="","",40)</f>
        <v/>
      </c>
      <c r="B49" s="73" t="str">
        <f aca="false">IF($AI49="","",INDEX('REGISTRE ELEVES'!$B$10:$B$250,$AI49))</f>
        <v/>
      </c>
      <c r="C49" s="74" t="str">
        <f aca="false">IF($AI49="","",INDEX('REGISTRE ELEVES'!$D$10:$D$250,$AI49))</f>
        <v/>
      </c>
      <c r="D49" s="73" t="str">
        <f aca="false">IF($AI49="","",INDEX('REGISTRE ELEVES'!$E$10:$E$250,$AI49))</f>
        <v/>
      </c>
      <c r="E49" s="73" t="str">
        <f aca="false">IF($AI49="","",INDEX('REGISTRE ELEVES'!$F$10:$F$250,$AI49))</f>
        <v/>
      </c>
      <c r="F49" s="73" t="str">
        <f aca="false">IF($AI49="","",INDEX('REGISTRE ELEVES'!$AE$10:$AE$250,$AI49))</f>
        <v/>
      </c>
      <c r="G49" s="75"/>
      <c r="H49" s="76"/>
      <c r="I49" s="76"/>
      <c r="J49" s="76"/>
      <c r="K49" s="76"/>
      <c r="L49" s="79" t="str">
        <f aca="false">IF(B49="","",IF($G49="NON",0,IF(COUNT(H49:K49)=0,"",SUM(H49:K49))))</f>
        <v/>
      </c>
      <c r="M49" s="77" t="str">
        <f aca="false">IF(B49="","",IF($G49="NON",0,IF(COUNT(H49:K49)=0,"",IFERROR(ROUND(SUM(H49:K49)/SUMPRODUCT(ISNUMBER(H49:K49)*$H$8:$K$8)*10,2),""))))</f>
        <v/>
      </c>
      <c r="N49" s="75"/>
      <c r="O49" s="76"/>
      <c r="P49" s="76"/>
      <c r="Q49" s="76"/>
      <c r="R49" s="76"/>
      <c r="S49" s="79" t="str">
        <f aca="false">IF(B49="","",IF($N49="NON",0,IF(COUNT(O49:R49)=0,"",SUM(O49:R49))))</f>
        <v/>
      </c>
      <c r="T49" s="77" t="str">
        <f aca="false">IF(B49="","",IF($N49="NON",0,IF(COUNT(O49:R49)=0,"",IFERROR(ROUND(SUM(O49:R49)/SUMPRODUCT(ISNUMBER(O49:R49)*$O$8:$R$8)*10,2),""))))</f>
        <v/>
      </c>
      <c r="U49" s="75"/>
      <c r="V49" s="76"/>
      <c r="W49" s="76"/>
      <c r="X49" s="76"/>
      <c r="Y49" s="76"/>
      <c r="Z49" s="79" t="str">
        <f aca="false">IF(B49="","",IF($U49="NON",0,IF(COUNT(V49:Y49)=0,"",SUM(V49:Y49))))</f>
        <v/>
      </c>
      <c r="AA49" s="77" t="str">
        <f aca="false">IF(B49="","",IF($U49="NON",0,IF(COUNT(V49:Y49)=0,"",IFERROR(ROUND(SUM(V49:Y49)/SUMPRODUCT(ISNUMBER(V49:Y49)*$V$8:$Y$8)*10,2),""))))</f>
        <v/>
      </c>
      <c r="AB49" s="75"/>
      <c r="AC49" s="76"/>
      <c r="AD49" s="76"/>
      <c r="AE49" s="76"/>
      <c r="AF49" s="76"/>
      <c r="AG49" s="79" t="str">
        <f aca="false">IF(B49="","",IF($AB49="NON",0,IF(COUNT(AC49:AF49)=0,"",SUM(AC49:AF49))))</f>
        <v/>
      </c>
      <c r="AH49" s="77" t="str">
        <f aca="false">IF(B49="","",IF($AB49="NON",0,IF(COUNT(AC49:AF49)=0,"",IFERROR(ROUND(SUM(AC49:AF49)/SUMPRODUCT(ISNUMBER(AC49:AF49)*$AC$8:$AF$8)*10,2),""))))</f>
        <v/>
      </c>
      <c r="AI49" s="51" t="str">
        <f aca="false">IFERROR(MATCH("CEM-40",'REGISTRE ELEVES'!$AI$10:$AI$250,0),"")</f>
        <v/>
      </c>
    </row>
    <row r="50" customFormat="false" ht="15" hidden="false" customHeight="false" outlineLevel="0" collapsed="false">
      <c r="A50" s="73" t="str">
        <f aca="false">IF(B50="","",41)</f>
        <v/>
      </c>
      <c r="B50" s="73" t="str">
        <f aca="false">IF($AI50="","",INDEX('REGISTRE ELEVES'!$B$10:$B$250,$AI50))</f>
        <v/>
      </c>
      <c r="C50" s="74" t="str">
        <f aca="false">IF($AI50="","",INDEX('REGISTRE ELEVES'!$D$10:$D$250,$AI50))</f>
        <v/>
      </c>
      <c r="D50" s="73" t="str">
        <f aca="false">IF($AI50="","",INDEX('REGISTRE ELEVES'!$E$10:$E$250,$AI50))</f>
        <v/>
      </c>
      <c r="E50" s="73" t="str">
        <f aca="false">IF($AI50="","",INDEX('REGISTRE ELEVES'!$F$10:$F$250,$AI50))</f>
        <v/>
      </c>
      <c r="F50" s="73" t="str">
        <f aca="false">IF($AI50="","",INDEX('REGISTRE ELEVES'!$AE$10:$AE$250,$AI50))</f>
        <v/>
      </c>
      <c r="G50" s="75"/>
      <c r="H50" s="76"/>
      <c r="I50" s="76"/>
      <c r="J50" s="76"/>
      <c r="K50" s="76"/>
      <c r="L50" s="79" t="str">
        <f aca="false">IF(B50="","",IF($G50="NON",0,IF(COUNT(H50:K50)=0,"",SUM(H50:K50))))</f>
        <v/>
      </c>
      <c r="M50" s="77" t="str">
        <f aca="false">IF(B50="","",IF($G50="NON",0,IF(COUNT(H50:K50)=0,"",IFERROR(ROUND(SUM(H50:K50)/SUMPRODUCT(ISNUMBER(H50:K50)*$H$8:$K$8)*10,2),""))))</f>
        <v/>
      </c>
      <c r="N50" s="75"/>
      <c r="O50" s="76"/>
      <c r="P50" s="76"/>
      <c r="Q50" s="76"/>
      <c r="R50" s="76"/>
      <c r="S50" s="79" t="str">
        <f aca="false">IF(B50="","",IF($N50="NON",0,IF(COUNT(O50:R50)=0,"",SUM(O50:R50))))</f>
        <v/>
      </c>
      <c r="T50" s="77" t="str">
        <f aca="false">IF(B50="","",IF($N50="NON",0,IF(COUNT(O50:R50)=0,"",IFERROR(ROUND(SUM(O50:R50)/SUMPRODUCT(ISNUMBER(O50:R50)*$O$8:$R$8)*10,2),""))))</f>
        <v/>
      </c>
      <c r="U50" s="75"/>
      <c r="V50" s="76"/>
      <c r="W50" s="76"/>
      <c r="X50" s="76"/>
      <c r="Y50" s="76"/>
      <c r="Z50" s="79" t="str">
        <f aca="false">IF(B50="","",IF($U50="NON",0,IF(COUNT(V50:Y50)=0,"",SUM(V50:Y50))))</f>
        <v/>
      </c>
      <c r="AA50" s="77" t="str">
        <f aca="false">IF(B50="","",IF($U50="NON",0,IF(COUNT(V50:Y50)=0,"",IFERROR(ROUND(SUM(V50:Y50)/SUMPRODUCT(ISNUMBER(V50:Y50)*$V$8:$Y$8)*10,2),""))))</f>
        <v/>
      </c>
      <c r="AB50" s="75"/>
      <c r="AC50" s="76"/>
      <c r="AD50" s="76"/>
      <c r="AE50" s="76"/>
      <c r="AF50" s="76"/>
      <c r="AG50" s="79" t="str">
        <f aca="false">IF(B50="","",IF($AB50="NON",0,IF(COUNT(AC50:AF50)=0,"",SUM(AC50:AF50))))</f>
        <v/>
      </c>
      <c r="AH50" s="77" t="str">
        <f aca="false">IF(B50="","",IF($AB50="NON",0,IF(COUNT(AC50:AF50)=0,"",IFERROR(ROUND(SUM(AC50:AF50)/SUMPRODUCT(ISNUMBER(AC50:AF50)*$AC$8:$AF$8)*10,2),""))))</f>
        <v/>
      </c>
      <c r="AI50" s="51" t="str">
        <f aca="false">IFERROR(MATCH("CEM-41",'REGISTRE ELEVES'!$AI$10:$AI$250,0),"")</f>
        <v/>
      </c>
    </row>
    <row r="51" customFormat="false" ht="15" hidden="false" customHeight="false" outlineLevel="0" collapsed="false">
      <c r="A51" s="73" t="str">
        <f aca="false">IF(B51="","",42)</f>
        <v/>
      </c>
      <c r="B51" s="73" t="str">
        <f aca="false">IF($AI51="","",INDEX('REGISTRE ELEVES'!$B$10:$B$250,$AI51))</f>
        <v/>
      </c>
      <c r="C51" s="74" t="str">
        <f aca="false">IF($AI51="","",INDEX('REGISTRE ELEVES'!$D$10:$D$250,$AI51))</f>
        <v/>
      </c>
      <c r="D51" s="73" t="str">
        <f aca="false">IF($AI51="","",INDEX('REGISTRE ELEVES'!$E$10:$E$250,$AI51))</f>
        <v/>
      </c>
      <c r="E51" s="73" t="str">
        <f aca="false">IF($AI51="","",INDEX('REGISTRE ELEVES'!$F$10:$F$250,$AI51))</f>
        <v/>
      </c>
      <c r="F51" s="73" t="str">
        <f aca="false">IF($AI51="","",INDEX('REGISTRE ELEVES'!$AE$10:$AE$250,$AI51))</f>
        <v/>
      </c>
      <c r="G51" s="75"/>
      <c r="H51" s="76"/>
      <c r="I51" s="76"/>
      <c r="J51" s="76"/>
      <c r="K51" s="76"/>
      <c r="L51" s="79" t="str">
        <f aca="false">IF(B51="","",IF($G51="NON",0,IF(COUNT(H51:K51)=0,"",SUM(H51:K51))))</f>
        <v/>
      </c>
      <c r="M51" s="77" t="str">
        <f aca="false">IF(B51="","",IF($G51="NON",0,IF(COUNT(H51:K51)=0,"",IFERROR(ROUND(SUM(H51:K51)/SUMPRODUCT(ISNUMBER(H51:K51)*$H$8:$K$8)*10,2),""))))</f>
        <v/>
      </c>
      <c r="N51" s="75"/>
      <c r="O51" s="76"/>
      <c r="P51" s="76"/>
      <c r="Q51" s="76"/>
      <c r="R51" s="76"/>
      <c r="S51" s="79" t="str">
        <f aca="false">IF(B51="","",IF($N51="NON",0,IF(COUNT(O51:R51)=0,"",SUM(O51:R51))))</f>
        <v/>
      </c>
      <c r="T51" s="77" t="str">
        <f aca="false">IF(B51="","",IF($N51="NON",0,IF(COUNT(O51:R51)=0,"",IFERROR(ROUND(SUM(O51:R51)/SUMPRODUCT(ISNUMBER(O51:R51)*$O$8:$R$8)*10,2),""))))</f>
        <v/>
      </c>
      <c r="U51" s="75"/>
      <c r="V51" s="76"/>
      <c r="W51" s="76"/>
      <c r="X51" s="76"/>
      <c r="Y51" s="76"/>
      <c r="Z51" s="79" t="str">
        <f aca="false">IF(B51="","",IF($U51="NON",0,IF(COUNT(V51:Y51)=0,"",SUM(V51:Y51))))</f>
        <v/>
      </c>
      <c r="AA51" s="77" t="str">
        <f aca="false">IF(B51="","",IF($U51="NON",0,IF(COUNT(V51:Y51)=0,"",IFERROR(ROUND(SUM(V51:Y51)/SUMPRODUCT(ISNUMBER(V51:Y51)*$V$8:$Y$8)*10,2),""))))</f>
        <v/>
      </c>
      <c r="AB51" s="75"/>
      <c r="AC51" s="76"/>
      <c r="AD51" s="76"/>
      <c r="AE51" s="76"/>
      <c r="AF51" s="76"/>
      <c r="AG51" s="79" t="str">
        <f aca="false">IF(B51="","",IF($AB51="NON",0,IF(COUNT(AC51:AF51)=0,"",SUM(AC51:AF51))))</f>
        <v/>
      </c>
      <c r="AH51" s="77" t="str">
        <f aca="false">IF(B51="","",IF($AB51="NON",0,IF(COUNT(AC51:AF51)=0,"",IFERROR(ROUND(SUM(AC51:AF51)/SUMPRODUCT(ISNUMBER(AC51:AF51)*$AC$8:$AF$8)*10,2),""))))</f>
        <v/>
      </c>
      <c r="AI51" s="51" t="str">
        <f aca="false">IFERROR(MATCH("CEM-42",'REGISTRE ELEVES'!$AI$10:$AI$250,0),"")</f>
        <v/>
      </c>
    </row>
    <row r="52" customFormat="false" ht="15" hidden="false" customHeight="false" outlineLevel="0" collapsed="false">
      <c r="A52" s="73" t="str">
        <f aca="false">IF(B52="","",43)</f>
        <v/>
      </c>
      <c r="B52" s="73" t="str">
        <f aca="false">IF($AI52="","",INDEX('REGISTRE ELEVES'!$B$10:$B$250,$AI52))</f>
        <v/>
      </c>
      <c r="C52" s="74" t="str">
        <f aca="false">IF($AI52="","",INDEX('REGISTRE ELEVES'!$D$10:$D$250,$AI52))</f>
        <v/>
      </c>
      <c r="D52" s="73" t="str">
        <f aca="false">IF($AI52="","",INDEX('REGISTRE ELEVES'!$E$10:$E$250,$AI52))</f>
        <v/>
      </c>
      <c r="E52" s="73" t="str">
        <f aca="false">IF($AI52="","",INDEX('REGISTRE ELEVES'!$F$10:$F$250,$AI52))</f>
        <v/>
      </c>
      <c r="F52" s="73" t="str">
        <f aca="false">IF($AI52="","",INDEX('REGISTRE ELEVES'!$AE$10:$AE$250,$AI52))</f>
        <v/>
      </c>
      <c r="G52" s="75"/>
      <c r="H52" s="76"/>
      <c r="I52" s="76"/>
      <c r="J52" s="76"/>
      <c r="K52" s="76"/>
      <c r="L52" s="79" t="str">
        <f aca="false">IF(B52="","",IF($G52="NON",0,IF(COUNT(H52:K52)=0,"",SUM(H52:K52))))</f>
        <v/>
      </c>
      <c r="M52" s="77" t="str">
        <f aca="false">IF(B52="","",IF($G52="NON",0,IF(COUNT(H52:K52)=0,"",IFERROR(ROUND(SUM(H52:K52)/SUMPRODUCT(ISNUMBER(H52:K52)*$H$8:$K$8)*10,2),""))))</f>
        <v/>
      </c>
      <c r="N52" s="75"/>
      <c r="O52" s="76"/>
      <c r="P52" s="76"/>
      <c r="Q52" s="76"/>
      <c r="R52" s="76"/>
      <c r="S52" s="79" t="str">
        <f aca="false">IF(B52="","",IF($N52="NON",0,IF(COUNT(O52:R52)=0,"",SUM(O52:R52))))</f>
        <v/>
      </c>
      <c r="T52" s="77" t="str">
        <f aca="false">IF(B52="","",IF($N52="NON",0,IF(COUNT(O52:R52)=0,"",IFERROR(ROUND(SUM(O52:R52)/SUMPRODUCT(ISNUMBER(O52:R52)*$O$8:$R$8)*10,2),""))))</f>
        <v/>
      </c>
      <c r="U52" s="75"/>
      <c r="V52" s="76"/>
      <c r="W52" s="76"/>
      <c r="X52" s="76"/>
      <c r="Y52" s="76"/>
      <c r="Z52" s="79" t="str">
        <f aca="false">IF(B52="","",IF($U52="NON",0,IF(COUNT(V52:Y52)=0,"",SUM(V52:Y52))))</f>
        <v/>
      </c>
      <c r="AA52" s="77" t="str">
        <f aca="false">IF(B52="","",IF($U52="NON",0,IF(COUNT(V52:Y52)=0,"",IFERROR(ROUND(SUM(V52:Y52)/SUMPRODUCT(ISNUMBER(V52:Y52)*$V$8:$Y$8)*10,2),""))))</f>
        <v/>
      </c>
      <c r="AB52" s="75"/>
      <c r="AC52" s="76"/>
      <c r="AD52" s="76"/>
      <c r="AE52" s="76"/>
      <c r="AF52" s="76"/>
      <c r="AG52" s="79" t="str">
        <f aca="false">IF(B52="","",IF($AB52="NON",0,IF(COUNT(AC52:AF52)=0,"",SUM(AC52:AF52))))</f>
        <v/>
      </c>
      <c r="AH52" s="77" t="str">
        <f aca="false">IF(B52="","",IF($AB52="NON",0,IF(COUNT(AC52:AF52)=0,"",IFERROR(ROUND(SUM(AC52:AF52)/SUMPRODUCT(ISNUMBER(AC52:AF52)*$AC$8:$AF$8)*10,2),""))))</f>
        <v/>
      </c>
      <c r="AI52" s="51" t="str">
        <f aca="false">IFERROR(MATCH("CEM-43",'REGISTRE ELEVES'!$AI$10:$AI$250,0),"")</f>
        <v/>
      </c>
    </row>
    <row r="53" customFormat="false" ht="15" hidden="false" customHeight="false" outlineLevel="0" collapsed="false">
      <c r="A53" s="73" t="str">
        <f aca="false">IF(B53="","",44)</f>
        <v/>
      </c>
      <c r="B53" s="73" t="str">
        <f aca="false">IF($AI53="","",INDEX('REGISTRE ELEVES'!$B$10:$B$250,$AI53))</f>
        <v/>
      </c>
      <c r="C53" s="74" t="str">
        <f aca="false">IF($AI53="","",INDEX('REGISTRE ELEVES'!$D$10:$D$250,$AI53))</f>
        <v/>
      </c>
      <c r="D53" s="73" t="str">
        <f aca="false">IF($AI53="","",INDEX('REGISTRE ELEVES'!$E$10:$E$250,$AI53))</f>
        <v/>
      </c>
      <c r="E53" s="73" t="str">
        <f aca="false">IF($AI53="","",INDEX('REGISTRE ELEVES'!$F$10:$F$250,$AI53))</f>
        <v/>
      </c>
      <c r="F53" s="73" t="str">
        <f aca="false">IF($AI53="","",INDEX('REGISTRE ELEVES'!$AE$10:$AE$250,$AI53))</f>
        <v/>
      </c>
      <c r="G53" s="75"/>
      <c r="H53" s="76"/>
      <c r="I53" s="76"/>
      <c r="J53" s="76"/>
      <c r="K53" s="76"/>
      <c r="L53" s="79" t="str">
        <f aca="false">IF(B53="","",IF($G53="NON",0,IF(COUNT(H53:K53)=0,"",SUM(H53:K53))))</f>
        <v/>
      </c>
      <c r="M53" s="77" t="str">
        <f aca="false">IF(B53="","",IF($G53="NON",0,IF(COUNT(H53:K53)=0,"",IFERROR(ROUND(SUM(H53:K53)/SUMPRODUCT(ISNUMBER(H53:K53)*$H$8:$K$8)*10,2),""))))</f>
        <v/>
      </c>
      <c r="N53" s="75"/>
      <c r="O53" s="76"/>
      <c r="P53" s="76"/>
      <c r="Q53" s="76"/>
      <c r="R53" s="76"/>
      <c r="S53" s="79" t="str">
        <f aca="false">IF(B53="","",IF($N53="NON",0,IF(COUNT(O53:R53)=0,"",SUM(O53:R53))))</f>
        <v/>
      </c>
      <c r="T53" s="77" t="str">
        <f aca="false">IF(B53="","",IF($N53="NON",0,IF(COUNT(O53:R53)=0,"",IFERROR(ROUND(SUM(O53:R53)/SUMPRODUCT(ISNUMBER(O53:R53)*$O$8:$R$8)*10,2),""))))</f>
        <v/>
      </c>
      <c r="U53" s="75"/>
      <c r="V53" s="76"/>
      <c r="W53" s="76"/>
      <c r="X53" s="76"/>
      <c r="Y53" s="76"/>
      <c r="Z53" s="79" t="str">
        <f aca="false">IF(B53="","",IF($U53="NON",0,IF(COUNT(V53:Y53)=0,"",SUM(V53:Y53))))</f>
        <v/>
      </c>
      <c r="AA53" s="77" t="str">
        <f aca="false">IF(B53="","",IF($U53="NON",0,IF(COUNT(V53:Y53)=0,"",IFERROR(ROUND(SUM(V53:Y53)/SUMPRODUCT(ISNUMBER(V53:Y53)*$V$8:$Y$8)*10,2),""))))</f>
        <v/>
      </c>
      <c r="AB53" s="75"/>
      <c r="AC53" s="76"/>
      <c r="AD53" s="76"/>
      <c r="AE53" s="76"/>
      <c r="AF53" s="76"/>
      <c r="AG53" s="79" t="str">
        <f aca="false">IF(B53="","",IF($AB53="NON",0,IF(COUNT(AC53:AF53)=0,"",SUM(AC53:AF53))))</f>
        <v/>
      </c>
      <c r="AH53" s="77" t="str">
        <f aca="false">IF(B53="","",IF($AB53="NON",0,IF(COUNT(AC53:AF53)=0,"",IFERROR(ROUND(SUM(AC53:AF53)/SUMPRODUCT(ISNUMBER(AC53:AF53)*$AC$8:$AF$8)*10,2),""))))</f>
        <v/>
      </c>
      <c r="AI53" s="51" t="str">
        <f aca="false">IFERROR(MATCH("CEM-44",'REGISTRE ELEVES'!$AI$10:$AI$250,0),"")</f>
        <v/>
      </c>
    </row>
    <row r="54" customFormat="false" ht="15" hidden="false" customHeight="false" outlineLevel="0" collapsed="false">
      <c r="A54" s="73" t="str">
        <f aca="false">IF(B54="","",45)</f>
        <v/>
      </c>
      <c r="B54" s="73" t="str">
        <f aca="false">IF($AI54="","",INDEX('REGISTRE ELEVES'!$B$10:$B$250,$AI54))</f>
        <v/>
      </c>
      <c r="C54" s="74" t="str">
        <f aca="false">IF($AI54="","",INDEX('REGISTRE ELEVES'!$D$10:$D$250,$AI54))</f>
        <v/>
      </c>
      <c r="D54" s="73" t="str">
        <f aca="false">IF($AI54="","",INDEX('REGISTRE ELEVES'!$E$10:$E$250,$AI54))</f>
        <v/>
      </c>
      <c r="E54" s="73" t="str">
        <f aca="false">IF($AI54="","",INDEX('REGISTRE ELEVES'!$F$10:$F$250,$AI54))</f>
        <v/>
      </c>
      <c r="F54" s="73" t="str">
        <f aca="false">IF($AI54="","",INDEX('REGISTRE ELEVES'!$AE$10:$AE$250,$AI54))</f>
        <v/>
      </c>
      <c r="G54" s="75"/>
      <c r="H54" s="76"/>
      <c r="I54" s="76"/>
      <c r="J54" s="76"/>
      <c r="K54" s="76"/>
      <c r="L54" s="79" t="str">
        <f aca="false">IF(B54="","",IF($G54="NON",0,IF(COUNT(H54:K54)=0,"",SUM(H54:K54))))</f>
        <v/>
      </c>
      <c r="M54" s="77" t="str">
        <f aca="false">IF(B54="","",IF($G54="NON",0,IF(COUNT(H54:K54)=0,"",IFERROR(ROUND(SUM(H54:K54)/SUMPRODUCT(ISNUMBER(H54:K54)*$H$8:$K$8)*10,2),""))))</f>
        <v/>
      </c>
      <c r="N54" s="75"/>
      <c r="O54" s="76"/>
      <c r="P54" s="76"/>
      <c r="Q54" s="76"/>
      <c r="R54" s="76"/>
      <c r="S54" s="79" t="str">
        <f aca="false">IF(B54="","",IF($N54="NON",0,IF(COUNT(O54:R54)=0,"",SUM(O54:R54))))</f>
        <v/>
      </c>
      <c r="T54" s="77" t="str">
        <f aca="false">IF(B54="","",IF($N54="NON",0,IF(COUNT(O54:R54)=0,"",IFERROR(ROUND(SUM(O54:R54)/SUMPRODUCT(ISNUMBER(O54:R54)*$O$8:$R$8)*10,2),""))))</f>
        <v/>
      </c>
      <c r="U54" s="75"/>
      <c r="V54" s="76"/>
      <c r="W54" s="76"/>
      <c r="X54" s="76"/>
      <c r="Y54" s="76"/>
      <c r="Z54" s="79" t="str">
        <f aca="false">IF(B54="","",IF($U54="NON",0,IF(COUNT(V54:Y54)=0,"",SUM(V54:Y54))))</f>
        <v/>
      </c>
      <c r="AA54" s="77" t="str">
        <f aca="false">IF(B54="","",IF($U54="NON",0,IF(COUNT(V54:Y54)=0,"",IFERROR(ROUND(SUM(V54:Y54)/SUMPRODUCT(ISNUMBER(V54:Y54)*$V$8:$Y$8)*10,2),""))))</f>
        <v/>
      </c>
      <c r="AB54" s="75"/>
      <c r="AC54" s="76"/>
      <c r="AD54" s="76"/>
      <c r="AE54" s="76"/>
      <c r="AF54" s="76"/>
      <c r="AG54" s="79" t="str">
        <f aca="false">IF(B54="","",IF($AB54="NON",0,IF(COUNT(AC54:AF54)=0,"",SUM(AC54:AF54))))</f>
        <v/>
      </c>
      <c r="AH54" s="77" t="str">
        <f aca="false">IF(B54="","",IF($AB54="NON",0,IF(COUNT(AC54:AF54)=0,"",IFERROR(ROUND(SUM(AC54:AF54)/SUMPRODUCT(ISNUMBER(AC54:AF54)*$AC$8:$AF$8)*10,2),""))))</f>
        <v/>
      </c>
      <c r="AI54" s="51" t="str">
        <f aca="false">IFERROR(MATCH("CEM-45",'REGISTRE ELEVES'!$AI$10:$AI$250,0),"")</f>
        <v/>
      </c>
    </row>
    <row r="55" customFormat="false" ht="15" hidden="false" customHeight="false" outlineLevel="0" collapsed="false">
      <c r="A55" s="73" t="str">
        <f aca="false">IF(B55="","",46)</f>
        <v/>
      </c>
      <c r="B55" s="73" t="str">
        <f aca="false">IF($AI55="","",INDEX('REGISTRE ELEVES'!$B$10:$B$250,$AI55))</f>
        <v/>
      </c>
      <c r="C55" s="74" t="str">
        <f aca="false">IF($AI55="","",INDEX('REGISTRE ELEVES'!$D$10:$D$250,$AI55))</f>
        <v/>
      </c>
      <c r="D55" s="73" t="str">
        <f aca="false">IF($AI55="","",INDEX('REGISTRE ELEVES'!$E$10:$E$250,$AI55))</f>
        <v/>
      </c>
      <c r="E55" s="73" t="str">
        <f aca="false">IF($AI55="","",INDEX('REGISTRE ELEVES'!$F$10:$F$250,$AI55))</f>
        <v/>
      </c>
      <c r="F55" s="73" t="str">
        <f aca="false">IF($AI55="","",INDEX('REGISTRE ELEVES'!$AE$10:$AE$250,$AI55))</f>
        <v/>
      </c>
      <c r="G55" s="75"/>
      <c r="H55" s="76"/>
      <c r="I55" s="76"/>
      <c r="J55" s="76"/>
      <c r="K55" s="76"/>
      <c r="L55" s="79" t="str">
        <f aca="false">IF(B55="","",IF($G55="NON",0,IF(COUNT(H55:K55)=0,"",SUM(H55:K55))))</f>
        <v/>
      </c>
      <c r="M55" s="77" t="str">
        <f aca="false">IF(B55="","",IF($G55="NON",0,IF(COUNT(H55:K55)=0,"",IFERROR(ROUND(SUM(H55:K55)/SUMPRODUCT(ISNUMBER(H55:K55)*$H$8:$K$8)*10,2),""))))</f>
        <v/>
      </c>
      <c r="N55" s="75"/>
      <c r="O55" s="76"/>
      <c r="P55" s="76"/>
      <c r="Q55" s="76"/>
      <c r="R55" s="76"/>
      <c r="S55" s="79" t="str">
        <f aca="false">IF(B55="","",IF($N55="NON",0,IF(COUNT(O55:R55)=0,"",SUM(O55:R55))))</f>
        <v/>
      </c>
      <c r="T55" s="77" t="str">
        <f aca="false">IF(B55="","",IF($N55="NON",0,IF(COUNT(O55:R55)=0,"",IFERROR(ROUND(SUM(O55:R55)/SUMPRODUCT(ISNUMBER(O55:R55)*$O$8:$R$8)*10,2),""))))</f>
        <v/>
      </c>
      <c r="U55" s="75"/>
      <c r="V55" s="76"/>
      <c r="W55" s="76"/>
      <c r="X55" s="76"/>
      <c r="Y55" s="76"/>
      <c r="Z55" s="79" t="str">
        <f aca="false">IF(B55="","",IF($U55="NON",0,IF(COUNT(V55:Y55)=0,"",SUM(V55:Y55))))</f>
        <v/>
      </c>
      <c r="AA55" s="77" t="str">
        <f aca="false">IF(B55="","",IF($U55="NON",0,IF(COUNT(V55:Y55)=0,"",IFERROR(ROUND(SUM(V55:Y55)/SUMPRODUCT(ISNUMBER(V55:Y55)*$V$8:$Y$8)*10,2),""))))</f>
        <v/>
      </c>
      <c r="AB55" s="75"/>
      <c r="AC55" s="76"/>
      <c r="AD55" s="76"/>
      <c r="AE55" s="76"/>
      <c r="AF55" s="76"/>
      <c r="AG55" s="79" t="str">
        <f aca="false">IF(B55="","",IF($AB55="NON",0,IF(COUNT(AC55:AF55)=0,"",SUM(AC55:AF55))))</f>
        <v/>
      </c>
      <c r="AH55" s="77" t="str">
        <f aca="false">IF(B55="","",IF($AB55="NON",0,IF(COUNT(AC55:AF55)=0,"",IFERROR(ROUND(SUM(AC55:AF55)/SUMPRODUCT(ISNUMBER(AC55:AF55)*$AC$8:$AF$8)*10,2),""))))</f>
        <v/>
      </c>
      <c r="AI55" s="51" t="str">
        <f aca="false">IFERROR(MATCH("CEM-46",'REGISTRE ELEVES'!$AI$10:$AI$250,0),"")</f>
        <v/>
      </c>
    </row>
    <row r="56" customFormat="false" ht="15" hidden="false" customHeight="false" outlineLevel="0" collapsed="false">
      <c r="A56" s="73" t="str">
        <f aca="false">IF(B56="","",47)</f>
        <v/>
      </c>
      <c r="B56" s="73" t="str">
        <f aca="false">IF($AI56="","",INDEX('REGISTRE ELEVES'!$B$10:$B$250,$AI56))</f>
        <v/>
      </c>
      <c r="C56" s="74" t="str">
        <f aca="false">IF($AI56="","",INDEX('REGISTRE ELEVES'!$D$10:$D$250,$AI56))</f>
        <v/>
      </c>
      <c r="D56" s="73" t="str">
        <f aca="false">IF($AI56="","",INDEX('REGISTRE ELEVES'!$E$10:$E$250,$AI56))</f>
        <v/>
      </c>
      <c r="E56" s="73" t="str">
        <f aca="false">IF($AI56="","",INDEX('REGISTRE ELEVES'!$F$10:$F$250,$AI56))</f>
        <v/>
      </c>
      <c r="F56" s="73" t="str">
        <f aca="false">IF($AI56="","",INDEX('REGISTRE ELEVES'!$AE$10:$AE$250,$AI56))</f>
        <v/>
      </c>
      <c r="G56" s="75"/>
      <c r="H56" s="76"/>
      <c r="I56" s="76"/>
      <c r="J56" s="76"/>
      <c r="K56" s="76"/>
      <c r="L56" s="79" t="str">
        <f aca="false">IF(B56="","",IF($G56="NON",0,IF(COUNT(H56:K56)=0,"",SUM(H56:K56))))</f>
        <v/>
      </c>
      <c r="M56" s="77" t="str">
        <f aca="false">IF(B56="","",IF($G56="NON",0,IF(COUNT(H56:K56)=0,"",IFERROR(ROUND(SUM(H56:K56)/SUMPRODUCT(ISNUMBER(H56:K56)*$H$8:$K$8)*10,2),""))))</f>
        <v/>
      </c>
      <c r="N56" s="75"/>
      <c r="O56" s="76"/>
      <c r="P56" s="76"/>
      <c r="Q56" s="76"/>
      <c r="R56" s="76"/>
      <c r="S56" s="79" t="str">
        <f aca="false">IF(B56="","",IF($N56="NON",0,IF(COUNT(O56:R56)=0,"",SUM(O56:R56))))</f>
        <v/>
      </c>
      <c r="T56" s="77" t="str">
        <f aca="false">IF(B56="","",IF($N56="NON",0,IF(COUNT(O56:R56)=0,"",IFERROR(ROUND(SUM(O56:R56)/SUMPRODUCT(ISNUMBER(O56:R56)*$O$8:$R$8)*10,2),""))))</f>
        <v/>
      </c>
      <c r="U56" s="75"/>
      <c r="V56" s="76"/>
      <c r="W56" s="76"/>
      <c r="X56" s="76"/>
      <c r="Y56" s="76"/>
      <c r="Z56" s="79" t="str">
        <f aca="false">IF(B56="","",IF($U56="NON",0,IF(COUNT(V56:Y56)=0,"",SUM(V56:Y56))))</f>
        <v/>
      </c>
      <c r="AA56" s="77" t="str">
        <f aca="false">IF(B56="","",IF($U56="NON",0,IF(COUNT(V56:Y56)=0,"",IFERROR(ROUND(SUM(V56:Y56)/SUMPRODUCT(ISNUMBER(V56:Y56)*$V$8:$Y$8)*10,2),""))))</f>
        <v/>
      </c>
      <c r="AB56" s="75"/>
      <c r="AC56" s="76"/>
      <c r="AD56" s="76"/>
      <c r="AE56" s="76"/>
      <c r="AF56" s="76"/>
      <c r="AG56" s="79" t="str">
        <f aca="false">IF(B56="","",IF($AB56="NON",0,IF(COUNT(AC56:AF56)=0,"",SUM(AC56:AF56))))</f>
        <v/>
      </c>
      <c r="AH56" s="77" t="str">
        <f aca="false">IF(B56="","",IF($AB56="NON",0,IF(COUNT(AC56:AF56)=0,"",IFERROR(ROUND(SUM(AC56:AF56)/SUMPRODUCT(ISNUMBER(AC56:AF56)*$AC$8:$AF$8)*10,2),""))))</f>
        <v/>
      </c>
      <c r="AI56" s="51" t="str">
        <f aca="false">IFERROR(MATCH("CEM-47",'REGISTRE ELEVES'!$AI$10:$AI$250,0),"")</f>
        <v/>
      </c>
    </row>
    <row r="57" customFormat="false" ht="15" hidden="false" customHeight="false" outlineLevel="0" collapsed="false">
      <c r="A57" s="73" t="str">
        <f aca="false">IF(B57="","",48)</f>
        <v/>
      </c>
      <c r="B57" s="73" t="str">
        <f aca="false">IF($AI57="","",INDEX('REGISTRE ELEVES'!$B$10:$B$250,$AI57))</f>
        <v/>
      </c>
      <c r="C57" s="74" t="str">
        <f aca="false">IF($AI57="","",INDEX('REGISTRE ELEVES'!$D$10:$D$250,$AI57))</f>
        <v/>
      </c>
      <c r="D57" s="73" t="str">
        <f aca="false">IF($AI57="","",INDEX('REGISTRE ELEVES'!$E$10:$E$250,$AI57))</f>
        <v/>
      </c>
      <c r="E57" s="73" t="str">
        <f aca="false">IF($AI57="","",INDEX('REGISTRE ELEVES'!$F$10:$F$250,$AI57))</f>
        <v/>
      </c>
      <c r="F57" s="73" t="str">
        <f aca="false">IF($AI57="","",INDEX('REGISTRE ELEVES'!$AE$10:$AE$250,$AI57))</f>
        <v/>
      </c>
      <c r="G57" s="75"/>
      <c r="H57" s="76"/>
      <c r="I57" s="76"/>
      <c r="J57" s="76"/>
      <c r="K57" s="76"/>
      <c r="L57" s="79" t="str">
        <f aca="false">IF(B57="","",IF($G57="NON",0,IF(COUNT(H57:K57)=0,"",SUM(H57:K57))))</f>
        <v/>
      </c>
      <c r="M57" s="77" t="str">
        <f aca="false">IF(B57="","",IF($G57="NON",0,IF(COUNT(H57:K57)=0,"",IFERROR(ROUND(SUM(H57:K57)/SUMPRODUCT(ISNUMBER(H57:K57)*$H$8:$K$8)*10,2),""))))</f>
        <v/>
      </c>
      <c r="N57" s="75"/>
      <c r="O57" s="76"/>
      <c r="P57" s="76"/>
      <c r="Q57" s="76"/>
      <c r="R57" s="76"/>
      <c r="S57" s="79" t="str">
        <f aca="false">IF(B57="","",IF($N57="NON",0,IF(COUNT(O57:R57)=0,"",SUM(O57:R57))))</f>
        <v/>
      </c>
      <c r="T57" s="77" t="str">
        <f aca="false">IF(B57="","",IF($N57="NON",0,IF(COUNT(O57:R57)=0,"",IFERROR(ROUND(SUM(O57:R57)/SUMPRODUCT(ISNUMBER(O57:R57)*$O$8:$R$8)*10,2),""))))</f>
        <v/>
      </c>
      <c r="U57" s="75"/>
      <c r="V57" s="76"/>
      <c r="W57" s="76"/>
      <c r="X57" s="76"/>
      <c r="Y57" s="76"/>
      <c r="Z57" s="79" t="str">
        <f aca="false">IF(B57="","",IF($U57="NON",0,IF(COUNT(V57:Y57)=0,"",SUM(V57:Y57))))</f>
        <v/>
      </c>
      <c r="AA57" s="77" t="str">
        <f aca="false">IF(B57="","",IF($U57="NON",0,IF(COUNT(V57:Y57)=0,"",IFERROR(ROUND(SUM(V57:Y57)/SUMPRODUCT(ISNUMBER(V57:Y57)*$V$8:$Y$8)*10,2),""))))</f>
        <v/>
      </c>
      <c r="AB57" s="75"/>
      <c r="AC57" s="76"/>
      <c r="AD57" s="76"/>
      <c r="AE57" s="76"/>
      <c r="AF57" s="76"/>
      <c r="AG57" s="79" t="str">
        <f aca="false">IF(B57="","",IF($AB57="NON",0,IF(COUNT(AC57:AF57)=0,"",SUM(AC57:AF57))))</f>
        <v/>
      </c>
      <c r="AH57" s="77" t="str">
        <f aca="false">IF(B57="","",IF($AB57="NON",0,IF(COUNT(AC57:AF57)=0,"",IFERROR(ROUND(SUM(AC57:AF57)/SUMPRODUCT(ISNUMBER(AC57:AF57)*$AC$8:$AF$8)*10,2),""))))</f>
        <v/>
      </c>
      <c r="AI57" s="51" t="str">
        <f aca="false">IFERROR(MATCH("CEM-48",'REGISTRE ELEVES'!$AI$10:$AI$250,0),"")</f>
        <v/>
      </c>
    </row>
    <row r="58" customFormat="false" ht="15" hidden="false" customHeight="false" outlineLevel="0" collapsed="false">
      <c r="A58" s="73" t="str">
        <f aca="false">IF(B58="","",49)</f>
        <v/>
      </c>
      <c r="B58" s="73" t="str">
        <f aca="false">IF($AI58="","",INDEX('REGISTRE ELEVES'!$B$10:$B$250,$AI58))</f>
        <v/>
      </c>
      <c r="C58" s="74" t="str">
        <f aca="false">IF($AI58="","",INDEX('REGISTRE ELEVES'!$D$10:$D$250,$AI58))</f>
        <v/>
      </c>
      <c r="D58" s="73" t="str">
        <f aca="false">IF($AI58="","",INDEX('REGISTRE ELEVES'!$E$10:$E$250,$AI58))</f>
        <v/>
      </c>
      <c r="E58" s="73" t="str">
        <f aca="false">IF($AI58="","",INDEX('REGISTRE ELEVES'!$F$10:$F$250,$AI58))</f>
        <v/>
      </c>
      <c r="F58" s="73" t="str">
        <f aca="false">IF($AI58="","",INDEX('REGISTRE ELEVES'!$AE$10:$AE$250,$AI58))</f>
        <v/>
      </c>
      <c r="G58" s="75"/>
      <c r="H58" s="76"/>
      <c r="I58" s="76"/>
      <c r="J58" s="76"/>
      <c r="K58" s="76"/>
      <c r="L58" s="79" t="str">
        <f aca="false">IF(B58="","",IF($G58="NON",0,IF(COUNT(H58:K58)=0,"",SUM(H58:K58))))</f>
        <v/>
      </c>
      <c r="M58" s="77" t="str">
        <f aca="false">IF(B58="","",IF($G58="NON",0,IF(COUNT(H58:K58)=0,"",IFERROR(ROUND(SUM(H58:K58)/SUMPRODUCT(ISNUMBER(H58:K58)*$H$8:$K$8)*10,2),""))))</f>
        <v/>
      </c>
      <c r="N58" s="75"/>
      <c r="O58" s="76"/>
      <c r="P58" s="76"/>
      <c r="Q58" s="76"/>
      <c r="R58" s="76"/>
      <c r="S58" s="79" t="str">
        <f aca="false">IF(B58="","",IF($N58="NON",0,IF(COUNT(O58:R58)=0,"",SUM(O58:R58))))</f>
        <v/>
      </c>
      <c r="T58" s="77" t="str">
        <f aca="false">IF(B58="","",IF($N58="NON",0,IF(COUNT(O58:R58)=0,"",IFERROR(ROUND(SUM(O58:R58)/SUMPRODUCT(ISNUMBER(O58:R58)*$O$8:$R$8)*10,2),""))))</f>
        <v/>
      </c>
      <c r="U58" s="75"/>
      <c r="V58" s="76"/>
      <c r="W58" s="76"/>
      <c r="X58" s="76"/>
      <c r="Y58" s="76"/>
      <c r="Z58" s="79" t="str">
        <f aca="false">IF(B58="","",IF($U58="NON",0,IF(COUNT(V58:Y58)=0,"",SUM(V58:Y58))))</f>
        <v/>
      </c>
      <c r="AA58" s="77" t="str">
        <f aca="false">IF(B58="","",IF($U58="NON",0,IF(COUNT(V58:Y58)=0,"",IFERROR(ROUND(SUM(V58:Y58)/SUMPRODUCT(ISNUMBER(V58:Y58)*$V$8:$Y$8)*10,2),""))))</f>
        <v/>
      </c>
      <c r="AB58" s="75"/>
      <c r="AC58" s="76"/>
      <c r="AD58" s="76"/>
      <c r="AE58" s="76"/>
      <c r="AF58" s="76"/>
      <c r="AG58" s="79" t="str">
        <f aca="false">IF(B58="","",IF($AB58="NON",0,IF(COUNT(AC58:AF58)=0,"",SUM(AC58:AF58))))</f>
        <v/>
      </c>
      <c r="AH58" s="77" t="str">
        <f aca="false">IF(B58="","",IF($AB58="NON",0,IF(COUNT(AC58:AF58)=0,"",IFERROR(ROUND(SUM(AC58:AF58)/SUMPRODUCT(ISNUMBER(AC58:AF58)*$AC$8:$AF$8)*10,2),""))))</f>
        <v/>
      </c>
      <c r="AI58" s="51" t="str">
        <f aca="false">IFERROR(MATCH("CEM-49",'REGISTRE ELEVES'!$AI$10:$AI$250,0),"")</f>
        <v/>
      </c>
    </row>
    <row r="59" customFormat="false" ht="15" hidden="false" customHeight="false" outlineLevel="0" collapsed="false">
      <c r="A59" s="73" t="str">
        <f aca="false">IF(B59="","",50)</f>
        <v/>
      </c>
      <c r="B59" s="73" t="str">
        <f aca="false">IF($AI59="","",INDEX('REGISTRE ELEVES'!$B$10:$B$250,$AI59))</f>
        <v/>
      </c>
      <c r="C59" s="74" t="str">
        <f aca="false">IF($AI59="","",INDEX('REGISTRE ELEVES'!$D$10:$D$250,$AI59))</f>
        <v/>
      </c>
      <c r="D59" s="73" t="str">
        <f aca="false">IF($AI59="","",INDEX('REGISTRE ELEVES'!$E$10:$E$250,$AI59))</f>
        <v/>
      </c>
      <c r="E59" s="73" t="str">
        <f aca="false">IF($AI59="","",INDEX('REGISTRE ELEVES'!$F$10:$F$250,$AI59))</f>
        <v/>
      </c>
      <c r="F59" s="73" t="str">
        <f aca="false">IF($AI59="","",INDEX('REGISTRE ELEVES'!$AE$10:$AE$250,$AI59))</f>
        <v/>
      </c>
      <c r="G59" s="75"/>
      <c r="H59" s="76"/>
      <c r="I59" s="76"/>
      <c r="J59" s="76"/>
      <c r="K59" s="76"/>
      <c r="L59" s="79" t="str">
        <f aca="false">IF(B59="","",IF($G59="NON",0,IF(COUNT(H59:K59)=0,"",SUM(H59:K59))))</f>
        <v/>
      </c>
      <c r="M59" s="77" t="str">
        <f aca="false">IF(B59="","",IF($G59="NON",0,IF(COUNT(H59:K59)=0,"",IFERROR(ROUND(SUM(H59:K59)/SUMPRODUCT(ISNUMBER(H59:K59)*$H$8:$K$8)*10,2),""))))</f>
        <v/>
      </c>
      <c r="N59" s="75"/>
      <c r="O59" s="76"/>
      <c r="P59" s="76"/>
      <c r="Q59" s="76"/>
      <c r="R59" s="76"/>
      <c r="S59" s="79" t="str">
        <f aca="false">IF(B59="","",IF($N59="NON",0,IF(COUNT(O59:R59)=0,"",SUM(O59:R59))))</f>
        <v/>
      </c>
      <c r="T59" s="77" t="str">
        <f aca="false">IF(B59="","",IF($N59="NON",0,IF(COUNT(O59:R59)=0,"",IFERROR(ROUND(SUM(O59:R59)/SUMPRODUCT(ISNUMBER(O59:R59)*$O$8:$R$8)*10,2),""))))</f>
        <v/>
      </c>
      <c r="U59" s="75"/>
      <c r="V59" s="76"/>
      <c r="W59" s="76"/>
      <c r="X59" s="76"/>
      <c r="Y59" s="76"/>
      <c r="Z59" s="79" t="str">
        <f aca="false">IF(B59="","",IF($U59="NON",0,IF(COUNT(V59:Y59)=0,"",SUM(V59:Y59))))</f>
        <v/>
      </c>
      <c r="AA59" s="77" t="str">
        <f aca="false">IF(B59="","",IF($U59="NON",0,IF(COUNT(V59:Y59)=0,"",IFERROR(ROUND(SUM(V59:Y59)/SUMPRODUCT(ISNUMBER(V59:Y59)*$V$8:$Y$8)*10,2),""))))</f>
        <v/>
      </c>
      <c r="AB59" s="75"/>
      <c r="AC59" s="76"/>
      <c r="AD59" s="76"/>
      <c r="AE59" s="76"/>
      <c r="AF59" s="76"/>
      <c r="AG59" s="79" t="str">
        <f aca="false">IF(B59="","",IF($AB59="NON",0,IF(COUNT(AC59:AF59)=0,"",SUM(AC59:AF59))))</f>
        <v/>
      </c>
      <c r="AH59" s="77" t="str">
        <f aca="false">IF(B59="","",IF($AB59="NON",0,IF(COUNT(AC59:AF59)=0,"",IFERROR(ROUND(SUM(AC59:AF59)/SUMPRODUCT(ISNUMBER(AC59:AF59)*$AC$8:$AF$8)*10,2),""))))</f>
        <v/>
      </c>
      <c r="AI59" s="51" t="str">
        <f aca="false">IFERROR(MATCH("CEM-50",'REGISTRE ELEVES'!$AI$10:$AI$250,0),"")</f>
        <v/>
      </c>
    </row>
    <row r="60" customFormat="false" ht="15" hidden="false" customHeight="false" outlineLevel="0" collapsed="false">
      <c r="A60" s="73" t="str">
        <f aca="false">IF(B60="","",51)</f>
        <v/>
      </c>
      <c r="B60" s="73" t="str">
        <f aca="false">IF($AI60="","",INDEX('REGISTRE ELEVES'!$B$10:$B$250,$AI60))</f>
        <v/>
      </c>
      <c r="C60" s="74" t="str">
        <f aca="false">IF($AI60="","",INDEX('REGISTRE ELEVES'!$D$10:$D$250,$AI60))</f>
        <v/>
      </c>
      <c r="D60" s="73" t="str">
        <f aca="false">IF($AI60="","",INDEX('REGISTRE ELEVES'!$E$10:$E$250,$AI60))</f>
        <v/>
      </c>
      <c r="E60" s="73" t="str">
        <f aca="false">IF($AI60="","",INDEX('REGISTRE ELEVES'!$F$10:$F$250,$AI60))</f>
        <v/>
      </c>
      <c r="F60" s="73" t="str">
        <f aca="false">IF($AI60="","",INDEX('REGISTRE ELEVES'!$AE$10:$AE$250,$AI60))</f>
        <v/>
      </c>
      <c r="G60" s="75"/>
      <c r="H60" s="76"/>
      <c r="I60" s="76"/>
      <c r="J60" s="76"/>
      <c r="K60" s="76"/>
      <c r="L60" s="79" t="str">
        <f aca="false">IF(B60="","",IF($G60="NON",0,IF(COUNT(H60:K60)=0,"",SUM(H60:K60))))</f>
        <v/>
      </c>
      <c r="M60" s="77" t="str">
        <f aca="false">IF(B60="","",IF($G60="NON",0,IF(COUNT(H60:K60)=0,"",IFERROR(ROUND(SUM(H60:K60)/SUMPRODUCT(ISNUMBER(H60:K60)*$H$8:$K$8)*10,2),""))))</f>
        <v/>
      </c>
      <c r="N60" s="75"/>
      <c r="O60" s="76"/>
      <c r="P60" s="76"/>
      <c r="Q60" s="76"/>
      <c r="R60" s="76"/>
      <c r="S60" s="79" t="str">
        <f aca="false">IF(B60="","",IF($N60="NON",0,IF(COUNT(O60:R60)=0,"",SUM(O60:R60))))</f>
        <v/>
      </c>
      <c r="T60" s="77" t="str">
        <f aca="false">IF(B60="","",IF($N60="NON",0,IF(COUNT(O60:R60)=0,"",IFERROR(ROUND(SUM(O60:R60)/SUMPRODUCT(ISNUMBER(O60:R60)*$O$8:$R$8)*10,2),""))))</f>
        <v/>
      </c>
      <c r="U60" s="75"/>
      <c r="V60" s="76"/>
      <c r="W60" s="76"/>
      <c r="X60" s="76"/>
      <c r="Y60" s="76"/>
      <c r="Z60" s="79" t="str">
        <f aca="false">IF(B60="","",IF($U60="NON",0,IF(COUNT(V60:Y60)=0,"",SUM(V60:Y60))))</f>
        <v/>
      </c>
      <c r="AA60" s="77" t="str">
        <f aca="false">IF(B60="","",IF($U60="NON",0,IF(COUNT(V60:Y60)=0,"",IFERROR(ROUND(SUM(V60:Y60)/SUMPRODUCT(ISNUMBER(V60:Y60)*$V$8:$Y$8)*10,2),""))))</f>
        <v/>
      </c>
      <c r="AB60" s="75"/>
      <c r="AC60" s="76"/>
      <c r="AD60" s="76"/>
      <c r="AE60" s="76"/>
      <c r="AF60" s="76"/>
      <c r="AG60" s="79" t="str">
        <f aca="false">IF(B60="","",IF($AB60="NON",0,IF(COUNT(AC60:AF60)=0,"",SUM(AC60:AF60))))</f>
        <v/>
      </c>
      <c r="AH60" s="77" t="str">
        <f aca="false">IF(B60="","",IF($AB60="NON",0,IF(COUNT(AC60:AF60)=0,"",IFERROR(ROUND(SUM(AC60:AF60)/SUMPRODUCT(ISNUMBER(AC60:AF60)*$AC$8:$AF$8)*10,2),""))))</f>
        <v/>
      </c>
      <c r="AI60" s="51" t="str">
        <f aca="false">IFERROR(MATCH("CEM-51",'REGISTRE ELEVES'!$AI$10:$AI$250,0),"")</f>
        <v/>
      </c>
    </row>
    <row r="61" customFormat="false" ht="15" hidden="false" customHeight="false" outlineLevel="0" collapsed="false">
      <c r="A61" s="73" t="str">
        <f aca="false">IF(B61="","",52)</f>
        <v/>
      </c>
      <c r="B61" s="73" t="str">
        <f aca="false">IF($AI61="","",INDEX('REGISTRE ELEVES'!$B$10:$B$250,$AI61))</f>
        <v/>
      </c>
      <c r="C61" s="74" t="str">
        <f aca="false">IF($AI61="","",INDEX('REGISTRE ELEVES'!$D$10:$D$250,$AI61))</f>
        <v/>
      </c>
      <c r="D61" s="73" t="str">
        <f aca="false">IF($AI61="","",INDEX('REGISTRE ELEVES'!$E$10:$E$250,$AI61))</f>
        <v/>
      </c>
      <c r="E61" s="73" t="str">
        <f aca="false">IF($AI61="","",INDEX('REGISTRE ELEVES'!$F$10:$F$250,$AI61))</f>
        <v/>
      </c>
      <c r="F61" s="73" t="str">
        <f aca="false">IF($AI61="","",INDEX('REGISTRE ELEVES'!$AE$10:$AE$250,$AI61))</f>
        <v/>
      </c>
      <c r="G61" s="75"/>
      <c r="H61" s="76"/>
      <c r="I61" s="76"/>
      <c r="J61" s="76"/>
      <c r="K61" s="76"/>
      <c r="L61" s="79" t="str">
        <f aca="false">IF(B61="","",IF($G61="NON",0,IF(COUNT(H61:K61)=0,"",SUM(H61:K61))))</f>
        <v/>
      </c>
      <c r="M61" s="77" t="str">
        <f aca="false">IF(B61="","",IF($G61="NON",0,IF(COUNT(H61:K61)=0,"",IFERROR(ROUND(SUM(H61:K61)/SUMPRODUCT(ISNUMBER(H61:K61)*$H$8:$K$8)*10,2),""))))</f>
        <v/>
      </c>
      <c r="N61" s="75"/>
      <c r="O61" s="76"/>
      <c r="P61" s="76"/>
      <c r="Q61" s="76"/>
      <c r="R61" s="76"/>
      <c r="S61" s="79" t="str">
        <f aca="false">IF(B61="","",IF($N61="NON",0,IF(COUNT(O61:R61)=0,"",SUM(O61:R61))))</f>
        <v/>
      </c>
      <c r="T61" s="77" t="str">
        <f aca="false">IF(B61="","",IF($N61="NON",0,IF(COUNT(O61:R61)=0,"",IFERROR(ROUND(SUM(O61:R61)/SUMPRODUCT(ISNUMBER(O61:R61)*$O$8:$R$8)*10,2),""))))</f>
        <v/>
      </c>
      <c r="U61" s="75"/>
      <c r="V61" s="76"/>
      <c r="W61" s="76"/>
      <c r="X61" s="76"/>
      <c r="Y61" s="76"/>
      <c r="Z61" s="79" t="str">
        <f aca="false">IF(B61="","",IF($U61="NON",0,IF(COUNT(V61:Y61)=0,"",SUM(V61:Y61))))</f>
        <v/>
      </c>
      <c r="AA61" s="77" t="str">
        <f aca="false">IF(B61="","",IF($U61="NON",0,IF(COUNT(V61:Y61)=0,"",IFERROR(ROUND(SUM(V61:Y61)/SUMPRODUCT(ISNUMBER(V61:Y61)*$V$8:$Y$8)*10,2),""))))</f>
        <v/>
      </c>
      <c r="AB61" s="75"/>
      <c r="AC61" s="76"/>
      <c r="AD61" s="76"/>
      <c r="AE61" s="76"/>
      <c r="AF61" s="76"/>
      <c r="AG61" s="79" t="str">
        <f aca="false">IF(B61="","",IF($AB61="NON",0,IF(COUNT(AC61:AF61)=0,"",SUM(AC61:AF61))))</f>
        <v/>
      </c>
      <c r="AH61" s="77" t="str">
        <f aca="false">IF(B61="","",IF($AB61="NON",0,IF(COUNT(AC61:AF61)=0,"",IFERROR(ROUND(SUM(AC61:AF61)/SUMPRODUCT(ISNUMBER(AC61:AF61)*$AC$8:$AF$8)*10,2),""))))</f>
        <v/>
      </c>
      <c r="AI61" s="51" t="str">
        <f aca="false">IFERROR(MATCH("CEM-52",'REGISTRE ELEVES'!$AI$10:$AI$250,0),"")</f>
        <v/>
      </c>
    </row>
    <row r="62" customFormat="false" ht="15" hidden="false" customHeight="false" outlineLevel="0" collapsed="false">
      <c r="A62" s="73" t="str">
        <f aca="false">IF(B62="","",53)</f>
        <v/>
      </c>
      <c r="B62" s="73" t="str">
        <f aca="false">IF($AI62="","",INDEX('REGISTRE ELEVES'!$B$10:$B$250,$AI62))</f>
        <v/>
      </c>
      <c r="C62" s="74" t="str">
        <f aca="false">IF($AI62="","",INDEX('REGISTRE ELEVES'!$D$10:$D$250,$AI62))</f>
        <v/>
      </c>
      <c r="D62" s="73" t="str">
        <f aca="false">IF($AI62="","",INDEX('REGISTRE ELEVES'!$E$10:$E$250,$AI62))</f>
        <v/>
      </c>
      <c r="E62" s="73" t="str">
        <f aca="false">IF($AI62="","",INDEX('REGISTRE ELEVES'!$F$10:$F$250,$AI62))</f>
        <v/>
      </c>
      <c r="F62" s="73" t="str">
        <f aca="false">IF($AI62="","",INDEX('REGISTRE ELEVES'!$AE$10:$AE$250,$AI62))</f>
        <v/>
      </c>
      <c r="G62" s="75"/>
      <c r="H62" s="76"/>
      <c r="I62" s="76"/>
      <c r="J62" s="76"/>
      <c r="K62" s="76"/>
      <c r="L62" s="79" t="str">
        <f aca="false">IF(B62="","",IF($G62="NON",0,IF(COUNT(H62:K62)=0,"",SUM(H62:K62))))</f>
        <v/>
      </c>
      <c r="M62" s="77" t="str">
        <f aca="false">IF(B62="","",IF($G62="NON",0,IF(COUNT(H62:K62)=0,"",IFERROR(ROUND(SUM(H62:K62)/SUMPRODUCT(ISNUMBER(H62:K62)*$H$8:$K$8)*10,2),""))))</f>
        <v/>
      </c>
      <c r="N62" s="75"/>
      <c r="O62" s="76"/>
      <c r="P62" s="76"/>
      <c r="Q62" s="76"/>
      <c r="R62" s="76"/>
      <c r="S62" s="79" t="str">
        <f aca="false">IF(B62="","",IF($N62="NON",0,IF(COUNT(O62:R62)=0,"",SUM(O62:R62))))</f>
        <v/>
      </c>
      <c r="T62" s="77" t="str">
        <f aca="false">IF(B62="","",IF($N62="NON",0,IF(COUNT(O62:R62)=0,"",IFERROR(ROUND(SUM(O62:R62)/SUMPRODUCT(ISNUMBER(O62:R62)*$O$8:$R$8)*10,2),""))))</f>
        <v/>
      </c>
      <c r="U62" s="75"/>
      <c r="V62" s="76"/>
      <c r="W62" s="76"/>
      <c r="X62" s="76"/>
      <c r="Y62" s="76"/>
      <c r="Z62" s="79" t="str">
        <f aca="false">IF(B62="","",IF($U62="NON",0,IF(COUNT(V62:Y62)=0,"",SUM(V62:Y62))))</f>
        <v/>
      </c>
      <c r="AA62" s="77" t="str">
        <f aca="false">IF(B62="","",IF($U62="NON",0,IF(COUNT(V62:Y62)=0,"",IFERROR(ROUND(SUM(V62:Y62)/SUMPRODUCT(ISNUMBER(V62:Y62)*$V$8:$Y$8)*10,2),""))))</f>
        <v/>
      </c>
      <c r="AB62" s="75"/>
      <c r="AC62" s="76"/>
      <c r="AD62" s="76"/>
      <c r="AE62" s="76"/>
      <c r="AF62" s="76"/>
      <c r="AG62" s="79" t="str">
        <f aca="false">IF(B62="","",IF($AB62="NON",0,IF(COUNT(AC62:AF62)=0,"",SUM(AC62:AF62))))</f>
        <v/>
      </c>
      <c r="AH62" s="77" t="str">
        <f aca="false">IF(B62="","",IF($AB62="NON",0,IF(COUNT(AC62:AF62)=0,"",IFERROR(ROUND(SUM(AC62:AF62)/SUMPRODUCT(ISNUMBER(AC62:AF62)*$AC$8:$AF$8)*10,2),""))))</f>
        <v/>
      </c>
      <c r="AI62" s="51" t="str">
        <f aca="false">IFERROR(MATCH("CEM-53",'REGISTRE ELEVES'!$AI$10:$AI$250,0),"")</f>
        <v/>
      </c>
    </row>
    <row r="63" customFormat="false" ht="15" hidden="false" customHeight="false" outlineLevel="0" collapsed="false">
      <c r="A63" s="73" t="str">
        <f aca="false">IF(B63="","",54)</f>
        <v/>
      </c>
      <c r="B63" s="73" t="str">
        <f aca="false">IF($AI63="","",INDEX('REGISTRE ELEVES'!$B$10:$B$250,$AI63))</f>
        <v/>
      </c>
      <c r="C63" s="74" t="str">
        <f aca="false">IF($AI63="","",INDEX('REGISTRE ELEVES'!$D$10:$D$250,$AI63))</f>
        <v/>
      </c>
      <c r="D63" s="73" t="str">
        <f aca="false">IF($AI63="","",INDEX('REGISTRE ELEVES'!$E$10:$E$250,$AI63))</f>
        <v/>
      </c>
      <c r="E63" s="73" t="str">
        <f aca="false">IF($AI63="","",INDEX('REGISTRE ELEVES'!$F$10:$F$250,$AI63))</f>
        <v/>
      </c>
      <c r="F63" s="73" t="str">
        <f aca="false">IF($AI63="","",INDEX('REGISTRE ELEVES'!$AE$10:$AE$250,$AI63))</f>
        <v/>
      </c>
      <c r="G63" s="75"/>
      <c r="H63" s="76"/>
      <c r="I63" s="76"/>
      <c r="J63" s="76"/>
      <c r="K63" s="76"/>
      <c r="L63" s="79" t="str">
        <f aca="false">IF(B63="","",IF($G63="NON",0,IF(COUNT(H63:K63)=0,"",SUM(H63:K63))))</f>
        <v/>
      </c>
      <c r="M63" s="77" t="str">
        <f aca="false">IF(B63="","",IF($G63="NON",0,IF(COUNT(H63:K63)=0,"",IFERROR(ROUND(SUM(H63:K63)/SUMPRODUCT(ISNUMBER(H63:K63)*$H$8:$K$8)*10,2),""))))</f>
        <v/>
      </c>
      <c r="N63" s="75"/>
      <c r="O63" s="76"/>
      <c r="P63" s="76"/>
      <c r="Q63" s="76"/>
      <c r="R63" s="76"/>
      <c r="S63" s="79" t="str">
        <f aca="false">IF(B63="","",IF($N63="NON",0,IF(COUNT(O63:R63)=0,"",SUM(O63:R63))))</f>
        <v/>
      </c>
      <c r="T63" s="77" t="str">
        <f aca="false">IF(B63="","",IF($N63="NON",0,IF(COUNT(O63:R63)=0,"",IFERROR(ROUND(SUM(O63:R63)/SUMPRODUCT(ISNUMBER(O63:R63)*$O$8:$R$8)*10,2),""))))</f>
        <v/>
      </c>
      <c r="U63" s="75"/>
      <c r="V63" s="76"/>
      <c r="W63" s="76"/>
      <c r="X63" s="76"/>
      <c r="Y63" s="76"/>
      <c r="Z63" s="79" t="str">
        <f aca="false">IF(B63="","",IF($U63="NON",0,IF(COUNT(V63:Y63)=0,"",SUM(V63:Y63))))</f>
        <v/>
      </c>
      <c r="AA63" s="77" t="str">
        <f aca="false">IF(B63="","",IF($U63="NON",0,IF(COUNT(V63:Y63)=0,"",IFERROR(ROUND(SUM(V63:Y63)/SUMPRODUCT(ISNUMBER(V63:Y63)*$V$8:$Y$8)*10,2),""))))</f>
        <v/>
      </c>
      <c r="AB63" s="75"/>
      <c r="AC63" s="76"/>
      <c r="AD63" s="76"/>
      <c r="AE63" s="76"/>
      <c r="AF63" s="76"/>
      <c r="AG63" s="79" t="str">
        <f aca="false">IF(B63="","",IF($AB63="NON",0,IF(COUNT(AC63:AF63)=0,"",SUM(AC63:AF63))))</f>
        <v/>
      </c>
      <c r="AH63" s="77" t="str">
        <f aca="false">IF(B63="","",IF($AB63="NON",0,IF(COUNT(AC63:AF63)=0,"",IFERROR(ROUND(SUM(AC63:AF63)/SUMPRODUCT(ISNUMBER(AC63:AF63)*$AC$8:$AF$8)*10,2),""))))</f>
        <v/>
      </c>
      <c r="AI63" s="51" t="str">
        <f aca="false">IFERROR(MATCH("CEM-54",'REGISTRE ELEVES'!$AI$10:$AI$250,0),"")</f>
        <v/>
      </c>
    </row>
    <row r="64" customFormat="false" ht="15" hidden="false" customHeight="false" outlineLevel="0" collapsed="false">
      <c r="A64" s="73" t="str">
        <f aca="false">IF(B64="","",55)</f>
        <v/>
      </c>
      <c r="B64" s="73" t="str">
        <f aca="false">IF($AI64="","",INDEX('REGISTRE ELEVES'!$B$10:$B$250,$AI64))</f>
        <v/>
      </c>
      <c r="C64" s="74" t="str">
        <f aca="false">IF($AI64="","",INDEX('REGISTRE ELEVES'!$D$10:$D$250,$AI64))</f>
        <v/>
      </c>
      <c r="D64" s="73" t="str">
        <f aca="false">IF($AI64="","",INDEX('REGISTRE ELEVES'!$E$10:$E$250,$AI64))</f>
        <v/>
      </c>
      <c r="E64" s="73" t="str">
        <f aca="false">IF($AI64="","",INDEX('REGISTRE ELEVES'!$F$10:$F$250,$AI64))</f>
        <v/>
      </c>
      <c r="F64" s="73" t="str">
        <f aca="false">IF($AI64="","",INDEX('REGISTRE ELEVES'!$AE$10:$AE$250,$AI64))</f>
        <v/>
      </c>
      <c r="G64" s="75"/>
      <c r="H64" s="76"/>
      <c r="I64" s="76"/>
      <c r="J64" s="76"/>
      <c r="K64" s="76"/>
      <c r="L64" s="79" t="str">
        <f aca="false">IF(B64="","",IF($G64="NON",0,IF(COUNT(H64:K64)=0,"",SUM(H64:K64))))</f>
        <v/>
      </c>
      <c r="M64" s="77" t="str">
        <f aca="false">IF(B64="","",IF($G64="NON",0,IF(COUNT(H64:K64)=0,"",IFERROR(ROUND(SUM(H64:K64)/SUMPRODUCT(ISNUMBER(H64:K64)*$H$8:$K$8)*10,2),""))))</f>
        <v/>
      </c>
      <c r="N64" s="75"/>
      <c r="O64" s="76"/>
      <c r="P64" s="76"/>
      <c r="Q64" s="76"/>
      <c r="R64" s="76"/>
      <c r="S64" s="79" t="str">
        <f aca="false">IF(B64="","",IF($N64="NON",0,IF(COUNT(O64:R64)=0,"",SUM(O64:R64))))</f>
        <v/>
      </c>
      <c r="T64" s="77" t="str">
        <f aca="false">IF(B64="","",IF($N64="NON",0,IF(COUNT(O64:R64)=0,"",IFERROR(ROUND(SUM(O64:R64)/SUMPRODUCT(ISNUMBER(O64:R64)*$O$8:$R$8)*10,2),""))))</f>
        <v/>
      </c>
      <c r="U64" s="75"/>
      <c r="V64" s="76"/>
      <c r="W64" s="76"/>
      <c r="X64" s="76"/>
      <c r="Y64" s="76"/>
      <c r="Z64" s="79" t="str">
        <f aca="false">IF(B64="","",IF($U64="NON",0,IF(COUNT(V64:Y64)=0,"",SUM(V64:Y64))))</f>
        <v/>
      </c>
      <c r="AA64" s="77" t="str">
        <f aca="false">IF(B64="","",IF($U64="NON",0,IF(COUNT(V64:Y64)=0,"",IFERROR(ROUND(SUM(V64:Y64)/SUMPRODUCT(ISNUMBER(V64:Y64)*$V$8:$Y$8)*10,2),""))))</f>
        <v/>
      </c>
      <c r="AB64" s="75"/>
      <c r="AC64" s="76"/>
      <c r="AD64" s="76"/>
      <c r="AE64" s="76"/>
      <c r="AF64" s="76"/>
      <c r="AG64" s="79" t="str">
        <f aca="false">IF(B64="","",IF($AB64="NON",0,IF(COUNT(AC64:AF64)=0,"",SUM(AC64:AF64))))</f>
        <v/>
      </c>
      <c r="AH64" s="77" t="str">
        <f aca="false">IF(B64="","",IF($AB64="NON",0,IF(COUNT(AC64:AF64)=0,"",IFERROR(ROUND(SUM(AC64:AF64)/SUMPRODUCT(ISNUMBER(AC64:AF64)*$AC$8:$AF$8)*10,2),""))))</f>
        <v/>
      </c>
      <c r="AI64" s="51" t="str">
        <f aca="false">IFERROR(MATCH("CEM-55",'REGISTRE ELEVES'!$AI$10:$AI$250,0),"")</f>
        <v/>
      </c>
    </row>
    <row r="65" customFormat="false" ht="15" hidden="false" customHeight="false" outlineLevel="0" collapsed="false">
      <c r="A65" s="73" t="str">
        <f aca="false">IF(B65="","",56)</f>
        <v/>
      </c>
      <c r="B65" s="73" t="str">
        <f aca="false">IF($AI65="","",INDEX('REGISTRE ELEVES'!$B$10:$B$250,$AI65))</f>
        <v/>
      </c>
      <c r="C65" s="74" t="str">
        <f aca="false">IF($AI65="","",INDEX('REGISTRE ELEVES'!$D$10:$D$250,$AI65))</f>
        <v/>
      </c>
      <c r="D65" s="73" t="str">
        <f aca="false">IF($AI65="","",INDEX('REGISTRE ELEVES'!$E$10:$E$250,$AI65))</f>
        <v/>
      </c>
      <c r="E65" s="73" t="str">
        <f aca="false">IF($AI65="","",INDEX('REGISTRE ELEVES'!$F$10:$F$250,$AI65))</f>
        <v/>
      </c>
      <c r="F65" s="73" t="str">
        <f aca="false">IF($AI65="","",INDEX('REGISTRE ELEVES'!$AE$10:$AE$250,$AI65))</f>
        <v/>
      </c>
      <c r="G65" s="75"/>
      <c r="H65" s="76"/>
      <c r="I65" s="76"/>
      <c r="J65" s="76"/>
      <c r="K65" s="76"/>
      <c r="L65" s="79" t="str">
        <f aca="false">IF(B65="","",IF($G65="NON",0,IF(COUNT(H65:K65)=0,"",SUM(H65:K65))))</f>
        <v/>
      </c>
      <c r="M65" s="77" t="str">
        <f aca="false">IF(B65="","",IF($G65="NON",0,IF(COUNT(H65:K65)=0,"",IFERROR(ROUND(SUM(H65:K65)/SUMPRODUCT(ISNUMBER(H65:K65)*$H$8:$K$8)*10,2),""))))</f>
        <v/>
      </c>
      <c r="N65" s="75"/>
      <c r="O65" s="76"/>
      <c r="P65" s="76"/>
      <c r="Q65" s="76"/>
      <c r="R65" s="76"/>
      <c r="S65" s="79" t="str">
        <f aca="false">IF(B65="","",IF($N65="NON",0,IF(COUNT(O65:R65)=0,"",SUM(O65:R65))))</f>
        <v/>
      </c>
      <c r="T65" s="77" t="str">
        <f aca="false">IF(B65="","",IF($N65="NON",0,IF(COUNT(O65:R65)=0,"",IFERROR(ROUND(SUM(O65:R65)/SUMPRODUCT(ISNUMBER(O65:R65)*$O$8:$R$8)*10,2),""))))</f>
        <v/>
      </c>
      <c r="U65" s="75"/>
      <c r="V65" s="76"/>
      <c r="W65" s="76"/>
      <c r="X65" s="76"/>
      <c r="Y65" s="76"/>
      <c r="Z65" s="79" t="str">
        <f aca="false">IF(B65="","",IF($U65="NON",0,IF(COUNT(V65:Y65)=0,"",SUM(V65:Y65))))</f>
        <v/>
      </c>
      <c r="AA65" s="77" t="str">
        <f aca="false">IF(B65="","",IF($U65="NON",0,IF(COUNT(V65:Y65)=0,"",IFERROR(ROUND(SUM(V65:Y65)/SUMPRODUCT(ISNUMBER(V65:Y65)*$V$8:$Y$8)*10,2),""))))</f>
        <v/>
      </c>
      <c r="AB65" s="75"/>
      <c r="AC65" s="76"/>
      <c r="AD65" s="76"/>
      <c r="AE65" s="76"/>
      <c r="AF65" s="76"/>
      <c r="AG65" s="79" t="str">
        <f aca="false">IF(B65="","",IF($AB65="NON",0,IF(COUNT(AC65:AF65)=0,"",SUM(AC65:AF65))))</f>
        <v/>
      </c>
      <c r="AH65" s="77" t="str">
        <f aca="false">IF(B65="","",IF($AB65="NON",0,IF(COUNT(AC65:AF65)=0,"",IFERROR(ROUND(SUM(AC65:AF65)/SUMPRODUCT(ISNUMBER(AC65:AF65)*$AC$8:$AF$8)*10,2),""))))</f>
        <v/>
      </c>
      <c r="AI65" s="51" t="str">
        <f aca="false">IFERROR(MATCH("CEM-56",'REGISTRE ELEVES'!$AI$10:$AI$250,0),"")</f>
        <v/>
      </c>
    </row>
    <row r="66" customFormat="false" ht="15" hidden="false" customHeight="false" outlineLevel="0" collapsed="false">
      <c r="A66" s="73" t="str">
        <f aca="false">IF(B66="","",57)</f>
        <v/>
      </c>
      <c r="B66" s="73" t="str">
        <f aca="false">IF($AI66="","",INDEX('REGISTRE ELEVES'!$B$10:$B$250,$AI66))</f>
        <v/>
      </c>
      <c r="C66" s="74" t="str">
        <f aca="false">IF($AI66="","",INDEX('REGISTRE ELEVES'!$D$10:$D$250,$AI66))</f>
        <v/>
      </c>
      <c r="D66" s="73" t="str">
        <f aca="false">IF($AI66="","",INDEX('REGISTRE ELEVES'!$E$10:$E$250,$AI66))</f>
        <v/>
      </c>
      <c r="E66" s="73" t="str">
        <f aca="false">IF($AI66="","",INDEX('REGISTRE ELEVES'!$F$10:$F$250,$AI66))</f>
        <v/>
      </c>
      <c r="F66" s="73" t="str">
        <f aca="false">IF($AI66="","",INDEX('REGISTRE ELEVES'!$AE$10:$AE$250,$AI66))</f>
        <v/>
      </c>
      <c r="G66" s="75"/>
      <c r="H66" s="76"/>
      <c r="I66" s="76"/>
      <c r="J66" s="76"/>
      <c r="K66" s="76"/>
      <c r="L66" s="79" t="str">
        <f aca="false">IF(B66="","",IF($G66="NON",0,IF(COUNT(H66:K66)=0,"",SUM(H66:K66))))</f>
        <v/>
      </c>
      <c r="M66" s="77" t="str">
        <f aca="false">IF(B66="","",IF($G66="NON",0,IF(COUNT(H66:K66)=0,"",IFERROR(ROUND(SUM(H66:K66)/SUMPRODUCT(ISNUMBER(H66:K66)*$H$8:$K$8)*10,2),""))))</f>
        <v/>
      </c>
      <c r="N66" s="75"/>
      <c r="O66" s="76"/>
      <c r="P66" s="76"/>
      <c r="Q66" s="76"/>
      <c r="R66" s="76"/>
      <c r="S66" s="79" t="str">
        <f aca="false">IF(B66="","",IF($N66="NON",0,IF(COUNT(O66:R66)=0,"",SUM(O66:R66))))</f>
        <v/>
      </c>
      <c r="T66" s="77" t="str">
        <f aca="false">IF(B66="","",IF($N66="NON",0,IF(COUNT(O66:R66)=0,"",IFERROR(ROUND(SUM(O66:R66)/SUMPRODUCT(ISNUMBER(O66:R66)*$O$8:$R$8)*10,2),""))))</f>
        <v/>
      </c>
      <c r="U66" s="75"/>
      <c r="V66" s="76"/>
      <c r="W66" s="76"/>
      <c r="X66" s="76"/>
      <c r="Y66" s="76"/>
      <c r="Z66" s="79" t="str">
        <f aca="false">IF(B66="","",IF($U66="NON",0,IF(COUNT(V66:Y66)=0,"",SUM(V66:Y66))))</f>
        <v/>
      </c>
      <c r="AA66" s="77" t="str">
        <f aca="false">IF(B66="","",IF($U66="NON",0,IF(COUNT(V66:Y66)=0,"",IFERROR(ROUND(SUM(V66:Y66)/SUMPRODUCT(ISNUMBER(V66:Y66)*$V$8:$Y$8)*10,2),""))))</f>
        <v/>
      </c>
      <c r="AB66" s="75"/>
      <c r="AC66" s="76"/>
      <c r="AD66" s="76"/>
      <c r="AE66" s="76"/>
      <c r="AF66" s="76"/>
      <c r="AG66" s="79" t="str">
        <f aca="false">IF(B66="","",IF($AB66="NON",0,IF(COUNT(AC66:AF66)=0,"",SUM(AC66:AF66))))</f>
        <v/>
      </c>
      <c r="AH66" s="77" t="str">
        <f aca="false">IF(B66="","",IF($AB66="NON",0,IF(COUNT(AC66:AF66)=0,"",IFERROR(ROUND(SUM(AC66:AF66)/SUMPRODUCT(ISNUMBER(AC66:AF66)*$AC$8:$AF$8)*10,2),""))))</f>
        <v/>
      </c>
      <c r="AI66" s="51" t="str">
        <f aca="false">IFERROR(MATCH("CEM-57",'REGISTRE ELEVES'!$AI$10:$AI$250,0),"")</f>
        <v/>
      </c>
    </row>
    <row r="67" customFormat="false" ht="15" hidden="false" customHeight="false" outlineLevel="0" collapsed="false">
      <c r="A67" s="73" t="str">
        <f aca="false">IF(B67="","",58)</f>
        <v/>
      </c>
      <c r="B67" s="73" t="str">
        <f aca="false">IF($AI67="","",INDEX('REGISTRE ELEVES'!$B$10:$B$250,$AI67))</f>
        <v/>
      </c>
      <c r="C67" s="74" t="str">
        <f aca="false">IF($AI67="","",INDEX('REGISTRE ELEVES'!$D$10:$D$250,$AI67))</f>
        <v/>
      </c>
      <c r="D67" s="73" t="str">
        <f aca="false">IF($AI67="","",INDEX('REGISTRE ELEVES'!$E$10:$E$250,$AI67))</f>
        <v/>
      </c>
      <c r="E67" s="73" t="str">
        <f aca="false">IF($AI67="","",INDEX('REGISTRE ELEVES'!$F$10:$F$250,$AI67))</f>
        <v/>
      </c>
      <c r="F67" s="73" t="str">
        <f aca="false">IF($AI67="","",INDEX('REGISTRE ELEVES'!$AE$10:$AE$250,$AI67))</f>
        <v/>
      </c>
      <c r="G67" s="75"/>
      <c r="H67" s="76"/>
      <c r="I67" s="76"/>
      <c r="J67" s="76"/>
      <c r="K67" s="76"/>
      <c r="L67" s="79" t="str">
        <f aca="false">IF(B67="","",IF($G67="NON",0,IF(COUNT(H67:K67)=0,"",SUM(H67:K67))))</f>
        <v/>
      </c>
      <c r="M67" s="77" t="str">
        <f aca="false">IF(B67="","",IF($G67="NON",0,IF(COUNT(H67:K67)=0,"",IFERROR(ROUND(SUM(H67:K67)/SUMPRODUCT(ISNUMBER(H67:K67)*$H$8:$K$8)*10,2),""))))</f>
        <v/>
      </c>
      <c r="N67" s="75"/>
      <c r="O67" s="76"/>
      <c r="P67" s="76"/>
      <c r="Q67" s="76"/>
      <c r="R67" s="76"/>
      <c r="S67" s="79" t="str">
        <f aca="false">IF(B67="","",IF($N67="NON",0,IF(COUNT(O67:R67)=0,"",SUM(O67:R67))))</f>
        <v/>
      </c>
      <c r="T67" s="77" t="str">
        <f aca="false">IF(B67="","",IF($N67="NON",0,IF(COUNT(O67:R67)=0,"",IFERROR(ROUND(SUM(O67:R67)/SUMPRODUCT(ISNUMBER(O67:R67)*$O$8:$R$8)*10,2),""))))</f>
        <v/>
      </c>
      <c r="U67" s="75"/>
      <c r="V67" s="76"/>
      <c r="W67" s="76"/>
      <c r="X67" s="76"/>
      <c r="Y67" s="76"/>
      <c r="Z67" s="79" t="str">
        <f aca="false">IF(B67="","",IF($U67="NON",0,IF(COUNT(V67:Y67)=0,"",SUM(V67:Y67))))</f>
        <v/>
      </c>
      <c r="AA67" s="77" t="str">
        <f aca="false">IF(B67="","",IF($U67="NON",0,IF(COUNT(V67:Y67)=0,"",IFERROR(ROUND(SUM(V67:Y67)/SUMPRODUCT(ISNUMBER(V67:Y67)*$V$8:$Y$8)*10,2),""))))</f>
        <v/>
      </c>
      <c r="AB67" s="75"/>
      <c r="AC67" s="76"/>
      <c r="AD67" s="76"/>
      <c r="AE67" s="76"/>
      <c r="AF67" s="76"/>
      <c r="AG67" s="79" t="str">
        <f aca="false">IF(B67="","",IF($AB67="NON",0,IF(COUNT(AC67:AF67)=0,"",SUM(AC67:AF67))))</f>
        <v/>
      </c>
      <c r="AH67" s="77" t="str">
        <f aca="false">IF(B67="","",IF($AB67="NON",0,IF(COUNT(AC67:AF67)=0,"",IFERROR(ROUND(SUM(AC67:AF67)/SUMPRODUCT(ISNUMBER(AC67:AF67)*$AC$8:$AF$8)*10,2),""))))</f>
        <v/>
      </c>
      <c r="AI67" s="51" t="str">
        <f aca="false">IFERROR(MATCH("CEM-58",'REGISTRE ELEVES'!$AI$10:$AI$250,0),"")</f>
        <v/>
      </c>
    </row>
    <row r="68" customFormat="false" ht="15" hidden="false" customHeight="false" outlineLevel="0" collapsed="false">
      <c r="A68" s="73" t="str">
        <f aca="false">IF(B68="","",59)</f>
        <v/>
      </c>
      <c r="B68" s="73" t="str">
        <f aca="false">IF($AI68="","",INDEX('REGISTRE ELEVES'!$B$10:$B$250,$AI68))</f>
        <v/>
      </c>
      <c r="C68" s="74" t="str">
        <f aca="false">IF($AI68="","",INDEX('REGISTRE ELEVES'!$D$10:$D$250,$AI68))</f>
        <v/>
      </c>
      <c r="D68" s="73" t="str">
        <f aca="false">IF($AI68="","",INDEX('REGISTRE ELEVES'!$E$10:$E$250,$AI68))</f>
        <v/>
      </c>
      <c r="E68" s="73" t="str">
        <f aca="false">IF($AI68="","",INDEX('REGISTRE ELEVES'!$F$10:$F$250,$AI68))</f>
        <v/>
      </c>
      <c r="F68" s="73" t="str">
        <f aca="false">IF($AI68="","",INDEX('REGISTRE ELEVES'!$AE$10:$AE$250,$AI68))</f>
        <v/>
      </c>
      <c r="G68" s="75"/>
      <c r="H68" s="76"/>
      <c r="I68" s="76"/>
      <c r="J68" s="76"/>
      <c r="K68" s="76"/>
      <c r="L68" s="79" t="str">
        <f aca="false">IF(B68="","",IF($G68="NON",0,IF(COUNT(H68:K68)=0,"",SUM(H68:K68))))</f>
        <v/>
      </c>
      <c r="M68" s="77" t="str">
        <f aca="false">IF(B68="","",IF($G68="NON",0,IF(COUNT(H68:K68)=0,"",IFERROR(ROUND(SUM(H68:K68)/SUMPRODUCT(ISNUMBER(H68:K68)*$H$8:$K$8)*10,2),""))))</f>
        <v/>
      </c>
      <c r="N68" s="75"/>
      <c r="O68" s="76"/>
      <c r="P68" s="76"/>
      <c r="Q68" s="76"/>
      <c r="R68" s="76"/>
      <c r="S68" s="79" t="str">
        <f aca="false">IF(B68="","",IF($N68="NON",0,IF(COUNT(O68:R68)=0,"",SUM(O68:R68))))</f>
        <v/>
      </c>
      <c r="T68" s="77" t="str">
        <f aca="false">IF(B68="","",IF($N68="NON",0,IF(COUNT(O68:R68)=0,"",IFERROR(ROUND(SUM(O68:R68)/SUMPRODUCT(ISNUMBER(O68:R68)*$O$8:$R$8)*10,2),""))))</f>
        <v/>
      </c>
      <c r="U68" s="75"/>
      <c r="V68" s="76"/>
      <c r="W68" s="76"/>
      <c r="X68" s="76"/>
      <c r="Y68" s="76"/>
      <c r="Z68" s="79" t="str">
        <f aca="false">IF(B68="","",IF($U68="NON",0,IF(COUNT(V68:Y68)=0,"",SUM(V68:Y68))))</f>
        <v/>
      </c>
      <c r="AA68" s="77" t="str">
        <f aca="false">IF(B68="","",IF($U68="NON",0,IF(COUNT(V68:Y68)=0,"",IFERROR(ROUND(SUM(V68:Y68)/SUMPRODUCT(ISNUMBER(V68:Y68)*$V$8:$Y$8)*10,2),""))))</f>
        <v/>
      </c>
      <c r="AB68" s="75"/>
      <c r="AC68" s="76"/>
      <c r="AD68" s="76"/>
      <c r="AE68" s="76"/>
      <c r="AF68" s="76"/>
      <c r="AG68" s="79" t="str">
        <f aca="false">IF(B68="","",IF($AB68="NON",0,IF(COUNT(AC68:AF68)=0,"",SUM(AC68:AF68))))</f>
        <v/>
      </c>
      <c r="AH68" s="77" t="str">
        <f aca="false">IF(B68="","",IF($AB68="NON",0,IF(COUNT(AC68:AF68)=0,"",IFERROR(ROUND(SUM(AC68:AF68)/SUMPRODUCT(ISNUMBER(AC68:AF68)*$AC$8:$AF$8)*10,2),""))))</f>
        <v/>
      </c>
      <c r="AI68" s="51" t="str">
        <f aca="false">IFERROR(MATCH("CEM-59",'REGISTRE ELEVES'!$AI$10:$AI$250,0),"")</f>
        <v/>
      </c>
    </row>
    <row r="69" customFormat="false" ht="15" hidden="false" customHeight="false" outlineLevel="0" collapsed="false">
      <c r="A69" s="73" t="str">
        <f aca="false">IF(B69="","",60)</f>
        <v/>
      </c>
      <c r="B69" s="73" t="str">
        <f aca="false">IF($AI69="","",INDEX('REGISTRE ELEVES'!$B$10:$B$250,$AI69))</f>
        <v/>
      </c>
      <c r="C69" s="74" t="str">
        <f aca="false">IF($AI69="","",INDEX('REGISTRE ELEVES'!$D$10:$D$250,$AI69))</f>
        <v/>
      </c>
      <c r="D69" s="73" t="str">
        <f aca="false">IF($AI69="","",INDEX('REGISTRE ELEVES'!$E$10:$E$250,$AI69))</f>
        <v/>
      </c>
      <c r="E69" s="73" t="str">
        <f aca="false">IF($AI69="","",INDEX('REGISTRE ELEVES'!$F$10:$F$250,$AI69))</f>
        <v/>
      </c>
      <c r="F69" s="73" t="str">
        <f aca="false">IF($AI69="","",INDEX('REGISTRE ELEVES'!$AE$10:$AE$250,$AI69))</f>
        <v/>
      </c>
      <c r="G69" s="75"/>
      <c r="H69" s="76"/>
      <c r="I69" s="76"/>
      <c r="J69" s="76"/>
      <c r="K69" s="76"/>
      <c r="L69" s="79" t="str">
        <f aca="false">IF(B69="","",IF($G69="NON",0,IF(COUNT(H69:K69)=0,"",SUM(H69:K69))))</f>
        <v/>
      </c>
      <c r="M69" s="77" t="str">
        <f aca="false">IF(B69="","",IF($G69="NON",0,IF(COUNT(H69:K69)=0,"",IFERROR(ROUND(SUM(H69:K69)/SUMPRODUCT(ISNUMBER(H69:K69)*$H$8:$K$8)*10,2),""))))</f>
        <v/>
      </c>
      <c r="N69" s="75"/>
      <c r="O69" s="76"/>
      <c r="P69" s="76"/>
      <c r="Q69" s="76"/>
      <c r="R69" s="76"/>
      <c r="S69" s="79" t="str">
        <f aca="false">IF(B69="","",IF($N69="NON",0,IF(COUNT(O69:R69)=0,"",SUM(O69:R69))))</f>
        <v/>
      </c>
      <c r="T69" s="77" t="str">
        <f aca="false">IF(B69="","",IF($N69="NON",0,IF(COUNT(O69:R69)=0,"",IFERROR(ROUND(SUM(O69:R69)/SUMPRODUCT(ISNUMBER(O69:R69)*$O$8:$R$8)*10,2),""))))</f>
        <v/>
      </c>
      <c r="U69" s="75"/>
      <c r="V69" s="76"/>
      <c r="W69" s="76"/>
      <c r="X69" s="76"/>
      <c r="Y69" s="76"/>
      <c r="Z69" s="79" t="str">
        <f aca="false">IF(B69="","",IF($U69="NON",0,IF(COUNT(V69:Y69)=0,"",SUM(V69:Y69))))</f>
        <v/>
      </c>
      <c r="AA69" s="77" t="str">
        <f aca="false">IF(B69="","",IF($U69="NON",0,IF(COUNT(V69:Y69)=0,"",IFERROR(ROUND(SUM(V69:Y69)/SUMPRODUCT(ISNUMBER(V69:Y69)*$V$8:$Y$8)*10,2),""))))</f>
        <v/>
      </c>
      <c r="AB69" s="75"/>
      <c r="AC69" s="76"/>
      <c r="AD69" s="76"/>
      <c r="AE69" s="76"/>
      <c r="AF69" s="76"/>
      <c r="AG69" s="79" t="str">
        <f aca="false">IF(B69="","",IF($AB69="NON",0,IF(COUNT(AC69:AF69)=0,"",SUM(AC69:AF69))))</f>
        <v/>
      </c>
      <c r="AH69" s="77" t="str">
        <f aca="false">IF(B69="","",IF($AB69="NON",0,IF(COUNT(AC69:AF69)=0,"",IFERROR(ROUND(SUM(AC69:AF69)/SUMPRODUCT(ISNUMBER(AC69:AF69)*$AC$8:$AF$8)*10,2),""))))</f>
        <v/>
      </c>
      <c r="AI69" s="51" t="str">
        <f aca="false">IFERROR(MATCH("CEM-60",'REGISTRE ELEVES'!$AI$10:$AI$250,0),"")</f>
        <v/>
      </c>
    </row>
    <row r="70" customFormat="false" ht="15" hidden="false" customHeight="false" outlineLevel="0" collapsed="false">
      <c r="A70" s="73" t="str">
        <f aca="false">IF(B70="","",61)</f>
        <v/>
      </c>
      <c r="B70" s="73" t="str">
        <f aca="false">IF($AI70="","",INDEX('REGISTRE ELEVES'!$B$10:$B$250,$AI70))</f>
        <v/>
      </c>
      <c r="C70" s="74" t="str">
        <f aca="false">IF($AI70="","",INDEX('REGISTRE ELEVES'!$D$10:$D$250,$AI70))</f>
        <v/>
      </c>
      <c r="D70" s="73" t="str">
        <f aca="false">IF($AI70="","",INDEX('REGISTRE ELEVES'!$E$10:$E$250,$AI70))</f>
        <v/>
      </c>
      <c r="E70" s="73" t="str">
        <f aca="false">IF($AI70="","",INDEX('REGISTRE ELEVES'!$F$10:$F$250,$AI70))</f>
        <v/>
      </c>
      <c r="F70" s="73" t="str">
        <f aca="false">IF($AI70="","",INDEX('REGISTRE ELEVES'!$AE$10:$AE$250,$AI70))</f>
        <v/>
      </c>
      <c r="G70" s="75"/>
      <c r="H70" s="76"/>
      <c r="I70" s="76"/>
      <c r="J70" s="76"/>
      <c r="K70" s="76"/>
      <c r="L70" s="79" t="str">
        <f aca="false">IF(B70="","",IF($G70="NON",0,IF(COUNT(H70:K70)=0,"",SUM(H70:K70))))</f>
        <v/>
      </c>
      <c r="M70" s="77" t="str">
        <f aca="false">IF(B70="","",IF($G70="NON",0,IF(COUNT(H70:K70)=0,"",IFERROR(ROUND(SUM(H70:K70)/SUMPRODUCT(ISNUMBER(H70:K70)*$H$8:$K$8)*10,2),""))))</f>
        <v/>
      </c>
      <c r="N70" s="75"/>
      <c r="O70" s="76"/>
      <c r="P70" s="76"/>
      <c r="Q70" s="76"/>
      <c r="R70" s="76"/>
      <c r="S70" s="79" t="str">
        <f aca="false">IF(B70="","",IF($N70="NON",0,IF(COUNT(O70:R70)=0,"",SUM(O70:R70))))</f>
        <v/>
      </c>
      <c r="T70" s="77" t="str">
        <f aca="false">IF(B70="","",IF($N70="NON",0,IF(COUNT(O70:R70)=0,"",IFERROR(ROUND(SUM(O70:R70)/SUMPRODUCT(ISNUMBER(O70:R70)*$O$8:$R$8)*10,2),""))))</f>
        <v/>
      </c>
      <c r="U70" s="75"/>
      <c r="V70" s="76"/>
      <c r="W70" s="76"/>
      <c r="X70" s="76"/>
      <c r="Y70" s="76"/>
      <c r="Z70" s="79" t="str">
        <f aca="false">IF(B70="","",IF($U70="NON",0,IF(COUNT(V70:Y70)=0,"",SUM(V70:Y70))))</f>
        <v/>
      </c>
      <c r="AA70" s="77" t="str">
        <f aca="false">IF(B70="","",IF($U70="NON",0,IF(COUNT(V70:Y70)=0,"",IFERROR(ROUND(SUM(V70:Y70)/SUMPRODUCT(ISNUMBER(V70:Y70)*$V$8:$Y$8)*10,2),""))))</f>
        <v/>
      </c>
      <c r="AB70" s="75"/>
      <c r="AC70" s="76"/>
      <c r="AD70" s="76"/>
      <c r="AE70" s="76"/>
      <c r="AF70" s="76"/>
      <c r="AG70" s="79" t="str">
        <f aca="false">IF(B70="","",IF($AB70="NON",0,IF(COUNT(AC70:AF70)=0,"",SUM(AC70:AF70))))</f>
        <v/>
      </c>
      <c r="AH70" s="77" t="str">
        <f aca="false">IF(B70="","",IF($AB70="NON",0,IF(COUNT(AC70:AF70)=0,"",IFERROR(ROUND(SUM(AC70:AF70)/SUMPRODUCT(ISNUMBER(AC70:AF70)*$AC$8:$AF$8)*10,2),""))))</f>
        <v/>
      </c>
      <c r="AI70" s="51" t="str">
        <f aca="false">IFERROR(MATCH("CEM-61",'REGISTRE ELEVES'!$AI$10:$AI$250,0),"")</f>
        <v/>
      </c>
    </row>
    <row r="71" customFormat="false" ht="15" hidden="false" customHeight="false" outlineLevel="0" collapsed="false">
      <c r="A71" s="73" t="str">
        <f aca="false">IF(B71="","",62)</f>
        <v/>
      </c>
      <c r="B71" s="73" t="str">
        <f aca="false">IF($AI71="","",INDEX('REGISTRE ELEVES'!$B$10:$B$250,$AI71))</f>
        <v/>
      </c>
      <c r="C71" s="74" t="str">
        <f aca="false">IF($AI71="","",INDEX('REGISTRE ELEVES'!$D$10:$D$250,$AI71))</f>
        <v/>
      </c>
      <c r="D71" s="73" t="str">
        <f aca="false">IF($AI71="","",INDEX('REGISTRE ELEVES'!$E$10:$E$250,$AI71))</f>
        <v/>
      </c>
      <c r="E71" s="73" t="str">
        <f aca="false">IF($AI71="","",INDEX('REGISTRE ELEVES'!$F$10:$F$250,$AI71))</f>
        <v/>
      </c>
      <c r="F71" s="73" t="str">
        <f aca="false">IF($AI71="","",INDEX('REGISTRE ELEVES'!$AE$10:$AE$250,$AI71))</f>
        <v/>
      </c>
      <c r="G71" s="75"/>
      <c r="H71" s="76"/>
      <c r="I71" s="76"/>
      <c r="J71" s="76"/>
      <c r="K71" s="76"/>
      <c r="L71" s="79" t="str">
        <f aca="false">IF(B71="","",IF($G71="NON",0,IF(COUNT(H71:K71)=0,"",SUM(H71:K71))))</f>
        <v/>
      </c>
      <c r="M71" s="77" t="str">
        <f aca="false">IF(B71="","",IF($G71="NON",0,IF(COUNT(H71:K71)=0,"",IFERROR(ROUND(SUM(H71:K71)/SUMPRODUCT(ISNUMBER(H71:K71)*$H$8:$K$8)*10,2),""))))</f>
        <v/>
      </c>
      <c r="N71" s="75"/>
      <c r="O71" s="76"/>
      <c r="P71" s="76"/>
      <c r="Q71" s="76"/>
      <c r="R71" s="76"/>
      <c r="S71" s="79" t="str">
        <f aca="false">IF(B71="","",IF($N71="NON",0,IF(COUNT(O71:R71)=0,"",SUM(O71:R71))))</f>
        <v/>
      </c>
      <c r="T71" s="77" t="str">
        <f aca="false">IF(B71="","",IF($N71="NON",0,IF(COUNT(O71:R71)=0,"",IFERROR(ROUND(SUM(O71:R71)/SUMPRODUCT(ISNUMBER(O71:R71)*$O$8:$R$8)*10,2),""))))</f>
        <v/>
      </c>
      <c r="U71" s="75"/>
      <c r="V71" s="76"/>
      <c r="W71" s="76"/>
      <c r="X71" s="76"/>
      <c r="Y71" s="76"/>
      <c r="Z71" s="79" t="str">
        <f aca="false">IF(B71="","",IF($U71="NON",0,IF(COUNT(V71:Y71)=0,"",SUM(V71:Y71))))</f>
        <v/>
      </c>
      <c r="AA71" s="77" t="str">
        <f aca="false">IF(B71="","",IF($U71="NON",0,IF(COUNT(V71:Y71)=0,"",IFERROR(ROUND(SUM(V71:Y71)/SUMPRODUCT(ISNUMBER(V71:Y71)*$V$8:$Y$8)*10,2),""))))</f>
        <v/>
      </c>
      <c r="AB71" s="75"/>
      <c r="AC71" s="76"/>
      <c r="AD71" s="76"/>
      <c r="AE71" s="76"/>
      <c r="AF71" s="76"/>
      <c r="AG71" s="79" t="str">
        <f aca="false">IF(B71="","",IF($AB71="NON",0,IF(COUNT(AC71:AF71)=0,"",SUM(AC71:AF71))))</f>
        <v/>
      </c>
      <c r="AH71" s="77" t="str">
        <f aca="false">IF(B71="","",IF($AB71="NON",0,IF(COUNT(AC71:AF71)=0,"",IFERROR(ROUND(SUM(AC71:AF71)/SUMPRODUCT(ISNUMBER(AC71:AF71)*$AC$8:$AF$8)*10,2),""))))</f>
        <v/>
      </c>
      <c r="AI71" s="51" t="str">
        <f aca="false">IFERROR(MATCH("CEM-62",'REGISTRE ELEVES'!$AI$10:$AI$250,0),"")</f>
        <v/>
      </c>
    </row>
    <row r="72" customFormat="false" ht="15" hidden="false" customHeight="false" outlineLevel="0" collapsed="false">
      <c r="A72" s="73" t="str">
        <f aca="false">IF(B72="","",63)</f>
        <v/>
      </c>
      <c r="B72" s="73" t="str">
        <f aca="false">IF($AI72="","",INDEX('REGISTRE ELEVES'!$B$10:$B$250,$AI72))</f>
        <v/>
      </c>
      <c r="C72" s="74" t="str">
        <f aca="false">IF($AI72="","",INDEX('REGISTRE ELEVES'!$D$10:$D$250,$AI72))</f>
        <v/>
      </c>
      <c r="D72" s="73" t="str">
        <f aca="false">IF($AI72="","",INDEX('REGISTRE ELEVES'!$E$10:$E$250,$AI72))</f>
        <v/>
      </c>
      <c r="E72" s="73" t="str">
        <f aca="false">IF($AI72="","",INDEX('REGISTRE ELEVES'!$F$10:$F$250,$AI72))</f>
        <v/>
      </c>
      <c r="F72" s="73" t="str">
        <f aca="false">IF($AI72="","",INDEX('REGISTRE ELEVES'!$AE$10:$AE$250,$AI72))</f>
        <v/>
      </c>
      <c r="G72" s="75"/>
      <c r="H72" s="76"/>
      <c r="I72" s="76"/>
      <c r="J72" s="76"/>
      <c r="K72" s="76"/>
      <c r="L72" s="79" t="str">
        <f aca="false">IF(B72="","",IF($G72="NON",0,IF(COUNT(H72:K72)=0,"",SUM(H72:K72))))</f>
        <v/>
      </c>
      <c r="M72" s="77" t="str">
        <f aca="false">IF(B72="","",IF($G72="NON",0,IF(COUNT(H72:K72)=0,"",IFERROR(ROUND(SUM(H72:K72)/SUMPRODUCT(ISNUMBER(H72:K72)*$H$8:$K$8)*10,2),""))))</f>
        <v/>
      </c>
      <c r="N72" s="75"/>
      <c r="O72" s="76"/>
      <c r="P72" s="76"/>
      <c r="Q72" s="76"/>
      <c r="R72" s="76"/>
      <c r="S72" s="79" t="str">
        <f aca="false">IF(B72="","",IF($N72="NON",0,IF(COUNT(O72:R72)=0,"",SUM(O72:R72))))</f>
        <v/>
      </c>
      <c r="T72" s="77" t="str">
        <f aca="false">IF(B72="","",IF($N72="NON",0,IF(COUNT(O72:R72)=0,"",IFERROR(ROUND(SUM(O72:R72)/SUMPRODUCT(ISNUMBER(O72:R72)*$O$8:$R$8)*10,2),""))))</f>
        <v/>
      </c>
      <c r="U72" s="75"/>
      <c r="V72" s="76"/>
      <c r="W72" s="76"/>
      <c r="X72" s="76"/>
      <c r="Y72" s="76"/>
      <c r="Z72" s="79" t="str">
        <f aca="false">IF(B72="","",IF($U72="NON",0,IF(COUNT(V72:Y72)=0,"",SUM(V72:Y72))))</f>
        <v/>
      </c>
      <c r="AA72" s="77" t="str">
        <f aca="false">IF(B72="","",IF($U72="NON",0,IF(COUNT(V72:Y72)=0,"",IFERROR(ROUND(SUM(V72:Y72)/SUMPRODUCT(ISNUMBER(V72:Y72)*$V$8:$Y$8)*10,2),""))))</f>
        <v/>
      </c>
      <c r="AB72" s="75"/>
      <c r="AC72" s="76"/>
      <c r="AD72" s="76"/>
      <c r="AE72" s="76"/>
      <c r="AF72" s="76"/>
      <c r="AG72" s="79" t="str">
        <f aca="false">IF(B72="","",IF($AB72="NON",0,IF(COUNT(AC72:AF72)=0,"",SUM(AC72:AF72))))</f>
        <v/>
      </c>
      <c r="AH72" s="77" t="str">
        <f aca="false">IF(B72="","",IF($AB72="NON",0,IF(COUNT(AC72:AF72)=0,"",IFERROR(ROUND(SUM(AC72:AF72)/SUMPRODUCT(ISNUMBER(AC72:AF72)*$AC$8:$AF$8)*10,2),""))))</f>
        <v/>
      </c>
      <c r="AI72" s="51" t="str">
        <f aca="false">IFERROR(MATCH("CEM-63",'REGISTRE ELEVES'!$AI$10:$AI$250,0),"")</f>
        <v/>
      </c>
    </row>
    <row r="73" customFormat="false" ht="15" hidden="false" customHeight="false" outlineLevel="0" collapsed="false">
      <c r="A73" s="73" t="str">
        <f aca="false">IF(B73="","",64)</f>
        <v/>
      </c>
      <c r="B73" s="73" t="str">
        <f aca="false">IF($AI73="","",INDEX('REGISTRE ELEVES'!$B$10:$B$250,$AI73))</f>
        <v/>
      </c>
      <c r="C73" s="74" t="str">
        <f aca="false">IF($AI73="","",INDEX('REGISTRE ELEVES'!$D$10:$D$250,$AI73))</f>
        <v/>
      </c>
      <c r="D73" s="73" t="str">
        <f aca="false">IF($AI73="","",INDEX('REGISTRE ELEVES'!$E$10:$E$250,$AI73))</f>
        <v/>
      </c>
      <c r="E73" s="73" t="str">
        <f aca="false">IF($AI73="","",INDEX('REGISTRE ELEVES'!$F$10:$F$250,$AI73))</f>
        <v/>
      </c>
      <c r="F73" s="73" t="str">
        <f aca="false">IF($AI73="","",INDEX('REGISTRE ELEVES'!$AE$10:$AE$250,$AI73))</f>
        <v/>
      </c>
      <c r="G73" s="75"/>
      <c r="H73" s="76"/>
      <c r="I73" s="76"/>
      <c r="J73" s="76"/>
      <c r="K73" s="76"/>
      <c r="L73" s="79" t="str">
        <f aca="false">IF(B73="","",IF($G73="NON",0,IF(COUNT(H73:K73)=0,"",SUM(H73:K73))))</f>
        <v/>
      </c>
      <c r="M73" s="77" t="str">
        <f aca="false">IF(B73="","",IF($G73="NON",0,IF(COUNT(H73:K73)=0,"",IFERROR(ROUND(SUM(H73:K73)/SUMPRODUCT(ISNUMBER(H73:K73)*$H$8:$K$8)*10,2),""))))</f>
        <v/>
      </c>
      <c r="N73" s="75"/>
      <c r="O73" s="76"/>
      <c r="P73" s="76"/>
      <c r="Q73" s="76"/>
      <c r="R73" s="76"/>
      <c r="S73" s="79" t="str">
        <f aca="false">IF(B73="","",IF($N73="NON",0,IF(COUNT(O73:R73)=0,"",SUM(O73:R73))))</f>
        <v/>
      </c>
      <c r="T73" s="77" t="str">
        <f aca="false">IF(B73="","",IF($N73="NON",0,IF(COUNT(O73:R73)=0,"",IFERROR(ROUND(SUM(O73:R73)/SUMPRODUCT(ISNUMBER(O73:R73)*$O$8:$R$8)*10,2),""))))</f>
        <v/>
      </c>
      <c r="U73" s="75"/>
      <c r="V73" s="76"/>
      <c r="W73" s="76"/>
      <c r="X73" s="76"/>
      <c r="Y73" s="76"/>
      <c r="Z73" s="79" t="str">
        <f aca="false">IF(B73="","",IF($U73="NON",0,IF(COUNT(V73:Y73)=0,"",SUM(V73:Y73))))</f>
        <v/>
      </c>
      <c r="AA73" s="77" t="str">
        <f aca="false">IF(B73="","",IF($U73="NON",0,IF(COUNT(V73:Y73)=0,"",IFERROR(ROUND(SUM(V73:Y73)/SUMPRODUCT(ISNUMBER(V73:Y73)*$V$8:$Y$8)*10,2),""))))</f>
        <v/>
      </c>
      <c r="AB73" s="75"/>
      <c r="AC73" s="76"/>
      <c r="AD73" s="76"/>
      <c r="AE73" s="76"/>
      <c r="AF73" s="76"/>
      <c r="AG73" s="79" t="str">
        <f aca="false">IF(B73="","",IF($AB73="NON",0,IF(COUNT(AC73:AF73)=0,"",SUM(AC73:AF73))))</f>
        <v/>
      </c>
      <c r="AH73" s="77" t="str">
        <f aca="false">IF(B73="","",IF($AB73="NON",0,IF(COUNT(AC73:AF73)=0,"",IFERROR(ROUND(SUM(AC73:AF73)/SUMPRODUCT(ISNUMBER(AC73:AF73)*$AC$8:$AF$8)*10,2),""))))</f>
        <v/>
      </c>
      <c r="AI73" s="51" t="str">
        <f aca="false">IFERROR(MATCH("CEM-64",'REGISTRE ELEVES'!$AI$10:$AI$250,0),"")</f>
        <v/>
      </c>
    </row>
    <row r="74" customFormat="false" ht="15" hidden="false" customHeight="false" outlineLevel="0" collapsed="false">
      <c r="A74" s="73" t="str">
        <f aca="false">IF(B74="","",65)</f>
        <v/>
      </c>
      <c r="B74" s="73" t="str">
        <f aca="false">IF($AI74="","",INDEX('REGISTRE ELEVES'!$B$10:$B$250,$AI74))</f>
        <v/>
      </c>
      <c r="C74" s="74" t="str">
        <f aca="false">IF($AI74="","",INDEX('REGISTRE ELEVES'!$D$10:$D$250,$AI74))</f>
        <v/>
      </c>
      <c r="D74" s="73" t="str">
        <f aca="false">IF($AI74="","",INDEX('REGISTRE ELEVES'!$E$10:$E$250,$AI74))</f>
        <v/>
      </c>
      <c r="E74" s="73" t="str">
        <f aca="false">IF($AI74="","",INDEX('REGISTRE ELEVES'!$F$10:$F$250,$AI74))</f>
        <v/>
      </c>
      <c r="F74" s="73" t="str">
        <f aca="false">IF($AI74="","",INDEX('REGISTRE ELEVES'!$AE$10:$AE$250,$AI74))</f>
        <v/>
      </c>
      <c r="G74" s="75"/>
      <c r="H74" s="76"/>
      <c r="I74" s="76"/>
      <c r="J74" s="76"/>
      <c r="K74" s="76"/>
      <c r="L74" s="79" t="str">
        <f aca="false">IF(B74="","",IF($G74="NON",0,IF(COUNT(H74:K74)=0,"",SUM(H74:K74))))</f>
        <v/>
      </c>
      <c r="M74" s="77" t="str">
        <f aca="false">IF(B74="","",IF($G74="NON",0,IF(COUNT(H74:K74)=0,"",IFERROR(ROUND(SUM(H74:K74)/SUMPRODUCT(ISNUMBER(H74:K74)*$H$8:$K$8)*10,2),""))))</f>
        <v/>
      </c>
      <c r="N74" s="75"/>
      <c r="O74" s="76"/>
      <c r="P74" s="76"/>
      <c r="Q74" s="76"/>
      <c r="R74" s="76"/>
      <c r="S74" s="79" t="str">
        <f aca="false">IF(B74="","",IF($N74="NON",0,IF(COUNT(O74:R74)=0,"",SUM(O74:R74))))</f>
        <v/>
      </c>
      <c r="T74" s="77" t="str">
        <f aca="false">IF(B74="","",IF($N74="NON",0,IF(COUNT(O74:R74)=0,"",IFERROR(ROUND(SUM(O74:R74)/SUMPRODUCT(ISNUMBER(O74:R74)*$O$8:$R$8)*10,2),""))))</f>
        <v/>
      </c>
      <c r="U74" s="75"/>
      <c r="V74" s="76"/>
      <c r="W74" s="76"/>
      <c r="X74" s="76"/>
      <c r="Y74" s="76"/>
      <c r="Z74" s="79" t="str">
        <f aca="false">IF(B74="","",IF($U74="NON",0,IF(COUNT(V74:Y74)=0,"",SUM(V74:Y74))))</f>
        <v/>
      </c>
      <c r="AA74" s="77" t="str">
        <f aca="false">IF(B74="","",IF($U74="NON",0,IF(COUNT(V74:Y74)=0,"",IFERROR(ROUND(SUM(V74:Y74)/SUMPRODUCT(ISNUMBER(V74:Y74)*$V$8:$Y$8)*10,2),""))))</f>
        <v/>
      </c>
      <c r="AB74" s="75"/>
      <c r="AC74" s="76"/>
      <c r="AD74" s="76"/>
      <c r="AE74" s="76"/>
      <c r="AF74" s="76"/>
      <c r="AG74" s="79" t="str">
        <f aca="false">IF(B74="","",IF($AB74="NON",0,IF(COUNT(AC74:AF74)=0,"",SUM(AC74:AF74))))</f>
        <v/>
      </c>
      <c r="AH74" s="77" t="str">
        <f aca="false">IF(B74="","",IF($AB74="NON",0,IF(COUNT(AC74:AF74)=0,"",IFERROR(ROUND(SUM(AC74:AF74)/SUMPRODUCT(ISNUMBER(AC74:AF74)*$AC$8:$AF$8)*10,2),""))))</f>
        <v/>
      </c>
      <c r="AI74" s="51" t="str">
        <f aca="false">IFERROR(MATCH("CEM-65",'REGISTRE ELEVES'!$AI$10:$AI$250,0),"")</f>
        <v/>
      </c>
    </row>
    <row r="75" customFormat="false" ht="15" hidden="false" customHeight="false" outlineLevel="0" collapsed="false">
      <c r="A75" s="73" t="str">
        <f aca="false">IF(B75="","",66)</f>
        <v/>
      </c>
      <c r="B75" s="73" t="str">
        <f aca="false">IF($AI75="","",INDEX('REGISTRE ELEVES'!$B$10:$B$250,$AI75))</f>
        <v/>
      </c>
      <c r="C75" s="74" t="str">
        <f aca="false">IF($AI75="","",INDEX('REGISTRE ELEVES'!$D$10:$D$250,$AI75))</f>
        <v/>
      </c>
      <c r="D75" s="73" t="str">
        <f aca="false">IF($AI75="","",INDEX('REGISTRE ELEVES'!$E$10:$E$250,$AI75))</f>
        <v/>
      </c>
      <c r="E75" s="73" t="str">
        <f aca="false">IF($AI75="","",INDEX('REGISTRE ELEVES'!$F$10:$F$250,$AI75))</f>
        <v/>
      </c>
      <c r="F75" s="73" t="str">
        <f aca="false">IF($AI75="","",INDEX('REGISTRE ELEVES'!$AE$10:$AE$250,$AI75))</f>
        <v/>
      </c>
      <c r="G75" s="75"/>
      <c r="H75" s="76"/>
      <c r="I75" s="76"/>
      <c r="J75" s="76"/>
      <c r="K75" s="76"/>
      <c r="L75" s="79" t="str">
        <f aca="false">IF(B75="","",IF($G75="NON",0,IF(COUNT(H75:K75)=0,"",SUM(H75:K75))))</f>
        <v/>
      </c>
      <c r="M75" s="77" t="str">
        <f aca="false">IF(B75="","",IF($G75="NON",0,IF(COUNT(H75:K75)=0,"",IFERROR(ROUND(SUM(H75:K75)/SUMPRODUCT(ISNUMBER(H75:K75)*$H$8:$K$8)*10,2),""))))</f>
        <v/>
      </c>
      <c r="N75" s="75"/>
      <c r="O75" s="76"/>
      <c r="P75" s="76"/>
      <c r="Q75" s="76"/>
      <c r="R75" s="76"/>
      <c r="S75" s="79" t="str">
        <f aca="false">IF(B75="","",IF($N75="NON",0,IF(COUNT(O75:R75)=0,"",SUM(O75:R75))))</f>
        <v/>
      </c>
      <c r="T75" s="77" t="str">
        <f aca="false">IF(B75="","",IF($N75="NON",0,IF(COUNT(O75:R75)=0,"",IFERROR(ROUND(SUM(O75:R75)/SUMPRODUCT(ISNUMBER(O75:R75)*$O$8:$R$8)*10,2),""))))</f>
        <v/>
      </c>
      <c r="U75" s="75"/>
      <c r="V75" s="76"/>
      <c r="W75" s="76"/>
      <c r="X75" s="76"/>
      <c r="Y75" s="76"/>
      <c r="Z75" s="79" t="str">
        <f aca="false">IF(B75="","",IF($U75="NON",0,IF(COUNT(V75:Y75)=0,"",SUM(V75:Y75))))</f>
        <v/>
      </c>
      <c r="AA75" s="77" t="str">
        <f aca="false">IF(B75="","",IF($U75="NON",0,IF(COUNT(V75:Y75)=0,"",IFERROR(ROUND(SUM(V75:Y75)/SUMPRODUCT(ISNUMBER(V75:Y75)*$V$8:$Y$8)*10,2),""))))</f>
        <v/>
      </c>
      <c r="AB75" s="75"/>
      <c r="AC75" s="76"/>
      <c r="AD75" s="76"/>
      <c r="AE75" s="76"/>
      <c r="AF75" s="76"/>
      <c r="AG75" s="79" t="str">
        <f aca="false">IF(B75="","",IF($AB75="NON",0,IF(COUNT(AC75:AF75)=0,"",SUM(AC75:AF75))))</f>
        <v/>
      </c>
      <c r="AH75" s="77" t="str">
        <f aca="false">IF(B75="","",IF($AB75="NON",0,IF(COUNT(AC75:AF75)=0,"",IFERROR(ROUND(SUM(AC75:AF75)/SUMPRODUCT(ISNUMBER(AC75:AF75)*$AC$8:$AF$8)*10,2),""))))</f>
        <v/>
      </c>
      <c r="AI75" s="51" t="str">
        <f aca="false">IFERROR(MATCH("CEM-66",'REGISTRE ELEVES'!$AI$10:$AI$250,0),"")</f>
        <v/>
      </c>
    </row>
    <row r="76" customFormat="false" ht="15" hidden="false" customHeight="false" outlineLevel="0" collapsed="false">
      <c r="A76" s="73" t="str">
        <f aca="false">IF(B76="","",67)</f>
        <v/>
      </c>
      <c r="B76" s="73" t="str">
        <f aca="false">IF($AI76="","",INDEX('REGISTRE ELEVES'!$B$10:$B$250,$AI76))</f>
        <v/>
      </c>
      <c r="C76" s="74" t="str">
        <f aca="false">IF($AI76="","",INDEX('REGISTRE ELEVES'!$D$10:$D$250,$AI76))</f>
        <v/>
      </c>
      <c r="D76" s="73" t="str">
        <f aca="false">IF($AI76="","",INDEX('REGISTRE ELEVES'!$E$10:$E$250,$AI76))</f>
        <v/>
      </c>
      <c r="E76" s="73" t="str">
        <f aca="false">IF($AI76="","",INDEX('REGISTRE ELEVES'!$F$10:$F$250,$AI76))</f>
        <v/>
      </c>
      <c r="F76" s="73" t="str">
        <f aca="false">IF($AI76="","",INDEX('REGISTRE ELEVES'!$AE$10:$AE$250,$AI76))</f>
        <v/>
      </c>
      <c r="G76" s="75"/>
      <c r="H76" s="76"/>
      <c r="I76" s="76"/>
      <c r="J76" s="76"/>
      <c r="K76" s="76"/>
      <c r="L76" s="79" t="str">
        <f aca="false">IF(B76="","",IF($G76="NON",0,IF(COUNT(H76:K76)=0,"",SUM(H76:K76))))</f>
        <v/>
      </c>
      <c r="M76" s="77" t="str">
        <f aca="false">IF(B76="","",IF($G76="NON",0,IF(COUNT(H76:K76)=0,"",IFERROR(ROUND(SUM(H76:K76)/SUMPRODUCT(ISNUMBER(H76:K76)*$H$8:$K$8)*10,2),""))))</f>
        <v/>
      </c>
      <c r="N76" s="75"/>
      <c r="O76" s="76"/>
      <c r="P76" s="76"/>
      <c r="Q76" s="76"/>
      <c r="R76" s="76"/>
      <c r="S76" s="79" t="str">
        <f aca="false">IF(B76="","",IF($N76="NON",0,IF(COUNT(O76:R76)=0,"",SUM(O76:R76))))</f>
        <v/>
      </c>
      <c r="T76" s="77" t="str">
        <f aca="false">IF(B76="","",IF($N76="NON",0,IF(COUNT(O76:R76)=0,"",IFERROR(ROUND(SUM(O76:R76)/SUMPRODUCT(ISNUMBER(O76:R76)*$O$8:$R$8)*10,2),""))))</f>
        <v/>
      </c>
      <c r="U76" s="75"/>
      <c r="V76" s="76"/>
      <c r="W76" s="76"/>
      <c r="X76" s="76"/>
      <c r="Y76" s="76"/>
      <c r="Z76" s="79" t="str">
        <f aca="false">IF(B76="","",IF($U76="NON",0,IF(COUNT(V76:Y76)=0,"",SUM(V76:Y76))))</f>
        <v/>
      </c>
      <c r="AA76" s="77" t="str">
        <f aca="false">IF(B76="","",IF($U76="NON",0,IF(COUNT(V76:Y76)=0,"",IFERROR(ROUND(SUM(V76:Y76)/SUMPRODUCT(ISNUMBER(V76:Y76)*$V$8:$Y$8)*10,2),""))))</f>
        <v/>
      </c>
      <c r="AB76" s="75"/>
      <c r="AC76" s="76"/>
      <c r="AD76" s="76"/>
      <c r="AE76" s="76"/>
      <c r="AF76" s="76"/>
      <c r="AG76" s="79" t="str">
        <f aca="false">IF(B76="","",IF($AB76="NON",0,IF(COUNT(AC76:AF76)=0,"",SUM(AC76:AF76))))</f>
        <v/>
      </c>
      <c r="AH76" s="77" t="str">
        <f aca="false">IF(B76="","",IF($AB76="NON",0,IF(COUNT(AC76:AF76)=0,"",IFERROR(ROUND(SUM(AC76:AF76)/SUMPRODUCT(ISNUMBER(AC76:AF76)*$AC$8:$AF$8)*10,2),""))))</f>
        <v/>
      </c>
      <c r="AI76" s="51" t="str">
        <f aca="false">IFERROR(MATCH("CEM-67",'REGISTRE ELEVES'!$AI$10:$AI$250,0),"")</f>
        <v/>
      </c>
    </row>
    <row r="77" customFormat="false" ht="15" hidden="false" customHeight="false" outlineLevel="0" collapsed="false">
      <c r="A77" s="73" t="str">
        <f aca="false">IF(B77="","",68)</f>
        <v/>
      </c>
      <c r="B77" s="73" t="str">
        <f aca="false">IF($AI77="","",INDEX('REGISTRE ELEVES'!$B$10:$B$250,$AI77))</f>
        <v/>
      </c>
      <c r="C77" s="74" t="str">
        <f aca="false">IF($AI77="","",INDEX('REGISTRE ELEVES'!$D$10:$D$250,$AI77))</f>
        <v/>
      </c>
      <c r="D77" s="73" t="str">
        <f aca="false">IF($AI77="","",INDEX('REGISTRE ELEVES'!$E$10:$E$250,$AI77))</f>
        <v/>
      </c>
      <c r="E77" s="73" t="str">
        <f aca="false">IF($AI77="","",INDEX('REGISTRE ELEVES'!$F$10:$F$250,$AI77))</f>
        <v/>
      </c>
      <c r="F77" s="73" t="str">
        <f aca="false">IF($AI77="","",INDEX('REGISTRE ELEVES'!$AE$10:$AE$250,$AI77))</f>
        <v/>
      </c>
      <c r="G77" s="75"/>
      <c r="H77" s="76"/>
      <c r="I77" s="76"/>
      <c r="J77" s="76"/>
      <c r="K77" s="76"/>
      <c r="L77" s="79" t="str">
        <f aca="false">IF(B77="","",IF($G77="NON",0,IF(COUNT(H77:K77)=0,"",SUM(H77:K77))))</f>
        <v/>
      </c>
      <c r="M77" s="77" t="str">
        <f aca="false">IF(B77="","",IF($G77="NON",0,IF(COUNT(H77:K77)=0,"",IFERROR(ROUND(SUM(H77:K77)/SUMPRODUCT(ISNUMBER(H77:K77)*$H$8:$K$8)*10,2),""))))</f>
        <v/>
      </c>
      <c r="N77" s="75"/>
      <c r="O77" s="76"/>
      <c r="P77" s="76"/>
      <c r="Q77" s="76"/>
      <c r="R77" s="76"/>
      <c r="S77" s="79" t="str">
        <f aca="false">IF(B77="","",IF($N77="NON",0,IF(COUNT(O77:R77)=0,"",SUM(O77:R77))))</f>
        <v/>
      </c>
      <c r="T77" s="77" t="str">
        <f aca="false">IF(B77="","",IF($N77="NON",0,IF(COUNT(O77:R77)=0,"",IFERROR(ROUND(SUM(O77:R77)/SUMPRODUCT(ISNUMBER(O77:R77)*$O$8:$R$8)*10,2),""))))</f>
        <v/>
      </c>
      <c r="U77" s="75"/>
      <c r="V77" s="76"/>
      <c r="W77" s="76"/>
      <c r="X77" s="76"/>
      <c r="Y77" s="76"/>
      <c r="Z77" s="79" t="str">
        <f aca="false">IF(B77="","",IF($U77="NON",0,IF(COUNT(V77:Y77)=0,"",SUM(V77:Y77))))</f>
        <v/>
      </c>
      <c r="AA77" s="77" t="str">
        <f aca="false">IF(B77="","",IF($U77="NON",0,IF(COUNT(V77:Y77)=0,"",IFERROR(ROUND(SUM(V77:Y77)/SUMPRODUCT(ISNUMBER(V77:Y77)*$V$8:$Y$8)*10,2),""))))</f>
        <v/>
      </c>
      <c r="AB77" s="75"/>
      <c r="AC77" s="76"/>
      <c r="AD77" s="76"/>
      <c r="AE77" s="76"/>
      <c r="AF77" s="76"/>
      <c r="AG77" s="79" t="str">
        <f aca="false">IF(B77="","",IF($AB77="NON",0,IF(COUNT(AC77:AF77)=0,"",SUM(AC77:AF77))))</f>
        <v/>
      </c>
      <c r="AH77" s="77" t="str">
        <f aca="false">IF(B77="","",IF($AB77="NON",0,IF(COUNT(AC77:AF77)=0,"",IFERROR(ROUND(SUM(AC77:AF77)/SUMPRODUCT(ISNUMBER(AC77:AF77)*$AC$8:$AF$8)*10,2),""))))</f>
        <v/>
      </c>
      <c r="AI77" s="51" t="str">
        <f aca="false">IFERROR(MATCH("CEM-68",'REGISTRE ELEVES'!$AI$10:$AI$250,0),"")</f>
        <v/>
      </c>
    </row>
    <row r="78" customFormat="false" ht="15" hidden="false" customHeight="false" outlineLevel="0" collapsed="false">
      <c r="A78" s="73" t="str">
        <f aca="false">IF(B78="","",69)</f>
        <v/>
      </c>
      <c r="B78" s="73" t="str">
        <f aca="false">IF($AI78="","",INDEX('REGISTRE ELEVES'!$B$10:$B$250,$AI78))</f>
        <v/>
      </c>
      <c r="C78" s="74" t="str">
        <f aca="false">IF($AI78="","",INDEX('REGISTRE ELEVES'!$D$10:$D$250,$AI78))</f>
        <v/>
      </c>
      <c r="D78" s="73" t="str">
        <f aca="false">IF($AI78="","",INDEX('REGISTRE ELEVES'!$E$10:$E$250,$AI78))</f>
        <v/>
      </c>
      <c r="E78" s="73" t="str">
        <f aca="false">IF($AI78="","",INDEX('REGISTRE ELEVES'!$F$10:$F$250,$AI78))</f>
        <v/>
      </c>
      <c r="F78" s="73" t="str">
        <f aca="false">IF($AI78="","",INDEX('REGISTRE ELEVES'!$AE$10:$AE$250,$AI78))</f>
        <v/>
      </c>
      <c r="G78" s="75"/>
      <c r="H78" s="76"/>
      <c r="I78" s="76"/>
      <c r="J78" s="76"/>
      <c r="K78" s="76"/>
      <c r="L78" s="79" t="str">
        <f aca="false">IF(B78="","",IF($G78="NON",0,IF(COUNT(H78:K78)=0,"",SUM(H78:K78))))</f>
        <v/>
      </c>
      <c r="M78" s="77" t="str">
        <f aca="false">IF(B78="","",IF($G78="NON",0,IF(COUNT(H78:K78)=0,"",IFERROR(ROUND(SUM(H78:K78)/SUMPRODUCT(ISNUMBER(H78:K78)*$H$8:$K$8)*10,2),""))))</f>
        <v/>
      </c>
      <c r="N78" s="75"/>
      <c r="O78" s="76"/>
      <c r="P78" s="76"/>
      <c r="Q78" s="76"/>
      <c r="R78" s="76"/>
      <c r="S78" s="79" t="str">
        <f aca="false">IF(B78="","",IF($N78="NON",0,IF(COUNT(O78:R78)=0,"",SUM(O78:R78))))</f>
        <v/>
      </c>
      <c r="T78" s="77" t="str">
        <f aca="false">IF(B78="","",IF($N78="NON",0,IF(COUNT(O78:R78)=0,"",IFERROR(ROUND(SUM(O78:R78)/SUMPRODUCT(ISNUMBER(O78:R78)*$O$8:$R$8)*10,2),""))))</f>
        <v/>
      </c>
      <c r="U78" s="75"/>
      <c r="V78" s="76"/>
      <c r="W78" s="76"/>
      <c r="X78" s="76"/>
      <c r="Y78" s="76"/>
      <c r="Z78" s="79" t="str">
        <f aca="false">IF(B78="","",IF($U78="NON",0,IF(COUNT(V78:Y78)=0,"",SUM(V78:Y78))))</f>
        <v/>
      </c>
      <c r="AA78" s="77" t="str">
        <f aca="false">IF(B78="","",IF($U78="NON",0,IF(COUNT(V78:Y78)=0,"",IFERROR(ROUND(SUM(V78:Y78)/SUMPRODUCT(ISNUMBER(V78:Y78)*$V$8:$Y$8)*10,2),""))))</f>
        <v/>
      </c>
      <c r="AB78" s="75"/>
      <c r="AC78" s="76"/>
      <c r="AD78" s="76"/>
      <c r="AE78" s="76"/>
      <c r="AF78" s="76"/>
      <c r="AG78" s="79" t="str">
        <f aca="false">IF(B78="","",IF($AB78="NON",0,IF(COUNT(AC78:AF78)=0,"",SUM(AC78:AF78))))</f>
        <v/>
      </c>
      <c r="AH78" s="77" t="str">
        <f aca="false">IF(B78="","",IF($AB78="NON",0,IF(COUNT(AC78:AF78)=0,"",IFERROR(ROUND(SUM(AC78:AF78)/SUMPRODUCT(ISNUMBER(AC78:AF78)*$AC$8:$AF$8)*10,2),""))))</f>
        <v/>
      </c>
      <c r="AI78" s="51" t="str">
        <f aca="false">IFERROR(MATCH("CEM-69",'REGISTRE ELEVES'!$AI$10:$AI$250,0),"")</f>
        <v/>
      </c>
    </row>
    <row r="79" customFormat="false" ht="15" hidden="false" customHeight="false" outlineLevel="0" collapsed="false">
      <c r="A79" s="73" t="str">
        <f aca="false">IF(B79="","",70)</f>
        <v/>
      </c>
      <c r="B79" s="73" t="str">
        <f aca="false">IF($AI79="","",INDEX('REGISTRE ELEVES'!$B$10:$B$250,$AI79))</f>
        <v/>
      </c>
      <c r="C79" s="74" t="str">
        <f aca="false">IF($AI79="","",INDEX('REGISTRE ELEVES'!$D$10:$D$250,$AI79))</f>
        <v/>
      </c>
      <c r="D79" s="73" t="str">
        <f aca="false">IF($AI79="","",INDEX('REGISTRE ELEVES'!$E$10:$E$250,$AI79))</f>
        <v/>
      </c>
      <c r="E79" s="73" t="str">
        <f aca="false">IF($AI79="","",INDEX('REGISTRE ELEVES'!$F$10:$F$250,$AI79))</f>
        <v/>
      </c>
      <c r="F79" s="73" t="str">
        <f aca="false">IF($AI79="","",INDEX('REGISTRE ELEVES'!$AE$10:$AE$250,$AI79))</f>
        <v/>
      </c>
      <c r="G79" s="75"/>
      <c r="H79" s="76"/>
      <c r="I79" s="76"/>
      <c r="J79" s="76"/>
      <c r="K79" s="76"/>
      <c r="L79" s="79" t="str">
        <f aca="false">IF(B79="","",IF($G79="NON",0,IF(COUNT(H79:K79)=0,"",SUM(H79:K79))))</f>
        <v/>
      </c>
      <c r="M79" s="77" t="str">
        <f aca="false">IF(B79="","",IF($G79="NON",0,IF(COUNT(H79:K79)=0,"",IFERROR(ROUND(SUM(H79:K79)/SUMPRODUCT(ISNUMBER(H79:K79)*$H$8:$K$8)*10,2),""))))</f>
        <v/>
      </c>
      <c r="N79" s="75"/>
      <c r="O79" s="76"/>
      <c r="P79" s="76"/>
      <c r="Q79" s="76"/>
      <c r="R79" s="76"/>
      <c r="S79" s="79" t="str">
        <f aca="false">IF(B79="","",IF($N79="NON",0,IF(COUNT(O79:R79)=0,"",SUM(O79:R79))))</f>
        <v/>
      </c>
      <c r="T79" s="77" t="str">
        <f aca="false">IF(B79="","",IF($N79="NON",0,IF(COUNT(O79:R79)=0,"",IFERROR(ROUND(SUM(O79:R79)/SUMPRODUCT(ISNUMBER(O79:R79)*$O$8:$R$8)*10,2),""))))</f>
        <v/>
      </c>
      <c r="U79" s="75"/>
      <c r="V79" s="76"/>
      <c r="W79" s="76"/>
      <c r="X79" s="76"/>
      <c r="Y79" s="76"/>
      <c r="Z79" s="79" t="str">
        <f aca="false">IF(B79="","",IF($U79="NON",0,IF(COUNT(V79:Y79)=0,"",SUM(V79:Y79))))</f>
        <v/>
      </c>
      <c r="AA79" s="77" t="str">
        <f aca="false">IF(B79="","",IF($U79="NON",0,IF(COUNT(V79:Y79)=0,"",IFERROR(ROUND(SUM(V79:Y79)/SUMPRODUCT(ISNUMBER(V79:Y79)*$V$8:$Y$8)*10,2),""))))</f>
        <v/>
      </c>
      <c r="AB79" s="75"/>
      <c r="AC79" s="76"/>
      <c r="AD79" s="76"/>
      <c r="AE79" s="76"/>
      <c r="AF79" s="76"/>
      <c r="AG79" s="79" t="str">
        <f aca="false">IF(B79="","",IF($AB79="NON",0,IF(COUNT(AC79:AF79)=0,"",SUM(AC79:AF79))))</f>
        <v/>
      </c>
      <c r="AH79" s="77" t="str">
        <f aca="false">IF(B79="","",IF($AB79="NON",0,IF(COUNT(AC79:AF79)=0,"",IFERROR(ROUND(SUM(AC79:AF79)/SUMPRODUCT(ISNUMBER(AC79:AF79)*$AC$8:$AF$8)*10,2),""))))</f>
        <v/>
      </c>
      <c r="AI79" s="51" t="str">
        <f aca="false">IFERROR(MATCH("CEM-70",'REGISTRE ELEVES'!$AI$10:$AI$250,0),"")</f>
        <v/>
      </c>
    </row>
    <row r="80" customFormat="false" ht="15" hidden="false" customHeight="false" outlineLevel="0" collapsed="false">
      <c r="A80" s="73" t="str">
        <f aca="false">IF(B80="","",71)</f>
        <v/>
      </c>
      <c r="B80" s="73" t="str">
        <f aca="false">IF($AI80="","",INDEX('REGISTRE ELEVES'!$B$10:$B$250,$AI80))</f>
        <v/>
      </c>
      <c r="C80" s="74" t="str">
        <f aca="false">IF($AI80="","",INDEX('REGISTRE ELEVES'!$D$10:$D$250,$AI80))</f>
        <v/>
      </c>
      <c r="D80" s="73" t="str">
        <f aca="false">IF($AI80="","",INDEX('REGISTRE ELEVES'!$E$10:$E$250,$AI80))</f>
        <v/>
      </c>
      <c r="E80" s="73" t="str">
        <f aca="false">IF($AI80="","",INDEX('REGISTRE ELEVES'!$F$10:$F$250,$AI80))</f>
        <v/>
      </c>
      <c r="F80" s="73" t="str">
        <f aca="false">IF($AI80="","",INDEX('REGISTRE ELEVES'!$AE$10:$AE$250,$AI80))</f>
        <v/>
      </c>
      <c r="G80" s="75"/>
      <c r="H80" s="76"/>
      <c r="I80" s="76"/>
      <c r="J80" s="76"/>
      <c r="K80" s="76"/>
      <c r="L80" s="79" t="str">
        <f aca="false">IF(B80="","",IF($G80="NON",0,IF(COUNT(H80:K80)=0,"",SUM(H80:K80))))</f>
        <v/>
      </c>
      <c r="M80" s="77" t="str">
        <f aca="false">IF(B80="","",IF($G80="NON",0,IF(COUNT(H80:K80)=0,"",IFERROR(ROUND(SUM(H80:K80)/SUMPRODUCT(ISNUMBER(H80:K80)*$H$8:$K$8)*10,2),""))))</f>
        <v/>
      </c>
      <c r="N80" s="75"/>
      <c r="O80" s="76"/>
      <c r="P80" s="76"/>
      <c r="Q80" s="76"/>
      <c r="R80" s="76"/>
      <c r="S80" s="79" t="str">
        <f aca="false">IF(B80="","",IF($N80="NON",0,IF(COUNT(O80:R80)=0,"",SUM(O80:R80))))</f>
        <v/>
      </c>
      <c r="T80" s="77" t="str">
        <f aca="false">IF(B80="","",IF($N80="NON",0,IF(COUNT(O80:R80)=0,"",IFERROR(ROUND(SUM(O80:R80)/SUMPRODUCT(ISNUMBER(O80:R80)*$O$8:$R$8)*10,2),""))))</f>
        <v/>
      </c>
      <c r="U80" s="75"/>
      <c r="V80" s="76"/>
      <c r="W80" s="76"/>
      <c r="X80" s="76"/>
      <c r="Y80" s="76"/>
      <c r="Z80" s="79" t="str">
        <f aca="false">IF(B80="","",IF($U80="NON",0,IF(COUNT(V80:Y80)=0,"",SUM(V80:Y80))))</f>
        <v/>
      </c>
      <c r="AA80" s="77" t="str">
        <f aca="false">IF(B80="","",IF($U80="NON",0,IF(COUNT(V80:Y80)=0,"",IFERROR(ROUND(SUM(V80:Y80)/SUMPRODUCT(ISNUMBER(V80:Y80)*$V$8:$Y$8)*10,2),""))))</f>
        <v/>
      </c>
      <c r="AB80" s="75"/>
      <c r="AC80" s="76"/>
      <c r="AD80" s="76"/>
      <c r="AE80" s="76"/>
      <c r="AF80" s="76"/>
      <c r="AG80" s="79" t="str">
        <f aca="false">IF(B80="","",IF($AB80="NON",0,IF(COUNT(AC80:AF80)=0,"",SUM(AC80:AF80))))</f>
        <v/>
      </c>
      <c r="AH80" s="77" t="str">
        <f aca="false">IF(B80="","",IF($AB80="NON",0,IF(COUNT(AC80:AF80)=0,"",IFERROR(ROUND(SUM(AC80:AF80)/SUMPRODUCT(ISNUMBER(AC80:AF80)*$AC$8:$AF$8)*10,2),""))))</f>
        <v/>
      </c>
      <c r="AI80" s="51" t="str">
        <f aca="false">IFERROR(MATCH("CEM-71",'REGISTRE ELEVES'!$AI$10:$AI$250,0),"")</f>
        <v/>
      </c>
    </row>
    <row r="81" customFormat="false" ht="15" hidden="false" customHeight="false" outlineLevel="0" collapsed="false">
      <c r="A81" s="73" t="str">
        <f aca="false">IF(B81="","",72)</f>
        <v/>
      </c>
      <c r="B81" s="73" t="str">
        <f aca="false">IF($AI81="","",INDEX('REGISTRE ELEVES'!$B$10:$B$250,$AI81))</f>
        <v/>
      </c>
      <c r="C81" s="74" t="str">
        <f aca="false">IF($AI81="","",INDEX('REGISTRE ELEVES'!$D$10:$D$250,$AI81))</f>
        <v/>
      </c>
      <c r="D81" s="73" t="str">
        <f aca="false">IF($AI81="","",INDEX('REGISTRE ELEVES'!$E$10:$E$250,$AI81))</f>
        <v/>
      </c>
      <c r="E81" s="73" t="str">
        <f aca="false">IF($AI81="","",INDEX('REGISTRE ELEVES'!$F$10:$F$250,$AI81))</f>
        <v/>
      </c>
      <c r="F81" s="73" t="str">
        <f aca="false">IF($AI81="","",INDEX('REGISTRE ELEVES'!$AE$10:$AE$250,$AI81))</f>
        <v/>
      </c>
      <c r="G81" s="75"/>
      <c r="H81" s="76"/>
      <c r="I81" s="76"/>
      <c r="J81" s="76"/>
      <c r="K81" s="76"/>
      <c r="L81" s="79" t="str">
        <f aca="false">IF(B81="","",IF($G81="NON",0,IF(COUNT(H81:K81)=0,"",SUM(H81:K81))))</f>
        <v/>
      </c>
      <c r="M81" s="77" t="str">
        <f aca="false">IF(B81="","",IF($G81="NON",0,IF(COUNT(H81:K81)=0,"",IFERROR(ROUND(SUM(H81:K81)/SUMPRODUCT(ISNUMBER(H81:K81)*$H$8:$K$8)*10,2),""))))</f>
        <v/>
      </c>
      <c r="N81" s="75"/>
      <c r="O81" s="76"/>
      <c r="P81" s="76"/>
      <c r="Q81" s="76"/>
      <c r="R81" s="76"/>
      <c r="S81" s="79" t="str">
        <f aca="false">IF(B81="","",IF($N81="NON",0,IF(COUNT(O81:R81)=0,"",SUM(O81:R81))))</f>
        <v/>
      </c>
      <c r="T81" s="77" t="str">
        <f aca="false">IF(B81="","",IF($N81="NON",0,IF(COUNT(O81:R81)=0,"",IFERROR(ROUND(SUM(O81:R81)/SUMPRODUCT(ISNUMBER(O81:R81)*$O$8:$R$8)*10,2),""))))</f>
        <v/>
      </c>
      <c r="U81" s="75"/>
      <c r="V81" s="76"/>
      <c r="W81" s="76"/>
      <c r="X81" s="76"/>
      <c r="Y81" s="76"/>
      <c r="Z81" s="79" t="str">
        <f aca="false">IF(B81="","",IF($U81="NON",0,IF(COUNT(V81:Y81)=0,"",SUM(V81:Y81))))</f>
        <v/>
      </c>
      <c r="AA81" s="77" t="str">
        <f aca="false">IF(B81="","",IF($U81="NON",0,IF(COUNT(V81:Y81)=0,"",IFERROR(ROUND(SUM(V81:Y81)/SUMPRODUCT(ISNUMBER(V81:Y81)*$V$8:$Y$8)*10,2),""))))</f>
        <v/>
      </c>
      <c r="AB81" s="75"/>
      <c r="AC81" s="76"/>
      <c r="AD81" s="76"/>
      <c r="AE81" s="76"/>
      <c r="AF81" s="76"/>
      <c r="AG81" s="79" t="str">
        <f aca="false">IF(B81="","",IF($AB81="NON",0,IF(COUNT(AC81:AF81)=0,"",SUM(AC81:AF81))))</f>
        <v/>
      </c>
      <c r="AH81" s="77" t="str">
        <f aca="false">IF(B81="","",IF($AB81="NON",0,IF(COUNT(AC81:AF81)=0,"",IFERROR(ROUND(SUM(AC81:AF81)/SUMPRODUCT(ISNUMBER(AC81:AF81)*$AC$8:$AF$8)*10,2),""))))</f>
        <v/>
      </c>
      <c r="AI81" s="51" t="str">
        <f aca="false">IFERROR(MATCH("CEM-72",'REGISTRE ELEVES'!$AI$10:$AI$250,0),"")</f>
        <v/>
      </c>
    </row>
    <row r="82" customFormat="false" ht="15" hidden="false" customHeight="false" outlineLevel="0" collapsed="false">
      <c r="A82" s="73" t="str">
        <f aca="false">IF(B82="","",73)</f>
        <v/>
      </c>
      <c r="B82" s="73" t="str">
        <f aca="false">IF($AI82="","",INDEX('REGISTRE ELEVES'!$B$10:$B$250,$AI82))</f>
        <v/>
      </c>
      <c r="C82" s="74" t="str">
        <f aca="false">IF($AI82="","",INDEX('REGISTRE ELEVES'!$D$10:$D$250,$AI82))</f>
        <v/>
      </c>
      <c r="D82" s="73" t="str">
        <f aca="false">IF($AI82="","",INDEX('REGISTRE ELEVES'!$E$10:$E$250,$AI82))</f>
        <v/>
      </c>
      <c r="E82" s="73" t="str">
        <f aca="false">IF($AI82="","",INDEX('REGISTRE ELEVES'!$F$10:$F$250,$AI82))</f>
        <v/>
      </c>
      <c r="F82" s="73" t="str">
        <f aca="false">IF($AI82="","",INDEX('REGISTRE ELEVES'!$AE$10:$AE$250,$AI82))</f>
        <v/>
      </c>
      <c r="G82" s="75"/>
      <c r="H82" s="76"/>
      <c r="I82" s="76"/>
      <c r="J82" s="76"/>
      <c r="K82" s="76"/>
      <c r="L82" s="79" t="str">
        <f aca="false">IF(B82="","",IF($G82="NON",0,IF(COUNT(H82:K82)=0,"",SUM(H82:K82))))</f>
        <v/>
      </c>
      <c r="M82" s="77" t="str">
        <f aca="false">IF(B82="","",IF($G82="NON",0,IF(COUNT(H82:K82)=0,"",IFERROR(ROUND(SUM(H82:K82)/SUMPRODUCT(ISNUMBER(H82:K82)*$H$8:$K$8)*10,2),""))))</f>
        <v/>
      </c>
      <c r="N82" s="75"/>
      <c r="O82" s="76"/>
      <c r="P82" s="76"/>
      <c r="Q82" s="76"/>
      <c r="R82" s="76"/>
      <c r="S82" s="79" t="str">
        <f aca="false">IF(B82="","",IF($N82="NON",0,IF(COUNT(O82:R82)=0,"",SUM(O82:R82))))</f>
        <v/>
      </c>
      <c r="T82" s="77" t="str">
        <f aca="false">IF(B82="","",IF($N82="NON",0,IF(COUNT(O82:R82)=0,"",IFERROR(ROUND(SUM(O82:R82)/SUMPRODUCT(ISNUMBER(O82:R82)*$O$8:$R$8)*10,2),""))))</f>
        <v/>
      </c>
      <c r="U82" s="75"/>
      <c r="V82" s="76"/>
      <c r="W82" s="76"/>
      <c r="X82" s="76"/>
      <c r="Y82" s="76"/>
      <c r="Z82" s="79" t="str">
        <f aca="false">IF(B82="","",IF($U82="NON",0,IF(COUNT(V82:Y82)=0,"",SUM(V82:Y82))))</f>
        <v/>
      </c>
      <c r="AA82" s="77" t="str">
        <f aca="false">IF(B82="","",IF($U82="NON",0,IF(COUNT(V82:Y82)=0,"",IFERROR(ROUND(SUM(V82:Y82)/SUMPRODUCT(ISNUMBER(V82:Y82)*$V$8:$Y$8)*10,2),""))))</f>
        <v/>
      </c>
      <c r="AB82" s="75"/>
      <c r="AC82" s="76"/>
      <c r="AD82" s="76"/>
      <c r="AE82" s="76"/>
      <c r="AF82" s="76"/>
      <c r="AG82" s="79" t="str">
        <f aca="false">IF(B82="","",IF($AB82="NON",0,IF(COUNT(AC82:AF82)=0,"",SUM(AC82:AF82))))</f>
        <v/>
      </c>
      <c r="AH82" s="77" t="str">
        <f aca="false">IF(B82="","",IF($AB82="NON",0,IF(COUNT(AC82:AF82)=0,"",IFERROR(ROUND(SUM(AC82:AF82)/SUMPRODUCT(ISNUMBER(AC82:AF82)*$AC$8:$AF$8)*10,2),""))))</f>
        <v/>
      </c>
      <c r="AI82" s="51" t="str">
        <f aca="false">IFERROR(MATCH("CEM-73",'REGISTRE ELEVES'!$AI$10:$AI$250,0),"")</f>
        <v/>
      </c>
    </row>
    <row r="83" customFormat="false" ht="15" hidden="false" customHeight="false" outlineLevel="0" collapsed="false">
      <c r="A83" s="73" t="str">
        <f aca="false">IF(B83="","",74)</f>
        <v/>
      </c>
      <c r="B83" s="73" t="str">
        <f aca="false">IF($AI83="","",INDEX('REGISTRE ELEVES'!$B$10:$B$250,$AI83))</f>
        <v/>
      </c>
      <c r="C83" s="74" t="str">
        <f aca="false">IF($AI83="","",INDEX('REGISTRE ELEVES'!$D$10:$D$250,$AI83))</f>
        <v/>
      </c>
      <c r="D83" s="73" t="str">
        <f aca="false">IF($AI83="","",INDEX('REGISTRE ELEVES'!$E$10:$E$250,$AI83))</f>
        <v/>
      </c>
      <c r="E83" s="73" t="str">
        <f aca="false">IF($AI83="","",INDEX('REGISTRE ELEVES'!$F$10:$F$250,$AI83))</f>
        <v/>
      </c>
      <c r="F83" s="73" t="str">
        <f aca="false">IF($AI83="","",INDEX('REGISTRE ELEVES'!$AE$10:$AE$250,$AI83))</f>
        <v/>
      </c>
      <c r="G83" s="75"/>
      <c r="H83" s="76"/>
      <c r="I83" s="76"/>
      <c r="J83" s="76"/>
      <c r="K83" s="76"/>
      <c r="L83" s="79" t="str">
        <f aca="false">IF(B83="","",IF($G83="NON",0,IF(COUNT(H83:K83)=0,"",SUM(H83:K83))))</f>
        <v/>
      </c>
      <c r="M83" s="77" t="str">
        <f aca="false">IF(B83="","",IF($G83="NON",0,IF(COUNT(H83:K83)=0,"",IFERROR(ROUND(SUM(H83:K83)/SUMPRODUCT(ISNUMBER(H83:K83)*$H$8:$K$8)*10,2),""))))</f>
        <v/>
      </c>
      <c r="N83" s="75"/>
      <c r="O83" s="76"/>
      <c r="P83" s="76"/>
      <c r="Q83" s="76"/>
      <c r="R83" s="76"/>
      <c r="S83" s="79" t="str">
        <f aca="false">IF(B83="","",IF($N83="NON",0,IF(COUNT(O83:R83)=0,"",SUM(O83:R83))))</f>
        <v/>
      </c>
      <c r="T83" s="77" t="str">
        <f aca="false">IF(B83="","",IF($N83="NON",0,IF(COUNT(O83:R83)=0,"",IFERROR(ROUND(SUM(O83:R83)/SUMPRODUCT(ISNUMBER(O83:R83)*$O$8:$R$8)*10,2),""))))</f>
        <v/>
      </c>
      <c r="U83" s="75"/>
      <c r="V83" s="76"/>
      <c r="W83" s="76"/>
      <c r="X83" s="76"/>
      <c r="Y83" s="76"/>
      <c r="Z83" s="79" t="str">
        <f aca="false">IF(B83="","",IF($U83="NON",0,IF(COUNT(V83:Y83)=0,"",SUM(V83:Y83))))</f>
        <v/>
      </c>
      <c r="AA83" s="77" t="str">
        <f aca="false">IF(B83="","",IF($U83="NON",0,IF(COUNT(V83:Y83)=0,"",IFERROR(ROUND(SUM(V83:Y83)/SUMPRODUCT(ISNUMBER(V83:Y83)*$V$8:$Y$8)*10,2),""))))</f>
        <v/>
      </c>
      <c r="AB83" s="75"/>
      <c r="AC83" s="76"/>
      <c r="AD83" s="76"/>
      <c r="AE83" s="76"/>
      <c r="AF83" s="76"/>
      <c r="AG83" s="79" t="str">
        <f aca="false">IF(B83="","",IF($AB83="NON",0,IF(COUNT(AC83:AF83)=0,"",SUM(AC83:AF83))))</f>
        <v/>
      </c>
      <c r="AH83" s="77" t="str">
        <f aca="false">IF(B83="","",IF($AB83="NON",0,IF(COUNT(AC83:AF83)=0,"",IFERROR(ROUND(SUM(AC83:AF83)/SUMPRODUCT(ISNUMBER(AC83:AF83)*$AC$8:$AF$8)*10,2),""))))</f>
        <v/>
      </c>
      <c r="AI83" s="51" t="str">
        <f aca="false">IFERROR(MATCH("CEM-74",'REGISTRE ELEVES'!$AI$10:$AI$250,0),"")</f>
        <v/>
      </c>
    </row>
    <row r="84" customFormat="false" ht="15" hidden="false" customHeight="false" outlineLevel="0" collapsed="false">
      <c r="A84" s="73" t="str">
        <f aca="false">IF(B84="","",75)</f>
        <v/>
      </c>
      <c r="B84" s="73" t="str">
        <f aca="false">IF($AI84="","",INDEX('REGISTRE ELEVES'!$B$10:$B$250,$AI84))</f>
        <v/>
      </c>
      <c r="C84" s="74" t="str">
        <f aca="false">IF($AI84="","",INDEX('REGISTRE ELEVES'!$D$10:$D$250,$AI84))</f>
        <v/>
      </c>
      <c r="D84" s="73" t="str">
        <f aca="false">IF($AI84="","",INDEX('REGISTRE ELEVES'!$E$10:$E$250,$AI84))</f>
        <v/>
      </c>
      <c r="E84" s="73" t="str">
        <f aca="false">IF($AI84="","",INDEX('REGISTRE ELEVES'!$F$10:$F$250,$AI84))</f>
        <v/>
      </c>
      <c r="F84" s="73" t="str">
        <f aca="false">IF($AI84="","",INDEX('REGISTRE ELEVES'!$AE$10:$AE$250,$AI84))</f>
        <v/>
      </c>
      <c r="G84" s="75"/>
      <c r="H84" s="76"/>
      <c r="I84" s="76"/>
      <c r="J84" s="76"/>
      <c r="K84" s="76"/>
      <c r="L84" s="79" t="str">
        <f aca="false">IF(B84="","",IF($G84="NON",0,IF(COUNT(H84:K84)=0,"",SUM(H84:K84))))</f>
        <v/>
      </c>
      <c r="M84" s="77" t="str">
        <f aca="false">IF(B84="","",IF($G84="NON",0,IF(COUNT(H84:K84)=0,"",IFERROR(ROUND(SUM(H84:K84)/SUMPRODUCT(ISNUMBER(H84:K84)*$H$8:$K$8)*10,2),""))))</f>
        <v/>
      </c>
      <c r="N84" s="75"/>
      <c r="O84" s="76"/>
      <c r="P84" s="76"/>
      <c r="Q84" s="76"/>
      <c r="R84" s="76"/>
      <c r="S84" s="79" t="str">
        <f aca="false">IF(B84="","",IF($N84="NON",0,IF(COUNT(O84:R84)=0,"",SUM(O84:R84))))</f>
        <v/>
      </c>
      <c r="T84" s="77" t="str">
        <f aca="false">IF(B84="","",IF($N84="NON",0,IF(COUNT(O84:R84)=0,"",IFERROR(ROUND(SUM(O84:R84)/SUMPRODUCT(ISNUMBER(O84:R84)*$O$8:$R$8)*10,2),""))))</f>
        <v/>
      </c>
      <c r="U84" s="75"/>
      <c r="V84" s="76"/>
      <c r="W84" s="76"/>
      <c r="X84" s="76"/>
      <c r="Y84" s="76"/>
      <c r="Z84" s="79" t="str">
        <f aca="false">IF(B84="","",IF($U84="NON",0,IF(COUNT(V84:Y84)=0,"",SUM(V84:Y84))))</f>
        <v/>
      </c>
      <c r="AA84" s="77" t="str">
        <f aca="false">IF(B84="","",IF($U84="NON",0,IF(COUNT(V84:Y84)=0,"",IFERROR(ROUND(SUM(V84:Y84)/SUMPRODUCT(ISNUMBER(V84:Y84)*$V$8:$Y$8)*10,2),""))))</f>
        <v/>
      </c>
      <c r="AB84" s="75"/>
      <c r="AC84" s="76"/>
      <c r="AD84" s="76"/>
      <c r="AE84" s="76"/>
      <c r="AF84" s="76"/>
      <c r="AG84" s="79" t="str">
        <f aca="false">IF(B84="","",IF($AB84="NON",0,IF(COUNT(AC84:AF84)=0,"",SUM(AC84:AF84))))</f>
        <v/>
      </c>
      <c r="AH84" s="77" t="str">
        <f aca="false">IF(B84="","",IF($AB84="NON",0,IF(COUNT(AC84:AF84)=0,"",IFERROR(ROUND(SUM(AC84:AF84)/SUMPRODUCT(ISNUMBER(AC84:AF84)*$AC$8:$AF$8)*10,2),""))))</f>
        <v/>
      </c>
      <c r="AI84" s="51" t="str">
        <f aca="false">IFERROR(MATCH("CEM-75",'REGISTRE ELEVES'!$AI$10:$AI$250,0),"")</f>
        <v/>
      </c>
    </row>
    <row r="85" customFormat="false" ht="15" hidden="false" customHeight="false" outlineLevel="0" collapsed="false">
      <c r="A85" s="73" t="str">
        <f aca="false">IF(B85="","",76)</f>
        <v/>
      </c>
      <c r="B85" s="73" t="str">
        <f aca="false">IF($AI85="","",INDEX('REGISTRE ELEVES'!$B$10:$B$250,$AI85))</f>
        <v/>
      </c>
      <c r="C85" s="74" t="str">
        <f aca="false">IF($AI85="","",INDEX('REGISTRE ELEVES'!$D$10:$D$250,$AI85))</f>
        <v/>
      </c>
      <c r="D85" s="73" t="str">
        <f aca="false">IF($AI85="","",INDEX('REGISTRE ELEVES'!$E$10:$E$250,$AI85))</f>
        <v/>
      </c>
      <c r="E85" s="73" t="str">
        <f aca="false">IF($AI85="","",INDEX('REGISTRE ELEVES'!$F$10:$F$250,$AI85))</f>
        <v/>
      </c>
      <c r="F85" s="73" t="str">
        <f aca="false">IF($AI85="","",INDEX('REGISTRE ELEVES'!$AE$10:$AE$250,$AI85))</f>
        <v/>
      </c>
      <c r="G85" s="75"/>
      <c r="H85" s="76"/>
      <c r="I85" s="76"/>
      <c r="J85" s="76"/>
      <c r="K85" s="76"/>
      <c r="L85" s="79" t="str">
        <f aca="false">IF(B85="","",IF($G85="NON",0,IF(COUNT(H85:K85)=0,"",SUM(H85:K85))))</f>
        <v/>
      </c>
      <c r="M85" s="77" t="str">
        <f aca="false">IF(B85="","",IF($G85="NON",0,IF(COUNT(H85:K85)=0,"",IFERROR(ROUND(SUM(H85:K85)/SUMPRODUCT(ISNUMBER(H85:K85)*$H$8:$K$8)*10,2),""))))</f>
        <v/>
      </c>
      <c r="N85" s="75"/>
      <c r="O85" s="76"/>
      <c r="P85" s="76"/>
      <c r="Q85" s="76"/>
      <c r="R85" s="76"/>
      <c r="S85" s="79" t="str">
        <f aca="false">IF(B85="","",IF($N85="NON",0,IF(COUNT(O85:R85)=0,"",SUM(O85:R85))))</f>
        <v/>
      </c>
      <c r="T85" s="77" t="str">
        <f aca="false">IF(B85="","",IF($N85="NON",0,IF(COUNT(O85:R85)=0,"",IFERROR(ROUND(SUM(O85:R85)/SUMPRODUCT(ISNUMBER(O85:R85)*$O$8:$R$8)*10,2),""))))</f>
        <v/>
      </c>
      <c r="U85" s="75"/>
      <c r="V85" s="76"/>
      <c r="W85" s="76"/>
      <c r="X85" s="76"/>
      <c r="Y85" s="76"/>
      <c r="Z85" s="79" t="str">
        <f aca="false">IF(B85="","",IF($U85="NON",0,IF(COUNT(V85:Y85)=0,"",SUM(V85:Y85))))</f>
        <v/>
      </c>
      <c r="AA85" s="77" t="str">
        <f aca="false">IF(B85="","",IF($U85="NON",0,IF(COUNT(V85:Y85)=0,"",IFERROR(ROUND(SUM(V85:Y85)/SUMPRODUCT(ISNUMBER(V85:Y85)*$V$8:$Y$8)*10,2),""))))</f>
        <v/>
      </c>
      <c r="AB85" s="75"/>
      <c r="AC85" s="76"/>
      <c r="AD85" s="76"/>
      <c r="AE85" s="76"/>
      <c r="AF85" s="76"/>
      <c r="AG85" s="79" t="str">
        <f aca="false">IF(B85="","",IF($AB85="NON",0,IF(COUNT(AC85:AF85)=0,"",SUM(AC85:AF85))))</f>
        <v/>
      </c>
      <c r="AH85" s="77" t="str">
        <f aca="false">IF(B85="","",IF($AB85="NON",0,IF(COUNT(AC85:AF85)=0,"",IFERROR(ROUND(SUM(AC85:AF85)/SUMPRODUCT(ISNUMBER(AC85:AF85)*$AC$8:$AF$8)*10,2),""))))</f>
        <v/>
      </c>
      <c r="AI85" s="51" t="str">
        <f aca="false">IFERROR(MATCH("CEM-76",'REGISTRE ELEVES'!$AI$10:$AI$250,0),"")</f>
        <v/>
      </c>
    </row>
    <row r="86" customFormat="false" ht="15" hidden="false" customHeight="false" outlineLevel="0" collapsed="false">
      <c r="A86" s="73" t="str">
        <f aca="false">IF(B86="","",77)</f>
        <v/>
      </c>
      <c r="B86" s="73" t="str">
        <f aca="false">IF($AI86="","",INDEX('REGISTRE ELEVES'!$B$10:$B$250,$AI86))</f>
        <v/>
      </c>
      <c r="C86" s="74" t="str">
        <f aca="false">IF($AI86="","",INDEX('REGISTRE ELEVES'!$D$10:$D$250,$AI86))</f>
        <v/>
      </c>
      <c r="D86" s="73" t="str">
        <f aca="false">IF($AI86="","",INDEX('REGISTRE ELEVES'!$E$10:$E$250,$AI86))</f>
        <v/>
      </c>
      <c r="E86" s="73" t="str">
        <f aca="false">IF($AI86="","",INDEX('REGISTRE ELEVES'!$F$10:$F$250,$AI86))</f>
        <v/>
      </c>
      <c r="F86" s="73" t="str">
        <f aca="false">IF($AI86="","",INDEX('REGISTRE ELEVES'!$AE$10:$AE$250,$AI86))</f>
        <v/>
      </c>
      <c r="G86" s="75"/>
      <c r="H86" s="76"/>
      <c r="I86" s="76"/>
      <c r="J86" s="76"/>
      <c r="K86" s="76"/>
      <c r="L86" s="79" t="str">
        <f aca="false">IF(B86="","",IF($G86="NON",0,IF(COUNT(H86:K86)=0,"",SUM(H86:K86))))</f>
        <v/>
      </c>
      <c r="M86" s="77" t="str">
        <f aca="false">IF(B86="","",IF($G86="NON",0,IF(COUNT(H86:K86)=0,"",IFERROR(ROUND(SUM(H86:K86)/SUMPRODUCT(ISNUMBER(H86:K86)*$H$8:$K$8)*10,2),""))))</f>
        <v/>
      </c>
      <c r="N86" s="75"/>
      <c r="O86" s="76"/>
      <c r="P86" s="76"/>
      <c r="Q86" s="76"/>
      <c r="R86" s="76"/>
      <c r="S86" s="79" t="str">
        <f aca="false">IF(B86="","",IF($N86="NON",0,IF(COUNT(O86:R86)=0,"",SUM(O86:R86))))</f>
        <v/>
      </c>
      <c r="T86" s="77" t="str">
        <f aca="false">IF(B86="","",IF($N86="NON",0,IF(COUNT(O86:R86)=0,"",IFERROR(ROUND(SUM(O86:R86)/SUMPRODUCT(ISNUMBER(O86:R86)*$O$8:$R$8)*10,2),""))))</f>
        <v/>
      </c>
      <c r="U86" s="75"/>
      <c r="V86" s="76"/>
      <c r="W86" s="76"/>
      <c r="X86" s="76"/>
      <c r="Y86" s="76"/>
      <c r="Z86" s="79" t="str">
        <f aca="false">IF(B86="","",IF($U86="NON",0,IF(COUNT(V86:Y86)=0,"",SUM(V86:Y86))))</f>
        <v/>
      </c>
      <c r="AA86" s="77" t="str">
        <f aca="false">IF(B86="","",IF($U86="NON",0,IF(COUNT(V86:Y86)=0,"",IFERROR(ROUND(SUM(V86:Y86)/SUMPRODUCT(ISNUMBER(V86:Y86)*$V$8:$Y$8)*10,2),""))))</f>
        <v/>
      </c>
      <c r="AB86" s="75"/>
      <c r="AC86" s="76"/>
      <c r="AD86" s="76"/>
      <c r="AE86" s="76"/>
      <c r="AF86" s="76"/>
      <c r="AG86" s="79" t="str">
        <f aca="false">IF(B86="","",IF($AB86="NON",0,IF(COUNT(AC86:AF86)=0,"",SUM(AC86:AF86))))</f>
        <v/>
      </c>
      <c r="AH86" s="77" t="str">
        <f aca="false">IF(B86="","",IF($AB86="NON",0,IF(COUNT(AC86:AF86)=0,"",IFERROR(ROUND(SUM(AC86:AF86)/SUMPRODUCT(ISNUMBER(AC86:AF86)*$AC$8:$AF$8)*10,2),""))))</f>
        <v/>
      </c>
      <c r="AI86" s="51" t="str">
        <f aca="false">IFERROR(MATCH("CEM-77",'REGISTRE ELEVES'!$AI$10:$AI$250,0),"")</f>
        <v/>
      </c>
    </row>
    <row r="87" customFormat="false" ht="15" hidden="false" customHeight="false" outlineLevel="0" collapsed="false">
      <c r="A87" s="73" t="str">
        <f aca="false">IF(B87="","",78)</f>
        <v/>
      </c>
      <c r="B87" s="73" t="str">
        <f aca="false">IF($AI87="","",INDEX('REGISTRE ELEVES'!$B$10:$B$250,$AI87))</f>
        <v/>
      </c>
      <c r="C87" s="74" t="str">
        <f aca="false">IF($AI87="","",INDEX('REGISTRE ELEVES'!$D$10:$D$250,$AI87))</f>
        <v/>
      </c>
      <c r="D87" s="73" t="str">
        <f aca="false">IF($AI87="","",INDEX('REGISTRE ELEVES'!$E$10:$E$250,$AI87))</f>
        <v/>
      </c>
      <c r="E87" s="73" t="str">
        <f aca="false">IF($AI87="","",INDEX('REGISTRE ELEVES'!$F$10:$F$250,$AI87))</f>
        <v/>
      </c>
      <c r="F87" s="73" t="str">
        <f aca="false">IF($AI87="","",INDEX('REGISTRE ELEVES'!$AE$10:$AE$250,$AI87))</f>
        <v/>
      </c>
      <c r="G87" s="75"/>
      <c r="H87" s="76"/>
      <c r="I87" s="76"/>
      <c r="J87" s="76"/>
      <c r="K87" s="76"/>
      <c r="L87" s="79" t="str">
        <f aca="false">IF(B87="","",IF($G87="NON",0,IF(COUNT(H87:K87)=0,"",SUM(H87:K87))))</f>
        <v/>
      </c>
      <c r="M87" s="77" t="str">
        <f aca="false">IF(B87="","",IF($G87="NON",0,IF(COUNT(H87:K87)=0,"",IFERROR(ROUND(SUM(H87:K87)/SUMPRODUCT(ISNUMBER(H87:K87)*$H$8:$K$8)*10,2),""))))</f>
        <v/>
      </c>
      <c r="N87" s="75"/>
      <c r="O87" s="76"/>
      <c r="P87" s="76"/>
      <c r="Q87" s="76"/>
      <c r="R87" s="76"/>
      <c r="S87" s="79" t="str">
        <f aca="false">IF(B87="","",IF($N87="NON",0,IF(COUNT(O87:R87)=0,"",SUM(O87:R87))))</f>
        <v/>
      </c>
      <c r="T87" s="77" t="str">
        <f aca="false">IF(B87="","",IF($N87="NON",0,IF(COUNT(O87:R87)=0,"",IFERROR(ROUND(SUM(O87:R87)/SUMPRODUCT(ISNUMBER(O87:R87)*$O$8:$R$8)*10,2),""))))</f>
        <v/>
      </c>
      <c r="U87" s="75"/>
      <c r="V87" s="76"/>
      <c r="W87" s="76"/>
      <c r="X87" s="76"/>
      <c r="Y87" s="76"/>
      <c r="Z87" s="79" t="str">
        <f aca="false">IF(B87="","",IF($U87="NON",0,IF(COUNT(V87:Y87)=0,"",SUM(V87:Y87))))</f>
        <v/>
      </c>
      <c r="AA87" s="77" t="str">
        <f aca="false">IF(B87="","",IF($U87="NON",0,IF(COUNT(V87:Y87)=0,"",IFERROR(ROUND(SUM(V87:Y87)/SUMPRODUCT(ISNUMBER(V87:Y87)*$V$8:$Y$8)*10,2),""))))</f>
        <v/>
      </c>
      <c r="AB87" s="75"/>
      <c r="AC87" s="76"/>
      <c r="AD87" s="76"/>
      <c r="AE87" s="76"/>
      <c r="AF87" s="76"/>
      <c r="AG87" s="79" t="str">
        <f aca="false">IF(B87="","",IF($AB87="NON",0,IF(COUNT(AC87:AF87)=0,"",SUM(AC87:AF87))))</f>
        <v/>
      </c>
      <c r="AH87" s="77" t="str">
        <f aca="false">IF(B87="","",IF($AB87="NON",0,IF(COUNT(AC87:AF87)=0,"",IFERROR(ROUND(SUM(AC87:AF87)/SUMPRODUCT(ISNUMBER(AC87:AF87)*$AC$8:$AF$8)*10,2),""))))</f>
        <v/>
      </c>
      <c r="AI87" s="51" t="str">
        <f aca="false">IFERROR(MATCH("CEM-78",'REGISTRE ELEVES'!$AI$10:$AI$250,0),"")</f>
        <v/>
      </c>
    </row>
    <row r="88" customFormat="false" ht="15" hidden="false" customHeight="false" outlineLevel="0" collapsed="false">
      <c r="A88" s="73" t="str">
        <f aca="false">IF(B88="","",79)</f>
        <v/>
      </c>
      <c r="B88" s="73" t="str">
        <f aca="false">IF($AI88="","",INDEX('REGISTRE ELEVES'!$B$10:$B$250,$AI88))</f>
        <v/>
      </c>
      <c r="C88" s="74" t="str">
        <f aca="false">IF($AI88="","",INDEX('REGISTRE ELEVES'!$D$10:$D$250,$AI88))</f>
        <v/>
      </c>
      <c r="D88" s="73" t="str">
        <f aca="false">IF($AI88="","",INDEX('REGISTRE ELEVES'!$E$10:$E$250,$AI88))</f>
        <v/>
      </c>
      <c r="E88" s="73" t="str">
        <f aca="false">IF($AI88="","",INDEX('REGISTRE ELEVES'!$F$10:$F$250,$AI88))</f>
        <v/>
      </c>
      <c r="F88" s="73" t="str">
        <f aca="false">IF($AI88="","",INDEX('REGISTRE ELEVES'!$AE$10:$AE$250,$AI88))</f>
        <v/>
      </c>
      <c r="G88" s="75"/>
      <c r="H88" s="76"/>
      <c r="I88" s="76"/>
      <c r="J88" s="76"/>
      <c r="K88" s="76"/>
      <c r="L88" s="79" t="str">
        <f aca="false">IF(B88="","",IF($G88="NON",0,IF(COUNT(H88:K88)=0,"",SUM(H88:K88))))</f>
        <v/>
      </c>
      <c r="M88" s="77" t="str">
        <f aca="false">IF(B88="","",IF($G88="NON",0,IF(COUNT(H88:K88)=0,"",IFERROR(ROUND(SUM(H88:K88)/SUMPRODUCT(ISNUMBER(H88:K88)*$H$8:$K$8)*10,2),""))))</f>
        <v/>
      </c>
      <c r="N88" s="75"/>
      <c r="O88" s="76"/>
      <c r="P88" s="76"/>
      <c r="Q88" s="76"/>
      <c r="R88" s="76"/>
      <c r="S88" s="79" t="str">
        <f aca="false">IF(B88="","",IF($N88="NON",0,IF(COUNT(O88:R88)=0,"",SUM(O88:R88))))</f>
        <v/>
      </c>
      <c r="T88" s="77" t="str">
        <f aca="false">IF(B88="","",IF($N88="NON",0,IF(COUNT(O88:R88)=0,"",IFERROR(ROUND(SUM(O88:R88)/SUMPRODUCT(ISNUMBER(O88:R88)*$O$8:$R$8)*10,2),""))))</f>
        <v/>
      </c>
      <c r="U88" s="75"/>
      <c r="V88" s="76"/>
      <c r="W88" s="76"/>
      <c r="X88" s="76"/>
      <c r="Y88" s="76"/>
      <c r="Z88" s="79" t="str">
        <f aca="false">IF(B88="","",IF($U88="NON",0,IF(COUNT(V88:Y88)=0,"",SUM(V88:Y88))))</f>
        <v/>
      </c>
      <c r="AA88" s="77" t="str">
        <f aca="false">IF(B88="","",IF($U88="NON",0,IF(COUNT(V88:Y88)=0,"",IFERROR(ROUND(SUM(V88:Y88)/SUMPRODUCT(ISNUMBER(V88:Y88)*$V$8:$Y$8)*10,2),""))))</f>
        <v/>
      </c>
      <c r="AB88" s="75"/>
      <c r="AC88" s="76"/>
      <c r="AD88" s="76"/>
      <c r="AE88" s="76"/>
      <c r="AF88" s="76"/>
      <c r="AG88" s="79" t="str">
        <f aca="false">IF(B88="","",IF($AB88="NON",0,IF(COUNT(AC88:AF88)=0,"",SUM(AC88:AF88))))</f>
        <v/>
      </c>
      <c r="AH88" s="77" t="str">
        <f aca="false">IF(B88="","",IF($AB88="NON",0,IF(COUNT(AC88:AF88)=0,"",IFERROR(ROUND(SUM(AC88:AF88)/SUMPRODUCT(ISNUMBER(AC88:AF88)*$AC$8:$AF$8)*10,2),""))))</f>
        <v/>
      </c>
      <c r="AI88" s="51" t="str">
        <f aca="false">IFERROR(MATCH("CEM-79",'REGISTRE ELEVES'!$AI$10:$AI$250,0),"")</f>
        <v/>
      </c>
    </row>
    <row r="89" customFormat="false" ht="15" hidden="false" customHeight="false" outlineLevel="0" collapsed="false">
      <c r="A89" s="73" t="str">
        <f aca="false">IF(B89="","",80)</f>
        <v/>
      </c>
      <c r="B89" s="73" t="str">
        <f aca="false">IF($AI89="","",INDEX('REGISTRE ELEVES'!$B$10:$B$250,$AI89))</f>
        <v/>
      </c>
      <c r="C89" s="74" t="str">
        <f aca="false">IF($AI89="","",INDEX('REGISTRE ELEVES'!$D$10:$D$250,$AI89))</f>
        <v/>
      </c>
      <c r="D89" s="73" t="str">
        <f aca="false">IF($AI89="","",INDEX('REGISTRE ELEVES'!$E$10:$E$250,$AI89))</f>
        <v/>
      </c>
      <c r="E89" s="73" t="str">
        <f aca="false">IF($AI89="","",INDEX('REGISTRE ELEVES'!$F$10:$F$250,$AI89))</f>
        <v/>
      </c>
      <c r="F89" s="73" t="str">
        <f aca="false">IF($AI89="","",INDEX('REGISTRE ELEVES'!$AE$10:$AE$250,$AI89))</f>
        <v/>
      </c>
      <c r="G89" s="75"/>
      <c r="H89" s="76"/>
      <c r="I89" s="76"/>
      <c r="J89" s="76"/>
      <c r="K89" s="76"/>
      <c r="L89" s="79" t="str">
        <f aca="false">IF(B89="","",IF($G89="NON",0,IF(COUNT(H89:K89)=0,"",SUM(H89:K89))))</f>
        <v/>
      </c>
      <c r="M89" s="77" t="str">
        <f aca="false">IF(B89="","",IF($G89="NON",0,IF(COUNT(H89:K89)=0,"",IFERROR(ROUND(SUM(H89:K89)/SUMPRODUCT(ISNUMBER(H89:K89)*$H$8:$K$8)*10,2),""))))</f>
        <v/>
      </c>
      <c r="N89" s="75"/>
      <c r="O89" s="76"/>
      <c r="P89" s="76"/>
      <c r="Q89" s="76"/>
      <c r="R89" s="76"/>
      <c r="S89" s="79" t="str">
        <f aca="false">IF(B89="","",IF($N89="NON",0,IF(COUNT(O89:R89)=0,"",SUM(O89:R89))))</f>
        <v/>
      </c>
      <c r="T89" s="77" t="str">
        <f aca="false">IF(B89="","",IF($N89="NON",0,IF(COUNT(O89:R89)=0,"",IFERROR(ROUND(SUM(O89:R89)/SUMPRODUCT(ISNUMBER(O89:R89)*$O$8:$R$8)*10,2),""))))</f>
        <v/>
      </c>
      <c r="U89" s="75"/>
      <c r="V89" s="76"/>
      <c r="W89" s="76"/>
      <c r="X89" s="76"/>
      <c r="Y89" s="76"/>
      <c r="Z89" s="79" t="str">
        <f aca="false">IF(B89="","",IF($U89="NON",0,IF(COUNT(V89:Y89)=0,"",SUM(V89:Y89))))</f>
        <v/>
      </c>
      <c r="AA89" s="77" t="str">
        <f aca="false">IF(B89="","",IF($U89="NON",0,IF(COUNT(V89:Y89)=0,"",IFERROR(ROUND(SUM(V89:Y89)/SUMPRODUCT(ISNUMBER(V89:Y89)*$V$8:$Y$8)*10,2),""))))</f>
        <v/>
      </c>
      <c r="AB89" s="75"/>
      <c r="AC89" s="76"/>
      <c r="AD89" s="76"/>
      <c r="AE89" s="76"/>
      <c r="AF89" s="76"/>
      <c r="AG89" s="79" t="str">
        <f aca="false">IF(B89="","",IF($AB89="NON",0,IF(COUNT(AC89:AF89)=0,"",SUM(AC89:AF89))))</f>
        <v/>
      </c>
      <c r="AH89" s="77" t="str">
        <f aca="false">IF(B89="","",IF($AB89="NON",0,IF(COUNT(AC89:AF89)=0,"",IFERROR(ROUND(SUM(AC89:AF89)/SUMPRODUCT(ISNUMBER(AC89:AF89)*$AC$8:$AF$8)*10,2),""))))</f>
        <v/>
      </c>
      <c r="AI89" s="51" t="str">
        <f aca="false">IFERROR(MATCH("CEM-80",'REGISTRE ELEVES'!$AI$10:$AI$250,0),"")</f>
        <v/>
      </c>
    </row>
    <row r="90" customFormat="false" ht="15" hidden="false" customHeight="false" outlineLevel="0" collapsed="false">
      <c r="A90" s="73" t="str">
        <f aca="false">IF(B90="","",81)</f>
        <v/>
      </c>
      <c r="B90" s="73" t="str">
        <f aca="false">IF($AI90="","",INDEX('REGISTRE ELEVES'!$B$10:$B$250,$AI90))</f>
        <v/>
      </c>
      <c r="C90" s="74" t="str">
        <f aca="false">IF($AI90="","",INDEX('REGISTRE ELEVES'!$D$10:$D$250,$AI90))</f>
        <v/>
      </c>
      <c r="D90" s="73" t="str">
        <f aca="false">IF($AI90="","",INDEX('REGISTRE ELEVES'!$E$10:$E$250,$AI90))</f>
        <v/>
      </c>
      <c r="E90" s="73" t="str">
        <f aca="false">IF($AI90="","",INDEX('REGISTRE ELEVES'!$F$10:$F$250,$AI90))</f>
        <v/>
      </c>
      <c r="F90" s="73" t="str">
        <f aca="false">IF($AI90="","",INDEX('REGISTRE ELEVES'!$AE$10:$AE$250,$AI90))</f>
        <v/>
      </c>
      <c r="G90" s="75"/>
      <c r="H90" s="76"/>
      <c r="I90" s="76"/>
      <c r="J90" s="76"/>
      <c r="K90" s="76"/>
      <c r="L90" s="79" t="str">
        <f aca="false">IF(B90="","",IF($G90="NON",0,IF(COUNT(H90:K90)=0,"",SUM(H90:K90))))</f>
        <v/>
      </c>
      <c r="M90" s="77" t="str">
        <f aca="false">IF(B90="","",IF($G90="NON",0,IF(COUNT(H90:K90)=0,"",IFERROR(ROUND(SUM(H90:K90)/SUMPRODUCT(ISNUMBER(H90:K90)*$H$8:$K$8)*10,2),""))))</f>
        <v/>
      </c>
      <c r="N90" s="75"/>
      <c r="O90" s="76"/>
      <c r="P90" s="76"/>
      <c r="Q90" s="76"/>
      <c r="R90" s="76"/>
      <c r="S90" s="79" t="str">
        <f aca="false">IF(B90="","",IF($N90="NON",0,IF(COUNT(O90:R90)=0,"",SUM(O90:R90))))</f>
        <v/>
      </c>
      <c r="T90" s="77" t="str">
        <f aca="false">IF(B90="","",IF($N90="NON",0,IF(COUNT(O90:R90)=0,"",IFERROR(ROUND(SUM(O90:R90)/SUMPRODUCT(ISNUMBER(O90:R90)*$O$8:$R$8)*10,2),""))))</f>
        <v/>
      </c>
      <c r="U90" s="75"/>
      <c r="V90" s="76"/>
      <c r="W90" s="76"/>
      <c r="X90" s="76"/>
      <c r="Y90" s="76"/>
      <c r="Z90" s="79" t="str">
        <f aca="false">IF(B90="","",IF($U90="NON",0,IF(COUNT(V90:Y90)=0,"",SUM(V90:Y90))))</f>
        <v/>
      </c>
      <c r="AA90" s="77" t="str">
        <f aca="false">IF(B90="","",IF($U90="NON",0,IF(COUNT(V90:Y90)=0,"",IFERROR(ROUND(SUM(V90:Y90)/SUMPRODUCT(ISNUMBER(V90:Y90)*$V$8:$Y$8)*10,2),""))))</f>
        <v/>
      </c>
      <c r="AB90" s="75"/>
      <c r="AC90" s="76"/>
      <c r="AD90" s="76"/>
      <c r="AE90" s="76"/>
      <c r="AF90" s="76"/>
      <c r="AG90" s="79" t="str">
        <f aca="false">IF(B90="","",IF($AB90="NON",0,IF(COUNT(AC90:AF90)=0,"",SUM(AC90:AF90))))</f>
        <v/>
      </c>
      <c r="AH90" s="77" t="str">
        <f aca="false">IF(B90="","",IF($AB90="NON",0,IF(COUNT(AC90:AF90)=0,"",IFERROR(ROUND(SUM(AC90:AF90)/SUMPRODUCT(ISNUMBER(AC90:AF90)*$AC$8:$AF$8)*10,2),""))))</f>
        <v/>
      </c>
      <c r="AI90" s="51" t="str">
        <f aca="false">IFERROR(MATCH("CEM-81",'REGISTRE ELEVES'!$AI$10:$AI$250,0),"")</f>
        <v/>
      </c>
    </row>
    <row r="91" customFormat="false" ht="15" hidden="false" customHeight="false" outlineLevel="0" collapsed="false">
      <c r="A91" s="73" t="str">
        <f aca="false">IF(B91="","",82)</f>
        <v/>
      </c>
      <c r="B91" s="73" t="str">
        <f aca="false">IF($AI91="","",INDEX('REGISTRE ELEVES'!$B$10:$B$250,$AI91))</f>
        <v/>
      </c>
      <c r="C91" s="74" t="str">
        <f aca="false">IF($AI91="","",INDEX('REGISTRE ELEVES'!$D$10:$D$250,$AI91))</f>
        <v/>
      </c>
      <c r="D91" s="73" t="str">
        <f aca="false">IF($AI91="","",INDEX('REGISTRE ELEVES'!$E$10:$E$250,$AI91))</f>
        <v/>
      </c>
      <c r="E91" s="73" t="str">
        <f aca="false">IF($AI91="","",INDEX('REGISTRE ELEVES'!$F$10:$F$250,$AI91))</f>
        <v/>
      </c>
      <c r="F91" s="73" t="str">
        <f aca="false">IF($AI91="","",INDEX('REGISTRE ELEVES'!$AE$10:$AE$250,$AI91))</f>
        <v/>
      </c>
      <c r="G91" s="75"/>
      <c r="H91" s="76"/>
      <c r="I91" s="76"/>
      <c r="J91" s="76"/>
      <c r="K91" s="76"/>
      <c r="L91" s="79" t="str">
        <f aca="false">IF(B91="","",IF($G91="NON",0,IF(COUNT(H91:K91)=0,"",SUM(H91:K91))))</f>
        <v/>
      </c>
      <c r="M91" s="77" t="str">
        <f aca="false">IF(B91="","",IF($G91="NON",0,IF(COUNT(H91:K91)=0,"",IFERROR(ROUND(SUM(H91:K91)/SUMPRODUCT(ISNUMBER(H91:K91)*$H$8:$K$8)*10,2),""))))</f>
        <v/>
      </c>
      <c r="N91" s="75"/>
      <c r="O91" s="76"/>
      <c r="P91" s="76"/>
      <c r="Q91" s="76"/>
      <c r="R91" s="76"/>
      <c r="S91" s="79" t="str">
        <f aca="false">IF(B91="","",IF($N91="NON",0,IF(COUNT(O91:R91)=0,"",SUM(O91:R91))))</f>
        <v/>
      </c>
      <c r="T91" s="77" t="str">
        <f aca="false">IF(B91="","",IF($N91="NON",0,IF(COUNT(O91:R91)=0,"",IFERROR(ROUND(SUM(O91:R91)/SUMPRODUCT(ISNUMBER(O91:R91)*$O$8:$R$8)*10,2),""))))</f>
        <v/>
      </c>
      <c r="U91" s="75"/>
      <c r="V91" s="76"/>
      <c r="W91" s="76"/>
      <c r="X91" s="76"/>
      <c r="Y91" s="76"/>
      <c r="Z91" s="79" t="str">
        <f aca="false">IF(B91="","",IF($U91="NON",0,IF(COUNT(V91:Y91)=0,"",SUM(V91:Y91))))</f>
        <v/>
      </c>
      <c r="AA91" s="77" t="str">
        <f aca="false">IF(B91="","",IF($U91="NON",0,IF(COUNT(V91:Y91)=0,"",IFERROR(ROUND(SUM(V91:Y91)/SUMPRODUCT(ISNUMBER(V91:Y91)*$V$8:$Y$8)*10,2),""))))</f>
        <v/>
      </c>
      <c r="AB91" s="75"/>
      <c r="AC91" s="76"/>
      <c r="AD91" s="76"/>
      <c r="AE91" s="76"/>
      <c r="AF91" s="76"/>
      <c r="AG91" s="79" t="str">
        <f aca="false">IF(B91="","",IF($AB91="NON",0,IF(COUNT(AC91:AF91)=0,"",SUM(AC91:AF91))))</f>
        <v/>
      </c>
      <c r="AH91" s="77" t="str">
        <f aca="false">IF(B91="","",IF($AB91="NON",0,IF(COUNT(AC91:AF91)=0,"",IFERROR(ROUND(SUM(AC91:AF91)/SUMPRODUCT(ISNUMBER(AC91:AF91)*$AC$8:$AF$8)*10,2),""))))</f>
        <v/>
      </c>
      <c r="AI91" s="51" t="str">
        <f aca="false">IFERROR(MATCH("CEM-82",'REGISTRE ELEVES'!$AI$10:$AI$250,0),"")</f>
        <v/>
      </c>
    </row>
    <row r="92" customFormat="false" ht="15" hidden="false" customHeight="false" outlineLevel="0" collapsed="false">
      <c r="A92" s="73" t="str">
        <f aca="false">IF(B92="","",83)</f>
        <v/>
      </c>
      <c r="B92" s="73" t="str">
        <f aca="false">IF($AI92="","",INDEX('REGISTRE ELEVES'!$B$10:$B$250,$AI92))</f>
        <v/>
      </c>
      <c r="C92" s="74" t="str">
        <f aca="false">IF($AI92="","",INDEX('REGISTRE ELEVES'!$D$10:$D$250,$AI92))</f>
        <v/>
      </c>
      <c r="D92" s="73" t="str">
        <f aca="false">IF($AI92="","",INDEX('REGISTRE ELEVES'!$E$10:$E$250,$AI92))</f>
        <v/>
      </c>
      <c r="E92" s="73" t="str">
        <f aca="false">IF($AI92="","",INDEX('REGISTRE ELEVES'!$F$10:$F$250,$AI92))</f>
        <v/>
      </c>
      <c r="F92" s="73" t="str">
        <f aca="false">IF($AI92="","",INDEX('REGISTRE ELEVES'!$AE$10:$AE$250,$AI92))</f>
        <v/>
      </c>
      <c r="G92" s="75"/>
      <c r="H92" s="76"/>
      <c r="I92" s="76"/>
      <c r="J92" s="76"/>
      <c r="K92" s="76"/>
      <c r="L92" s="79" t="str">
        <f aca="false">IF(B92="","",IF($G92="NON",0,IF(COUNT(H92:K92)=0,"",SUM(H92:K92))))</f>
        <v/>
      </c>
      <c r="M92" s="77" t="str">
        <f aca="false">IF(B92="","",IF($G92="NON",0,IF(COUNT(H92:K92)=0,"",IFERROR(ROUND(SUM(H92:K92)/SUMPRODUCT(ISNUMBER(H92:K92)*$H$8:$K$8)*10,2),""))))</f>
        <v/>
      </c>
      <c r="N92" s="75"/>
      <c r="O92" s="76"/>
      <c r="P92" s="76"/>
      <c r="Q92" s="76"/>
      <c r="R92" s="76"/>
      <c r="S92" s="79" t="str">
        <f aca="false">IF(B92="","",IF($N92="NON",0,IF(COUNT(O92:R92)=0,"",SUM(O92:R92))))</f>
        <v/>
      </c>
      <c r="T92" s="77" t="str">
        <f aca="false">IF(B92="","",IF($N92="NON",0,IF(COUNT(O92:R92)=0,"",IFERROR(ROUND(SUM(O92:R92)/SUMPRODUCT(ISNUMBER(O92:R92)*$O$8:$R$8)*10,2),""))))</f>
        <v/>
      </c>
      <c r="U92" s="75"/>
      <c r="V92" s="76"/>
      <c r="W92" s="76"/>
      <c r="X92" s="76"/>
      <c r="Y92" s="76"/>
      <c r="Z92" s="79" t="str">
        <f aca="false">IF(B92="","",IF($U92="NON",0,IF(COUNT(V92:Y92)=0,"",SUM(V92:Y92))))</f>
        <v/>
      </c>
      <c r="AA92" s="77" t="str">
        <f aca="false">IF(B92="","",IF($U92="NON",0,IF(COUNT(V92:Y92)=0,"",IFERROR(ROUND(SUM(V92:Y92)/SUMPRODUCT(ISNUMBER(V92:Y92)*$V$8:$Y$8)*10,2),""))))</f>
        <v/>
      </c>
      <c r="AB92" s="75"/>
      <c r="AC92" s="76"/>
      <c r="AD92" s="76"/>
      <c r="AE92" s="76"/>
      <c r="AF92" s="76"/>
      <c r="AG92" s="79" t="str">
        <f aca="false">IF(B92="","",IF($AB92="NON",0,IF(COUNT(AC92:AF92)=0,"",SUM(AC92:AF92))))</f>
        <v/>
      </c>
      <c r="AH92" s="77" t="str">
        <f aca="false">IF(B92="","",IF($AB92="NON",0,IF(COUNT(AC92:AF92)=0,"",IFERROR(ROUND(SUM(AC92:AF92)/SUMPRODUCT(ISNUMBER(AC92:AF92)*$AC$8:$AF$8)*10,2),""))))</f>
        <v/>
      </c>
      <c r="AI92" s="51" t="str">
        <f aca="false">IFERROR(MATCH("CEM-83",'REGISTRE ELEVES'!$AI$10:$AI$250,0),"")</f>
        <v/>
      </c>
    </row>
    <row r="93" customFormat="false" ht="15" hidden="false" customHeight="false" outlineLevel="0" collapsed="false">
      <c r="A93" s="73" t="str">
        <f aca="false">IF(B93="","",84)</f>
        <v/>
      </c>
      <c r="B93" s="73" t="str">
        <f aca="false">IF($AI93="","",INDEX('REGISTRE ELEVES'!$B$10:$B$250,$AI93))</f>
        <v/>
      </c>
      <c r="C93" s="74" t="str">
        <f aca="false">IF($AI93="","",INDEX('REGISTRE ELEVES'!$D$10:$D$250,$AI93))</f>
        <v/>
      </c>
      <c r="D93" s="73" t="str">
        <f aca="false">IF($AI93="","",INDEX('REGISTRE ELEVES'!$E$10:$E$250,$AI93))</f>
        <v/>
      </c>
      <c r="E93" s="73" t="str">
        <f aca="false">IF($AI93="","",INDEX('REGISTRE ELEVES'!$F$10:$F$250,$AI93))</f>
        <v/>
      </c>
      <c r="F93" s="73" t="str">
        <f aca="false">IF($AI93="","",INDEX('REGISTRE ELEVES'!$AE$10:$AE$250,$AI93))</f>
        <v/>
      </c>
      <c r="G93" s="75"/>
      <c r="H93" s="76"/>
      <c r="I93" s="76"/>
      <c r="J93" s="76"/>
      <c r="K93" s="76"/>
      <c r="L93" s="79" t="str">
        <f aca="false">IF(B93="","",IF($G93="NON",0,IF(COUNT(H93:K93)=0,"",SUM(H93:K93))))</f>
        <v/>
      </c>
      <c r="M93" s="77" t="str">
        <f aca="false">IF(B93="","",IF($G93="NON",0,IF(COUNT(H93:K93)=0,"",IFERROR(ROUND(SUM(H93:K93)/SUMPRODUCT(ISNUMBER(H93:K93)*$H$8:$K$8)*10,2),""))))</f>
        <v/>
      </c>
      <c r="N93" s="75"/>
      <c r="O93" s="76"/>
      <c r="P93" s="76"/>
      <c r="Q93" s="76"/>
      <c r="R93" s="76"/>
      <c r="S93" s="79" t="str">
        <f aca="false">IF(B93="","",IF($N93="NON",0,IF(COUNT(O93:R93)=0,"",SUM(O93:R93))))</f>
        <v/>
      </c>
      <c r="T93" s="77" t="str">
        <f aca="false">IF(B93="","",IF($N93="NON",0,IF(COUNT(O93:R93)=0,"",IFERROR(ROUND(SUM(O93:R93)/SUMPRODUCT(ISNUMBER(O93:R93)*$O$8:$R$8)*10,2),""))))</f>
        <v/>
      </c>
      <c r="U93" s="75"/>
      <c r="V93" s="76"/>
      <c r="W93" s="76"/>
      <c r="X93" s="76"/>
      <c r="Y93" s="76"/>
      <c r="Z93" s="79" t="str">
        <f aca="false">IF(B93="","",IF($U93="NON",0,IF(COUNT(V93:Y93)=0,"",SUM(V93:Y93))))</f>
        <v/>
      </c>
      <c r="AA93" s="77" t="str">
        <f aca="false">IF(B93="","",IF($U93="NON",0,IF(COUNT(V93:Y93)=0,"",IFERROR(ROUND(SUM(V93:Y93)/SUMPRODUCT(ISNUMBER(V93:Y93)*$V$8:$Y$8)*10,2),""))))</f>
        <v/>
      </c>
      <c r="AB93" s="75"/>
      <c r="AC93" s="76"/>
      <c r="AD93" s="76"/>
      <c r="AE93" s="76"/>
      <c r="AF93" s="76"/>
      <c r="AG93" s="79" t="str">
        <f aca="false">IF(B93="","",IF($AB93="NON",0,IF(COUNT(AC93:AF93)=0,"",SUM(AC93:AF93))))</f>
        <v/>
      </c>
      <c r="AH93" s="77" t="str">
        <f aca="false">IF(B93="","",IF($AB93="NON",0,IF(COUNT(AC93:AF93)=0,"",IFERROR(ROUND(SUM(AC93:AF93)/SUMPRODUCT(ISNUMBER(AC93:AF93)*$AC$8:$AF$8)*10,2),""))))</f>
        <v/>
      </c>
      <c r="AI93" s="51" t="str">
        <f aca="false">IFERROR(MATCH("CEM-84",'REGISTRE ELEVES'!$AI$10:$AI$250,0),"")</f>
        <v/>
      </c>
    </row>
    <row r="94" customFormat="false" ht="15" hidden="false" customHeight="false" outlineLevel="0" collapsed="false">
      <c r="A94" s="73" t="str">
        <f aca="false">IF(B94="","",85)</f>
        <v/>
      </c>
      <c r="B94" s="73" t="str">
        <f aca="false">IF($AI94="","",INDEX('REGISTRE ELEVES'!$B$10:$B$250,$AI94))</f>
        <v/>
      </c>
      <c r="C94" s="74" t="str">
        <f aca="false">IF($AI94="","",INDEX('REGISTRE ELEVES'!$D$10:$D$250,$AI94))</f>
        <v/>
      </c>
      <c r="D94" s="73" t="str">
        <f aca="false">IF($AI94="","",INDEX('REGISTRE ELEVES'!$E$10:$E$250,$AI94))</f>
        <v/>
      </c>
      <c r="E94" s="73" t="str">
        <f aca="false">IF($AI94="","",INDEX('REGISTRE ELEVES'!$F$10:$F$250,$AI94))</f>
        <v/>
      </c>
      <c r="F94" s="73" t="str">
        <f aca="false">IF($AI94="","",INDEX('REGISTRE ELEVES'!$AE$10:$AE$250,$AI94))</f>
        <v/>
      </c>
      <c r="G94" s="75"/>
      <c r="H94" s="76"/>
      <c r="I94" s="76"/>
      <c r="J94" s="76"/>
      <c r="K94" s="76"/>
      <c r="L94" s="79" t="str">
        <f aca="false">IF(B94="","",IF($G94="NON",0,IF(COUNT(H94:K94)=0,"",SUM(H94:K94))))</f>
        <v/>
      </c>
      <c r="M94" s="77" t="str">
        <f aca="false">IF(B94="","",IF($G94="NON",0,IF(COUNT(H94:K94)=0,"",IFERROR(ROUND(SUM(H94:K94)/SUMPRODUCT(ISNUMBER(H94:K94)*$H$8:$K$8)*10,2),""))))</f>
        <v/>
      </c>
      <c r="N94" s="75"/>
      <c r="O94" s="76"/>
      <c r="P94" s="76"/>
      <c r="Q94" s="76"/>
      <c r="R94" s="76"/>
      <c r="S94" s="79" t="str">
        <f aca="false">IF(B94="","",IF($N94="NON",0,IF(COUNT(O94:R94)=0,"",SUM(O94:R94))))</f>
        <v/>
      </c>
      <c r="T94" s="77" t="str">
        <f aca="false">IF(B94="","",IF($N94="NON",0,IF(COUNT(O94:R94)=0,"",IFERROR(ROUND(SUM(O94:R94)/SUMPRODUCT(ISNUMBER(O94:R94)*$O$8:$R$8)*10,2),""))))</f>
        <v/>
      </c>
      <c r="U94" s="75"/>
      <c r="V94" s="76"/>
      <c r="W94" s="76"/>
      <c r="X94" s="76"/>
      <c r="Y94" s="76"/>
      <c r="Z94" s="79" t="str">
        <f aca="false">IF(B94="","",IF($U94="NON",0,IF(COUNT(V94:Y94)=0,"",SUM(V94:Y94))))</f>
        <v/>
      </c>
      <c r="AA94" s="77" t="str">
        <f aca="false">IF(B94="","",IF($U94="NON",0,IF(COUNT(V94:Y94)=0,"",IFERROR(ROUND(SUM(V94:Y94)/SUMPRODUCT(ISNUMBER(V94:Y94)*$V$8:$Y$8)*10,2),""))))</f>
        <v/>
      </c>
      <c r="AB94" s="75"/>
      <c r="AC94" s="76"/>
      <c r="AD94" s="76"/>
      <c r="AE94" s="76"/>
      <c r="AF94" s="76"/>
      <c r="AG94" s="79" t="str">
        <f aca="false">IF(B94="","",IF($AB94="NON",0,IF(COUNT(AC94:AF94)=0,"",SUM(AC94:AF94))))</f>
        <v/>
      </c>
      <c r="AH94" s="77" t="str">
        <f aca="false">IF(B94="","",IF($AB94="NON",0,IF(COUNT(AC94:AF94)=0,"",IFERROR(ROUND(SUM(AC94:AF94)/SUMPRODUCT(ISNUMBER(AC94:AF94)*$AC$8:$AF$8)*10,2),""))))</f>
        <v/>
      </c>
      <c r="AI94" s="51" t="str">
        <f aca="false">IFERROR(MATCH("CEM-85",'REGISTRE ELEVES'!$AI$10:$AI$250,0),"")</f>
        <v/>
      </c>
    </row>
    <row r="95" customFormat="false" ht="15" hidden="false" customHeight="false" outlineLevel="0" collapsed="false">
      <c r="A95" s="73" t="str">
        <f aca="false">IF(B95="","",86)</f>
        <v/>
      </c>
      <c r="B95" s="73" t="str">
        <f aca="false">IF($AI95="","",INDEX('REGISTRE ELEVES'!$B$10:$B$250,$AI95))</f>
        <v/>
      </c>
      <c r="C95" s="74" t="str">
        <f aca="false">IF($AI95="","",INDEX('REGISTRE ELEVES'!$D$10:$D$250,$AI95))</f>
        <v/>
      </c>
      <c r="D95" s="73" t="str">
        <f aca="false">IF($AI95="","",INDEX('REGISTRE ELEVES'!$E$10:$E$250,$AI95))</f>
        <v/>
      </c>
      <c r="E95" s="73" t="str">
        <f aca="false">IF($AI95="","",INDEX('REGISTRE ELEVES'!$F$10:$F$250,$AI95))</f>
        <v/>
      </c>
      <c r="F95" s="73" t="str">
        <f aca="false">IF($AI95="","",INDEX('REGISTRE ELEVES'!$AE$10:$AE$250,$AI95))</f>
        <v/>
      </c>
      <c r="G95" s="75"/>
      <c r="H95" s="76"/>
      <c r="I95" s="76"/>
      <c r="J95" s="76"/>
      <c r="K95" s="76"/>
      <c r="L95" s="79" t="str">
        <f aca="false">IF(B95="","",IF($G95="NON",0,IF(COUNT(H95:K95)=0,"",SUM(H95:K95))))</f>
        <v/>
      </c>
      <c r="M95" s="77" t="str">
        <f aca="false">IF(B95="","",IF($G95="NON",0,IF(COUNT(H95:K95)=0,"",IFERROR(ROUND(SUM(H95:K95)/SUMPRODUCT(ISNUMBER(H95:K95)*$H$8:$K$8)*10,2),""))))</f>
        <v/>
      </c>
      <c r="N95" s="75"/>
      <c r="O95" s="76"/>
      <c r="P95" s="76"/>
      <c r="Q95" s="76"/>
      <c r="R95" s="76"/>
      <c r="S95" s="79" t="str">
        <f aca="false">IF(B95="","",IF($N95="NON",0,IF(COUNT(O95:R95)=0,"",SUM(O95:R95))))</f>
        <v/>
      </c>
      <c r="T95" s="77" t="str">
        <f aca="false">IF(B95="","",IF($N95="NON",0,IF(COUNT(O95:R95)=0,"",IFERROR(ROUND(SUM(O95:R95)/SUMPRODUCT(ISNUMBER(O95:R95)*$O$8:$R$8)*10,2),""))))</f>
        <v/>
      </c>
      <c r="U95" s="75"/>
      <c r="V95" s="76"/>
      <c r="W95" s="76"/>
      <c r="X95" s="76"/>
      <c r="Y95" s="76"/>
      <c r="Z95" s="79" t="str">
        <f aca="false">IF(B95="","",IF($U95="NON",0,IF(COUNT(V95:Y95)=0,"",SUM(V95:Y95))))</f>
        <v/>
      </c>
      <c r="AA95" s="77" t="str">
        <f aca="false">IF(B95="","",IF($U95="NON",0,IF(COUNT(V95:Y95)=0,"",IFERROR(ROUND(SUM(V95:Y95)/SUMPRODUCT(ISNUMBER(V95:Y95)*$V$8:$Y$8)*10,2),""))))</f>
        <v/>
      </c>
      <c r="AB95" s="75"/>
      <c r="AC95" s="76"/>
      <c r="AD95" s="76"/>
      <c r="AE95" s="76"/>
      <c r="AF95" s="76"/>
      <c r="AG95" s="79" t="str">
        <f aca="false">IF(B95="","",IF($AB95="NON",0,IF(COUNT(AC95:AF95)=0,"",SUM(AC95:AF95))))</f>
        <v/>
      </c>
      <c r="AH95" s="77" t="str">
        <f aca="false">IF(B95="","",IF($AB95="NON",0,IF(COUNT(AC95:AF95)=0,"",IFERROR(ROUND(SUM(AC95:AF95)/SUMPRODUCT(ISNUMBER(AC95:AF95)*$AC$8:$AF$8)*10,2),""))))</f>
        <v/>
      </c>
      <c r="AI95" s="51" t="str">
        <f aca="false">IFERROR(MATCH("CEM-86",'REGISTRE ELEVES'!$AI$10:$AI$250,0),"")</f>
        <v/>
      </c>
    </row>
    <row r="96" customFormat="false" ht="15" hidden="false" customHeight="false" outlineLevel="0" collapsed="false">
      <c r="A96" s="73" t="str">
        <f aca="false">IF(B96="","",87)</f>
        <v/>
      </c>
      <c r="B96" s="73" t="str">
        <f aca="false">IF($AI96="","",INDEX('REGISTRE ELEVES'!$B$10:$B$250,$AI96))</f>
        <v/>
      </c>
      <c r="C96" s="74" t="str">
        <f aca="false">IF($AI96="","",INDEX('REGISTRE ELEVES'!$D$10:$D$250,$AI96))</f>
        <v/>
      </c>
      <c r="D96" s="73" t="str">
        <f aca="false">IF($AI96="","",INDEX('REGISTRE ELEVES'!$E$10:$E$250,$AI96))</f>
        <v/>
      </c>
      <c r="E96" s="73" t="str">
        <f aca="false">IF($AI96="","",INDEX('REGISTRE ELEVES'!$F$10:$F$250,$AI96))</f>
        <v/>
      </c>
      <c r="F96" s="73" t="str">
        <f aca="false">IF($AI96="","",INDEX('REGISTRE ELEVES'!$AE$10:$AE$250,$AI96))</f>
        <v/>
      </c>
      <c r="G96" s="75"/>
      <c r="H96" s="76"/>
      <c r="I96" s="76"/>
      <c r="J96" s="76"/>
      <c r="K96" s="76"/>
      <c r="L96" s="79" t="str">
        <f aca="false">IF(B96="","",IF($G96="NON",0,IF(COUNT(H96:K96)=0,"",SUM(H96:K96))))</f>
        <v/>
      </c>
      <c r="M96" s="77" t="str">
        <f aca="false">IF(B96="","",IF($G96="NON",0,IF(COUNT(H96:K96)=0,"",IFERROR(ROUND(SUM(H96:K96)/SUMPRODUCT(ISNUMBER(H96:K96)*$H$8:$K$8)*10,2),""))))</f>
        <v/>
      </c>
      <c r="N96" s="75"/>
      <c r="O96" s="76"/>
      <c r="P96" s="76"/>
      <c r="Q96" s="76"/>
      <c r="R96" s="76"/>
      <c r="S96" s="79" t="str">
        <f aca="false">IF(B96="","",IF($N96="NON",0,IF(COUNT(O96:R96)=0,"",SUM(O96:R96))))</f>
        <v/>
      </c>
      <c r="T96" s="77" t="str">
        <f aca="false">IF(B96="","",IF($N96="NON",0,IF(COUNT(O96:R96)=0,"",IFERROR(ROUND(SUM(O96:R96)/SUMPRODUCT(ISNUMBER(O96:R96)*$O$8:$R$8)*10,2),""))))</f>
        <v/>
      </c>
      <c r="U96" s="75"/>
      <c r="V96" s="76"/>
      <c r="W96" s="76"/>
      <c r="X96" s="76"/>
      <c r="Y96" s="76"/>
      <c r="Z96" s="79" t="str">
        <f aca="false">IF(B96="","",IF($U96="NON",0,IF(COUNT(V96:Y96)=0,"",SUM(V96:Y96))))</f>
        <v/>
      </c>
      <c r="AA96" s="77" t="str">
        <f aca="false">IF(B96="","",IF($U96="NON",0,IF(COUNT(V96:Y96)=0,"",IFERROR(ROUND(SUM(V96:Y96)/SUMPRODUCT(ISNUMBER(V96:Y96)*$V$8:$Y$8)*10,2),""))))</f>
        <v/>
      </c>
      <c r="AB96" s="75"/>
      <c r="AC96" s="76"/>
      <c r="AD96" s="76"/>
      <c r="AE96" s="76"/>
      <c r="AF96" s="76"/>
      <c r="AG96" s="79" t="str">
        <f aca="false">IF(B96="","",IF($AB96="NON",0,IF(COUNT(AC96:AF96)=0,"",SUM(AC96:AF96))))</f>
        <v/>
      </c>
      <c r="AH96" s="77" t="str">
        <f aca="false">IF(B96="","",IF($AB96="NON",0,IF(COUNT(AC96:AF96)=0,"",IFERROR(ROUND(SUM(AC96:AF96)/SUMPRODUCT(ISNUMBER(AC96:AF96)*$AC$8:$AF$8)*10,2),""))))</f>
        <v/>
      </c>
      <c r="AI96" s="51" t="str">
        <f aca="false">IFERROR(MATCH("CEM-87",'REGISTRE ELEVES'!$AI$10:$AI$250,0),"")</f>
        <v/>
      </c>
    </row>
    <row r="97" customFormat="false" ht="15" hidden="false" customHeight="false" outlineLevel="0" collapsed="false">
      <c r="A97" s="73" t="str">
        <f aca="false">IF(B97="","",88)</f>
        <v/>
      </c>
      <c r="B97" s="73" t="str">
        <f aca="false">IF($AI97="","",INDEX('REGISTRE ELEVES'!$B$10:$B$250,$AI97))</f>
        <v/>
      </c>
      <c r="C97" s="74" t="str">
        <f aca="false">IF($AI97="","",INDEX('REGISTRE ELEVES'!$D$10:$D$250,$AI97))</f>
        <v/>
      </c>
      <c r="D97" s="73" t="str">
        <f aca="false">IF($AI97="","",INDEX('REGISTRE ELEVES'!$E$10:$E$250,$AI97))</f>
        <v/>
      </c>
      <c r="E97" s="73" t="str">
        <f aca="false">IF($AI97="","",INDEX('REGISTRE ELEVES'!$F$10:$F$250,$AI97))</f>
        <v/>
      </c>
      <c r="F97" s="73" t="str">
        <f aca="false">IF($AI97="","",INDEX('REGISTRE ELEVES'!$AE$10:$AE$250,$AI97))</f>
        <v/>
      </c>
      <c r="G97" s="75"/>
      <c r="H97" s="76"/>
      <c r="I97" s="76"/>
      <c r="J97" s="76"/>
      <c r="K97" s="76"/>
      <c r="L97" s="79" t="str">
        <f aca="false">IF(B97="","",IF($G97="NON",0,IF(COUNT(H97:K97)=0,"",SUM(H97:K97))))</f>
        <v/>
      </c>
      <c r="M97" s="77" t="str">
        <f aca="false">IF(B97="","",IF($G97="NON",0,IF(COUNT(H97:K97)=0,"",IFERROR(ROUND(SUM(H97:K97)/SUMPRODUCT(ISNUMBER(H97:K97)*$H$8:$K$8)*10,2),""))))</f>
        <v/>
      </c>
      <c r="N97" s="75"/>
      <c r="O97" s="76"/>
      <c r="P97" s="76"/>
      <c r="Q97" s="76"/>
      <c r="R97" s="76"/>
      <c r="S97" s="79" t="str">
        <f aca="false">IF(B97="","",IF($N97="NON",0,IF(COUNT(O97:R97)=0,"",SUM(O97:R97))))</f>
        <v/>
      </c>
      <c r="T97" s="77" t="str">
        <f aca="false">IF(B97="","",IF($N97="NON",0,IF(COUNT(O97:R97)=0,"",IFERROR(ROUND(SUM(O97:R97)/SUMPRODUCT(ISNUMBER(O97:R97)*$O$8:$R$8)*10,2),""))))</f>
        <v/>
      </c>
      <c r="U97" s="75"/>
      <c r="V97" s="76"/>
      <c r="W97" s="76"/>
      <c r="X97" s="76"/>
      <c r="Y97" s="76"/>
      <c r="Z97" s="79" t="str">
        <f aca="false">IF(B97="","",IF($U97="NON",0,IF(COUNT(V97:Y97)=0,"",SUM(V97:Y97))))</f>
        <v/>
      </c>
      <c r="AA97" s="77" t="str">
        <f aca="false">IF(B97="","",IF($U97="NON",0,IF(COUNT(V97:Y97)=0,"",IFERROR(ROUND(SUM(V97:Y97)/SUMPRODUCT(ISNUMBER(V97:Y97)*$V$8:$Y$8)*10,2),""))))</f>
        <v/>
      </c>
      <c r="AB97" s="75"/>
      <c r="AC97" s="76"/>
      <c r="AD97" s="76"/>
      <c r="AE97" s="76"/>
      <c r="AF97" s="76"/>
      <c r="AG97" s="79" t="str">
        <f aca="false">IF(B97="","",IF($AB97="NON",0,IF(COUNT(AC97:AF97)=0,"",SUM(AC97:AF97))))</f>
        <v/>
      </c>
      <c r="AH97" s="77" t="str">
        <f aca="false">IF(B97="","",IF($AB97="NON",0,IF(COUNT(AC97:AF97)=0,"",IFERROR(ROUND(SUM(AC97:AF97)/SUMPRODUCT(ISNUMBER(AC97:AF97)*$AC$8:$AF$8)*10,2),""))))</f>
        <v/>
      </c>
      <c r="AI97" s="51" t="str">
        <f aca="false">IFERROR(MATCH("CEM-88",'REGISTRE ELEVES'!$AI$10:$AI$250,0),"")</f>
        <v/>
      </c>
    </row>
    <row r="98" customFormat="false" ht="15" hidden="false" customHeight="false" outlineLevel="0" collapsed="false">
      <c r="A98" s="73" t="str">
        <f aca="false">IF(B98="","",89)</f>
        <v/>
      </c>
      <c r="B98" s="73" t="str">
        <f aca="false">IF($AI98="","",INDEX('REGISTRE ELEVES'!$B$10:$B$250,$AI98))</f>
        <v/>
      </c>
      <c r="C98" s="74" t="str">
        <f aca="false">IF($AI98="","",INDEX('REGISTRE ELEVES'!$D$10:$D$250,$AI98))</f>
        <v/>
      </c>
      <c r="D98" s="73" t="str">
        <f aca="false">IF($AI98="","",INDEX('REGISTRE ELEVES'!$E$10:$E$250,$AI98))</f>
        <v/>
      </c>
      <c r="E98" s="73" t="str">
        <f aca="false">IF($AI98="","",INDEX('REGISTRE ELEVES'!$F$10:$F$250,$AI98))</f>
        <v/>
      </c>
      <c r="F98" s="73" t="str">
        <f aca="false">IF($AI98="","",INDEX('REGISTRE ELEVES'!$AE$10:$AE$250,$AI98))</f>
        <v/>
      </c>
      <c r="G98" s="75"/>
      <c r="H98" s="76"/>
      <c r="I98" s="76"/>
      <c r="J98" s="76"/>
      <c r="K98" s="76"/>
      <c r="L98" s="79" t="str">
        <f aca="false">IF(B98="","",IF($G98="NON",0,IF(COUNT(H98:K98)=0,"",SUM(H98:K98))))</f>
        <v/>
      </c>
      <c r="M98" s="77" t="str">
        <f aca="false">IF(B98="","",IF($G98="NON",0,IF(COUNT(H98:K98)=0,"",IFERROR(ROUND(SUM(H98:K98)/SUMPRODUCT(ISNUMBER(H98:K98)*$H$8:$K$8)*10,2),""))))</f>
        <v/>
      </c>
      <c r="N98" s="75"/>
      <c r="O98" s="76"/>
      <c r="P98" s="76"/>
      <c r="Q98" s="76"/>
      <c r="R98" s="76"/>
      <c r="S98" s="79" t="str">
        <f aca="false">IF(B98="","",IF($N98="NON",0,IF(COUNT(O98:R98)=0,"",SUM(O98:R98))))</f>
        <v/>
      </c>
      <c r="T98" s="77" t="str">
        <f aca="false">IF(B98="","",IF($N98="NON",0,IF(COUNT(O98:R98)=0,"",IFERROR(ROUND(SUM(O98:R98)/SUMPRODUCT(ISNUMBER(O98:R98)*$O$8:$R$8)*10,2),""))))</f>
        <v/>
      </c>
      <c r="U98" s="75"/>
      <c r="V98" s="76"/>
      <c r="W98" s="76"/>
      <c r="X98" s="76"/>
      <c r="Y98" s="76"/>
      <c r="Z98" s="79" t="str">
        <f aca="false">IF(B98="","",IF($U98="NON",0,IF(COUNT(V98:Y98)=0,"",SUM(V98:Y98))))</f>
        <v/>
      </c>
      <c r="AA98" s="77" t="str">
        <f aca="false">IF(B98="","",IF($U98="NON",0,IF(COUNT(V98:Y98)=0,"",IFERROR(ROUND(SUM(V98:Y98)/SUMPRODUCT(ISNUMBER(V98:Y98)*$V$8:$Y$8)*10,2),""))))</f>
        <v/>
      </c>
      <c r="AB98" s="75"/>
      <c r="AC98" s="76"/>
      <c r="AD98" s="76"/>
      <c r="AE98" s="76"/>
      <c r="AF98" s="76"/>
      <c r="AG98" s="79" t="str">
        <f aca="false">IF(B98="","",IF($AB98="NON",0,IF(COUNT(AC98:AF98)=0,"",SUM(AC98:AF98))))</f>
        <v/>
      </c>
      <c r="AH98" s="77" t="str">
        <f aca="false">IF(B98="","",IF($AB98="NON",0,IF(COUNT(AC98:AF98)=0,"",IFERROR(ROUND(SUM(AC98:AF98)/SUMPRODUCT(ISNUMBER(AC98:AF98)*$AC$8:$AF$8)*10,2),""))))</f>
        <v/>
      </c>
      <c r="AI98" s="51" t="str">
        <f aca="false">IFERROR(MATCH("CEM-89",'REGISTRE ELEVES'!$AI$10:$AI$250,0),"")</f>
        <v/>
      </c>
    </row>
    <row r="99" customFormat="false" ht="15" hidden="false" customHeight="false" outlineLevel="0" collapsed="false">
      <c r="A99" s="73" t="str">
        <f aca="false">IF(B99="","",90)</f>
        <v/>
      </c>
      <c r="B99" s="73" t="str">
        <f aca="false">IF($AI99="","",INDEX('REGISTRE ELEVES'!$B$10:$B$250,$AI99))</f>
        <v/>
      </c>
      <c r="C99" s="74" t="str">
        <f aca="false">IF($AI99="","",INDEX('REGISTRE ELEVES'!$D$10:$D$250,$AI99))</f>
        <v/>
      </c>
      <c r="D99" s="73" t="str">
        <f aca="false">IF($AI99="","",INDEX('REGISTRE ELEVES'!$E$10:$E$250,$AI99))</f>
        <v/>
      </c>
      <c r="E99" s="73" t="str">
        <f aca="false">IF($AI99="","",INDEX('REGISTRE ELEVES'!$F$10:$F$250,$AI99))</f>
        <v/>
      </c>
      <c r="F99" s="73" t="str">
        <f aca="false">IF($AI99="","",INDEX('REGISTRE ELEVES'!$AE$10:$AE$250,$AI99))</f>
        <v/>
      </c>
      <c r="G99" s="75"/>
      <c r="H99" s="76"/>
      <c r="I99" s="76"/>
      <c r="J99" s="76"/>
      <c r="K99" s="76"/>
      <c r="L99" s="79" t="str">
        <f aca="false">IF(B99="","",IF($G99="NON",0,IF(COUNT(H99:K99)=0,"",SUM(H99:K99))))</f>
        <v/>
      </c>
      <c r="M99" s="77" t="str">
        <f aca="false">IF(B99="","",IF($G99="NON",0,IF(COUNT(H99:K99)=0,"",IFERROR(ROUND(SUM(H99:K99)/SUMPRODUCT(ISNUMBER(H99:K99)*$H$8:$K$8)*10,2),""))))</f>
        <v/>
      </c>
      <c r="N99" s="75"/>
      <c r="O99" s="76"/>
      <c r="P99" s="76"/>
      <c r="Q99" s="76"/>
      <c r="R99" s="76"/>
      <c r="S99" s="79" t="str">
        <f aca="false">IF(B99="","",IF($N99="NON",0,IF(COUNT(O99:R99)=0,"",SUM(O99:R99))))</f>
        <v/>
      </c>
      <c r="T99" s="77" t="str">
        <f aca="false">IF(B99="","",IF($N99="NON",0,IF(COUNT(O99:R99)=0,"",IFERROR(ROUND(SUM(O99:R99)/SUMPRODUCT(ISNUMBER(O99:R99)*$O$8:$R$8)*10,2),""))))</f>
        <v/>
      </c>
      <c r="U99" s="75"/>
      <c r="V99" s="76"/>
      <c r="W99" s="76"/>
      <c r="X99" s="76"/>
      <c r="Y99" s="76"/>
      <c r="Z99" s="79" t="str">
        <f aca="false">IF(B99="","",IF($U99="NON",0,IF(COUNT(V99:Y99)=0,"",SUM(V99:Y99))))</f>
        <v/>
      </c>
      <c r="AA99" s="77" t="str">
        <f aca="false">IF(B99="","",IF($U99="NON",0,IF(COUNT(V99:Y99)=0,"",IFERROR(ROUND(SUM(V99:Y99)/SUMPRODUCT(ISNUMBER(V99:Y99)*$V$8:$Y$8)*10,2),""))))</f>
        <v/>
      </c>
      <c r="AB99" s="75"/>
      <c r="AC99" s="76"/>
      <c r="AD99" s="76"/>
      <c r="AE99" s="76"/>
      <c r="AF99" s="76"/>
      <c r="AG99" s="79" t="str">
        <f aca="false">IF(B99="","",IF($AB99="NON",0,IF(COUNT(AC99:AF99)=0,"",SUM(AC99:AF99))))</f>
        <v/>
      </c>
      <c r="AH99" s="77" t="str">
        <f aca="false">IF(B99="","",IF($AB99="NON",0,IF(COUNT(AC99:AF99)=0,"",IFERROR(ROUND(SUM(AC99:AF99)/SUMPRODUCT(ISNUMBER(AC99:AF99)*$AC$8:$AF$8)*10,2),""))))</f>
        <v/>
      </c>
      <c r="AI99" s="51" t="str">
        <f aca="false">IFERROR(MATCH("CEM-90",'REGISTRE ELEVES'!$AI$10:$AI$250,0),"")</f>
        <v/>
      </c>
    </row>
    <row r="100" customFormat="false" ht="15" hidden="false" customHeight="false" outlineLevel="0" collapsed="false">
      <c r="A100" s="73" t="str">
        <f aca="false">IF(B100="","",91)</f>
        <v/>
      </c>
      <c r="B100" s="73" t="str">
        <f aca="false">IF($AI100="","",INDEX('REGISTRE ELEVES'!$B$10:$B$250,$AI100))</f>
        <v/>
      </c>
      <c r="C100" s="74" t="str">
        <f aca="false">IF($AI100="","",INDEX('REGISTRE ELEVES'!$D$10:$D$250,$AI100))</f>
        <v/>
      </c>
      <c r="D100" s="73" t="str">
        <f aca="false">IF($AI100="","",INDEX('REGISTRE ELEVES'!$E$10:$E$250,$AI100))</f>
        <v/>
      </c>
      <c r="E100" s="73" t="str">
        <f aca="false">IF($AI100="","",INDEX('REGISTRE ELEVES'!$F$10:$F$250,$AI100))</f>
        <v/>
      </c>
      <c r="F100" s="73" t="str">
        <f aca="false">IF($AI100="","",INDEX('REGISTRE ELEVES'!$AE$10:$AE$250,$AI100))</f>
        <v/>
      </c>
      <c r="G100" s="75"/>
      <c r="H100" s="76"/>
      <c r="I100" s="76"/>
      <c r="J100" s="76"/>
      <c r="K100" s="76"/>
      <c r="L100" s="79" t="str">
        <f aca="false">IF(B100="","",IF($G100="NON",0,IF(COUNT(H100:K100)=0,"",SUM(H100:K100))))</f>
        <v/>
      </c>
      <c r="M100" s="77" t="str">
        <f aca="false">IF(B100="","",IF($G100="NON",0,IF(COUNT(H100:K100)=0,"",IFERROR(ROUND(SUM(H100:K100)/SUMPRODUCT(ISNUMBER(H100:K100)*$H$8:$K$8)*10,2),""))))</f>
        <v/>
      </c>
      <c r="N100" s="75"/>
      <c r="O100" s="76"/>
      <c r="P100" s="76"/>
      <c r="Q100" s="76"/>
      <c r="R100" s="76"/>
      <c r="S100" s="79" t="str">
        <f aca="false">IF(B100="","",IF($N100="NON",0,IF(COUNT(O100:R100)=0,"",SUM(O100:R100))))</f>
        <v/>
      </c>
      <c r="T100" s="77" t="str">
        <f aca="false">IF(B100="","",IF($N100="NON",0,IF(COUNT(O100:R100)=0,"",IFERROR(ROUND(SUM(O100:R100)/SUMPRODUCT(ISNUMBER(O100:R100)*$O$8:$R$8)*10,2),""))))</f>
        <v/>
      </c>
      <c r="U100" s="75"/>
      <c r="V100" s="76"/>
      <c r="W100" s="76"/>
      <c r="X100" s="76"/>
      <c r="Y100" s="76"/>
      <c r="Z100" s="79" t="str">
        <f aca="false">IF(B100="","",IF($U100="NON",0,IF(COUNT(V100:Y100)=0,"",SUM(V100:Y100))))</f>
        <v/>
      </c>
      <c r="AA100" s="77" t="str">
        <f aca="false">IF(B100="","",IF($U100="NON",0,IF(COUNT(V100:Y100)=0,"",IFERROR(ROUND(SUM(V100:Y100)/SUMPRODUCT(ISNUMBER(V100:Y100)*$V$8:$Y$8)*10,2),""))))</f>
        <v/>
      </c>
      <c r="AB100" s="75"/>
      <c r="AC100" s="76"/>
      <c r="AD100" s="76"/>
      <c r="AE100" s="76"/>
      <c r="AF100" s="76"/>
      <c r="AG100" s="79" t="str">
        <f aca="false">IF(B100="","",IF($AB100="NON",0,IF(COUNT(AC100:AF100)=0,"",SUM(AC100:AF100))))</f>
        <v/>
      </c>
      <c r="AH100" s="77" t="str">
        <f aca="false">IF(B100="","",IF($AB100="NON",0,IF(COUNT(AC100:AF100)=0,"",IFERROR(ROUND(SUM(AC100:AF100)/SUMPRODUCT(ISNUMBER(AC100:AF100)*$AC$8:$AF$8)*10,2),""))))</f>
        <v/>
      </c>
      <c r="AI100" s="51" t="str">
        <f aca="false">IFERROR(MATCH("CEM-91",'REGISTRE ELEVES'!$AI$10:$AI$250,0),"")</f>
        <v/>
      </c>
    </row>
    <row r="101" customFormat="false" ht="15" hidden="false" customHeight="false" outlineLevel="0" collapsed="false">
      <c r="A101" s="73" t="str">
        <f aca="false">IF(B101="","",92)</f>
        <v/>
      </c>
      <c r="B101" s="73" t="str">
        <f aca="false">IF($AI101="","",INDEX('REGISTRE ELEVES'!$B$10:$B$250,$AI101))</f>
        <v/>
      </c>
      <c r="C101" s="74" t="str">
        <f aca="false">IF($AI101="","",INDEX('REGISTRE ELEVES'!$D$10:$D$250,$AI101))</f>
        <v/>
      </c>
      <c r="D101" s="73" t="str">
        <f aca="false">IF($AI101="","",INDEX('REGISTRE ELEVES'!$E$10:$E$250,$AI101))</f>
        <v/>
      </c>
      <c r="E101" s="73" t="str">
        <f aca="false">IF($AI101="","",INDEX('REGISTRE ELEVES'!$F$10:$F$250,$AI101))</f>
        <v/>
      </c>
      <c r="F101" s="73" t="str">
        <f aca="false">IF($AI101="","",INDEX('REGISTRE ELEVES'!$AE$10:$AE$250,$AI101))</f>
        <v/>
      </c>
      <c r="G101" s="75"/>
      <c r="H101" s="76"/>
      <c r="I101" s="76"/>
      <c r="J101" s="76"/>
      <c r="K101" s="76"/>
      <c r="L101" s="79" t="str">
        <f aca="false">IF(B101="","",IF($G101="NON",0,IF(COUNT(H101:K101)=0,"",SUM(H101:K101))))</f>
        <v/>
      </c>
      <c r="M101" s="77" t="str">
        <f aca="false">IF(B101="","",IF($G101="NON",0,IF(COUNT(H101:K101)=0,"",IFERROR(ROUND(SUM(H101:K101)/SUMPRODUCT(ISNUMBER(H101:K101)*$H$8:$K$8)*10,2),""))))</f>
        <v/>
      </c>
      <c r="N101" s="75"/>
      <c r="O101" s="76"/>
      <c r="P101" s="76"/>
      <c r="Q101" s="76"/>
      <c r="R101" s="76"/>
      <c r="S101" s="79" t="str">
        <f aca="false">IF(B101="","",IF($N101="NON",0,IF(COUNT(O101:R101)=0,"",SUM(O101:R101))))</f>
        <v/>
      </c>
      <c r="T101" s="77" t="str">
        <f aca="false">IF(B101="","",IF($N101="NON",0,IF(COUNT(O101:R101)=0,"",IFERROR(ROUND(SUM(O101:R101)/SUMPRODUCT(ISNUMBER(O101:R101)*$O$8:$R$8)*10,2),""))))</f>
        <v/>
      </c>
      <c r="U101" s="75"/>
      <c r="V101" s="76"/>
      <c r="W101" s="76"/>
      <c r="X101" s="76"/>
      <c r="Y101" s="76"/>
      <c r="Z101" s="79" t="str">
        <f aca="false">IF(B101="","",IF($U101="NON",0,IF(COUNT(V101:Y101)=0,"",SUM(V101:Y101))))</f>
        <v/>
      </c>
      <c r="AA101" s="77" t="str">
        <f aca="false">IF(B101="","",IF($U101="NON",0,IF(COUNT(V101:Y101)=0,"",IFERROR(ROUND(SUM(V101:Y101)/SUMPRODUCT(ISNUMBER(V101:Y101)*$V$8:$Y$8)*10,2),""))))</f>
        <v/>
      </c>
      <c r="AB101" s="75"/>
      <c r="AC101" s="76"/>
      <c r="AD101" s="76"/>
      <c r="AE101" s="76"/>
      <c r="AF101" s="76"/>
      <c r="AG101" s="79" t="str">
        <f aca="false">IF(B101="","",IF($AB101="NON",0,IF(COUNT(AC101:AF101)=0,"",SUM(AC101:AF101))))</f>
        <v/>
      </c>
      <c r="AH101" s="77" t="str">
        <f aca="false">IF(B101="","",IF($AB101="NON",0,IF(COUNT(AC101:AF101)=0,"",IFERROR(ROUND(SUM(AC101:AF101)/SUMPRODUCT(ISNUMBER(AC101:AF101)*$AC$8:$AF$8)*10,2),""))))</f>
        <v/>
      </c>
      <c r="AI101" s="51" t="str">
        <f aca="false">IFERROR(MATCH("CEM-92",'REGISTRE ELEVES'!$AI$10:$AI$250,0),"")</f>
        <v/>
      </c>
    </row>
    <row r="102" customFormat="false" ht="15" hidden="false" customHeight="false" outlineLevel="0" collapsed="false">
      <c r="A102" s="73" t="str">
        <f aca="false">IF(B102="","",93)</f>
        <v/>
      </c>
      <c r="B102" s="73" t="str">
        <f aca="false">IF($AI102="","",INDEX('REGISTRE ELEVES'!$B$10:$B$250,$AI102))</f>
        <v/>
      </c>
      <c r="C102" s="74" t="str">
        <f aca="false">IF($AI102="","",INDEX('REGISTRE ELEVES'!$D$10:$D$250,$AI102))</f>
        <v/>
      </c>
      <c r="D102" s="73" t="str">
        <f aca="false">IF($AI102="","",INDEX('REGISTRE ELEVES'!$E$10:$E$250,$AI102))</f>
        <v/>
      </c>
      <c r="E102" s="73" t="str">
        <f aca="false">IF($AI102="","",INDEX('REGISTRE ELEVES'!$F$10:$F$250,$AI102))</f>
        <v/>
      </c>
      <c r="F102" s="73" t="str">
        <f aca="false">IF($AI102="","",INDEX('REGISTRE ELEVES'!$AE$10:$AE$250,$AI102))</f>
        <v/>
      </c>
      <c r="G102" s="75"/>
      <c r="H102" s="76"/>
      <c r="I102" s="76"/>
      <c r="J102" s="76"/>
      <c r="K102" s="76"/>
      <c r="L102" s="79" t="str">
        <f aca="false">IF(B102="","",IF($G102="NON",0,IF(COUNT(H102:K102)=0,"",SUM(H102:K102))))</f>
        <v/>
      </c>
      <c r="M102" s="77" t="str">
        <f aca="false">IF(B102="","",IF($G102="NON",0,IF(COUNT(H102:K102)=0,"",IFERROR(ROUND(SUM(H102:K102)/SUMPRODUCT(ISNUMBER(H102:K102)*$H$8:$K$8)*10,2),""))))</f>
        <v/>
      </c>
      <c r="N102" s="75"/>
      <c r="O102" s="76"/>
      <c r="P102" s="76"/>
      <c r="Q102" s="76"/>
      <c r="R102" s="76"/>
      <c r="S102" s="79" t="str">
        <f aca="false">IF(B102="","",IF($N102="NON",0,IF(COUNT(O102:R102)=0,"",SUM(O102:R102))))</f>
        <v/>
      </c>
      <c r="T102" s="77" t="str">
        <f aca="false">IF(B102="","",IF($N102="NON",0,IF(COUNT(O102:R102)=0,"",IFERROR(ROUND(SUM(O102:R102)/SUMPRODUCT(ISNUMBER(O102:R102)*$O$8:$R$8)*10,2),""))))</f>
        <v/>
      </c>
      <c r="U102" s="75"/>
      <c r="V102" s="76"/>
      <c r="W102" s="76"/>
      <c r="X102" s="76"/>
      <c r="Y102" s="76"/>
      <c r="Z102" s="79" t="str">
        <f aca="false">IF(B102="","",IF($U102="NON",0,IF(COUNT(V102:Y102)=0,"",SUM(V102:Y102))))</f>
        <v/>
      </c>
      <c r="AA102" s="77" t="str">
        <f aca="false">IF(B102="","",IF($U102="NON",0,IF(COUNT(V102:Y102)=0,"",IFERROR(ROUND(SUM(V102:Y102)/SUMPRODUCT(ISNUMBER(V102:Y102)*$V$8:$Y$8)*10,2),""))))</f>
        <v/>
      </c>
      <c r="AB102" s="75"/>
      <c r="AC102" s="76"/>
      <c r="AD102" s="76"/>
      <c r="AE102" s="76"/>
      <c r="AF102" s="76"/>
      <c r="AG102" s="79" t="str">
        <f aca="false">IF(B102="","",IF($AB102="NON",0,IF(COUNT(AC102:AF102)=0,"",SUM(AC102:AF102))))</f>
        <v/>
      </c>
      <c r="AH102" s="77" t="str">
        <f aca="false">IF(B102="","",IF($AB102="NON",0,IF(COUNT(AC102:AF102)=0,"",IFERROR(ROUND(SUM(AC102:AF102)/SUMPRODUCT(ISNUMBER(AC102:AF102)*$AC$8:$AF$8)*10,2),""))))</f>
        <v/>
      </c>
      <c r="AI102" s="51" t="str">
        <f aca="false">IFERROR(MATCH("CEM-93",'REGISTRE ELEVES'!$AI$10:$AI$250,0),"")</f>
        <v/>
      </c>
    </row>
    <row r="103" customFormat="false" ht="15" hidden="false" customHeight="false" outlineLevel="0" collapsed="false">
      <c r="A103" s="73" t="str">
        <f aca="false">IF(B103="","",94)</f>
        <v/>
      </c>
      <c r="B103" s="73" t="str">
        <f aca="false">IF($AI103="","",INDEX('REGISTRE ELEVES'!$B$10:$B$250,$AI103))</f>
        <v/>
      </c>
      <c r="C103" s="74" t="str">
        <f aca="false">IF($AI103="","",INDEX('REGISTRE ELEVES'!$D$10:$D$250,$AI103))</f>
        <v/>
      </c>
      <c r="D103" s="73" t="str">
        <f aca="false">IF($AI103="","",INDEX('REGISTRE ELEVES'!$E$10:$E$250,$AI103))</f>
        <v/>
      </c>
      <c r="E103" s="73" t="str">
        <f aca="false">IF($AI103="","",INDEX('REGISTRE ELEVES'!$F$10:$F$250,$AI103))</f>
        <v/>
      </c>
      <c r="F103" s="73" t="str">
        <f aca="false">IF($AI103="","",INDEX('REGISTRE ELEVES'!$AE$10:$AE$250,$AI103))</f>
        <v/>
      </c>
      <c r="G103" s="75"/>
      <c r="H103" s="76"/>
      <c r="I103" s="76"/>
      <c r="J103" s="76"/>
      <c r="K103" s="76"/>
      <c r="L103" s="79" t="str">
        <f aca="false">IF(B103="","",IF($G103="NON",0,IF(COUNT(H103:K103)=0,"",SUM(H103:K103))))</f>
        <v/>
      </c>
      <c r="M103" s="77" t="str">
        <f aca="false">IF(B103="","",IF($G103="NON",0,IF(COUNT(H103:K103)=0,"",IFERROR(ROUND(SUM(H103:K103)/SUMPRODUCT(ISNUMBER(H103:K103)*$H$8:$K$8)*10,2),""))))</f>
        <v/>
      </c>
      <c r="N103" s="75"/>
      <c r="O103" s="76"/>
      <c r="P103" s="76"/>
      <c r="Q103" s="76"/>
      <c r="R103" s="76"/>
      <c r="S103" s="79" t="str">
        <f aca="false">IF(B103="","",IF($N103="NON",0,IF(COUNT(O103:R103)=0,"",SUM(O103:R103))))</f>
        <v/>
      </c>
      <c r="T103" s="77" t="str">
        <f aca="false">IF(B103="","",IF($N103="NON",0,IF(COUNT(O103:R103)=0,"",IFERROR(ROUND(SUM(O103:R103)/SUMPRODUCT(ISNUMBER(O103:R103)*$O$8:$R$8)*10,2),""))))</f>
        <v/>
      </c>
      <c r="U103" s="75"/>
      <c r="V103" s="76"/>
      <c r="W103" s="76"/>
      <c r="X103" s="76"/>
      <c r="Y103" s="76"/>
      <c r="Z103" s="79" t="str">
        <f aca="false">IF(B103="","",IF($U103="NON",0,IF(COUNT(V103:Y103)=0,"",SUM(V103:Y103))))</f>
        <v/>
      </c>
      <c r="AA103" s="77" t="str">
        <f aca="false">IF(B103="","",IF($U103="NON",0,IF(COUNT(V103:Y103)=0,"",IFERROR(ROUND(SUM(V103:Y103)/SUMPRODUCT(ISNUMBER(V103:Y103)*$V$8:$Y$8)*10,2),""))))</f>
        <v/>
      </c>
      <c r="AB103" s="75"/>
      <c r="AC103" s="76"/>
      <c r="AD103" s="76"/>
      <c r="AE103" s="76"/>
      <c r="AF103" s="76"/>
      <c r="AG103" s="79" t="str">
        <f aca="false">IF(B103="","",IF($AB103="NON",0,IF(COUNT(AC103:AF103)=0,"",SUM(AC103:AF103))))</f>
        <v/>
      </c>
      <c r="AH103" s="77" t="str">
        <f aca="false">IF(B103="","",IF($AB103="NON",0,IF(COUNT(AC103:AF103)=0,"",IFERROR(ROUND(SUM(AC103:AF103)/SUMPRODUCT(ISNUMBER(AC103:AF103)*$AC$8:$AF$8)*10,2),""))))</f>
        <v/>
      </c>
      <c r="AI103" s="51" t="str">
        <f aca="false">IFERROR(MATCH("CEM-94",'REGISTRE ELEVES'!$AI$10:$AI$250,0),"")</f>
        <v/>
      </c>
    </row>
    <row r="104" customFormat="false" ht="15" hidden="false" customHeight="false" outlineLevel="0" collapsed="false">
      <c r="A104" s="73" t="str">
        <f aca="false">IF(B104="","",95)</f>
        <v/>
      </c>
      <c r="B104" s="73" t="str">
        <f aca="false">IF($AI104="","",INDEX('REGISTRE ELEVES'!$B$10:$B$250,$AI104))</f>
        <v/>
      </c>
      <c r="C104" s="74" t="str">
        <f aca="false">IF($AI104="","",INDEX('REGISTRE ELEVES'!$D$10:$D$250,$AI104))</f>
        <v/>
      </c>
      <c r="D104" s="73" t="str">
        <f aca="false">IF($AI104="","",INDEX('REGISTRE ELEVES'!$E$10:$E$250,$AI104))</f>
        <v/>
      </c>
      <c r="E104" s="73" t="str">
        <f aca="false">IF($AI104="","",INDEX('REGISTRE ELEVES'!$F$10:$F$250,$AI104))</f>
        <v/>
      </c>
      <c r="F104" s="73" t="str">
        <f aca="false">IF($AI104="","",INDEX('REGISTRE ELEVES'!$AE$10:$AE$250,$AI104))</f>
        <v/>
      </c>
      <c r="G104" s="75"/>
      <c r="H104" s="76"/>
      <c r="I104" s="76"/>
      <c r="J104" s="76"/>
      <c r="K104" s="76"/>
      <c r="L104" s="79" t="str">
        <f aca="false">IF(B104="","",IF($G104="NON",0,IF(COUNT(H104:K104)=0,"",SUM(H104:K104))))</f>
        <v/>
      </c>
      <c r="M104" s="77" t="str">
        <f aca="false">IF(B104="","",IF($G104="NON",0,IF(COUNT(H104:K104)=0,"",IFERROR(ROUND(SUM(H104:K104)/SUMPRODUCT(ISNUMBER(H104:K104)*$H$8:$K$8)*10,2),""))))</f>
        <v/>
      </c>
      <c r="N104" s="75"/>
      <c r="O104" s="76"/>
      <c r="P104" s="76"/>
      <c r="Q104" s="76"/>
      <c r="R104" s="76"/>
      <c r="S104" s="79" t="str">
        <f aca="false">IF(B104="","",IF($N104="NON",0,IF(COUNT(O104:R104)=0,"",SUM(O104:R104))))</f>
        <v/>
      </c>
      <c r="T104" s="77" t="str">
        <f aca="false">IF(B104="","",IF($N104="NON",0,IF(COUNT(O104:R104)=0,"",IFERROR(ROUND(SUM(O104:R104)/SUMPRODUCT(ISNUMBER(O104:R104)*$O$8:$R$8)*10,2),""))))</f>
        <v/>
      </c>
      <c r="U104" s="75"/>
      <c r="V104" s="76"/>
      <c r="W104" s="76"/>
      <c r="X104" s="76"/>
      <c r="Y104" s="76"/>
      <c r="Z104" s="79" t="str">
        <f aca="false">IF(B104="","",IF($U104="NON",0,IF(COUNT(V104:Y104)=0,"",SUM(V104:Y104))))</f>
        <v/>
      </c>
      <c r="AA104" s="77" t="str">
        <f aca="false">IF(B104="","",IF($U104="NON",0,IF(COUNT(V104:Y104)=0,"",IFERROR(ROUND(SUM(V104:Y104)/SUMPRODUCT(ISNUMBER(V104:Y104)*$V$8:$Y$8)*10,2),""))))</f>
        <v/>
      </c>
      <c r="AB104" s="75"/>
      <c r="AC104" s="76"/>
      <c r="AD104" s="76"/>
      <c r="AE104" s="76"/>
      <c r="AF104" s="76"/>
      <c r="AG104" s="79" t="str">
        <f aca="false">IF(B104="","",IF($AB104="NON",0,IF(COUNT(AC104:AF104)=0,"",SUM(AC104:AF104))))</f>
        <v/>
      </c>
      <c r="AH104" s="77" t="str">
        <f aca="false">IF(B104="","",IF($AB104="NON",0,IF(COUNT(AC104:AF104)=0,"",IFERROR(ROUND(SUM(AC104:AF104)/SUMPRODUCT(ISNUMBER(AC104:AF104)*$AC$8:$AF$8)*10,2),""))))</f>
        <v/>
      </c>
      <c r="AI104" s="51" t="str">
        <f aca="false">IFERROR(MATCH("CEM-95",'REGISTRE ELEVES'!$AI$10:$AI$250,0),"")</f>
        <v/>
      </c>
    </row>
    <row r="105" customFormat="false" ht="15" hidden="false" customHeight="false" outlineLevel="0" collapsed="false">
      <c r="A105" s="73" t="str">
        <f aca="false">IF(B105="","",96)</f>
        <v/>
      </c>
      <c r="B105" s="73" t="str">
        <f aca="false">IF($AI105="","",INDEX('REGISTRE ELEVES'!$B$10:$B$250,$AI105))</f>
        <v/>
      </c>
      <c r="C105" s="74" t="str">
        <f aca="false">IF($AI105="","",INDEX('REGISTRE ELEVES'!$D$10:$D$250,$AI105))</f>
        <v/>
      </c>
      <c r="D105" s="73" t="str">
        <f aca="false">IF($AI105="","",INDEX('REGISTRE ELEVES'!$E$10:$E$250,$AI105))</f>
        <v/>
      </c>
      <c r="E105" s="73" t="str">
        <f aca="false">IF($AI105="","",INDEX('REGISTRE ELEVES'!$F$10:$F$250,$AI105))</f>
        <v/>
      </c>
      <c r="F105" s="73" t="str">
        <f aca="false">IF($AI105="","",INDEX('REGISTRE ELEVES'!$AE$10:$AE$250,$AI105))</f>
        <v/>
      </c>
      <c r="G105" s="75"/>
      <c r="H105" s="76"/>
      <c r="I105" s="76"/>
      <c r="J105" s="76"/>
      <c r="K105" s="76"/>
      <c r="L105" s="79" t="str">
        <f aca="false">IF(B105="","",IF($G105="NON",0,IF(COUNT(H105:K105)=0,"",SUM(H105:K105))))</f>
        <v/>
      </c>
      <c r="M105" s="77" t="str">
        <f aca="false">IF(B105="","",IF($G105="NON",0,IF(COUNT(H105:K105)=0,"",IFERROR(ROUND(SUM(H105:K105)/SUMPRODUCT(ISNUMBER(H105:K105)*$H$8:$K$8)*10,2),""))))</f>
        <v/>
      </c>
      <c r="N105" s="75"/>
      <c r="O105" s="76"/>
      <c r="P105" s="76"/>
      <c r="Q105" s="76"/>
      <c r="R105" s="76"/>
      <c r="S105" s="79" t="str">
        <f aca="false">IF(B105="","",IF($N105="NON",0,IF(COUNT(O105:R105)=0,"",SUM(O105:R105))))</f>
        <v/>
      </c>
      <c r="T105" s="77" t="str">
        <f aca="false">IF(B105="","",IF($N105="NON",0,IF(COUNT(O105:R105)=0,"",IFERROR(ROUND(SUM(O105:R105)/SUMPRODUCT(ISNUMBER(O105:R105)*$O$8:$R$8)*10,2),""))))</f>
        <v/>
      </c>
      <c r="U105" s="75"/>
      <c r="V105" s="76"/>
      <c r="W105" s="76"/>
      <c r="X105" s="76"/>
      <c r="Y105" s="76"/>
      <c r="Z105" s="79" t="str">
        <f aca="false">IF(B105="","",IF($U105="NON",0,IF(COUNT(V105:Y105)=0,"",SUM(V105:Y105))))</f>
        <v/>
      </c>
      <c r="AA105" s="77" t="str">
        <f aca="false">IF(B105="","",IF($U105="NON",0,IF(COUNT(V105:Y105)=0,"",IFERROR(ROUND(SUM(V105:Y105)/SUMPRODUCT(ISNUMBER(V105:Y105)*$V$8:$Y$8)*10,2),""))))</f>
        <v/>
      </c>
      <c r="AB105" s="75"/>
      <c r="AC105" s="76"/>
      <c r="AD105" s="76"/>
      <c r="AE105" s="76"/>
      <c r="AF105" s="76"/>
      <c r="AG105" s="79" t="str">
        <f aca="false">IF(B105="","",IF($AB105="NON",0,IF(COUNT(AC105:AF105)=0,"",SUM(AC105:AF105))))</f>
        <v/>
      </c>
      <c r="AH105" s="77" t="str">
        <f aca="false">IF(B105="","",IF($AB105="NON",0,IF(COUNT(AC105:AF105)=0,"",IFERROR(ROUND(SUM(AC105:AF105)/SUMPRODUCT(ISNUMBER(AC105:AF105)*$AC$8:$AF$8)*10,2),""))))</f>
        <v/>
      </c>
      <c r="AI105" s="51" t="str">
        <f aca="false">IFERROR(MATCH("CEM-96",'REGISTRE ELEVES'!$AI$10:$AI$250,0),"")</f>
        <v/>
      </c>
    </row>
    <row r="106" customFormat="false" ht="15" hidden="false" customHeight="false" outlineLevel="0" collapsed="false">
      <c r="A106" s="73" t="str">
        <f aca="false">IF(B106="","",97)</f>
        <v/>
      </c>
      <c r="B106" s="73" t="str">
        <f aca="false">IF($AI106="","",INDEX('REGISTRE ELEVES'!$B$10:$B$250,$AI106))</f>
        <v/>
      </c>
      <c r="C106" s="74" t="str">
        <f aca="false">IF($AI106="","",INDEX('REGISTRE ELEVES'!$D$10:$D$250,$AI106))</f>
        <v/>
      </c>
      <c r="D106" s="73" t="str">
        <f aca="false">IF($AI106="","",INDEX('REGISTRE ELEVES'!$E$10:$E$250,$AI106))</f>
        <v/>
      </c>
      <c r="E106" s="73" t="str">
        <f aca="false">IF($AI106="","",INDEX('REGISTRE ELEVES'!$F$10:$F$250,$AI106))</f>
        <v/>
      </c>
      <c r="F106" s="73" t="str">
        <f aca="false">IF($AI106="","",INDEX('REGISTRE ELEVES'!$AE$10:$AE$250,$AI106))</f>
        <v/>
      </c>
      <c r="G106" s="75"/>
      <c r="H106" s="76"/>
      <c r="I106" s="76"/>
      <c r="J106" s="76"/>
      <c r="K106" s="76"/>
      <c r="L106" s="79" t="str">
        <f aca="false">IF(B106="","",IF($G106="NON",0,IF(COUNT(H106:K106)=0,"",SUM(H106:K106))))</f>
        <v/>
      </c>
      <c r="M106" s="77" t="str">
        <f aca="false">IF(B106="","",IF($G106="NON",0,IF(COUNT(H106:K106)=0,"",IFERROR(ROUND(SUM(H106:K106)/SUMPRODUCT(ISNUMBER(H106:K106)*$H$8:$K$8)*10,2),""))))</f>
        <v/>
      </c>
      <c r="N106" s="75"/>
      <c r="O106" s="76"/>
      <c r="P106" s="76"/>
      <c r="Q106" s="76"/>
      <c r="R106" s="76"/>
      <c r="S106" s="79" t="str">
        <f aca="false">IF(B106="","",IF($N106="NON",0,IF(COUNT(O106:R106)=0,"",SUM(O106:R106))))</f>
        <v/>
      </c>
      <c r="T106" s="77" t="str">
        <f aca="false">IF(B106="","",IF($N106="NON",0,IF(COUNT(O106:R106)=0,"",IFERROR(ROUND(SUM(O106:R106)/SUMPRODUCT(ISNUMBER(O106:R106)*$O$8:$R$8)*10,2),""))))</f>
        <v/>
      </c>
      <c r="U106" s="75"/>
      <c r="V106" s="76"/>
      <c r="W106" s="76"/>
      <c r="X106" s="76"/>
      <c r="Y106" s="76"/>
      <c r="Z106" s="79" t="str">
        <f aca="false">IF(B106="","",IF($U106="NON",0,IF(COUNT(V106:Y106)=0,"",SUM(V106:Y106))))</f>
        <v/>
      </c>
      <c r="AA106" s="77" t="str">
        <f aca="false">IF(B106="","",IF($U106="NON",0,IF(COUNT(V106:Y106)=0,"",IFERROR(ROUND(SUM(V106:Y106)/SUMPRODUCT(ISNUMBER(V106:Y106)*$V$8:$Y$8)*10,2),""))))</f>
        <v/>
      </c>
      <c r="AB106" s="75"/>
      <c r="AC106" s="76"/>
      <c r="AD106" s="76"/>
      <c r="AE106" s="76"/>
      <c r="AF106" s="76"/>
      <c r="AG106" s="79" t="str">
        <f aca="false">IF(B106="","",IF($AB106="NON",0,IF(COUNT(AC106:AF106)=0,"",SUM(AC106:AF106))))</f>
        <v/>
      </c>
      <c r="AH106" s="77" t="str">
        <f aca="false">IF(B106="","",IF($AB106="NON",0,IF(COUNT(AC106:AF106)=0,"",IFERROR(ROUND(SUM(AC106:AF106)/SUMPRODUCT(ISNUMBER(AC106:AF106)*$AC$8:$AF$8)*10,2),""))))</f>
        <v/>
      </c>
      <c r="AI106" s="51" t="str">
        <f aca="false">IFERROR(MATCH("CEM-97",'REGISTRE ELEVES'!$AI$10:$AI$250,0),"")</f>
        <v/>
      </c>
    </row>
    <row r="107" customFormat="false" ht="15" hidden="false" customHeight="false" outlineLevel="0" collapsed="false">
      <c r="A107" s="73" t="str">
        <f aca="false">IF(B107="","",98)</f>
        <v/>
      </c>
      <c r="B107" s="73" t="str">
        <f aca="false">IF($AI107="","",INDEX('REGISTRE ELEVES'!$B$10:$B$250,$AI107))</f>
        <v/>
      </c>
      <c r="C107" s="74" t="str">
        <f aca="false">IF($AI107="","",INDEX('REGISTRE ELEVES'!$D$10:$D$250,$AI107))</f>
        <v/>
      </c>
      <c r="D107" s="73" t="str">
        <f aca="false">IF($AI107="","",INDEX('REGISTRE ELEVES'!$E$10:$E$250,$AI107))</f>
        <v/>
      </c>
      <c r="E107" s="73" t="str">
        <f aca="false">IF($AI107="","",INDEX('REGISTRE ELEVES'!$F$10:$F$250,$AI107))</f>
        <v/>
      </c>
      <c r="F107" s="73" t="str">
        <f aca="false">IF($AI107="","",INDEX('REGISTRE ELEVES'!$AE$10:$AE$250,$AI107))</f>
        <v/>
      </c>
      <c r="G107" s="75"/>
      <c r="H107" s="76"/>
      <c r="I107" s="76"/>
      <c r="J107" s="76"/>
      <c r="K107" s="76"/>
      <c r="L107" s="79" t="str">
        <f aca="false">IF(B107="","",IF($G107="NON",0,IF(COUNT(H107:K107)=0,"",SUM(H107:K107))))</f>
        <v/>
      </c>
      <c r="M107" s="77" t="str">
        <f aca="false">IF(B107="","",IF($G107="NON",0,IF(COUNT(H107:K107)=0,"",IFERROR(ROUND(SUM(H107:K107)/SUMPRODUCT(ISNUMBER(H107:K107)*$H$8:$K$8)*10,2),""))))</f>
        <v/>
      </c>
      <c r="N107" s="75"/>
      <c r="O107" s="76"/>
      <c r="P107" s="76"/>
      <c r="Q107" s="76"/>
      <c r="R107" s="76"/>
      <c r="S107" s="79" t="str">
        <f aca="false">IF(B107="","",IF($N107="NON",0,IF(COUNT(O107:R107)=0,"",SUM(O107:R107))))</f>
        <v/>
      </c>
      <c r="T107" s="77" t="str">
        <f aca="false">IF(B107="","",IF($N107="NON",0,IF(COUNT(O107:R107)=0,"",IFERROR(ROUND(SUM(O107:R107)/SUMPRODUCT(ISNUMBER(O107:R107)*$O$8:$R$8)*10,2),""))))</f>
        <v/>
      </c>
      <c r="U107" s="75"/>
      <c r="V107" s="76"/>
      <c r="W107" s="76"/>
      <c r="X107" s="76"/>
      <c r="Y107" s="76"/>
      <c r="Z107" s="79" t="str">
        <f aca="false">IF(B107="","",IF($U107="NON",0,IF(COUNT(V107:Y107)=0,"",SUM(V107:Y107))))</f>
        <v/>
      </c>
      <c r="AA107" s="77" t="str">
        <f aca="false">IF(B107="","",IF($U107="NON",0,IF(COUNT(V107:Y107)=0,"",IFERROR(ROUND(SUM(V107:Y107)/SUMPRODUCT(ISNUMBER(V107:Y107)*$V$8:$Y$8)*10,2),""))))</f>
        <v/>
      </c>
      <c r="AB107" s="75"/>
      <c r="AC107" s="76"/>
      <c r="AD107" s="76"/>
      <c r="AE107" s="76"/>
      <c r="AF107" s="76"/>
      <c r="AG107" s="79" t="str">
        <f aca="false">IF(B107="","",IF($AB107="NON",0,IF(COUNT(AC107:AF107)=0,"",SUM(AC107:AF107))))</f>
        <v/>
      </c>
      <c r="AH107" s="77" t="str">
        <f aca="false">IF(B107="","",IF($AB107="NON",0,IF(COUNT(AC107:AF107)=0,"",IFERROR(ROUND(SUM(AC107:AF107)/SUMPRODUCT(ISNUMBER(AC107:AF107)*$AC$8:$AF$8)*10,2),""))))</f>
        <v/>
      </c>
      <c r="AI107" s="51" t="str">
        <f aca="false">IFERROR(MATCH("CEM-98",'REGISTRE ELEVES'!$AI$10:$AI$250,0),"")</f>
        <v/>
      </c>
    </row>
    <row r="108" customFormat="false" ht="15" hidden="false" customHeight="false" outlineLevel="0" collapsed="false">
      <c r="A108" s="73" t="str">
        <f aca="false">IF(B108="","",99)</f>
        <v/>
      </c>
      <c r="B108" s="73" t="str">
        <f aca="false">IF($AI108="","",INDEX('REGISTRE ELEVES'!$B$10:$B$250,$AI108))</f>
        <v/>
      </c>
      <c r="C108" s="74" t="str">
        <f aca="false">IF($AI108="","",INDEX('REGISTRE ELEVES'!$D$10:$D$250,$AI108))</f>
        <v/>
      </c>
      <c r="D108" s="73" t="str">
        <f aca="false">IF($AI108="","",INDEX('REGISTRE ELEVES'!$E$10:$E$250,$AI108))</f>
        <v/>
      </c>
      <c r="E108" s="73" t="str">
        <f aca="false">IF($AI108="","",INDEX('REGISTRE ELEVES'!$F$10:$F$250,$AI108))</f>
        <v/>
      </c>
      <c r="F108" s="73" t="str">
        <f aca="false">IF($AI108="","",INDEX('REGISTRE ELEVES'!$AE$10:$AE$250,$AI108))</f>
        <v/>
      </c>
      <c r="G108" s="75"/>
      <c r="H108" s="76"/>
      <c r="I108" s="76"/>
      <c r="J108" s="76"/>
      <c r="K108" s="76"/>
      <c r="L108" s="79" t="str">
        <f aca="false">IF(B108="","",IF($G108="NON",0,IF(COUNT(H108:K108)=0,"",SUM(H108:K108))))</f>
        <v/>
      </c>
      <c r="M108" s="77" t="str">
        <f aca="false">IF(B108="","",IF($G108="NON",0,IF(COUNT(H108:K108)=0,"",IFERROR(ROUND(SUM(H108:K108)/SUMPRODUCT(ISNUMBER(H108:K108)*$H$8:$K$8)*10,2),""))))</f>
        <v/>
      </c>
      <c r="N108" s="75"/>
      <c r="O108" s="76"/>
      <c r="P108" s="76"/>
      <c r="Q108" s="76"/>
      <c r="R108" s="76"/>
      <c r="S108" s="79" t="str">
        <f aca="false">IF(B108="","",IF($N108="NON",0,IF(COUNT(O108:R108)=0,"",SUM(O108:R108))))</f>
        <v/>
      </c>
      <c r="T108" s="77" t="str">
        <f aca="false">IF(B108="","",IF($N108="NON",0,IF(COUNT(O108:R108)=0,"",IFERROR(ROUND(SUM(O108:R108)/SUMPRODUCT(ISNUMBER(O108:R108)*$O$8:$R$8)*10,2),""))))</f>
        <v/>
      </c>
      <c r="U108" s="75"/>
      <c r="V108" s="76"/>
      <c r="W108" s="76"/>
      <c r="X108" s="76"/>
      <c r="Y108" s="76"/>
      <c r="Z108" s="79" t="str">
        <f aca="false">IF(B108="","",IF($U108="NON",0,IF(COUNT(V108:Y108)=0,"",SUM(V108:Y108))))</f>
        <v/>
      </c>
      <c r="AA108" s="77" t="str">
        <f aca="false">IF(B108="","",IF($U108="NON",0,IF(COUNT(V108:Y108)=0,"",IFERROR(ROUND(SUM(V108:Y108)/SUMPRODUCT(ISNUMBER(V108:Y108)*$V$8:$Y$8)*10,2),""))))</f>
        <v/>
      </c>
      <c r="AB108" s="75"/>
      <c r="AC108" s="76"/>
      <c r="AD108" s="76"/>
      <c r="AE108" s="76"/>
      <c r="AF108" s="76"/>
      <c r="AG108" s="79" t="str">
        <f aca="false">IF(B108="","",IF($AB108="NON",0,IF(COUNT(AC108:AF108)=0,"",SUM(AC108:AF108))))</f>
        <v/>
      </c>
      <c r="AH108" s="77" t="str">
        <f aca="false">IF(B108="","",IF($AB108="NON",0,IF(COUNT(AC108:AF108)=0,"",IFERROR(ROUND(SUM(AC108:AF108)/SUMPRODUCT(ISNUMBER(AC108:AF108)*$AC$8:$AF$8)*10,2),""))))</f>
        <v/>
      </c>
      <c r="AI108" s="51" t="str">
        <f aca="false">IFERROR(MATCH("CEM-99",'REGISTRE ELEVES'!$AI$10:$AI$250,0),"")</f>
        <v/>
      </c>
    </row>
    <row r="109" customFormat="false" ht="15" hidden="false" customHeight="false" outlineLevel="0" collapsed="false">
      <c r="A109" s="73" t="str">
        <f aca="false">IF(B109="","",100)</f>
        <v/>
      </c>
      <c r="B109" s="73" t="str">
        <f aca="false">IF($AI109="","",INDEX('REGISTRE ELEVES'!$B$10:$B$250,$AI109))</f>
        <v/>
      </c>
      <c r="C109" s="74" t="str">
        <f aca="false">IF($AI109="","",INDEX('REGISTRE ELEVES'!$D$10:$D$250,$AI109))</f>
        <v/>
      </c>
      <c r="D109" s="73" t="str">
        <f aca="false">IF($AI109="","",INDEX('REGISTRE ELEVES'!$E$10:$E$250,$AI109))</f>
        <v/>
      </c>
      <c r="E109" s="73" t="str">
        <f aca="false">IF($AI109="","",INDEX('REGISTRE ELEVES'!$F$10:$F$250,$AI109))</f>
        <v/>
      </c>
      <c r="F109" s="73" t="str">
        <f aca="false">IF($AI109="","",INDEX('REGISTRE ELEVES'!$AE$10:$AE$250,$AI109))</f>
        <v/>
      </c>
      <c r="G109" s="75"/>
      <c r="H109" s="76"/>
      <c r="I109" s="76"/>
      <c r="J109" s="76"/>
      <c r="K109" s="76"/>
      <c r="L109" s="79" t="str">
        <f aca="false">IF(B109="","",IF($G109="NON",0,IF(COUNT(H109:K109)=0,"",SUM(H109:K109))))</f>
        <v/>
      </c>
      <c r="M109" s="77" t="str">
        <f aca="false">IF(B109="","",IF($G109="NON",0,IF(COUNT(H109:K109)=0,"",IFERROR(ROUND(SUM(H109:K109)/SUMPRODUCT(ISNUMBER(H109:K109)*$H$8:$K$8)*10,2),""))))</f>
        <v/>
      </c>
      <c r="N109" s="75"/>
      <c r="O109" s="76"/>
      <c r="P109" s="76"/>
      <c r="Q109" s="76"/>
      <c r="R109" s="76"/>
      <c r="S109" s="79" t="str">
        <f aca="false">IF(B109="","",IF($N109="NON",0,IF(COUNT(O109:R109)=0,"",SUM(O109:R109))))</f>
        <v/>
      </c>
      <c r="T109" s="77" t="str">
        <f aca="false">IF(B109="","",IF($N109="NON",0,IF(COUNT(O109:R109)=0,"",IFERROR(ROUND(SUM(O109:R109)/SUMPRODUCT(ISNUMBER(O109:R109)*$O$8:$R$8)*10,2),""))))</f>
        <v/>
      </c>
      <c r="U109" s="75"/>
      <c r="V109" s="76"/>
      <c r="W109" s="76"/>
      <c r="X109" s="76"/>
      <c r="Y109" s="76"/>
      <c r="Z109" s="79" t="str">
        <f aca="false">IF(B109="","",IF($U109="NON",0,IF(COUNT(V109:Y109)=0,"",SUM(V109:Y109))))</f>
        <v/>
      </c>
      <c r="AA109" s="77" t="str">
        <f aca="false">IF(B109="","",IF($U109="NON",0,IF(COUNT(V109:Y109)=0,"",IFERROR(ROUND(SUM(V109:Y109)/SUMPRODUCT(ISNUMBER(V109:Y109)*$V$8:$Y$8)*10,2),""))))</f>
        <v/>
      </c>
      <c r="AB109" s="75"/>
      <c r="AC109" s="76"/>
      <c r="AD109" s="76"/>
      <c r="AE109" s="76"/>
      <c r="AF109" s="76"/>
      <c r="AG109" s="79" t="str">
        <f aca="false">IF(B109="","",IF($AB109="NON",0,IF(COUNT(AC109:AF109)=0,"",SUM(AC109:AF109))))</f>
        <v/>
      </c>
      <c r="AH109" s="77" t="str">
        <f aca="false">IF(B109="","",IF($AB109="NON",0,IF(COUNT(AC109:AF109)=0,"",IFERROR(ROUND(SUM(AC109:AF109)/SUMPRODUCT(ISNUMBER(AC109:AF109)*$AC$8:$AF$8)*10,2),""))))</f>
        <v/>
      </c>
      <c r="AI109" s="51" t="str">
        <f aca="false">IFERROR(MATCH("CEM-100",'REGISTRE ELEVES'!$AI$10:$AI$250,0),"")</f>
        <v/>
      </c>
    </row>
    <row r="110" customFormat="false" ht="15" hidden="false" customHeight="false" outlineLevel="0" collapsed="false">
      <c r="A110" s="73" t="str">
        <f aca="false">IF(B110="","",101)</f>
        <v/>
      </c>
      <c r="B110" s="73" t="str">
        <f aca="false">IF($AI110="","",INDEX('REGISTRE ELEVES'!$B$10:$B$250,$AI110))</f>
        <v/>
      </c>
      <c r="C110" s="74" t="str">
        <f aca="false">IF($AI110="","",INDEX('REGISTRE ELEVES'!$D$10:$D$250,$AI110))</f>
        <v/>
      </c>
      <c r="D110" s="73" t="str">
        <f aca="false">IF($AI110="","",INDEX('REGISTRE ELEVES'!$E$10:$E$250,$AI110))</f>
        <v/>
      </c>
      <c r="E110" s="73" t="str">
        <f aca="false">IF($AI110="","",INDEX('REGISTRE ELEVES'!$F$10:$F$250,$AI110))</f>
        <v/>
      </c>
      <c r="F110" s="73" t="str">
        <f aca="false">IF($AI110="","",INDEX('REGISTRE ELEVES'!$AE$10:$AE$250,$AI110))</f>
        <v/>
      </c>
      <c r="G110" s="75"/>
      <c r="H110" s="76"/>
      <c r="I110" s="76"/>
      <c r="J110" s="76"/>
      <c r="K110" s="76"/>
      <c r="L110" s="79" t="str">
        <f aca="false">IF(B110="","",IF($G110="NON",0,IF(COUNT(H110:K110)=0,"",SUM(H110:K110))))</f>
        <v/>
      </c>
      <c r="M110" s="77" t="str">
        <f aca="false">IF(B110="","",IF($G110="NON",0,IF(COUNT(H110:K110)=0,"",IFERROR(ROUND(SUM(H110:K110)/SUMPRODUCT(ISNUMBER(H110:K110)*$H$8:$K$8)*10,2),""))))</f>
        <v/>
      </c>
      <c r="N110" s="75"/>
      <c r="O110" s="76"/>
      <c r="P110" s="76"/>
      <c r="Q110" s="76"/>
      <c r="R110" s="76"/>
      <c r="S110" s="79" t="str">
        <f aca="false">IF(B110="","",IF($N110="NON",0,IF(COUNT(O110:R110)=0,"",SUM(O110:R110))))</f>
        <v/>
      </c>
      <c r="T110" s="77" t="str">
        <f aca="false">IF(B110="","",IF($N110="NON",0,IF(COUNT(O110:R110)=0,"",IFERROR(ROUND(SUM(O110:R110)/SUMPRODUCT(ISNUMBER(O110:R110)*$O$8:$R$8)*10,2),""))))</f>
        <v/>
      </c>
      <c r="U110" s="75"/>
      <c r="V110" s="76"/>
      <c r="W110" s="76"/>
      <c r="X110" s="76"/>
      <c r="Y110" s="76"/>
      <c r="Z110" s="79" t="str">
        <f aca="false">IF(B110="","",IF($U110="NON",0,IF(COUNT(V110:Y110)=0,"",SUM(V110:Y110))))</f>
        <v/>
      </c>
      <c r="AA110" s="77" t="str">
        <f aca="false">IF(B110="","",IF($U110="NON",0,IF(COUNT(V110:Y110)=0,"",IFERROR(ROUND(SUM(V110:Y110)/SUMPRODUCT(ISNUMBER(V110:Y110)*$V$8:$Y$8)*10,2),""))))</f>
        <v/>
      </c>
      <c r="AB110" s="75"/>
      <c r="AC110" s="76"/>
      <c r="AD110" s="76"/>
      <c r="AE110" s="76"/>
      <c r="AF110" s="76"/>
      <c r="AG110" s="79" t="str">
        <f aca="false">IF(B110="","",IF($AB110="NON",0,IF(COUNT(AC110:AF110)=0,"",SUM(AC110:AF110))))</f>
        <v/>
      </c>
      <c r="AH110" s="77" t="str">
        <f aca="false">IF(B110="","",IF($AB110="NON",0,IF(COUNT(AC110:AF110)=0,"",IFERROR(ROUND(SUM(AC110:AF110)/SUMPRODUCT(ISNUMBER(AC110:AF110)*$AC$8:$AF$8)*10,2),""))))</f>
        <v/>
      </c>
      <c r="AI110" s="51" t="str">
        <f aca="false">IFERROR(MATCH("CEM-101",'REGISTRE ELEVES'!$AI$10:$AI$250,0),"")</f>
        <v/>
      </c>
    </row>
    <row r="111" customFormat="false" ht="15" hidden="false" customHeight="false" outlineLevel="0" collapsed="false">
      <c r="A111" s="73" t="str">
        <f aca="false">IF(B111="","",102)</f>
        <v/>
      </c>
      <c r="B111" s="73" t="str">
        <f aca="false">IF($AI111="","",INDEX('REGISTRE ELEVES'!$B$10:$B$250,$AI111))</f>
        <v/>
      </c>
      <c r="C111" s="74" t="str">
        <f aca="false">IF($AI111="","",INDEX('REGISTRE ELEVES'!$D$10:$D$250,$AI111))</f>
        <v/>
      </c>
      <c r="D111" s="73" t="str">
        <f aca="false">IF($AI111="","",INDEX('REGISTRE ELEVES'!$E$10:$E$250,$AI111))</f>
        <v/>
      </c>
      <c r="E111" s="73" t="str">
        <f aca="false">IF($AI111="","",INDEX('REGISTRE ELEVES'!$F$10:$F$250,$AI111))</f>
        <v/>
      </c>
      <c r="F111" s="73" t="str">
        <f aca="false">IF($AI111="","",INDEX('REGISTRE ELEVES'!$AE$10:$AE$250,$AI111))</f>
        <v/>
      </c>
      <c r="G111" s="75"/>
      <c r="H111" s="76"/>
      <c r="I111" s="76"/>
      <c r="J111" s="76"/>
      <c r="K111" s="76"/>
      <c r="L111" s="79" t="str">
        <f aca="false">IF(B111="","",IF($G111="NON",0,IF(COUNT(H111:K111)=0,"",SUM(H111:K111))))</f>
        <v/>
      </c>
      <c r="M111" s="77" t="str">
        <f aca="false">IF(B111="","",IF($G111="NON",0,IF(COUNT(H111:K111)=0,"",IFERROR(ROUND(SUM(H111:K111)/SUMPRODUCT(ISNUMBER(H111:K111)*$H$8:$K$8)*10,2),""))))</f>
        <v/>
      </c>
      <c r="N111" s="75"/>
      <c r="O111" s="76"/>
      <c r="P111" s="76"/>
      <c r="Q111" s="76"/>
      <c r="R111" s="76"/>
      <c r="S111" s="79" t="str">
        <f aca="false">IF(B111="","",IF($N111="NON",0,IF(COUNT(O111:R111)=0,"",SUM(O111:R111))))</f>
        <v/>
      </c>
      <c r="T111" s="77" t="str">
        <f aca="false">IF(B111="","",IF($N111="NON",0,IF(COUNT(O111:R111)=0,"",IFERROR(ROUND(SUM(O111:R111)/SUMPRODUCT(ISNUMBER(O111:R111)*$O$8:$R$8)*10,2),""))))</f>
        <v/>
      </c>
      <c r="U111" s="75"/>
      <c r="V111" s="76"/>
      <c r="W111" s="76"/>
      <c r="X111" s="76"/>
      <c r="Y111" s="76"/>
      <c r="Z111" s="79" t="str">
        <f aca="false">IF(B111="","",IF($U111="NON",0,IF(COUNT(V111:Y111)=0,"",SUM(V111:Y111))))</f>
        <v/>
      </c>
      <c r="AA111" s="77" t="str">
        <f aca="false">IF(B111="","",IF($U111="NON",0,IF(COUNT(V111:Y111)=0,"",IFERROR(ROUND(SUM(V111:Y111)/SUMPRODUCT(ISNUMBER(V111:Y111)*$V$8:$Y$8)*10,2),""))))</f>
        <v/>
      </c>
      <c r="AB111" s="75"/>
      <c r="AC111" s="76"/>
      <c r="AD111" s="76"/>
      <c r="AE111" s="76"/>
      <c r="AF111" s="76"/>
      <c r="AG111" s="79" t="str">
        <f aca="false">IF(B111="","",IF($AB111="NON",0,IF(COUNT(AC111:AF111)=0,"",SUM(AC111:AF111))))</f>
        <v/>
      </c>
      <c r="AH111" s="77" t="str">
        <f aca="false">IF(B111="","",IF($AB111="NON",0,IF(COUNT(AC111:AF111)=0,"",IFERROR(ROUND(SUM(AC111:AF111)/SUMPRODUCT(ISNUMBER(AC111:AF111)*$AC$8:$AF$8)*10,2),""))))</f>
        <v/>
      </c>
      <c r="AI111" s="51" t="str">
        <f aca="false">IFERROR(MATCH("CEM-102",'REGISTRE ELEVES'!$AI$10:$AI$250,0),"")</f>
        <v/>
      </c>
    </row>
    <row r="112" customFormat="false" ht="15" hidden="false" customHeight="false" outlineLevel="0" collapsed="false">
      <c r="A112" s="73" t="str">
        <f aca="false">IF(B112="","",103)</f>
        <v/>
      </c>
      <c r="B112" s="73" t="str">
        <f aca="false">IF($AI112="","",INDEX('REGISTRE ELEVES'!$B$10:$B$250,$AI112))</f>
        <v/>
      </c>
      <c r="C112" s="74" t="str">
        <f aca="false">IF($AI112="","",INDEX('REGISTRE ELEVES'!$D$10:$D$250,$AI112))</f>
        <v/>
      </c>
      <c r="D112" s="73" t="str">
        <f aca="false">IF($AI112="","",INDEX('REGISTRE ELEVES'!$E$10:$E$250,$AI112))</f>
        <v/>
      </c>
      <c r="E112" s="73" t="str">
        <f aca="false">IF($AI112="","",INDEX('REGISTRE ELEVES'!$F$10:$F$250,$AI112))</f>
        <v/>
      </c>
      <c r="F112" s="73" t="str">
        <f aca="false">IF($AI112="","",INDEX('REGISTRE ELEVES'!$AE$10:$AE$250,$AI112))</f>
        <v/>
      </c>
      <c r="G112" s="75"/>
      <c r="H112" s="76"/>
      <c r="I112" s="76"/>
      <c r="J112" s="76"/>
      <c r="K112" s="76"/>
      <c r="L112" s="79" t="str">
        <f aca="false">IF(B112="","",IF($G112="NON",0,IF(COUNT(H112:K112)=0,"",SUM(H112:K112))))</f>
        <v/>
      </c>
      <c r="M112" s="77" t="str">
        <f aca="false">IF(B112="","",IF($G112="NON",0,IF(COUNT(H112:K112)=0,"",IFERROR(ROUND(SUM(H112:K112)/SUMPRODUCT(ISNUMBER(H112:K112)*$H$8:$K$8)*10,2),""))))</f>
        <v/>
      </c>
      <c r="N112" s="75"/>
      <c r="O112" s="76"/>
      <c r="P112" s="76"/>
      <c r="Q112" s="76"/>
      <c r="R112" s="76"/>
      <c r="S112" s="79" t="str">
        <f aca="false">IF(B112="","",IF($N112="NON",0,IF(COUNT(O112:R112)=0,"",SUM(O112:R112))))</f>
        <v/>
      </c>
      <c r="T112" s="77" t="str">
        <f aca="false">IF(B112="","",IF($N112="NON",0,IF(COUNT(O112:R112)=0,"",IFERROR(ROUND(SUM(O112:R112)/SUMPRODUCT(ISNUMBER(O112:R112)*$O$8:$R$8)*10,2),""))))</f>
        <v/>
      </c>
      <c r="U112" s="75"/>
      <c r="V112" s="76"/>
      <c r="W112" s="76"/>
      <c r="X112" s="76"/>
      <c r="Y112" s="76"/>
      <c r="Z112" s="79" t="str">
        <f aca="false">IF(B112="","",IF($U112="NON",0,IF(COUNT(V112:Y112)=0,"",SUM(V112:Y112))))</f>
        <v/>
      </c>
      <c r="AA112" s="77" t="str">
        <f aca="false">IF(B112="","",IF($U112="NON",0,IF(COUNT(V112:Y112)=0,"",IFERROR(ROUND(SUM(V112:Y112)/SUMPRODUCT(ISNUMBER(V112:Y112)*$V$8:$Y$8)*10,2),""))))</f>
        <v/>
      </c>
      <c r="AB112" s="75"/>
      <c r="AC112" s="76"/>
      <c r="AD112" s="76"/>
      <c r="AE112" s="76"/>
      <c r="AF112" s="76"/>
      <c r="AG112" s="79" t="str">
        <f aca="false">IF(B112="","",IF($AB112="NON",0,IF(COUNT(AC112:AF112)=0,"",SUM(AC112:AF112))))</f>
        <v/>
      </c>
      <c r="AH112" s="77" t="str">
        <f aca="false">IF(B112="","",IF($AB112="NON",0,IF(COUNT(AC112:AF112)=0,"",IFERROR(ROUND(SUM(AC112:AF112)/SUMPRODUCT(ISNUMBER(AC112:AF112)*$AC$8:$AF$8)*10,2),""))))</f>
        <v/>
      </c>
      <c r="AI112" s="51" t="str">
        <f aca="false">IFERROR(MATCH("CEM-103",'REGISTRE ELEVES'!$AI$10:$AI$250,0),"")</f>
        <v/>
      </c>
    </row>
    <row r="113" customFormat="false" ht="15" hidden="false" customHeight="false" outlineLevel="0" collapsed="false">
      <c r="A113" s="73" t="str">
        <f aca="false">IF(B113="","",104)</f>
        <v/>
      </c>
      <c r="B113" s="73" t="str">
        <f aca="false">IF($AI113="","",INDEX('REGISTRE ELEVES'!$B$10:$B$250,$AI113))</f>
        <v/>
      </c>
      <c r="C113" s="74" t="str">
        <f aca="false">IF($AI113="","",INDEX('REGISTRE ELEVES'!$D$10:$D$250,$AI113))</f>
        <v/>
      </c>
      <c r="D113" s="73" t="str">
        <f aca="false">IF($AI113="","",INDEX('REGISTRE ELEVES'!$E$10:$E$250,$AI113))</f>
        <v/>
      </c>
      <c r="E113" s="73" t="str">
        <f aca="false">IF($AI113="","",INDEX('REGISTRE ELEVES'!$F$10:$F$250,$AI113))</f>
        <v/>
      </c>
      <c r="F113" s="73" t="str">
        <f aca="false">IF($AI113="","",INDEX('REGISTRE ELEVES'!$AE$10:$AE$250,$AI113))</f>
        <v/>
      </c>
      <c r="G113" s="75"/>
      <c r="H113" s="76"/>
      <c r="I113" s="76"/>
      <c r="J113" s="76"/>
      <c r="K113" s="76"/>
      <c r="L113" s="79" t="str">
        <f aca="false">IF(B113="","",IF($G113="NON",0,IF(COUNT(H113:K113)=0,"",SUM(H113:K113))))</f>
        <v/>
      </c>
      <c r="M113" s="77" t="str">
        <f aca="false">IF(B113="","",IF($G113="NON",0,IF(COUNT(H113:K113)=0,"",IFERROR(ROUND(SUM(H113:K113)/SUMPRODUCT(ISNUMBER(H113:K113)*$H$8:$K$8)*10,2),""))))</f>
        <v/>
      </c>
      <c r="N113" s="75"/>
      <c r="O113" s="76"/>
      <c r="P113" s="76"/>
      <c r="Q113" s="76"/>
      <c r="R113" s="76"/>
      <c r="S113" s="79" t="str">
        <f aca="false">IF(B113="","",IF($N113="NON",0,IF(COUNT(O113:R113)=0,"",SUM(O113:R113))))</f>
        <v/>
      </c>
      <c r="T113" s="77" t="str">
        <f aca="false">IF(B113="","",IF($N113="NON",0,IF(COUNT(O113:R113)=0,"",IFERROR(ROUND(SUM(O113:R113)/SUMPRODUCT(ISNUMBER(O113:R113)*$O$8:$R$8)*10,2),""))))</f>
        <v/>
      </c>
      <c r="U113" s="75"/>
      <c r="V113" s="76"/>
      <c r="W113" s="76"/>
      <c r="X113" s="76"/>
      <c r="Y113" s="76"/>
      <c r="Z113" s="79" t="str">
        <f aca="false">IF(B113="","",IF($U113="NON",0,IF(COUNT(V113:Y113)=0,"",SUM(V113:Y113))))</f>
        <v/>
      </c>
      <c r="AA113" s="77" t="str">
        <f aca="false">IF(B113="","",IF($U113="NON",0,IF(COUNT(V113:Y113)=0,"",IFERROR(ROUND(SUM(V113:Y113)/SUMPRODUCT(ISNUMBER(V113:Y113)*$V$8:$Y$8)*10,2),""))))</f>
        <v/>
      </c>
      <c r="AB113" s="75"/>
      <c r="AC113" s="76"/>
      <c r="AD113" s="76"/>
      <c r="AE113" s="76"/>
      <c r="AF113" s="76"/>
      <c r="AG113" s="79" t="str">
        <f aca="false">IF(B113="","",IF($AB113="NON",0,IF(COUNT(AC113:AF113)=0,"",SUM(AC113:AF113))))</f>
        <v/>
      </c>
      <c r="AH113" s="77" t="str">
        <f aca="false">IF(B113="","",IF($AB113="NON",0,IF(COUNT(AC113:AF113)=0,"",IFERROR(ROUND(SUM(AC113:AF113)/SUMPRODUCT(ISNUMBER(AC113:AF113)*$AC$8:$AF$8)*10,2),""))))</f>
        <v/>
      </c>
      <c r="AI113" s="51" t="str">
        <f aca="false">IFERROR(MATCH("CEM-104",'REGISTRE ELEVES'!$AI$10:$AI$250,0),"")</f>
        <v/>
      </c>
    </row>
    <row r="114" customFormat="false" ht="15" hidden="false" customHeight="false" outlineLevel="0" collapsed="false">
      <c r="A114" s="73" t="str">
        <f aca="false">IF(B114="","",105)</f>
        <v/>
      </c>
      <c r="B114" s="73" t="str">
        <f aca="false">IF($AI114="","",INDEX('REGISTRE ELEVES'!$B$10:$B$250,$AI114))</f>
        <v/>
      </c>
      <c r="C114" s="74" t="str">
        <f aca="false">IF($AI114="","",INDEX('REGISTRE ELEVES'!$D$10:$D$250,$AI114))</f>
        <v/>
      </c>
      <c r="D114" s="73" t="str">
        <f aca="false">IF($AI114="","",INDEX('REGISTRE ELEVES'!$E$10:$E$250,$AI114))</f>
        <v/>
      </c>
      <c r="E114" s="73" t="str">
        <f aca="false">IF($AI114="","",INDEX('REGISTRE ELEVES'!$F$10:$F$250,$AI114))</f>
        <v/>
      </c>
      <c r="F114" s="73" t="str">
        <f aca="false">IF($AI114="","",INDEX('REGISTRE ELEVES'!$AE$10:$AE$250,$AI114))</f>
        <v/>
      </c>
      <c r="G114" s="75"/>
      <c r="H114" s="76"/>
      <c r="I114" s="76"/>
      <c r="J114" s="76"/>
      <c r="K114" s="76"/>
      <c r="L114" s="79" t="str">
        <f aca="false">IF(B114="","",IF($G114="NON",0,IF(COUNT(H114:K114)=0,"",SUM(H114:K114))))</f>
        <v/>
      </c>
      <c r="M114" s="77" t="str">
        <f aca="false">IF(B114="","",IF($G114="NON",0,IF(COUNT(H114:K114)=0,"",IFERROR(ROUND(SUM(H114:K114)/SUMPRODUCT(ISNUMBER(H114:K114)*$H$8:$K$8)*10,2),""))))</f>
        <v/>
      </c>
      <c r="N114" s="75"/>
      <c r="O114" s="76"/>
      <c r="P114" s="76"/>
      <c r="Q114" s="76"/>
      <c r="R114" s="76"/>
      <c r="S114" s="79" t="str">
        <f aca="false">IF(B114="","",IF($N114="NON",0,IF(COUNT(O114:R114)=0,"",SUM(O114:R114))))</f>
        <v/>
      </c>
      <c r="T114" s="77" t="str">
        <f aca="false">IF(B114="","",IF($N114="NON",0,IF(COUNT(O114:R114)=0,"",IFERROR(ROUND(SUM(O114:R114)/SUMPRODUCT(ISNUMBER(O114:R114)*$O$8:$R$8)*10,2),""))))</f>
        <v/>
      </c>
      <c r="U114" s="75"/>
      <c r="V114" s="76"/>
      <c r="W114" s="76"/>
      <c r="X114" s="76"/>
      <c r="Y114" s="76"/>
      <c r="Z114" s="79" t="str">
        <f aca="false">IF(B114="","",IF($U114="NON",0,IF(COUNT(V114:Y114)=0,"",SUM(V114:Y114))))</f>
        <v/>
      </c>
      <c r="AA114" s="77" t="str">
        <f aca="false">IF(B114="","",IF($U114="NON",0,IF(COUNT(V114:Y114)=0,"",IFERROR(ROUND(SUM(V114:Y114)/SUMPRODUCT(ISNUMBER(V114:Y114)*$V$8:$Y$8)*10,2),""))))</f>
        <v/>
      </c>
      <c r="AB114" s="75"/>
      <c r="AC114" s="76"/>
      <c r="AD114" s="76"/>
      <c r="AE114" s="76"/>
      <c r="AF114" s="76"/>
      <c r="AG114" s="79" t="str">
        <f aca="false">IF(B114="","",IF($AB114="NON",0,IF(COUNT(AC114:AF114)=0,"",SUM(AC114:AF114))))</f>
        <v/>
      </c>
      <c r="AH114" s="77" t="str">
        <f aca="false">IF(B114="","",IF($AB114="NON",0,IF(COUNT(AC114:AF114)=0,"",IFERROR(ROUND(SUM(AC114:AF114)/SUMPRODUCT(ISNUMBER(AC114:AF114)*$AC$8:$AF$8)*10,2),""))))</f>
        <v/>
      </c>
      <c r="AI114" s="51" t="str">
        <f aca="false">IFERROR(MATCH("CEM-105",'REGISTRE ELEVES'!$AI$10:$AI$250,0),"")</f>
        <v/>
      </c>
    </row>
    <row r="115" customFormat="false" ht="15" hidden="false" customHeight="false" outlineLevel="0" collapsed="false">
      <c r="A115" s="73" t="str">
        <f aca="false">IF(B115="","",106)</f>
        <v/>
      </c>
      <c r="B115" s="73" t="str">
        <f aca="false">IF($AI115="","",INDEX('REGISTRE ELEVES'!$B$10:$B$250,$AI115))</f>
        <v/>
      </c>
      <c r="C115" s="74" t="str">
        <f aca="false">IF($AI115="","",INDEX('REGISTRE ELEVES'!$D$10:$D$250,$AI115))</f>
        <v/>
      </c>
      <c r="D115" s="73" t="str">
        <f aca="false">IF($AI115="","",INDEX('REGISTRE ELEVES'!$E$10:$E$250,$AI115))</f>
        <v/>
      </c>
      <c r="E115" s="73" t="str">
        <f aca="false">IF($AI115="","",INDEX('REGISTRE ELEVES'!$F$10:$F$250,$AI115))</f>
        <v/>
      </c>
      <c r="F115" s="73" t="str">
        <f aca="false">IF($AI115="","",INDEX('REGISTRE ELEVES'!$AE$10:$AE$250,$AI115))</f>
        <v/>
      </c>
      <c r="G115" s="75"/>
      <c r="H115" s="76"/>
      <c r="I115" s="76"/>
      <c r="J115" s="76"/>
      <c r="K115" s="76"/>
      <c r="L115" s="79" t="str">
        <f aca="false">IF(B115="","",IF($G115="NON",0,IF(COUNT(H115:K115)=0,"",SUM(H115:K115))))</f>
        <v/>
      </c>
      <c r="M115" s="77" t="str">
        <f aca="false">IF(B115="","",IF($G115="NON",0,IF(COUNT(H115:K115)=0,"",IFERROR(ROUND(SUM(H115:K115)/SUMPRODUCT(ISNUMBER(H115:K115)*$H$8:$K$8)*10,2),""))))</f>
        <v/>
      </c>
      <c r="N115" s="75"/>
      <c r="O115" s="76"/>
      <c r="P115" s="76"/>
      <c r="Q115" s="76"/>
      <c r="R115" s="76"/>
      <c r="S115" s="79" t="str">
        <f aca="false">IF(B115="","",IF($N115="NON",0,IF(COUNT(O115:R115)=0,"",SUM(O115:R115))))</f>
        <v/>
      </c>
      <c r="T115" s="77" t="str">
        <f aca="false">IF(B115="","",IF($N115="NON",0,IF(COUNT(O115:R115)=0,"",IFERROR(ROUND(SUM(O115:R115)/SUMPRODUCT(ISNUMBER(O115:R115)*$O$8:$R$8)*10,2),""))))</f>
        <v/>
      </c>
      <c r="U115" s="75"/>
      <c r="V115" s="76"/>
      <c r="W115" s="76"/>
      <c r="X115" s="76"/>
      <c r="Y115" s="76"/>
      <c r="Z115" s="79" t="str">
        <f aca="false">IF(B115="","",IF($U115="NON",0,IF(COUNT(V115:Y115)=0,"",SUM(V115:Y115))))</f>
        <v/>
      </c>
      <c r="AA115" s="77" t="str">
        <f aca="false">IF(B115="","",IF($U115="NON",0,IF(COUNT(V115:Y115)=0,"",IFERROR(ROUND(SUM(V115:Y115)/SUMPRODUCT(ISNUMBER(V115:Y115)*$V$8:$Y$8)*10,2),""))))</f>
        <v/>
      </c>
      <c r="AB115" s="75"/>
      <c r="AC115" s="76"/>
      <c r="AD115" s="76"/>
      <c r="AE115" s="76"/>
      <c r="AF115" s="76"/>
      <c r="AG115" s="79" t="str">
        <f aca="false">IF(B115="","",IF($AB115="NON",0,IF(COUNT(AC115:AF115)=0,"",SUM(AC115:AF115))))</f>
        <v/>
      </c>
      <c r="AH115" s="77" t="str">
        <f aca="false">IF(B115="","",IF($AB115="NON",0,IF(COUNT(AC115:AF115)=0,"",IFERROR(ROUND(SUM(AC115:AF115)/SUMPRODUCT(ISNUMBER(AC115:AF115)*$AC$8:$AF$8)*10,2),""))))</f>
        <v/>
      </c>
      <c r="AI115" s="51" t="str">
        <f aca="false">IFERROR(MATCH("CEM-106",'REGISTRE ELEVES'!$AI$10:$AI$250,0),"")</f>
        <v/>
      </c>
    </row>
    <row r="116" customFormat="false" ht="15" hidden="false" customHeight="false" outlineLevel="0" collapsed="false">
      <c r="A116" s="73" t="str">
        <f aca="false">IF(B116="","",107)</f>
        <v/>
      </c>
      <c r="B116" s="73" t="str">
        <f aca="false">IF($AI116="","",INDEX('REGISTRE ELEVES'!$B$10:$B$250,$AI116))</f>
        <v/>
      </c>
      <c r="C116" s="74" t="str">
        <f aca="false">IF($AI116="","",INDEX('REGISTRE ELEVES'!$D$10:$D$250,$AI116))</f>
        <v/>
      </c>
      <c r="D116" s="73" t="str">
        <f aca="false">IF($AI116="","",INDEX('REGISTRE ELEVES'!$E$10:$E$250,$AI116))</f>
        <v/>
      </c>
      <c r="E116" s="73" t="str">
        <f aca="false">IF($AI116="","",INDEX('REGISTRE ELEVES'!$F$10:$F$250,$AI116))</f>
        <v/>
      </c>
      <c r="F116" s="73" t="str">
        <f aca="false">IF($AI116="","",INDEX('REGISTRE ELEVES'!$AE$10:$AE$250,$AI116))</f>
        <v/>
      </c>
      <c r="G116" s="75"/>
      <c r="H116" s="76"/>
      <c r="I116" s="76"/>
      <c r="J116" s="76"/>
      <c r="K116" s="76"/>
      <c r="L116" s="79" t="str">
        <f aca="false">IF(B116="","",IF($G116="NON",0,IF(COUNT(H116:K116)=0,"",SUM(H116:K116))))</f>
        <v/>
      </c>
      <c r="M116" s="77" t="str">
        <f aca="false">IF(B116="","",IF($G116="NON",0,IF(COUNT(H116:K116)=0,"",IFERROR(ROUND(SUM(H116:K116)/SUMPRODUCT(ISNUMBER(H116:K116)*$H$8:$K$8)*10,2),""))))</f>
        <v/>
      </c>
      <c r="N116" s="75"/>
      <c r="O116" s="76"/>
      <c r="P116" s="76"/>
      <c r="Q116" s="76"/>
      <c r="R116" s="76"/>
      <c r="S116" s="79" t="str">
        <f aca="false">IF(B116="","",IF($N116="NON",0,IF(COUNT(O116:R116)=0,"",SUM(O116:R116))))</f>
        <v/>
      </c>
      <c r="T116" s="77" t="str">
        <f aca="false">IF(B116="","",IF($N116="NON",0,IF(COUNT(O116:R116)=0,"",IFERROR(ROUND(SUM(O116:R116)/SUMPRODUCT(ISNUMBER(O116:R116)*$O$8:$R$8)*10,2),""))))</f>
        <v/>
      </c>
      <c r="U116" s="75"/>
      <c r="V116" s="76"/>
      <c r="W116" s="76"/>
      <c r="X116" s="76"/>
      <c r="Y116" s="76"/>
      <c r="Z116" s="79" t="str">
        <f aca="false">IF(B116="","",IF($U116="NON",0,IF(COUNT(V116:Y116)=0,"",SUM(V116:Y116))))</f>
        <v/>
      </c>
      <c r="AA116" s="77" t="str">
        <f aca="false">IF(B116="","",IF($U116="NON",0,IF(COUNT(V116:Y116)=0,"",IFERROR(ROUND(SUM(V116:Y116)/SUMPRODUCT(ISNUMBER(V116:Y116)*$V$8:$Y$8)*10,2),""))))</f>
        <v/>
      </c>
      <c r="AB116" s="75"/>
      <c r="AC116" s="76"/>
      <c r="AD116" s="76"/>
      <c r="AE116" s="76"/>
      <c r="AF116" s="76"/>
      <c r="AG116" s="79" t="str">
        <f aca="false">IF(B116="","",IF($AB116="NON",0,IF(COUNT(AC116:AF116)=0,"",SUM(AC116:AF116))))</f>
        <v/>
      </c>
      <c r="AH116" s="77" t="str">
        <f aca="false">IF(B116="","",IF($AB116="NON",0,IF(COUNT(AC116:AF116)=0,"",IFERROR(ROUND(SUM(AC116:AF116)/SUMPRODUCT(ISNUMBER(AC116:AF116)*$AC$8:$AF$8)*10,2),""))))</f>
        <v/>
      </c>
      <c r="AI116" s="51" t="str">
        <f aca="false">IFERROR(MATCH("CEM-107",'REGISTRE ELEVES'!$AI$10:$AI$250,0),"")</f>
        <v/>
      </c>
    </row>
    <row r="117" customFormat="false" ht="15" hidden="false" customHeight="false" outlineLevel="0" collapsed="false">
      <c r="A117" s="73" t="str">
        <f aca="false">IF(B117="","",108)</f>
        <v/>
      </c>
      <c r="B117" s="73" t="str">
        <f aca="false">IF($AI117="","",INDEX('REGISTRE ELEVES'!$B$10:$B$250,$AI117))</f>
        <v/>
      </c>
      <c r="C117" s="74" t="str">
        <f aca="false">IF($AI117="","",INDEX('REGISTRE ELEVES'!$D$10:$D$250,$AI117))</f>
        <v/>
      </c>
      <c r="D117" s="73" t="str">
        <f aca="false">IF($AI117="","",INDEX('REGISTRE ELEVES'!$E$10:$E$250,$AI117))</f>
        <v/>
      </c>
      <c r="E117" s="73" t="str">
        <f aca="false">IF($AI117="","",INDEX('REGISTRE ELEVES'!$F$10:$F$250,$AI117))</f>
        <v/>
      </c>
      <c r="F117" s="73" t="str">
        <f aca="false">IF($AI117="","",INDEX('REGISTRE ELEVES'!$AE$10:$AE$250,$AI117))</f>
        <v/>
      </c>
      <c r="G117" s="75"/>
      <c r="H117" s="76"/>
      <c r="I117" s="76"/>
      <c r="J117" s="76"/>
      <c r="K117" s="76"/>
      <c r="L117" s="79" t="str">
        <f aca="false">IF(B117="","",IF($G117="NON",0,IF(COUNT(H117:K117)=0,"",SUM(H117:K117))))</f>
        <v/>
      </c>
      <c r="M117" s="77" t="str">
        <f aca="false">IF(B117="","",IF($G117="NON",0,IF(COUNT(H117:K117)=0,"",IFERROR(ROUND(SUM(H117:K117)/SUMPRODUCT(ISNUMBER(H117:K117)*$H$8:$K$8)*10,2),""))))</f>
        <v/>
      </c>
      <c r="N117" s="75"/>
      <c r="O117" s="76"/>
      <c r="P117" s="76"/>
      <c r="Q117" s="76"/>
      <c r="R117" s="76"/>
      <c r="S117" s="79" t="str">
        <f aca="false">IF(B117="","",IF($N117="NON",0,IF(COUNT(O117:R117)=0,"",SUM(O117:R117))))</f>
        <v/>
      </c>
      <c r="T117" s="77" t="str">
        <f aca="false">IF(B117="","",IF($N117="NON",0,IF(COUNT(O117:R117)=0,"",IFERROR(ROUND(SUM(O117:R117)/SUMPRODUCT(ISNUMBER(O117:R117)*$O$8:$R$8)*10,2),""))))</f>
        <v/>
      </c>
      <c r="U117" s="75"/>
      <c r="V117" s="76"/>
      <c r="W117" s="76"/>
      <c r="X117" s="76"/>
      <c r="Y117" s="76"/>
      <c r="Z117" s="79" t="str">
        <f aca="false">IF(B117="","",IF($U117="NON",0,IF(COUNT(V117:Y117)=0,"",SUM(V117:Y117))))</f>
        <v/>
      </c>
      <c r="AA117" s="77" t="str">
        <f aca="false">IF(B117="","",IF($U117="NON",0,IF(COUNT(V117:Y117)=0,"",IFERROR(ROUND(SUM(V117:Y117)/SUMPRODUCT(ISNUMBER(V117:Y117)*$V$8:$Y$8)*10,2),""))))</f>
        <v/>
      </c>
      <c r="AB117" s="75"/>
      <c r="AC117" s="76"/>
      <c r="AD117" s="76"/>
      <c r="AE117" s="76"/>
      <c r="AF117" s="76"/>
      <c r="AG117" s="79" t="str">
        <f aca="false">IF(B117="","",IF($AB117="NON",0,IF(COUNT(AC117:AF117)=0,"",SUM(AC117:AF117))))</f>
        <v/>
      </c>
      <c r="AH117" s="77" t="str">
        <f aca="false">IF(B117="","",IF($AB117="NON",0,IF(COUNT(AC117:AF117)=0,"",IFERROR(ROUND(SUM(AC117:AF117)/SUMPRODUCT(ISNUMBER(AC117:AF117)*$AC$8:$AF$8)*10,2),""))))</f>
        <v/>
      </c>
      <c r="AI117" s="51" t="str">
        <f aca="false">IFERROR(MATCH("CEM-108",'REGISTRE ELEVES'!$AI$10:$AI$250,0),"")</f>
        <v/>
      </c>
    </row>
    <row r="118" customFormat="false" ht="15" hidden="false" customHeight="false" outlineLevel="0" collapsed="false">
      <c r="A118" s="73" t="str">
        <f aca="false">IF(B118="","",109)</f>
        <v/>
      </c>
      <c r="B118" s="73" t="str">
        <f aca="false">IF($AI118="","",INDEX('REGISTRE ELEVES'!$B$10:$B$250,$AI118))</f>
        <v/>
      </c>
      <c r="C118" s="74" t="str">
        <f aca="false">IF($AI118="","",INDEX('REGISTRE ELEVES'!$D$10:$D$250,$AI118))</f>
        <v/>
      </c>
      <c r="D118" s="73" t="str">
        <f aca="false">IF($AI118="","",INDEX('REGISTRE ELEVES'!$E$10:$E$250,$AI118))</f>
        <v/>
      </c>
      <c r="E118" s="73" t="str">
        <f aca="false">IF($AI118="","",INDEX('REGISTRE ELEVES'!$F$10:$F$250,$AI118))</f>
        <v/>
      </c>
      <c r="F118" s="73" t="str">
        <f aca="false">IF($AI118="","",INDEX('REGISTRE ELEVES'!$AE$10:$AE$250,$AI118))</f>
        <v/>
      </c>
      <c r="G118" s="75"/>
      <c r="H118" s="76"/>
      <c r="I118" s="76"/>
      <c r="J118" s="76"/>
      <c r="K118" s="76"/>
      <c r="L118" s="79" t="str">
        <f aca="false">IF(B118="","",IF($G118="NON",0,IF(COUNT(H118:K118)=0,"",SUM(H118:K118))))</f>
        <v/>
      </c>
      <c r="M118" s="77" t="str">
        <f aca="false">IF(B118="","",IF($G118="NON",0,IF(COUNT(H118:K118)=0,"",IFERROR(ROUND(SUM(H118:K118)/SUMPRODUCT(ISNUMBER(H118:K118)*$H$8:$K$8)*10,2),""))))</f>
        <v/>
      </c>
      <c r="N118" s="75"/>
      <c r="O118" s="76"/>
      <c r="P118" s="76"/>
      <c r="Q118" s="76"/>
      <c r="R118" s="76"/>
      <c r="S118" s="79" t="str">
        <f aca="false">IF(B118="","",IF($N118="NON",0,IF(COUNT(O118:R118)=0,"",SUM(O118:R118))))</f>
        <v/>
      </c>
      <c r="T118" s="77" t="str">
        <f aca="false">IF(B118="","",IF($N118="NON",0,IF(COUNT(O118:R118)=0,"",IFERROR(ROUND(SUM(O118:R118)/SUMPRODUCT(ISNUMBER(O118:R118)*$O$8:$R$8)*10,2),""))))</f>
        <v/>
      </c>
      <c r="U118" s="75"/>
      <c r="V118" s="76"/>
      <c r="W118" s="76"/>
      <c r="X118" s="76"/>
      <c r="Y118" s="76"/>
      <c r="Z118" s="79" t="str">
        <f aca="false">IF(B118="","",IF($U118="NON",0,IF(COUNT(V118:Y118)=0,"",SUM(V118:Y118))))</f>
        <v/>
      </c>
      <c r="AA118" s="77" t="str">
        <f aca="false">IF(B118="","",IF($U118="NON",0,IF(COUNT(V118:Y118)=0,"",IFERROR(ROUND(SUM(V118:Y118)/SUMPRODUCT(ISNUMBER(V118:Y118)*$V$8:$Y$8)*10,2),""))))</f>
        <v/>
      </c>
      <c r="AB118" s="75"/>
      <c r="AC118" s="76"/>
      <c r="AD118" s="76"/>
      <c r="AE118" s="76"/>
      <c r="AF118" s="76"/>
      <c r="AG118" s="79" t="str">
        <f aca="false">IF(B118="","",IF($AB118="NON",0,IF(COUNT(AC118:AF118)=0,"",SUM(AC118:AF118))))</f>
        <v/>
      </c>
      <c r="AH118" s="77" t="str">
        <f aca="false">IF(B118="","",IF($AB118="NON",0,IF(COUNT(AC118:AF118)=0,"",IFERROR(ROUND(SUM(AC118:AF118)/SUMPRODUCT(ISNUMBER(AC118:AF118)*$AC$8:$AF$8)*10,2),""))))</f>
        <v/>
      </c>
      <c r="AI118" s="51" t="str">
        <f aca="false">IFERROR(MATCH("CEM-109",'REGISTRE ELEVES'!$AI$10:$AI$250,0),"")</f>
        <v/>
      </c>
    </row>
    <row r="119" customFormat="false" ht="15" hidden="false" customHeight="false" outlineLevel="0" collapsed="false">
      <c r="A119" s="73" t="str">
        <f aca="false">IF(B119="","",110)</f>
        <v/>
      </c>
      <c r="B119" s="73" t="str">
        <f aca="false">IF($AI119="","",INDEX('REGISTRE ELEVES'!$B$10:$B$250,$AI119))</f>
        <v/>
      </c>
      <c r="C119" s="74" t="str">
        <f aca="false">IF($AI119="","",INDEX('REGISTRE ELEVES'!$D$10:$D$250,$AI119))</f>
        <v/>
      </c>
      <c r="D119" s="73" t="str">
        <f aca="false">IF($AI119="","",INDEX('REGISTRE ELEVES'!$E$10:$E$250,$AI119))</f>
        <v/>
      </c>
      <c r="E119" s="73" t="str">
        <f aca="false">IF($AI119="","",INDEX('REGISTRE ELEVES'!$F$10:$F$250,$AI119))</f>
        <v/>
      </c>
      <c r="F119" s="73" t="str">
        <f aca="false">IF($AI119="","",INDEX('REGISTRE ELEVES'!$AE$10:$AE$250,$AI119))</f>
        <v/>
      </c>
      <c r="G119" s="75"/>
      <c r="H119" s="76"/>
      <c r="I119" s="76"/>
      <c r="J119" s="76"/>
      <c r="K119" s="76"/>
      <c r="L119" s="79" t="str">
        <f aca="false">IF(B119="","",IF($G119="NON",0,IF(COUNT(H119:K119)=0,"",SUM(H119:K119))))</f>
        <v/>
      </c>
      <c r="M119" s="77" t="str">
        <f aca="false">IF(B119="","",IF($G119="NON",0,IF(COUNT(H119:K119)=0,"",IFERROR(ROUND(SUM(H119:K119)/SUMPRODUCT(ISNUMBER(H119:K119)*$H$8:$K$8)*10,2),""))))</f>
        <v/>
      </c>
      <c r="N119" s="75"/>
      <c r="O119" s="76"/>
      <c r="P119" s="76"/>
      <c r="Q119" s="76"/>
      <c r="R119" s="76"/>
      <c r="S119" s="79" t="str">
        <f aca="false">IF(B119="","",IF($N119="NON",0,IF(COUNT(O119:R119)=0,"",SUM(O119:R119))))</f>
        <v/>
      </c>
      <c r="T119" s="77" t="str">
        <f aca="false">IF(B119="","",IF($N119="NON",0,IF(COUNT(O119:R119)=0,"",IFERROR(ROUND(SUM(O119:R119)/SUMPRODUCT(ISNUMBER(O119:R119)*$O$8:$R$8)*10,2),""))))</f>
        <v/>
      </c>
      <c r="U119" s="75"/>
      <c r="V119" s="76"/>
      <c r="W119" s="76"/>
      <c r="X119" s="76"/>
      <c r="Y119" s="76"/>
      <c r="Z119" s="79" t="str">
        <f aca="false">IF(B119="","",IF($U119="NON",0,IF(COUNT(V119:Y119)=0,"",SUM(V119:Y119))))</f>
        <v/>
      </c>
      <c r="AA119" s="77" t="str">
        <f aca="false">IF(B119="","",IF($U119="NON",0,IF(COUNT(V119:Y119)=0,"",IFERROR(ROUND(SUM(V119:Y119)/SUMPRODUCT(ISNUMBER(V119:Y119)*$V$8:$Y$8)*10,2),""))))</f>
        <v/>
      </c>
      <c r="AB119" s="75"/>
      <c r="AC119" s="76"/>
      <c r="AD119" s="76"/>
      <c r="AE119" s="76"/>
      <c r="AF119" s="76"/>
      <c r="AG119" s="79" t="str">
        <f aca="false">IF(B119="","",IF($AB119="NON",0,IF(COUNT(AC119:AF119)=0,"",SUM(AC119:AF119))))</f>
        <v/>
      </c>
      <c r="AH119" s="77" t="str">
        <f aca="false">IF(B119="","",IF($AB119="NON",0,IF(COUNT(AC119:AF119)=0,"",IFERROR(ROUND(SUM(AC119:AF119)/SUMPRODUCT(ISNUMBER(AC119:AF119)*$AC$8:$AF$8)*10,2),""))))</f>
        <v/>
      </c>
      <c r="AI119" s="51" t="str">
        <f aca="false">IFERROR(MATCH("CEM-110",'REGISTRE ELEVES'!$AI$10:$AI$250,0),"")</f>
        <v/>
      </c>
    </row>
    <row r="120" customFormat="false" ht="15" hidden="false" customHeight="false" outlineLevel="0" collapsed="false">
      <c r="A120" s="73" t="str">
        <f aca="false">IF(B120="","",111)</f>
        <v/>
      </c>
      <c r="B120" s="73" t="str">
        <f aca="false">IF($AI120="","",INDEX('REGISTRE ELEVES'!$B$10:$B$250,$AI120))</f>
        <v/>
      </c>
      <c r="C120" s="74" t="str">
        <f aca="false">IF($AI120="","",INDEX('REGISTRE ELEVES'!$D$10:$D$250,$AI120))</f>
        <v/>
      </c>
      <c r="D120" s="73" t="str">
        <f aca="false">IF($AI120="","",INDEX('REGISTRE ELEVES'!$E$10:$E$250,$AI120))</f>
        <v/>
      </c>
      <c r="E120" s="73" t="str">
        <f aca="false">IF($AI120="","",INDEX('REGISTRE ELEVES'!$F$10:$F$250,$AI120))</f>
        <v/>
      </c>
      <c r="F120" s="73" t="str">
        <f aca="false">IF($AI120="","",INDEX('REGISTRE ELEVES'!$AE$10:$AE$250,$AI120))</f>
        <v/>
      </c>
      <c r="G120" s="75"/>
      <c r="H120" s="76"/>
      <c r="I120" s="76"/>
      <c r="J120" s="76"/>
      <c r="K120" s="76"/>
      <c r="L120" s="79" t="str">
        <f aca="false">IF(B120="","",IF($G120="NON",0,IF(COUNT(H120:K120)=0,"",SUM(H120:K120))))</f>
        <v/>
      </c>
      <c r="M120" s="77" t="str">
        <f aca="false">IF(B120="","",IF($G120="NON",0,IF(COUNT(H120:K120)=0,"",IFERROR(ROUND(SUM(H120:K120)/SUMPRODUCT(ISNUMBER(H120:K120)*$H$8:$K$8)*10,2),""))))</f>
        <v/>
      </c>
      <c r="N120" s="75"/>
      <c r="O120" s="76"/>
      <c r="P120" s="76"/>
      <c r="Q120" s="76"/>
      <c r="R120" s="76"/>
      <c r="S120" s="79" t="str">
        <f aca="false">IF(B120="","",IF($N120="NON",0,IF(COUNT(O120:R120)=0,"",SUM(O120:R120))))</f>
        <v/>
      </c>
      <c r="T120" s="77" t="str">
        <f aca="false">IF(B120="","",IF($N120="NON",0,IF(COUNT(O120:R120)=0,"",IFERROR(ROUND(SUM(O120:R120)/SUMPRODUCT(ISNUMBER(O120:R120)*$O$8:$R$8)*10,2),""))))</f>
        <v/>
      </c>
      <c r="U120" s="75"/>
      <c r="V120" s="76"/>
      <c r="W120" s="76"/>
      <c r="X120" s="76"/>
      <c r="Y120" s="76"/>
      <c r="Z120" s="79" t="str">
        <f aca="false">IF(B120="","",IF($U120="NON",0,IF(COUNT(V120:Y120)=0,"",SUM(V120:Y120))))</f>
        <v/>
      </c>
      <c r="AA120" s="77" t="str">
        <f aca="false">IF(B120="","",IF($U120="NON",0,IF(COUNT(V120:Y120)=0,"",IFERROR(ROUND(SUM(V120:Y120)/SUMPRODUCT(ISNUMBER(V120:Y120)*$V$8:$Y$8)*10,2),""))))</f>
        <v/>
      </c>
      <c r="AB120" s="75"/>
      <c r="AC120" s="76"/>
      <c r="AD120" s="76"/>
      <c r="AE120" s="76"/>
      <c r="AF120" s="76"/>
      <c r="AG120" s="79" t="str">
        <f aca="false">IF(B120="","",IF($AB120="NON",0,IF(COUNT(AC120:AF120)=0,"",SUM(AC120:AF120))))</f>
        <v/>
      </c>
      <c r="AH120" s="77" t="str">
        <f aca="false">IF(B120="","",IF($AB120="NON",0,IF(COUNT(AC120:AF120)=0,"",IFERROR(ROUND(SUM(AC120:AF120)/SUMPRODUCT(ISNUMBER(AC120:AF120)*$AC$8:$AF$8)*10,2),""))))</f>
        <v/>
      </c>
      <c r="AI120" s="51" t="str">
        <f aca="false">IFERROR(MATCH("CEM-111",'REGISTRE ELEVES'!$AI$10:$AI$250,0),"")</f>
        <v/>
      </c>
    </row>
    <row r="121" customFormat="false" ht="15" hidden="false" customHeight="false" outlineLevel="0" collapsed="false">
      <c r="A121" s="73" t="str">
        <f aca="false">IF(B121="","",112)</f>
        <v/>
      </c>
      <c r="B121" s="73" t="str">
        <f aca="false">IF($AI121="","",INDEX('REGISTRE ELEVES'!$B$10:$B$250,$AI121))</f>
        <v/>
      </c>
      <c r="C121" s="74" t="str">
        <f aca="false">IF($AI121="","",INDEX('REGISTRE ELEVES'!$D$10:$D$250,$AI121))</f>
        <v/>
      </c>
      <c r="D121" s="73" t="str">
        <f aca="false">IF($AI121="","",INDEX('REGISTRE ELEVES'!$E$10:$E$250,$AI121))</f>
        <v/>
      </c>
      <c r="E121" s="73" t="str">
        <f aca="false">IF($AI121="","",INDEX('REGISTRE ELEVES'!$F$10:$F$250,$AI121))</f>
        <v/>
      </c>
      <c r="F121" s="73" t="str">
        <f aca="false">IF($AI121="","",INDEX('REGISTRE ELEVES'!$AE$10:$AE$250,$AI121))</f>
        <v/>
      </c>
      <c r="G121" s="75"/>
      <c r="H121" s="76"/>
      <c r="I121" s="76"/>
      <c r="J121" s="76"/>
      <c r="K121" s="76"/>
      <c r="L121" s="79" t="str">
        <f aca="false">IF(B121="","",IF($G121="NON",0,IF(COUNT(H121:K121)=0,"",SUM(H121:K121))))</f>
        <v/>
      </c>
      <c r="M121" s="77" t="str">
        <f aca="false">IF(B121="","",IF($G121="NON",0,IF(COUNT(H121:K121)=0,"",IFERROR(ROUND(SUM(H121:K121)/SUMPRODUCT(ISNUMBER(H121:K121)*$H$8:$K$8)*10,2),""))))</f>
        <v/>
      </c>
      <c r="N121" s="75"/>
      <c r="O121" s="76"/>
      <c r="P121" s="76"/>
      <c r="Q121" s="76"/>
      <c r="R121" s="76"/>
      <c r="S121" s="79" t="str">
        <f aca="false">IF(B121="","",IF($N121="NON",0,IF(COUNT(O121:R121)=0,"",SUM(O121:R121))))</f>
        <v/>
      </c>
      <c r="T121" s="77" t="str">
        <f aca="false">IF(B121="","",IF($N121="NON",0,IF(COUNT(O121:R121)=0,"",IFERROR(ROUND(SUM(O121:R121)/SUMPRODUCT(ISNUMBER(O121:R121)*$O$8:$R$8)*10,2),""))))</f>
        <v/>
      </c>
      <c r="U121" s="75"/>
      <c r="V121" s="76"/>
      <c r="W121" s="76"/>
      <c r="X121" s="76"/>
      <c r="Y121" s="76"/>
      <c r="Z121" s="79" t="str">
        <f aca="false">IF(B121="","",IF($U121="NON",0,IF(COUNT(V121:Y121)=0,"",SUM(V121:Y121))))</f>
        <v/>
      </c>
      <c r="AA121" s="77" t="str">
        <f aca="false">IF(B121="","",IF($U121="NON",0,IF(COUNT(V121:Y121)=0,"",IFERROR(ROUND(SUM(V121:Y121)/SUMPRODUCT(ISNUMBER(V121:Y121)*$V$8:$Y$8)*10,2),""))))</f>
        <v/>
      </c>
      <c r="AB121" s="75"/>
      <c r="AC121" s="76"/>
      <c r="AD121" s="76"/>
      <c r="AE121" s="76"/>
      <c r="AF121" s="76"/>
      <c r="AG121" s="79" t="str">
        <f aca="false">IF(B121="","",IF($AB121="NON",0,IF(COUNT(AC121:AF121)=0,"",SUM(AC121:AF121))))</f>
        <v/>
      </c>
      <c r="AH121" s="77" t="str">
        <f aca="false">IF(B121="","",IF($AB121="NON",0,IF(COUNT(AC121:AF121)=0,"",IFERROR(ROUND(SUM(AC121:AF121)/SUMPRODUCT(ISNUMBER(AC121:AF121)*$AC$8:$AF$8)*10,2),""))))</f>
        <v/>
      </c>
      <c r="AI121" s="51" t="str">
        <f aca="false">IFERROR(MATCH("CEM-112",'REGISTRE ELEVES'!$AI$10:$AI$250,0),"")</f>
        <v/>
      </c>
    </row>
    <row r="122" customFormat="false" ht="15" hidden="false" customHeight="false" outlineLevel="0" collapsed="false">
      <c r="A122" s="73" t="str">
        <f aca="false">IF(B122="","",113)</f>
        <v/>
      </c>
      <c r="B122" s="73" t="str">
        <f aca="false">IF($AI122="","",INDEX('REGISTRE ELEVES'!$B$10:$B$250,$AI122))</f>
        <v/>
      </c>
      <c r="C122" s="74" t="str">
        <f aca="false">IF($AI122="","",INDEX('REGISTRE ELEVES'!$D$10:$D$250,$AI122))</f>
        <v/>
      </c>
      <c r="D122" s="73" t="str">
        <f aca="false">IF($AI122="","",INDEX('REGISTRE ELEVES'!$E$10:$E$250,$AI122))</f>
        <v/>
      </c>
      <c r="E122" s="73" t="str">
        <f aca="false">IF($AI122="","",INDEX('REGISTRE ELEVES'!$F$10:$F$250,$AI122))</f>
        <v/>
      </c>
      <c r="F122" s="73" t="str">
        <f aca="false">IF($AI122="","",INDEX('REGISTRE ELEVES'!$AE$10:$AE$250,$AI122))</f>
        <v/>
      </c>
      <c r="G122" s="75"/>
      <c r="H122" s="76"/>
      <c r="I122" s="76"/>
      <c r="J122" s="76"/>
      <c r="K122" s="76"/>
      <c r="L122" s="79" t="str">
        <f aca="false">IF(B122="","",IF($G122="NON",0,IF(COUNT(H122:K122)=0,"",SUM(H122:K122))))</f>
        <v/>
      </c>
      <c r="M122" s="77" t="str">
        <f aca="false">IF(B122="","",IF($G122="NON",0,IF(COUNT(H122:K122)=0,"",IFERROR(ROUND(SUM(H122:K122)/SUMPRODUCT(ISNUMBER(H122:K122)*$H$8:$K$8)*10,2),""))))</f>
        <v/>
      </c>
      <c r="N122" s="75"/>
      <c r="O122" s="76"/>
      <c r="P122" s="76"/>
      <c r="Q122" s="76"/>
      <c r="R122" s="76"/>
      <c r="S122" s="79" t="str">
        <f aca="false">IF(B122="","",IF($N122="NON",0,IF(COUNT(O122:R122)=0,"",SUM(O122:R122))))</f>
        <v/>
      </c>
      <c r="T122" s="77" t="str">
        <f aca="false">IF(B122="","",IF($N122="NON",0,IF(COUNT(O122:R122)=0,"",IFERROR(ROUND(SUM(O122:R122)/SUMPRODUCT(ISNUMBER(O122:R122)*$O$8:$R$8)*10,2),""))))</f>
        <v/>
      </c>
      <c r="U122" s="75"/>
      <c r="V122" s="76"/>
      <c r="W122" s="76"/>
      <c r="X122" s="76"/>
      <c r="Y122" s="76"/>
      <c r="Z122" s="79" t="str">
        <f aca="false">IF(B122="","",IF($U122="NON",0,IF(COUNT(V122:Y122)=0,"",SUM(V122:Y122))))</f>
        <v/>
      </c>
      <c r="AA122" s="77" t="str">
        <f aca="false">IF(B122="","",IF($U122="NON",0,IF(COUNT(V122:Y122)=0,"",IFERROR(ROUND(SUM(V122:Y122)/SUMPRODUCT(ISNUMBER(V122:Y122)*$V$8:$Y$8)*10,2),""))))</f>
        <v/>
      </c>
      <c r="AB122" s="75"/>
      <c r="AC122" s="76"/>
      <c r="AD122" s="76"/>
      <c r="AE122" s="76"/>
      <c r="AF122" s="76"/>
      <c r="AG122" s="79" t="str">
        <f aca="false">IF(B122="","",IF($AB122="NON",0,IF(COUNT(AC122:AF122)=0,"",SUM(AC122:AF122))))</f>
        <v/>
      </c>
      <c r="AH122" s="77" t="str">
        <f aca="false">IF(B122="","",IF($AB122="NON",0,IF(COUNT(AC122:AF122)=0,"",IFERROR(ROUND(SUM(AC122:AF122)/SUMPRODUCT(ISNUMBER(AC122:AF122)*$AC$8:$AF$8)*10,2),""))))</f>
        <v/>
      </c>
      <c r="AI122" s="51" t="str">
        <f aca="false">IFERROR(MATCH("CEM-113",'REGISTRE ELEVES'!$AI$10:$AI$250,0),"")</f>
        <v/>
      </c>
    </row>
    <row r="123" customFormat="false" ht="15" hidden="false" customHeight="false" outlineLevel="0" collapsed="false">
      <c r="A123" s="73" t="str">
        <f aca="false">IF(B123="","",114)</f>
        <v/>
      </c>
      <c r="B123" s="73" t="str">
        <f aca="false">IF($AI123="","",INDEX('REGISTRE ELEVES'!$B$10:$B$250,$AI123))</f>
        <v/>
      </c>
      <c r="C123" s="74" t="str">
        <f aca="false">IF($AI123="","",INDEX('REGISTRE ELEVES'!$D$10:$D$250,$AI123))</f>
        <v/>
      </c>
      <c r="D123" s="73" t="str">
        <f aca="false">IF($AI123="","",INDEX('REGISTRE ELEVES'!$E$10:$E$250,$AI123))</f>
        <v/>
      </c>
      <c r="E123" s="73" t="str">
        <f aca="false">IF($AI123="","",INDEX('REGISTRE ELEVES'!$F$10:$F$250,$AI123))</f>
        <v/>
      </c>
      <c r="F123" s="73" t="str">
        <f aca="false">IF($AI123="","",INDEX('REGISTRE ELEVES'!$AE$10:$AE$250,$AI123))</f>
        <v/>
      </c>
      <c r="G123" s="75"/>
      <c r="H123" s="76"/>
      <c r="I123" s="76"/>
      <c r="J123" s="76"/>
      <c r="K123" s="76"/>
      <c r="L123" s="79" t="str">
        <f aca="false">IF(B123="","",IF($G123="NON",0,IF(COUNT(H123:K123)=0,"",SUM(H123:K123))))</f>
        <v/>
      </c>
      <c r="M123" s="77" t="str">
        <f aca="false">IF(B123="","",IF($G123="NON",0,IF(COUNT(H123:K123)=0,"",IFERROR(ROUND(SUM(H123:K123)/SUMPRODUCT(ISNUMBER(H123:K123)*$H$8:$K$8)*10,2),""))))</f>
        <v/>
      </c>
      <c r="N123" s="75"/>
      <c r="O123" s="76"/>
      <c r="P123" s="76"/>
      <c r="Q123" s="76"/>
      <c r="R123" s="76"/>
      <c r="S123" s="79" t="str">
        <f aca="false">IF(B123="","",IF($N123="NON",0,IF(COUNT(O123:R123)=0,"",SUM(O123:R123))))</f>
        <v/>
      </c>
      <c r="T123" s="77" t="str">
        <f aca="false">IF(B123="","",IF($N123="NON",0,IF(COUNT(O123:R123)=0,"",IFERROR(ROUND(SUM(O123:R123)/SUMPRODUCT(ISNUMBER(O123:R123)*$O$8:$R$8)*10,2),""))))</f>
        <v/>
      </c>
      <c r="U123" s="75"/>
      <c r="V123" s="76"/>
      <c r="W123" s="76"/>
      <c r="X123" s="76"/>
      <c r="Y123" s="76"/>
      <c r="Z123" s="79" t="str">
        <f aca="false">IF(B123="","",IF($U123="NON",0,IF(COUNT(V123:Y123)=0,"",SUM(V123:Y123))))</f>
        <v/>
      </c>
      <c r="AA123" s="77" t="str">
        <f aca="false">IF(B123="","",IF($U123="NON",0,IF(COUNT(V123:Y123)=0,"",IFERROR(ROUND(SUM(V123:Y123)/SUMPRODUCT(ISNUMBER(V123:Y123)*$V$8:$Y$8)*10,2),""))))</f>
        <v/>
      </c>
      <c r="AB123" s="75"/>
      <c r="AC123" s="76"/>
      <c r="AD123" s="76"/>
      <c r="AE123" s="76"/>
      <c r="AF123" s="76"/>
      <c r="AG123" s="79" t="str">
        <f aca="false">IF(B123="","",IF($AB123="NON",0,IF(COUNT(AC123:AF123)=0,"",SUM(AC123:AF123))))</f>
        <v/>
      </c>
      <c r="AH123" s="77" t="str">
        <f aca="false">IF(B123="","",IF($AB123="NON",0,IF(COUNT(AC123:AF123)=0,"",IFERROR(ROUND(SUM(AC123:AF123)/SUMPRODUCT(ISNUMBER(AC123:AF123)*$AC$8:$AF$8)*10,2),""))))</f>
        <v/>
      </c>
      <c r="AI123" s="51" t="str">
        <f aca="false">IFERROR(MATCH("CEM-114",'REGISTRE ELEVES'!$AI$10:$AI$250,0),"")</f>
        <v/>
      </c>
    </row>
    <row r="124" customFormat="false" ht="15" hidden="false" customHeight="false" outlineLevel="0" collapsed="false">
      <c r="A124" s="73" t="str">
        <f aca="false">IF(B124="","",115)</f>
        <v/>
      </c>
      <c r="B124" s="73" t="str">
        <f aca="false">IF($AI124="","",INDEX('REGISTRE ELEVES'!$B$10:$B$250,$AI124))</f>
        <v/>
      </c>
      <c r="C124" s="74" t="str">
        <f aca="false">IF($AI124="","",INDEX('REGISTRE ELEVES'!$D$10:$D$250,$AI124))</f>
        <v/>
      </c>
      <c r="D124" s="73" t="str">
        <f aca="false">IF($AI124="","",INDEX('REGISTRE ELEVES'!$E$10:$E$250,$AI124))</f>
        <v/>
      </c>
      <c r="E124" s="73" t="str">
        <f aca="false">IF($AI124="","",INDEX('REGISTRE ELEVES'!$F$10:$F$250,$AI124))</f>
        <v/>
      </c>
      <c r="F124" s="73" t="str">
        <f aca="false">IF($AI124="","",INDEX('REGISTRE ELEVES'!$AE$10:$AE$250,$AI124))</f>
        <v/>
      </c>
      <c r="G124" s="75"/>
      <c r="H124" s="76"/>
      <c r="I124" s="76"/>
      <c r="J124" s="76"/>
      <c r="K124" s="76"/>
      <c r="L124" s="79" t="str">
        <f aca="false">IF(B124="","",IF($G124="NON",0,IF(COUNT(H124:K124)=0,"",SUM(H124:K124))))</f>
        <v/>
      </c>
      <c r="M124" s="77" t="str">
        <f aca="false">IF(B124="","",IF($G124="NON",0,IF(COUNT(H124:K124)=0,"",IFERROR(ROUND(SUM(H124:K124)/SUMPRODUCT(ISNUMBER(H124:K124)*$H$8:$K$8)*10,2),""))))</f>
        <v/>
      </c>
      <c r="N124" s="75"/>
      <c r="O124" s="76"/>
      <c r="P124" s="76"/>
      <c r="Q124" s="76"/>
      <c r="R124" s="76"/>
      <c r="S124" s="79" t="str">
        <f aca="false">IF(B124="","",IF($N124="NON",0,IF(COUNT(O124:R124)=0,"",SUM(O124:R124))))</f>
        <v/>
      </c>
      <c r="T124" s="77" t="str">
        <f aca="false">IF(B124="","",IF($N124="NON",0,IF(COUNT(O124:R124)=0,"",IFERROR(ROUND(SUM(O124:R124)/SUMPRODUCT(ISNUMBER(O124:R124)*$O$8:$R$8)*10,2),""))))</f>
        <v/>
      </c>
      <c r="U124" s="75"/>
      <c r="V124" s="76"/>
      <c r="W124" s="76"/>
      <c r="X124" s="76"/>
      <c r="Y124" s="76"/>
      <c r="Z124" s="79" t="str">
        <f aca="false">IF(B124="","",IF($U124="NON",0,IF(COUNT(V124:Y124)=0,"",SUM(V124:Y124))))</f>
        <v/>
      </c>
      <c r="AA124" s="77" t="str">
        <f aca="false">IF(B124="","",IF($U124="NON",0,IF(COUNT(V124:Y124)=0,"",IFERROR(ROUND(SUM(V124:Y124)/SUMPRODUCT(ISNUMBER(V124:Y124)*$V$8:$Y$8)*10,2),""))))</f>
        <v/>
      </c>
      <c r="AB124" s="75"/>
      <c r="AC124" s="76"/>
      <c r="AD124" s="76"/>
      <c r="AE124" s="76"/>
      <c r="AF124" s="76"/>
      <c r="AG124" s="79" t="str">
        <f aca="false">IF(B124="","",IF($AB124="NON",0,IF(COUNT(AC124:AF124)=0,"",SUM(AC124:AF124))))</f>
        <v/>
      </c>
      <c r="AH124" s="77" t="str">
        <f aca="false">IF(B124="","",IF($AB124="NON",0,IF(COUNT(AC124:AF124)=0,"",IFERROR(ROUND(SUM(AC124:AF124)/SUMPRODUCT(ISNUMBER(AC124:AF124)*$AC$8:$AF$8)*10,2),""))))</f>
        <v/>
      </c>
      <c r="AI124" s="51" t="str">
        <f aca="false">IFERROR(MATCH("CEM-115",'REGISTRE ELEVES'!$AI$10:$AI$250,0),"")</f>
        <v/>
      </c>
    </row>
    <row r="125" customFormat="false" ht="15" hidden="false" customHeight="false" outlineLevel="0" collapsed="false">
      <c r="A125" s="73" t="str">
        <f aca="false">IF(B125="","",116)</f>
        <v/>
      </c>
      <c r="B125" s="73" t="str">
        <f aca="false">IF($AI125="","",INDEX('REGISTRE ELEVES'!$B$10:$B$250,$AI125))</f>
        <v/>
      </c>
      <c r="C125" s="74" t="str">
        <f aca="false">IF($AI125="","",INDEX('REGISTRE ELEVES'!$D$10:$D$250,$AI125))</f>
        <v/>
      </c>
      <c r="D125" s="73" t="str">
        <f aca="false">IF($AI125="","",INDEX('REGISTRE ELEVES'!$E$10:$E$250,$AI125))</f>
        <v/>
      </c>
      <c r="E125" s="73" t="str">
        <f aca="false">IF($AI125="","",INDEX('REGISTRE ELEVES'!$F$10:$F$250,$AI125))</f>
        <v/>
      </c>
      <c r="F125" s="73" t="str">
        <f aca="false">IF($AI125="","",INDEX('REGISTRE ELEVES'!$AE$10:$AE$250,$AI125))</f>
        <v/>
      </c>
      <c r="G125" s="75"/>
      <c r="H125" s="76"/>
      <c r="I125" s="76"/>
      <c r="J125" s="76"/>
      <c r="K125" s="76"/>
      <c r="L125" s="79" t="str">
        <f aca="false">IF(B125="","",IF($G125="NON",0,IF(COUNT(H125:K125)=0,"",SUM(H125:K125))))</f>
        <v/>
      </c>
      <c r="M125" s="77" t="str">
        <f aca="false">IF(B125="","",IF($G125="NON",0,IF(COUNT(H125:K125)=0,"",IFERROR(ROUND(SUM(H125:K125)/SUMPRODUCT(ISNUMBER(H125:K125)*$H$8:$K$8)*10,2),""))))</f>
        <v/>
      </c>
      <c r="N125" s="75"/>
      <c r="O125" s="76"/>
      <c r="P125" s="76"/>
      <c r="Q125" s="76"/>
      <c r="R125" s="76"/>
      <c r="S125" s="79" t="str">
        <f aca="false">IF(B125="","",IF($N125="NON",0,IF(COUNT(O125:R125)=0,"",SUM(O125:R125))))</f>
        <v/>
      </c>
      <c r="T125" s="77" t="str">
        <f aca="false">IF(B125="","",IF($N125="NON",0,IF(COUNT(O125:R125)=0,"",IFERROR(ROUND(SUM(O125:R125)/SUMPRODUCT(ISNUMBER(O125:R125)*$O$8:$R$8)*10,2),""))))</f>
        <v/>
      </c>
      <c r="U125" s="75"/>
      <c r="V125" s="76"/>
      <c r="W125" s="76"/>
      <c r="X125" s="76"/>
      <c r="Y125" s="76"/>
      <c r="Z125" s="79" t="str">
        <f aca="false">IF(B125="","",IF($U125="NON",0,IF(COUNT(V125:Y125)=0,"",SUM(V125:Y125))))</f>
        <v/>
      </c>
      <c r="AA125" s="77" t="str">
        <f aca="false">IF(B125="","",IF($U125="NON",0,IF(COUNT(V125:Y125)=0,"",IFERROR(ROUND(SUM(V125:Y125)/SUMPRODUCT(ISNUMBER(V125:Y125)*$V$8:$Y$8)*10,2),""))))</f>
        <v/>
      </c>
      <c r="AB125" s="75"/>
      <c r="AC125" s="76"/>
      <c r="AD125" s="76"/>
      <c r="AE125" s="76"/>
      <c r="AF125" s="76"/>
      <c r="AG125" s="79" t="str">
        <f aca="false">IF(B125="","",IF($AB125="NON",0,IF(COUNT(AC125:AF125)=0,"",SUM(AC125:AF125))))</f>
        <v/>
      </c>
      <c r="AH125" s="77" t="str">
        <f aca="false">IF(B125="","",IF($AB125="NON",0,IF(COUNT(AC125:AF125)=0,"",IFERROR(ROUND(SUM(AC125:AF125)/SUMPRODUCT(ISNUMBER(AC125:AF125)*$AC$8:$AF$8)*10,2),""))))</f>
        <v/>
      </c>
      <c r="AI125" s="51" t="str">
        <f aca="false">IFERROR(MATCH("CEM-116",'REGISTRE ELEVES'!$AI$10:$AI$250,0),"")</f>
        <v/>
      </c>
    </row>
    <row r="126" customFormat="false" ht="15" hidden="false" customHeight="false" outlineLevel="0" collapsed="false">
      <c r="A126" s="73" t="str">
        <f aca="false">IF(B126="","",117)</f>
        <v/>
      </c>
      <c r="B126" s="73" t="str">
        <f aca="false">IF($AI126="","",INDEX('REGISTRE ELEVES'!$B$10:$B$250,$AI126))</f>
        <v/>
      </c>
      <c r="C126" s="74" t="str">
        <f aca="false">IF($AI126="","",INDEX('REGISTRE ELEVES'!$D$10:$D$250,$AI126))</f>
        <v/>
      </c>
      <c r="D126" s="73" t="str">
        <f aca="false">IF($AI126="","",INDEX('REGISTRE ELEVES'!$E$10:$E$250,$AI126))</f>
        <v/>
      </c>
      <c r="E126" s="73" t="str">
        <f aca="false">IF($AI126="","",INDEX('REGISTRE ELEVES'!$F$10:$F$250,$AI126))</f>
        <v/>
      </c>
      <c r="F126" s="73" t="str">
        <f aca="false">IF($AI126="","",INDEX('REGISTRE ELEVES'!$AE$10:$AE$250,$AI126))</f>
        <v/>
      </c>
      <c r="G126" s="75"/>
      <c r="H126" s="76"/>
      <c r="I126" s="76"/>
      <c r="J126" s="76"/>
      <c r="K126" s="76"/>
      <c r="L126" s="79" t="str">
        <f aca="false">IF(B126="","",IF($G126="NON",0,IF(COUNT(H126:K126)=0,"",SUM(H126:K126))))</f>
        <v/>
      </c>
      <c r="M126" s="77" t="str">
        <f aca="false">IF(B126="","",IF($G126="NON",0,IF(COUNT(H126:K126)=0,"",IFERROR(ROUND(SUM(H126:K126)/SUMPRODUCT(ISNUMBER(H126:K126)*$H$8:$K$8)*10,2),""))))</f>
        <v/>
      </c>
      <c r="N126" s="75"/>
      <c r="O126" s="76"/>
      <c r="P126" s="76"/>
      <c r="Q126" s="76"/>
      <c r="R126" s="76"/>
      <c r="S126" s="79" t="str">
        <f aca="false">IF(B126="","",IF($N126="NON",0,IF(COUNT(O126:R126)=0,"",SUM(O126:R126))))</f>
        <v/>
      </c>
      <c r="T126" s="77" t="str">
        <f aca="false">IF(B126="","",IF($N126="NON",0,IF(COUNT(O126:R126)=0,"",IFERROR(ROUND(SUM(O126:R126)/SUMPRODUCT(ISNUMBER(O126:R126)*$O$8:$R$8)*10,2),""))))</f>
        <v/>
      </c>
      <c r="U126" s="75"/>
      <c r="V126" s="76"/>
      <c r="W126" s="76"/>
      <c r="X126" s="76"/>
      <c r="Y126" s="76"/>
      <c r="Z126" s="79" t="str">
        <f aca="false">IF(B126="","",IF($U126="NON",0,IF(COUNT(V126:Y126)=0,"",SUM(V126:Y126))))</f>
        <v/>
      </c>
      <c r="AA126" s="77" t="str">
        <f aca="false">IF(B126="","",IF($U126="NON",0,IF(COUNT(V126:Y126)=0,"",IFERROR(ROUND(SUM(V126:Y126)/SUMPRODUCT(ISNUMBER(V126:Y126)*$V$8:$Y$8)*10,2),""))))</f>
        <v/>
      </c>
      <c r="AB126" s="75"/>
      <c r="AC126" s="76"/>
      <c r="AD126" s="76"/>
      <c r="AE126" s="76"/>
      <c r="AF126" s="76"/>
      <c r="AG126" s="79" t="str">
        <f aca="false">IF(B126="","",IF($AB126="NON",0,IF(COUNT(AC126:AF126)=0,"",SUM(AC126:AF126))))</f>
        <v/>
      </c>
      <c r="AH126" s="77" t="str">
        <f aca="false">IF(B126="","",IF($AB126="NON",0,IF(COUNT(AC126:AF126)=0,"",IFERROR(ROUND(SUM(AC126:AF126)/SUMPRODUCT(ISNUMBER(AC126:AF126)*$AC$8:$AF$8)*10,2),""))))</f>
        <v/>
      </c>
      <c r="AI126" s="51" t="str">
        <f aca="false">IFERROR(MATCH("CEM-117",'REGISTRE ELEVES'!$AI$10:$AI$250,0),"")</f>
        <v/>
      </c>
    </row>
    <row r="127" customFormat="false" ht="15" hidden="false" customHeight="false" outlineLevel="0" collapsed="false">
      <c r="A127" s="73" t="str">
        <f aca="false">IF(B127="","",118)</f>
        <v/>
      </c>
      <c r="B127" s="73" t="str">
        <f aca="false">IF($AI127="","",INDEX('REGISTRE ELEVES'!$B$10:$B$250,$AI127))</f>
        <v/>
      </c>
      <c r="C127" s="74" t="str">
        <f aca="false">IF($AI127="","",INDEX('REGISTRE ELEVES'!$D$10:$D$250,$AI127))</f>
        <v/>
      </c>
      <c r="D127" s="73" t="str">
        <f aca="false">IF($AI127="","",INDEX('REGISTRE ELEVES'!$E$10:$E$250,$AI127))</f>
        <v/>
      </c>
      <c r="E127" s="73" t="str">
        <f aca="false">IF($AI127="","",INDEX('REGISTRE ELEVES'!$F$10:$F$250,$AI127))</f>
        <v/>
      </c>
      <c r="F127" s="73" t="str">
        <f aca="false">IF($AI127="","",INDEX('REGISTRE ELEVES'!$AE$10:$AE$250,$AI127))</f>
        <v/>
      </c>
      <c r="G127" s="75"/>
      <c r="H127" s="76"/>
      <c r="I127" s="76"/>
      <c r="J127" s="76"/>
      <c r="K127" s="76"/>
      <c r="L127" s="79" t="str">
        <f aca="false">IF(B127="","",IF($G127="NON",0,IF(COUNT(H127:K127)=0,"",SUM(H127:K127))))</f>
        <v/>
      </c>
      <c r="M127" s="77" t="str">
        <f aca="false">IF(B127="","",IF($G127="NON",0,IF(COUNT(H127:K127)=0,"",IFERROR(ROUND(SUM(H127:K127)/SUMPRODUCT(ISNUMBER(H127:K127)*$H$8:$K$8)*10,2),""))))</f>
        <v/>
      </c>
      <c r="N127" s="75"/>
      <c r="O127" s="76"/>
      <c r="P127" s="76"/>
      <c r="Q127" s="76"/>
      <c r="R127" s="76"/>
      <c r="S127" s="79" t="str">
        <f aca="false">IF(B127="","",IF($N127="NON",0,IF(COUNT(O127:R127)=0,"",SUM(O127:R127))))</f>
        <v/>
      </c>
      <c r="T127" s="77" t="str">
        <f aca="false">IF(B127="","",IF($N127="NON",0,IF(COUNT(O127:R127)=0,"",IFERROR(ROUND(SUM(O127:R127)/SUMPRODUCT(ISNUMBER(O127:R127)*$O$8:$R$8)*10,2),""))))</f>
        <v/>
      </c>
      <c r="U127" s="75"/>
      <c r="V127" s="76"/>
      <c r="W127" s="76"/>
      <c r="X127" s="76"/>
      <c r="Y127" s="76"/>
      <c r="Z127" s="79" t="str">
        <f aca="false">IF(B127="","",IF($U127="NON",0,IF(COUNT(V127:Y127)=0,"",SUM(V127:Y127))))</f>
        <v/>
      </c>
      <c r="AA127" s="77" t="str">
        <f aca="false">IF(B127="","",IF($U127="NON",0,IF(COUNT(V127:Y127)=0,"",IFERROR(ROUND(SUM(V127:Y127)/SUMPRODUCT(ISNUMBER(V127:Y127)*$V$8:$Y$8)*10,2),""))))</f>
        <v/>
      </c>
      <c r="AB127" s="75"/>
      <c r="AC127" s="76"/>
      <c r="AD127" s="76"/>
      <c r="AE127" s="76"/>
      <c r="AF127" s="76"/>
      <c r="AG127" s="79" t="str">
        <f aca="false">IF(B127="","",IF($AB127="NON",0,IF(COUNT(AC127:AF127)=0,"",SUM(AC127:AF127))))</f>
        <v/>
      </c>
      <c r="AH127" s="77" t="str">
        <f aca="false">IF(B127="","",IF($AB127="NON",0,IF(COUNT(AC127:AF127)=0,"",IFERROR(ROUND(SUM(AC127:AF127)/SUMPRODUCT(ISNUMBER(AC127:AF127)*$AC$8:$AF$8)*10,2),""))))</f>
        <v/>
      </c>
      <c r="AI127" s="51" t="str">
        <f aca="false">IFERROR(MATCH("CEM-118",'REGISTRE ELEVES'!$AI$10:$AI$250,0),"")</f>
        <v/>
      </c>
    </row>
    <row r="128" customFormat="false" ht="15" hidden="false" customHeight="false" outlineLevel="0" collapsed="false">
      <c r="A128" s="73" t="str">
        <f aca="false">IF(B128="","",119)</f>
        <v/>
      </c>
      <c r="B128" s="73" t="str">
        <f aca="false">IF($AI128="","",INDEX('REGISTRE ELEVES'!$B$10:$B$250,$AI128))</f>
        <v/>
      </c>
      <c r="C128" s="74" t="str">
        <f aca="false">IF($AI128="","",INDEX('REGISTRE ELEVES'!$D$10:$D$250,$AI128))</f>
        <v/>
      </c>
      <c r="D128" s="73" t="str">
        <f aca="false">IF($AI128="","",INDEX('REGISTRE ELEVES'!$E$10:$E$250,$AI128))</f>
        <v/>
      </c>
      <c r="E128" s="73" t="str">
        <f aca="false">IF($AI128="","",INDEX('REGISTRE ELEVES'!$F$10:$F$250,$AI128))</f>
        <v/>
      </c>
      <c r="F128" s="73" t="str">
        <f aca="false">IF($AI128="","",INDEX('REGISTRE ELEVES'!$AE$10:$AE$250,$AI128))</f>
        <v/>
      </c>
      <c r="G128" s="75"/>
      <c r="H128" s="76"/>
      <c r="I128" s="76"/>
      <c r="J128" s="76"/>
      <c r="K128" s="76"/>
      <c r="L128" s="79" t="str">
        <f aca="false">IF(B128="","",IF($G128="NON",0,IF(COUNT(H128:K128)=0,"",SUM(H128:K128))))</f>
        <v/>
      </c>
      <c r="M128" s="77" t="str">
        <f aca="false">IF(B128="","",IF($G128="NON",0,IF(COUNT(H128:K128)=0,"",IFERROR(ROUND(SUM(H128:K128)/SUMPRODUCT(ISNUMBER(H128:K128)*$H$8:$K$8)*10,2),""))))</f>
        <v/>
      </c>
      <c r="N128" s="75"/>
      <c r="O128" s="76"/>
      <c r="P128" s="76"/>
      <c r="Q128" s="76"/>
      <c r="R128" s="76"/>
      <c r="S128" s="79" t="str">
        <f aca="false">IF(B128="","",IF($N128="NON",0,IF(COUNT(O128:R128)=0,"",SUM(O128:R128))))</f>
        <v/>
      </c>
      <c r="T128" s="77" t="str">
        <f aca="false">IF(B128="","",IF($N128="NON",0,IF(COUNT(O128:R128)=0,"",IFERROR(ROUND(SUM(O128:R128)/SUMPRODUCT(ISNUMBER(O128:R128)*$O$8:$R$8)*10,2),""))))</f>
        <v/>
      </c>
      <c r="U128" s="75"/>
      <c r="V128" s="76"/>
      <c r="W128" s="76"/>
      <c r="X128" s="76"/>
      <c r="Y128" s="76"/>
      <c r="Z128" s="79" t="str">
        <f aca="false">IF(B128="","",IF($U128="NON",0,IF(COUNT(V128:Y128)=0,"",SUM(V128:Y128))))</f>
        <v/>
      </c>
      <c r="AA128" s="77" t="str">
        <f aca="false">IF(B128="","",IF($U128="NON",0,IF(COUNT(V128:Y128)=0,"",IFERROR(ROUND(SUM(V128:Y128)/SUMPRODUCT(ISNUMBER(V128:Y128)*$V$8:$Y$8)*10,2),""))))</f>
        <v/>
      </c>
      <c r="AB128" s="75"/>
      <c r="AC128" s="76"/>
      <c r="AD128" s="76"/>
      <c r="AE128" s="76"/>
      <c r="AF128" s="76"/>
      <c r="AG128" s="79" t="str">
        <f aca="false">IF(B128="","",IF($AB128="NON",0,IF(COUNT(AC128:AF128)=0,"",SUM(AC128:AF128))))</f>
        <v/>
      </c>
      <c r="AH128" s="77" t="str">
        <f aca="false">IF(B128="","",IF($AB128="NON",0,IF(COUNT(AC128:AF128)=0,"",IFERROR(ROUND(SUM(AC128:AF128)/SUMPRODUCT(ISNUMBER(AC128:AF128)*$AC$8:$AF$8)*10,2),""))))</f>
        <v/>
      </c>
      <c r="AI128" s="51" t="str">
        <f aca="false">IFERROR(MATCH("CEM-119",'REGISTRE ELEVES'!$AI$10:$AI$250,0),"")</f>
        <v/>
      </c>
    </row>
    <row r="129" customFormat="false" ht="15" hidden="false" customHeight="false" outlineLevel="0" collapsed="false">
      <c r="A129" s="73" t="str">
        <f aca="false">IF(B129="","",120)</f>
        <v/>
      </c>
      <c r="B129" s="73" t="str">
        <f aca="false">IF($AI129="","",INDEX('REGISTRE ELEVES'!$B$10:$B$250,$AI129))</f>
        <v/>
      </c>
      <c r="C129" s="74" t="str">
        <f aca="false">IF($AI129="","",INDEX('REGISTRE ELEVES'!$D$10:$D$250,$AI129))</f>
        <v/>
      </c>
      <c r="D129" s="73" t="str">
        <f aca="false">IF($AI129="","",INDEX('REGISTRE ELEVES'!$E$10:$E$250,$AI129))</f>
        <v/>
      </c>
      <c r="E129" s="73" t="str">
        <f aca="false">IF($AI129="","",INDEX('REGISTRE ELEVES'!$F$10:$F$250,$AI129))</f>
        <v/>
      </c>
      <c r="F129" s="73" t="str">
        <f aca="false">IF($AI129="","",INDEX('REGISTRE ELEVES'!$AE$10:$AE$250,$AI129))</f>
        <v/>
      </c>
      <c r="G129" s="75"/>
      <c r="H129" s="76"/>
      <c r="I129" s="76"/>
      <c r="J129" s="76"/>
      <c r="K129" s="76"/>
      <c r="L129" s="79" t="str">
        <f aca="false">IF(B129="","",IF($G129="NON",0,IF(COUNT(H129:K129)=0,"",SUM(H129:K129))))</f>
        <v/>
      </c>
      <c r="M129" s="77" t="str">
        <f aca="false">IF(B129="","",IF($G129="NON",0,IF(COUNT(H129:K129)=0,"",IFERROR(ROUND(SUM(H129:K129)/SUMPRODUCT(ISNUMBER(H129:K129)*$H$8:$K$8)*10,2),""))))</f>
        <v/>
      </c>
      <c r="N129" s="75"/>
      <c r="O129" s="76"/>
      <c r="P129" s="76"/>
      <c r="Q129" s="76"/>
      <c r="R129" s="76"/>
      <c r="S129" s="79" t="str">
        <f aca="false">IF(B129="","",IF($N129="NON",0,IF(COUNT(O129:R129)=0,"",SUM(O129:R129))))</f>
        <v/>
      </c>
      <c r="T129" s="77" t="str">
        <f aca="false">IF(B129="","",IF($N129="NON",0,IF(COUNT(O129:R129)=0,"",IFERROR(ROUND(SUM(O129:R129)/SUMPRODUCT(ISNUMBER(O129:R129)*$O$8:$R$8)*10,2),""))))</f>
        <v/>
      </c>
      <c r="U129" s="75"/>
      <c r="V129" s="76"/>
      <c r="W129" s="76"/>
      <c r="X129" s="76"/>
      <c r="Y129" s="76"/>
      <c r="Z129" s="79" t="str">
        <f aca="false">IF(B129="","",IF($U129="NON",0,IF(COUNT(V129:Y129)=0,"",SUM(V129:Y129))))</f>
        <v/>
      </c>
      <c r="AA129" s="77" t="str">
        <f aca="false">IF(B129="","",IF($U129="NON",0,IF(COUNT(V129:Y129)=0,"",IFERROR(ROUND(SUM(V129:Y129)/SUMPRODUCT(ISNUMBER(V129:Y129)*$V$8:$Y$8)*10,2),""))))</f>
        <v/>
      </c>
      <c r="AB129" s="75"/>
      <c r="AC129" s="76"/>
      <c r="AD129" s="76"/>
      <c r="AE129" s="76"/>
      <c r="AF129" s="76"/>
      <c r="AG129" s="79" t="str">
        <f aca="false">IF(B129="","",IF($AB129="NON",0,IF(COUNT(AC129:AF129)=0,"",SUM(AC129:AF129))))</f>
        <v/>
      </c>
      <c r="AH129" s="77" t="str">
        <f aca="false">IF(B129="","",IF($AB129="NON",0,IF(COUNT(AC129:AF129)=0,"",IFERROR(ROUND(SUM(AC129:AF129)/SUMPRODUCT(ISNUMBER(AC129:AF129)*$AC$8:$AF$8)*10,2),""))))</f>
        <v/>
      </c>
      <c r="AI129" s="51" t="str">
        <f aca="false">IFERROR(MATCH("CEM-120",'REGISTRE ELEVES'!$AI$10:$AI$250,0),"")</f>
        <v/>
      </c>
    </row>
    <row r="130" customFormat="false" ht="15" hidden="false" customHeight="false" outlineLevel="0" collapsed="false">
      <c r="A130" s="73" t="str">
        <f aca="false">IF(B130="","",121)</f>
        <v/>
      </c>
      <c r="B130" s="73" t="str">
        <f aca="false">IF($AI130="","",INDEX('REGISTRE ELEVES'!$B$10:$B$250,$AI130))</f>
        <v/>
      </c>
      <c r="C130" s="74" t="str">
        <f aca="false">IF($AI130="","",INDEX('REGISTRE ELEVES'!$D$10:$D$250,$AI130))</f>
        <v/>
      </c>
      <c r="D130" s="73" t="str">
        <f aca="false">IF($AI130="","",INDEX('REGISTRE ELEVES'!$E$10:$E$250,$AI130))</f>
        <v/>
      </c>
      <c r="E130" s="73" t="str">
        <f aca="false">IF($AI130="","",INDEX('REGISTRE ELEVES'!$F$10:$F$250,$AI130))</f>
        <v/>
      </c>
      <c r="F130" s="73" t="str">
        <f aca="false">IF($AI130="","",INDEX('REGISTRE ELEVES'!$AE$10:$AE$250,$AI130))</f>
        <v/>
      </c>
      <c r="G130" s="75"/>
      <c r="H130" s="76"/>
      <c r="I130" s="76"/>
      <c r="J130" s="76"/>
      <c r="K130" s="76"/>
      <c r="L130" s="79" t="str">
        <f aca="false">IF(B130="","",IF($G130="NON",0,IF(COUNT(H130:K130)=0,"",SUM(H130:K130))))</f>
        <v/>
      </c>
      <c r="M130" s="77" t="str">
        <f aca="false">IF(B130="","",IF($G130="NON",0,IF(COUNT(H130:K130)=0,"",IFERROR(ROUND(SUM(H130:K130)/SUMPRODUCT(ISNUMBER(H130:K130)*$H$8:$K$8)*10,2),""))))</f>
        <v/>
      </c>
      <c r="N130" s="75"/>
      <c r="O130" s="76"/>
      <c r="P130" s="76"/>
      <c r="Q130" s="76"/>
      <c r="R130" s="76"/>
      <c r="S130" s="79" t="str">
        <f aca="false">IF(B130="","",IF($N130="NON",0,IF(COUNT(O130:R130)=0,"",SUM(O130:R130))))</f>
        <v/>
      </c>
      <c r="T130" s="77" t="str">
        <f aca="false">IF(B130="","",IF($N130="NON",0,IF(COUNT(O130:R130)=0,"",IFERROR(ROUND(SUM(O130:R130)/SUMPRODUCT(ISNUMBER(O130:R130)*$O$8:$R$8)*10,2),""))))</f>
        <v/>
      </c>
      <c r="U130" s="75"/>
      <c r="V130" s="76"/>
      <c r="W130" s="76"/>
      <c r="X130" s="76"/>
      <c r="Y130" s="76"/>
      <c r="Z130" s="79" t="str">
        <f aca="false">IF(B130="","",IF($U130="NON",0,IF(COUNT(V130:Y130)=0,"",SUM(V130:Y130))))</f>
        <v/>
      </c>
      <c r="AA130" s="77" t="str">
        <f aca="false">IF(B130="","",IF($U130="NON",0,IF(COUNT(V130:Y130)=0,"",IFERROR(ROUND(SUM(V130:Y130)/SUMPRODUCT(ISNUMBER(V130:Y130)*$V$8:$Y$8)*10,2),""))))</f>
        <v/>
      </c>
      <c r="AB130" s="75"/>
      <c r="AC130" s="76"/>
      <c r="AD130" s="76"/>
      <c r="AE130" s="76"/>
      <c r="AF130" s="76"/>
      <c r="AG130" s="79" t="str">
        <f aca="false">IF(B130="","",IF($AB130="NON",0,IF(COUNT(AC130:AF130)=0,"",SUM(AC130:AF130))))</f>
        <v/>
      </c>
      <c r="AH130" s="77" t="str">
        <f aca="false">IF(B130="","",IF($AB130="NON",0,IF(COUNT(AC130:AF130)=0,"",IFERROR(ROUND(SUM(AC130:AF130)/SUMPRODUCT(ISNUMBER(AC130:AF130)*$AC$8:$AF$8)*10,2),""))))</f>
        <v/>
      </c>
      <c r="AI130" s="51" t="str">
        <f aca="false">IFERROR(MATCH("CEM-121",'REGISTRE ELEVES'!$AI$10:$AI$250,0),"")</f>
        <v/>
      </c>
    </row>
    <row r="131" customFormat="false" ht="15" hidden="false" customHeight="false" outlineLevel="0" collapsed="false">
      <c r="A131" s="73" t="str">
        <f aca="false">IF(B131="","",122)</f>
        <v/>
      </c>
      <c r="B131" s="73" t="str">
        <f aca="false">IF($AI131="","",INDEX('REGISTRE ELEVES'!$B$10:$B$250,$AI131))</f>
        <v/>
      </c>
      <c r="C131" s="74" t="str">
        <f aca="false">IF($AI131="","",INDEX('REGISTRE ELEVES'!$D$10:$D$250,$AI131))</f>
        <v/>
      </c>
      <c r="D131" s="73" t="str">
        <f aca="false">IF($AI131="","",INDEX('REGISTRE ELEVES'!$E$10:$E$250,$AI131))</f>
        <v/>
      </c>
      <c r="E131" s="73" t="str">
        <f aca="false">IF($AI131="","",INDEX('REGISTRE ELEVES'!$F$10:$F$250,$AI131))</f>
        <v/>
      </c>
      <c r="F131" s="73" t="str">
        <f aca="false">IF($AI131="","",INDEX('REGISTRE ELEVES'!$AE$10:$AE$250,$AI131))</f>
        <v/>
      </c>
      <c r="G131" s="75"/>
      <c r="H131" s="76"/>
      <c r="I131" s="76"/>
      <c r="J131" s="76"/>
      <c r="K131" s="76"/>
      <c r="L131" s="79" t="str">
        <f aca="false">IF(B131="","",IF($G131="NON",0,IF(COUNT(H131:K131)=0,"",SUM(H131:K131))))</f>
        <v/>
      </c>
      <c r="M131" s="77" t="str">
        <f aca="false">IF(B131="","",IF($G131="NON",0,IF(COUNT(H131:K131)=0,"",IFERROR(ROUND(SUM(H131:K131)/SUMPRODUCT(ISNUMBER(H131:K131)*$H$8:$K$8)*10,2),""))))</f>
        <v/>
      </c>
      <c r="N131" s="75"/>
      <c r="O131" s="76"/>
      <c r="P131" s="76"/>
      <c r="Q131" s="76"/>
      <c r="R131" s="76"/>
      <c r="S131" s="79" t="str">
        <f aca="false">IF(B131="","",IF($N131="NON",0,IF(COUNT(O131:R131)=0,"",SUM(O131:R131))))</f>
        <v/>
      </c>
      <c r="T131" s="77" t="str">
        <f aca="false">IF(B131="","",IF($N131="NON",0,IF(COUNT(O131:R131)=0,"",IFERROR(ROUND(SUM(O131:R131)/SUMPRODUCT(ISNUMBER(O131:R131)*$O$8:$R$8)*10,2),""))))</f>
        <v/>
      </c>
      <c r="U131" s="75"/>
      <c r="V131" s="76"/>
      <c r="W131" s="76"/>
      <c r="X131" s="76"/>
      <c r="Y131" s="76"/>
      <c r="Z131" s="79" t="str">
        <f aca="false">IF(B131="","",IF($U131="NON",0,IF(COUNT(V131:Y131)=0,"",SUM(V131:Y131))))</f>
        <v/>
      </c>
      <c r="AA131" s="77" t="str">
        <f aca="false">IF(B131="","",IF($U131="NON",0,IF(COUNT(V131:Y131)=0,"",IFERROR(ROUND(SUM(V131:Y131)/SUMPRODUCT(ISNUMBER(V131:Y131)*$V$8:$Y$8)*10,2),""))))</f>
        <v/>
      </c>
      <c r="AB131" s="75"/>
      <c r="AC131" s="76"/>
      <c r="AD131" s="76"/>
      <c r="AE131" s="76"/>
      <c r="AF131" s="76"/>
      <c r="AG131" s="79" t="str">
        <f aca="false">IF(B131="","",IF($AB131="NON",0,IF(COUNT(AC131:AF131)=0,"",SUM(AC131:AF131))))</f>
        <v/>
      </c>
      <c r="AH131" s="77" t="str">
        <f aca="false">IF(B131="","",IF($AB131="NON",0,IF(COUNT(AC131:AF131)=0,"",IFERROR(ROUND(SUM(AC131:AF131)/SUMPRODUCT(ISNUMBER(AC131:AF131)*$AC$8:$AF$8)*10,2),""))))</f>
        <v/>
      </c>
      <c r="AI131" s="51" t="str">
        <f aca="false">IFERROR(MATCH("CEM-122",'REGISTRE ELEVES'!$AI$10:$AI$250,0),"")</f>
        <v/>
      </c>
    </row>
    <row r="132" customFormat="false" ht="15" hidden="false" customHeight="false" outlineLevel="0" collapsed="false">
      <c r="A132" s="73" t="str">
        <f aca="false">IF(B132="","",123)</f>
        <v/>
      </c>
      <c r="B132" s="73" t="str">
        <f aca="false">IF($AI132="","",INDEX('REGISTRE ELEVES'!$B$10:$B$250,$AI132))</f>
        <v/>
      </c>
      <c r="C132" s="74" t="str">
        <f aca="false">IF($AI132="","",INDEX('REGISTRE ELEVES'!$D$10:$D$250,$AI132))</f>
        <v/>
      </c>
      <c r="D132" s="73" t="str">
        <f aca="false">IF($AI132="","",INDEX('REGISTRE ELEVES'!$E$10:$E$250,$AI132))</f>
        <v/>
      </c>
      <c r="E132" s="73" t="str">
        <f aca="false">IF($AI132="","",INDEX('REGISTRE ELEVES'!$F$10:$F$250,$AI132))</f>
        <v/>
      </c>
      <c r="F132" s="73" t="str">
        <f aca="false">IF($AI132="","",INDEX('REGISTRE ELEVES'!$AE$10:$AE$250,$AI132))</f>
        <v/>
      </c>
      <c r="G132" s="75"/>
      <c r="H132" s="76"/>
      <c r="I132" s="76"/>
      <c r="J132" s="76"/>
      <c r="K132" s="76"/>
      <c r="L132" s="79" t="str">
        <f aca="false">IF(B132="","",IF($G132="NON",0,IF(COUNT(H132:K132)=0,"",SUM(H132:K132))))</f>
        <v/>
      </c>
      <c r="M132" s="77" t="str">
        <f aca="false">IF(B132="","",IF($G132="NON",0,IF(COUNT(H132:K132)=0,"",IFERROR(ROUND(SUM(H132:K132)/SUMPRODUCT(ISNUMBER(H132:K132)*$H$8:$K$8)*10,2),""))))</f>
        <v/>
      </c>
      <c r="N132" s="75"/>
      <c r="O132" s="76"/>
      <c r="P132" s="76"/>
      <c r="Q132" s="76"/>
      <c r="R132" s="76"/>
      <c r="S132" s="79" t="str">
        <f aca="false">IF(B132="","",IF($N132="NON",0,IF(COUNT(O132:R132)=0,"",SUM(O132:R132))))</f>
        <v/>
      </c>
      <c r="T132" s="77" t="str">
        <f aca="false">IF(B132="","",IF($N132="NON",0,IF(COUNT(O132:R132)=0,"",IFERROR(ROUND(SUM(O132:R132)/SUMPRODUCT(ISNUMBER(O132:R132)*$O$8:$R$8)*10,2),""))))</f>
        <v/>
      </c>
      <c r="U132" s="75"/>
      <c r="V132" s="76"/>
      <c r="W132" s="76"/>
      <c r="X132" s="76"/>
      <c r="Y132" s="76"/>
      <c r="Z132" s="79" t="str">
        <f aca="false">IF(B132="","",IF($U132="NON",0,IF(COUNT(V132:Y132)=0,"",SUM(V132:Y132))))</f>
        <v/>
      </c>
      <c r="AA132" s="77" t="str">
        <f aca="false">IF(B132="","",IF($U132="NON",0,IF(COUNT(V132:Y132)=0,"",IFERROR(ROUND(SUM(V132:Y132)/SUMPRODUCT(ISNUMBER(V132:Y132)*$V$8:$Y$8)*10,2),""))))</f>
        <v/>
      </c>
      <c r="AB132" s="75"/>
      <c r="AC132" s="76"/>
      <c r="AD132" s="76"/>
      <c r="AE132" s="76"/>
      <c r="AF132" s="76"/>
      <c r="AG132" s="79" t="str">
        <f aca="false">IF(B132="","",IF($AB132="NON",0,IF(COUNT(AC132:AF132)=0,"",SUM(AC132:AF132))))</f>
        <v/>
      </c>
      <c r="AH132" s="77" t="str">
        <f aca="false">IF(B132="","",IF($AB132="NON",0,IF(COUNT(AC132:AF132)=0,"",IFERROR(ROUND(SUM(AC132:AF132)/SUMPRODUCT(ISNUMBER(AC132:AF132)*$AC$8:$AF$8)*10,2),""))))</f>
        <v/>
      </c>
      <c r="AI132" s="51" t="str">
        <f aca="false">IFERROR(MATCH("CEM-123",'REGISTRE ELEVES'!$AI$10:$AI$250,0),"")</f>
        <v/>
      </c>
    </row>
    <row r="133" customFormat="false" ht="15" hidden="false" customHeight="false" outlineLevel="0" collapsed="false">
      <c r="A133" s="73" t="str">
        <f aca="false">IF(B133="","",124)</f>
        <v/>
      </c>
      <c r="B133" s="73" t="str">
        <f aca="false">IF($AI133="","",INDEX('REGISTRE ELEVES'!$B$10:$B$250,$AI133))</f>
        <v/>
      </c>
      <c r="C133" s="74" t="str">
        <f aca="false">IF($AI133="","",INDEX('REGISTRE ELEVES'!$D$10:$D$250,$AI133))</f>
        <v/>
      </c>
      <c r="D133" s="73" t="str">
        <f aca="false">IF($AI133="","",INDEX('REGISTRE ELEVES'!$E$10:$E$250,$AI133))</f>
        <v/>
      </c>
      <c r="E133" s="73" t="str">
        <f aca="false">IF($AI133="","",INDEX('REGISTRE ELEVES'!$F$10:$F$250,$AI133))</f>
        <v/>
      </c>
      <c r="F133" s="73" t="str">
        <f aca="false">IF($AI133="","",INDEX('REGISTRE ELEVES'!$AE$10:$AE$250,$AI133))</f>
        <v/>
      </c>
      <c r="G133" s="75"/>
      <c r="H133" s="76"/>
      <c r="I133" s="76"/>
      <c r="J133" s="76"/>
      <c r="K133" s="76"/>
      <c r="L133" s="79" t="str">
        <f aca="false">IF(B133="","",IF($G133="NON",0,IF(COUNT(H133:K133)=0,"",SUM(H133:K133))))</f>
        <v/>
      </c>
      <c r="M133" s="77" t="str">
        <f aca="false">IF(B133="","",IF($G133="NON",0,IF(COUNT(H133:K133)=0,"",IFERROR(ROUND(SUM(H133:K133)/SUMPRODUCT(ISNUMBER(H133:K133)*$H$8:$K$8)*10,2),""))))</f>
        <v/>
      </c>
      <c r="N133" s="75"/>
      <c r="O133" s="76"/>
      <c r="P133" s="76"/>
      <c r="Q133" s="76"/>
      <c r="R133" s="76"/>
      <c r="S133" s="79" t="str">
        <f aca="false">IF(B133="","",IF($N133="NON",0,IF(COUNT(O133:R133)=0,"",SUM(O133:R133))))</f>
        <v/>
      </c>
      <c r="T133" s="77" t="str">
        <f aca="false">IF(B133="","",IF($N133="NON",0,IF(COUNT(O133:R133)=0,"",IFERROR(ROUND(SUM(O133:R133)/SUMPRODUCT(ISNUMBER(O133:R133)*$O$8:$R$8)*10,2),""))))</f>
        <v/>
      </c>
      <c r="U133" s="75"/>
      <c r="V133" s="76"/>
      <c r="W133" s="76"/>
      <c r="X133" s="76"/>
      <c r="Y133" s="76"/>
      <c r="Z133" s="79" t="str">
        <f aca="false">IF(B133="","",IF($U133="NON",0,IF(COUNT(V133:Y133)=0,"",SUM(V133:Y133))))</f>
        <v/>
      </c>
      <c r="AA133" s="77" t="str">
        <f aca="false">IF(B133="","",IF($U133="NON",0,IF(COUNT(V133:Y133)=0,"",IFERROR(ROUND(SUM(V133:Y133)/SUMPRODUCT(ISNUMBER(V133:Y133)*$V$8:$Y$8)*10,2),""))))</f>
        <v/>
      </c>
      <c r="AB133" s="75"/>
      <c r="AC133" s="76"/>
      <c r="AD133" s="76"/>
      <c r="AE133" s="76"/>
      <c r="AF133" s="76"/>
      <c r="AG133" s="79" t="str">
        <f aca="false">IF(B133="","",IF($AB133="NON",0,IF(COUNT(AC133:AF133)=0,"",SUM(AC133:AF133))))</f>
        <v/>
      </c>
      <c r="AH133" s="77" t="str">
        <f aca="false">IF(B133="","",IF($AB133="NON",0,IF(COUNT(AC133:AF133)=0,"",IFERROR(ROUND(SUM(AC133:AF133)/SUMPRODUCT(ISNUMBER(AC133:AF133)*$AC$8:$AF$8)*10,2),""))))</f>
        <v/>
      </c>
      <c r="AI133" s="51" t="str">
        <f aca="false">IFERROR(MATCH("CEM-124",'REGISTRE ELEVES'!$AI$10:$AI$250,0),"")</f>
        <v/>
      </c>
    </row>
    <row r="134" customFormat="false" ht="15" hidden="false" customHeight="false" outlineLevel="0" collapsed="false">
      <c r="A134" s="73" t="str">
        <f aca="false">IF(B134="","",125)</f>
        <v/>
      </c>
      <c r="B134" s="73" t="str">
        <f aca="false">IF($AI134="","",INDEX('REGISTRE ELEVES'!$B$10:$B$250,$AI134))</f>
        <v/>
      </c>
      <c r="C134" s="74" t="str">
        <f aca="false">IF($AI134="","",INDEX('REGISTRE ELEVES'!$D$10:$D$250,$AI134))</f>
        <v/>
      </c>
      <c r="D134" s="73" t="str">
        <f aca="false">IF($AI134="","",INDEX('REGISTRE ELEVES'!$E$10:$E$250,$AI134))</f>
        <v/>
      </c>
      <c r="E134" s="73" t="str">
        <f aca="false">IF($AI134="","",INDEX('REGISTRE ELEVES'!$F$10:$F$250,$AI134))</f>
        <v/>
      </c>
      <c r="F134" s="73" t="str">
        <f aca="false">IF($AI134="","",INDEX('REGISTRE ELEVES'!$AE$10:$AE$250,$AI134))</f>
        <v/>
      </c>
      <c r="G134" s="75"/>
      <c r="H134" s="76"/>
      <c r="I134" s="76"/>
      <c r="J134" s="76"/>
      <c r="K134" s="76"/>
      <c r="L134" s="79" t="str">
        <f aca="false">IF(B134="","",IF($G134="NON",0,IF(COUNT(H134:K134)=0,"",SUM(H134:K134))))</f>
        <v/>
      </c>
      <c r="M134" s="77" t="str">
        <f aca="false">IF(B134="","",IF($G134="NON",0,IF(COUNT(H134:K134)=0,"",IFERROR(ROUND(SUM(H134:K134)/SUMPRODUCT(ISNUMBER(H134:K134)*$H$8:$K$8)*10,2),""))))</f>
        <v/>
      </c>
      <c r="N134" s="75"/>
      <c r="O134" s="76"/>
      <c r="P134" s="76"/>
      <c r="Q134" s="76"/>
      <c r="R134" s="76"/>
      <c r="S134" s="79" t="str">
        <f aca="false">IF(B134="","",IF($N134="NON",0,IF(COUNT(O134:R134)=0,"",SUM(O134:R134))))</f>
        <v/>
      </c>
      <c r="T134" s="77" t="str">
        <f aca="false">IF(B134="","",IF($N134="NON",0,IF(COUNT(O134:R134)=0,"",IFERROR(ROUND(SUM(O134:R134)/SUMPRODUCT(ISNUMBER(O134:R134)*$O$8:$R$8)*10,2),""))))</f>
        <v/>
      </c>
      <c r="U134" s="75"/>
      <c r="V134" s="76"/>
      <c r="W134" s="76"/>
      <c r="X134" s="76"/>
      <c r="Y134" s="76"/>
      <c r="Z134" s="79" t="str">
        <f aca="false">IF(B134="","",IF($U134="NON",0,IF(COUNT(V134:Y134)=0,"",SUM(V134:Y134))))</f>
        <v/>
      </c>
      <c r="AA134" s="77" t="str">
        <f aca="false">IF(B134="","",IF($U134="NON",0,IF(COUNT(V134:Y134)=0,"",IFERROR(ROUND(SUM(V134:Y134)/SUMPRODUCT(ISNUMBER(V134:Y134)*$V$8:$Y$8)*10,2),""))))</f>
        <v/>
      </c>
      <c r="AB134" s="75"/>
      <c r="AC134" s="76"/>
      <c r="AD134" s="76"/>
      <c r="AE134" s="76"/>
      <c r="AF134" s="76"/>
      <c r="AG134" s="79" t="str">
        <f aca="false">IF(B134="","",IF($AB134="NON",0,IF(COUNT(AC134:AF134)=0,"",SUM(AC134:AF134))))</f>
        <v/>
      </c>
      <c r="AH134" s="77" t="str">
        <f aca="false">IF(B134="","",IF($AB134="NON",0,IF(COUNT(AC134:AF134)=0,"",IFERROR(ROUND(SUM(AC134:AF134)/SUMPRODUCT(ISNUMBER(AC134:AF134)*$AC$8:$AF$8)*10,2),""))))</f>
        <v/>
      </c>
      <c r="AI134" s="51" t="str">
        <f aca="false">IFERROR(MATCH("CEM-125",'REGISTRE ELEVES'!$AI$10:$AI$250,0),"")</f>
        <v/>
      </c>
    </row>
    <row r="135" customFormat="false" ht="15" hidden="false" customHeight="false" outlineLevel="0" collapsed="false">
      <c r="A135" s="73" t="str">
        <f aca="false">IF(B135="","",126)</f>
        <v/>
      </c>
      <c r="B135" s="73" t="str">
        <f aca="false">IF($AI135="","",INDEX('REGISTRE ELEVES'!$B$10:$B$250,$AI135))</f>
        <v/>
      </c>
      <c r="C135" s="74" t="str">
        <f aca="false">IF($AI135="","",INDEX('REGISTRE ELEVES'!$D$10:$D$250,$AI135))</f>
        <v/>
      </c>
      <c r="D135" s="73" t="str">
        <f aca="false">IF($AI135="","",INDEX('REGISTRE ELEVES'!$E$10:$E$250,$AI135))</f>
        <v/>
      </c>
      <c r="E135" s="73" t="str">
        <f aca="false">IF($AI135="","",INDEX('REGISTRE ELEVES'!$F$10:$F$250,$AI135))</f>
        <v/>
      </c>
      <c r="F135" s="73" t="str">
        <f aca="false">IF($AI135="","",INDEX('REGISTRE ELEVES'!$AE$10:$AE$250,$AI135))</f>
        <v/>
      </c>
      <c r="G135" s="75"/>
      <c r="H135" s="76"/>
      <c r="I135" s="76"/>
      <c r="J135" s="76"/>
      <c r="K135" s="76"/>
      <c r="L135" s="79" t="str">
        <f aca="false">IF(B135="","",IF($G135="NON",0,IF(COUNT(H135:K135)=0,"",SUM(H135:K135))))</f>
        <v/>
      </c>
      <c r="M135" s="77" t="str">
        <f aca="false">IF(B135="","",IF($G135="NON",0,IF(COUNT(H135:K135)=0,"",IFERROR(ROUND(SUM(H135:K135)/SUMPRODUCT(ISNUMBER(H135:K135)*$H$8:$K$8)*10,2),""))))</f>
        <v/>
      </c>
      <c r="N135" s="75"/>
      <c r="O135" s="76"/>
      <c r="P135" s="76"/>
      <c r="Q135" s="76"/>
      <c r="R135" s="76"/>
      <c r="S135" s="79" t="str">
        <f aca="false">IF(B135="","",IF($N135="NON",0,IF(COUNT(O135:R135)=0,"",SUM(O135:R135))))</f>
        <v/>
      </c>
      <c r="T135" s="77" t="str">
        <f aca="false">IF(B135="","",IF($N135="NON",0,IF(COUNT(O135:R135)=0,"",IFERROR(ROUND(SUM(O135:R135)/SUMPRODUCT(ISNUMBER(O135:R135)*$O$8:$R$8)*10,2),""))))</f>
        <v/>
      </c>
      <c r="U135" s="75"/>
      <c r="V135" s="76"/>
      <c r="W135" s="76"/>
      <c r="X135" s="76"/>
      <c r="Y135" s="76"/>
      <c r="Z135" s="79" t="str">
        <f aca="false">IF(B135="","",IF($U135="NON",0,IF(COUNT(V135:Y135)=0,"",SUM(V135:Y135))))</f>
        <v/>
      </c>
      <c r="AA135" s="77" t="str">
        <f aca="false">IF(B135="","",IF($U135="NON",0,IF(COUNT(V135:Y135)=0,"",IFERROR(ROUND(SUM(V135:Y135)/SUMPRODUCT(ISNUMBER(V135:Y135)*$V$8:$Y$8)*10,2),""))))</f>
        <v/>
      </c>
      <c r="AB135" s="75"/>
      <c r="AC135" s="76"/>
      <c r="AD135" s="76"/>
      <c r="AE135" s="76"/>
      <c r="AF135" s="76"/>
      <c r="AG135" s="79" t="str">
        <f aca="false">IF(B135="","",IF($AB135="NON",0,IF(COUNT(AC135:AF135)=0,"",SUM(AC135:AF135))))</f>
        <v/>
      </c>
      <c r="AH135" s="77" t="str">
        <f aca="false">IF(B135="","",IF($AB135="NON",0,IF(COUNT(AC135:AF135)=0,"",IFERROR(ROUND(SUM(AC135:AF135)/SUMPRODUCT(ISNUMBER(AC135:AF135)*$AC$8:$AF$8)*10,2),""))))</f>
        <v/>
      </c>
      <c r="AI135" s="51" t="str">
        <f aca="false">IFERROR(MATCH("CEM-126",'REGISTRE ELEVES'!$AI$10:$AI$250,0),"")</f>
        <v/>
      </c>
    </row>
    <row r="136" customFormat="false" ht="15" hidden="false" customHeight="false" outlineLevel="0" collapsed="false">
      <c r="A136" s="73" t="str">
        <f aca="false">IF(B136="","",127)</f>
        <v/>
      </c>
      <c r="B136" s="73" t="str">
        <f aca="false">IF($AI136="","",INDEX('REGISTRE ELEVES'!$B$10:$B$250,$AI136))</f>
        <v/>
      </c>
      <c r="C136" s="74" t="str">
        <f aca="false">IF($AI136="","",INDEX('REGISTRE ELEVES'!$D$10:$D$250,$AI136))</f>
        <v/>
      </c>
      <c r="D136" s="73" t="str">
        <f aca="false">IF($AI136="","",INDEX('REGISTRE ELEVES'!$E$10:$E$250,$AI136))</f>
        <v/>
      </c>
      <c r="E136" s="73" t="str">
        <f aca="false">IF($AI136="","",INDEX('REGISTRE ELEVES'!$F$10:$F$250,$AI136))</f>
        <v/>
      </c>
      <c r="F136" s="73" t="str">
        <f aca="false">IF($AI136="","",INDEX('REGISTRE ELEVES'!$AE$10:$AE$250,$AI136))</f>
        <v/>
      </c>
      <c r="G136" s="75"/>
      <c r="H136" s="76"/>
      <c r="I136" s="76"/>
      <c r="J136" s="76"/>
      <c r="K136" s="76"/>
      <c r="L136" s="79" t="str">
        <f aca="false">IF(B136="","",IF($G136="NON",0,IF(COUNT(H136:K136)=0,"",SUM(H136:K136))))</f>
        <v/>
      </c>
      <c r="M136" s="77" t="str">
        <f aca="false">IF(B136="","",IF($G136="NON",0,IF(COUNT(H136:K136)=0,"",IFERROR(ROUND(SUM(H136:K136)/SUMPRODUCT(ISNUMBER(H136:K136)*$H$8:$K$8)*10,2),""))))</f>
        <v/>
      </c>
      <c r="N136" s="75"/>
      <c r="O136" s="76"/>
      <c r="P136" s="76"/>
      <c r="Q136" s="76"/>
      <c r="R136" s="76"/>
      <c r="S136" s="79" t="str">
        <f aca="false">IF(B136="","",IF($N136="NON",0,IF(COUNT(O136:R136)=0,"",SUM(O136:R136))))</f>
        <v/>
      </c>
      <c r="T136" s="77" t="str">
        <f aca="false">IF(B136="","",IF($N136="NON",0,IF(COUNT(O136:R136)=0,"",IFERROR(ROUND(SUM(O136:R136)/SUMPRODUCT(ISNUMBER(O136:R136)*$O$8:$R$8)*10,2),""))))</f>
        <v/>
      </c>
      <c r="U136" s="75"/>
      <c r="V136" s="76"/>
      <c r="W136" s="76"/>
      <c r="X136" s="76"/>
      <c r="Y136" s="76"/>
      <c r="Z136" s="79" t="str">
        <f aca="false">IF(B136="","",IF($U136="NON",0,IF(COUNT(V136:Y136)=0,"",SUM(V136:Y136))))</f>
        <v/>
      </c>
      <c r="AA136" s="77" t="str">
        <f aca="false">IF(B136="","",IF($U136="NON",0,IF(COUNT(V136:Y136)=0,"",IFERROR(ROUND(SUM(V136:Y136)/SUMPRODUCT(ISNUMBER(V136:Y136)*$V$8:$Y$8)*10,2),""))))</f>
        <v/>
      </c>
      <c r="AB136" s="75"/>
      <c r="AC136" s="76"/>
      <c r="AD136" s="76"/>
      <c r="AE136" s="76"/>
      <c r="AF136" s="76"/>
      <c r="AG136" s="79" t="str">
        <f aca="false">IF(B136="","",IF($AB136="NON",0,IF(COUNT(AC136:AF136)=0,"",SUM(AC136:AF136))))</f>
        <v/>
      </c>
      <c r="AH136" s="77" t="str">
        <f aca="false">IF(B136="","",IF($AB136="NON",0,IF(COUNT(AC136:AF136)=0,"",IFERROR(ROUND(SUM(AC136:AF136)/SUMPRODUCT(ISNUMBER(AC136:AF136)*$AC$8:$AF$8)*10,2),""))))</f>
        <v/>
      </c>
      <c r="AI136" s="51" t="str">
        <f aca="false">IFERROR(MATCH("CEM-127",'REGISTRE ELEVES'!$AI$10:$AI$250,0),"")</f>
        <v/>
      </c>
    </row>
    <row r="137" customFormat="false" ht="15" hidden="false" customHeight="false" outlineLevel="0" collapsed="false">
      <c r="A137" s="73" t="str">
        <f aca="false">IF(B137="","",128)</f>
        <v/>
      </c>
      <c r="B137" s="73" t="str">
        <f aca="false">IF($AI137="","",INDEX('REGISTRE ELEVES'!$B$10:$B$250,$AI137))</f>
        <v/>
      </c>
      <c r="C137" s="74" t="str">
        <f aca="false">IF($AI137="","",INDEX('REGISTRE ELEVES'!$D$10:$D$250,$AI137))</f>
        <v/>
      </c>
      <c r="D137" s="73" t="str">
        <f aca="false">IF($AI137="","",INDEX('REGISTRE ELEVES'!$E$10:$E$250,$AI137))</f>
        <v/>
      </c>
      <c r="E137" s="73" t="str">
        <f aca="false">IF($AI137="","",INDEX('REGISTRE ELEVES'!$F$10:$F$250,$AI137))</f>
        <v/>
      </c>
      <c r="F137" s="73" t="str">
        <f aca="false">IF($AI137="","",INDEX('REGISTRE ELEVES'!$AE$10:$AE$250,$AI137))</f>
        <v/>
      </c>
      <c r="G137" s="75"/>
      <c r="H137" s="76"/>
      <c r="I137" s="76"/>
      <c r="J137" s="76"/>
      <c r="K137" s="76"/>
      <c r="L137" s="79" t="str">
        <f aca="false">IF(B137="","",IF($G137="NON",0,IF(COUNT(H137:K137)=0,"",SUM(H137:K137))))</f>
        <v/>
      </c>
      <c r="M137" s="77" t="str">
        <f aca="false">IF(B137="","",IF($G137="NON",0,IF(COUNT(H137:K137)=0,"",IFERROR(ROUND(SUM(H137:K137)/SUMPRODUCT(ISNUMBER(H137:K137)*$H$8:$K$8)*10,2),""))))</f>
        <v/>
      </c>
      <c r="N137" s="75"/>
      <c r="O137" s="76"/>
      <c r="P137" s="76"/>
      <c r="Q137" s="76"/>
      <c r="R137" s="76"/>
      <c r="S137" s="79" t="str">
        <f aca="false">IF(B137="","",IF($N137="NON",0,IF(COUNT(O137:R137)=0,"",SUM(O137:R137))))</f>
        <v/>
      </c>
      <c r="T137" s="77" t="str">
        <f aca="false">IF(B137="","",IF($N137="NON",0,IF(COUNT(O137:R137)=0,"",IFERROR(ROUND(SUM(O137:R137)/SUMPRODUCT(ISNUMBER(O137:R137)*$O$8:$R$8)*10,2),""))))</f>
        <v/>
      </c>
      <c r="U137" s="75"/>
      <c r="V137" s="76"/>
      <c r="W137" s="76"/>
      <c r="X137" s="76"/>
      <c r="Y137" s="76"/>
      <c r="Z137" s="79" t="str">
        <f aca="false">IF(B137="","",IF($U137="NON",0,IF(COUNT(V137:Y137)=0,"",SUM(V137:Y137))))</f>
        <v/>
      </c>
      <c r="AA137" s="77" t="str">
        <f aca="false">IF(B137="","",IF($U137="NON",0,IF(COUNT(V137:Y137)=0,"",IFERROR(ROUND(SUM(V137:Y137)/SUMPRODUCT(ISNUMBER(V137:Y137)*$V$8:$Y$8)*10,2),""))))</f>
        <v/>
      </c>
      <c r="AB137" s="75"/>
      <c r="AC137" s="76"/>
      <c r="AD137" s="76"/>
      <c r="AE137" s="76"/>
      <c r="AF137" s="76"/>
      <c r="AG137" s="79" t="str">
        <f aca="false">IF(B137="","",IF($AB137="NON",0,IF(COUNT(AC137:AF137)=0,"",SUM(AC137:AF137))))</f>
        <v/>
      </c>
      <c r="AH137" s="77" t="str">
        <f aca="false">IF(B137="","",IF($AB137="NON",0,IF(COUNT(AC137:AF137)=0,"",IFERROR(ROUND(SUM(AC137:AF137)/SUMPRODUCT(ISNUMBER(AC137:AF137)*$AC$8:$AF$8)*10,2),""))))</f>
        <v/>
      </c>
      <c r="AI137" s="51" t="str">
        <f aca="false">IFERROR(MATCH("CEM-128",'REGISTRE ELEVES'!$AI$10:$AI$250,0),"")</f>
        <v/>
      </c>
    </row>
    <row r="138" customFormat="false" ht="15" hidden="false" customHeight="false" outlineLevel="0" collapsed="false">
      <c r="A138" s="73" t="str">
        <f aca="false">IF(B138="","",129)</f>
        <v/>
      </c>
      <c r="B138" s="73" t="str">
        <f aca="false">IF($AI138="","",INDEX('REGISTRE ELEVES'!$B$10:$B$250,$AI138))</f>
        <v/>
      </c>
      <c r="C138" s="74" t="str">
        <f aca="false">IF($AI138="","",INDEX('REGISTRE ELEVES'!$D$10:$D$250,$AI138))</f>
        <v/>
      </c>
      <c r="D138" s="73" t="str">
        <f aca="false">IF($AI138="","",INDEX('REGISTRE ELEVES'!$E$10:$E$250,$AI138))</f>
        <v/>
      </c>
      <c r="E138" s="73" t="str">
        <f aca="false">IF($AI138="","",INDEX('REGISTRE ELEVES'!$F$10:$F$250,$AI138))</f>
        <v/>
      </c>
      <c r="F138" s="73" t="str">
        <f aca="false">IF($AI138="","",INDEX('REGISTRE ELEVES'!$AE$10:$AE$250,$AI138))</f>
        <v/>
      </c>
      <c r="G138" s="75"/>
      <c r="H138" s="76"/>
      <c r="I138" s="76"/>
      <c r="J138" s="76"/>
      <c r="K138" s="76"/>
      <c r="L138" s="79" t="str">
        <f aca="false">IF(B138="","",IF($G138="NON",0,IF(COUNT(H138:K138)=0,"",SUM(H138:K138))))</f>
        <v/>
      </c>
      <c r="M138" s="77" t="str">
        <f aca="false">IF(B138="","",IF($G138="NON",0,IF(COUNT(H138:K138)=0,"",IFERROR(ROUND(SUM(H138:K138)/SUMPRODUCT(ISNUMBER(H138:K138)*$H$8:$K$8)*10,2),""))))</f>
        <v/>
      </c>
      <c r="N138" s="75"/>
      <c r="O138" s="76"/>
      <c r="P138" s="76"/>
      <c r="Q138" s="76"/>
      <c r="R138" s="76"/>
      <c r="S138" s="79" t="str">
        <f aca="false">IF(B138="","",IF($N138="NON",0,IF(COUNT(O138:R138)=0,"",SUM(O138:R138))))</f>
        <v/>
      </c>
      <c r="T138" s="77" t="str">
        <f aca="false">IF(B138="","",IF($N138="NON",0,IF(COUNT(O138:R138)=0,"",IFERROR(ROUND(SUM(O138:R138)/SUMPRODUCT(ISNUMBER(O138:R138)*$O$8:$R$8)*10,2),""))))</f>
        <v/>
      </c>
      <c r="U138" s="75"/>
      <c r="V138" s="76"/>
      <c r="W138" s="76"/>
      <c r="X138" s="76"/>
      <c r="Y138" s="76"/>
      <c r="Z138" s="79" t="str">
        <f aca="false">IF(B138="","",IF($U138="NON",0,IF(COUNT(V138:Y138)=0,"",SUM(V138:Y138))))</f>
        <v/>
      </c>
      <c r="AA138" s="77" t="str">
        <f aca="false">IF(B138="","",IF($U138="NON",0,IF(COUNT(V138:Y138)=0,"",IFERROR(ROUND(SUM(V138:Y138)/SUMPRODUCT(ISNUMBER(V138:Y138)*$V$8:$Y$8)*10,2),""))))</f>
        <v/>
      </c>
      <c r="AB138" s="75"/>
      <c r="AC138" s="76"/>
      <c r="AD138" s="76"/>
      <c r="AE138" s="76"/>
      <c r="AF138" s="76"/>
      <c r="AG138" s="79" t="str">
        <f aca="false">IF(B138="","",IF($AB138="NON",0,IF(COUNT(AC138:AF138)=0,"",SUM(AC138:AF138))))</f>
        <v/>
      </c>
      <c r="AH138" s="77" t="str">
        <f aca="false">IF(B138="","",IF($AB138="NON",0,IF(COUNT(AC138:AF138)=0,"",IFERROR(ROUND(SUM(AC138:AF138)/SUMPRODUCT(ISNUMBER(AC138:AF138)*$AC$8:$AF$8)*10,2),""))))</f>
        <v/>
      </c>
      <c r="AI138" s="51" t="str">
        <f aca="false">IFERROR(MATCH("CEM-129",'REGISTRE ELEVES'!$AI$10:$AI$250,0),"")</f>
        <v/>
      </c>
    </row>
    <row r="139" customFormat="false" ht="15" hidden="false" customHeight="false" outlineLevel="0" collapsed="false">
      <c r="A139" s="73" t="str">
        <f aca="false">IF(B139="","",130)</f>
        <v/>
      </c>
      <c r="B139" s="73" t="str">
        <f aca="false">IF($AI139="","",INDEX('REGISTRE ELEVES'!$B$10:$B$250,$AI139))</f>
        <v/>
      </c>
      <c r="C139" s="74" t="str">
        <f aca="false">IF($AI139="","",INDEX('REGISTRE ELEVES'!$D$10:$D$250,$AI139))</f>
        <v/>
      </c>
      <c r="D139" s="73" t="str">
        <f aca="false">IF($AI139="","",INDEX('REGISTRE ELEVES'!$E$10:$E$250,$AI139))</f>
        <v/>
      </c>
      <c r="E139" s="73" t="str">
        <f aca="false">IF($AI139="","",INDEX('REGISTRE ELEVES'!$F$10:$F$250,$AI139))</f>
        <v/>
      </c>
      <c r="F139" s="73" t="str">
        <f aca="false">IF($AI139="","",INDEX('REGISTRE ELEVES'!$AE$10:$AE$250,$AI139))</f>
        <v/>
      </c>
      <c r="G139" s="75"/>
      <c r="H139" s="76"/>
      <c r="I139" s="76"/>
      <c r="J139" s="76"/>
      <c r="K139" s="76"/>
      <c r="L139" s="79" t="str">
        <f aca="false">IF(B139="","",IF($G139="NON",0,IF(COUNT(H139:K139)=0,"",SUM(H139:K139))))</f>
        <v/>
      </c>
      <c r="M139" s="77" t="str">
        <f aca="false">IF(B139="","",IF($G139="NON",0,IF(COUNT(H139:K139)=0,"",IFERROR(ROUND(SUM(H139:K139)/SUMPRODUCT(ISNUMBER(H139:K139)*$H$8:$K$8)*10,2),""))))</f>
        <v/>
      </c>
      <c r="N139" s="75"/>
      <c r="O139" s="76"/>
      <c r="P139" s="76"/>
      <c r="Q139" s="76"/>
      <c r="R139" s="76"/>
      <c r="S139" s="79" t="str">
        <f aca="false">IF(B139="","",IF($N139="NON",0,IF(COUNT(O139:R139)=0,"",SUM(O139:R139))))</f>
        <v/>
      </c>
      <c r="T139" s="77" t="str">
        <f aca="false">IF(B139="","",IF($N139="NON",0,IF(COUNT(O139:R139)=0,"",IFERROR(ROUND(SUM(O139:R139)/SUMPRODUCT(ISNUMBER(O139:R139)*$O$8:$R$8)*10,2),""))))</f>
        <v/>
      </c>
      <c r="U139" s="75"/>
      <c r="V139" s="76"/>
      <c r="W139" s="76"/>
      <c r="X139" s="76"/>
      <c r="Y139" s="76"/>
      <c r="Z139" s="79" t="str">
        <f aca="false">IF(B139="","",IF($U139="NON",0,IF(COUNT(V139:Y139)=0,"",SUM(V139:Y139))))</f>
        <v/>
      </c>
      <c r="AA139" s="77" t="str">
        <f aca="false">IF(B139="","",IF($U139="NON",0,IF(COUNT(V139:Y139)=0,"",IFERROR(ROUND(SUM(V139:Y139)/SUMPRODUCT(ISNUMBER(V139:Y139)*$V$8:$Y$8)*10,2),""))))</f>
        <v/>
      </c>
      <c r="AB139" s="75"/>
      <c r="AC139" s="76"/>
      <c r="AD139" s="76"/>
      <c r="AE139" s="76"/>
      <c r="AF139" s="76"/>
      <c r="AG139" s="79" t="str">
        <f aca="false">IF(B139="","",IF($AB139="NON",0,IF(COUNT(AC139:AF139)=0,"",SUM(AC139:AF139))))</f>
        <v/>
      </c>
      <c r="AH139" s="77" t="str">
        <f aca="false">IF(B139="","",IF($AB139="NON",0,IF(COUNT(AC139:AF139)=0,"",IFERROR(ROUND(SUM(AC139:AF139)/SUMPRODUCT(ISNUMBER(AC139:AF139)*$AC$8:$AF$8)*10,2),""))))</f>
        <v/>
      </c>
      <c r="AI139" s="51" t="str">
        <f aca="false">IFERROR(MATCH("CEM-130",'REGISTRE ELEVES'!$AI$10:$AI$250,0),"")</f>
        <v/>
      </c>
    </row>
    <row r="140" customFormat="false" ht="15" hidden="false" customHeight="false" outlineLevel="0" collapsed="false">
      <c r="A140" s="73" t="str">
        <f aca="false">IF(B140="","",131)</f>
        <v/>
      </c>
      <c r="B140" s="73" t="str">
        <f aca="false">IF($AI140="","",INDEX('REGISTRE ELEVES'!$B$10:$B$250,$AI140))</f>
        <v/>
      </c>
      <c r="C140" s="74" t="str">
        <f aca="false">IF($AI140="","",INDEX('REGISTRE ELEVES'!$D$10:$D$250,$AI140))</f>
        <v/>
      </c>
      <c r="D140" s="73" t="str">
        <f aca="false">IF($AI140="","",INDEX('REGISTRE ELEVES'!$E$10:$E$250,$AI140))</f>
        <v/>
      </c>
      <c r="E140" s="73" t="str">
        <f aca="false">IF($AI140="","",INDEX('REGISTRE ELEVES'!$F$10:$F$250,$AI140))</f>
        <v/>
      </c>
      <c r="F140" s="73" t="str">
        <f aca="false">IF($AI140="","",INDEX('REGISTRE ELEVES'!$AE$10:$AE$250,$AI140))</f>
        <v/>
      </c>
      <c r="G140" s="75"/>
      <c r="H140" s="76"/>
      <c r="I140" s="76"/>
      <c r="J140" s="76"/>
      <c r="K140" s="76"/>
      <c r="L140" s="79" t="str">
        <f aca="false">IF(B140="","",IF($G140="NON",0,IF(COUNT(H140:K140)=0,"",SUM(H140:K140))))</f>
        <v/>
      </c>
      <c r="M140" s="77" t="str">
        <f aca="false">IF(B140="","",IF($G140="NON",0,IF(COUNT(H140:K140)=0,"",IFERROR(ROUND(SUM(H140:K140)/SUMPRODUCT(ISNUMBER(H140:K140)*$H$8:$K$8)*10,2),""))))</f>
        <v/>
      </c>
      <c r="N140" s="75"/>
      <c r="O140" s="76"/>
      <c r="P140" s="76"/>
      <c r="Q140" s="76"/>
      <c r="R140" s="76"/>
      <c r="S140" s="79" t="str">
        <f aca="false">IF(B140="","",IF($N140="NON",0,IF(COUNT(O140:R140)=0,"",SUM(O140:R140))))</f>
        <v/>
      </c>
      <c r="T140" s="77" t="str">
        <f aca="false">IF(B140="","",IF($N140="NON",0,IF(COUNT(O140:R140)=0,"",IFERROR(ROUND(SUM(O140:R140)/SUMPRODUCT(ISNUMBER(O140:R140)*$O$8:$R$8)*10,2),""))))</f>
        <v/>
      </c>
      <c r="U140" s="75"/>
      <c r="V140" s="76"/>
      <c r="W140" s="76"/>
      <c r="X140" s="76"/>
      <c r="Y140" s="76"/>
      <c r="Z140" s="79" t="str">
        <f aca="false">IF(B140="","",IF($U140="NON",0,IF(COUNT(V140:Y140)=0,"",SUM(V140:Y140))))</f>
        <v/>
      </c>
      <c r="AA140" s="77" t="str">
        <f aca="false">IF(B140="","",IF($U140="NON",0,IF(COUNT(V140:Y140)=0,"",IFERROR(ROUND(SUM(V140:Y140)/SUMPRODUCT(ISNUMBER(V140:Y140)*$V$8:$Y$8)*10,2),""))))</f>
        <v/>
      </c>
      <c r="AB140" s="75"/>
      <c r="AC140" s="76"/>
      <c r="AD140" s="76"/>
      <c r="AE140" s="76"/>
      <c r="AF140" s="76"/>
      <c r="AG140" s="79" t="str">
        <f aca="false">IF(B140="","",IF($AB140="NON",0,IF(COUNT(AC140:AF140)=0,"",SUM(AC140:AF140))))</f>
        <v/>
      </c>
      <c r="AH140" s="77" t="str">
        <f aca="false">IF(B140="","",IF($AB140="NON",0,IF(COUNT(AC140:AF140)=0,"",IFERROR(ROUND(SUM(AC140:AF140)/SUMPRODUCT(ISNUMBER(AC140:AF140)*$AC$8:$AF$8)*10,2),""))))</f>
        <v/>
      </c>
      <c r="AI140" s="51" t="str">
        <f aca="false">IFERROR(MATCH("CEM-131",'REGISTRE ELEVES'!$AI$10:$AI$250,0),"")</f>
        <v/>
      </c>
    </row>
    <row r="141" customFormat="false" ht="15" hidden="false" customHeight="false" outlineLevel="0" collapsed="false">
      <c r="A141" s="73" t="str">
        <f aca="false">IF(B141="","",132)</f>
        <v/>
      </c>
      <c r="B141" s="73" t="str">
        <f aca="false">IF($AI141="","",INDEX('REGISTRE ELEVES'!$B$10:$B$250,$AI141))</f>
        <v/>
      </c>
      <c r="C141" s="74" t="str">
        <f aca="false">IF($AI141="","",INDEX('REGISTRE ELEVES'!$D$10:$D$250,$AI141))</f>
        <v/>
      </c>
      <c r="D141" s="73" t="str">
        <f aca="false">IF($AI141="","",INDEX('REGISTRE ELEVES'!$E$10:$E$250,$AI141))</f>
        <v/>
      </c>
      <c r="E141" s="73" t="str">
        <f aca="false">IF($AI141="","",INDEX('REGISTRE ELEVES'!$F$10:$F$250,$AI141))</f>
        <v/>
      </c>
      <c r="F141" s="73" t="str">
        <f aca="false">IF($AI141="","",INDEX('REGISTRE ELEVES'!$AE$10:$AE$250,$AI141))</f>
        <v/>
      </c>
      <c r="G141" s="75"/>
      <c r="H141" s="76"/>
      <c r="I141" s="76"/>
      <c r="J141" s="76"/>
      <c r="K141" s="76"/>
      <c r="L141" s="79" t="str">
        <f aca="false">IF(B141="","",IF($G141="NON",0,IF(COUNT(H141:K141)=0,"",SUM(H141:K141))))</f>
        <v/>
      </c>
      <c r="M141" s="77" t="str">
        <f aca="false">IF(B141="","",IF($G141="NON",0,IF(COUNT(H141:K141)=0,"",IFERROR(ROUND(SUM(H141:K141)/SUMPRODUCT(ISNUMBER(H141:K141)*$H$8:$K$8)*10,2),""))))</f>
        <v/>
      </c>
      <c r="N141" s="75"/>
      <c r="O141" s="76"/>
      <c r="P141" s="76"/>
      <c r="Q141" s="76"/>
      <c r="R141" s="76"/>
      <c r="S141" s="79" t="str">
        <f aca="false">IF(B141="","",IF($N141="NON",0,IF(COUNT(O141:R141)=0,"",SUM(O141:R141))))</f>
        <v/>
      </c>
      <c r="T141" s="77" t="str">
        <f aca="false">IF(B141="","",IF($N141="NON",0,IF(COUNT(O141:R141)=0,"",IFERROR(ROUND(SUM(O141:R141)/SUMPRODUCT(ISNUMBER(O141:R141)*$O$8:$R$8)*10,2),""))))</f>
        <v/>
      </c>
      <c r="U141" s="75"/>
      <c r="V141" s="76"/>
      <c r="W141" s="76"/>
      <c r="X141" s="76"/>
      <c r="Y141" s="76"/>
      <c r="Z141" s="79" t="str">
        <f aca="false">IF(B141="","",IF($U141="NON",0,IF(COUNT(V141:Y141)=0,"",SUM(V141:Y141))))</f>
        <v/>
      </c>
      <c r="AA141" s="77" t="str">
        <f aca="false">IF(B141="","",IF($U141="NON",0,IF(COUNT(V141:Y141)=0,"",IFERROR(ROUND(SUM(V141:Y141)/SUMPRODUCT(ISNUMBER(V141:Y141)*$V$8:$Y$8)*10,2),""))))</f>
        <v/>
      </c>
      <c r="AB141" s="75"/>
      <c r="AC141" s="76"/>
      <c r="AD141" s="76"/>
      <c r="AE141" s="76"/>
      <c r="AF141" s="76"/>
      <c r="AG141" s="79" t="str">
        <f aca="false">IF(B141="","",IF($AB141="NON",0,IF(COUNT(AC141:AF141)=0,"",SUM(AC141:AF141))))</f>
        <v/>
      </c>
      <c r="AH141" s="77" t="str">
        <f aca="false">IF(B141="","",IF($AB141="NON",0,IF(COUNT(AC141:AF141)=0,"",IFERROR(ROUND(SUM(AC141:AF141)/SUMPRODUCT(ISNUMBER(AC141:AF141)*$AC$8:$AF$8)*10,2),""))))</f>
        <v/>
      </c>
      <c r="AI141" s="51" t="str">
        <f aca="false">IFERROR(MATCH("CEM-132",'REGISTRE ELEVES'!$AI$10:$AI$250,0),"")</f>
        <v/>
      </c>
    </row>
    <row r="142" customFormat="false" ht="15" hidden="false" customHeight="false" outlineLevel="0" collapsed="false">
      <c r="A142" s="73" t="str">
        <f aca="false">IF(B142="","",133)</f>
        <v/>
      </c>
      <c r="B142" s="73" t="str">
        <f aca="false">IF($AI142="","",INDEX('REGISTRE ELEVES'!$B$10:$B$250,$AI142))</f>
        <v/>
      </c>
      <c r="C142" s="74" t="str">
        <f aca="false">IF($AI142="","",INDEX('REGISTRE ELEVES'!$D$10:$D$250,$AI142))</f>
        <v/>
      </c>
      <c r="D142" s="73" t="str">
        <f aca="false">IF($AI142="","",INDEX('REGISTRE ELEVES'!$E$10:$E$250,$AI142))</f>
        <v/>
      </c>
      <c r="E142" s="73" t="str">
        <f aca="false">IF($AI142="","",INDEX('REGISTRE ELEVES'!$F$10:$F$250,$AI142))</f>
        <v/>
      </c>
      <c r="F142" s="73" t="str">
        <f aca="false">IF($AI142="","",INDEX('REGISTRE ELEVES'!$AE$10:$AE$250,$AI142))</f>
        <v/>
      </c>
      <c r="G142" s="75"/>
      <c r="H142" s="76"/>
      <c r="I142" s="76"/>
      <c r="J142" s="76"/>
      <c r="K142" s="76"/>
      <c r="L142" s="79" t="str">
        <f aca="false">IF(B142="","",IF($G142="NON",0,IF(COUNT(H142:K142)=0,"",SUM(H142:K142))))</f>
        <v/>
      </c>
      <c r="M142" s="77" t="str">
        <f aca="false">IF(B142="","",IF($G142="NON",0,IF(COUNT(H142:K142)=0,"",IFERROR(ROUND(SUM(H142:K142)/SUMPRODUCT(ISNUMBER(H142:K142)*$H$8:$K$8)*10,2),""))))</f>
        <v/>
      </c>
      <c r="N142" s="75"/>
      <c r="O142" s="76"/>
      <c r="P142" s="76"/>
      <c r="Q142" s="76"/>
      <c r="R142" s="76"/>
      <c r="S142" s="79" t="str">
        <f aca="false">IF(B142="","",IF($N142="NON",0,IF(COUNT(O142:R142)=0,"",SUM(O142:R142))))</f>
        <v/>
      </c>
      <c r="T142" s="77" t="str">
        <f aca="false">IF(B142="","",IF($N142="NON",0,IF(COUNT(O142:R142)=0,"",IFERROR(ROUND(SUM(O142:R142)/SUMPRODUCT(ISNUMBER(O142:R142)*$O$8:$R$8)*10,2),""))))</f>
        <v/>
      </c>
      <c r="U142" s="75"/>
      <c r="V142" s="76"/>
      <c r="W142" s="76"/>
      <c r="X142" s="76"/>
      <c r="Y142" s="76"/>
      <c r="Z142" s="79" t="str">
        <f aca="false">IF(B142="","",IF($U142="NON",0,IF(COUNT(V142:Y142)=0,"",SUM(V142:Y142))))</f>
        <v/>
      </c>
      <c r="AA142" s="77" t="str">
        <f aca="false">IF(B142="","",IF($U142="NON",0,IF(COUNT(V142:Y142)=0,"",IFERROR(ROUND(SUM(V142:Y142)/SUMPRODUCT(ISNUMBER(V142:Y142)*$V$8:$Y$8)*10,2),""))))</f>
        <v/>
      </c>
      <c r="AB142" s="75"/>
      <c r="AC142" s="76"/>
      <c r="AD142" s="76"/>
      <c r="AE142" s="76"/>
      <c r="AF142" s="76"/>
      <c r="AG142" s="79" t="str">
        <f aca="false">IF(B142="","",IF($AB142="NON",0,IF(COUNT(AC142:AF142)=0,"",SUM(AC142:AF142))))</f>
        <v/>
      </c>
      <c r="AH142" s="77" t="str">
        <f aca="false">IF(B142="","",IF($AB142="NON",0,IF(COUNT(AC142:AF142)=0,"",IFERROR(ROUND(SUM(AC142:AF142)/SUMPRODUCT(ISNUMBER(AC142:AF142)*$AC$8:$AF$8)*10,2),""))))</f>
        <v/>
      </c>
      <c r="AI142" s="51" t="str">
        <f aca="false">IFERROR(MATCH("CEM-133",'REGISTRE ELEVES'!$AI$10:$AI$250,0),"")</f>
        <v/>
      </c>
    </row>
    <row r="143" customFormat="false" ht="15" hidden="false" customHeight="false" outlineLevel="0" collapsed="false">
      <c r="A143" s="73" t="str">
        <f aca="false">IF(B143="","",134)</f>
        <v/>
      </c>
      <c r="B143" s="73" t="str">
        <f aca="false">IF($AI143="","",INDEX('REGISTRE ELEVES'!$B$10:$B$250,$AI143))</f>
        <v/>
      </c>
      <c r="C143" s="74" t="str">
        <f aca="false">IF($AI143="","",INDEX('REGISTRE ELEVES'!$D$10:$D$250,$AI143))</f>
        <v/>
      </c>
      <c r="D143" s="73" t="str">
        <f aca="false">IF($AI143="","",INDEX('REGISTRE ELEVES'!$E$10:$E$250,$AI143))</f>
        <v/>
      </c>
      <c r="E143" s="73" t="str">
        <f aca="false">IF($AI143="","",INDEX('REGISTRE ELEVES'!$F$10:$F$250,$AI143))</f>
        <v/>
      </c>
      <c r="F143" s="73" t="str">
        <f aca="false">IF($AI143="","",INDEX('REGISTRE ELEVES'!$AE$10:$AE$250,$AI143))</f>
        <v/>
      </c>
      <c r="G143" s="75"/>
      <c r="H143" s="76"/>
      <c r="I143" s="76"/>
      <c r="J143" s="76"/>
      <c r="K143" s="76"/>
      <c r="L143" s="79" t="str">
        <f aca="false">IF(B143="","",IF($G143="NON",0,IF(COUNT(H143:K143)=0,"",SUM(H143:K143))))</f>
        <v/>
      </c>
      <c r="M143" s="77" t="str">
        <f aca="false">IF(B143="","",IF($G143="NON",0,IF(COUNT(H143:K143)=0,"",IFERROR(ROUND(SUM(H143:K143)/SUMPRODUCT(ISNUMBER(H143:K143)*$H$8:$K$8)*10,2),""))))</f>
        <v/>
      </c>
      <c r="N143" s="75"/>
      <c r="O143" s="76"/>
      <c r="P143" s="76"/>
      <c r="Q143" s="76"/>
      <c r="R143" s="76"/>
      <c r="S143" s="79" t="str">
        <f aca="false">IF(B143="","",IF($N143="NON",0,IF(COUNT(O143:R143)=0,"",SUM(O143:R143))))</f>
        <v/>
      </c>
      <c r="T143" s="77" t="str">
        <f aca="false">IF(B143="","",IF($N143="NON",0,IF(COUNT(O143:R143)=0,"",IFERROR(ROUND(SUM(O143:R143)/SUMPRODUCT(ISNUMBER(O143:R143)*$O$8:$R$8)*10,2),""))))</f>
        <v/>
      </c>
      <c r="U143" s="75"/>
      <c r="V143" s="76"/>
      <c r="W143" s="76"/>
      <c r="X143" s="76"/>
      <c r="Y143" s="76"/>
      <c r="Z143" s="79" t="str">
        <f aca="false">IF(B143="","",IF($U143="NON",0,IF(COUNT(V143:Y143)=0,"",SUM(V143:Y143))))</f>
        <v/>
      </c>
      <c r="AA143" s="77" t="str">
        <f aca="false">IF(B143="","",IF($U143="NON",0,IF(COUNT(V143:Y143)=0,"",IFERROR(ROUND(SUM(V143:Y143)/SUMPRODUCT(ISNUMBER(V143:Y143)*$V$8:$Y$8)*10,2),""))))</f>
        <v/>
      </c>
      <c r="AB143" s="75"/>
      <c r="AC143" s="76"/>
      <c r="AD143" s="76"/>
      <c r="AE143" s="76"/>
      <c r="AF143" s="76"/>
      <c r="AG143" s="79" t="str">
        <f aca="false">IF(B143="","",IF($AB143="NON",0,IF(COUNT(AC143:AF143)=0,"",SUM(AC143:AF143))))</f>
        <v/>
      </c>
      <c r="AH143" s="77" t="str">
        <f aca="false">IF(B143="","",IF($AB143="NON",0,IF(COUNT(AC143:AF143)=0,"",IFERROR(ROUND(SUM(AC143:AF143)/SUMPRODUCT(ISNUMBER(AC143:AF143)*$AC$8:$AF$8)*10,2),""))))</f>
        <v/>
      </c>
      <c r="AI143" s="51" t="str">
        <f aca="false">IFERROR(MATCH("CEM-134",'REGISTRE ELEVES'!$AI$10:$AI$250,0),"")</f>
        <v/>
      </c>
    </row>
    <row r="144" customFormat="false" ht="15" hidden="false" customHeight="false" outlineLevel="0" collapsed="false">
      <c r="A144" s="73" t="str">
        <f aca="false">IF(B144="","",135)</f>
        <v/>
      </c>
      <c r="B144" s="73" t="str">
        <f aca="false">IF($AI144="","",INDEX('REGISTRE ELEVES'!$B$10:$B$250,$AI144))</f>
        <v/>
      </c>
      <c r="C144" s="74" t="str">
        <f aca="false">IF($AI144="","",INDEX('REGISTRE ELEVES'!$D$10:$D$250,$AI144))</f>
        <v/>
      </c>
      <c r="D144" s="73" t="str">
        <f aca="false">IF($AI144="","",INDEX('REGISTRE ELEVES'!$E$10:$E$250,$AI144))</f>
        <v/>
      </c>
      <c r="E144" s="73" t="str">
        <f aca="false">IF($AI144="","",INDEX('REGISTRE ELEVES'!$F$10:$F$250,$AI144))</f>
        <v/>
      </c>
      <c r="F144" s="73" t="str">
        <f aca="false">IF($AI144="","",INDEX('REGISTRE ELEVES'!$AE$10:$AE$250,$AI144))</f>
        <v/>
      </c>
      <c r="G144" s="75"/>
      <c r="H144" s="76"/>
      <c r="I144" s="76"/>
      <c r="J144" s="76"/>
      <c r="K144" s="76"/>
      <c r="L144" s="79" t="str">
        <f aca="false">IF(B144="","",IF($G144="NON",0,IF(COUNT(H144:K144)=0,"",SUM(H144:K144))))</f>
        <v/>
      </c>
      <c r="M144" s="77" t="str">
        <f aca="false">IF(B144="","",IF($G144="NON",0,IF(COUNT(H144:K144)=0,"",IFERROR(ROUND(SUM(H144:K144)/SUMPRODUCT(ISNUMBER(H144:K144)*$H$8:$K$8)*10,2),""))))</f>
        <v/>
      </c>
      <c r="N144" s="75"/>
      <c r="O144" s="76"/>
      <c r="P144" s="76"/>
      <c r="Q144" s="76"/>
      <c r="R144" s="76"/>
      <c r="S144" s="79" t="str">
        <f aca="false">IF(B144="","",IF($N144="NON",0,IF(COUNT(O144:R144)=0,"",SUM(O144:R144))))</f>
        <v/>
      </c>
      <c r="T144" s="77" t="str">
        <f aca="false">IF(B144="","",IF($N144="NON",0,IF(COUNT(O144:R144)=0,"",IFERROR(ROUND(SUM(O144:R144)/SUMPRODUCT(ISNUMBER(O144:R144)*$O$8:$R$8)*10,2),""))))</f>
        <v/>
      </c>
      <c r="U144" s="75"/>
      <c r="V144" s="76"/>
      <c r="W144" s="76"/>
      <c r="X144" s="76"/>
      <c r="Y144" s="76"/>
      <c r="Z144" s="79" t="str">
        <f aca="false">IF(B144="","",IF($U144="NON",0,IF(COUNT(V144:Y144)=0,"",SUM(V144:Y144))))</f>
        <v/>
      </c>
      <c r="AA144" s="77" t="str">
        <f aca="false">IF(B144="","",IF($U144="NON",0,IF(COUNT(V144:Y144)=0,"",IFERROR(ROUND(SUM(V144:Y144)/SUMPRODUCT(ISNUMBER(V144:Y144)*$V$8:$Y$8)*10,2),""))))</f>
        <v/>
      </c>
      <c r="AB144" s="75"/>
      <c r="AC144" s="76"/>
      <c r="AD144" s="76"/>
      <c r="AE144" s="76"/>
      <c r="AF144" s="76"/>
      <c r="AG144" s="79" t="str">
        <f aca="false">IF(B144="","",IF($AB144="NON",0,IF(COUNT(AC144:AF144)=0,"",SUM(AC144:AF144))))</f>
        <v/>
      </c>
      <c r="AH144" s="77" t="str">
        <f aca="false">IF(B144="","",IF($AB144="NON",0,IF(COUNT(AC144:AF144)=0,"",IFERROR(ROUND(SUM(AC144:AF144)/SUMPRODUCT(ISNUMBER(AC144:AF144)*$AC$8:$AF$8)*10,2),""))))</f>
        <v/>
      </c>
      <c r="AI144" s="51" t="str">
        <f aca="false">IFERROR(MATCH("CEM-135",'REGISTRE ELEVES'!$AI$10:$AI$250,0),"")</f>
        <v/>
      </c>
    </row>
    <row r="145" customFormat="false" ht="15" hidden="false" customHeight="false" outlineLevel="0" collapsed="false">
      <c r="A145" s="73" t="str">
        <f aca="false">IF(B145="","",136)</f>
        <v/>
      </c>
      <c r="B145" s="73" t="str">
        <f aca="false">IF($AI145="","",INDEX('REGISTRE ELEVES'!$B$10:$B$250,$AI145))</f>
        <v/>
      </c>
      <c r="C145" s="74" t="str">
        <f aca="false">IF($AI145="","",INDEX('REGISTRE ELEVES'!$D$10:$D$250,$AI145))</f>
        <v/>
      </c>
      <c r="D145" s="73" t="str">
        <f aca="false">IF($AI145="","",INDEX('REGISTRE ELEVES'!$E$10:$E$250,$AI145))</f>
        <v/>
      </c>
      <c r="E145" s="73" t="str">
        <f aca="false">IF($AI145="","",INDEX('REGISTRE ELEVES'!$F$10:$F$250,$AI145))</f>
        <v/>
      </c>
      <c r="F145" s="73" t="str">
        <f aca="false">IF($AI145="","",INDEX('REGISTRE ELEVES'!$AE$10:$AE$250,$AI145))</f>
        <v/>
      </c>
      <c r="G145" s="75"/>
      <c r="H145" s="76"/>
      <c r="I145" s="76"/>
      <c r="J145" s="76"/>
      <c r="K145" s="76"/>
      <c r="L145" s="79" t="str">
        <f aca="false">IF(B145="","",IF($G145="NON",0,IF(COUNT(H145:K145)=0,"",SUM(H145:K145))))</f>
        <v/>
      </c>
      <c r="M145" s="77" t="str">
        <f aca="false">IF(B145="","",IF($G145="NON",0,IF(COUNT(H145:K145)=0,"",IFERROR(ROUND(SUM(H145:K145)/SUMPRODUCT(ISNUMBER(H145:K145)*$H$8:$K$8)*10,2),""))))</f>
        <v/>
      </c>
      <c r="N145" s="75"/>
      <c r="O145" s="76"/>
      <c r="P145" s="76"/>
      <c r="Q145" s="76"/>
      <c r="R145" s="76"/>
      <c r="S145" s="79" t="str">
        <f aca="false">IF(B145="","",IF($N145="NON",0,IF(COUNT(O145:R145)=0,"",SUM(O145:R145))))</f>
        <v/>
      </c>
      <c r="T145" s="77" t="str">
        <f aca="false">IF(B145="","",IF($N145="NON",0,IF(COUNT(O145:R145)=0,"",IFERROR(ROUND(SUM(O145:R145)/SUMPRODUCT(ISNUMBER(O145:R145)*$O$8:$R$8)*10,2),""))))</f>
        <v/>
      </c>
      <c r="U145" s="75"/>
      <c r="V145" s="76"/>
      <c r="W145" s="76"/>
      <c r="X145" s="76"/>
      <c r="Y145" s="76"/>
      <c r="Z145" s="79" t="str">
        <f aca="false">IF(B145="","",IF($U145="NON",0,IF(COUNT(V145:Y145)=0,"",SUM(V145:Y145))))</f>
        <v/>
      </c>
      <c r="AA145" s="77" t="str">
        <f aca="false">IF(B145="","",IF($U145="NON",0,IF(COUNT(V145:Y145)=0,"",IFERROR(ROUND(SUM(V145:Y145)/SUMPRODUCT(ISNUMBER(V145:Y145)*$V$8:$Y$8)*10,2),""))))</f>
        <v/>
      </c>
      <c r="AB145" s="75"/>
      <c r="AC145" s="76"/>
      <c r="AD145" s="76"/>
      <c r="AE145" s="76"/>
      <c r="AF145" s="76"/>
      <c r="AG145" s="79" t="str">
        <f aca="false">IF(B145="","",IF($AB145="NON",0,IF(COUNT(AC145:AF145)=0,"",SUM(AC145:AF145))))</f>
        <v/>
      </c>
      <c r="AH145" s="77" t="str">
        <f aca="false">IF(B145="","",IF($AB145="NON",0,IF(COUNT(AC145:AF145)=0,"",IFERROR(ROUND(SUM(AC145:AF145)/SUMPRODUCT(ISNUMBER(AC145:AF145)*$AC$8:$AF$8)*10,2),""))))</f>
        <v/>
      </c>
      <c r="AI145" s="51" t="str">
        <f aca="false">IFERROR(MATCH("CEM-136",'REGISTRE ELEVES'!$AI$10:$AI$250,0),"")</f>
        <v/>
      </c>
    </row>
    <row r="146" customFormat="false" ht="15" hidden="false" customHeight="false" outlineLevel="0" collapsed="false">
      <c r="A146" s="73" t="str">
        <f aca="false">IF(B146="","",137)</f>
        <v/>
      </c>
      <c r="B146" s="73" t="str">
        <f aca="false">IF($AI146="","",INDEX('REGISTRE ELEVES'!$B$10:$B$250,$AI146))</f>
        <v/>
      </c>
      <c r="C146" s="74" t="str">
        <f aca="false">IF($AI146="","",INDEX('REGISTRE ELEVES'!$D$10:$D$250,$AI146))</f>
        <v/>
      </c>
      <c r="D146" s="73" t="str">
        <f aca="false">IF($AI146="","",INDEX('REGISTRE ELEVES'!$E$10:$E$250,$AI146))</f>
        <v/>
      </c>
      <c r="E146" s="73" t="str">
        <f aca="false">IF($AI146="","",INDEX('REGISTRE ELEVES'!$F$10:$F$250,$AI146))</f>
        <v/>
      </c>
      <c r="F146" s="73" t="str">
        <f aca="false">IF($AI146="","",INDEX('REGISTRE ELEVES'!$AE$10:$AE$250,$AI146))</f>
        <v/>
      </c>
      <c r="G146" s="75"/>
      <c r="H146" s="76"/>
      <c r="I146" s="76"/>
      <c r="J146" s="76"/>
      <c r="K146" s="76"/>
      <c r="L146" s="79" t="str">
        <f aca="false">IF(B146="","",IF($G146="NON",0,IF(COUNT(H146:K146)=0,"",SUM(H146:K146))))</f>
        <v/>
      </c>
      <c r="M146" s="77" t="str">
        <f aca="false">IF(B146="","",IF($G146="NON",0,IF(COUNT(H146:K146)=0,"",IFERROR(ROUND(SUM(H146:K146)/SUMPRODUCT(ISNUMBER(H146:K146)*$H$8:$K$8)*10,2),""))))</f>
        <v/>
      </c>
      <c r="N146" s="75"/>
      <c r="O146" s="76"/>
      <c r="P146" s="76"/>
      <c r="Q146" s="76"/>
      <c r="R146" s="76"/>
      <c r="S146" s="79" t="str">
        <f aca="false">IF(B146="","",IF($N146="NON",0,IF(COUNT(O146:R146)=0,"",SUM(O146:R146))))</f>
        <v/>
      </c>
      <c r="T146" s="77" t="str">
        <f aca="false">IF(B146="","",IF($N146="NON",0,IF(COUNT(O146:R146)=0,"",IFERROR(ROUND(SUM(O146:R146)/SUMPRODUCT(ISNUMBER(O146:R146)*$O$8:$R$8)*10,2),""))))</f>
        <v/>
      </c>
      <c r="U146" s="75"/>
      <c r="V146" s="76"/>
      <c r="W146" s="76"/>
      <c r="X146" s="76"/>
      <c r="Y146" s="76"/>
      <c r="Z146" s="79" t="str">
        <f aca="false">IF(B146="","",IF($U146="NON",0,IF(COUNT(V146:Y146)=0,"",SUM(V146:Y146))))</f>
        <v/>
      </c>
      <c r="AA146" s="77" t="str">
        <f aca="false">IF(B146="","",IF($U146="NON",0,IF(COUNT(V146:Y146)=0,"",IFERROR(ROUND(SUM(V146:Y146)/SUMPRODUCT(ISNUMBER(V146:Y146)*$V$8:$Y$8)*10,2),""))))</f>
        <v/>
      </c>
      <c r="AB146" s="75"/>
      <c r="AC146" s="76"/>
      <c r="AD146" s="76"/>
      <c r="AE146" s="76"/>
      <c r="AF146" s="76"/>
      <c r="AG146" s="79" t="str">
        <f aca="false">IF(B146="","",IF($AB146="NON",0,IF(COUNT(AC146:AF146)=0,"",SUM(AC146:AF146))))</f>
        <v/>
      </c>
      <c r="AH146" s="77" t="str">
        <f aca="false">IF(B146="","",IF($AB146="NON",0,IF(COUNT(AC146:AF146)=0,"",IFERROR(ROUND(SUM(AC146:AF146)/SUMPRODUCT(ISNUMBER(AC146:AF146)*$AC$8:$AF$8)*10,2),""))))</f>
        <v/>
      </c>
      <c r="AI146" s="51" t="str">
        <f aca="false">IFERROR(MATCH("CEM-137",'REGISTRE ELEVES'!$AI$10:$AI$250,0),"")</f>
        <v/>
      </c>
    </row>
    <row r="147" customFormat="false" ht="15" hidden="false" customHeight="false" outlineLevel="0" collapsed="false">
      <c r="A147" s="73" t="str">
        <f aca="false">IF(B147="","",138)</f>
        <v/>
      </c>
      <c r="B147" s="73" t="str">
        <f aca="false">IF($AI147="","",INDEX('REGISTRE ELEVES'!$B$10:$B$250,$AI147))</f>
        <v/>
      </c>
      <c r="C147" s="74" t="str">
        <f aca="false">IF($AI147="","",INDEX('REGISTRE ELEVES'!$D$10:$D$250,$AI147))</f>
        <v/>
      </c>
      <c r="D147" s="73" t="str">
        <f aca="false">IF($AI147="","",INDEX('REGISTRE ELEVES'!$E$10:$E$250,$AI147))</f>
        <v/>
      </c>
      <c r="E147" s="73" t="str">
        <f aca="false">IF($AI147="","",INDEX('REGISTRE ELEVES'!$F$10:$F$250,$AI147))</f>
        <v/>
      </c>
      <c r="F147" s="73" t="str">
        <f aca="false">IF($AI147="","",INDEX('REGISTRE ELEVES'!$AE$10:$AE$250,$AI147))</f>
        <v/>
      </c>
      <c r="G147" s="75"/>
      <c r="H147" s="76"/>
      <c r="I147" s="76"/>
      <c r="J147" s="76"/>
      <c r="K147" s="76"/>
      <c r="L147" s="79" t="str">
        <f aca="false">IF(B147="","",IF($G147="NON",0,IF(COUNT(H147:K147)=0,"",SUM(H147:K147))))</f>
        <v/>
      </c>
      <c r="M147" s="77" t="str">
        <f aca="false">IF(B147="","",IF($G147="NON",0,IF(COUNT(H147:K147)=0,"",IFERROR(ROUND(SUM(H147:K147)/SUMPRODUCT(ISNUMBER(H147:K147)*$H$8:$K$8)*10,2),""))))</f>
        <v/>
      </c>
      <c r="N147" s="75"/>
      <c r="O147" s="76"/>
      <c r="P147" s="76"/>
      <c r="Q147" s="76"/>
      <c r="R147" s="76"/>
      <c r="S147" s="79" t="str">
        <f aca="false">IF(B147="","",IF($N147="NON",0,IF(COUNT(O147:R147)=0,"",SUM(O147:R147))))</f>
        <v/>
      </c>
      <c r="T147" s="77" t="str">
        <f aca="false">IF(B147="","",IF($N147="NON",0,IF(COUNT(O147:R147)=0,"",IFERROR(ROUND(SUM(O147:R147)/SUMPRODUCT(ISNUMBER(O147:R147)*$O$8:$R$8)*10,2),""))))</f>
        <v/>
      </c>
      <c r="U147" s="75"/>
      <c r="V147" s="76"/>
      <c r="W147" s="76"/>
      <c r="X147" s="76"/>
      <c r="Y147" s="76"/>
      <c r="Z147" s="79" t="str">
        <f aca="false">IF(B147="","",IF($U147="NON",0,IF(COUNT(V147:Y147)=0,"",SUM(V147:Y147))))</f>
        <v/>
      </c>
      <c r="AA147" s="77" t="str">
        <f aca="false">IF(B147="","",IF($U147="NON",0,IF(COUNT(V147:Y147)=0,"",IFERROR(ROUND(SUM(V147:Y147)/SUMPRODUCT(ISNUMBER(V147:Y147)*$V$8:$Y$8)*10,2),""))))</f>
        <v/>
      </c>
      <c r="AB147" s="75"/>
      <c r="AC147" s="76"/>
      <c r="AD147" s="76"/>
      <c r="AE147" s="76"/>
      <c r="AF147" s="76"/>
      <c r="AG147" s="79" t="str">
        <f aca="false">IF(B147="","",IF($AB147="NON",0,IF(COUNT(AC147:AF147)=0,"",SUM(AC147:AF147))))</f>
        <v/>
      </c>
      <c r="AH147" s="77" t="str">
        <f aca="false">IF(B147="","",IF($AB147="NON",0,IF(COUNT(AC147:AF147)=0,"",IFERROR(ROUND(SUM(AC147:AF147)/SUMPRODUCT(ISNUMBER(AC147:AF147)*$AC$8:$AF$8)*10,2),""))))</f>
        <v/>
      </c>
      <c r="AI147" s="51" t="str">
        <f aca="false">IFERROR(MATCH("CEM-138",'REGISTRE ELEVES'!$AI$10:$AI$250,0),"")</f>
        <v/>
      </c>
    </row>
    <row r="148" customFormat="false" ht="15" hidden="false" customHeight="false" outlineLevel="0" collapsed="false">
      <c r="A148" s="73" t="str">
        <f aca="false">IF(B148="","",139)</f>
        <v/>
      </c>
      <c r="B148" s="73" t="str">
        <f aca="false">IF($AI148="","",INDEX('REGISTRE ELEVES'!$B$10:$B$250,$AI148))</f>
        <v/>
      </c>
      <c r="C148" s="74" t="str">
        <f aca="false">IF($AI148="","",INDEX('REGISTRE ELEVES'!$D$10:$D$250,$AI148))</f>
        <v/>
      </c>
      <c r="D148" s="73" t="str">
        <f aca="false">IF($AI148="","",INDEX('REGISTRE ELEVES'!$E$10:$E$250,$AI148))</f>
        <v/>
      </c>
      <c r="E148" s="73" t="str">
        <f aca="false">IF($AI148="","",INDEX('REGISTRE ELEVES'!$F$10:$F$250,$AI148))</f>
        <v/>
      </c>
      <c r="F148" s="73" t="str">
        <f aca="false">IF($AI148="","",INDEX('REGISTRE ELEVES'!$AE$10:$AE$250,$AI148))</f>
        <v/>
      </c>
      <c r="G148" s="75"/>
      <c r="H148" s="76"/>
      <c r="I148" s="76"/>
      <c r="J148" s="76"/>
      <c r="K148" s="76"/>
      <c r="L148" s="79" t="str">
        <f aca="false">IF(B148="","",IF($G148="NON",0,IF(COUNT(H148:K148)=0,"",SUM(H148:K148))))</f>
        <v/>
      </c>
      <c r="M148" s="77" t="str">
        <f aca="false">IF(B148="","",IF($G148="NON",0,IF(COUNT(H148:K148)=0,"",IFERROR(ROUND(SUM(H148:K148)/SUMPRODUCT(ISNUMBER(H148:K148)*$H$8:$K$8)*10,2),""))))</f>
        <v/>
      </c>
      <c r="N148" s="75"/>
      <c r="O148" s="76"/>
      <c r="P148" s="76"/>
      <c r="Q148" s="76"/>
      <c r="R148" s="76"/>
      <c r="S148" s="79" t="str">
        <f aca="false">IF(B148="","",IF($N148="NON",0,IF(COUNT(O148:R148)=0,"",SUM(O148:R148))))</f>
        <v/>
      </c>
      <c r="T148" s="77" t="str">
        <f aca="false">IF(B148="","",IF($N148="NON",0,IF(COUNT(O148:R148)=0,"",IFERROR(ROUND(SUM(O148:R148)/SUMPRODUCT(ISNUMBER(O148:R148)*$O$8:$R$8)*10,2),""))))</f>
        <v/>
      </c>
      <c r="U148" s="75"/>
      <c r="V148" s="76"/>
      <c r="W148" s="76"/>
      <c r="X148" s="76"/>
      <c r="Y148" s="76"/>
      <c r="Z148" s="79" t="str">
        <f aca="false">IF(B148="","",IF($U148="NON",0,IF(COUNT(V148:Y148)=0,"",SUM(V148:Y148))))</f>
        <v/>
      </c>
      <c r="AA148" s="77" t="str">
        <f aca="false">IF(B148="","",IF($U148="NON",0,IF(COUNT(V148:Y148)=0,"",IFERROR(ROUND(SUM(V148:Y148)/SUMPRODUCT(ISNUMBER(V148:Y148)*$V$8:$Y$8)*10,2),""))))</f>
        <v/>
      </c>
      <c r="AB148" s="75"/>
      <c r="AC148" s="76"/>
      <c r="AD148" s="76"/>
      <c r="AE148" s="76"/>
      <c r="AF148" s="76"/>
      <c r="AG148" s="79" t="str">
        <f aca="false">IF(B148="","",IF($AB148="NON",0,IF(COUNT(AC148:AF148)=0,"",SUM(AC148:AF148))))</f>
        <v/>
      </c>
      <c r="AH148" s="77" t="str">
        <f aca="false">IF(B148="","",IF($AB148="NON",0,IF(COUNT(AC148:AF148)=0,"",IFERROR(ROUND(SUM(AC148:AF148)/SUMPRODUCT(ISNUMBER(AC148:AF148)*$AC$8:$AF$8)*10,2),""))))</f>
        <v/>
      </c>
      <c r="AI148" s="51" t="str">
        <f aca="false">IFERROR(MATCH("CEM-139",'REGISTRE ELEVES'!$AI$10:$AI$250,0),"")</f>
        <v/>
      </c>
    </row>
    <row r="149" customFormat="false" ht="15" hidden="false" customHeight="false" outlineLevel="0" collapsed="false">
      <c r="A149" s="73" t="str">
        <f aca="false">IF(B149="","",140)</f>
        <v/>
      </c>
      <c r="B149" s="73" t="str">
        <f aca="false">IF($AI149="","",INDEX('REGISTRE ELEVES'!$B$10:$B$250,$AI149))</f>
        <v/>
      </c>
      <c r="C149" s="74" t="str">
        <f aca="false">IF($AI149="","",INDEX('REGISTRE ELEVES'!$D$10:$D$250,$AI149))</f>
        <v/>
      </c>
      <c r="D149" s="73" t="str">
        <f aca="false">IF($AI149="","",INDEX('REGISTRE ELEVES'!$E$10:$E$250,$AI149))</f>
        <v/>
      </c>
      <c r="E149" s="73" t="str">
        <f aca="false">IF($AI149="","",INDEX('REGISTRE ELEVES'!$F$10:$F$250,$AI149))</f>
        <v/>
      </c>
      <c r="F149" s="73" t="str">
        <f aca="false">IF($AI149="","",INDEX('REGISTRE ELEVES'!$AE$10:$AE$250,$AI149))</f>
        <v/>
      </c>
      <c r="G149" s="75"/>
      <c r="H149" s="76"/>
      <c r="I149" s="76"/>
      <c r="J149" s="76"/>
      <c r="K149" s="76"/>
      <c r="L149" s="79" t="str">
        <f aca="false">IF(B149="","",IF($G149="NON",0,IF(COUNT(H149:K149)=0,"",SUM(H149:K149))))</f>
        <v/>
      </c>
      <c r="M149" s="77" t="str">
        <f aca="false">IF(B149="","",IF($G149="NON",0,IF(COUNT(H149:K149)=0,"",IFERROR(ROUND(SUM(H149:K149)/SUMPRODUCT(ISNUMBER(H149:K149)*$H$8:$K$8)*10,2),""))))</f>
        <v/>
      </c>
      <c r="N149" s="75"/>
      <c r="O149" s="76"/>
      <c r="P149" s="76"/>
      <c r="Q149" s="76"/>
      <c r="R149" s="76"/>
      <c r="S149" s="79" t="str">
        <f aca="false">IF(B149="","",IF($N149="NON",0,IF(COUNT(O149:R149)=0,"",SUM(O149:R149))))</f>
        <v/>
      </c>
      <c r="T149" s="77" t="str">
        <f aca="false">IF(B149="","",IF($N149="NON",0,IF(COUNT(O149:R149)=0,"",IFERROR(ROUND(SUM(O149:R149)/SUMPRODUCT(ISNUMBER(O149:R149)*$O$8:$R$8)*10,2),""))))</f>
        <v/>
      </c>
      <c r="U149" s="75"/>
      <c r="V149" s="76"/>
      <c r="W149" s="76"/>
      <c r="X149" s="76"/>
      <c r="Y149" s="76"/>
      <c r="Z149" s="79" t="str">
        <f aca="false">IF(B149="","",IF($U149="NON",0,IF(COUNT(V149:Y149)=0,"",SUM(V149:Y149))))</f>
        <v/>
      </c>
      <c r="AA149" s="77" t="str">
        <f aca="false">IF(B149="","",IF($U149="NON",0,IF(COUNT(V149:Y149)=0,"",IFERROR(ROUND(SUM(V149:Y149)/SUMPRODUCT(ISNUMBER(V149:Y149)*$V$8:$Y$8)*10,2),""))))</f>
        <v/>
      </c>
      <c r="AB149" s="75"/>
      <c r="AC149" s="76"/>
      <c r="AD149" s="76"/>
      <c r="AE149" s="76"/>
      <c r="AF149" s="76"/>
      <c r="AG149" s="79" t="str">
        <f aca="false">IF(B149="","",IF($AB149="NON",0,IF(COUNT(AC149:AF149)=0,"",SUM(AC149:AF149))))</f>
        <v/>
      </c>
      <c r="AH149" s="77" t="str">
        <f aca="false">IF(B149="","",IF($AB149="NON",0,IF(COUNT(AC149:AF149)=0,"",IFERROR(ROUND(SUM(AC149:AF149)/SUMPRODUCT(ISNUMBER(AC149:AF149)*$AC$8:$AF$8)*10,2),""))))</f>
        <v/>
      </c>
      <c r="AI149" s="51" t="str">
        <f aca="false">IFERROR(MATCH("CEM-140",'REGISTRE ELEVES'!$AI$10:$AI$250,0),"")</f>
        <v/>
      </c>
    </row>
    <row r="150" customFormat="false" ht="15" hidden="false" customHeight="false" outlineLevel="0" collapsed="false">
      <c r="A150" s="73" t="str">
        <f aca="false">IF(B150="","",141)</f>
        <v/>
      </c>
      <c r="B150" s="73" t="str">
        <f aca="false">IF($AI150="","",INDEX('REGISTRE ELEVES'!$B$10:$B$250,$AI150))</f>
        <v/>
      </c>
      <c r="C150" s="74" t="str">
        <f aca="false">IF($AI150="","",INDEX('REGISTRE ELEVES'!$D$10:$D$250,$AI150))</f>
        <v/>
      </c>
      <c r="D150" s="73" t="str">
        <f aca="false">IF($AI150="","",INDEX('REGISTRE ELEVES'!$E$10:$E$250,$AI150))</f>
        <v/>
      </c>
      <c r="E150" s="73" t="str">
        <f aca="false">IF($AI150="","",INDEX('REGISTRE ELEVES'!$F$10:$F$250,$AI150))</f>
        <v/>
      </c>
      <c r="F150" s="73" t="str">
        <f aca="false">IF($AI150="","",INDEX('REGISTRE ELEVES'!$AE$10:$AE$250,$AI150))</f>
        <v/>
      </c>
      <c r="G150" s="75"/>
      <c r="H150" s="76"/>
      <c r="I150" s="76"/>
      <c r="J150" s="76"/>
      <c r="K150" s="76"/>
      <c r="L150" s="79" t="str">
        <f aca="false">IF(B150="","",IF($G150="NON",0,IF(COUNT(H150:K150)=0,"",SUM(H150:K150))))</f>
        <v/>
      </c>
      <c r="M150" s="77" t="str">
        <f aca="false">IF(B150="","",IF($G150="NON",0,IF(COUNT(H150:K150)=0,"",IFERROR(ROUND(SUM(H150:K150)/SUMPRODUCT(ISNUMBER(H150:K150)*$H$8:$K$8)*10,2),""))))</f>
        <v/>
      </c>
      <c r="N150" s="75"/>
      <c r="O150" s="76"/>
      <c r="P150" s="76"/>
      <c r="Q150" s="76"/>
      <c r="R150" s="76"/>
      <c r="S150" s="79" t="str">
        <f aca="false">IF(B150="","",IF($N150="NON",0,IF(COUNT(O150:R150)=0,"",SUM(O150:R150))))</f>
        <v/>
      </c>
      <c r="T150" s="77" t="str">
        <f aca="false">IF(B150="","",IF($N150="NON",0,IF(COUNT(O150:R150)=0,"",IFERROR(ROUND(SUM(O150:R150)/SUMPRODUCT(ISNUMBER(O150:R150)*$O$8:$R$8)*10,2),""))))</f>
        <v/>
      </c>
      <c r="U150" s="75"/>
      <c r="V150" s="76"/>
      <c r="W150" s="76"/>
      <c r="X150" s="76"/>
      <c r="Y150" s="76"/>
      <c r="Z150" s="79" t="str">
        <f aca="false">IF(B150="","",IF($U150="NON",0,IF(COUNT(V150:Y150)=0,"",SUM(V150:Y150))))</f>
        <v/>
      </c>
      <c r="AA150" s="77" t="str">
        <f aca="false">IF(B150="","",IF($U150="NON",0,IF(COUNT(V150:Y150)=0,"",IFERROR(ROUND(SUM(V150:Y150)/SUMPRODUCT(ISNUMBER(V150:Y150)*$V$8:$Y$8)*10,2),""))))</f>
        <v/>
      </c>
      <c r="AB150" s="75"/>
      <c r="AC150" s="76"/>
      <c r="AD150" s="76"/>
      <c r="AE150" s="76"/>
      <c r="AF150" s="76"/>
      <c r="AG150" s="79" t="str">
        <f aca="false">IF(B150="","",IF($AB150="NON",0,IF(COUNT(AC150:AF150)=0,"",SUM(AC150:AF150))))</f>
        <v/>
      </c>
      <c r="AH150" s="77" t="str">
        <f aca="false">IF(B150="","",IF($AB150="NON",0,IF(COUNT(AC150:AF150)=0,"",IFERROR(ROUND(SUM(AC150:AF150)/SUMPRODUCT(ISNUMBER(AC150:AF150)*$AC$8:$AF$8)*10,2),""))))</f>
        <v/>
      </c>
      <c r="AI150" s="51" t="str">
        <f aca="false">IFERROR(MATCH("CEM-141",'REGISTRE ELEVES'!$AI$10:$AI$250,0),"")</f>
        <v/>
      </c>
    </row>
    <row r="151" customFormat="false" ht="15" hidden="false" customHeight="false" outlineLevel="0" collapsed="false">
      <c r="A151" s="73" t="str">
        <f aca="false">IF(B151="","",142)</f>
        <v/>
      </c>
      <c r="B151" s="73" t="str">
        <f aca="false">IF($AI151="","",INDEX('REGISTRE ELEVES'!$B$10:$B$250,$AI151))</f>
        <v/>
      </c>
      <c r="C151" s="74" t="str">
        <f aca="false">IF($AI151="","",INDEX('REGISTRE ELEVES'!$D$10:$D$250,$AI151))</f>
        <v/>
      </c>
      <c r="D151" s="73" t="str">
        <f aca="false">IF($AI151="","",INDEX('REGISTRE ELEVES'!$E$10:$E$250,$AI151))</f>
        <v/>
      </c>
      <c r="E151" s="73" t="str">
        <f aca="false">IF($AI151="","",INDEX('REGISTRE ELEVES'!$F$10:$F$250,$AI151))</f>
        <v/>
      </c>
      <c r="F151" s="73" t="str">
        <f aca="false">IF($AI151="","",INDEX('REGISTRE ELEVES'!$AE$10:$AE$250,$AI151))</f>
        <v/>
      </c>
      <c r="G151" s="75"/>
      <c r="H151" s="76"/>
      <c r="I151" s="76"/>
      <c r="J151" s="76"/>
      <c r="K151" s="76"/>
      <c r="L151" s="79" t="str">
        <f aca="false">IF(B151="","",IF($G151="NON",0,IF(COUNT(H151:K151)=0,"",SUM(H151:K151))))</f>
        <v/>
      </c>
      <c r="M151" s="77" t="str">
        <f aca="false">IF(B151="","",IF($G151="NON",0,IF(COUNT(H151:K151)=0,"",IFERROR(ROUND(SUM(H151:K151)/SUMPRODUCT(ISNUMBER(H151:K151)*$H$8:$K$8)*10,2),""))))</f>
        <v/>
      </c>
      <c r="N151" s="75"/>
      <c r="O151" s="76"/>
      <c r="P151" s="76"/>
      <c r="Q151" s="76"/>
      <c r="R151" s="76"/>
      <c r="S151" s="79" t="str">
        <f aca="false">IF(B151="","",IF($N151="NON",0,IF(COUNT(O151:R151)=0,"",SUM(O151:R151))))</f>
        <v/>
      </c>
      <c r="T151" s="77" t="str">
        <f aca="false">IF(B151="","",IF($N151="NON",0,IF(COUNT(O151:R151)=0,"",IFERROR(ROUND(SUM(O151:R151)/SUMPRODUCT(ISNUMBER(O151:R151)*$O$8:$R$8)*10,2),""))))</f>
        <v/>
      </c>
      <c r="U151" s="75"/>
      <c r="V151" s="76"/>
      <c r="W151" s="76"/>
      <c r="X151" s="76"/>
      <c r="Y151" s="76"/>
      <c r="Z151" s="79" t="str">
        <f aca="false">IF(B151="","",IF($U151="NON",0,IF(COUNT(V151:Y151)=0,"",SUM(V151:Y151))))</f>
        <v/>
      </c>
      <c r="AA151" s="77" t="str">
        <f aca="false">IF(B151="","",IF($U151="NON",0,IF(COUNT(V151:Y151)=0,"",IFERROR(ROUND(SUM(V151:Y151)/SUMPRODUCT(ISNUMBER(V151:Y151)*$V$8:$Y$8)*10,2),""))))</f>
        <v/>
      </c>
      <c r="AB151" s="75"/>
      <c r="AC151" s="76"/>
      <c r="AD151" s="76"/>
      <c r="AE151" s="76"/>
      <c r="AF151" s="76"/>
      <c r="AG151" s="79" t="str">
        <f aca="false">IF(B151="","",IF($AB151="NON",0,IF(COUNT(AC151:AF151)=0,"",SUM(AC151:AF151))))</f>
        <v/>
      </c>
      <c r="AH151" s="77" t="str">
        <f aca="false">IF(B151="","",IF($AB151="NON",0,IF(COUNT(AC151:AF151)=0,"",IFERROR(ROUND(SUM(AC151:AF151)/SUMPRODUCT(ISNUMBER(AC151:AF151)*$AC$8:$AF$8)*10,2),""))))</f>
        <v/>
      </c>
      <c r="AI151" s="51" t="str">
        <f aca="false">IFERROR(MATCH("CEM-142",'REGISTRE ELEVES'!$AI$10:$AI$250,0),"")</f>
        <v/>
      </c>
    </row>
    <row r="152" customFormat="false" ht="15" hidden="false" customHeight="false" outlineLevel="0" collapsed="false">
      <c r="A152" s="73" t="str">
        <f aca="false">IF(B152="","",143)</f>
        <v/>
      </c>
      <c r="B152" s="73" t="str">
        <f aca="false">IF($AI152="","",INDEX('REGISTRE ELEVES'!$B$10:$B$250,$AI152))</f>
        <v/>
      </c>
      <c r="C152" s="74" t="str">
        <f aca="false">IF($AI152="","",INDEX('REGISTRE ELEVES'!$D$10:$D$250,$AI152))</f>
        <v/>
      </c>
      <c r="D152" s="73" t="str">
        <f aca="false">IF($AI152="","",INDEX('REGISTRE ELEVES'!$E$10:$E$250,$AI152))</f>
        <v/>
      </c>
      <c r="E152" s="73" t="str">
        <f aca="false">IF($AI152="","",INDEX('REGISTRE ELEVES'!$F$10:$F$250,$AI152))</f>
        <v/>
      </c>
      <c r="F152" s="73" t="str">
        <f aca="false">IF($AI152="","",INDEX('REGISTRE ELEVES'!$AE$10:$AE$250,$AI152))</f>
        <v/>
      </c>
      <c r="G152" s="75"/>
      <c r="H152" s="76"/>
      <c r="I152" s="76"/>
      <c r="J152" s="76"/>
      <c r="K152" s="76"/>
      <c r="L152" s="79" t="str">
        <f aca="false">IF(B152="","",IF($G152="NON",0,IF(COUNT(H152:K152)=0,"",SUM(H152:K152))))</f>
        <v/>
      </c>
      <c r="M152" s="77" t="str">
        <f aca="false">IF(B152="","",IF($G152="NON",0,IF(COUNT(H152:K152)=0,"",IFERROR(ROUND(SUM(H152:K152)/SUMPRODUCT(ISNUMBER(H152:K152)*$H$8:$K$8)*10,2),""))))</f>
        <v/>
      </c>
      <c r="N152" s="75"/>
      <c r="O152" s="76"/>
      <c r="P152" s="76"/>
      <c r="Q152" s="76"/>
      <c r="R152" s="76"/>
      <c r="S152" s="79" t="str">
        <f aca="false">IF(B152="","",IF($N152="NON",0,IF(COUNT(O152:R152)=0,"",SUM(O152:R152))))</f>
        <v/>
      </c>
      <c r="T152" s="77" t="str">
        <f aca="false">IF(B152="","",IF($N152="NON",0,IF(COUNT(O152:R152)=0,"",IFERROR(ROUND(SUM(O152:R152)/SUMPRODUCT(ISNUMBER(O152:R152)*$O$8:$R$8)*10,2),""))))</f>
        <v/>
      </c>
      <c r="U152" s="75"/>
      <c r="V152" s="76"/>
      <c r="W152" s="76"/>
      <c r="X152" s="76"/>
      <c r="Y152" s="76"/>
      <c r="Z152" s="79" t="str">
        <f aca="false">IF(B152="","",IF($U152="NON",0,IF(COUNT(V152:Y152)=0,"",SUM(V152:Y152))))</f>
        <v/>
      </c>
      <c r="AA152" s="77" t="str">
        <f aca="false">IF(B152="","",IF($U152="NON",0,IF(COUNT(V152:Y152)=0,"",IFERROR(ROUND(SUM(V152:Y152)/SUMPRODUCT(ISNUMBER(V152:Y152)*$V$8:$Y$8)*10,2),""))))</f>
        <v/>
      </c>
      <c r="AB152" s="75"/>
      <c r="AC152" s="76"/>
      <c r="AD152" s="76"/>
      <c r="AE152" s="76"/>
      <c r="AF152" s="76"/>
      <c r="AG152" s="79" t="str">
        <f aca="false">IF(B152="","",IF($AB152="NON",0,IF(COUNT(AC152:AF152)=0,"",SUM(AC152:AF152))))</f>
        <v/>
      </c>
      <c r="AH152" s="77" t="str">
        <f aca="false">IF(B152="","",IF($AB152="NON",0,IF(COUNT(AC152:AF152)=0,"",IFERROR(ROUND(SUM(AC152:AF152)/SUMPRODUCT(ISNUMBER(AC152:AF152)*$AC$8:$AF$8)*10,2),""))))</f>
        <v/>
      </c>
      <c r="AI152" s="51" t="str">
        <f aca="false">IFERROR(MATCH("CEM-143",'REGISTRE ELEVES'!$AI$10:$AI$250,0),"")</f>
        <v/>
      </c>
    </row>
    <row r="153" customFormat="false" ht="15" hidden="false" customHeight="false" outlineLevel="0" collapsed="false">
      <c r="A153" s="73" t="str">
        <f aca="false">IF(B153="","",144)</f>
        <v/>
      </c>
      <c r="B153" s="73" t="str">
        <f aca="false">IF($AI153="","",INDEX('REGISTRE ELEVES'!$B$10:$B$250,$AI153))</f>
        <v/>
      </c>
      <c r="C153" s="74" t="str">
        <f aca="false">IF($AI153="","",INDEX('REGISTRE ELEVES'!$D$10:$D$250,$AI153))</f>
        <v/>
      </c>
      <c r="D153" s="73" t="str">
        <f aca="false">IF($AI153="","",INDEX('REGISTRE ELEVES'!$E$10:$E$250,$AI153))</f>
        <v/>
      </c>
      <c r="E153" s="73" t="str">
        <f aca="false">IF($AI153="","",INDEX('REGISTRE ELEVES'!$F$10:$F$250,$AI153))</f>
        <v/>
      </c>
      <c r="F153" s="73" t="str">
        <f aca="false">IF($AI153="","",INDEX('REGISTRE ELEVES'!$AE$10:$AE$250,$AI153))</f>
        <v/>
      </c>
      <c r="G153" s="75"/>
      <c r="H153" s="76"/>
      <c r="I153" s="76"/>
      <c r="J153" s="76"/>
      <c r="K153" s="76"/>
      <c r="L153" s="79" t="str">
        <f aca="false">IF(B153="","",IF($G153="NON",0,IF(COUNT(H153:K153)=0,"",SUM(H153:K153))))</f>
        <v/>
      </c>
      <c r="M153" s="77" t="str">
        <f aca="false">IF(B153="","",IF($G153="NON",0,IF(COUNT(H153:K153)=0,"",IFERROR(ROUND(SUM(H153:K153)/SUMPRODUCT(ISNUMBER(H153:K153)*$H$8:$K$8)*10,2),""))))</f>
        <v/>
      </c>
      <c r="N153" s="75"/>
      <c r="O153" s="76"/>
      <c r="P153" s="76"/>
      <c r="Q153" s="76"/>
      <c r="R153" s="76"/>
      <c r="S153" s="79" t="str">
        <f aca="false">IF(B153="","",IF($N153="NON",0,IF(COUNT(O153:R153)=0,"",SUM(O153:R153))))</f>
        <v/>
      </c>
      <c r="T153" s="77" t="str">
        <f aca="false">IF(B153="","",IF($N153="NON",0,IF(COUNT(O153:R153)=0,"",IFERROR(ROUND(SUM(O153:R153)/SUMPRODUCT(ISNUMBER(O153:R153)*$O$8:$R$8)*10,2),""))))</f>
        <v/>
      </c>
      <c r="U153" s="75"/>
      <c r="V153" s="76"/>
      <c r="W153" s="76"/>
      <c r="X153" s="76"/>
      <c r="Y153" s="76"/>
      <c r="Z153" s="79" t="str">
        <f aca="false">IF(B153="","",IF($U153="NON",0,IF(COUNT(V153:Y153)=0,"",SUM(V153:Y153))))</f>
        <v/>
      </c>
      <c r="AA153" s="77" t="str">
        <f aca="false">IF(B153="","",IF($U153="NON",0,IF(COUNT(V153:Y153)=0,"",IFERROR(ROUND(SUM(V153:Y153)/SUMPRODUCT(ISNUMBER(V153:Y153)*$V$8:$Y$8)*10,2),""))))</f>
        <v/>
      </c>
      <c r="AB153" s="75"/>
      <c r="AC153" s="76"/>
      <c r="AD153" s="76"/>
      <c r="AE153" s="76"/>
      <c r="AF153" s="76"/>
      <c r="AG153" s="79" t="str">
        <f aca="false">IF(B153="","",IF($AB153="NON",0,IF(COUNT(AC153:AF153)=0,"",SUM(AC153:AF153))))</f>
        <v/>
      </c>
      <c r="AH153" s="77" t="str">
        <f aca="false">IF(B153="","",IF($AB153="NON",0,IF(COUNT(AC153:AF153)=0,"",IFERROR(ROUND(SUM(AC153:AF153)/SUMPRODUCT(ISNUMBER(AC153:AF153)*$AC$8:$AF$8)*10,2),""))))</f>
        <v/>
      </c>
      <c r="AI153" s="51" t="str">
        <f aca="false">IFERROR(MATCH("CEM-144",'REGISTRE ELEVES'!$AI$10:$AI$250,0),"")</f>
        <v/>
      </c>
    </row>
    <row r="154" customFormat="false" ht="15" hidden="false" customHeight="false" outlineLevel="0" collapsed="false">
      <c r="A154" s="73" t="str">
        <f aca="false">IF(B154="","",145)</f>
        <v/>
      </c>
      <c r="B154" s="73" t="str">
        <f aca="false">IF($AI154="","",INDEX('REGISTRE ELEVES'!$B$10:$B$250,$AI154))</f>
        <v/>
      </c>
      <c r="C154" s="74" t="str">
        <f aca="false">IF($AI154="","",INDEX('REGISTRE ELEVES'!$D$10:$D$250,$AI154))</f>
        <v/>
      </c>
      <c r="D154" s="73" t="str">
        <f aca="false">IF($AI154="","",INDEX('REGISTRE ELEVES'!$E$10:$E$250,$AI154))</f>
        <v/>
      </c>
      <c r="E154" s="73" t="str">
        <f aca="false">IF($AI154="","",INDEX('REGISTRE ELEVES'!$F$10:$F$250,$AI154))</f>
        <v/>
      </c>
      <c r="F154" s="73" t="str">
        <f aca="false">IF($AI154="","",INDEX('REGISTRE ELEVES'!$AE$10:$AE$250,$AI154))</f>
        <v/>
      </c>
      <c r="G154" s="75"/>
      <c r="H154" s="76"/>
      <c r="I154" s="76"/>
      <c r="J154" s="76"/>
      <c r="K154" s="76"/>
      <c r="L154" s="79" t="str">
        <f aca="false">IF(B154="","",IF($G154="NON",0,IF(COUNT(H154:K154)=0,"",SUM(H154:K154))))</f>
        <v/>
      </c>
      <c r="M154" s="77" t="str">
        <f aca="false">IF(B154="","",IF($G154="NON",0,IF(COUNT(H154:K154)=0,"",IFERROR(ROUND(SUM(H154:K154)/SUMPRODUCT(ISNUMBER(H154:K154)*$H$8:$K$8)*10,2),""))))</f>
        <v/>
      </c>
      <c r="N154" s="75"/>
      <c r="O154" s="76"/>
      <c r="P154" s="76"/>
      <c r="Q154" s="76"/>
      <c r="R154" s="76"/>
      <c r="S154" s="79" t="str">
        <f aca="false">IF(B154="","",IF($N154="NON",0,IF(COUNT(O154:R154)=0,"",SUM(O154:R154))))</f>
        <v/>
      </c>
      <c r="T154" s="77" t="str">
        <f aca="false">IF(B154="","",IF($N154="NON",0,IF(COUNT(O154:R154)=0,"",IFERROR(ROUND(SUM(O154:R154)/SUMPRODUCT(ISNUMBER(O154:R154)*$O$8:$R$8)*10,2),""))))</f>
        <v/>
      </c>
      <c r="U154" s="75"/>
      <c r="V154" s="76"/>
      <c r="W154" s="76"/>
      <c r="X154" s="76"/>
      <c r="Y154" s="76"/>
      <c r="Z154" s="79" t="str">
        <f aca="false">IF(B154="","",IF($U154="NON",0,IF(COUNT(V154:Y154)=0,"",SUM(V154:Y154))))</f>
        <v/>
      </c>
      <c r="AA154" s="77" t="str">
        <f aca="false">IF(B154="","",IF($U154="NON",0,IF(COUNT(V154:Y154)=0,"",IFERROR(ROUND(SUM(V154:Y154)/SUMPRODUCT(ISNUMBER(V154:Y154)*$V$8:$Y$8)*10,2),""))))</f>
        <v/>
      </c>
      <c r="AB154" s="75"/>
      <c r="AC154" s="76"/>
      <c r="AD154" s="76"/>
      <c r="AE154" s="76"/>
      <c r="AF154" s="76"/>
      <c r="AG154" s="79" t="str">
        <f aca="false">IF(B154="","",IF($AB154="NON",0,IF(COUNT(AC154:AF154)=0,"",SUM(AC154:AF154))))</f>
        <v/>
      </c>
      <c r="AH154" s="77" t="str">
        <f aca="false">IF(B154="","",IF($AB154="NON",0,IF(COUNT(AC154:AF154)=0,"",IFERROR(ROUND(SUM(AC154:AF154)/SUMPRODUCT(ISNUMBER(AC154:AF154)*$AC$8:$AF$8)*10,2),""))))</f>
        <v/>
      </c>
      <c r="AI154" s="51" t="str">
        <f aca="false">IFERROR(MATCH("CEM-145",'REGISTRE ELEVES'!$AI$10:$AI$250,0),"")</f>
        <v/>
      </c>
    </row>
    <row r="155" customFormat="false" ht="15" hidden="false" customHeight="false" outlineLevel="0" collapsed="false">
      <c r="A155" s="73" t="str">
        <f aca="false">IF(B155="","",146)</f>
        <v/>
      </c>
      <c r="B155" s="73" t="str">
        <f aca="false">IF($AI155="","",INDEX('REGISTRE ELEVES'!$B$10:$B$250,$AI155))</f>
        <v/>
      </c>
      <c r="C155" s="74" t="str">
        <f aca="false">IF($AI155="","",INDEX('REGISTRE ELEVES'!$D$10:$D$250,$AI155))</f>
        <v/>
      </c>
      <c r="D155" s="73" t="str">
        <f aca="false">IF($AI155="","",INDEX('REGISTRE ELEVES'!$E$10:$E$250,$AI155))</f>
        <v/>
      </c>
      <c r="E155" s="73" t="str">
        <f aca="false">IF($AI155="","",INDEX('REGISTRE ELEVES'!$F$10:$F$250,$AI155))</f>
        <v/>
      </c>
      <c r="F155" s="73" t="str">
        <f aca="false">IF($AI155="","",INDEX('REGISTRE ELEVES'!$AE$10:$AE$250,$AI155))</f>
        <v/>
      </c>
      <c r="G155" s="75"/>
      <c r="H155" s="76"/>
      <c r="I155" s="76"/>
      <c r="J155" s="76"/>
      <c r="K155" s="76"/>
      <c r="L155" s="79" t="str">
        <f aca="false">IF(B155="","",IF($G155="NON",0,IF(COUNT(H155:K155)=0,"",SUM(H155:K155))))</f>
        <v/>
      </c>
      <c r="M155" s="77" t="str">
        <f aca="false">IF(B155="","",IF($G155="NON",0,IF(COUNT(H155:K155)=0,"",IFERROR(ROUND(SUM(H155:K155)/SUMPRODUCT(ISNUMBER(H155:K155)*$H$8:$K$8)*10,2),""))))</f>
        <v/>
      </c>
      <c r="N155" s="75"/>
      <c r="O155" s="76"/>
      <c r="P155" s="76"/>
      <c r="Q155" s="76"/>
      <c r="R155" s="76"/>
      <c r="S155" s="79" t="str">
        <f aca="false">IF(B155="","",IF($N155="NON",0,IF(COUNT(O155:R155)=0,"",SUM(O155:R155))))</f>
        <v/>
      </c>
      <c r="T155" s="77" t="str">
        <f aca="false">IF(B155="","",IF($N155="NON",0,IF(COUNT(O155:R155)=0,"",IFERROR(ROUND(SUM(O155:R155)/SUMPRODUCT(ISNUMBER(O155:R155)*$O$8:$R$8)*10,2),""))))</f>
        <v/>
      </c>
      <c r="U155" s="75"/>
      <c r="V155" s="76"/>
      <c r="W155" s="76"/>
      <c r="X155" s="76"/>
      <c r="Y155" s="76"/>
      <c r="Z155" s="79" t="str">
        <f aca="false">IF(B155="","",IF($U155="NON",0,IF(COUNT(V155:Y155)=0,"",SUM(V155:Y155))))</f>
        <v/>
      </c>
      <c r="AA155" s="77" t="str">
        <f aca="false">IF(B155="","",IF($U155="NON",0,IF(COUNT(V155:Y155)=0,"",IFERROR(ROUND(SUM(V155:Y155)/SUMPRODUCT(ISNUMBER(V155:Y155)*$V$8:$Y$8)*10,2),""))))</f>
        <v/>
      </c>
      <c r="AB155" s="75"/>
      <c r="AC155" s="76"/>
      <c r="AD155" s="76"/>
      <c r="AE155" s="76"/>
      <c r="AF155" s="76"/>
      <c r="AG155" s="79" t="str">
        <f aca="false">IF(B155="","",IF($AB155="NON",0,IF(COUNT(AC155:AF155)=0,"",SUM(AC155:AF155))))</f>
        <v/>
      </c>
      <c r="AH155" s="77" t="str">
        <f aca="false">IF(B155="","",IF($AB155="NON",0,IF(COUNT(AC155:AF155)=0,"",IFERROR(ROUND(SUM(AC155:AF155)/SUMPRODUCT(ISNUMBER(AC155:AF155)*$AC$8:$AF$8)*10,2),""))))</f>
        <v/>
      </c>
      <c r="AI155" s="51" t="str">
        <f aca="false">IFERROR(MATCH("CEM-146",'REGISTRE ELEVES'!$AI$10:$AI$250,0),"")</f>
        <v/>
      </c>
    </row>
    <row r="156" customFormat="false" ht="15" hidden="false" customHeight="false" outlineLevel="0" collapsed="false">
      <c r="A156" s="73" t="str">
        <f aca="false">IF(B156="","",147)</f>
        <v/>
      </c>
      <c r="B156" s="73" t="str">
        <f aca="false">IF($AI156="","",INDEX('REGISTRE ELEVES'!$B$10:$B$250,$AI156))</f>
        <v/>
      </c>
      <c r="C156" s="74" t="str">
        <f aca="false">IF($AI156="","",INDEX('REGISTRE ELEVES'!$D$10:$D$250,$AI156))</f>
        <v/>
      </c>
      <c r="D156" s="73" t="str">
        <f aca="false">IF($AI156="","",INDEX('REGISTRE ELEVES'!$E$10:$E$250,$AI156))</f>
        <v/>
      </c>
      <c r="E156" s="73" t="str">
        <f aca="false">IF($AI156="","",INDEX('REGISTRE ELEVES'!$F$10:$F$250,$AI156))</f>
        <v/>
      </c>
      <c r="F156" s="73" t="str">
        <f aca="false">IF($AI156="","",INDEX('REGISTRE ELEVES'!$AE$10:$AE$250,$AI156))</f>
        <v/>
      </c>
      <c r="G156" s="75"/>
      <c r="H156" s="76"/>
      <c r="I156" s="76"/>
      <c r="J156" s="76"/>
      <c r="K156" s="76"/>
      <c r="L156" s="79" t="str">
        <f aca="false">IF(B156="","",IF($G156="NON",0,IF(COUNT(H156:K156)=0,"",SUM(H156:K156))))</f>
        <v/>
      </c>
      <c r="M156" s="77" t="str">
        <f aca="false">IF(B156="","",IF($G156="NON",0,IF(COUNT(H156:K156)=0,"",IFERROR(ROUND(SUM(H156:K156)/SUMPRODUCT(ISNUMBER(H156:K156)*$H$8:$K$8)*10,2),""))))</f>
        <v/>
      </c>
      <c r="N156" s="75"/>
      <c r="O156" s="76"/>
      <c r="P156" s="76"/>
      <c r="Q156" s="76"/>
      <c r="R156" s="76"/>
      <c r="S156" s="79" t="str">
        <f aca="false">IF(B156="","",IF($N156="NON",0,IF(COUNT(O156:R156)=0,"",SUM(O156:R156))))</f>
        <v/>
      </c>
      <c r="T156" s="77" t="str">
        <f aca="false">IF(B156="","",IF($N156="NON",0,IF(COUNT(O156:R156)=0,"",IFERROR(ROUND(SUM(O156:R156)/SUMPRODUCT(ISNUMBER(O156:R156)*$O$8:$R$8)*10,2),""))))</f>
        <v/>
      </c>
      <c r="U156" s="75"/>
      <c r="V156" s="76"/>
      <c r="W156" s="76"/>
      <c r="X156" s="76"/>
      <c r="Y156" s="76"/>
      <c r="Z156" s="79" t="str">
        <f aca="false">IF(B156="","",IF($U156="NON",0,IF(COUNT(V156:Y156)=0,"",SUM(V156:Y156))))</f>
        <v/>
      </c>
      <c r="AA156" s="77" t="str">
        <f aca="false">IF(B156="","",IF($U156="NON",0,IF(COUNT(V156:Y156)=0,"",IFERROR(ROUND(SUM(V156:Y156)/SUMPRODUCT(ISNUMBER(V156:Y156)*$V$8:$Y$8)*10,2),""))))</f>
        <v/>
      </c>
      <c r="AB156" s="75"/>
      <c r="AC156" s="76"/>
      <c r="AD156" s="76"/>
      <c r="AE156" s="76"/>
      <c r="AF156" s="76"/>
      <c r="AG156" s="79" t="str">
        <f aca="false">IF(B156="","",IF($AB156="NON",0,IF(COUNT(AC156:AF156)=0,"",SUM(AC156:AF156))))</f>
        <v/>
      </c>
      <c r="AH156" s="77" t="str">
        <f aca="false">IF(B156="","",IF($AB156="NON",0,IF(COUNT(AC156:AF156)=0,"",IFERROR(ROUND(SUM(AC156:AF156)/SUMPRODUCT(ISNUMBER(AC156:AF156)*$AC$8:$AF$8)*10,2),""))))</f>
        <v/>
      </c>
      <c r="AI156" s="51" t="str">
        <f aca="false">IFERROR(MATCH("CEM-147",'REGISTRE ELEVES'!$AI$10:$AI$250,0),"")</f>
        <v/>
      </c>
    </row>
    <row r="157" customFormat="false" ht="15" hidden="false" customHeight="false" outlineLevel="0" collapsed="false">
      <c r="A157" s="73" t="str">
        <f aca="false">IF(B157="","",148)</f>
        <v/>
      </c>
      <c r="B157" s="73" t="str">
        <f aca="false">IF($AI157="","",INDEX('REGISTRE ELEVES'!$B$10:$B$250,$AI157))</f>
        <v/>
      </c>
      <c r="C157" s="74" t="str">
        <f aca="false">IF($AI157="","",INDEX('REGISTRE ELEVES'!$D$10:$D$250,$AI157))</f>
        <v/>
      </c>
      <c r="D157" s="73" t="str">
        <f aca="false">IF($AI157="","",INDEX('REGISTRE ELEVES'!$E$10:$E$250,$AI157))</f>
        <v/>
      </c>
      <c r="E157" s="73" t="str">
        <f aca="false">IF($AI157="","",INDEX('REGISTRE ELEVES'!$F$10:$F$250,$AI157))</f>
        <v/>
      </c>
      <c r="F157" s="73" t="str">
        <f aca="false">IF($AI157="","",INDEX('REGISTRE ELEVES'!$AE$10:$AE$250,$AI157))</f>
        <v/>
      </c>
      <c r="G157" s="75"/>
      <c r="H157" s="76"/>
      <c r="I157" s="76"/>
      <c r="J157" s="76"/>
      <c r="K157" s="76"/>
      <c r="L157" s="79" t="str">
        <f aca="false">IF(B157="","",IF($G157="NON",0,IF(COUNT(H157:K157)=0,"",SUM(H157:K157))))</f>
        <v/>
      </c>
      <c r="M157" s="77" t="str">
        <f aca="false">IF(B157="","",IF($G157="NON",0,IF(COUNT(H157:K157)=0,"",IFERROR(ROUND(SUM(H157:K157)/SUMPRODUCT(ISNUMBER(H157:K157)*$H$8:$K$8)*10,2),""))))</f>
        <v/>
      </c>
      <c r="N157" s="75"/>
      <c r="O157" s="76"/>
      <c r="P157" s="76"/>
      <c r="Q157" s="76"/>
      <c r="R157" s="76"/>
      <c r="S157" s="79" t="str">
        <f aca="false">IF(B157="","",IF($N157="NON",0,IF(COUNT(O157:R157)=0,"",SUM(O157:R157))))</f>
        <v/>
      </c>
      <c r="T157" s="77" t="str">
        <f aca="false">IF(B157="","",IF($N157="NON",0,IF(COUNT(O157:R157)=0,"",IFERROR(ROUND(SUM(O157:R157)/SUMPRODUCT(ISNUMBER(O157:R157)*$O$8:$R$8)*10,2),""))))</f>
        <v/>
      </c>
      <c r="U157" s="75"/>
      <c r="V157" s="76"/>
      <c r="W157" s="76"/>
      <c r="X157" s="76"/>
      <c r="Y157" s="76"/>
      <c r="Z157" s="79" t="str">
        <f aca="false">IF(B157="","",IF($U157="NON",0,IF(COUNT(V157:Y157)=0,"",SUM(V157:Y157))))</f>
        <v/>
      </c>
      <c r="AA157" s="77" t="str">
        <f aca="false">IF(B157="","",IF($U157="NON",0,IF(COUNT(V157:Y157)=0,"",IFERROR(ROUND(SUM(V157:Y157)/SUMPRODUCT(ISNUMBER(V157:Y157)*$V$8:$Y$8)*10,2),""))))</f>
        <v/>
      </c>
      <c r="AB157" s="75"/>
      <c r="AC157" s="76"/>
      <c r="AD157" s="76"/>
      <c r="AE157" s="76"/>
      <c r="AF157" s="76"/>
      <c r="AG157" s="79" t="str">
        <f aca="false">IF(B157="","",IF($AB157="NON",0,IF(COUNT(AC157:AF157)=0,"",SUM(AC157:AF157))))</f>
        <v/>
      </c>
      <c r="AH157" s="77" t="str">
        <f aca="false">IF(B157="","",IF($AB157="NON",0,IF(COUNT(AC157:AF157)=0,"",IFERROR(ROUND(SUM(AC157:AF157)/SUMPRODUCT(ISNUMBER(AC157:AF157)*$AC$8:$AF$8)*10,2),""))))</f>
        <v/>
      </c>
      <c r="AI157" s="51" t="str">
        <f aca="false">IFERROR(MATCH("CEM-148",'REGISTRE ELEVES'!$AI$10:$AI$250,0),"")</f>
        <v/>
      </c>
    </row>
    <row r="158" customFormat="false" ht="15" hidden="false" customHeight="false" outlineLevel="0" collapsed="false">
      <c r="A158" s="73" t="str">
        <f aca="false">IF(B158="","",149)</f>
        <v/>
      </c>
      <c r="B158" s="73" t="str">
        <f aca="false">IF($AI158="","",INDEX('REGISTRE ELEVES'!$B$10:$B$250,$AI158))</f>
        <v/>
      </c>
      <c r="C158" s="74" t="str">
        <f aca="false">IF($AI158="","",INDEX('REGISTRE ELEVES'!$D$10:$D$250,$AI158))</f>
        <v/>
      </c>
      <c r="D158" s="73" t="str">
        <f aca="false">IF($AI158="","",INDEX('REGISTRE ELEVES'!$E$10:$E$250,$AI158))</f>
        <v/>
      </c>
      <c r="E158" s="73" t="str">
        <f aca="false">IF($AI158="","",INDEX('REGISTRE ELEVES'!$F$10:$F$250,$AI158))</f>
        <v/>
      </c>
      <c r="F158" s="73" t="str">
        <f aca="false">IF($AI158="","",INDEX('REGISTRE ELEVES'!$AE$10:$AE$250,$AI158))</f>
        <v/>
      </c>
      <c r="G158" s="75"/>
      <c r="H158" s="76"/>
      <c r="I158" s="76"/>
      <c r="J158" s="76"/>
      <c r="K158" s="76"/>
      <c r="L158" s="79" t="str">
        <f aca="false">IF(B158="","",IF($G158="NON",0,IF(COUNT(H158:K158)=0,"",SUM(H158:K158))))</f>
        <v/>
      </c>
      <c r="M158" s="77" t="str">
        <f aca="false">IF(B158="","",IF($G158="NON",0,IF(COUNT(H158:K158)=0,"",IFERROR(ROUND(SUM(H158:K158)/SUMPRODUCT(ISNUMBER(H158:K158)*$H$8:$K$8)*10,2),""))))</f>
        <v/>
      </c>
      <c r="N158" s="75"/>
      <c r="O158" s="76"/>
      <c r="P158" s="76"/>
      <c r="Q158" s="76"/>
      <c r="R158" s="76"/>
      <c r="S158" s="79" t="str">
        <f aca="false">IF(B158="","",IF($N158="NON",0,IF(COUNT(O158:R158)=0,"",SUM(O158:R158))))</f>
        <v/>
      </c>
      <c r="T158" s="77" t="str">
        <f aca="false">IF(B158="","",IF($N158="NON",0,IF(COUNT(O158:R158)=0,"",IFERROR(ROUND(SUM(O158:R158)/SUMPRODUCT(ISNUMBER(O158:R158)*$O$8:$R$8)*10,2),""))))</f>
        <v/>
      </c>
      <c r="U158" s="75"/>
      <c r="V158" s="76"/>
      <c r="W158" s="76"/>
      <c r="X158" s="76"/>
      <c r="Y158" s="76"/>
      <c r="Z158" s="79" t="str">
        <f aca="false">IF(B158="","",IF($U158="NON",0,IF(COUNT(V158:Y158)=0,"",SUM(V158:Y158))))</f>
        <v/>
      </c>
      <c r="AA158" s="77" t="str">
        <f aca="false">IF(B158="","",IF($U158="NON",0,IF(COUNT(V158:Y158)=0,"",IFERROR(ROUND(SUM(V158:Y158)/SUMPRODUCT(ISNUMBER(V158:Y158)*$V$8:$Y$8)*10,2),""))))</f>
        <v/>
      </c>
      <c r="AB158" s="75"/>
      <c r="AC158" s="76"/>
      <c r="AD158" s="76"/>
      <c r="AE158" s="76"/>
      <c r="AF158" s="76"/>
      <c r="AG158" s="79" t="str">
        <f aca="false">IF(B158="","",IF($AB158="NON",0,IF(COUNT(AC158:AF158)=0,"",SUM(AC158:AF158))))</f>
        <v/>
      </c>
      <c r="AH158" s="77" t="str">
        <f aca="false">IF(B158="","",IF($AB158="NON",0,IF(COUNT(AC158:AF158)=0,"",IFERROR(ROUND(SUM(AC158:AF158)/SUMPRODUCT(ISNUMBER(AC158:AF158)*$AC$8:$AF$8)*10,2),""))))</f>
        <v/>
      </c>
      <c r="AI158" s="51" t="str">
        <f aca="false">IFERROR(MATCH("CEM-149",'REGISTRE ELEVES'!$AI$10:$AI$250,0),"")</f>
        <v/>
      </c>
    </row>
    <row r="159" customFormat="false" ht="15" hidden="false" customHeight="false" outlineLevel="0" collapsed="false">
      <c r="A159" s="73" t="str">
        <f aca="false">IF(B159="","",150)</f>
        <v/>
      </c>
      <c r="B159" s="73" t="str">
        <f aca="false">IF($AI159="","",INDEX('REGISTRE ELEVES'!$B$10:$B$250,$AI159))</f>
        <v/>
      </c>
      <c r="C159" s="74" t="str">
        <f aca="false">IF($AI159="","",INDEX('REGISTRE ELEVES'!$D$10:$D$250,$AI159))</f>
        <v/>
      </c>
      <c r="D159" s="73" t="str">
        <f aca="false">IF($AI159="","",INDEX('REGISTRE ELEVES'!$E$10:$E$250,$AI159))</f>
        <v/>
      </c>
      <c r="E159" s="73" t="str">
        <f aca="false">IF($AI159="","",INDEX('REGISTRE ELEVES'!$F$10:$F$250,$AI159))</f>
        <v/>
      </c>
      <c r="F159" s="73" t="str">
        <f aca="false">IF($AI159="","",INDEX('REGISTRE ELEVES'!$AE$10:$AE$250,$AI159))</f>
        <v/>
      </c>
      <c r="G159" s="75"/>
      <c r="H159" s="76"/>
      <c r="I159" s="76"/>
      <c r="J159" s="76"/>
      <c r="K159" s="76"/>
      <c r="L159" s="79" t="str">
        <f aca="false">IF(B159="","",IF($G159="NON",0,IF(COUNT(H159:K159)=0,"",SUM(H159:K159))))</f>
        <v/>
      </c>
      <c r="M159" s="77" t="str">
        <f aca="false">IF(B159="","",IF($G159="NON",0,IF(COUNT(H159:K159)=0,"",IFERROR(ROUND(SUM(H159:K159)/SUMPRODUCT(ISNUMBER(H159:K159)*$H$8:$K$8)*10,2),""))))</f>
        <v/>
      </c>
      <c r="N159" s="75"/>
      <c r="O159" s="76"/>
      <c r="P159" s="76"/>
      <c r="Q159" s="76"/>
      <c r="R159" s="76"/>
      <c r="S159" s="79" t="str">
        <f aca="false">IF(B159="","",IF($N159="NON",0,IF(COUNT(O159:R159)=0,"",SUM(O159:R159))))</f>
        <v/>
      </c>
      <c r="T159" s="77" t="str">
        <f aca="false">IF(B159="","",IF($N159="NON",0,IF(COUNT(O159:R159)=0,"",IFERROR(ROUND(SUM(O159:R159)/SUMPRODUCT(ISNUMBER(O159:R159)*$O$8:$R$8)*10,2),""))))</f>
        <v/>
      </c>
      <c r="U159" s="75"/>
      <c r="V159" s="76"/>
      <c r="W159" s="76"/>
      <c r="X159" s="76"/>
      <c r="Y159" s="76"/>
      <c r="Z159" s="79" t="str">
        <f aca="false">IF(B159="","",IF($U159="NON",0,IF(COUNT(V159:Y159)=0,"",SUM(V159:Y159))))</f>
        <v/>
      </c>
      <c r="AA159" s="77" t="str">
        <f aca="false">IF(B159="","",IF($U159="NON",0,IF(COUNT(V159:Y159)=0,"",IFERROR(ROUND(SUM(V159:Y159)/SUMPRODUCT(ISNUMBER(V159:Y159)*$V$8:$Y$8)*10,2),""))))</f>
        <v/>
      </c>
      <c r="AB159" s="75"/>
      <c r="AC159" s="76"/>
      <c r="AD159" s="76"/>
      <c r="AE159" s="76"/>
      <c r="AF159" s="76"/>
      <c r="AG159" s="79" t="str">
        <f aca="false">IF(B159="","",IF($AB159="NON",0,IF(COUNT(AC159:AF159)=0,"",SUM(AC159:AF159))))</f>
        <v/>
      </c>
      <c r="AH159" s="77" t="str">
        <f aca="false">IF(B159="","",IF($AB159="NON",0,IF(COUNT(AC159:AF159)=0,"",IFERROR(ROUND(SUM(AC159:AF159)/SUMPRODUCT(ISNUMBER(AC159:AF159)*$AC$8:$AF$8)*10,2),""))))</f>
        <v/>
      </c>
      <c r="AI159" s="51" t="str">
        <f aca="false">IFERROR(MATCH("CEM-150",'REGISTRE ELEVES'!$AI$10:$AI$250,0),"")</f>
        <v/>
      </c>
    </row>
    <row r="160" customFormat="false" ht="15" hidden="false" customHeight="false" outlineLevel="0" collapsed="false">
      <c r="A160" s="73" t="str">
        <f aca="false">IF(B160="","",151)</f>
        <v/>
      </c>
      <c r="B160" s="73" t="str">
        <f aca="false">IF($AI160="","",INDEX('REGISTRE ELEVES'!$B$10:$B$250,$AI160))</f>
        <v/>
      </c>
      <c r="C160" s="74" t="str">
        <f aca="false">IF($AI160="","",INDEX('REGISTRE ELEVES'!$D$10:$D$250,$AI160))</f>
        <v/>
      </c>
      <c r="D160" s="73" t="str">
        <f aca="false">IF($AI160="","",INDEX('REGISTRE ELEVES'!$E$10:$E$250,$AI160))</f>
        <v/>
      </c>
      <c r="E160" s="73" t="str">
        <f aca="false">IF($AI160="","",INDEX('REGISTRE ELEVES'!$F$10:$F$250,$AI160))</f>
        <v/>
      </c>
      <c r="F160" s="73" t="str">
        <f aca="false">IF($AI160="","",INDEX('REGISTRE ELEVES'!$AE$10:$AE$250,$AI160))</f>
        <v/>
      </c>
      <c r="G160" s="75"/>
      <c r="H160" s="76"/>
      <c r="I160" s="76"/>
      <c r="J160" s="76"/>
      <c r="K160" s="76"/>
      <c r="L160" s="79" t="str">
        <f aca="false">IF(B160="","",IF($G160="NON",0,IF(COUNT(H160:K160)=0,"",SUM(H160:K160))))</f>
        <v/>
      </c>
      <c r="M160" s="77" t="str">
        <f aca="false">IF(B160="","",IF($G160="NON",0,IF(COUNT(H160:K160)=0,"",IFERROR(ROUND(SUM(H160:K160)/SUMPRODUCT(ISNUMBER(H160:K160)*$H$8:$K$8)*10,2),""))))</f>
        <v/>
      </c>
      <c r="N160" s="75"/>
      <c r="O160" s="76"/>
      <c r="P160" s="76"/>
      <c r="Q160" s="76"/>
      <c r="R160" s="76"/>
      <c r="S160" s="79" t="str">
        <f aca="false">IF(B160="","",IF($N160="NON",0,IF(COUNT(O160:R160)=0,"",SUM(O160:R160))))</f>
        <v/>
      </c>
      <c r="T160" s="77" t="str">
        <f aca="false">IF(B160="","",IF($N160="NON",0,IF(COUNT(O160:R160)=0,"",IFERROR(ROUND(SUM(O160:R160)/SUMPRODUCT(ISNUMBER(O160:R160)*$O$8:$R$8)*10,2),""))))</f>
        <v/>
      </c>
      <c r="U160" s="75"/>
      <c r="V160" s="76"/>
      <c r="W160" s="76"/>
      <c r="X160" s="76"/>
      <c r="Y160" s="76"/>
      <c r="Z160" s="79" t="str">
        <f aca="false">IF(B160="","",IF($U160="NON",0,IF(COUNT(V160:Y160)=0,"",SUM(V160:Y160))))</f>
        <v/>
      </c>
      <c r="AA160" s="77" t="str">
        <f aca="false">IF(B160="","",IF($U160="NON",0,IF(COUNT(V160:Y160)=0,"",IFERROR(ROUND(SUM(V160:Y160)/SUMPRODUCT(ISNUMBER(V160:Y160)*$V$8:$Y$8)*10,2),""))))</f>
        <v/>
      </c>
      <c r="AB160" s="75"/>
      <c r="AC160" s="76"/>
      <c r="AD160" s="76"/>
      <c r="AE160" s="76"/>
      <c r="AF160" s="76"/>
      <c r="AG160" s="79" t="str">
        <f aca="false">IF(B160="","",IF($AB160="NON",0,IF(COUNT(AC160:AF160)=0,"",SUM(AC160:AF160))))</f>
        <v/>
      </c>
      <c r="AH160" s="77" t="str">
        <f aca="false">IF(B160="","",IF($AB160="NON",0,IF(COUNT(AC160:AF160)=0,"",IFERROR(ROUND(SUM(AC160:AF160)/SUMPRODUCT(ISNUMBER(AC160:AF160)*$AC$8:$AF$8)*10,2),""))))</f>
        <v/>
      </c>
      <c r="AI160" s="51" t="str">
        <f aca="false">IFERROR(MATCH("CEM-151",'REGISTRE ELEVES'!$AI$10:$AI$250,0),"")</f>
        <v/>
      </c>
    </row>
    <row r="161" customFormat="false" ht="15" hidden="false" customHeight="false" outlineLevel="0" collapsed="false">
      <c r="A161" s="73" t="str">
        <f aca="false">IF(B161="","",152)</f>
        <v/>
      </c>
      <c r="B161" s="73" t="str">
        <f aca="false">IF($AI161="","",INDEX('REGISTRE ELEVES'!$B$10:$B$250,$AI161))</f>
        <v/>
      </c>
      <c r="C161" s="74" t="str">
        <f aca="false">IF($AI161="","",INDEX('REGISTRE ELEVES'!$D$10:$D$250,$AI161))</f>
        <v/>
      </c>
      <c r="D161" s="73" t="str">
        <f aca="false">IF($AI161="","",INDEX('REGISTRE ELEVES'!$E$10:$E$250,$AI161))</f>
        <v/>
      </c>
      <c r="E161" s="73" t="str">
        <f aca="false">IF($AI161="","",INDEX('REGISTRE ELEVES'!$F$10:$F$250,$AI161))</f>
        <v/>
      </c>
      <c r="F161" s="73" t="str">
        <f aca="false">IF($AI161="","",INDEX('REGISTRE ELEVES'!$AE$10:$AE$250,$AI161))</f>
        <v/>
      </c>
      <c r="G161" s="75"/>
      <c r="H161" s="76"/>
      <c r="I161" s="76"/>
      <c r="J161" s="76"/>
      <c r="K161" s="76"/>
      <c r="L161" s="79" t="str">
        <f aca="false">IF(B161="","",IF($G161="NON",0,IF(COUNT(H161:K161)=0,"",SUM(H161:K161))))</f>
        <v/>
      </c>
      <c r="M161" s="77" t="str">
        <f aca="false">IF(B161="","",IF($G161="NON",0,IF(COUNT(H161:K161)=0,"",IFERROR(ROUND(SUM(H161:K161)/SUMPRODUCT(ISNUMBER(H161:K161)*$H$8:$K$8)*10,2),""))))</f>
        <v/>
      </c>
      <c r="N161" s="75"/>
      <c r="O161" s="76"/>
      <c r="P161" s="76"/>
      <c r="Q161" s="76"/>
      <c r="R161" s="76"/>
      <c r="S161" s="79" t="str">
        <f aca="false">IF(B161="","",IF($N161="NON",0,IF(COUNT(O161:R161)=0,"",SUM(O161:R161))))</f>
        <v/>
      </c>
      <c r="T161" s="77" t="str">
        <f aca="false">IF(B161="","",IF($N161="NON",0,IF(COUNT(O161:R161)=0,"",IFERROR(ROUND(SUM(O161:R161)/SUMPRODUCT(ISNUMBER(O161:R161)*$O$8:$R$8)*10,2),""))))</f>
        <v/>
      </c>
      <c r="U161" s="75"/>
      <c r="V161" s="76"/>
      <c r="W161" s="76"/>
      <c r="X161" s="76"/>
      <c r="Y161" s="76"/>
      <c r="Z161" s="79" t="str">
        <f aca="false">IF(B161="","",IF($U161="NON",0,IF(COUNT(V161:Y161)=0,"",SUM(V161:Y161))))</f>
        <v/>
      </c>
      <c r="AA161" s="77" t="str">
        <f aca="false">IF(B161="","",IF($U161="NON",0,IF(COUNT(V161:Y161)=0,"",IFERROR(ROUND(SUM(V161:Y161)/SUMPRODUCT(ISNUMBER(V161:Y161)*$V$8:$Y$8)*10,2),""))))</f>
        <v/>
      </c>
      <c r="AB161" s="75"/>
      <c r="AC161" s="76"/>
      <c r="AD161" s="76"/>
      <c r="AE161" s="76"/>
      <c r="AF161" s="76"/>
      <c r="AG161" s="79" t="str">
        <f aca="false">IF(B161="","",IF($AB161="NON",0,IF(COUNT(AC161:AF161)=0,"",SUM(AC161:AF161))))</f>
        <v/>
      </c>
      <c r="AH161" s="77" t="str">
        <f aca="false">IF(B161="","",IF($AB161="NON",0,IF(COUNT(AC161:AF161)=0,"",IFERROR(ROUND(SUM(AC161:AF161)/SUMPRODUCT(ISNUMBER(AC161:AF161)*$AC$8:$AF$8)*10,2),""))))</f>
        <v/>
      </c>
      <c r="AI161" s="51" t="str">
        <f aca="false">IFERROR(MATCH("CEM-152",'REGISTRE ELEVES'!$AI$10:$AI$250,0),"")</f>
        <v/>
      </c>
    </row>
    <row r="162" customFormat="false" ht="15" hidden="false" customHeight="false" outlineLevel="0" collapsed="false">
      <c r="A162" s="73" t="str">
        <f aca="false">IF(B162="","",153)</f>
        <v/>
      </c>
      <c r="B162" s="73" t="str">
        <f aca="false">IF($AI162="","",INDEX('REGISTRE ELEVES'!$B$10:$B$250,$AI162))</f>
        <v/>
      </c>
      <c r="C162" s="74" t="str">
        <f aca="false">IF($AI162="","",INDEX('REGISTRE ELEVES'!$D$10:$D$250,$AI162))</f>
        <v/>
      </c>
      <c r="D162" s="73" t="str">
        <f aca="false">IF($AI162="","",INDEX('REGISTRE ELEVES'!$E$10:$E$250,$AI162))</f>
        <v/>
      </c>
      <c r="E162" s="73" t="str">
        <f aca="false">IF($AI162="","",INDEX('REGISTRE ELEVES'!$F$10:$F$250,$AI162))</f>
        <v/>
      </c>
      <c r="F162" s="73" t="str">
        <f aca="false">IF($AI162="","",INDEX('REGISTRE ELEVES'!$AE$10:$AE$250,$AI162))</f>
        <v/>
      </c>
      <c r="G162" s="75"/>
      <c r="H162" s="76"/>
      <c r="I162" s="76"/>
      <c r="J162" s="76"/>
      <c r="K162" s="76"/>
      <c r="L162" s="79" t="str">
        <f aca="false">IF(B162="","",IF($G162="NON",0,IF(COUNT(H162:K162)=0,"",SUM(H162:K162))))</f>
        <v/>
      </c>
      <c r="M162" s="77" t="str">
        <f aca="false">IF(B162="","",IF($G162="NON",0,IF(COUNT(H162:K162)=0,"",IFERROR(ROUND(SUM(H162:K162)/SUMPRODUCT(ISNUMBER(H162:K162)*$H$8:$K$8)*10,2),""))))</f>
        <v/>
      </c>
      <c r="N162" s="75"/>
      <c r="O162" s="76"/>
      <c r="P162" s="76"/>
      <c r="Q162" s="76"/>
      <c r="R162" s="76"/>
      <c r="S162" s="79" t="str">
        <f aca="false">IF(B162="","",IF($N162="NON",0,IF(COUNT(O162:R162)=0,"",SUM(O162:R162))))</f>
        <v/>
      </c>
      <c r="T162" s="77" t="str">
        <f aca="false">IF(B162="","",IF($N162="NON",0,IF(COUNT(O162:R162)=0,"",IFERROR(ROUND(SUM(O162:R162)/SUMPRODUCT(ISNUMBER(O162:R162)*$O$8:$R$8)*10,2),""))))</f>
        <v/>
      </c>
      <c r="U162" s="75"/>
      <c r="V162" s="76"/>
      <c r="W162" s="76"/>
      <c r="X162" s="76"/>
      <c r="Y162" s="76"/>
      <c r="Z162" s="79" t="str">
        <f aca="false">IF(B162="","",IF($U162="NON",0,IF(COUNT(V162:Y162)=0,"",SUM(V162:Y162))))</f>
        <v/>
      </c>
      <c r="AA162" s="77" t="str">
        <f aca="false">IF(B162="","",IF($U162="NON",0,IF(COUNT(V162:Y162)=0,"",IFERROR(ROUND(SUM(V162:Y162)/SUMPRODUCT(ISNUMBER(V162:Y162)*$V$8:$Y$8)*10,2),""))))</f>
        <v/>
      </c>
      <c r="AB162" s="75"/>
      <c r="AC162" s="76"/>
      <c r="AD162" s="76"/>
      <c r="AE162" s="76"/>
      <c r="AF162" s="76"/>
      <c r="AG162" s="79" t="str">
        <f aca="false">IF(B162="","",IF($AB162="NON",0,IF(COUNT(AC162:AF162)=0,"",SUM(AC162:AF162))))</f>
        <v/>
      </c>
      <c r="AH162" s="77" t="str">
        <f aca="false">IF(B162="","",IF($AB162="NON",0,IF(COUNT(AC162:AF162)=0,"",IFERROR(ROUND(SUM(AC162:AF162)/SUMPRODUCT(ISNUMBER(AC162:AF162)*$AC$8:$AF$8)*10,2),""))))</f>
        <v/>
      </c>
      <c r="AI162" s="51" t="str">
        <f aca="false">IFERROR(MATCH("CEM-153",'REGISTRE ELEVES'!$AI$10:$AI$250,0),"")</f>
        <v/>
      </c>
    </row>
    <row r="163" customFormat="false" ht="15" hidden="false" customHeight="false" outlineLevel="0" collapsed="false">
      <c r="A163" s="73" t="str">
        <f aca="false">IF(B163="","",154)</f>
        <v/>
      </c>
      <c r="B163" s="73" t="str">
        <f aca="false">IF($AI163="","",INDEX('REGISTRE ELEVES'!$B$10:$B$250,$AI163))</f>
        <v/>
      </c>
      <c r="C163" s="74" t="str">
        <f aca="false">IF($AI163="","",INDEX('REGISTRE ELEVES'!$D$10:$D$250,$AI163))</f>
        <v/>
      </c>
      <c r="D163" s="73" t="str">
        <f aca="false">IF($AI163="","",INDEX('REGISTRE ELEVES'!$E$10:$E$250,$AI163))</f>
        <v/>
      </c>
      <c r="E163" s="73" t="str">
        <f aca="false">IF($AI163="","",INDEX('REGISTRE ELEVES'!$F$10:$F$250,$AI163))</f>
        <v/>
      </c>
      <c r="F163" s="73" t="str">
        <f aca="false">IF($AI163="","",INDEX('REGISTRE ELEVES'!$AE$10:$AE$250,$AI163))</f>
        <v/>
      </c>
      <c r="G163" s="75"/>
      <c r="H163" s="76"/>
      <c r="I163" s="76"/>
      <c r="J163" s="76"/>
      <c r="K163" s="76"/>
      <c r="L163" s="79" t="str">
        <f aca="false">IF(B163="","",IF($G163="NON",0,IF(COUNT(H163:K163)=0,"",SUM(H163:K163))))</f>
        <v/>
      </c>
      <c r="M163" s="77" t="str">
        <f aca="false">IF(B163="","",IF($G163="NON",0,IF(COUNT(H163:K163)=0,"",IFERROR(ROUND(SUM(H163:K163)/SUMPRODUCT(ISNUMBER(H163:K163)*$H$8:$K$8)*10,2),""))))</f>
        <v/>
      </c>
      <c r="N163" s="75"/>
      <c r="O163" s="76"/>
      <c r="P163" s="76"/>
      <c r="Q163" s="76"/>
      <c r="R163" s="76"/>
      <c r="S163" s="79" t="str">
        <f aca="false">IF(B163="","",IF($N163="NON",0,IF(COUNT(O163:R163)=0,"",SUM(O163:R163))))</f>
        <v/>
      </c>
      <c r="T163" s="77" t="str">
        <f aca="false">IF(B163="","",IF($N163="NON",0,IF(COUNT(O163:R163)=0,"",IFERROR(ROUND(SUM(O163:R163)/SUMPRODUCT(ISNUMBER(O163:R163)*$O$8:$R$8)*10,2),""))))</f>
        <v/>
      </c>
      <c r="U163" s="75"/>
      <c r="V163" s="76"/>
      <c r="W163" s="76"/>
      <c r="X163" s="76"/>
      <c r="Y163" s="76"/>
      <c r="Z163" s="79" t="str">
        <f aca="false">IF(B163="","",IF($U163="NON",0,IF(COUNT(V163:Y163)=0,"",SUM(V163:Y163))))</f>
        <v/>
      </c>
      <c r="AA163" s="77" t="str">
        <f aca="false">IF(B163="","",IF($U163="NON",0,IF(COUNT(V163:Y163)=0,"",IFERROR(ROUND(SUM(V163:Y163)/SUMPRODUCT(ISNUMBER(V163:Y163)*$V$8:$Y$8)*10,2),""))))</f>
        <v/>
      </c>
      <c r="AB163" s="75"/>
      <c r="AC163" s="76"/>
      <c r="AD163" s="76"/>
      <c r="AE163" s="76"/>
      <c r="AF163" s="76"/>
      <c r="AG163" s="79" t="str">
        <f aca="false">IF(B163="","",IF($AB163="NON",0,IF(COUNT(AC163:AF163)=0,"",SUM(AC163:AF163))))</f>
        <v/>
      </c>
      <c r="AH163" s="77" t="str">
        <f aca="false">IF(B163="","",IF($AB163="NON",0,IF(COUNT(AC163:AF163)=0,"",IFERROR(ROUND(SUM(AC163:AF163)/SUMPRODUCT(ISNUMBER(AC163:AF163)*$AC$8:$AF$8)*10,2),""))))</f>
        <v/>
      </c>
      <c r="AI163" s="51" t="str">
        <f aca="false">IFERROR(MATCH("CEM-154",'REGISTRE ELEVES'!$AI$10:$AI$250,0),"")</f>
        <v/>
      </c>
    </row>
    <row r="164" customFormat="false" ht="15" hidden="false" customHeight="false" outlineLevel="0" collapsed="false">
      <c r="A164" s="73" t="str">
        <f aca="false">IF(B164="","",155)</f>
        <v/>
      </c>
      <c r="B164" s="73" t="str">
        <f aca="false">IF($AI164="","",INDEX('REGISTRE ELEVES'!$B$10:$B$250,$AI164))</f>
        <v/>
      </c>
      <c r="C164" s="74" t="str">
        <f aca="false">IF($AI164="","",INDEX('REGISTRE ELEVES'!$D$10:$D$250,$AI164))</f>
        <v/>
      </c>
      <c r="D164" s="73" t="str">
        <f aca="false">IF($AI164="","",INDEX('REGISTRE ELEVES'!$E$10:$E$250,$AI164))</f>
        <v/>
      </c>
      <c r="E164" s="73" t="str">
        <f aca="false">IF($AI164="","",INDEX('REGISTRE ELEVES'!$F$10:$F$250,$AI164))</f>
        <v/>
      </c>
      <c r="F164" s="73" t="str">
        <f aca="false">IF($AI164="","",INDEX('REGISTRE ELEVES'!$AE$10:$AE$250,$AI164))</f>
        <v/>
      </c>
      <c r="G164" s="75"/>
      <c r="H164" s="76"/>
      <c r="I164" s="76"/>
      <c r="J164" s="76"/>
      <c r="K164" s="76"/>
      <c r="L164" s="79" t="str">
        <f aca="false">IF(B164="","",IF($G164="NON",0,IF(COUNT(H164:K164)=0,"",SUM(H164:K164))))</f>
        <v/>
      </c>
      <c r="M164" s="77" t="str">
        <f aca="false">IF(B164="","",IF($G164="NON",0,IF(COUNT(H164:K164)=0,"",IFERROR(ROUND(SUM(H164:K164)/SUMPRODUCT(ISNUMBER(H164:K164)*$H$8:$K$8)*10,2),""))))</f>
        <v/>
      </c>
      <c r="N164" s="75"/>
      <c r="O164" s="76"/>
      <c r="P164" s="76"/>
      <c r="Q164" s="76"/>
      <c r="R164" s="76"/>
      <c r="S164" s="79" t="str">
        <f aca="false">IF(B164="","",IF($N164="NON",0,IF(COUNT(O164:R164)=0,"",SUM(O164:R164))))</f>
        <v/>
      </c>
      <c r="T164" s="77" t="str">
        <f aca="false">IF(B164="","",IF($N164="NON",0,IF(COUNT(O164:R164)=0,"",IFERROR(ROUND(SUM(O164:R164)/SUMPRODUCT(ISNUMBER(O164:R164)*$O$8:$R$8)*10,2),""))))</f>
        <v/>
      </c>
      <c r="U164" s="75"/>
      <c r="V164" s="76"/>
      <c r="W164" s="76"/>
      <c r="X164" s="76"/>
      <c r="Y164" s="76"/>
      <c r="Z164" s="79" t="str">
        <f aca="false">IF(B164="","",IF($U164="NON",0,IF(COUNT(V164:Y164)=0,"",SUM(V164:Y164))))</f>
        <v/>
      </c>
      <c r="AA164" s="77" t="str">
        <f aca="false">IF(B164="","",IF($U164="NON",0,IF(COUNT(V164:Y164)=0,"",IFERROR(ROUND(SUM(V164:Y164)/SUMPRODUCT(ISNUMBER(V164:Y164)*$V$8:$Y$8)*10,2),""))))</f>
        <v/>
      </c>
      <c r="AB164" s="75"/>
      <c r="AC164" s="76"/>
      <c r="AD164" s="76"/>
      <c r="AE164" s="76"/>
      <c r="AF164" s="76"/>
      <c r="AG164" s="79" t="str">
        <f aca="false">IF(B164="","",IF($AB164="NON",0,IF(COUNT(AC164:AF164)=0,"",SUM(AC164:AF164))))</f>
        <v/>
      </c>
      <c r="AH164" s="77" t="str">
        <f aca="false">IF(B164="","",IF($AB164="NON",0,IF(COUNT(AC164:AF164)=0,"",IFERROR(ROUND(SUM(AC164:AF164)/SUMPRODUCT(ISNUMBER(AC164:AF164)*$AC$8:$AF$8)*10,2),""))))</f>
        <v/>
      </c>
      <c r="AI164" s="51" t="str">
        <f aca="false">IFERROR(MATCH("CEM-155",'REGISTRE ELEVES'!$AI$10:$AI$250,0),"")</f>
        <v/>
      </c>
    </row>
    <row r="165" customFormat="false" ht="15" hidden="false" customHeight="false" outlineLevel="0" collapsed="false">
      <c r="A165" s="73" t="str">
        <f aca="false">IF(B165="","",156)</f>
        <v/>
      </c>
      <c r="B165" s="73" t="str">
        <f aca="false">IF($AI165="","",INDEX('REGISTRE ELEVES'!$B$10:$B$250,$AI165))</f>
        <v/>
      </c>
      <c r="C165" s="74" t="str">
        <f aca="false">IF($AI165="","",INDEX('REGISTRE ELEVES'!$D$10:$D$250,$AI165))</f>
        <v/>
      </c>
      <c r="D165" s="73" t="str">
        <f aca="false">IF($AI165="","",INDEX('REGISTRE ELEVES'!$E$10:$E$250,$AI165))</f>
        <v/>
      </c>
      <c r="E165" s="73" t="str">
        <f aca="false">IF($AI165="","",INDEX('REGISTRE ELEVES'!$F$10:$F$250,$AI165))</f>
        <v/>
      </c>
      <c r="F165" s="73" t="str">
        <f aca="false">IF($AI165="","",INDEX('REGISTRE ELEVES'!$AE$10:$AE$250,$AI165))</f>
        <v/>
      </c>
      <c r="G165" s="75"/>
      <c r="H165" s="76"/>
      <c r="I165" s="76"/>
      <c r="J165" s="76"/>
      <c r="K165" s="76"/>
      <c r="L165" s="79" t="str">
        <f aca="false">IF(B165="","",IF($G165="NON",0,IF(COUNT(H165:K165)=0,"",SUM(H165:K165))))</f>
        <v/>
      </c>
      <c r="M165" s="77" t="str">
        <f aca="false">IF(B165="","",IF($G165="NON",0,IF(COUNT(H165:K165)=0,"",IFERROR(ROUND(SUM(H165:K165)/SUMPRODUCT(ISNUMBER(H165:K165)*$H$8:$K$8)*10,2),""))))</f>
        <v/>
      </c>
      <c r="N165" s="75"/>
      <c r="O165" s="76"/>
      <c r="P165" s="76"/>
      <c r="Q165" s="76"/>
      <c r="R165" s="76"/>
      <c r="S165" s="79" t="str">
        <f aca="false">IF(B165="","",IF($N165="NON",0,IF(COUNT(O165:R165)=0,"",SUM(O165:R165))))</f>
        <v/>
      </c>
      <c r="T165" s="77" t="str">
        <f aca="false">IF(B165="","",IF($N165="NON",0,IF(COUNT(O165:R165)=0,"",IFERROR(ROUND(SUM(O165:R165)/SUMPRODUCT(ISNUMBER(O165:R165)*$O$8:$R$8)*10,2),""))))</f>
        <v/>
      </c>
      <c r="U165" s="75"/>
      <c r="V165" s="76"/>
      <c r="W165" s="76"/>
      <c r="X165" s="76"/>
      <c r="Y165" s="76"/>
      <c r="Z165" s="79" t="str">
        <f aca="false">IF(B165="","",IF($U165="NON",0,IF(COUNT(V165:Y165)=0,"",SUM(V165:Y165))))</f>
        <v/>
      </c>
      <c r="AA165" s="77" t="str">
        <f aca="false">IF(B165="","",IF($U165="NON",0,IF(COUNT(V165:Y165)=0,"",IFERROR(ROUND(SUM(V165:Y165)/SUMPRODUCT(ISNUMBER(V165:Y165)*$V$8:$Y$8)*10,2),""))))</f>
        <v/>
      </c>
      <c r="AB165" s="75"/>
      <c r="AC165" s="76"/>
      <c r="AD165" s="76"/>
      <c r="AE165" s="76"/>
      <c r="AF165" s="76"/>
      <c r="AG165" s="79" t="str">
        <f aca="false">IF(B165="","",IF($AB165="NON",0,IF(COUNT(AC165:AF165)=0,"",SUM(AC165:AF165))))</f>
        <v/>
      </c>
      <c r="AH165" s="77" t="str">
        <f aca="false">IF(B165="","",IF($AB165="NON",0,IF(COUNT(AC165:AF165)=0,"",IFERROR(ROUND(SUM(AC165:AF165)/SUMPRODUCT(ISNUMBER(AC165:AF165)*$AC$8:$AF$8)*10,2),""))))</f>
        <v/>
      </c>
      <c r="AI165" s="51" t="str">
        <f aca="false">IFERROR(MATCH("CEM-156",'REGISTRE ELEVES'!$AI$10:$AI$250,0),"")</f>
        <v/>
      </c>
    </row>
    <row r="166" customFormat="false" ht="15" hidden="false" customHeight="false" outlineLevel="0" collapsed="false">
      <c r="A166" s="73" t="str">
        <f aca="false">IF(B166="","",157)</f>
        <v/>
      </c>
      <c r="B166" s="73" t="str">
        <f aca="false">IF($AI166="","",INDEX('REGISTRE ELEVES'!$B$10:$B$250,$AI166))</f>
        <v/>
      </c>
      <c r="C166" s="74" t="str">
        <f aca="false">IF($AI166="","",INDEX('REGISTRE ELEVES'!$D$10:$D$250,$AI166))</f>
        <v/>
      </c>
      <c r="D166" s="73" t="str">
        <f aca="false">IF($AI166="","",INDEX('REGISTRE ELEVES'!$E$10:$E$250,$AI166))</f>
        <v/>
      </c>
      <c r="E166" s="73" t="str">
        <f aca="false">IF($AI166="","",INDEX('REGISTRE ELEVES'!$F$10:$F$250,$AI166))</f>
        <v/>
      </c>
      <c r="F166" s="73" t="str">
        <f aca="false">IF($AI166="","",INDEX('REGISTRE ELEVES'!$AE$10:$AE$250,$AI166))</f>
        <v/>
      </c>
      <c r="G166" s="75"/>
      <c r="H166" s="76"/>
      <c r="I166" s="76"/>
      <c r="J166" s="76"/>
      <c r="K166" s="76"/>
      <c r="L166" s="79" t="str">
        <f aca="false">IF(B166="","",IF($G166="NON",0,IF(COUNT(H166:K166)=0,"",SUM(H166:K166))))</f>
        <v/>
      </c>
      <c r="M166" s="77" t="str">
        <f aca="false">IF(B166="","",IF($G166="NON",0,IF(COUNT(H166:K166)=0,"",IFERROR(ROUND(SUM(H166:K166)/SUMPRODUCT(ISNUMBER(H166:K166)*$H$8:$K$8)*10,2),""))))</f>
        <v/>
      </c>
      <c r="N166" s="75"/>
      <c r="O166" s="76"/>
      <c r="P166" s="76"/>
      <c r="Q166" s="76"/>
      <c r="R166" s="76"/>
      <c r="S166" s="79" t="str">
        <f aca="false">IF(B166="","",IF($N166="NON",0,IF(COUNT(O166:R166)=0,"",SUM(O166:R166))))</f>
        <v/>
      </c>
      <c r="T166" s="77" t="str">
        <f aca="false">IF(B166="","",IF($N166="NON",0,IF(COUNT(O166:R166)=0,"",IFERROR(ROUND(SUM(O166:R166)/SUMPRODUCT(ISNUMBER(O166:R166)*$O$8:$R$8)*10,2),""))))</f>
        <v/>
      </c>
      <c r="U166" s="75"/>
      <c r="V166" s="76"/>
      <c r="W166" s="76"/>
      <c r="X166" s="76"/>
      <c r="Y166" s="76"/>
      <c r="Z166" s="79" t="str">
        <f aca="false">IF(B166="","",IF($U166="NON",0,IF(COUNT(V166:Y166)=0,"",SUM(V166:Y166))))</f>
        <v/>
      </c>
      <c r="AA166" s="77" t="str">
        <f aca="false">IF(B166="","",IF($U166="NON",0,IF(COUNT(V166:Y166)=0,"",IFERROR(ROUND(SUM(V166:Y166)/SUMPRODUCT(ISNUMBER(V166:Y166)*$V$8:$Y$8)*10,2),""))))</f>
        <v/>
      </c>
      <c r="AB166" s="75"/>
      <c r="AC166" s="76"/>
      <c r="AD166" s="76"/>
      <c r="AE166" s="76"/>
      <c r="AF166" s="76"/>
      <c r="AG166" s="79" t="str">
        <f aca="false">IF(B166="","",IF($AB166="NON",0,IF(COUNT(AC166:AF166)=0,"",SUM(AC166:AF166))))</f>
        <v/>
      </c>
      <c r="AH166" s="77" t="str">
        <f aca="false">IF(B166="","",IF($AB166="NON",0,IF(COUNT(AC166:AF166)=0,"",IFERROR(ROUND(SUM(AC166:AF166)/SUMPRODUCT(ISNUMBER(AC166:AF166)*$AC$8:$AF$8)*10,2),""))))</f>
        <v/>
      </c>
      <c r="AI166" s="51" t="str">
        <f aca="false">IFERROR(MATCH("CEM-157",'REGISTRE ELEVES'!$AI$10:$AI$250,0),"")</f>
        <v/>
      </c>
    </row>
    <row r="167" customFormat="false" ht="15" hidden="false" customHeight="false" outlineLevel="0" collapsed="false">
      <c r="A167" s="73" t="str">
        <f aca="false">IF(B167="","",158)</f>
        <v/>
      </c>
      <c r="B167" s="73" t="str">
        <f aca="false">IF($AI167="","",INDEX('REGISTRE ELEVES'!$B$10:$B$250,$AI167))</f>
        <v/>
      </c>
      <c r="C167" s="74" t="str">
        <f aca="false">IF($AI167="","",INDEX('REGISTRE ELEVES'!$D$10:$D$250,$AI167))</f>
        <v/>
      </c>
      <c r="D167" s="73" t="str">
        <f aca="false">IF($AI167="","",INDEX('REGISTRE ELEVES'!$E$10:$E$250,$AI167))</f>
        <v/>
      </c>
      <c r="E167" s="73" t="str">
        <f aca="false">IF($AI167="","",INDEX('REGISTRE ELEVES'!$F$10:$F$250,$AI167))</f>
        <v/>
      </c>
      <c r="F167" s="73" t="str">
        <f aca="false">IF($AI167="","",INDEX('REGISTRE ELEVES'!$AE$10:$AE$250,$AI167))</f>
        <v/>
      </c>
      <c r="G167" s="75"/>
      <c r="H167" s="76"/>
      <c r="I167" s="76"/>
      <c r="J167" s="76"/>
      <c r="K167" s="76"/>
      <c r="L167" s="79" t="str">
        <f aca="false">IF(B167="","",IF($G167="NON",0,IF(COUNT(H167:K167)=0,"",SUM(H167:K167))))</f>
        <v/>
      </c>
      <c r="M167" s="77" t="str">
        <f aca="false">IF(B167="","",IF($G167="NON",0,IF(COUNT(H167:K167)=0,"",IFERROR(ROUND(SUM(H167:K167)/SUMPRODUCT(ISNUMBER(H167:K167)*$H$8:$K$8)*10,2),""))))</f>
        <v/>
      </c>
      <c r="N167" s="75"/>
      <c r="O167" s="76"/>
      <c r="P167" s="76"/>
      <c r="Q167" s="76"/>
      <c r="R167" s="76"/>
      <c r="S167" s="79" t="str">
        <f aca="false">IF(B167="","",IF($N167="NON",0,IF(COUNT(O167:R167)=0,"",SUM(O167:R167))))</f>
        <v/>
      </c>
      <c r="T167" s="77" t="str">
        <f aca="false">IF(B167="","",IF($N167="NON",0,IF(COUNT(O167:R167)=0,"",IFERROR(ROUND(SUM(O167:R167)/SUMPRODUCT(ISNUMBER(O167:R167)*$O$8:$R$8)*10,2),""))))</f>
        <v/>
      </c>
      <c r="U167" s="75"/>
      <c r="V167" s="76"/>
      <c r="W167" s="76"/>
      <c r="X167" s="76"/>
      <c r="Y167" s="76"/>
      <c r="Z167" s="79" t="str">
        <f aca="false">IF(B167="","",IF($U167="NON",0,IF(COUNT(V167:Y167)=0,"",SUM(V167:Y167))))</f>
        <v/>
      </c>
      <c r="AA167" s="77" t="str">
        <f aca="false">IF(B167="","",IF($U167="NON",0,IF(COUNT(V167:Y167)=0,"",IFERROR(ROUND(SUM(V167:Y167)/SUMPRODUCT(ISNUMBER(V167:Y167)*$V$8:$Y$8)*10,2),""))))</f>
        <v/>
      </c>
      <c r="AB167" s="75"/>
      <c r="AC167" s="76"/>
      <c r="AD167" s="76"/>
      <c r="AE167" s="76"/>
      <c r="AF167" s="76"/>
      <c r="AG167" s="79" t="str">
        <f aca="false">IF(B167="","",IF($AB167="NON",0,IF(COUNT(AC167:AF167)=0,"",SUM(AC167:AF167))))</f>
        <v/>
      </c>
      <c r="AH167" s="77" t="str">
        <f aca="false">IF(B167="","",IF($AB167="NON",0,IF(COUNT(AC167:AF167)=0,"",IFERROR(ROUND(SUM(AC167:AF167)/SUMPRODUCT(ISNUMBER(AC167:AF167)*$AC$8:$AF$8)*10,2),""))))</f>
        <v/>
      </c>
      <c r="AI167" s="51" t="str">
        <f aca="false">IFERROR(MATCH("CEM-158",'REGISTRE ELEVES'!$AI$10:$AI$250,0),"")</f>
        <v/>
      </c>
    </row>
    <row r="168" customFormat="false" ht="15" hidden="false" customHeight="false" outlineLevel="0" collapsed="false">
      <c r="A168" s="73" t="str">
        <f aca="false">IF(B168="","",159)</f>
        <v/>
      </c>
      <c r="B168" s="73" t="str">
        <f aca="false">IF($AI168="","",INDEX('REGISTRE ELEVES'!$B$10:$B$250,$AI168))</f>
        <v/>
      </c>
      <c r="C168" s="74" t="str">
        <f aca="false">IF($AI168="","",INDEX('REGISTRE ELEVES'!$D$10:$D$250,$AI168))</f>
        <v/>
      </c>
      <c r="D168" s="73" t="str">
        <f aca="false">IF($AI168="","",INDEX('REGISTRE ELEVES'!$E$10:$E$250,$AI168))</f>
        <v/>
      </c>
      <c r="E168" s="73" t="str">
        <f aca="false">IF($AI168="","",INDEX('REGISTRE ELEVES'!$F$10:$F$250,$AI168))</f>
        <v/>
      </c>
      <c r="F168" s="73" t="str">
        <f aca="false">IF($AI168="","",INDEX('REGISTRE ELEVES'!$AE$10:$AE$250,$AI168))</f>
        <v/>
      </c>
      <c r="G168" s="75"/>
      <c r="H168" s="76"/>
      <c r="I168" s="76"/>
      <c r="J168" s="76"/>
      <c r="K168" s="76"/>
      <c r="L168" s="79" t="str">
        <f aca="false">IF(B168="","",IF($G168="NON",0,IF(COUNT(H168:K168)=0,"",SUM(H168:K168))))</f>
        <v/>
      </c>
      <c r="M168" s="77" t="str">
        <f aca="false">IF(B168="","",IF($G168="NON",0,IF(COUNT(H168:K168)=0,"",IFERROR(ROUND(SUM(H168:K168)/SUMPRODUCT(ISNUMBER(H168:K168)*$H$8:$K$8)*10,2),""))))</f>
        <v/>
      </c>
      <c r="N168" s="75"/>
      <c r="O168" s="76"/>
      <c r="P168" s="76"/>
      <c r="Q168" s="76"/>
      <c r="R168" s="76"/>
      <c r="S168" s="79" t="str">
        <f aca="false">IF(B168="","",IF($N168="NON",0,IF(COUNT(O168:R168)=0,"",SUM(O168:R168))))</f>
        <v/>
      </c>
      <c r="T168" s="77" t="str">
        <f aca="false">IF(B168="","",IF($N168="NON",0,IF(COUNT(O168:R168)=0,"",IFERROR(ROUND(SUM(O168:R168)/SUMPRODUCT(ISNUMBER(O168:R168)*$O$8:$R$8)*10,2),""))))</f>
        <v/>
      </c>
      <c r="U168" s="75"/>
      <c r="V168" s="76"/>
      <c r="W168" s="76"/>
      <c r="X168" s="76"/>
      <c r="Y168" s="76"/>
      <c r="Z168" s="79" t="str">
        <f aca="false">IF(B168="","",IF($U168="NON",0,IF(COUNT(V168:Y168)=0,"",SUM(V168:Y168))))</f>
        <v/>
      </c>
      <c r="AA168" s="77" t="str">
        <f aca="false">IF(B168="","",IF($U168="NON",0,IF(COUNT(V168:Y168)=0,"",IFERROR(ROUND(SUM(V168:Y168)/SUMPRODUCT(ISNUMBER(V168:Y168)*$V$8:$Y$8)*10,2),""))))</f>
        <v/>
      </c>
      <c r="AB168" s="75"/>
      <c r="AC168" s="76"/>
      <c r="AD168" s="76"/>
      <c r="AE168" s="76"/>
      <c r="AF168" s="76"/>
      <c r="AG168" s="79" t="str">
        <f aca="false">IF(B168="","",IF($AB168="NON",0,IF(COUNT(AC168:AF168)=0,"",SUM(AC168:AF168))))</f>
        <v/>
      </c>
      <c r="AH168" s="77" t="str">
        <f aca="false">IF(B168="","",IF($AB168="NON",0,IF(COUNT(AC168:AF168)=0,"",IFERROR(ROUND(SUM(AC168:AF168)/SUMPRODUCT(ISNUMBER(AC168:AF168)*$AC$8:$AF$8)*10,2),""))))</f>
        <v/>
      </c>
      <c r="AI168" s="51" t="str">
        <f aca="false">IFERROR(MATCH("CEM-159",'REGISTRE ELEVES'!$AI$10:$AI$250,0),"")</f>
        <v/>
      </c>
    </row>
    <row r="169" customFormat="false" ht="15" hidden="false" customHeight="false" outlineLevel="0" collapsed="false">
      <c r="A169" s="73" t="str">
        <f aca="false">IF(B169="","",160)</f>
        <v/>
      </c>
      <c r="B169" s="73" t="str">
        <f aca="false">IF($AI169="","",INDEX('REGISTRE ELEVES'!$B$10:$B$250,$AI169))</f>
        <v/>
      </c>
      <c r="C169" s="74" t="str">
        <f aca="false">IF($AI169="","",INDEX('REGISTRE ELEVES'!$D$10:$D$250,$AI169))</f>
        <v/>
      </c>
      <c r="D169" s="73" t="str">
        <f aca="false">IF($AI169="","",INDEX('REGISTRE ELEVES'!$E$10:$E$250,$AI169))</f>
        <v/>
      </c>
      <c r="E169" s="73" t="str">
        <f aca="false">IF($AI169="","",INDEX('REGISTRE ELEVES'!$F$10:$F$250,$AI169))</f>
        <v/>
      </c>
      <c r="F169" s="73" t="str">
        <f aca="false">IF($AI169="","",INDEX('REGISTRE ELEVES'!$AE$10:$AE$250,$AI169))</f>
        <v/>
      </c>
      <c r="G169" s="75"/>
      <c r="H169" s="76"/>
      <c r="I169" s="76"/>
      <c r="J169" s="76"/>
      <c r="K169" s="76"/>
      <c r="L169" s="79" t="str">
        <f aca="false">IF(B169="","",IF($G169="NON",0,IF(COUNT(H169:K169)=0,"",SUM(H169:K169))))</f>
        <v/>
      </c>
      <c r="M169" s="77" t="str">
        <f aca="false">IF(B169="","",IF($G169="NON",0,IF(COUNT(H169:K169)=0,"",IFERROR(ROUND(SUM(H169:K169)/SUMPRODUCT(ISNUMBER(H169:K169)*$H$8:$K$8)*10,2),""))))</f>
        <v/>
      </c>
      <c r="N169" s="75"/>
      <c r="O169" s="76"/>
      <c r="P169" s="76"/>
      <c r="Q169" s="76"/>
      <c r="R169" s="76"/>
      <c r="S169" s="79" t="str">
        <f aca="false">IF(B169="","",IF($N169="NON",0,IF(COUNT(O169:R169)=0,"",SUM(O169:R169))))</f>
        <v/>
      </c>
      <c r="T169" s="77" t="str">
        <f aca="false">IF(B169="","",IF($N169="NON",0,IF(COUNT(O169:R169)=0,"",IFERROR(ROUND(SUM(O169:R169)/SUMPRODUCT(ISNUMBER(O169:R169)*$O$8:$R$8)*10,2),""))))</f>
        <v/>
      </c>
      <c r="U169" s="75"/>
      <c r="V169" s="76"/>
      <c r="W169" s="76"/>
      <c r="X169" s="76"/>
      <c r="Y169" s="76"/>
      <c r="Z169" s="79" t="str">
        <f aca="false">IF(B169="","",IF($U169="NON",0,IF(COUNT(V169:Y169)=0,"",SUM(V169:Y169))))</f>
        <v/>
      </c>
      <c r="AA169" s="77" t="str">
        <f aca="false">IF(B169="","",IF($U169="NON",0,IF(COUNT(V169:Y169)=0,"",IFERROR(ROUND(SUM(V169:Y169)/SUMPRODUCT(ISNUMBER(V169:Y169)*$V$8:$Y$8)*10,2),""))))</f>
        <v/>
      </c>
      <c r="AB169" s="75"/>
      <c r="AC169" s="76"/>
      <c r="AD169" s="76"/>
      <c r="AE169" s="76"/>
      <c r="AF169" s="76"/>
      <c r="AG169" s="79" t="str">
        <f aca="false">IF(B169="","",IF($AB169="NON",0,IF(COUNT(AC169:AF169)=0,"",SUM(AC169:AF169))))</f>
        <v/>
      </c>
      <c r="AH169" s="77" t="str">
        <f aca="false">IF(B169="","",IF($AB169="NON",0,IF(COUNT(AC169:AF169)=0,"",IFERROR(ROUND(SUM(AC169:AF169)/SUMPRODUCT(ISNUMBER(AC169:AF169)*$AC$8:$AF$8)*10,2),""))))</f>
        <v/>
      </c>
      <c r="AI169" s="51" t="str">
        <f aca="false">IFERROR(MATCH("CEM-160",'REGISTRE ELEVES'!$AI$10:$AI$250,0),"")</f>
        <v/>
      </c>
    </row>
    <row r="170" customFormat="false" ht="15" hidden="false" customHeight="false" outlineLevel="0" collapsed="false">
      <c r="A170" s="73" t="str">
        <f aca="false">IF(B170="","",161)</f>
        <v/>
      </c>
      <c r="B170" s="73" t="str">
        <f aca="false">IF($AI170="","",INDEX('REGISTRE ELEVES'!$B$10:$B$250,$AI170))</f>
        <v/>
      </c>
      <c r="C170" s="74" t="str">
        <f aca="false">IF($AI170="","",INDEX('REGISTRE ELEVES'!$D$10:$D$250,$AI170))</f>
        <v/>
      </c>
      <c r="D170" s="73" t="str">
        <f aca="false">IF($AI170="","",INDEX('REGISTRE ELEVES'!$E$10:$E$250,$AI170))</f>
        <v/>
      </c>
      <c r="E170" s="73" t="str">
        <f aca="false">IF($AI170="","",INDEX('REGISTRE ELEVES'!$F$10:$F$250,$AI170))</f>
        <v/>
      </c>
      <c r="F170" s="73" t="str">
        <f aca="false">IF($AI170="","",INDEX('REGISTRE ELEVES'!$AE$10:$AE$250,$AI170))</f>
        <v/>
      </c>
      <c r="G170" s="75"/>
      <c r="H170" s="76"/>
      <c r="I170" s="76"/>
      <c r="J170" s="76"/>
      <c r="K170" s="76"/>
      <c r="L170" s="79" t="str">
        <f aca="false">IF(B170="","",IF($G170="NON",0,IF(COUNT(H170:K170)=0,"",SUM(H170:K170))))</f>
        <v/>
      </c>
      <c r="M170" s="77" t="str">
        <f aca="false">IF(B170="","",IF($G170="NON",0,IF(COUNT(H170:K170)=0,"",IFERROR(ROUND(SUM(H170:K170)/SUMPRODUCT(ISNUMBER(H170:K170)*$H$8:$K$8)*10,2),""))))</f>
        <v/>
      </c>
      <c r="N170" s="75"/>
      <c r="O170" s="76"/>
      <c r="P170" s="76"/>
      <c r="Q170" s="76"/>
      <c r="R170" s="76"/>
      <c r="S170" s="79" t="str">
        <f aca="false">IF(B170="","",IF($N170="NON",0,IF(COUNT(O170:R170)=0,"",SUM(O170:R170))))</f>
        <v/>
      </c>
      <c r="T170" s="77" t="str">
        <f aca="false">IF(B170="","",IF($N170="NON",0,IF(COUNT(O170:R170)=0,"",IFERROR(ROUND(SUM(O170:R170)/SUMPRODUCT(ISNUMBER(O170:R170)*$O$8:$R$8)*10,2),""))))</f>
        <v/>
      </c>
      <c r="U170" s="75"/>
      <c r="V170" s="76"/>
      <c r="W170" s="76"/>
      <c r="X170" s="76"/>
      <c r="Y170" s="76"/>
      <c r="Z170" s="79" t="str">
        <f aca="false">IF(B170="","",IF($U170="NON",0,IF(COUNT(V170:Y170)=0,"",SUM(V170:Y170))))</f>
        <v/>
      </c>
      <c r="AA170" s="77" t="str">
        <f aca="false">IF(B170="","",IF($U170="NON",0,IF(COUNT(V170:Y170)=0,"",IFERROR(ROUND(SUM(V170:Y170)/SUMPRODUCT(ISNUMBER(V170:Y170)*$V$8:$Y$8)*10,2),""))))</f>
        <v/>
      </c>
      <c r="AB170" s="75"/>
      <c r="AC170" s="76"/>
      <c r="AD170" s="76"/>
      <c r="AE170" s="76"/>
      <c r="AF170" s="76"/>
      <c r="AG170" s="79" t="str">
        <f aca="false">IF(B170="","",IF($AB170="NON",0,IF(COUNT(AC170:AF170)=0,"",SUM(AC170:AF170))))</f>
        <v/>
      </c>
      <c r="AH170" s="77" t="str">
        <f aca="false">IF(B170="","",IF($AB170="NON",0,IF(COUNT(AC170:AF170)=0,"",IFERROR(ROUND(SUM(AC170:AF170)/SUMPRODUCT(ISNUMBER(AC170:AF170)*$AC$8:$AF$8)*10,2),""))))</f>
        <v/>
      </c>
      <c r="AI170" s="51" t="str">
        <f aca="false">IFERROR(MATCH("CEM-161",'REGISTRE ELEVES'!$AI$10:$AI$250,0),"")</f>
        <v/>
      </c>
    </row>
    <row r="171" customFormat="false" ht="15" hidden="false" customHeight="false" outlineLevel="0" collapsed="false">
      <c r="A171" s="73" t="str">
        <f aca="false">IF(B171="","",162)</f>
        <v/>
      </c>
      <c r="B171" s="73" t="str">
        <f aca="false">IF($AI171="","",INDEX('REGISTRE ELEVES'!$B$10:$B$250,$AI171))</f>
        <v/>
      </c>
      <c r="C171" s="74" t="str">
        <f aca="false">IF($AI171="","",INDEX('REGISTRE ELEVES'!$D$10:$D$250,$AI171))</f>
        <v/>
      </c>
      <c r="D171" s="73" t="str">
        <f aca="false">IF($AI171="","",INDEX('REGISTRE ELEVES'!$E$10:$E$250,$AI171))</f>
        <v/>
      </c>
      <c r="E171" s="73" t="str">
        <f aca="false">IF($AI171="","",INDEX('REGISTRE ELEVES'!$F$10:$F$250,$AI171))</f>
        <v/>
      </c>
      <c r="F171" s="73" t="str">
        <f aca="false">IF($AI171="","",INDEX('REGISTRE ELEVES'!$AE$10:$AE$250,$AI171))</f>
        <v/>
      </c>
      <c r="G171" s="75"/>
      <c r="H171" s="76"/>
      <c r="I171" s="76"/>
      <c r="J171" s="76"/>
      <c r="K171" s="76"/>
      <c r="L171" s="79" t="str">
        <f aca="false">IF(B171="","",IF($G171="NON",0,IF(COUNT(H171:K171)=0,"",SUM(H171:K171))))</f>
        <v/>
      </c>
      <c r="M171" s="77" t="str">
        <f aca="false">IF(B171="","",IF($G171="NON",0,IF(COUNT(H171:K171)=0,"",IFERROR(ROUND(SUM(H171:K171)/SUMPRODUCT(ISNUMBER(H171:K171)*$H$8:$K$8)*10,2),""))))</f>
        <v/>
      </c>
      <c r="N171" s="75"/>
      <c r="O171" s="76"/>
      <c r="P171" s="76"/>
      <c r="Q171" s="76"/>
      <c r="R171" s="76"/>
      <c r="S171" s="79" t="str">
        <f aca="false">IF(B171="","",IF($N171="NON",0,IF(COUNT(O171:R171)=0,"",SUM(O171:R171))))</f>
        <v/>
      </c>
      <c r="T171" s="77" t="str">
        <f aca="false">IF(B171="","",IF($N171="NON",0,IF(COUNT(O171:R171)=0,"",IFERROR(ROUND(SUM(O171:R171)/SUMPRODUCT(ISNUMBER(O171:R171)*$O$8:$R$8)*10,2),""))))</f>
        <v/>
      </c>
      <c r="U171" s="75"/>
      <c r="V171" s="76"/>
      <c r="W171" s="76"/>
      <c r="X171" s="76"/>
      <c r="Y171" s="76"/>
      <c r="Z171" s="79" t="str">
        <f aca="false">IF(B171="","",IF($U171="NON",0,IF(COUNT(V171:Y171)=0,"",SUM(V171:Y171))))</f>
        <v/>
      </c>
      <c r="AA171" s="77" t="str">
        <f aca="false">IF(B171="","",IF($U171="NON",0,IF(COUNT(V171:Y171)=0,"",IFERROR(ROUND(SUM(V171:Y171)/SUMPRODUCT(ISNUMBER(V171:Y171)*$V$8:$Y$8)*10,2),""))))</f>
        <v/>
      </c>
      <c r="AB171" s="75"/>
      <c r="AC171" s="76"/>
      <c r="AD171" s="76"/>
      <c r="AE171" s="76"/>
      <c r="AF171" s="76"/>
      <c r="AG171" s="79" t="str">
        <f aca="false">IF(B171="","",IF($AB171="NON",0,IF(COUNT(AC171:AF171)=0,"",SUM(AC171:AF171))))</f>
        <v/>
      </c>
      <c r="AH171" s="77" t="str">
        <f aca="false">IF(B171="","",IF($AB171="NON",0,IF(COUNT(AC171:AF171)=0,"",IFERROR(ROUND(SUM(AC171:AF171)/SUMPRODUCT(ISNUMBER(AC171:AF171)*$AC$8:$AF$8)*10,2),""))))</f>
        <v/>
      </c>
      <c r="AI171" s="51" t="str">
        <f aca="false">IFERROR(MATCH("CEM-162",'REGISTRE ELEVES'!$AI$10:$AI$250,0),"")</f>
        <v/>
      </c>
    </row>
    <row r="172" customFormat="false" ht="15" hidden="false" customHeight="false" outlineLevel="0" collapsed="false">
      <c r="A172" s="73" t="str">
        <f aca="false">IF(B172="","",163)</f>
        <v/>
      </c>
      <c r="B172" s="73" t="str">
        <f aca="false">IF($AI172="","",INDEX('REGISTRE ELEVES'!$B$10:$B$250,$AI172))</f>
        <v/>
      </c>
      <c r="C172" s="74" t="str">
        <f aca="false">IF($AI172="","",INDEX('REGISTRE ELEVES'!$D$10:$D$250,$AI172))</f>
        <v/>
      </c>
      <c r="D172" s="73" t="str">
        <f aca="false">IF($AI172="","",INDEX('REGISTRE ELEVES'!$E$10:$E$250,$AI172))</f>
        <v/>
      </c>
      <c r="E172" s="73" t="str">
        <f aca="false">IF($AI172="","",INDEX('REGISTRE ELEVES'!$F$10:$F$250,$AI172))</f>
        <v/>
      </c>
      <c r="F172" s="73" t="str">
        <f aca="false">IF($AI172="","",INDEX('REGISTRE ELEVES'!$AE$10:$AE$250,$AI172))</f>
        <v/>
      </c>
      <c r="G172" s="75"/>
      <c r="H172" s="76"/>
      <c r="I172" s="76"/>
      <c r="J172" s="76"/>
      <c r="K172" s="76"/>
      <c r="L172" s="79" t="str">
        <f aca="false">IF(B172="","",IF($G172="NON",0,IF(COUNT(H172:K172)=0,"",SUM(H172:K172))))</f>
        <v/>
      </c>
      <c r="M172" s="77" t="str">
        <f aca="false">IF(B172="","",IF($G172="NON",0,IF(COUNT(H172:K172)=0,"",IFERROR(ROUND(SUM(H172:K172)/SUMPRODUCT(ISNUMBER(H172:K172)*$H$8:$K$8)*10,2),""))))</f>
        <v/>
      </c>
      <c r="N172" s="75"/>
      <c r="O172" s="76"/>
      <c r="P172" s="76"/>
      <c r="Q172" s="76"/>
      <c r="R172" s="76"/>
      <c r="S172" s="79" t="str">
        <f aca="false">IF(B172="","",IF($N172="NON",0,IF(COUNT(O172:R172)=0,"",SUM(O172:R172))))</f>
        <v/>
      </c>
      <c r="T172" s="77" t="str">
        <f aca="false">IF(B172="","",IF($N172="NON",0,IF(COUNT(O172:R172)=0,"",IFERROR(ROUND(SUM(O172:R172)/SUMPRODUCT(ISNUMBER(O172:R172)*$O$8:$R$8)*10,2),""))))</f>
        <v/>
      </c>
      <c r="U172" s="75"/>
      <c r="V172" s="76"/>
      <c r="W172" s="76"/>
      <c r="X172" s="76"/>
      <c r="Y172" s="76"/>
      <c r="Z172" s="79" t="str">
        <f aca="false">IF(B172="","",IF($U172="NON",0,IF(COUNT(V172:Y172)=0,"",SUM(V172:Y172))))</f>
        <v/>
      </c>
      <c r="AA172" s="77" t="str">
        <f aca="false">IF(B172="","",IF($U172="NON",0,IF(COUNT(V172:Y172)=0,"",IFERROR(ROUND(SUM(V172:Y172)/SUMPRODUCT(ISNUMBER(V172:Y172)*$V$8:$Y$8)*10,2),""))))</f>
        <v/>
      </c>
      <c r="AB172" s="75"/>
      <c r="AC172" s="76"/>
      <c r="AD172" s="76"/>
      <c r="AE172" s="76"/>
      <c r="AF172" s="76"/>
      <c r="AG172" s="79" t="str">
        <f aca="false">IF(B172="","",IF($AB172="NON",0,IF(COUNT(AC172:AF172)=0,"",SUM(AC172:AF172))))</f>
        <v/>
      </c>
      <c r="AH172" s="77" t="str">
        <f aca="false">IF(B172="","",IF($AB172="NON",0,IF(COUNT(AC172:AF172)=0,"",IFERROR(ROUND(SUM(AC172:AF172)/SUMPRODUCT(ISNUMBER(AC172:AF172)*$AC$8:$AF$8)*10,2),""))))</f>
        <v/>
      </c>
      <c r="AI172" s="51" t="str">
        <f aca="false">IFERROR(MATCH("CEM-163",'REGISTRE ELEVES'!$AI$10:$AI$250,0),"")</f>
        <v/>
      </c>
    </row>
    <row r="173" customFormat="false" ht="15" hidden="false" customHeight="false" outlineLevel="0" collapsed="false">
      <c r="A173" s="73" t="str">
        <f aca="false">IF(B173="","",164)</f>
        <v/>
      </c>
      <c r="B173" s="73" t="str">
        <f aca="false">IF($AI173="","",INDEX('REGISTRE ELEVES'!$B$10:$B$250,$AI173))</f>
        <v/>
      </c>
      <c r="C173" s="74" t="str">
        <f aca="false">IF($AI173="","",INDEX('REGISTRE ELEVES'!$D$10:$D$250,$AI173))</f>
        <v/>
      </c>
      <c r="D173" s="73" t="str">
        <f aca="false">IF($AI173="","",INDEX('REGISTRE ELEVES'!$E$10:$E$250,$AI173))</f>
        <v/>
      </c>
      <c r="E173" s="73" t="str">
        <f aca="false">IF($AI173="","",INDEX('REGISTRE ELEVES'!$F$10:$F$250,$AI173))</f>
        <v/>
      </c>
      <c r="F173" s="73" t="str">
        <f aca="false">IF($AI173="","",INDEX('REGISTRE ELEVES'!$AE$10:$AE$250,$AI173))</f>
        <v/>
      </c>
      <c r="G173" s="75"/>
      <c r="H173" s="76"/>
      <c r="I173" s="76"/>
      <c r="J173" s="76"/>
      <c r="K173" s="76"/>
      <c r="L173" s="79" t="str">
        <f aca="false">IF(B173="","",IF($G173="NON",0,IF(COUNT(H173:K173)=0,"",SUM(H173:K173))))</f>
        <v/>
      </c>
      <c r="M173" s="77" t="str">
        <f aca="false">IF(B173="","",IF($G173="NON",0,IF(COUNT(H173:K173)=0,"",IFERROR(ROUND(SUM(H173:K173)/SUMPRODUCT(ISNUMBER(H173:K173)*$H$8:$K$8)*10,2),""))))</f>
        <v/>
      </c>
      <c r="N173" s="75"/>
      <c r="O173" s="76"/>
      <c r="P173" s="76"/>
      <c r="Q173" s="76"/>
      <c r="R173" s="76"/>
      <c r="S173" s="79" t="str">
        <f aca="false">IF(B173="","",IF($N173="NON",0,IF(COUNT(O173:R173)=0,"",SUM(O173:R173))))</f>
        <v/>
      </c>
      <c r="T173" s="77" t="str">
        <f aca="false">IF(B173="","",IF($N173="NON",0,IF(COUNT(O173:R173)=0,"",IFERROR(ROUND(SUM(O173:R173)/SUMPRODUCT(ISNUMBER(O173:R173)*$O$8:$R$8)*10,2),""))))</f>
        <v/>
      </c>
      <c r="U173" s="75"/>
      <c r="V173" s="76"/>
      <c r="W173" s="76"/>
      <c r="X173" s="76"/>
      <c r="Y173" s="76"/>
      <c r="Z173" s="79" t="str">
        <f aca="false">IF(B173="","",IF($U173="NON",0,IF(COUNT(V173:Y173)=0,"",SUM(V173:Y173))))</f>
        <v/>
      </c>
      <c r="AA173" s="77" t="str">
        <f aca="false">IF(B173="","",IF($U173="NON",0,IF(COUNT(V173:Y173)=0,"",IFERROR(ROUND(SUM(V173:Y173)/SUMPRODUCT(ISNUMBER(V173:Y173)*$V$8:$Y$8)*10,2),""))))</f>
        <v/>
      </c>
      <c r="AB173" s="75"/>
      <c r="AC173" s="76"/>
      <c r="AD173" s="76"/>
      <c r="AE173" s="76"/>
      <c r="AF173" s="76"/>
      <c r="AG173" s="79" t="str">
        <f aca="false">IF(B173="","",IF($AB173="NON",0,IF(COUNT(AC173:AF173)=0,"",SUM(AC173:AF173))))</f>
        <v/>
      </c>
      <c r="AH173" s="77" t="str">
        <f aca="false">IF(B173="","",IF($AB173="NON",0,IF(COUNT(AC173:AF173)=0,"",IFERROR(ROUND(SUM(AC173:AF173)/SUMPRODUCT(ISNUMBER(AC173:AF173)*$AC$8:$AF$8)*10,2),""))))</f>
        <v/>
      </c>
      <c r="AI173" s="51" t="str">
        <f aca="false">IFERROR(MATCH("CEM-164",'REGISTRE ELEVES'!$AI$10:$AI$250,0),"")</f>
        <v/>
      </c>
    </row>
    <row r="174" customFormat="false" ht="15" hidden="false" customHeight="false" outlineLevel="0" collapsed="false">
      <c r="A174" s="73" t="str">
        <f aca="false">IF(B174="","",165)</f>
        <v/>
      </c>
      <c r="B174" s="73" t="str">
        <f aca="false">IF($AI174="","",INDEX('REGISTRE ELEVES'!$B$10:$B$250,$AI174))</f>
        <v/>
      </c>
      <c r="C174" s="74" t="str">
        <f aca="false">IF($AI174="","",INDEX('REGISTRE ELEVES'!$D$10:$D$250,$AI174))</f>
        <v/>
      </c>
      <c r="D174" s="73" t="str">
        <f aca="false">IF($AI174="","",INDEX('REGISTRE ELEVES'!$E$10:$E$250,$AI174))</f>
        <v/>
      </c>
      <c r="E174" s="73" t="str">
        <f aca="false">IF($AI174="","",INDEX('REGISTRE ELEVES'!$F$10:$F$250,$AI174))</f>
        <v/>
      </c>
      <c r="F174" s="73" t="str">
        <f aca="false">IF($AI174="","",INDEX('REGISTRE ELEVES'!$AE$10:$AE$250,$AI174))</f>
        <v/>
      </c>
      <c r="G174" s="75"/>
      <c r="H174" s="76"/>
      <c r="I174" s="76"/>
      <c r="J174" s="76"/>
      <c r="K174" s="76"/>
      <c r="L174" s="79" t="str">
        <f aca="false">IF(B174="","",IF($G174="NON",0,IF(COUNT(H174:K174)=0,"",SUM(H174:K174))))</f>
        <v/>
      </c>
      <c r="M174" s="77" t="str">
        <f aca="false">IF(B174="","",IF($G174="NON",0,IF(COUNT(H174:K174)=0,"",IFERROR(ROUND(SUM(H174:K174)/SUMPRODUCT(ISNUMBER(H174:K174)*$H$8:$K$8)*10,2),""))))</f>
        <v/>
      </c>
      <c r="N174" s="75"/>
      <c r="O174" s="76"/>
      <c r="P174" s="76"/>
      <c r="Q174" s="76"/>
      <c r="R174" s="76"/>
      <c r="S174" s="79" t="str">
        <f aca="false">IF(B174="","",IF($N174="NON",0,IF(COUNT(O174:R174)=0,"",SUM(O174:R174))))</f>
        <v/>
      </c>
      <c r="T174" s="77" t="str">
        <f aca="false">IF(B174="","",IF($N174="NON",0,IF(COUNT(O174:R174)=0,"",IFERROR(ROUND(SUM(O174:R174)/SUMPRODUCT(ISNUMBER(O174:R174)*$O$8:$R$8)*10,2),""))))</f>
        <v/>
      </c>
      <c r="U174" s="75"/>
      <c r="V174" s="76"/>
      <c r="W174" s="76"/>
      <c r="X174" s="76"/>
      <c r="Y174" s="76"/>
      <c r="Z174" s="79" t="str">
        <f aca="false">IF(B174="","",IF($U174="NON",0,IF(COUNT(V174:Y174)=0,"",SUM(V174:Y174))))</f>
        <v/>
      </c>
      <c r="AA174" s="77" t="str">
        <f aca="false">IF(B174="","",IF($U174="NON",0,IF(COUNT(V174:Y174)=0,"",IFERROR(ROUND(SUM(V174:Y174)/SUMPRODUCT(ISNUMBER(V174:Y174)*$V$8:$Y$8)*10,2),""))))</f>
        <v/>
      </c>
      <c r="AB174" s="75"/>
      <c r="AC174" s="76"/>
      <c r="AD174" s="76"/>
      <c r="AE174" s="76"/>
      <c r="AF174" s="76"/>
      <c r="AG174" s="79" t="str">
        <f aca="false">IF(B174="","",IF($AB174="NON",0,IF(COUNT(AC174:AF174)=0,"",SUM(AC174:AF174))))</f>
        <v/>
      </c>
      <c r="AH174" s="77" t="str">
        <f aca="false">IF(B174="","",IF($AB174="NON",0,IF(COUNT(AC174:AF174)=0,"",IFERROR(ROUND(SUM(AC174:AF174)/SUMPRODUCT(ISNUMBER(AC174:AF174)*$AC$8:$AF$8)*10,2),""))))</f>
        <v/>
      </c>
      <c r="AI174" s="51" t="str">
        <f aca="false">IFERROR(MATCH("CEM-165",'REGISTRE ELEVES'!$AI$10:$AI$250,0),"")</f>
        <v/>
      </c>
    </row>
    <row r="175" customFormat="false" ht="15" hidden="false" customHeight="false" outlineLevel="0" collapsed="false">
      <c r="A175" s="73" t="str">
        <f aca="false">IF(B175="","",166)</f>
        <v/>
      </c>
      <c r="B175" s="73" t="str">
        <f aca="false">IF($AI175="","",INDEX('REGISTRE ELEVES'!$B$10:$B$250,$AI175))</f>
        <v/>
      </c>
      <c r="C175" s="74" t="str">
        <f aca="false">IF($AI175="","",INDEX('REGISTRE ELEVES'!$D$10:$D$250,$AI175))</f>
        <v/>
      </c>
      <c r="D175" s="73" t="str">
        <f aca="false">IF($AI175="","",INDEX('REGISTRE ELEVES'!$E$10:$E$250,$AI175))</f>
        <v/>
      </c>
      <c r="E175" s="73" t="str">
        <f aca="false">IF($AI175="","",INDEX('REGISTRE ELEVES'!$F$10:$F$250,$AI175))</f>
        <v/>
      </c>
      <c r="F175" s="73" t="str">
        <f aca="false">IF($AI175="","",INDEX('REGISTRE ELEVES'!$AE$10:$AE$250,$AI175))</f>
        <v/>
      </c>
      <c r="G175" s="75"/>
      <c r="H175" s="76"/>
      <c r="I175" s="76"/>
      <c r="J175" s="76"/>
      <c r="K175" s="76"/>
      <c r="L175" s="79" t="str">
        <f aca="false">IF(B175="","",IF($G175="NON",0,IF(COUNT(H175:K175)=0,"",SUM(H175:K175))))</f>
        <v/>
      </c>
      <c r="M175" s="77" t="str">
        <f aca="false">IF(B175="","",IF($G175="NON",0,IF(COUNT(H175:K175)=0,"",IFERROR(ROUND(SUM(H175:K175)/SUMPRODUCT(ISNUMBER(H175:K175)*$H$8:$K$8)*10,2),""))))</f>
        <v/>
      </c>
      <c r="N175" s="75"/>
      <c r="O175" s="76"/>
      <c r="P175" s="76"/>
      <c r="Q175" s="76"/>
      <c r="R175" s="76"/>
      <c r="S175" s="79" t="str">
        <f aca="false">IF(B175="","",IF($N175="NON",0,IF(COUNT(O175:R175)=0,"",SUM(O175:R175))))</f>
        <v/>
      </c>
      <c r="T175" s="77" t="str">
        <f aca="false">IF(B175="","",IF($N175="NON",0,IF(COUNT(O175:R175)=0,"",IFERROR(ROUND(SUM(O175:R175)/SUMPRODUCT(ISNUMBER(O175:R175)*$O$8:$R$8)*10,2),""))))</f>
        <v/>
      </c>
      <c r="U175" s="75"/>
      <c r="V175" s="76"/>
      <c r="W175" s="76"/>
      <c r="X175" s="76"/>
      <c r="Y175" s="76"/>
      <c r="Z175" s="79" t="str">
        <f aca="false">IF(B175="","",IF($U175="NON",0,IF(COUNT(V175:Y175)=0,"",SUM(V175:Y175))))</f>
        <v/>
      </c>
      <c r="AA175" s="77" t="str">
        <f aca="false">IF(B175="","",IF($U175="NON",0,IF(COUNT(V175:Y175)=0,"",IFERROR(ROUND(SUM(V175:Y175)/SUMPRODUCT(ISNUMBER(V175:Y175)*$V$8:$Y$8)*10,2),""))))</f>
        <v/>
      </c>
      <c r="AB175" s="75"/>
      <c r="AC175" s="76"/>
      <c r="AD175" s="76"/>
      <c r="AE175" s="76"/>
      <c r="AF175" s="76"/>
      <c r="AG175" s="79" t="str">
        <f aca="false">IF(B175="","",IF($AB175="NON",0,IF(COUNT(AC175:AF175)=0,"",SUM(AC175:AF175))))</f>
        <v/>
      </c>
      <c r="AH175" s="77" t="str">
        <f aca="false">IF(B175="","",IF($AB175="NON",0,IF(COUNT(AC175:AF175)=0,"",IFERROR(ROUND(SUM(AC175:AF175)/SUMPRODUCT(ISNUMBER(AC175:AF175)*$AC$8:$AF$8)*10,2),""))))</f>
        <v/>
      </c>
      <c r="AI175" s="51" t="str">
        <f aca="false">IFERROR(MATCH("CEM-166",'REGISTRE ELEVES'!$AI$10:$AI$250,0),"")</f>
        <v/>
      </c>
    </row>
    <row r="176" customFormat="false" ht="15" hidden="false" customHeight="false" outlineLevel="0" collapsed="false">
      <c r="A176" s="73" t="str">
        <f aca="false">IF(B176="","",167)</f>
        <v/>
      </c>
      <c r="B176" s="73" t="str">
        <f aca="false">IF($AI176="","",INDEX('REGISTRE ELEVES'!$B$10:$B$250,$AI176))</f>
        <v/>
      </c>
      <c r="C176" s="74" t="str">
        <f aca="false">IF($AI176="","",INDEX('REGISTRE ELEVES'!$D$10:$D$250,$AI176))</f>
        <v/>
      </c>
      <c r="D176" s="73" t="str">
        <f aca="false">IF($AI176="","",INDEX('REGISTRE ELEVES'!$E$10:$E$250,$AI176))</f>
        <v/>
      </c>
      <c r="E176" s="73" t="str">
        <f aca="false">IF($AI176="","",INDEX('REGISTRE ELEVES'!$F$10:$F$250,$AI176))</f>
        <v/>
      </c>
      <c r="F176" s="73" t="str">
        <f aca="false">IF($AI176="","",INDEX('REGISTRE ELEVES'!$AE$10:$AE$250,$AI176))</f>
        <v/>
      </c>
      <c r="G176" s="75"/>
      <c r="H176" s="76"/>
      <c r="I176" s="76"/>
      <c r="J176" s="76"/>
      <c r="K176" s="76"/>
      <c r="L176" s="79" t="str">
        <f aca="false">IF(B176="","",IF($G176="NON",0,IF(COUNT(H176:K176)=0,"",SUM(H176:K176))))</f>
        <v/>
      </c>
      <c r="M176" s="77" t="str">
        <f aca="false">IF(B176="","",IF($G176="NON",0,IF(COUNT(H176:K176)=0,"",IFERROR(ROUND(SUM(H176:K176)/SUMPRODUCT(ISNUMBER(H176:K176)*$H$8:$K$8)*10,2),""))))</f>
        <v/>
      </c>
      <c r="N176" s="75"/>
      <c r="O176" s="76"/>
      <c r="P176" s="76"/>
      <c r="Q176" s="76"/>
      <c r="R176" s="76"/>
      <c r="S176" s="79" t="str">
        <f aca="false">IF(B176="","",IF($N176="NON",0,IF(COUNT(O176:R176)=0,"",SUM(O176:R176))))</f>
        <v/>
      </c>
      <c r="T176" s="77" t="str">
        <f aca="false">IF(B176="","",IF($N176="NON",0,IF(COUNT(O176:R176)=0,"",IFERROR(ROUND(SUM(O176:R176)/SUMPRODUCT(ISNUMBER(O176:R176)*$O$8:$R$8)*10,2),""))))</f>
        <v/>
      </c>
      <c r="U176" s="75"/>
      <c r="V176" s="76"/>
      <c r="W176" s="76"/>
      <c r="X176" s="76"/>
      <c r="Y176" s="76"/>
      <c r="Z176" s="79" t="str">
        <f aca="false">IF(B176="","",IF($U176="NON",0,IF(COUNT(V176:Y176)=0,"",SUM(V176:Y176))))</f>
        <v/>
      </c>
      <c r="AA176" s="77" t="str">
        <f aca="false">IF(B176="","",IF($U176="NON",0,IF(COUNT(V176:Y176)=0,"",IFERROR(ROUND(SUM(V176:Y176)/SUMPRODUCT(ISNUMBER(V176:Y176)*$V$8:$Y$8)*10,2),""))))</f>
        <v/>
      </c>
      <c r="AB176" s="75"/>
      <c r="AC176" s="76"/>
      <c r="AD176" s="76"/>
      <c r="AE176" s="76"/>
      <c r="AF176" s="76"/>
      <c r="AG176" s="79" t="str">
        <f aca="false">IF(B176="","",IF($AB176="NON",0,IF(COUNT(AC176:AF176)=0,"",SUM(AC176:AF176))))</f>
        <v/>
      </c>
      <c r="AH176" s="77" t="str">
        <f aca="false">IF(B176="","",IF($AB176="NON",0,IF(COUNT(AC176:AF176)=0,"",IFERROR(ROUND(SUM(AC176:AF176)/SUMPRODUCT(ISNUMBER(AC176:AF176)*$AC$8:$AF$8)*10,2),""))))</f>
        <v/>
      </c>
      <c r="AI176" s="51" t="str">
        <f aca="false">IFERROR(MATCH("CEM-167",'REGISTRE ELEVES'!$AI$10:$AI$250,0),"")</f>
        <v/>
      </c>
    </row>
    <row r="177" customFormat="false" ht="15" hidden="false" customHeight="false" outlineLevel="0" collapsed="false">
      <c r="A177" s="73" t="str">
        <f aca="false">IF(B177="","",168)</f>
        <v/>
      </c>
      <c r="B177" s="73" t="str">
        <f aca="false">IF($AI177="","",INDEX('REGISTRE ELEVES'!$B$10:$B$250,$AI177))</f>
        <v/>
      </c>
      <c r="C177" s="74" t="str">
        <f aca="false">IF($AI177="","",INDEX('REGISTRE ELEVES'!$D$10:$D$250,$AI177))</f>
        <v/>
      </c>
      <c r="D177" s="73" t="str">
        <f aca="false">IF($AI177="","",INDEX('REGISTRE ELEVES'!$E$10:$E$250,$AI177))</f>
        <v/>
      </c>
      <c r="E177" s="73" t="str">
        <f aca="false">IF($AI177="","",INDEX('REGISTRE ELEVES'!$F$10:$F$250,$AI177))</f>
        <v/>
      </c>
      <c r="F177" s="73" t="str">
        <f aca="false">IF($AI177="","",INDEX('REGISTRE ELEVES'!$AE$10:$AE$250,$AI177))</f>
        <v/>
      </c>
      <c r="G177" s="75"/>
      <c r="H177" s="76"/>
      <c r="I177" s="76"/>
      <c r="J177" s="76"/>
      <c r="K177" s="76"/>
      <c r="L177" s="79" t="str">
        <f aca="false">IF(B177="","",IF($G177="NON",0,IF(COUNT(H177:K177)=0,"",SUM(H177:K177))))</f>
        <v/>
      </c>
      <c r="M177" s="77" t="str">
        <f aca="false">IF(B177="","",IF($G177="NON",0,IF(COUNT(H177:K177)=0,"",IFERROR(ROUND(SUM(H177:K177)/SUMPRODUCT(ISNUMBER(H177:K177)*$H$8:$K$8)*10,2),""))))</f>
        <v/>
      </c>
      <c r="N177" s="75"/>
      <c r="O177" s="76"/>
      <c r="P177" s="76"/>
      <c r="Q177" s="76"/>
      <c r="R177" s="76"/>
      <c r="S177" s="79" t="str">
        <f aca="false">IF(B177="","",IF($N177="NON",0,IF(COUNT(O177:R177)=0,"",SUM(O177:R177))))</f>
        <v/>
      </c>
      <c r="T177" s="77" t="str">
        <f aca="false">IF(B177="","",IF($N177="NON",0,IF(COUNT(O177:R177)=0,"",IFERROR(ROUND(SUM(O177:R177)/SUMPRODUCT(ISNUMBER(O177:R177)*$O$8:$R$8)*10,2),""))))</f>
        <v/>
      </c>
      <c r="U177" s="75"/>
      <c r="V177" s="76"/>
      <c r="W177" s="76"/>
      <c r="X177" s="76"/>
      <c r="Y177" s="76"/>
      <c r="Z177" s="79" t="str">
        <f aca="false">IF(B177="","",IF($U177="NON",0,IF(COUNT(V177:Y177)=0,"",SUM(V177:Y177))))</f>
        <v/>
      </c>
      <c r="AA177" s="77" t="str">
        <f aca="false">IF(B177="","",IF($U177="NON",0,IF(COUNT(V177:Y177)=0,"",IFERROR(ROUND(SUM(V177:Y177)/SUMPRODUCT(ISNUMBER(V177:Y177)*$V$8:$Y$8)*10,2),""))))</f>
        <v/>
      </c>
      <c r="AB177" s="75"/>
      <c r="AC177" s="76"/>
      <c r="AD177" s="76"/>
      <c r="AE177" s="76"/>
      <c r="AF177" s="76"/>
      <c r="AG177" s="79" t="str">
        <f aca="false">IF(B177="","",IF($AB177="NON",0,IF(COUNT(AC177:AF177)=0,"",SUM(AC177:AF177))))</f>
        <v/>
      </c>
      <c r="AH177" s="77" t="str">
        <f aca="false">IF(B177="","",IF($AB177="NON",0,IF(COUNT(AC177:AF177)=0,"",IFERROR(ROUND(SUM(AC177:AF177)/SUMPRODUCT(ISNUMBER(AC177:AF177)*$AC$8:$AF$8)*10,2),""))))</f>
        <v/>
      </c>
      <c r="AI177" s="51" t="str">
        <f aca="false">IFERROR(MATCH("CEM-168",'REGISTRE ELEVES'!$AI$10:$AI$250,0),"")</f>
        <v/>
      </c>
    </row>
    <row r="178" customFormat="false" ht="15" hidden="false" customHeight="false" outlineLevel="0" collapsed="false">
      <c r="A178" s="73" t="str">
        <f aca="false">IF(B178="","",169)</f>
        <v/>
      </c>
      <c r="B178" s="73" t="str">
        <f aca="false">IF($AI178="","",INDEX('REGISTRE ELEVES'!$B$10:$B$250,$AI178))</f>
        <v/>
      </c>
      <c r="C178" s="74" t="str">
        <f aca="false">IF($AI178="","",INDEX('REGISTRE ELEVES'!$D$10:$D$250,$AI178))</f>
        <v/>
      </c>
      <c r="D178" s="73" t="str">
        <f aca="false">IF($AI178="","",INDEX('REGISTRE ELEVES'!$E$10:$E$250,$AI178))</f>
        <v/>
      </c>
      <c r="E178" s="73" t="str">
        <f aca="false">IF($AI178="","",INDEX('REGISTRE ELEVES'!$F$10:$F$250,$AI178))</f>
        <v/>
      </c>
      <c r="F178" s="73" t="str">
        <f aca="false">IF($AI178="","",INDEX('REGISTRE ELEVES'!$AE$10:$AE$250,$AI178))</f>
        <v/>
      </c>
      <c r="G178" s="75"/>
      <c r="H178" s="76"/>
      <c r="I178" s="76"/>
      <c r="J178" s="76"/>
      <c r="K178" s="76"/>
      <c r="L178" s="79" t="str">
        <f aca="false">IF(B178="","",IF($G178="NON",0,IF(COUNT(H178:K178)=0,"",SUM(H178:K178))))</f>
        <v/>
      </c>
      <c r="M178" s="77" t="str">
        <f aca="false">IF(B178="","",IF($G178="NON",0,IF(COUNT(H178:K178)=0,"",IFERROR(ROUND(SUM(H178:K178)/SUMPRODUCT(ISNUMBER(H178:K178)*$H$8:$K$8)*10,2),""))))</f>
        <v/>
      </c>
      <c r="N178" s="75"/>
      <c r="O178" s="76"/>
      <c r="P178" s="76"/>
      <c r="Q178" s="76"/>
      <c r="R178" s="76"/>
      <c r="S178" s="79" t="str">
        <f aca="false">IF(B178="","",IF($N178="NON",0,IF(COUNT(O178:R178)=0,"",SUM(O178:R178))))</f>
        <v/>
      </c>
      <c r="T178" s="77" t="str">
        <f aca="false">IF(B178="","",IF($N178="NON",0,IF(COUNT(O178:R178)=0,"",IFERROR(ROUND(SUM(O178:R178)/SUMPRODUCT(ISNUMBER(O178:R178)*$O$8:$R$8)*10,2),""))))</f>
        <v/>
      </c>
      <c r="U178" s="75"/>
      <c r="V178" s="76"/>
      <c r="W178" s="76"/>
      <c r="X178" s="76"/>
      <c r="Y178" s="76"/>
      <c r="Z178" s="79" t="str">
        <f aca="false">IF(B178="","",IF($U178="NON",0,IF(COUNT(V178:Y178)=0,"",SUM(V178:Y178))))</f>
        <v/>
      </c>
      <c r="AA178" s="77" t="str">
        <f aca="false">IF(B178="","",IF($U178="NON",0,IF(COUNT(V178:Y178)=0,"",IFERROR(ROUND(SUM(V178:Y178)/SUMPRODUCT(ISNUMBER(V178:Y178)*$V$8:$Y$8)*10,2),""))))</f>
        <v/>
      </c>
      <c r="AB178" s="75"/>
      <c r="AC178" s="76"/>
      <c r="AD178" s="76"/>
      <c r="AE178" s="76"/>
      <c r="AF178" s="76"/>
      <c r="AG178" s="79" t="str">
        <f aca="false">IF(B178="","",IF($AB178="NON",0,IF(COUNT(AC178:AF178)=0,"",SUM(AC178:AF178))))</f>
        <v/>
      </c>
      <c r="AH178" s="77" t="str">
        <f aca="false">IF(B178="","",IF($AB178="NON",0,IF(COUNT(AC178:AF178)=0,"",IFERROR(ROUND(SUM(AC178:AF178)/SUMPRODUCT(ISNUMBER(AC178:AF178)*$AC$8:$AF$8)*10,2),""))))</f>
        <v/>
      </c>
      <c r="AI178" s="51" t="str">
        <f aca="false">IFERROR(MATCH("CEM-169",'REGISTRE ELEVES'!$AI$10:$AI$250,0),"")</f>
        <v/>
      </c>
    </row>
    <row r="179" customFormat="false" ht="15" hidden="false" customHeight="false" outlineLevel="0" collapsed="false">
      <c r="A179" s="73" t="str">
        <f aca="false">IF(B179="","",170)</f>
        <v/>
      </c>
      <c r="B179" s="73" t="str">
        <f aca="false">IF($AI179="","",INDEX('REGISTRE ELEVES'!$B$10:$B$250,$AI179))</f>
        <v/>
      </c>
      <c r="C179" s="74" t="str">
        <f aca="false">IF($AI179="","",INDEX('REGISTRE ELEVES'!$D$10:$D$250,$AI179))</f>
        <v/>
      </c>
      <c r="D179" s="73" t="str">
        <f aca="false">IF($AI179="","",INDEX('REGISTRE ELEVES'!$E$10:$E$250,$AI179))</f>
        <v/>
      </c>
      <c r="E179" s="73" t="str">
        <f aca="false">IF($AI179="","",INDEX('REGISTRE ELEVES'!$F$10:$F$250,$AI179))</f>
        <v/>
      </c>
      <c r="F179" s="73" t="str">
        <f aca="false">IF($AI179="","",INDEX('REGISTRE ELEVES'!$AE$10:$AE$250,$AI179))</f>
        <v/>
      </c>
      <c r="G179" s="75"/>
      <c r="H179" s="76"/>
      <c r="I179" s="76"/>
      <c r="J179" s="76"/>
      <c r="K179" s="76"/>
      <c r="L179" s="79" t="str">
        <f aca="false">IF(B179="","",IF($G179="NON",0,IF(COUNT(H179:K179)=0,"",SUM(H179:K179))))</f>
        <v/>
      </c>
      <c r="M179" s="77" t="str">
        <f aca="false">IF(B179="","",IF($G179="NON",0,IF(COUNT(H179:K179)=0,"",IFERROR(ROUND(SUM(H179:K179)/SUMPRODUCT(ISNUMBER(H179:K179)*$H$8:$K$8)*10,2),""))))</f>
        <v/>
      </c>
      <c r="N179" s="75"/>
      <c r="O179" s="76"/>
      <c r="P179" s="76"/>
      <c r="Q179" s="76"/>
      <c r="R179" s="76"/>
      <c r="S179" s="79" t="str">
        <f aca="false">IF(B179="","",IF($N179="NON",0,IF(COUNT(O179:R179)=0,"",SUM(O179:R179))))</f>
        <v/>
      </c>
      <c r="T179" s="77" t="str">
        <f aca="false">IF(B179="","",IF($N179="NON",0,IF(COUNT(O179:R179)=0,"",IFERROR(ROUND(SUM(O179:R179)/SUMPRODUCT(ISNUMBER(O179:R179)*$O$8:$R$8)*10,2),""))))</f>
        <v/>
      </c>
      <c r="U179" s="75"/>
      <c r="V179" s="76"/>
      <c r="W179" s="76"/>
      <c r="X179" s="76"/>
      <c r="Y179" s="76"/>
      <c r="Z179" s="79" t="str">
        <f aca="false">IF(B179="","",IF($U179="NON",0,IF(COUNT(V179:Y179)=0,"",SUM(V179:Y179))))</f>
        <v/>
      </c>
      <c r="AA179" s="77" t="str">
        <f aca="false">IF(B179="","",IF($U179="NON",0,IF(COUNT(V179:Y179)=0,"",IFERROR(ROUND(SUM(V179:Y179)/SUMPRODUCT(ISNUMBER(V179:Y179)*$V$8:$Y$8)*10,2),""))))</f>
        <v/>
      </c>
      <c r="AB179" s="75"/>
      <c r="AC179" s="76"/>
      <c r="AD179" s="76"/>
      <c r="AE179" s="76"/>
      <c r="AF179" s="76"/>
      <c r="AG179" s="79" t="str">
        <f aca="false">IF(B179="","",IF($AB179="NON",0,IF(COUNT(AC179:AF179)=0,"",SUM(AC179:AF179))))</f>
        <v/>
      </c>
      <c r="AH179" s="77" t="str">
        <f aca="false">IF(B179="","",IF($AB179="NON",0,IF(COUNT(AC179:AF179)=0,"",IFERROR(ROUND(SUM(AC179:AF179)/SUMPRODUCT(ISNUMBER(AC179:AF179)*$AC$8:$AF$8)*10,2),""))))</f>
        <v/>
      </c>
      <c r="AI179" s="51" t="str">
        <f aca="false">IFERROR(MATCH("CEM-170",'REGISTRE ELEVES'!$AI$10:$AI$250,0),"")</f>
        <v/>
      </c>
    </row>
    <row r="180" customFormat="false" ht="15" hidden="false" customHeight="false" outlineLevel="0" collapsed="false">
      <c r="A180" s="73" t="str">
        <f aca="false">IF(B180="","",171)</f>
        <v/>
      </c>
      <c r="B180" s="73" t="str">
        <f aca="false">IF($AI180="","",INDEX('REGISTRE ELEVES'!$B$10:$B$250,$AI180))</f>
        <v/>
      </c>
      <c r="C180" s="74" t="str">
        <f aca="false">IF($AI180="","",INDEX('REGISTRE ELEVES'!$D$10:$D$250,$AI180))</f>
        <v/>
      </c>
      <c r="D180" s="73" t="str">
        <f aca="false">IF($AI180="","",INDEX('REGISTRE ELEVES'!$E$10:$E$250,$AI180))</f>
        <v/>
      </c>
      <c r="E180" s="73" t="str">
        <f aca="false">IF($AI180="","",INDEX('REGISTRE ELEVES'!$F$10:$F$250,$AI180))</f>
        <v/>
      </c>
      <c r="F180" s="73" t="str">
        <f aca="false">IF($AI180="","",INDEX('REGISTRE ELEVES'!$AE$10:$AE$250,$AI180))</f>
        <v/>
      </c>
      <c r="G180" s="75"/>
      <c r="H180" s="76"/>
      <c r="I180" s="76"/>
      <c r="J180" s="76"/>
      <c r="K180" s="76"/>
      <c r="L180" s="79" t="str">
        <f aca="false">IF(B180="","",IF($G180="NON",0,IF(COUNT(H180:K180)=0,"",SUM(H180:K180))))</f>
        <v/>
      </c>
      <c r="M180" s="77" t="str">
        <f aca="false">IF(B180="","",IF($G180="NON",0,IF(COUNT(H180:K180)=0,"",IFERROR(ROUND(SUM(H180:K180)/SUMPRODUCT(ISNUMBER(H180:K180)*$H$8:$K$8)*10,2),""))))</f>
        <v/>
      </c>
      <c r="N180" s="75"/>
      <c r="O180" s="76"/>
      <c r="P180" s="76"/>
      <c r="Q180" s="76"/>
      <c r="R180" s="76"/>
      <c r="S180" s="79" t="str">
        <f aca="false">IF(B180="","",IF($N180="NON",0,IF(COUNT(O180:R180)=0,"",SUM(O180:R180))))</f>
        <v/>
      </c>
      <c r="T180" s="77" t="str">
        <f aca="false">IF(B180="","",IF($N180="NON",0,IF(COUNT(O180:R180)=0,"",IFERROR(ROUND(SUM(O180:R180)/SUMPRODUCT(ISNUMBER(O180:R180)*$O$8:$R$8)*10,2),""))))</f>
        <v/>
      </c>
      <c r="U180" s="75"/>
      <c r="V180" s="76"/>
      <c r="W180" s="76"/>
      <c r="X180" s="76"/>
      <c r="Y180" s="76"/>
      <c r="Z180" s="79" t="str">
        <f aca="false">IF(B180="","",IF($U180="NON",0,IF(COUNT(V180:Y180)=0,"",SUM(V180:Y180))))</f>
        <v/>
      </c>
      <c r="AA180" s="77" t="str">
        <f aca="false">IF(B180="","",IF($U180="NON",0,IF(COUNT(V180:Y180)=0,"",IFERROR(ROUND(SUM(V180:Y180)/SUMPRODUCT(ISNUMBER(V180:Y180)*$V$8:$Y$8)*10,2),""))))</f>
        <v/>
      </c>
      <c r="AB180" s="75"/>
      <c r="AC180" s="76"/>
      <c r="AD180" s="76"/>
      <c r="AE180" s="76"/>
      <c r="AF180" s="76"/>
      <c r="AG180" s="79" t="str">
        <f aca="false">IF(B180="","",IF($AB180="NON",0,IF(COUNT(AC180:AF180)=0,"",SUM(AC180:AF180))))</f>
        <v/>
      </c>
      <c r="AH180" s="77" t="str">
        <f aca="false">IF(B180="","",IF($AB180="NON",0,IF(COUNT(AC180:AF180)=0,"",IFERROR(ROUND(SUM(AC180:AF180)/SUMPRODUCT(ISNUMBER(AC180:AF180)*$AC$8:$AF$8)*10,2),""))))</f>
        <v/>
      </c>
      <c r="AI180" s="51" t="str">
        <f aca="false">IFERROR(MATCH("CEM-171",'REGISTRE ELEVES'!$AI$10:$AI$250,0),"")</f>
        <v/>
      </c>
    </row>
    <row r="181" customFormat="false" ht="15" hidden="false" customHeight="false" outlineLevel="0" collapsed="false">
      <c r="A181" s="73" t="str">
        <f aca="false">IF(B181="","",172)</f>
        <v/>
      </c>
      <c r="B181" s="73" t="str">
        <f aca="false">IF($AI181="","",INDEX('REGISTRE ELEVES'!$B$10:$B$250,$AI181))</f>
        <v/>
      </c>
      <c r="C181" s="74" t="str">
        <f aca="false">IF($AI181="","",INDEX('REGISTRE ELEVES'!$D$10:$D$250,$AI181))</f>
        <v/>
      </c>
      <c r="D181" s="73" t="str">
        <f aca="false">IF($AI181="","",INDEX('REGISTRE ELEVES'!$E$10:$E$250,$AI181))</f>
        <v/>
      </c>
      <c r="E181" s="73" t="str">
        <f aca="false">IF($AI181="","",INDEX('REGISTRE ELEVES'!$F$10:$F$250,$AI181))</f>
        <v/>
      </c>
      <c r="F181" s="73" t="str">
        <f aca="false">IF($AI181="","",INDEX('REGISTRE ELEVES'!$AE$10:$AE$250,$AI181))</f>
        <v/>
      </c>
      <c r="G181" s="75"/>
      <c r="H181" s="76"/>
      <c r="I181" s="76"/>
      <c r="J181" s="76"/>
      <c r="K181" s="76"/>
      <c r="L181" s="79" t="str">
        <f aca="false">IF(B181="","",IF($G181="NON",0,IF(COUNT(H181:K181)=0,"",SUM(H181:K181))))</f>
        <v/>
      </c>
      <c r="M181" s="77" t="str">
        <f aca="false">IF(B181="","",IF($G181="NON",0,IF(COUNT(H181:K181)=0,"",IFERROR(ROUND(SUM(H181:K181)/SUMPRODUCT(ISNUMBER(H181:K181)*$H$8:$K$8)*10,2),""))))</f>
        <v/>
      </c>
      <c r="N181" s="75"/>
      <c r="O181" s="76"/>
      <c r="P181" s="76"/>
      <c r="Q181" s="76"/>
      <c r="R181" s="76"/>
      <c r="S181" s="79" t="str">
        <f aca="false">IF(B181="","",IF($N181="NON",0,IF(COUNT(O181:R181)=0,"",SUM(O181:R181))))</f>
        <v/>
      </c>
      <c r="T181" s="77" t="str">
        <f aca="false">IF(B181="","",IF($N181="NON",0,IF(COUNT(O181:R181)=0,"",IFERROR(ROUND(SUM(O181:R181)/SUMPRODUCT(ISNUMBER(O181:R181)*$O$8:$R$8)*10,2),""))))</f>
        <v/>
      </c>
      <c r="U181" s="75"/>
      <c r="V181" s="76"/>
      <c r="W181" s="76"/>
      <c r="X181" s="76"/>
      <c r="Y181" s="76"/>
      <c r="Z181" s="79" t="str">
        <f aca="false">IF(B181="","",IF($U181="NON",0,IF(COUNT(V181:Y181)=0,"",SUM(V181:Y181))))</f>
        <v/>
      </c>
      <c r="AA181" s="77" t="str">
        <f aca="false">IF(B181="","",IF($U181="NON",0,IF(COUNT(V181:Y181)=0,"",IFERROR(ROUND(SUM(V181:Y181)/SUMPRODUCT(ISNUMBER(V181:Y181)*$V$8:$Y$8)*10,2),""))))</f>
        <v/>
      </c>
      <c r="AB181" s="75"/>
      <c r="AC181" s="76"/>
      <c r="AD181" s="76"/>
      <c r="AE181" s="76"/>
      <c r="AF181" s="76"/>
      <c r="AG181" s="79" t="str">
        <f aca="false">IF(B181="","",IF($AB181="NON",0,IF(COUNT(AC181:AF181)=0,"",SUM(AC181:AF181))))</f>
        <v/>
      </c>
      <c r="AH181" s="77" t="str">
        <f aca="false">IF(B181="","",IF($AB181="NON",0,IF(COUNT(AC181:AF181)=0,"",IFERROR(ROUND(SUM(AC181:AF181)/SUMPRODUCT(ISNUMBER(AC181:AF181)*$AC$8:$AF$8)*10,2),""))))</f>
        <v/>
      </c>
      <c r="AI181" s="51" t="str">
        <f aca="false">IFERROR(MATCH("CEM-172",'REGISTRE ELEVES'!$AI$10:$AI$250,0),"")</f>
        <v/>
      </c>
    </row>
    <row r="182" customFormat="false" ht="15" hidden="false" customHeight="false" outlineLevel="0" collapsed="false">
      <c r="A182" s="73" t="str">
        <f aca="false">IF(B182="","",173)</f>
        <v/>
      </c>
      <c r="B182" s="73" t="str">
        <f aca="false">IF($AI182="","",INDEX('REGISTRE ELEVES'!$B$10:$B$250,$AI182))</f>
        <v/>
      </c>
      <c r="C182" s="74" t="str">
        <f aca="false">IF($AI182="","",INDEX('REGISTRE ELEVES'!$D$10:$D$250,$AI182))</f>
        <v/>
      </c>
      <c r="D182" s="73" t="str">
        <f aca="false">IF($AI182="","",INDEX('REGISTRE ELEVES'!$E$10:$E$250,$AI182))</f>
        <v/>
      </c>
      <c r="E182" s="73" t="str">
        <f aca="false">IF($AI182="","",INDEX('REGISTRE ELEVES'!$F$10:$F$250,$AI182))</f>
        <v/>
      </c>
      <c r="F182" s="73" t="str">
        <f aca="false">IF($AI182="","",INDEX('REGISTRE ELEVES'!$AE$10:$AE$250,$AI182))</f>
        <v/>
      </c>
      <c r="G182" s="75"/>
      <c r="H182" s="76"/>
      <c r="I182" s="76"/>
      <c r="J182" s="76"/>
      <c r="K182" s="76"/>
      <c r="L182" s="79" t="str">
        <f aca="false">IF(B182="","",IF($G182="NON",0,IF(COUNT(H182:K182)=0,"",SUM(H182:K182))))</f>
        <v/>
      </c>
      <c r="M182" s="77" t="str">
        <f aca="false">IF(B182="","",IF($G182="NON",0,IF(COUNT(H182:K182)=0,"",IFERROR(ROUND(SUM(H182:K182)/SUMPRODUCT(ISNUMBER(H182:K182)*$H$8:$K$8)*10,2),""))))</f>
        <v/>
      </c>
      <c r="N182" s="75"/>
      <c r="O182" s="76"/>
      <c r="P182" s="76"/>
      <c r="Q182" s="76"/>
      <c r="R182" s="76"/>
      <c r="S182" s="79" t="str">
        <f aca="false">IF(B182="","",IF($N182="NON",0,IF(COUNT(O182:R182)=0,"",SUM(O182:R182))))</f>
        <v/>
      </c>
      <c r="T182" s="77" t="str">
        <f aca="false">IF(B182="","",IF($N182="NON",0,IF(COUNT(O182:R182)=0,"",IFERROR(ROUND(SUM(O182:R182)/SUMPRODUCT(ISNUMBER(O182:R182)*$O$8:$R$8)*10,2),""))))</f>
        <v/>
      </c>
      <c r="U182" s="75"/>
      <c r="V182" s="76"/>
      <c r="W182" s="76"/>
      <c r="X182" s="76"/>
      <c r="Y182" s="76"/>
      <c r="Z182" s="79" t="str">
        <f aca="false">IF(B182="","",IF($U182="NON",0,IF(COUNT(V182:Y182)=0,"",SUM(V182:Y182))))</f>
        <v/>
      </c>
      <c r="AA182" s="77" t="str">
        <f aca="false">IF(B182="","",IF($U182="NON",0,IF(COUNT(V182:Y182)=0,"",IFERROR(ROUND(SUM(V182:Y182)/SUMPRODUCT(ISNUMBER(V182:Y182)*$V$8:$Y$8)*10,2),""))))</f>
        <v/>
      </c>
      <c r="AB182" s="75"/>
      <c r="AC182" s="76"/>
      <c r="AD182" s="76"/>
      <c r="AE182" s="76"/>
      <c r="AF182" s="76"/>
      <c r="AG182" s="79" t="str">
        <f aca="false">IF(B182="","",IF($AB182="NON",0,IF(COUNT(AC182:AF182)=0,"",SUM(AC182:AF182))))</f>
        <v/>
      </c>
      <c r="AH182" s="77" t="str">
        <f aca="false">IF(B182="","",IF($AB182="NON",0,IF(COUNT(AC182:AF182)=0,"",IFERROR(ROUND(SUM(AC182:AF182)/SUMPRODUCT(ISNUMBER(AC182:AF182)*$AC$8:$AF$8)*10,2),""))))</f>
        <v/>
      </c>
      <c r="AI182" s="51" t="str">
        <f aca="false">IFERROR(MATCH("CEM-173",'REGISTRE ELEVES'!$AI$10:$AI$250,0),"")</f>
        <v/>
      </c>
    </row>
    <row r="183" customFormat="false" ht="15" hidden="false" customHeight="false" outlineLevel="0" collapsed="false">
      <c r="A183" s="73" t="str">
        <f aca="false">IF(B183="","",174)</f>
        <v/>
      </c>
      <c r="B183" s="73" t="str">
        <f aca="false">IF($AI183="","",INDEX('REGISTRE ELEVES'!$B$10:$B$250,$AI183))</f>
        <v/>
      </c>
      <c r="C183" s="74" t="str">
        <f aca="false">IF($AI183="","",INDEX('REGISTRE ELEVES'!$D$10:$D$250,$AI183))</f>
        <v/>
      </c>
      <c r="D183" s="73" t="str">
        <f aca="false">IF($AI183="","",INDEX('REGISTRE ELEVES'!$E$10:$E$250,$AI183))</f>
        <v/>
      </c>
      <c r="E183" s="73" t="str">
        <f aca="false">IF($AI183="","",INDEX('REGISTRE ELEVES'!$F$10:$F$250,$AI183))</f>
        <v/>
      </c>
      <c r="F183" s="73" t="str">
        <f aca="false">IF($AI183="","",INDEX('REGISTRE ELEVES'!$AE$10:$AE$250,$AI183))</f>
        <v/>
      </c>
      <c r="G183" s="75"/>
      <c r="H183" s="76"/>
      <c r="I183" s="76"/>
      <c r="J183" s="76"/>
      <c r="K183" s="76"/>
      <c r="L183" s="79" t="str">
        <f aca="false">IF(B183="","",IF($G183="NON",0,IF(COUNT(H183:K183)=0,"",SUM(H183:K183))))</f>
        <v/>
      </c>
      <c r="M183" s="77" t="str">
        <f aca="false">IF(B183="","",IF($G183="NON",0,IF(COUNT(H183:K183)=0,"",IFERROR(ROUND(SUM(H183:K183)/SUMPRODUCT(ISNUMBER(H183:K183)*$H$8:$K$8)*10,2),""))))</f>
        <v/>
      </c>
      <c r="N183" s="75"/>
      <c r="O183" s="76"/>
      <c r="P183" s="76"/>
      <c r="Q183" s="76"/>
      <c r="R183" s="76"/>
      <c r="S183" s="79" t="str">
        <f aca="false">IF(B183="","",IF($N183="NON",0,IF(COUNT(O183:R183)=0,"",SUM(O183:R183))))</f>
        <v/>
      </c>
      <c r="T183" s="77" t="str">
        <f aca="false">IF(B183="","",IF($N183="NON",0,IF(COUNT(O183:R183)=0,"",IFERROR(ROUND(SUM(O183:R183)/SUMPRODUCT(ISNUMBER(O183:R183)*$O$8:$R$8)*10,2),""))))</f>
        <v/>
      </c>
      <c r="U183" s="75"/>
      <c r="V183" s="76"/>
      <c r="W183" s="76"/>
      <c r="X183" s="76"/>
      <c r="Y183" s="76"/>
      <c r="Z183" s="79" t="str">
        <f aca="false">IF(B183="","",IF($U183="NON",0,IF(COUNT(V183:Y183)=0,"",SUM(V183:Y183))))</f>
        <v/>
      </c>
      <c r="AA183" s="77" t="str">
        <f aca="false">IF(B183="","",IF($U183="NON",0,IF(COUNT(V183:Y183)=0,"",IFERROR(ROUND(SUM(V183:Y183)/SUMPRODUCT(ISNUMBER(V183:Y183)*$V$8:$Y$8)*10,2),""))))</f>
        <v/>
      </c>
      <c r="AB183" s="75"/>
      <c r="AC183" s="76"/>
      <c r="AD183" s="76"/>
      <c r="AE183" s="76"/>
      <c r="AF183" s="76"/>
      <c r="AG183" s="79" t="str">
        <f aca="false">IF(B183="","",IF($AB183="NON",0,IF(COUNT(AC183:AF183)=0,"",SUM(AC183:AF183))))</f>
        <v/>
      </c>
      <c r="AH183" s="77" t="str">
        <f aca="false">IF(B183="","",IF($AB183="NON",0,IF(COUNT(AC183:AF183)=0,"",IFERROR(ROUND(SUM(AC183:AF183)/SUMPRODUCT(ISNUMBER(AC183:AF183)*$AC$8:$AF$8)*10,2),""))))</f>
        <v/>
      </c>
      <c r="AI183" s="51" t="str">
        <f aca="false">IFERROR(MATCH("CEM-174",'REGISTRE ELEVES'!$AI$10:$AI$250,0),"")</f>
        <v/>
      </c>
    </row>
    <row r="184" customFormat="false" ht="15" hidden="false" customHeight="false" outlineLevel="0" collapsed="false">
      <c r="A184" s="73" t="str">
        <f aca="false">IF(B184="","",175)</f>
        <v/>
      </c>
      <c r="B184" s="73" t="str">
        <f aca="false">IF($AI184="","",INDEX('REGISTRE ELEVES'!$B$10:$B$250,$AI184))</f>
        <v/>
      </c>
      <c r="C184" s="74" t="str">
        <f aca="false">IF($AI184="","",INDEX('REGISTRE ELEVES'!$D$10:$D$250,$AI184))</f>
        <v/>
      </c>
      <c r="D184" s="73" t="str">
        <f aca="false">IF($AI184="","",INDEX('REGISTRE ELEVES'!$E$10:$E$250,$AI184))</f>
        <v/>
      </c>
      <c r="E184" s="73" t="str">
        <f aca="false">IF($AI184="","",INDEX('REGISTRE ELEVES'!$F$10:$F$250,$AI184))</f>
        <v/>
      </c>
      <c r="F184" s="73" t="str">
        <f aca="false">IF($AI184="","",INDEX('REGISTRE ELEVES'!$AE$10:$AE$250,$AI184))</f>
        <v/>
      </c>
      <c r="G184" s="75"/>
      <c r="H184" s="76"/>
      <c r="I184" s="76"/>
      <c r="J184" s="76"/>
      <c r="K184" s="76"/>
      <c r="L184" s="79" t="str">
        <f aca="false">IF(B184="","",IF($G184="NON",0,IF(COUNT(H184:K184)=0,"",SUM(H184:K184))))</f>
        <v/>
      </c>
      <c r="M184" s="77" t="str">
        <f aca="false">IF(B184="","",IF($G184="NON",0,IF(COUNT(H184:K184)=0,"",IFERROR(ROUND(SUM(H184:K184)/SUMPRODUCT(ISNUMBER(H184:K184)*$H$8:$K$8)*10,2),""))))</f>
        <v/>
      </c>
      <c r="N184" s="75"/>
      <c r="O184" s="76"/>
      <c r="P184" s="76"/>
      <c r="Q184" s="76"/>
      <c r="R184" s="76"/>
      <c r="S184" s="79" t="str">
        <f aca="false">IF(B184="","",IF($N184="NON",0,IF(COUNT(O184:R184)=0,"",SUM(O184:R184))))</f>
        <v/>
      </c>
      <c r="T184" s="77" t="str">
        <f aca="false">IF(B184="","",IF($N184="NON",0,IF(COUNT(O184:R184)=0,"",IFERROR(ROUND(SUM(O184:R184)/SUMPRODUCT(ISNUMBER(O184:R184)*$O$8:$R$8)*10,2),""))))</f>
        <v/>
      </c>
      <c r="U184" s="75"/>
      <c r="V184" s="76"/>
      <c r="W184" s="76"/>
      <c r="X184" s="76"/>
      <c r="Y184" s="76"/>
      <c r="Z184" s="79" t="str">
        <f aca="false">IF(B184="","",IF($U184="NON",0,IF(COUNT(V184:Y184)=0,"",SUM(V184:Y184))))</f>
        <v/>
      </c>
      <c r="AA184" s="77" t="str">
        <f aca="false">IF(B184="","",IF($U184="NON",0,IF(COUNT(V184:Y184)=0,"",IFERROR(ROUND(SUM(V184:Y184)/SUMPRODUCT(ISNUMBER(V184:Y184)*$V$8:$Y$8)*10,2),""))))</f>
        <v/>
      </c>
      <c r="AB184" s="75"/>
      <c r="AC184" s="76"/>
      <c r="AD184" s="76"/>
      <c r="AE184" s="76"/>
      <c r="AF184" s="76"/>
      <c r="AG184" s="79" t="str">
        <f aca="false">IF(B184="","",IF($AB184="NON",0,IF(COUNT(AC184:AF184)=0,"",SUM(AC184:AF184))))</f>
        <v/>
      </c>
      <c r="AH184" s="77" t="str">
        <f aca="false">IF(B184="","",IF($AB184="NON",0,IF(COUNT(AC184:AF184)=0,"",IFERROR(ROUND(SUM(AC184:AF184)/SUMPRODUCT(ISNUMBER(AC184:AF184)*$AC$8:$AF$8)*10,2),""))))</f>
        <v/>
      </c>
      <c r="AI184" s="51" t="str">
        <f aca="false">IFERROR(MATCH("CEM-175",'REGISTRE ELEVES'!$AI$10:$AI$250,0),"")</f>
        <v/>
      </c>
    </row>
    <row r="185" customFormat="false" ht="15" hidden="false" customHeight="false" outlineLevel="0" collapsed="false">
      <c r="A185" s="73" t="str">
        <f aca="false">IF(B185="","",176)</f>
        <v/>
      </c>
      <c r="B185" s="73" t="str">
        <f aca="false">IF($AI185="","",INDEX('REGISTRE ELEVES'!$B$10:$B$250,$AI185))</f>
        <v/>
      </c>
      <c r="C185" s="74" t="str">
        <f aca="false">IF($AI185="","",INDEX('REGISTRE ELEVES'!$D$10:$D$250,$AI185))</f>
        <v/>
      </c>
      <c r="D185" s="73" t="str">
        <f aca="false">IF($AI185="","",INDEX('REGISTRE ELEVES'!$E$10:$E$250,$AI185))</f>
        <v/>
      </c>
      <c r="E185" s="73" t="str">
        <f aca="false">IF($AI185="","",INDEX('REGISTRE ELEVES'!$F$10:$F$250,$AI185))</f>
        <v/>
      </c>
      <c r="F185" s="73" t="str">
        <f aca="false">IF($AI185="","",INDEX('REGISTRE ELEVES'!$AE$10:$AE$250,$AI185))</f>
        <v/>
      </c>
      <c r="G185" s="75"/>
      <c r="H185" s="76"/>
      <c r="I185" s="76"/>
      <c r="J185" s="76"/>
      <c r="K185" s="76"/>
      <c r="L185" s="79" t="str">
        <f aca="false">IF(B185="","",IF($G185="NON",0,IF(COUNT(H185:K185)=0,"",SUM(H185:K185))))</f>
        <v/>
      </c>
      <c r="M185" s="77" t="str">
        <f aca="false">IF(B185="","",IF($G185="NON",0,IF(COUNT(H185:K185)=0,"",IFERROR(ROUND(SUM(H185:K185)/SUMPRODUCT(ISNUMBER(H185:K185)*$H$8:$K$8)*10,2),""))))</f>
        <v/>
      </c>
      <c r="N185" s="75"/>
      <c r="O185" s="76"/>
      <c r="P185" s="76"/>
      <c r="Q185" s="76"/>
      <c r="R185" s="76"/>
      <c r="S185" s="79" t="str">
        <f aca="false">IF(B185="","",IF($N185="NON",0,IF(COUNT(O185:R185)=0,"",SUM(O185:R185))))</f>
        <v/>
      </c>
      <c r="T185" s="77" t="str">
        <f aca="false">IF(B185="","",IF($N185="NON",0,IF(COUNT(O185:R185)=0,"",IFERROR(ROUND(SUM(O185:R185)/SUMPRODUCT(ISNUMBER(O185:R185)*$O$8:$R$8)*10,2),""))))</f>
        <v/>
      </c>
      <c r="U185" s="75"/>
      <c r="V185" s="76"/>
      <c r="W185" s="76"/>
      <c r="X185" s="76"/>
      <c r="Y185" s="76"/>
      <c r="Z185" s="79" t="str">
        <f aca="false">IF(B185="","",IF($U185="NON",0,IF(COUNT(V185:Y185)=0,"",SUM(V185:Y185))))</f>
        <v/>
      </c>
      <c r="AA185" s="77" t="str">
        <f aca="false">IF(B185="","",IF($U185="NON",0,IF(COUNT(V185:Y185)=0,"",IFERROR(ROUND(SUM(V185:Y185)/SUMPRODUCT(ISNUMBER(V185:Y185)*$V$8:$Y$8)*10,2),""))))</f>
        <v/>
      </c>
      <c r="AB185" s="75"/>
      <c r="AC185" s="76"/>
      <c r="AD185" s="76"/>
      <c r="AE185" s="76"/>
      <c r="AF185" s="76"/>
      <c r="AG185" s="79" t="str">
        <f aca="false">IF(B185="","",IF($AB185="NON",0,IF(COUNT(AC185:AF185)=0,"",SUM(AC185:AF185))))</f>
        <v/>
      </c>
      <c r="AH185" s="77" t="str">
        <f aca="false">IF(B185="","",IF($AB185="NON",0,IF(COUNT(AC185:AF185)=0,"",IFERROR(ROUND(SUM(AC185:AF185)/SUMPRODUCT(ISNUMBER(AC185:AF185)*$AC$8:$AF$8)*10,2),""))))</f>
        <v/>
      </c>
      <c r="AI185" s="51" t="str">
        <f aca="false">IFERROR(MATCH("CEM-176",'REGISTRE ELEVES'!$AI$10:$AI$250,0),"")</f>
        <v/>
      </c>
    </row>
    <row r="186" customFormat="false" ht="15" hidden="false" customHeight="false" outlineLevel="0" collapsed="false">
      <c r="A186" s="73" t="str">
        <f aca="false">IF(B186="","",177)</f>
        <v/>
      </c>
      <c r="B186" s="73" t="str">
        <f aca="false">IF($AI186="","",INDEX('REGISTRE ELEVES'!$B$10:$B$250,$AI186))</f>
        <v/>
      </c>
      <c r="C186" s="74" t="str">
        <f aca="false">IF($AI186="","",INDEX('REGISTRE ELEVES'!$D$10:$D$250,$AI186))</f>
        <v/>
      </c>
      <c r="D186" s="73" t="str">
        <f aca="false">IF($AI186="","",INDEX('REGISTRE ELEVES'!$E$10:$E$250,$AI186))</f>
        <v/>
      </c>
      <c r="E186" s="73" t="str">
        <f aca="false">IF($AI186="","",INDEX('REGISTRE ELEVES'!$F$10:$F$250,$AI186))</f>
        <v/>
      </c>
      <c r="F186" s="73" t="str">
        <f aca="false">IF($AI186="","",INDEX('REGISTRE ELEVES'!$AE$10:$AE$250,$AI186))</f>
        <v/>
      </c>
      <c r="G186" s="75"/>
      <c r="H186" s="76"/>
      <c r="I186" s="76"/>
      <c r="J186" s="76"/>
      <c r="K186" s="76"/>
      <c r="L186" s="79" t="str">
        <f aca="false">IF(B186="","",IF($G186="NON",0,IF(COUNT(H186:K186)=0,"",SUM(H186:K186))))</f>
        <v/>
      </c>
      <c r="M186" s="77" t="str">
        <f aca="false">IF(B186="","",IF($G186="NON",0,IF(COUNT(H186:K186)=0,"",IFERROR(ROUND(SUM(H186:K186)/SUMPRODUCT(ISNUMBER(H186:K186)*$H$8:$K$8)*10,2),""))))</f>
        <v/>
      </c>
      <c r="N186" s="75"/>
      <c r="O186" s="76"/>
      <c r="P186" s="76"/>
      <c r="Q186" s="76"/>
      <c r="R186" s="76"/>
      <c r="S186" s="79" t="str">
        <f aca="false">IF(B186="","",IF($N186="NON",0,IF(COUNT(O186:R186)=0,"",SUM(O186:R186))))</f>
        <v/>
      </c>
      <c r="T186" s="77" t="str">
        <f aca="false">IF(B186="","",IF($N186="NON",0,IF(COUNT(O186:R186)=0,"",IFERROR(ROUND(SUM(O186:R186)/SUMPRODUCT(ISNUMBER(O186:R186)*$O$8:$R$8)*10,2),""))))</f>
        <v/>
      </c>
      <c r="U186" s="75"/>
      <c r="V186" s="76"/>
      <c r="W186" s="76"/>
      <c r="X186" s="76"/>
      <c r="Y186" s="76"/>
      <c r="Z186" s="79" t="str">
        <f aca="false">IF(B186="","",IF($U186="NON",0,IF(COUNT(V186:Y186)=0,"",SUM(V186:Y186))))</f>
        <v/>
      </c>
      <c r="AA186" s="77" t="str">
        <f aca="false">IF(B186="","",IF($U186="NON",0,IF(COUNT(V186:Y186)=0,"",IFERROR(ROUND(SUM(V186:Y186)/SUMPRODUCT(ISNUMBER(V186:Y186)*$V$8:$Y$8)*10,2),""))))</f>
        <v/>
      </c>
      <c r="AB186" s="75"/>
      <c r="AC186" s="76"/>
      <c r="AD186" s="76"/>
      <c r="AE186" s="76"/>
      <c r="AF186" s="76"/>
      <c r="AG186" s="79" t="str">
        <f aca="false">IF(B186="","",IF($AB186="NON",0,IF(COUNT(AC186:AF186)=0,"",SUM(AC186:AF186))))</f>
        <v/>
      </c>
      <c r="AH186" s="77" t="str">
        <f aca="false">IF(B186="","",IF($AB186="NON",0,IF(COUNT(AC186:AF186)=0,"",IFERROR(ROUND(SUM(AC186:AF186)/SUMPRODUCT(ISNUMBER(AC186:AF186)*$AC$8:$AF$8)*10,2),""))))</f>
        <v/>
      </c>
      <c r="AI186" s="51" t="str">
        <f aca="false">IFERROR(MATCH("CEM-177",'REGISTRE ELEVES'!$AI$10:$AI$250,0),"")</f>
        <v/>
      </c>
    </row>
    <row r="187" customFormat="false" ht="15" hidden="false" customHeight="false" outlineLevel="0" collapsed="false">
      <c r="A187" s="73" t="str">
        <f aca="false">IF(B187="","",178)</f>
        <v/>
      </c>
      <c r="B187" s="73" t="str">
        <f aca="false">IF($AI187="","",INDEX('REGISTRE ELEVES'!$B$10:$B$250,$AI187))</f>
        <v/>
      </c>
      <c r="C187" s="74" t="str">
        <f aca="false">IF($AI187="","",INDEX('REGISTRE ELEVES'!$D$10:$D$250,$AI187))</f>
        <v/>
      </c>
      <c r="D187" s="73" t="str">
        <f aca="false">IF($AI187="","",INDEX('REGISTRE ELEVES'!$E$10:$E$250,$AI187))</f>
        <v/>
      </c>
      <c r="E187" s="73" t="str">
        <f aca="false">IF($AI187="","",INDEX('REGISTRE ELEVES'!$F$10:$F$250,$AI187))</f>
        <v/>
      </c>
      <c r="F187" s="73" t="str">
        <f aca="false">IF($AI187="","",INDEX('REGISTRE ELEVES'!$AE$10:$AE$250,$AI187))</f>
        <v/>
      </c>
      <c r="G187" s="75"/>
      <c r="H187" s="76"/>
      <c r="I187" s="76"/>
      <c r="J187" s="76"/>
      <c r="K187" s="76"/>
      <c r="L187" s="79" t="str">
        <f aca="false">IF(B187="","",IF($G187="NON",0,IF(COUNT(H187:K187)=0,"",SUM(H187:K187))))</f>
        <v/>
      </c>
      <c r="M187" s="77" t="str">
        <f aca="false">IF(B187="","",IF($G187="NON",0,IF(COUNT(H187:K187)=0,"",IFERROR(ROUND(SUM(H187:K187)/SUMPRODUCT(ISNUMBER(H187:K187)*$H$8:$K$8)*10,2),""))))</f>
        <v/>
      </c>
      <c r="N187" s="75"/>
      <c r="O187" s="76"/>
      <c r="P187" s="76"/>
      <c r="Q187" s="76"/>
      <c r="R187" s="76"/>
      <c r="S187" s="79" t="str">
        <f aca="false">IF(B187="","",IF($N187="NON",0,IF(COUNT(O187:R187)=0,"",SUM(O187:R187))))</f>
        <v/>
      </c>
      <c r="T187" s="77" t="str">
        <f aca="false">IF(B187="","",IF($N187="NON",0,IF(COUNT(O187:R187)=0,"",IFERROR(ROUND(SUM(O187:R187)/SUMPRODUCT(ISNUMBER(O187:R187)*$O$8:$R$8)*10,2),""))))</f>
        <v/>
      </c>
      <c r="U187" s="75"/>
      <c r="V187" s="76"/>
      <c r="W187" s="76"/>
      <c r="X187" s="76"/>
      <c r="Y187" s="76"/>
      <c r="Z187" s="79" t="str">
        <f aca="false">IF(B187="","",IF($U187="NON",0,IF(COUNT(V187:Y187)=0,"",SUM(V187:Y187))))</f>
        <v/>
      </c>
      <c r="AA187" s="77" t="str">
        <f aca="false">IF(B187="","",IF($U187="NON",0,IF(COUNT(V187:Y187)=0,"",IFERROR(ROUND(SUM(V187:Y187)/SUMPRODUCT(ISNUMBER(V187:Y187)*$V$8:$Y$8)*10,2),""))))</f>
        <v/>
      </c>
      <c r="AB187" s="75"/>
      <c r="AC187" s="76"/>
      <c r="AD187" s="76"/>
      <c r="AE187" s="76"/>
      <c r="AF187" s="76"/>
      <c r="AG187" s="79" t="str">
        <f aca="false">IF(B187="","",IF($AB187="NON",0,IF(COUNT(AC187:AF187)=0,"",SUM(AC187:AF187))))</f>
        <v/>
      </c>
      <c r="AH187" s="77" t="str">
        <f aca="false">IF(B187="","",IF($AB187="NON",0,IF(COUNT(AC187:AF187)=0,"",IFERROR(ROUND(SUM(AC187:AF187)/SUMPRODUCT(ISNUMBER(AC187:AF187)*$AC$8:$AF$8)*10,2),""))))</f>
        <v/>
      </c>
      <c r="AI187" s="51" t="str">
        <f aca="false">IFERROR(MATCH("CEM-178",'REGISTRE ELEVES'!$AI$10:$AI$250,0),"")</f>
        <v/>
      </c>
    </row>
    <row r="188" customFormat="false" ht="15" hidden="false" customHeight="false" outlineLevel="0" collapsed="false">
      <c r="A188" s="73" t="str">
        <f aca="false">IF(B188="","",179)</f>
        <v/>
      </c>
      <c r="B188" s="73" t="str">
        <f aca="false">IF($AI188="","",INDEX('REGISTRE ELEVES'!$B$10:$B$250,$AI188))</f>
        <v/>
      </c>
      <c r="C188" s="74" t="str">
        <f aca="false">IF($AI188="","",INDEX('REGISTRE ELEVES'!$D$10:$D$250,$AI188))</f>
        <v/>
      </c>
      <c r="D188" s="73" t="str">
        <f aca="false">IF($AI188="","",INDEX('REGISTRE ELEVES'!$E$10:$E$250,$AI188))</f>
        <v/>
      </c>
      <c r="E188" s="73" t="str">
        <f aca="false">IF($AI188="","",INDEX('REGISTRE ELEVES'!$F$10:$F$250,$AI188))</f>
        <v/>
      </c>
      <c r="F188" s="73" t="str">
        <f aca="false">IF($AI188="","",INDEX('REGISTRE ELEVES'!$AE$10:$AE$250,$AI188))</f>
        <v/>
      </c>
      <c r="G188" s="75"/>
      <c r="H188" s="76"/>
      <c r="I188" s="76"/>
      <c r="J188" s="76"/>
      <c r="K188" s="76"/>
      <c r="L188" s="79" t="str">
        <f aca="false">IF(B188="","",IF($G188="NON",0,IF(COUNT(H188:K188)=0,"",SUM(H188:K188))))</f>
        <v/>
      </c>
      <c r="M188" s="77" t="str">
        <f aca="false">IF(B188="","",IF($G188="NON",0,IF(COUNT(H188:K188)=0,"",IFERROR(ROUND(SUM(H188:K188)/SUMPRODUCT(ISNUMBER(H188:K188)*$H$8:$K$8)*10,2),""))))</f>
        <v/>
      </c>
      <c r="N188" s="75"/>
      <c r="O188" s="76"/>
      <c r="P188" s="76"/>
      <c r="Q188" s="76"/>
      <c r="R188" s="76"/>
      <c r="S188" s="79" t="str">
        <f aca="false">IF(B188="","",IF($N188="NON",0,IF(COUNT(O188:R188)=0,"",SUM(O188:R188))))</f>
        <v/>
      </c>
      <c r="T188" s="77" t="str">
        <f aca="false">IF(B188="","",IF($N188="NON",0,IF(COUNT(O188:R188)=0,"",IFERROR(ROUND(SUM(O188:R188)/SUMPRODUCT(ISNUMBER(O188:R188)*$O$8:$R$8)*10,2),""))))</f>
        <v/>
      </c>
      <c r="U188" s="75"/>
      <c r="V188" s="76"/>
      <c r="W188" s="76"/>
      <c r="X188" s="76"/>
      <c r="Y188" s="76"/>
      <c r="Z188" s="79" t="str">
        <f aca="false">IF(B188="","",IF($U188="NON",0,IF(COUNT(V188:Y188)=0,"",SUM(V188:Y188))))</f>
        <v/>
      </c>
      <c r="AA188" s="77" t="str">
        <f aca="false">IF(B188="","",IF($U188="NON",0,IF(COUNT(V188:Y188)=0,"",IFERROR(ROUND(SUM(V188:Y188)/SUMPRODUCT(ISNUMBER(V188:Y188)*$V$8:$Y$8)*10,2),""))))</f>
        <v/>
      </c>
      <c r="AB188" s="75"/>
      <c r="AC188" s="76"/>
      <c r="AD188" s="76"/>
      <c r="AE188" s="76"/>
      <c r="AF188" s="76"/>
      <c r="AG188" s="79" t="str">
        <f aca="false">IF(B188="","",IF($AB188="NON",0,IF(COUNT(AC188:AF188)=0,"",SUM(AC188:AF188))))</f>
        <v/>
      </c>
      <c r="AH188" s="77" t="str">
        <f aca="false">IF(B188="","",IF($AB188="NON",0,IF(COUNT(AC188:AF188)=0,"",IFERROR(ROUND(SUM(AC188:AF188)/SUMPRODUCT(ISNUMBER(AC188:AF188)*$AC$8:$AF$8)*10,2),""))))</f>
        <v/>
      </c>
      <c r="AI188" s="51" t="str">
        <f aca="false">IFERROR(MATCH("CEM-179",'REGISTRE ELEVES'!$AI$10:$AI$250,0),"")</f>
        <v/>
      </c>
    </row>
    <row r="189" customFormat="false" ht="15" hidden="false" customHeight="false" outlineLevel="0" collapsed="false">
      <c r="A189" s="73" t="str">
        <f aca="false">IF(B189="","",180)</f>
        <v/>
      </c>
      <c r="B189" s="73" t="str">
        <f aca="false">IF($AI189="","",INDEX('REGISTRE ELEVES'!$B$10:$B$250,$AI189))</f>
        <v/>
      </c>
      <c r="C189" s="74" t="str">
        <f aca="false">IF($AI189="","",INDEX('REGISTRE ELEVES'!$D$10:$D$250,$AI189))</f>
        <v/>
      </c>
      <c r="D189" s="73" t="str">
        <f aca="false">IF($AI189="","",INDEX('REGISTRE ELEVES'!$E$10:$E$250,$AI189))</f>
        <v/>
      </c>
      <c r="E189" s="73" t="str">
        <f aca="false">IF($AI189="","",INDEX('REGISTRE ELEVES'!$F$10:$F$250,$AI189))</f>
        <v/>
      </c>
      <c r="F189" s="73" t="str">
        <f aca="false">IF($AI189="","",INDEX('REGISTRE ELEVES'!$AE$10:$AE$250,$AI189))</f>
        <v/>
      </c>
      <c r="G189" s="75"/>
      <c r="H189" s="76"/>
      <c r="I189" s="76"/>
      <c r="J189" s="76"/>
      <c r="K189" s="76"/>
      <c r="L189" s="79" t="str">
        <f aca="false">IF(B189="","",IF($G189="NON",0,IF(COUNT(H189:K189)=0,"",SUM(H189:K189))))</f>
        <v/>
      </c>
      <c r="M189" s="77" t="str">
        <f aca="false">IF(B189="","",IF($G189="NON",0,IF(COUNT(H189:K189)=0,"",IFERROR(ROUND(SUM(H189:K189)/SUMPRODUCT(ISNUMBER(H189:K189)*$H$8:$K$8)*10,2),""))))</f>
        <v/>
      </c>
      <c r="N189" s="75"/>
      <c r="O189" s="76"/>
      <c r="P189" s="76"/>
      <c r="Q189" s="76"/>
      <c r="R189" s="76"/>
      <c r="S189" s="79" t="str">
        <f aca="false">IF(B189="","",IF($N189="NON",0,IF(COUNT(O189:R189)=0,"",SUM(O189:R189))))</f>
        <v/>
      </c>
      <c r="T189" s="77" t="str">
        <f aca="false">IF(B189="","",IF($N189="NON",0,IF(COUNT(O189:R189)=0,"",IFERROR(ROUND(SUM(O189:R189)/SUMPRODUCT(ISNUMBER(O189:R189)*$O$8:$R$8)*10,2),""))))</f>
        <v/>
      </c>
      <c r="U189" s="75"/>
      <c r="V189" s="76"/>
      <c r="W189" s="76"/>
      <c r="X189" s="76"/>
      <c r="Y189" s="76"/>
      <c r="Z189" s="79" t="str">
        <f aca="false">IF(B189="","",IF($U189="NON",0,IF(COUNT(V189:Y189)=0,"",SUM(V189:Y189))))</f>
        <v/>
      </c>
      <c r="AA189" s="77" t="str">
        <f aca="false">IF(B189="","",IF($U189="NON",0,IF(COUNT(V189:Y189)=0,"",IFERROR(ROUND(SUM(V189:Y189)/SUMPRODUCT(ISNUMBER(V189:Y189)*$V$8:$Y$8)*10,2),""))))</f>
        <v/>
      </c>
      <c r="AB189" s="75"/>
      <c r="AC189" s="76"/>
      <c r="AD189" s="76"/>
      <c r="AE189" s="76"/>
      <c r="AF189" s="76"/>
      <c r="AG189" s="79" t="str">
        <f aca="false">IF(B189="","",IF($AB189="NON",0,IF(COUNT(AC189:AF189)=0,"",SUM(AC189:AF189))))</f>
        <v/>
      </c>
      <c r="AH189" s="77" t="str">
        <f aca="false">IF(B189="","",IF($AB189="NON",0,IF(COUNT(AC189:AF189)=0,"",IFERROR(ROUND(SUM(AC189:AF189)/SUMPRODUCT(ISNUMBER(AC189:AF189)*$AC$8:$AF$8)*10,2),""))))</f>
        <v/>
      </c>
      <c r="AI189" s="51" t="str">
        <f aca="false">IFERROR(MATCH("CEM-180",'REGISTRE ELEVES'!$AI$10:$AI$250,0),"")</f>
        <v/>
      </c>
    </row>
    <row r="190" customFormat="false" ht="15" hidden="false" customHeight="false" outlineLevel="0" collapsed="false">
      <c r="A190" s="73" t="str">
        <f aca="false">IF(B190="","",181)</f>
        <v/>
      </c>
      <c r="B190" s="73" t="str">
        <f aca="false">IF($AI190="","",INDEX('REGISTRE ELEVES'!$B$10:$B$250,$AI190))</f>
        <v/>
      </c>
      <c r="C190" s="74" t="str">
        <f aca="false">IF($AI190="","",INDEX('REGISTRE ELEVES'!$D$10:$D$250,$AI190))</f>
        <v/>
      </c>
      <c r="D190" s="73" t="str">
        <f aca="false">IF($AI190="","",INDEX('REGISTRE ELEVES'!$E$10:$E$250,$AI190))</f>
        <v/>
      </c>
      <c r="E190" s="73" t="str">
        <f aca="false">IF($AI190="","",INDEX('REGISTRE ELEVES'!$F$10:$F$250,$AI190))</f>
        <v/>
      </c>
      <c r="F190" s="73" t="str">
        <f aca="false">IF($AI190="","",INDEX('REGISTRE ELEVES'!$AE$10:$AE$250,$AI190))</f>
        <v/>
      </c>
      <c r="G190" s="75"/>
      <c r="H190" s="76"/>
      <c r="I190" s="76"/>
      <c r="J190" s="76"/>
      <c r="K190" s="76"/>
      <c r="L190" s="79" t="str">
        <f aca="false">IF(B190="","",IF($G190="NON",0,IF(COUNT(H190:K190)=0,"",SUM(H190:K190))))</f>
        <v/>
      </c>
      <c r="M190" s="77" t="str">
        <f aca="false">IF(B190="","",IF($G190="NON",0,IF(COUNT(H190:K190)=0,"",IFERROR(ROUND(SUM(H190:K190)/SUMPRODUCT(ISNUMBER(H190:K190)*$H$8:$K$8)*10,2),""))))</f>
        <v/>
      </c>
      <c r="N190" s="75"/>
      <c r="O190" s="76"/>
      <c r="P190" s="76"/>
      <c r="Q190" s="76"/>
      <c r="R190" s="76"/>
      <c r="S190" s="79" t="str">
        <f aca="false">IF(B190="","",IF($N190="NON",0,IF(COUNT(O190:R190)=0,"",SUM(O190:R190))))</f>
        <v/>
      </c>
      <c r="T190" s="77" t="str">
        <f aca="false">IF(B190="","",IF($N190="NON",0,IF(COUNT(O190:R190)=0,"",IFERROR(ROUND(SUM(O190:R190)/SUMPRODUCT(ISNUMBER(O190:R190)*$O$8:$R$8)*10,2),""))))</f>
        <v/>
      </c>
      <c r="U190" s="75"/>
      <c r="V190" s="76"/>
      <c r="W190" s="76"/>
      <c r="X190" s="76"/>
      <c r="Y190" s="76"/>
      <c r="Z190" s="79" t="str">
        <f aca="false">IF(B190="","",IF($U190="NON",0,IF(COUNT(V190:Y190)=0,"",SUM(V190:Y190))))</f>
        <v/>
      </c>
      <c r="AA190" s="77" t="str">
        <f aca="false">IF(B190="","",IF($U190="NON",0,IF(COUNT(V190:Y190)=0,"",IFERROR(ROUND(SUM(V190:Y190)/SUMPRODUCT(ISNUMBER(V190:Y190)*$V$8:$Y$8)*10,2),""))))</f>
        <v/>
      </c>
      <c r="AB190" s="75"/>
      <c r="AC190" s="76"/>
      <c r="AD190" s="76"/>
      <c r="AE190" s="76"/>
      <c r="AF190" s="76"/>
      <c r="AG190" s="79" t="str">
        <f aca="false">IF(B190="","",IF($AB190="NON",0,IF(COUNT(AC190:AF190)=0,"",SUM(AC190:AF190))))</f>
        <v/>
      </c>
      <c r="AH190" s="77" t="str">
        <f aca="false">IF(B190="","",IF($AB190="NON",0,IF(COUNT(AC190:AF190)=0,"",IFERROR(ROUND(SUM(AC190:AF190)/SUMPRODUCT(ISNUMBER(AC190:AF190)*$AC$8:$AF$8)*10,2),""))))</f>
        <v/>
      </c>
      <c r="AI190" s="51" t="str">
        <f aca="false">IFERROR(MATCH("CEM-181",'REGISTRE ELEVES'!$AI$10:$AI$250,0),"")</f>
        <v/>
      </c>
    </row>
    <row r="191" customFormat="false" ht="15" hidden="false" customHeight="false" outlineLevel="0" collapsed="false">
      <c r="A191" s="73" t="str">
        <f aca="false">IF(B191="","",182)</f>
        <v/>
      </c>
      <c r="B191" s="73" t="str">
        <f aca="false">IF($AI191="","",INDEX('REGISTRE ELEVES'!$B$10:$B$250,$AI191))</f>
        <v/>
      </c>
      <c r="C191" s="74" t="str">
        <f aca="false">IF($AI191="","",INDEX('REGISTRE ELEVES'!$D$10:$D$250,$AI191))</f>
        <v/>
      </c>
      <c r="D191" s="73" t="str">
        <f aca="false">IF($AI191="","",INDEX('REGISTRE ELEVES'!$E$10:$E$250,$AI191))</f>
        <v/>
      </c>
      <c r="E191" s="73" t="str">
        <f aca="false">IF($AI191="","",INDEX('REGISTRE ELEVES'!$F$10:$F$250,$AI191))</f>
        <v/>
      </c>
      <c r="F191" s="73" t="str">
        <f aca="false">IF($AI191="","",INDEX('REGISTRE ELEVES'!$AE$10:$AE$250,$AI191))</f>
        <v/>
      </c>
      <c r="G191" s="75"/>
      <c r="H191" s="76"/>
      <c r="I191" s="76"/>
      <c r="J191" s="76"/>
      <c r="K191" s="76"/>
      <c r="L191" s="79" t="str">
        <f aca="false">IF(B191="","",IF($G191="NON",0,IF(COUNT(H191:K191)=0,"",SUM(H191:K191))))</f>
        <v/>
      </c>
      <c r="M191" s="77" t="str">
        <f aca="false">IF(B191="","",IF($G191="NON",0,IF(COUNT(H191:K191)=0,"",IFERROR(ROUND(SUM(H191:K191)/SUMPRODUCT(ISNUMBER(H191:K191)*$H$8:$K$8)*10,2),""))))</f>
        <v/>
      </c>
      <c r="N191" s="75"/>
      <c r="O191" s="76"/>
      <c r="P191" s="76"/>
      <c r="Q191" s="76"/>
      <c r="R191" s="76"/>
      <c r="S191" s="79" t="str">
        <f aca="false">IF(B191="","",IF($N191="NON",0,IF(COUNT(O191:R191)=0,"",SUM(O191:R191))))</f>
        <v/>
      </c>
      <c r="T191" s="77" t="str">
        <f aca="false">IF(B191="","",IF($N191="NON",0,IF(COUNT(O191:R191)=0,"",IFERROR(ROUND(SUM(O191:R191)/SUMPRODUCT(ISNUMBER(O191:R191)*$O$8:$R$8)*10,2),""))))</f>
        <v/>
      </c>
      <c r="U191" s="75"/>
      <c r="V191" s="76"/>
      <c r="W191" s="76"/>
      <c r="X191" s="76"/>
      <c r="Y191" s="76"/>
      <c r="Z191" s="79" t="str">
        <f aca="false">IF(B191="","",IF($U191="NON",0,IF(COUNT(V191:Y191)=0,"",SUM(V191:Y191))))</f>
        <v/>
      </c>
      <c r="AA191" s="77" t="str">
        <f aca="false">IF(B191="","",IF($U191="NON",0,IF(COUNT(V191:Y191)=0,"",IFERROR(ROUND(SUM(V191:Y191)/SUMPRODUCT(ISNUMBER(V191:Y191)*$V$8:$Y$8)*10,2),""))))</f>
        <v/>
      </c>
      <c r="AB191" s="75"/>
      <c r="AC191" s="76"/>
      <c r="AD191" s="76"/>
      <c r="AE191" s="76"/>
      <c r="AF191" s="76"/>
      <c r="AG191" s="79" t="str">
        <f aca="false">IF(B191="","",IF($AB191="NON",0,IF(COUNT(AC191:AF191)=0,"",SUM(AC191:AF191))))</f>
        <v/>
      </c>
      <c r="AH191" s="77" t="str">
        <f aca="false">IF(B191="","",IF($AB191="NON",0,IF(COUNT(AC191:AF191)=0,"",IFERROR(ROUND(SUM(AC191:AF191)/SUMPRODUCT(ISNUMBER(AC191:AF191)*$AC$8:$AF$8)*10,2),""))))</f>
        <v/>
      </c>
      <c r="AI191" s="51" t="str">
        <f aca="false">IFERROR(MATCH("CEM-182",'REGISTRE ELEVES'!$AI$10:$AI$250,0),"")</f>
        <v/>
      </c>
    </row>
    <row r="192" customFormat="false" ht="15" hidden="false" customHeight="false" outlineLevel="0" collapsed="false">
      <c r="A192" s="73" t="str">
        <f aca="false">IF(B192="","",183)</f>
        <v/>
      </c>
      <c r="B192" s="73" t="str">
        <f aca="false">IF($AI192="","",INDEX('REGISTRE ELEVES'!$B$10:$B$250,$AI192))</f>
        <v/>
      </c>
      <c r="C192" s="74" t="str">
        <f aca="false">IF($AI192="","",INDEX('REGISTRE ELEVES'!$D$10:$D$250,$AI192))</f>
        <v/>
      </c>
      <c r="D192" s="73" t="str">
        <f aca="false">IF($AI192="","",INDEX('REGISTRE ELEVES'!$E$10:$E$250,$AI192))</f>
        <v/>
      </c>
      <c r="E192" s="73" t="str">
        <f aca="false">IF($AI192="","",INDEX('REGISTRE ELEVES'!$F$10:$F$250,$AI192))</f>
        <v/>
      </c>
      <c r="F192" s="73" t="str">
        <f aca="false">IF($AI192="","",INDEX('REGISTRE ELEVES'!$AE$10:$AE$250,$AI192))</f>
        <v/>
      </c>
      <c r="G192" s="75"/>
      <c r="H192" s="76"/>
      <c r="I192" s="76"/>
      <c r="J192" s="76"/>
      <c r="K192" s="76"/>
      <c r="L192" s="79" t="str">
        <f aca="false">IF(B192="","",IF($G192="NON",0,IF(COUNT(H192:K192)=0,"",SUM(H192:K192))))</f>
        <v/>
      </c>
      <c r="M192" s="77" t="str">
        <f aca="false">IF(B192="","",IF($G192="NON",0,IF(COUNT(H192:K192)=0,"",IFERROR(ROUND(SUM(H192:K192)/SUMPRODUCT(ISNUMBER(H192:K192)*$H$8:$K$8)*10,2),""))))</f>
        <v/>
      </c>
      <c r="N192" s="75"/>
      <c r="O192" s="76"/>
      <c r="P192" s="76"/>
      <c r="Q192" s="76"/>
      <c r="R192" s="76"/>
      <c r="S192" s="79" t="str">
        <f aca="false">IF(B192="","",IF($N192="NON",0,IF(COUNT(O192:R192)=0,"",SUM(O192:R192))))</f>
        <v/>
      </c>
      <c r="T192" s="77" t="str">
        <f aca="false">IF(B192="","",IF($N192="NON",0,IF(COUNT(O192:R192)=0,"",IFERROR(ROUND(SUM(O192:R192)/SUMPRODUCT(ISNUMBER(O192:R192)*$O$8:$R$8)*10,2),""))))</f>
        <v/>
      </c>
      <c r="U192" s="75"/>
      <c r="V192" s="76"/>
      <c r="W192" s="76"/>
      <c r="X192" s="76"/>
      <c r="Y192" s="76"/>
      <c r="Z192" s="79" t="str">
        <f aca="false">IF(B192="","",IF($U192="NON",0,IF(COUNT(V192:Y192)=0,"",SUM(V192:Y192))))</f>
        <v/>
      </c>
      <c r="AA192" s="77" t="str">
        <f aca="false">IF(B192="","",IF($U192="NON",0,IF(COUNT(V192:Y192)=0,"",IFERROR(ROUND(SUM(V192:Y192)/SUMPRODUCT(ISNUMBER(V192:Y192)*$V$8:$Y$8)*10,2),""))))</f>
        <v/>
      </c>
      <c r="AB192" s="75"/>
      <c r="AC192" s="76"/>
      <c r="AD192" s="76"/>
      <c r="AE192" s="76"/>
      <c r="AF192" s="76"/>
      <c r="AG192" s="79" t="str">
        <f aca="false">IF(B192="","",IF($AB192="NON",0,IF(COUNT(AC192:AF192)=0,"",SUM(AC192:AF192))))</f>
        <v/>
      </c>
      <c r="AH192" s="77" t="str">
        <f aca="false">IF(B192="","",IF($AB192="NON",0,IF(COUNT(AC192:AF192)=0,"",IFERROR(ROUND(SUM(AC192:AF192)/SUMPRODUCT(ISNUMBER(AC192:AF192)*$AC$8:$AF$8)*10,2),""))))</f>
        <v/>
      </c>
      <c r="AI192" s="51" t="str">
        <f aca="false">IFERROR(MATCH("CEM-183",'REGISTRE ELEVES'!$AI$10:$AI$250,0),"")</f>
        <v/>
      </c>
    </row>
    <row r="193" customFormat="false" ht="15" hidden="false" customHeight="false" outlineLevel="0" collapsed="false">
      <c r="A193" s="73" t="str">
        <f aca="false">IF(B193="","",184)</f>
        <v/>
      </c>
      <c r="B193" s="73" t="str">
        <f aca="false">IF($AI193="","",INDEX('REGISTRE ELEVES'!$B$10:$B$250,$AI193))</f>
        <v/>
      </c>
      <c r="C193" s="74" t="str">
        <f aca="false">IF($AI193="","",INDEX('REGISTRE ELEVES'!$D$10:$D$250,$AI193))</f>
        <v/>
      </c>
      <c r="D193" s="73" t="str">
        <f aca="false">IF($AI193="","",INDEX('REGISTRE ELEVES'!$E$10:$E$250,$AI193))</f>
        <v/>
      </c>
      <c r="E193" s="73" t="str">
        <f aca="false">IF($AI193="","",INDEX('REGISTRE ELEVES'!$F$10:$F$250,$AI193))</f>
        <v/>
      </c>
      <c r="F193" s="73" t="str">
        <f aca="false">IF($AI193="","",INDEX('REGISTRE ELEVES'!$AE$10:$AE$250,$AI193))</f>
        <v/>
      </c>
      <c r="G193" s="75"/>
      <c r="H193" s="76"/>
      <c r="I193" s="76"/>
      <c r="J193" s="76"/>
      <c r="K193" s="76"/>
      <c r="L193" s="79" t="str">
        <f aca="false">IF(B193="","",IF($G193="NON",0,IF(COUNT(H193:K193)=0,"",SUM(H193:K193))))</f>
        <v/>
      </c>
      <c r="M193" s="77" t="str">
        <f aca="false">IF(B193="","",IF($G193="NON",0,IF(COUNT(H193:K193)=0,"",IFERROR(ROUND(SUM(H193:K193)/SUMPRODUCT(ISNUMBER(H193:K193)*$H$8:$K$8)*10,2),""))))</f>
        <v/>
      </c>
      <c r="N193" s="75"/>
      <c r="O193" s="76"/>
      <c r="P193" s="76"/>
      <c r="Q193" s="76"/>
      <c r="R193" s="76"/>
      <c r="S193" s="79" t="str">
        <f aca="false">IF(B193="","",IF($N193="NON",0,IF(COUNT(O193:R193)=0,"",SUM(O193:R193))))</f>
        <v/>
      </c>
      <c r="T193" s="77" t="str">
        <f aca="false">IF(B193="","",IF($N193="NON",0,IF(COUNT(O193:R193)=0,"",IFERROR(ROUND(SUM(O193:R193)/SUMPRODUCT(ISNUMBER(O193:R193)*$O$8:$R$8)*10,2),""))))</f>
        <v/>
      </c>
      <c r="U193" s="75"/>
      <c r="V193" s="76"/>
      <c r="W193" s="76"/>
      <c r="X193" s="76"/>
      <c r="Y193" s="76"/>
      <c r="Z193" s="79" t="str">
        <f aca="false">IF(B193="","",IF($U193="NON",0,IF(COUNT(V193:Y193)=0,"",SUM(V193:Y193))))</f>
        <v/>
      </c>
      <c r="AA193" s="77" t="str">
        <f aca="false">IF(B193="","",IF($U193="NON",0,IF(COUNT(V193:Y193)=0,"",IFERROR(ROUND(SUM(V193:Y193)/SUMPRODUCT(ISNUMBER(V193:Y193)*$V$8:$Y$8)*10,2),""))))</f>
        <v/>
      </c>
      <c r="AB193" s="75"/>
      <c r="AC193" s="76"/>
      <c r="AD193" s="76"/>
      <c r="AE193" s="76"/>
      <c r="AF193" s="76"/>
      <c r="AG193" s="79" t="str">
        <f aca="false">IF(B193="","",IF($AB193="NON",0,IF(COUNT(AC193:AF193)=0,"",SUM(AC193:AF193))))</f>
        <v/>
      </c>
      <c r="AH193" s="77" t="str">
        <f aca="false">IF(B193="","",IF($AB193="NON",0,IF(COUNT(AC193:AF193)=0,"",IFERROR(ROUND(SUM(AC193:AF193)/SUMPRODUCT(ISNUMBER(AC193:AF193)*$AC$8:$AF$8)*10,2),""))))</f>
        <v/>
      </c>
      <c r="AI193" s="51" t="str">
        <f aca="false">IFERROR(MATCH("CEM-184",'REGISTRE ELEVES'!$AI$10:$AI$250,0),"")</f>
        <v/>
      </c>
    </row>
    <row r="194" customFormat="false" ht="15" hidden="false" customHeight="false" outlineLevel="0" collapsed="false">
      <c r="A194" s="73" t="str">
        <f aca="false">IF(B194="","",185)</f>
        <v/>
      </c>
      <c r="B194" s="73" t="str">
        <f aca="false">IF($AI194="","",INDEX('REGISTRE ELEVES'!$B$10:$B$250,$AI194))</f>
        <v/>
      </c>
      <c r="C194" s="74" t="str">
        <f aca="false">IF($AI194="","",INDEX('REGISTRE ELEVES'!$D$10:$D$250,$AI194))</f>
        <v/>
      </c>
      <c r="D194" s="73" t="str">
        <f aca="false">IF($AI194="","",INDEX('REGISTRE ELEVES'!$E$10:$E$250,$AI194))</f>
        <v/>
      </c>
      <c r="E194" s="73" t="str">
        <f aca="false">IF($AI194="","",INDEX('REGISTRE ELEVES'!$F$10:$F$250,$AI194))</f>
        <v/>
      </c>
      <c r="F194" s="73" t="str">
        <f aca="false">IF($AI194="","",INDEX('REGISTRE ELEVES'!$AE$10:$AE$250,$AI194))</f>
        <v/>
      </c>
      <c r="G194" s="75"/>
      <c r="H194" s="76"/>
      <c r="I194" s="76"/>
      <c r="J194" s="76"/>
      <c r="K194" s="76"/>
      <c r="L194" s="79" t="str">
        <f aca="false">IF(B194="","",IF($G194="NON",0,IF(COUNT(H194:K194)=0,"",SUM(H194:K194))))</f>
        <v/>
      </c>
      <c r="M194" s="77" t="str">
        <f aca="false">IF(B194="","",IF($G194="NON",0,IF(COUNT(H194:K194)=0,"",IFERROR(ROUND(SUM(H194:K194)/SUMPRODUCT(ISNUMBER(H194:K194)*$H$8:$K$8)*10,2),""))))</f>
        <v/>
      </c>
      <c r="N194" s="75"/>
      <c r="O194" s="76"/>
      <c r="P194" s="76"/>
      <c r="Q194" s="76"/>
      <c r="R194" s="76"/>
      <c r="S194" s="79" t="str">
        <f aca="false">IF(B194="","",IF($N194="NON",0,IF(COUNT(O194:R194)=0,"",SUM(O194:R194))))</f>
        <v/>
      </c>
      <c r="T194" s="77" t="str">
        <f aca="false">IF(B194="","",IF($N194="NON",0,IF(COUNT(O194:R194)=0,"",IFERROR(ROUND(SUM(O194:R194)/SUMPRODUCT(ISNUMBER(O194:R194)*$O$8:$R$8)*10,2),""))))</f>
        <v/>
      </c>
      <c r="U194" s="75"/>
      <c r="V194" s="76"/>
      <c r="W194" s="76"/>
      <c r="X194" s="76"/>
      <c r="Y194" s="76"/>
      <c r="Z194" s="79" t="str">
        <f aca="false">IF(B194="","",IF($U194="NON",0,IF(COUNT(V194:Y194)=0,"",SUM(V194:Y194))))</f>
        <v/>
      </c>
      <c r="AA194" s="77" t="str">
        <f aca="false">IF(B194="","",IF($U194="NON",0,IF(COUNT(V194:Y194)=0,"",IFERROR(ROUND(SUM(V194:Y194)/SUMPRODUCT(ISNUMBER(V194:Y194)*$V$8:$Y$8)*10,2),""))))</f>
        <v/>
      </c>
      <c r="AB194" s="75"/>
      <c r="AC194" s="76"/>
      <c r="AD194" s="76"/>
      <c r="AE194" s="76"/>
      <c r="AF194" s="76"/>
      <c r="AG194" s="79" t="str">
        <f aca="false">IF(B194="","",IF($AB194="NON",0,IF(COUNT(AC194:AF194)=0,"",SUM(AC194:AF194))))</f>
        <v/>
      </c>
      <c r="AH194" s="77" t="str">
        <f aca="false">IF(B194="","",IF($AB194="NON",0,IF(COUNT(AC194:AF194)=0,"",IFERROR(ROUND(SUM(AC194:AF194)/SUMPRODUCT(ISNUMBER(AC194:AF194)*$AC$8:$AF$8)*10,2),""))))</f>
        <v/>
      </c>
      <c r="AI194" s="51" t="str">
        <f aca="false">IFERROR(MATCH("CEM-185",'REGISTRE ELEVES'!$AI$10:$AI$250,0),"")</f>
        <v/>
      </c>
    </row>
    <row r="195" customFormat="false" ht="15" hidden="false" customHeight="false" outlineLevel="0" collapsed="false">
      <c r="A195" s="73" t="str">
        <f aca="false">IF(B195="","",186)</f>
        <v/>
      </c>
      <c r="B195" s="73" t="str">
        <f aca="false">IF($AI195="","",INDEX('REGISTRE ELEVES'!$B$10:$B$250,$AI195))</f>
        <v/>
      </c>
      <c r="C195" s="74" t="str">
        <f aca="false">IF($AI195="","",INDEX('REGISTRE ELEVES'!$D$10:$D$250,$AI195))</f>
        <v/>
      </c>
      <c r="D195" s="73" t="str">
        <f aca="false">IF($AI195="","",INDEX('REGISTRE ELEVES'!$E$10:$E$250,$AI195))</f>
        <v/>
      </c>
      <c r="E195" s="73" t="str">
        <f aca="false">IF($AI195="","",INDEX('REGISTRE ELEVES'!$F$10:$F$250,$AI195))</f>
        <v/>
      </c>
      <c r="F195" s="73" t="str">
        <f aca="false">IF($AI195="","",INDEX('REGISTRE ELEVES'!$AE$10:$AE$250,$AI195))</f>
        <v/>
      </c>
      <c r="G195" s="75"/>
      <c r="H195" s="76"/>
      <c r="I195" s="76"/>
      <c r="J195" s="76"/>
      <c r="K195" s="76"/>
      <c r="L195" s="79" t="str">
        <f aca="false">IF(B195="","",IF($G195="NON",0,IF(COUNT(H195:K195)=0,"",SUM(H195:K195))))</f>
        <v/>
      </c>
      <c r="M195" s="77" t="str">
        <f aca="false">IF(B195="","",IF($G195="NON",0,IF(COUNT(H195:K195)=0,"",IFERROR(ROUND(SUM(H195:K195)/SUMPRODUCT(ISNUMBER(H195:K195)*$H$8:$K$8)*10,2),""))))</f>
        <v/>
      </c>
      <c r="N195" s="75"/>
      <c r="O195" s="76"/>
      <c r="P195" s="76"/>
      <c r="Q195" s="76"/>
      <c r="R195" s="76"/>
      <c r="S195" s="79" t="str">
        <f aca="false">IF(B195="","",IF($N195="NON",0,IF(COUNT(O195:R195)=0,"",SUM(O195:R195))))</f>
        <v/>
      </c>
      <c r="T195" s="77" t="str">
        <f aca="false">IF(B195="","",IF($N195="NON",0,IF(COUNT(O195:R195)=0,"",IFERROR(ROUND(SUM(O195:R195)/SUMPRODUCT(ISNUMBER(O195:R195)*$O$8:$R$8)*10,2),""))))</f>
        <v/>
      </c>
      <c r="U195" s="75"/>
      <c r="V195" s="76"/>
      <c r="W195" s="76"/>
      <c r="X195" s="76"/>
      <c r="Y195" s="76"/>
      <c r="Z195" s="79" t="str">
        <f aca="false">IF(B195="","",IF($U195="NON",0,IF(COUNT(V195:Y195)=0,"",SUM(V195:Y195))))</f>
        <v/>
      </c>
      <c r="AA195" s="77" t="str">
        <f aca="false">IF(B195="","",IF($U195="NON",0,IF(COUNT(V195:Y195)=0,"",IFERROR(ROUND(SUM(V195:Y195)/SUMPRODUCT(ISNUMBER(V195:Y195)*$V$8:$Y$8)*10,2),""))))</f>
        <v/>
      </c>
      <c r="AB195" s="75"/>
      <c r="AC195" s="76"/>
      <c r="AD195" s="76"/>
      <c r="AE195" s="76"/>
      <c r="AF195" s="76"/>
      <c r="AG195" s="79" t="str">
        <f aca="false">IF(B195="","",IF($AB195="NON",0,IF(COUNT(AC195:AF195)=0,"",SUM(AC195:AF195))))</f>
        <v/>
      </c>
      <c r="AH195" s="77" t="str">
        <f aca="false">IF(B195="","",IF($AB195="NON",0,IF(COUNT(AC195:AF195)=0,"",IFERROR(ROUND(SUM(AC195:AF195)/SUMPRODUCT(ISNUMBER(AC195:AF195)*$AC$8:$AF$8)*10,2),""))))</f>
        <v/>
      </c>
      <c r="AI195" s="51" t="str">
        <f aca="false">IFERROR(MATCH("CEM-186",'REGISTRE ELEVES'!$AI$10:$AI$250,0),"")</f>
        <v/>
      </c>
    </row>
    <row r="196" customFormat="false" ht="15" hidden="false" customHeight="false" outlineLevel="0" collapsed="false">
      <c r="A196" s="73" t="str">
        <f aca="false">IF(B196="","",187)</f>
        <v/>
      </c>
      <c r="B196" s="73" t="str">
        <f aca="false">IF($AI196="","",INDEX('REGISTRE ELEVES'!$B$10:$B$250,$AI196))</f>
        <v/>
      </c>
      <c r="C196" s="74" t="str">
        <f aca="false">IF($AI196="","",INDEX('REGISTRE ELEVES'!$D$10:$D$250,$AI196))</f>
        <v/>
      </c>
      <c r="D196" s="73" t="str">
        <f aca="false">IF($AI196="","",INDEX('REGISTRE ELEVES'!$E$10:$E$250,$AI196))</f>
        <v/>
      </c>
      <c r="E196" s="73" t="str">
        <f aca="false">IF($AI196="","",INDEX('REGISTRE ELEVES'!$F$10:$F$250,$AI196))</f>
        <v/>
      </c>
      <c r="F196" s="73" t="str">
        <f aca="false">IF($AI196="","",INDEX('REGISTRE ELEVES'!$AE$10:$AE$250,$AI196))</f>
        <v/>
      </c>
      <c r="G196" s="75"/>
      <c r="H196" s="76"/>
      <c r="I196" s="76"/>
      <c r="J196" s="76"/>
      <c r="K196" s="76"/>
      <c r="L196" s="79" t="str">
        <f aca="false">IF(B196="","",IF($G196="NON",0,IF(COUNT(H196:K196)=0,"",SUM(H196:K196))))</f>
        <v/>
      </c>
      <c r="M196" s="77" t="str">
        <f aca="false">IF(B196="","",IF($G196="NON",0,IF(COUNT(H196:K196)=0,"",IFERROR(ROUND(SUM(H196:K196)/SUMPRODUCT(ISNUMBER(H196:K196)*$H$8:$K$8)*10,2),""))))</f>
        <v/>
      </c>
      <c r="N196" s="75"/>
      <c r="O196" s="76"/>
      <c r="P196" s="76"/>
      <c r="Q196" s="76"/>
      <c r="R196" s="76"/>
      <c r="S196" s="79" t="str">
        <f aca="false">IF(B196="","",IF($N196="NON",0,IF(COUNT(O196:R196)=0,"",SUM(O196:R196))))</f>
        <v/>
      </c>
      <c r="T196" s="77" t="str">
        <f aca="false">IF(B196="","",IF($N196="NON",0,IF(COUNT(O196:R196)=0,"",IFERROR(ROUND(SUM(O196:R196)/SUMPRODUCT(ISNUMBER(O196:R196)*$O$8:$R$8)*10,2),""))))</f>
        <v/>
      </c>
      <c r="U196" s="75"/>
      <c r="V196" s="76"/>
      <c r="W196" s="76"/>
      <c r="X196" s="76"/>
      <c r="Y196" s="76"/>
      <c r="Z196" s="79" t="str">
        <f aca="false">IF(B196="","",IF($U196="NON",0,IF(COUNT(V196:Y196)=0,"",SUM(V196:Y196))))</f>
        <v/>
      </c>
      <c r="AA196" s="77" t="str">
        <f aca="false">IF(B196="","",IF($U196="NON",0,IF(COUNT(V196:Y196)=0,"",IFERROR(ROUND(SUM(V196:Y196)/SUMPRODUCT(ISNUMBER(V196:Y196)*$V$8:$Y$8)*10,2),""))))</f>
        <v/>
      </c>
      <c r="AB196" s="75"/>
      <c r="AC196" s="76"/>
      <c r="AD196" s="76"/>
      <c r="AE196" s="76"/>
      <c r="AF196" s="76"/>
      <c r="AG196" s="79" t="str">
        <f aca="false">IF(B196="","",IF($AB196="NON",0,IF(COUNT(AC196:AF196)=0,"",SUM(AC196:AF196))))</f>
        <v/>
      </c>
      <c r="AH196" s="77" t="str">
        <f aca="false">IF(B196="","",IF($AB196="NON",0,IF(COUNT(AC196:AF196)=0,"",IFERROR(ROUND(SUM(AC196:AF196)/SUMPRODUCT(ISNUMBER(AC196:AF196)*$AC$8:$AF$8)*10,2),""))))</f>
        <v/>
      </c>
      <c r="AI196" s="51" t="str">
        <f aca="false">IFERROR(MATCH("CEM-187",'REGISTRE ELEVES'!$AI$10:$AI$250,0),"")</f>
        <v/>
      </c>
    </row>
    <row r="197" customFormat="false" ht="15" hidden="false" customHeight="false" outlineLevel="0" collapsed="false">
      <c r="A197" s="73" t="str">
        <f aca="false">IF(B197="","",188)</f>
        <v/>
      </c>
      <c r="B197" s="73" t="str">
        <f aca="false">IF($AI197="","",INDEX('REGISTRE ELEVES'!$B$10:$B$250,$AI197))</f>
        <v/>
      </c>
      <c r="C197" s="74" t="str">
        <f aca="false">IF($AI197="","",INDEX('REGISTRE ELEVES'!$D$10:$D$250,$AI197))</f>
        <v/>
      </c>
      <c r="D197" s="73" t="str">
        <f aca="false">IF($AI197="","",INDEX('REGISTRE ELEVES'!$E$10:$E$250,$AI197))</f>
        <v/>
      </c>
      <c r="E197" s="73" t="str">
        <f aca="false">IF($AI197="","",INDEX('REGISTRE ELEVES'!$F$10:$F$250,$AI197))</f>
        <v/>
      </c>
      <c r="F197" s="73" t="str">
        <f aca="false">IF($AI197="","",INDEX('REGISTRE ELEVES'!$AE$10:$AE$250,$AI197))</f>
        <v/>
      </c>
      <c r="G197" s="75"/>
      <c r="H197" s="76"/>
      <c r="I197" s="76"/>
      <c r="J197" s="76"/>
      <c r="K197" s="76"/>
      <c r="L197" s="79" t="str">
        <f aca="false">IF(B197="","",IF($G197="NON",0,IF(COUNT(H197:K197)=0,"",SUM(H197:K197))))</f>
        <v/>
      </c>
      <c r="M197" s="77" t="str">
        <f aca="false">IF(B197="","",IF($G197="NON",0,IF(COUNT(H197:K197)=0,"",IFERROR(ROUND(SUM(H197:K197)/SUMPRODUCT(ISNUMBER(H197:K197)*$H$8:$K$8)*10,2),""))))</f>
        <v/>
      </c>
      <c r="N197" s="75"/>
      <c r="O197" s="76"/>
      <c r="P197" s="76"/>
      <c r="Q197" s="76"/>
      <c r="R197" s="76"/>
      <c r="S197" s="79" t="str">
        <f aca="false">IF(B197="","",IF($N197="NON",0,IF(COUNT(O197:R197)=0,"",SUM(O197:R197))))</f>
        <v/>
      </c>
      <c r="T197" s="77" t="str">
        <f aca="false">IF(B197="","",IF($N197="NON",0,IF(COUNT(O197:R197)=0,"",IFERROR(ROUND(SUM(O197:R197)/SUMPRODUCT(ISNUMBER(O197:R197)*$O$8:$R$8)*10,2),""))))</f>
        <v/>
      </c>
      <c r="U197" s="75"/>
      <c r="V197" s="76"/>
      <c r="W197" s="76"/>
      <c r="X197" s="76"/>
      <c r="Y197" s="76"/>
      <c r="Z197" s="79" t="str">
        <f aca="false">IF(B197="","",IF($U197="NON",0,IF(COUNT(V197:Y197)=0,"",SUM(V197:Y197))))</f>
        <v/>
      </c>
      <c r="AA197" s="77" t="str">
        <f aca="false">IF(B197="","",IF($U197="NON",0,IF(COUNT(V197:Y197)=0,"",IFERROR(ROUND(SUM(V197:Y197)/SUMPRODUCT(ISNUMBER(V197:Y197)*$V$8:$Y$8)*10,2),""))))</f>
        <v/>
      </c>
      <c r="AB197" s="75"/>
      <c r="AC197" s="76"/>
      <c r="AD197" s="76"/>
      <c r="AE197" s="76"/>
      <c r="AF197" s="76"/>
      <c r="AG197" s="79" t="str">
        <f aca="false">IF(B197="","",IF($AB197="NON",0,IF(COUNT(AC197:AF197)=0,"",SUM(AC197:AF197))))</f>
        <v/>
      </c>
      <c r="AH197" s="77" t="str">
        <f aca="false">IF(B197="","",IF($AB197="NON",0,IF(COUNT(AC197:AF197)=0,"",IFERROR(ROUND(SUM(AC197:AF197)/SUMPRODUCT(ISNUMBER(AC197:AF197)*$AC$8:$AF$8)*10,2),""))))</f>
        <v/>
      </c>
      <c r="AI197" s="51" t="str">
        <f aca="false">IFERROR(MATCH("CEM-188",'REGISTRE ELEVES'!$AI$10:$AI$250,0),"")</f>
        <v/>
      </c>
    </row>
    <row r="198" customFormat="false" ht="15" hidden="false" customHeight="false" outlineLevel="0" collapsed="false">
      <c r="A198" s="73" t="str">
        <f aca="false">IF(B198="","",189)</f>
        <v/>
      </c>
      <c r="B198" s="73" t="str">
        <f aca="false">IF($AI198="","",INDEX('REGISTRE ELEVES'!$B$10:$B$250,$AI198))</f>
        <v/>
      </c>
      <c r="C198" s="74" t="str">
        <f aca="false">IF($AI198="","",INDEX('REGISTRE ELEVES'!$D$10:$D$250,$AI198))</f>
        <v/>
      </c>
      <c r="D198" s="73" t="str">
        <f aca="false">IF($AI198="","",INDEX('REGISTRE ELEVES'!$E$10:$E$250,$AI198))</f>
        <v/>
      </c>
      <c r="E198" s="73" t="str">
        <f aca="false">IF($AI198="","",INDEX('REGISTRE ELEVES'!$F$10:$F$250,$AI198))</f>
        <v/>
      </c>
      <c r="F198" s="73" t="str">
        <f aca="false">IF($AI198="","",INDEX('REGISTRE ELEVES'!$AE$10:$AE$250,$AI198))</f>
        <v/>
      </c>
      <c r="G198" s="75"/>
      <c r="H198" s="76"/>
      <c r="I198" s="76"/>
      <c r="J198" s="76"/>
      <c r="K198" s="76"/>
      <c r="L198" s="79" t="str">
        <f aca="false">IF(B198="","",IF($G198="NON",0,IF(COUNT(H198:K198)=0,"",SUM(H198:K198))))</f>
        <v/>
      </c>
      <c r="M198" s="77" t="str">
        <f aca="false">IF(B198="","",IF($G198="NON",0,IF(COUNT(H198:K198)=0,"",IFERROR(ROUND(SUM(H198:K198)/SUMPRODUCT(ISNUMBER(H198:K198)*$H$8:$K$8)*10,2),""))))</f>
        <v/>
      </c>
      <c r="N198" s="75"/>
      <c r="O198" s="76"/>
      <c r="P198" s="76"/>
      <c r="Q198" s="76"/>
      <c r="R198" s="76"/>
      <c r="S198" s="79" t="str">
        <f aca="false">IF(B198="","",IF($N198="NON",0,IF(COUNT(O198:R198)=0,"",SUM(O198:R198))))</f>
        <v/>
      </c>
      <c r="T198" s="77" t="str">
        <f aca="false">IF(B198="","",IF($N198="NON",0,IF(COUNT(O198:R198)=0,"",IFERROR(ROUND(SUM(O198:R198)/SUMPRODUCT(ISNUMBER(O198:R198)*$O$8:$R$8)*10,2),""))))</f>
        <v/>
      </c>
      <c r="U198" s="75"/>
      <c r="V198" s="76"/>
      <c r="W198" s="76"/>
      <c r="X198" s="76"/>
      <c r="Y198" s="76"/>
      <c r="Z198" s="79" t="str">
        <f aca="false">IF(B198="","",IF($U198="NON",0,IF(COUNT(V198:Y198)=0,"",SUM(V198:Y198))))</f>
        <v/>
      </c>
      <c r="AA198" s="77" t="str">
        <f aca="false">IF(B198="","",IF($U198="NON",0,IF(COUNT(V198:Y198)=0,"",IFERROR(ROUND(SUM(V198:Y198)/SUMPRODUCT(ISNUMBER(V198:Y198)*$V$8:$Y$8)*10,2),""))))</f>
        <v/>
      </c>
      <c r="AB198" s="75"/>
      <c r="AC198" s="76"/>
      <c r="AD198" s="76"/>
      <c r="AE198" s="76"/>
      <c r="AF198" s="76"/>
      <c r="AG198" s="79" t="str">
        <f aca="false">IF(B198="","",IF($AB198="NON",0,IF(COUNT(AC198:AF198)=0,"",SUM(AC198:AF198))))</f>
        <v/>
      </c>
      <c r="AH198" s="77" t="str">
        <f aca="false">IF(B198="","",IF($AB198="NON",0,IF(COUNT(AC198:AF198)=0,"",IFERROR(ROUND(SUM(AC198:AF198)/SUMPRODUCT(ISNUMBER(AC198:AF198)*$AC$8:$AF$8)*10,2),""))))</f>
        <v/>
      </c>
      <c r="AI198" s="51" t="str">
        <f aca="false">IFERROR(MATCH("CEM-189",'REGISTRE ELEVES'!$AI$10:$AI$250,0),"")</f>
        <v/>
      </c>
    </row>
    <row r="199" customFormat="false" ht="15" hidden="false" customHeight="false" outlineLevel="0" collapsed="false">
      <c r="A199" s="73" t="str">
        <f aca="false">IF(B199="","",190)</f>
        <v/>
      </c>
      <c r="B199" s="73" t="str">
        <f aca="false">IF($AI199="","",INDEX('REGISTRE ELEVES'!$B$10:$B$250,$AI199))</f>
        <v/>
      </c>
      <c r="C199" s="74" t="str">
        <f aca="false">IF($AI199="","",INDEX('REGISTRE ELEVES'!$D$10:$D$250,$AI199))</f>
        <v/>
      </c>
      <c r="D199" s="73" t="str">
        <f aca="false">IF($AI199="","",INDEX('REGISTRE ELEVES'!$E$10:$E$250,$AI199))</f>
        <v/>
      </c>
      <c r="E199" s="73" t="str">
        <f aca="false">IF($AI199="","",INDEX('REGISTRE ELEVES'!$F$10:$F$250,$AI199))</f>
        <v/>
      </c>
      <c r="F199" s="73" t="str">
        <f aca="false">IF($AI199="","",INDEX('REGISTRE ELEVES'!$AE$10:$AE$250,$AI199))</f>
        <v/>
      </c>
      <c r="G199" s="75"/>
      <c r="H199" s="76"/>
      <c r="I199" s="76"/>
      <c r="J199" s="76"/>
      <c r="K199" s="76"/>
      <c r="L199" s="79" t="str">
        <f aca="false">IF(B199="","",IF($G199="NON",0,IF(COUNT(H199:K199)=0,"",SUM(H199:K199))))</f>
        <v/>
      </c>
      <c r="M199" s="77" t="str">
        <f aca="false">IF(B199="","",IF($G199="NON",0,IF(COUNT(H199:K199)=0,"",IFERROR(ROUND(SUM(H199:K199)/SUMPRODUCT(ISNUMBER(H199:K199)*$H$8:$K$8)*10,2),""))))</f>
        <v/>
      </c>
      <c r="N199" s="75"/>
      <c r="O199" s="76"/>
      <c r="P199" s="76"/>
      <c r="Q199" s="76"/>
      <c r="R199" s="76"/>
      <c r="S199" s="79" t="str">
        <f aca="false">IF(B199="","",IF($N199="NON",0,IF(COUNT(O199:R199)=0,"",SUM(O199:R199))))</f>
        <v/>
      </c>
      <c r="T199" s="77" t="str">
        <f aca="false">IF(B199="","",IF($N199="NON",0,IF(COUNT(O199:R199)=0,"",IFERROR(ROUND(SUM(O199:R199)/SUMPRODUCT(ISNUMBER(O199:R199)*$O$8:$R$8)*10,2),""))))</f>
        <v/>
      </c>
      <c r="U199" s="75"/>
      <c r="V199" s="76"/>
      <c r="W199" s="76"/>
      <c r="X199" s="76"/>
      <c r="Y199" s="76"/>
      <c r="Z199" s="79" t="str">
        <f aca="false">IF(B199="","",IF($U199="NON",0,IF(COUNT(V199:Y199)=0,"",SUM(V199:Y199))))</f>
        <v/>
      </c>
      <c r="AA199" s="77" t="str">
        <f aca="false">IF(B199="","",IF($U199="NON",0,IF(COUNT(V199:Y199)=0,"",IFERROR(ROUND(SUM(V199:Y199)/SUMPRODUCT(ISNUMBER(V199:Y199)*$V$8:$Y$8)*10,2),""))))</f>
        <v/>
      </c>
      <c r="AB199" s="75"/>
      <c r="AC199" s="76"/>
      <c r="AD199" s="76"/>
      <c r="AE199" s="76"/>
      <c r="AF199" s="76"/>
      <c r="AG199" s="79" t="str">
        <f aca="false">IF(B199="","",IF($AB199="NON",0,IF(COUNT(AC199:AF199)=0,"",SUM(AC199:AF199))))</f>
        <v/>
      </c>
      <c r="AH199" s="77" t="str">
        <f aca="false">IF(B199="","",IF($AB199="NON",0,IF(COUNT(AC199:AF199)=0,"",IFERROR(ROUND(SUM(AC199:AF199)/SUMPRODUCT(ISNUMBER(AC199:AF199)*$AC$8:$AF$8)*10,2),""))))</f>
        <v/>
      </c>
      <c r="AI199" s="51" t="str">
        <f aca="false">IFERROR(MATCH("CEM-190",'REGISTRE ELEVES'!$AI$10:$AI$250,0),"")</f>
        <v/>
      </c>
    </row>
    <row r="200" customFormat="false" ht="15" hidden="false" customHeight="false" outlineLevel="0" collapsed="false">
      <c r="A200" s="73" t="str">
        <f aca="false">IF(B200="","",191)</f>
        <v/>
      </c>
      <c r="B200" s="73" t="str">
        <f aca="false">IF($AI200="","",INDEX('REGISTRE ELEVES'!$B$10:$B$250,$AI200))</f>
        <v/>
      </c>
      <c r="C200" s="74" t="str">
        <f aca="false">IF($AI200="","",INDEX('REGISTRE ELEVES'!$D$10:$D$250,$AI200))</f>
        <v/>
      </c>
      <c r="D200" s="73" t="str">
        <f aca="false">IF($AI200="","",INDEX('REGISTRE ELEVES'!$E$10:$E$250,$AI200))</f>
        <v/>
      </c>
      <c r="E200" s="73" t="str">
        <f aca="false">IF($AI200="","",INDEX('REGISTRE ELEVES'!$F$10:$F$250,$AI200))</f>
        <v/>
      </c>
      <c r="F200" s="73" t="str">
        <f aca="false">IF($AI200="","",INDEX('REGISTRE ELEVES'!$AE$10:$AE$250,$AI200))</f>
        <v/>
      </c>
      <c r="G200" s="75"/>
      <c r="H200" s="76"/>
      <c r="I200" s="76"/>
      <c r="J200" s="76"/>
      <c r="K200" s="76"/>
      <c r="L200" s="79" t="str">
        <f aca="false">IF(B200="","",IF($G200="NON",0,IF(COUNT(H200:K200)=0,"",SUM(H200:K200))))</f>
        <v/>
      </c>
      <c r="M200" s="77" t="str">
        <f aca="false">IF(B200="","",IF($G200="NON",0,IF(COUNT(H200:K200)=0,"",IFERROR(ROUND(SUM(H200:K200)/SUMPRODUCT(ISNUMBER(H200:K200)*$H$8:$K$8)*10,2),""))))</f>
        <v/>
      </c>
      <c r="N200" s="75"/>
      <c r="O200" s="76"/>
      <c r="P200" s="76"/>
      <c r="Q200" s="76"/>
      <c r="R200" s="76"/>
      <c r="S200" s="79" t="str">
        <f aca="false">IF(B200="","",IF($N200="NON",0,IF(COUNT(O200:R200)=0,"",SUM(O200:R200))))</f>
        <v/>
      </c>
      <c r="T200" s="77" t="str">
        <f aca="false">IF(B200="","",IF($N200="NON",0,IF(COUNT(O200:R200)=0,"",IFERROR(ROUND(SUM(O200:R200)/SUMPRODUCT(ISNUMBER(O200:R200)*$O$8:$R$8)*10,2),""))))</f>
        <v/>
      </c>
      <c r="U200" s="75"/>
      <c r="V200" s="76"/>
      <c r="W200" s="76"/>
      <c r="X200" s="76"/>
      <c r="Y200" s="76"/>
      <c r="Z200" s="79" t="str">
        <f aca="false">IF(B200="","",IF($U200="NON",0,IF(COUNT(V200:Y200)=0,"",SUM(V200:Y200))))</f>
        <v/>
      </c>
      <c r="AA200" s="77" t="str">
        <f aca="false">IF(B200="","",IF($U200="NON",0,IF(COUNT(V200:Y200)=0,"",IFERROR(ROUND(SUM(V200:Y200)/SUMPRODUCT(ISNUMBER(V200:Y200)*$V$8:$Y$8)*10,2),""))))</f>
        <v/>
      </c>
      <c r="AB200" s="75"/>
      <c r="AC200" s="76"/>
      <c r="AD200" s="76"/>
      <c r="AE200" s="76"/>
      <c r="AF200" s="76"/>
      <c r="AG200" s="79" t="str">
        <f aca="false">IF(B200="","",IF($AB200="NON",0,IF(COUNT(AC200:AF200)=0,"",SUM(AC200:AF200))))</f>
        <v/>
      </c>
      <c r="AH200" s="77" t="str">
        <f aca="false">IF(B200="","",IF($AB200="NON",0,IF(COUNT(AC200:AF200)=0,"",IFERROR(ROUND(SUM(AC200:AF200)/SUMPRODUCT(ISNUMBER(AC200:AF200)*$AC$8:$AF$8)*10,2),""))))</f>
        <v/>
      </c>
      <c r="AI200" s="51" t="str">
        <f aca="false">IFERROR(MATCH("CEM-191",'REGISTRE ELEVES'!$AI$10:$AI$250,0),"")</f>
        <v/>
      </c>
    </row>
    <row r="201" customFormat="false" ht="15" hidden="false" customHeight="false" outlineLevel="0" collapsed="false">
      <c r="A201" s="73" t="str">
        <f aca="false">IF(B201="","",192)</f>
        <v/>
      </c>
      <c r="B201" s="73" t="str">
        <f aca="false">IF($AI201="","",INDEX('REGISTRE ELEVES'!$B$10:$B$250,$AI201))</f>
        <v/>
      </c>
      <c r="C201" s="74" t="str">
        <f aca="false">IF($AI201="","",INDEX('REGISTRE ELEVES'!$D$10:$D$250,$AI201))</f>
        <v/>
      </c>
      <c r="D201" s="73" t="str">
        <f aca="false">IF($AI201="","",INDEX('REGISTRE ELEVES'!$E$10:$E$250,$AI201))</f>
        <v/>
      </c>
      <c r="E201" s="73" t="str">
        <f aca="false">IF($AI201="","",INDEX('REGISTRE ELEVES'!$F$10:$F$250,$AI201))</f>
        <v/>
      </c>
      <c r="F201" s="73" t="str">
        <f aca="false">IF($AI201="","",INDEX('REGISTRE ELEVES'!$AE$10:$AE$250,$AI201))</f>
        <v/>
      </c>
      <c r="G201" s="75"/>
      <c r="H201" s="76"/>
      <c r="I201" s="76"/>
      <c r="J201" s="76"/>
      <c r="K201" s="76"/>
      <c r="L201" s="79" t="str">
        <f aca="false">IF(B201="","",IF($G201="NON",0,IF(COUNT(H201:K201)=0,"",SUM(H201:K201))))</f>
        <v/>
      </c>
      <c r="M201" s="77" t="str">
        <f aca="false">IF(B201="","",IF($G201="NON",0,IF(COUNT(H201:K201)=0,"",IFERROR(ROUND(SUM(H201:K201)/SUMPRODUCT(ISNUMBER(H201:K201)*$H$8:$K$8)*10,2),""))))</f>
        <v/>
      </c>
      <c r="N201" s="75"/>
      <c r="O201" s="76"/>
      <c r="P201" s="76"/>
      <c r="Q201" s="76"/>
      <c r="R201" s="76"/>
      <c r="S201" s="79" t="str">
        <f aca="false">IF(B201="","",IF($N201="NON",0,IF(COUNT(O201:R201)=0,"",SUM(O201:R201))))</f>
        <v/>
      </c>
      <c r="T201" s="77" t="str">
        <f aca="false">IF(B201="","",IF($N201="NON",0,IF(COUNT(O201:R201)=0,"",IFERROR(ROUND(SUM(O201:R201)/SUMPRODUCT(ISNUMBER(O201:R201)*$O$8:$R$8)*10,2),""))))</f>
        <v/>
      </c>
      <c r="U201" s="75"/>
      <c r="V201" s="76"/>
      <c r="W201" s="76"/>
      <c r="X201" s="76"/>
      <c r="Y201" s="76"/>
      <c r="Z201" s="79" t="str">
        <f aca="false">IF(B201="","",IF($U201="NON",0,IF(COUNT(V201:Y201)=0,"",SUM(V201:Y201))))</f>
        <v/>
      </c>
      <c r="AA201" s="77" t="str">
        <f aca="false">IF(B201="","",IF($U201="NON",0,IF(COUNT(V201:Y201)=0,"",IFERROR(ROUND(SUM(V201:Y201)/SUMPRODUCT(ISNUMBER(V201:Y201)*$V$8:$Y$8)*10,2),""))))</f>
        <v/>
      </c>
      <c r="AB201" s="75"/>
      <c r="AC201" s="76"/>
      <c r="AD201" s="76"/>
      <c r="AE201" s="76"/>
      <c r="AF201" s="76"/>
      <c r="AG201" s="79" t="str">
        <f aca="false">IF(B201="","",IF($AB201="NON",0,IF(COUNT(AC201:AF201)=0,"",SUM(AC201:AF201))))</f>
        <v/>
      </c>
      <c r="AH201" s="77" t="str">
        <f aca="false">IF(B201="","",IF($AB201="NON",0,IF(COUNT(AC201:AF201)=0,"",IFERROR(ROUND(SUM(AC201:AF201)/SUMPRODUCT(ISNUMBER(AC201:AF201)*$AC$8:$AF$8)*10,2),""))))</f>
        <v/>
      </c>
      <c r="AI201" s="51" t="str">
        <f aca="false">IFERROR(MATCH("CEM-192",'REGISTRE ELEVES'!$AI$10:$AI$250,0),"")</f>
        <v/>
      </c>
    </row>
    <row r="202" customFormat="false" ht="15" hidden="false" customHeight="false" outlineLevel="0" collapsed="false">
      <c r="A202" s="73" t="str">
        <f aca="false">IF(B202="","",193)</f>
        <v/>
      </c>
      <c r="B202" s="73" t="str">
        <f aca="false">IF($AI202="","",INDEX('REGISTRE ELEVES'!$B$10:$B$250,$AI202))</f>
        <v/>
      </c>
      <c r="C202" s="74" t="str">
        <f aca="false">IF($AI202="","",INDEX('REGISTRE ELEVES'!$D$10:$D$250,$AI202))</f>
        <v/>
      </c>
      <c r="D202" s="73" t="str">
        <f aca="false">IF($AI202="","",INDEX('REGISTRE ELEVES'!$E$10:$E$250,$AI202))</f>
        <v/>
      </c>
      <c r="E202" s="73" t="str">
        <f aca="false">IF($AI202="","",INDEX('REGISTRE ELEVES'!$F$10:$F$250,$AI202))</f>
        <v/>
      </c>
      <c r="F202" s="73" t="str">
        <f aca="false">IF($AI202="","",INDEX('REGISTRE ELEVES'!$AE$10:$AE$250,$AI202))</f>
        <v/>
      </c>
      <c r="G202" s="75"/>
      <c r="H202" s="76"/>
      <c r="I202" s="76"/>
      <c r="J202" s="76"/>
      <c r="K202" s="76"/>
      <c r="L202" s="79" t="str">
        <f aca="false">IF(B202="","",IF($G202="NON",0,IF(COUNT(H202:K202)=0,"",SUM(H202:K202))))</f>
        <v/>
      </c>
      <c r="M202" s="77" t="str">
        <f aca="false">IF(B202="","",IF($G202="NON",0,IF(COUNT(H202:K202)=0,"",IFERROR(ROUND(SUM(H202:K202)/SUMPRODUCT(ISNUMBER(H202:K202)*$H$8:$K$8)*10,2),""))))</f>
        <v/>
      </c>
      <c r="N202" s="75"/>
      <c r="O202" s="76"/>
      <c r="P202" s="76"/>
      <c r="Q202" s="76"/>
      <c r="R202" s="76"/>
      <c r="S202" s="79" t="str">
        <f aca="false">IF(B202="","",IF($N202="NON",0,IF(COUNT(O202:R202)=0,"",SUM(O202:R202))))</f>
        <v/>
      </c>
      <c r="T202" s="77" t="str">
        <f aca="false">IF(B202="","",IF($N202="NON",0,IF(COUNT(O202:R202)=0,"",IFERROR(ROUND(SUM(O202:R202)/SUMPRODUCT(ISNUMBER(O202:R202)*$O$8:$R$8)*10,2),""))))</f>
        <v/>
      </c>
      <c r="U202" s="75"/>
      <c r="V202" s="76"/>
      <c r="W202" s="76"/>
      <c r="X202" s="76"/>
      <c r="Y202" s="76"/>
      <c r="Z202" s="79" t="str">
        <f aca="false">IF(B202="","",IF($U202="NON",0,IF(COUNT(V202:Y202)=0,"",SUM(V202:Y202))))</f>
        <v/>
      </c>
      <c r="AA202" s="77" t="str">
        <f aca="false">IF(B202="","",IF($U202="NON",0,IF(COUNT(V202:Y202)=0,"",IFERROR(ROUND(SUM(V202:Y202)/SUMPRODUCT(ISNUMBER(V202:Y202)*$V$8:$Y$8)*10,2),""))))</f>
        <v/>
      </c>
      <c r="AB202" s="75"/>
      <c r="AC202" s="76"/>
      <c r="AD202" s="76"/>
      <c r="AE202" s="76"/>
      <c r="AF202" s="76"/>
      <c r="AG202" s="79" t="str">
        <f aca="false">IF(B202="","",IF($AB202="NON",0,IF(COUNT(AC202:AF202)=0,"",SUM(AC202:AF202))))</f>
        <v/>
      </c>
      <c r="AH202" s="77" t="str">
        <f aca="false">IF(B202="","",IF($AB202="NON",0,IF(COUNT(AC202:AF202)=0,"",IFERROR(ROUND(SUM(AC202:AF202)/SUMPRODUCT(ISNUMBER(AC202:AF202)*$AC$8:$AF$8)*10,2),""))))</f>
        <v/>
      </c>
      <c r="AI202" s="51" t="str">
        <f aca="false">IFERROR(MATCH("CEM-193",'REGISTRE ELEVES'!$AI$10:$AI$250,0),"")</f>
        <v/>
      </c>
    </row>
    <row r="203" customFormat="false" ht="15" hidden="false" customHeight="false" outlineLevel="0" collapsed="false">
      <c r="A203" s="73" t="str">
        <f aca="false">IF(B203="","",194)</f>
        <v/>
      </c>
      <c r="B203" s="73" t="str">
        <f aca="false">IF($AI203="","",INDEX('REGISTRE ELEVES'!$B$10:$B$250,$AI203))</f>
        <v/>
      </c>
      <c r="C203" s="74" t="str">
        <f aca="false">IF($AI203="","",INDEX('REGISTRE ELEVES'!$D$10:$D$250,$AI203))</f>
        <v/>
      </c>
      <c r="D203" s="73" t="str">
        <f aca="false">IF($AI203="","",INDEX('REGISTRE ELEVES'!$E$10:$E$250,$AI203))</f>
        <v/>
      </c>
      <c r="E203" s="73" t="str">
        <f aca="false">IF($AI203="","",INDEX('REGISTRE ELEVES'!$F$10:$F$250,$AI203))</f>
        <v/>
      </c>
      <c r="F203" s="73" t="str">
        <f aca="false">IF($AI203="","",INDEX('REGISTRE ELEVES'!$AE$10:$AE$250,$AI203))</f>
        <v/>
      </c>
      <c r="G203" s="75"/>
      <c r="H203" s="76"/>
      <c r="I203" s="76"/>
      <c r="J203" s="76"/>
      <c r="K203" s="76"/>
      <c r="L203" s="79" t="str">
        <f aca="false">IF(B203="","",IF($G203="NON",0,IF(COUNT(H203:K203)=0,"",SUM(H203:K203))))</f>
        <v/>
      </c>
      <c r="M203" s="77" t="str">
        <f aca="false">IF(B203="","",IF($G203="NON",0,IF(COUNT(H203:K203)=0,"",IFERROR(ROUND(SUM(H203:K203)/SUMPRODUCT(ISNUMBER(H203:K203)*$H$8:$K$8)*10,2),""))))</f>
        <v/>
      </c>
      <c r="N203" s="75"/>
      <c r="O203" s="76"/>
      <c r="P203" s="76"/>
      <c r="Q203" s="76"/>
      <c r="R203" s="76"/>
      <c r="S203" s="79" t="str">
        <f aca="false">IF(B203="","",IF($N203="NON",0,IF(COUNT(O203:R203)=0,"",SUM(O203:R203))))</f>
        <v/>
      </c>
      <c r="T203" s="77" t="str">
        <f aca="false">IF(B203="","",IF($N203="NON",0,IF(COUNT(O203:R203)=0,"",IFERROR(ROUND(SUM(O203:R203)/SUMPRODUCT(ISNUMBER(O203:R203)*$O$8:$R$8)*10,2),""))))</f>
        <v/>
      </c>
      <c r="U203" s="75"/>
      <c r="V203" s="76"/>
      <c r="W203" s="76"/>
      <c r="X203" s="76"/>
      <c r="Y203" s="76"/>
      <c r="Z203" s="79" t="str">
        <f aca="false">IF(B203="","",IF($U203="NON",0,IF(COUNT(V203:Y203)=0,"",SUM(V203:Y203))))</f>
        <v/>
      </c>
      <c r="AA203" s="77" t="str">
        <f aca="false">IF(B203="","",IF($U203="NON",0,IF(COUNT(V203:Y203)=0,"",IFERROR(ROUND(SUM(V203:Y203)/SUMPRODUCT(ISNUMBER(V203:Y203)*$V$8:$Y$8)*10,2),""))))</f>
        <v/>
      </c>
      <c r="AB203" s="75"/>
      <c r="AC203" s="76"/>
      <c r="AD203" s="76"/>
      <c r="AE203" s="76"/>
      <c r="AF203" s="76"/>
      <c r="AG203" s="79" t="str">
        <f aca="false">IF(B203="","",IF($AB203="NON",0,IF(COUNT(AC203:AF203)=0,"",SUM(AC203:AF203))))</f>
        <v/>
      </c>
      <c r="AH203" s="77" t="str">
        <f aca="false">IF(B203="","",IF($AB203="NON",0,IF(COUNT(AC203:AF203)=0,"",IFERROR(ROUND(SUM(AC203:AF203)/SUMPRODUCT(ISNUMBER(AC203:AF203)*$AC$8:$AF$8)*10,2),""))))</f>
        <v/>
      </c>
      <c r="AI203" s="51" t="str">
        <f aca="false">IFERROR(MATCH("CEM-194",'REGISTRE ELEVES'!$AI$10:$AI$250,0),"")</f>
        <v/>
      </c>
    </row>
    <row r="204" customFormat="false" ht="15" hidden="false" customHeight="false" outlineLevel="0" collapsed="false">
      <c r="A204" s="73" t="str">
        <f aca="false">IF(B204="","",195)</f>
        <v/>
      </c>
      <c r="B204" s="73" t="str">
        <f aca="false">IF($AI204="","",INDEX('REGISTRE ELEVES'!$B$10:$B$250,$AI204))</f>
        <v/>
      </c>
      <c r="C204" s="74" t="str">
        <f aca="false">IF($AI204="","",INDEX('REGISTRE ELEVES'!$D$10:$D$250,$AI204))</f>
        <v/>
      </c>
      <c r="D204" s="73" t="str">
        <f aca="false">IF($AI204="","",INDEX('REGISTRE ELEVES'!$E$10:$E$250,$AI204))</f>
        <v/>
      </c>
      <c r="E204" s="73" t="str">
        <f aca="false">IF($AI204="","",INDEX('REGISTRE ELEVES'!$F$10:$F$250,$AI204))</f>
        <v/>
      </c>
      <c r="F204" s="73" t="str">
        <f aca="false">IF($AI204="","",INDEX('REGISTRE ELEVES'!$AE$10:$AE$250,$AI204))</f>
        <v/>
      </c>
      <c r="G204" s="75"/>
      <c r="H204" s="76"/>
      <c r="I204" s="76"/>
      <c r="J204" s="76"/>
      <c r="K204" s="76"/>
      <c r="L204" s="79" t="str">
        <f aca="false">IF(B204="","",IF($G204="NON",0,IF(COUNT(H204:K204)=0,"",SUM(H204:K204))))</f>
        <v/>
      </c>
      <c r="M204" s="77" t="str">
        <f aca="false">IF(B204="","",IF($G204="NON",0,IF(COUNT(H204:K204)=0,"",IFERROR(ROUND(SUM(H204:K204)/SUMPRODUCT(ISNUMBER(H204:K204)*$H$8:$K$8)*10,2),""))))</f>
        <v/>
      </c>
      <c r="N204" s="75"/>
      <c r="O204" s="76"/>
      <c r="P204" s="76"/>
      <c r="Q204" s="76"/>
      <c r="R204" s="76"/>
      <c r="S204" s="79" t="str">
        <f aca="false">IF(B204="","",IF($N204="NON",0,IF(COUNT(O204:R204)=0,"",SUM(O204:R204))))</f>
        <v/>
      </c>
      <c r="T204" s="77" t="str">
        <f aca="false">IF(B204="","",IF($N204="NON",0,IF(COUNT(O204:R204)=0,"",IFERROR(ROUND(SUM(O204:R204)/SUMPRODUCT(ISNUMBER(O204:R204)*$O$8:$R$8)*10,2),""))))</f>
        <v/>
      </c>
      <c r="U204" s="75"/>
      <c r="V204" s="76"/>
      <c r="W204" s="76"/>
      <c r="X204" s="76"/>
      <c r="Y204" s="76"/>
      <c r="Z204" s="79" t="str">
        <f aca="false">IF(B204="","",IF($U204="NON",0,IF(COUNT(V204:Y204)=0,"",SUM(V204:Y204))))</f>
        <v/>
      </c>
      <c r="AA204" s="77" t="str">
        <f aca="false">IF(B204="","",IF($U204="NON",0,IF(COUNT(V204:Y204)=0,"",IFERROR(ROUND(SUM(V204:Y204)/SUMPRODUCT(ISNUMBER(V204:Y204)*$V$8:$Y$8)*10,2),""))))</f>
        <v/>
      </c>
      <c r="AB204" s="75"/>
      <c r="AC204" s="76"/>
      <c r="AD204" s="76"/>
      <c r="AE204" s="76"/>
      <c r="AF204" s="76"/>
      <c r="AG204" s="79" t="str">
        <f aca="false">IF(B204="","",IF($AB204="NON",0,IF(COUNT(AC204:AF204)=0,"",SUM(AC204:AF204))))</f>
        <v/>
      </c>
      <c r="AH204" s="77" t="str">
        <f aca="false">IF(B204="","",IF($AB204="NON",0,IF(COUNT(AC204:AF204)=0,"",IFERROR(ROUND(SUM(AC204:AF204)/SUMPRODUCT(ISNUMBER(AC204:AF204)*$AC$8:$AF$8)*10,2),""))))</f>
        <v/>
      </c>
      <c r="AI204" s="51" t="str">
        <f aca="false">IFERROR(MATCH("CEM-195",'REGISTRE ELEVES'!$AI$10:$AI$250,0),"")</f>
        <v/>
      </c>
    </row>
    <row r="205" customFormat="false" ht="15" hidden="false" customHeight="false" outlineLevel="0" collapsed="false">
      <c r="A205" s="73" t="str">
        <f aca="false">IF(B205="","",196)</f>
        <v/>
      </c>
      <c r="B205" s="73" t="str">
        <f aca="false">IF($AI205="","",INDEX('REGISTRE ELEVES'!$B$10:$B$250,$AI205))</f>
        <v/>
      </c>
      <c r="C205" s="74" t="str">
        <f aca="false">IF($AI205="","",INDEX('REGISTRE ELEVES'!$D$10:$D$250,$AI205))</f>
        <v/>
      </c>
      <c r="D205" s="73" t="str">
        <f aca="false">IF($AI205="","",INDEX('REGISTRE ELEVES'!$E$10:$E$250,$AI205))</f>
        <v/>
      </c>
      <c r="E205" s="73" t="str">
        <f aca="false">IF($AI205="","",INDEX('REGISTRE ELEVES'!$F$10:$F$250,$AI205))</f>
        <v/>
      </c>
      <c r="F205" s="73" t="str">
        <f aca="false">IF($AI205="","",INDEX('REGISTRE ELEVES'!$AE$10:$AE$250,$AI205))</f>
        <v/>
      </c>
      <c r="G205" s="75"/>
      <c r="H205" s="76"/>
      <c r="I205" s="76"/>
      <c r="J205" s="76"/>
      <c r="K205" s="76"/>
      <c r="L205" s="79" t="str">
        <f aca="false">IF(B205="","",IF($G205="NON",0,IF(COUNT(H205:K205)=0,"",SUM(H205:K205))))</f>
        <v/>
      </c>
      <c r="M205" s="77" t="str">
        <f aca="false">IF(B205="","",IF($G205="NON",0,IF(COUNT(H205:K205)=0,"",IFERROR(ROUND(SUM(H205:K205)/SUMPRODUCT(ISNUMBER(H205:K205)*$H$8:$K$8)*10,2),""))))</f>
        <v/>
      </c>
      <c r="N205" s="75"/>
      <c r="O205" s="76"/>
      <c r="P205" s="76"/>
      <c r="Q205" s="76"/>
      <c r="R205" s="76"/>
      <c r="S205" s="79" t="str">
        <f aca="false">IF(B205="","",IF($N205="NON",0,IF(COUNT(O205:R205)=0,"",SUM(O205:R205))))</f>
        <v/>
      </c>
      <c r="T205" s="77" t="str">
        <f aca="false">IF(B205="","",IF($N205="NON",0,IF(COUNT(O205:R205)=0,"",IFERROR(ROUND(SUM(O205:R205)/SUMPRODUCT(ISNUMBER(O205:R205)*$O$8:$R$8)*10,2),""))))</f>
        <v/>
      </c>
      <c r="U205" s="75"/>
      <c r="V205" s="76"/>
      <c r="W205" s="76"/>
      <c r="X205" s="76"/>
      <c r="Y205" s="76"/>
      <c r="Z205" s="79" t="str">
        <f aca="false">IF(B205="","",IF($U205="NON",0,IF(COUNT(V205:Y205)=0,"",SUM(V205:Y205))))</f>
        <v/>
      </c>
      <c r="AA205" s="77" t="str">
        <f aca="false">IF(B205="","",IF($U205="NON",0,IF(COUNT(V205:Y205)=0,"",IFERROR(ROUND(SUM(V205:Y205)/SUMPRODUCT(ISNUMBER(V205:Y205)*$V$8:$Y$8)*10,2),""))))</f>
        <v/>
      </c>
      <c r="AB205" s="75"/>
      <c r="AC205" s="76"/>
      <c r="AD205" s="76"/>
      <c r="AE205" s="76"/>
      <c r="AF205" s="76"/>
      <c r="AG205" s="79" t="str">
        <f aca="false">IF(B205="","",IF($AB205="NON",0,IF(COUNT(AC205:AF205)=0,"",SUM(AC205:AF205))))</f>
        <v/>
      </c>
      <c r="AH205" s="77" t="str">
        <f aca="false">IF(B205="","",IF($AB205="NON",0,IF(COUNT(AC205:AF205)=0,"",IFERROR(ROUND(SUM(AC205:AF205)/SUMPRODUCT(ISNUMBER(AC205:AF205)*$AC$8:$AF$8)*10,2),""))))</f>
        <v/>
      </c>
      <c r="AI205" s="51" t="str">
        <f aca="false">IFERROR(MATCH("CEM-196",'REGISTRE ELEVES'!$AI$10:$AI$250,0),"")</f>
        <v/>
      </c>
    </row>
    <row r="206" customFormat="false" ht="15" hidden="false" customHeight="false" outlineLevel="0" collapsed="false">
      <c r="A206" s="73" t="str">
        <f aca="false">IF(B206="","",197)</f>
        <v/>
      </c>
      <c r="B206" s="73" t="str">
        <f aca="false">IF($AI206="","",INDEX('REGISTRE ELEVES'!$B$10:$B$250,$AI206))</f>
        <v/>
      </c>
      <c r="C206" s="74" t="str">
        <f aca="false">IF($AI206="","",INDEX('REGISTRE ELEVES'!$D$10:$D$250,$AI206))</f>
        <v/>
      </c>
      <c r="D206" s="73" t="str">
        <f aca="false">IF($AI206="","",INDEX('REGISTRE ELEVES'!$E$10:$E$250,$AI206))</f>
        <v/>
      </c>
      <c r="E206" s="73" t="str">
        <f aca="false">IF($AI206="","",INDEX('REGISTRE ELEVES'!$F$10:$F$250,$AI206))</f>
        <v/>
      </c>
      <c r="F206" s="73" t="str">
        <f aca="false">IF($AI206="","",INDEX('REGISTRE ELEVES'!$AE$10:$AE$250,$AI206))</f>
        <v/>
      </c>
      <c r="G206" s="75"/>
      <c r="H206" s="76"/>
      <c r="I206" s="76"/>
      <c r="J206" s="76"/>
      <c r="K206" s="76"/>
      <c r="L206" s="79" t="str">
        <f aca="false">IF(B206="","",IF($G206="NON",0,IF(COUNT(H206:K206)=0,"",SUM(H206:K206))))</f>
        <v/>
      </c>
      <c r="M206" s="77" t="str">
        <f aca="false">IF(B206="","",IF($G206="NON",0,IF(COUNT(H206:K206)=0,"",IFERROR(ROUND(SUM(H206:K206)/SUMPRODUCT(ISNUMBER(H206:K206)*$H$8:$K$8)*10,2),""))))</f>
        <v/>
      </c>
      <c r="N206" s="75"/>
      <c r="O206" s="76"/>
      <c r="P206" s="76"/>
      <c r="Q206" s="76"/>
      <c r="R206" s="76"/>
      <c r="S206" s="79" t="str">
        <f aca="false">IF(B206="","",IF($N206="NON",0,IF(COUNT(O206:R206)=0,"",SUM(O206:R206))))</f>
        <v/>
      </c>
      <c r="T206" s="77" t="str">
        <f aca="false">IF(B206="","",IF($N206="NON",0,IF(COUNT(O206:R206)=0,"",IFERROR(ROUND(SUM(O206:R206)/SUMPRODUCT(ISNUMBER(O206:R206)*$O$8:$R$8)*10,2),""))))</f>
        <v/>
      </c>
      <c r="U206" s="75"/>
      <c r="V206" s="76"/>
      <c r="W206" s="76"/>
      <c r="X206" s="76"/>
      <c r="Y206" s="76"/>
      <c r="Z206" s="79" t="str">
        <f aca="false">IF(B206="","",IF($U206="NON",0,IF(COUNT(V206:Y206)=0,"",SUM(V206:Y206))))</f>
        <v/>
      </c>
      <c r="AA206" s="77" t="str">
        <f aca="false">IF(B206="","",IF($U206="NON",0,IF(COUNT(V206:Y206)=0,"",IFERROR(ROUND(SUM(V206:Y206)/SUMPRODUCT(ISNUMBER(V206:Y206)*$V$8:$Y$8)*10,2),""))))</f>
        <v/>
      </c>
      <c r="AB206" s="75"/>
      <c r="AC206" s="76"/>
      <c r="AD206" s="76"/>
      <c r="AE206" s="76"/>
      <c r="AF206" s="76"/>
      <c r="AG206" s="79" t="str">
        <f aca="false">IF(B206="","",IF($AB206="NON",0,IF(COUNT(AC206:AF206)=0,"",SUM(AC206:AF206))))</f>
        <v/>
      </c>
      <c r="AH206" s="77" t="str">
        <f aca="false">IF(B206="","",IF($AB206="NON",0,IF(COUNT(AC206:AF206)=0,"",IFERROR(ROUND(SUM(AC206:AF206)/SUMPRODUCT(ISNUMBER(AC206:AF206)*$AC$8:$AF$8)*10,2),""))))</f>
        <v/>
      </c>
      <c r="AI206" s="51" t="str">
        <f aca="false">IFERROR(MATCH("CEM-197",'REGISTRE ELEVES'!$AI$10:$AI$250,0),"")</f>
        <v/>
      </c>
    </row>
    <row r="207" customFormat="false" ht="15" hidden="false" customHeight="false" outlineLevel="0" collapsed="false">
      <c r="A207" s="73" t="str">
        <f aca="false">IF(B207="","",198)</f>
        <v/>
      </c>
      <c r="B207" s="73" t="str">
        <f aca="false">IF($AI207="","",INDEX('REGISTRE ELEVES'!$B$10:$B$250,$AI207))</f>
        <v/>
      </c>
      <c r="C207" s="74" t="str">
        <f aca="false">IF($AI207="","",INDEX('REGISTRE ELEVES'!$D$10:$D$250,$AI207))</f>
        <v/>
      </c>
      <c r="D207" s="73" t="str">
        <f aca="false">IF($AI207="","",INDEX('REGISTRE ELEVES'!$E$10:$E$250,$AI207))</f>
        <v/>
      </c>
      <c r="E207" s="73" t="str">
        <f aca="false">IF($AI207="","",INDEX('REGISTRE ELEVES'!$F$10:$F$250,$AI207))</f>
        <v/>
      </c>
      <c r="F207" s="73" t="str">
        <f aca="false">IF($AI207="","",INDEX('REGISTRE ELEVES'!$AE$10:$AE$250,$AI207))</f>
        <v/>
      </c>
      <c r="G207" s="75"/>
      <c r="H207" s="76"/>
      <c r="I207" s="76"/>
      <c r="J207" s="76"/>
      <c r="K207" s="76"/>
      <c r="L207" s="79" t="str">
        <f aca="false">IF(B207="","",IF($G207="NON",0,IF(COUNT(H207:K207)=0,"",SUM(H207:K207))))</f>
        <v/>
      </c>
      <c r="M207" s="77" t="str">
        <f aca="false">IF(B207="","",IF($G207="NON",0,IF(COUNT(H207:K207)=0,"",IFERROR(ROUND(SUM(H207:K207)/SUMPRODUCT(ISNUMBER(H207:K207)*$H$8:$K$8)*10,2),""))))</f>
        <v/>
      </c>
      <c r="N207" s="75"/>
      <c r="O207" s="76"/>
      <c r="P207" s="76"/>
      <c r="Q207" s="76"/>
      <c r="R207" s="76"/>
      <c r="S207" s="79" t="str">
        <f aca="false">IF(B207="","",IF($N207="NON",0,IF(COUNT(O207:R207)=0,"",SUM(O207:R207))))</f>
        <v/>
      </c>
      <c r="T207" s="77" t="str">
        <f aca="false">IF(B207="","",IF($N207="NON",0,IF(COUNT(O207:R207)=0,"",IFERROR(ROUND(SUM(O207:R207)/SUMPRODUCT(ISNUMBER(O207:R207)*$O$8:$R$8)*10,2),""))))</f>
        <v/>
      </c>
      <c r="U207" s="75"/>
      <c r="V207" s="76"/>
      <c r="W207" s="76"/>
      <c r="X207" s="76"/>
      <c r="Y207" s="76"/>
      <c r="Z207" s="79" t="str">
        <f aca="false">IF(B207="","",IF($U207="NON",0,IF(COUNT(V207:Y207)=0,"",SUM(V207:Y207))))</f>
        <v/>
      </c>
      <c r="AA207" s="77" t="str">
        <f aca="false">IF(B207="","",IF($U207="NON",0,IF(COUNT(V207:Y207)=0,"",IFERROR(ROUND(SUM(V207:Y207)/SUMPRODUCT(ISNUMBER(V207:Y207)*$V$8:$Y$8)*10,2),""))))</f>
        <v/>
      </c>
      <c r="AB207" s="75"/>
      <c r="AC207" s="76"/>
      <c r="AD207" s="76"/>
      <c r="AE207" s="76"/>
      <c r="AF207" s="76"/>
      <c r="AG207" s="79" t="str">
        <f aca="false">IF(B207="","",IF($AB207="NON",0,IF(COUNT(AC207:AF207)=0,"",SUM(AC207:AF207))))</f>
        <v/>
      </c>
      <c r="AH207" s="77" t="str">
        <f aca="false">IF(B207="","",IF($AB207="NON",0,IF(COUNT(AC207:AF207)=0,"",IFERROR(ROUND(SUM(AC207:AF207)/SUMPRODUCT(ISNUMBER(AC207:AF207)*$AC$8:$AF$8)*10,2),""))))</f>
        <v/>
      </c>
      <c r="AI207" s="51" t="str">
        <f aca="false">IFERROR(MATCH("CEM-198",'REGISTRE ELEVES'!$AI$10:$AI$250,0),"")</f>
        <v/>
      </c>
    </row>
    <row r="208" customFormat="false" ht="15" hidden="false" customHeight="false" outlineLevel="0" collapsed="false">
      <c r="A208" s="73" t="str">
        <f aca="false">IF(B208="","",199)</f>
        <v/>
      </c>
      <c r="B208" s="73" t="str">
        <f aca="false">IF($AI208="","",INDEX('REGISTRE ELEVES'!$B$10:$B$250,$AI208))</f>
        <v/>
      </c>
      <c r="C208" s="74" t="str">
        <f aca="false">IF($AI208="","",INDEX('REGISTRE ELEVES'!$D$10:$D$250,$AI208))</f>
        <v/>
      </c>
      <c r="D208" s="73" t="str">
        <f aca="false">IF($AI208="","",INDEX('REGISTRE ELEVES'!$E$10:$E$250,$AI208))</f>
        <v/>
      </c>
      <c r="E208" s="73" t="str">
        <f aca="false">IF($AI208="","",INDEX('REGISTRE ELEVES'!$F$10:$F$250,$AI208))</f>
        <v/>
      </c>
      <c r="F208" s="73" t="str">
        <f aca="false">IF($AI208="","",INDEX('REGISTRE ELEVES'!$AE$10:$AE$250,$AI208))</f>
        <v/>
      </c>
      <c r="G208" s="75"/>
      <c r="H208" s="76"/>
      <c r="I208" s="76"/>
      <c r="J208" s="76"/>
      <c r="K208" s="76"/>
      <c r="L208" s="79" t="str">
        <f aca="false">IF(B208="","",IF($G208="NON",0,IF(COUNT(H208:K208)=0,"",SUM(H208:K208))))</f>
        <v/>
      </c>
      <c r="M208" s="77" t="str">
        <f aca="false">IF(B208="","",IF($G208="NON",0,IF(COUNT(H208:K208)=0,"",IFERROR(ROUND(SUM(H208:K208)/SUMPRODUCT(ISNUMBER(H208:K208)*$H$8:$K$8)*10,2),""))))</f>
        <v/>
      </c>
      <c r="N208" s="75"/>
      <c r="O208" s="76"/>
      <c r="P208" s="76"/>
      <c r="Q208" s="76"/>
      <c r="R208" s="76"/>
      <c r="S208" s="79" t="str">
        <f aca="false">IF(B208="","",IF($N208="NON",0,IF(COUNT(O208:R208)=0,"",SUM(O208:R208))))</f>
        <v/>
      </c>
      <c r="T208" s="77" t="str">
        <f aca="false">IF(B208="","",IF($N208="NON",0,IF(COUNT(O208:R208)=0,"",IFERROR(ROUND(SUM(O208:R208)/SUMPRODUCT(ISNUMBER(O208:R208)*$O$8:$R$8)*10,2),""))))</f>
        <v/>
      </c>
      <c r="U208" s="75"/>
      <c r="V208" s="76"/>
      <c r="W208" s="76"/>
      <c r="X208" s="76"/>
      <c r="Y208" s="76"/>
      <c r="Z208" s="79" t="str">
        <f aca="false">IF(B208="","",IF($U208="NON",0,IF(COUNT(V208:Y208)=0,"",SUM(V208:Y208))))</f>
        <v/>
      </c>
      <c r="AA208" s="77" t="str">
        <f aca="false">IF(B208="","",IF($U208="NON",0,IF(COUNT(V208:Y208)=0,"",IFERROR(ROUND(SUM(V208:Y208)/SUMPRODUCT(ISNUMBER(V208:Y208)*$V$8:$Y$8)*10,2),""))))</f>
        <v/>
      </c>
      <c r="AB208" s="75"/>
      <c r="AC208" s="76"/>
      <c r="AD208" s="76"/>
      <c r="AE208" s="76"/>
      <c r="AF208" s="76"/>
      <c r="AG208" s="79" t="str">
        <f aca="false">IF(B208="","",IF($AB208="NON",0,IF(COUNT(AC208:AF208)=0,"",SUM(AC208:AF208))))</f>
        <v/>
      </c>
      <c r="AH208" s="77" t="str">
        <f aca="false">IF(B208="","",IF($AB208="NON",0,IF(COUNT(AC208:AF208)=0,"",IFERROR(ROUND(SUM(AC208:AF208)/SUMPRODUCT(ISNUMBER(AC208:AF208)*$AC$8:$AF$8)*10,2),""))))</f>
        <v/>
      </c>
      <c r="AI208" s="51" t="str">
        <f aca="false">IFERROR(MATCH("CEM-199",'REGISTRE ELEVES'!$AI$10:$AI$250,0),"")</f>
        <v/>
      </c>
    </row>
    <row r="209" customFormat="false" ht="15" hidden="false" customHeight="false" outlineLevel="0" collapsed="false">
      <c r="A209" s="73" t="str">
        <f aca="false">IF(B209="","",200)</f>
        <v/>
      </c>
      <c r="B209" s="73" t="str">
        <f aca="false">IF($AI209="","",INDEX('REGISTRE ELEVES'!$B$10:$B$250,$AI209))</f>
        <v/>
      </c>
      <c r="C209" s="74" t="str">
        <f aca="false">IF($AI209="","",INDEX('REGISTRE ELEVES'!$D$10:$D$250,$AI209))</f>
        <v/>
      </c>
      <c r="D209" s="73" t="str">
        <f aca="false">IF($AI209="","",INDEX('REGISTRE ELEVES'!$E$10:$E$250,$AI209))</f>
        <v/>
      </c>
      <c r="E209" s="73" t="str">
        <f aca="false">IF($AI209="","",INDEX('REGISTRE ELEVES'!$F$10:$F$250,$AI209))</f>
        <v/>
      </c>
      <c r="F209" s="73" t="str">
        <f aca="false">IF($AI209="","",INDEX('REGISTRE ELEVES'!$AE$10:$AE$250,$AI209))</f>
        <v/>
      </c>
      <c r="G209" s="75"/>
      <c r="H209" s="76"/>
      <c r="I209" s="76"/>
      <c r="J209" s="76"/>
      <c r="K209" s="76"/>
      <c r="L209" s="79" t="str">
        <f aca="false">IF(B209="","",IF($G209="NON",0,IF(COUNT(H209:K209)=0,"",SUM(H209:K209))))</f>
        <v/>
      </c>
      <c r="M209" s="77" t="str">
        <f aca="false">IF(B209="","",IF($G209="NON",0,IF(COUNT(H209:K209)=0,"",IFERROR(ROUND(SUM(H209:K209)/SUMPRODUCT(ISNUMBER(H209:K209)*$H$8:$K$8)*10,2),""))))</f>
        <v/>
      </c>
      <c r="N209" s="75"/>
      <c r="O209" s="76"/>
      <c r="P209" s="76"/>
      <c r="Q209" s="76"/>
      <c r="R209" s="76"/>
      <c r="S209" s="79" t="str">
        <f aca="false">IF(B209="","",IF($N209="NON",0,IF(COUNT(O209:R209)=0,"",SUM(O209:R209))))</f>
        <v/>
      </c>
      <c r="T209" s="77" t="str">
        <f aca="false">IF(B209="","",IF($N209="NON",0,IF(COUNT(O209:R209)=0,"",IFERROR(ROUND(SUM(O209:R209)/SUMPRODUCT(ISNUMBER(O209:R209)*$O$8:$R$8)*10,2),""))))</f>
        <v/>
      </c>
      <c r="U209" s="75"/>
      <c r="V209" s="76"/>
      <c r="W209" s="76"/>
      <c r="X209" s="76"/>
      <c r="Y209" s="76"/>
      <c r="Z209" s="79" t="str">
        <f aca="false">IF(B209="","",IF($U209="NON",0,IF(COUNT(V209:Y209)=0,"",SUM(V209:Y209))))</f>
        <v/>
      </c>
      <c r="AA209" s="77" t="str">
        <f aca="false">IF(B209="","",IF($U209="NON",0,IF(COUNT(V209:Y209)=0,"",IFERROR(ROUND(SUM(V209:Y209)/SUMPRODUCT(ISNUMBER(V209:Y209)*$V$8:$Y$8)*10,2),""))))</f>
        <v/>
      </c>
      <c r="AB209" s="75"/>
      <c r="AC209" s="76"/>
      <c r="AD209" s="76"/>
      <c r="AE209" s="76"/>
      <c r="AF209" s="76"/>
      <c r="AG209" s="79" t="str">
        <f aca="false">IF(B209="","",IF($AB209="NON",0,IF(COUNT(AC209:AF209)=0,"",SUM(AC209:AF209))))</f>
        <v/>
      </c>
      <c r="AH209" s="77" t="str">
        <f aca="false">IF(B209="","",IF($AB209="NON",0,IF(COUNT(AC209:AF209)=0,"",IFERROR(ROUND(SUM(AC209:AF209)/SUMPRODUCT(ISNUMBER(AC209:AF209)*$AC$8:$AF$8)*10,2),""))))</f>
        <v/>
      </c>
      <c r="AI209" s="51" t="str">
        <f aca="false">IFERROR(MATCH("CEM-200",'REGISTRE ELEVES'!$AI$10:$AI$250,0),"")</f>
        <v/>
      </c>
    </row>
    <row r="210" customFormat="false" ht="15" hidden="false" customHeight="false" outlineLevel="0" collapsed="false">
      <c r="A210" s="73" t="str">
        <f aca="false">IF(B210="","",201)</f>
        <v/>
      </c>
      <c r="B210" s="73" t="str">
        <f aca="false">IF($AI210="","",INDEX('REGISTRE ELEVES'!$B$10:$B$250,$AI210))</f>
        <v/>
      </c>
      <c r="C210" s="74" t="str">
        <f aca="false">IF($AI210="","",INDEX('REGISTRE ELEVES'!$D$10:$D$250,$AI210))</f>
        <v/>
      </c>
      <c r="D210" s="73" t="str">
        <f aca="false">IF($AI210="","",INDEX('REGISTRE ELEVES'!$E$10:$E$250,$AI210))</f>
        <v/>
      </c>
      <c r="E210" s="73" t="str">
        <f aca="false">IF($AI210="","",INDEX('REGISTRE ELEVES'!$F$10:$F$250,$AI210))</f>
        <v/>
      </c>
      <c r="F210" s="73" t="str">
        <f aca="false">IF($AI210="","",INDEX('REGISTRE ELEVES'!$AE$10:$AE$250,$AI210))</f>
        <v/>
      </c>
      <c r="G210" s="75"/>
      <c r="H210" s="76"/>
      <c r="I210" s="76"/>
      <c r="J210" s="76"/>
      <c r="K210" s="76"/>
      <c r="L210" s="79" t="str">
        <f aca="false">IF(B210="","",IF($G210="NON",0,IF(COUNT(H210:K210)=0,"",SUM(H210:K210))))</f>
        <v/>
      </c>
      <c r="M210" s="77" t="str">
        <f aca="false">IF(B210="","",IF($G210="NON",0,IF(COUNT(H210:K210)=0,"",IFERROR(ROUND(SUM(H210:K210)/SUMPRODUCT(ISNUMBER(H210:K210)*$H$8:$K$8)*10,2),""))))</f>
        <v/>
      </c>
      <c r="N210" s="75"/>
      <c r="O210" s="76"/>
      <c r="P210" s="76"/>
      <c r="Q210" s="76"/>
      <c r="R210" s="76"/>
      <c r="S210" s="79" t="str">
        <f aca="false">IF(B210="","",IF($N210="NON",0,IF(COUNT(O210:R210)=0,"",SUM(O210:R210))))</f>
        <v/>
      </c>
      <c r="T210" s="77" t="str">
        <f aca="false">IF(B210="","",IF($N210="NON",0,IF(COUNT(O210:R210)=0,"",IFERROR(ROUND(SUM(O210:R210)/SUMPRODUCT(ISNUMBER(O210:R210)*$O$8:$R$8)*10,2),""))))</f>
        <v/>
      </c>
      <c r="U210" s="75"/>
      <c r="V210" s="76"/>
      <c r="W210" s="76"/>
      <c r="X210" s="76"/>
      <c r="Y210" s="76"/>
      <c r="Z210" s="79" t="str">
        <f aca="false">IF(B210="","",IF($U210="NON",0,IF(COUNT(V210:Y210)=0,"",SUM(V210:Y210))))</f>
        <v/>
      </c>
      <c r="AA210" s="77" t="str">
        <f aca="false">IF(B210="","",IF($U210="NON",0,IF(COUNT(V210:Y210)=0,"",IFERROR(ROUND(SUM(V210:Y210)/SUMPRODUCT(ISNUMBER(V210:Y210)*$V$8:$Y$8)*10,2),""))))</f>
        <v/>
      </c>
      <c r="AB210" s="75"/>
      <c r="AC210" s="76"/>
      <c r="AD210" s="76"/>
      <c r="AE210" s="76"/>
      <c r="AF210" s="76"/>
      <c r="AG210" s="79" t="str">
        <f aca="false">IF(B210="","",IF($AB210="NON",0,IF(COUNT(AC210:AF210)=0,"",SUM(AC210:AF210))))</f>
        <v/>
      </c>
      <c r="AH210" s="77" t="str">
        <f aca="false">IF(B210="","",IF($AB210="NON",0,IF(COUNT(AC210:AF210)=0,"",IFERROR(ROUND(SUM(AC210:AF210)/SUMPRODUCT(ISNUMBER(AC210:AF210)*$AC$8:$AF$8)*10,2),""))))</f>
        <v/>
      </c>
      <c r="AI210" s="51" t="str">
        <f aca="false">IFERROR(MATCH("CEM-201",'REGISTRE ELEVES'!$AI$10:$AI$250,0),"")</f>
        <v/>
      </c>
    </row>
    <row r="211" customFormat="false" ht="15" hidden="false" customHeight="false" outlineLevel="0" collapsed="false">
      <c r="A211" s="73" t="str">
        <f aca="false">IF(B211="","",202)</f>
        <v/>
      </c>
      <c r="B211" s="73" t="str">
        <f aca="false">IF($AI211="","",INDEX('REGISTRE ELEVES'!$B$10:$B$250,$AI211))</f>
        <v/>
      </c>
      <c r="C211" s="74" t="str">
        <f aca="false">IF($AI211="","",INDEX('REGISTRE ELEVES'!$D$10:$D$250,$AI211))</f>
        <v/>
      </c>
      <c r="D211" s="73" t="str">
        <f aca="false">IF($AI211="","",INDEX('REGISTRE ELEVES'!$E$10:$E$250,$AI211))</f>
        <v/>
      </c>
      <c r="E211" s="73" t="str">
        <f aca="false">IF($AI211="","",INDEX('REGISTRE ELEVES'!$F$10:$F$250,$AI211))</f>
        <v/>
      </c>
      <c r="F211" s="73" t="str">
        <f aca="false">IF($AI211="","",INDEX('REGISTRE ELEVES'!$AE$10:$AE$250,$AI211))</f>
        <v/>
      </c>
      <c r="G211" s="75"/>
      <c r="H211" s="76"/>
      <c r="I211" s="76"/>
      <c r="J211" s="76"/>
      <c r="K211" s="76"/>
      <c r="L211" s="79" t="str">
        <f aca="false">IF(B211="","",IF($G211="NON",0,IF(COUNT(H211:K211)=0,"",SUM(H211:K211))))</f>
        <v/>
      </c>
      <c r="M211" s="77" t="str">
        <f aca="false">IF(B211="","",IF($G211="NON",0,IF(COUNT(H211:K211)=0,"",IFERROR(ROUND(SUM(H211:K211)/SUMPRODUCT(ISNUMBER(H211:K211)*$H$8:$K$8)*10,2),""))))</f>
        <v/>
      </c>
      <c r="N211" s="75"/>
      <c r="O211" s="76"/>
      <c r="P211" s="76"/>
      <c r="Q211" s="76"/>
      <c r="R211" s="76"/>
      <c r="S211" s="79" t="str">
        <f aca="false">IF(B211="","",IF($N211="NON",0,IF(COUNT(O211:R211)=0,"",SUM(O211:R211))))</f>
        <v/>
      </c>
      <c r="T211" s="77" t="str">
        <f aca="false">IF(B211="","",IF($N211="NON",0,IF(COUNT(O211:R211)=0,"",IFERROR(ROUND(SUM(O211:R211)/SUMPRODUCT(ISNUMBER(O211:R211)*$O$8:$R$8)*10,2),""))))</f>
        <v/>
      </c>
      <c r="U211" s="75"/>
      <c r="V211" s="76"/>
      <c r="W211" s="76"/>
      <c r="X211" s="76"/>
      <c r="Y211" s="76"/>
      <c r="Z211" s="79" t="str">
        <f aca="false">IF(B211="","",IF($U211="NON",0,IF(COUNT(V211:Y211)=0,"",SUM(V211:Y211))))</f>
        <v/>
      </c>
      <c r="AA211" s="77" t="str">
        <f aca="false">IF(B211="","",IF($U211="NON",0,IF(COUNT(V211:Y211)=0,"",IFERROR(ROUND(SUM(V211:Y211)/SUMPRODUCT(ISNUMBER(V211:Y211)*$V$8:$Y$8)*10,2),""))))</f>
        <v/>
      </c>
      <c r="AB211" s="75"/>
      <c r="AC211" s="76"/>
      <c r="AD211" s="76"/>
      <c r="AE211" s="76"/>
      <c r="AF211" s="76"/>
      <c r="AG211" s="79" t="str">
        <f aca="false">IF(B211="","",IF($AB211="NON",0,IF(COUNT(AC211:AF211)=0,"",SUM(AC211:AF211))))</f>
        <v/>
      </c>
      <c r="AH211" s="77" t="str">
        <f aca="false">IF(B211="","",IF($AB211="NON",0,IF(COUNT(AC211:AF211)=0,"",IFERROR(ROUND(SUM(AC211:AF211)/SUMPRODUCT(ISNUMBER(AC211:AF211)*$AC$8:$AF$8)*10,2),""))))</f>
        <v/>
      </c>
      <c r="AI211" s="51" t="str">
        <f aca="false">IFERROR(MATCH("CEM-202",'REGISTRE ELEVES'!$AI$10:$AI$250,0),"")</f>
        <v/>
      </c>
    </row>
    <row r="212" customFormat="false" ht="15" hidden="false" customHeight="false" outlineLevel="0" collapsed="false">
      <c r="A212" s="73" t="str">
        <f aca="false">IF(B212="","",203)</f>
        <v/>
      </c>
      <c r="B212" s="73" t="str">
        <f aca="false">IF($AI212="","",INDEX('REGISTRE ELEVES'!$B$10:$B$250,$AI212))</f>
        <v/>
      </c>
      <c r="C212" s="74" t="str">
        <f aca="false">IF($AI212="","",INDEX('REGISTRE ELEVES'!$D$10:$D$250,$AI212))</f>
        <v/>
      </c>
      <c r="D212" s="73" t="str">
        <f aca="false">IF($AI212="","",INDEX('REGISTRE ELEVES'!$E$10:$E$250,$AI212))</f>
        <v/>
      </c>
      <c r="E212" s="73" t="str">
        <f aca="false">IF($AI212="","",INDEX('REGISTRE ELEVES'!$F$10:$F$250,$AI212))</f>
        <v/>
      </c>
      <c r="F212" s="73" t="str">
        <f aca="false">IF($AI212="","",INDEX('REGISTRE ELEVES'!$AE$10:$AE$250,$AI212))</f>
        <v/>
      </c>
      <c r="G212" s="75"/>
      <c r="H212" s="76"/>
      <c r="I212" s="76"/>
      <c r="J212" s="76"/>
      <c r="K212" s="76"/>
      <c r="L212" s="79" t="str">
        <f aca="false">IF(B212="","",IF($G212="NON",0,IF(COUNT(H212:K212)=0,"",SUM(H212:K212))))</f>
        <v/>
      </c>
      <c r="M212" s="77" t="str">
        <f aca="false">IF(B212="","",IF($G212="NON",0,IF(COUNT(H212:K212)=0,"",IFERROR(ROUND(SUM(H212:K212)/SUMPRODUCT(ISNUMBER(H212:K212)*$H$8:$K$8)*10,2),""))))</f>
        <v/>
      </c>
      <c r="N212" s="75"/>
      <c r="O212" s="76"/>
      <c r="P212" s="76"/>
      <c r="Q212" s="76"/>
      <c r="R212" s="76"/>
      <c r="S212" s="79" t="str">
        <f aca="false">IF(B212="","",IF($N212="NON",0,IF(COUNT(O212:R212)=0,"",SUM(O212:R212))))</f>
        <v/>
      </c>
      <c r="T212" s="77" t="str">
        <f aca="false">IF(B212="","",IF($N212="NON",0,IF(COUNT(O212:R212)=0,"",IFERROR(ROUND(SUM(O212:R212)/SUMPRODUCT(ISNUMBER(O212:R212)*$O$8:$R$8)*10,2),""))))</f>
        <v/>
      </c>
      <c r="U212" s="75"/>
      <c r="V212" s="76"/>
      <c r="W212" s="76"/>
      <c r="X212" s="76"/>
      <c r="Y212" s="76"/>
      <c r="Z212" s="79" t="str">
        <f aca="false">IF(B212="","",IF($U212="NON",0,IF(COUNT(V212:Y212)=0,"",SUM(V212:Y212))))</f>
        <v/>
      </c>
      <c r="AA212" s="77" t="str">
        <f aca="false">IF(B212="","",IF($U212="NON",0,IF(COUNT(V212:Y212)=0,"",IFERROR(ROUND(SUM(V212:Y212)/SUMPRODUCT(ISNUMBER(V212:Y212)*$V$8:$Y$8)*10,2),""))))</f>
        <v/>
      </c>
      <c r="AB212" s="75"/>
      <c r="AC212" s="76"/>
      <c r="AD212" s="76"/>
      <c r="AE212" s="76"/>
      <c r="AF212" s="76"/>
      <c r="AG212" s="79" t="str">
        <f aca="false">IF(B212="","",IF($AB212="NON",0,IF(COUNT(AC212:AF212)=0,"",SUM(AC212:AF212))))</f>
        <v/>
      </c>
      <c r="AH212" s="77" t="str">
        <f aca="false">IF(B212="","",IF($AB212="NON",0,IF(COUNT(AC212:AF212)=0,"",IFERROR(ROUND(SUM(AC212:AF212)/SUMPRODUCT(ISNUMBER(AC212:AF212)*$AC$8:$AF$8)*10,2),""))))</f>
        <v/>
      </c>
      <c r="AI212" s="51" t="str">
        <f aca="false">IFERROR(MATCH("CEM-203",'REGISTRE ELEVES'!$AI$10:$AI$250,0),"")</f>
        <v/>
      </c>
    </row>
    <row r="213" customFormat="false" ht="15" hidden="false" customHeight="false" outlineLevel="0" collapsed="false">
      <c r="A213" s="73" t="str">
        <f aca="false">IF(B213="","",204)</f>
        <v/>
      </c>
      <c r="B213" s="73" t="str">
        <f aca="false">IF($AI213="","",INDEX('REGISTRE ELEVES'!$B$10:$B$250,$AI213))</f>
        <v/>
      </c>
      <c r="C213" s="74" t="str">
        <f aca="false">IF($AI213="","",INDEX('REGISTRE ELEVES'!$D$10:$D$250,$AI213))</f>
        <v/>
      </c>
      <c r="D213" s="73" t="str">
        <f aca="false">IF($AI213="","",INDEX('REGISTRE ELEVES'!$E$10:$E$250,$AI213))</f>
        <v/>
      </c>
      <c r="E213" s="73" t="str">
        <f aca="false">IF($AI213="","",INDEX('REGISTRE ELEVES'!$F$10:$F$250,$AI213))</f>
        <v/>
      </c>
      <c r="F213" s="73" t="str">
        <f aca="false">IF($AI213="","",INDEX('REGISTRE ELEVES'!$AE$10:$AE$250,$AI213))</f>
        <v/>
      </c>
      <c r="G213" s="75"/>
      <c r="H213" s="76"/>
      <c r="I213" s="76"/>
      <c r="J213" s="76"/>
      <c r="K213" s="76"/>
      <c r="L213" s="79" t="str">
        <f aca="false">IF(B213="","",IF($G213="NON",0,IF(COUNT(H213:K213)=0,"",SUM(H213:K213))))</f>
        <v/>
      </c>
      <c r="M213" s="77" t="str">
        <f aca="false">IF(B213="","",IF($G213="NON",0,IF(COUNT(H213:K213)=0,"",IFERROR(ROUND(SUM(H213:K213)/SUMPRODUCT(ISNUMBER(H213:K213)*$H$8:$K$8)*10,2),""))))</f>
        <v/>
      </c>
      <c r="N213" s="75"/>
      <c r="O213" s="76"/>
      <c r="P213" s="76"/>
      <c r="Q213" s="76"/>
      <c r="R213" s="76"/>
      <c r="S213" s="79" t="str">
        <f aca="false">IF(B213="","",IF($N213="NON",0,IF(COUNT(O213:R213)=0,"",SUM(O213:R213))))</f>
        <v/>
      </c>
      <c r="T213" s="77" t="str">
        <f aca="false">IF(B213="","",IF($N213="NON",0,IF(COUNT(O213:R213)=0,"",IFERROR(ROUND(SUM(O213:R213)/SUMPRODUCT(ISNUMBER(O213:R213)*$O$8:$R$8)*10,2),""))))</f>
        <v/>
      </c>
      <c r="U213" s="75"/>
      <c r="V213" s="76"/>
      <c r="W213" s="76"/>
      <c r="X213" s="76"/>
      <c r="Y213" s="76"/>
      <c r="Z213" s="79" t="str">
        <f aca="false">IF(B213="","",IF($U213="NON",0,IF(COUNT(V213:Y213)=0,"",SUM(V213:Y213))))</f>
        <v/>
      </c>
      <c r="AA213" s="77" t="str">
        <f aca="false">IF(B213="","",IF($U213="NON",0,IF(COUNT(V213:Y213)=0,"",IFERROR(ROUND(SUM(V213:Y213)/SUMPRODUCT(ISNUMBER(V213:Y213)*$V$8:$Y$8)*10,2),""))))</f>
        <v/>
      </c>
      <c r="AB213" s="75"/>
      <c r="AC213" s="76"/>
      <c r="AD213" s="76"/>
      <c r="AE213" s="76"/>
      <c r="AF213" s="76"/>
      <c r="AG213" s="79" t="str">
        <f aca="false">IF(B213="","",IF($AB213="NON",0,IF(COUNT(AC213:AF213)=0,"",SUM(AC213:AF213))))</f>
        <v/>
      </c>
      <c r="AH213" s="77" t="str">
        <f aca="false">IF(B213="","",IF($AB213="NON",0,IF(COUNT(AC213:AF213)=0,"",IFERROR(ROUND(SUM(AC213:AF213)/SUMPRODUCT(ISNUMBER(AC213:AF213)*$AC$8:$AF$8)*10,2),""))))</f>
        <v/>
      </c>
      <c r="AI213" s="51" t="str">
        <f aca="false">IFERROR(MATCH("CEM-204",'REGISTRE ELEVES'!$AI$10:$AI$250,0),"")</f>
        <v/>
      </c>
    </row>
    <row r="214" customFormat="false" ht="15" hidden="false" customHeight="false" outlineLevel="0" collapsed="false">
      <c r="A214" s="73" t="str">
        <f aca="false">IF(B214="","",205)</f>
        <v/>
      </c>
      <c r="B214" s="73" t="str">
        <f aca="false">IF($AI214="","",INDEX('REGISTRE ELEVES'!$B$10:$B$250,$AI214))</f>
        <v/>
      </c>
      <c r="C214" s="74" t="str">
        <f aca="false">IF($AI214="","",INDEX('REGISTRE ELEVES'!$D$10:$D$250,$AI214))</f>
        <v/>
      </c>
      <c r="D214" s="73" t="str">
        <f aca="false">IF($AI214="","",INDEX('REGISTRE ELEVES'!$E$10:$E$250,$AI214))</f>
        <v/>
      </c>
      <c r="E214" s="73" t="str">
        <f aca="false">IF($AI214="","",INDEX('REGISTRE ELEVES'!$F$10:$F$250,$AI214))</f>
        <v/>
      </c>
      <c r="F214" s="73" t="str">
        <f aca="false">IF($AI214="","",INDEX('REGISTRE ELEVES'!$AE$10:$AE$250,$AI214))</f>
        <v/>
      </c>
      <c r="G214" s="75"/>
      <c r="H214" s="76"/>
      <c r="I214" s="76"/>
      <c r="J214" s="76"/>
      <c r="K214" s="76"/>
      <c r="L214" s="79" t="str">
        <f aca="false">IF(B214="","",IF($G214="NON",0,IF(COUNT(H214:K214)=0,"",SUM(H214:K214))))</f>
        <v/>
      </c>
      <c r="M214" s="77" t="str">
        <f aca="false">IF(B214="","",IF($G214="NON",0,IF(COUNT(H214:K214)=0,"",IFERROR(ROUND(SUM(H214:K214)/SUMPRODUCT(ISNUMBER(H214:K214)*$H$8:$K$8)*10,2),""))))</f>
        <v/>
      </c>
      <c r="N214" s="75"/>
      <c r="O214" s="76"/>
      <c r="P214" s="76"/>
      <c r="Q214" s="76"/>
      <c r="R214" s="76"/>
      <c r="S214" s="79" t="str">
        <f aca="false">IF(B214="","",IF($N214="NON",0,IF(COUNT(O214:R214)=0,"",SUM(O214:R214))))</f>
        <v/>
      </c>
      <c r="T214" s="77" t="str">
        <f aca="false">IF(B214="","",IF($N214="NON",0,IF(COUNT(O214:R214)=0,"",IFERROR(ROUND(SUM(O214:R214)/SUMPRODUCT(ISNUMBER(O214:R214)*$O$8:$R$8)*10,2),""))))</f>
        <v/>
      </c>
      <c r="U214" s="75"/>
      <c r="V214" s="76"/>
      <c r="W214" s="76"/>
      <c r="X214" s="76"/>
      <c r="Y214" s="76"/>
      <c r="Z214" s="79" t="str">
        <f aca="false">IF(B214="","",IF($U214="NON",0,IF(COUNT(V214:Y214)=0,"",SUM(V214:Y214))))</f>
        <v/>
      </c>
      <c r="AA214" s="77" t="str">
        <f aca="false">IF(B214="","",IF($U214="NON",0,IF(COUNT(V214:Y214)=0,"",IFERROR(ROUND(SUM(V214:Y214)/SUMPRODUCT(ISNUMBER(V214:Y214)*$V$8:$Y$8)*10,2),""))))</f>
        <v/>
      </c>
      <c r="AB214" s="75"/>
      <c r="AC214" s="76"/>
      <c r="AD214" s="76"/>
      <c r="AE214" s="76"/>
      <c r="AF214" s="76"/>
      <c r="AG214" s="79" t="str">
        <f aca="false">IF(B214="","",IF($AB214="NON",0,IF(COUNT(AC214:AF214)=0,"",SUM(AC214:AF214))))</f>
        <v/>
      </c>
      <c r="AH214" s="77" t="str">
        <f aca="false">IF(B214="","",IF($AB214="NON",0,IF(COUNT(AC214:AF214)=0,"",IFERROR(ROUND(SUM(AC214:AF214)/SUMPRODUCT(ISNUMBER(AC214:AF214)*$AC$8:$AF$8)*10,2),""))))</f>
        <v/>
      </c>
      <c r="AI214" s="51" t="str">
        <f aca="false">IFERROR(MATCH("CEM-205",'REGISTRE ELEVES'!$AI$10:$AI$250,0),"")</f>
        <v/>
      </c>
    </row>
    <row r="215" customFormat="false" ht="15" hidden="false" customHeight="false" outlineLevel="0" collapsed="false">
      <c r="A215" s="73" t="str">
        <f aca="false">IF(B215="","",206)</f>
        <v/>
      </c>
      <c r="B215" s="73" t="str">
        <f aca="false">IF($AI215="","",INDEX('REGISTRE ELEVES'!$B$10:$B$250,$AI215))</f>
        <v/>
      </c>
      <c r="C215" s="74" t="str">
        <f aca="false">IF($AI215="","",INDEX('REGISTRE ELEVES'!$D$10:$D$250,$AI215))</f>
        <v/>
      </c>
      <c r="D215" s="73" t="str">
        <f aca="false">IF($AI215="","",INDEX('REGISTRE ELEVES'!$E$10:$E$250,$AI215))</f>
        <v/>
      </c>
      <c r="E215" s="73" t="str">
        <f aca="false">IF($AI215="","",INDEX('REGISTRE ELEVES'!$F$10:$F$250,$AI215))</f>
        <v/>
      </c>
      <c r="F215" s="73" t="str">
        <f aca="false">IF($AI215="","",INDEX('REGISTRE ELEVES'!$AE$10:$AE$250,$AI215))</f>
        <v/>
      </c>
      <c r="G215" s="75"/>
      <c r="H215" s="76"/>
      <c r="I215" s="76"/>
      <c r="J215" s="76"/>
      <c r="K215" s="76"/>
      <c r="L215" s="79" t="str">
        <f aca="false">IF(B215="","",IF($G215="NON",0,IF(COUNT(H215:K215)=0,"",SUM(H215:K215))))</f>
        <v/>
      </c>
      <c r="M215" s="77" t="str">
        <f aca="false">IF(B215="","",IF($G215="NON",0,IF(COUNT(H215:K215)=0,"",IFERROR(ROUND(SUM(H215:K215)/SUMPRODUCT(ISNUMBER(H215:K215)*$H$8:$K$8)*10,2),""))))</f>
        <v/>
      </c>
      <c r="N215" s="75"/>
      <c r="O215" s="76"/>
      <c r="P215" s="76"/>
      <c r="Q215" s="76"/>
      <c r="R215" s="76"/>
      <c r="S215" s="79" t="str">
        <f aca="false">IF(B215="","",IF($N215="NON",0,IF(COUNT(O215:R215)=0,"",SUM(O215:R215))))</f>
        <v/>
      </c>
      <c r="T215" s="77" t="str">
        <f aca="false">IF(B215="","",IF($N215="NON",0,IF(COUNT(O215:R215)=0,"",IFERROR(ROUND(SUM(O215:R215)/SUMPRODUCT(ISNUMBER(O215:R215)*$O$8:$R$8)*10,2),""))))</f>
        <v/>
      </c>
      <c r="U215" s="75"/>
      <c r="V215" s="76"/>
      <c r="W215" s="76"/>
      <c r="X215" s="76"/>
      <c r="Y215" s="76"/>
      <c r="Z215" s="79" t="str">
        <f aca="false">IF(B215="","",IF($U215="NON",0,IF(COUNT(V215:Y215)=0,"",SUM(V215:Y215))))</f>
        <v/>
      </c>
      <c r="AA215" s="77" t="str">
        <f aca="false">IF(B215="","",IF($U215="NON",0,IF(COUNT(V215:Y215)=0,"",IFERROR(ROUND(SUM(V215:Y215)/SUMPRODUCT(ISNUMBER(V215:Y215)*$V$8:$Y$8)*10,2),""))))</f>
        <v/>
      </c>
      <c r="AB215" s="75"/>
      <c r="AC215" s="76"/>
      <c r="AD215" s="76"/>
      <c r="AE215" s="76"/>
      <c r="AF215" s="76"/>
      <c r="AG215" s="79" t="str">
        <f aca="false">IF(B215="","",IF($AB215="NON",0,IF(COUNT(AC215:AF215)=0,"",SUM(AC215:AF215))))</f>
        <v/>
      </c>
      <c r="AH215" s="77" t="str">
        <f aca="false">IF(B215="","",IF($AB215="NON",0,IF(COUNT(AC215:AF215)=0,"",IFERROR(ROUND(SUM(AC215:AF215)/SUMPRODUCT(ISNUMBER(AC215:AF215)*$AC$8:$AF$8)*10,2),""))))</f>
        <v/>
      </c>
      <c r="AI215" s="51" t="str">
        <f aca="false">IFERROR(MATCH("CEM-206",'REGISTRE ELEVES'!$AI$10:$AI$250,0),"")</f>
        <v/>
      </c>
    </row>
    <row r="216" customFormat="false" ht="15" hidden="false" customHeight="false" outlineLevel="0" collapsed="false">
      <c r="A216" s="73" t="str">
        <f aca="false">IF(B216="","",207)</f>
        <v/>
      </c>
      <c r="B216" s="73" t="str">
        <f aca="false">IF($AI216="","",INDEX('REGISTRE ELEVES'!$B$10:$B$250,$AI216))</f>
        <v/>
      </c>
      <c r="C216" s="74" t="str">
        <f aca="false">IF($AI216="","",INDEX('REGISTRE ELEVES'!$D$10:$D$250,$AI216))</f>
        <v/>
      </c>
      <c r="D216" s="73" t="str">
        <f aca="false">IF($AI216="","",INDEX('REGISTRE ELEVES'!$E$10:$E$250,$AI216))</f>
        <v/>
      </c>
      <c r="E216" s="73" t="str">
        <f aca="false">IF($AI216="","",INDEX('REGISTRE ELEVES'!$F$10:$F$250,$AI216))</f>
        <v/>
      </c>
      <c r="F216" s="73" t="str">
        <f aca="false">IF($AI216="","",INDEX('REGISTRE ELEVES'!$AE$10:$AE$250,$AI216))</f>
        <v/>
      </c>
      <c r="G216" s="75"/>
      <c r="H216" s="76"/>
      <c r="I216" s="76"/>
      <c r="J216" s="76"/>
      <c r="K216" s="76"/>
      <c r="L216" s="79" t="str">
        <f aca="false">IF(B216="","",IF($G216="NON",0,IF(COUNT(H216:K216)=0,"",SUM(H216:K216))))</f>
        <v/>
      </c>
      <c r="M216" s="77" t="str">
        <f aca="false">IF(B216="","",IF($G216="NON",0,IF(COUNT(H216:K216)=0,"",IFERROR(ROUND(SUM(H216:K216)/SUMPRODUCT(ISNUMBER(H216:K216)*$H$8:$K$8)*10,2),""))))</f>
        <v/>
      </c>
      <c r="N216" s="75"/>
      <c r="O216" s="76"/>
      <c r="P216" s="76"/>
      <c r="Q216" s="76"/>
      <c r="R216" s="76"/>
      <c r="S216" s="79" t="str">
        <f aca="false">IF(B216="","",IF($N216="NON",0,IF(COUNT(O216:R216)=0,"",SUM(O216:R216))))</f>
        <v/>
      </c>
      <c r="T216" s="77" t="str">
        <f aca="false">IF(B216="","",IF($N216="NON",0,IF(COUNT(O216:R216)=0,"",IFERROR(ROUND(SUM(O216:R216)/SUMPRODUCT(ISNUMBER(O216:R216)*$O$8:$R$8)*10,2),""))))</f>
        <v/>
      </c>
      <c r="U216" s="75"/>
      <c r="V216" s="76"/>
      <c r="W216" s="76"/>
      <c r="X216" s="76"/>
      <c r="Y216" s="76"/>
      <c r="Z216" s="79" t="str">
        <f aca="false">IF(B216="","",IF($U216="NON",0,IF(COUNT(V216:Y216)=0,"",SUM(V216:Y216))))</f>
        <v/>
      </c>
      <c r="AA216" s="77" t="str">
        <f aca="false">IF(B216="","",IF($U216="NON",0,IF(COUNT(V216:Y216)=0,"",IFERROR(ROUND(SUM(V216:Y216)/SUMPRODUCT(ISNUMBER(V216:Y216)*$V$8:$Y$8)*10,2),""))))</f>
        <v/>
      </c>
      <c r="AB216" s="75"/>
      <c r="AC216" s="76"/>
      <c r="AD216" s="76"/>
      <c r="AE216" s="76"/>
      <c r="AF216" s="76"/>
      <c r="AG216" s="79" t="str">
        <f aca="false">IF(B216="","",IF($AB216="NON",0,IF(COUNT(AC216:AF216)=0,"",SUM(AC216:AF216))))</f>
        <v/>
      </c>
      <c r="AH216" s="77" t="str">
        <f aca="false">IF(B216="","",IF($AB216="NON",0,IF(COUNT(AC216:AF216)=0,"",IFERROR(ROUND(SUM(AC216:AF216)/SUMPRODUCT(ISNUMBER(AC216:AF216)*$AC$8:$AF$8)*10,2),""))))</f>
        <v/>
      </c>
      <c r="AI216" s="51" t="str">
        <f aca="false">IFERROR(MATCH("CEM-207",'REGISTRE ELEVES'!$AI$10:$AI$250,0),"")</f>
        <v/>
      </c>
    </row>
    <row r="217" customFormat="false" ht="15" hidden="false" customHeight="false" outlineLevel="0" collapsed="false">
      <c r="A217" s="73" t="str">
        <f aca="false">IF(B217="","",208)</f>
        <v/>
      </c>
      <c r="B217" s="73" t="str">
        <f aca="false">IF($AI217="","",INDEX('REGISTRE ELEVES'!$B$10:$B$250,$AI217))</f>
        <v/>
      </c>
      <c r="C217" s="74" t="str">
        <f aca="false">IF($AI217="","",INDEX('REGISTRE ELEVES'!$D$10:$D$250,$AI217))</f>
        <v/>
      </c>
      <c r="D217" s="73" t="str">
        <f aca="false">IF($AI217="","",INDEX('REGISTRE ELEVES'!$E$10:$E$250,$AI217))</f>
        <v/>
      </c>
      <c r="E217" s="73" t="str">
        <f aca="false">IF($AI217="","",INDEX('REGISTRE ELEVES'!$F$10:$F$250,$AI217))</f>
        <v/>
      </c>
      <c r="F217" s="73" t="str">
        <f aca="false">IF($AI217="","",INDEX('REGISTRE ELEVES'!$AE$10:$AE$250,$AI217))</f>
        <v/>
      </c>
      <c r="G217" s="75"/>
      <c r="H217" s="76"/>
      <c r="I217" s="76"/>
      <c r="J217" s="76"/>
      <c r="K217" s="76"/>
      <c r="L217" s="79" t="str">
        <f aca="false">IF(B217="","",IF($G217="NON",0,IF(COUNT(H217:K217)=0,"",SUM(H217:K217))))</f>
        <v/>
      </c>
      <c r="M217" s="77" t="str">
        <f aca="false">IF(B217="","",IF($G217="NON",0,IF(COUNT(H217:K217)=0,"",IFERROR(ROUND(SUM(H217:K217)/SUMPRODUCT(ISNUMBER(H217:K217)*$H$8:$K$8)*10,2),""))))</f>
        <v/>
      </c>
      <c r="N217" s="75"/>
      <c r="O217" s="76"/>
      <c r="P217" s="76"/>
      <c r="Q217" s="76"/>
      <c r="R217" s="76"/>
      <c r="S217" s="79" t="str">
        <f aca="false">IF(B217="","",IF($N217="NON",0,IF(COUNT(O217:R217)=0,"",SUM(O217:R217))))</f>
        <v/>
      </c>
      <c r="T217" s="77" t="str">
        <f aca="false">IF(B217="","",IF($N217="NON",0,IF(COUNT(O217:R217)=0,"",IFERROR(ROUND(SUM(O217:R217)/SUMPRODUCT(ISNUMBER(O217:R217)*$O$8:$R$8)*10,2),""))))</f>
        <v/>
      </c>
      <c r="U217" s="75"/>
      <c r="V217" s="76"/>
      <c r="W217" s="76"/>
      <c r="X217" s="76"/>
      <c r="Y217" s="76"/>
      <c r="Z217" s="79" t="str">
        <f aca="false">IF(B217="","",IF($U217="NON",0,IF(COUNT(V217:Y217)=0,"",SUM(V217:Y217))))</f>
        <v/>
      </c>
      <c r="AA217" s="77" t="str">
        <f aca="false">IF(B217="","",IF($U217="NON",0,IF(COUNT(V217:Y217)=0,"",IFERROR(ROUND(SUM(V217:Y217)/SUMPRODUCT(ISNUMBER(V217:Y217)*$V$8:$Y$8)*10,2),""))))</f>
        <v/>
      </c>
      <c r="AB217" s="75"/>
      <c r="AC217" s="76"/>
      <c r="AD217" s="76"/>
      <c r="AE217" s="76"/>
      <c r="AF217" s="76"/>
      <c r="AG217" s="79" t="str">
        <f aca="false">IF(B217="","",IF($AB217="NON",0,IF(COUNT(AC217:AF217)=0,"",SUM(AC217:AF217))))</f>
        <v/>
      </c>
      <c r="AH217" s="77" t="str">
        <f aca="false">IF(B217="","",IF($AB217="NON",0,IF(COUNT(AC217:AF217)=0,"",IFERROR(ROUND(SUM(AC217:AF217)/SUMPRODUCT(ISNUMBER(AC217:AF217)*$AC$8:$AF$8)*10,2),""))))</f>
        <v/>
      </c>
      <c r="AI217" s="51" t="str">
        <f aca="false">IFERROR(MATCH("CEM-208",'REGISTRE ELEVES'!$AI$10:$AI$250,0),"")</f>
        <v/>
      </c>
    </row>
    <row r="218" customFormat="false" ht="15" hidden="false" customHeight="false" outlineLevel="0" collapsed="false">
      <c r="A218" s="73" t="str">
        <f aca="false">IF(B218="","",209)</f>
        <v/>
      </c>
      <c r="B218" s="73" t="str">
        <f aca="false">IF($AI218="","",INDEX('REGISTRE ELEVES'!$B$10:$B$250,$AI218))</f>
        <v/>
      </c>
      <c r="C218" s="74" t="str">
        <f aca="false">IF($AI218="","",INDEX('REGISTRE ELEVES'!$D$10:$D$250,$AI218))</f>
        <v/>
      </c>
      <c r="D218" s="73" t="str">
        <f aca="false">IF($AI218="","",INDEX('REGISTRE ELEVES'!$E$10:$E$250,$AI218))</f>
        <v/>
      </c>
      <c r="E218" s="73" t="str">
        <f aca="false">IF($AI218="","",INDEX('REGISTRE ELEVES'!$F$10:$F$250,$AI218))</f>
        <v/>
      </c>
      <c r="F218" s="73" t="str">
        <f aca="false">IF($AI218="","",INDEX('REGISTRE ELEVES'!$AE$10:$AE$250,$AI218))</f>
        <v/>
      </c>
      <c r="G218" s="75"/>
      <c r="H218" s="76"/>
      <c r="I218" s="76"/>
      <c r="J218" s="76"/>
      <c r="K218" s="76"/>
      <c r="L218" s="79" t="str">
        <f aca="false">IF(B218="","",IF($G218="NON",0,IF(COUNT(H218:K218)=0,"",SUM(H218:K218))))</f>
        <v/>
      </c>
      <c r="M218" s="77" t="str">
        <f aca="false">IF(B218="","",IF($G218="NON",0,IF(COUNT(H218:K218)=0,"",IFERROR(ROUND(SUM(H218:K218)/SUMPRODUCT(ISNUMBER(H218:K218)*$H$8:$K$8)*10,2),""))))</f>
        <v/>
      </c>
      <c r="N218" s="75"/>
      <c r="O218" s="76"/>
      <c r="P218" s="76"/>
      <c r="Q218" s="76"/>
      <c r="R218" s="76"/>
      <c r="S218" s="79" t="str">
        <f aca="false">IF(B218="","",IF($N218="NON",0,IF(COUNT(O218:R218)=0,"",SUM(O218:R218))))</f>
        <v/>
      </c>
      <c r="T218" s="77" t="str">
        <f aca="false">IF(B218="","",IF($N218="NON",0,IF(COUNT(O218:R218)=0,"",IFERROR(ROUND(SUM(O218:R218)/SUMPRODUCT(ISNUMBER(O218:R218)*$O$8:$R$8)*10,2),""))))</f>
        <v/>
      </c>
      <c r="U218" s="75"/>
      <c r="V218" s="76"/>
      <c r="W218" s="76"/>
      <c r="X218" s="76"/>
      <c r="Y218" s="76"/>
      <c r="Z218" s="79" t="str">
        <f aca="false">IF(B218="","",IF($U218="NON",0,IF(COUNT(V218:Y218)=0,"",SUM(V218:Y218))))</f>
        <v/>
      </c>
      <c r="AA218" s="77" t="str">
        <f aca="false">IF(B218="","",IF($U218="NON",0,IF(COUNT(V218:Y218)=0,"",IFERROR(ROUND(SUM(V218:Y218)/SUMPRODUCT(ISNUMBER(V218:Y218)*$V$8:$Y$8)*10,2),""))))</f>
        <v/>
      </c>
      <c r="AB218" s="75"/>
      <c r="AC218" s="76"/>
      <c r="AD218" s="76"/>
      <c r="AE218" s="76"/>
      <c r="AF218" s="76"/>
      <c r="AG218" s="79" t="str">
        <f aca="false">IF(B218="","",IF($AB218="NON",0,IF(COUNT(AC218:AF218)=0,"",SUM(AC218:AF218))))</f>
        <v/>
      </c>
      <c r="AH218" s="77" t="str">
        <f aca="false">IF(B218="","",IF($AB218="NON",0,IF(COUNT(AC218:AF218)=0,"",IFERROR(ROUND(SUM(AC218:AF218)/SUMPRODUCT(ISNUMBER(AC218:AF218)*$AC$8:$AF$8)*10,2),""))))</f>
        <v/>
      </c>
      <c r="AI218" s="51" t="str">
        <f aca="false">IFERROR(MATCH("CEM-209",'REGISTRE ELEVES'!$AI$10:$AI$250,0),"")</f>
        <v/>
      </c>
    </row>
    <row r="219" customFormat="false" ht="15" hidden="false" customHeight="false" outlineLevel="0" collapsed="false">
      <c r="A219" s="73" t="str">
        <f aca="false">IF(B219="","",210)</f>
        <v/>
      </c>
      <c r="B219" s="73" t="str">
        <f aca="false">IF($AI219="","",INDEX('REGISTRE ELEVES'!$B$10:$B$250,$AI219))</f>
        <v/>
      </c>
      <c r="C219" s="74" t="str">
        <f aca="false">IF($AI219="","",INDEX('REGISTRE ELEVES'!$D$10:$D$250,$AI219))</f>
        <v/>
      </c>
      <c r="D219" s="73" t="str">
        <f aca="false">IF($AI219="","",INDEX('REGISTRE ELEVES'!$E$10:$E$250,$AI219))</f>
        <v/>
      </c>
      <c r="E219" s="73" t="str">
        <f aca="false">IF($AI219="","",INDEX('REGISTRE ELEVES'!$F$10:$F$250,$AI219))</f>
        <v/>
      </c>
      <c r="F219" s="73" t="str">
        <f aca="false">IF($AI219="","",INDEX('REGISTRE ELEVES'!$AE$10:$AE$250,$AI219))</f>
        <v/>
      </c>
      <c r="G219" s="75"/>
      <c r="H219" s="76"/>
      <c r="I219" s="76"/>
      <c r="J219" s="76"/>
      <c r="K219" s="76"/>
      <c r="L219" s="79" t="str">
        <f aca="false">IF(B219="","",IF($G219="NON",0,IF(COUNT(H219:K219)=0,"",SUM(H219:K219))))</f>
        <v/>
      </c>
      <c r="M219" s="77" t="str">
        <f aca="false">IF(B219="","",IF($G219="NON",0,IF(COUNT(H219:K219)=0,"",IFERROR(ROUND(SUM(H219:K219)/SUMPRODUCT(ISNUMBER(H219:K219)*$H$8:$K$8)*10,2),""))))</f>
        <v/>
      </c>
      <c r="N219" s="75"/>
      <c r="O219" s="76"/>
      <c r="P219" s="76"/>
      <c r="Q219" s="76"/>
      <c r="R219" s="76"/>
      <c r="S219" s="79" t="str">
        <f aca="false">IF(B219="","",IF($N219="NON",0,IF(COUNT(O219:R219)=0,"",SUM(O219:R219))))</f>
        <v/>
      </c>
      <c r="T219" s="77" t="str">
        <f aca="false">IF(B219="","",IF($N219="NON",0,IF(COUNT(O219:R219)=0,"",IFERROR(ROUND(SUM(O219:R219)/SUMPRODUCT(ISNUMBER(O219:R219)*$O$8:$R$8)*10,2),""))))</f>
        <v/>
      </c>
      <c r="U219" s="75"/>
      <c r="V219" s="76"/>
      <c r="W219" s="76"/>
      <c r="X219" s="76"/>
      <c r="Y219" s="76"/>
      <c r="Z219" s="79" t="str">
        <f aca="false">IF(B219="","",IF($U219="NON",0,IF(COUNT(V219:Y219)=0,"",SUM(V219:Y219))))</f>
        <v/>
      </c>
      <c r="AA219" s="77" t="str">
        <f aca="false">IF(B219="","",IF($U219="NON",0,IF(COUNT(V219:Y219)=0,"",IFERROR(ROUND(SUM(V219:Y219)/SUMPRODUCT(ISNUMBER(V219:Y219)*$V$8:$Y$8)*10,2),""))))</f>
        <v/>
      </c>
      <c r="AB219" s="75"/>
      <c r="AC219" s="76"/>
      <c r="AD219" s="76"/>
      <c r="AE219" s="76"/>
      <c r="AF219" s="76"/>
      <c r="AG219" s="79" t="str">
        <f aca="false">IF(B219="","",IF($AB219="NON",0,IF(COUNT(AC219:AF219)=0,"",SUM(AC219:AF219))))</f>
        <v/>
      </c>
      <c r="AH219" s="77" t="str">
        <f aca="false">IF(B219="","",IF($AB219="NON",0,IF(COUNT(AC219:AF219)=0,"",IFERROR(ROUND(SUM(AC219:AF219)/SUMPRODUCT(ISNUMBER(AC219:AF219)*$AC$8:$AF$8)*10,2),""))))</f>
        <v/>
      </c>
      <c r="AI219" s="51" t="str">
        <f aca="false">IFERROR(MATCH("CEM-210",'REGISTRE ELEVES'!$AI$10:$AI$250,0),"")</f>
        <v/>
      </c>
    </row>
    <row r="220" customFormat="false" ht="15" hidden="false" customHeight="false" outlineLevel="0" collapsed="false">
      <c r="A220" s="73" t="str">
        <f aca="false">IF(B220="","",211)</f>
        <v/>
      </c>
      <c r="B220" s="73" t="str">
        <f aca="false">IF($AI220="","",INDEX('REGISTRE ELEVES'!$B$10:$B$250,$AI220))</f>
        <v/>
      </c>
      <c r="C220" s="74" t="str">
        <f aca="false">IF($AI220="","",INDEX('REGISTRE ELEVES'!$D$10:$D$250,$AI220))</f>
        <v/>
      </c>
      <c r="D220" s="73" t="str">
        <f aca="false">IF($AI220="","",INDEX('REGISTRE ELEVES'!$E$10:$E$250,$AI220))</f>
        <v/>
      </c>
      <c r="E220" s="73" t="str">
        <f aca="false">IF($AI220="","",INDEX('REGISTRE ELEVES'!$F$10:$F$250,$AI220))</f>
        <v/>
      </c>
      <c r="F220" s="73" t="str">
        <f aca="false">IF($AI220="","",INDEX('REGISTRE ELEVES'!$AE$10:$AE$250,$AI220))</f>
        <v/>
      </c>
      <c r="G220" s="75"/>
      <c r="H220" s="76"/>
      <c r="I220" s="76"/>
      <c r="J220" s="76"/>
      <c r="K220" s="76"/>
      <c r="L220" s="79" t="str">
        <f aca="false">IF(B220="","",IF($G220="NON",0,IF(COUNT(H220:K220)=0,"",SUM(H220:K220))))</f>
        <v/>
      </c>
      <c r="M220" s="77" t="str">
        <f aca="false">IF(B220="","",IF($G220="NON",0,IF(COUNT(H220:K220)=0,"",IFERROR(ROUND(SUM(H220:K220)/SUMPRODUCT(ISNUMBER(H220:K220)*$H$8:$K$8)*10,2),""))))</f>
        <v/>
      </c>
      <c r="N220" s="75"/>
      <c r="O220" s="76"/>
      <c r="P220" s="76"/>
      <c r="Q220" s="76"/>
      <c r="R220" s="76"/>
      <c r="S220" s="79" t="str">
        <f aca="false">IF(B220="","",IF($N220="NON",0,IF(COUNT(O220:R220)=0,"",SUM(O220:R220))))</f>
        <v/>
      </c>
      <c r="T220" s="77" t="str">
        <f aca="false">IF(B220="","",IF($N220="NON",0,IF(COUNT(O220:R220)=0,"",IFERROR(ROUND(SUM(O220:R220)/SUMPRODUCT(ISNUMBER(O220:R220)*$O$8:$R$8)*10,2),""))))</f>
        <v/>
      </c>
      <c r="U220" s="75"/>
      <c r="V220" s="76"/>
      <c r="W220" s="76"/>
      <c r="X220" s="76"/>
      <c r="Y220" s="76"/>
      <c r="Z220" s="79" t="str">
        <f aca="false">IF(B220="","",IF($U220="NON",0,IF(COUNT(V220:Y220)=0,"",SUM(V220:Y220))))</f>
        <v/>
      </c>
      <c r="AA220" s="77" t="str">
        <f aca="false">IF(B220="","",IF($U220="NON",0,IF(COUNT(V220:Y220)=0,"",IFERROR(ROUND(SUM(V220:Y220)/SUMPRODUCT(ISNUMBER(V220:Y220)*$V$8:$Y$8)*10,2),""))))</f>
        <v/>
      </c>
      <c r="AB220" s="75"/>
      <c r="AC220" s="76"/>
      <c r="AD220" s="76"/>
      <c r="AE220" s="76"/>
      <c r="AF220" s="76"/>
      <c r="AG220" s="79" t="str">
        <f aca="false">IF(B220="","",IF($AB220="NON",0,IF(COUNT(AC220:AF220)=0,"",SUM(AC220:AF220))))</f>
        <v/>
      </c>
      <c r="AH220" s="77" t="str">
        <f aca="false">IF(B220="","",IF($AB220="NON",0,IF(COUNT(AC220:AF220)=0,"",IFERROR(ROUND(SUM(AC220:AF220)/SUMPRODUCT(ISNUMBER(AC220:AF220)*$AC$8:$AF$8)*10,2),""))))</f>
        <v/>
      </c>
      <c r="AI220" s="51" t="str">
        <f aca="false">IFERROR(MATCH("CEM-211",'REGISTRE ELEVES'!$AI$10:$AI$250,0),"")</f>
        <v/>
      </c>
    </row>
    <row r="221" customFormat="false" ht="15" hidden="false" customHeight="false" outlineLevel="0" collapsed="false">
      <c r="A221" s="73" t="str">
        <f aca="false">IF(B221="","",212)</f>
        <v/>
      </c>
      <c r="B221" s="73" t="str">
        <f aca="false">IF($AI221="","",INDEX('REGISTRE ELEVES'!$B$10:$B$250,$AI221))</f>
        <v/>
      </c>
      <c r="C221" s="74" t="str">
        <f aca="false">IF($AI221="","",INDEX('REGISTRE ELEVES'!$D$10:$D$250,$AI221))</f>
        <v/>
      </c>
      <c r="D221" s="73" t="str">
        <f aca="false">IF($AI221="","",INDEX('REGISTRE ELEVES'!$E$10:$E$250,$AI221))</f>
        <v/>
      </c>
      <c r="E221" s="73" t="str">
        <f aca="false">IF($AI221="","",INDEX('REGISTRE ELEVES'!$F$10:$F$250,$AI221))</f>
        <v/>
      </c>
      <c r="F221" s="73" t="str">
        <f aca="false">IF($AI221="","",INDEX('REGISTRE ELEVES'!$AE$10:$AE$250,$AI221))</f>
        <v/>
      </c>
      <c r="G221" s="75"/>
      <c r="H221" s="76"/>
      <c r="I221" s="76"/>
      <c r="J221" s="76"/>
      <c r="K221" s="76"/>
      <c r="L221" s="79" t="str">
        <f aca="false">IF(B221="","",IF($G221="NON",0,IF(COUNT(H221:K221)=0,"",SUM(H221:K221))))</f>
        <v/>
      </c>
      <c r="M221" s="77" t="str">
        <f aca="false">IF(B221="","",IF($G221="NON",0,IF(COUNT(H221:K221)=0,"",IFERROR(ROUND(SUM(H221:K221)/SUMPRODUCT(ISNUMBER(H221:K221)*$H$8:$K$8)*10,2),""))))</f>
        <v/>
      </c>
      <c r="N221" s="75"/>
      <c r="O221" s="76"/>
      <c r="P221" s="76"/>
      <c r="Q221" s="76"/>
      <c r="R221" s="76"/>
      <c r="S221" s="79" t="str">
        <f aca="false">IF(B221="","",IF($N221="NON",0,IF(COUNT(O221:R221)=0,"",SUM(O221:R221))))</f>
        <v/>
      </c>
      <c r="T221" s="77" t="str">
        <f aca="false">IF(B221="","",IF($N221="NON",0,IF(COUNT(O221:R221)=0,"",IFERROR(ROUND(SUM(O221:R221)/SUMPRODUCT(ISNUMBER(O221:R221)*$O$8:$R$8)*10,2),""))))</f>
        <v/>
      </c>
      <c r="U221" s="75"/>
      <c r="V221" s="76"/>
      <c r="W221" s="76"/>
      <c r="X221" s="76"/>
      <c r="Y221" s="76"/>
      <c r="Z221" s="79" t="str">
        <f aca="false">IF(B221="","",IF($U221="NON",0,IF(COUNT(V221:Y221)=0,"",SUM(V221:Y221))))</f>
        <v/>
      </c>
      <c r="AA221" s="77" t="str">
        <f aca="false">IF(B221="","",IF($U221="NON",0,IF(COUNT(V221:Y221)=0,"",IFERROR(ROUND(SUM(V221:Y221)/SUMPRODUCT(ISNUMBER(V221:Y221)*$V$8:$Y$8)*10,2),""))))</f>
        <v/>
      </c>
      <c r="AB221" s="75"/>
      <c r="AC221" s="76"/>
      <c r="AD221" s="76"/>
      <c r="AE221" s="76"/>
      <c r="AF221" s="76"/>
      <c r="AG221" s="79" t="str">
        <f aca="false">IF(B221="","",IF($AB221="NON",0,IF(COUNT(AC221:AF221)=0,"",SUM(AC221:AF221))))</f>
        <v/>
      </c>
      <c r="AH221" s="77" t="str">
        <f aca="false">IF(B221="","",IF($AB221="NON",0,IF(COUNT(AC221:AF221)=0,"",IFERROR(ROUND(SUM(AC221:AF221)/SUMPRODUCT(ISNUMBER(AC221:AF221)*$AC$8:$AF$8)*10,2),""))))</f>
        <v/>
      </c>
      <c r="AI221" s="51" t="str">
        <f aca="false">IFERROR(MATCH("CEM-212",'REGISTRE ELEVES'!$AI$10:$AI$250,0),"")</f>
        <v/>
      </c>
    </row>
    <row r="222" customFormat="false" ht="15" hidden="false" customHeight="false" outlineLevel="0" collapsed="false">
      <c r="A222" s="73" t="str">
        <f aca="false">IF(B222="","",213)</f>
        <v/>
      </c>
      <c r="B222" s="73" t="str">
        <f aca="false">IF($AI222="","",INDEX('REGISTRE ELEVES'!$B$10:$B$250,$AI222))</f>
        <v/>
      </c>
      <c r="C222" s="74" t="str">
        <f aca="false">IF($AI222="","",INDEX('REGISTRE ELEVES'!$D$10:$D$250,$AI222))</f>
        <v/>
      </c>
      <c r="D222" s="73" t="str">
        <f aca="false">IF($AI222="","",INDEX('REGISTRE ELEVES'!$E$10:$E$250,$AI222))</f>
        <v/>
      </c>
      <c r="E222" s="73" t="str">
        <f aca="false">IF($AI222="","",INDEX('REGISTRE ELEVES'!$F$10:$F$250,$AI222))</f>
        <v/>
      </c>
      <c r="F222" s="73" t="str">
        <f aca="false">IF($AI222="","",INDEX('REGISTRE ELEVES'!$AE$10:$AE$250,$AI222))</f>
        <v/>
      </c>
      <c r="G222" s="75"/>
      <c r="H222" s="76"/>
      <c r="I222" s="76"/>
      <c r="J222" s="76"/>
      <c r="K222" s="76"/>
      <c r="L222" s="79" t="str">
        <f aca="false">IF(B222="","",IF($G222="NON",0,IF(COUNT(H222:K222)=0,"",SUM(H222:K222))))</f>
        <v/>
      </c>
      <c r="M222" s="77" t="str">
        <f aca="false">IF(B222="","",IF($G222="NON",0,IF(COUNT(H222:K222)=0,"",IFERROR(ROUND(SUM(H222:K222)/SUMPRODUCT(ISNUMBER(H222:K222)*$H$8:$K$8)*10,2),""))))</f>
        <v/>
      </c>
      <c r="N222" s="75"/>
      <c r="O222" s="76"/>
      <c r="P222" s="76"/>
      <c r="Q222" s="76"/>
      <c r="R222" s="76"/>
      <c r="S222" s="79" t="str">
        <f aca="false">IF(B222="","",IF($N222="NON",0,IF(COUNT(O222:R222)=0,"",SUM(O222:R222))))</f>
        <v/>
      </c>
      <c r="T222" s="77" t="str">
        <f aca="false">IF(B222="","",IF($N222="NON",0,IF(COUNT(O222:R222)=0,"",IFERROR(ROUND(SUM(O222:R222)/SUMPRODUCT(ISNUMBER(O222:R222)*$O$8:$R$8)*10,2),""))))</f>
        <v/>
      </c>
      <c r="U222" s="75"/>
      <c r="V222" s="76"/>
      <c r="W222" s="76"/>
      <c r="X222" s="76"/>
      <c r="Y222" s="76"/>
      <c r="Z222" s="79" t="str">
        <f aca="false">IF(B222="","",IF($U222="NON",0,IF(COUNT(V222:Y222)=0,"",SUM(V222:Y222))))</f>
        <v/>
      </c>
      <c r="AA222" s="77" t="str">
        <f aca="false">IF(B222="","",IF($U222="NON",0,IF(COUNT(V222:Y222)=0,"",IFERROR(ROUND(SUM(V222:Y222)/SUMPRODUCT(ISNUMBER(V222:Y222)*$V$8:$Y$8)*10,2),""))))</f>
        <v/>
      </c>
      <c r="AB222" s="75"/>
      <c r="AC222" s="76"/>
      <c r="AD222" s="76"/>
      <c r="AE222" s="76"/>
      <c r="AF222" s="76"/>
      <c r="AG222" s="79" t="str">
        <f aca="false">IF(B222="","",IF($AB222="NON",0,IF(COUNT(AC222:AF222)=0,"",SUM(AC222:AF222))))</f>
        <v/>
      </c>
      <c r="AH222" s="77" t="str">
        <f aca="false">IF(B222="","",IF($AB222="NON",0,IF(COUNT(AC222:AF222)=0,"",IFERROR(ROUND(SUM(AC222:AF222)/SUMPRODUCT(ISNUMBER(AC222:AF222)*$AC$8:$AF$8)*10,2),""))))</f>
        <v/>
      </c>
      <c r="AI222" s="51" t="str">
        <f aca="false">IFERROR(MATCH("CEM-213",'REGISTRE ELEVES'!$AI$10:$AI$250,0),"")</f>
        <v/>
      </c>
    </row>
    <row r="223" customFormat="false" ht="15" hidden="false" customHeight="false" outlineLevel="0" collapsed="false">
      <c r="A223" s="73" t="str">
        <f aca="false">IF(B223="","",214)</f>
        <v/>
      </c>
      <c r="B223" s="73" t="str">
        <f aca="false">IF($AI223="","",INDEX('REGISTRE ELEVES'!$B$10:$B$250,$AI223))</f>
        <v/>
      </c>
      <c r="C223" s="74" t="str">
        <f aca="false">IF($AI223="","",INDEX('REGISTRE ELEVES'!$D$10:$D$250,$AI223))</f>
        <v/>
      </c>
      <c r="D223" s="73" t="str">
        <f aca="false">IF($AI223="","",INDEX('REGISTRE ELEVES'!$E$10:$E$250,$AI223))</f>
        <v/>
      </c>
      <c r="E223" s="73" t="str">
        <f aca="false">IF($AI223="","",INDEX('REGISTRE ELEVES'!$F$10:$F$250,$AI223))</f>
        <v/>
      </c>
      <c r="F223" s="73" t="str">
        <f aca="false">IF($AI223="","",INDEX('REGISTRE ELEVES'!$AE$10:$AE$250,$AI223))</f>
        <v/>
      </c>
      <c r="G223" s="75"/>
      <c r="H223" s="76"/>
      <c r="I223" s="76"/>
      <c r="J223" s="76"/>
      <c r="K223" s="76"/>
      <c r="L223" s="79" t="str">
        <f aca="false">IF(B223="","",IF($G223="NON",0,IF(COUNT(H223:K223)=0,"",SUM(H223:K223))))</f>
        <v/>
      </c>
      <c r="M223" s="77" t="str">
        <f aca="false">IF(B223="","",IF($G223="NON",0,IF(COUNT(H223:K223)=0,"",IFERROR(ROUND(SUM(H223:K223)/SUMPRODUCT(ISNUMBER(H223:K223)*$H$8:$K$8)*10,2),""))))</f>
        <v/>
      </c>
      <c r="N223" s="75"/>
      <c r="O223" s="76"/>
      <c r="P223" s="76"/>
      <c r="Q223" s="76"/>
      <c r="R223" s="76"/>
      <c r="S223" s="79" t="str">
        <f aca="false">IF(B223="","",IF($N223="NON",0,IF(COUNT(O223:R223)=0,"",SUM(O223:R223))))</f>
        <v/>
      </c>
      <c r="T223" s="77" t="str">
        <f aca="false">IF(B223="","",IF($N223="NON",0,IF(COUNT(O223:R223)=0,"",IFERROR(ROUND(SUM(O223:R223)/SUMPRODUCT(ISNUMBER(O223:R223)*$O$8:$R$8)*10,2),""))))</f>
        <v/>
      </c>
      <c r="U223" s="75"/>
      <c r="V223" s="76"/>
      <c r="W223" s="76"/>
      <c r="X223" s="76"/>
      <c r="Y223" s="76"/>
      <c r="Z223" s="79" t="str">
        <f aca="false">IF(B223="","",IF($U223="NON",0,IF(COUNT(V223:Y223)=0,"",SUM(V223:Y223))))</f>
        <v/>
      </c>
      <c r="AA223" s="77" t="str">
        <f aca="false">IF(B223="","",IF($U223="NON",0,IF(COUNT(V223:Y223)=0,"",IFERROR(ROUND(SUM(V223:Y223)/SUMPRODUCT(ISNUMBER(V223:Y223)*$V$8:$Y$8)*10,2),""))))</f>
        <v/>
      </c>
      <c r="AB223" s="75"/>
      <c r="AC223" s="76"/>
      <c r="AD223" s="76"/>
      <c r="AE223" s="76"/>
      <c r="AF223" s="76"/>
      <c r="AG223" s="79" t="str">
        <f aca="false">IF(B223="","",IF($AB223="NON",0,IF(COUNT(AC223:AF223)=0,"",SUM(AC223:AF223))))</f>
        <v/>
      </c>
      <c r="AH223" s="77" t="str">
        <f aca="false">IF(B223="","",IF($AB223="NON",0,IF(COUNT(AC223:AF223)=0,"",IFERROR(ROUND(SUM(AC223:AF223)/SUMPRODUCT(ISNUMBER(AC223:AF223)*$AC$8:$AF$8)*10,2),""))))</f>
        <v/>
      </c>
      <c r="AI223" s="51" t="str">
        <f aca="false">IFERROR(MATCH("CEM-214",'REGISTRE ELEVES'!$AI$10:$AI$250,0),"")</f>
        <v/>
      </c>
    </row>
    <row r="224" customFormat="false" ht="15" hidden="false" customHeight="false" outlineLevel="0" collapsed="false">
      <c r="A224" s="73" t="str">
        <f aca="false">IF(B224="","",215)</f>
        <v/>
      </c>
      <c r="B224" s="73" t="str">
        <f aca="false">IF($AI224="","",INDEX('REGISTRE ELEVES'!$B$10:$B$250,$AI224))</f>
        <v/>
      </c>
      <c r="C224" s="74" t="str">
        <f aca="false">IF($AI224="","",INDEX('REGISTRE ELEVES'!$D$10:$D$250,$AI224))</f>
        <v/>
      </c>
      <c r="D224" s="73" t="str">
        <f aca="false">IF($AI224="","",INDEX('REGISTRE ELEVES'!$E$10:$E$250,$AI224))</f>
        <v/>
      </c>
      <c r="E224" s="73" t="str">
        <f aca="false">IF($AI224="","",INDEX('REGISTRE ELEVES'!$F$10:$F$250,$AI224))</f>
        <v/>
      </c>
      <c r="F224" s="73" t="str">
        <f aca="false">IF($AI224="","",INDEX('REGISTRE ELEVES'!$AE$10:$AE$250,$AI224))</f>
        <v/>
      </c>
      <c r="G224" s="75"/>
      <c r="H224" s="76"/>
      <c r="I224" s="76"/>
      <c r="J224" s="76"/>
      <c r="K224" s="76"/>
      <c r="L224" s="79" t="str">
        <f aca="false">IF(B224="","",IF($G224="NON",0,IF(COUNT(H224:K224)=0,"",SUM(H224:K224))))</f>
        <v/>
      </c>
      <c r="M224" s="77" t="str">
        <f aca="false">IF(B224="","",IF($G224="NON",0,IF(COUNT(H224:K224)=0,"",IFERROR(ROUND(SUM(H224:K224)/SUMPRODUCT(ISNUMBER(H224:K224)*$H$8:$K$8)*10,2),""))))</f>
        <v/>
      </c>
      <c r="N224" s="75"/>
      <c r="O224" s="76"/>
      <c r="P224" s="76"/>
      <c r="Q224" s="76"/>
      <c r="R224" s="76"/>
      <c r="S224" s="79" t="str">
        <f aca="false">IF(B224="","",IF($N224="NON",0,IF(COUNT(O224:R224)=0,"",SUM(O224:R224))))</f>
        <v/>
      </c>
      <c r="T224" s="77" t="str">
        <f aca="false">IF(B224="","",IF($N224="NON",0,IF(COUNT(O224:R224)=0,"",IFERROR(ROUND(SUM(O224:R224)/SUMPRODUCT(ISNUMBER(O224:R224)*$O$8:$R$8)*10,2),""))))</f>
        <v/>
      </c>
      <c r="U224" s="75"/>
      <c r="V224" s="76"/>
      <c r="W224" s="76"/>
      <c r="X224" s="76"/>
      <c r="Y224" s="76"/>
      <c r="Z224" s="79" t="str">
        <f aca="false">IF(B224="","",IF($U224="NON",0,IF(COUNT(V224:Y224)=0,"",SUM(V224:Y224))))</f>
        <v/>
      </c>
      <c r="AA224" s="77" t="str">
        <f aca="false">IF(B224="","",IF($U224="NON",0,IF(COUNT(V224:Y224)=0,"",IFERROR(ROUND(SUM(V224:Y224)/SUMPRODUCT(ISNUMBER(V224:Y224)*$V$8:$Y$8)*10,2),""))))</f>
        <v/>
      </c>
      <c r="AB224" s="75"/>
      <c r="AC224" s="76"/>
      <c r="AD224" s="76"/>
      <c r="AE224" s="76"/>
      <c r="AF224" s="76"/>
      <c r="AG224" s="79" t="str">
        <f aca="false">IF(B224="","",IF($AB224="NON",0,IF(COUNT(AC224:AF224)=0,"",SUM(AC224:AF224))))</f>
        <v/>
      </c>
      <c r="AH224" s="77" t="str">
        <f aca="false">IF(B224="","",IF($AB224="NON",0,IF(COUNT(AC224:AF224)=0,"",IFERROR(ROUND(SUM(AC224:AF224)/SUMPRODUCT(ISNUMBER(AC224:AF224)*$AC$8:$AF$8)*10,2),""))))</f>
        <v/>
      </c>
      <c r="AI224" s="51" t="str">
        <f aca="false">IFERROR(MATCH("CEM-215",'REGISTRE ELEVES'!$AI$10:$AI$250,0),"")</f>
        <v/>
      </c>
    </row>
    <row r="225" customFormat="false" ht="15" hidden="false" customHeight="false" outlineLevel="0" collapsed="false">
      <c r="A225" s="73" t="str">
        <f aca="false">IF(B225="","",216)</f>
        <v/>
      </c>
      <c r="B225" s="73" t="str">
        <f aca="false">IF($AI225="","",INDEX('REGISTRE ELEVES'!$B$10:$B$250,$AI225))</f>
        <v/>
      </c>
      <c r="C225" s="74" t="str">
        <f aca="false">IF($AI225="","",INDEX('REGISTRE ELEVES'!$D$10:$D$250,$AI225))</f>
        <v/>
      </c>
      <c r="D225" s="73" t="str">
        <f aca="false">IF($AI225="","",INDEX('REGISTRE ELEVES'!$E$10:$E$250,$AI225))</f>
        <v/>
      </c>
      <c r="E225" s="73" t="str">
        <f aca="false">IF($AI225="","",INDEX('REGISTRE ELEVES'!$F$10:$F$250,$AI225))</f>
        <v/>
      </c>
      <c r="F225" s="73" t="str">
        <f aca="false">IF($AI225="","",INDEX('REGISTRE ELEVES'!$AE$10:$AE$250,$AI225))</f>
        <v/>
      </c>
      <c r="G225" s="75"/>
      <c r="H225" s="76"/>
      <c r="I225" s="76"/>
      <c r="J225" s="76"/>
      <c r="K225" s="76"/>
      <c r="L225" s="79" t="str">
        <f aca="false">IF(B225="","",IF($G225="NON",0,IF(COUNT(H225:K225)=0,"",SUM(H225:K225))))</f>
        <v/>
      </c>
      <c r="M225" s="77" t="str">
        <f aca="false">IF(B225="","",IF($G225="NON",0,IF(COUNT(H225:K225)=0,"",IFERROR(ROUND(SUM(H225:K225)/SUMPRODUCT(ISNUMBER(H225:K225)*$H$8:$K$8)*10,2),""))))</f>
        <v/>
      </c>
      <c r="N225" s="75"/>
      <c r="O225" s="76"/>
      <c r="P225" s="76"/>
      <c r="Q225" s="76"/>
      <c r="R225" s="76"/>
      <c r="S225" s="79" t="str">
        <f aca="false">IF(B225="","",IF($N225="NON",0,IF(COUNT(O225:R225)=0,"",SUM(O225:R225))))</f>
        <v/>
      </c>
      <c r="T225" s="77" t="str">
        <f aca="false">IF(B225="","",IF($N225="NON",0,IF(COUNT(O225:R225)=0,"",IFERROR(ROUND(SUM(O225:R225)/SUMPRODUCT(ISNUMBER(O225:R225)*$O$8:$R$8)*10,2),""))))</f>
        <v/>
      </c>
      <c r="U225" s="75"/>
      <c r="V225" s="76"/>
      <c r="W225" s="76"/>
      <c r="X225" s="76"/>
      <c r="Y225" s="76"/>
      <c r="Z225" s="79" t="str">
        <f aca="false">IF(B225="","",IF($U225="NON",0,IF(COUNT(V225:Y225)=0,"",SUM(V225:Y225))))</f>
        <v/>
      </c>
      <c r="AA225" s="77" t="str">
        <f aca="false">IF(B225="","",IF($U225="NON",0,IF(COUNT(V225:Y225)=0,"",IFERROR(ROUND(SUM(V225:Y225)/SUMPRODUCT(ISNUMBER(V225:Y225)*$V$8:$Y$8)*10,2),""))))</f>
        <v/>
      </c>
      <c r="AB225" s="75"/>
      <c r="AC225" s="76"/>
      <c r="AD225" s="76"/>
      <c r="AE225" s="76"/>
      <c r="AF225" s="76"/>
      <c r="AG225" s="79" t="str">
        <f aca="false">IF(B225="","",IF($AB225="NON",0,IF(COUNT(AC225:AF225)=0,"",SUM(AC225:AF225))))</f>
        <v/>
      </c>
      <c r="AH225" s="77" t="str">
        <f aca="false">IF(B225="","",IF($AB225="NON",0,IF(COUNT(AC225:AF225)=0,"",IFERROR(ROUND(SUM(AC225:AF225)/SUMPRODUCT(ISNUMBER(AC225:AF225)*$AC$8:$AF$8)*10,2),""))))</f>
        <v/>
      </c>
      <c r="AI225" s="51" t="str">
        <f aca="false">IFERROR(MATCH("CEM-216",'REGISTRE ELEVES'!$AI$10:$AI$250,0),"")</f>
        <v/>
      </c>
    </row>
    <row r="226" customFormat="false" ht="15" hidden="false" customHeight="false" outlineLevel="0" collapsed="false">
      <c r="A226" s="73" t="str">
        <f aca="false">IF(B226="","",217)</f>
        <v/>
      </c>
      <c r="B226" s="73" t="str">
        <f aca="false">IF($AI226="","",INDEX('REGISTRE ELEVES'!$B$10:$B$250,$AI226))</f>
        <v/>
      </c>
      <c r="C226" s="74" t="str">
        <f aca="false">IF($AI226="","",INDEX('REGISTRE ELEVES'!$D$10:$D$250,$AI226))</f>
        <v/>
      </c>
      <c r="D226" s="73" t="str">
        <f aca="false">IF($AI226="","",INDEX('REGISTRE ELEVES'!$E$10:$E$250,$AI226))</f>
        <v/>
      </c>
      <c r="E226" s="73" t="str">
        <f aca="false">IF($AI226="","",INDEX('REGISTRE ELEVES'!$F$10:$F$250,$AI226))</f>
        <v/>
      </c>
      <c r="F226" s="73" t="str">
        <f aca="false">IF($AI226="","",INDEX('REGISTRE ELEVES'!$AE$10:$AE$250,$AI226))</f>
        <v/>
      </c>
      <c r="G226" s="75"/>
      <c r="H226" s="76"/>
      <c r="I226" s="76"/>
      <c r="J226" s="76"/>
      <c r="K226" s="76"/>
      <c r="L226" s="79" t="str">
        <f aca="false">IF(B226="","",IF($G226="NON",0,IF(COUNT(H226:K226)=0,"",SUM(H226:K226))))</f>
        <v/>
      </c>
      <c r="M226" s="77" t="str">
        <f aca="false">IF(B226="","",IF($G226="NON",0,IF(COUNT(H226:K226)=0,"",IFERROR(ROUND(SUM(H226:K226)/SUMPRODUCT(ISNUMBER(H226:K226)*$H$8:$K$8)*10,2),""))))</f>
        <v/>
      </c>
      <c r="N226" s="75"/>
      <c r="O226" s="76"/>
      <c r="P226" s="76"/>
      <c r="Q226" s="76"/>
      <c r="R226" s="76"/>
      <c r="S226" s="79" t="str">
        <f aca="false">IF(B226="","",IF($N226="NON",0,IF(COUNT(O226:R226)=0,"",SUM(O226:R226))))</f>
        <v/>
      </c>
      <c r="T226" s="77" t="str">
        <f aca="false">IF(B226="","",IF($N226="NON",0,IF(COUNT(O226:R226)=0,"",IFERROR(ROUND(SUM(O226:R226)/SUMPRODUCT(ISNUMBER(O226:R226)*$O$8:$R$8)*10,2),""))))</f>
        <v/>
      </c>
      <c r="U226" s="75"/>
      <c r="V226" s="76"/>
      <c r="W226" s="76"/>
      <c r="X226" s="76"/>
      <c r="Y226" s="76"/>
      <c r="Z226" s="79" t="str">
        <f aca="false">IF(B226="","",IF($U226="NON",0,IF(COUNT(V226:Y226)=0,"",SUM(V226:Y226))))</f>
        <v/>
      </c>
      <c r="AA226" s="77" t="str">
        <f aca="false">IF(B226="","",IF($U226="NON",0,IF(COUNT(V226:Y226)=0,"",IFERROR(ROUND(SUM(V226:Y226)/SUMPRODUCT(ISNUMBER(V226:Y226)*$V$8:$Y$8)*10,2),""))))</f>
        <v/>
      </c>
      <c r="AB226" s="75"/>
      <c r="AC226" s="76"/>
      <c r="AD226" s="76"/>
      <c r="AE226" s="76"/>
      <c r="AF226" s="76"/>
      <c r="AG226" s="79" t="str">
        <f aca="false">IF(B226="","",IF($AB226="NON",0,IF(COUNT(AC226:AF226)=0,"",SUM(AC226:AF226))))</f>
        <v/>
      </c>
      <c r="AH226" s="77" t="str">
        <f aca="false">IF(B226="","",IF($AB226="NON",0,IF(COUNT(AC226:AF226)=0,"",IFERROR(ROUND(SUM(AC226:AF226)/SUMPRODUCT(ISNUMBER(AC226:AF226)*$AC$8:$AF$8)*10,2),""))))</f>
        <v/>
      </c>
      <c r="AI226" s="51" t="str">
        <f aca="false">IFERROR(MATCH("CEM-217",'REGISTRE ELEVES'!$AI$10:$AI$250,0),"")</f>
        <v/>
      </c>
    </row>
    <row r="227" customFormat="false" ht="15" hidden="false" customHeight="false" outlineLevel="0" collapsed="false">
      <c r="A227" s="73" t="str">
        <f aca="false">IF(B227="","",218)</f>
        <v/>
      </c>
      <c r="B227" s="73" t="str">
        <f aca="false">IF($AI227="","",INDEX('REGISTRE ELEVES'!$B$10:$B$250,$AI227))</f>
        <v/>
      </c>
      <c r="C227" s="74" t="str">
        <f aca="false">IF($AI227="","",INDEX('REGISTRE ELEVES'!$D$10:$D$250,$AI227))</f>
        <v/>
      </c>
      <c r="D227" s="73" t="str">
        <f aca="false">IF($AI227="","",INDEX('REGISTRE ELEVES'!$E$10:$E$250,$AI227))</f>
        <v/>
      </c>
      <c r="E227" s="73" t="str">
        <f aca="false">IF($AI227="","",INDEX('REGISTRE ELEVES'!$F$10:$F$250,$AI227))</f>
        <v/>
      </c>
      <c r="F227" s="73" t="str">
        <f aca="false">IF($AI227="","",INDEX('REGISTRE ELEVES'!$AE$10:$AE$250,$AI227))</f>
        <v/>
      </c>
      <c r="G227" s="75"/>
      <c r="H227" s="76"/>
      <c r="I227" s="76"/>
      <c r="J227" s="76"/>
      <c r="K227" s="76"/>
      <c r="L227" s="79" t="str">
        <f aca="false">IF(B227="","",IF($G227="NON",0,IF(COUNT(H227:K227)=0,"",SUM(H227:K227))))</f>
        <v/>
      </c>
      <c r="M227" s="77" t="str">
        <f aca="false">IF(B227="","",IF($G227="NON",0,IF(COUNT(H227:K227)=0,"",IFERROR(ROUND(SUM(H227:K227)/SUMPRODUCT(ISNUMBER(H227:K227)*$H$8:$K$8)*10,2),""))))</f>
        <v/>
      </c>
      <c r="N227" s="75"/>
      <c r="O227" s="76"/>
      <c r="P227" s="76"/>
      <c r="Q227" s="76"/>
      <c r="R227" s="76"/>
      <c r="S227" s="79" t="str">
        <f aca="false">IF(B227="","",IF($N227="NON",0,IF(COUNT(O227:R227)=0,"",SUM(O227:R227))))</f>
        <v/>
      </c>
      <c r="T227" s="77" t="str">
        <f aca="false">IF(B227="","",IF($N227="NON",0,IF(COUNT(O227:R227)=0,"",IFERROR(ROUND(SUM(O227:R227)/SUMPRODUCT(ISNUMBER(O227:R227)*$O$8:$R$8)*10,2),""))))</f>
        <v/>
      </c>
      <c r="U227" s="75"/>
      <c r="V227" s="76"/>
      <c r="W227" s="76"/>
      <c r="X227" s="76"/>
      <c r="Y227" s="76"/>
      <c r="Z227" s="79" t="str">
        <f aca="false">IF(B227="","",IF($U227="NON",0,IF(COUNT(V227:Y227)=0,"",SUM(V227:Y227))))</f>
        <v/>
      </c>
      <c r="AA227" s="77" t="str">
        <f aca="false">IF(B227="","",IF($U227="NON",0,IF(COUNT(V227:Y227)=0,"",IFERROR(ROUND(SUM(V227:Y227)/SUMPRODUCT(ISNUMBER(V227:Y227)*$V$8:$Y$8)*10,2),""))))</f>
        <v/>
      </c>
      <c r="AB227" s="75"/>
      <c r="AC227" s="76"/>
      <c r="AD227" s="76"/>
      <c r="AE227" s="76"/>
      <c r="AF227" s="76"/>
      <c r="AG227" s="79" t="str">
        <f aca="false">IF(B227="","",IF($AB227="NON",0,IF(COUNT(AC227:AF227)=0,"",SUM(AC227:AF227))))</f>
        <v/>
      </c>
      <c r="AH227" s="77" t="str">
        <f aca="false">IF(B227="","",IF($AB227="NON",0,IF(COUNT(AC227:AF227)=0,"",IFERROR(ROUND(SUM(AC227:AF227)/SUMPRODUCT(ISNUMBER(AC227:AF227)*$AC$8:$AF$8)*10,2),""))))</f>
        <v/>
      </c>
      <c r="AI227" s="51" t="str">
        <f aca="false">IFERROR(MATCH("CEM-218",'REGISTRE ELEVES'!$AI$10:$AI$250,0),"")</f>
        <v/>
      </c>
    </row>
    <row r="228" customFormat="false" ht="15" hidden="false" customHeight="false" outlineLevel="0" collapsed="false">
      <c r="A228" s="73" t="str">
        <f aca="false">IF(B228="","",219)</f>
        <v/>
      </c>
      <c r="B228" s="73" t="str">
        <f aca="false">IF($AI228="","",INDEX('REGISTRE ELEVES'!$B$10:$B$250,$AI228))</f>
        <v/>
      </c>
      <c r="C228" s="74" t="str">
        <f aca="false">IF($AI228="","",INDEX('REGISTRE ELEVES'!$D$10:$D$250,$AI228))</f>
        <v/>
      </c>
      <c r="D228" s="73" t="str">
        <f aca="false">IF($AI228="","",INDEX('REGISTRE ELEVES'!$E$10:$E$250,$AI228))</f>
        <v/>
      </c>
      <c r="E228" s="73" t="str">
        <f aca="false">IF($AI228="","",INDEX('REGISTRE ELEVES'!$F$10:$F$250,$AI228))</f>
        <v/>
      </c>
      <c r="F228" s="73" t="str">
        <f aca="false">IF($AI228="","",INDEX('REGISTRE ELEVES'!$AE$10:$AE$250,$AI228))</f>
        <v/>
      </c>
      <c r="G228" s="75"/>
      <c r="H228" s="76"/>
      <c r="I228" s="76"/>
      <c r="J228" s="76"/>
      <c r="K228" s="76"/>
      <c r="L228" s="79" t="str">
        <f aca="false">IF(B228="","",IF($G228="NON",0,IF(COUNT(H228:K228)=0,"",SUM(H228:K228))))</f>
        <v/>
      </c>
      <c r="M228" s="77" t="str">
        <f aca="false">IF(B228="","",IF($G228="NON",0,IF(COUNT(H228:K228)=0,"",IFERROR(ROUND(SUM(H228:K228)/SUMPRODUCT(ISNUMBER(H228:K228)*$H$8:$K$8)*10,2),""))))</f>
        <v/>
      </c>
      <c r="N228" s="75"/>
      <c r="O228" s="76"/>
      <c r="P228" s="76"/>
      <c r="Q228" s="76"/>
      <c r="R228" s="76"/>
      <c r="S228" s="79" t="str">
        <f aca="false">IF(B228="","",IF($N228="NON",0,IF(COUNT(O228:R228)=0,"",SUM(O228:R228))))</f>
        <v/>
      </c>
      <c r="T228" s="77" t="str">
        <f aca="false">IF(B228="","",IF($N228="NON",0,IF(COUNT(O228:R228)=0,"",IFERROR(ROUND(SUM(O228:R228)/SUMPRODUCT(ISNUMBER(O228:R228)*$O$8:$R$8)*10,2),""))))</f>
        <v/>
      </c>
      <c r="U228" s="75"/>
      <c r="V228" s="76"/>
      <c r="W228" s="76"/>
      <c r="X228" s="76"/>
      <c r="Y228" s="76"/>
      <c r="Z228" s="79" t="str">
        <f aca="false">IF(B228="","",IF($U228="NON",0,IF(COUNT(V228:Y228)=0,"",SUM(V228:Y228))))</f>
        <v/>
      </c>
      <c r="AA228" s="77" t="str">
        <f aca="false">IF(B228="","",IF($U228="NON",0,IF(COUNT(V228:Y228)=0,"",IFERROR(ROUND(SUM(V228:Y228)/SUMPRODUCT(ISNUMBER(V228:Y228)*$V$8:$Y$8)*10,2),""))))</f>
        <v/>
      </c>
      <c r="AB228" s="75"/>
      <c r="AC228" s="76"/>
      <c r="AD228" s="76"/>
      <c r="AE228" s="76"/>
      <c r="AF228" s="76"/>
      <c r="AG228" s="79" t="str">
        <f aca="false">IF(B228="","",IF($AB228="NON",0,IF(COUNT(AC228:AF228)=0,"",SUM(AC228:AF228))))</f>
        <v/>
      </c>
      <c r="AH228" s="77" t="str">
        <f aca="false">IF(B228="","",IF($AB228="NON",0,IF(COUNT(AC228:AF228)=0,"",IFERROR(ROUND(SUM(AC228:AF228)/SUMPRODUCT(ISNUMBER(AC228:AF228)*$AC$8:$AF$8)*10,2),""))))</f>
        <v/>
      </c>
      <c r="AI228" s="51" t="str">
        <f aca="false">IFERROR(MATCH("CEM-219",'REGISTRE ELEVES'!$AI$10:$AI$250,0),"")</f>
        <v/>
      </c>
    </row>
    <row r="229" customFormat="false" ht="15" hidden="false" customHeight="false" outlineLevel="0" collapsed="false">
      <c r="A229" s="73" t="str">
        <f aca="false">IF(B229="","",220)</f>
        <v/>
      </c>
      <c r="B229" s="73" t="str">
        <f aca="false">IF($AI229="","",INDEX('REGISTRE ELEVES'!$B$10:$B$250,$AI229))</f>
        <v/>
      </c>
      <c r="C229" s="74" t="str">
        <f aca="false">IF($AI229="","",INDEX('REGISTRE ELEVES'!$D$10:$D$250,$AI229))</f>
        <v/>
      </c>
      <c r="D229" s="73" t="str">
        <f aca="false">IF($AI229="","",INDEX('REGISTRE ELEVES'!$E$10:$E$250,$AI229))</f>
        <v/>
      </c>
      <c r="E229" s="73" t="str">
        <f aca="false">IF($AI229="","",INDEX('REGISTRE ELEVES'!$F$10:$F$250,$AI229))</f>
        <v/>
      </c>
      <c r="F229" s="73" t="str">
        <f aca="false">IF($AI229="","",INDEX('REGISTRE ELEVES'!$AE$10:$AE$250,$AI229))</f>
        <v/>
      </c>
      <c r="G229" s="75"/>
      <c r="H229" s="76"/>
      <c r="I229" s="76"/>
      <c r="J229" s="76"/>
      <c r="K229" s="76"/>
      <c r="L229" s="79" t="str">
        <f aca="false">IF(B229="","",IF($G229="NON",0,IF(COUNT(H229:K229)=0,"",SUM(H229:K229))))</f>
        <v/>
      </c>
      <c r="M229" s="77" t="str">
        <f aca="false">IF(B229="","",IF($G229="NON",0,IF(COUNT(H229:K229)=0,"",IFERROR(ROUND(SUM(H229:K229)/SUMPRODUCT(ISNUMBER(H229:K229)*$H$8:$K$8)*10,2),""))))</f>
        <v/>
      </c>
      <c r="N229" s="75"/>
      <c r="O229" s="76"/>
      <c r="P229" s="76"/>
      <c r="Q229" s="76"/>
      <c r="R229" s="76"/>
      <c r="S229" s="79" t="str">
        <f aca="false">IF(B229="","",IF($N229="NON",0,IF(COUNT(O229:R229)=0,"",SUM(O229:R229))))</f>
        <v/>
      </c>
      <c r="T229" s="77" t="str">
        <f aca="false">IF(B229="","",IF($N229="NON",0,IF(COUNT(O229:R229)=0,"",IFERROR(ROUND(SUM(O229:R229)/SUMPRODUCT(ISNUMBER(O229:R229)*$O$8:$R$8)*10,2),""))))</f>
        <v/>
      </c>
      <c r="U229" s="75"/>
      <c r="V229" s="76"/>
      <c r="W229" s="76"/>
      <c r="X229" s="76"/>
      <c r="Y229" s="76"/>
      <c r="Z229" s="79" t="str">
        <f aca="false">IF(B229="","",IF($U229="NON",0,IF(COUNT(V229:Y229)=0,"",SUM(V229:Y229))))</f>
        <v/>
      </c>
      <c r="AA229" s="77" t="str">
        <f aca="false">IF(B229="","",IF($U229="NON",0,IF(COUNT(V229:Y229)=0,"",IFERROR(ROUND(SUM(V229:Y229)/SUMPRODUCT(ISNUMBER(V229:Y229)*$V$8:$Y$8)*10,2),""))))</f>
        <v/>
      </c>
      <c r="AB229" s="75"/>
      <c r="AC229" s="76"/>
      <c r="AD229" s="76"/>
      <c r="AE229" s="76"/>
      <c r="AF229" s="76"/>
      <c r="AG229" s="79" t="str">
        <f aca="false">IF(B229="","",IF($AB229="NON",0,IF(COUNT(AC229:AF229)=0,"",SUM(AC229:AF229))))</f>
        <v/>
      </c>
      <c r="AH229" s="77" t="str">
        <f aca="false">IF(B229="","",IF($AB229="NON",0,IF(COUNT(AC229:AF229)=0,"",IFERROR(ROUND(SUM(AC229:AF229)/SUMPRODUCT(ISNUMBER(AC229:AF229)*$AC$8:$AF$8)*10,2),""))))</f>
        <v/>
      </c>
      <c r="AI229" s="51" t="str">
        <f aca="false">IFERROR(MATCH("CEM-220",'REGISTRE ELEVES'!$AI$10:$AI$250,0),"")</f>
        <v/>
      </c>
    </row>
    <row r="230" customFormat="false" ht="15" hidden="false" customHeight="false" outlineLevel="0" collapsed="false">
      <c r="A230" s="73" t="str">
        <f aca="false">IF(B230="","",221)</f>
        <v/>
      </c>
      <c r="B230" s="73" t="str">
        <f aca="false">IF($AI230="","",INDEX('REGISTRE ELEVES'!$B$10:$B$250,$AI230))</f>
        <v/>
      </c>
      <c r="C230" s="74" t="str">
        <f aca="false">IF($AI230="","",INDEX('REGISTRE ELEVES'!$D$10:$D$250,$AI230))</f>
        <v/>
      </c>
      <c r="D230" s="73" t="str">
        <f aca="false">IF($AI230="","",INDEX('REGISTRE ELEVES'!$E$10:$E$250,$AI230))</f>
        <v/>
      </c>
      <c r="E230" s="73" t="str">
        <f aca="false">IF($AI230="","",INDEX('REGISTRE ELEVES'!$F$10:$F$250,$AI230))</f>
        <v/>
      </c>
      <c r="F230" s="73" t="str">
        <f aca="false">IF($AI230="","",INDEX('REGISTRE ELEVES'!$AE$10:$AE$250,$AI230))</f>
        <v/>
      </c>
      <c r="G230" s="75"/>
      <c r="H230" s="76"/>
      <c r="I230" s="76"/>
      <c r="J230" s="76"/>
      <c r="K230" s="76"/>
      <c r="L230" s="79" t="str">
        <f aca="false">IF(B230="","",IF($G230="NON",0,IF(COUNT(H230:K230)=0,"",SUM(H230:K230))))</f>
        <v/>
      </c>
      <c r="M230" s="77" t="str">
        <f aca="false">IF(B230="","",IF($G230="NON",0,IF(COUNT(H230:K230)=0,"",IFERROR(ROUND(SUM(H230:K230)/SUMPRODUCT(ISNUMBER(H230:K230)*$H$8:$K$8)*10,2),""))))</f>
        <v/>
      </c>
      <c r="N230" s="75"/>
      <c r="O230" s="76"/>
      <c r="P230" s="76"/>
      <c r="Q230" s="76"/>
      <c r="R230" s="76"/>
      <c r="S230" s="79" t="str">
        <f aca="false">IF(B230="","",IF($N230="NON",0,IF(COUNT(O230:R230)=0,"",SUM(O230:R230))))</f>
        <v/>
      </c>
      <c r="T230" s="77" t="str">
        <f aca="false">IF(B230="","",IF($N230="NON",0,IF(COUNT(O230:R230)=0,"",IFERROR(ROUND(SUM(O230:R230)/SUMPRODUCT(ISNUMBER(O230:R230)*$O$8:$R$8)*10,2),""))))</f>
        <v/>
      </c>
      <c r="U230" s="75"/>
      <c r="V230" s="76"/>
      <c r="W230" s="76"/>
      <c r="X230" s="76"/>
      <c r="Y230" s="76"/>
      <c r="Z230" s="79" t="str">
        <f aca="false">IF(B230="","",IF($U230="NON",0,IF(COUNT(V230:Y230)=0,"",SUM(V230:Y230))))</f>
        <v/>
      </c>
      <c r="AA230" s="77" t="str">
        <f aca="false">IF(B230="","",IF($U230="NON",0,IF(COUNT(V230:Y230)=0,"",IFERROR(ROUND(SUM(V230:Y230)/SUMPRODUCT(ISNUMBER(V230:Y230)*$V$8:$Y$8)*10,2),""))))</f>
        <v/>
      </c>
      <c r="AB230" s="75"/>
      <c r="AC230" s="76"/>
      <c r="AD230" s="76"/>
      <c r="AE230" s="76"/>
      <c r="AF230" s="76"/>
      <c r="AG230" s="79" t="str">
        <f aca="false">IF(B230="","",IF($AB230="NON",0,IF(COUNT(AC230:AF230)=0,"",SUM(AC230:AF230))))</f>
        <v/>
      </c>
      <c r="AH230" s="77" t="str">
        <f aca="false">IF(B230="","",IF($AB230="NON",0,IF(COUNT(AC230:AF230)=0,"",IFERROR(ROUND(SUM(AC230:AF230)/SUMPRODUCT(ISNUMBER(AC230:AF230)*$AC$8:$AF$8)*10,2),""))))</f>
        <v/>
      </c>
      <c r="AI230" s="51" t="str">
        <f aca="false">IFERROR(MATCH("CEM-221",'REGISTRE ELEVES'!$AI$10:$AI$250,0),"")</f>
        <v/>
      </c>
    </row>
    <row r="231" customFormat="false" ht="15" hidden="false" customHeight="false" outlineLevel="0" collapsed="false">
      <c r="A231" s="73" t="str">
        <f aca="false">IF(B231="","",222)</f>
        <v/>
      </c>
      <c r="B231" s="73" t="str">
        <f aca="false">IF($AI231="","",INDEX('REGISTRE ELEVES'!$B$10:$B$250,$AI231))</f>
        <v/>
      </c>
      <c r="C231" s="74" t="str">
        <f aca="false">IF($AI231="","",INDEX('REGISTRE ELEVES'!$D$10:$D$250,$AI231))</f>
        <v/>
      </c>
      <c r="D231" s="73" t="str">
        <f aca="false">IF($AI231="","",INDEX('REGISTRE ELEVES'!$E$10:$E$250,$AI231))</f>
        <v/>
      </c>
      <c r="E231" s="73" t="str">
        <f aca="false">IF($AI231="","",INDEX('REGISTRE ELEVES'!$F$10:$F$250,$AI231))</f>
        <v/>
      </c>
      <c r="F231" s="73" t="str">
        <f aca="false">IF($AI231="","",INDEX('REGISTRE ELEVES'!$AE$10:$AE$250,$AI231))</f>
        <v/>
      </c>
      <c r="G231" s="75"/>
      <c r="H231" s="76"/>
      <c r="I231" s="76"/>
      <c r="J231" s="76"/>
      <c r="K231" s="76"/>
      <c r="L231" s="79" t="str">
        <f aca="false">IF(B231="","",IF($G231="NON",0,IF(COUNT(H231:K231)=0,"",SUM(H231:K231))))</f>
        <v/>
      </c>
      <c r="M231" s="77" t="str">
        <f aca="false">IF(B231="","",IF($G231="NON",0,IF(COUNT(H231:K231)=0,"",IFERROR(ROUND(SUM(H231:K231)/SUMPRODUCT(ISNUMBER(H231:K231)*$H$8:$K$8)*10,2),""))))</f>
        <v/>
      </c>
      <c r="N231" s="75"/>
      <c r="O231" s="76"/>
      <c r="P231" s="76"/>
      <c r="Q231" s="76"/>
      <c r="R231" s="76"/>
      <c r="S231" s="79" t="str">
        <f aca="false">IF(B231="","",IF($N231="NON",0,IF(COUNT(O231:R231)=0,"",SUM(O231:R231))))</f>
        <v/>
      </c>
      <c r="T231" s="77" t="str">
        <f aca="false">IF(B231="","",IF($N231="NON",0,IF(COUNT(O231:R231)=0,"",IFERROR(ROUND(SUM(O231:R231)/SUMPRODUCT(ISNUMBER(O231:R231)*$O$8:$R$8)*10,2),""))))</f>
        <v/>
      </c>
      <c r="U231" s="75"/>
      <c r="V231" s="76"/>
      <c r="W231" s="76"/>
      <c r="X231" s="76"/>
      <c r="Y231" s="76"/>
      <c r="Z231" s="79" t="str">
        <f aca="false">IF(B231="","",IF($U231="NON",0,IF(COUNT(V231:Y231)=0,"",SUM(V231:Y231))))</f>
        <v/>
      </c>
      <c r="AA231" s="77" t="str">
        <f aca="false">IF(B231="","",IF($U231="NON",0,IF(COUNT(V231:Y231)=0,"",IFERROR(ROUND(SUM(V231:Y231)/SUMPRODUCT(ISNUMBER(V231:Y231)*$V$8:$Y$8)*10,2),""))))</f>
        <v/>
      </c>
      <c r="AB231" s="75"/>
      <c r="AC231" s="76"/>
      <c r="AD231" s="76"/>
      <c r="AE231" s="76"/>
      <c r="AF231" s="76"/>
      <c r="AG231" s="79" t="str">
        <f aca="false">IF(B231="","",IF($AB231="NON",0,IF(COUNT(AC231:AF231)=0,"",SUM(AC231:AF231))))</f>
        <v/>
      </c>
      <c r="AH231" s="77" t="str">
        <f aca="false">IF(B231="","",IF($AB231="NON",0,IF(COUNT(AC231:AF231)=0,"",IFERROR(ROUND(SUM(AC231:AF231)/SUMPRODUCT(ISNUMBER(AC231:AF231)*$AC$8:$AF$8)*10,2),""))))</f>
        <v/>
      </c>
      <c r="AI231" s="51" t="str">
        <f aca="false">IFERROR(MATCH("CEM-222",'REGISTRE ELEVES'!$AI$10:$AI$250,0),"")</f>
        <v/>
      </c>
    </row>
    <row r="232" customFormat="false" ht="15" hidden="false" customHeight="false" outlineLevel="0" collapsed="false">
      <c r="A232" s="73" t="str">
        <f aca="false">IF(B232="","",223)</f>
        <v/>
      </c>
      <c r="B232" s="73" t="str">
        <f aca="false">IF($AI232="","",INDEX('REGISTRE ELEVES'!$B$10:$B$250,$AI232))</f>
        <v/>
      </c>
      <c r="C232" s="74" t="str">
        <f aca="false">IF($AI232="","",INDEX('REGISTRE ELEVES'!$D$10:$D$250,$AI232))</f>
        <v/>
      </c>
      <c r="D232" s="73" t="str">
        <f aca="false">IF($AI232="","",INDEX('REGISTRE ELEVES'!$E$10:$E$250,$AI232))</f>
        <v/>
      </c>
      <c r="E232" s="73" t="str">
        <f aca="false">IF($AI232="","",INDEX('REGISTRE ELEVES'!$F$10:$F$250,$AI232))</f>
        <v/>
      </c>
      <c r="F232" s="73" t="str">
        <f aca="false">IF($AI232="","",INDEX('REGISTRE ELEVES'!$AE$10:$AE$250,$AI232))</f>
        <v/>
      </c>
      <c r="G232" s="75"/>
      <c r="H232" s="76"/>
      <c r="I232" s="76"/>
      <c r="J232" s="76"/>
      <c r="K232" s="76"/>
      <c r="L232" s="79" t="str">
        <f aca="false">IF(B232="","",IF($G232="NON",0,IF(COUNT(H232:K232)=0,"",SUM(H232:K232))))</f>
        <v/>
      </c>
      <c r="M232" s="77" t="str">
        <f aca="false">IF(B232="","",IF($G232="NON",0,IF(COUNT(H232:K232)=0,"",IFERROR(ROUND(SUM(H232:K232)/SUMPRODUCT(ISNUMBER(H232:K232)*$H$8:$K$8)*10,2),""))))</f>
        <v/>
      </c>
      <c r="N232" s="75"/>
      <c r="O232" s="76"/>
      <c r="P232" s="76"/>
      <c r="Q232" s="76"/>
      <c r="R232" s="76"/>
      <c r="S232" s="79" t="str">
        <f aca="false">IF(B232="","",IF($N232="NON",0,IF(COUNT(O232:R232)=0,"",SUM(O232:R232))))</f>
        <v/>
      </c>
      <c r="T232" s="77" t="str">
        <f aca="false">IF(B232="","",IF($N232="NON",0,IF(COUNT(O232:R232)=0,"",IFERROR(ROUND(SUM(O232:R232)/SUMPRODUCT(ISNUMBER(O232:R232)*$O$8:$R$8)*10,2),""))))</f>
        <v/>
      </c>
      <c r="U232" s="75"/>
      <c r="V232" s="76"/>
      <c r="W232" s="76"/>
      <c r="X232" s="76"/>
      <c r="Y232" s="76"/>
      <c r="Z232" s="79" t="str">
        <f aca="false">IF(B232="","",IF($U232="NON",0,IF(COUNT(V232:Y232)=0,"",SUM(V232:Y232))))</f>
        <v/>
      </c>
      <c r="AA232" s="77" t="str">
        <f aca="false">IF(B232="","",IF($U232="NON",0,IF(COUNT(V232:Y232)=0,"",IFERROR(ROUND(SUM(V232:Y232)/SUMPRODUCT(ISNUMBER(V232:Y232)*$V$8:$Y$8)*10,2),""))))</f>
        <v/>
      </c>
      <c r="AB232" s="75"/>
      <c r="AC232" s="76"/>
      <c r="AD232" s="76"/>
      <c r="AE232" s="76"/>
      <c r="AF232" s="76"/>
      <c r="AG232" s="79" t="str">
        <f aca="false">IF(B232="","",IF($AB232="NON",0,IF(COUNT(AC232:AF232)=0,"",SUM(AC232:AF232))))</f>
        <v/>
      </c>
      <c r="AH232" s="77" t="str">
        <f aca="false">IF(B232="","",IF($AB232="NON",0,IF(COUNT(AC232:AF232)=0,"",IFERROR(ROUND(SUM(AC232:AF232)/SUMPRODUCT(ISNUMBER(AC232:AF232)*$AC$8:$AF$8)*10,2),""))))</f>
        <v/>
      </c>
      <c r="AI232" s="51" t="str">
        <f aca="false">IFERROR(MATCH("CEM-223",'REGISTRE ELEVES'!$AI$10:$AI$250,0),"")</f>
        <v/>
      </c>
    </row>
    <row r="233" customFormat="false" ht="15" hidden="false" customHeight="false" outlineLevel="0" collapsed="false">
      <c r="A233" s="73" t="str">
        <f aca="false">IF(B233="","",224)</f>
        <v/>
      </c>
      <c r="B233" s="73" t="str">
        <f aca="false">IF($AI233="","",INDEX('REGISTRE ELEVES'!$B$10:$B$250,$AI233))</f>
        <v/>
      </c>
      <c r="C233" s="74" t="str">
        <f aca="false">IF($AI233="","",INDEX('REGISTRE ELEVES'!$D$10:$D$250,$AI233))</f>
        <v/>
      </c>
      <c r="D233" s="73" t="str">
        <f aca="false">IF($AI233="","",INDEX('REGISTRE ELEVES'!$E$10:$E$250,$AI233))</f>
        <v/>
      </c>
      <c r="E233" s="73" t="str">
        <f aca="false">IF($AI233="","",INDEX('REGISTRE ELEVES'!$F$10:$F$250,$AI233))</f>
        <v/>
      </c>
      <c r="F233" s="73" t="str">
        <f aca="false">IF($AI233="","",INDEX('REGISTRE ELEVES'!$AE$10:$AE$250,$AI233))</f>
        <v/>
      </c>
      <c r="G233" s="75"/>
      <c r="H233" s="76"/>
      <c r="I233" s="76"/>
      <c r="J233" s="76"/>
      <c r="K233" s="76"/>
      <c r="L233" s="79" t="str">
        <f aca="false">IF(B233="","",IF($G233="NON",0,IF(COUNT(H233:K233)=0,"",SUM(H233:K233))))</f>
        <v/>
      </c>
      <c r="M233" s="77" t="str">
        <f aca="false">IF(B233="","",IF($G233="NON",0,IF(COUNT(H233:K233)=0,"",IFERROR(ROUND(SUM(H233:K233)/SUMPRODUCT(ISNUMBER(H233:K233)*$H$8:$K$8)*10,2),""))))</f>
        <v/>
      </c>
      <c r="N233" s="75"/>
      <c r="O233" s="76"/>
      <c r="P233" s="76"/>
      <c r="Q233" s="76"/>
      <c r="R233" s="76"/>
      <c r="S233" s="79" t="str">
        <f aca="false">IF(B233="","",IF($N233="NON",0,IF(COUNT(O233:R233)=0,"",SUM(O233:R233))))</f>
        <v/>
      </c>
      <c r="T233" s="77" t="str">
        <f aca="false">IF(B233="","",IF($N233="NON",0,IF(COUNT(O233:R233)=0,"",IFERROR(ROUND(SUM(O233:R233)/SUMPRODUCT(ISNUMBER(O233:R233)*$O$8:$R$8)*10,2),""))))</f>
        <v/>
      </c>
      <c r="U233" s="75"/>
      <c r="V233" s="76"/>
      <c r="W233" s="76"/>
      <c r="X233" s="76"/>
      <c r="Y233" s="76"/>
      <c r="Z233" s="79" t="str">
        <f aca="false">IF(B233="","",IF($U233="NON",0,IF(COUNT(V233:Y233)=0,"",SUM(V233:Y233))))</f>
        <v/>
      </c>
      <c r="AA233" s="77" t="str">
        <f aca="false">IF(B233="","",IF($U233="NON",0,IF(COUNT(V233:Y233)=0,"",IFERROR(ROUND(SUM(V233:Y233)/SUMPRODUCT(ISNUMBER(V233:Y233)*$V$8:$Y$8)*10,2),""))))</f>
        <v/>
      </c>
      <c r="AB233" s="75"/>
      <c r="AC233" s="76"/>
      <c r="AD233" s="76"/>
      <c r="AE233" s="76"/>
      <c r="AF233" s="76"/>
      <c r="AG233" s="79" t="str">
        <f aca="false">IF(B233="","",IF($AB233="NON",0,IF(COUNT(AC233:AF233)=0,"",SUM(AC233:AF233))))</f>
        <v/>
      </c>
      <c r="AH233" s="77" t="str">
        <f aca="false">IF(B233="","",IF($AB233="NON",0,IF(COUNT(AC233:AF233)=0,"",IFERROR(ROUND(SUM(AC233:AF233)/SUMPRODUCT(ISNUMBER(AC233:AF233)*$AC$8:$AF$8)*10,2),""))))</f>
        <v/>
      </c>
      <c r="AI233" s="51" t="str">
        <f aca="false">IFERROR(MATCH("CEM-224",'REGISTRE ELEVES'!$AI$10:$AI$250,0),"")</f>
        <v/>
      </c>
    </row>
    <row r="234" customFormat="false" ht="15" hidden="false" customHeight="false" outlineLevel="0" collapsed="false">
      <c r="A234" s="73" t="str">
        <f aca="false">IF(B234="","",225)</f>
        <v/>
      </c>
      <c r="B234" s="73" t="str">
        <f aca="false">IF($AI234="","",INDEX('REGISTRE ELEVES'!$B$10:$B$250,$AI234))</f>
        <v/>
      </c>
      <c r="C234" s="74" t="str">
        <f aca="false">IF($AI234="","",INDEX('REGISTRE ELEVES'!$D$10:$D$250,$AI234))</f>
        <v/>
      </c>
      <c r="D234" s="73" t="str">
        <f aca="false">IF($AI234="","",INDEX('REGISTRE ELEVES'!$E$10:$E$250,$AI234))</f>
        <v/>
      </c>
      <c r="E234" s="73" t="str">
        <f aca="false">IF($AI234="","",INDEX('REGISTRE ELEVES'!$F$10:$F$250,$AI234))</f>
        <v/>
      </c>
      <c r="F234" s="73" t="str">
        <f aca="false">IF($AI234="","",INDEX('REGISTRE ELEVES'!$AE$10:$AE$250,$AI234))</f>
        <v/>
      </c>
      <c r="G234" s="75"/>
      <c r="H234" s="76"/>
      <c r="I234" s="76"/>
      <c r="J234" s="76"/>
      <c r="K234" s="76"/>
      <c r="L234" s="79" t="str">
        <f aca="false">IF(B234="","",IF($G234="NON",0,IF(COUNT(H234:K234)=0,"",SUM(H234:K234))))</f>
        <v/>
      </c>
      <c r="M234" s="77" t="str">
        <f aca="false">IF(B234="","",IF($G234="NON",0,IF(COUNT(H234:K234)=0,"",IFERROR(ROUND(SUM(H234:K234)/SUMPRODUCT(ISNUMBER(H234:K234)*$H$8:$K$8)*10,2),""))))</f>
        <v/>
      </c>
      <c r="N234" s="75"/>
      <c r="O234" s="76"/>
      <c r="P234" s="76"/>
      <c r="Q234" s="76"/>
      <c r="R234" s="76"/>
      <c r="S234" s="79" t="str">
        <f aca="false">IF(B234="","",IF($N234="NON",0,IF(COUNT(O234:R234)=0,"",SUM(O234:R234))))</f>
        <v/>
      </c>
      <c r="T234" s="77" t="str">
        <f aca="false">IF(B234="","",IF($N234="NON",0,IF(COUNT(O234:R234)=0,"",IFERROR(ROUND(SUM(O234:R234)/SUMPRODUCT(ISNUMBER(O234:R234)*$O$8:$R$8)*10,2),""))))</f>
        <v/>
      </c>
      <c r="U234" s="75"/>
      <c r="V234" s="76"/>
      <c r="W234" s="76"/>
      <c r="X234" s="76"/>
      <c r="Y234" s="76"/>
      <c r="Z234" s="79" t="str">
        <f aca="false">IF(B234="","",IF($U234="NON",0,IF(COUNT(V234:Y234)=0,"",SUM(V234:Y234))))</f>
        <v/>
      </c>
      <c r="AA234" s="77" t="str">
        <f aca="false">IF(B234="","",IF($U234="NON",0,IF(COUNT(V234:Y234)=0,"",IFERROR(ROUND(SUM(V234:Y234)/SUMPRODUCT(ISNUMBER(V234:Y234)*$V$8:$Y$8)*10,2),""))))</f>
        <v/>
      </c>
      <c r="AB234" s="75"/>
      <c r="AC234" s="76"/>
      <c r="AD234" s="76"/>
      <c r="AE234" s="76"/>
      <c r="AF234" s="76"/>
      <c r="AG234" s="79" t="str">
        <f aca="false">IF(B234="","",IF($AB234="NON",0,IF(COUNT(AC234:AF234)=0,"",SUM(AC234:AF234))))</f>
        <v/>
      </c>
      <c r="AH234" s="77" t="str">
        <f aca="false">IF(B234="","",IF($AB234="NON",0,IF(COUNT(AC234:AF234)=0,"",IFERROR(ROUND(SUM(AC234:AF234)/SUMPRODUCT(ISNUMBER(AC234:AF234)*$AC$8:$AF$8)*10,2),""))))</f>
        <v/>
      </c>
      <c r="AI234" s="51" t="str">
        <f aca="false">IFERROR(MATCH("CEM-225",'REGISTRE ELEVES'!$AI$10:$AI$250,0),"")</f>
        <v/>
      </c>
    </row>
    <row r="235" customFormat="false" ht="15" hidden="false" customHeight="false" outlineLevel="0" collapsed="false">
      <c r="A235" s="73" t="str">
        <f aca="false">IF(B235="","",226)</f>
        <v/>
      </c>
      <c r="B235" s="73" t="str">
        <f aca="false">IF($AI235="","",INDEX('REGISTRE ELEVES'!$B$10:$B$250,$AI235))</f>
        <v/>
      </c>
      <c r="C235" s="74" t="str">
        <f aca="false">IF($AI235="","",INDEX('REGISTRE ELEVES'!$D$10:$D$250,$AI235))</f>
        <v/>
      </c>
      <c r="D235" s="73" t="str">
        <f aca="false">IF($AI235="","",INDEX('REGISTRE ELEVES'!$E$10:$E$250,$AI235))</f>
        <v/>
      </c>
      <c r="E235" s="73" t="str">
        <f aca="false">IF($AI235="","",INDEX('REGISTRE ELEVES'!$F$10:$F$250,$AI235))</f>
        <v/>
      </c>
      <c r="F235" s="73" t="str">
        <f aca="false">IF($AI235="","",INDEX('REGISTRE ELEVES'!$AE$10:$AE$250,$AI235))</f>
        <v/>
      </c>
      <c r="G235" s="75"/>
      <c r="H235" s="76"/>
      <c r="I235" s="76"/>
      <c r="J235" s="76"/>
      <c r="K235" s="76"/>
      <c r="L235" s="79" t="str">
        <f aca="false">IF(B235="","",IF($G235="NON",0,IF(COUNT(H235:K235)=0,"",SUM(H235:K235))))</f>
        <v/>
      </c>
      <c r="M235" s="77" t="str">
        <f aca="false">IF(B235="","",IF($G235="NON",0,IF(COUNT(H235:K235)=0,"",IFERROR(ROUND(SUM(H235:K235)/SUMPRODUCT(ISNUMBER(H235:K235)*$H$8:$K$8)*10,2),""))))</f>
        <v/>
      </c>
      <c r="N235" s="75"/>
      <c r="O235" s="76"/>
      <c r="P235" s="76"/>
      <c r="Q235" s="76"/>
      <c r="R235" s="76"/>
      <c r="S235" s="79" t="str">
        <f aca="false">IF(B235="","",IF($N235="NON",0,IF(COUNT(O235:R235)=0,"",SUM(O235:R235))))</f>
        <v/>
      </c>
      <c r="T235" s="77" t="str">
        <f aca="false">IF(B235="","",IF($N235="NON",0,IF(COUNT(O235:R235)=0,"",IFERROR(ROUND(SUM(O235:R235)/SUMPRODUCT(ISNUMBER(O235:R235)*$O$8:$R$8)*10,2),""))))</f>
        <v/>
      </c>
      <c r="U235" s="75"/>
      <c r="V235" s="76"/>
      <c r="W235" s="76"/>
      <c r="X235" s="76"/>
      <c r="Y235" s="76"/>
      <c r="Z235" s="79" t="str">
        <f aca="false">IF(B235="","",IF($U235="NON",0,IF(COUNT(V235:Y235)=0,"",SUM(V235:Y235))))</f>
        <v/>
      </c>
      <c r="AA235" s="77" t="str">
        <f aca="false">IF(B235="","",IF($U235="NON",0,IF(COUNT(V235:Y235)=0,"",IFERROR(ROUND(SUM(V235:Y235)/SUMPRODUCT(ISNUMBER(V235:Y235)*$V$8:$Y$8)*10,2),""))))</f>
        <v/>
      </c>
      <c r="AB235" s="75"/>
      <c r="AC235" s="76"/>
      <c r="AD235" s="76"/>
      <c r="AE235" s="76"/>
      <c r="AF235" s="76"/>
      <c r="AG235" s="79" t="str">
        <f aca="false">IF(B235="","",IF($AB235="NON",0,IF(COUNT(AC235:AF235)=0,"",SUM(AC235:AF235))))</f>
        <v/>
      </c>
      <c r="AH235" s="77" t="str">
        <f aca="false">IF(B235="","",IF($AB235="NON",0,IF(COUNT(AC235:AF235)=0,"",IFERROR(ROUND(SUM(AC235:AF235)/SUMPRODUCT(ISNUMBER(AC235:AF235)*$AC$8:$AF$8)*10,2),""))))</f>
        <v/>
      </c>
      <c r="AI235" s="51" t="str">
        <f aca="false">IFERROR(MATCH("CEM-226",'REGISTRE ELEVES'!$AI$10:$AI$250,0),"")</f>
        <v/>
      </c>
    </row>
    <row r="236" customFormat="false" ht="15" hidden="false" customHeight="false" outlineLevel="0" collapsed="false">
      <c r="A236" s="73" t="str">
        <f aca="false">IF(B236="","",227)</f>
        <v/>
      </c>
      <c r="B236" s="73" t="str">
        <f aca="false">IF($AI236="","",INDEX('REGISTRE ELEVES'!$B$10:$B$250,$AI236))</f>
        <v/>
      </c>
      <c r="C236" s="74" t="str">
        <f aca="false">IF($AI236="","",INDEX('REGISTRE ELEVES'!$D$10:$D$250,$AI236))</f>
        <v/>
      </c>
      <c r="D236" s="73" t="str">
        <f aca="false">IF($AI236="","",INDEX('REGISTRE ELEVES'!$E$10:$E$250,$AI236))</f>
        <v/>
      </c>
      <c r="E236" s="73" t="str">
        <f aca="false">IF($AI236="","",INDEX('REGISTRE ELEVES'!$F$10:$F$250,$AI236))</f>
        <v/>
      </c>
      <c r="F236" s="73" t="str">
        <f aca="false">IF($AI236="","",INDEX('REGISTRE ELEVES'!$AE$10:$AE$250,$AI236))</f>
        <v/>
      </c>
      <c r="G236" s="75"/>
      <c r="H236" s="76"/>
      <c r="I236" s="76"/>
      <c r="J236" s="76"/>
      <c r="K236" s="76"/>
      <c r="L236" s="79" t="str">
        <f aca="false">IF(B236="","",IF($G236="NON",0,IF(COUNT(H236:K236)=0,"",SUM(H236:K236))))</f>
        <v/>
      </c>
      <c r="M236" s="77" t="str">
        <f aca="false">IF(B236="","",IF($G236="NON",0,IF(COUNT(H236:K236)=0,"",IFERROR(ROUND(SUM(H236:K236)/SUMPRODUCT(ISNUMBER(H236:K236)*$H$8:$K$8)*10,2),""))))</f>
        <v/>
      </c>
      <c r="N236" s="75"/>
      <c r="O236" s="76"/>
      <c r="P236" s="76"/>
      <c r="Q236" s="76"/>
      <c r="R236" s="76"/>
      <c r="S236" s="79" t="str">
        <f aca="false">IF(B236="","",IF($N236="NON",0,IF(COUNT(O236:R236)=0,"",SUM(O236:R236))))</f>
        <v/>
      </c>
      <c r="T236" s="77" t="str">
        <f aca="false">IF(B236="","",IF($N236="NON",0,IF(COUNT(O236:R236)=0,"",IFERROR(ROUND(SUM(O236:R236)/SUMPRODUCT(ISNUMBER(O236:R236)*$O$8:$R$8)*10,2),""))))</f>
        <v/>
      </c>
      <c r="U236" s="75"/>
      <c r="V236" s="76"/>
      <c r="W236" s="76"/>
      <c r="X236" s="76"/>
      <c r="Y236" s="76"/>
      <c r="Z236" s="79" t="str">
        <f aca="false">IF(B236="","",IF($U236="NON",0,IF(COUNT(V236:Y236)=0,"",SUM(V236:Y236))))</f>
        <v/>
      </c>
      <c r="AA236" s="77" t="str">
        <f aca="false">IF(B236="","",IF($U236="NON",0,IF(COUNT(V236:Y236)=0,"",IFERROR(ROUND(SUM(V236:Y236)/SUMPRODUCT(ISNUMBER(V236:Y236)*$V$8:$Y$8)*10,2),""))))</f>
        <v/>
      </c>
      <c r="AB236" s="75"/>
      <c r="AC236" s="76"/>
      <c r="AD236" s="76"/>
      <c r="AE236" s="76"/>
      <c r="AF236" s="76"/>
      <c r="AG236" s="79" t="str">
        <f aca="false">IF(B236="","",IF($AB236="NON",0,IF(COUNT(AC236:AF236)=0,"",SUM(AC236:AF236))))</f>
        <v/>
      </c>
      <c r="AH236" s="77" t="str">
        <f aca="false">IF(B236="","",IF($AB236="NON",0,IF(COUNT(AC236:AF236)=0,"",IFERROR(ROUND(SUM(AC236:AF236)/SUMPRODUCT(ISNUMBER(AC236:AF236)*$AC$8:$AF$8)*10,2),""))))</f>
        <v/>
      </c>
      <c r="AI236" s="51" t="str">
        <f aca="false">IFERROR(MATCH("CEM-227",'REGISTRE ELEVES'!$AI$10:$AI$250,0),"")</f>
        <v/>
      </c>
    </row>
    <row r="237" customFormat="false" ht="15" hidden="false" customHeight="false" outlineLevel="0" collapsed="false">
      <c r="A237" s="73" t="str">
        <f aca="false">IF(B237="","",228)</f>
        <v/>
      </c>
      <c r="B237" s="73" t="str">
        <f aca="false">IF($AI237="","",INDEX('REGISTRE ELEVES'!$B$10:$B$250,$AI237))</f>
        <v/>
      </c>
      <c r="C237" s="74" t="str">
        <f aca="false">IF($AI237="","",INDEX('REGISTRE ELEVES'!$D$10:$D$250,$AI237))</f>
        <v/>
      </c>
      <c r="D237" s="73" t="str">
        <f aca="false">IF($AI237="","",INDEX('REGISTRE ELEVES'!$E$10:$E$250,$AI237))</f>
        <v/>
      </c>
      <c r="E237" s="73" t="str">
        <f aca="false">IF($AI237="","",INDEX('REGISTRE ELEVES'!$F$10:$F$250,$AI237))</f>
        <v/>
      </c>
      <c r="F237" s="73" t="str">
        <f aca="false">IF($AI237="","",INDEX('REGISTRE ELEVES'!$AE$10:$AE$250,$AI237))</f>
        <v/>
      </c>
      <c r="G237" s="75"/>
      <c r="H237" s="76"/>
      <c r="I237" s="76"/>
      <c r="J237" s="76"/>
      <c r="K237" s="76"/>
      <c r="L237" s="79" t="str">
        <f aca="false">IF(B237="","",IF($G237="NON",0,IF(COUNT(H237:K237)=0,"",SUM(H237:K237))))</f>
        <v/>
      </c>
      <c r="M237" s="77" t="str">
        <f aca="false">IF(B237="","",IF($G237="NON",0,IF(COUNT(H237:K237)=0,"",IFERROR(ROUND(SUM(H237:K237)/SUMPRODUCT(ISNUMBER(H237:K237)*$H$8:$K$8)*10,2),""))))</f>
        <v/>
      </c>
      <c r="N237" s="75"/>
      <c r="O237" s="76"/>
      <c r="P237" s="76"/>
      <c r="Q237" s="76"/>
      <c r="R237" s="76"/>
      <c r="S237" s="79" t="str">
        <f aca="false">IF(B237="","",IF($N237="NON",0,IF(COUNT(O237:R237)=0,"",SUM(O237:R237))))</f>
        <v/>
      </c>
      <c r="T237" s="77" t="str">
        <f aca="false">IF(B237="","",IF($N237="NON",0,IF(COUNT(O237:R237)=0,"",IFERROR(ROUND(SUM(O237:R237)/SUMPRODUCT(ISNUMBER(O237:R237)*$O$8:$R$8)*10,2),""))))</f>
        <v/>
      </c>
      <c r="U237" s="75"/>
      <c r="V237" s="76"/>
      <c r="W237" s="76"/>
      <c r="X237" s="76"/>
      <c r="Y237" s="76"/>
      <c r="Z237" s="79" t="str">
        <f aca="false">IF(B237="","",IF($U237="NON",0,IF(COUNT(V237:Y237)=0,"",SUM(V237:Y237))))</f>
        <v/>
      </c>
      <c r="AA237" s="77" t="str">
        <f aca="false">IF(B237="","",IF($U237="NON",0,IF(COUNT(V237:Y237)=0,"",IFERROR(ROUND(SUM(V237:Y237)/SUMPRODUCT(ISNUMBER(V237:Y237)*$V$8:$Y$8)*10,2),""))))</f>
        <v/>
      </c>
      <c r="AB237" s="75"/>
      <c r="AC237" s="76"/>
      <c r="AD237" s="76"/>
      <c r="AE237" s="76"/>
      <c r="AF237" s="76"/>
      <c r="AG237" s="79" t="str">
        <f aca="false">IF(B237="","",IF($AB237="NON",0,IF(COUNT(AC237:AF237)=0,"",SUM(AC237:AF237))))</f>
        <v/>
      </c>
      <c r="AH237" s="77" t="str">
        <f aca="false">IF(B237="","",IF($AB237="NON",0,IF(COUNT(AC237:AF237)=0,"",IFERROR(ROUND(SUM(AC237:AF237)/SUMPRODUCT(ISNUMBER(AC237:AF237)*$AC$8:$AF$8)*10,2),""))))</f>
        <v/>
      </c>
      <c r="AI237" s="51" t="str">
        <f aca="false">IFERROR(MATCH("CEM-228",'REGISTRE ELEVES'!$AI$10:$AI$250,0),"")</f>
        <v/>
      </c>
    </row>
    <row r="238" customFormat="false" ht="15" hidden="false" customHeight="false" outlineLevel="0" collapsed="false">
      <c r="A238" s="73" t="str">
        <f aca="false">IF(B238="","",229)</f>
        <v/>
      </c>
      <c r="B238" s="73" t="str">
        <f aca="false">IF($AI238="","",INDEX('REGISTRE ELEVES'!$B$10:$B$250,$AI238))</f>
        <v/>
      </c>
      <c r="C238" s="74" t="str">
        <f aca="false">IF($AI238="","",INDEX('REGISTRE ELEVES'!$D$10:$D$250,$AI238))</f>
        <v/>
      </c>
      <c r="D238" s="73" t="str">
        <f aca="false">IF($AI238="","",INDEX('REGISTRE ELEVES'!$E$10:$E$250,$AI238))</f>
        <v/>
      </c>
      <c r="E238" s="73" t="str">
        <f aca="false">IF($AI238="","",INDEX('REGISTRE ELEVES'!$F$10:$F$250,$AI238))</f>
        <v/>
      </c>
      <c r="F238" s="73" t="str">
        <f aca="false">IF($AI238="","",INDEX('REGISTRE ELEVES'!$AE$10:$AE$250,$AI238))</f>
        <v/>
      </c>
      <c r="G238" s="75"/>
      <c r="H238" s="76"/>
      <c r="I238" s="76"/>
      <c r="J238" s="76"/>
      <c r="K238" s="76"/>
      <c r="L238" s="79" t="str">
        <f aca="false">IF(B238="","",IF($G238="NON",0,IF(COUNT(H238:K238)=0,"",SUM(H238:K238))))</f>
        <v/>
      </c>
      <c r="M238" s="77" t="str">
        <f aca="false">IF(B238="","",IF($G238="NON",0,IF(COUNT(H238:K238)=0,"",IFERROR(ROUND(SUM(H238:K238)/SUMPRODUCT(ISNUMBER(H238:K238)*$H$8:$K$8)*10,2),""))))</f>
        <v/>
      </c>
      <c r="N238" s="75"/>
      <c r="O238" s="76"/>
      <c r="P238" s="76"/>
      <c r="Q238" s="76"/>
      <c r="R238" s="76"/>
      <c r="S238" s="79" t="str">
        <f aca="false">IF(B238="","",IF($N238="NON",0,IF(COUNT(O238:R238)=0,"",SUM(O238:R238))))</f>
        <v/>
      </c>
      <c r="T238" s="77" t="str">
        <f aca="false">IF(B238="","",IF($N238="NON",0,IF(COUNT(O238:R238)=0,"",IFERROR(ROUND(SUM(O238:R238)/SUMPRODUCT(ISNUMBER(O238:R238)*$O$8:$R$8)*10,2),""))))</f>
        <v/>
      </c>
      <c r="U238" s="75"/>
      <c r="V238" s="76"/>
      <c r="W238" s="76"/>
      <c r="X238" s="76"/>
      <c r="Y238" s="76"/>
      <c r="Z238" s="79" t="str">
        <f aca="false">IF(B238="","",IF($U238="NON",0,IF(COUNT(V238:Y238)=0,"",SUM(V238:Y238))))</f>
        <v/>
      </c>
      <c r="AA238" s="77" t="str">
        <f aca="false">IF(B238="","",IF($U238="NON",0,IF(COUNT(V238:Y238)=0,"",IFERROR(ROUND(SUM(V238:Y238)/SUMPRODUCT(ISNUMBER(V238:Y238)*$V$8:$Y$8)*10,2),""))))</f>
        <v/>
      </c>
      <c r="AB238" s="75"/>
      <c r="AC238" s="76"/>
      <c r="AD238" s="76"/>
      <c r="AE238" s="76"/>
      <c r="AF238" s="76"/>
      <c r="AG238" s="79" t="str">
        <f aca="false">IF(B238="","",IF($AB238="NON",0,IF(COUNT(AC238:AF238)=0,"",SUM(AC238:AF238))))</f>
        <v/>
      </c>
      <c r="AH238" s="77" t="str">
        <f aca="false">IF(B238="","",IF($AB238="NON",0,IF(COUNT(AC238:AF238)=0,"",IFERROR(ROUND(SUM(AC238:AF238)/SUMPRODUCT(ISNUMBER(AC238:AF238)*$AC$8:$AF$8)*10,2),""))))</f>
        <v/>
      </c>
      <c r="AI238" s="51" t="str">
        <f aca="false">IFERROR(MATCH("CEM-229",'REGISTRE ELEVES'!$AI$10:$AI$250,0),"")</f>
        <v/>
      </c>
    </row>
    <row r="239" customFormat="false" ht="15" hidden="false" customHeight="false" outlineLevel="0" collapsed="false">
      <c r="A239" s="73" t="str">
        <f aca="false">IF(B239="","",230)</f>
        <v/>
      </c>
      <c r="B239" s="73" t="str">
        <f aca="false">IF($AI239="","",INDEX('REGISTRE ELEVES'!$B$10:$B$250,$AI239))</f>
        <v/>
      </c>
      <c r="C239" s="74" t="str">
        <f aca="false">IF($AI239="","",INDEX('REGISTRE ELEVES'!$D$10:$D$250,$AI239))</f>
        <v/>
      </c>
      <c r="D239" s="73" t="str">
        <f aca="false">IF($AI239="","",INDEX('REGISTRE ELEVES'!$E$10:$E$250,$AI239))</f>
        <v/>
      </c>
      <c r="E239" s="73" t="str">
        <f aca="false">IF($AI239="","",INDEX('REGISTRE ELEVES'!$F$10:$F$250,$AI239))</f>
        <v/>
      </c>
      <c r="F239" s="73" t="str">
        <f aca="false">IF($AI239="","",INDEX('REGISTRE ELEVES'!$AE$10:$AE$250,$AI239))</f>
        <v/>
      </c>
      <c r="G239" s="75"/>
      <c r="H239" s="76"/>
      <c r="I239" s="76"/>
      <c r="J239" s="76"/>
      <c r="K239" s="76"/>
      <c r="L239" s="79" t="str">
        <f aca="false">IF(B239="","",IF($G239="NON",0,IF(COUNT(H239:K239)=0,"",SUM(H239:K239))))</f>
        <v/>
      </c>
      <c r="M239" s="77" t="str">
        <f aca="false">IF(B239="","",IF($G239="NON",0,IF(COUNT(H239:K239)=0,"",IFERROR(ROUND(SUM(H239:K239)/SUMPRODUCT(ISNUMBER(H239:K239)*$H$8:$K$8)*10,2),""))))</f>
        <v/>
      </c>
      <c r="N239" s="75"/>
      <c r="O239" s="76"/>
      <c r="P239" s="76"/>
      <c r="Q239" s="76"/>
      <c r="R239" s="76"/>
      <c r="S239" s="79" t="str">
        <f aca="false">IF(B239="","",IF($N239="NON",0,IF(COUNT(O239:R239)=0,"",SUM(O239:R239))))</f>
        <v/>
      </c>
      <c r="T239" s="77" t="str">
        <f aca="false">IF(B239="","",IF($N239="NON",0,IF(COUNT(O239:R239)=0,"",IFERROR(ROUND(SUM(O239:R239)/SUMPRODUCT(ISNUMBER(O239:R239)*$O$8:$R$8)*10,2),""))))</f>
        <v/>
      </c>
      <c r="U239" s="75"/>
      <c r="V239" s="76"/>
      <c r="W239" s="76"/>
      <c r="X239" s="76"/>
      <c r="Y239" s="76"/>
      <c r="Z239" s="79" t="str">
        <f aca="false">IF(B239="","",IF($U239="NON",0,IF(COUNT(V239:Y239)=0,"",SUM(V239:Y239))))</f>
        <v/>
      </c>
      <c r="AA239" s="77" t="str">
        <f aca="false">IF(B239="","",IF($U239="NON",0,IF(COUNT(V239:Y239)=0,"",IFERROR(ROUND(SUM(V239:Y239)/SUMPRODUCT(ISNUMBER(V239:Y239)*$V$8:$Y$8)*10,2),""))))</f>
        <v/>
      </c>
      <c r="AB239" s="75"/>
      <c r="AC239" s="76"/>
      <c r="AD239" s="76"/>
      <c r="AE239" s="76"/>
      <c r="AF239" s="76"/>
      <c r="AG239" s="79" t="str">
        <f aca="false">IF(B239="","",IF($AB239="NON",0,IF(COUNT(AC239:AF239)=0,"",SUM(AC239:AF239))))</f>
        <v/>
      </c>
      <c r="AH239" s="77" t="str">
        <f aca="false">IF(B239="","",IF($AB239="NON",0,IF(COUNT(AC239:AF239)=0,"",IFERROR(ROUND(SUM(AC239:AF239)/SUMPRODUCT(ISNUMBER(AC239:AF239)*$AC$8:$AF$8)*10,2),""))))</f>
        <v/>
      </c>
      <c r="AI239" s="51" t="str">
        <f aca="false">IFERROR(MATCH("CEM-230",'REGISTRE ELEVES'!$AI$10:$AI$250,0),"")</f>
        <v/>
      </c>
    </row>
    <row r="240" customFormat="false" ht="15" hidden="false" customHeight="false" outlineLevel="0" collapsed="false">
      <c r="A240" s="73" t="str">
        <f aca="false">IF(B240="","",231)</f>
        <v/>
      </c>
      <c r="B240" s="73" t="str">
        <f aca="false">IF($AI240="","",INDEX('REGISTRE ELEVES'!$B$10:$B$250,$AI240))</f>
        <v/>
      </c>
      <c r="C240" s="74" t="str">
        <f aca="false">IF($AI240="","",INDEX('REGISTRE ELEVES'!$D$10:$D$250,$AI240))</f>
        <v/>
      </c>
      <c r="D240" s="73" t="str">
        <f aca="false">IF($AI240="","",INDEX('REGISTRE ELEVES'!$E$10:$E$250,$AI240))</f>
        <v/>
      </c>
      <c r="E240" s="73" t="str">
        <f aca="false">IF($AI240="","",INDEX('REGISTRE ELEVES'!$F$10:$F$250,$AI240))</f>
        <v/>
      </c>
      <c r="F240" s="73" t="str">
        <f aca="false">IF($AI240="","",INDEX('REGISTRE ELEVES'!$AE$10:$AE$250,$AI240))</f>
        <v/>
      </c>
      <c r="G240" s="75"/>
      <c r="H240" s="76"/>
      <c r="I240" s="76"/>
      <c r="J240" s="76"/>
      <c r="K240" s="76"/>
      <c r="L240" s="79" t="str">
        <f aca="false">IF(B240="","",IF($G240="NON",0,IF(COUNT(H240:K240)=0,"",SUM(H240:K240))))</f>
        <v/>
      </c>
      <c r="M240" s="77" t="str">
        <f aca="false">IF(B240="","",IF($G240="NON",0,IF(COUNT(H240:K240)=0,"",IFERROR(ROUND(SUM(H240:K240)/SUMPRODUCT(ISNUMBER(H240:K240)*$H$8:$K$8)*10,2),""))))</f>
        <v/>
      </c>
      <c r="N240" s="75"/>
      <c r="O240" s="76"/>
      <c r="P240" s="76"/>
      <c r="Q240" s="76"/>
      <c r="R240" s="76"/>
      <c r="S240" s="79" t="str">
        <f aca="false">IF(B240="","",IF($N240="NON",0,IF(COUNT(O240:R240)=0,"",SUM(O240:R240))))</f>
        <v/>
      </c>
      <c r="T240" s="77" t="str">
        <f aca="false">IF(B240="","",IF($N240="NON",0,IF(COUNT(O240:R240)=0,"",IFERROR(ROUND(SUM(O240:R240)/SUMPRODUCT(ISNUMBER(O240:R240)*$O$8:$R$8)*10,2),""))))</f>
        <v/>
      </c>
      <c r="U240" s="75"/>
      <c r="V240" s="76"/>
      <c r="W240" s="76"/>
      <c r="X240" s="76"/>
      <c r="Y240" s="76"/>
      <c r="Z240" s="79" t="str">
        <f aca="false">IF(B240="","",IF($U240="NON",0,IF(COUNT(V240:Y240)=0,"",SUM(V240:Y240))))</f>
        <v/>
      </c>
      <c r="AA240" s="77" t="str">
        <f aca="false">IF(B240="","",IF($U240="NON",0,IF(COUNT(V240:Y240)=0,"",IFERROR(ROUND(SUM(V240:Y240)/SUMPRODUCT(ISNUMBER(V240:Y240)*$V$8:$Y$8)*10,2),""))))</f>
        <v/>
      </c>
      <c r="AB240" s="75"/>
      <c r="AC240" s="76"/>
      <c r="AD240" s="76"/>
      <c r="AE240" s="76"/>
      <c r="AF240" s="76"/>
      <c r="AG240" s="79" t="str">
        <f aca="false">IF(B240="","",IF($AB240="NON",0,IF(COUNT(AC240:AF240)=0,"",SUM(AC240:AF240))))</f>
        <v/>
      </c>
      <c r="AH240" s="77" t="str">
        <f aca="false">IF(B240="","",IF($AB240="NON",0,IF(COUNT(AC240:AF240)=0,"",IFERROR(ROUND(SUM(AC240:AF240)/SUMPRODUCT(ISNUMBER(AC240:AF240)*$AC$8:$AF$8)*10,2),""))))</f>
        <v/>
      </c>
      <c r="AI240" s="51" t="str">
        <f aca="false">IFERROR(MATCH("CEM-231",'REGISTRE ELEVES'!$AI$10:$AI$250,0),"")</f>
        <v/>
      </c>
    </row>
    <row r="241" customFormat="false" ht="15" hidden="false" customHeight="false" outlineLevel="0" collapsed="false">
      <c r="A241" s="73" t="str">
        <f aca="false">IF(B241="","",232)</f>
        <v/>
      </c>
      <c r="B241" s="73" t="str">
        <f aca="false">IF($AI241="","",INDEX('REGISTRE ELEVES'!$B$10:$B$250,$AI241))</f>
        <v/>
      </c>
      <c r="C241" s="74" t="str">
        <f aca="false">IF($AI241="","",INDEX('REGISTRE ELEVES'!$D$10:$D$250,$AI241))</f>
        <v/>
      </c>
      <c r="D241" s="73" t="str">
        <f aca="false">IF($AI241="","",INDEX('REGISTRE ELEVES'!$E$10:$E$250,$AI241))</f>
        <v/>
      </c>
      <c r="E241" s="73" t="str">
        <f aca="false">IF($AI241="","",INDEX('REGISTRE ELEVES'!$F$10:$F$250,$AI241))</f>
        <v/>
      </c>
      <c r="F241" s="73" t="str">
        <f aca="false">IF($AI241="","",INDEX('REGISTRE ELEVES'!$AE$10:$AE$250,$AI241))</f>
        <v/>
      </c>
      <c r="G241" s="75"/>
      <c r="H241" s="76"/>
      <c r="I241" s="76"/>
      <c r="J241" s="76"/>
      <c r="K241" s="76"/>
      <c r="L241" s="79" t="str">
        <f aca="false">IF(B241="","",IF($G241="NON",0,IF(COUNT(H241:K241)=0,"",SUM(H241:K241))))</f>
        <v/>
      </c>
      <c r="M241" s="77" t="str">
        <f aca="false">IF(B241="","",IF($G241="NON",0,IF(COUNT(H241:K241)=0,"",IFERROR(ROUND(SUM(H241:K241)/SUMPRODUCT(ISNUMBER(H241:K241)*$H$8:$K$8)*10,2),""))))</f>
        <v/>
      </c>
      <c r="N241" s="75"/>
      <c r="O241" s="76"/>
      <c r="P241" s="76"/>
      <c r="Q241" s="76"/>
      <c r="R241" s="76"/>
      <c r="S241" s="79" t="str">
        <f aca="false">IF(B241="","",IF($N241="NON",0,IF(COUNT(O241:R241)=0,"",SUM(O241:R241))))</f>
        <v/>
      </c>
      <c r="T241" s="77" t="str">
        <f aca="false">IF(B241="","",IF($N241="NON",0,IF(COUNT(O241:R241)=0,"",IFERROR(ROUND(SUM(O241:R241)/SUMPRODUCT(ISNUMBER(O241:R241)*$O$8:$R$8)*10,2),""))))</f>
        <v/>
      </c>
      <c r="U241" s="75"/>
      <c r="V241" s="76"/>
      <c r="W241" s="76"/>
      <c r="X241" s="76"/>
      <c r="Y241" s="76"/>
      <c r="Z241" s="79" t="str">
        <f aca="false">IF(B241="","",IF($U241="NON",0,IF(COUNT(V241:Y241)=0,"",SUM(V241:Y241))))</f>
        <v/>
      </c>
      <c r="AA241" s="77" t="str">
        <f aca="false">IF(B241="","",IF($U241="NON",0,IF(COUNT(V241:Y241)=0,"",IFERROR(ROUND(SUM(V241:Y241)/SUMPRODUCT(ISNUMBER(V241:Y241)*$V$8:$Y$8)*10,2),""))))</f>
        <v/>
      </c>
      <c r="AB241" s="75"/>
      <c r="AC241" s="76"/>
      <c r="AD241" s="76"/>
      <c r="AE241" s="76"/>
      <c r="AF241" s="76"/>
      <c r="AG241" s="79" t="str">
        <f aca="false">IF(B241="","",IF($AB241="NON",0,IF(COUNT(AC241:AF241)=0,"",SUM(AC241:AF241))))</f>
        <v/>
      </c>
      <c r="AH241" s="77" t="str">
        <f aca="false">IF(B241="","",IF($AB241="NON",0,IF(COUNT(AC241:AF241)=0,"",IFERROR(ROUND(SUM(AC241:AF241)/SUMPRODUCT(ISNUMBER(AC241:AF241)*$AC$8:$AF$8)*10,2),""))))</f>
        <v/>
      </c>
      <c r="AI241" s="51" t="str">
        <f aca="false">IFERROR(MATCH("CEM-232",'REGISTRE ELEVES'!$AI$10:$AI$250,0),"")</f>
        <v/>
      </c>
    </row>
    <row r="242" customFormat="false" ht="15" hidden="false" customHeight="false" outlineLevel="0" collapsed="false">
      <c r="A242" s="73" t="str">
        <f aca="false">IF(B242="","",233)</f>
        <v/>
      </c>
      <c r="B242" s="73" t="str">
        <f aca="false">IF($AI242="","",INDEX('REGISTRE ELEVES'!$B$10:$B$250,$AI242))</f>
        <v/>
      </c>
      <c r="C242" s="74" t="str">
        <f aca="false">IF($AI242="","",INDEX('REGISTRE ELEVES'!$D$10:$D$250,$AI242))</f>
        <v/>
      </c>
      <c r="D242" s="73" t="str">
        <f aca="false">IF($AI242="","",INDEX('REGISTRE ELEVES'!$E$10:$E$250,$AI242))</f>
        <v/>
      </c>
      <c r="E242" s="73" t="str">
        <f aca="false">IF($AI242="","",INDEX('REGISTRE ELEVES'!$F$10:$F$250,$AI242))</f>
        <v/>
      </c>
      <c r="F242" s="73" t="str">
        <f aca="false">IF($AI242="","",INDEX('REGISTRE ELEVES'!$AE$10:$AE$250,$AI242))</f>
        <v/>
      </c>
      <c r="G242" s="75"/>
      <c r="H242" s="76"/>
      <c r="I242" s="76"/>
      <c r="J242" s="76"/>
      <c r="K242" s="76"/>
      <c r="L242" s="79" t="str">
        <f aca="false">IF(B242="","",IF($G242="NON",0,IF(COUNT(H242:K242)=0,"",SUM(H242:K242))))</f>
        <v/>
      </c>
      <c r="M242" s="77" t="str">
        <f aca="false">IF(B242="","",IF($G242="NON",0,IF(COUNT(H242:K242)=0,"",IFERROR(ROUND(SUM(H242:K242)/SUMPRODUCT(ISNUMBER(H242:K242)*$H$8:$K$8)*10,2),""))))</f>
        <v/>
      </c>
      <c r="N242" s="75"/>
      <c r="O242" s="76"/>
      <c r="P242" s="76"/>
      <c r="Q242" s="76"/>
      <c r="R242" s="76"/>
      <c r="S242" s="79" t="str">
        <f aca="false">IF(B242="","",IF($N242="NON",0,IF(COUNT(O242:R242)=0,"",SUM(O242:R242))))</f>
        <v/>
      </c>
      <c r="T242" s="77" t="str">
        <f aca="false">IF(B242="","",IF($N242="NON",0,IF(COUNT(O242:R242)=0,"",IFERROR(ROUND(SUM(O242:R242)/SUMPRODUCT(ISNUMBER(O242:R242)*$O$8:$R$8)*10,2),""))))</f>
        <v/>
      </c>
      <c r="U242" s="75"/>
      <c r="V242" s="76"/>
      <c r="W242" s="76"/>
      <c r="X242" s="76"/>
      <c r="Y242" s="76"/>
      <c r="Z242" s="79" t="str">
        <f aca="false">IF(B242="","",IF($U242="NON",0,IF(COUNT(V242:Y242)=0,"",SUM(V242:Y242))))</f>
        <v/>
      </c>
      <c r="AA242" s="77" t="str">
        <f aca="false">IF(B242="","",IF($U242="NON",0,IF(COUNT(V242:Y242)=0,"",IFERROR(ROUND(SUM(V242:Y242)/SUMPRODUCT(ISNUMBER(V242:Y242)*$V$8:$Y$8)*10,2),""))))</f>
        <v/>
      </c>
      <c r="AB242" s="75"/>
      <c r="AC242" s="76"/>
      <c r="AD242" s="76"/>
      <c r="AE242" s="76"/>
      <c r="AF242" s="76"/>
      <c r="AG242" s="79" t="str">
        <f aca="false">IF(B242="","",IF($AB242="NON",0,IF(COUNT(AC242:AF242)=0,"",SUM(AC242:AF242))))</f>
        <v/>
      </c>
      <c r="AH242" s="77" t="str">
        <f aca="false">IF(B242="","",IF($AB242="NON",0,IF(COUNT(AC242:AF242)=0,"",IFERROR(ROUND(SUM(AC242:AF242)/SUMPRODUCT(ISNUMBER(AC242:AF242)*$AC$8:$AF$8)*10,2),""))))</f>
        <v/>
      </c>
      <c r="AI242" s="51" t="str">
        <f aca="false">IFERROR(MATCH("CEM-233",'REGISTRE ELEVES'!$AI$10:$AI$250,0),"")</f>
        <v/>
      </c>
    </row>
    <row r="243" customFormat="false" ht="15" hidden="false" customHeight="false" outlineLevel="0" collapsed="false">
      <c r="A243" s="73" t="str">
        <f aca="false">IF(B243="","",234)</f>
        <v/>
      </c>
      <c r="B243" s="73" t="str">
        <f aca="false">IF($AI243="","",INDEX('REGISTRE ELEVES'!$B$10:$B$250,$AI243))</f>
        <v/>
      </c>
      <c r="C243" s="74" t="str">
        <f aca="false">IF($AI243="","",INDEX('REGISTRE ELEVES'!$D$10:$D$250,$AI243))</f>
        <v/>
      </c>
      <c r="D243" s="73" t="str">
        <f aca="false">IF($AI243="","",INDEX('REGISTRE ELEVES'!$E$10:$E$250,$AI243))</f>
        <v/>
      </c>
      <c r="E243" s="73" t="str">
        <f aca="false">IF($AI243="","",INDEX('REGISTRE ELEVES'!$F$10:$F$250,$AI243))</f>
        <v/>
      </c>
      <c r="F243" s="73" t="str">
        <f aca="false">IF($AI243="","",INDEX('REGISTRE ELEVES'!$AE$10:$AE$250,$AI243))</f>
        <v/>
      </c>
      <c r="G243" s="75"/>
      <c r="H243" s="76"/>
      <c r="I243" s="76"/>
      <c r="J243" s="76"/>
      <c r="K243" s="76"/>
      <c r="L243" s="79" t="str">
        <f aca="false">IF(B243="","",IF($G243="NON",0,IF(COUNT(H243:K243)=0,"",SUM(H243:K243))))</f>
        <v/>
      </c>
      <c r="M243" s="77" t="str">
        <f aca="false">IF(B243="","",IF($G243="NON",0,IF(COUNT(H243:K243)=0,"",IFERROR(ROUND(SUM(H243:K243)/SUMPRODUCT(ISNUMBER(H243:K243)*$H$8:$K$8)*10,2),""))))</f>
        <v/>
      </c>
      <c r="N243" s="75"/>
      <c r="O243" s="76"/>
      <c r="P243" s="76"/>
      <c r="Q243" s="76"/>
      <c r="R243" s="76"/>
      <c r="S243" s="79" t="str">
        <f aca="false">IF(B243="","",IF($N243="NON",0,IF(COUNT(O243:R243)=0,"",SUM(O243:R243))))</f>
        <v/>
      </c>
      <c r="T243" s="77" t="str">
        <f aca="false">IF(B243="","",IF($N243="NON",0,IF(COUNT(O243:R243)=0,"",IFERROR(ROUND(SUM(O243:R243)/SUMPRODUCT(ISNUMBER(O243:R243)*$O$8:$R$8)*10,2),""))))</f>
        <v/>
      </c>
      <c r="U243" s="75"/>
      <c r="V243" s="76"/>
      <c r="W243" s="76"/>
      <c r="X243" s="76"/>
      <c r="Y243" s="76"/>
      <c r="Z243" s="79" t="str">
        <f aca="false">IF(B243="","",IF($U243="NON",0,IF(COUNT(V243:Y243)=0,"",SUM(V243:Y243))))</f>
        <v/>
      </c>
      <c r="AA243" s="77" t="str">
        <f aca="false">IF(B243="","",IF($U243="NON",0,IF(COUNT(V243:Y243)=0,"",IFERROR(ROUND(SUM(V243:Y243)/SUMPRODUCT(ISNUMBER(V243:Y243)*$V$8:$Y$8)*10,2),""))))</f>
        <v/>
      </c>
      <c r="AB243" s="75"/>
      <c r="AC243" s="76"/>
      <c r="AD243" s="76"/>
      <c r="AE243" s="76"/>
      <c r="AF243" s="76"/>
      <c r="AG243" s="79" t="str">
        <f aca="false">IF(B243="","",IF($AB243="NON",0,IF(COUNT(AC243:AF243)=0,"",SUM(AC243:AF243))))</f>
        <v/>
      </c>
      <c r="AH243" s="77" t="str">
        <f aca="false">IF(B243="","",IF($AB243="NON",0,IF(COUNT(AC243:AF243)=0,"",IFERROR(ROUND(SUM(AC243:AF243)/SUMPRODUCT(ISNUMBER(AC243:AF243)*$AC$8:$AF$8)*10,2),""))))</f>
        <v/>
      </c>
      <c r="AI243" s="51" t="str">
        <f aca="false">IFERROR(MATCH("CEM-234",'REGISTRE ELEVES'!$AI$10:$AI$250,0),"")</f>
        <v/>
      </c>
    </row>
    <row r="244" customFormat="false" ht="15" hidden="false" customHeight="false" outlineLevel="0" collapsed="false">
      <c r="A244" s="73" t="str">
        <f aca="false">IF(B244="","",235)</f>
        <v/>
      </c>
      <c r="B244" s="73" t="str">
        <f aca="false">IF($AI244="","",INDEX('REGISTRE ELEVES'!$B$10:$B$250,$AI244))</f>
        <v/>
      </c>
      <c r="C244" s="74" t="str">
        <f aca="false">IF($AI244="","",INDEX('REGISTRE ELEVES'!$D$10:$D$250,$AI244))</f>
        <v/>
      </c>
      <c r="D244" s="73" t="str">
        <f aca="false">IF($AI244="","",INDEX('REGISTRE ELEVES'!$E$10:$E$250,$AI244))</f>
        <v/>
      </c>
      <c r="E244" s="73" t="str">
        <f aca="false">IF($AI244="","",INDEX('REGISTRE ELEVES'!$F$10:$F$250,$AI244))</f>
        <v/>
      </c>
      <c r="F244" s="73" t="str">
        <f aca="false">IF($AI244="","",INDEX('REGISTRE ELEVES'!$AE$10:$AE$250,$AI244))</f>
        <v/>
      </c>
      <c r="G244" s="75"/>
      <c r="H244" s="76"/>
      <c r="I244" s="76"/>
      <c r="J244" s="76"/>
      <c r="K244" s="76"/>
      <c r="L244" s="79" t="str">
        <f aca="false">IF(B244="","",IF($G244="NON",0,IF(COUNT(H244:K244)=0,"",SUM(H244:K244))))</f>
        <v/>
      </c>
      <c r="M244" s="77" t="str">
        <f aca="false">IF(B244="","",IF($G244="NON",0,IF(COUNT(H244:K244)=0,"",IFERROR(ROUND(SUM(H244:K244)/SUMPRODUCT(ISNUMBER(H244:K244)*$H$8:$K$8)*10,2),""))))</f>
        <v/>
      </c>
      <c r="N244" s="75"/>
      <c r="O244" s="76"/>
      <c r="P244" s="76"/>
      <c r="Q244" s="76"/>
      <c r="R244" s="76"/>
      <c r="S244" s="79" t="str">
        <f aca="false">IF(B244="","",IF($N244="NON",0,IF(COUNT(O244:R244)=0,"",SUM(O244:R244))))</f>
        <v/>
      </c>
      <c r="T244" s="77" t="str">
        <f aca="false">IF(B244="","",IF($N244="NON",0,IF(COUNT(O244:R244)=0,"",IFERROR(ROUND(SUM(O244:R244)/SUMPRODUCT(ISNUMBER(O244:R244)*$O$8:$R$8)*10,2),""))))</f>
        <v/>
      </c>
      <c r="U244" s="75"/>
      <c r="V244" s="76"/>
      <c r="W244" s="76"/>
      <c r="X244" s="76"/>
      <c r="Y244" s="76"/>
      <c r="Z244" s="79" t="str">
        <f aca="false">IF(B244="","",IF($U244="NON",0,IF(COUNT(V244:Y244)=0,"",SUM(V244:Y244))))</f>
        <v/>
      </c>
      <c r="AA244" s="77" t="str">
        <f aca="false">IF(B244="","",IF($U244="NON",0,IF(COUNT(V244:Y244)=0,"",IFERROR(ROUND(SUM(V244:Y244)/SUMPRODUCT(ISNUMBER(V244:Y244)*$V$8:$Y$8)*10,2),""))))</f>
        <v/>
      </c>
      <c r="AB244" s="75"/>
      <c r="AC244" s="76"/>
      <c r="AD244" s="76"/>
      <c r="AE244" s="76"/>
      <c r="AF244" s="76"/>
      <c r="AG244" s="79" t="str">
        <f aca="false">IF(B244="","",IF($AB244="NON",0,IF(COUNT(AC244:AF244)=0,"",SUM(AC244:AF244))))</f>
        <v/>
      </c>
      <c r="AH244" s="77" t="str">
        <f aca="false">IF(B244="","",IF($AB244="NON",0,IF(COUNT(AC244:AF244)=0,"",IFERROR(ROUND(SUM(AC244:AF244)/SUMPRODUCT(ISNUMBER(AC244:AF244)*$AC$8:$AF$8)*10,2),""))))</f>
        <v/>
      </c>
      <c r="AI244" s="51" t="str">
        <f aca="false">IFERROR(MATCH("CEM-235",'REGISTRE ELEVES'!$AI$10:$AI$250,0),"")</f>
        <v/>
      </c>
    </row>
    <row r="245" customFormat="false" ht="15" hidden="false" customHeight="false" outlineLevel="0" collapsed="false">
      <c r="A245" s="73" t="str">
        <f aca="false">IF(B245="","",236)</f>
        <v/>
      </c>
      <c r="B245" s="73" t="str">
        <f aca="false">IF($AI245="","",INDEX('REGISTRE ELEVES'!$B$10:$B$250,$AI245))</f>
        <v/>
      </c>
      <c r="C245" s="74" t="str">
        <f aca="false">IF($AI245="","",INDEX('REGISTRE ELEVES'!$D$10:$D$250,$AI245))</f>
        <v/>
      </c>
      <c r="D245" s="73" t="str">
        <f aca="false">IF($AI245="","",INDEX('REGISTRE ELEVES'!$E$10:$E$250,$AI245))</f>
        <v/>
      </c>
      <c r="E245" s="73" t="str">
        <f aca="false">IF($AI245="","",INDEX('REGISTRE ELEVES'!$F$10:$F$250,$AI245))</f>
        <v/>
      </c>
      <c r="F245" s="73" t="str">
        <f aca="false">IF($AI245="","",INDEX('REGISTRE ELEVES'!$AE$10:$AE$250,$AI245))</f>
        <v/>
      </c>
      <c r="G245" s="75"/>
      <c r="H245" s="76"/>
      <c r="I245" s="76"/>
      <c r="J245" s="76"/>
      <c r="K245" s="76"/>
      <c r="L245" s="79" t="str">
        <f aca="false">IF(B245="","",IF($G245="NON",0,IF(COUNT(H245:K245)=0,"",SUM(H245:K245))))</f>
        <v/>
      </c>
      <c r="M245" s="77" t="str">
        <f aca="false">IF(B245="","",IF($G245="NON",0,IF(COUNT(H245:K245)=0,"",IFERROR(ROUND(SUM(H245:K245)/SUMPRODUCT(ISNUMBER(H245:K245)*$H$8:$K$8)*10,2),""))))</f>
        <v/>
      </c>
      <c r="N245" s="75"/>
      <c r="O245" s="76"/>
      <c r="P245" s="76"/>
      <c r="Q245" s="76"/>
      <c r="R245" s="76"/>
      <c r="S245" s="79" t="str">
        <f aca="false">IF(B245="","",IF($N245="NON",0,IF(COUNT(O245:R245)=0,"",SUM(O245:R245))))</f>
        <v/>
      </c>
      <c r="T245" s="77" t="str">
        <f aca="false">IF(B245="","",IF($N245="NON",0,IF(COUNT(O245:R245)=0,"",IFERROR(ROUND(SUM(O245:R245)/SUMPRODUCT(ISNUMBER(O245:R245)*$O$8:$R$8)*10,2),""))))</f>
        <v/>
      </c>
      <c r="U245" s="75"/>
      <c r="V245" s="76"/>
      <c r="W245" s="76"/>
      <c r="X245" s="76"/>
      <c r="Y245" s="76"/>
      <c r="Z245" s="79" t="str">
        <f aca="false">IF(B245="","",IF($U245="NON",0,IF(COUNT(V245:Y245)=0,"",SUM(V245:Y245))))</f>
        <v/>
      </c>
      <c r="AA245" s="77" t="str">
        <f aca="false">IF(B245="","",IF($U245="NON",0,IF(COUNT(V245:Y245)=0,"",IFERROR(ROUND(SUM(V245:Y245)/SUMPRODUCT(ISNUMBER(V245:Y245)*$V$8:$Y$8)*10,2),""))))</f>
        <v/>
      </c>
      <c r="AB245" s="75"/>
      <c r="AC245" s="76"/>
      <c r="AD245" s="76"/>
      <c r="AE245" s="76"/>
      <c r="AF245" s="76"/>
      <c r="AG245" s="79" t="str">
        <f aca="false">IF(B245="","",IF($AB245="NON",0,IF(COUNT(AC245:AF245)=0,"",SUM(AC245:AF245))))</f>
        <v/>
      </c>
      <c r="AH245" s="77" t="str">
        <f aca="false">IF(B245="","",IF($AB245="NON",0,IF(COUNT(AC245:AF245)=0,"",IFERROR(ROUND(SUM(AC245:AF245)/SUMPRODUCT(ISNUMBER(AC245:AF245)*$AC$8:$AF$8)*10,2),""))))</f>
        <v/>
      </c>
      <c r="AI245" s="51" t="str">
        <f aca="false">IFERROR(MATCH("CEM-236",'REGISTRE ELEVES'!$AI$10:$AI$250,0),"")</f>
        <v/>
      </c>
    </row>
    <row r="246" customFormat="false" ht="15" hidden="false" customHeight="false" outlineLevel="0" collapsed="false">
      <c r="A246" s="73" t="str">
        <f aca="false">IF(B246="","",237)</f>
        <v/>
      </c>
      <c r="B246" s="73" t="str">
        <f aca="false">IF($AI246="","",INDEX('REGISTRE ELEVES'!$B$10:$B$250,$AI246))</f>
        <v/>
      </c>
      <c r="C246" s="74" t="str">
        <f aca="false">IF($AI246="","",INDEX('REGISTRE ELEVES'!$D$10:$D$250,$AI246))</f>
        <v/>
      </c>
      <c r="D246" s="73" t="str">
        <f aca="false">IF($AI246="","",INDEX('REGISTRE ELEVES'!$E$10:$E$250,$AI246))</f>
        <v/>
      </c>
      <c r="E246" s="73" t="str">
        <f aca="false">IF($AI246="","",INDEX('REGISTRE ELEVES'!$F$10:$F$250,$AI246))</f>
        <v/>
      </c>
      <c r="F246" s="73" t="str">
        <f aca="false">IF($AI246="","",INDEX('REGISTRE ELEVES'!$AE$10:$AE$250,$AI246))</f>
        <v/>
      </c>
      <c r="G246" s="75"/>
      <c r="H246" s="76"/>
      <c r="I246" s="76"/>
      <c r="J246" s="76"/>
      <c r="K246" s="76"/>
      <c r="L246" s="79" t="str">
        <f aca="false">IF(B246="","",IF($G246="NON",0,IF(COUNT(H246:K246)=0,"",SUM(H246:K246))))</f>
        <v/>
      </c>
      <c r="M246" s="77" t="str">
        <f aca="false">IF(B246="","",IF($G246="NON",0,IF(COUNT(H246:K246)=0,"",IFERROR(ROUND(SUM(H246:K246)/SUMPRODUCT(ISNUMBER(H246:K246)*$H$8:$K$8)*10,2),""))))</f>
        <v/>
      </c>
      <c r="N246" s="75"/>
      <c r="O246" s="76"/>
      <c r="P246" s="76"/>
      <c r="Q246" s="76"/>
      <c r="R246" s="76"/>
      <c r="S246" s="79" t="str">
        <f aca="false">IF(B246="","",IF($N246="NON",0,IF(COUNT(O246:R246)=0,"",SUM(O246:R246))))</f>
        <v/>
      </c>
      <c r="T246" s="77" t="str">
        <f aca="false">IF(B246="","",IF($N246="NON",0,IF(COUNT(O246:R246)=0,"",IFERROR(ROUND(SUM(O246:R246)/SUMPRODUCT(ISNUMBER(O246:R246)*$O$8:$R$8)*10,2),""))))</f>
        <v/>
      </c>
      <c r="U246" s="75"/>
      <c r="V246" s="76"/>
      <c r="W246" s="76"/>
      <c r="X246" s="76"/>
      <c r="Y246" s="76"/>
      <c r="Z246" s="79" t="str">
        <f aca="false">IF(B246="","",IF($U246="NON",0,IF(COUNT(V246:Y246)=0,"",SUM(V246:Y246))))</f>
        <v/>
      </c>
      <c r="AA246" s="77" t="str">
        <f aca="false">IF(B246="","",IF($U246="NON",0,IF(COUNT(V246:Y246)=0,"",IFERROR(ROUND(SUM(V246:Y246)/SUMPRODUCT(ISNUMBER(V246:Y246)*$V$8:$Y$8)*10,2),""))))</f>
        <v/>
      </c>
      <c r="AB246" s="75"/>
      <c r="AC246" s="76"/>
      <c r="AD246" s="76"/>
      <c r="AE246" s="76"/>
      <c r="AF246" s="76"/>
      <c r="AG246" s="79" t="str">
        <f aca="false">IF(B246="","",IF($AB246="NON",0,IF(COUNT(AC246:AF246)=0,"",SUM(AC246:AF246))))</f>
        <v/>
      </c>
      <c r="AH246" s="77" t="str">
        <f aca="false">IF(B246="","",IF($AB246="NON",0,IF(COUNT(AC246:AF246)=0,"",IFERROR(ROUND(SUM(AC246:AF246)/SUMPRODUCT(ISNUMBER(AC246:AF246)*$AC$8:$AF$8)*10,2),""))))</f>
        <v/>
      </c>
      <c r="AI246" s="51" t="str">
        <f aca="false">IFERROR(MATCH("CEM-237",'REGISTRE ELEVES'!$AI$10:$AI$250,0),"")</f>
        <v/>
      </c>
    </row>
    <row r="247" customFormat="false" ht="15" hidden="false" customHeight="false" outlineLevel="0" collapsed="false">
      <c r="A247" s="73" t="str">
        <f aca="false">IF(B247="","",238)</f>
        <v/>
      </c>
      <c r="B247" s="73" t="str">
        <f aca="false">IF($AI247="","",INDEX('REGISTRE ELEVES'!$B$10:$B$250,$AI247))</f>
        <v/>
      </c>
      <c r="C247" s="74" t="str">
        <f aca="false">IF($AI247="","",INDEX('REGISTRE ELEVES'!$D$10:$D$250,$AI247))</f>
        <v/>
      </c>
      <c r="D247" s="73" t="str">
        <f aca="false">IF($AI247="","",INDEX('REGISTRE ELEVES'!$E$10:$E$250,$AI247))</f>
        <v/>
      </c>
      <c r="E247" s="73" t="str">
        <f aca="false">IF($AI247="","",INDEX('REGISTRE ELEVES'!$F$10:$F$250,$AI247))</f>
        <v/>
      </c>
      <c r="F247" s="73" t="str">
        <f aca="false">IF($AI247="","",INDEX('REGISTRE ELEVES'!$AE$10:$AE$250,$AI247))</f>
        <v/>
      </c>
      <c r="G247" s="75"/>
      <c r="H247" s="76"/>
      <c r="I247" s="76"/>
      <c r="J247" s="76"/>
      <c r="K247" s="76"/>
      <c r="L247" s="79" t="str">
        <f aca="false">IF(B247="","",IF($G247="NON",0,IF(COUNT(H247:K247)=0,"",SUM(H247:K247))))</f>
        <v/>
      </c>
      <c r="M247" s="77" t="str">
        <f aca="false">IF(B247="","",IF($G247="NON",0,IF(COUNT(H247:K247)=0,"",IFERROR(ROUND(SUM(H247:K247)/SUMPRODUCT(ISNUMBER(H247:K247)*$H$8:$K$8)*10,2),""))))</f>
        <v/>
      </c>
      <c r="N247" s="75"/>
      <c r="O247" s="76"/>
      <c r="P247" s="76"/>
      <c r="Q247" s="76"/>
      <c r="R247" s="76"/>
      <c r="S247" s="79" t="str">
        <f aca="false">IF(B247="","",IF($N247="NON",0,IF(COUNT(O247:R247)=0,"",SUM(O247:R247))))</f>
        <v/>
      </c>
      <c r="T247" s="77" t="str">
        <f aca="false">IF(B247="","",IF($N247="NON",0,IF(COUNT(O247:R247)=0,"",IFERROR(ROUND(SUM(O247:R247)/SUMPRODUCT(ISNUMBER(O247:R247)*$O$8:$R$8)*10,2),""))))</f>
        <v/>
      </c>
      <c r="U247" s="75"/>
      <c r="V247" s="76"/>
      <c r="W247" s="76"/>
      <c r="X247" s="76"/>
      <c r="Y247" s="76"/>
      <c r="Z247" s="79" t="str">
        <f aca="false">IF(B247="","",IF($U247="NON",0,IF(COUNT(V247:Y247)=0,"",SUM(V247:Y247))))</f>
        <v/>
      </c>
      <c r="AA247" s="77" t="str">
        <f aca="false">IF(B247="","",IF($U247="NON",0,IF(COUNT(V247:Y247)=0,"",IFERROR(ROUND(SUM(V247:Y247)/SUMPRODUCT(ISNUMBER(V247:Y247)*$V$8:$Y$8)*10,2),""))))</f>
        <v/>
      </c>
      <c r="AB247" s="75"/>
      <c r="AC247" s="76"/>
      <c r="AD247" s="76"/>
      <c r="AE247" s="76"/>
      <c r="AF247" s="76"/>
      <c r="AG247" s="79" t="str">
        <f aca="false">IF(B247="","",IF($AB247="NON",0,IF(COUNT(AC247:AF247)=0,"",SUM(AC247:AF247))))</f>
        <v/>
      </c>
      <c r="AH247" s="77" t="str">
        <f aca="false">IF(B247="","",IF($AB247="NON",0,IF(COUNT(AC247:AF247)=0,"",IFERROR(ROUND(SUM(AC247:AF247)/SUMPRODUCT(ISNUMBER(AC247:AF247)*$AC$8:$AF$8)*10,2),""))))</f>
        <v/>
      </c>
      <c r="AI247" s="51" t="str">
        <f aca="false">IFERROR(MATCH("CEM-238",'REGISTRE ELEVES'!$AI$10:$AI$250,0),"")</f>
        <v/>
      </c>
    </row>
    <row r="248" customFormat="false" ht="15" hidden="false" customHeight="false" outlineLevel="0" collapsed="false">
      <c r="A248" s="73" t="str">
        <f aca="false">IF(B248="","",239)</f>
        <v/>
      </c>
      <c r="B248" s="73" t="str">
        <f aca="false">IF($AI248="","",INDEX('REGISTRE ELEVES'!$B$10:$B$250,$AI248))</f>
        <v/>
      </c>
      <c r="C248" s="74" t="str">
        <f aca="false">IF($AI248="","",INDEX('REGISTRE ELEVES'!$D$10:$D$250,$AI248))</f>
        <v/>
      </c>
      <c r="D248" s="73" t="str">
        <f aca="false">IF($AI248="","",INDEX('REGISTRE ELEVES'!$E$10:$E$250,$AI248))</f>
        <v/>
      </c>
      <c r="E248" s="73" t="str">
        <f aca="false">IF($AI248="","",INDEX('REGISTRE ELEVES'!$F$10:$F$250,$AI248))</f>
        <v/>
      </c>
      <c r="F248" s="73" t="str">
        <f aca="false">IF($AI248="","",INDEX('REGISTRE ELEVES'!$AE$10:$AE$250,$AI248))</f>
        <v/>
      </c>
      <c r="G248" s="75"/>
      <c r="H248" s="76"/>
      <c r="I248" s="76"/>
      <c r="J248" s="76"/>
      <c r="K248" s="76"/>
      <c r="L248" s="79" t="str">
        <f aca="false">IF(B248="","",IF($G248="NON",0,IF(COUNT(H248:K248)=0,"",SUM(H248:K248))))</f>
        <v/>
      </c>
      <c r="M248" s="77" t="str">
        <f aca="false">IF(B248="","",IF($G248="NON",0,IF(COUNT(H248:K248)=0,"",IFERROR(ROUND(SUM(H248:K248)/SUMPRODUCT(ISNUMBER(H248:K248)*$H$8:$K$8)*10,2),""))))</f>
        <v/>
      </c>
      <c r="N248" s="75"/>
      <c r="O248" s="76"/>
      <c r="P248" s="76"/>
      <c r="Q248" s="76"/>
      <c r="R248" s="76"/>
      <c r="S248" s="79" t="str">
        <f aca="false">IF(B248="","",IF($N248="NON",0,IF(COUNT(O248:R248)=0,"",SUM(O248:R248))))</f>
        <v/>
      </c>
      <c r="T248" s="77" t="str">
        <f aca="false">IF(B248="","",IF($N248="NON",0,IF(COUNT(O248:R248)=0,"",IFERROR(ROUND(SUM(O248:R248)/SUMPRODUCT(ISNUMBER(O248:R248)*$O$8:$R$8)*10,2),""))))</f>
        <v/>
      </c>
      <c r="U248" s="75"/>
      <c r="V248" s="76"/>
      <c r="W248" s="76"/>
      <c r="X248" s="76"/>
      <c r="Y248" s="76"/>
      <c r="Z248" s="79" t="str">
        <f aca="false">IF(B248="","",IF($U248="NON",0,IF(COUNT(V248:Y248)=0,"",SUM(V248:Y248))))</f>
        <v/>
      </c>
      <c r="AA248" s="77" t="str">
        <f aca="false">IF(B248="","",IF($U248="NON",0,IF(COUNT(V248:Y248)=0,"",IFERROR(ROUND(SUM(V248:Y248)/SUMPRODUCT(ISNUMBER(V248:Y248)*$V$8:$Y$8)*10,2),""))))</f>
        <v/>
      </c>
      <c r="AB248" s="75"/>
      <c r="AC248" s="76"/>
      <c r="AD248" s="76"/>
      <c r="AE248" s="76"/>
      <c r="AF248" s="76"/>
      <c r="AG248" s="79" t="str">
        <f aca="false">IF(B248="","",IF($AB248="NON",0,IF(COUNT(AC248:AF248)=0,"",SUM(AC248:AF248))))</f>
        <v/>
      </c>
      <c r="AH248" s="77" t="str">
        <f aca="false">IF(B248="","",IF($AB248="NON",0,IF(COUNT(AC248:AF248)=0,"",IFERROR(ROUND(SUM(AC248:AF248)/SUMPRODUCT(ISNUMBER(AC248:AF248)*$AC$8:$AF$8)*10,2),""))))</f>
        <v/>
      </c>
      <c r="AI248" s="51" t="str">
        <f aca="false">IFERROR(MATCH("CEM-239",'REGISTRE ELEVES'!$AI$10:$AI$250,0),"")</f>
        <v/>
      </c>
    </row>
    <row r="249" customFormat="false" ht="15" hidden="false" customHeight="false" outlineLevel="0" collapsed="false">
      <c r="A249" s="73" t="str">
        <f aca="false">IF(B249="","",240)</f>
        <v/>
      </c>
      <c r="B249" s="73" t="str">
        <f aca="false">IF($AI249="","",INDEX('REGISTRE ELEVES'!$B$10:$B$250,$AI249))</f>
        <v/>
      </c>
      <c r="C249" s="74" t="str">
        <f aca="false">IF($AI249="","",INDEX('REGISTRE ELEVES'!$D$10:$D$250,$AI249))</f>
        <v/>
      </c>
      <c r="D249" s="73" t="str">
        <f aca="false">IF($AI249="","",INDEX('REGISTRE ELEVES'!$E$10:$E$250,$AI249))</f>
        <v/>
      </c>
      <c r="E249" s="73" t="str">
        <f aca="false">IF($AI249="","",INDEX('REGISTRE ELEVES'!$F$10:$F$250,$AI249))</f>
        <v/>
      </c>
      <c r="F249" s="73" t="str">
        <f aca="false">IF($AI249="","",INDEX('REGISTRE ELEVES'!$AE$10:$AE$250,$AI249))</f>
        <v/>
      </c>
      <c r="G249" s="75"/>
      <c r="H249" s="76"/>
      <c r="I249" s="76"/>
      <c r="J249" s="76"/>
      <c r="K249" s="76"/>
      <c r="L249" s="79" t="str">
        <f aca="false">IF(B249="","",IF($G249="NON",0,IF(COUNT(H249:K249)=0,"",SUM(H249:K249))))</f>
        <v/>
      </c>
      <c r="M249" s="77" t="str">
        <f aca="false">IF(B249="","",IF($G249="NON",0,IF(COUNT(H249:K249)=0,"",IFERROR(ROUND(SUM(H249:K249)/SUMPRODUCT(ISNUMBER(H249:K249)*$H$8:$K$8)*10,2),""))))</f>
        <v/>
      </c>
      <c r="N249" s="75"/>
      <c r="O249" s="76"/>
      <c r="P249" s="76"/>
      <c r="Q249" s="76"/>
      <c r="R249" s="76"/>
      <c r="S249" s="79" t="str">
        <f aca="false">IF(B249="","",IF($N249="NON",0,IF(COUNT(O249:R249)=0,"",SUM(O249:R249))))</f>
        <v/>
      </c>
      <c r="T249" s="77" t="str">
        <f aca="false">IF(B249="","",IF($N249="NON",0,IF(COUNT(O249:R249)=0,"",IFERROR(ROUND(SUM(O249:R249)/SUMPRODUCT(ISNUMBER(O249:R249)*$O$8:$R$8)*10,2),""))))</f>
        <v/>
      </c>
      <c r="U249" s="75"/>
      <c r="V249" s="76"/>
      <c r="W249" s="76"/>
      <c r="X249" s="76"/>
      <c r="Y249" s="76"/>
      <c r="Z249" s="79" t="str">
        <f aca="false">IF(B249="","",IF($U249="NON",0,IF(COUNT(V249:Y249)=0,"",SUM(V249:Y249))))</f>
        <v/>
      </c>
      <c r="AA249" s="77" t="str">
        <f aca="false">IF(B249="","",IF($U249="NON",0,IF(COUNT(V249:Y249)=0,"",IFERROR(ROUND(SUM(V249:Y249)/SUMPRODUCT(ISNUMBER(V249:Y249)*$V$8:$Y$8)*10,2),""))))</f>
        <v/>
      </c>
      <c r="AB249" s="75"/>
      <c r="AC249" s="76"/>
      <c r="AD249" s="76"/>
      <c r="AE249" s="76"/>
      <c r="AF249" s="76"/>
      <c r="AG249" s="79" t="str">
        <f aca="false">IF(B249="","",IF($AB249="NON",0,IF(COUNT(AC249:AF249)=0,"",SUM(AC249:AF249))))</f>
        <v/>
      </c>
      <c r="AH249" s="77" t="str">
        <f aca="false">IF(B249="","",IF($AB249="NON",0,IF(COUNT(AC249:AF249)=0,"",IFERROR(ROUND(SUM(AC249:AF249)/SUMPRODUCT(ISNUMBER(AC249:AF249)*$AC$8:$AF$8)*10,2),""))))</f>
        <v/>
      </c>
      <c r="AI249" s="51" t="str">
        <f aca="false">IFERROR(MATCH("CEM-240",'REGISTRE ELEVES'!$AI$10:$AI$250,0),"")</f>
        <v/>
      </c>
    </row>
    <row r="250" customFormat="false" ht="15" hidden="false" customHeight="false" outlineLevel="0" collapsed="false">
      <c r="A250" s="73" t="str">
        <f aca="false">IF(B250="","",241)</f>
        <v/>
      </c>
      <c r="B250" s="73" t="str">
        <f aca="false">IF($AI250="","",INDEX('REGISTRE ELEVES'!$B$10:$B$250,$AI250))</f>
        <v/>
      </c>
      <c r="C250" s="74" t="str">
        <f aca="false">IF($AI250="","",INDEX('REGISTRE ELEVES'!$D$10:$D$250,$AI250))</f>
        <v/>
      </c>
      <c r="D250" s="73" t="str">
        <f aca="false">IF($AI250="","",INDEX('REGISTRE ELEVES'!$E$10:$E$250,$AI250))</f>
        <v/>
      </c>
      <c r="E250" s="73" t="str">
        <f aca="false">IF($AI250="","",INDEX('REGISTRE ELEVES'!$F$10:$F$250,$AI250))</f>
        <v/>
      </c>
      <c r="F250" s="73" t="str">
        <f aca="false">IF($AI250="","",INDEX('REGISTRE ELEVES'!$AE$10:$AE$250,$AI250))</f>
        <v/>
      </c>
      <c r="G250" s="75"/>
      <c r="H250" s="76"/>
      <c r="I250" s="76"/>
      <c r="J250" s="76"/>
      <c r="K250" s="76"/>
      <c r="L250" s="79" t="str">
        <f aca="false">IF(B250="","",IF($G250="NON",0,IF(COUNT(H250:K250)=0,"",SUM(H250:K250))))</f>
        <v/>
      </c>
      <c r="M250" s="77" t="str">
        <f aca="false">IF(B250="","",IF($G250="NON",0,IF(COUNT(H250:K250)=0,"",IFERROR(ROUND(SUM(H250:K250)/SUMPRODUCT(ISNUMBER(H250:K250)*$H$8:$K$8)*10,2),""))))</f>
        <v/>
      </c>
      <c r="N250" s="75"/>
      <c r="O250" s="76"/>
      <c r="P250" s="76"/>
      <c r="Q250" s="76"/>
      <c r="R250" s="76"/>
      <c r="S250" s="79" t="str">
        <f aca="false">IF(B250="","",IF($N250="NON",0,IF(COUNT(O250:R250)=0,"",SUM(O250:R250))))</f>
        <v/>
      </c>
      <c r="T250" s="77" t="str">
        <f aca="false">IF(B250="","",IF($N250="NON",0,IF(COUNT(O250:R250)=0,"",IFERROR(ROUND(SUM(O250:R250)/SUMPRODUCT(ISNUMBER(O250:R250)*$O$8:$R$8)*10,2),""))))</f>
        <v/>
      </c>
      <c r="U250" s="75"/>
      <c r="V250" s="76"/>
      <c r="W250" s="76"/>
      <c r="X250" s="76"/>
      <c r="Y250" s="76"/>
      <c r="Z250" s="79" t="str">
        <f aca="false">IF(B250="","",IF($U250="NON",0,IF(COUNT(V250:Y250)=0,"",SUM(V250:Y250))))</f>
        <v/>
      </c>
      <c r="AA250" s="77" t="str">
        <f aca="false">IF(B250="","",IF($U250="NON",0,IF(COUNT(V250:Y250)=0,"",IFERROR(ROUND(SUM(V250:Y250)/SUMPRODUCT(ISNUMBER(V250:Y250)*$V$8:$Y$8)*10,2),""))))</f>
        <v/>
      </c>
      <c r="AB250" s="75"/>
      <c r="AC250" s="76"/>
      <c r="AD250" s="76"/>
      <c r="AE250" s="76"/>
      <c r="AF250" s="76"/>
      <c r="AG250" s="79" t="str">
        <f aca="false">IF(B250="","",IF($AB250="NON",0,IF(COUNT(AC250:AF250)=0,"",SUM(AC250:AF250))))</f>
        <v/>
      </c>
      <c r="AH250" s="77" t="str">
        <f aca="false">IF(B250="","",IF($AB250="NON",0,IF(COUNT(AC250:AF250)=0,"",IFERROR(ROUND(SUM(AC250:AF250)/SUMPRODUCT(ISNUMBER(AC250:AF250)*$AC$8:$AF$8)*10,2),""))))</f>
        <v/>
      </c>
      <c r="AI250" s="51" t="str">
        <f aca="false">IFERROR(MATCH("CEM-241",'REGISTRE ELEVES'!$AI$10:$AI$250,0),"")</f>
        <v/>
      </c>
    </row>
  </sheetData>
  <autoFilter ref="A9:AH250"/>
  <mergeCells count="13">
    <mergeCell ref="A1:Q1"/>
    <mergeCell ref="R1:AH1"/>
    <mergeCell ref="A2:Q2"/>
    <mergeCell ref="R2:AH2"/>
    <mergeCell ref="A3:Q3"/>
    <mergeCell ref="R3:AH3"/>
    <mergeCell ref="A4:Q4"/>
    <mergeCell ref="A6:AH6"/>
    <mergeCell ref="G7:M7"/>
    <mergeCell ref="N7:T7"/>
    <mergeCell ref="U7:AA7"/>
    <mergeCell ref="AB7:AH7"/>
    <mergeCell ref="C8:F8"/>
  </mergeCells>
  <conditionalFormatting sqref="H10:M250">
    <cfRule type="expression" priority="2" aboveAverage="0" equalAverage="0" bottom="0" percent="0" rank="0" text="" dxfId="25">
      <formula>$G10="NON"</formula>
    </cfRule>
  </conditionalFormatting>
  <conditionalFormatting sqref="G10:G250">
    <cfRule type="cellIs" priority="3" operator="equal" aboveAverage="0" equalAverage="0" bottom="0" percent="0" rank="0" text="" dxfId="26">
      <formula>"NON"</formula>
    </cfRule>
  </conditionalFormatting>
  <conditionalFormatting sqref="O10:T250">
    <cfRule type="expression" priority="4" aboveAverage="0" equalAverage="0" bottom="0" percent="0" rank="0" text="" dxfId="25">
      <formula>$N10="NON"</formula>
    </cfRule>
  </conditionalFormatting>
  <conditionalFormatting sqref="N10:N250">
    <cfRule type="cellIs" priority="5" operator="equal" aboveAverage="0" equalAverage="0" bottom="0" percent="0" rank="0" text="" dxfId="26">
      <formula>"NON"</formula>
    </cfRule>
  </conditionalFormatting>
  <conditionalFormatting sqref="V10:AA250">
    <cfRule type="expression" priority="6" aboveAverage="0" equalAverage="0" bottom="0" percent="0" rank="0" text="" dxfId="25">
      <formula>$U10="NON"</formula>
    </cfRule>
  </conditionalFormatting>
  <conditionalFormatting sqref="U10:U250">
    <cfRule type="cellIs" priority="7" operator="equal" aboveAverage="0" equalAverage="0" bottom="0" percent="0" rank="0" text="" dxfId="26">
      <formula>"NON"</formula>
    </cfRule>
  </conditionalFormatting>
  <conditionalFormatting sqref="AC10:AH250">
    <cfRule type="expression" priority="8" aboveAverage="0" equalAverage="0" bottom="0" percent="0" rank="0" text="" dxfId="25">
      <formula>$AB10="NON"</formula>
    </cfRule>
  </conditionalFormatting>
  <conditionalFormatting sqref="AB10:AB250">
    <cfRule type="cellIs" priority="9" operator="equal" aboveAverage="0" equalAverage="0" bottom="0" percent="0" rank="0" text="" dxfId="26">
      <formula>"NON"</formula>
    </cfRule>
  </conditionalFormatting>
  <conditionalFormatting sqref="M10:M250">
    <cfRule type="expression" priority="10" aboveAverage="0" equalAverage="0" bottom="0" percent="0" rank="0" text="" dxfId="26">
      <formula>$G10="NON"</formula>
    </cfRule>
    <cfRule type="expression" priority="11" aboveAverage="0" equalAverage="0" bottom="0" percent="0" rank="0" text="" dxfId="27">
      <formula>AND(ISNUMBER(M10),M10&lt;10/2)</formula>
    </cfRule>
  </conditionalFormatting>
  <conditionalFormatting sqref="T10:T250">
    <cfRule type="expression" priority="12" aboveAverage="0" equalAverage="0" bottom="0" percent="0" rank="0" text="" dxfId="26">
      <formula>$N10="NON"</formula>
    </cfRule>
    <cfRule type="expression" priority="13" aboveAverage="0" equalAverage="0" bottom="0" percent="0" rank="0" text="" dxfId="27">
      <formula>AND(ISNUMBER(T10),T10&lt;10/2)</formula>
    </cfRule>
  </conditionalFormatting>
  <conditionalFormatting sqref="AA10:AA250">
    <cfRule type="expression" priority="14" aboveAverage="0" equalAverage="0" bottom="0" percent="0" rank="0" text="" dxfId="26">
      <formula>$U10="NON"</formula>
    </cfRule>
    <cfRule type="expression" priority="15" aboveAverage="0" equalAverage="0" bottom="0" percent="0" rank="0" text="" dxfId="27">
      <formula>AND(ISNUMBER(AA10),AA10&lt;10/2)</formula>
    </cfRule>
  </conditionalFormatting>
  <conditionalFormatting sqref="AH10:AH250">
    <cfRule type="expression" priority="16" aboveAverage="0" equalAverage="0" bottom="0" percent="0" rank="0" text="" dxfId="26">
      <formula>$AB10="NON"</formula>
    </cfRule>
    <cfRule type="expression" priority="17" aboveAverage="0" equalAverage="0" bottom="0" percent="0" rank="0" text="" dxfId="27">
      <formula>AND(ISNUMBER(AH10),AH10&lt;10/2)</formula>
    </cfRule>
  </conditionalFormatting>
  <conditionalFormatting sqref="A10:AH250">
    <cfRule type="expression" priority="18" aboveAverage="0" equalAverage="0" bottom="0" percent="0" rank="0" text="" dxfId="28">
      <formula>$F10="ABANDON"</formula>
    </cfRule>
  </conditionalFormatting>
  <conditionalFormatting sqref="H10:K250">
    <cfRule type="expression" priority="19" aboveAverage="0" equalAverage="0" bottom="0" percent="0" rank="0" text="" dxfId="29">
      <formula>AND(ISNUMBER(H10),H10&gt;H$8)</formula>
    </cfRule>
    <cfRule type="expression" priority="20" aboveAverage="0" equalAverage="0" bottom="0" percent="0" rank="0" text="" dxfId="30">
      <formula>AND(ISNUMBER(H10),H10&lt;H$8/2)</formula>
    </cfRule>
  </conditionalFormatting>
  <conditionalFormatting sqref="O10:R250">
    <cfRule type="expression" priority="21" aboveAverage="0" equalAverage="0" bottom="0" percent="0" rank="0" text="" dxfId="29">
      <formula>AND(ISNUMBER(O10),O10&gt;O$8)</formula>
    </cfRule>
    <cfRule type="expression" priority="22" aboveAverage="0" equalAverage="0" bottom="0" percent="0" rank="0" text="" dxfId="30">
      <formula>AND(ISNUMBER(O10),O10&lt;O$8/2)</formula>
    </cfRule>
  </conditionalFormatting>
  <conditionalFormatting sqref="V10:Y250">
    <cfRule type="expression" priority="23" aboveAverage="0" equalAverage="0" bottom="0" percent="0" rank="0" text="" dxfId="29">
      <formula>AND(ISNUMBER(V10),V10&gt;V$8)</formula>
    </cfRule>
    <cfRule type="expression" priority="24" aboveAverage="0" equalAverage="0" bottom="0" percent="0" rank="0" text="" dxfId="30">
      <formula>AND(ISNUMBER(V10),V10&lt;V$8/2)</formula>
    </cfRule>
  </conditionalFormatting>
  <conditionalFormatting sqref="AC10:AF250">
    <cfRule type="expression" priority="25" aboveAverage="0" equalAverage="0" bottom="0" percent="0" rank="0" text="" dxfId="29">
      <formula>AND(ISNUMBER(AC10),AC10&gt;AC$8)</formula>
    </cfRule>
    <cfRule type="expression" priority="26" aboveAverage="0" equalAverage="0" bottom="0" percent="0" rank="0" text="" dxfId="30">
      <formula>AND(ISNUMBER(AC10),AC10&lt;AC$8/2)</formula>
    </cfRule>
  </conditionalFormatting>
  <dataValidations count="17">
    <dataValidation allowBlank="true" error="OUI ou NON (vide = présent)" errorStyle="stop" errorTitle="Présence" operator="between" showDropDown="false" showErrorMessage="true" showInputMessage="false" sqref="G10:G250 N10:N250 U10:U250 AB10:AB250" type="list">
      <formula1>"OUI,NON"</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H10:H250" type="custom">
      <formula1>AND($G10&lt;&gt;"NON",ISNUMBER(H10),H10&gt;=0,H10&lt;=H$8)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I10:I250" type="custom">
      <formula1>AND($G10&lt;&gt;"NON",ISNUMBER(I10),I10&gt;=0,I10&lt;=I$8)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J10:J250" type="custom">
      <formula1>AND($G10&lt;&gt;"NON",ISNUMBER(J10),J10&gt;=0,J10&lt;=J$8)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K10:K250" type="custom">
      <formula1>AND($G10&lt;&gt;"NON",ISNUMBER(K10),K10&gt;=0,K10&lt;=K$8)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O10:O250" type="custom">
      <formula1>AND($N10&lt;&gt;"NON",ISNUMBER(O10),O10&gt;=0,O10&lt;=O$8)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P10:P250" type="custom">
      <formula1>AND($N10&lt;&gt;"NON",ISNUMBER(P10),P10&gt;=0,P10&lt;=P$8)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Q10:Q250" type="custom">
      <formula1>AND($N10&lt;&gt;"NON",ISNUMBER(Q10),Q10&gt;=0,Q10&lt;=Q$8)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R10:R250" type="custom">
      <formula1>AND($N10&lt;&gt;"NON",ISNUMBER(R10),R10&gt;=0,R10&lt;=R$8)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V10:V250" type="custom">
      <formula1>AND($U10&lt;&gt;"NON",ISNUMBER(V10),V10&gt;=0,V10&lt;=V$8)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W10:W250" type="custom">
      <formula1>AND($U10&lt;&gt;"NON",ISNUMBER(W10),W10&gt;=0,W10&lt;=W$8)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X10:X250" type="custom">
      <formula1>AND($U10&lt;&gt;"NON",ISNUMBER(X10),X10&gt;=0,X10&lt;=X$8)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Y10:Y250" type="custom">
      <formula1>AND($U10&lt;&gt;"NON",ISNUMBER(Y10),Y10&gt;=0,Y10&lt;=Y$8)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AC10:AC250" type="custom">
      <formula1>AND($AB10&lt;&gt;"NON",ISNUMBER(AC10),AC10&gt;=0,AC10&lt;=AC$8)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AD10:AD250" type="custom">
      <formula1>AND($AB10&lt;&gt;"NON",ISNUMBER(AD10),AD10&gt;=0,AD10&lt;=AD$8)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AE10:AE250" type="custom">
      <formula1>AND($AB10&lt;&gt;"NON",ISNUMBER(AE10),AE10&gt;=0,AE10&lt;=AE$8)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AF10:AF250" type="custom">
      <formula1>AND($AB10&lt;&gt;"NON",ISNUMBER(AF10),AF10&gt;=0,AF10&lt;=AF$8)</formula1>
      <formula2>0</formula2>
    </dataValidation>
  </dataValidations>
  <printOptions headings="false" gridLines="false" gridLinesSet="true" horizontalCentered="true" verticalCentered="false"/>
  <pageMargins left="0.309722222222222" right="0.309722222222222" top="0.470138888888889" bottom="0.470138888888889" header="0.511811023622047" footer="0.511811023622047"/>
  <pageSetup paperSize="9" scale="70" fitToWidth="1" fitToHeight="1" pageOrder="downThenOver" orientation="landscape" blackAndWhite="false" draft="false" cellComments="none" horizontalDpi="300" verticalDpi="300" copies="1"/>
  <headerFooter differentFirst="false" differentOddEven="false">
    <oddHeader/>
    <oddFooter/>
  </headerFooter>
  <colBreaks count="3" manualBreakCount="3">
    <brk id="13" man="true" max="65535" min="0"/>
    <brk id="20" man="true" max="65535" min="0"/>
    <brk id="27" man="true" max="65535" min="0"/>
  </col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Feuil7" filterMode="false">
    <tabColor rgb="FF7030A0"/>
    <pageSetUpPr fitToPage="false"/>
  </sheetPr>
  <dimension ref="A1:AK25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6" ySplit="9" topLeftCell="G10" activePane="bottomRight" state="frozen"/>
      <selection pane="topLeft" activeCell="A1" activeCellId="0" sqref="A1"/>
      <selection pane="topRight" activeCell="G1" activeCellId="0" sqref="G1"/>
      <selection pane="bottomLeft" activeCell="A10" activeCellId="0" sqref="A10"/>
      <selection pane="bottomRight" activeCell="A1" activeCellId="0" sqref="A1"/>
    </sheetView>
  </sheetViews>
  <sheetFormatPr defaultColWidth="8.6796875" defaultRowHeight="15" zeroHeight="false" outlineLevelRow="0" outlineLevelCol="0"/>
  <cols>
    <col collapsed="false" customWidth="true" hidden="false" outlineLevel="0" max="1" min="1" style="0" width="5"/>
    <col collapsed="false" customWidth="true" hidden="false" outlineLevel="0" max="2" min="2" style="0" width="13"/>
    <col collapsed="false" customWidth="true" hidden="false" outlineLevel="0" max="3" min="3" style="0" width="30"/>
    <col collapsed="false" customWidth="true" hidden="false" outlineLevel="0" max="4" min="4" style="0" width="6"/>
    <col collapsed="false" customWidth="true" hidden="false" outlineLevel="0" max="5" min="5" style="0" width="7"/>
    <col collapsed="false" customWidth="true" hidden="false" outlineLevel="0" max="6" min="6" style="0" width="10"/>
    <col collapsed="false" customWidth="true" hidden="false" outlineLevel="0" max="7" min="7" style="0" width="8"/>
    <col collapsed="false" customWidth="true" hidden="false" outlineLevel="0" max="12" min="8" style="0" width="9"/>
    <col collapsed="false" customWidth="true" hidden="false" outlineLevel="0" max="13" min="13" style="0" width="9.51"/>
    <col collapsed="false" customWidth="true" hidden="false" outlineLevel="0" max="14" min="14" style="0" width="8"/>
    <col collapsed="false" customWidth="true" hidden="false" outlineLevel="0" max="19" min="15" style="0" width="9"/>
    <col collapsed="false" customWidth="true" hidden="false" outlineLevel="0" max="20" min="20" style="0" width="9.51"/>
    <col collapsed="false" customWidth="true" hidden="false" outlineLevel="0" max="21" min="21" style="0" width="8"/>
    <col collapsed="false" customWidth="true" hidden="false" outlineLevel="0" max="27" min="22" style="0" width="9"/>
    <col collapsed="false" customWidth="true" hidden="false" outlineLevel="0" max="28" min="28" style="0" width="9.51"/>
    <col collapsed="false" customWidth="true" hidden="false" outlineLevel="0" max="29" min="29" style="0" width="8"/>
    <col collapsed="false" customWidth="true" hidden="false" outlineLevel="0" max="35" min="30" style="0" width="9"/>
    <col collapsed="false" customWidth="true" hidden="false" outlineLevel="0" max="36" min="36" style="0" width="9.51"/>
    <col collapsed="false" customWidth="true" hidden="true" outlineLevel="0" max="37" min="37" style="0" width="13"/>
  </cols>
  <sheetData>
    <row r="1" customFormat="false" ht="15" hidden="false" customHeight="true" outlineLevel="0" collapsed="false">
      <c r="A1" s="47" t="str">
        <f aca="false">PARAMETRES!$C$4</f>
        <v>MINISTERE DE L'EDUCATION NATIONALE ET DE L'ALPHABETISATION</v>
      </c>
      <c r="B1" s="47"/>
      <c r="C1" s="47"/>
      <c r="D1" s="47"/>
      <c r="E1" s="47"/>
      <c r="F1" s="47"/>
      <c r="G1" s="47"/>
      <c r="H1" s="47"/>
      <c r="I1" s="47"/>
      <c r="J1" s="47"/>
      <c r="K1" s="47"/>
      <c r="L1" s="47"/>
      <c r="M1" s="47"/>
      <c r="N1" s="47"/>
      <c r="O1" s="47"/>
      <c r="P1" s="47"/>
      <c r="Q1" s="47"/>
      <c r="R1" s="47"/>
      <c r="S1" s="47" t="s">
        <v>115</v>
      </c>
      <c r="T1" s="47"/>
      <c r="U1" s="47"/>
      <c r="V1" s="47"/>
      <c r="W1" s="47"/>
      <c r="X1" s="47"/>
      <c r="Y1" s="47"/>
      <c r="Z1" s="47"/>
      <c r="AA1" s="47"/>
      <c r="AB1" s="47"/>
      <c r="AC1" s="47"/>
      <c r="AD1" s="47"/>
      <c r="AE1" s="47"/>
      <c r="AF1" s="47"/>
      <c r="AG1" s="47"/>
      <c r="AH1" s="47"/>
      <c r="AI1" s="47"/>
      <c r="AJ1" s="47"/>
    </row>
    <row r="2" customFormat="false" ht="15" hidden="false" customHeight="true" outlineLevel="0" collapsed="false">
      <c r="A2" s="48" t="str">
        <f aca="false">PARAMETRES!$C$5</f>
        <v>DIRECTION REGIONALE DE L'EDUCATION NATIONALE DE GAGNOA</v>
      </c>
      <c r="B2" s="48"/>
      <c r="C2" s="48"/>
      <c r="D2" s="48"/>
      <c r="E2" s="48"/>
      <c r="F2" s="48"/>
      <c r="G2" s="48"/>
      <c r="H2" s="48"/>
      <c r="I2" s="48"/>
      <c r="J2" s="48"/>
      <c r="K2" s="48"/>
      <c r="L2" s="48"/>
      <c r="M2" s="48"/>
      <c r="N2" s="48"/>
      <c r="O2" s="48"/>
      <c r="P2" s="48"/>
      <c r="Q2" s="48"/>
      <c r="R2" s="48"/>
      <c r="S2" s="48" t="s">
        <v>116</v>
      </c>
      <c r="T2" s="48"/>
      <c r="U2" s="48"/>
      <c r="V2" s="48"/>
      <c r="W2" s="48"/>
      <c r="X2" s="48"/>
      <c r="Y2" s="48"/>
      <c r="Z2" s="48"/>
      <c r="AA2" s="48"/>
      <c r="AB2" s="48"/>
      <c r="AC2" s="48"/>
      <c r="AD2" s="48"/>
      <c r="AE2" s="48"/>
      <c r="AF2" s="48"/>
      <c r="AG2" s="48"/>
      <c r="AH2" s="48"/>
      <c r="AI2" s="48"/>
      <c r="AJ2" s="48"/>
    </row>
    <row r="3" customFormat="false" ht="15" hidden="false" customHeight="false" outlineLevel="0" collapsed="false">
      <c r="A3" s="47" t="str">
        <f aca="false">PARAMETRES!$C$6</f>
        <v>IEPP GAGNOA 2</v>
      </c>
      <c r="B3" s="47"/>
      <c r="C3" s="47"/>
      <c r="D3" s="47"/>
      <c r="E3" s="47"/>
      <c r="F3" s="47"/>
      <c r="G3" s="47"/>
      <c r="H3" s="47"/>
      <c r="I3" s="47"/>
      <c r="J3" s="47"/>
      <c r="K3" s="47"/>
      <c r="L3" s="47"/>
      <c r="M3" s="47"/>
      <c r="N3" s="47"/>
      <c r="O3" s="47"/>
      <c r="P3" s="47"/>
      <c r="Q3" s="47"/>
      <c r="R3" s="47"/>
      <c r="S3" s="47" t="str">
        <f aca="false">"ANNEE SCOLAIRE : "&amp;PARAMETRES!$C$9</f>
        <v>ANNEE SCOLAIRE : 2026-2027</v>
      </c>
      <c r="T3" s="47"/>
      <c r="U3" s="47"/>
      <c r="V3" s="47"/>
      <c r="W3" s="47"/>
      <c r="X3" s="47"/>
      <c r="Y3" s="47"/>
      <c r="Z3" s="47"/>
      <c r="AA3" s="47"/>
      <c r="AB3" s="47"/>
      <c r="AC3" s="47"/>
      <c r="AD3" s="47"/>
      <c r="AE3" s="47"/>
      <c r="AF3" s="47"/>
      <c r="AG3" s="47"/>
      <c r="AH3" s="47"/>
      <c r="AI3" s="47"/>
      <c r="AJ3" s="47"/>
    </row>
    <row r="4" customFormat="false" ht="15" hidden="false" customHeight="false" outlineLevel="0" collapsed="false">
      <c r="A4" s="48" t="str">
        <f aca="false">PARAMETRES!$C$7&amp;"  -  Code : "&amp;PARAMETRES!$C$8</f>
        <v>EPP LIGUIYO  -  Code : EPP-GAG-0123</v>
      </c>
      <c r="B4" s="48"/>
      <c r="C4" s="48"/>
      <c r="D4" s="48"/>
      <c r="E4" s="48"/>
      <c r="F4" s="48"/>
      <c r="G4" s="48"/>
      <c r="H4" s="48"/>
      <c r="I4" s="48"/>
      <c r="J4" s="48"/>
      <c r="K4" s="48"/>
      <c r="L4" s="48"/>
      <c r="M4" s="48"/>
      <c r="N4" s="48"/>
      <c r="O4" s="48"/>
      <c r="P4" s="48"/>
      <c r="Q4" s="48"/>
      <c r="R4" s="48"/>
      <c r="S4" s="49"/>
    </row>
    <row r="6" customFormat="false" ht="27.75" hidden="false" customHeight="true" outlineLevel="0" collapsed="false">
      <c r="A6" s="30" t="s">
        <v>589</v>
      </c>
      <c r="B6" s="30"/>
      <c r="C6" s="30"/>
      <c r="D6" s="30"/>
      <c r="E6" s="30"/>
      <c r="F6" s="30"/>
      <c r="G6" s="30"/>
      <c r="H6" s="30"/>
      <c r="I6" s="30"/>
      <c r="J6" s="30"/>
      <c r="K6" s="30"/>
      <c r="L6" s="30"/>
      <c r="M6" s="30"/>
      <c r="N6" s="30"/>
      <c r="O6" s="30"/>
      <c r="P6" s="30"/>
      <c r="Q6" s="30"/>
      <c r="R6" s="30"/>
      <c r="S6" s="30"/>
      <c r="T6" s="30"/>
      <c r="U6" s="30"/>
      <c r="V6" s="30"/>
      <c r="W6" s="30"/>
      <c r="X6" s="30"/>
      <c r="Y6" s="30"/>
      <c r="Z6" s="30"/>
      <c r="AA6" s="30"/>
      <c r="AB6" s="30"/>
      <c r="AC6" s="30"/>
      <c r="AD6" s="30"/>
      <c r="AE6" s="30"/>
      <c r="AF6" s="30"/>
      <c r="AG6" s="30"/>
      <c r="AH6" s="30"/>
      <c r="AI6" s="30"/>
      <c r="AJ6" s="30"/>
    </row>
    <row r="7" customFormat="false" ht="15" hidden="false" customHeight="true" outlineLevel="0" collapsed="false">
      <c r="G7" s="41" t="s">
        <v>559</v>
      </c>
      <c r="H7" s="41"/>
      <c r="I7" s="41"/>
      <c r="J7" s="41"/>
      <c r="K7" s="41"/>
      <c r="L7" s="41"/>
      <c r="M7" s="41"/>
      <c r="N7" s="60" t="s">
        <v>560</v>
      </c>
      <c r="O7" s="60"/>
      <c r="P7" s="60"/>
      <c r="Q7" s="60"/>
      <c r="R7" s="60"/>
      <c r="S7" s="60"/>
      <c r="T7" s="60"/>
      <c r="U7" s="61" t="s">
        <v>590</v>
      </c>
      <c r="V7" s="61"/>
      <c r="W7" s="61"/>
      <c r="X7" s="61"/>
      <c r="Y7" s="61"/>
      <c r="Z7" s="61"/>
      <c r="AA7" s="61"/>
      <c r="AB7" s="61"/>
      <c r="AC7" s="62" t="s">
        <v>591</v>
      </c>
      <c r="AD7" s="62"/>
      <c r="AE7" s="62"/>
      <c r="AF7" s="62"/>
      <c r="AG7" s="62"/>
      <c r="AH7" s="62"/>
      <c r="AI7" s="62"/>
      <c r="AJ7" s="62"/>
    </row>
    <row r="8" customFormat="false" ht="15" hidden="false" customHeight="false" outlineLevel="0" collapsed="false">
      <c r="B8" s="63" t="s">
        <v>578</v>
      </c>
      <c r="C8" s="64" t="s">
        <v>592</v>
      </c>
      <c r="D8" s="64"/>
      <c r="E8" s="64"/>
      <c r="F8" s="64"/>
      <c r="G8" s="65" t="s">
        <v>565</v>
      </c>
      <c r="H8" s="66" t="n">
        <v>50</v>
      </c>
      <c r="I8" s="66" t="n">
        <v>50</v>
      </c>
      <c r="J8" s="66" t="n">
        <v>50</v>
      </c>
      <c r="K8" s="66" t="n">
        <v>20</v>
      </c>
      <c r="N8" s="65" t="s">
        <v>565</v>
      </c>
      <c r="O8" s="66" t="n">
        <v>50</v>
      </c>
      <c r="P8" s="66" t="n">
        <v>50</v>
      </c>
      <c r="Q8" s="66" t="n">
        <v>50</v>
      </c>
      <c r="R8" s="66" t="n">
        <v>20</v>
      </c>
      <c r="U8" s="65" t="s">
        <v>565</v>
      </c>
      <c r="V8" s="66" t="n">
        <v>50</v>
      </c>
      <c r="W8" s="66" t="n">
        <v>50</v>
      </c>
      <c r="X8" s="66" t="n">
        <v>50</v>
      </c>
      <c r="Y8" s="66" t="n">
        <v>20</v>
      </c>
      <c r="Z8" s="66" t="n">
        <v>20</v>
      </c>
      <c r="AC8" s="65" t="s">
        <v>565</v>
      </c>
      <c r="AD8" s="66" t="n">
        <v>50</v>
      </c>
      <c r="AE8" s="66" t="n">
        <v>50</v>
      </c>
      <c r="AF8" s="66" t="n">
        <v>50</v>
      </c>
      <c r="AG8" s="66" t="n">
        <v>20</v>
      </c>
      <c r="AH8" s="66" t="n">
        <v>20</v>
      </c>
    </row>
    <row r="9" customFormat="false" ht="60" hidden="false" customHeight="true" outlineLevel="0" collapsed="false">
      <c r="A9" s="50" t="s">
        <v>120</v>
      </c>
      <c r="B9" s="50" t="s">
        <v>121</v>
      </c>
      <c r="C9" s="50" t="s">
        <v>123</v>
      </c>
      <c r="D9" s="50" t="s">
        <v>32</v>
      </c>
      <c r="E9" s="50" t="s">
        <v>12</v>
      </c>
      <c r="F9" s="50" t="s">
        <v>36</v>
      </c>
      <c r="G9" s="67" t="s">
        <v>566</v>
      </c>
      <c r="H9" s="68" t="s">
        <v>580</v>
      </c>
      <c r="I9" s="68" t="s">
        <v>586</v>
      </c>
      <c r="J9" s="68" t="s">
        <v>587</v>
      </c>
      <c r="K9" s="68" t="s">
        <v>588</v>
      </c>
      <c r="L9" s="78" t="str">
        <f aca="false">"TOTAL
(/"&amp;SUM(H8:K8)&amp;")"</f>
        <v>TOTAL
(/170)</v>
      </c>
      <c r="M9" s="69" t="s">
        <v>593</v>
      </c>
      <c r="N9" s="67" t="s">
        <v>566</v>
      </c>
      <c r="O9" s="70" t="s">
        <v>580</v>
      </c>
      <c r="P9" s="70" t="s">
        <v>586</v>
      </c>
      <c r="Q9" s="70" t="s">
        <v>587</v>
      </c>
      <c r="R9" s="70" t="s">
        <v>588</v>
      </c>
      <c r="S9" s="78" t="str">
        <f aca="false">"TOTAL
(/"&amp;SUM(O8:R8)&amp;")"</f>
        <v>TOTAL
(/170)</v>
      </c>
      <c r="T9" s="69" t="s">
        <v>593</v>
      </c>
      <c r="U9" s="67" t="s">
        <v>566</v>
      </c>
      <c r="V9" s="71" t="s">
        <v>580</v>
      </c>
      <c r="W9" s="71" t="s">
        <v>586</v>
      </c>
      <c r="X9" s="71" t="s">
        <v>587</v>
      </c>
      <c r="Y9" s="71" t="s">
        <v>588</v>
      </c>
      <c r="Z9" s="71" t="s">
        <v>594</v>
      </c>
      <c r="AA9" s="78" t="str">
        <f aca="false">"TOTAL
(/"&amp;SUM(V8:Z8)&amp;")"</f>
        <v>TOTAL
(/190)</v>
      </c>
      <c r="AB9" s="69" t="s">
        <v>593</v>
      </c>
      <c r="AC9" s="67" t="s">
        <v>566</v>
      </c>
      <c r="AD9" s="72" t="s">
        <v>580</v>
      </c>
      <c r="AE9" s="72" t="s">
        <v>586</v>
      </c>
      <c r="AF9" s="72" t="s">
        <v>587</v>
      </c>
      <c r="AG9" s="72" t="s">
        <v>588</v>
      </c>
      <c r="AH9" s="72" t="s">
        <v>594</v>
      </c>
      <c r="AI9" s="78" t="str">
        <f aca="false">"TOTAL
(/"&amp;SUM(AD8:AH8)&amp;")"</f>
        <v>TOTAL
(/190)</v>
      </c>
      <c r="AJ9" s="69" t="s">
        <v>593</v>
      </c>
      <c r="AK9" s="51" t="s">
        <v>576</v>
      </c>
    </row>
    <row r="10" customFormat="false" ht="15" hidden="false" customHeight="false" outlineLevel="0" collapsed="false">
      <c r="A10" s="73" t="n">
        <f aca="false">IF(B10="","",1)</f>
        <v>1</v>
      </c>
      <c r="B10" s="73" t="str">
        <f aca="false">IF($AK10="","",INDEX('REGISTRE ELEVES'!$B$10:$B$250,$AK10))</f>
        <v>CM2-001-26</v>
      </c>
      <c r="C10" s="74" t="str">
        <f aca="false">IF($AK10="","",INDEX('REGISTRE ELEVES'!$D$10:$D$250,$AK10))</f>
        <v>DJEDJE Marie-Ange Grâce</v>
      </c>
      <c r="D10" s="73" t="str">
        <f aca="false">IF($AK10="","",INDEX('REGISTRE ELEVES'!$E$10:$E$250,$AK10))</f>
        <v>F</v>
      </c>
      <c r="E10" s="73" t="str">
        <f aca="false">IF($AK10="","",INDEX('REGISTRE ELEVES'!$F$10:$F$250,$AK10))</f>
        <v>CM2</v>
      </c>
      <c r="F10" s="73" t="str">
        <f aca="false">IF($AK10="","",INDEX('REGISTRE ELEVES'!$AE$10:$AE$250,$AK10))</f>
        <v>PRESENT</v>
      </c>
      <c r="G10" s="75" t="s">
        <v>39</v>
      </c>
      <c r="H10" s="76" t="n">
        <v>32.5</v>
      </c>
      <c r="I10" s="76" t="n">
        <v>44</v>
      </c>
      <c r="J10" s="76" t="n">
        <v>40</v>
      </c>
      <c r="K10" s="76" t="n">
        <v>17</v>
      </c>
      <c r="L10" s="79" t="n">
        <f aca="false">IF(B10="","",IF($G10="NON",0,IF(COUNT(H10:K10)=0,"",SUM(H10:K10))))</f>
        <v>133.5</v>
      </c>
      <c r="M10" s="77" t="n">
        <f aca="false">IF(B10="","",IF($G10="NON",0,IF(COUNT(H10:K10)=0,"",IFERROR(ROUND(SUM(H10:K10)/SUMPRODUCT(ISNUMBER(H10:K10)*$H$8:$K$8)*20,2),""))))</f>
        <v>15.71</v>
      </c>
      <c r="N10" s="75" t="s">
        <v>39</v>
      </c>
      <c r="O10" s="76" t="n">
        <v>26</v>
      </c>
      <c r="P10" s="76" t="n">
        <v>30</v>
      </c>
      <c r="Q10" s="76" t="n">
        <v>41.5</v>
      </c>
      <c r="R10" s="76" t="n">
        <v>15.5</v>
      </c>
      <c r="S10" s="79" t="n">
        <f aca="false">IF(B10="","",IF($N10="NON",0,IF(COUNT(O10:R10)=0,"",SUM(O10:R10))))</f>
        <v>113</v>
      </c>
      <c r="T10" s="77" t="n">
        <f aca="false">IF(B10="","",IF($N10="NON",0,IF(COUNT(O10:R10)=0,"",IFERROR(ROUND(SUM(O10:R10)/SUMPRODUCT(ISNUMBER(O10:R10)*$O$8:$R$8)*20,2),""))))</f>
        <v>13.29</v>
      </c>
      <c r="U10" s="75" t="s">
        <v>46</v>
      </c>
      <c r="V10" s="76"/>
      <c r="W10" s="76"/>
      <c r="X10" s="76"/>
      <c r="Y10" s="76"/>
      <c r="Z10" s="76"/>
      <c r="AA10" s="79" t="n">
        <f aca="false">IF(B10="","",IF($U10="NON",0,IF(COUNT(V10:Z10)=0,"",SUM(V10:Z10))))</f>
        <v>0</v>
      </c>
      <c r="AB10" s="77" t="n">
        <f aca="false">IF(B10="","",IF($U10="NON",0,IF(COUNT(V10:Z10)=0,"",IFERROR(ROUND(SUM(V10:Z10)/SUMPRODUCT(ISNUMBER(V10:Z10)*$V$8:$Z$8)*20,2),""))))</f>
        <v>0</v>
      </c>
      <c r="AC10" s="75" t="s">
        <v>39</v>
      </c>
      <c r="AD10" s="76" t="n">
        <v>30</v>
      </c>
      <c r="AE10" s="76" t="n">
        <v>34</v>
      </c>
      <c r="AF10" s="76" t="n">
        <v>27.5</v>
      </c>
      <c r="AG10" s="76" t="n">
        <v>10.5</v>
      </c>
      <c r="AH10" s="76" t="n">
        <v>18</v>
      </c>
      <c r="AI10" s="79" t="n">
        <f aca="false">IF(B10="","",IF($AC10="NON",0,IF(COUNT(AD10:AH10)=0,"",SUM(AD10:AH10))))</f>
        <v>120</v>
      </c>
      <c r="AJ10" s="77" t="n">
        <f aca="false">IF(B10="","",IF($AC10="NON",0,IF(COUNT(AD10:AH10)=0,"",IFERROR(ROUND(SUM(AD10:AH10)/SUMPRODUCT(ISNUMBER(AD10:AH10)*$AD$8:$AH$8)*20,2),""))))</f>
        <v>12.63</v>
      </c>
      <c r="AK10" s="51" t="n">
        <f aca="false">IFERROR(MATCH("CM2-1",'REGISTRE ELEVES'!$AI$10:$AI$250,0),"")</f>
        <v>56</v>
      </c>
    </row>
    <row r="11" customFormat="false" ht="15" hidden="false" customHeight="false" outlineLevel="0" collapsed="false">
      <c r="A11" s="73" t="n">
        <f aca="false">IF(B11="","",2)</f>
        <v>2</v>
      </c>
      <c r="B11" s="73" t="str">
        <f aca="false">IF($AK11="","",INDEX('REGISTRE ELEVES'!$B$10:$B$250,$AK11))</f>
        <v>CM2-002-26</v>
      </c>
      <c r="C11" s="74" t="str">
        <f aca="false">IF($AK11="","",INDEX('REGISTRE ELEVES'!$D$10:$D$250,$AK11))</f>
        <v>OUATTARA Akissi Marie-Ange</v>
      </c>
      <c r="D11" s="73" t="str">
        <f aca="false">IF($AK11="","",INDEX('REGISTRE ELEVES'!$E$10:$E$250,$AK11))</f>
        <v>F</v>
      </c>
      <c r="E11" s="73" t="str">
        <f aca="false">IF($AK11="","",INDEX('REGISTRE ELEVES'!$F$10:$F$250,$AK11))</f>
        <v>CM2</v>
      </c>
      <c r="F11" s="73" t="str">
        <f aca="false">IF($AK11="","",INDEX('REGISTRE ELEVES'!$AE$10:$AE$250,$AK11))</f>
        <v>PRESENT</v>
      </c>
      <c r="G11" s="75" t="s">
        <v>39</v>
      </c>
      <c r="H11" s="76" t="n">
        <v>17</v>
      </c>
      <c r="I11" s="76" t="n">
        <v>24</v>
      </c>
      <c r="J11" s="76" t="n">
        <v>17</v>
      </c>
      <c r="K11" s="76" t="n">
        <v>9</v>
      </c>
      <c r="L11" s="79" t="n">
        <f aca="false">IF(B11="","",IF($G11="NON",0,IF(COUNT(H11:K11)=0,"",SUM(H11:K11))))</f>
        <v>67</v>
      </c>
      <c r="M11" s="77" t="n">
        <f aca="false">IF(B11="","",IF($G11="NON",0,IF(COUNT(H11:K11)=0,"",IFERROR(ROUND(SUM(H11:K11)/SUMPRODUCT(ISNUMBER(H11:K11)*$H$8:$K$8)*20,2),""))))</f>
        <v>7.88</v>
      </c>
      <c r="N11" s="75" t="s">
        <v>39</v>
      </c>
      <c r="O11" s="76" t="n">
        <v>28</v>
      </c>
      <c r="P11" s="76" t="n">
        <v>17.5</v>
      </c>
      <c r="Q11" s="76" t="n">
        <v>29.5</v>
      </c>
      <c r="R11" s="76" t="n">
        <v>10</v>
      </c>
      <c r="S11" s="79" t="n">
        <f aca="false">IF(B11="","",IF($N11="NON",0,IF(COUNT(O11:R11)=0,"",SUM(O11:R11))))</f>
        <v>85</v>
      </c>
      <c r="T11" s="77" t="n">
        <f aca="false">IF(B11="","",IF($N11="NON",0,IF(COUNT(O11:R11)=0,"",IFERROR(ROUND(SUM(O11:R11)/SUMPRODUCT(ISNUMBER(O11:R11)*$O$8:$R$8)*20,2),""))))</f>
        <v>10</v>
      </c>
      <c r="U11" s="75" t="s">
        <v>39</v>
      </c>
      <c r="V11" s="76" t="n">
        <v>21.5</v>
      </c>
      <c r="W11" s="76" t="n">
        <v>24.5</v>
      </c>
      <c r="X11" s="76" t="n">
        <v>33</v>
      </c>
      <c r="Y11" s="76" t="n">
        <v>8.5</v>
      </c>
      <c r="Z11" s="76" t="n">
        <v>7.5</v>
      </c>
      <c r="AA11" s="79" t="n">
        <f aca="false">IF(B11="","",IF($U11="NON",0,IF(COUNT(V11:Z11)=0,"",SUM(V11:Z11))))</f>
        <v>95</v>
      </c>
      <c r="AB11" s="77" t="n">
        <f aca="false">IF(B11="","",IF($U11="NON",0,IF(COUNT(V11:Z11)=0,"",IFERROR(ROUND(SUM(V11:Z11)/SUMPRODUCT(ISNUMBER(V11:Z11)*$V$8:$Z$8)*20,2),""))))</f>
        <v>10</v>
      </c>
      <c r="AC11" s="75" t="s">
        <v>39</v>
      </c>
      <c r="AD11" s="76" t="n">
        <v>32</v>
      </c>
      <c r="AE11" s="76" t="n">
        <v>29</v>
      </c>
      <c r="AF11" s="76" t="n">
        <v>20</v>
      </c>
      <c r="AG11" s="76" t="n">
        <v>7</v>
      </c>
      <c r="AH11" s="76" t="n">
        <v>8</v>
      </c>
      <c r="AI11" s="79" t="n">
        <f aca="false">IF(B11="","",IF($AC11="NON",0,IF(COUNT(AD11:AH11)=0,"",SUM(AD11:AH11))))</f>
        <v>96</v>
      </c>
      <c r="AJ11" s="77" t="n">
        <f aca="false">IF(B11="","",IF($AC11="NON",0,IF(COUNT(AD11:AH11)=0,"",IFERROR(ROUND(SUM(AD11:AH11)/SUMPRODUCT(ISNUMBER(AD11:AH11)*$AD$8:$AH$8)*20,2),""))))</f>
        <v>10.11</v>
      </c>
      <c r="AK11" s="51" t="n">
        <f aca="false">IFERROR(MATCH("CM2-2",'REGISTRE ELEVES'!$AI$10:$AI$250,0),"")</f>
        <v>57</v>
      </c>
    </row>
    <row r="12" customFormat="false" ht="15" hidden="false" customHeight="false" outlineLevel="0" collapsed="false">
      <c r="A12" s="73" t="n">
        <f aca="false">IF(B12="","",3)</f>
        <v>3</v>
      </c>
      <c r="B12" s="73" t="str">
        <f aca="false">IF($AK12="","",INDEX('REGISTRE ELEVES'!$B$10:$B$250,$AK12))</f>
        <v>CM2-003-26</v>
      </c>
      <c r="C12" s="74" t="str">
        <f aca="false">IF($AK12="","",INDEX('REGISTRE ELEVES'!$D$10:$D$250,$AK12))</f>
        <v>BAMBA Grâce Nadège</v>
      </c>
      <c r="D12" s="73" t="str">
        <f aca="false">IF($AK12="","",INDEX('REGISTRE ELEVES'!$E$10:$E$250,$AK12))</f>
        <v>F</v>
      </c>
      <c r="E12" s="73" t="str">
        <f aca="false">IF($AK12="","",INDEX('REGISTRE ELEVES'!$F$10:$F$250,$AK12))</f>
        <v>CM2</v>
      </c>
      <c r="F12" s="73" t="str">
        <f aca="false">IF($AK12="","",INDEX('REGISTRE ELEVES'!$AE$10:$AE$250,$AK12))</f>
        <v>PRESENT</v>
      </c>
      <c r="G12" s="75" t="s">
        <v>39</v>
      </c>
      <c r="H12" s="76" t="n">
        <v>17</v>
      </c>
      <c r="I12" s="76" t="n">
        <v>15</v>
      </c>
      <c r="J12" s="76" t="n">
        <v>18</v>
      </c>
      <c r="K12" s="76" t="n">
        <v>5.5</v>
      </c>
      <c r="L12" s="79" t="n">
        <f aca="false">IF(B12="","",IF($G12="NON",0,IF(COUNT(H12:K12)=0,"",SUM(H12:K12))))</f>
        <v>55.5</v>
      </c>
      <c r="M12" s="77" t="n">
        <f aca="false">IF(B12="","",IF($G12="NON",0,IF(COUNT(H12:K12)=0,"",IFERROR(ROUND(SUM(H12:K12)/SUMPRODUCT(ISNUMBER(H12:K12)*$H$8:$K$8)*20,2),""))))</f>
        <v>6.53</v>
      </c>
      <c r="N12" s="75" t="s">
        <v>46</v>
      </c>
      <c r="O12" s="76"/>
      <c r="P12" s="76"/>
      <c r="Q12" s="76"/>
      <c r="R12" s="76"/>
      <c r="S12" s="79" t="n">
        <f aca="false">IF(B12="","",IF($N12="NON",0,IF(COUNT(O12:R12)=0,"",SUM(O12:R12))))</f>
        <v>0</v>
      </c>
      <c r="T12" s="77" t="n">
        <f aca="false">IF(B12="","",IF($N12="NON",0,IF(COUNT(O12:R12)=0,"",IFERROR(ROUND(SUM(O12:R12)/SUMPRODUCT(ISNUMBER(O12:R12)*$O$8:$R$8)*20,2),""))))</f>
        <v>0</v>
      </c>
      <c r="U12" s="75" t="s">
        <v>39</v>
      </c>
      <c r="V12" s="76" t="n">
        <v>20</v>
      </c>
      <c r="W12" s="76" t="n">
        <v>18</v>
      </c>
      <c r="X12" s="76" t="n">
        <v>18</v>
      </c>
      <c r="Y12" s="76" t="n">
        <v>8.5</v>
      </c>
      <c r="Z12" s="76" t="n">
        <v>10.5</v>
      </c>
      <c r="AA12" s="79" t="n">
        <f aca="false">IF(B12="","",IF($U12="NON",0,IF(COUNT(V12:Z12)=0,"",SUM(V12:Z12))))</f>
        <v>75</v>
      </c>
      <c r="AB12" s="77" t="n">
        <f aca="false">IF(B12="","",IF($U12="NON",0,IF(COUNT(V12:Z12)=0,"",IFERROR(ROUND(SUM(V12:Z12)/SUMPRODUCT(ISNUMBER(V12:Z12)*$V$8:$Z$8)*20,2),""))))</f>
        <v>7.89</v>
      </c>
      <c r="AC12" s="75" t="s">
        <v>39</v>
      </c>
      <c r="AD12" s="76" t="n">
        <v>21.5</v>
      </c>
      <c r="AE12" s="76" t="n">
        <v>15</v>
      </c>
      <c r="AF12" s="76" t="n">
        <v>13.5</v>
      </c>
      <c r="AG12" s="76" t="n">
        <v>6</v>
      </c>
      <c r="AH12" s="76" t="n">
        <v>10.5</v>
      </c>
      <c r="AI12" s="79" t="n">
        <f aca="false">IF(B12="","",IF($AC12="NON",0,IF(COUNT(AD12:AH12)=0,"",SUM(AD12:AH12))))</f>
        <v>66.5</v>
      </c>
      <c r="AJ12" s="77" t="n">
        <f aca="false">IF(B12="","",IF($AC12="NON",0,IF(COUNT(AD12:AH12)=0,"",IFERROR(ROUND(SUM(AD12:AH12)/SUMPRODUCT(ISNUMBER(AD12:AH12)*$AD$8:$AH$8)*20,2),""))))</f>
        <v>7</v>
      </c>
      <c r="AK12" s="51" t="n">
        <f aca="false">IFERROR(MATCH("CM2-3",'REGISTRE ELEVES'!$AI$10:$AI$250,0),"")</f>
        <v>58</v>
      </c>
    </row>
    <row r="13" customFormat="false" ht="15" hidden="false" customHeight="false" outlineLevel="0" collapsed="false">
      <c r="A13" s="73" t="n">
        <f aca="false">IF(B13="","",4)</f>
        <v>4</v>
      </c>
      <c r="B13" s="73" t="str">
        <f aca="false">IF($AK13="","",INDEX('REGISTRE ELEVES'!$B$10:$B$250,$AK13))</f>
        <v>CM2-004-26</v>
      </c>
      <c r="C13" s="74" t="str">
        <f aca="false">IF($AK13="","",INDEX('REGISTRE ELEVES'!$D$10:$D$250,$AK13))</f>
        <v>KONE Cédric Abdoulaye</v>
      </c>
      <c r="D13" s="73" t="str">
        <f aca="false">IF($AK13="","",INDEX('REGISTRE ELEVES'!$E$10:$E$250,$AK13))</f>
        <v>M</v>
      </c>
      <c r="E13" s="73" t="str">
        <f aca="false">IF($AK13="","",INDEX('REGISTRE ELEVES'!$F$10:$F$250,$AK13))</f>
        <v>CM2</v>
      </c>
      <c r="F13" s="73" t="str">
        <f aca="false">IF($AK13="","",INDEX('REGISTRE ELEVES'!$AE$10:$AE$250,$AK13))</f>
        <v>ABANDON</v>
      </c>
      <c r="G13" s="75" t="s">
        <v>39</v>
      </c>
      <c r="H13" s="76" t="n">
        <v>25</v>
      </c>
      <c r="I13" s="76" t="n">
        <v>19.5</v>
      </c>
      <c r="J13" s="76" t="n">
        <v>36.5</v>
      </c>
      <c r="K13" s="76" t="n">
        <v>6.5</v>
      </c>
      <c r="L13" s="79" t="n">
        <f aca="false">IF(B13="","",IF($G13="NON",0,IF(COUNT(H13:K13)=0,"",SUM(H13:K13))))</f>
        <v>87.5</v>
      </c>
      <c r="M13" s="77" t="n">
        <f aca="false">IF(B13="","",IF($G13="NON",0,IF(COUNT(H13:K13)=0,"",IFERROR(ROUND(SUM(H13:K13)/SUMPRODUCT(ISNUMBER(H13:K13)*$H$8:$K$8)*20,2),""))))</f>
        <v>10.29</v>
      </c>
      <c r="N13" s="75" t="s">
        <v>39</v>
      </c>
      <c r="O13" s="76" t="n">
        <v>35</v>
      </c>
      <c r="P13" s="76" t="n">
        <v>21.5</v>
      </c>
      <c r="Q13" s="76" t="n">
        <v>29</v>
      </c>
      <c r="R13" s="76" t="n">
        <v>9.5</v>
      </c>
      <c r="S13" s="79" t="n">
        <f aca="false">IF(B13="","",IF($N13="NON",0,IF(COUNT(O13:R13)=0,"",SUM(O13:R13))))</f>
        <v>95</v>
      </c>
      <c r="T13" s="77" t="n">
        <f aca="false">IF(B13="","",IF($N13="NON",0,IF(COUNT(O13:R13)=0,"",IFERROR(ROUND(SUM(O13:R13)/SUMPRODUCT(ISNUMBER(O13:R13)*$O$8:$R$8)*20,2),""))))</f>
        <v>11.18</v>
      </c>
      <c r="U13" s="75" t="s">
        <v>46</v>
      </c>
      <c r="V13" s="76"/>
      <c r="W13" s="76"/>
      <c r="X13" s="76"/>
      <c r="Y13" s="76"/>
      <c r="Z13" s="76"/>
      <c r="AA13" s="79" t="n">
        <f aca="false">IF(B13="","",IF($U13="NON",0,IF(COUNT(V13:Z13)=0,"",SUM(V13:Z13))))</f>
        <v>0</v>
      </c>
      <c r="AB13" s="77" t="n">
        <f aca="false">IF(B13="","",IF($U13="NON",0,IF(COUNT(V13:Z13)=0,"",IFERROR(ROUND(SUM(V13:Z13)/SUMPRODUCT(ISNUMBER(V13:Z13)*$V$8:$Z$8)*20,2),""))))</f>
        <v>0</v>
      </c>
      <c r="AC13" s="75" t="s">
        <v>46</v>
      </c>
      <c r="AD13" s="76"/>
      <c r="AE13" s="76"/>
      <c r="AF13" s="76"/>
      <c r="AG13" s="76"/>
      <c r="AH13" s="76"/>
      <c r="AI13" s="79" t="n">
        <f aca="false">IF(B13="","",IF($AC13="NON",0,IF(COUNT(AD13:AH13)=0,"",SUM(AD13:AH13))))</f>
        <v>0</v>
      </c>
      <c r="AJ13" s="77" t="n">
        <f aca="false">IF(B13="","",IF($AC13="NON",0,IF(COUNT(AD13:AH13)=0,"",IFERROR(ROUND(SUM(AD13:AH13)/SUMPRODUCT(ISNUMBER(AD13:AH13)*$AD$8:$AH$8)*20,2),""))))</f>
        <v>0</v>
      </c>
      <c r="AK13" s="51" t="n">
        <f aca="false">IFERROR(MATCH("CM2-4",'REGISTRE ELEVES'!$AI$10:$AI$250,0),"")</f>
        <v>59</v>
      </c>
    </row>
    <row r="14" customFormat="false" ht="15" hidden="false" customHeight="false" outlineLevel="0" collapsed="false">
      <c r="A14" s="73" t="n">
        <f aca="false">IF(B14="","",5)</f>
        <v>5</v>
      </c>
      <c r="B14" s="73" t="str">
        <f aca="false">IF($AK14="","",INDEX('REGISTRE ELEVES'!$B$10:$B$250,$AK14))</f>
        <v>CM2-005-26</v>
      </c>
      <c r="C14" s="74" t="str">
        <f aca="false">IF($AK14="","",INDEX('REGISTRE ELEVES'!$D$10:$D$250,$AK14))</f>
        <v>SERI Awa Mariam</v>
      </c>
      <c r="D14" s="73" t="str">
        <f aca="false">IF($AK14="","",INDEX('REGISTRE ELEVES'!$E$10:$E$250,$AK14))</f>
        <v>F</v>
      </c>
      <c r="E14" s="73" t="str">
        <f aca="false">IF($AK14="","",INDEX('REGISTRE ELEVES'!$F$10:$F$250,$AK14))</f>
        <v>CM2</v>
      </c>
      <c r="F14" s="73" t="str">
        <f aca="false">IF($AK14="","",INDEX('REGISTRE ELEVES'!$AE$10:$AE$250,$AK14))</f>
        <v>ABANDON</v>
      </c>
      <c r="G14" s="75" t="s">
        <v>39</v>
      </c>
      <c r="H14" s="76" t="n">
        <v>14.5</v>
      </c>
      <c r="I14" s="76" t="n">
        <v>29</v>
      </c>
      <c r="J14" s="76" t="n">
        <v>28</v>
      </c>
      <c r="K14" s="76" t="n">
        <v>12</v>
      </c>
      <c r="L14" s="79" t="n">
        <f aca="false">IF(B14="","",IF($G14="NON",0,IF(COUNT(H14:K14)=0,"",SUM(H14:K14))))</f>
        <v>83.5</v>
      </c>
      <c r="M14" s="77" t="n">
        <f aca="false">IF(B14="","",IF($G14="NON",0,IF(COUNT(H14:K14)=0,"",IFERROR(ROUND(SUM(H14:K14)/SUMPRODUCT(ISNUMBER(H14:K14)*$H$8:$K$8)*20,2),""))))</f>
        <v>9.82</v>
      </c>
      <c r="N14" s="75" t="s">
        <v>39</v>
      </c>
      <c r="O14" s="76" t="n">
        <v>26</v>
      </c>
      <c r="P14" s="76" t="n">
        <v>18.5</v>
      </c>
      <c r="Q14" s="76" t="n">
        <v>25</v>
      </c>
      <c r="R14" s="76" t="n">
        <v>9.5</v>
      </c>
      <c r="S14" s="79" t="n">
        <f aca="false">IF(B14="","",IF($N14="NON",0,IF(COUNT(O14:R14)=0,"",SUM(O14:R14))))</f>
        <v>79</v>
      </c>
      <c r="T14" s="77" t="n">
        <f aca="false">IF(B14="","",IF($N14="NON",0,IF(COUNT(O14:R14)=0,"",IFERROR(ROUND(SUM(O14:R14)/SUMPRODUCT(ISNUMBER(O14:R14)*$O$8:$R$8)*20,2),""))))</f>
        <v>9.29</v>
      </c>
      <c r="U14" s="75" t="s">
        <v>46</v>
      </c>
      <c r="V14" s="76"/>
      <c r="W14" s="76"/>
      <c r="X14" s="76"/>
      <c r="Y14" s="76"/>
      <c r="Z14" s="76"/>
      <c r="AA14" s="79" t="n">
        <f aca="false">IF(B14="","",IF($U14="NON",0,IF(COUNT(V14:Z14)=0,"",SUM(V14:Z14))))</f>
        <v>0</v>
      </c>
      <c r="AB14" s="77" t="n">
        <f aca="false">IF(B14="","",IF($U14="NON",0,IF(COUNT(V14:Z14)=0,"",IFERROR(ROUND(SUM(V14:Z14)/SUMPRODUCT(ISNUMBER(V14:Z14)*$V$8:$Z$8)*20,2),""))))</f>
        <v>0</v>
      </c>
      <c r="AC14" s="75" t="s">
        <v>46</v>
      </c>
      <c r="AD14" s="76"/>
      <c r="AE14" s="76"/>
      <c r="AF14" s="76"/>
      <c r="AG14" s="76"/>
      <c r="AH14" s="76"/>
      <c r="AI14" s="79" t="n">
        <f aca="false">IF(B14="","",IF($AC14="NON",0,IF(COUNT(AD14:AH14)=0,"",SUM(AD14:AH14))))</f>
        <v>0</v>
      </c>
      <c r="AJ14" s="77" t="n">
        <f aca="false">IF(B14="","",IF($AC14="NON",0,IF(COUNT(AD14:AH14)=0,"",IFERROR(ROUND(SUM(AD14:AH14)/SUMPRODUCT(ISNUMBER(AD14:AH14)*$AD$8:$AH$8)*20,2),""))))</f>
        <v>0</v>
      </c>
      <c r="AK14" s="51" t="n">
        <f aca="false">IFERROR(MATCH("CM2-5",'REGISTRE ELEVES'!$AI$10:$AI$250,0),"")</f>
        <v>60</v>
      </c>
    </row>
    <row r="15" customFormat="false" ht="15" hidden="false" customHeight="false" outlineLevel="0" collapsed="false">
      <c r="A15" s="73" t="n">
        <f aca="false">IF(B15="","",6)</f>
        <v>6</v>
      </c>
      <c r="B15" s="73" t="str">
        <f aca="false">IF($AK15="","",INDEX('REGISTRE ELEVES'!$B$10:$B$250,$AK15))</f>
        <v>CM2-006-26</v>
      </c>
      <c r="C15" s="74" t="str">
        <f aca="false">IF($AK15="","",INDEX('REGISTRE ELEVES'!$D$10:$D$250,$AK15))</f>
        <v>TANOH Akissi Rebecca</v>
      </c>
      <c r="D15" s="73" t="str">
        <f aca="false">IF($AK15="","",INDEX('REGISTRE ELEVES'!$E$10:$E$250,$AK15))</f>
        <v>F</v>
      </c>
      <c r="E15" s="73" t="str">
        <f aca="false">IF($AK15="","",INDEX('REGISTRE ELEVES'!$F$10:$F$250,$AK15))</f>
        <v>CM2</v>
      </c>
      <c r="F15" s="73" t="str">
        <f aca="false">IF($AK15="","",INDEX('REGISTRE ELEVES'!$AE$10:$AE$250,$AK15))</f>
        <v>PRESENT</v>
      </c>
      <c r="G15" s="75" t="s">
        <v>39</v>
      </c>
      <c r="H15" s="76" t="n">
        <v>14.5</v>
      </c>
      <c r="I15" s="76" t="n">
        <v>29.5</v>
      </c>
      <c r="J15" s="76" t="n">
        <v>31.5</v>
      </c>
      <c r="K15" s="76" t="n">
        <v>10</v>
      </c>
      <c r="L15" s="79" t="n">
        <f aca="false">IF(B15="","",IF($G15="NON",0,IF(COUNT(H15:K15)=0,"",SUM(H15:K15))))</f>
        <v>85.5</v>
      </c>
      <c r="M15" s="77" t="n">
        <f aca="false">IF(B15="","",IF($G15="NON",0,IF(COUNT(H15:K15)=0,"",IFERROR(ROUND(SUM(H15:K15)/SUMPRODUCT(ISNUMBER(H15:K15)*$H$8:$K$8)*20,2),""))))</f>
        <v>10.06</v>
      </c>
      <c r="N15" s="75" t="s">
        <v>39</v>
      </c>
      <c r="O15" s="76" t="n">
        <v>34.5</v>
      </c>
      <c r="P15" s="76" t="n">
        <v>19</v>
      </c>
      <c r="Q15" s="76" t="n">
        <v>27</v>
      </c>
      <c r="R15" s="76" t="n">
        <v>11.5</v>
      </c>
      <c r="S15" s="79" t="n">
        <f aca="false">IF(B15="","",IF($N15="NON",0,IF(COUNT(O15:R15)=0,"",SUM(O15:R15))))</f>
        <v>92</v>
      </c>
      <c r="T15" s="77" t="n">
        <f aca="false">IF(B15="","",IF($N15="NON",0,IF(COUNT(O15:R15)=0,"",IFERROR(ROUND(SUM(O15:R15)/SUMPRODUCT(ISNUMBER(O15:R15)*$O$8:$R$8)*20,2),""))))</f>
        <v>10.82</v>
      </c>
      <c r="U15" s="75" t="s">
        <v>39</v>
      </c>
      <c r="V15" s="76" t="n">
        <v>28.5</v>
      </c>
      <c r="W15" s="76" t="n">
        <v>22.5</v>
      </c>
      <c r="X15" s="76" t="n">
        <v>25</v>
      </c>
      <c r="Y15" s="76" t="n">
        <v>10.5</v>
      </c>
      <c r="Z15" s="76" t="n">
        <v>11</v>
      </c>
      <c r="AA15" s="79" t="n">
        <f aca="false">IF(B15="","",IF($U15="NON",0,IF(COUNT(V15:Z15)=0,"",SUM(V15:Z15))))</f>
        <v>97.5</v>
      </c>
      <c r="AB15" s="77" t="n">
        <f aca="false">IF(B15="","",IF($U15="NON",0,IF(COUNT(V15:Z15)=0,"",IFERROR(ROUND(SUM(V15:Z15)/SUMPRODUCT(ISNUMBER(V15:Z15)*$V$8:$Z$8)*20,2),""))))</f>
        <v>10.26</v>
      </c>
      <c r="AC15" s="75" t="s">
        <v>39</v>
      </c>
      <c r="AD15" s="76" t="n">
        <v>27</v>
      </c>
      <c r="AE15" s="76" t="n">
        <v>25.5</v>
      </c>
      <c r="AF15" s="76" t="n">
        <v>19</v>
      </c>
      <c r="AG15" s="76" t="n">
        <v>10.5</v>
      </c>
      <c r="AH15" s="76" t="n">
        <v>8</v>
      </c>
      <c r="AI15" s="79" t="n">
        <f aca="false">IF(B15="","",IF($AC15="NON",0,IF(COUNT(AD15:AH15)=0,"",SUM(AD15:AH15))))</f>
        <v>90</v>
      </c>
      <c r="AJ15" s="77" t="n">
        <f aca="false">IF(B15="","",IF($AC15="NON",0,IF(COUNT(AD15:AH15)=0,"",IFERROR(ROUND(SUM(AD15:AH15)/SUMPRODUCT(ISNUMBER(AD15:AH15)*$AD$8:$AH$8)*20,2),""))))</f>
        <v>9.47</v>
      </c>
      <c r="AK15" s="51" t="n">
        <f aca="false">IFERROR(MATCH("CM2-6",'REGISTRE ELEVES'!$AI$10:$AI$250,0),"")</f>
        <v>61</v>
      </c>
    </row>
    <row r="16" customFormat="false" ht="15" hidden="false" customHeight="false" outlineLevel="0" collapsed="false">
      <c r="A16" s="73" t="n">
        <f aca="false">IF(B16="","",7)</f>
        <v>7</v>
      </c>
      <c r="B16" s="73" t="str">
        <f aca="false">IF($AK16="","",INDEX('REGISTRE ELEVES'!$B$10:$B$250,$AK16))</f>
        <v>CM2-007-26</v>
      </c>
      <c r="C16" s="74" t="str">
        <f aca="false">IF($AK16="","",INDEX('REGISTRE ELEVES'!$D$10:$D$250,$AK16))</f>
        <v>COULIBALY Aya Fatoumata</v>
      </c>
      <c r="D16" s="73" t="str">
        <f aca="false">IF($AK16="","",INDEX('REGISTRE ELEVES'!$E$10:$E$250,$AK16))</f>
        <v>F</v>
      </c>
      <c r="E16" s="73" t="str">
        <f aca="false">IF($AK16="","",INDEX('REGISTRE ELEVES'!$F$10:$F$250,$AK16))</f>
        <v>CM2</v>
      </c>
      <c r="F16" s="73" t="str">
        <f aca="false">IF($AK16="","",INDEX('REGISTRE ELEVES'!$AE$10:$AE$250,$AK16))</f>
        <v>PRESENT</v>
      </c>
      <c r="G16" s="75" t="s">
        <v>39</v>
      </c>
      <c r="H16" s="76" t="n">
        <v>46.5</v>
      </c>
      <c r="I16" s="76" t="n">
        <v>42.5</v>
      </c>
      <c r="J16" s="76" t="n">
        <v>42</v>
      </c>
      <c r="K16" s="76" t="n">
        <v>14.5</v>
      </c>
      <c r="L16" s="79" t="n">
        <f aca="false">IF(B16="","",IF($G16="NON",0,IF(COUNT(H16:K16)=0,"",SUM(H16:K16))))</f>
        <v>145.5</v>
      </c>
      <c r="M16" s="77" t="n">
        <f aca="false">IF(B16="","",IF($G16="NON",0,IF(COUNT(H16:K16)=0,"",IFERROR(ROUND(SUM(H16:K16)/SUMPRODUCT(ISNUMBER(H16:K16)*$H$8:$K$8)*20,2),""))))</f>
        <v>17.12</v>
      </c>
      <c r="N16" s="75" t="s">
        <v>39</v>
      </c>
      <c r="O16" s="76" t="n">
        <v>50</v>
      </c>
      <c r="P16" s="76" t="n">
        <v>43</v>
      </c>
      <c r="Q16" s="76" t="n">
        <v>42.5</v>
      </c>
      <c r="R16" s="76" t="n">
        <v>17</v>
      </c>
      <c r="S16" s="79" t="n">
        <f aca="false">IF(B16="","",IF($N16="NON",0,IF(COUNT(O16:R16)=0,"",SUM(O16:R16))))</f>
        <v>152.5</v>
      </c>
      <c r="T16" s="77" t="n">
        <f aca="false">IF(B16="","",IF($N16="NON",0,IF(COUNT(O16:R16)=0,"",IFERROR(ROUND(SUM(O16:R16)/SUMPRODUCT(ISNUMBER(O16:R16)*$O$8:$R$8)*20,2),""))))</f>
        <v>17.94</v>
      </c>
      <c r="U16" s="75" t="s">
        <v>39</v>
      </c>
      <c r="V16" s="76" t="n">
        <v>37</v>
      </c>
      <c r="W16" s="76" t="n">
        <v>35.5</v>
      </c>
      <c r="X16" s="76" t="n">
        <v>48.5</v>
      </c>
      <c r="Y16" s="76" t="n">
        <v>16.5</v>
      </c>
      <c r="Z16" s="76" t="n">
        <v>18</v>
      </c>
      <c r="AA16" s="79" t="n">
        <f aca="false">IF(B16="","",IF($U16="NON",0,IF(COUNT(V16:Z16)=0,"",SUM(V16:Z16))))</f>
        <v>155.5</v>
      </c>
      <c r="AB16" s="77" t="n">
        <f aca="false">IF(B16="","",IF($U16="NON",0,IF(COUNT(V16:Z16)=0,"",IFERROR(ROUND(SUM(V16:Z16)/SUMPRODUCT(ISNUMBER(V16:Z16)*$V$8:$Z$8)*20,2),""))))</f>
        <v>16.37</v>
      </c>
      <c r="AC16" s="75" t="s">
        <v>39</v>
      </c>
      <c r="AD16" s="76" t="n">
        <v>50</v>
      </c>
      <c r="AE16" s="76" t="n">
        <v>49.5</v>
      </c>
      <c r="AF16" s="76" t="n">
        <v>33</v>
      </c>
      <c r="AG16" s="76" t="n">
        <v>16</v>
      </c>
      <c r="AH16" s="76" t="n">
        <v>19.5</v>
      </c>
      <c r="AI16" s="79" t="n">
        <f aca="false">IF(B16="","",IF($AC16="NON",0,IF(COUNT(AD16:AH16)=0,"",SUM(AD16:AH16))))</f>
        <v>168</v>
      </c>
      <c r="AJ16" s="77" t="n">
        <f aca="false">IF(B16="","",IF($AC16="NON",0,IF(COUNT(AD16:AH16)=0,"",IFERROR(ROUND(SUM(AD16:AH16)/SUMPRODUCT(ISNUMBER(AD16:AH16)*$AD$8:$AH$8)*20,2),""))))</f>
        <v>17.68</v>
      </c>
      <c r="AK16" s="51" t="n">
        <f aca="false">IFERROR(MATCH("CM2-7",'REGISTRE ELEVES'!$AI$10:$AI$250,0),"")</f>
        <v>62</v>
      </c>
    </row>
    <row r="17" customFormat="false" ht="15" hidden="false" customHeight="false" outlineLevel="0" collapsed="false">
      <c r="A17" s="73" t="n">
        <f aca="false">IF(B17="","",8)</f>
        <v>8</v>
      </c>
      <c r="B17" s="73" t="str">
        <f aca="false">IF($AK17="","",INDEX('REGISTRE ELEVES'!$B$10:$B$250,$AK17))</f>
        <v>CM2-008-26</v>
      </c>
      <c r="C17" s="74" t="str">
        <f aca="false">IF($AK17="","",INDEX('REGISTRE ELEVES'!$D$10:$D$250,$AK17))</f>
        <v>COULIBALY Kouadio Konan</v>
      </c>
      <c r="D17" s="73" t="str">
        <f aca="false">IF($AK17="","",INDEX('REGISTRE ELEVES'!$E$10:$E$250,$AK17))</f>
        <v>M</v>
      </c>
      <c r="E17" s="73" t="str">
        <f aca="false">IF($AK17="","",INDEX('REGISTRE ELEVES'!$F$10:$F$250,$AK17))</f>
        <v>CM2</v>
      </c>
      <c r="F17" s="73" t="str">
        <f aca="false">IF($AK17="","",INDEX('REGISTRE ELEVES'!$AE$10:$AE$250,$AK17))</f>
        <v>PRESENT</v>
      </c>
      <c r="G17" s="75" t="s">
        <v>39</v>
      </c>
      <c r="H17" s="76" t="n">
        <v>32.5</v>
      </c>
      <c r="I17" s="76" t="n">
        <v>34.5</v>
      </c>
      <c r="J17" s="76" t="n">
        <v>31.5</v>
      </c>
      <c r="K17" s="76" t="n">
        <v>14.5</v>
      </c>
      <c r="L17" s="79" t="n">
        <f aca="false">IF(B17="","",IF($G17="NON",0,IF(COUNT(H17:K17)=0,"",SUM(H17:K17))))</f>
        <v>113</v>
      </c>
      <c r="M17" s="77" t="n">
        <f aca="false">IF(B17="","",IF($G17="NON",0,IF(COUNT(H17:K17)=0,"",IFERROR(ROUND(SUM(H17:K17)/SUMPRODUCT(ISNUMBER(H17:K17)*$H$8:$K$8)*20,2),""))))</f>
        <v>13.29</v>
      </c>
      <c r="N17" s="75" t="s">
        <v>39</v>
      </c>
      <c r="O17" s="76" t="n">
        <v>40</v>
      </c>
      <c r="P17" s="76" t="n">
        <v>38.5</v>
      </c>
      <c r="Q17" s="76" t="n">
        <v>31.5</v>
      </c>
      <c r="R17" s="76" t="n">
        <v>15</v>
      </c>
      <c r="S17" s="79" t="n">
        <f aca="false">IF(B17="","",IF($N17="NON",0,IF(COUNT(O17:R17)=0,"",SUM(O17:R17))))</f>
        <v>125</v>
      </c>
      <c r="T17" s="77" t="n">
        <f aca="false">IF(B17="","",IF($N17="NON",0,IF(COUNT(O17:R17)=0,"",IFERROR(ROUND(SUM(O17:R17)/SUMPRODUCT(ISNUMBER(O17:R17)*$O$8:$R$8)*20,2),""))))</f>
        <v>14.71</v>
      </c>
      <c r="U17" s="75" t="s">
        <v>39</v>
      </c>
      <c r="V17" s="76" t="n">
        <v>43.5</v>
      </c>
      <c r="W17" s="76" t="n">
        <v>38.5</v>
      </c>
      <c r="X17" s="76" t="n">
        <v>39</v>
      </c>
      <c r="Y17" s="76" t="n">
        <v>18</v>
      </c>
      <c r="Z17" s="76" t="n">
        <v>18</v>
      </c>
      <c r="AA17" s="79" t="n">
        <f aca="false">IF(B17="","",IF($U17="NON",0,IF(COUNT(V17:Z17)=0,"",SUM(V17:Z17))))</f>
        <v>157</v>
      </c>
      <c r="AB17" s="77" t="n">
        <f aca="false">IF(B17="","",IF($U17="NON",0,IF(COUNT(V17:Z17)=0,"",IFERROR(ROUND(SUM(V17:Z17)/SUMPRODUCT(ISNUMBER(V17:Z17)*$V$8:$Z$8)*20,2),""))))</f>
        <v>16.53</v>
      </c>
      <c r="AC17" s="75" t="s">
        <v>39</v>
      </c>
      <c r="AD17" s="76" t="n">
        <v>43</v>
      </c>
      <c r="AE17" s="76" t="n">
        <v>37</v>
      </c>
      <c r="AF17" s="76" t="n">
        <v>40</v>
      </c>
      <c r="AG17" s="76" t="n">
        <v>13.5</v>
      </c>
      <c r="AH17" s="76" t="n">
        <v>15</v>
      </c>
      <c r="AI17" s="79" t="n">
        <f aca="false">IF(B17="","",IF($AC17="NON",0,IF(COUNT(AD17:AH17)=0,"",SUM(AD17:AH17))))</f>
        <v>148.5</v>
      </c>
      <c r="AJ17" s="77" t="n">
        <f aca="false">IF(B17="","",IF($AC17="NON",0,IF(COUNT(AD17:AH17)=0,"",IFERROR(ROUND(SUM(AD17:AH17)/SUMPRODUCT(ISNUMBER(AD17:AH17)*$AD$8:$AH$8)*20,2),""))))</f>
        <v>15.63</v>
      </c>
      <c r="AK17" s="51" t="n">
        <f aca="false">IFERROR(MATCH("CM2-8",'REGISTRE ELEVES'!$AI$10:$AI$250,0),"")</f>
        <v>63</v>
      </c>
    </row>
    <row r="18" customFormat="false" ht="15" hidden="false" customHeight="false" outlineLevel="0" collapsed="false">
      <c r="A18" s="73" t="n">
        <f aca="false">IF(B18="","",9)</f>
        <v>9</v>
      </c>
      <c r="B18" s="73" t="str">
        <f aca="false">IF($AK18="","",INDEX('REGISTRE ELEVES'!$B$10:$B$250,$AK18))</f>
        <v>CM2-009-26</v>
      </c>
      <c r="C18" s="74" t="str">
        <f aca="false">IF($AK18="","",INDEX('REGISTRE ELEVES'!$D$10:$D$250,$AK18))</f>
        <v>KONE Abdoulaye Konan</v>
      </c>
      <c r="D18" s="73" t="str">
        <f aca="false">IF($AK18="","",INDEX('REGISTRE ELEVES'!$E$10:$E$250,$AK18))</f>
        <v>M</v>
      </c>
      <c r="E18" s="73" t="str">
        <f aca="false">IF($AK18="","",INDEX('REGISTRE ELEVES'!$F$10:$F$250,$AK18))</f>
        <v>CM2</v>
      </c>
      <c r="F18" s="73" t="str">
        <f aca="false">IF($AK18="","",INDEX('REGISTRE ELEVES'!$AE$10:$AE$250,$AK18))</f>
        <v>PRESENT</v>
      </c>
      <c r="G18" s="75" t="s">
        <v>39</v>
      </c>
      <c r="H18" s="76" t="n">
        <v>15.5</v>
      </c>
      <c r="I18" s="76" t="n">
        <v>19</v>
      </c>
      <c r="J18" s="76" t="n">
        <v>26.5</v>
      </c>
      <c r="K18" s="76" t="n">
        <v>6.5</v>
      </c>
      <c r="L18" s="79" t="n">
        <f aca="false">IF(B18="","",IF($G18="NON",0,IF(COUNT(H18:K18)=0,"",SUM(H18:K18))))</f>
        <v>67.5</v>
      </c>
      <c r="M18" s="77" t="n">
        <f aca="false">IF(B18="","",IF($G18="NON",0,IF(COUNT(H18:K18)=0,"",IFERROR(ROUND(SUM(H18:K18)/SUMPRODUCT(ISNUMBER(H18:K18)*$H$8:$K$8)*20,2),""))))</f>
        <v>7.94</v>
      </c>
      <c r="N18" s="75" t="s">
        <v>39</v>
      </c>
      <c r="O18" s="76" t="n">
        <v>29.5</v>
      </c>
      <c r="P18" s="76" t="n">
        <v>20.5</v>
      </c>
      <c r="Q18" s="76" t="n">
        <v>21.5</v>
      </c>
      <c r="R18" s="76" t="n">
        <v>8</v>
      </c>
      <c r="S18" s="79" t="n">
        <f aca="false">IF(B18="","",IF($N18="NON",0,IF(COUNT(O18:R18)=0,"",SUM(O18:R18))))</f>
        <v>79.5</v>
      </c>
      <c r="T18" s="77" t="n">
        <f aca="false">IF(B18="","",IF($N18="NON",0,IF(COUNT(O18:R18)=0,"",IFERROR(ROUND(SUM(O18:R18)/SUMPRODUCT(ISNUMBER(O18:R18)*$O$8:$R$8)*20,2),""))))</f>
        <v>9.35</v>
      </c>
      <c r="U18" s="75" t="s">
        <v>39</v>
      </c>
      <c r="V18" s="76" t="n">
        <v>17</v>
      </c>
      <c r="W18" s="76" t="n">
        <v>28</v>
      </c>
      <c r="X18" s="76" t="n">
        <v>32.5</v>
      </c>
      <c r="Y18" s="76" t="n">
        <v>7.5</v>
      </c>
      <c r="Z18" s="76" t="n">
        <v>9.5</v>
      </c>
      <c r="AA18" s="79" t="n">
        <f aca="false">IF(B18="","",IF($U18="NON",0,IF(COUNT(V18:Z18)=0,"",SUM(V18:Z18))))</f>
        <v>94.5</v>
      </c>
      <c r="AB18" s="77" t="n">
        <f aca="false">IF(B18="","",IF($U18="NON",0,IF(COUNT(V18:Z18)=0,"",IFERROR(ROUND(SUM(V18:Z18)/SUMPRODUCT(ISNUMBER(V18:Z18)*$V$8:$Z$8)*20,2),""))))</f>
        <v>9.95</v>
      </c>
      <c r="AC18" s="75" t="s">
        <v>39</v>
      </c>
      <c r="AD18" s="76" t="n">
        <v>27.5</v>
      </c>
      <c r="AE18" s="76" t="n">
        <v>22.5</v>
      </c>
      <c r="AF18" s="76" t="n">
        <v>16</v>
      </c>
      <c r="AG18" s="76" t="n">
        <v>9.5</v>
      </c>
      <c r="AH18" s="76" t="n">
        <v>9</v>
      </c>
      <c r="AI18" s="79" t="n">
        <f aca="false">IF(B18="","",IF($AC18="NON",0,IF(COUNT(AD18:AH18)=0,"",SUM(AD18:AH18))))</f>
        <v>84.5</v>
      </c>
      <c r="AJ18" s="77" t="n">
        <f aca="false">IF(B18="","",IF($AC18="NON",0,IF(COUNT(AD18:AH18)=0,"",IFERROR(ROUND(SUM(AD18:AH18)/SUMPRODUCT(ISNUMBER(AD18:AH18)*$AD$8:$AH$8)*20,2),""))))</f>
        <v>8.89</v>
      </c>
      <c r="AK18" s="51" t="n">
        <f aca="false">IFERROR(MATCH("CM2-9",'REGISTRE ELEVES'!$AI$10:$AI$250,0),"")</f>
        <v>64</v>
      </c>
    </row>
    <row r="19" customFormat="false" ht="15" hidden="false" customHeight="false" outlineLevel="0" collapsed="false">
      <c r="A19" s="73" t="str">
        <f aca="false">IF(B19="","",10)</f>
        <v/>
      </c>
      <c r="B19" s="73" t="str">
        <f aca="false">IF($AK19="","",INDEX('REGISTRE ELEVES'!$B$10:$B$250,$AK19))</f>
        <v/>
      </c>
      <c r="C19" s="74" t="str">
        <f aca="false">IF($AK19="","",INDEX('REGISTRE ELEVES'!$D$10:$D$250,$AK19))</f>
        <v/>
      </c>
      <c r="D19" s="73" t="str">
        <f aca="false">IF($AK19="","",INDEX('REGISTRE ELEVES'!$E$10:$E$250,$AK19))</f>
        <v/>
      </c>
      <c r="E19" s="73" t="str">
        <f aca="false">IF($AK19="","",INDEX('REGISTRE ELEVES'!$F$10:$F$250,$AK19))</f>
        <v/>
      </c>
      <c r="F19" s="73" t="str">
        <f aca="false">IF($AK19="","",INDEX('REGISTRE ELEVES'!$AE$10:$AE$250,$AK19))</f>
        <v/>
      </c>
      <c r="G19" s="75"/>
      <c r="H19" s="76"/>
      <c r="I19" s="76"/>
      <c r="J19" s="76"/>
      <c r="K19" s="76"/>
      <c r="L19" s="79" t="str">
        <f aca="false">IF(B19="","",IF($G19="NON",0,IF(COUNT(H19:K19)=0,"",SUM(H19:K19))))</f>
        <v/>
      </c>
      <c r="M19" s="77" t="str">
        <f aca="false">IF(B19="","",IF($G19="NON",0,IF(COUNT(H19:K19)=0,"",IFERROR(ROUND(SUM(H19:K19)/SUMPRODUCT(ISNUMBER(H19:K19)*$H$8:$K$8)*20,2),""))))</f>
        <v/>
      </c>
      <c r="N19" s="75"/>
      <c r="O19" s="76"/>
      <c r="P19" s="76"/>
      <c r="Q19" s="76"/>
      <c r="R19" s="76"/>
      <c r="S19" s="79" t="str">
        <f aca="false">IF(B19="","",IF($N19="NON",0,IF(COUNT(O19:R19)=0,"",SUM(O19:R19))))</f>
        <v/>
      </c>
      <c r="T19" s="77" t="str">
        <f aca="false">IF(B19="","",IF($N19="NON",0,IF(COUNT(O19:R19)=0,"",IFERROR(ROUND(SUM(O19:R19)/SUMPRODUCT(ISNUMBER(O19:R19)*$O$8:$R$8)*20,2),""))))</f>
        <v/>
      </c>
      <c r="U19" s="75"/>
      <c r="V19" s="76"/>
      <c r="W19" s="76"/>
      <c r="X19" s="76"/>
      <c r="Y19" s="76"/>
      <c r="Z19" s="76"/>
      <c r="AA19" s="79" t="str">
        <f aca="false">IF(B19="","",IF($U19="NON",0,IF(COUNT(V19:Z19)=0,"",SUM(V19:Z19))))</f>
        <v/>
      </c>
      <c r="AB19" s="77" t="str">
        <f aca="false">IF(B19="","",IF($U19="NON",0,IF(COUNT(V19:Z19)=0,"",IFERROR(ROUND(SUM(V19:Z19)/SUMPRODUCT(ISNUMBER(V19:Z19)*$V$8:$Z$8)*20,2),""))))</f>
        <v/>
      </c>
      <c r="AC19" s="75"/>
      <c r="AD19" s="76"/>
      <c r="AE19" s="76"/>
      <c r="AF19" s="76"/>
      <c r="AG19" s="76"/>
      <c r="AH19" s="76"/>
      <c r="AI19" s="79" t="str">
        <f aca="false">IF(B19="","",IF($AC19="NON",0,IF(COUNT(AD19:AH19)=0,"",SUM(AD19:AH19))))</f>
        <v/>
      </c>
      <c r="AJ19" s="77" t="str">
        <f aca="false">IF(B19="","",IF($AC19="NON",0,IF(COUNT(AD19:AH19)=0,"",IFERROR(ROUND(SUM(AD19:AH19)/SUMPRODUCT(ISNUMBER(AD19:AH19)*$AD$8:$AH$8)*20,2),""))))</f>
        <v/>
      </c>
      <c r="AK19" s="51" t="str">
        <f aca="false">IFERROR(MATCH("CM2-10",'REGISTRE ELEVES'!$AI$10:$AI$250,0),"")</f>
        <v/>
      </c>
    </row>
    <row r="20" customFormat="false" ht="15" hidden="false" customHeight="false" outlineLevel="0" collapsed="false">
      <c r="A20" s="73" t="str">
        <f aca="false">IF(B20="","",11)</f>
        <v/>
      </c>
      <c r="B20" s="73" t="str">
        <f aca="false">IF($AK20="","",INDEX('REGISTRE ELEVES'!$B$10:$B$250,$AK20))</f>
        <v/>
      </c>
      <c r="C20" s="74" t="str">
        <f aca="false">IF($AK20="","",INDEX('REGISTRE ELEVES'!$D$10:$D$250,$AK20))</f>
        <v/>
      </c>
      <c r="D20" s="73" t="str">
        <f aca="false">IF($AK20="","",INDEX('REGISTRE ELEVES'!$E$10:$E$250,$AK20))</f>
        <v/>
      </c>
      <c r="E20" s="73" t="str">
        <f aca="false">IF($AK20="","",INDEX('REGISTRE ELEVES'!$F$10:$F$250,$AK20))</f>
        <v/>
      </c>
      <c r="F20" s="73" t="str">
        <f aca="false">IF($AK20="","",INDEX('REGISTRE ELEVES'!$AE$10:$AE$250,$AK20))</f>
        <v/>
      </c>
      <c r="G20" s="75"/>
      <c r="H20" s="76"/>
      <c r="I20" s="76"/>
      <c r="J20" s="76"/>
      <c r="K20" s="76"/>
      <c r="L20" s="79" t="str">
        <f aca="false">IF(B20="","",IF($G20="NON",0,IF(COUNT(H20:K20)=0,"",SUM(H20:K20))))</f>
        <v/>
      </c>
      <c r="M20" s="77" t="str">
        <f aca="false">IF(B20="","",IF($G20="NON",0,IF(COUNT(H20:K20)=0,"",IFERROR(ROUND(SUM(H20:K20)/SUMPRODUCT(ISNUMBER(H20:K20)*$H$8:$K$8)*20,2),""))))</f>
        <v/>
      </c>
      <c r="N20" s="75"/>
      <c r="O20" s="76"/>
      <c r="P20" s="76"/>
      <c r="Q20" s="76"/>
      <c r="R20" s="76"/>
      <c r="S20" s="79" t="str">
        <f aca="false">IF(B20="","",IF($N20="NON",0,IF(COUNT(O20:R20)=0,"",SUM(O20:R20))))</f>
        <v/>
      </c>
      <c r="T20" s="77" t="str">
        <f aca="false">IF(B20="","",IF($N20="NON",0,IF(COUNT(O20:R20)=0,"",IFERROR(ROUND(SUM(O20:R20)/SUMPRODUCT(ISNUMBER(O20:R20)*$O$8:$R$8)*20,2),""))))</f>
        <v/>
      </c>
      <c r="U20" s="75"/>
      <c r="V20" s="76"/>
      <c r="W20" s="76"/>
      <c r="X20" s="76"/>
      <c r="Y20" s="76"/>
      <c r="Z20" s="76"/>
      <c r="AA20" s="79" t="str">
        <f aca="false">IF(B20="","",IF($U20="NON",0,IF(COUNT(V20:Z20)=0,"",SUM(V20:Z20))))</f>
        <v/>
      </c>
      <c r="AB20" s="77" t="str">
        <f aca="false">IF(B20="","",IF($U20="NON",0,IF(COUNT(V20:Z20)=0,"",IFERROR(ROUND(SUM(V20:Z20)/SUMPRODUCT(ISNUMBER(V20:Z20)*$V$8:$Z$8)*20,2),""))))</f>
        <v/>
      </c>
      <c r="AC20" s="75"/>
      <c r="AD20" s="76"/>
      <c r="AE20" s="76"/>
      <c r="AF20" s="76"/>
      <c r="AG20" s="76"/>
      <c r="AH20" s="76"/>
      <c r="AI20" s="79" t="str">
        <f aca="false">IF(B20="","",IF($AC20="NON",0,IF(COUNT(AD20:AH20)=0,"",SUM(AD20:AH20))))</f>
        <v/>
      </c>
      <c r="AJ20" s="77" t="str">
        <f aca="false">IF(B20="","",IF($AC20="NON",0,IF(COUNT(AD20:AH20)=0,"",IFERROR(ROUND(SUM(AD20:AH20)/SUMPRODUCT(ISNUMBER(AD20:AH20)*$AD$8:$AH$8)*20,2),""))))</f>
        <v/>
      </c>
      <c r="AK20" s="51" t="str">
        <f aca="false">IFERROR(MATCH("CM2-11",'REGISTRE ELEVES'!$AI$10:$AI$250,0),"")</f>
        <v/>
      </c>
    </row>
    <row r="21" customFormat="false" ht="15" hidden="false" customHeight="false" outlineLevel="0" collapsed="false">
      <c r="A21" s="73" t="str">
        <f aca="false">IF(B21="","",12)</f>
        <v/>
      </c>
      <c r="B21" s="73" t="str">
        <f aca="false">IF($AK21="","",INDEX('REGISTRE ELEVES'!$B$10:$B$250,$AK21))</f>
        <v/>
      </c>
      <c r="C21" s="74" t="str">
        <f aca="false">IF($AK21="","",INDEX('REGISTRE ELEVES'!$D$10:$D$250,$AK21))</f>
        <v/>
      </c>
      <c r="D21" s="73" t="str">
        <f aca="false">IF($AK21="","",INDEX('REGISTRE ELEVES'!$E$10:$E$250,$AK21))</f>
        <v/>
      </c>
      <c r="E21" s="73" t="str">
        <f aca="false">IF($AK21="","",INDEX('REGISTRE ELEVES'!$F$10:$F$250,$AK21))</f>
        <v/>
      </c>
      <c r="F21" s="73" t="str">
        <f aca="false">IF($AK21="","",INDEX('REGISTRE ELEVES'!$AE$10:$AE$250,$AK21))</f>
        <v/>
      </c>
      <c r="G21" s="75"/>
      <c r="H21" s="76"/>
      <c r="I21" s="76"/>
      <c r="J21" s="76"/>
      <c r="K21" s="76"/>
      <c r="L21" s="79" t="str">
        <f aca="false">IF(B21="","",IF($G21="NON",0,IF(COUNT(H21:K21)=0,"",SUM(H21:K21))))</f>
        <v/>
      </c>
      <c r="M21" s="77" t="str">
        <f aca="false">IF(B21="","",IF($G21="NON",0,IF(COUNT(H21:K21)=0,"",IFERROR(ROUND(SUM(H21:K21)/SUMPRODUCT(ISNUMBER(H21:K21)*$H$8:$K$8)*20,2),""))))</f>
        <v/>
      </c>
      <c r="N21" s="75"/>
      <c r="O21" s="76"/>
      <c r="P21" s="76"/>
      <c r="Q21" s="76"/>
      <c r="R21" s="76"/>
      <c r="S21" s="79" t="str">
        <f aca="false">IF(B21="","",IF($N21="NON",0,IF(COUNT(O21:R21)=0,"",SUM(O21:R21))))</f>
        <v/>
      </c>
      <c r="T21" s="77" t="str">
        <f aca="false">IF(B21="","",IF($N21="NON",0,IF(COUNT(O21:R21)=0,"",IFERROR(ROUND(SUM(O21:R21)/SUMPRODUCT(ISNUMBER(O21:R21)*$O$8:$R$8)*20,2),""))))</f>
        <v/>
      </c>
      <c r="U21" s="75"/>
      <c r="V21" s="76"/>
      <c r="W21" s="76"/>
      <c r="X21" s="76"/>
      <c r="Y21" s="76"/>
      <c r="Z21" s="76"/>
      <c r="AA21" s="79" t="str">
        <f aca="false">IF(B21="","",IF($U21="NON",0,IF(COUNT(V21:Z21)=0,"",SUM(V21:Z21))))</f>
        <v/>
      </c>
      <c r="AB21" s="77" t="str">
        <f aca="false">IF(B21="","",IF($U21="NON",0,IF(COUNT(V21:Z21)=0,"",IFERROR(ROUND(SUM(V21:Z21)/SUMPRODUCT(ISNUMBER(V21:Z21)*$V$8:$Z$8)*20,2),""))))</f>
        <v/>
      </c>
      <c r="AC21" s="75"/>
      <c r="AD21" s="76"/>
      <c r="AE21" s="76"/>
      <c r="AF21" s="76"/>
      <c r="AG21" s="76"/>
      <c r="AH21" s="76"/>
      <c r="AI21" s="79" t="str">
        <f aca="false">IF(B21="","",IF($AC21="NON",0,IF(COUNT(AD21:AH21)=0,"",SUM(AD21:AH21))))</f>
        <v/>
      </c>
      <c r="AJ21" s="77" t="str">
        <f aca="false">IF(B21="","",IF($AC21="NON",0,IF(COUNT(AD21:AH21)=0,"",IFERROR(ROUND(SUM(AD21:AH21)/SUMPRODUCT(ISNUMBER(AD21:AH21)*$AD$8:$AH$8)*20,2),""))))</f>
        <v/>
      </c>
      <c r="AK21" s="51" t="str">
        <f aca="false">IFERROR(MATCH("CM2-12",'REGISTRE ELEVES'!$AI$10:$AI$250,0),"")</f>
        <v/>
      </c>
    </row>
    <row r="22" customFormat="false" ht="15" hidden="false" customHeight="false" outlineLevel="0" collapsed="false">
      <c r="A22" s="73" t="str">
        <f aca="false">IF(B22="","",13)</f>
        <v/>
      </c>
      <c r="B22" s="73" t="str">
        <f aca="false">IF($AK22="","",INDEX('REGISTRE ELEVES'!$B$10:$B$250,$AK22))</f>
        <v/>
      </c>
      <c r="C22" s="74" t="str">
        <f aca="false">IF($AK22="","",INDEX('REGISTRE ELEVES'!$D$10:$D$250,$AK22))</f>
        <v/>
      </c>
      <c r="D22" s="73" t="str">
        <f aca="false">IF($AK22="","",INDEX('REGISTRE ELEVES'!$E$10:$E$250,$AK22))</f>
        <v/>
      </c>
      <c r="E22" s="73" t="str">
        <f aca="false">IF($AK22="","",INDEX('REGISTRE ELEVES'!$F$10:$F$250,$AK22))</f>
        <v/>
      </c>
      <c r="F22" s="73" t="str">
        <f aca="false">IF($AK22="","",INDEX('REGISTRE ELEVES'!$AE$10:$AE$250,$AK22))</f>
        <v/>
      </c>
      <c r="G22" s="75"/>
      <c r="H22" s="76"/>
      <c r="I22" s="76"/>
      <c r="J22" s="76"/>
      <c r="K22" s="76"/>
      <c r="L22" s="79" t="str">
        <f aca="false">IF(B22="","",IF($G22="NON",0,IF(COUNT(H22:K22)=0,"",SUM(H22:K22))))</f>
        <v/>
      </c>
      <c r="M22" s="77" t="str">
        <f aca="false">IF(B22="","",IF($G22="NON",0,IF(COUNT(H22:K22)=0,"",IFERROR(ROUND(SUM(H22:K22)/SUMPRODUCT(ISNUMBER(H22:K22)*$H$8:$K$8)*20,2),""))))</f>
        <v/>
      </c>
      <c r="N22" s="75"/>
      <c r="O22" s="76"/>
      <c r="P22" s="76"/>
      <c r="Q22" s="76"/>
      <c r="R22" s="76"/>
      <c r="S22" s="79" t="str">
        <f aca="false">IF(B22="","",IF($N22="NON",0,IF(COUNT(O22:R22)=0,"",SUM(O22:R22))))</f>
        <v/>
      </c>
      <c r="T22" s="77" t="str">
        <f aca="false">IF(B22="","",IF($N22="NON",0,IF(COUNT(O22:R22)=0,"",IFERROR(ROUND(SUM(O22:R22)/SUMPRODUCT(ISNUMBER(O22:R22)*$O$8:$R$8)*20,2),""))))</f>
        <v/>
      </c>
      <c r="U22" s="75"/>
      <c r="V22" s="76"/>
      <c r="W22" s="76"/>
      <c r="X22" s="76"/>
      <c r="Y22" s="76"/>
      <c r="Z22" s="76"/>
      <c r="AA22" s="79" t="str">
        <f aca="false">IF(B22="","",IF($U22="NON",0,IF(COUNT(V22:Z22)=0,"",SUM(V22:Z22))))</f>
        <v/>
      </c>
      <c r="AB22" s="77" t="str">
        <f aca="false">IF(B22="","",IF($U22="NON",0,IF(COUNT(V22:Z22)=0,"",IFERROR(ROUND(SUM(V22:Z22)/SUMPRODUCT(ISNUMBER(V22:Z22)*$V$8:$Z$8)*20,2),""))))</f>
        <v/>
      </c>
      <c r="AC22" s="75"/>
      <c r="AD22" s="76"/>
      <c r="AE22" s="76"/>
      <c r="AF22" s="76"/>
      <c r="AG22" s="76"/>
      <c r="AH22" s="76"/>
      <c r="AI22" s="79" t="str">
        <f aca="false">IF(B22="","",IF($AC22="NON",0,IF(COUNT(AD22:AH22)=0,"",SUM(AD22:AH22))))</f>
        <v/>
      </c>
      <c r="AJ22" s="77" t="str">
        <f aca="false">IF(B22="","",IF($AC22="NON",0,IF(COUNT(AD22:AH22)=0,"",IFERROR(ROUND(SUM(AD22:AH22)/SUMPRODUCT(ISNUMBER(AD22:AH22)*$AD$8:$AH$8)*20,2),""))))</f>
        <v/>
      </c>
      <c r="AK22" s="51" t="str">
        <f aca="false">IFERROR(MATCH("CM2-13",'REGISTRE ELEVES'!$AI$10:$AI$250,0),"")</f>
        <v/>
      </c>
    </row>
    <row r="23" customFormat="false" ht="15" hidden="false" customHeight="false" outlineLevel="0" collapsed="false">
      <c r="A23" s="73" t="str">
        <f aca="false">IF(B23="","",14)</f>
        <v/>
      </c>
      <c r="B23" s="73" t="str">
        <f aca="false">IF($AK23="","",INDEX('REGISTRE ELEVES'!$B$10:$B$250,$AK23))</f>
        <v/>
      </c>
      <c r="C23" s="74" t="str">
        <f aca="false">IF($AK23="","",INDEX('REGISTRE ELEVES'!$D$10:$D$250,$AK23))</f>
        <v/>
      </c>
      <c r="D23" s="73" t="str">
        <f aca="false">IF($AK23="","",INDEX('REGISTRE ELEVES'!$E$10:$E$250,$AK23))</f>
        <v/>
      </c>
      <c r="E23" s="73" t="str">
        <f aca="false">IF($AK23="","",INDEX('REGISTRE ELEVES'!$F$10:$F$250,$AK23))</f>
        <v/>
      </c>
      <c r="F23" s="73" t="str">
        <f aca="false">IF($AK23="","",INDEX('REGISTRE ELEVES'!$AE$10:$AE$250,$AK23))</f>
        <v/>
      </c>
      <c r="G23" s="75"/>
      <c r="H23" s="76"/>
      <c r="I23" s="76"/>
      <c r="J23" s="76"/>
      <c r="K23" s="76"/>
      <c r="L23" s="79" t="str">
        <f aca="false">IF(B23="","",IF($G23="NON",0,IF(COUNT(H23:K23)=0,"",SUM(H23:K23))))</f>
        <v/>
      </c>
      <c r="M23" s="77" t="str">
        <f aca="false">IF(B23="","",IF($G23="NON",0,IF(COUNT(H23:K23)=0,"",IFERROR(ROUND(SUM(H23:K23)/SUMPRODUCT(ISNUMBER(H23:K23)*$H$8:$K$8)*20,2),""))))</f>
        <v/>
      </c>
      <c r="N23" s="75"/>
      <c r="O23" s="76"/>
      <c r="P23" s="76"/>
      <c r="Q23" s="76"/>
      <c r="R23" s="76"/>
      <c r="S23" s="79" t="str">
        <f aca="false">IF(B23="","",IF($N23="NON",0,IF(COUNT(O23:R23)=0,"",SUM(O23:R23))))</f>
        <v/>
      </c>
      <c r="T23" s="77" t="str">
        <f aca="false">IF(B23="","",IF($N23="NON",0,IF(COUNT(O23:R23)=0,"",IFERROR(ROUND(SUM(O23:R23)/SUMPRODUCT(ISNUMBER(O23:R23)*$O$8:$R$8)*20,2),""))))</f>
        <v/>
      </c>
      <c r="U23" s="75"/>
      <c r="V23" s="76"/>
      <c r="W23" s="76"/>
      <c r="X23" s="76"/>
      <c r="Y23" s="76"/>
      <c r="Z23" s="76"/>
      <c r="AA23" s="79" t="str">
        <f aca="false">IF(B23="","",IF($U23="NON",0,IF(COUNT(V23:Z23)=0,"",SUM(V23:Z23))))</f>
        <v/>
      </c>
      <c r="AB23" s="77" t="str">
        <f aca="false">IF(B23="","",IF($U23="NON",0,IF(COUNT(V23:Z23)=0,"",IFERROR(ROUND(SUM(V23:Z23)/SUMPRODUCT(ISNUMBER(V23:Z23)*$V$8:$Z$8)*20,2),""))))</f>
        <v/>
      </c>
      <c r="AC23" s="75"/>
      <c r="AD23" s="76"/>
      <c r="AE23" s="76"/>
      <c r="AF23" s="76"/>
      <c r="AG23" s="76"/>
      <c r="AH23" s="76"/>
      <c r="AI23" s="79" t="str">
        <f aca="false">IF(B23="","",IF($AC23="NON",0,IF(COUNT(AD23:AH23)=0,"",SUM(AD23:AH23))))</f>
        <v/>
      </c>
      <c r="AJ23" s="77" t="str">
        <f aca="false">IF(B23="","",IF($AC23="NON",0,IF(COUNT(AD23:AH23)=0,"",IFERROR(ROUND(SUM(AD23:AH23)/SUMPRODUCT(ISNUMBER(AD23:AH23)*$AD$8:$AH$8)*20,2),""))))</f>
        <v/>
      </c>
      <c r="AK23" s="51" t="str">
        <f aca="false">IFERROR(MATCH("CM2-14",'REGISTRE ELEVES'!$AI$10:$AI$250,0),"")</f>
        <v/>
      </c>
    </row>
    <row r="24" customFormat="false" ht="15" hidden="false" customHeight="false" outlineLevel="0" collapsed="false">
      <c r="A24" s="73" t="str">
        <f aca="false">IF(B24="","",15)</f>
        <v/>
      </c>
      <c r="B24" s="73" t="str">
        <f aca="false">IF($AK24="","",INDEX('REGISTRE ELEVES'!$B$10:$B$250,$AK24))</f>
        <v/>
      </c>
      <c r="C24" s="74" t="str">
        <f aca="false">IF($AK24="","",INDEX('REGISTRE ELEVES'!$D$10:$D$250,$AK24))</f>
        <v/>
      </c>
      <c r="D24" s="73" t="str">
        <f aca="false">IF($AK24="","",INDEX('REGISTRE ELEVES'!$E$10:$E$250,$AK24))</f>
        <v/>
      </c>
      <c r="E24" s="73" t="str">
        <f aca="false">IF($AK24="","",INDEX('REGISTRE ELEVES'!$F$10:$F$250,$AK24))</f>
        <v/>
      </c>
      <c r="F24" s="73" t="str">
        <f aca="false">IF($AK24="","",INDEX('REGISTRE ELEVES'!$AE$10:$AE$250,$AK24))</f>
        <v/>
      </c>
      <c r="G24" s="75"/>
      <c r="H24" s="76"/>
      <c r="I24" s="76"/>
      <c r="J24" s="76"/>
      <c r="K24" s="76"/>
      <c r="L24" s="79" t="str">
        <f aca="false">IF(B24="","",IF($G24="NON",0,IF(COUNT(H24:K24)=0,"",SUM(H24:K24))))</f>
        <v/>
      </c>
      <c r="M24" s="77" t="str">
        <f aca="false">IF(B24="","",IF($G24="NON",0,IF(COUNT(H24:K24)=0,"",IFERROR(ROUND(SUM(H24:K24)/SUMPRODUCT(ISNUMBER(H24:K24)*$H$8:$K$8)*20,2),""))))</f>
        <v/>
      </c>
      <c r="N24" s="75"/>
      <c r="O24" s="76"/>
      <c r="P24" s="76"/>
      <c r="Q24" s="76"/>
      <c r="R24" s="76"/>
      <c r="S24" s="79" t="str">
        <f aca="false">IF(B24="","",IF($N24="NON",0,IF(COUNT(O24:R24)=0,"",SUM(O24:R24))))</f>
        <v/>
      </c>
      <c r="T24" s="77" t="str">
        <f aca="false">IF(B24="","",IF($N24="NON",0,IF(COUNT(O24:R24)=0,"",IFERROR(ROUND(SUM(O24:R24)/SUMPRODUCT(ISNUMBER(O24:R24)*$O$8:$R$8)*20,2),""))))</f>
        <v/>
      </c>
      <c r="U24" s="75"/>
      <c r="V24" s="76"/>
      <c r="W24" s="76"/>
      <c r="X24" s="76"/>
      <c r="Y24" s="76"/>
      <c r="Z24" s="76"/>
      <c r="AA24" s="79" t="str">
        <f aca="false">IF(B24="","",IF($U24="NON",0,IF(COUNT(V24:Z24)=0,"",SUM(V24:Z24))))</f>
        <v/>
      </c>
      <c r="AB24" s="77" t="str">
        <f aca="false">IF(B24="","",IF($U24="NON",0,IF(COUNT(V24:Z24)=0,"",IFERROR(ROUND(SUM(V24:Z24)/SUMPRODUCT(ISNUMBER(V24:Z24)*$V$8:$Z$8)*20,2),""))))</f>
        <v/>
      </c>
      <c r="AC24" s="75"/>
      <c r="AD24" s="76"/>
      <c r="AE24" s="76"/>
      <c r="AF24" s="76"/>
      <c r="AG24" s="76"/>
      <c r="AH24" s="76"/>
      <c r="AI24" s="79" t="str">
        <f aca="false">IF(B24="","",IF($AC24="NON",0,IF(COUNT(AD24:AH24)=0,"",SUM(AD24:AH24))))</f>
        <v/>
      </c>
      <c r="AJ24" s="77" t="str">
        <f aca="false">IF(B24="","",IF($AC24="NON",0,IF(COUNT(AD24:AH24)=0,"",IFERROR(ROUND(SUM(AD24:AH24)/SUMPRODUCT(ISNUMBER(AD24:AH24)*$AD$8:$AH$8)*20,2),""))))</f>
        <v/>
      </c>
      <c r="AK24" s="51" t="str">
        <f aca="false">IFERROR(MATCH("CM2-15",'REGISTRE ELEVES'!$AI$10:$AI$250,0),"")</f>
        <v/>
      </c>
    </row>
    <row r="25" customFormat="false" ht="15" hidden="false" customHeight="false" outlineLevel="0" collapsed="false">
      <c r="A25" s="73" t="str">
        <f aca="false">IF(B25="","",16)</f>
        <v/>
      </c>
      <c r="B25" s="73" t="str">
        <f aca="false">IF($AK25="","",INDEX('REGISTRE ELEVES'!$B$10:$B$250,$AK25))</f>
        <v/>
      </c>
      <c r="C25" s="74" t="str">
        <f aca="false">IF($AK25="","",INDEX('REGISTRE ELEVES'!$D$10:$D$250,$AK25))</f>
        <v/>
      </c>
      <c r="D25" s="73" t="str">
        <f aca="false">IF($AK25="","",INDEX('REGISTRE ELEVES'!$E$10:$E$250,$AK25))</f>
        <v/>
      </c>
      <c r="E25" s="73" t="str">
        <f aca="false">IF($AK25="","",INDEX('REGISTRE ELEVES'!$F$10:$F$250,$AK25))</f>
        <v/>
      </c>
      <c r="F25" s="73" t="str">
        <f aca="false">IF($AK25="","",INDEX('REGISTRE ELEVES'!$AE$10:$AE$250,$AK25))</f>
        <v/>
      </c>
      <c r="G25" s="75"/>
      <c r="H25" s="76"/>
      <c r="I25" s="76"/>
      <c r="J25" s="76"/>
      <c r="K25" s="76"/>
      <c r="L25" s="79" t="str">
        <f aca="false">IF(B25="","",IF($G25="NON",0,IF(COUNT(H25:K25)=0,"",SUM(H25:K25))))</f>
        <v/>
      </c>
      <c r="M25" s="77" t="str">
        <f aca="false">IF(B25="","",IF($G25="NON",0,IF(COUNT(H25:K25)=0,"",IFERROR(ROUND(SUM(H25:K25)/SUMPRODUCT(ISNUMBER(H25:K25)*$H$8:$K$8)*20,2),""))))</f>
        <v/>
      </c>
      <c r="N25" s="75"/>
      <c r="O25" s="76"/>
      <c r="P25" s="76"/>
      <c r="Q25" s="76"/>
      <c r="R25" s="76"/>
      <c r="S25" s="79" t="str">
        <f aca="false">IF(B25="","",IF($N25="NON",0,IF(COUNT(O25:R25)=0,"",SUM(O25:R25))))</f>
        <v/>
      </c>
      <c r="T25" s="77" t="str">
        <f aca="false">IF(B25="","",IF($N25="NON",0,IF(COUNT(O25:R25)=0,"",IFERROR(ROUND(SUM(O25:R25)/SUMPRODUCT(ISNUMBER(O25:R25)*$O$8:$R$8)*20,2),""))))</f>
        <v/>
      </c>
      <c r="U25" s="75"/>
      <c r="V25" s="76"/>
      <c r="W25" s="76"/>
      <c r="X25" s="76"/>
      <c r="Y25" s="76"/>
      <c r="Z25" s="76"/>
      <c r="AA25" s="79" t="str">
        <f aca="false">IF(B25="","",IF($U25="NON",0,IF(COUNT(V25:Z25)=0,"",SUM(V25:Z25))))</f>
        <v/>
      </c>
      <c r="AB25" s="77" t="str">
        <f aca="false">IF(B25="","",IF($U25="NON",0,IF(COUNT(V25:Z25)=0,"",IFERROR(ROUND(SUM(V25:Z25)/SUMPRODUCT(ISNUMBER(V25:Z25)*$V$8:$Z$8)*20,2),""))))</f>
        <v/>
      </c>
      <c r="AC25" s="75"/>
      <c r="AD25" s="76"/>
      <c r="AE25" s="76"/>
      <c r="AF25" s="76"/>
      <c r="AG25" s="76"/>
      <c r="AH25" s="76"/>
      <c r="AI25" s="79" t="str">
        <f aca="false">IF(B25="","",IF($AC25="NON",0,IF(COUNT(AD25:AH25)=0,"",SUM(AD25:AH25))))</f>
        <v/>
      </c>
      <c r="AJ25" s="77" t="str">
        <f aca="false">IF(B25="","",IF($AC25="NON",0,IF(COUNT(AD25:AH25)=0,"",IFERROR(ROUND(SUM(AD25:AH25)/SUMPRODUCT(ISNUMBER(AD25:AH25)*$AD$8:$AH$8)*20,2),""))))</f>
        <v/>
      </c>
      <c r="AK25" s="51" t="str">
        <f aca="false">IFERROR(MATCH("CM2-16",'REGISTRE ELEVES'!$AI$10:$AI$250,0),"")</f>
        <v/>
      </c>
    </row>
    <row r="26" customFormat="false" ht="15" hidden="false" customHeight="false" outlineLevel="0" collapsed="false">
      <c r="A26" s="73" t="str">
        <f aca="false">IF(B26="","",17)</f>
        <v/>
      </c>
      <c r="B26" s="73" t="str">
        <f aca="false">IF($AK26="","",INDEX('REGISTRE ELEVES'!$B$10:$B$250,$AK26))</f>
        <v/>
      </c>
      <c r="C26" s="74" t="str">
        <f aca="false">IF($AK26="","",INDEX('REGISTRE ELEVES'!$D$10:$D$250,$AK26))</f>
        <v/>
      </c>
      <c r="D26" s="73" t="str">
        <f aca="false">IF($AK26="","",INDEX('REGISTRE ELEVES'!$E$10:$E$250,$AK26))</f>
        <v/>
      </c>
      <c r="E26" s="73" t="str">
        <f aca="false">IF($AK26="","",INDEX('REGISTRE ELEVES'!$F$10:$F$250,$AK26))</f>
        <v/>
      </c>
      <c r="F26" s="73" t="str">
        <f aca="false">IF($AK26="","",INDEX('REGISTRE ELEVES'!$AE$10:$AE$250,$AK26))</f>
        <v/>
      </c>
      <c r="G26" s="75"/>
      <c r="H26" s="76"/>
      <c r="I26" s="76"/>
      <c r="J26" s="76"/>
      <c r="K26" s="76"/>
      <c r="L26" s="79" t="str">
        <f aca="false">IF(B26="","",IF($G26="NON",0,IF(COUNT(H26:K26)=0,"",SUM(H26:K26))))</f>
        <v/>
      </c>
      <c r="M26" s="77" t="str">
        <f aca="false">IF(B26="","",IF($G26="NON",0,IF(COUNT(H26:K26)=0,"",IFERROR(ROUND(SUM(H26:K26)/SUMPRODUCT(ISNUMBER(H26:K26)*$H$8:$K$8)*20,2),""))))</f>
        <v/>
      </c>
      <c r="N26" s="75"/>
      <c r="O26" s="76"/>
      <c r="P26" s="76"/>
      <c r="Q26" s="76"/>
      <c r="R26" s="76"/>
      <c r="S26" s="79" t="str">
        <f aca="false">IF(B26="","",IF($N26="NON",0,IF(COUNT(O26:R26)=0,"",SUM(O26:R26))))</f>
        <v/>
      </c>
      <c r="T26" s="77" t="str">
        <f aca="false">IF(B26="","",IF($N26="NON",0,IF(COUNT(O26:R26)=0,"",IFERROR(ROUND(SUM(O26:R26)/SUMPRODUCT(ISNUMBER(O26:R26)*$O$8:$R$8)*20,2),""))))</f>
        <v/>
      </c>
      <c r="U26" s="75"/>
      <c r="V26" s="76"/>
      <c r="W26" s="76"/>
      <c r="X26" s="76"/>
      <c r="Y26" s="76"/>
      <c r="Z26" s="76"/>
      <c r="AA26" s="79" t="str">
        <f aca="false">IF(B26="","",IF($U26="NON",0,IF(COUNT(V26:Z26)=0,"",SUM(V26:Z26))))</f>
        <v/>
      </c>
      <c r="AB26" s="77" t="str">
        <f aca="false">IF(B26="","",IF($U26="NON",0,IF(COUNT(V26:Z26)=0,"",IFERROR(ROUND(SUM(V26:Z26)/SUMPRODUCT(ISNUMBER(V26:Z26)*$V$8:$Z$8)*20,2),""))))</f>
        <v/>
      </c>
      <c r="AC26" s="75"/>
      <c r="AD26" s="76"/>
      <c r="AE26" s="76"/>
      <c r="AF26" s="76"/>
      <c r="AG26" s="76"/>
      <c r="AH26" s="76"/>
      <c r="AI26" s="79" t="str">
        <f aca="false">IF(B26="","",IF($AC26="NON",0,IF(COUNT(AD26:AH26)=0,"",SUM(AD26:AH26))))</f>
        <v/>
      </c>
      <c r="AJ26" s="77" t="str">
        <f aca="false">IF(B26="","",IF($AC26="NON",0,IF(COUNT(AD26:AH26)=0,"",IFERROR(ROUND(SUM(AD26:AH26)/SUMPRODUCT(ISNUMBER(AD26:AH26)*$AD$8:$AH$8)*20,2),""))))</f>
        <v/>
      </c>
      <c r="AK26" s="51" t="str">
        <f aca="false">IFERROR(MATCH("CM2-17",'REGISTRE ELEVES'!$AI$10:$AI$250,0),"")</f>
        <v/>
      </c>
    </row>
    <row r="27" customFormat="false" ht="15" hidden="false" customHeight="false" outlineLevel="0" collapsed="false">
      <c r="A27" s="73" t="str">
        <f aca="false">IF(B27="","",18)</f>
        <v/>
      </c>
      <c r="B27" s="73" t="str">
        <f aca="false">IF($AK27="","",INDEX('REGISTRE ELEVES'!$B$10:$B$250,$AK27))</f>
        <v/>
      </c>
      <c r="C27" s="74" t="str">
        <f aca="false">IF($AK27="","",INDEX('REGISTRE ELEVES'!$D$10:$D$250,$AK27))</f>
        <v/>
      </c>
      <c r="D27" s="73" t="str">
        <f aca="false">IF($AK27="","",INDEX('REGISTRE ELEVES'!$E$10:$E$250,$AK27))</f>
        <v/>
      </c>
      <c r="E27" s="73" t="str">
        <f aca="false">IF($AK27="","",INDEX('REGISTRE ELEVES'!$F$10:$F$250,$AK27))</f>
        <v/>
      </c>
      <c r="F27" s="73" t="str">
        <f aca="false">IF($AK27="","",INDEX('REGISTRE ELEVES'!$AE$10:$AE$250,$AK27))</f>
        <v/>
      </c>
      <c r="G27" s="75"/>
      <c r="H27" s="76"/>
      <c r="I27" s="76"/>
      <c r="J27" s="76"/>
      <c r="K27" s="76"/>
      <c r="L27" s="79" t="str">
        <f aca="false">IF(B27="","",IF($G27="NON",0,IF(COUNT(H27:K27)=0,"",SUM(H27:K27))))</f>
        <v/>
      </c>
      <c r="M27" s="77" t="str">
        <f aca="false">IF(B27="","",IF($G27="NON",0,IF(COUNT(H27:K27)=0,"",IFERROR(ROUND(SUM(H27:K27)/SUMPRODUCT(ISNUMBER(H27:K27)*$H$8:$K$8)*20,2),""))))</f>
        <v/>
      </c>
      <c r="N27" s="75"/>
      <c r="O27" s="76"/>
      <c r="P27" s="76"/>
      <c r="Q27" s="76"/>
      <c r="R27" s="76"/>
      <c r="S27" s="79" t="str">
        <f aca="false">IF(B27="","",IF($N27="NON",0,IF(COUNT(O27:R27)=0,"",SUM(O27:R27))))</f>
        <v/>
      </c>
      <c r="T27" s="77" t="str">
        <f aca="false">IF(B27="","",IF($N27="NON",0,IF(COUNT(O27:R27)=0,"",IFERROR(ROUND(SUM(O27:R27)/SUMPRODUCT(ISNUMBER(O27:R27)*$O$8:$R$8)*20,2),""))))</f>
        <v/>
      </c>
      <c r="U27" s="75"/>
      <c r="V27" s="76"/>
      <c r="W27" s="76"/>
      <c r="X27" s="76"/>
      <c r="Y27" s="76"/>
      <c r="Z27" s="76"/>
      <c r="AA27" s="79" t="str">
        <f aca="false">IF(B27="","",IF($U27="NON",0,IF(COUNT(V27:Z27)=0,"",SUM(V27:Z27))))</f>
        <v/>
      </c>
      <c r="AB27" s="77" t="str">
        <f aca="false">IF(B27="","",IF($U27="NON",0,IF(COUNT(V27:Z27)=0,"",IFERROR(ROUND(SUM(V27:Z27)/SUMPRODUCT(ISNUMBER(V27:Z27)*$V$8:$Z$8)*20,2),""))))</f>
        <v/>
      </c>
      <c r="AC27" s="75"/>
      <c r="AD27" s="76"/>
      <c r="AE27" s="76"/>
      <c r="AF27" s="76"/>
      <c r="AG27" s="76"/>
      <c r="AH27" s="76"/>
      <c r="AI27" s="79" t="str">
        <f aca="false">IF(B27="","",IF($AC27="NON",0,IF(COUNT(AD27:AH27)=0,"",SUM(AD27:AH27))))</f>
        <v/>
      </c>
      <c r="AJ27" s="77" t="str">
        <f aca="false">IF(B27="","",IF($AC27="NON",0,IF(COUNT(AD27:AH27)=0,"",IFERROR(ROUND(SUM(AD27:AH27)/SUMPRODUCT(ISNUMBER(AD27:AH27)*$AD$8:$AH$8)*20,2),""))))</f>
        <v/>
      </c>
      <c r="AK27" s="51" t="str">
        <f aca="false">IFERROR(MATCH("CM2-18",'REGISTRE ELEVES'!$AI$10:$AI$250,0),"")</f>
        <v/>
      </c>
    </row>
    <row r="28" customFormat="false" ht="15" hidden="false" customHeight="false" outlineLevel="0" collapsed="false">
      <c r="A28" s="73" t="str">
        <f aca="false">IF(B28="","",19)</f>
        <v/>
      </c>
      <c r="B28" s="73" t="str">
        <f aca="false">IF($AK28="","",INDEX('REGISTRE ELEVES'!$B$10:$B$250,$AK28))</f>
        <v/>
      </c>
      <c r="C28" s="74" t="str">
        <f aca="false">IF($AK28="","",INDEX('REGISTRE ELEVES'!$D$10:$D$250,$AK28))</f>
        <v/>
      </c>
      <c r="D28" s="73" t="str">
        <f aca="false">IF($AK28="","",INDEX('REGISTRE ELEVES'!$E$10:$E$250,$AK28))</f>
        <v/>
      </c>
      <c r="E28" s="73" t="str">
        <f aca="false">IF($AK28="","",INDEX('REGISTRE ELEVES'!$F$10:$F$250,$AK28))</f>
        <v/>
      </c>
      <c r="F28" s="73" t="str">
        <f aca="false">IF($AK28="","",INDEX('REGISTRE ELEVES'!$AE$10:$AE$250,$AK28))</f>
        <v/>
      </c>
      <c r="G28" s="75"/>
      <c r="H28" s="76"/>
      <c r="I28" s="76"/>
      <c r="J28" s="76"/>
      <c r="K28" s="76"/>
      <c r="L28" s="79" t="str">
        <f aca="false">IF(B28="","",IF($G28="NON",0,IF(COUNT(H28:K28)=0,"",SUM(H28:K28))))</f>
        <v/>
      </c>
      <c r="M28" s="77" t="str">
        <f aca="false">IF(B28="","",IF($G28="NON",0,IF(COUNT(H28:K28)=0,"",IFERROR(ROUND(SUM(H28:K28)/SUMPRODUCT(ISNUMBER(H28:K28)*$H$8:$K$8)*20,2),""))))</f>
        <v/>
      </c>
      <c r="N28" s="75"/>
      <c r="O28" s="76"/>
      <c r="P28" s="76"/>
      <c r="Q28" s="76"/>
      <c r="R28" s="76"/>
      <c r="S28" s="79" t="str">
        <f aca="false">IF(B28="","",IF($N28="NON",0,IF(COUNT(O28:R28)=0,"",SUM(O28:R28))))</f>
        <v/>
      </c>
      <c r="T28" s="77" t="str">
        <f aca="false">IF(B28="","",IF($N28="NON",0,IF(COUNT(O28:R28)=0,"",IFERROR(ROUND(SUM(O28:R28)/SUMPRODUCT(ISNUMBER(O28:R28)*$O$8:$R$8)*20,2),""))))</f>
        <v/>
      </c>
      <c r="U28" s="75"/>
      <c r="V28" s="76"/>
      <c r="W28" s="76"/>
      <c r="X28" s="76"/>
      <c r="Y28" s="76"/>
      <c r="Z28" s="76"/>
      <c r="AA28" s="79" t="str">
        <f aca="false">IF(B28="","",IF($U28="NON",0,IF(COUNT(V28:Z28)=0,"",SUM(V28:Z28))))</f>
        <v/>
      </c>
      <c r="AB28" s="77" t="str">
        <f aca="false">IF(B28="","",IF($U28="NON",0,IF(COUNT(V28:Z28)=0,"",IFERROR(ROUND(SUM(V28:Z28)/SUMPRODUCT(ISNUMBER(V28:Z28)*$V$8:$Z$8)*20,2),""))))</f>
        <v/>
      </c>
      <c r="AC28" s="75"/>
      <c r="AD28" s="76"/>
      <c r="AE28" s="76"/>
      <c r="AF28" s="76"/>
      <c r="AG28" s="76"/>
      <c r="AH28" s="76"/>
      <c r="AI28" s="79" t="str">
        <f aca="false">IF(B28="","",IF($AC28="NON",0,IF(COUNT(AD28:AH28)=0,"",SUM(AD28:AH28))))</f>
        <v/>
      </c>
      <c r="AJ28" s="77" t="str">
        <f aca="false">IF(B28="","",IF($AC28="NON",0,IF(COUNT(AD28:AH28)=0,"",IFERROR(ROUND(SUM(AD28:AH28)/SUMPRODUCT(ISNUMBER(AD28:AH28)*$AD$8:$AH$8)*20,2),""))))</f>
        <v/>
      </c>
      <c r="AK28" s="51" t="str">
        <f aca="false">IFERROR(MATCH("CM2-19",'REGISTRE ELEVES'!$AI$10:$AI$250,0),"")</f>
        <v/>
      </c>
    </row>
    <row r="29" customFormat="false" ht="15" hidden="false" customHeight="false" outlineLevel="0" collapsed="false">
      <c r="A29" s="73" t="str">
        <f aca="false">IF(B29="","",20)</f>
        <v/>
      </c>
      <c r="B29" s="73" t="str">
        <f aca="false">IF($AK29="","",INDEX('REGISTRE ELEVES'!$B$10:$B$250,$AK29))</f>
        <v/>
      </c>
      <c r="C29" s="74" t="str">
        <f aca="false">IF($AK29="","",INDEX('REGISTRE ELEVES'!$D$10:$D$250,$AK29))</f>
        <v/>
      </c>
      <c r="D29" s="73" t="str">
        <f aca="false">IF($AK29="","",INDEX('REGISTRE ELEVES'!$E$10:$E$250,$AK29))</f>
        <v/>
      </c>
      <c r="E29" s="73" t="str">
        <f aca="false">IF($AK29="","",INDEX('REGISTRE ELEVES'!$F$10:$F$250,$AK29))</f>
        <v/>
      </c>
      <c r="F29" s="73" t="str">
        <f aca="false">IF($AK29="","",INDEX('REGISTRE ELEVES'!$AE$10:$AE$250,$AK29))</f>
        <v/>
      </c>
      <c r="G29" s="75"/>
      <c r="H29" s="76"/>
      <c r="I29" s="76"/>
      <c r="J29" s="76"/>
      <c r="K29" s="76"/>
      <c r="L29" s="79" t="str">
        <f aca="false">IF(B29="","",IF($G29="NON",0,IF(COUNT(H29:K29)=0,"",SUM(H29:K29))))</f>
        <v/>
      </c>
      <c r="M29" s="77" t="str">
        <f aca="false">IF(B29="","",IF($G29="NON",0,IF(COUNT(H29:K29)=0,"",IFERROR(ROUND(SUM(H29:K29)/SUMPRODUCT(ISNUMBER(H29:K29)*$H$8:$K$8)*20,2),""))))</f>
        <v/>
      </c>
      <c r="N29" s="75"/>
      <c r="O29" s="76"/>
      <c r="P29" s="76"/>
      <c r="Q29" s="76"/>
      <c r="R29" s="76"/>
      <c r="S29" s="79" t="str">
        <f aca="false">IF(B29="","",IF($N29="NON",0,IF(COUNT(O29:R29)=0,"",SUM(O29:R29))))</f>
        <v/>
      </c>
      <c r="T29" s="77" t="str">
        <f aca="false">IF(B29="","",IF($N29="NON",0,IF(COUNT(O29:R29)=0,"",IFERROR(ROUND(SUM(O29:R29)/SUMPRODUCT(ISNUMBER(O29:R29)*$O$8:$R$8)*20,2),""))))</f>
        <v/>
      </c>
      <c r="U29" s="75"/>
      <c r="V29" s="76"/>
      <c r="W29" s="76"/>
      <c r="X29" s="76"/>
      <c r="Y29" s="76"/>
      <c r="Z29" s="76"/>
      <c r="AA29" s="79" t="str">
        <f aca="false">IF(B29="","",IF($U29="NON",0,IF(COUNT(V29:Z29)=0,"",SUM(V29:Z29))))</f>
        <v/>
      </c>
      <c r="AB29" s="77" t="str">
        <f aca="false">IF(B29="","",IF($U29="NON",0,IF(COUNT(V29:Z29)=0,"",IFERROR(ROUND(SUM(V29:Z29)/SUMPRODUCT(ISNUMBER(V29:Z29)*$V$8:$Z$8)*20,2),""))))</f>
        <v/>
      </c>
      <c r="AC29" s="75"/>
      <c r="AD29" s="76"/>
      <c r="AE29" s="76"/>
      <c r="AF29" s="76"/>
      <c r="AG29" s="76"/>
      <c r="AH29" s="76"/>
      <c r="AI29" s="79" t="str">
        <f aca="false">IF(B29="","",IF($AC29="NON",0,IF(COUNT(AD29:AH29)=0,"",SUM(AD29:AH29))))</f>
        <v/>
      </c>
      <c r="AJ29" s="77" t="str">
        <f aca="false">IF(B29="","",IF($AC29="NON",0,IF(COUNT(AD29:AH29)=0,"",IFERROR(ROUND(SUM(AD29:AH29)/SUMPRODUCT(ISNUMBER(AD29:AH29)*$AD$8:$AH$8)*20,2),""))))</f>
        <v/>
      </c>
      <c r="AK29" s="51" t="str">
        <f aca="false">IFERROR(MATCH("CM2-20",'REGISTRE ELEVES'!$AI$10:$AI$250,0),"")</f>
        <v/>
      </c>
    </row>
    <row r="30" customFormat="false" ht="15" hidden="false" customHeight="false" outlineLevel="0" collapsed="false">
      <c r="A30" s="73" t="str">
        <f aca="false">IF(B30="","",21)</f>
        <v/>
      </c>
      <c r="B30" s="73" t="str">
        <f aca="false">IF($AK30="","",INDEX('REGISTRE ELEVES'!$B$10:$B$250,$AK30))</f>
        <v/>
      </c>
      <c r="C30" s="74" t="str">
        <f aca="false">IF($AK30="","",INDEX('REGISTRE ELEVES'!$D$10:$D$250,$AK30))</f>
        <v/>
      </c>
      <c r="D30" s="73" t="str">
        <f aca="false">IF($AK30="","",INDEX('REGISTRE ELEVES'!$E$10:$E$250,$AK30))</f>
        <v/>
      </c>
      <c r="E30" s="73" t="str">
        <f aca="false">IF($AK30="","",INDEX('REGISTRE ELEVES'!$F$10:$F$250,$AK30))</f>
        <v/>
      </c>
      <c r="F30" s="73" t="str">
        <f aca="false">IF($AK30="","",INDEX('REGISTRE ELEVES'!$AE$10:$AE$250,$AK30))</f>
        <v/>
      </c>
      <c r="G30" s="75"/>
      <c r="H30" s="76"/>
      <c r="I30" s="76"/>
      <c r="J30" s="76"/>
      <c r="K30" s="76"/>
      <c r="L30" s="79" t="str">
        <f aca="false">IF(B30="","",IF($G30="NON",0,IF(COUNT(H30:K30)=0,"",SUM(H30:K30))))</f>
        <v/>
      </c>
      <c r="M30" s="77" t="str">
        <f aca="false">IF(B30="","",IF($G30="NON",0,IF(COUNT(H30:K30)=0,"",IFERROR(ROUND(SUM(H30:K30)/SUMPRODUCT(ISNUMBER(H30:K30)*$H$8:$K$8)*20,2),""))))</f>
        <v/>
      </c>
      <c r="N30" s="75"/>
      <c r="O30" s="76"/>
      <c r="P30" s="76"/>
      <c r="Q30" s="76"/>
      <c r="R30" s="76"/>
      <c r="S30" s="79" t="str">
        <f aca="false">IF(B30="","",IF($N30="NON",0,IF(COUNT(O30:R30)=0,"",SUM(O30:R30))))</f>
        <v/>
      </c>
      <c r="T30" s="77" t="str">
        <f aca="false">IF(B30="","",IF($N30="NON",0,IF(COUNT(O30:R30)=0,"",IFERROR(ROUND(SUM(O30:R30)/SUMPRODUCT(ISNUMBER(O30:R30)*$O$8:$R$8)*20,2),""))))</f>
        <v/>
      </c>
      <c r="U30" s="75"/>
      <c r="V30" s="76"/>
      <c r="W30" s="76"/>
      <c r="X30" s="76"/>
      <c r="Y30" s="76"/>
      <c r="Z30" s="76"/>
      <c r="AA30" s="79" t="str">
        <f aca="false">IF(B30="","",IF($U30="NON",0,IF(COUNT(V30:Z30)=0,"",SUM(V30:Z30))))</f>
        <v/>
      </c>
      <c r="AB30" s="77" t="str">
        <f aca="false">IF(B30="","",IF($U30="NON",0,IF(COUNT(V30:Z30)=0,"",IFERROR(ROUND(SUM(V30:Z30)/SUMPRODUCT(ISNUMBER(V30:Z30)*$V$8:$Z$8)*20,2),""))))</f>
        <v/>
      </c>
      <c r="AC30" s="75"/>
      <c r="AD30" s="76"/>
      <c r="AE30" s="76"/>
      <c r="AF30" s="76"/>
      <c r="AG30" s="76"/>
      <c r="AH30" s="76"/>
      <c r="AI30" s="79" t="str">
        <f aca="false">IF(B30="","",IF($AC30="NON",0,IF(COUNT(AD30:AH30)=0,"",SUM(AD30:AH30))))</f>
        <v/>
      </c>
      <c r="AJ30" s="77" t="str">
        <f aca="false">IF(B30="","",IF($AC30="NON",0,IF(COUNT(AD30:AH30)=0,"",IFERROR(ROUND(SUM(AD30:AH30)/SUMPRODUCT(ISNUMBER(AD30:AH30)*$AD$8:$AH$8)*20,2),""))))</f>
        <v/>
      </c>
      <c r="AK30" s="51" t="str">
        <f aca="false">IFERROR(MATCH("CM2-21",'REGISTRE ELEVES'!$AI$10:$AI$250,0),"")</f>
        <v/>
      </c>
    </row>
    <row r="31" customFormat="false" ht="15" hidden="false" customHeight="false" outlineLevel="0" collapsed="false">
      <c r="A31" s="73" t="str">
        <f aca="false">IF(B31="","",22)</f>
        <v/>
      </c>
      <c r="B31" s="73" t="str">
        <f aca="false">IF($AK31="","",INDEX('REGISTRE ELEVES'!$B$10:$B$250,$AK31))</f>
        <v/>
      </c>
      <c r="C31" s="74" t="str">
        <f aca="false">IF($AK31="","",INDEX('REGISTRE ELEVES'!$D$10:$D$250,$AK31))</f>
        <v/>
      </c>
      <c r="D31" s="73" t="str">
        <f aca="false">IF($AK31="","",INDEX('REGISTRE ELEVES'!$E$10:$E$250,$AK31))</f>
        <v/>
      </c>
      <c r="E31" s="73" t="str">
        <f aca="false">IF($AK31="","",INDEX('REGISTRE ELEVES'!$F$10:$F$250,$AK31))</f>
        <v/>
      </c>
      <c r="F31" s="73" t="str">
        <f aca="false">IF($AK31="","",INDEX('REGISTRE ELEVES'!$AE$10:$AE$250,$AK31))</f>
        <v/>
      </c>
      <c r="G31" s="75"/>
      <c r="H31" s="76"/>
      <c r="I31" s="76"/>
      <c r="J31" s="76"/>
      <c r="K31" s="76"/>
      <c r="L31" s="79" t="str">
        <f aca="false">IF(B31="","",IF($G31="NON",0,IF(COUNT(H31:K31)=0,"",SUM(H31:K31))))</f>
        <v/>
      </c>
      <c r="M31" s="77" t="str">
        <f aca="false">IF(B31="","",IF($G31="NON",0,IF(COUNT(H31:K31)=0,"",IFERROR(ROUND(SUM(H31:K31)/SUMPRODUCT(ISNUMBER(H31:K31)*$H$8:$K$8)*20,2),""))))</f>
        <v/>
      </c>
      <c r="N31" s="75"/>
      <c r="O31" s="76"/>
      <c r="P31" s="76"/>
      <c r="Q31" s="76"/>
      <c r="R31" s="76"/>
      <c r="S31" s="79" t="str">
        <f aca="false">IF(B31="","",IF($N31="NON",0,IF(COUNT(O31:R31)=0,"",SUM(O31:R31))))</f>
        <v/>
      </c>
      <c r="T31" s="77" t="str">
        <f aca="false">IF(B31="","",IF($N31="NON",0,IF(COUNT(O31:R31)=0,"",IFERROR(ROUND(SUM(O31:R31)/SUMPRODUCT(ISNUMBER(O31:R31)*$O$8:$R$8)*20,2),""))))</f>
        <v/>
      </c>
      <c r="U31" s="75"/>
      <c r="V31" s="76"/>
      <c r="W31" s="76"/>
      <c r="X31" s="76"/>
      <c r="Y31" s="76"/>
      <c r="Z31" s="76"/>
      <c r="AA31" s="79" t="str">
        <f aca="false">IF(B31="","",IF($U31="NON",0,IF(COUNT(V31:Z31)=0,"",SUM(V31:Z31))))</f>
        <v/>
      </c>
      <c r="AB31" s="77" t="str">
        <f aca="false">IF(B31="","",IF($U31="NON",0,IF(COUNT(V31:Z31)=0,"",IFERROR(ROUND(SUM(V31:Z31)/SUMPRODUCT(ISNUMBER(V31:Z31)*$V$8:$Z$8)*20,2),""))))</f>
        <v/>
      </c>
      <c r="AC31" s="75"/>
      <c r="AD31" s="76"/>
      <c r="AE31" s="76"/>
      <c r="AF31" s="76"/>
      <c r="AG31" s="76"/>
      <c r="AH31" s="76"/>
      <c r="AI31" s="79" t="str">
        <f aca="false">IF(B31="","",IF($AC31="NON",0,IF(COUNT(AD31:AH31)=0,"",SUM(AD31:AH31))))</f>
        <v/>
      </c>
      <c r="AJ31" s="77" t="str">
        <f aca="false">IF(B31="","",IF($AC31="NON",0,IF(COUNT(AD31:AH31)=0,"",IFERROR(ROUND(SUM(AD31:AH31)/SUMPRODUCT(ISNUMBER(AD31:AH31)*$AD$8:$AH$8)*20,2),""))))</f>
        <v/>
      </c>
      <c r="AK31" s="51" t="str">
        <f aca="false">IFERROR(MATCH("CM2-22",'REGISTRE ELEVES'!$AI$10:$AI$250,0),"")</f>
        <v/>
      </c>
    </row>
    <row r="32" customFormat="false" ht="15" hidden="false" customHeight="false" outlineLevel="0" collapsed="false">
      <c r="A32" s="73" t="str">
        <f aca="false">IF(B32="","",23)</f>
        <v/>
      </c>
      <c r="B32" s="73" t="str">
        <f aca="false">IF($AK32="","",INDEX('REGISTRE ELEVES'!$B$10:$B$250,$AK32))</f>
        <v/>
      </c>
      <c r="C32" s="74" t="str">
        <f aca="false">IF($AK32="","",INDEX('REGISTRE ELEVES'!$D$10:$D$250,$AK32))</f>
        <v/>
      </c>
      <c r="D32" s="73" t="str">
        <f aca="false">IF($AK32="","",INDEX('REGISTRE ELEVES'!$E$10:$E$250,$AK32))</f>
        <v/>
      </c>
      <c r="E32" s="73" t="str">
        <f aca="false">IF($AK32="","",INDEX('REGISTRE ELEVES'!$F$10:$F$250,$AK32))</f>
        <v/>
      </c>
      <c r="F32" s="73" t="str">
        <f aca="false">IF($AK32="","",INDEX('REGISTRE ELEVES'!$AE$10:$AE$250,$AK32))</f>
        <v/>
      </c>
      <c r="G32" s="75"/>
      <c r="H32" s="76"/>
      <c r="I32" s="76"/>
      <c r="J32" s="76"/>
      <c r="K32" s="76"/>
      <c r="L32" s="79" t="str">
        <f aca="false">IF(B32="","",IF($G32="NON",0,IF(COUNT(H32:K32)=0,"",SUM(H32:K32))))</f>
        <v/>
      </c>
      <c r="M32" s="77" t="str">
        <f aca="false">IF(B32="","",IF($G32="NON",0,IF(COUNT(H32:K32)=0,"",IFERROR(ROUND(SUM(H32:K32)/SUMPRODUCT(ISNUMBER(H32:K32)*$H$8:$K$8)*20,2),""))))</f>
        <v/>
      </c>
      <c r="N32" s="75"/>
      <c r="O32" s="76"/>
      <c r="P32" s="76"/>
      <c r="Q32" s="76"/>
      <c r="R32" s="76"/>
      <c r="S32" s="79" t="str">
        <f aca="false">IF(B32="","",IF($N32="NON",0,IF(COUNT(O32:R32)=0,"",SUM(O32:R32))))</f>
        <v/>
      </c>
      <c r="T32" s="77" t="str">
        <f aca="false">IF(B32="","",IF($N32="NON",0,IF(COUNT(O32:R32)=0,"",IFERROR(ROUND(SUM(O32:R32)/SUMPRODUCT(ISNUMBER(O32:R32)*$O$8:$R$8)*20,2),""))))</f>
        <v/>
      </c>
      <c r="U32" s="75"/>
      <c r="V32" s="76"/>
      <c r="W32" s="76"/>
      <c r="X32" s="76"/>
      <c r="Y32" s="76"/>
      <c r="Z32" s="76"/>
      <c r="AA32" s="79" t="str">
        <f aca="false">IF(B32="","",IF($U32="NON",0,IF(COUNT(V32:Z32)=0,"",SUM(V32:Z32))))</f>
        <v/>
      </c>
      <c r="AB32" s="77" t="str">
        <f aca="false">IF(B32="","",IF($U32="NON",0,IF(COUNT(V32:Z32)=0,"",IFERROR(ROUND(SUM(V32:Z32)/SUMPRODUCT(ISNUMBER(V32:Z32)*$V$8:$Z$8)*20,2),""))))</f>
        <v/>
      </c>
      <c r="AC32" s="75"/>
      <c r="AD32" s="76"/>
      <c r="AE32" s="76"/>
      <c r="AF32" s="76"/>
      <c r="AG32" s="76"/>
      <c r="AH32" s="76"/>
      <c r="AI32" s="79" t="str">
        <f aca="false">IF(B32="","",IF($AC32="NON",0,IF(COUNT(AD32:AH32)=0,"",SUM(AD32:AH32))))</f>
        <v/>
      </c>
      <c r="AJ32" s="77" t="str">
        <f aca="false">IF(B32="","",IF($AC32="NON",0,IF(COUNT(AD32:AH32)=0,"",IFERROR(ROUND(SUM(AD32:AH32)/SUMPRODUCT(ISNUMBER(AD32:AH32)*$AD$8:$AH$8)*20,2),""))))</f>
        <v/>
      </c>
      <c r="AK32" s="51" t="str">
        <f aca="false">IFERROR(MATCH("CM2-23",'REGISTRE ELEVES'!$AI$10:$AI$250,0),"")</f>
        <v/>
      </c>
    </row>
    <row r="33" customFormat="false" ht="15" hidden="false" customHeight="false" outlineLevel="0" collapsed="false">
      <c r="A33" s="73" t="str">
        <f aca="false">IF(B33="","",24)</f>
        <v/>
      </c>
      <c r="B33" s="73" t="str">
        <f aca="false">IF($AK33="","",INDEX('REGISTRE ELEVES'!$B$10:$B$250,$AK33))</f>
        <v/>
      </c>
      <c r="C33" s="74" t="str">
        <f aca="false">IF($AK33="","",INDEX('REGISTRE ELEVES'!$D$10:$D$250,$AK33))</f>
        <v/>
      </c>
      <c r="D33" s="73" t="str">
        <f aca="false">IF($AK33="","",INDEX('REGISTRE ELEVES'!$E$10:$E$250,$AK33))</f>
        <v/>
      </c>
      <c r="E33" s="73" t="str">
        <f aca="false">IF($AK33="","",INDEX('REGISTRE ELEVES'!$F$10:$F$250,$AK33))</f>
        <v/>
      </c>
      <c r="F33" s="73" t="str">
        <f aca="false">IF($AK33="","",INDEX('REGISTRE ELEVES'!$AE$10:$AE$250,$AK33))</f>
        <v/>
      </c>
      <c r="G33" s="75"/>
      <c r="H33" s="76"/>
      <c r="I33" s="76"/>
      <c r="J33" s="76"/>
      <c r="K33" s="76"/>
      <c r="L33" s="79" t="str">
        <f aca="false">IF(B33="","",IF($G33="NON",0,IF(COUNT(H33:K33)=0,"",SUM(H33:K33))))</f>
        <v/>
      </c>
      <c r="M33" s="77" t="str">
        <f aca="false">IF(B33="","",IF($G33="NON",0,IF(COUNT(H33:K33)=0,"",IFERROR(ROUND(SUM(H33:K33)/SUMPRODUCT(ISNUMBER(H33:K33)*$H$8:$K$8)*20,2),""))))</f>
        <v/>
      </c>
      <c r="N33" s="75"/>
      <c r="O33" s="76"/>
      <c r="P33" s="76"/>
      <c r="Q33" s="76"/>
      <c r="R33" s="76"/>
      <c r="S33" s="79" t="str">
        <f aca="false">IF(B33="","",IF($N33="NON",0,IF(COUNT(O33:R33)=0,"",SUM(O33:R33))))</f>
        <v/>
      </c>
      <c r="T33" s="77" t="str">
        <f aca="false">IF(B33="","",IF($N33="NON",0,IF(COUNT(O33:R33)=0,"",IFERROR(ROUND(SUM(O33:R33)/SUMPRODUCT(ISNUMBER(O33:R33)*$O$8:$R$8)*20,2),""))))</f>
        <v/>
      </c>
      <c r="U33" s="75"/>
      <c r="V33" s="76"/>
      <c r="W33" s="76"/>
      <c r="X33" s="76"/>
      <c r="Y33" s="76"/>
      <c r="Z33" s="76"/>
      <c r="AA33" s="79" t="str">
        <f aca="false">IF(B33="","",IF($U33="NON",0,IF(COUNT(V33:Z33)=0,"",SUM(V33:Z33))))</f>
        <v/>
      </c>
      <c r="AB33" s="77" t="str">
        <f aca="false">IF(B33="","",IF($U33="NON",0,IF(COUNT(V33:Z33)=0,"",IFERROR(ROUND(SUM(V33:Z33)/SUMPRODUCT(ISNUMBER(V33:Z33)*$V$8:$Z$8)*20,2),""))))</f>
        <v/>
      </c>
      <c r="AC33" s="75"/>
      <c r="AD33" s="76"/>
      <c r="AE33" s="76"/>
      <c r="AF33" s="76"/>
      <c r="AG33" s="76"/>
      <c r="AH33" s="76"/>
      <c r="AI33" s="79" t="str">
        <f aca="false">IF(B33="","",IF($AC33="NON",0,IF(COUNT(AD33:AH33)=0,"",SUM(AD33:AH33))))</f>
        <v/>
      </c>
      <c r="AJ33" s="77" t="str">
        <f aca="false">IF(B33="","",IF($AC33="NON",0,IF(COUNT(AD33:AH33)=0,"",IFERROR(ROUND(SUM(AD33:AH33)/SUMPRODUCT(ISNUMBER(AD33:AH33)*$AD$8:$AH$8)*20,2),""))))</f>
        <v/>
      </c>
      <c r="AK33" s="51" t="str">
        <f aca="false">IFERROR(MATCH("CM2-24",'REGISTRE ELEVES'!$AI$10:$AI$250,0),"")</f>
        <v/>
      </c>
    </row>
    <row r="34" customFormat="false" ht="15" hidden="false" customHeight="false" outlineLevel="0" collapsed="false">
      <c r="A34" s="73" t="str">
        <f aca="false">IF(B34="","",25)</f>
        <v/>
      </c>
      <c r="B34" s="73" t="str">
        <f aca="false">IF($AK34="","",INDEX('REGISTRE ELEVES'!$B$10:$B$250,$AK34))</f>
        <v/>
      </c>
      <c r="C34" s="74" t="str">
        <f aca="false">IF($AK34="","",INDEX('REGISTRE ELEVES'!$D$10:$D$250,$AK34))</f>
        <v/>
      </c>
      <c r="D34" s="73" t="str">
        <f aca="false">IF($AK34="","",INDEX('REGISTRE ELEVES'!$E$10:$E$250,$AK34))</f>
        <v/>
      </c>
      <c r="E34" s="73" t="str">
        <f aca="false">IF($AK34="","",INDEX('REGISTRE ELEVES'!$F$10:$F$250,$AK34))</f>
        <v/>
      </c>
      <c r="F34" s="73" t="str">
        <f aca="false">IF($AK34="","",INDEX('REGISTRE ELEVES'!$AE$10:$AE$250,$AK34))</f>
        <v/>
      </c>
      <c r="G34" s="75"/>
      <c r="H34" s="76"/>
      <c r="I34" s="76"/>
      <c r="J34" s="76"/>
      <c r="K34" s="76"/>
      <c r="L34" s="79" t="str">
        <f aca="false">IF(B34="","",IF($G34="NON",0,IF(COUNT(H34:K34)=0,"",SUM(H34:K34))))</f>
        <v/>
      </c>
      <c r="M34" s="77" t="str">
        <f aca="false">IF(B34="","",IF($G34="NON",0,IF(COUNT(H34:K34)=0,"",IFERROR(ROUND(SUM(H34:K34)/SUMPRODUCT(ISNUMBER(H34:K34)*$H$8:$K$8)*20,2),""))))</f>
        <v/>
      </c>
      <c r="N34" s="75"/>
      <c r="O34" s="76"/>
      <c r="P34" s="76"/>
      <c r="Q34" s="76"/>
      <c r="R34" s="76"/>
      <c r="S34" s="79" t="str">
        <f aca="false">IF(B34="","",IF($N34="NON",0,IF(COUNT(O34:R34)=0,"",SUM(O34:R34))))</f>
        <v/>
      </c>
      <c r="T34" s="77" t="str">
        <f aca="false">IF(B34="","",IF($N34="NON",0,IF(COUNT(O34:R34)=0,"",IFERROR(ROUND(SUM(O34:R34)/SUMPRODUCT(ISNUMBER(O34:R34)*$O$8:$R$8)*20,2),""))))</f>
        <v/>
      </c>
      <c r="U34" s="75"/>
      <c r="V34" s="76"/>
      <c r="W34" s="76"/>
      <c r="X34" s="76"/>
      <c r="Y34" s="76"/>
      <c r="Z34" s="76"/>
      <c r="AA34" s="79" t="str">
        <f aca="false">IF(B34="","",IF($U34="NON",0,IF(COUNT(V34:Z34)=0,"",SUM(V34:Z34))))</f>
        <v/>
      </c>
      <c r="AB34" s="77" t="str">
        <f aca="false">IF(B34="","",IF($U34="NON",0,IF(COUNT(V34:Z34)=0,"",IFERROR(ROUND(SUM(V34:Z34)/SUMPRODUCT(ISNUMBER(V34:Z34)*$V$8:$Z$8)*20,2),""))))</f>
        <v/>
      </c>
      <c r="AC34" s="75"/>
      <c r="AD34" s="76"/>
      <c r="AE34" s="76"/>
      <c r="AF34" s="76"/>
      <c r="AG34" s="76"/>
      <c r="AH34" s="76"/>
      <c r="AI34" s="79" t="str">
        <f aca="false">IF(B34="","",IF($AC34="NON",0,IF(COUNT(AD34:AH34)=0,"",SUM(AD34:AH34))))</f>
        <v/>
      </c>
      <c r="AJ34" s="77" t="str">
        <f aca="false">IF(B34="","",IF($AC34="NON",0,IF(COUNT(AD34:AH34)=0,"",IFERROR(ROUND(SUM(AD34:AH34)/SUMPRODUCT(ISNUMBER(AD34:AH34)*$AD$8:$AH$8)*20,2),""))))</f>
        <v/>
      </c>
      <c r="AK34" s="51" t="str">
        <f aca="false">IFERROR(MATCH("CM2-25",'REGISTRE ELEVES'!$AI$10:$AI$250,0),"")</f>
        <v/>
      </c>
    </row>
    <row r="35" customFormat="false" ht="15" hidden="false" customHeight="false" outlineLevel="0" collapsed="false">
      <c r="A35" s="73" t="str">
        <f aca="false">IF(B35="","",26)</f>
        <v/>
      </c>
      <c r="B35" s="73" t="str">
        <f aca="false">IF($AK35="","",INDEX('REGISTRE ELEVES'!$B$10:$B$250,$AK35))</f>
        <v/>
      </c>
      <c r="C35" s="74" t="str">
        <f aca="false">IF($AK35="","",INDEX('REGISTRE ELEVES'!$D$10:$D$250,$AK35))</f>
        <v/>
      </c>
      <c r="D35" s="73" t="str">
        <f aca="false">IF($AK35="","",INDEX('REGISTRE ELEVES'!$E$10:$E$250,$AK35))</f>
        <v/>
      </c>
      <c r="E35" s="73" t="str">
        <f aca="false">IF($AK35="","",INDEX('REGISTRE ELEVES'!$F$10:$F$250,$AK35))</f>
        <v/>
      </c>
      <c r="F35" s="73" t="str">
        <f aca="false">IF($AK35="","",INDEX('REGISTRE ELEVES'!$AE$10:$AE$250,$AK35))</f>
        <v/>
      </c>
      <c r="G35" s="75"/>
      <c r="H35" s="76"/>
      <c r="I35" s="76"/>
      <c r="J35" s="76"/>
      <c r="K35" s="76"/>
      <c r="L35" s="79" t="str">
        <f aca="false">IF(B35="","",IF($G35="NON",0,IF(COUNT(H35:K35)=0,"",SUM(H35:K35))))</f>
        <v/>
      </c>
      <c r="M35" s="77" t="str">
        <f aca="false">IF(B35="","",IF($G35="NON",0,IF(COUNT(H35:K35)=0,"",IFERROR(ROUND(SUM(H35:K35)/SUMPRODUCT(ISNUMBER(H35:K35)*$H$8:$K$8)*20,2),""))))</f>
        <v/>
      </c>
      <c r="N35" s="75"/>
      <c r="O35" s="76"/>
      <c r="P35" s="76"/>
      <c r="Q35" s="76"/>
      <c r="R35" s="76"/>
      <c r="S35" s="79" t="str">
        <f aca="false">IF(B35="","",IF($N35="NON",0,IF(COUNT(O35:R35)=0,"",SUM(O35:R35))))</f>
        <v/>
      </c>
      <c r="T35" s="77" t="str">
        <f aca="false">IF(B35="","",IF($N35="NON",0,IF(COUNT(O35:R35)=0,"",IFERROR(ROUND(SUM(O35:R35)/SUMPRODUCT(ISNUMBER(O35:R35)*$O$8:$R$8)*20,2),""))))</f>
        <v/>
      </c>
      <c r="U35" s="75"/>
      <c r="V35" s="76"/>
      <c r="W35" s="76"/>
      <c r="X35" s="76"/>
      <c r="Y35" s="76"/>
      <c r="Z35" s="76"/>
      <c r="AA35" s="79" t="str">
        <f aca="false">IF(B35="","",IF($U35="NON",0,IF(COUNT(V35:Z35)=0,"",SUM(V35:Z35))))</f>
        <v/>
      </c>
      <c r="AB35" s="77" t="str">
        <f aca="false">IF(B35="","",IF($U35="NON",0,IF(COUNT(V35:Z35)=0,"",IFERROR(ROUND(SUM(V35:Z35)/SUMPRODUCT(ISNUMBER(V35:Z35)*$V$8:$Z$8)*20,2),""))))</f>
        <v/>
      </c>
      <c r="AC35" s="75"/>
      <c r="AD35" s="76"/>
      <c r="AE35" s="76"/>
      <c r="AF35" s="76"/>
      <c r="AG35" s="76"/>
      <c r="AH35" s="76"/>
      <c r="AI35" s="79" t="str">
        <f aca="false">IF(B35="","",IF($AC35="NON",0,IF(COUNT(AD35:AH35)=0,"",SUM(AD35:AH35))))</f>
        <v/>
      </c>
      <c r="AJ35" s="77" t="str">
        <f aca="false">IF(B35="","",IF($AC35="NON",0,IF(COUNT(AD35:AH35)=0,"",IFERROR(ROUND(SUM(AD35:AH35)/SUMPRODUCT(ISNUMBER(AD35:AH35)*$AD$8:$AH$8)*20,2),""))))</f>
        <v/>
      </c>
      <c r="AK35" s="51" t="str">
        <f aca="false">IFERROR(MATCH("CM2-26",'REGISTRE ELEVES'!$AI$10:$AI$250,0),"")</f>
        <v/>
      </c>
    </row>
    <row r="36" customFormat="false" ht="15" hidden="false" customHeight="false" outlineLevel="0" collapsed="false">
      <c r="A36" s="73" t="str">
        <f aca="false">IF(B36="","",27)</f>
        <v/>
      </c>
      <c r="B36" s="73" t="str">
        <f aca="false">IF($AK36="","",INDEX('REGISTRE ELEVES'!$B$10:$B$250,$AK36))</f>
        <v/>
      </c>
      <c r="C36" s="74" t="str">
        <f aca="false">IF($AK36="","",INDEX('REGISTRE ELEVES'!$D$10:$D$250,$AK36))</f>
        <v/>
      </c>
      <c r="D36" s="73" t="str">
        <f aca="false">IF($AK36="","",INDEX('REGISTRE ELEVES'!$E$10:$E$250,$AK36))</f>
        <v/>
      </c>
      <c r="E36" s="73" t="str">
        <f aca="false">IF($AK36="","",INDEX('REGISTRE ELEVES'!$F$10:$F$250,$AK36))</f>
        <v/>
      </c>
      <c r="F36" s="73" t="str">
        <f aca="false">IF($AK36="","",INDEX('REGISTRE ELEVES'!$AE$10:$AE$250,$AK36))</f>
        <v/>
      </c>
      <c r="G36" s="75"/>
      <c r="H36" s="76"/>
      <c r="I36" s="76"/>
      <c r="J36" s="76"/>
      <c r="K36" s="76"/>
      <c r="L36" s="79" t="str">
        <f aca="false">IF(B36="","",IF($G36="NON",0,IF(COUNT(H36:K36)=0,"",SUM(H36:K36))))</f>
        <v/>
      </c>
      <c r="M36" s="77" t="str">
        <f aca="false">IF(B36="","",IF($G36="NON",0,IF(COUNT(H36:K36)=0,"",IFERROR(ROUND(SUM(H36:K36)/SUMPRODUCT(ISNUMBER(H36:K36)*$H$8:$K$8)*20,2),""))))</f>
        <v/>
      </c>
      <c r="N36" s="75"/>
      <c r="O36" s="76"/>
      <c r="P36" s="76"/>
      <c r="Q36" s="76"/>
      <c r="R36" s="76"/>
      <c r="S36" s="79" t="str">
        <f aca="false">IF(B36="","",IF($N36="NON",0,IF(COUNT(O36:R36)=0,"",SUM(O36:R36))))</f>
        <v/>
      </c>
      <c r="T36" s="77" t="str">
        <f aca="false">IF(B36="","",IF($N36="NON",0,IF(COUNT(O36:R36)=0,"",IFERROR(ROUND(SUM(O36:R36)/SUMPRODUCT(ISNUMBER(O36:R36)*$O$8:$R$8)*20,2),""))))</f>
        <v/>
      </c>
      <c r="U36" s="75"/>
      <c r="V36" s="76"/>
      <c r="W36" s="76"/>
      <c r="X36" s="76"/>
      <c r="Y36" s="76"/>
      <c r="Z36" s="76"/>
      <c r="AA36" s="79" t="str">
        <f aca="false">IF(B36="","",IF($U36="NON",0,IF(COUNT(V36:Z36)=0,"",SUM(V36:Z36))))</f>
        <v/>
      </c>
      <c r="AB36" s="77" t="str">
        <f aca="false">IF(B36="","",IF($U36="NON",0,IF(COUNT(V36:Z36)=0,"",IFERROR(ROUND(SUM(V36:Z36)/SUMPRODUCT(ISNUMBER(V36:Z36)*$V$8:$Z$8)*20,2),""))))</f>
        <v/>
      </c>
      <c r="AC36" s="75"/>
      <c r="AD36" s="76"/>
      <c r="AE36" s="76"/>
      <c r="AF36" s="76"/>
      <c r="AG36" s="76"/>
      <c r="AH36" s="76"/>
      <c r="AI36" s="79" t="str">
        <f aca="false">IF(B36="","",IF($AC36="NON",0,IF(COUNT(AD36:AH36)=0,"",SUM(AD36:AH36))))</f>
        <v/>
      </c>
      <c r="AJ36" s="77" t="str">
        <f aca="false">IF(B36="","",IF($AC36="NON",0,IF(COUNT(AD36:AH36)=0,"",IFERROR(ROUND(SUM(AD36:AH36)/SUMPRODUCT(ISNUMBER(AD36:AH36)*$AD$8:$AH$8)*20,2),""))))</f>
        <v/>
      </c>
      <c r="AK36" s="51" t="str">
        <f aca="false">IFERROR(MATCH("CM2-27",'REGISTRE ELEVES'!$AI$10:$AI$250,0),"")</f>
        <v/>
      </c>
    </row>
    <row r="37" customFormat="false" ht="15" hidden="false" customHeight="false" outlineLevel="0" collapsed="false">
      <c r="A37" s="73" t="str">
        <f aca="false">IF(B37="","",28)</f>
        <v/>
      </c>
      <c r="B37" s="73" t="str">
        <f aca="false">IF($AK37="","",INDEX('REGISTRE ELEVES'!$B$10:$B$250,$AK37))</f>
        <v/>
      </c>
      <c r="C37" s="74" t="str">
        <f aca="false">IF($AK37="","",INDEX('REGISTRE ELEVES'!$D$10:$D$250,$AK37))</f>
        <v/>
      </c>
      <c r="D37" s="73" t="str">
        <f aca="false">IF($AK37="","",INDEX('REGISTRE ELEVES'!$E$10:$E$250,$AK37))</f>
        <v/>
      </c>
      <c r="E37" s="73" t="str">
        <f aca="false">IF($AK37="","",INDEX('REGISTRE ELEVES'!$F$10:$F$250,$AK37))</f>
        <v/>
      </c>
      <c r="F37" s="73" t="str">
        <f aca="false">IF($AK37="","",INDEX('REGISTRE ELEVES'!$AE$10:$AE$250,$AK37))</f>
        <v/>
      </c>
      <c r="G37" s="75"/>
      <c r="H37" s="76"/>
      <c r="I37" s="76"/>
      <c r="J37" s="76"/>
      <c r="K37" s="76"/>
      <c r="L37" s="79" t="str">
        <f aca="false">IF(B37="","",IF($G37="NON",0,IF(COUNT(H37:K37)=0,"",SUM(H37:K37))))</f>
        <v/>
      </c>
      <c r="M37" s="77" t="str">
        <f aca="false">IF(B37="","",IF($G37="NON",0,IF(COUNT(H37:K37)=0,"",IFERROR(ROUND(SUM(H37:K37)/SUMPRODUCT(ISNUMBER(H37:K37)*$H$8:$K$8)*20,2),""))))</f>
        <v/>
      </c>
      <c r="N37" s="75"/>
      <c r="O37" s="76"/>
      <c r="P37" s="76"/>
      <c r="Q37" s="76"/>
      <c r="R37" s="76"/>
      <c r="S37" s="79" t="str">
        <f aca="false">IF(B37="","",IF($N37="NON",0,IF(COUNT(O37:R37)=0,"",SUM(O37:R37))))</f>
        <v/>
      </c>
      <c r="T37" s="77" t="str">
        <f aca="false">IF(B37="","",IF($N37="NON",0,IF(COUNT(O37:R37)=0,"",IFERROR(ROUND(SUM(O37:R37)/SUMPRODUCT(ISNUMBER(O37:R37)*$O$8:$R$8)*20,2),""))))</f>
        <v/>
      </c>
      <c r="U37" s="75"/>
      <c r="V37" s="76"/>
      <c r="W37" s="76"/>
      <c r="X37" s="76"/>
      <c r="Y37" s="76"/>
      <c r="Z37" s="76"/>
      <c r="AA37" s="79" t="str">
        <f aca="false">IF(B37="","",IF($U37="NON",0,IF(COUNT(V37:Z37)=0,"",SUM(V37:Z37))))</f>
        <v/>
      </c>
      <c r="AB37" s="77" t="str">
        <f aca="false">IF(B37="","",IF($U37="NON",0,IF(COUNT(V37:Z37)=0,"",IFERROR(ROUND(SUM(V37:Z37)/SUMPRODUCT(ISNUMBER(V37:Z37)*$V$8:$Z$8)*20,2),""))))</f>
        <v/>
      </c>
      <c r="AC37" s="75"/>
      <c r="AD37" s="76"/>
      <c r="AE37" s="76"/>
      <c r="AF37" s="76"/>
      <c r="AG37" s="76"/>
      <c r="AH37" s="76"/>
      <c r="AI37" s="79" t="str">
        <f aca="false">IF(B37="","",IF($AC37="NON",0,IF(COUNT(AD37:AH37)=0,"",SUM(AD37:AH37))))</f>
        <v/>
      </c>
      <c r="AJ37" s="77" t="str">
        <f aca="false">IF(B37="","",IF($AC37="NON",0,IF(COUNT(AD37:AH37)=0,"",IFERROR(ROUND(SUM(AD37:AH37)/SUMPRODUCT(ISNUMBER(AD37:AH37)*$AD$8:$AH$8)*20,2),""))))</f>
        <v/>
      </c>
      <c r="AK37" s="51" t="str">
        <f aca="false">IFERROR(MATCH("CM2-28",'REGISTRE ELEVES'!$AI$10:$AI$250,0),"")</f>
        <v/>
      </c>
    </row>
    <row r="38" customFormat="false" ht="15" hidden="false" customHeight="false" outlineLevel="0" collapsed="false">
      <c r="A38" s="73" t="str">
        <f aca="false">IF(B38="","",29)</f>
        <v/>
      </c>
      <c r="B38" s="73" t="str">
        <f aca="false">IF($AK38="","",INDEX('REGISTRE ELEVES'!$B$10:$B$250,$AK38))</f>
        <v/>
      </c>
      <c r="C38" s="74" t="str">
        <f aca="false">IF($AK38="","",INDEX('REGISTRE ELEVES'!$D$10:$D$250,$AK38))</f>
        <v/>
      </c>
      <c r="D38" s="73" t="str">
        <f aca="false">IF($AK38="","",INDEX('REGISTRE ELEVES'!$E$10:$E$250,$AK38))</f>
        <v/>
      </c>
      <c r="E38" s="73" t="str">
        <f aca="false">IF($AK38="","",INDEX('REGISTRE ELEVES'!$F$10:$F$250,$AK38))</f>
        <v/>
      </c>
      <c r="F38" s="73" t="str">
        <f aca="false">IF($AK38="","",INDEX('REGISTRE ELEVES'!$AE$10:$AE$250,$AK38))</f>
        <v/>
      </c>
      <c r="G38" s="75"/>
      <c r="H38" s="76"/>
      <c r="I38" s="76"/>
      <c r="J38" s="76"/>
      <c r="K38" s="76"/>
      <c r="L38" s="79" t="str">
        <f aca="false">IF(B38="","",IF($G38="NON",0,IF(COUNT(H38:K38)=0,"",SUM(H38:K38))))</f>
        <v/>
      </c>
      <c r="M38" s="77" t="str">
        <f aca="false">IF(B38="","",IF($G38="NON",0,IF(COUNT(H38:K38)=0,"",IFERROR(ROUND(SUM(H38:K38)/SUMPRODUCT(ISNUMBER(H38:K38)*$H$8:$K$8)*20,2),""))))</f>
        <v/>
      </c>
      <c r="N38" s="75"/>
      <c r="O38" s="76"/>
      <c r="P38" s="76"/>
      <c r="Q38" s="76"/>
      <c r="R38" s="76"/>
      <c r="S38" s="79" t="str">
        <f aca="false">IF(B38="","",IF($N38="NON",0,IF(COUNT(O38:R38)=0,"",SUM(O38:R38))))</f>
        <v/>
      </c>
      <c r="T38" s="77" t="str">
        <f aca="false">IF(B38="","",IF($N38="NON",0,IF(COUNT(O38:R38)=0,"",IFERROR(ROUND(SUM(O38:R38)/SUMPRODUCT(ISNUMBER(O38:R38)*$O$8:$R$8)*20,2),""))))</f>
        <v/>
      </c>
      <c r="U38" s="75"/>
      <c r="V38" s="76"/>
      <c r="W38" s="76"/>
      <c r="X38" s="76"/>
      <c r="Y38" s="76"/>
      <c r="Z38" s="76"/>
      <c r="AA38" s="79" t="str">
        <f aca="false">IF(B38="","",IF($U38="NON",0,IF(COUNT(V38:Z38)=0,"",SUM(V38:Z38))))</f>
        <v/>
      </c>
      <c r="AB38" s="77" t="str">
        <f aca="false">IF(B38="","",IF($U38="NON",0,IF(COUNT(V38:Z38)=0,"",IFERROR(ROUND(SUM(V38:Z38)/SUMPRODUCT(ISNUMBER(V38:Z38)*$V$8:$Z$8)*20,2),""))))</f>
        <v/>
      </c>
      <c r="AC38" s="75"/>
      <c r="AD38" s="76"/>
      <c r="AE38" s="76"/>
      <c r="AF38" s="76"/>
      <c r="AG38" s="76"/>
      <c r="AH38" s="76"/>
      <c r="AI38" s="79" t="str">
        <f aca="false">IF(B38="","",IF($AC38="NON",0,IF(COUNT(AD38:AH38)=0,"",SUM(AD38:AH38))))</f>
        <v/>
      </c>
      <c r="AJ38" s="77" t="str">
        <f aca="false">IF(B38="","",IF($AC38="NON",0,IF(COUNT(AD38:AH38)=0,"",IFERROR(ROUND(SUM(AD38:AH38)/SUMPRODUCT(ISNUMBER(AD38:AH38)*$AD$8:$AH$8)*20,2),""))))</f>
        <v/>
      </c>
      <c r="AK38" s="51" t="str">
        <f aca="false">IFERROR(MATCH("CM2-29",'REGISTRE ELEVES'!$AI$10:$AI$250,0),"")</f>
        <v/>
      </c>
    </row>
    <row r="39" customFormat="false" ht="15" hidden="false" customHeight="false" outlineLevel="0" collapsed="false">
      <c r="A39" s="73" t="str">
        <f aca="false">IF(B39="","",30)</f>
        <v/>
      </c>
      <c r="B39" s="73" t="str">
        <f aca="false">IF($AK39="","",INDEX('REGISTRE ELEVES'!$B$10:$B$250,$AK39))</f>
        <v/>
      </c>
      <c r="C39" s="74" t="str">
        <f aca="false">IF($AK39="","",INDEX('REGISTRE ELEVES'!$D$10:$D$250,$AK39))</f>
        <v/>
      </c>
      <c r="D39" s="73" t="str">
        <f aca="false">IF($AK39="","",INDEX('REGISTRE ELEVES'!$E$10:$E$250,$AK39))</f>
        <v/>
      </c>
      <c r="E39" s="73" t="str">
        <f aca="false">IF($AK39="","",INDEX('REGISTRE ELEVES'!$F$10:$F$250,$AK39))</f>
        <v/>
      </c>
      <c r="F39" s="73" t="str">
        <f aca="false">IF($AK39="","",INDEX('REGISTRE ELEVES'!$AE$10:$AE$250,$AK39))</f>
        <v/>
      </c>
      <c r="G39" s="75"/>
      <c r="H39" s="76"/>
      <c r="I39" s="76"/>
      <c r="J39" s="76"/>
      <c r="K39" s="76"/>
      <c r="L39" s="79" t="str">
        <f aca="false">IF(B39="","",IF($G39="NON",0,IF(COUNT(H39:K39)=0,"",SUM(H39:K39))))</f>
        <v/>
      </c>
      <c r="M39" s="77" t="str">
        <f aca="false">IF(B39="","",IF($G39="NON",0,IF(COUNT(H39:K39)=0,"",IFERROR(ROUND(SUM(H39:K39)/SUMPRODUCT(ISNUMBER(H39:K39)*$H$8:$K$8)*20,2),""))))</f>
        <v/>
      </c>
      <c r="N39" s="75"/>
      <c r="O39" s="76"/>
      <c r="P39" s="76"/>
      <c r="Q39" s="76"/>
      <c r="R39" s="76"/>
      <c r="S39" s="79" t="str">
        <f aca="false">IF(B39="","",IF($N39="NON",0,IF(COUNT(O39:R39)=0,"",SUM(O39:R39))))</f>
        <v/>
      </c>
      <c r="T39" s="77" t="str">
        <f aca="false">IF(B39="","",IF($N39="NON",0,IF(COUNT(O39:R39)=0,"",IFERROR(ROUND(SUM(O39:R39)/SUMPRODUCT(ISNUMBER(O39:R39)*$O$8:$R$8)*20,2),""))))</f>
        <v/>
      </c>
      <c r="U39" s="75"/>
      <c r="V39" s="76"/>
      <c r="W39" s="76"/>
      <c r="X39" s="76"/>
      <c r="Y39" s="76"/>
      <c r="Z39" s="76"/>
      <c r="AA39" s="79" t="str">
        <f aca="false">IF(B39="","",IF($U39="NON",0,IF(COUNT(V39:Z39)=0,"",SUM(V39:Z39))))</f>
        <v/>
      </c>
      <c r="AB39" s="77" t="str">
        <f aca="false">IF(B39="","",IF($U39="NON",0,IF(COUNT(V39:Z39)=0,"",IFERROR(ROUND(SUM(V39:Z39)/SUMPRODUCT(ISNUMBER(V39:Z39)*$V$8:$Z$8)*20,2),""))))</f>
        <v/>
      </c>
      <c r="AC39" s="75"/>
      <c r="AD39" s="76"/>
      <c r="AE39" s="76"/>
      <c r="AF39" s="76"/>
      <c r="AG39" s="76"/>
      <c r="AH39" s="76"/>
      <c r="AI39" s="79" t="str">
        <f aca="false">IF(B39="","",IF($AC39="NON",0,IF(COUNT(AD39:AH39)=0,"",SUM(AD39:AH39))))</f>
        <v/>
      </c>
      <c r="AJ39" s="77" t="str">
        <f aca="false">IF(B39="","",IF($AC39="NON",0,IF(COUNT(AD39:AH39)=0,"",IFERROR(ROUND(SUM(AD39:AH39)/SUMPRODUCT(ISNUMBER(AD39:AH39)*$AD$8:$AH$8)*20,2),""))))</f>
        <v/>
      </c>
      <c r="AK39" s="51" t="str">
        <f aca="false">IFERROR(MATCH("CM2-30",'REGISTRE ELEVES'!$AI$10:$AI$250,0),"")</f>
        <v/>
      </c>
    </row>
    <row r="40" customFormat="false" ht="15" hidden="false" customHeight="false" outlineLevel="0" collapsed="false">
      <c r="A40" s="73" t="str">
        <f aca="false">IF(B40="","",31)</f>
        <v/>
      </c>
      <c r="B40" s="73" t="str">
        <f aca="false">IF($AK40="","",INDEX('REGISTRE ELEVES'!$B$10:$B$250,$AK40))</f>
        <v/>
      </c>
      <c r="C40" s="74" t="str">
        <f aca="false">IF($AK40="","",INDEX('REGISTRE ELEVES'!$D$10:$D$250,$AK40))</f>
        <v/>
      </c>
      <c r="D40" s="73" t="str">
        <f aca="false">IF($AK40="","",INDEX('REGISTRE ELEVES'!$E$10:$E$250,$AK40))</f>
        <v/>
      </c>
      <c r="E40" s="73" t="str">
        <f aca="false">IF($AK40="","",INDEX('REGISTRE ELEVES'!$F$10:$F$250,$AK40))</f>
        <v/>
      </c>
      <c r="F40" s="73" t="str">
        <f aca="false">IF($AK40="","",INDEX('REGISTRE ELEVES'!$AE$10:$AE$250,$AK40))</f>
        <v/>
      </c>
      <c r="G40" s="75"/>
      <c r="H40" s="76"/>
      <c r="I40" s="76"/>
      <c r="J40" s="76"/>
      <c r="K40" s="76"/>
      <c r="L40" s="79" t="str">
        <f aca="false">IF(B40="","",IF($G40="NON",0,IF(COUNT(H40:K40)=0,"",SUM(H40:K40))))</f>
        <v/>
      </c>
      <c r="M40" s="77" t="str">
        <f aca="false">IF(B40="","",IF($G40="NON",0,IF(COUNT(H40:K40)=0,"",IFERROR(ROUND(SUM(H40:K40)/SUMPRODUCT(ISNUMBER(H40:K40)*$H$8:$K$8)*20,2),""))))</f>
        <v/>
      </c>
      <c r="N40" s="75"/>
      <c r="O40" s="76"/>
      <c r="P40" s="76"/>
      <c r="Q40" s="76"/>
      <c r="R40" s="76"/>
      <c r="S40" s="79" t="str">
        <f aca="false">IF(B40="","",IF($N40="NON",0,IF(COUNT(O40:R40)=0,"",SUM(O40:R40))))</f>
        <v/>
      </c>
      <c r="T40" s="77" t="str">
        <f aca="false">IF(B40="","",IF($N40="NON",0,IF(COUNT(O40:R40)=0,"",IFERROR(ROUND(SUM(O40:R40)/SUMPRODUCT(ISNUMBER(O40:R40)*$O$8:$R$8)*20,2),""))))</f>
        <v/>
      </c>
      <c r="U40" s="75"/>
      <c r="V40" s="76"/>
      <c r="W40" s="76"/>
      <c r="X40" s="76"/>
      <c r="Y40" s="76"/>
      <c r="Z40" s="76"/>
      <c r="AA40" s="79" t="str">
        <f aca="false">IF(B40="","",IF($U40="NON",0,IF(COUNT(V40:Z40)=0,"",SUM(V40:Z40))))</f>
        <v/>
      </c>
      <c r="AB40" s="77" t="str">
        <f aca="false">IF(B40="","",IF($U40="NON",0,IF(COUNT(V40:Z40)=0,"",IFERROR(ROUND(SUM(V40:Z40)/SUMPRODUCT(ISNUMBER(V40:Z40)*$V$8:$Z$8)*20,2),""))))</f>
        <v/>
      </c>
      <c r="AC40" s="75"/>
      <c r="AD40" s="76"/>
      <c r="AE40" s="76"/>
      <c r="AF40" s="76"/>
      <c r="AG40" s="76"/>
      <c r="AH40" s="76"/>
      <c r="AI40" s="79" t="str">
        <f aca="false">IF(B40="","",IF($AC40="NON",0,IF(COUNT(AD40:AH40)=0,"",SUM(AD40:AH40))))</f>
        <v/>
      </c>
      <c r="AJ40" s="77" t="str">
        <f aca="false">IF(B40="","",IF($AC40="NON",0,IF(COUNT(AD40:AH40)=0,"",IFERROR(ROUND(SUM(AD40:AH40)/SUMPRODUCT(ISNUMBER(AD40:AH40)*$AD$8:$AH$8)*20,2),""))))</f>
        <v/>
      </c>
      <c r="AK40" s="51" t="str">
        <f aca="false">IFERROR(MATCH("CM2-31",'REGISTRE ELEVES'!$AI$10:$AI$250,0),"")</f>
        <v/>
      </c>
    </row>
    <row r="41" customFormat="false" ht="15" hidden="false" customHeight="false" outlineLevel="0" collapsed="false">
      <c r="A41" s="73" t="str">
        <f aca="false">IF(B41="","",32)</f>
        <v/>
      </c>
      <c r="B41" s="73" t="str">
        <f aca="false">IF($AK41="","",INDEX('REGISTRE ELEVES'!$B$10:$B$250,$AK41))</f>
        <v/>
      </c>
      <c r="C41" s="74" t="str">
        <f aca="false">IF($AK41="","",INDEX('REGISTRE ELEVES'!$D$10:$D$250,$AK41))</f>
        <v/>
      </c>
      <c r="D41" s="73" t="str">
        <f aca="false">IF($AK41="","",INDEX('REGISTRE ELEVES'!$E$10:$E$250,$AK41))</f>
        <v/>
      </c>
      <c r="E41" s="73" t="str">
        <f aca="false">IF($AK41="","",INDEX('REGISTRE ELEVES'!$F$10:$F$250,$AK41))</f>
        <v/>
      </c>
      <c r="F41" s="73" t="str">
        <f aca="false">IF($AK41="","",INDEX('REGISTRE ELEVES'!$AE$10:$AE$250,$AK41))</f>
        <v/>
      </c>
      <c r="G41" s="75"/>
      <c r="H41" s="76"/>
      <c r="I41" s="76"/>
      <c r="J41" s="76"/>
      <c r="K41" s="76"/>
      <c r="L41" s="79" t="str">
        <f aca="false">IF(B41="","",IF($G41="NON",0,IF(COUNT(H41:K41)=0,"",SUM(H41:K41))))</f>
        <v/>
      </c>
      <c r="M41" s="77" t="str">
        <f aca="false">IF(B41="","",IF($G41="NON",0,IF(COUNT(H41:K41)=0,"",IFERROR(ROUND(SUM(H41:K41)/SUMPRODUCT(ISNUMBER(H41:K41)*$H$8:$K$8)*20,2),""))))</f>
        <v/>
      </c>
      <c r="N41" s="75"/>
      <c r="O41" s="76"/>
      <c r="P41" s="76"/>
      <c r="Q41" s="76"/>
      <c r="R41" s="76"/>
      <c r="S41" s="79" t="str">
        <f aca="false">IF(B41="","",IF($N41="NON",0,IF(COUNT(O41:R41)=0,"",SUM(O41:R41))))</f>
        <v/>
      </c>
      <c r="T41" s="77" t="str">
        <f aca="false">IF(B41="","",IF($N41="NON",0,IF(COUNT(O41:R41)=0,"",IFERROR(ROUND(SUM(O41:R41)/SUMPRODUCT(ISNUMBER(O41:R41)*$O$8:$R$8)*20,2),""))))</f>
        <v/>
      </c>
      <c r="U41" s="75"/>
      <c r="V41" s="76"/>
      <c r="W41" s="76"/>
      <c r="X41" s="76"/>
      <c r="Y41" s="76"/>
      <c r="Z41" s="76"/>
      <c r="AA41" s="79" t="str">
        <f aca="false">IF(B41="","",IF($U41="NON",0,IF(COUNT(V41:Z41)=0,"",SUM(V41:Z41))))</f>
        <v/>
      </c>
      <c r="AB41" s="77" t="str">
        <f aca="false">IF(B41="","",IF($U41="NON",0,IF(COUNT(V41:Z41)=0,"",IFERROR(ROUND(SUM(V41:Z41)/SUMPRODUCT(ISNUMBER(V41:Z41)*$V$8:$Z$8)*20,2),""))))</f>
        <v/>
      </c>
      <c r="AC41" s="75"/>
      <c r="AD41" s="76"/>
      <c r="AE41" s="76"/>
      <c r="AF41" s="76"/>
      <c r="AG41" s="76"/>
      <c r="AH41" s="76"/>
      <c r="AI41" s="79" t="str">
        <f aca="false">IF(B41="","",IF($AC41="NON",0,IF(COUNT(AD41:AH41)=0,"",SUM(AD41:AH41))))</f>
        <v/>
      </c>
      <c r="AJ41" s="77" t="str">
        <f aca="false">IF(B41="","",IF($AC41="NON",0,IF(COUNT(AD41:AH41)=0,"",IFERROR(ROUND(SUM(AD41:AH41)/SUMPRODUCT(ISNUMBER(AD41:AH41)*$AD$8:$AH$8)*20,2),""))))</f>
        <v/>
      </c>
      <c r="AK41" s="51" t="str">
        <f aca="false">IFERROR(MATCH("CM2-32",'REGISTRE ELEVES'!$AI$10:$AI$250,0),"")</f>
        <v/>
      </c>
    </row>
    <row r="42" customFormat="false" ht="15" hidden="false" customHeight="false" outlineLevel="0" collapsed="false">
      <c r="A42" s="73" t="str">
        <f aca="false">IF(B42="","",33)</f>
        <v/>
      </c>
      <c r="B42" s="73" t="str">
        <f aca="false">IF($AK42="","",INDEX('REGISTRE ELEVES'!$B$10:$B$250,$AK42))</f>
        <v/>
      </c>
      <c r="C42" s="74" t="str">
        <f aca="false">IF($AK42="","",INDEX('REGISTRE ELEVES'!$D$10:$D$250,$AK42))</f>
        <v/>
      </c>
      <c r="D42" s="73" t="str">
        <f aca="false">IF($AK42="","",INDEX('REGISTRE ELEVES'!$E$10:$E$250,$AK42))</f>
        <v/>
      </c>
      <c r="E42" s="73" t="str">
        <f aca="false">IF($AK42="","",INDEX('REGISTRE ELEVES'!$F$10:$F$250,$AK42))</f>
        <v/>
      </c>
      <c r="F42" s="73" t="str">
        <f aca="false">IF($AK42="","",INDEX('REGISTRE ELEVES'!$AE$10:$AE$250,$AK42))</f>
        <v/>
      </c>
      <c r="G42" s="75"/>
      <c r="H42" s="76"/>
      <c r="I42" s="76"/>
      <c r="J42" s="76"/>
      <c r="K42" s="76"/>
      <c r="L42" s="79" t="str">
        <f aca="false">IF(B42="","",IF($G42="NON",0,IF(COUNT(H42:K42)=0,"",SUM(H42:K42))))</f>
        <v/>
      </c>
      <c r="M42" s="77" t="str">
        <f aca="false">IF(B42="","",IF($G42="NON",0,IF(COUNT(H42:K42)=0,"",IFERROR(ROUND(SUM(H42:K42)/SUMPRODUCT(ISNUMBER(H42:K42)*$H$8:$K$8)*20,2),""))))</f>
        <v/>
      </c>
      <c r="N42" s="75"/>
      <c r="O42" s="76"/>
      <c r="P42" s="76"/>
      <c r="Q42" s="76"/>
      <c r="R42" s="76"/>
      <c r="S42" s="79" t="str">
        <f aca="false">IF(B42="","",IF($N42="NON",0,IF(COUNT(O42:R42)=0,"",SUM(O42:R42))))</f>
        <v/>
      </c>
      <c r="T42" s="77" t="str">
        <f aca="false">IF(B42="","",IF($N42="NON",0,IF(COUNT(O42:R42)=0,"",IFERROR(ROUND(SUM(O42:R42)/SUMPRODUCT(ISNUMBER(O42:R42)*$O$8:$R$8)*20,2),""))))</f>
        <v/>
      </c>
      <c r="U42" s="75"/>
      <c r="V42" s="76"/>
      <c r="W42" s="76"/>
      <c r="X42" s="76"/>
      <c r="Y42" s="76"/>
      <c r="Z42" s="76"/>
      <c r="AA42" s="79" t="str">
        <f aca="false">IF(B42="","",IF($U42="NON",0,IF(COUNT(V42:Z42)=0,"",SUM(V42:Z42))))</f>
        <v/>
      </c>
      <c r="AB42" s="77" t="str">
        <f aca="false">IF(B42="","",IF($U42="NON",0,IF(COUNT(V42:Z42)=0,"",IFERROR(ROUND(SUM(V42:Z42)/SUMPRODUCT(ISNUMBER(V42:Z42)*$V$8:$Z$8)*20,2),""))))</f>
        <v/>
      </c>
      <c r="AC42" s="75"/>
      <c r="AD42" s="76"/>
      <c r="AE42" s="76"/>
      <c r="AF42" s="76"/>
      <c r="AG42" s="76"/>
      <c r="AH42" s="76"/>
      <c r="AI42" s="79" t="str">
        <f aca="false">IF(B42="","",IF($AC42="NON",0,IF(COUNT(AD42:AH42)=0,"",SUM(AD42:AH42))))</f>
        <v/>
      </c>
      <c r="AJ42" s="77" t="str">
        <f aca="false">IF(B42="","",IF($AC42="NON",0,IF(COUNT(AD42:AH42)=0,"",IFERROR(ROUND(SUM(AD42:AH42)/SUMPRODUCT(ISNUMBER(AD42:AH42)*$AD$8:$AH$8)*20,2),""))))</f>
        <v/>
      </c>
      <c r="AK42" s="51" t="str">
        <f aca="false">IFERROR(MATCH("CM2-33",'REGISTRE ELEVES'!$AI$10:$AI$250,0),"")</f>
        <v/>
      </c>
    </row>
    <row r="43" customFormat="false" ht="15" hidden="false" customHeight="false" outlineLevel="0" collapsed="false">
      <c r="A43" s="73" t="str">
        <f aca="false">IF(B43="","",34)</f>
        <v/>
      </c>
      <c r="B43" s="73" t="str">
        <f aca="false">IF($AK43="","",INDEX('REGISTRE ELEVES'!$B$10:$B$250,$AK43))</f>
        <v/>
      </c>
      <c r="C43" s="74" t="str">
        <f aca="false">IF($AK43="","",INDEX('REGISTRE ELEVES'!$D$10:$D$250,$AK43))</f>
        <v/>
      </c>
      <c r="D43" s="73" t="str">
        <f aca="false">IF($AK43="","",INDEX('REGISTRE ELEVES'!$E$10:$E$250,$AK43))</f>
        <v/>
      </c>
      <c r="E43" s="73" t="str">
        <f aca="false">IF($AK43="","",INDEX('REGISTRE ELEVES'!$F$10:$F$250,$AK43))</f>
        <v/>
      </c>
      <c r="F43" s="73" t="str">
        <f aca="false">IF($AK43="","",INDEX('REGISTRE ELEVES'!$AE$10:$AE$250,$AK43))</f>
        <v/>
      </c>
      <c r="G43" s="75"/>
      <c r="H43" s="76"/>
      <c r="I43" s="76"/>
      <c r="J43" s="76"/>
      <c r="K43" s="76"/>
      <c r="L43" s="79" t="str">
        <f aca="false">IF(B43="","",IF($G43="NON",0,IF(COUNT(H43:K43)=0,"",SUM(H43:K43))))</f>
        <v/>
      </c>
      <c r="M43" s="77" t="str">
        <f aca="false">IF(B43="","",IF($G43="NON",0,IF(COUNT(H43:K43)=0,"",IFERROR(ROUND(SUM(H43:K43)/SUMPRODUCT(ISNUMBER(H43:K43)*$H$8:$K$8)*20,2),""))))</f>
        <v/>
      </c>
      <c r="N43" s="75"/>
      <c r="O43" s="76"/>
      <c r="P43" s="76"/>
      <c r="Q43" s="76"/>
      <c r="R43" s="76"/>
      <c r="S43" s="79" t="str">
        <f aca="false">IF(B43="","",IF($N43="NON",0,IF(COUNT(O43:R43)=0,"",SUM(O43:R43))))</f>
        <v/>
      </c>
      <c r="T43" s="77" t="str">
        <f aca="false">IF(B43="","",IF($N43="NON",0,IF(COUNT(O43:R43)=0,"",IFERROR(ROUND(SUM(O43:R43)/SUMPRODUCT(ISNUMBER(O43:R43)*$O$8:$R$8)*20,2),""))))</f>
        <v/>
      </c>
      <c r="U43" s="75"/>
      <c r="V43" s="76"/>
      <c r="W43" s="76"/>
      <c r="X43" s="76"/>
      <c r="Y43" s="76"/>
      <c r="Z43" s="76"/>
      <c r="AA43" s="79" t="str">
        <f aca="false">IF(B43="","",IF($U43="NON",0,IF(COUNT(V43:Z43)=0,"",SUM(V43:Z43))))</f>
        <v/>
      </c>
      <c r="AB43" s="77" t="str">
        <f aca="false">IF(B43="","",IF($U43="NON",0,IF(COUNT(V43:Z43)=0,"",IFERROR(ROUND(SUM(V43:Z43)/SUMPRODUCT(ISNUMBER(V43:Z43)*$V$8:$Z$8)*20,2),""))))</f>
        <v/>
      </c>
      <c r="AC43" s="75"/>
      <c r="AD43" s="76"/>
      <c r="AE43" s="76"/>
      <c r="AF43" s="76"/>
      <c r="AG43" s="76"/>
      <c r="AH43" s="76"/>
      <c r="AI43" s="79" t="str">
        <f aca="false">IF(B43="","",IF($AC43="NON",0,IF(COUNT(AD43:AH43)=0,"",SUM(AD43:AH43))))</f>
        <v/>
      </c>
      <c r="AJ43" s="77" t="str">
        <f aca="false">IF(B43="","",IF($AC43="NON",0,IF(COUNT(AD43:AH43)=0,"",IFERROR(ROUND(SUM(AD43:AH43)/SUMPRODUCT(ISNUMBER(AD43:AH43)*$AD$8:$AH$8)*20,2),""))))</f>
        <v/>
      </c>
      <c r="AK43" s="51" t="str">
        <f aca="false">IFERROR(MATCH("CM2-34",'REGISTRE ELEVES'!$AI$10:$AI$250,0),"")</f>
        <v/>
      </c>
    </row>
    <row r="44" customFormat="false" ht="15" hidden="false" customHeight="false" outlineLevel="0" collapsed="false">
      <c r="A44" s="73" t="str">
        <f aca="false">IF(B44="","",35)</f>
        <v/>
      </c>
      <c r="B44" s="73" t="str">
        <f aca="false">IF($AK44="","",INDEX('REGISTRE ELEVES'!$B$10:$B$250,$AK44))</f>
        <v/>
      </c>
      <c r="C44" s="74" t="str">
        <f aca="false">IF($AK44="","",INDEX('REGISTRE ELEVES'!$D$10:$D$250,$AK44))</f>
        <v/>
      </c>
      <c r="D44" s="73" t="str">
        <f aca="false">IF($AK44="","",INDEX('REGISTRE ELEVES'!$E$10:$E$250,$AK44))</f>
        <v/>
      </c>
      <c r="E44" s="73" t="str">
        <f aca="false">IF($AK44="","",INDEX('REGISTRE ELEVES'!$F$10:$F$250,$AK44))</f>
        <v/>
      </c>
      <c r="F44" s="73" t="str">
        <f aca="false">IF($AK44="","",INDEX('REGISTRE ELEVES'!$AE$10:$AE$250,$AK44))</f>
        <v/>
      </c>
      <c r="G44" s="75"/>
      <c r="H44" s="76"/>
      <c r="I44" s="76"/>
      <c r="J44" s="76"/>
      <c r="K44" s="76"/>
      <c r="L44" s="79" t="str">
        <f aca="false">IF(B44="","",IF($G44="NON",0,IF(COUNT(H44:K44)=0,"",SUM(H44:K44))))</f>
        <v/>
      </c>
      <c r="M44" s="77" t="str">
        <f aca="false">IF(B44="","",IF($G44="NON",0,IF(COUNT(H44:K44)=0,"",IFERROR(ROUND(SUM(H44:K44)/SUMPRODUCT(ISNUMBER(H44:K44)*$H$8:$K$8)*20,2),""))))</f>
        <v/>
      </c>
      <c r="N44" s="75"/>
      <c r="O44" s="76"/>
      <c r="P44" s="76"/>
      <c r="Q44" s="76"/>
      <c r="R44" s="76"/>
      <c r="S44" s="79" t="str">
        <f aca="false">IF(B44="","",IF($N44="NON",0,IF(COUNT(O44:R44)=0,"",SUM(O44:R44))))</f>
        <v/>
      </c>
      <c r="T44" s="77" t="str">
        <f aca="false">IF(B44="","",IF($N44="NON",0,IF(COUNT(O44:R44)=0,"",IFERROR(ROUND(SUM(O44:R44)/SUMPRODUCT(ISNUMBER(O44:R44)*$O$8:$R$8)*20,2),""))))</f>
        <v/>
      </c>
      <c r="U44" s="75"/>
      <c r="V44" s="76"/>
      <c r="W44" s="76"/>
      <c r="X44" s="76"/>
      <c r="Y44" s="76"/>
      <c r="Z44" s="76"/>
      <c r="AA44" s="79" t="str">
        <f aca="false">IF(B44="","",IF($U44="NON",0,IF(COUNT(V44:Z44)=0,"",SUM(V44:Z44))))</f>
        <v/>
      </c>
      <c r="AB44" s="77" t="str">
        <f aca="false">IF(B44="","",IF($U44="NON",0,IF(COUNT(V44:Z44)=0,"",IFERROR(ROUND(SUM(V44:Z44)/SUMPRODUCT(ISNUMBER(V44:Z44)*$V$8:$Z$8)*20,2),""))))</f>
        <v/>
      </c>
      <c r="AC44" s="75"/>
      <c r="AD44" s="76"/>
      <c r="AE44" s="76"/>
      <c r="AF44" s="76"/>
      <c r="AG44" s="76"/>
      <c r="AH44" s="76"/>
      <c r="AI44" s="79" t="str">
        <f aca="false">IF(B44="","",IF($AC44="NON",0,IF(COUNT(AD44:AH44)=0,"",SUM(AD44:AH44))))</f>
        <v/>
      </c>
      <c r="AJ44" s="77" t="str">
        <f aca="false">IF(B44="","",IF($AC44="NON",0,IF(COUNT(AD44:AH44)=0,"",IFERROR(ROUND(SUM(AD44:AH44)/SUMPRODUCT(ISNUMBER(AD44:AH44)*$AD$8:$AH$8)*20,2),""))))</f>
        <v/>
      </c>
      <c r="AK44" s="51" t="str">
        <f aca="false">IFERROR(MATCH("CM2-35",'REGISTRE ELEVES'!$AI$10:$AI$250,0),"")</f>
        <v/>
      </c>
    </row>
    <row r="45" customFormat="false" ht="15" hidden="false" customHeight="false" outlineLevel="0" collapsed="false">
      <c r="A45" s="73" t="str">
        <f aca="false">IF(B45="","",36)</f>
        <v/>
      </c>
      <c r="B45" s="73" t="str">
        <f aca="false">IF($AK45="","",INDEX('REGISTRE ELEVES'!$B$10:$B$250,$AK45))</f>
        <v/>
      </c>
      <c r="C45" s="74" t="str">
        <f aca="false">IF($AK45="","",INDEX('REGISTRE ELEVES'!$D$10:$D$250,$AK45))</f>
        <v/>
      </c>
      <c r="D45" s="73" t="str">
        <f aca="false">IF($AK45="","",INDEX('REGISTRE ELEVES'!$E$10:$E$250,$AK45))</f>
        <v/>
      </c>
      <c r="E45" s="73" t="str">
        <f aca="false">IF($AK45="","",INDEX('REGISTRE ELEVES'!$F$10:$F$250,$AK45))</f>
        <v/>
      </c>
      <c r="F45" s="73" t="str">
        <f aca="false">IF($AK45="","",INDEX('REGISTRE ELEVES'!$AE$10:$AE$250,$AK45))</f>
        <v/>
      </c>
      <c r="G45" s="75"/>
      <c r="H45" s="76"/>
      <c r="I45" s="76"/>
      <c r="J45" s="76"/>
      <c r="K45" s="76"/>
      <c r="L45" s="79" t="str">
        <f aca="false">IF(B45="","",IF($G45="NON",0,IF(COUNT(H45:K45)=0,"",SUM(H45:K45))))</f>
        <v/>
      </c>
      <c r="M45" s="77" t="str">
        <f aca="false">IF(B45="","",IF($G45="NON",0,IF(COUNT(H45:K45)=0,"",IFERROR(ROUND(SUM(H45:K45)/SUMPRODUCT(ISNUMBER(H45:K45)*$H$8:$K$8)*20,2),""))))</f>
        <v/>
      </c>
      <c r="N45" s="75"/>
      <c r="O45" s="76"/>
      <c r="P45" s="76"/>
      <c r="Q45" s="76"/>
      <c r="R45" s="76"/>
      <c r="S45" s="79" t="str">
        <f aca="false">IF(B45="","",IF($N45="NON",0,IF(COUNT(O45:R45)=0,"",SUM(O45:R45))))</f>
        <v/>
      </c>
      <c r="T45" s="77" t="str">
        <f aca="false">IF(B45="","",IF($N45="NON",0,IF(COUNT(O45:R45)=0,"",IFERROR(ROUND(SUM(O45:R45)/SUMPRODUCT(ISNUMBER(O45:R45)*$O$8:$R$8)*20,2),""))))</f>
        <v/>
      </c>
      <c r="U45" s="75"/>
      <c r="V45" s="76"/>
      <c r="W45" s="76"/>
      <c r="X45" s="76"/>
      <c r="Y45" s="76"/>
      <c r="Z45" s="76"/>
      <c r="AA45" s="79" t="str">
        <f aca="false">IF(B45="","",IF($U45="NON",0,IF(COUNT(V45:Z45)=0,"",SUM(V45:Z45))))</f>
        <v/>
      </c>
      <c r="AB45" s="77" t="str">
        <f aca="false">IF(B45="","",IF($U45="NON",0,IF(COUNT(V45:Z45)=0,"",IFERROR(ROUND(SUM(V45:Z45)/SUMPRODUCT(ISNUMBER(V45:Z45)*$V$8:$Z$8)*20,2),""))))</f>
        <v/>
      </c>
      <c r="AC45" s="75"/>
      <c r="AD45" s="76"/>
      <c r="AE45" s="76"/>
      <c r="AF45" s="76"/>
      <c r="AG45" s="76"/>
      <c r="AH45" s="76"/>
      <c r="AI45" s="79" t="str">
        <f aca="false">IF(B45="","",IF($AC45="NON",0,IF(COUNT(AD45:AH45)=0,"",SUM(AD45:AH45))))</f>
        <v/>
      </c>
      <c r="AJ45" s="77" t="str">
        <f aca="false">IF(B45="","",IF($AC45="NON",0,IF(COUNT(AD45:AH45)=0,"",IFERROR(ROUND(SUM(AD45:AH45)/SUMPRODUCT(ISNUMBER(AD45:AH45)*$AD$8:$AH$8)*20,2),""))))</f>
        <v/>
      </c>
      <c r="AK45" s="51" t="str">
        <f aca="false">IFERROR(MATCH("CM2-36",'REGISTRE ELEVES'!$AI$10:$AI$250,0),"")</f>
        <v/>
      </c>
    </row>
    <row r="46" customFormat="false" ht="15" hidden="false" customHeight="false" outlineLevel="0" collapsed="false">
      <c r="A46" s="73" t="str">
        <f aca="false">IF(B46="","",37)</f>
        <v/>
      </c>
      <c r="B46" s="73" t="str">
        <f aca="false">IF($AK46="","",INDEX('REGISTRE ELEVES'!$B$10:$B$250,$AK46))</f>
        <v/>
      </c>
      <c r="C46" s="74" t="str">
        <f aca="false">IF($AK46="","",INDEX('REGISTRE ELEVES'!$D$10:$D$250,$AK46))</f>
        <v/>
      </c>
      <c r="D46" s="73" t="str">
        <f aca="false">IF($AK46="","",INDEX('REGISTRE ELEVES'!$E$10:$E$250,$AK46))</f>
        <v/>
      </c>
      <c r="E46" s="73" t="str">
        <f aca="false">IF($AK46="","",INDEX('REGISTRE ELEVES'!$F$10:$F$250,$AK46))</f>
        <v/>
      </c>
      <c r="F46" s="73" t="str">
        <f aca="false">IF($AK46="","",INDEX('REGISTRE ELEVES'!$AE$10:$AE$250,$AK46))</f>
        <v/>
      </c>
      <c r="G46" s="75"/>
      <c r="H46" s="76"/>
      <c r="I46" s="76"/>
      <c r="J46" s="76"/>
      <c r="K46" s="76"/>
      <c r="L46" s="79" t="str">
        <f aca="false">IF(B46="","",IF($G46="NON",0,IF(COUNT(H46:K46)=0,"",SUM(H46:K46))))</f>
        <v/>
      </c>
      <c r="M46" s="77" t="str">
        <f aca="false">IF(B46="","",IF($G46="NON",0,IF(COUNT(H46:K46)=0,"",IFERROR(ROUND(SUM(H46:K46)/SUMPRODUCT(ISNUMBER(H46:K46)*$H$8:$K$8)*20,2),""))))</f>
        <v/>
      </c>
      <c r="N46" s="75"/>
      <c r="O46" s="76"/>
      <c r="P46" s="76"/>
      <c r="Q46" s="76"/>
      <c r="R46" s="76"/>
      <c r="S46" s="79" t="str">
        <f aca="false">IF(B46="","",IF($N46="NON",0,IF(COUNT(O46:R46)=0,"",SUM(O46:R46))))</f>
        <v/>
      </c>
      <c r="T46" s="77" t="str">
        <f aca="false">IF(B46="","",IF($N46="NON",0,IF(COUNT(O46:R46)=0,"",IFERROR(ROUND(SUM(O46:R46)/SUMPRODUCT(ISNUMBER(O46:R46)*$O$8:$R$8)*20,2),""))))</f>
        <v/>
      </c>
      <c r="U46" s="75"/>
      <c r="V46" s="76"/>
      <c r="W46" s="76"/>
      <c r="X46" s="76"/>
      <c r="Y46" s="76"/>
      <c r="Z46" s="76"/>
      <c r="AA46" s="79" t="str">
        <f aca="false">IF(B46="","",IF($U46="NON",0,IF(COUNT(V46:Z46)=0,"",SUM(V46:Z46))))</f>
        <v/>
      </c>
      <c r="AB46" s="77" t="str">
        <f aca="false">IF(B46="","",IF($U46="NON",0,IF(COUNT(V46:Z46)=0,"",IFERROR(ROUND(SUM(V46:Z46)/SUMPRODUCT(ISNUMBER(V46:Z46)*$V$8:$Z$8)*20,2),""))))</f>
        <v/>
      </c>
      <c r="AC46" s="75"/>
      <c r="AD46" s="76"/>
      <c r="AE46" s="76"/>
      <c r="AF46" s="76"/>
      <c r="AG46" s="76"/>
      <c r="AH46" s="76"/>
      <c r="AI46" s="79" t="str">
        <f aca="false">IF(B46="","",IF($AC46="NON",0,IF(COUNT(AD46:AH46)=0,"",SUM(AD46:AH46))))</f>
        <v/>
      </c>
      <c r="AJ46" s="77" t="str">
        <f aca="false">IF(B46="","",IF($AC46="NON",0,IF(COUNT(AD46:AH46)=0,"",IFERROR(ROUND(SUM(AD46:AH46)/SUMPRODUCT(ISNUMBER(AD46:AH46)*$AD$8:$AH$8)*20,2),""))))</f>
        <v/>
      </c>
      <c r="AK46" s="51" t="str">
        <f aca="false">IFERROR(MATCH("CM2-37",'REGISTRE ELEVES'!$AI$10:$AI$250,0),"")</f>
        <v/>
      </c>
    </row>
    <row r="47" customFormat="false" ht="15" hidden="false" customHeight="false" outlineLevel="0" collapsed="false">
      <c r="A47" s="73" t="str">
        <f aca="false">IF(B47="","",38)</f>
        <v/>
      </c>
      <c r="B47" s="73" t="str">
        <f aca="false">IF($AK47="","",INDEX('REGISTRE ELEVES'!$B$10:$B$250,$AK47))</f>
        <v/>
      </c>
      <c r="C47" s="74" t="str">
        <f aca="false">IF($AK47="","",INDEX('REGISTRE ELEVES'!$D$10:$D$250,$AK47))</f>
        <v/>
      </c>
      <c r="D47" s="73" t="str">
        <f aca="false">IF($AK47="","",INDEX('REGISTRE ELEVES'!$E$10:$E$250,$AK47))</f>
        <v/>
      </c>
      <c r="E47" s="73" t="str">
        <f aca="false">IF($AK47="","",INDEX('REGISTRE ELEVES'!$F$10:$F$250,$AK47))</f>
        <v/>
      </c>
      <c r="F47" s="73" t="str">
        <f aca="false">IF($AK47="","",INDEX('REGISTRE ELEVES'!$AE$10:$AE$250,$AK47))</f>
        <v/>
      </c>
      <c r="G47" s="75"/>
      <c r="H47" s="76"/>
      <c r="I47" s="76"/>
      <c r="J47" s="76"/>
      <c r="K47" s="76"/>
      <c r="L47" s="79" t="str">
        <f aca="false">IF(B47="","",IF($G47="NON",0,IF(COUNT(H47:K47)=0,"",SUM(H47:K47))))</f>
        <v/>
      </c>
      <c r="M47" s="77" t="str">
        <f aca="false">IF(B47="","",IF($G47="NON",0,IF(COUNT(H47:K47)=0,"",IFERROR(ROUND(SUM(H47:K47)/SUMPRODUCT(ISNUMBER(H47:K47)*$H$8:$K$8)*20,2),""))))</f>
        <v/>
      </c>
      <c r="N47" s="75"/>
      <c r="O47" s="76"/>
      <c r="P47" s="76"/>
      <c r="Q47" s="76"/>
      <c r="R47" s="76"/>
      <c r="S47" s="79" t="str">
        <f aca="false">IF(B47="","",IF($N47="NON",0,IF(COUNT(O47:R47)=0,"",SUM(O47:R47))))</f>
        <v/>
      </c>
      <c r="T47" s="77" t="str">
        <f aca="false">IF(B47="","",IF($N47="NON",0,IF(COUNT(O47:R47)=0,"",IFERROR(ROUND(SUM(O47:R47)/SUMPRODUCT(ISNUMBER(O47:R47)*$O$8:$R$8)*20,2),""))))</f>
        <v/>
      </c>
      <c r="U47" s="75"/>
      <c r="V47" s="76"/>
      <c r="W47" s="76"/>
      <c r="X47" s="76"/>
      <c r="Y47" s="76"/>
      <c r="Z47" s="76"/>
      <c r="AA47" s="79" t="str">
        <f aca="false">IF(B47="","",IF($U47="NON",0,IF(COUNT(V47:Z47)=0,"",SUM(V47:Z47))))</f>
        <v/>
      </c>
      <c r="AB47" s="77" t="str">
        <f aca="false">IF(B47="","",IF($U47="NON",0,IF(COUNT(V47:Z47)=0,"",IFERROR(ROUND(SUM(V47:Z47)/SUMPRODUCT(ISNUMBER(V47:Z47)*$V$8:$Z$8)*20,2),""))))</f>
        <v/>
      </c>
      <c r="AC47" s="75"/>
      <c r="AD47" s="76"/>
      <c r="AE47" s="76"/>
      <c r="AF47" s="76"/>
      <c r="AG47" s="76"/>
      <c r="AH47" s="76"/>
      <c r="AI47" s="79" t="str">
        <f aca="false">IF(B47="","",IF($AC47="NON",0,IF(COUNT(AD47:AH47)=0,"",SUM(AD47:AH47))))</f>
        <v/>
      </c>
      <c r="AJ47" s="77" t="str">
        <f aca="false">IF(B47="","",IF($AC47="NON",0,IF(COUNT(AD47:AH47)=0,"",IFERROR(ROUND(SUM(AD47:AH47)/SUMPRODUCT(ISNUMBER(AD47:AH47)*$AD$8:$AH$8)*20,2),""))))</f>
        <v/>
      </c>
      <c r="AK47" s="51" t="str">
        <f aca="false">IFERROR(MATCH("CM2-38",'REGISTRE ELEVES'!$AI$10:$AI$250,0),"")</f>
        <v/>
      </c>
    </row>
    <row r="48" customFormat="false" ht="15" hidden="false" customHeight="false" outlineLevel="0" collapsed="false">
      <c r="A48" s="73" t="str">
        <f aca="false">IF(B48="","",39)</f>
        <v/>
      </c>
      <c r="B48" s="73" t="str">
        <f aca="false">IF($AK48="","",INDEX('REGISTRE ELEVES'!$B$10:$B$250,$AK48))</f>
        <v/>
      </c>
      <c r="C48" s="74" t="str">
        <f aca="false">IF($AK48="","",INDEX('REGISTRE ELEVES'!$D$10:$D$250,$AK48))</f>
        <v/>
      </c>
      <c r="D48" s="73" t="str">
        <f aca="false">IF($AK48="","",INDEX('REGISTRE ELEVES'!$E$10:$E$250,$AK48))</f>
        <v/>
      </c>
      <c r="E48" s="73" t="str">
        <f aca="false">IF($AK48="","",INDEX('REGISTRE ELEVES'!$F$10:$F$250,$AK48))</f>
        <v/>
      </c>
      <c r="F48" s="73" t="str">
        <f aca="false">IF($AK48="","",INDEX('REGISTRE ELEVES'!$AE$10:$AE$250,$AK48))</f>
        <v/>
      </c>
      <c r="G48" s="75"/>
      <c r="H48" s="76"/>
      <c r="I48" s="76"/>
      <c r="J48" s="76"/>
      <c r="K48" s="76"/>
      <c r="L48" s="79" t="str">
        <f aca="false">IF(B48="","",IF($G48="NON",0,IF(COUNT(H48:K48)=0,"",SUM(H48:K48))))</f>
        <v/>
      </c>
      <c r="M48" s="77" t="str">
        <f aca="false">IF(B48="","",IF($G48="NON",0,IF(COUNT(H48:K48)=0,"",IFERROR(ROUND(SUM(H48:K48)/SUMPRODUCT(ISNUMBER(H48:K48)*$H$8:$K$8)*20,2),""))))</f>
        <v/>
      </c>
      <c r="N48" s="75"/>
      <c r="O48" s="76"/>
      <c r="P48" s="76"/>
      <c r="Q48" s="76"/>
      <c r="R48" s="76"/>
      <c r="S48" s="79" t="str">
        <f aca="false">IF(B48="","",IF($N48="NON",0,IF(COUNT(O48:R48)=0,"",SUM(O48:R48))))</f>
        <v/>
      </c>
      <c r="T48" s="77" t="str">
        <f aca="false">IF(B48="","",IF($N48="NON",0,IF(COUNT(O48:R48)=0,"",IFERROR(ROUND(SUM(O48:R48)/SUMPRODUCT(ISNUMBER(O48:R48)*$O$8:$R$8)*20,2),""))))</f>
        <v/>
      </c>
      <c r="U48" s="75"/>
      <c r="V48" s="76"/>
      <c r="W48" s="76"/>
      <c r="X48" s="76"/>
      <c r="Y48" s="76"/>
      <c r="Z48" s="76"/>
      <c r="AA48" s="79" t="str">
        <f aca="false">IF(B48="","",IF($U48="NON",0,IF(COUNT(V48:Z48)=0,"",SUM(V48:Z48))))</f>
        <v/>
      </c>
      <c r="AB48" s="77" t="str">
        <f aca="false">IF(B48="","",IF($U48="NON",0,IF(COUNT(V48:Z48)=0,"",IFERROR(ROUND(SUM(V48:Z48)/SUMPRODUCT(ISNUMBER(V48:Z48)*$V$8:$Z$8)*20,2),""))))</f>
        <v/>
      </c>
      <c r="AC48" s="75"/>
      <c r="AD48" s="76"/>
      <c r="AE48" s="76"/>
      <c r="AF48" s="76"/>
      <c r="AG48" s="76"/>
      <c r="AH48" s="76"/>
      <c r="AI48" s="79" t="str">
        <f aca="false">IF(B48="","",IF($AC48="NON",0,IF(COUNT(AD48:AH48)=0,"",SUM(AD48:AH48))))</f>
        <v/>
      </c>
      <c r="AJ48" s="77" t="str">
        <f aca="false">IF(B48="","",IF($AC48="NON",0,IF(COUNT(AD48:AH48)=0,"",IFERROR(ROUND(SUM(AD48:AH48)/SUMPRODUCT(ISNUMBER(AD48:AH48)*$AD$8:$AH$8)*20,2),""))))</f>
        <v/>
      </c>
      <c r="AK48" s="51" t="str">
        <f aca="false">IFERROR(MATCH("CM2-39",'REGISTRE ELEVES'!$AI$10:$AI$250,0),"")</f>
        <v/>
      </c>
    </row>
    <row r="49" customFormat="false" ht="15" hidden="false" customHeight="false" outlineLevel="0" collapsed="false">
      <c r="A49" s="73" t="str">
        <f aca="false">IF(B49="","",40)</f>
        <v/>
      </c>
      <c r="B49" s="73" t="str">
        <f aca="false">IF($AK49="","",INDEX('REGISTRE ELEVES'!$B$10:$B$250,$AK49))</f>
        <v/>
      </c>
      <c r="C49" s="74" t="str">
        <f aca="false">IF($AK49="","",INDEX('REGISTRE ELEVES'!$D$10:$D$250,$AK49))</f>
        <v/>
      </c>
      <c r="D49" s="73" t="str">
        <f aca="false">IF($AK49="","",INDEX('REGISTRE ELEVES'!$E$10:$E$250,$AK49))</f>
        <v/>
      </c>
      <c r="E49" s="73" t="str">
        <f aca="false">IF($AK49="","",INDEX('REGISTRE ELEVES'!$F$10:$F$250,$AK49))</f>
        <v/>
      </c>
      <c r="F49" s="73" t="str">
        <f aca="false">IF($AK49="","",INDEX('REGISTRE ELEVES'!$AE$10:$AE$250,$AK49))</f>
        <v/>
      </c>
      <c r="G49" s="75"/>
      <c r="H49" s="76"/>
      <c r="I49" s="76"/>
      <c r="J49" s="76"/>
      <c r="K49" s="76"/>
      <c r="L49" s="79" t="str">
        <f aca="false">IF(B49="","",IF($G49="NON",0,IF(COUNT(H49:K49)=0,"",SUM(H49:K49))))</f>
        <v/>
      </c>
      <c r="M49" s="77" t="str">
        <f aca="false">IF(B49="","",IF($G49="NON",0,IF(COUNT(H49:K49)=0,"",IFERROR(ROUND(SUM(H49:K49)/SUMPRODUCT(ISNUMBER(H49:K49)*$H$8:$K$8)*20,2),""))))</f>
        <v/>
      </c>
      <c r="N49" s="75"/>
      <c r="O49" s="76"/>
      <c r="P49" s="76"/>
      <c r="Q49" s="76"/>
      <c r="R49" s="76"/>
      <c r="S49" s="79" t="str">
        <f aca="false">IF(B49="","",IF($N49="NON",0,IF(COUNT(O49:R49)=0,"",SUM(O49:R49))))</f>
        <v/>
      </c>
      <c r="T49" s="77" t="str">
        <f aca="false">IF(B49="","",IF($N49="NON",0,IF(COUNT(O49:R49)=0,"",IFERROR(ROUND(SUM(O49:R49)/SUMPRODUCT(ISNUMBER(O49:R49)*$O$8:$R$8)*20,2),""))))</f>
        <v/>
      </c>
      <c r="U49" s="75"/>
      <c r="V49" s="76"/>
      <c r="W49" s="76"/>
      <c r="X49" s="76"/>
      <c r="Y49" s="76"/>
      <c r="Z49" s="76"/>
      <c r="AA49" s="79" t="str">
        <f aca="false">IF(B49="","",IF($U49="NON",0,IF(COUNT(V49:Z49)=0,"",SUM(V49:Z49))))</f>
        <v/>
      </c>
      <c r="AB49" s="77" t="str">
        <f aca="false">IF(B49="","",IF($U49="NON",0,IF(COUNT(V49:Z49)=0,"",IFERROR(ROUND(SUM(V49:Z49)/SUMPRODUCT(ISNUMBER(V49:Z49)*$V$8:$Z$8)*20,2),""))))</f>
        <v/>
      </c>
      <c r="AC49" s="75"/>
      <c r="AD49" s="76"/>
      <c r="AE49" s="76"/>
      <c r="AF49" s="76"/>
      <c r="AG49" s="76"/>
      <c r="AH49" s="76"/>
      <c r="AI49" s="79" t="str">
        <f aca="false">IF(B49="","",IF($AC49="NON",0,IF(COUNT(AD49:AH49)=0,"",SUM(AD49:AH49))))</f>
        <v/>
      </c>
      <c r="AJ49" s="77" t="str">
        <f aca="false">IF(B49="","",IF($AC49="NON",0,IF(COUNT(AD49:AH49)=0,"",IFERROR(ROUND(SUM(AD49:AH49)/SUMPRODUCT(ISNUMBER(AD49:AH49)*$AD$8:$AH$8)*20,2),""))))</f>
        <v/>
      </c>
      <c r="AK49" s="51" t="str">
        <f aca="false">IFERROR(MATCH("CM2-40",'REGISTRE ELEVES'!$AI$10:$AI$250,0),"")</f>
        <v/>
      </c>
    </row>
    <row r="50" customFormat="false" ht="15" hidden="false" customHeight="false" outlineLevel="0" collapsed="false">
      <c r="A50" s="73" t="str">
        <f aca="false">IF(B50="","",41)</f>
        <v/>
      </c>
      <c r="B50" s="73" t="str">
        <f aca="false">IF($AK50="","",INDEX('REGISTRE ELEVES'!$B$10:$B$250,$AK50))</f>
        <v/>
      </c>
      <c r="C50" s="74" t="str">
        <f aca="false">IF($AK50="","",INDEX('REGISTRE ELEVES'!$D$10:$D$250,$AK50))</f>
        <v/>
      </c>
      <c r="D50" s="73" t="str">
        <f aca="false">IF($AK50="","",INDEX('REGISTRE ELEVES'!$E$10:$E$250,$AK50))</f>
        <v/>
      </c>
      <c r="E50" s="73" t="str">
        <f aca="false">IF($AK50="","",INDEX('REGISTRE ELEVES'!$F$10:$F$250,$AK50))</f>
        <v/>
      </c>
      <c r="F50" s="73" t="str">
        <f aca="false">IF($AK50="","",INDEX('REGISTRE ELEVES'!$AE$10:$AE$250,$AK50))</f>
        <v/>
      </c>
      <c r="G50" s="75"/>
      <c r="H50" s="76"/>
      <c r="I50" s="76"/>
      <c r="J50" s="76"/>
      <c r="K50" s="76"/>
      <c r="L50" s="79" t="str">
        <f aca="false">IF(B50="","",IF($G50="NON",0,IF(COUNT(H50:K50)=0,"",SUM(H50:K50))))</f>
        <v/>
      </c>
      <c r="M50" s="77" t="str">
        <f aca="false">IF(B50="","",IF($G50="NON",0,IF(COUNT(H50:K50)=0,"",IFERROR(ROUND(SUM(H50:K50)/SUMPRODUCT(ISNUMBER(H50:K50)*$H$8:$K$8)*20,2),""))))</f>
        <v/>
      </c>
      <c r="N50" s="75"/>
      <c r="O50" s="76"/>
      <c r="P50" s="76"/>
      <c r="Q50" s="76"/>
      <c r="R50" s="76"/>
      <c r="S50" s="79" t="str">
        <f aca="false">IF(B50="","",IF($N50="NON",0,IF(COUNT(O50:R50)=0,"",SUM(O50:R50))))</f>
        <v/>
      </c>
      <c r="T50" s="77" t="str">
        <f aca="false">IF(B50="","",IF($N50="NON",0,IF(COUNT(O50:R50)=0,"",IFERROR(ROUND(SUM(O50:R50)/SUMPRODUCT(ISNUMBER(O50:R50)*$O$8:$R$8)*20,2),""))))</f>
        <v/>
      </c>
      <c r="U50" s="75"/>
      <c r="V50" s="76"/>
      <c r="W50" s="76"/>
      <c r="X50" s="76"/>
      <c r="Y50" s="76"/>
      <c r="Z50" s="76"/>
      <c r="AA50" s="79" t="str">
        <f aca="false">IF(B50="","",IF($U50="NON",0,IF(COUNT(V50:Z50)=0,"",SUM(V50:Z50))))</f>
        <v/>
      </c>
      <c r="AB50" s="77" t="str">
        <f aca="false">IF(B50="","",IF($U50="NON",0,IF(COUNT(V50:Z50)=0,"",IFERROR(ROUND(SUM(V50:Z50)/SUMPRODUCT(ISNUMBER(V50:Z50)*$V$8:$Z$8)*20,2),""))))</f>
        <v/>
      </c>
      <c r="AC50" s="75"/>
      <c r="AD50" s="76"/>
      <c r="AE50" s="76"/>
      <c r="AF50" s="76"/>
      <c r="AG50" s="76"/>
      <c r="AH50" s="76"/>
      <c r="AI50" s="79" t="str">
        <f aca="false">IF(B50="","",IF($AC50="NON",0,IF(COUNT(AD50:AH50)=0,"",SUM(AD50:AH50))))</f>
        <v/>
      </c>
      <c r="AJ50" s="77" t="str">
        <f aca="false">IF(B50="","",IF($AC50="NON",0,IF(COUNT(AD50:AH50)=0,"",IFERROR(ROUND(SUM(AD50:AH50)/SUMPRODUCT(ISNUMBER(AD50:AH50)*$AD$8:$AH$8)*20,2),""))))</f>
        <v/>
      </c>
      <c r="AK50" s="51" t="str">
        <f aca="false">IFERROR(MATCH("CM2-41",'REGISTRE ELEVES'!$AI$10:$AI$250,0),"")</f>
        <v/>
      </c>
    </row>
    <row r="51" customFormat="false" ht="15" hidden="false" customHeight="false" outlineLevel="0" collapsed="false">
      <c r="A51" s="73" t="str">
        <f aca="false">IF(B51="","",42)</f>
        <v/>
      </c>
      <c r="B51" s="73" t="str">
        <f aca="false">IF($AK51="","",INDEX('REGISTRE ELEVES'!$B$10:$B$250,$AK51))</f>
        <v/>
      </c>
      <c r="C51" s="74" t="str">
        <f aca="false">IF($AK51="","",INDEX('REGISTRE ELEVES'!$D$10:$D$250,$AK51))</f>
        <v/>
      </c>
      <c r="D51" s="73" t="str">
        <f aca="false">IF($AK51="","",INDEX('REGISTRE ELEVES'!$E$10:$E$250,$AK51))</f>
        <v/>
      </c>
      <c r="E51" s="73" t="str">
        <f aca="false">IF($AK51="","",INDEX('REGISTRE ELEVES'!$F$10:$F$250,$AK51))</f>
        <v/>
      </c>
      <c r="F51" s="73" t="str">
        <f aca="false">IF($AK51="","",INDEX('REGISTRE ELEVES'!$AE$10:$AE$250,$AK51))</f>
        <v/>
      </c>
      <c r="G51" s="75"/>
      <c r="H51" s="76"/>
      <c r="I51" s="76"/>
      <c r="J51" s="76"/>
      <c r="K51" s="76"/>
      <c r="L51" s="79" t="str">
        <f aca="false">IF(B51="","",IF($G51="NON",0,IF(COUNT(H51:K51)=0,"",SUM(H51:K51))))</f>
        <v/>
      </c>
      <c r="M51" s="77" t="str">
        <f aca="false">IF(B51="","",IF($G51="NON",0,IF(COUNT(H51:K51)=0,"",IFERROR(ROUND(SUM(H51:K51)/SUMPRODUCT(ISNUMBER(H51:K51)*$H$8:$K$8)*20,2),""))))</f>
        <v/>
      </c>
      <c r="N51" s="75"/>
      <c r="O51" s="76"/>
      <c r="P51" s="76"/>
      <c r="Q51" s="76"/>
      <c r="R51" s="76"/>
      <c r="S51" s="79" t="str">
        <f aca="false">IF(B51="","",IF($N51="NON",0,IF(COUNT(O51:R51)=0,"",SUM(O51:R51))))</f>
        <v/>
      </c>
      <c r="T51" s="77" t="str">
        <f aca="false">IF(B51="","",IF($N51="NON",0,IF(COUNT(O51:R51)=0,"",IFERROR(ROUND(SUM(O51:R51)/SUMPRODUCT(ISNUMBER(O51:R51)*$O$8:$R$8)*20,2),""))))</f>
        <v/>
      </c>
      <c r="U51" s="75"/>
      <c r="V51" s="76"/>
      <c r="W51" s="76"/>
      <c r="X51" s="76"/>
      <c r="Y51" s="76"/>
      <c r="Z51" s="76"/>
      <c r="AA51" s="79" t="str">
        <f aca="false">IF(B51="","",IF($U51="NON",0,IF(COUNT(V51:Z51)=0,"",SUM(V51:Z51))))</f>
        <v/>
      </c>
      <c r="AB51" s="77" t="str">
        <f aca="false">IF(B51="","",IF($U51="NON",0,IF(COUNT(V51:Z51)=0,"",IFERROR(ROUND(SUM(V51:Z51)/SUMPRODUCT(ISNUMBER(V51:Z51)*$V$8:$Z$8)*20,2),""))))</f>
        <v/>
      </c>
      <c r="AC51" s="75"/>
      <c r="AD51" s="76"/>
      <c r="AE51" s="76"/>
      <c r="AF51" s="76"/>
      <c r="AG51" s="76"/>
      <c r="AH51" s="76"/>
      <c r="AI51" s="79" t="str">
        <f aca="false">IF(B51="","",IF($AC51="NON",0,IF(COUNT(AD51:AH51)=0,"",SUM(AD51:AH51))))</f>
        <v/>
      </c>
      <c r="AJ51" s="77" t="str">
        <f aca="false">IF(B51="","",IF($AC51="NON",0,IF(COUNT(AD51:AH51)=0,"",IFERROR(ROUND(SUM(AD51:AH51)/SUMPRODUCT(ISNUMBER(AD51:AH51)*$AD$8:$AH$8)*20,2),""))))</f>
        <v/>
      </c>
      <c r="AK51" s="51" t="str">
        <f aca="false">IFERROR(MATCH("CM2-42",'REGISTRE ELEVES'!$AI$10:$AI$250,0),"")</f>
        <v/>
      </c>
    </row>
    <row r="52" customFormat="false" ht="15" hidden="false" customHeight="false" outlineLevel="0" collapsed="false">
      <c r="A52" s="73" t="str">
        <f aca="false">IF(B52="","",43)</f>
        <v/>
      </c>
      <c r="B52" s="73" t="str">
        <f aca="false">IF($AK52="","",INDEX('REGISTRE ELEVES'!$B$10:$B$250,$AK52))</f>
        <v/>
      </c>
      <c r="C52" s="74" t="str">
        <f aca="false">IF($AK52="","",INDEX('REGISTRE ELEVES'!$D$10:$D$250,$AK52))</f>
        <v/>
      </c>
      <c r="D52" s="73" t="str">
        <f aca="false">IF($AK52="","",INDEX('REGISTRE ELEVES'!$E$10:$E$250,$AK52))</f>
        <v/>
      </c>
      <c r="E52" s="73" t="str">
        <f aca="false">IF($AK52="","",INDEX('REGISTRE ELEVES'!$F$10:$F$250,$AK52))</f>
        <v/>
      </c>
      <c r="F52" s="73" t="str">
        <f aca="false">IF($AK52="","",INDEX('REGISTRE ELEVES'!$AE$10:$AE$250,$AK52))</f>
        <v/>
      </c>
      <c r="G52" s="75"/>
      <c r="H52" s="76"/>
      <c r="I52" s="76"/>
      <c r="J52" s="76"/>
      <c r="K52" s="76"/>
      <c r="L52" s="79" t="str">
        <f aca="false">IF(B52="","",IF($G52="NON",0,IF(COUNT(H52:K52)=0,"",SUM(H52:K52))))</f>
        <v/>
      </c>
      <c r="M52" s="77" t="str">
        <f aca="false">IF(B52="","",IF($G52="NON",0,IF(COUNT(H52:K52)=0,"",IFERROR(ROUND(SUM(H52:K52)/SUMPRODUCT(ISNUMBER(H52:K52)*$H$8:$K$8)*20,2),""))))</f>
        <v/>
      </c>
      <c r="N52" s="75"/>
      <c r="O52" s="76"/>
      <c r="P52" s="76"/>
      <c r="Q52" s="76"/>
      <c r="R52" s="76"/>
      <c r="S52" s="79" t="str">
        <f aca="false">IF(B52="","",IF($N52="NON",0,IF(COUNT(O52:R52)=0,"",SUM(O52:R52))))</f>
        <v/>
      </c>
      <c r="T52" s="77" t="str">
        <f aca="false">IF(B52="","",IF($N52="NON",0,IF(COUNT(O52:R52)=0,"",IFERROR(ROUND(SUM(O52:R52)/SUMPRODUCT(ISNUMBER(O52:R52)*$O$8:$R$8)*20,2),""))))</f>
        <v/>
      </c>
      <c r="U52" s="75"/>
      <c r="V52" s="76"/>
      <c r="W52" s="76"/>
      <c r="X52" s="76"/>
      <c r="Y52" s="76"/>
      <c r="Z52" s="76"/>
      <c r="AA52" s="79" t="str">
        <f aca="false">IF(B52="","",IF($U52="NON",0,IF(COUNT(V52:Z52)=0,"",SUM(V52:Z52))))</f>
        <v/>
      </c>
      <c r="AB52" s="77" t="str">
        <f aca="false">IF(B52="","",IF($U52="NON",0,IF(COUNT(V52:Z52)=0,"",IFERROR(ROUND(SUM(V52:Z52)/SUMPRODUCT(ISNUMBER(V52:Z52)*$V$8:$Z$8)*20,2),""))))</f>
        <v/>
      </c>
      <c r="AC52" s="75"/>
      <c r="AD52" s="76"/>
      <c r="AE52" s="76"/>
      <c r="AF52" s="76"/>
      <c r="AG52" s="76"/>
      <c r="AH52" s="76"/>
      <c r="AI52" s="79" t="str">
        <f aca="false">IF(B52="","",IF($AC52="NON",0,IF(COUNT(AD52:AH52)=0,"",SUM(AD52:AH52))))</f>
        <v/>
      </c>
      <c r="AJ52" s="77" t="str">
        <f aca="false">IF(B52="","",IF($AC52="NON",0,IF(COUNT(AD52:AH52)=0,"",IFERROR(ROUND(SUM(AD52:AH52)/SUMPRODUCT(ISNUMBER(AD52:AH52)*$AD$8:$AH$8)*20,2),""))))</f>
        <v/>
      </c>
      <c r="AK52" s="51" t="str">
        <f aca="false">IFERROR(MATCH("CM2-43",'REGISTRE ELEVES'!$AI$10:$AI$250,0),"")</f>
        <v/>
      </c>
    </row>
    <row r="53" customFormat="false" ht="15" hidden="false" customHeight="false" outlineLevel="0" collapsed="false">
      <c r="A53" s="73" t="str">
        <f aca="false">IF(B53="","",44)</f>
        <v/>
      </c>
      <c r="B53" s="73" t="str">
        <f aca="false">IF($AK53="","",INDEX('REGISTRE ELEVES'!$B$10:$B$250,$AK53))</f>
        <v/>
      </c>
      <c r="C53" s="74" t="str">
        <f aca="false">IF($AK53="","",INDEX('REGISTRE ELEVES'!$D$10:$D$250,$AK53))</f>
        <v/>
      </c>
      <c r="D53" s="73" t="str">
        <f aca="false">IF($AK53="","",INDEX('REGISTRE ELEVES'!$E$10:$E$250,$AK53))</f>
        <v/>
      </c>
      <c r="E53" s="73" t="str">
        <f aca="false">IF($AK53="","",INDEX('REGISTRE ELEVES'!$F$10:$F$250,$AK53))</f>
        <v/>
      </c>
      <c r="F53" s="73" t="str">
        <f aca="false">IF($AK53="","",INDEX('REGISTRE ELEVES'!$AE$10:$AE$250,$AK53))</f>
        <v/>
      </c>
      <c r="G53" s="75"/>
      <c r="H53" s="76"/>
      <c r="I53" s="76"/>
      <c r="J53" s="76"/>
      <c r="K53" s="76"/>
      <c r="L53" s="79" t="str">
        <f aca="false">IF(B53="","",IF($G53="NON",0,IF(COUNT(H53:K53)=0,"",SUM(H53:K53))))</f>
        <v/>
      </c>
      <c r="M53" s="77" t="str">
        <f aca="false">IF(B53="","",IF($G53="NON",0,IF(COUNT(H53:K53)=0,"",IFERROR(ROUND(SUM(H53:K53)/SUMPRODUCT(ISNUMBER(H53:K53)*$H$8:$K$8)*20,2),""))))</f>
        <v/>
      </c>
      <c r="N53" s="75"/>
      <c r="O53" s="76"/>
      <c r="P53" s="76"/>
      <c r="Q53" s="76"/>
      <c r="R53" s="76"/>
      <c r="S53" s="79" t="str">
        <f aca="false">IF(B53="","",IF($N53="NON",0,IF(COUNT(O53:R53)=0,"",SUM(O53:R53))))</f>
        <v/>
      </c>
      <c r="T53" s="77" t="str">
        <f aca="false">IF(B53="","",IF($N53="NON",0,IF(COUNT(O53:R53)=0,"",IFERROR(ROUND(SUM(O53:R53)/SUMPRODUCT(ISNUMBER(O53:R53)*$O$8:$R$8)*20,2),""))))</f>
        <v/>
      </c>
      <c r="U53" s="75"/>
      <c r="V53" s="76"/>
      <c r="W53" s="76"/>
      <c r="X53" s="76"/>
      <c r="Y53" s="76"/>
      <c r="Z53" s="76"/>
      <c r="AA53" s="79" t="str">
        <f aca="false">IF(B53="","",IF($U53="NON",0,IF(COUNT(V53:Z53)=0,"",SUM(V53:Z53))))</f>
        <v/>
      </c>
      <c r="AB53" s="77" t="str">
        <f aca="false">IF(B53="","",IF($U53="NON",0,IF(COUNT(V53:Z53)=0,"",IFERROR(ROUND(SUM(V53:Z53)/SUMPRODUCT(ISNUMBER(V53:Z53)*$V$8:$Z$8)*20,2),""))))</f>
        <v/>
      </c>
      <c r="AC53" s="75"/>
      <c r="AD53" s="76"/>
      <c r="AE53" s="76"/>
      <c r="AF53" s="76"/>
      <c r="AG53" s="76"/>
      <c r="AH53" s="76"/>
      <c r="AI53" s="79" t="str">
        <f aca="false">IF(B53="","",IF($AC53="NON",0,IF(COUNT(AD53:AH53)=0,"",SUM(AD53:AH53))))</f>
        <v/>
      </c>
      <c r="AJ53" s="77" t="str">
        <f aca="false">IF(B53="","",IF($AC53="NON",0,IF(COUNT(AD53:AH53)=0,"",IFERROR(ROUND(SUM(AD53:AH53)/SUMPRODUCT(ISNUMBER(AD53:AH53)*$AD$8:$AH$8)*20,2),""))))</f>
        <v/>
      </c>
      <c r="AK53" s="51" t="str">
        <f aca="false">IFERROR(MATCH("CM2-44",'REGISTRE ELEVES'!$AI$10:$AI$250,0),"")</f>
        <v/>
      </c>
    </row>
    <row r="54" customFormat="false" ht="15" hidden="false" customHeight="false" outlineLevel="0" collapsed="false">
      <c r="A54" s="73" t="str">
        <f aca="false">IF(B54="","",45)</f>
        <v/>
      </c>
      <c r="B54" s="73" t="str">
        <f aca="false">IF($AK54="","",INDEX('REGISTRE ELEVES'!$B$10:$B$250,$AK54))</f>
        <v/>
      </c>
      <c r="C54" s="74" t="str">
        <f aca="false">IF($AK54="","",INDEX('REGISTRE ELEVES'!$D$10:$D$250,$AK54))</f>
        <v/>
      </c>
      <c r="D54" s="73" t="str">
        <f aca="false">IF($AK54="","",INDEX('REGISTRE ELEVES'!$E$10:$E$250,$AK54))</f>
        <v/>
      </c>
      <c r="E54" s="73" t="str">
        <f aca="false">IF($AK54="","",INDEX('REGISTRE ELEVES'!$F$10:$F$250,$AK54))</f>
        <v/>
      </c>
      <c r="F54" s="73" t="str">
        <f aca="false">IF($AK54="","",INDEX('REGISTRE ELEVES'!$AE$10:$AE$250,$AK54))</f>
        <v/>
      </c>
      <c r="G54" s="75"/>
      <c r="H54" s="76"/>
      <c r="I54" s="76"/>
      <c r="J54" s="76"/>
      <c r="K54" s="76"/>
      <c r="L54" s="79" t="str">
        <f aca="false">IF(B54="","",IF($G54="NON",0,IF(COUNT(H54:K54)=0,"",SUM(H54:K54))))</f>
        <v/>
      </c>
      <c r="M54" s="77" t="str">
        <f aca="false">IF(B54="","",IF($G54="NON",0,IF(COUNT(H54:K54)=0,"",IFERROR(ROUND(SUM(H54:K54)/SUMPRODUCT(ISNUMBER(H54:K54)*$H$8:$K$8)*20,2),""))))</f>
        <v/>
      </c>
      <c r="N54" s="75"/>
      <c r="O54" s="76"/>
      <c r="P54" s="76"/>
      <c r="Q54" s="76"/>
      <c r="R54" s="76"/>
      <c r="S54" s="79" t="str">
        <f aca="false">IF(B54="","",IF($N54="NON",0,IF(COUNT(O54:R54)=0,"",SUM(O54:R54))))</f>
        <v/>
      </c>
      <c r="T54" s="77" t="str">
        <f aca="false">IF(B54="","",IF($N54="NON",0,IF(COUNT(O54:R54)=0,"",IFERROR(ROUND(SUM(O54:R54)/SUMPRODUCT(ISNUMBER(O54:R54)*$O$8:$R$8)*20,2),""))))</f>
        <v/>
      </c>
      <c r="U54" s="75"/>
      <c r="V54" s="76"/>
      <c r="W54" s="76"/>
      <c r="X54" s="76"/>
      <c r="Y54" s="76"/>
      <c r="Z54" s="76"/>
      <c r="AA54" s="79" t="str">
        <f aca="false">IF(B54="","",IF($U54="NON",0,IF(COUNT(V54:Z54)=0,"",SUM(V54:Z54))))</f>
        <v/>
      </c>
      <c r="AB54" s="77" t="str">
        <f aca="false">IF(B54="","",IF($U54="NON",0,IF(COUNT(V54:Z54)=0,"",IFERROR(ROUND(SUM(V54:Z54)/SUMPRODUCT(ISNUMBER(V54:Z54)*$V$8:$Z$8)*20,2),""))))</f>
        <v/>
      </c>
      <c r="AC54" s="75"/>
      <c r="AD54" s="76"/>
      <c r="AE54" s="76"/>
      <c r="AF54" s="76"/>
      <c r="AG54" s="76"/>
      <c r="AH54" s="76"/>
      <c r="AI54" s="79" t="str">
        <f aca="false">IF(B54="","",IF($AC54="NON",0,IF(COUNT(AD54:AH54)=0,"",SUM(AD54:AH54))))</f>
        <v/>
      </c>
      <c r="AJ54" s="77" t="str">
        <f aca="false">IF(B54="","",IF($AC54="NON",0,IF(COUNT(AD54:AH54)=0,"",IFERROR(ROUND(SUM(AD54:AH54)/SUMPRODUCT(ISNUMBER(AD54:AH54)*$AD$8:$AH$8)*20,2),""))))</f>
        <v/>
      </c>
      <c r="AK54" s="51" t="str">
        <f aca="false">IFERROR(MATCH("CM2-45",'REGISTRE ELEVES'!$AI$10:$AI$250,0),"")</f>
        <v/>
      </c>
    </row>
    <row r="55" customFormat="false" ht="15" hidden="false" customHeight="false" outlineLevel="0" collapsed="false">
      <c r="A55" s="73" t="str">
        <f aca="false">IF(B55="","",46)</f>
        <v/>
      </c>
      <c r="B55" s="73" t="str">
        <f aca="false">IF($AK55="","",INDEX('REGISTRE ELEVES'!$B$10:$B$250,$AK55))</f>
        <v/>
      </c>
      <c r="C55" s="74" t="str">
        <f aca="false">IF($AK55="","",INDEX('REGISTRE ELEVES'!$D$10:$D$250,$AK55))</f>
        <v/>
      </c>
      <c r="D55" s="73" t="str">
        <f aca="false">IF($AK55="","",INDEX('REGISTRE ELEVES'!$E$10:$E$250,$AK55))</f>
        <v/>
      </c>
      <c r="E55" s="73" t="str">
        <f aca="false">IF($AK55="","",INDEX('REGISTRE ELEVES'!$F$10:$F$250,$AK55))</f>
        <v/>
      </c>
      <c r="F55" s="73" t="str">
        <f aca="false">IF($AK55="","",INDEX('REGISTRE ELEVES'!$AE$10:$AE$250,$AK55))</f>
        <v/>
      </c>
      <c r="G55" s="75"/>
      <c r="H55" s="76"/>
      <c r="I55" s="76"/>
      <c r="J55" s="76"/>
      <c r="K55" s="76"/>
      <c r="L55" s="79" t="str">
        <f aca="false">IF(B55="","",IF($G55="NON",0,IF(COUNT(H55:K55)=0,"",SUM(H55:K55))))</f>
        <v/>
      </c>
      <c r="M55" s="77" t="str">
        <f aca="false">IF(B55="","",IF($G55="NON",0,IF(COUNT(H55:K55)=0,"",IFERROR(ROUND(SUM(H55:K55)/SUMPRODUCT(ISNUMBER(H55:K55)*$H$8:$K$8)*20,2),""))))</f>
        <v/>
      </c>
      <c r="N55" s="75"/>
      <c r="O55" s="76"/>
      <c r="P55" s="76"/>
      <c r="Q55" s="76"/>
      <c r="R55" s="76"/>
      <c r="S55" s="79" t="str">
        <f aca="false">IF(B55="","",IF($N55="NON",0,IF(COUNT(O55:R55)=0,"",SUM(O55:R55))))</f>
        <v/>
      </c>
      <c r="T55" s="77" t="str">
        <f aca="false">IF(B55="","",IF($N55="NON",0,IF(COUNT(O55:R55)=0,"",IFERROR(ROUND(SUM(O55:R55)/SUMPRODUCT(ISNUMBER(O55:R55)*$O$8:$R$8)*20,2),""))))</f>
        <v/>
      </c>
      <c r="U55" s="75"/>
      <c r="V55" s="76"/>
      <c r="W55" s="76"/>
      <c r="X55" s="76"/>
      <c r="Y55" s="76"/>
      <c r="Z55" s="76"/>
      <c r="AA55" s="79" t="str">
        <f aca="false">IF(B55="","",IF($U55="NON",0,IF(COUNT(V55:Z55)=0,"",SUM(V55:Z55))))</f>
        <v/>
      </c>
      <c r="AB55" s="77" t="str">
        <f aca="false">IF(B55="","",IF($U55="NON",0,IF(COUNT(V55:Z55)=0,"",IFERROR(ROUND(SUM(V55:Z55)/SUMPRODUCT(ISNUMBER(V55:Z55)*$V$8:$Z$8)*20,2),""))))</f>
        <v/>
      </c>
      <c r="AC55" s="75"/>
      <c r="AD55" s="76"/>
      <c r="AE55" s="76"/>
      <c r="AF55" s="76"/>
      <c r="AG55" s="76"/>
      <c r="AH55" s="76"/>
      <c r="AI55" s="79" t="str">
        <f aca="false">IF(B55="","",IF($AC55="NON",0,IF(COUNT(AD55:AH55)=0,"",SUM(AD55:AH55))))</f>
        <v/>
      </c>
      <c r="AJ55" s="77" t="str">
        <f aca="false">IF(B55="","",IF($AC55="NON",0,IF(COUNT(AD55:AH55)=0,"",IFERROR(ROUND(SUM(AD55:AH55)/SUMPRODUCT(ISNUMBER(AD55:AH55)*$AD$8:$AH$8)*20,2),""))))</f>
        <v/>
      </c>
      <c r="AK55" s="51" t="str">
        <f aca="false">IFERROR(MATCH("CM2-46",'REGISTRE ELEVES'!$AI$10:$AI$250,0),"")</f>
        <v/>
      </c>
    </row>
    <row r="56" customFormat="false" ht="15" hidden="false" customHeight="false" outlineLevel="0" collapsed="false">
      <c r="A56" s="73" t="str">
        <f aca="false">IF(B56="","",47)</f>
        <v/>
      </c>
      <c r="B56" s="73" t="str">
        <f aca="false">IF($AK56="","",INDEX('REGISTRE ELEVES'!$B$10:$B$250,$AK56))</f>
        <v/>
      </c>
      <c r="C56" s="74" t="str">
        <f aca="false">IF($AK56="","",INDEX('REGISTRE ELEVES'!$D$10:$D$250,$AK56))</f>
        <v/>
      </c>
      <c r="D56" s="73" t="str">
        <f aca="false">IF($AK56="","",INDEX('REGISTRE ELEVES'!$E$10:$E$250,$AK56))</f>
        <v/>
      </c>
      <c r="E56" s="73" t="str">
        <f aca="false">IF($AK56="","",INDEX('REGISTRE ELEVES'!$F$10:$F$250,$AK56))</f>
        <v/>
      </c>
      <c r="F56" s="73" t="str">
        <f aca="false">IF($AK56="","",INDEX('REGISTRE ELEVES'!$AE$10:$AE$250,$AK56))</f>
        <v/>
      </c>
      <c r="G56" s="75"/>
      <c r="H56" s="76"/>
      <c r="I56" s="76"/>
      <c r="J56" s="76"/>
      <c r="K56" s="76"/>
      <c r="L56" s="79" t="str">
        <f aca="false">IF(B56="","",IF($G56="NON",0,IF(COUNT(H56:K56)=0,"",SUM(H56:K56))))</f>
        <v/>
      </c>
      <c r="M56" s="77" t="str">
        <f aca="false">IF(B56="","",IF($G56="NON",0,IF(COUNT(H56:K56)=0,"",IFERROR(ROUND(SUM(H56:K56)/SUMPRODUCT(ISNUMBER(H56:K56)*$H$8:$K$8)*20,2),""))))</f>
        <v/>
      </c>
      <c r="N56" s="75"/>
      <c r="O56" s="76"/>
      <c r="P56" s="76"/>
      <c r="Q56" s="76"/>
      <c r="R56" s="76"/>
      <c r="S56" s="79" t="str">
        <f aca="false">IF(B56="","",IF($N56="NON",0,IF(COUNT(O56:R56)=0,"",SUM(O56:R56))))</f>
        <v/>
      </c>
      <c r="T56" s="77" t="str">
        <f aca="false">IF(B56="","",IF($N56="NON",0,IF(COUNT(O56:R56)=0,"",IFERROR(ROUND(SUM(O56:R56)/SUMPRODUCT(ISNUMBER(O56:R56)*$O$8:$R$8)*20,2),""))))</f>
        <v/>
      </c>
      <c r="U56" s="75"/>
      <c r="V56" s="76"/>
      <c r="W56" s="76"/>
      <c r="X56" s="76"/>
      <c r="Y56" s="76"/>
      <c r="Z56" s="76"/>
      <c r="AA56" s="79" t="str">
        <f aca="false">IF(B56="","",IF($U56="NON",0,IF(COUNT(V56:Z56)=0,"",SUM(V56:Z56))))</f>
        <v/>
      </c>
      <c r="AB56" s="77" t="str">
        <f aca="false">IF(B56="","",IF($U56="NON",0,IF(COUNT(V56:Z56)=0,"",IFERROR(ROUND(SUM(V56:Z56)/SUMPRODUCT(ISNUMBER(V56:Z56)*$V$8:$Z$8)*20,2),""))))</f>
        <v/>
      </c>
      <c r="AC56" s="75"/>
      <c r="AD56" s="76"/>
      <c r="AE56" s="76"/>
      <c r="AF56" s="76"/>
      <c r="AG56" s="76"/>
      <c r="AH56" s="76"/>
      <c r="AI56" s="79" t="str">
        <f aca="false">IF(B56="","",IF($AC56="NON",0,IF(COUNT(AD56:AH56)=0,"",SUM(AD56:AH56))))</f>
        <v/>
      </c>
      <c r="AJ56" s="77" t="str">
        <f aca="false">IF(B56="","",IF($AC56="NON",0,IF(COUNT(AD56:AH56)=0,"",IFERROR(ROUND(SUM(AD56:AH56)/SUMPRODUCT(ISNUMBER(AD56:AH56)*$AD$8:$AH$8)*20,2),""))))</f>
        <v/>
      </c>
      <c r="AK56" s="51" t="str">
        <f aca="false">IFERROR(MATCH("CM2-47",'REGISTRE ELEVES'!$AI$10:$AI$250,0),"")</f>
        <v/>
      </c>
    </row>
    <row r="57" customFormat="false" ht="15" hidden="false" customHeight="false" outlineLevel="0" collapsed="false">
      <c r="A57" s="73" t="str">
        <f aca="false">IF(B57="","",48)</f>
        <v/>
      </c>
      <c r="B57" s="73" t="str">
        <f aca="false">IF($AK57="","",INDEX('REGISTRE ELEVES'!$B$10:$B$250,$AK57))</f>
        <v/>
      </c>
      <c r="C57" s="74" t="str">
        <f aca="false">IF($AK57="","",INDEX('REGISTRE ELEVES'!$D$10:$D$250,$AK57))</f>
        <v/>
      </c>
      <c r="D57" s="73" t="str">
        <f aca="false">IF($AK57="","",INDEX('REGISTRE ELEVES'!$E$10:$E$250,$AK57))</f>
        <v/>
      </c>
      <c r="E57" s="73" t="str">
        <f aca="false">IF($AK57="","",INDEX('REGISTRE ELEVES'!$F$10:$F$250,$AK57))</f>
        <v/>
      </c>
      <c r="F57" s="73" t="str">
        <f aca="false">IF($AK57="","",INDEX('REGISTRE ELEVES'!$AE$10:$AE$250,$AK57))</f>
        <v/>
      </c>
      <c r="G57" s="75"/>
      <c r="H57" s="76"/>
      <c r="I57" s="76"/>
      <c r="J57" s="76"/>
      <c r="K57" s="76"/>
      <c r="L57" s="79" t="str">
        <f aca="false">IF(B57="","",IF($G57="NON",0,IF(COUNT(H57:K57)=0,"",SUM(H57:K57))))</f>
        <v/>
      </c>
      <c r="M57" s="77" t="str">
        <f aca="false">IF(B57="","",IF($G57="NON",0,IF(COUNT(H57:K57)=0,"",IFERROR(ROUND(SUM(H57:K57)/SUMPRODUCT(ISNUMBER(H57:K57)*$H$8:$K$8)*20,2),""))))</f>
        <v/>
      </c>
      <c r="N57" s="75"/>
      <c r="O57" s="76"/>
      <c r="P57" s="76"/>
      <c r="Q57" s="76"/>
      <c r="R57" s="76"/>
      <c r="S57" s="79" t="str">
        <f aca="false">IF(B57="","",IF($N57="NON",0,IF(COUNT(O57:R57)=0,"",SUM(O57:R57))))</f>
        <v/>
      </c>
      <c r="T57" s="77" t="str">
        <f aca="false">IF(B57="","",IF($N57="NON",0,IF(COUNT(O57:R57)=0,"",IFERROR(ROUND(SUM(O57:R57)/SUMPRODUCT(ISNUMBER(O57:R57)*$O$8:$R$8)*20,2),""))))</f>
        <v/>
      </c>
      <c r="U57" s="75"/>
      <c r="V57" s="76"/>
      <c r="W57" s="76"/>
      <c r="X57" s="76"/>
      <c r="Y57" s="76"/>
      <c r="Z57" s="76"/>
      <c r="AA57" s="79" t="str">
        <f aca="false">IF(B57="","",IF($U57="NON",0,IF(COUNT(V57:Z57)=0,"",SUM(V57:Z57))))</f>
        <v/>
      </c>
      <c r="AB57" s="77" t="str">
        <f aca="false">IF(B57="","",IF($U57="NON",0,IF(COUNT(V57:Z57)=0,"",IFERROR(ROUND(SUM(V57:Z57)/SUMPRODUCT(ISNUMBER(V57:Z57)*$V$8:$Z$8)*20,2),""))))</f>
        <v/>
      </c>
      <c r="AC57" s="75"/>
      <c r="AD57" s="76"/>
      <c r="AE57" s="76"/>
      <c r="AF57" s="76"/>
      <c r="AG57" s="76"/>
      <c r="AH57" s="76"/>
      <c r="AI57" s="79" t="str">
        <f aca="false">IF(B57="","",IF($AC57="NON",0,IF(COUNT(AD57:AH57)=0,"",SUM(AD57:AH57))))</f>
        <v/>
      </c>
      <c r="AJ57" s="77" t="str">
        <f aca="false">IF(B57="","",IF($AC57="NON",0,IF(COUNT(AD57:AH57)=0,"",IFERROR(ROUND(SUM(AD57:AH57)/SUMPRODUCT(ISNUMBER(AD57:AH57)*$AD$8:$AH$8)*20,2),""))))</f>
        <v/>
      </c>
      <c r="AK57" s="51" t="str">
        <f aca="false">IFERROR(MATCH("CM2-48",'REGISTRE ELEVES'!$AI$10:$AI$250,0),"")</f>
        <v/>
      </c>
    </row>
    <row r="58" customFormat="false" ht="15" hidden="false" customHeight="false" outlineLevel="0" collapsed="false">
      <c r="A58" s="73" t="str">
        <f aca="false">IF(B58="","",49)</f>
        <v/>
      </c>
      <c r="B58" s="73" t="str">
        <f aca="false">IF($AK58="","",INDEX('REGISTRE ELEVES'!$B$10:$B$250,$AK58))</f>
        <v/>
      </c>
      <c r="C58" s="74" t="str">
        <f aca="false">IF($AK58="","",INDEX('REGISTRE ELEVES'!$D$10:$D$250,$AK58))</f>
        <v/>
      </c>
      <c r="D58" s="73" t="str">
        <f aca="false">IF($AK58="","",INDEX('REGISTRE ELEVES'!$E$10:$E$250,$AK58))</f>
        <v/>
      </c>
      <c r="E58" s="73" t="str">
        <f aca="false">IF($AK58="","",INDEX('REGISTRE ELEVES'!$F$10:$F$250,$AK58))</f>
        <v/>
      </c>
      <c r="F58" s="73" t="str">
        <f aca="false">IF($AK58="","",INDEX('REGISTRE ELEVES'!$AE$10:$AE$250,$AK58))</f>
        <v/>
      </c>
      <c r="G58" s="75"/>
      <c r="H58" s="76"/>
      <c r="I58" s="76"/>
      <c r="J58" s="76"/>
      <c r="K58" s="76"/>
      <c r="L58" s="79" t="str">
        <f aca="false">IF(B58="","",IF($G58="NON",0,IF(COUNT(H58:K58)=0,"",SUM(H58:K58))))</f>
        <v/>
      </c>
      <c r="M58" s="77" t="str">
        <f aca="false">IF(B58="","",IF($G58="NON",0,IF(COUNT(H58:K58)=0,"",IFERROR(ROUND(SUM(H58:K58)/SUMPRODUCT(ISNUMBER(H58:K58)*$H$8:$K$8)*20,2),""))))</f>
        <v/>
      </c>
      <c r="N58" s="75"/>
      <c r="O58" s="76"/>
      <c r="P58" s="76"/>
      <c r="Q58" s="76"/>
      <c r="R58" s="76"/>
      <c r="S58" s="79" t="str">
        <f aca="false">IF(B58="","",IF($N58="NON",0,IF(COUNT(O58:R58)=0,"",SUM(O58:R58))))</f>
        <v/>
      </c>
      <c r="T58" s="77" t="str">
        <f aca="false">IF(B58="","",IF($N58="NON",0,IF(COUNT(O58:R58)=0,"",IFERROR(ROUND(SUM(O58:R58)/SUMPRODUCT(ISNUMBER(O58:R58)*$O$8:$R$8)*20,2),""))))</f>
        <v/>
      </c>
      <c r="U58" s="75"/>
      <c r="V58" s="76"/>
      <c r="W58" s="76"/>
      <c r="X58" s="76"/>
      <c r="Y58" s="76"/>
      <c r="Z58" s="76"/>
      <c r="AA58" s="79" t="str">
        <f aca="false">IF(B58="","",IF($U58="NON",0,IF(COUNT(V58:Z58)=0,"",SUM(V58:Z58))))</f>
        <v/>
      </c>
      <c r="AB58" s="77" t="str">
        <f aca="false">IF(B58="","",IF($U58="NON",0,IF(COUNT(V58:Z58)=0,"",IFERROR(ROUND(SUM(V58:Z58)/SUMPRODUCT(ISNUMBER(V58:Z58)*$V$8:$Z$8)*20,2),""))))</f>
        <v/>
      </c>
      <c r="AC58" s="75"/>
      <c r="AD58" s="76"/>
      <c r="AE58" s="76"/>
      <c r="AF58" s="76"/>
      <c r="AG58" s="76"/>
      <c r="AH58" s="76"/>
      <c r="AI58" s="79" t="str">
        <f aca="false">IF(B58="","",IF($AC58="NON",0,IF(COUNT(AD58:AH58)=0,"",SUM(AD58:AH58))))</f>
        <v/>
      </c>
      <c r="AJ58" s="77" t="str">
        <f aca="false">IF(B58="","",IF($AC58="NON",0,IF(COUNT(AD58:AH58)=0,"",IFERROR(ROUND(SUM(AD58:AH58)/SUMPRODUCT(ISNUMBER(AD58:AH58)*$AD$8:$AH$8)*20,2),""))))</f>
        <v/>
      </c>
      <c r="AK58" s="51" t="str">
        <f aca="false">IFERROR(MATCH("CM2-49",'REGISTRE ELEVES'!$AI$10:$AI$250,0),"")</f>
        <v/>
      </c>
    </row>
    <row r="59" customFormat="false" ht="15" hidden="false" customHeight="false" outlineLevel="0" collapsed="false">
      <c r="A59" s="73" t="str">
        <f aca="false">IF(B59="","",50)</f>
        <v/>
      </c>
      <c r="B59" s="73" t="str">
        <f aca="false">IF($AK59="","",INDEX('REGISTRE ELEVES'!$B$10:$B$250,$AK59))</f>
        <v/>
      </c>
      <c r="C59" s="74" t="str">
        <f aca="false">IF($AK59="","",INDEX('REGISTRE ELEVES'!$D$10:$D$250,$AK59))</f>
        <v/>
      </c>
      <c r="D59" s="73" t="str">
        <f aca="false">IF($AK59="","",INDEX('REGISTRE ELEVES'!$E$10:$E$250,$AK59))</f>
        <v/>
      </c>
      <c r="E59" s="73" t="str">
        <f aca="false">IF($AK59="","",INDEX('REGISTRE ELEVES'!$F$10:$F$250,$AK59))</f>
        <v/>
      </c>
      <c r="F59" s="73" t="str">
        <f aca="false">IF($AK59="","",INDEX('REGISTRE ELEVES'!$AE$10:$AE$250,$AK59))</f>
        <v/>
      </c>
      <c r="G59" s="75"/>
      <c r="H59" s="76"/>
      <c r="I59" s="76"/>
      <c r="J59" s="76"/>
      <c r="K59" s="76"/>
      <c r="L59" s="79" t="str">
        <f aca="false">IF(B59="","",IF($G59="NON",0,IF(COUNT(H59:K59)=0,"",SUM(H59:K59))))</f>
        <v/>
      </c>
      <c r="M59" s="77" t="str">
        <f aca="false">IF(B59="","",IF($G59="NON",0,IF(COUNT(H59:K59)=0,"",IFERROR(ROUND(SUM(H59:K59)/SUMPRODUCT(ISNUMBER(H59:K59)*$H$8:$K$8)*20,2),""))))</f>
        <v/>
      </c>
      <c r="N59" s="75"/>
      <c r="O59" s="76"/>
      <c r="P59" s="76"/>
      <c r="Q59" s="76"/>
      <c r="R59" s="76"/>
      <c r="S59" s="79" t="str">
        <f aca="false">IF(B59="","",IF($N59="NON",0,IF(COUNT(O59:R59)=0,"",SUM(O59:R59))))</f>
        <v/>
      </c>
      <c r="T59" s="77" t="str">
        <f aca="false">IF(B59="","",IF($N59="NON",0,IF(COUNT(O59:R59)=0,"",IFERROR(ROUND(SUM(O59:R59)/SUMPRODUCT(ISNUMBER(O59:R59)*$O$8:$R$8)*20,2),""))))</f>
        <v/>
      </c>
      <c r="U59" s="75"/>
      <c r="V59" s="76"/>
      <c r="W59" s="76"/>
      <c r="X59" s="76"/>
      <c r="Y59" s="76"/>
      <c r="Z59" s="76"/>
      <c r="AA59" s="79" t="str">
        <f aca="false">IF(B59="","",IF($U59="NON",0,IF(COUNT(V59:Z59)=0,"",SUM(V59:Z59))))</f>
        <v/>
      </c>
      <c r="AB59" s="77" t="str">
        <f aca="false">IF(B59="","",IF($U59="NON",0,IF(COUNT(V59:Z59)=0,"",IFERROR(ROUND(SUM(V59:Z59)/SUMPRODUCT(ISNUMBER(V59:Z59)*$V$8:$Z$8)*20,2),""))))</f>
        <v/>
      </c>
      <c r="AC59" s="75"/>
      <c r="AD59" s="76"/>
      <c r="AE59" s="76"/>
      <c r="AF59" s="76"/>
      <c r="AG59" s="76"/>
      <c r="AH59" s="76"/>
      <c r="AI59" s="79" t="str">
        <f aca="false">IF(B59="","",IF($AC59="NON",0,IF(COUNT(AD59:AH59)=0,"",SUM(AD59:AH59))))</f>
        <v/>
      </c>
      <c r="AJ59" s="77" t="str">
        <f aca="false">IF(B59="","",IF($AC59="NON",0,IF(COUNT(AD59:AH59)=0,"",IFERROR(ROUND(SUM(AD59:AH59)/SUMPRODUCT(ISNUMBER(AD59:AH59)*$AD$8:$AH$8)*20,2),""))))</f>
        <v/>
      </c>
      <c r="AK59" s="51" t="str">
        <f aca="false">IFERROR(MATCH("CM2-50",'REGISTRE ELEVES'!$AI$10:$AI$250,0),"")</f>
        <v/>
      </c>
    </row>
    <row r="60" customFormat="false" ht="15" hidden="false" customHeight="false" outlineLevel="0" collapsed="false">
      <c r="A60" s="73" t="str">
        <f aca="false">IF(B60="","",51)</f>
        <v/>
      </c>
      <c r="B60" s="73" t="str">
        <f aca="false">IF($AK60="","",INDEX('REGISTRE ELEVES'!$B$10:$B$250,$AK60))</f>
        <v/>
      </c>
      <c r="C60" s="74" t="str">
        <f aca="false">IF($AK60="","",INDEX('REGISTRE ELEVES'!$D$10:$D$250,$AK60))</f>
        <v/>
      </c>
      <c r="D60" s="73" t="str">
        <f aca="false">IF($AK60="","",INDEX('REGISTRE ELEVES'!$E$10:$E$250,$AK60))</f>
        <v/>
      </c>
      <c r="E60" s="73" t="str">
        <f aca="false">IF($AK60="","",INDEX('REGISTRE ELEVES'!$F$10:$F$250,$AK60))</f>
        <v/>
      </c>
      <c r="F60" s="73" t="str">
        <f aca="false">IF($AK60="","",INDEX('REGISTRE ELEVES'!$AE$10:$AE$250,$AK60))</f>
        <v/>
      </c>
      <c r="G60" s="75"/>
      <c r="H60" s="76"/>
      <c r="I60" s="76"/>
      <c r="J60" s="76"/>
      <c r="K60" s="76"/>
      <c r="L60" s="79" t="str">
        <f aca="false">IF(B60="","",IF($G60="NON",0,IF(COUNT(H60:K60)=0,"",SUM(H60:K60))))</f>
        <v/>
      </c>
      <c r="M60" s="77" t="str">
        <f aca="false">IF(B60="","",IF($G60="NON",0,IF(COUNT(H60:K60)=0,"",IFERROR(ROUND(SUM(H60:K60)/SUMPRODUCT(ISNUMBER(H60:K60)*$H$8:$K$8)*20,2),""))))</f>
        <v/>
      </c>
      <c r="N60" s="75"/>
      <c r="O60" s="76"/>
      <c r="P60" s="76"/>
      <c r="Q60" s="76"/>
      <c r="R60" s="76"/>
      <c r="S60" s="79" t="str">
        <f aca="false">IF(B60="","",IF($N60="NON",0,IF(COUNT(O60:R60)=0,"",SUM(O60:R60))))</f>
        <v/>
      </c>
      <c r="T60" s="77" t="str">
        <f aca="false">IF(B60="","",IF($N60="NON",0,IF(COUNT(O60:R60)=0,"",IFERROR(ROUND(SUM(O60:R60)/SUMPRODUCT(ISNUMBER(O60:R60)*$O$8:$R$8)*20,2),""))))</f>
        <v/>
      </c>
      <c r="U60" s="75"/>
      <c r="V60" s="76"/>
      <c r="W60" s="76"/>
      <c r="X60" s="76"/>
      <c r="Y60" s="76"/>
      <c r="Z60" s="76"/>
      <c r="AA60" s="79" t="str">
        <f aca="false">IF(B60="","",IF($U60="NON",0,IF(COUNT(V60:Z60)=0,"",SUM(V60:Z60))))</f>
        <v/>
      </c>
      <c r="AB60" s="77" t="str">
        <f aca="false">IF(B60="","",IF($U60="NON",0,IF(COUNT(V60:Z60)=0,"",IFERROR(ROUND(SUM(V60:Z60)/SUMPRODUCT(ISNUMBER(V60:Z60)*$V$8:$Z$8)*20,2),""))))</f>
        <v/>
      </c>
      <c r="AC60" s="75"/>
      <c r="AD60" s="76"/>
      <c r="AE60" s="76"/>
      <c r="AF60" s="76"/>
      <c r="AG60" s="76"/>
      <c r="AH60" s="76"/>
      <c r="AI60" s="79" t="str">
        <f aca="false">IF(B60="","",IF($AC60="NON",0,IF(COUNT(AD60:AH60)=0,"",SUM(AD60:AH60))))</f>
        <v/>
      </c>
      <c r="AJ60" s="77" t="str">
        <f aca="false">IF(B60="","",IF($AC60="NON",0,IF(COUNT(AD60:AH60)=0,"",IFERROR(ROUND(SUM(AD60:AH60)/SUMPRODUCT(ISNUMBER(AD60:AH60)*$AD$8:$AH$8)*20,2),""))))</f>
        <v/>
      </c>
      <c r="AK60" s="51" t="str">
        <f aca="false">IFERROR(MATCH("CM2-51",'REGISTRE ELEVES'!$AI$10:$AI$250,0),"")</f>
        <v/>
      </c>
    </row>
    <row r="61" customFormat="false" ht="15" hidden="false" customHeight="false" outlineLevel="0" collapsed="false">
      <c r="A61" s="73" t="str">
        <f aca="false">IF(B61="","",52)</f>
        <v/>
      </c>
      <c r="B61" s="73" t="str">
        <f aca="false">IF($AK61="","",INDEX('REGISTRE ELEVES'!$B$10:$B$250,$AK61))</f>
        <v/>
      </c>
      <c r="C61" s="74" t="str">
        <f aca="false">IF($AK61="","",INDEX('REGISTRE ELEVES'!$D$10:$D$250,$AK61))</f>
        <v/>
      </c>
      <c r="D61" s="73" t="str">
        <f aca="false">IF($AK61="","",INDEX('REGISTRE ELEVES'!$E$10:$E$250,$AK61))</f>
        <v/>
      </c>
      <c r="E61" s="73" t="str">
        <f aca="false">IF($AK61="","",INDEX('REGISTRE ELEVES'!$F$10:$F$250,$AK61))</f>
        <v/>
      </c>
      <c r="F61" s="73" t="str">
        <f aca="false">IF($AK61="","",INDEX('REGISTRE ELEVES'!$AE$10:$AE$250,$AK61))</f>
        <v/>
      </c>
      <c r="G61" s="75"/>
      <c r="H61" s="76"/>
      <c r="I61" s="76"/>
      <c r="J61" s="76"/>
      <c r="K61" s="76"/>
      <c r="L61" s="79" t="str">
        <f aca="false">IF(B61="","",IF($G61="NON",0,IF(COUNT(H61:K61)=0,"",SUM(H61:K61))))</f>
        <v/>
      </c>
      <c r="M61" s="77" t="str">
        <f aca="false">IF(B61="","",IF($G61="NON",0,IF(COUNT(H61:K61)=0,"",IFERROR(ROUND(SUM(H61:K61)/SUMPRODUCT(ISNUMBER(H61:K61)*$H$8:$K$8)*20,2),""))))</f>
        <v/>
      </c>
      <c r="N61" s="75"/>
      <c r="O61" s="76"/>
      <c r="P61" s="76"/>
      <c r="Q61" s="76"/>
      <c r="R61" s="76"/>
      <c r="S61" s="79" t="str">
        <f aca="false">IF(B61="","",IF($N61="NON",0,IF(COUNT(O61:R61)=0,"",SUM(O61:R61))))</f>
        <v/>
      </c>
      <c r="T61" s="77" t="str">
        <f aca="false">IF(B61="","",IF($N61="NON",0,IF(COUNT(O61:R61)=0,"",IFERROR(ROUND(SUM(O61:R61)/SUMPRODUCT(ISNUMBER(O61:R61)*$O$8:$R$8)*20,2),""))))</f>
        <v/>
      </c>
      <c r="U61" s="75"/>
      <c r="V61" s="76"/>
      <c r="W61" s="76"/>
      <c r="X61" s="76"/>
      <c r="Y61" s="76"/>
      <c r="Z61" s="76"/>
      <c r="AA61" s="79" t="str">
        <f aca="false">IF(B61="","",IF($U61="NON",0,IF(COUNT(V61:Z61)=0,"",SUM(V61:Z61))))</f>
        <v/>
      </c>
      <c r="AB61" s="77" t="str">
        <f aca="false">IF(B61="","",IF($U61="NON",0,IF(COUNT(V61:Z61)=0,"",IFERROR(ROUND(SUM(V61:Z61)/SUMPRODUCT(ISNUMBER(V61:Z61)*$V$8:$Z$8)*20,2),""))))</f>
        <v/>
      </c>
      <c r="AC61" s="75"/>
      <c r="AD61" s="76"/>
      <c r="AE61" s="76"/>
      <c r="AF61" s="76"/>
      <c r="AG61" s="76"/>
      <c r="AH61" s="76"/>
      <c r="AI61" s="79" t="str">
        <f aca="false">IF(B61="","",IF($AC61="NON",0,IF(COUNT(AD61:AH61)=0,"",SUM(AD61:AH61))))</f>
        <v/>
      </c>
      <c r="AJ61" s="77" t="str">
        <f aca="false">IF(B61="","",IF($AC61="NON",0,IF(COUNT(AD61:AH61)=0,"",IFERROR(ROUND(SUM(AD61:AH61)/SUMPRODUCT(ISNUMBER(AD61:AH61)*$AD$8:$AH$8)*20,2),""))))</f>
        <v/>
      </c>
      <c r="AK61" s="51" t="str">
        <f aca="false">IFERROR(MATCH("CM2-52",'REGISTRE ELEVES'!$AI$10:$AI$250,0),"")</f>
        <v/>
      </c>
    </row>
    <row r="62" customFormat="false" ht="15" hidden="false" customHeight="false" outlineLevel="0" collapsed="false">
      <c r="A62" s="73" t="str">
        <f aca="false">IF(B62="","",53)</f>
        <v/>
      </c>
      <c r="B62" s="73" t="str">
        <f aca="false">IF($AK62="","",INDEX('REGISTRE ELEVES'!$B$10:$B$250,$AK62))</f>
        <v/>
      </c>
      <c r="C62" s="74" t="str">
        <f aca="false">IF($AK62="","",INDEX('REGISTRE ELEVES'!$D$10:$D$250,$AK62))</f>
        <v/>
      </c>
      <c r="D62" s="73" t="str">
        <f aca="false">IF($AK62="","",INDEX('REGISTRE ELEVES'!$E$10:$E$250,$AK62))</f>
        <v/>
      </c>
      <c r="E62" s="73" t="str">
        <f aca="false">IF($AK62="","",INDEX('REGISTRE ELEVES'!$F$10:$F$250,$AK62))</f>
        <v/>
      </c>
      <c r="F62" s="73" t="str">
        <f aca="false">IF($AK62="","",INDEX('REGISTRE ELEVES'!$AE$10:$AE$250,$AK62))</f>
        <v/>
      </c>
      <c r="G62" s="75"/>
      <c r="H62" s="76"/>
      <c r="I62" s="76"/>
      <c r="J62" s="76"/>
      <c r="K62" s="76"/>
      <c r="L62" s="79" t="str">
        <f aca="false">IF(B62="","",IF($G62="NON",0,IF(COUNT(H62:K62)=0,"",SUM(H62:K62))))</f>
        <v/>
      </c>
      <c r="M62" s="77" t="str">
        <f aca="false">IF(B62="","",IF($G62="NON",0,IF(COUNT(H62:K62)=0,"",IFERROR(ROUND(SUM(H62:K62)/SUMPRODUCT(ISNUMBER(H62:K62)*$H$8:$K$8)*20,2),""))))</f>
        <v/>
      </c>
      <c r="N62" s="75"/>
      <c r="O62" s="76"/>
      <c r="P62" s="76"/>
      <c r="Q62" s="76"/>
      <c r="R62" s="76"/>
      <c r="S62" s="79" t="str">
        <f aca="false">IF(B62="","",IF($N62="NON",0,IF(COUNT(O62:R62)=0,"",SUM(O62:R62))))</f>
        <v/>
      </c>
      <c r="T62" s="77" t="str">
        <f aca="false">IF(B62="","",IF($N62="NON",0,IF(COUNT(O62:R62)=0,"",IFERROR(ROUND(SUM(O62:R62)/SUMPRODUCT(ISNUMBER(O62:R62)*$O$8:$R$8)*20,2),""))))</f>
        <v/>
      </c>
      <c r="U62" s="75"/>
      <c r="V62" s="76"/>
      <c r="W62" s="76"/>
      <c r="X62" s="76"/>
      <c r="Y62" s="76"/>
      <c r="Z62" s="76"/>
      <c r="AA62" s="79" t="str">
        <f aca="false">IF(B62="","",IF($U62="NON",0,IF(COUNT(V62:Z62)=0,"",SUM(V62:Z62))))</f>
        <v/>
      </c>
      <c r="AB62" s="77" t="str">
        <f aca="false">IF(B62="","",IF($U62="NON",0,IF(COUNT(V62:Z62)=0,"",IFERROR(ROUND(SUM(V62:Z62)/SUMPRODUCT(ISNUMBER(V62:Z62)*$V$8:$Z$8)*20,2),""))))</f>
        <v/>
      </c>
      <c r="AC62" s="75"/>
      <c r="AD62" s="76"/>
      <c r="AE62" s="76"/>
      <c r="AF62" s="76"/>
      <c r="AG62" s="76"/>
      <c r="AH62" s="76"/>
      <c r="AI62" s="79" t="str">
        <f aca="false">IF(B62="","",IF($AC62="NON",0,IF(COUNT(AD62:AH62)=0,"",SUM(AD62:AH62))))</f>
        <v/>
      </c>
      <c r="AJ62" s="77" t="str">
        <f aca="false">IF(B62="","",IF($AC62="NON",0,IF(COUNT(AD62:AH62)=0,"",IFERROR(ROUND(SUM(AD62:AH62)/SUMPRODUCT(ISNUMBER(AD62:AH62)*$AD$8:$AH$8)*20,2),""))))</f>
        <v/>
      </c>
      <c r="AK62" s="51" t="str">
        <f aca="false">IFERROR(MATCH("CM2-53",'REGISTRE ELEVES'!$AI$10:$AI$250,0),"")</f>
        <v/>
      </c>
    </row>
    <row r="63" customFormat="false" ht="15" hidden="false" customHeight="false" outlineLevel="0" collapsed="false">
      <c r="A63" s="73" t="str">
        <f aca="false">IF(B63="","",54)</f>
        <v/>
      </c>
      <c r="B63" s="73" t="str">
        <f aca="false">IF($AK63="","",INDEX('REGISTRE ELEVES'!$B$10:$B$250,$AK63))</f>
        <v/>
      </c>
      <c r="C63" s="74" t="str">
        <f aca="false">IF($AK63="","",INDEX('REGISTRE ELEVES'!$D$10:$D$250,$AK63))</f>
        <v/>
      </c>
      <c r="D63" s="73" t="str">
        <f aca="false">IF($AK63="","",INDEX('REGISTRE ELEVES'!$E$10:$E$250,$AK63))</f>
        <v/>
      </c>
      <c r="E63" s="73" t="str">
        <f aca="false">IF($AK63="","",INDEX('REGISTRE ELEVES'!$F$10:$F$250,$AK63))</f>
        <v/>
      </c>
      <c r="F63" s="73" t="str">
        <f aca="false">IF($AK63="","",INDEX('REGISTRE ELEVES'!$AE$10:$AE$250,$AK63))</f>
        <v/>
      </c>
      <c r="G63" s="75"/>
      <c r="H63" s="76"/>
      <c r="I63" s="76"/>
      <c r="J63" s="76"/>
      <c r="K63" s="76"/>
      <c r="L63" s="79" t="str">
        <f aca="false">IF(B63="","",IF($G63="NON",0,IF(COUNT(H63:K63)=0,"",SUM(H63:K63))))</f>
        <v/>
      </c>
      <c r="M63" s="77" t="str">
        <f aca="false">IF(B63="","",IF($G63="NON",0,IF(COUNT(H63:K63)=0,"",IFERROR(ROUND(SUM(H63:K63)/SUMPRODUCT(ISNUMBER(H63:K63)*$H$8:$K$8)*20,2),""))))</f>
        <v/>
      </c>
      <c r="N63" s="75"/>
      <c r="O63" s="76"/>
      <c r="P63" s="76"/>
      <c r="Q63" s="76"/>
      <c r="R63" s="76"/>
      <c r="S63" s="79" t="str">
        <f aca="false">IF(B63="","",IF($N63="NON",0,IF(COUNT(O63:R63)=0,"",SUM(O63:R63))))</f>
        <v/>
      </c>
      <c r="T63" s="77" t="str">
        <f aca="false">IF(B63="","",IF($N63="NON",0,IF(COUNT(O63:R63)=0,"",IFERROR(ROUND(SUM(O63:R63)/SUMPRODUCT(ISNUMBER(O63:R63)*$O$8:$R$8)*20,2),""))))</f>
        <v/>
      </c>
      <c r="U63" s="75"/>
      <c r="V63" s="76"/>
      <c r="W63" s="76"/>
      <c r="X63" s="76"/>
      <c r="Y63" s="76"/>
      <c r="Z63" s="76"/>
      <c r="AA63" s="79" t="str">
        <f aca="false">IF(B63="","",IF($U63="NON",0,IF(COUNT(V63:Z63)=0,"",SUM(V63:Z63))))</f>
        <v/>
      </c>
      <c r="AB63" s="77" t="str">
        <f aca="false">IF(B63="","",IF($U63="NON",0,IF(COUNT(V63:Z63)=0,"",IFERROR(ROUND(SUM(V63:Z63)/SUMPRODUCT(ISNUMBER(V63:Z63)*$V$8:$Z$8)*20,2),""))))</f>
        <v/>
      </c>
      <c r="AC63" s="75"/>
      <c r="AD63" s="76"/>
      <c r="AE63" s="76"/>
      <c r="AF63" s="76"/>
      <c r="AG63" s="76"/>
      <c r="AH63" s="76"/>
      <c r="AI63" s="79" t="str">
        <f aca="false">IF(B63="","",IF($AC63="NON",0,IF(COUNT(AD63:AH63)=0,"",SUM(AD63:AH63))))</f>
        <v/>
      </c>
      <c r="AJ63" s="77" t="str">
        <f aca="false">IF(B63="","",IF($AC63="NON",0,IF(COUNT(AD63:AH63)=0,"",IFERROR(ROUND(SUM(AD63:AH63)/SUMPRODUCT(ISNUMBER(AD63:AH63)*$AD$8:$AH$8)*20,2),""))))</f>
        <v/>
      </c>
      <c r="AK63" s="51" t="str">
        <f aca="false">IFERROR(MATCH("CM2-54",'REGISTRE ELEVES'!$AI$10:$AI$250,0),"")</f>
        <v/>
      </c>
    </row>
    <row r="64" customFormat="false" ht="15" hidden="false" customHeight="false" outlineLevel="0" collapsed="false">
      <c r="A64" s="73" t="str">
        <f aca="false">IF(B64="","",55)</f>
        <v/>
      </c>
      <c r="B64" s="73" t="str">
        <f aca="false">IF($AK64="","",INDEX('REGISTRE ELEVES'!$B$10:$B$250,$AK64))</f>
        <v/>
      </c>
      <c r="C64" s="74" t="str">
        <f aca="false">IF($AK64="","",INDEX('REGISTRE ELEVES'!$D$10:$D$250,$AK64))</f>
        <v/>
      </c>
      <c r="D64" s="73" t="str">
        <f aca="false">IF($AK64="","",INDEX('REGISTRE ELEVES'!$E$10:$E$250,$AK64))</f>
        <v/>
      </c>
      <c r="E64" s="73" t="str">
        <f aca="false">IF($AK64="","",INDEX('REGISTRE ELEVES'!$F$10:$F$250,$AK64))</f>
        <v/>
      </c>
      <c r="F64" s="73" t="str">
        <f aca="false">IF($AK64="","",INDEX('REGISTRE ELEVES'!$AE$10:$AE$250,$AK64))</f>
        <v/>
      </c>
      <c r="G64" s="75"/>
      <c r="H64" s="76"/>
      <c r="I64" s="76"/>
      <c r="J64" s="76"/>
      <c r="K64" s="76"/>
      <c r="L64" s="79" t="str">
        <f aca="false">IF(B64="","",IF($G64="NON",0,IF(COUNT(H64:K64)=0,"",SUM(H64:K64))))</f>
        <v/>
      </c>
      <c r="M64" s="77" t="str">
        <f aca="false">IF(B64="","",IF($G64="NON",0,IF(COUNT(H64:K64)=0,"",IFERROR(ROUND(SUM(H64:K64)/SUMPRODUCT(ISNUMBER(H64:K64)*$H$8:$K$8)*20,2),""))))</f>
        <v/>
      </c>
      <c r="N64" s="75"/>
      <c r="O64" s="76"/>
      <c r="P64" s="76"/>
      <c r="Q64" s="76"/>
      <c r="R64" s="76"/>
      <c r="S64" s="79" t="str">
        <f aca="false">IF(B64="","",IF($N64="NON",0,IF(COUNT(O64:R64)=0,"",SUM(O64:R64))))</f>
        <v/>
      </c>
      <c r="T64" s="77" t="str">
        <f aca="false">IF(B64="","",IF($N64="NON",0,IF(COUNT(O64:R64)=0,"",IFERROR(ROUND(SUM(O64:R64)/SUMPRODUCT(ISNUMBER(O64:R64)*$O$8:$R$8)*20,2),""))))</f>
        <v/>
      </c>
      <c r="U64" s="75"/>
      <c r="V64" s="76"/>
      <c r="W64" s="76"/>
      <c r="X64" s="76"/>
      <c r="Y64" s="76"/>
      <c r="Z64" s="76"/>
      <c r="AA64" s="79" t="str">
        <f aca="false">IF(B64="","",IF($U64="NON",0,IF(COUNT(V64:Z64)=0,"",SUM(V64:Z64))))</f>
        <v/>
      </c>
      <c r="AB64" s="77" t="str">
        <f aca="false">IF(B64="","",IF($U64="NON",0,IF(COUNT(V64:Z64)=0,"",IFERROR(ROUND(SUM(V64:Z64)/SUMPRODUCT(ISNUMBER(V64:Z64)*$V$8:$Z$8)*20,2),""))))</f>
        <v/>
      </c>
      <c r="AC64" s="75"/>
      <c r="AD64" s="76"/>
      <c r="AE64" s="76"/>
      <c r="AF64" s="76"/>
      <c r="AG64" s="76"/>
      <c r="AH64" s="76"/>
      <c r="AI64" s="79" t="str">
        <f aca="false">IF(B64="","",IF($AC64="NON",0,IF(COUNT(AD64:AH64)=0,"",SUM(AD64:AH64))))</f>
        <v/>
      </c>
      <c r="AJ64" s="77" t="str">
        <f aca="false">IF(B64="","",IF($AC64="NON",0,IF(COUNT(AD64:AH64)=0,"",IFERROR(ROUND(SUM(AD64:AH64)/SUMPRODUCT(ISNUMBER(AD64:AH64)*$AD$8:$AH$8)*20,2),""))))</f>
        <v/>
      </c>
      <c r="AK64" s="51" t="str">
        <f aca="false">IFERROR(MATCH("CM2-55",'REGISTRE ELEVES'!$AI$10:$AI$250,0),"")</f>
        <v/>
      </c>
    </row>
    <row r="65" customFormat="false" ht="15" hidden="false" customHeight="false" outlineLevel="0" collapsed="false">
      <c r="A65" s="73" t="str">
        <f aca="false">IF(B65="","",56)</f>
        <v/>
      </c>
      <c r="B65" s="73" t="str">
        <f aca="false">IF($AK65="","",INDEX('REGISTRE ELEVES'!$B$10:$B$250,$AK65))</f>
        <v/>
      </c>
      <c r="C65" s="74" t="str">
        <f aca="false">IF($AK65="","",INDEX('REGISTRE ELEVES'!$D$10:$D$250,$AK65))</f>
        <v/>
      </c>
      <c r="D65" s="73" t="str">
        <f aca="false">IF($AK65="","",INDEX('REGISTRE ELEVES'!$E$10:$E$250,$AK65))</f>
        <v/>
      </c>
      <c r="E65" s="73" t="str">
        <f aca="false">IF($AK65="","",INDEX('REGISTRE ELEVES'!$F$10:$F$250,$AK65))</f>
        <v/>
      </c>
      <c r="F65" s="73" t="str">
        <f aca="false">IF($AK65="","",INDEX('REGISTRE ELEVES'!$AE$10:$AE$250,$AK65))</f>
        <v/>
      </c>
      <c r="G65" s="75"/>
      <c r="H65" s="76"/>
      <c r="I65" s="76"/>
      <c r="J65" s="76"/>
      <c r="K65" s="76"/>
      <c r="L65" s="79" t="str">
        <f aca="false">IF(B65="","",IF($G65="NON",0,IF(COUNT(H65:K65)=0,"",SUM(H65:K65))))</f>
        <v/>
      </c>
      <c r="M65" s="77" t="str">
        <f aca="false">IF(B65="","",IF($G65="NON",0,IF(COUNT(H65:K65)=0,"",IFERROR(ROUND(SUM(H65:K65)/SUMPRODUCT(ISNUMBER(H65:K65)*$H$8:$K$8)*20,2),""))))</f>
        <v/>
      </c>
      <c r="N65" s="75"/>
      <c r="O65" s="76"/>
      <c r="P65" s="76"/>
      <c r="Q65" s="76"/>
      <c r="R65" s="76"/>
      <c r="S65" s="79" t="str">
        <f aca="false">IF(B65="","",IF($N65="NON",0,IF(COUNT(O65:R65)=0,"",SUM(O65:R65))))</f>
        <v/>
      </c>
      <c r="T65" s="77" t="str">
        <f aca="false">IF(B65="","",IF($N65="NON",0,IF(COUNT(O65:R65)=0,"",IFERROR(ROUND(SUM(O65:R65)/SUMPRODUCT(ISNUMBER(O65:R65)*$O$8:$R$8)*20,2),""))))</f>
        <v/>
      </c>
      <c r="U65" s="75"/>
      <c r="V65" s="76"/>
      <c r="W65" s="76"/>
      <c r="X65" s="76"/>
      <c r="Y65" s="76"/>
      <c r="Z65" s="76"/>
      <c r="AA65" s="79" t="str">
        <f aca="false">IF(B65="","",IF($U65="NON",0,IF(COUNT(V65:Z65)=0,"",SUM(V65:Z65))))</f>
        <v/>
      </c>
      <c r="AB65" s="77" t="str">
        <f aca="false">IF(B65="","",IF($U65="NON",0,IF(COUNT(V65:Z65)=0,"",IFERROR(ROUND(SUM(V65:Z65)/SUMPRODUCT(ISNUMBER(V65:Z65)*$V$8:$Z$8)*20,2),""))))</f>
        <v/>
      </c>
      <c r="AC65" s="75"/>
      <c r="AD65" s="76"/>
      <c r="AE65" s="76"/>
      <c r="AF65" s="76"/>
      <c r="AG65" s="76"/>
      <c r="AH65" s="76"/>
      <c r="AI65" s="79" t="str">
        <f aca="false">IF(B65="","",IF($AC65="NON",0,IF(COUNT(AD65:AH65)=0,"",SUM(AD65:AH65))))</f>
        <v/>
      </c>
      <c r="AJ65" s="77" t="str">
        <f aca="false">IF(B65="","",IF($AC65="NON",0,IF(COUNT(AD65:AH65)=0,"",IFERROR(ROUND(SUM(AD65:AH65)/SUMPRODUCT(ISNUMBER(AD65:AH65)*$AD$8:$AH$8)*20,2),""))))</f>
        <v/>
      </c>
      <c r="AK65" s="51" t="str">
        <f aca="false">IFERROR(MATCH("CM2-56",'REGISTRE ELEVES'!$AI$10:$AI$250,0),"")</f>
        <v/>
      </c>
    </row>
    <row r="66" customFormat="false" ht="15" hidden="false" customHeight="false" outlineLevel="0" collapsed="false">
      <c r="A66" s="73" t="str">
        <f aca="false">IF(B66="","",57)</f>
        <v/>
      </c>
      <c r="B66" s="73" t="str">
        <f aca="false">IF($AK66="","",INDEX('REGISTRE ELEVES'!$B$10:$B$250,$AK66))</f>
        <v/>
      </c>
      <c r="C66" s="74" t="str">
        <f aca="false">IF($AK66="","",INDEX('REGISTRE ELEVES'!$D$10:$D$250,$AK66))</f>
        <v/>
      </c>
      <c r="D66" s="73" t="str">
        <f aca="false">IF($AK66="","",INDEX('REGISTRE ELEVES'!$E$10:$E$250,$AK66))</f>
        <v/>
      </c>
      <c r="E66" s="73" t="str">
        <f aca="false">IF($AK66="","",INDEX('REGISTRE ELEVES'!$F$10:$F$250,$AK66))</f>
        <v/>
      </c>
      <c r="F66" s="73" t="str">
        <f aca="false">IF($AK66="","",INDEX('REGISTRE ELEVES'!$AE$10:$AE$250,$AK66))</f>
        <v/>
      </c>
      <c r="G66" s="75"/>
      <c r="H66" s="76"/>
      <c r="I66" s="76"/>
      <c r="J66" s="76"/>
      <c r="K66" s="76"/>
      <c r="L66" s="79" t="str">
        <f aca="false">IF(B66="","",IF($G66="NON",0,IF(COUNT(H66:K66)=0,"",SUM(H66:K66))))</f>
        <v/>
      </c>
      <c r="M66" s="77" t="str">
        <f aca="false">IF(B66="","",IF($G66="NON",0,IF(COUNT(H66:K66)=0,"",IFERROR(ROUND(SUM(H66:K66)/SUMPRODUCT(ISNUMBER(H66:K66)*$H$8:$K$8)*20,2),""))))</f>
        <v/>
      </c>
      <c r="N66" s="75"/>
      <c r="O66" s="76"/>
      <c r="P66" s="76"/>
      <c r="Q66" s="76"/>
      <c r="R66" s="76"/>
      <c r="S66" s="79" t="str">
        <f aca="false">IF(B66="","",IF($N66="NON",0,IF(COUNT(O66:R66)=0,"",SUM(O66:R66))))</f>
        <v/>
      </c>
      <c r="T66" s="77" t="str">
        <f aca="false">IF(B66="","",IF($N66="NON",0,IF(COUNT(O66:R66)=0,"",IFERROR(ROUND(SUM(O66:R66)/SUMPRODUCT(ISNUMBER(O66:R66)*$O$8:$R$8)*20,2),""))))</f>
        <v/>
      </c>
      <c r="U66" s="75"/>
      <c r="V66" s="76"/>
      <c r="W66" s="76"/>
      <c r="X66" s="76"/>
      <c r="Y66" s="76"/>
      <c r="Z66" s="76"/>
      <c r="AA66" s="79" t="str">
        <f aca="false">IF(B66="","",IF($U66="NON",0,IF(COUNT(V66:Z66)=0,"",SUM(V66:Z66))))</f>
        <v/>
      </c>
      <c r="AB66" s="77" t="str">
        <f aca="false">IF(B66="","",IF($U66="NON",0,IF(COUNT(V66:Z66)=0,"",IFERROR(ROUND(SUM(V66:Z66)/SUMPRODUCT(ISNUMBER(V66:Z66)*$V$8:$Z$8)*20,2),""))))</f>
        <v/>
      </c>
      <c r="AC66" s="75"/>
      <c r="AD66" s="76"/>
      <c r="AE66" s="76"/>
      <c r="AF66" s="76"/>
      <c r="AG66" s="76"/>
      <c r="AH66" s="76"/>
      <c r="AI66" s="79" t="str">
        <f aca="false">IF(B66="","",IF($AC66="NON",0,IF(COUNT(AD66:AH66)=0,"",SUM(AD66:AH66))))</f>
        <v/>
      </c>
      <c r="AJ66" s="77" t="str">
        <f aca="false">IF(B66="","",IF($AC66="NON",0,IF(COUNT(AD66:AH66)=0,"",IFERROR(ROUND(SUM(AD66:AH66)/SUMPRODUCT(ISNUMBER(AD66:AH66)*$AD$8:$AH$8)*20,2),""))))</f>
        <v/>
      </c>
      <c r="AK66" s="51" t="str">
        <f aca="false">IFERROR(MATCH("CM2-57",'REGISTRE ELEVES'!$AI$10:$AI$250,0),"")</f>
        <v/>
      </c>
    </row>
    <row r="67" customFormat="false" ht="15" hidden="false" customHeight="false" outlineLevel="0" collapsed="false">
      <c r="A67" s="73" t="str">
        <f aca="false">IF(B67="","",58)</f>
        <v/>
      </c>
      <c r="B67" s="73" t="str">
        <f aca="false">IF($AK67="","",INDEX('REGISTRE ELEVES'!$B$10:$B$250,$AK67))</f>
        <v/>
      </c>
      <c r="C67" s="74" t="str">
        <f aca="false">IF($AK67="","",INDEX('REGISTRE ELEVES'!$D$10:$D$250,$AK67))</f>
        <v/>
      </c>
      <c r="D67" s="73" t="str">
        <f aca="false">IF($AK67="","",INDEX('REGISTRE ELEVES'!$E$10:$E$250,$AK67))</f>
        <v/>
      </c>
      <c r="E67" s="73" t="str">
        <f aca="false">IF($AK67="","",INDEX('REGISTRE ELEVES'!$F$10:$F$250,$AK67))</f>
        <v/>
      </c>
      <c r="F67" s="73" t="str">
        <f aca="false">IF($AK67="","",INDEX('REGISTRE ELEVES'!$AE$10:$AE$250,$AK67))</f>
        <v/>
      </c>
      <c r="G67" s="75"/>
      <c r="H67" s="76"/>
      <c r="I67" s="76"/>
      <c r="J67" s="76"/>
      <c r="K67" s="76"/>
      <c r="L67" s="79" t="str">
        <f aca="false">IF(B67="","",IF($G67="NON",0,IF(COUNT(H67:K67)=0,"",SUM(H67:K67))))</f>
        <v/>
      </c>
      <c r="M67" s="77" t="str">
        <f aca="false">IF(B67="","",IF($G67="NON",0,IF(COUNT(H67:K67)=0,"",IFERROR(ROUND(SUM(H67:K67)/SUMPRODUCT(ISNUMBER(H67:K67)*$H$8:$K$8)*20,2),""))))</f>
        <v/>
      </c>
      <c r="N67" s="75"/>
      <c r="O67" s="76"/>
      <c r="P67" s="76"/>
      <c r="Q67" s="76"/>
      <c r="R67" s="76"/>
      <c r="S67" s="79" t="str">
        <f aca="false">IF(B67="","",IF($N67="NON",0,IF(COUNT(O67:R67)=0,"",SUM(O67:R67))))</f>
        <v/>
      </c>
      <c r="T67" s="77" t="str">
        <f aca="false">IF(B67="","",IF($N67="NON",0,IF(COUNT(O67:R67)=0,"",IFERROR(ROUND(SUM(O67:R67)/SUMPRODUCT(ISNUMBER(O67:R67)*$O$8:$R$8)*20,2),""))))</f>
        <v/>
      </c>
      <c r="U67" s="75"/>
      <c r="V67" s="76"/>
      <c r="W67" s="76"/>
      <c r="X67" s="76"/>
      <c r="Y67" s="76"/>
      <c r="Z67" s="76"/>
      <c r="AA67" s="79" t="str">
        <f aca="false">IF(B67="","",IF($U67="NON",0,IF(COUNT(V67:Z67)=0,"",SUM(V67:Z67))))</f>
        <v/>
      </c>
      <c r="AB67" s="77" t="str">
        <f aca="false">IF(B67="","",IF($U67="NON",0,IF(COUNT(V67:Z67)=0,"",IFERROR(ROUND(SUM(V67:Z67)/SUMPRODUCT(ISNUMBER(V67:Z67)*$V$8:$Z$8)*20,2),""))))</f>
        <v/>
      </c>
      <c r="AC67" s="75"/>
      <c r="AD67" s="76"/>
      <c r="AE67" s="76"/>
      <c r="AF67" s="76"/>
      <c r="AG67" s="76"/>
      <c r="AH67" s="76"/>
      <c r="AI67" s="79" t="str">
        <f aca="false">IF(B67="","",IF($AC67="NON",0,IF(COUNT(AD67:AH67)=0,"",SUM(AD67:AH67))))</f>
        <v/>
      </c>
      <c r="AJ67" s="77" t="str">
        <f aca="false">IF(B67="","",IF($AC67="NON",0,IF(COUNT(AD67:AH67)=0,"",IFERROR(ROUND(SUM(AD67:AH67)/SUMPRODUCT(ISNUMBER(AD67:AH67)*$AD$8:$AH$8)*20,2),""))))</f>
        <v/>
      </c>
      <c r="AK67" s="51" t="str">
        <f aca="false">IFERROR(MATCH("CM2-58",'REGISTRE ELEVES'!$AI$10:$AI$250,0),"")</f>
        <v/>
      </c>
    </row>
    <row r="68" customFormat="false" ht="15" hidden="false" customHeight="false" outlineLevel="0" collapsed="false">
      <c r="A68" s="73" t="str">
        <f aca="false">IF(B68="","",59)</f>
        <v/>
      </c>
      <c r="B68" s="73" t="str">
        <f aca="false">IF($AK68="","",INDEX('REGISTRE ELEVES'!$B$10:$B$250,$AK68))</f>
        <v/>
      </c>
      <c r="C68" s="74" t="str">
        <f aca="false">IF($AK68="","",INDEX('REGISTRE ELEVES'!$D$10:$D$250,$AK68))</f>
        <v/>
      </c>
      <c r="D68" s="73" t="str">
        <f aca="false">IF($AK68="","",INDEX('REGISTRE ELEVES'!$E$10:$E$250,$AK68))</f>
        <v/>
      </c>
      <c r="E68" s="73" t="str">
        <f aca="false">IF($AK68="","",INDEX('REGISTRE ELEVES'!$F$10:$F$250,$AK68))</f>
        <v/>
      </c>
      <c r="F68" s="73" t="str">
        <f aca="false">IF($AK68="","",INDEX('REGISTRE ELEVES'!$AE$10:$AE$250,$AK68))</f>
        <v/>
      </c>
      <c r="G68" s="75"/>
      <c r="H68" s="76"/>
      <c r="I68" s="76"/>
      <c r="J68" s="76"/>
      <c r="K68" s="76"/>
      <c r="L68" s="79" t="str">
        <f aca="false">IF(B68="","",IF($G68="NON",0,IF(COUNT(H68:K68)=0,"",SUM(H68:K68))))</f>
        <v/>
      </c>
      <c r="M68" s="77" t="str">
        <f aca="false">IF(B68="","",IF($G68="NON",0,IF(COUNT(H68:K68)=0,"",IFERROR(ROUND(SUM(H68:K68)/SUMPRODUCT(ISNUMBER(H68:K68)*$H$8:$K$8)*20,2),""))))</f>
        <v/>
      </c>
      <c r="N68" s="75"/>
      <c r="O68" s="76"/>
      <c r="P68" s="76"/>
      <c r="Q68" s="76"/>
      <c r="R68" s="76"/>
      <c r="S68" s="79" t="str">
        <f aca="false">IF(B68="","",IF($N68="NON",0,IF(COUNT(O68:R68)=0,"",SUM(O68:R68))))</f>
        <v/>
      </c>
      <c r="T68" s="77" t="str">
        <f aca="false">IF(B68="","",IF($N68="NON",0,IF(COUNT(O68:R68)=0,"",IFERROR(ROUND(SUM(O68:R68)/SUMPRODUCT(ISNUMBER(O68:R68)*$O$8:$R$8)*20,2),""))))</f>
        <v/>
      </c>
      <c r="U68" s="75"/>
      <c r="V68" s="76"/>
      <c r="W68" s="76"/>
      <c r="X68" s="76"/>
      <c r="Y68" s="76"/>
      <c r="Z68" s="76"/>
      <c r="AA68" s="79" t="str">
        <f aca="false">IF(B68="","",IF($U68="NON",0,IF(COUNT(V68:Z68)=0,"",SUM(V68:Z68))))</f>
        <v/>
      </c>
      <c r="AB68" s="77" t="str">
        <f aca="false">IF(B68="","",IF($U68="NON",0,IF(COUNT(V68:Z68)=0,"",IFERROR(ROUND(SUM(V68:Z68)/SUMPRODUCT(ISNUMBER(V68:Z68)*$V$8:$Z$8)*20,2),""))))</f>
        <v/>
      </c>
      <c r="AC68" s="75"/>
      <c r="AD68" s="76"/>
      <c r="AE68" s="76"/>
      <c r="AF68" s="76"/>
      <c r="AG68" s="76"/>
      <c r="AH68" s="76"/>
      <c r="AI68" s="79" t="str">
        <f aca="false">IF(B68="","",IF($AC68="NON",0,IF(COUNT(AD68:AH68)=0,"",SUM(AD68:AH68))))</f>
        <v/>
      </c>
      <c r="AJ68" s="77" t="str">
        <f aca="false">IF(B68="","",IF($AC68="NON",0,IF(COUNT(AD68:AH68)=0,"",IFERROR(ROUND(SUM(AD68:AH68)/SUMPRODUCT(ISNUMBER(AD68:AH68)*$AD$8:$AH$8)*20,2),""))))</f>
        <v/>
      </c>
      <c r="AK68" s="51" t="str">
        <f aca="false">IFERROR(MATCH("CM2-59",'REGISTRE ELEVES'!$AI$10:$AI$250,0),"")</f>
        <v/>
      </c>
    </row>
    <row r="69" customFormat="false" ht="15" hidden="false" customHeight="false" outlineLevel="0" collapsed="false">
      <c r="A69" s="73" t="str">
        <f aca="false">IF(B69="","",60)</f>
        <v/>
      </c>
      <c r="B69" s="73" t="str">
        <f aca="false">IF($AK69="","",INDEX('REGISTRE ELEVES'!$B$10:$B$250,$AK69))</f>
        <v/>
      </c>
      <c r="C69" s="74" t="str">
        <f aca="false">IF($AK69="","",INDEX('REGISTRE ELEVES'!$D$10:$D$250,$AK69))</f>
        <v/>
      </c>
      <c r="D69" s="73" t="str">
        <f aca="false">IF($AK69="","",INDEX('REGISTRE ELEVES'!$E$10:$E$250,$AK69))</f>
        <v/>
      </c>
      <c r="E69" s="73" t="str">
        <f aca="false">IF($AK69="","",INDEX('REGISTRE ELEVES'!$F$10:$F$250,$AK69))</f>
        <v/>
      </c>
      <c r="F69" s="73" t="str">
        <f aca="false">IF($AK69="","",INDEX('REGISTRE ELEVES'!$AE$10:$AE$250,$AK69))</f>
        <v/>
      </c>
      <c r="G69" s="75"/>
      <c r="H69" s="76"/>
      <c r="I69" s="76"/>
      <c r="J69" s="76"/>
      <c r="K69" s="76"/>
      <c r="L69" s="79" t="str">
        <f aca="false">IF(B69="","",IF($G69="NON",0,IF(COUNT(H69:K69)=0,"",SUM(H69:K69))))</f>
        <v/>
      </c>
      <c r="M69" s="77" t="str">
        <f aca="false">IF(B69="","",IF($G69="NON",0,IF(COUNT(H69:K69)=0,"",IFERROR(ROUND(SUM(H69:K69)/SUMPRODUCT(ISNUMBER(H69:K69)*$H$8:$K$8)*20,2),""))))</f>
        <v/>
      </c>
      <c r="N69" s="75"/>
      <c r="O69" s="76"/>
      <c r="P69" s="76"/>
      <c r="Q69" s="76"/>
      <c r="R69" s="76"/>
      <c r="S69" s="79" t="str">
        <f aca="false">IF(B69="","",IF($N69="NON",0,IF(COUNT(O69:R69)=0,"",SUM(O69:R69))))</f>
        <v/>
      </c>
      <c r="T69" s="77" t="str">
        <f aca="false">IF(B69="","",IF($N69="NON",0,IF(COUNT(O69:R69)=0,"",IFERROR(ROUND(SUM(O69:R69)/SUMPRODUCT(ISNUMBER(O69:R69)*$O$8:$R$8)*20,2),""))))</f>
        <v/>
      </c>
      <c r="U69" s="75"/>
      <c r="V69" s="76"/>
      <c r="W69" s="76"/>
      <c r="X69" s="76"/>
      <c r="Y69" s="76"/>
      <c r="Z69" s="76"/>
      <c r="AA69" s="79" t="str">
        <f aca="false">IF(B69="","",IF($U69="NON",0,IF(COUNT(V69:Z69)=0,"",SUM(V69:Z69))))</f>
        <v/>
      </c>
      <c r="AB69" s="77" t="str">
        <f aca="false">IF(B69="","",IF($U69="NON",0,IF(COUNT(V69:Z69)=0,"",IFERROR(ROUND(SUM(V69:Z69)/SUMPRODUCT(ISNUMBER(V69:Z69)*$V$8:$Z$8)*20,2),""))))</f>
        <v/>
      </c>
      <c r="AC69" s="75"/>
      <c r="AD69" s="76"/>
      <c r="AE69" s="76"/>
      <c r="AF69" s="76"/>
      <c r="AG69" s="76"/>
      <c r="AH69" s="76"/>
      <c r="AI69" s="79" t="str">
        <f aca="false">IF(B69="","",IF($AC69="NON",0,IF(COUNT(AD69:AH69)=0,"",SUM(AD69:AH69))))</f>
        <v/>
      </c>
      <c r="AJ69" s="77" t="str">
        <f aca="false">IF(B69="","",IF($AC69="NON",0,IF(COUNT(AD69:AH69)=0,"",IFERROR(ROUND(SUM(AD69:AH69)/SUMPRODUCT(ISNUMBER(AD69:AH69)*$AD$8:$AH$8)*20,2),""))))</f>
        <v/>
      </c>
      <c r="AK69" s="51" t="str">
        <f aca="false">IFERROR(MATCH("CM2-60",'REGISTRE ELEVES'!$AI$10:$AI$250,0),"")</f>
        <v/>
      </c>
    </row>
    <row r="70" customFormat="false" ht="15" hidden="false" customHeight="false" outlineLevel="0" collapsed="false">
      <c r="A70" s="73" t="str">
        <f aca="false">IF(B70="","",61)</f>
        <v/>
      </c>
      <c r="B70" s="73" t="str">
        <f aca="false">IF($AK70="","",INDEX('REGISTRE ELEVES'!$B$10:$B$250,$AK70))</f>
        <v/>
      </c>
      <c r="C70" s="74" t="str">
        <f aca="false">IF($AK70="","",INDEX('REGISTRE ELEVES'!$D$10:$D$250,$AK70))</f>
        <v/>
      </c>
      <c r="D70" s="73" t="str">
        <f aca="false">IF($AK70="","",INDEX('REGISTRE ELEVES'!$E$10:$E$250,$AK70))</f>
        <v/>
      </c>
      <c r="E70" s="73" t="str">
        <f aca="false">IF($AK70="","",INDEX('REGISTRE ELEVES'!$F$10:$F$250,$AK70))</f>
        <v/>
      </c>
      <c r="F70" s="73" t="str">
        <f aca="false">IF($AK70="","",INDEX('REGISTRE ELEVES'!$AE$10:$AE$250,$AK70))</f>
        <v/>
      </c>
      <c r="G70" s="75"/>
      <c r="H70" s="76"/>
      <c r="I70" s="76"/>
      <c r="J70" s="76"/>
      <c r="K70" s="76"/>
      <c r="L70" s="79" t="str">
        <f aca="false">IF(B70="","",IF($G70="NON",0,IF(COUNT(H70:K70)=0,"",SUM(H70:K70))))</f>
        <v/>
      </c>
      <c r="M70" s="77" t="str">
        <f aca="false">IF(B70="","",IF($G70="NON",0,IF(COUNT(H70:K70)=0,"",IFERROR(ROUND(SUM(H70:K70)/SUMPRODUCT(ISNUMBER(H70:K70)*$H$8:$K$8)*20,2),""))))</f>
        <v/>
      </c>
      <c r="N70" s="75"/>
      <c r="O70" s="76"/>
      <c r="P70" s="76"/>
      <c r="Q70" s="76"/>
      <c r="R70" s="76"/>
      <c r="S70" s="79" t="str">
        <f aca="false">IF(B70="","",IF($N70="NON",0,IF(COUNT(O70:R70)=0,"",SUM(O70:R70))))</f>
        <v/>
      </c>
      <c r="T70" s="77" t="str">
        <f aca="false">IF(B70="","",IF($N70="NON",0,IF(COUNT(O70:R70)=0,"",IFERROR(ROUND(SUM(O70:R70)/SUMPRODUCT(ISNUMBER(O70:R70)*$O$8:$R$8)*20,2),""))))</f>
        <v/>
      </c>
      <c r="U70" s="75"/>
      <c r="V70" s="76"/>
      <c r="W70" s="76"/>
      <c r="X70" s="76"/>
      <c r="Y70" s="76"/>
      <c r="Z70" s="76"/>
      <c r="AA70" s="79" t="str">
        <f aca="false">IF(B70="","",IF($U70="NON",0,IF(COUNT(V70:Z70)=0,"",SUM(V70:Z70))))</f>
        <v/>
      </c>
      <c r="AB70" s="77" t="str">
        <f aca="false">IF(B70="","",IF($U70="NON",0,IF(COUNT(V70:Z70)=0,"",IFERROR(ROUND(SUM(V70:Z70)/SUMPRODUCT(ISNUMBER(V70:Z70)*$V$8:$Z$8)*20,2),""))))</f>
        <v/>
      </c>
      <c r="AC70" s="75"/>
      <c r="AD70" s="76"/>
      <c r="AE70" s="76"/>
      <c r="AF70" s="76"/>
      <c r="AG70" s="76"/>
      <c r="AH70" s="76"/>
      <c r="AI70" s="79" t="str">
        <f aca="false">IF(B70="","",IF($AC70="NON",0,IF(COUNT(AD70:AH70)=0,"",SUM(AD70:AH70))))</f>
        <v/>
      </c>
      <c r="AJ70" s="77" t="str">
        <f aca="false">IF(B70="","",IF($AC70="NON",0,IF(COUNT(AD70:AH70)=0,"",IFERROR(ROUND(SUM(AD70:AH70)/SUMPRODUCT(ISNUMBER(AD70:AH70)*$AD$8:$AH$8)*20,2),""))))</f>
        <v/>
      </c>
      <c r="AK70" s="51" t="str">
        <f aca="false">IFERROR(MATCH("CM2-61",'REGISTRE ELEVES'!$AI$10:$AI$250,0),"")</f>
        <v/>
      </c>
    </row>
    <row r="71" customFormat="false" ht="15" hidden="false" customHeight="false" outlineLevel="0" collapsed="false">
      <c r="A71" s="73" t="str">
        <f aca="false">IF(B71="","",62)</f>
        <v/>
      </c>
      <c r="B71" s="73" t="str">
        <f aca="false">IF($AK71="","",INDEX('REGISTRE ELEVES'!$B$10:$B$250,$AK71))</f>
        <v/>
      </c>
      <c r="C71" s="74" t="str">
        <f aca="false">IF($AK71="","",INDEX('REGISTRE ELEVES'!$D$10:$D$250,$AK71))</f>
        <v/>
      </c>
      <c r="D71" s="73" t="str">
        <f aca="false">IF($AK71="","",INDEX('REGISTRE ELEVES'!$E$10:$E$250,$AK71))</f>
        <v/>
      </c>
      <c r="E71" s="73" t="str">
        <f aca="false">IF($AK71="","",INDEX('REGISTRE ELEVES'!$F$10:$F$250,$AK71))</f>
        <v/>
      </c>
      <c r="F71" s="73" t="str">
        <f aca="false">IF($AK71="","",INDEX('REGISTRE ELEVES'!$AE$10:$AE$250,$AK71))</f>
        <v/>
      </c>
      <c r="G71" s="75"/>
      <c r="H71" s="76"/>
      <c r="I71" s="76"/>
      <c r="J71" s="76"/>
      <c r="K71" s="76"/>
      <c r="L71" s="79" t="str">
        <f aca="false">IF(B71="","",IF($G71="NON",0,IF(COUNT(H71:K71)=0,"",SUM(H71:K71))))</f>
        <v/>
      </c>
      <c r="M71" s="77" t="str">
        <f aca="false">IF(B71="","",IF($G71="NON",0,IF(COUNT(H71:K71)=0,"",IFERROR(ROUND(SUM(H71:K71)/SUMPRODUCT(ISNUMBER(H71:K71)*$H$8:$K$8)*20,2),""))))</f>
        <v/>
      </c>
      <c r="N71" s="75"/>
      <c r="O71" s="76"/>
      <c r="P71" s="76"/>
      <c r="Q71" s="76"/>
      <c r="R71" s="76"/>
      <c r="S71" s="79" t="str">
        <f aca="false">IF(B71="","",IF($N71="NON",0,IF(COUNT(O71:R71)=0,"",SUM(O71:R71))))</f>
        <v/>
      </c>
      <c r="T71" s="77" t="str">
        <f aca="false">IF(B71="","",IF($N71="NON",0,IF(COUNT(O71:R71)=0,"",IFERROR(ROUND(SUM(O71:R71)/SUMPRODUCT(ISNUMBER(O71:R71)*$O$8:$R$8)*20,2),""))))</f>
        <v/>
      </c>
      <c r="U71" s="75"/>
      <c r="V71" s="76"/>
      <c r="W71" s="76"/>
      <c r="X71" s="76"/>
      <c r="Y71" s="76"/>
      <c r="Z71" s="76"/>
      <c r="AA71" s="79" t="str">
        <f aca="false">IF(B71="","",IF($U71="NON",0,IF(COUNT(V71:Z71)=0,"",SUM(V71:Z71))))</f>
        <v/>
      </c>
      <c r="AB71" s="77" t="str">
        <f aca="false">IF(B71="","",IF($U71="NON",0,IF(COUNT(V71:Z71)=0,"",IFERROR(ROUND(SUM(V71:Z71)/SUMPRODUCT(ISNUMBER(V71:Z71)*$V$8:$Z$8)*20,2),""))))</f>
        <v/>
      </c>
      <c r="AC71" s="75"/>
      <c r="AD71" s="76"/>
      <c r="AE71" s="76"/>
      <c r="AF71" s="76"/>
      <c r="AG71" s="76"/>
      <c r="AH71" s="76"/>
      <c r="AI71" s="79" t="str">
        <f aca="false">IF(B71="","",IF($AC71="NON",0,IF(COUNT(AD71:AH71)=0,"",SUM(AD71:AH71))))</f>
        <v/>
      </c>
      <c r="AJ71" s="77" t="str">
        <f aca="false">IF(B71="","",IF($AC71="NON",0,IF(COUNT(AD71:AH71)=0,"",IFERROR(ROUND(SUM(AD71:AH71)/SUMPRODUCT(ISNUMBER(AD71:AH71)*$AD$8:$AH$8)*20,2),""))))</f>
        <v/>
      </c>
      <c r="AK71" s="51" t="str">
        <f aca="false">IFERROR(MATCH("CM2-62",'REGISTRE ELEVES'!$AI$10:$AI$250,0),"")</f>
        <v/>
      </c>
    </row>
    <row r="72" customFormat="false" ht="15" hidden="false" customHeight="false" outlineLevel="0" collapsed="false">
      <c r="A72" s="73" t="str">
        <f aca="false">IF(B72="","",63)</f>
        <v/>
      </c>
      <c r="B72" s="73" t="str">
        <f aca="false">IF($AK72="","",INDEX('REGISTRE ELEVES'!$B$10:$B$250,$AK72))</f>
        <v/>
      </c>
      <c r="C72" s="74" t="str">
        <f aca="false">IF($AK72="","",INDEX('REGISTRE ELEVES'!$D$10:$D$250,$AK72))</f>
        <v/>
      </c>
      <c r="D72" s="73" t="str">
        <f aca="false">IF($AK72="","",INDEX('REGISTRE ELEVES'!$E$10:$E$250,$AK72))</f>
        <v/>
      </c>
      <c r="E72" s="73" t="str">
        <f aca="false">IF($AK72="","",INDEX('REGISTRE ELEVES'!$F$10:$F$250,$AK72))</f>
        <v/>
      </c>
      <c r="F72" s="73" t="str">
        <f aca="false">IF($AK72="","",INDEX('REGISTRE ELEVES'!$AE$10:$AE$250,$AK72))</f>
        <v/>
      </c>
      <c r="G72" s="75"/>
      <c r="H72" s="76"/>
      <c r="I72" s="76"/>
      <c r="J72" s="76"/>
      <c r="K72" s="76"/>
      <c r="L72" s="79" t="str">
        <f aca="false">IF(B72="","",IF($G72="NON",0,IF(COUNT(H72:K72)=0,"",SUM(H72:K72))))</f>
        <v/>
      </c>
      <c r="M72" s="77" t="str">
        <f aca="false">IF(B72="","",IF($G72="NON",0,IF(COUNT(H72:K72)=0,"",IFERROR(ROUND(SUM(H72:K72)/SUMPRODUCT(ISNUMBER(H72:K72)*$H$8:$K$8)*20,2),""))))</f>
        <v/>
      </c>
      <c r="N72" s="75"/>
      <c r="O72" s="76"/>
      <c r="P72" s="76"/>
      <c r="Q72" s="76"/>
      <c r="R72" s="76"/>
      <c r="S72" s="79" t="str">
        <f aca="false">IF(B72="","",IF($N72="NON",0,IF(COUNT(O72:R72)=0,"",SUM(O72:R72))))</f>
        <v/>
      </c>
      <c r="T72" s="77" t="str">
        <f aca="false">IF(B72="","",IF($N72="NON",0,IF(COUNT(O72:R72)=0,"",IFERROR(ROUND(SUM(O72:R72)/SUMPRODUCT(ISNUMBER(O72:R72)*$O$8:$R$8)*20,2),""))))</f>
        <v/>
      </c>
      <c r="U72" s="75"/>
      <c r="V72" s="76"/>
      <c r="W72" s="76"/>
      <c r="X72" s="76"/>
      <c r="Y72" s="76"/>
      <c r="Z72" s="76"/>
      <c r="AA72" s="79" t="str">
        <f aca="false">IF(B72="","",IF($U72="NON",0,IF(COUNT(V72:Z72)=0,"",SUM(V72:Z72))))</f>
        <v/>
      </c>
      <c r="AB72" s="77" t="str">
        <f aca="false">IF(B72="","",IF($U72="NON",0,IF(COUNT(V72:Z72)=0,"",IFERROR(ROUND(SUM(V72:Z72)/SUMPRODUCT(ISNUMBER(V72:Z72)*$V$8:$Z$8)*20,2),""))))</f>
        <v/>
      </c>
      <c r="AC72" s="75"/>
      <c r="AD72" s="76"/>
      <c r="AE72" s="76"/>
      <c r="AF72" s="76"/>
      <c r="AG72" s="76"/>
      <c r="AH72" s="76"/>
      <c r="AI72" s="79" t="str">
        <f aca="false">IF(B72="","",IF($AC72="NON",0,IF(COUNT(AD72:AH72)=0,"",SUM(AD72:AH72))))</f>
        <v/>
      </c>
      <c r="AJ72" s="77" t="str">
        <f aca="false">IF(B72="","",IF($AC72="NON",0,IF(COUNT(AD72:AH72)=0,"",IFERROR(ROUND(SUM(AD72:AH72)/SUMPRODUCT(ISNUMBER(AD72:AH72)*$AD$8:$AH$8)*20,2),""))))</f>
        <v/>
      </c>
      <c r="AK72" s="51" t="str">
        <f aca="false">IFERROR(MATCH("CM2-63",'REGISTRE ELEVES'!$AI$10:$AI$250,0),"")</f>
        <v/>
      </c>
    </row>
    <row r="73" customFormat="false" ht="15" hidden="false" customHeight="false" outlineLevel="0" collapsed="false">
      <c r="A73" s="73" t="str">
        <f aca="false">IF(B73="","",64)</f>
        <v/>
      </c>
      <c r="B73" s="73" t="str">
        <f aca="false">IF($AK73="","",INDEX('REGISTRE ELEVES'!$B$10:$B$250,$AK73))</f>
        <v/>
      </c>
      <c r="C73" s="74" t="str">
        <f aca="false">IF($AK73="","",INDEX('REGISTRE ELEVES'!$D$10:$D$250,$AK73))</f>
        <v/>
      </c>
      <c r="D73" s="73" t="str">
        <f aca="false">IF($AK73="","",INDEX('REGISTRE ELEVES'!$E$10:$E$250,$AK73))</f>
        <v/>
      </c>
      <c r="E73" s="73" t="str">
        <f aca="false">IF($AK73="","",INDEX('REGISTRE ELEVES'!$F$10:$F$250,$AK73))</f>
        <v/>
      </c>
      <c r="F73" s="73" t="str">
        <f aca="false">IF($AK73="","",INDEX('REGISTRE ELEVES'!$AE$10:$AE$250,$AK73))</f>
        <v/>
      </c>
      <c r="G73" s="75"/>
      <c r="H73" s="76"/>
      <c r="I73" s="76"/>
      <c r="J73" s="76"/>
      <c r="K73" s="76"/>
      <c r="L73" s="79" t="str">
        <f aca="false">IF(B73="","",IF($G73="NON",0,IF(COUNT(H73:K73)=0,"",SUM(H73:K73))))</f>
        <v/>
      </c>
      <c r="M73" s="77" t="str">
        <f aca="false">IF(B73="","",IF($G73="NON",0,IF(COUNT(H73:K73)=0,"",IFERROR(ROUND(SUM(H73:K73)/SUMPRODUCT(ISNUMBER(H73:K73)*$H$8:$K$8)*20,2),""))))</f>
        <v/>
      </c>
      <c r="N73" s="75"/>
      <c r="O73" s="76"/>
      <c r="P73" s="76"/>
      <c r="Q73" s="76"/>
      <c r="R73" s="76"/>
      <c r="S73" s="79" t="str">
        <f aca="false">IF(B73="","",IF($N73="NON",0,IF(COUNT(O73:R73)=0,"",SUM(O73:R73))))</f>
        <v/>
      </c>
      <c r="T73" s="77" t="str">
        <f aca="false">IF(B73="","",IF($N73="NON",0,IF(COUNT(O73:R73)=0,"",IFERROR(ROUND(SUM(O73:R73)/SUMPRODUCT(ISNUMBER(O73:R73)*$O$8:$R$8)*20,2),""))))</f>
        <v/>
      </c>
      <c r="U73" s="75"/>
      <c r="V73" s="76"/>
      <c r="W73" s="76"/>
      <c r="X73" s="76"/>
      <c r="Y73" s="76"/>
      <c r="Z73" s="76"/>
      <c r="AA73" s="79" t="str">
        <f aca="false">IF(B73="","",IF($U73="NON",0,IF(COUNT(V73:Z73)=0,"",SUM(V73:Z73))))</f>
        <v/>
      </c>
      <c r="AB73" s="77" t="str">
        <f aca="false">IF(B73="","",IF($U73="NON",0,IF(COUNT(V73:Z73)=0,"",IFERROR(ROUND(SUM(V73:Z73)/SUMPRODUCT(ISNUMBER(V73:Z73)*$V$8:$Z$8)*20,2),""))))</f>
        <v/>
      </c>
      <c r="AC73" s="75"/>
      <c r="AD73" s="76"/>
      <c r="AE73" s="76"/>
      <c r="AF73" s="76"/>
      <c r="AG73" s="76"/>
      <c r="AH73" s="76"/>
      <c r="AI73" s="79" t="str">
        <f aca="false">IF(B73="","",IF($AC73="NON",0,IF(COUNT(AD73:AH73)=0,"",SUM(AD73:AH73))))</f>
        <v/>
      </c>
      <c r="AJ73" s="77" t="str">
        <f aca="false">IF(B73="","",IF($AC73="NON",0,IF(COUNT(AD73:AH73)=0,"",IFERROR(ROUND(SUM(AD73:AH73)/SUMPRODUCT(ISNUMBER(AD73:AH73)*$AD$8:$AH$8)*20,2),""))))</f>
        <v/>
      </c>
      <c r="AK73" s="51" t="str">
        <f aca="false">IFERROR(MATCH("CM2-64",'REGISTRE ELEVES'!$AI$10:$AI$250,0),"")</f>
        <v/>
      </c>
    </row>
    <row r="74" customFormat="false" ht="15" hidden="false" customHeight="false" outlineLevel="0" collapsed="false">
      <c r="A74" s="73" t="str">
        <f aca="false">IF(B74="","",65)</f>
        <v/>
      </c>
      <c r="B74" s="73" t="str">
        <f aca="false">IF($AK74="","",INDEX('REGISTRE ELEVES'!$B$10:$B$250,$AK74))</f>
        <v/>
      </c>
      <c r="C74" s="74" t="str">
        <f aca="false">IF($AK74="","",INDEX('REGISTRE ELEVES'!$D$10:$D$250,$AK74))</f>
        <v/>
      </c>
      <c r="D74" s="73" t="str">
        <f aca="false">IF($AK74="","",INDEX('REGISTRE ELEVES'!$E$10:$E$250,$AK74))</f>
        <v/>
      </c>
      <c r="E74" s="73" t="str">
        <f aca="false">IF($AK74="","",INDEX('REGISTRE ELEVES'!$F$10:$F$250,$AK74))</f>
        <v/>
      </c>
      <c r="F74" s="73" t="str">
        <f aca="false">IF($AK74="","",INDEX('REGISTRE ELEVES'!$AE$10:$AE$250,$AK74))</f>
        <v/>
      </c>
      <c r="G74" s="75"/>
      <c r="H74" s="76"/>
      <c r="I74" s="76"/>
      <c r="J74" s="76"/>
      <c r="K74" s="76"/>
      <c r="L74" s="79" t="str">
        <f aca="false">IF(B74="","",IF($G74="NON",0,IF(COUNT(H74:K74)=0,"",SUM(H74:K74))))</f>
        <v/>
      </c>
      <c r="M74" s="77" t="str">
        <f aca="false">IF(B74="","",IF($G74="NON",0,IF(COUNT(H74:K74)=0,"",IFERROR(ROUND(SUM(H74:K74)/SUMPRODUCT(ISNUMBER(H74:K74)*$H$8:$K$8)*20,2),""))))</f>
        <v/>
      </c>
      <c r="N74" s="75"/>
      <c r="O74" s="76"/>
      <c r="P74" s="76"/>
      <c r="Q74" s="76"/>
      <c r="R74" s="76"/>
      <c r="S74" s="79" t="str">
        <f aca="false">IF(B74="","",IF($N74="NON",0,IF(COUNT(O74:R74)=0,"",SUM(O74:R74))))</f>
        <v/>
      </c>
      <c r="T74" s="77" t="str">
        <f aca="false">IF(B74="","",IF($N74="NON",0,IF(COUNT(O74:R74)=0,"",IFERROR(ROUND(SUM(O74:R74)/SUMPRODUCT(ISNUMBER(O74:R74)*$O$8:$R$8)*20,2),""))))</f>
        <v/>
      </c>
      <c r="U74" s="75"/>
      <c r="V74" s="76"/>
      <c r="W74" s="76"/>
      <c r="X74" s="76"/>
      <c r="Y74" s="76"/>
      <c r="Z74" s="76"/>
      <c r="AA74" s="79" t="str">
        <f aca="false">IF(B74="","",IF($U74="NON",0,IF(COUNT(V74:Z74)=0,"",SUM(V74:Z74))))</f>
        <v/>
      </c>
      <c r="AB74" s="77" t="str">
        <f aca="false">IF(B74="","",IF($U74="NON",0,IF(COUNT(V74:Z74)=0,"",IFERROR(ROUND(SUM(V74:Z74)/SUMPRODUCT(ISNUMBER(V74:Z74)*$V$8:$Z$8)*20,2),""))))</f>
        <v/>
      </c>
      <c r="AC74" s="75"/>
      <c r="AD74" s="76"/>
      <c r="AE74" s="76"/>
      <c r="AF74" s="76"/>
      <c r="AG74" s="76"/>
      <c r="AH74" s="76"/>
      <c r="AI74" s="79" t="str">
        <f aca="false">IF(B74="","",IF($AC74="NON",0,IF(COUNT(AD74:AH74)=0,"",SUM(AD74:AH74))))</f>
        <v/>
      </c>
      <c r="AJ74" s="77" t="str">
        <f aca="false">IF(B74="","",IF($AC74="NON",0,IF(COUNT(AD74:AH74)=0,"",IFERROR(ROUND(SUM(AD74:AH74)/SUMPRODUCT(ISNUMBER(AD74:AH74)*$AD$8:$AH$8)*20,2),""))))</f>
        <v/>
      </c>
      <c r="AK74" s="51" t="str">
        <f aca="false">IFERROR(MATCH("CM2-65",'REGISTRE ELEVES'!$AI$10:$AI$250,0),"")</f>
        <v/>
      </c>
    </row>
    <row r="75" customFormat="false" ht="15" hidden="false" customHeight="false" outlineLevel="0" collapsed="false">
      <c r="A75" s="73" t="str">
        <f aca="false">IF(B75="","",66)</f>
        <v/>
      </c>
      <c r="B75" s="73" t="str">
        <f aca="false">IF($AK75="","",INDEX('REGISTRE ELEVES'!$B$10:$B$250,$AK75))</f>
        <v/>
      </c>
      <c r="C75" s="74" t="str">
        <f aca="false">IF($AK75="","",INDEX('REGISTRE ELEVES'!$D$10:$D$250,$AK75))</f>
        <v/>
      </c>
      <c r="D75" s="73" t="str">
        <f aca="false">IF($AK75="","",INDEX('REGISTRE ELEVES'!$E$10:$E$250,$AK75))</f>
        <v/>
      </c>
      <c r="E75" s="73" t="str">
        <f aca="false">IF($AK75="","",INDEX('REGISTRE ELEVES'!$F$10:$F$250,$AK75))</f>
        <v/>
      </c>
      <c r="F75" s="73" t="str">
        <f aca="false">IF($AK75="","",INDEX('REGISTRE ELEVES'!$AE$10:$AE$250,$AK75))</f>
        <v/>
      </c>
      <c r="G75" s="75"/>
      <c r="H75" s="76"/>
      <c r="I75" s="76"/>
      <c r="J75" s="76"/>
      <c r="K75" s="76"/>
      <c r="L75" s="79" t="str">
        <f aca="false">IF(B75="","",IF($G75="NON",0,IF(COUNT(H75:K75)=0,"",SUM(H75:K75))))</f>
        <v/>
      </c>
      <c r="M75" s="77" t="str">
        <f aca="false">IF(B75="","",IF($G75="NON",0,IF(COUNT(H75:K75)=0,"",IFERROR(ROUND(SUM(H75:K75)/SUMPRODUCT(ISNUMBER(H75:K75)*$H$8:$K$8)*20,2),""))))</f>
        <v/>
      </c>
      <c r="N75" s="75"/>
      <c r="O75" s="76"/>
      <c r="P75" s="76"/>
      <c r="Q75" s="76"/>
      <c r="R75" s="76"/>
      <c r="S75" s="79" t="str">
        <f aca="false">IF(B75="","",IF($N75="NON",0,IF(COUNT(O75:R75)=0,"",SUM(O75:R75))))</f>
        <v/>
      </c>
      <c r="T75" s="77" t="str">
        <f aca="false">IF(B75="","",IF($N75="NON",0,IF(COUNT(O75:R75)=0,"",IFERROR(ROUND(SUM(O75:R75)/SUMPRODUCT(ISNUMBER(O75:R75)*$O$8:$R$8)*20,2),""))))</f>
        <v/>
      </c>
      <c r="U75" s="75"/>
      <c r="V75" s="76"/>
      <c r="W75" s="76"/>
      <c r="X75" s="76"/>
      <c r="Y75" s="76"/>
      <c r="Z75" s="76"/>
      <c r="AA75" s="79" t="str">
        <f aca="false">IF(B75="","",IF($U75="NON",0,IF(COUNT(V75:Z75)=0,"",SUM(V75:Z75))))</f>
        <v/>
      </c>
      <c r="AB75" s="77" t="str">
        <f aca="false">IF(B75="","",IF($U75="NON",0,IF(COUNT(V75:Z75)=0,"",IFERROR(ROUND(SUM(V75:Z75)/SUMPRODUCT(ISNUMBER(V75:Z75)*$V$8:$Z$8)*20,2),""))))</f>
        <v/>
      </c>
      <c r="AC75" s="75"/>
      <c r="AD75" s="76"/>
      <c r="AE75" s="76"/>
      <c r="AF75" s="76"/>
      <c r="AG75" s="76"/>
      <c r="AH75" s="76"/>
      <c r="AI75" s="79" t="str">
        <f aca="false">IF(B75="","",IF($AC75="NON",0,IF(COUNT(AD75:AH75)=0,"",SUM(AD75:AH75))))</f>
        <v/>
      </c>
      <c r="AJ75" s="77" t="str">
        <f aca="false">IF(B75="","",IF($AC75="NON",0,IF(COUNT(AD75:AH75)=0,"",IFERROR(ROUND(SUM(AD75:AH75)/SUMPRODUCT(ISNUMBER(AD75:AH75)*$AD$8:$AH$8)*20,2),""))))</f>
        <v/>
      </c>
      <c r="AK75" s="51" t="str">
        <f aca="false">IFERROR(MATCH("CM2-66",'REGISTRE ELEVES'!$AI$10:$AI$250,0),"")</f>
        <v/>
      </c>
    </row>
    <row r="76" customFormat="false" ht="15" hidden="false" customHeight="false" outlineLevel="0" collapsed="false">
      <c r="A76" s="73" t="str">
        <f aca="false">IF(B76="","",67)</f>
        <v/>
      </c>
      <c r="B76" s="73" t="str">
        <f aca="false">IF($AK76="","",INDEX('REGISTRE ELEVES'!$B$10:$B$250,$AK76))</f>
        <v/>
      </c>
      <c r="C76" s="74" t="str">
        <f aca="false">IF($AK76="","",INDEX('REGISTRE ELEVES'!$D$10:$D$250,$AK76))</f>
        <v/>
      </c>
      <c r="D76" s="73" t="str">
        <f aca="false">IF($AK76="","",INDEX('REGISTRE ELEVES'!$E$10:$E$250,$AK76))</f>
        <v/>
      </c>
      <c r="E76" s="73" t="str">
        <f aca="false">IF($AK76="","",INDEX('REGISTRE ELEVES'!$F$10:$F$250,$AK76))</f>
        <v/>
      </c>
      <c r="F76" s="73" t="str">
        <f aca="false">IF($AK76="","",INDEX('REGISTRE ELEVES'!$AE$10:$AE$250,$AK76))</f>
        <v/>
      </c>
      <c r="G76" s="75"/>
      <c r="H76" s="76"/>
      <c r="I76" s="76"/>
      <c r="J76" s="76"/>
      <c r="K76" s="76"/>
      <c r="L76" s="79" t="str">
        <f aca="false">IF(B76="","",IF($G76="NON",0,IF(COUNT(H76:K76)=0,"",SUM(H76:K76))))</f>
        <v/>
      </c>
      <c r="M76" s="77" t="str">
        <f aca="false">IF(B76="","",IF($G76="NON",0,IF(COUNT(H76:K76)=0,"",IFERROR(ROUND(SUM(H76:K76)/SUMPRODUCT(ISNUMBER(H76:K76)*$H$8:$K$8)*20,2),""))))</f>
        <v/>
      </c>
      <c r="N76" s="75"/>
      <c r="O76" s="76"/>
      <c r="P76" s="76"/>
      <c r="Q76" s="76"/>
      <c r="R76" s="76"/>
      <c r="S76" s="79" t="str">
        <f aca="false">IF(B76="","",IF($N76="NON",0,IF(COUNT(O76:R76)=0,"",SUM(O76:R76))))</f>
        <v/>
      </c>
      <c r="T76" s="77" t="str">
        <f aca="false">IF(B76="","",IF($N76="NON",0,IF(COUNT(O76:R76)=0,"",IFERROR(ROUND(SUM(O76:R76)/SUMPRODUCT(ISNUMBER(O76:R76)*$O$8:$R$8)*20,2),""))))</f>
        <v/>
      </c>
      <c r="U76" s="75"/>
      <c r="V76" s="76"/>
      <c r="W76" s="76"/>
      <c r="X76" s="76"/>
      <c r="Y76" s="76"/>
      <c r="Z76" s="76"/>
      <c r="AA76" s="79" t="str">
        <f aca="false">IF(B76="","",IF($U76="NON",0,IF(COUNT(V76:Z76)=0,"",SUM(V76:Z76))))</f>
        <v/>
      </c>
      <c r="AB76" s="77" t="str">
        <f aca="false">IF(B76="","",IF($U76="NON",0,IF(COUNT(V76:Z76)=0,"",IFERROR(ROUND(SUM(V76:Z76)/SUMPRODUCT(ISNUMBER(V76:Z76)*$V$8:$Z$8)*20,2),""))))</f>
        <v/>
      </c>
      <c r="AC76" s="75"/>
      <c r="AD76" s="76"/>
      <c r="AE76" s="76"/>
      <c r="AF76" s="76"/>
      <c r="AG76" s="76"/>
      <c r="AH76" s="76"/>
      <c r="AI76" s="79" t="str">
        <f aca="false">IF(B76="","",IF($AC76="NON",0,IF(COUNT(AD76:AH76)=0,"",SUM(AD76:AH76))))</f>
        <v/>
      </c>
      <c r="AJ76" s="77" t="str">
        <f aca="false">IF(B76="","",IF($AC76="NON",0,IF(COUNT(AD76:AH76)=0,"",IFERROR(ROUND(SUM(AD76:AH76)/SUMPRODUCT(ISNUMBER(AD76:AH76)*$AD$8:$AH$8)*20,2),""))))</f>
        <v/>
      </c>
      <c r="AK76" s="51" t="str">
        <f aca="false">IFERROR(MATCH("CM2-67",'REGISTRE ELEVES'!$AI$10:$AI$250,0),"")</f>
        <v/>
      </c>
    </row>
    <row r="77" customFormat="false" ht="15" hidden="false" customHeight="false" outlineLevel="0" collapsed="false">
      <c r="A77" s="73" t="str">
        <f aca="false">IF(B77="","",68)</f>
        <v/>
      </c>
      <c r="B77" s="73" t="str">
        <f aca="false">IF($AK77="","",INDEX('REGISTRE ELEVES'!$B$10:$B$250,$AK77))</f>
        <v/>
      </c>
      <c r="C77" s="74" t="str">
        <f aca="false">IF($AK77="","",INDEX('REGISTRE ELEVES'!$D$10:$D$250,$AK77))</f>
        <v/>
      </c>
      <c r="D77" s="73" t="str">
        <f aca="false">IF($AK77="","",INDEX('REGISTRE ELEVES'!$E$10:$E$250,$AK77))</f>
        <v/>
      </c>
      <c r="E77" s="73" t="str">
        <f aca="false">IF($AK77="","",INDEX('REGISTRE ELEVES'!$F$10:$F$250,$AK77))</f>
        <v/>
      </c>
      <c r="F77" s="73" t="str">
        <f aca="false">IF($AK77="","",INDEX('REGISTRE ELEVES'!$AE$10:$AE$250,$AK77))</f>
        <v/>
      </c>
      <c r="G77" s="75"/>
      <c r="H77" s="76"/>
      <c r="I77" s="76"/>
      <c r="J77" s="76"/>
      <c r="K77" s="76"/>
      <c r="L77" s="79" t="str">
        <f aca="false">IF(B77="","",IF($G77="NON",0,IF(COUNT(H77:K77)=0,"",SUM(H77:K77))))</f>
        <v/>
      </c>
      <c r="M77" s="77" t="str">
        <f aca="false">IF(B77="","",IF($G77="NON",0,IF(COUNT(H77:K77)=0,"",IFERROR(ROUND(SUM(H77:K77)/SUMPRODUCT(ISNUMBER(H77:K77)*$H$8:$K$8)*20,2),""))))</f>
        <v/>
      </c>
      <c r="N77" s="75"/>
      <c r="O77" s="76"/>
      <c r="P77" s="76"/>
      <c r="Q77" s="76"/>
      <c r="R77" s="76"/>
      <c r="S77" s="79" t="str">
        <f aca="false">IF(B77="","",IF($N77="NON",0,IF(COUNT(O77:R77)=0,"",SUM(O77:R77))))</f>
        <v/>
      </c>
      <c r="T77" s="77" t="str">
        <f aca="false">IF(B77="","",IF($N77="NON",0,IF(COUNT(O77:R77)=0,"",IFERROR(ROUND(SUM(O77:R77)/SUMPRODUCT(ISNUMBER(O77:R77)*$O$8:$R$8)*20,2),""))))</f>
        <v/>
      </c>
      <c r="U77" s="75"/>
      <c r="V77" s="76"/>
      <c r="W77" s="76"/>
      <c r="X77" s="76"/>
      <c r="Y77" s="76"/>
      <c r="Z77" s="76"/>
      <c r="AA77" s="79" t="str">
        <f aca="false">IF(B77="","",IF($U77="NON",0,IF(COUNT(V77:Z77)=0,"",SUM(V77:Z77))))</f>
        <v/>
      </c>
      <c r="AB77" s="77" t="str">
        <f aca="false">IF(B77="","",IF($U77="NON",0,IF(COUNT(V77:Z77)=0,"",IFERROR(ROUND(SUM(V77:Z77)/SUMPRODUCT(ISNUMBER(V77:Z77)*$V$8:$Z$8)*20,2),""))))</f>
        <v/>
      </c>
      <c r="AC77" s="75"/>
      <c r="AD77" s="76"/>
      <c r="AE77" s="76"/>
      <c r="AF77" s="76"/>
      <c r="AG77" s="76"/>
      <c r="AH77" s="76"/>
      <c r="AI77" s="79" t="str">
        <f aca="false">IF(B77="","",IF($AC77="NON",0,IF(COUNT(AD77:AH77)=0,"",SUM(AD77:AH77))))</f>
        <v/>
      </c>
      <c r="AJ77" s="77" t="str">
        <f aca="false">IF(B77="","",IF($AC77="NON",0,IF(COUNT(AD77:AH77)=0,"",IFERROR(ROUND(SUM(AD77:AH77)/SUMPRODUCT(ISNUMBER(AD77:AH77)*$AD$8:$AH$8)*20,2),""))))</f>
        <v/>
      </c>
      <c r="AK77" s="51" t="str">
        <f aca="false">IFERROR(MATCH("CM2-68",'REGISTRE ELEVES'!$AI$10:$AI$250,0),"")</f>
        <v/>
      </c>
    </row>
    <row r="78" customFormat="false" ht="15" hidden="false" customHeight="false" outlineLevel="0" collapsed="false">
      <c r="A78" s="73" t="str">
        <f aca="false">IF(B78="","",69)</f>
        <v/>
      </c>
      <c r="B78" s="73" t="str">
        <f aca="false">IF($AK78="","",INDEX('REGISTRE ELEVES'!$B$10:$B$250,$AK78))</f>
        <v/>
      </c>
      <c r="C78" s="74" t="str">
        <f aca="false">IF($AK78="","",INDEX('REGISTRE ELEVES'!$D$10:$D$250,$AK78))</f>
        <v/>
      </c>
      <c r="D78" s="73" t="str">
        <f aca="false">IF($AK78="","",INDEX('REGISTRE ELEVES'!$E$10:$E$250,$AK78))</f>
        <v/>
      </c>
      <c r="E78" s="73" t="str">
        <f aca="false">IF($AK78="","",INDEX('REGISTRE ELEVES'!$F$10:$F$250,$AK78))</f>
        <v/>
      </c>
      <c r="F78" s="73" t="str">
        <f aca="false">IF($AK78="","",INDEX('REGISTRE ELEVES'!$AE$10:$AE$250,$AK78))</f>
        <v/>
      </c>
      <c r="G78" s="75"/>
      <c r="H78" s="76"/>
      <c r="I78" s="76"/>
      <c r="J78" s="76"/>
      <c r="K78" s="76"/>
      <c r="L78" s="79" t="str">
        <f aca="false">IF(B78="","",IF($G78="NON",0,IF(COUNT(H78:K78)=0,"",SUM(H78:K78))))</f>
        <v/>
      </c>
      <c r="M78" s="77" t="str">
        <f aca="false">IF(B78="","",IF($G78="NON",0,IF(COUNT(H78:K78)=0,"",IFERROR(ROUND(SUM(H78:K78)/SUMPRODUCT(ISNUMBER(H78:K78)*$H$8:$K$8)*20,2),""))))</f>
        <v/>
      </c>
      <c r="N78" s="75"/>
      <c r="O78" s="76"/>
      <c r="P78" s="76"/>
      <c r="Q78" s="76"/>
      <c r="R78" s="76"/>
      <c r="S78" s="79" t="str">
        <f aca="false">IF(B78="","",IF($N78="NON",0,IF(COUNT(O78:R78)=0,"",SUM(O78:R78))))</f>
        <v/>
      </c>
      <c r="T78" s="77" t="str">
        <f aca="false">IF(B78="","",IF($N78="NON",0,IF(COUNT(O78:R78)=0,"",IFERROR(ROUND(SUM(O78:R78)/SUMPRODUCT(ISNUMBER(O78:R78)*$O$8:$R$8)*20,2),""))))</f>
        <v/>
      </c>
      <c r="U78" s="75"/>
      <c r="V78" s="76"/>
      <c r="W78" s="76"/>
      <c r="X78" s="76"/>
      <c r="Y78" s="76"/>
      <c r="Z78" s="76"/>
      <c r="AA78" s="79" t="str">
        <f aca="false">IF(B78="","",IF($U78="NON",0,IF(COUNT(V78:Z78)=0,"",SUM(V78:Z78))))</f>
        <v/>
      </c>
      <c r="AB78" s="77" t="str">
        <f aca="false">IF(B78="","",IF($U78="NON",0,IF(COUNT(V78:Z78)=0,"",IFERROR(ROUND(SUM(V78:Z78)/SUMPRODUCT(ISNUMBER(V78:Z78)*$V$8:$Z$8)*20,2),""))))</f>
        <v/>
      </c>
      <c r="AC78" s="75"/>
      <c r="AD78" s="76"/>
      <c r="AE78" s="76"/>
      <c r="AF78" s="76"/>
      <c r="AG78" s="76"/>
      <c r="AH78" s="76"/>
      <c r="AI78" s="79" t="str">
        <f aca="false">IF(B78="","",IF($AC78="NON",0,IF(COUNT(AD78:AH78)=0,"",SUM(AD78:AH78))))</f>
        <v/>
      </c>
      <c r="AJ78" s="77" t="str">
        <f aca="false">IF(B78="","",IF($AC78="NON",0,IF(COUNT(AD78:AH78)=0,"",IFERROR(ROUND(SUM(AD78:AH78)/SUMPRODUCT(ISNUMBER(AD78:AH78)*$AD$8:$AH$8)*20,2),""))))</f>
        <v/>
      </c>
      <c r="AK78" s="51" t="str">
        <f aca="false">IFERROR(MATCH("CM2-69",'REGISTRE ELEVES'!$AI$10:$AI$250,0),"")</f>
        <v/>
      </c>
    </row>
    <row r="79" customFormat="false" ht="15" hidden="false" customHeight="false" outlineLevel="0" collapsed="false">
      <c r="A79" s="73" t="str">
        <f aca="false">IF(B79="","",70)</f>
        <v/>
      </c>
      <c r="B79" s="73" t="str">
        <f aca="false">IF($AK79="","",INDEX('REGISTRE ELEVES'!$B$10:$B$250,$AK79))</f>
        <v/>
      </c>
      <c r="C79" s="74" t="str">
        <f aca="false">IF($AK79="","",INDEX('REGISTRE ELEVES'!$D$10:$D$250,$AK79))</f>
        <v/>
      </c>
      <c r="D79" s="73" t="str">
        <f aca="false">IF($AK79="","",INDEX('REGISTRE ELEVES'!$E$10:$E$250,$AK79))</f>
        <v/>
      </c>
      <c r="E79" s="73" t="str">
        <f aca="false">IF($AK79="","",INDEX('REGISTRE ELEVES'!$F$10:$F$250,$AK79))</f>
        <v/>
      </c>
      <c r="F79" s="73" t="str">
        <f aca="false">IF($AK79="","",INDEX('REGISTRE ELEVES'!$AE$10:$AE$250,$AK79))</f>
        <v/>
      </c>
      <c r="G79" s="75"/>
      <c r="H79" s="76"/>
      <c r="I79" s="76"/>
      <c r="J79" s="76"/>
      <c r="K79" s="76"/>
      <c r="L79" s="79" t="str">
        <f aca="false">IF(B79="","",IF($G79="NON",0,IF(COUNT(H79:K79)=0,"",SUM(H79:K79))))</f>
        <v/>
      </c>
      <c r="M79" s="77" t="str">
        <f aca="false">IF(B79="","",IF($G79="NON",0,IF(COUNT(H79:K79)=0,"",IFERROR(ROUND(SUM(H79:K79)/SUMPRODUCT(ISNUMBER(H79:K79)*$H$8:$K$8)*20,2),""))))</f>
        <v/>
      </c>
      <c r="N79" s="75"/>
      <c r="O79" s="76"/>
      <c r="P79" s="76"/>
      <c r="Q79" s="76"/>
      <c r="R79" s="76"/>
      <c r="S79" s="79" t="str">
        <f aca="false">IF(B79="","",IF($N79="NON",0,IF(COUNT(O79:R79)=0,"",SUM(O79:R79))))</f>
        <v/>
      </c>
      <c r="T79" s="77" t="str">
        <f aca="false">IF(B79="","",IF($N79="NON",0,IF(COUNT(O79:R79)=0,"",IFERROR(ROUND(SUM(O79:R79)/SUMPRODUCT(ISNUMBER(O79:R79)*$O$8:$R$8)*20,2),""))))</f>
        <v/>
      </c>
      <c r="U79" s="75"/>
      <c r="V79" s="76"/>
      <c r="W79" s="76"/>
      <c r="X79" s="76"/>
      <c r="Y79" s="76"/>
      <c r="Z79" s="76"/>
      <c r="AA79" s="79" t="str">
        <f aca="false">IF(B79="","",IF($U79="NON",0,IF(COUNT(V79:Z79)=0,"",SUM(V79:Z79))))</f>
        <v/>
      </c>
      <c r="AB79" s="77" t="str">
        <f aca="false">IF(B79="","",IF($U79="NON",0,IF(COUNT(V79:Z79)=0,"",IFERROR(ROUND(SUM(V79:Z79)/SUMPRODUCT(ISNUMBER(V79:Z79)*$V$8:$Z$8)*20,2),""))))</f>
        <v/>
      </c>
      <c r="AC79" s="75"/>
      <c r="AD79" s="76"/>
      <c r="AE79" s="76"/>
      <c r="AF79" s="76"/>
      <c r="AG79" s="76"/>
      <c r="AH79" s="76"/>
      <c r="AI79" s="79" t="str">
        <f aca="false">IF(B79="","",IF($AC79="NON",0,IF(COUNT(AD79:AH79)=0,"",SUM(AD79:AH79))))</f>
        <v/>
      </c>
      <c r="AJ79" s="77" t="str">
        <f aca="false">IF(B79="","",IF($AC79="NON",0,IF(COUNT(AD79:AH79)=0,"",IFERROR(ROUND(SUM(AD79:AH79)/SUMPRODUCT(ISNUMBER(AD79:AH79)*$AD$8:$AH$8)*20,2),""))))</f>
        <v/>
      </c>
      <c r="AK79" s="51" t="str">
        <f aca="false">IFERROR(MATCH("CM2-70",'REGISTRE ELEVES'!$AI$10:$AI$250,0),"")</f>
        <v/>
      </c>
    </row>
    <row r="80" customFormat="false" ht="15" hidden="false" customHeight="false" outlineLevel="0" collapsed="false">
      <c r="A80" s="73" t="str">
        <f aca="false">IF(B80="","",71)</f>
        <v/>
      </c>
      <c r="B80" s="73" t="str">
        <f aca="false">IF($AK80="","",INDEX('REGISTRE ELEVES'!$B$10:$B$250,$AK80))</f>
        <v/>
      </c>
      <c r="C80" s="74" t="str">
        <f aca="false">IF($AK80="","",INDEX('REGISTRE ELEVES'!$D$10:$D$250,$AK80))</f>
        <v/>
      </c>
      <c r="D80" s="73" t="str">
        <f aca="false">IF($AK80="","",INDEX('REGISTRE ELEVES'!$E$10:$E$250,$AK80))</f>
        <v/>
      </c>
      <c r="E80" s="73" t="str">
        <f aca="false">IF($AK80="","",INDEX('REGISTRE ELEVES'!$F$10:$F$250,$AK80))</f>
        <v/>
      </c>
      <c r="F80" s="73" t="str">
        <f aca="false">IF($AK80="","",INDEX('REGISTRE ELEVES'!$AE$10:$AE$250,$AK80))</f>
        <v/>
      </c>
      <c r="G80" s="75"/>
      <c r="H80" s="76"/>
      <c r="I80" s="76"/>
      <c r="J80" s="76"/>
      <c r="K80" s="76"/>
      <c r="L80" s="79" t="str">
        <f aca="false">IF(B80="","",IF($G80="NON",0,IF(COUNT(H80:K80)=0,"",SUM(H80:K80))))</f>
        <v/>
      </c>
      <c r="M80" s="77" t="str">
        <f aca="false">IF(B80="","",IF($G80="NON",0,IF(COUNT(H80:K80)=0,"",IFERROR(ROUND(SUM(H80:K80)/SUMPRODUCT(ISNUMBER(H80:K80)*$H$8:$K$8)*20,2),""))))</f>
        <v/>
      </c>
      <c r="N80" s="75"/>
      <c r="O80" s="76"/>
      <c r="P80" s="76"/>
      <c r="Q80" s="76"/>
      <c r="R80" s="76"/>
      <c r="S80" s="79" t="str">
        <f aca="false">IF(B80="","",IF($N80="NON",0,IF(COUNT(O80:R80)=0,"",SUM(O80:R80))))</f>
        <v/>
      </c>
      <c r="T80" s="77" t="str">
        <f aca="false">IF(B80="","",IF($N80="NON",0,IF(COUNT(O80:R80)=0,"",IFERROR(ROUND(SUM(O80:R80)/SUMPRODUCT(ISNUMBER(O80:R80)*$O$8:$R$8)*20,2),""))))</f>
        <v/>
      </c>
      <c r="U80" s="75"/>
      <c r="V80" s="76"/>
      <c r="W80" s="76"/>
      <c r="X80" s="76"/>
      <c r="Y80" s="76"/>
      <c r="Z80" s="76"/>
      <c r="AA80" s="79" t="str">
        <f aca="false">IF(B80="","",IF($U80="NON",0,IF(COUNT(V80:Z80)=0,"",SUM(V80:Z80))))</f>
        <v/>
      </c>
      <c r="AB80" s="77" t="str">
        <f aca="false">IF(B80="","",IF($U80="NON",0,IF(COUNT(V80:Z80)=0,"",IFERROR(ROUND(SUM(V80:Z80)/SUMPRODUCT(ISNUMBER(V80:Z80)*$V$8:$Z$8)*20,2),""))))</f>
        <v/>
      </c>
      <c r="AC80" s="75"/>
      <c r="AD80" s="76"/>
      <c r="AE80" s="76"/>
      <c r="AF80" s="76"/>
      <c r="AG80" s="76"/>
      <c r="AH80" s="76"/>
      <c r="AI80" s="79" t="str">
        <f aca="false">IF(B80="","",IF($AC80="NON",0,IF(COUNT(AD80:AH80)=0,"",SUM(AD80:AH80))))</f>
        <v/>
      </c>
      <c r="AJ80" s="77" t="str">
        <f aca="false">IF(B80="","",IF($AC80="NON",0,IF(COUNT(AD80:AH80)=0,"",IFERROR(ROUND(SUM(AD80:AH80)/SUMPRODUCT(ISNUMBER(AD80:AH80)*$AD$8:$AH$8)*20,2),""))))</f>
        <v/>
      </c>
      <c r="AK80" s="51" t="str">
        <f aca="false">IFERROR(MATCH("CM2-71",'REGISTRE ELEVES'!$AI$10:$AI$250,0),"")</f>
        <v/>
      </c>
    </row>
    <row r="81" customFormat="false" ht="15" hidden="false" customHeight="false" outlineLevel="0" collapsed="false">
      <c r="A81" s="73" t="str">
        <f aca="false">IF(B81="","",72)</f>
        <v/>
      </c>
      <c r="B81" s="73" t="str">
        <f aca="false">IF($AK81="","",INDEX('REGISTRE ELEVES'!$B$10:$B$250,$AK81))</f>
        <v/>
      </c>
      <c r="C81" s="74" t="str">
        <f aca="false">IF($AK81="","",INDEX('REGISTRE ELEVES'!$D$10:$D$250,$AK81))</f>
        <v/>
      </c>
      <c r="D81" s="73" t="str">
        <f aca="false">IF($AK81="","",INDEX('REGISTRE ELEVES'!$E$10:$E$250,$AK81))</f>
        <v/>
      </c>
      <c r="E81" s="73" t="str">
        <f aca="false">IF($AK81="","",INDEX('REGISTRE ELEVES'!$F$10:$F$250,$AK81))</f>
        <v/>
      </c>
      <c r="F81" s="73" t="str">
        <f aca="false">IF($AK81="","",INDEX('REGISTRE ELEVES'!$AE$10:$AE$250,$AK81))</f>
        <v/>
      </c>
      <c r="G81" s="75"/>
      <c r="H81" s="76"/>
      <c r="I81" s="76"/>
      <c r="J81" s="76"/>
      <c r="K81" s="76"/>
      <c r="L81" s="79" t="str">
        <f aca="false">IF(B81="","",IF($G81="NON",0,IF(COUNT(H81:K81)=0,"",SUM(H81:K81))))</f>
        <v/>
      </c>
      <c r="M81" s="77" t="str">
        <f aca="false">IF(B81="","",IF($G81="NON",0,IF(COUNT(H81:K81)=0,"",IFERROR(ROUND(SUM(H81:K81)/SUMPRODUCT(ISNUMBER(H81:K81)*$H$8:$K$8)*20,2),""))))</f>
        <v/>
      </c>
      <c r="N81" s="75"/>
      <c r="O81" s="76"/>
      <c r="P81" s="76"/>
      <c r="Q81" s="76"/>
      <c r="R81" s="76"/>
      <c r="S81" s="79" t="str">
        <f aca="false">IF(B81="","",IF($N81="NON",0,IF(COUNT(O81:R81)=0,"",SUM(O81:R81))))</f>
        <v/>
      </c>
      <c r="T81" s="77" t="str">
        <f aca="false">IF(B81="","",IF($N81="NON",0,IF(COUNT(O81:R81)=0,"",IFERROR(ROUND(SUM(O81:R81)/SUMPRODUCT(ISNUMBER(O81:R81)*$O$8:$R$8)*20,2),""))))</f>
        <v/>
      </c>
      <c r="U81" s="75"/>
      <c r="V81" s="76"/>
      <c r="W81" s="76"/>
      <c r="X81" s="76"/>
      <c r="Y81" s="76"/>
      <c r="Z81" s="76"/>
      <c r="AA81" s="79" t="str">
        <f aca="false">IF(B81="","",IF($U81="NON",0,IF(COUNT(V81:Z81)=0,"",SUM(V81:Z81))))</f>
        <v/>
      </c>
      <c r="AB81" s="77" t="str">
        <f aca="false">IF(B81="","",IF($U81="NON",0,IF(COUNT(V81:Z81)=0,"",IFERROR(ROUND(SUM(V81:Z81)/SUMPRODUCT(ISNUMBER(V81:Z81)*$V$8:$Z$8)*20,2),""))))</f>
        <v/>
      </c>
      <c r="AC81" s="75"/>
      <c r="AD81" s="76"/>
      <c r="AE81" s="76"/>
      <c r="AF81" s="76"/>
      <c r="AG81" s="76"/>
      <c r="AH81" s="76"/>
      <c r="AI81" s="79" t="str">
        <f aca="false">IF(B81="","",IF($AC81="NON",0,IF(COUNT(AD81:AH81)=0,"",SUM(AD81:AH81))))</f>
        <v/>
      </c>
      <c r="AJ81" s="77" t="str">
        <f aca="false">IF(B81="","",IF($AC81="NON",0,IF(COUNT(AD81:AH81)=0,"",IFERROR(ROUND(SUM(AD81:AH81)/SUMPRODUCT(ISNUMBER(AD81:AH81)*$AD$8:$AH$8)*20,2),""))))</f>
        <v/>
      </c>
      <c r="AK81" s="51" t="str">
        <f aca="false">IFERROR(MATCH("CM2-72",'REGISTRE ELEVES'!$AI$10:$AI$250,0),"")</f>
        <v/>
      </c>
    </row>
    <row r="82" customFormat="false" ht="15" hidden="false" customHeight="false" outlineLevel="0" collapsed="false">
      <c r="A82" s="73" t="str">
        <f aca="false">IF(B82="","",73)</f>
        <v/>
      </c>
      <c r="B82" s="73" t="str">
        <f aca="false">IF($AK82="","",INDEX('REGISTRE ELEVES'!$B$10:$B$250,$AK82))</f>
        <v/>
      </c>
      <c r="C82" s="74" t="str">
        <f aca="false">IF($AK82="","",INDEX('REGISTRE ELEVES'!$D$10:$D$250,$AK82))</f>
        <v/>
      </c>
      <c r="D82" s="73" t="str">
        <f aca="false">IF($AK82="","",INDEX('REGISTRE ELEVES'!$E$10:$E$250,$AK82))</f>
        <v/>
      </c>
      <c r="E82" s="73" t="str">
        <f aca="false">IF($AK82="","",INDEX('REGISTRE ELEVES'!$F$10:$F$250,$AK82))</f>
        <v/>
      </c>
      <c r="F82" s="73" t="str">
        <f aca="false">IF($AK82="","",INDEX('REGISTRE ELEVES'!$AE$10:$AE$250,$AK82))</f>
        <v/>
      </c>
      <c r="G82" s="75"/>
      <c r="H82" s="76"/>
      <c r="I82" s="76"/>
      <c r="J82" s="76"/>
      <c r="K82" s="76"/>
      <c r="L82" s="79" t="str">
        <f aca="false">IF(B82="","",IF($G82="NON",0,IF(COUNT(H82:K82)=0,"",SUM(H82:K82))))</f>
        <v/>
      </c>
      <c r="M82" s="77" t="str">
        <f aca="false">IF(B82="","",IF($G82="NON",0,IF(COUNT(H82:K82)=0,"",IFERROR(ROUND(SUM(H82:K82)/SUMPRODUCT(ISNUMBER(H82:K82)*$H$8:$K$8)*20,2),""))))</f>
        <v/>
      </c>
      <c r="N82" s="75"/>
      <c r="O82" s="76"/>
      <c r="P82" s="76"/>
      <c r="Q82" s="76"/>
      <c r="R82" s="76"/>
      <c r="S82" s="79" t="str">
        <f aca="false">IF(B82="","",IF($N82="NON",0,IF(COUNT(O82:R82)=0,"",SUM(O82:R82))))</f>
        <v/>
      </c>
      <c r="T82" s="77" t="str">
        <f aca="false">IF(B82="","",IF($N82="NON",0,IF(COUNT(O82:R82)=0,"",IFERROR(ROUND(SUM(O82:R82)/SUMPRODUCT(ISNUMBER(O82:R82)*$O$8:$R$8)*20,2),""))))</f>
        <v/>
      </c>
      <c r="U82" s="75"/>
      <c r="V82" s="76"/>
      <c r="W82" s="76"/>
      <c r="X82" s="76"/>
      <c r="Y82" s="76"/>
      <c r="Z82" s="76"/>
      <c r="AA82" s="79" t="str">
        <f aca="false">IF(B82="","",IF($U82="NON",0,IF(COUNT(V82:Z82)=0,"",SUM(V82:Z82))))</f>
        <v/>
      </c>
      <c r="AB82" s="77" t="str">
        <f aca="false">IF(B82="","",IF($U82="NON",0,IF(COUNT(V82:Z82)=0,"",IFERROR(ROUND(SUM(V82:Z82)/SUMPRODUCT(ISNUMBER(V82:Z82)*$V$8:$Z$8)*20,2),""))))</f>
        <v/>
      </c>
      <c r="AC82" s="75"/>
      <c r="AD82" s="76"/>
      <c r="AE82" s="76"/>
      <c r="AF82" s="76"/>
      <c r="AG82" s="76"/>
      <c r="AH82" s="76"/>
      <c r="AI82" s="79" t="str">
        <f aca="false">IF(B82="","",IF($AC82="NON",0,IF(COUNT(AD82:AH82)=0,"",SUM(AD82:AH82))))</f>
        <v/>
      </c>
      <c r="AJ82" s="77" t="str">
        <f aca="false">IF(B82="","",IF($AC82="NON",0,IF(COUNT(AD82:AH82)=0,"",IFERROR(ROUND(SUM(AD82:AH82)/SUMPRODUCT(ISNUMBER(AD82:AH82)*$AD$8:$AH$8)*20,2),""))))</f>
        <v/>
      </c>
      <c r="AK82" s="51" t="str">
        <f aca="false">IFERROR(MATCH("CM2-73",'REGISTRE ELEVES'!$AI$10:$AI$250,0),"")</f>
        <v/>
      </c>
    </row>
    <row r="83" customFormat="false" ht="15" hidden="false" customHeight="false" outlineLevel="0" collapsed="false">
      <c r="A83" s="73" t="str">
        <f aca="false">IF(B83="","",74)</f>
        <v/>
      </c>
      <c r="B83" s="73" t="str">
        <f aca="false">IF($AK83="","",INDEX('REGISTRE ELEVES'!$B$10:$B$250,$AK83))</f>
        <v/>
      </c>
      <c r="C83" s="74" t="str">
        <f aca="false">IF($AK83="","",INDEX('REGISTRE ELEVES'!$D$10:$D$250,$AK83))</f>
        <v/>
      </c>
      <c r="D83" s="73" t="str">
        <f aca="false">IF($AK83="","",INDEX('REGISTRE ELEVES'!$E$10:$E$250,$AK83))</f>
        <v/>
      </c>
      <c r="E83" s="73" t="str">
        <f aca="false">IF($AK83="","",INDEX('REGISTRE ELEVES'!$F$10:$F$250,$AK83))</f>
        <v/>
      </c>
      <c r="F83" s="73" t="str">
        <f aca="false">IF($AK83="","",INDEX('REGISTRE ELEVES'!$AE$10:$AE$250,$AK83))</f>
        <v/>
      </c>
      <c r="G83" s="75"/>
      <c r="H83" s="76"/>
      <c r="I83" s="76"/>
      <c r="J83" s="76"/>
      <c r="K83" s="76"/>
      <c r="L83" s="79" t="str">
        <f aca="false">IF(B83="","",IF($G83="NON",0,IF(COUNT(H83:K83)=0,"",SUM(H83:K83))))</f>
        <v/>
      </c>
      <c r="M83" s="77" t="str">
        <f aca="false">IF(B83="","",IF($G83="NON",0,IF(COUNT(H83:K83)=0,"",IFERROR(ROUND(SUM(H83:K83)/SUMPRODUCT(ISNUMBER(H83:K83)*$H$8:$K$8)*20,2),""))))</f>
        <v/>
      </c>
      <c r="N83" s="75"/>
      <c r="O83" s="76"/>
      <c r="P83" s="76"/>
      <c r="Q83" s="76"/>
      <c r="R83" s="76"/>
      <c r="S83" s="79" t="str">
        <f aca="false">IF(B83="","",IF($N83="NON",0,IF(COUNT(O83:R83)=0,"",SUM(O83:R83))))</f>
        <v/>
      </c>
      <c r="T83" s="77" t="str">
        <f aca="false">IF(B83="","",IF($N83="NON",0,IF(COUNT(O83:R83)=0,"",IFERROR(ROUND(SUM(O83:R83)/SUMPRODUCT(ISNUMBER(O83:R83)*$O$8:$R$8)*20,2),""))))</f>
        <v/>
      </c>
      <c r="U83" s="75"/>
      <c r="V83" s="76"/>
      <c r="W83" s="76"/>
      <c r="X83" s="76"/>
      <c r="Y83" s="76"/>
      <c r="Z83" s="76"/>
      <c r="AA83" s="79" t="str">
        <f aca="false">IF(B83="","",IF($U83="NON",0,IF(COUNT(V83:Z83)=0,"",SUM(V83:Z83))))</f>
        <v/>
      </c>
      <c r="AB83" s="77" t="str">
        <f aca="false">IF(B83="","",IF($U83="NON",0,IF(COUNT(V83:Z83)=0,"",IFERROR(ROUND(SUM(V83:Z83)/SUMPRODUCT(ISNUMBER(V83:Z83)*$V$8:$Z$8)*20,2),""))))</f>
        <v/>
      </c>
      <c r="AC83" s="75"/>
      <c r="AD83" s="76"/>
      <c r="AE83" s="76"/>
      <c r="AF83" s="76"/>
      <c r="AG83" s="76"/>
      <c r="AH83" s="76"/>
      <c r="AI83" s="79" t="str">
        <f aca="false">IF(B83="","",IF($AC83="NON",0,IF(COUNT(AD83:AH83)=0,"",SUM(AD83:AH83))))</f>
        <v/>
      </c>
      <c r="AJ83" s="77" t="str">
        <f aca="false">IF(B83="","",IF($AC83="NON",0,IF(COUNT(AD83:AH83)=0,"",IFERROR(ROUND(SUM(AD83:AH83)/SUMPRODUCT(ISNUMBER(AD83:AH83)*$AD$8:$AH$8)*20,2),""))))</f>
        <v/>
      </c>
      <c r="AK83" s="51" t="str">
        <f aca="false">IFERROR(MATCH("CM2-74",'REGISTRE ELEVES'!$AI$10:$AI$250,0),"")</f>
        <v/>
      </c>
    </row>
    <row r="84" customFormat="false" ht="15" hidden="false" customHeight="false" outlineLevel="0" collapsed="false">
      <c r="A84" s="73" t="str">
        <f aca="false">IF(B84="","",75)</f>
        <v/>
      </c>
      <c r="B84" s="73" t="str">
        <f aca="false">IF($AK84="","",INDEX('REGISTRE ELEVES'!$B$10:$B$250,$AK84))</f>
        <v/>
      </c>
      <c r="C84" s="74" t="str">
        <f aca="false">IF($AK84="","",INDEX('REGISTRE ELEVES'!$D$10:$D$250,$AK84))</f>
        <v/>
      </c>
      <c r="D84" s="73" t="str">
        <f aca="false">IF($AK84="","",INDEX('REGISTRE ELEVES'!$E$10:$E$250,$AK84))</f>
        <v/>
      </c>
      <c r="E84" s="73" t="str">
        <f aca="false">IF($AK84="","",INDEX('REGISTRE ELEVES'!$F$10:$F$250,$AK84))</f>
        <v/>
      </c>
      <c r="F84" s="73" t="str">
        <f aca="false">IF($AK84="","",INDEX('REGISTRE ELEVES'!$AE$10:$AE$250,$AK84))</f>
        <v/>
      </c>
      <c r="G84" s="75"/>
      <c r="H84" s="76"/>
      <c r="I84" s="76"/>
      <c r="J84" s="76"/>
      <c r="K84" s="76"/>
      <c r="L84" s="79" t="str">
        <f aca="false">IF(B84="","",IF($G84="NON",0,IF(COUNT(H84:K84)=0,"",SUM(H84:K84))))</f>
        <v/>
      </c>
      <c r="M84" s="77" t="str">
        <f aca="false">IF(B84="","",IF($G84="NON",0,IF(COUNT(H84:K84)=0,"",IFERROR(ROUND(SUM(H84:K84)/SUMPRODUCT(ISNUMBER(H84:K84)*$H$8:$K$8)*20,2),""))))</f>
        <v/>
      </c>
      <c r="N84" s="75"/>
      <c r="O84" s="76"/>
      <c r="P84" s="76"/>
      <c r="Q84" s="76"/>
      <c r="R84" s="76"/>
      <c r="S84" s="79" t="str">
        <f aca="false">IF(B84="","",IF($N84="NON",0,IF(COUNT(O84:R84)=0,"",SUM(O84:R84))))</f>
        <v/>
      </c>
      <c r="T84" s="77" t="str">
        <f aca="false">IF(B84="","",IF($N84="NON",0,IF(COUNT(O84:R84)=0,"",IFERROR(ROUND(SUM(O84:R84)/SUMPRODUCT(ISNUMBER(O84:R84)*$O$8:$R$8)*20,2),""))))</f>
        <v/>
      </c>
      <c r="U84" s="75"/>
      <c r="V84" s="76"/>
      <c r="W84" s="76"/>
      <c r="X84" s="76"/>
      <c r="Y84" s="76"/>
      <c r="Z84" s="76"/>
      <c r="AA84" s="79" t="str">
        <f aca="false">IF(B84="","",IF($U84="NON",0,IF(COUNT(V84:Z84)=0,"",SUM(V84:Z84))))</f>
        <v/>
      </c>
      <c r="AB84" s="77" t="str">
        <f aca="false">IF(B84="","",IF($U84="NON",0,IF(COUNT(V84:Z84)=0,"",IFERROR(ROUND(SUM(V84:Z84)/SUMPRODUCT(ISNUMBER(V84:Z84)*$V$8:$Z$8)*20,2),""))))</f>
        <v/>
      </c>
      <c r="AC84" s="75"/>
      <c r="AD84" s="76"/>
      <c r="AE84" s="76"/>
      <c r="AF84" s="76"/>
      <c r="AG84" s="76"/>
      <c r="AH84" s="76"/>
      <c r="AI84" s="79" t="str">
        <f aca="false">IF(B84="","",IF($AC84="NON",0,IF(COUNT(AD84:AH84)=0,"",SUM(AD84:AH84))))</f>
        <v/>
      </c>
      <c r="AJ84" s="77" t="str">
        <f aca="false">IF(B84="","",IF($AC84="NON",0,IF(COUNT(AD84:AH84)=0,"",IFERROR(ROUND(SUM(AD84:AH84)/SUMPRODUCT(ISNUMBER(AD84:AH84)*$AD$8:$AH$8)*20,2),""))))</f>
        <v/>
      </c>
      <c r="AK84" s="51" t="str">
        <f aca="false">IFERROR(MATCH("CM2-75",'REGISTRE ELEVES'!$AI$10:$AI$250,0),"")</f>
        <v/>
      </c>
    </row>
    <row r="85" customFormat="false" ht="15" hidden="false" customHeight="false" outlineLevel="0" collapsed="false">
      <c r="A85" s="73" t="str">
        <f aca="false">IF(B85="","",76)</f>
        <v/>
      </c>
      <c r="B85" s="73" t="str">
        <f aca="false">IF($AK85="","",INDEX('REGISTRE ELEVES'!$B$10:$B$250,$AK85))</f>
        <v/>
      </c>
      <c r="C85" s="74" t="str">
        <f aca="false">IF($AK85="","",INDEX('REGISTRE ELEVES'!$D$10:$D$250,$AK85))</f>
        <v/>
      </c>
      <c r="D85" s="73" t="str">
        <f aca="false">IF($AK85="","",INDEX('REGISTRE ELEVES'!$E$10:$E$250,$AK85))</f>
        <v/>
      </c>
      <c r="E85" s="73" t="str">
        <f aca="false">IF($AK85="","",INDEX('REGISTRE ELEVES'!$F$10:$F$250,$AK85))</f>
        <v/>
      </c>
      <c r="F85" s="73" t="str">
        <f aca="false">IF($AK85="","",INDEX('REGISTRE ELEVES'!$AE$10:$AE$250,$AK85))</f>
        <v/>
      </c>
      <c r="G85" s="75"/>
      <c r="H85" s="76"/>
      <c r="I85" s="76"/>
      <c r="J85" s="76"/>
      <c r="K85" s="76"/>
      <c r="L85" s="79" t="str">
        <f aca="false">IF(B85="","",IF($G85="NON",0,IF(COUNT(H85:K85)=0,"",SUM(H85:K85))))</f>
        <v/>
      </c>
      <c r="M85" s="77" t="str">
        <f aca="false">IF(B85="","",IF($G85="NON",0,IF(COUNT(H85:K85)=0,"",IFERROR(ROUND(SUM(H85:K85)/SUMPRODUCT(ISNUMBER(H85:K85)*$H$8:$K$8)*20,2),""))))</f>
        <v/>
      </c>
      <c r="N85" s="75"/>
      <c r="O85" s="76"/>
      <c r="P85" s="76"/>
      <c r="Q85" s="76"/>
      <c r="R85" s="76"/>
      <c r="S85" s="79" t="str">
        <f aca="false">IF(B85="","",IF($N85="NON",0,IF(COUNT(O85:R85)=0,"",SUM(O85:R85))))</f>
        <v/>
      </c>
      <c r="T85" s="77" t="str">
        <f aca="false">IF(B85="","",IF($N85="NON",0,IF(COUNT(O85:R85)=0,"",IFERROR(ROUND(SUM(O85:R85)/SUMPRODUCT(ISNUMBER(O85:R85)*$O$8:$R$8)*20,2),""))))</f>
        <v/>
      </c>
      <c r="U85" s="75"/>
      <c r="V85" s="76"/>
      <c r="W85" s="76"/>
      <c r="X85" s="76"/>
      <c r="Y85" s="76"/>
      <c r="Z85" s="76"/>
      <c r="AA85" s="79" t="str">
        <f aca="false">IF(B85="","",IF($U85="NON",0,IF(COUNT(V85:Z85)=0,"",SUM(V85:Z85))))</f>
        <v/>
      </c>
      <c r="AB85" s="77" t="str">
        <f aca="false">IF(B85="","",IF($U85="NON",0,IF(COUNT(V85:Z85)=0,"",IFERROR(ROUND(SUM(V85:Z85)/SUMPRODUCT(ISNUMBER(V85:Z85)*$V$8:$Z$8)*20,2),""))))</f>
        <v/>
      </c>
      <c r="AC85" s="75"/>
      <c r="AD85" s="76"/>
      <c r="AE85" s="76"/>
      <c r="AF85" s="76"/>
      <c r="AG85" s="76"/>
      <c r="AH85" s="76"/>
      <c r="AI85" s="79" t="str">
        <f aca="false">IF(B85="","",IF($AC85="NON",0,IF(COUNT(AD85:AH85)=0,"",SUM(AD85:AH85))))</f>
        <v/>
      </c>
      <c r="AJ85" s="77" t="str">
        <f aca="false">IF(B85="","",IF($AC85="NON",0,IF(COUNT(AD85:AH85)=0,"",IFERROR(ROUND(SUM(AD85:AH85)/SUMPRODUCT(ISNUMBER(AD85:AH85)*$AD$8:$AH$8)*20,2),""))))</f>
        <v/>
      </c>
      <c r="AK85" s="51" t="str">
        <f aca="false">IFERROR(MATCH("CM2-76",'REGISTRE ELEVES'!$AI$10:$AI$250,0),"")</f>
        <v/>
      </c>
    </row>
    <row r="86" customFormat="false" ht="15" hidden="false" customHeight="false" outlineLevel="0" collapsed="false">
      <c r="A86" s="73" t="str">
        <f aca="false">IF(B86="","",77)</f>
        <v/>
      </c>
      <c r="B86" s="73" t="str">
        <f aca="false">IF($AK86="","",INDEX('REGISTRE ELEVES'!$B$10:$B$250,$AK86))</f>
        <v/>
      </c>
      <c r="C86" s="74" t="str">
        <f aca="false">IF($AK86="","",INDEX('REGISTRE ELEVES'!$D$10:$D$250,$AK86))</f>
        <v/>
      </c>
      <c r="D86" s="73" t="str">
        <f aca="false">IF($AK86="","",INDEX('REGISTRE ELEVES'!$E$10:$E$250,$AK86))</f>
        <v/>
      </c>
      <c r="E86" s="73" t="str">
        <f aca="false">IF($AK86="","",INDEX('REGISTRE ELEVES'!$F$10:$F$250,$AK86))</f>
        <v/>
      </c>
      <c r="F86" s="73" t="str">
        <f aca="false">IF($AK86="","",INDEX('REGISTRE ELEVES'!$AE$10:$AE$250,$AK86))</f>
        <v/>
      </c>
      <c r="G86" s="75"/>
      <c r="H86" s="76"/>
      <c r="I86" s="76"/>
      <c r="J86" s="76"/>
      <c r="K86" s="76"/>
      <c r="L86" s="79" t="str">
        <f aca="false">IF(B86="","",IF($G86="NON",0,IF(COUNT(H86:K86)=0,"",SUM(H86:K86))))</f>
        <v/>
      </c>
      <c r="M86" s="77" t="str">
        <f aca="false">IF(B86="","",IF($G86="NON",0,IF(COUNT(H86:K86)=0,"",IFERROR(ROUND(SUM(H86:K86)/SUMPRODUCT(ISNUMBER(H86:K86)*$H$8:$K$8)*20,2),""))))</f>
        <v/>
      </c>
      <c r="N86" s="75"/>
      <c r="O86" s="76"/>
      <c r="P86" s="76"/>
      <c r="Q86" s="76"/>
      <c r="R86" s="76"/>
      <c r="S86" s="79" t="str">
        <f aca="false">IF(B86="","",IF($N86="NON",0,IF(COUNT(O86:R86)=0,"",SUM(O86:R86))))</f>
        <v/>
      </c>
      <c r="T86" s="77" t="str">
        <f aca="false">IF(B86="","",IF($N86="NON",0,IF(COUNT(O86:R86)=0,"",IFERROR(ROUND(SUM(O86:R86)/SUMPRODUCT(ISNUMBER(O86:R86)*$O$8:$R$8)*20,2),""))))</f>
        <v/>
      </c>
      <c r="U86" s="75"/>
      <c r="V86" s="76"/>
      <c r="W86" s="76"/>
      <c r="X86" s="76"/>
      <c r="Y86" s="76"/>
      <c r="Z86" s="76"/>
      <c r="AA86" s="79" t="str">
        <f aca="false">IF(B86="","",IF($U86="NON",0,IF(COUNT(V86:Z86)=0,"",SUM(V86:Z86))))</f>
        <v/>
      </c>
      <c r="AB86" s="77" t="str">
        <f aca="false">IF(B86="","",IF($U86="NON",0,IF(COUNT(V86:Z86)=0,"",IFERROR(ROUND(SUM(V86:Z86)/SUMPRODUCT(ISNUMBER(V86:Z86)*$V$8:$Z$8)*20,2),""))))</f>
        <v/>
      </c>
      <c r="AC86" s="75"/>
      <c r="AD86" s="76"/>
      <c r="AE86" s="76"/>
      <c r="AF86" s="76"/>
      <c r="AG86" s="76"/>
      <c r="AH86" s="76"/>
      <c r="AI86" s="79" t="str">
        <f aca="false">IF(B86="","",IF($AC86="NON",0,IF(COUNT(AD86:AH86)=0,"",SUM(AD86:AH86))))</f>
        <v/>
      </c>
      <c r="AJ86" s="77" t="str">
        <f aca="false">IF(B86="","",IF($AC86="NON",0,IF(COUNT(AD86:AH86)=0,"",IFERROR(ROUND(SUM(AD86:AH86)/SUMPRODUCT(ISNUMBER(AD86:AH86)*$AD$8:$AH$8)*20,2),""))))</f>
        <v/>
      </c>
      <c r="AK86" s="51" t="str">
        <f aca="false">IFERROR(MATCH("CM2-77",'REGISTRE ELEVES'!$AI$10:$AI$250,0),"")</f>
        <v/>
      </c>
    </row>
    <row r="87" customFormat="false" ht="15" hidden="false" customHeight="false" outlineLevel="0" collapsed="false">
      <c r="A87" s="73" t="str">
        <f aca="false">IF(B87="","",78)</f>
        <v/>
      </c>
      <c r="B87" s="73" t="str">
        <f aca="false">IF($AK87="","",INDEX('REGISTRE ELEVES'!$B$10:$B$250,$AK87))</f>
        <v/>
      </c>
      <c r="C87" s="74" t="str">
        <f aca="false">IF($AK87="","",INDEX('REGISTRE ELEVES'!$D$10:$D$250,$AK87))</f>
        <v/>
      </c>
      <c r="D87" s="73" t="str">
        <f aca="false">IF($AK87="","",INDEX('REGISTRE ELEVES'!$E$10:$E$250,$AK87))</f>
        <v/>
      </c>
      <c r="E87" s="73" t="str">
        <f aca="false">IF($AK87="","",INDEX('REGISTRE ELEVES'!$F$10:$F$250,$AK87))</f>
        <v/>
      </c>
      <c r="F87" s="73" t="str">
        <f aca="false">IF($AK87="","",INDEX('REGISTRE ELEVES'!$AE$10:$AE$250,$AK87))</f>
        <v/>
      </c>
      <c r="G87" s="75"/>
      <c r="H87" s="76"/>
      <c r="I87" s="76"/>
      <c r="J87" s="76"/>
      <c r="K87" s="76"/>
      <c r="L87" s="79" t="str">
        <f aca="false">IF(B87="","",IF($G87="NON",0,IF(COUNT(H87:K87)=0,"",SUM(H87:K87))))</f>
        <v/>
      </c>
      <c r="M87" s="77" t="str">
        <f aca="false">IF(B87="","",IF($G87="NON",0,IF(COUNT(H87:K87)=0,"",IFERROR(ROUND(SUM(H87:K87)/SUMPRODUCT(ISNUMBER(H87:K87)*$H$8:$K$8)*20,2),""))))</f>
        <v/>
      </c>
      <c r="N87" s="75"/>
      <c r="O87" s="76"/>
      <c r="P87" s="76"/>
      <c r="Q87" s="76"/>
      <c r="R87" s="76"/>
      <c r="S87" s="79" t="str">
        <f aca="false">IF(B87="","",IF($N87="NON",0,IF(COUNT(O87:R87)=0,"",SUM(O87:R87))))</f>
        <v/>
      </c>
      <c r="T87" s="77" t="str">
        <f aca="false">IF(B87="","",IF($N87="NON",0,IF(COUNT(O87:R87)=0,"",IFERROR(ROUND(SUM(O87:R87)/SUMPRODUCT(ISNUMBER(O87:R87)*$O$8:$R$8)*20,2),""))))</f>
        <v/>
      </c>
      <c r="U87" s="75"/>
      <c r="V87" s="76"/>
      <c r="W87" s="76"/>
      <c r="X87" s="76"/>
      <c r="Y87" s="76"/>
      <c r="Z87" s="76"/>
      <c r="AA87" s="79" t="str">
        <f aca="false">IF(B87="","",IF($U87="NON",0,IF(COUNT(V87:Z87)=0,"",SUM(V87:Z87))))</f>
        <v/>
      </c>
      <c r="AB87" s="77" t="str">
        <f aca="false">IF(B87="","",IF($U87="NON",0,IF(COUNT(V87:Z87)=0,"",IFERROR(ROUND(SUM(V87:Z87)/SUMPRODUCT(ISNUMBER(V87:Z87)*$V$8:$Z$8)*20,2),""))))</f>
        <v/>
      </c>
      <c r="AC87" s="75"/>
      <c r="AD87" s="76"/>
      <c r="AE87" s="76"/>
      <c r="AF87" s="76"/>
      <c r="AG87" s="76"/>
      <c r="AH87" s="76"/>
      <c r="AI87" s="79" t="str">
        <f aca="false">IF(B87="","",IF($AC87="NON",0,IF(COUNT(AD87:AH87)=0,"",SUM(AD87:AH87))))</f>
        <v/>
      </c>
      <c r="AJ87" s="77" t="str">
        <f aca="false">IF(B87="","",IF($AC87="NON",0,IF(COUNT(AD87:AH87)=0,"",IFERROR(ROUND(SUM(AD87:AH87)/SUMPRODUCT(ISNUMBER(AD87:AH87)*$AD$8:$AH$8)*20,2),""))))</f>
        <v/>
      </c>
      <c r="AK87" s="51" t="str">
        <f aca="false">IFERROR(MATCH("CM2-78",'REGISTRE ELEVES'!$AI$10:$AI$250,0),"")</f>
        <v/>
      </c>
    </row>
    <row r="88" customFormat="false" ht="15" hidden="false" customHeight="false" outlineLevel="0" collapsed="false">
      <c r="A88" s="73" t="str">
        <f aca="false">IF(B88="","",79)</f>
        <v/>
      </c>
      <c r="B88" s="73" t="str">
        <f aca="false">IF($AK88="","",INDEX('REGISTRE ELEVES'!$B$10:$B$250,$AK88))</f>
        <v/>
      </c>
      <c r="C88" s="74" t="str">
        <f aca="false">IF($AK88="","",INDEX('REGISTRE ELEVES'!$D$10:$D$250,$AK88))</f>
        <v/>
      </c>
      <c r="D88" s="73" t="str">
        <f aca="false">IF($AK88="","",INDEX('REGISTRE ELEVES'!$E$10:$E$250,$AK88))</f>
        <v/>
      </c>
      <c r="E88" s="73" t="str">
        <f aca="false">IF($AK88="","",INDEX('REGISTRE ELEVES'!$F$10:$F$250,$AK88))</f>
        <v/>
      </c>
      <c r="F88" s="73" t="str">
        <f aca="false">IF($AK88="","",INDEX('REGISTRE ELEVES'!$AE$10:$AE$250,$AK88))</f>
        <v/>
      </c>
      <c r="G88" s="75"/>
      <c r="H88" s="76"/>
      <c r="I88" s="76"/>
      <c r="J88" s="76"/>
      <c r="K88" s="76"/>
      <c r="L88" s="79" t="str">
        <f aca="false">IF(B88="","",IF($G88="NON",0,IF(COUNT(H88:K88)=0,"",SUM(H88:K88))))</f>
        <v/>
      </c>
      <c r="M88" s="77" t="str">
        <f aca="false">IF(B88="","",IF($G88="NON",0,IF(COUNT(H88:K88)=0,"",IFERROR(ROUND(SUM(H88:K88)/SUMPRODUCT(ISNUMBER(H88:K88)*$H$8:$K$8)*20,2),""))))</f>
        <v/>
      </c>
      <c r="N88" s="75"/>
      <c r="O88" s="76"/>
      <c r="P88" s="76"/>
      <c r="Q88" s="76"/>
      <c r="R88" s="76"/>
      <c r="S88" s="79" t="str">
        <f aca="false">IF(B88="","",IF($N88="NON",0,IF(COUNT(O88:R88)=0,"",SUM(O88:R88))))</f>
        <v/>
      </c>
      <c r="T88" s="77" t="str">
        <f aca="false">IF(B88="","",IF($N88="NON",0,IF(COUNT(O88:R88)=0,"",IFERROR(ROUND(SUM(O88:R88)/SUMPRODUCT(ISNUMBER(O88:R88)*$O$8:$R$8)*20,2),""))))</f>
        <v/>
      </c>
      <c r="U88" s="75"/>
      <c r="V88" s="76"/>
      <c r="W88" s="76"/>
      <c r="X88" s="76"/>
      <c r="Y88" s="76"/>
      <c r="Z88" s="76"/>
      <c r="AA88" s="79" t="str">
        <f aca="false">IF(B88="","",IF($U88="NON",0,IF(COUNT(V88:Z88)=0,"",SUM(V88:Z88))))</f>
        <v/>
      </c>
      <c r="AB88" s="77" t="str">
        <f aca="false">IF(B88="","",IF($U88="NON",0,IF(COUNT(V88:Z88)=0,"",IFERROR(ROUND(SUM(V88:Z88)/SUMPRODUCT(ISNUMBER(V88:Z88)*$V$8:$Z$8)*20,2),""))))</f>
        <v/>
      </c>
      <c r="AC88" s="75"/>
      <c r="AD88" s="76"/>
      <c r="AE88" s="76"/>
      <c r="AF88" s="76"/>
      <c r="AG88" s="76"/>
      <c r="AH88" s="76"/>
      <c r="AI88" s="79" t="str">
        <f aca="false">IF(B88="","",IF($AC88="NON",0,IF(COUNT(AD88:AH88)=0,"",SUM(AD88:AH88))))</f>
        <v/>
      </c>
      <c r="AJ88" s="77" t="str">
        <f aca="false">IF(B88="","",IF($AC88="NON",0,IF(COUNT(AD88:AH88)=0,"",IFERROR(ROUND(SUM(AD88:AH88)/SUMPRODUCT(ISNUMBER(AD88:AH88)*$AD$8:$AH$8)*20,2),""))))</f>
        <v/>
      </c>
      <c r="AK88" s="51" t="str">
        <f aca="false">IFERROR(MATCH("CM2-79",'REGISTRE ELEVES'!$AI$10:$AI$250,0),"")</f>
        <v/>
      </c>
    </row>
    <row r="89" customFormat="false" ht="15" hidden="false" customHeight="false" outlineLevel="0" collapsed="false">
      <c r="A89" s="73" t="str">
        <f aca="false">IF(B89="","",80)</f>
        <v/>
      </c>
      <c r="B89" s="73" t="str">
        <f aca="false">IF($AK89="","",INDEX('REGISTRE ELEVES'!$B$10:$B$250,$AK89))</f>
        <v/>
      </c>
      <c r="C89" s="74" t="str">
        <f aca="false">IF($AK89="","",INDEX('REGISTRE ELEVES'!$D$10:$D$250,$AK89))</f>
        <v/>
      </c>
      <c r="D89" s="73" t="str">
        <f aca="false">IF($AK89="","",INDEX('REGISTRE ELEVES'!$E$10:$E$250,$AK89))</f>
        <v/>
      </c>
      <c r="E89" s="73" t="str">
        <f aca="false">IF($AK89="","",INDEX('REGISTRE ELEVES'!$F$10:$F$250,$AK89))</f>
        <v/>
      </c>
      <c r="F89" s="73" t="str">
        <f aca="false">IF($AK89="","",INDEX('REGISTRE ELEVES'!$AE$10:$AE$250,$AK89))</f>
        <v/>
      </c>
      <c r="G89" s="75"/>
      <c r="H89" s="76"/>
      <c r="I89" s="76"/>
      <c r="J89" s="76"/>
      <c r="K89" s="76"/>
      <c r="L89" s="79" t="str">
        <f aca="false">IF(B89="","",IF($G89="NON",0,IF(COUNT(H89:K89)=0,"",SUM(H89:K89))))</f>
        <v/>
      </c>
      <c r="M89" s="77" t="str">
        <f aca="false">IF(B89="","",IF($G89="NON",0,IF(COUNT(H89:K89)=0,"",IFERROR(ROUND(SUM(H89:K89)/SUMPRODUCT(ISNUMBER(H89:K89)*$H$8:$K$8)*20,2),""))))</f>
        <v/>
      </c>
      <c r="N89" s="75"/>
      <c r="O89" s="76"/>
      <c r="P89" s="76"/>
      <c r="Q89" s="76"/>
      <c r="R89" s="76"/>
      <c r="S89" s="79" t="str">
        <f aca="false">IF(B89="","",IF($N89="NON",0,IF(COUNT(O89:R89)=0,"",SUM(O89:R89))))</f>
        <v/>
      </c>
      <c r="T89" s="77" t="str">
        <f aca="false">IF(B89="","",IF($N89="NON",0,IF(COUNT(O89:R89)=0,"",IFERROR(ROUND(SUM(O89:R89)/SUMPRODUCT(ISNUMBER(O89:R89)*$O$8:$R$8)*20,2),""))))</f>
        <v/>
      </c>
      <c r="U89" s="75"/>
      <c r="V89" s="76"/>
      <c r="W89" s="76"/>
      <c r="X89" s="76"/>
      <c r="Y89" s="76"/>
      <c r="Z89" s="76"/>
      <c r="AA89" s="79" t="str">
        <f aca="false">IF(B89="","",IF($U89="NON",0,IF(COUNT(V89:Z89)=0,"",SUM(V89:Z89))))</f>
        <v/>
      </c>
      <c r="AB89" s="77" t="str">
        <f aca="false">IF(B89="","",IF($U89="NON",0,IF(COUNT(V89:Z89)=0,"",IFERROR(ROUND(SUM(V89:Z89)/SUMPRODUCT(ISNUMBER(V89:Z89)*$V$8:$Z$8)*20,2),""))))</f>
        <v/>
      </c>
      <c r="AC89" s="75"/>
      <c r="AD89" s="76"/>
      <c r="AE89" s="76"/>
      <c r="AF89" s="76"/>
      <c r="AG89" s="76"/>
      <c r="AH89" s="76"/>
      <c r="AI89" s="79" t="str">
        <f aca="false">IF(B89="","",IF($AC89="NON",0,IF(COUNT(AD89:AH89)=0,"",SUM(AD89:AH89))))</f>
        <v/>
      </c>
      <c r="AJ89" s="77" t="str">
        <f aca="false">IF(B89="","",IF($AC89="NON",0,IF(COUNT(AD89:AH89)=0,"",IFERROR(ROUND(SUM(AD89:AH89)/SUMPRODUCT(ISNUMBER(AD89:AH89)*$AD$8:$AH$8)*20,2),""))))</f>
        <v/>
      </c>
      <c r="AK89" s="51" t="str">
        <f aca="false">IFERROR(MATCH("CM2-80",'REGISTRE ELEVES'!$AI$10:$AI$250,0),"")</f>
        <v/>
      </c>
    </row>
    <row r="90" customFormat="false" ht="15" hidden="false" customHeight="false" outlineLevel="0" collapsed="false">
      <c r="A90" s="73" t="str">
        <f aca="false">IF(B90="","",81)</f>
        <v/>
      </c>
      <c r="B90" s="73" t="str">
        <f aca="false">IF($AK90="","",INDEX('REGISTRE ELEVES'!$B$10:$B$250,$AK90))</f>
        <v/>
      </c>
      <c r="C90" s="74" t="str">
        <f aca="false">IF($AK90="","",INDEX('REGISTRE ELEVES'!$D$10:$D$250,$AK90))</f>
        <v/>
      </c>
      <c r="D90" s="73" t="str">
        <f aca="false">IF($AK90="","",INDEX('REGISTRE ELEVES'!$E$10:$E$250,$AK90))</f>
        <v/>
      </c>
      <c r="E90" s="73" t="str">
        <f aca="false">IF($AK90="","",INDEX('REGISTRE ELEVES'!$F$10:$F$250,$AK90))</f>
        <v/>
      </c>
      <c r="F90" s="73" t="str">
        <f aca="false">IF($AK90="","",INDEX('REGISTRE ELEVES'!$AE$10:$AE$250,$AK90))</f>
        <v/>
      </c>
      <c r="G90" s="75"/>
      <c r="H90" s="76"/>
      <c r="I90" s="76"/>
      <c r="J90" s="76"/>
      <c r="K90" s="76"/>
      <c r="L90" s="79" t="str">
        <f aca="false">IF(B90="","",IF($G90="NON",0,IF(COUNT(H90:K90)=0,"",SUM(H90:K90))))</f>
        <v/>
      </c>
      <c r="M90" s="77" t="str">
        <f aca="false">IF(B90="","",IF($G90="NON",0,IF(COUNT(H90:K90)=0,"",IFERROR(ROUND(SUM(H90:K90)/SUMPRODUCT(ISNUMBER(H90:K90)*$H$8:$K$8)*20,2),""))))</f>
        <v/>
      </c>
      <c r="N90" s="75"/>
      <c r="O90" s="76"/>
      <c r="P90" s="76"/>
      <c r="Q90" s="76"/>
      <c r="R90" s="76"/>
      <c r="S90" s="79" t="str">
        <f aca="false">IF(B90="","",IF($N90="NON",0,IF(COUNT(O90:R90)=0,"",SUM(O90:R90))))</f>
        <v/>
      </c>
      <c r="T90" s="77" t="str">
        <f aca="false">IF(B90="","",IF($N90="NON",0,IF(COUNT(O90:R90)=0,"",IFERROR(ROUND(SUM(O90:R90)/SUMPRODUCT(ISNUMBER(O90:R90)*$O$8:$R$8)*20,2),""))))</f>
        <v/>
      </c>
      <c r="U90" s="75"/>
      <c r="V90" s="76"/>
      <c r="W90" s="76"/>
      <c r="X90" s="76"/>
      <c r="Y90" s="76"/>
      <c r="Z90" s="76"/>
      <c r="AA90" s="79" t="str">
        <f aca="false">IF(B90="","",IF($U90="NON",0,IF(COUNT(V90:Z90)=0,"",SUM(V90:Z90))))</f>
        <v/>
      </c>
      <c r="AB90" s="77" t="str">
        <f aca="false">IF(B90="","",IF($U90="NON",0,IF(COUNT(V90:Z90)=0,"",IFERROR(ROUND(SUM(V90:Z90)/SUMPRODUCT(ISNUMBER(V90:Z90)*$V$8:$Z$8)*20,2),""))))</f>
        <v/>
      </c>
      <c r="AC90" s="75"/>
      <c r="AD90" s="76"/>
      <c r="AE90" s="76"/>
      <c r="AF90" s="76"/>
      <c r="AG90" s="76"/>
      <c r="AH90" s="76"/>
      <c r="AI90" s="79" t="str">
        <f aca="false">IF(B90="","",IF($AC90="NON",0,IF(COUNT(AD90:AH90)=0,"",SUM(AD90:AH90))))</f>
        <v/>
      </c>
      <c r="AJ90" s="77" t="str">
        <f aca="false">IF(B90="","",IF($AC90="NON",0,IF(COUNT(AD90:AH90)=0,"",IFERROR(ROUND(SUM(AD90:AH90)/SUMPRODUCT(ISNUMBER(AD90:AH90)*$AD$8:$AH$8)*20,2),""))))</f>
        <v/>
      </c>
      <c r="AK90" s="51" t="str">
        <f aca="false">IFERROR(MATCH("CM2-81",'REGISTRE ELEVES'!$AI$10:$AI$250,0),"")</f>
        <v/>
      </c>
    </row>
    <row r="91" customFormat="false" ht="15" hidden="false" customHeight="false" outlineLevel="0" collapsed="false">
      <c r="A91" s="73" t="str">
        <f aca="false">IF(B91="","",82)</f>
        <v/>
      </c>
      <c r="B91" s="73" t="str">
        <f aca="false">IF($AK91="","",INDEX('REGISTRE ELEVES'!$B$10:$B$250,$AK91))</f>
        <v/>
      </c>
      <c r="C91" s="74" t="str">
        <f aca="false">IF($AK91="","",INDEX('REGISTRE ELEVES'!$D$10:$D$250,$AK91))</f>
        <v/>
      </c>
      <c r="D91" s="73" t="str">
        <f aca="false">IF($AK91="","",INDEX('REGISTRE ELEVES'!$E$10:$E$250,$AK91))</f>
        <v/>
      </c>
      <c r="E91" s="73" t="str">
        <f aca="false">IF($AK91="","",INDEX('REGISTRE ELEVES'!$F$10:$F$250,$AK91))</f>
        <v/>
      </c>
      <c r="F91" s="73" t="str">
        <f aca="false">IF($AK91="","",INDEX('REGISTRE ELEVES'!$AE$10:$AE$250,$AK91))</f>
        <v/>
      </c>
      <c r="G91" s="75"/>
      <c r="H91" s="76"/>
      <c r="I91" s="76"/>
      <c r="J91" s="76"/>
      <c r="K91" s="76"/>
      <c r="L91" s="79" t="str">
        <f aca="false">IF(B91="","",IF($G91="NON",0,IF(COUNT(H91:K91)=0,"",SUM(H91:K91))))</f>
        <v/>
      </c>
      <c r="M91" s="77" t="str">
        <f aca="false">IF(B91="","",IF($G91="NON",0,IF(COUNT(H91:K91)=0,"",IFERROR(ROUND(SUM(H91:K91)/SUMPRODUCT(ISNUMBER(H91:K91)*$H$8:$K$8)*20,2),""))))</f>
        <v/>
      </c>
      <c r="N91" s="75"/>
      <c r="O91" s="76"/>
      <c r="P91" s="76"/>
      <c r="Q91" s="76"/>
      <c r="R91" s="76"/>
      <c r="S91" s="79" t="str">
        <f aca="false">IF(B91="","",IF($N91="NON",0,IF(COUNT(O91:R91)=0,"",SUM(O91:R91))))</f>
        <v/>
      </c>
      <c r="T91" s="77" t="str">
        <f aca="false">IF(B91="","",IF($N91="NON",0,IF(COUNT(O91:R91)=0,"",IFERROR(ROUND(SUM(O91:R91)/SUMPRODUCT(ISNUMBER(O91:R91)*$O$8:$R$8)*20,2),""))))</f>
        <v/>
      </c>
      <c r="U91" s="75"/>
      <c r="V91" s="76"/>
      <c r="W91" s="76"/>
      <c r="X91" s="76"/>
      <c r="Y91" s="76"/>
      <c r="Z91" s="76"/>
      <c r="AA91" s="79" t="str">
        <f aca="false">IF(B91="","",IF($U91="NON",0,IF(COUNT(V91:Z91)=0,"",SUM(V91:Z91))))</f>
        <v/>
      </c>
      <c r="AB91" s="77" t="str">
        <f aca="false">IF(B91="","",IF($U91="NON",0,IF(COUNT(V91:Z91)=0,"",IFERROR(ROUND(SUM(V91:Z91)/SUMPRODUCT(ISNUMBER(V91:Z91)*$V$8:$Z$8)*20,2),""))))</f>
        <v/>
      </c>
      <c r="AC91" s="75"/>
      <c r="AD91" s="76"/>
      <c r="AE91" s="76"/>
      <c r="AF91" s="76"/>
      <c r="AG91" s="76"/>
      <c r="AH91" s="76"/>
      <c r="AI91" s="79" t="str">
        <f aca="false">IF(B91="","",IF($AC91="NON",0,IF(COUNT(AD91:AH91)=0,"",SUM(AD91:AH91))))</f>
        <v/>
      </c>
      <c r="AJ91" s="77" t="str">
        <f aca="false">IF(B91="","",IF($AC91="NON",0,IF(COUNT(AD91:AH91)=0,"",IFERROR(ROUND(SUM(AD91:AH91)/SUMPRODUCT(ISNUMBER(AD91:AH91)*$AD$8:$AH$8)*20,2),""))))</f>
        <v/>
      </c>
      <c r="AK91" s="51" t="str">
        <f aca="false">IFERROR(MATCH("CM2-82",'REGISTRE ELEVES'!$AI$10:$AI$250,0),"")</f>
        <v/>
      </c>
    </row>
    <row r="92" customFormat="false" ht="15" hidden="false" customHeight="false" outlineLevel="0" collapsed="false">
      <c r="A92" s="73" t="str">
        <f aca="false">IF(B92="","",83)</f>
        <v/>
      </c>
      <c r="B92" s="73" t="str">
        <f aca="false">IF($AK92="","",INDEX('REGISTRE ELEVES'!$B$10:$B$250,$AK92))</f>
        <v/>
      </c>
      <c r="C92" s="74" t="str">
        <f aca="false">IF($AK92="","",INDEX('REGISTRE ELEVES'!$D$10:$D$250,$AK92))</f>
        <v/>
      </c>
      <c r="D92" s="73" t="str">
        <f aca="false">IF($AK92="","",INDEX('REGISTRE ELEVES'!$E$10:$E$250,$AK92))</f>
        <v/>
      </c>
      <c r="E92" s="73" t="str">
        <f aca="false">IF($AK92="","",INDEX('REGISTRE ELEVES'!$F$10:$F$250,$AK92))</f>
        <v/>
      </c>
      <c r="F92" s="73" t="str">
        <f aca="false">IF($AK92="","",INDEX('REGISTRE ELEVES'!$AE$10:$AE$250,$AK92))</f>
        <v/>
      </c>
      <c r="G92" s="75"/>
      <c r="H92" s="76"/>
      <c r="I92" s="76"/>
      <c r="J92" s="76"/>
      <c r="K92" s="76"/>
      <c r="L92" s="79" t="str">
        <f aca="false">IF(B92="","",IF($G92="NON",0,IF(COUNT(H92:K92)=0,"",SUM(H92:K92))))</f>
        <v/>
      </c>
      <c r="M92" s="77" t="str">
        <f aca="false">IF(B92="","",IF($G92="NON",0,IF(COUNT(H92:K92)=0,"",IFERROR(ROUND(SUM(H92:K92)/SUMPRODUCT(ISNUMBER(H92:K92)*$H$8:$K$8)*20,2),""))))</f>
        <v/>
      </c>
      <c r="N92" s="75"/>
      <c r="O92" s="76"/>
      <c r="P92" s="76"/>
      <c r="Q92" s="76"/>
      <c r="R92" s="76"/>
      <c r="S92" s="79" t="str">
        <f aca="false">IF(B92="","",IF($N92="NON",0,IF(COUNT(O92:R92)=0,"",SUM(O92:R92))))</f>
        <v/>
      </c>
      <c r="T92" s="77" t="str">
        <f aca="false">IF(B92="","",IF($N92="NON",0,IF(COUNT(O92:R92)=0,"",IFERROR(ROUND(SUM(O92:R92)/SUMPRODUCT(ISNUMBER(O92:R92)*$O$8:$R$8)*20,2),""))))</f>
        <v/>
      </c>
      <c r="U92" s="75"/>
      <c r="V92" s="76"/>
      <c r="W92" s="76"/>
      <c r="X92" s="76"/>
      <c r="Y92" s="76"/>
      <c r="Z92" s="76"/>
      <c r="AA92" s="79" t="str">
        <f aca="false">IF(B92="","",IF($U92="NON",0,IF(COUNT(V92:Z92)=0,"",SUM(V92:Z92))))</f>
        <v/>
      </c>
      <c r="AB92" s="77" t="str">
        <f aca="false">IF(B92="","",IF($U92="NON",0,IF(COUNT(V92:Z92)=0,"",IFERROR(ROUND(SUM(V92:Z92)/SUMPRODUCT(ISNUMBER(V92:Z92)*$V$8:$Z$8)*20,2),""))))</f>
        <v/>
      </c>
      <c r="AC92" s="75"/>
      <c r="AD92" s="76"/>
      <c r="AE92" s="76"/>
      <c r="AF92" s="76"/>
      <c r="AG92" s="76"/>
      <c r="AH92" s="76"/>
      <c r="AI92" s="79" t="str">
        <f aca="false">IF(B92="","",IF($AC92="NON",0,IF(COUNT(AD92:AH92)=0,"",SUM(AD92:AH92))))</f>
        <v/>
      </c>
      <c r="AJ92" s="77" t="str">
        <f aca="false">IF(B92="","",IF($AC92="NON",0,IF(COUNT(AD92:AH92)=0,"",IFERROR(ROUND(SUM(AD92:AH92)/SUMPRODUCT(ISNUMBER(AD92:AH92)*$AD$8:$AH$8)*20,2),""))))</f>
        <v/>
      </c>
      <c r="AK92" s="51" t="str">
        <f aca="false">IFERROR(MATCH("CM2-83",'REGISTRE ELEVES'!$AI$10:$AI$250,0),"")</f>
        <v/>
      </c>
    </row>
    <row r="93" customFormat="false" ht="15" hidden="false" customHeight="false" outlineLevel="0" collapsed="false">
      <c r="A93" s="73" t="str">
        <f aca="false">IF(B93="","",84)</f>
        <v/>
      </c>
      <c r="B93" s="73" t="str">
        <f aca="false">IF($AK93="","",INDEX('REGISTRE ELEVES'!$B$10:$B$250,$AK93))</f>
        <v/>
      </c>
      <c r="C93" s="74" t="str">
        <f aca="false">IF($AK93="","",INDEX('REGISTRE ELEVES'!$D$10:$D$250,$AK93))</f>
        <v/>
      </c>
      <c r="D93" s="73" t="str">
        <f aca="false">IF($AK93="","",INDEX('REGISTRE ELEVES'!$E$10:$E$250,$AK93))</f>
        <v/>
      </c>
      <c r="E93" s="73" t="str">
        <f aca="false">IF($AK93="","",INDEX('REGISTRE ELEVES'!$F$10:$F$250,$AK93))</f>
        <v/>
      </c>
      <c r="F93" s="73" t="str">
        <f aca="false">IF($AK93="","",INDEX('REGISTRE ELEVES'!$AE$10:$AE$250,$AK93))</f>
        <v/>
      </c>
      <c r="G93" s="75"/>
      <c r="H93" s="76"/>
      <c r="I93" s="76"/>
      <c r="J93" s="76"/>
      <c r="K93" s="76"/>
      <c r="L93" s="79" t="str">
        <f aca="false">IF(B93="","",IF($G93="NON",0,IF(COUNT(H93:K93)=0,"",SUM(H93:K93))))</f>
        <v/>
      </c>
      <c r="M93" s="77" t="str">
        <f aca="false">IF(B93="","",IF($G93="NON",0,IF(COUNT(H93:K93)=0,"",IFERROR(ROUND(SUM(H93:K93)/SUMPRODUCT(ISNUMBER(H93:K93)*$H$8:$K$8)*20,2),""))))</f>
        <v/>
      </c>
      <c r="N93" s="75"/>
      <c r="O93" s="76"/>
      <c r="P93" s="76"/>
      <c r="Q93" s="76"/>
      <c r="R93" s="76"/>
      <c r="S93" s="79" t="str">
        <f aca="false">IF(B93="","",IF($N93="NON",0,IF(COUNT(O93:R93)=0,"",SUM(O93:R93))))</f>
        <v/>
      </c>
      <c r="T93" s="77" t="str">
        <f aca="false">IF(B93="","",IF($N93="NON",0,IF(COUNT(O93:R93)=0,"",IFERROR(ROUND(SUM(O93:R93)/SUMPRODUCT(ISNUMBER(O93:R93)*$O$8:$R$8)*20,2),""))))</f>
        <v/>
      </c>
      <c r="U93" s="75"/>
      <c r="V93" s="76"/>
      <c r="W93" s="76"/>
      <c r="X93" s="76"/>
      <c r="Y93" s="76"/>
      <c r="Z93" s="76"/>
      <c r="AA93" s="79" t="str">
        <f aca="false">IF(B93="","",IF($U93="NON",0,IF(COUNT(V93:Z93)=0,"",SUM(V93:Z93))))</f>
        <v/>
      </c>
      <c r="AB93" s="77" t="str">
        <f aca="false">IF(B93="","",IF($U93="NON",0,IF(COUNT(V93:Z93)=0,"",IFERROR(ROUND(SUM(V93:Z93)/SUMPRODUCT(ISNUMBER(V93:Z93)*$V$8:$Z$8)*20,2),""))))</f>
        <v/>
      </c>
      <c r="AC93" s="75"/>
      <c r="AD93" s="76"/>
      <c r="AE93" s="76"/>
      <c r="AF93" s="76"/>
      <c r="AG93" s="76"/>
      <c r="AH93" s="76"/>
      <c r="AI93" s="79" t="str">
        <f aca="false">IF(B93="","",IF($AC93="NON",0,IF(COUNT(AD93:AH93)=0,"",SUM(AD93:AH93))))</f>
        <v/>
      </c>
      <c r="AJ93" s="77" t="str">
        <f aca="false">IF(B93="","",IF($AC93="NON",0,IF(COUNT(AD93:AH93)=0,"",IFERROR(ROUND(SUM(AD93:AH93)/SUMPRODUCT(ISNUMBER(AD93:AH93)*$AD$8:$AH$8)*20,2),""))))</f>
        <v/>
      </c>
      <c r="AK93" s="51" t="str">
        <f aca="false">IFERROR(MATCH("CM2-84",'REGISTRE ELEVES'!$AI$10:$AI$250,0),"")</f>
        <v/>
      </c>
    </row>
    <row r="94" customFormat="false" ht="15" hidden="false" customHeight="false" outlineLevel="0" collapsed="false">
      <c r="A94" s="73" t="str">
        <f aca="false">IF(B94="","",85)</f>
        <v/>
      </c>
      <c r="B94" s="73" t="str">
        <f aca="false">IF($AK94="","",INDEX('REGISTRE ELEVES'!$B$10:$B$250,$AK94))</f>
        <v/>
      </c>
      <c r="C94" s="74" t="str">
        <f aca="false">IF($AK94="","",INDEX('REGISTRE ELEVES'!$D$10:$D$250,$AK94))</f>
        <v/>
      </c>
      <c r="D94" s="73" t="str">
        <f aca="false">IF($AK94="","",INDEX('REGISTRE ELEVES'!$E$10:$E$250,$AK94))</f>
        <v/>
      </c>
      <c r="E94" s="73" t="str">
        <f aca="false">IF($AK94="","",INDEX('REGISTRE ELEVES'!$F$10:$F$250,$AK94))</f>
        <v/>
      </c>
      <c r="F94" s="73" t="str">
        <f aca="false">IF($AK94="","",INDEX('REGISTRE ELEVES'!$AE$10:$AE$250,$AK94))</f>
        <v/>
      </c>
      <c r="G94" s="75"/>
      <c r="H94" s="76"/>
      <c r="I94" s="76"/>
      <c r="J94" s="76"/>
      <c r="K94" s="76"/>
      <c r="L94" s="79" t="str">
        <f aca="false">IF(B94="","",IF($G94="NON",0,IF(COUNT(H94:K94)=0,"",SUM(H94:K94))))</f>
        <v/>
      </c>
      <c r="M94" s="77" t="str">
        <f aca="false">IF(B94="","",IF($G94="NON",0,IF(COUNT(H94:K94)=0,"",IFERROR(ROUND(SUM(H94:K94)/SUMPRODUCT(ISNUMBER(H94:K94)*$H$8:$K$8)*20,2),""))))</f>
        <v/>
      </c>
      <c r="N94" s="75"/>
      <c r="O94" s="76"/>
      <c r="P94" s="76"/>
      <c r="Q94" s="76"/>
      <c r="R94" s="76"/>
      <c r="S94" s="79" t="str">
        <f aca="false">IF(B94="","",IF($N94="NON",0,IF(COUNT(O94:R94)=0,"",SUM(O94:R94))))</f>
        <v/>
      </c>
      <c r="T94" s="77" t="str">
        <f aca="false">IF(B94="","",IF($N94="NON",0,IF(COUNT(O94:R94)=0,"",IFERROR(ROUND(SUM(O94:R94)/SUMPRODUCT(ISNUMBER(O94:R94)*$O$8:$R$8)*20,2),""))))</f>
        <v/>
      </c>
      <c r="U94" s="75"/>
      <c r="V94" s="76"/>
      <c r="W94" s="76"/>
      <c r="X94" s="76"/>
      <c r="Y94" s="76"/>
      <c r="Z94" s="76"/>
      <c r="AA94" s="79" t="str">
        <f aca="false">IF(B94="","",IF($U94="NON",0,IF(COUNT(V94:Z94)=0,"",SUM(V94:Z94))))</f>
        <v/>
      </c>
      <c r="AB94" s="77" t="str">
        <f aca="false">IF(B94="","",IF($U94="NON",0,IF(COUNT(V94:Z94)=0,"",IFERROR(ROUND(SUM(V94:Z94)/SUMPRODUCT(ISNUMBER(V94:Z94)*$V$8:$Z$8)*20,2),""))))</f>
        <v/>
      </c>
      <c r="AC94" s="75"/>
      <c r="AD94" s="76"/>
      <c r="AE94" s="76"/>
      <c r="AF94" s="76"/>
      <c r="AG94" s="76"/>
      <c r="AH94" s="76"/>
      <c r="AI94" s="79" t="str">
        <f aca="false">IF(B94="","",IF($AC94="NON",0,IF(COUNT(AD94:AH94)=0,"",SUM(AD94:AH94))))</f>
        <v/>
      </c>
      <c r="AJ94" s="77" t="str">
        <f aca="false">IF(B94="","",IF($AC94="NON",0,IF(COUNT(AD94:AH94)=0,"",IFERROR(ROUND(SUM(AD94:AH94)/SUMPRODUCT(ISNUMBER(AD94:AH94)*$AD$8:$AH$8)*20,2),""))))</f>
        <v/>
      </c>
      <c r="AK94" s="51" t="str">
        <f aca="false">IFERROR(MATCH("CM2-85",'REGISTRE ELEVES'!$AI$10:$AI$250,0),"")</f>
        <v/>
      </c>
    </row>
    <row r="95" customFormat="false" ht="15" hidden="false" customHeight="false" outlineLevel="0" collapsed="false">
      <c r="A95" s="73" t="str">
        <f aca="false">IF(B95="","",86)</f>
        <v/>
      </c>
      <c r="B95" s="73" t="str">
        <f aca="false">IF($AK95="","",INDEX('REGISTRE ELEVES'!$B$10:$B$250,$AK95))</f>
        <v/>
      </c>
      <c r="C95" s="74" t="str">
        <f aca="false">IF($AK95="","",INDEX('REGISTRE ELEVES'!$D$10:$D$250,$AK95))</f>
        <v/>
      </c>
      <c r="D95" s="73" t="str">
        <f aca="false">IF($AK95="","",INDEX('REGISTRE ELEVES'!$E$10:$E$250,$AK95))</f>
        <v/>
      </c>
      <c r="E95" s="73" t="str">
        <f aca="false">IF($AK95="","",INDEX('REGISTRE ELEVES'!$F$10:$F$250,$AK95))</f>
        <v/>
      </c>
      <c r="F95" s="73" t="str">
        <f aca="false">IF($AK95="","",INDEX('REGISTRE ELEVES'!$AE$10:$AE$250,$AK95))</f>
        <v/>
      </c>
      <c r="G95" s="75"/>
      <c r="H95" s="76"/>
      <c r="I95" s="76"/>
      <c r="J95" s="76"/>
      <c r="K95" s="76"/>
      <c r="L95" s="79" t="str">
        <f aca="false">IF(B95="","",IF($G95="NON",0,IF(COUNT(H95:K95)=0,"",SUM(H95:K95))))</f>
        <v/>
      </c>
      <c r="M95" s="77" t="str">
        <f aca="false">IF(B95="","",IF($G95="NON",0,IF(COUNT(H95:K95)=0,"",IFERROR(ROUND(SUM(H95:K95)/SUMPRODUCT(ISNUMBER(H95:K95)*$H$8:$K$8)*20,2),""))))</f>
        <v/>
      </c>
      <c r="N95" s="75"/>
      <c r="O95" s="76"/>
      <c r="P95" s="76"/>
      <c r="Q95" s="76"/>
      <c r="R95" s="76"/>
      <c r="S95" s="79" t="str">
        <f aca="false">IF(B95="","",IF($N95="NON",0,IF(COUNT(O95:R95)=0,"",SUM(O95:R95))))</f>
        <v/>
      </c>
      <c r="T95" s="77" t="str">
        <f aca="false">IF(B95="","",IF($N95="NON",0,IF(COUNT(O95:R95)=0,"",IFERROR(ROUND(SUM(O95:R95)/SUMPRODUCT(ISNUMBER(O95:R95)*$O$8:$R$8)*20,2),""))))</f>
        <v/>
      </c>
      <c r="U95" s="75"/>
      <c r="V95" s="76"/>
      <c r="W95" s="76"/>
      <c r="X95" s="76"/>
      <c r="Y95" s="76"/>
      <c r="Z95" s="76"/>
      <c r="AA95" s="79" t="str">
        <f aca="false">IF(B95="","",IF($U95="NON",0,IF(COUNT(V95:Z95)=0,"",SUM(V95:Z95))))</f>
        <v/>
      </c>
      <c r="AB95" s="77" t="str">
        <f aca="false">IF(B95="","",IF($U95="NON",0,IF(COUNT(V95:Z95)=0,"",IFERROR(ROUND(SUM(V95:Z95)/SUMPRODUCT(ISNUMBER(V95:Z95)*$V$8:$Z$8)*20,2),""))))</f>
        <v/>
      </c>
      <c r="AC95" s="75"/>
      <c r="AD95" s="76"/>
      <c r="AE95" s="76"/>
      <c r="AF95" s="76"/>
      <c r="AG95" s="76"/>
      <c r="AH95" s="76"/>
      <c r="AI95" s="79" t="str">
        <f aca="false">IF(B95="","",IF($AC95="NON",0,IF(COUNT(AD95:AH95)=0,"",SUM(AD95:AH95))))</f>
        <v/>
      </c>
      <c r="AJ95" s="77" t="str">
        <f aca="false">IF(B95="","",IF($AC95="NON",0,IF(COUNT(AD95:AH95)=0,"",IFERROR(ROUND(SUM(AD95:AH95)/SUMPRODUCT(ISNUMBER(AD95:AH95)*$AD$8:$AH$8)*20,2),""))))</f>
        <v/>
      </c>
      <c r="AK95" s="51" t="str">
        <f aca="false">IFERROR(MATCH("CM2-86",'REGISTRE ELEVES'!$AI$10:$AI$250,0),"")</f>
        <v/>
      </c>
    </row>
    <row r="96" customFormat="false" ht="15" hidden="false" customHeight="false" outlineLevel="0" collapsed="false">
      <c r="A96" s="73" t="str">
        <f aca="false">IF(B96="","",87)</f>
        <v/>
      </c>
      <c r="B96" s="73" t="str">
        <f aca="false">IF($AK96="","",INDEX('REGISTRE ELEVES'!$B$10:$B$250,$AK96))</f>
        <v/>
      </c>
      <c r="C96" s="74" t="str">
        <f aca="false">IF($AK96="","",INDEX('REGISTRE ELEVES'!$D$10:$D$250,$AK96))</f>
        <v/>
      </c>
      <c r="D96" s="73" t="str">
        <f aca="false">IF($AK96="","",INDEX('REGISTRE ELEVES'!$E$10:$E$250,$AK96))</f>
        <v/>
      </c>
      <c r="E96" s="73" t="str">
        <f aca="false">IF($AK96="","",INDEX('REGISTRE ELEVES'!$F$10:$F$250,$AK96))</f>
        <v/>
      </c>
      <c r="F96" s="73" t="str">
        <f aca="false">IF($AK96="","",INDEX('REGISTRE ELEVES'!$AE$10:$AE$250,$AK96))</f>
        <v/>
      </c>
      <c r="G96" s="75"/>
      <c r="H96" s="76"/>
      <c r="I96" s="76"/>
      <c r="J96" s="76"/>
      <c r="K96" s="76"/>
      <c r="L96" s="79" t="str">
        <f aca="false">IF(B96="","",IF($G96="NON",0,IF(COUNT(H96:K96)=0,"",SUM(H96:K96))))</f>
        <v/>
      </c>
      <c r="M96" s="77" t="str">
        <f aca="false">IF(B96="","",IF($G96="NON",0,IF(COUNT(H96:K96)=0,"",IFERROR(ROUND(SUM(H96:K96)/SUMPRODUCT(ISNUMBER(H96:K96)*$H$8:$K$8)*20,2),""))))</f>
        <v/>
      </c>
      <c r="N96" s="75"/>
      <c r="O96" s="76"/>
      <c r="P96" s="76"/>
      <c r="Q96" s="76"/>
      <c r="R96" s="76"/>
      <c r="S96" s="79" t="str">
        <f aca="false">IF(B96="","",IF($N96="NON",0,IF(COUNT(O96:R96)=0,"",SUM(O96:R96))))</f>
        <v/>
      </c>
      <c r="T96" s="77" t="str">
        <f aca="false">IF(B96="","",IF($N96="NON",0,IF(COUNT(O96:R96)=0,"",IFERROR(ROUND(SUM(O96:R96)/SUMPRODUCT(ISNUMBER(O96:R96)*$O$8:$R$8)*20,2),""))))</f>
        <v/>
      </c>
      <c r="U96" s="75"/>
      <c r="V96" s="76"/>
      <c r="W96" s="76"/>
      <c r="X96" s="76"/>
      <c r="Y96" s="76"/>
      <c r="Z96" s="76"/>
      <c r="AA96" s="79" t="str">
        <f aca="false">IF(B96="","",IF($U96="NON",0,IF(COUNT(V96:Z96)=0,"",SUM(V96:Z96))))</f>
        <v/>
      </c>
      <c r="AB96" s="77" t="str">
        <f aca="false">IF(B96="","",IF($U96="NON",0,IF(COUNT(V96:Z96)=0,"",IFERROR(ROUND(SUM(V96:Z96)/SUMPRODUCT(ISNUMBER(V96:Z96)*$V$8:$Z$8)*20,2),""))))</f>
        <v/>
      </c>
      <c r="AC96" s="75"/>
      <c r="AD96" s="76"/>
      <c r="AE96" s="76"/>
      <c r="AF96" s="76"/>
      <c r="AG96" s="76"/>
      <c r="AH96" s="76"/>
      <c r="AI96" s="79" t="str">
        <f aca="false">IF(B96="","",IF($AC96="NON",0,IF(COUNT(AD96:AH96)=0,"",SUM(AD96:AH96))))</f>
        <v/>
      </c>
      <c r="AJ96" s="77" t="str">
        <f aca="false">IF(B96="","",IF($AC96="NON",0,IF(COUNT(AD96:AH96)=0,"",IFERROR(ROUND(SUM(AD96:AH96)/SUMPRODUCT(ISNUMBER(AD96:AH96)*$AD$8:$AH$8)*20,2),""))))</f>
        <v/>
      </c>
      <c r="AK96" s="51" t="str">
        <f aca="false">IFERROR(MATCH("CM2-87",'REGISTRE ELEVES'!$AI$10:$AI$250,0),"")</f>
        <v/>
      </c>
    </row>
    <row r="97" customFormat="false" ht="15" hidden="false" customHeight="false" outlineLevel="0" collapsed="false">
      <c r="A97" s="73" t="str">
        <f aca="false">IF(B97="","",88)</f>
        <v/>
      </c>
      <c r="B97" s="73" t="str">
        <f aca="false">IF($AK97="","",INDEX('REGISTRE ELEVES'!$B$10:$B$250,$AK97))</f>
        <v/>
      </c>
      <c r="C97" s="74" t="str">
        <f aca="false">IF($AK97="","",INDEX('REGISTRE ELEVES'!$D$10:$D$250,$AK97))</f>
        <v/>
      </c>
      <c r="D97" s="73" t="str">
        <f aca="false">IF($AK97="","",INDEX('REGISTRE ELEVES'!$E$10:$E$250,$AK97))</f>
        <v/>
      </c>
      <c r="E97" s="73" t="str">
        <f aca="false">IF($AK97="","",INDEX('REGISTRE ELEVES'!$F$10:$F$250,$AK97))</f>
        <v/>
      </c>
      <c r="F97" s="73" t="str">
        <f aca="false">IF($AK97="","",INDEX('REGISTRE ELEVES'!$AE$10:$AE$250,$AK97))</f>
        <v/>
      </c>
      <c r="G97" s="75"/>
      <c r="H97" s="76"/>
      <c r="I97" s="76"/>
      <c r="J97" s="76"/>
      <c r="K97" s="76"/>
      <c r="L97" s="79" t="str">
        <f aca="false">IF(B97="","",IF($G97="NON",0,IF(COUNT(H97:K97)=0,"",SUM(H97:K97))))</f>
        <v/>
      </c>
      <c r="M97" s="77" t="str">
        <f aca="false">IF(B97="","",IF($G97="NON",0,IF(COUNT(H97:K97)=0,"",IFERROR(ROUND(SUM(H97:K97)/SUMPRODUCT(ISNUMBER(H97:K97)*$H$8:$K$8)*20,2),""))))</f>
        <v/>
      </c>
      <c r="N97" s="75"/>
      <c r="O97" s="76"/>
      <c r="P97" s="76"/>
      <c r="Q97" s="76"/>
      <c r="R97" s="76"/>
      <c r="S97" s="79" t="str">
        <f aca="false">IF(B97="","",IF($N97="NON",0,IF(COUNT(O97:R97)=0,"",SUM(O97:R97))))</f>
        <v/>
      </c>
      <c r="T97" s="77" t="str">
        <f aca="false">IF(B97="","",IF($N97="NON",0,IF(COUNT(O97:R97)=0,"",IFERROR(ROUND(SUM(O97:R97)/SUMPRODUCT(ISNUMBER(O97:R97)*$O$8:$R$8)*20,2),""))))</f>
        <v/>
      </c>
      <c r="U97" s="75"/>
      <c r="V97" s="76"/>
      <c r="W97" s="76"/>
      <c r="X97" s="76"/>
      <c r="Y97" s="76"/>
      <c r="Z97" s="76"/>
      <c r="AA97" s="79" t="str">
        <f aca="false">IF(B97="","",IF($U97="NON",0,IF(COUNT(V97:Z97)=0,"",SUM(V97:Z97))))</f>
        <v/>
      </c>
      <c r="AB97" s="77" t="str">
        <f aca="false">IF(B97="","",IF($U97="NON",0,IF(COUNT(V97:Z97)=0,"",IFERROR(ROUND(SUM(V97:Z97)/SUMPRODUCT(ISNUMBER(V97:Z97)*$V$8:$Z$8)*20,2),""))))</f>
        <v/>
      </c>
      <c r="AC97" s="75"/>
      <c r="AD97" s="76"/>
      <c r="AE97" s="76"/>
      <c r="AF97" s="76"/>
      <c r="AG97" s="76"/>
      <c r="AH97" s="76"/>
      <c r="AI97" s="79" t="str">
        <f aca="false">IF(B97="","",IF($AC97="NON",0,IF(COUNT(AD97:AH97)=0,"",SUM(AD97:AH97))))</f>
        <v/>
      </c>
      <c r="AJ97" s="77" t="str">
        <f aca="false">IF(B97="","",IF($AC97="NON",0,IF(COUNT(AD97:AH97)=0,"",IFERROR(ROUND(SUM(AD97:AH97)/SUMPRODUCT(ISNUMBER(AD97:AH97)*$AD$8:$AH$8)*20,2),""))))</f>
        <v/>
      </c>
      <c r="AK97" s="51" t="str">
        <f aca="false">IFERROR(MATCH("CM2-88",'REGISTRE ELEVES'!$AI$10:$AI$250,0),"")</f>
        <v/>
      </c>
    </row>
    <row r="98" customFormat="false" ht="15" hidden="false" customHeight="false" outlineLevel="0" collapsed="false">
      <c r="A98" s="73" t="str">
        <f aca="false">IF(B98="","",89)</f>
        <v/>
      </c>
      <c r="B98" s="73" t="str">
        <f aca="false">IF($AK98="","",INDEX('REGISTRE ELEVES'!$B$10:$B$250,$AK98))</f>
        <v/>
      </c>
      <c r="C98" s="74" t="str">
        <f aca="false">IF($AK98="","",INDEX('REGISTRE ELEVES'!$D$10:$D$250,$AK98))</f>
        <v/>
      </c>
      <c r="D98" s="73" t="str">
        <f aca="false">IF($AK98="","",INDEX('REGISTRE ELEVES'!$E$10:$E$250,$AK98))</f>
        <v/>
      </c>
      <c r="E98" s="73" t="str">
        <f aca="false">IF($AK98="","",INDEX('REGISTRE ELEVES'!$F$10:$F$250,$AK98))</f>
        <v/>
      </c>
      <c r="F98" s="73" t="str">
        <f aca="false">IF($AK98="","",INDEX('REGISTRE ELEVES'!$AE$10:$AE$250,$AK98))</f>
        <v/>
      </c>
      <c r="G98" s="75"/>
      <c r="H98" s="76"/>
      <c r="I98" s="76"/>
      <c r="J98" s="76"/>
      <c r="K98" s="76"/>
      <c r="L98" s="79" t="str">
        <f aca="false">IF(B98="","",IF($G98="NON",0,IF(COUNT(H98:K98)=0,"",SUM(H98:K98))))</f>
        <v/>
      </c>
      <c r="M98" s="77" t="str">
        <f aca="false">IF(B98="","",IF($G98="NON",0,IF(COUNT(H98:K98)=0,"",IFERROR(ROUND(SUM(H98:K98)/SUMPRODUCT(ISNUMBER(H98:K98)*$H$8:$K$8)*20,2),""))))</f>
        <v/>
      </c>
      <c r="N98" s="75"/>
      <c r="O98" s="76"/>
      <c r="P98" s="76"/>
      <c r="Q98" s="76"/>
      <c r="R98" s="76"/>
      <c r="S98" s="79" t="str">
        <f aca="false">IF(B98="","",IF($N98="NON",0,IF(COUNT(O98:R98)=0,"",SUM(O98:R98))))</f>
        <v/>
      </c>
      <c r="T98" s="77" t="str">
        <f aca="false">IF(B98="","",IF($N98="NON",0,IF(COUNT(O98:R98)=0,"",IFERROR(ROUND(SUM(O98:R98)/SUMPRODUCT(ISNUMBER(O98:R98)*$O$8:$R$8)*20,2),""))))</f>
        <v/>
      </c>
      <c r="U98" s="75"/>
      <c r="V98" s="76"/>
      <c r="W98" s="76"/>
      <c r="X98" s="76"/>
      <c r="Y98" s="76"/>
      <c r="Z98" s="76"/>
      <c r="AA98" s="79" t="str">
        <f aca="false">IF(B98="","",IF($U98="NON",0,IF(COUNT(V98:Z98)=0,"",SUM(V98:Z98))))</f>
        <v/>
      </c>
      <c r="AB98" s="77" t="str">
        <f aca="false">IF(B98="","",IF($U98="NON",0,IF(COUNT(V98:Z98)=0,"",IFERROR(ROUND(SUM(V98:Z98)/SUMPRODUCT(ISNUMBER(V98:Z98)*$V$8:$Z$8)*20,2),""))))</f>
        <v/>
      </c>
      <c r="AC98" s="75"/>
      <c r="AD98" s="76"/>
      <c r="AE98" s="76"/>
      <c r="AF98" s="76"/>
      <c r="AG98" s="76"/>
      <c r="AH98" s="76"/>
      <c r="AI98" s="79" t="str">
        <f aca="false">IF(B98="","",IF($AC98="NON",0,IF(COUNT(AD98:AH98)=0,"",SUM(AD98:AH98))))</f>
        <v/>
      </c>
      <c r="AJ98" s="77" t="str">
        <f aca="false">IF(B98="","",IF($AC98="NON",0,IF(COUNT(AD98:AH98)=0,"",IFERROR(ROUND(SUM(AD98:AH98)/SUMPRODUCT(ISNUMBER(AD98:AH98)*$AD$8:$AH$8)*20,2),""))))</f>
        <v/>
      </c>
      <c r="AK98" s="51" t="str">
        <f aca="false">IFERROR(MATCH("CM2-89",'REGISTRE ELEVES'!$AI$10:$AI$250,0),"")</f>
        <v/>
      </c>
    </row>
    <row r="99" customFormat="false" ht="15" hidden="false" customHeight="false" outlineLevel="0" collapsed="false">
      <c r="A99" s="73" t="str">
        <f aca="false">IF(B99="","",90)</f>
        <v/>
      </c>
      <c r="B99" s="73" t="str">
        <f aca="false">IF($AK99="","",INDEX('REGISTRE ELEVES'!$B$10:$B$250,$AK99))</f>
        <v/>
      </c>
      <c r="C99" s="74" t="str">
        <f aca="false">IF($AK99="","",INDEX('REGISTRE ELEVES'!$D$10:$D$250,$AK99))</f>
        <v/>
      </c>
      <c r="D99" s="73" t="str">
        <f aca="false">IF($AK99="","",INDEX('REGISTRE ELEVES'!$E$10:$E$250,$AK99))</f>
        <v/>
      </c>
      <c r="E99" s="73" t="str">
        <f aca="false">IF($AK99="","",INDEX('REGISTRE ELEVES'!$F$10:$F$250,$AK99))</f>
        <v/>
      </c>
      <c r="F99" s="73" t="str">
        <f aca="false">IF($AK99="","",INDEX('REGISTRE ELEVES'!$AE$10:$AE$250,$AK99))</f>
        <v/>
      </c>
      <c r="G99" s="75"/>
      <c r="H99" s="76"/>
      <c r="I99" s="76"/>
      <c r="J99" s="76"/>
      <c r="K99" s="76"/>
      <c r="L99" s="79" t="str">
        <f aca="false">IF(B99="","",IF($G99="NON",0,IF(COUNT(H99:K99)=0,"",SUM(H99:K99))))</f>
        <v/>
      </c>
      <c r="M99" s="77" t="str">
        <f aca="false">IF(B99="","",IF($G99="NON",0,IF(COUNT(H99:K99)=0,"",IFERROR(ROUND(SUM(H99:K99)/SUMPRODUCT(ISNUMBER(H99:K99)*$H$8:$K$8)*20,2),""))))</f>
        <v/>
      </c>
      <c r="N99" s="75"/>
      <c r="O99" s="76"/>
      <c r="P99" s="76"/>
      <c r="Q99" s="76"/>
      <c r="R99" s="76"/>
      <c r="S99" s="79" t="str">
        <f aca="false">IF(B99="","",IF($N99="NON",0,IF(COUNT(O99:R99)=0,"",SUM(O99:R99))))</f>
        <v/>
      </c>
      <c r="T99" s="77" t="str">
        <f aca="false">IF(B99="","",IF($N99="NON",0,IF(COUNT(O99:R99)=0,"",IFERROR(ROUND(SUM(O99:R99)/SUMPRODUCT(ISNUMBER(O99:R99)*$O$8:$R$8)*20,2),""))))</f>
        <v/>
      </c>
      <c r="U99" s="75"/>
      <c r="V99" s="76"/>
      <c r="W99" s="76"/>
      <c r="X99" s="76"/>
      <c r="Y99" s="76"/>
      <c r="Z99" s="76"/>
      <c r="AA99" s="79" t="str">
        <f aca="false">IF(B99="","",IF($U99="NON",0,IF(COUNT(V99:Z99)=0,"",SUM(V99:Z99))))</f>
        <v/>
      </c>
      <c r="AB99" s="77" t="str">
        <f aca="false">IF(B99="","",IF($U99="NON",0,IF(COUNT(V99:Z99)=0,"",IFERROR(ROUND(SUM(V99:Z99)/SUMPRODUCT(ISNUMBER(V99:Z99)*$V$8:$Z$8)*20,2),""))))</f>
        <v/>
      </c>
      <c r="AC99" s="75"/>
      <c r="AD99" s="76"/>
      <c r="AE99" s="76"/>
      <c r="AF99" s="76"/>
      <c r="AG99" s="76"/>
      <c r="AH99" s="76"/>
      <c r="AI99" s="79" t="str">
        <f aca="false">IF(B99="","",IF($AC99="NON",0,IF(COUNT(AD99:AH99)=0,"",SUM(AD99:AH99))))</f>
        <v/>
      </c>
      <c r="AJ99" s="77" t="str">
        <f aca="false">IF(B99="","",IF($AC99="NON",0,IF(COUNT(AD99:AH99)=0,"",IFERROR(ROUND(SUM(AD99:AH99)/SUMPRODUCT(ISNUMBER(AD99:AH99)*$AD$8:$AH$8)*20,2),""))))</f>
        <v/>
      </c>
      <c r="AK99" s="51" t="str">
        <f aca="false">IFERROR(MATCH("CM2-90",'REGISTRE ELEVES'!$AI$10:$AI$250,0),"")</f>
        <v/>
      </c>
    </row>
    <row r="100" customFormat="false" ht="15" hidden="false" customHeight="false" outlineLevel="0" collapsed="false">
      <c r="A100" s="73" t="str">
        <f aca="false">IF(B100="","",91)</f>
        <v/>
      </c>
      <c r="B100" s="73" t="str">
        <f aca="false">IF($AK100="","",INDEX('REGISTRE ELEVES'!$B$10:$B$250,$AK100))</f>
        <v/>
      </c>
      <c r="C100" s="74" t="str">
        <f aca="false">IF($AK100="","",INDEX('REGISTRE ELEVES'!$D$10:$D$250,$AK100))</f>
        <v/>
      </c>
      <c r="D100" s="73" t="str">
        <f aca="false">IF($AK100="","",INDEX('REGISTRE ELEVES'!$E$10:$E$250,$AK100))</f>
        <v/>
      </c>
      <c r="E100" s="73" t="str">
        <f aca="false">IF($AK100="","",INDEX('REGISTRE ELEVES'!$F$10:$F$250,$AK100))</f>
        <v/>
      </c>
      <c r="F100" s="73" t="str">
        <f aca="false">IF($AK100="","",INDEX('REGISTRE ELEVES'!$AE$10:$AE$250,$AK100))</f>
        <v/>
      </c>
      <c r="G100" s="75"/>
      <c r="H100" s="76"/>
      <c r="I100" s="76"/>
      <c r="J100" s="76"/>
      <c r="K100" s="76"/>
      <c r="L100" s="79" t="str">
        <f aca="false">IF(B100="","",IF($G100="NON",0,IF(COUNT(H100:K100)=0,"",SUM(H100:K100))))</f>
        <v/>
      </c>
      <c r="M100" s="77" t="str">
        <f aca="false">IF(B100="","",IF($G100="NON",0,IF(COUNT(H100:K100)=0,"",IFERROR(ROUND(SUM(H100:K100)/SUMPRODUCT(ISNUMBER(H100:K100)*$H$8:$K$8)*20,2),""))))</f>
        <v/>
      </c>
      <c r="N100" s="75"/>
      <c r="O100" s="76"/>
      <c r="P100" s="76"/>
      <c r="Q100" s="76"/>
      <c r="R100" s="76"/>
      <c r="S100" s="79" t="str">
        <f aca="false">IF(B100="","",IF($N100="NON",0,IF(COUNT(O100:R100)=0,"",SUM(O100:R100))))</f>
        <v/>
      </c>
      <c r="T100" s="77" t="str">
        <f aca="false">IF(B100="","",IF($N100="NON",0,IF(COUNT(O100:R100)=0,"",IFERROR(ROUND(SUM(O100:R100)/SUMPRODUCT(ISNUMBER(O100:R100)*$O$8:$R$8)*20,2),""))))</f>
        <v/>
      </c>
      <c r="U100" s="75"/>
      <c r="V100" s="76"/>
      <c r="W100" s="76"/>
      <c r="X100" s="76"/>
      <c r="Y100" s="76"/>
      <c r="Z100" s="76"/>
      <c r="AA100" s="79" t="str">
        <f aca="false">IF(B100="","",IF($U100="NON",0,IF(COUNT(V100:Z100)=0,"",SUM(V100:Z100))))</f>
        <v/>
      </c>
      <c r="AB100" s="77" t="str">
        <f aca="false">IF(B100="","",IF($U100="NON",0,IF(COUNT(V100:Z100)=0,"",IFERROR(ROUND(SUM(V100:Z100)/SUMPRODUCT(ISNUMBER(V100:Z100)*$V$8:$Z$8)*20,2),""))))</f>
        <v/>
      </c>
      <c r="AC100" s="75"/>
      <c r="AD100" s="76"/>
      <c r="AE100" s="76"/>
      <c r="AF100" s="76"/>
      <c r="AG100" s="76"/>
      <c r="AH100" s="76"/>
      <c r="AI100" s="79" t="str">
        <f aca="false">IF(B100="","",IF($AC100="NON",0,IF(COUNT(AD100:AH100)=0,"",SUM(AD100:AH100))))</f>
        <v/>
      </c>
      <c r="AJ100" s="77" t="str">
        <f aca="false">IF(B100="","",IF($AC100="NON",0,IF(COUNT(AD100:AH100)=0,"",IFERROR(ROUND(SUM(AD100:AH100)/SUMPRODUCT(ISNUMBER(AD100:AH100)*$AD$8:$AH$8)*20,2),""))))</f>
        <v/>
      </c>
      <c r="AK100" s="51" t="str">
        <f aca="false">IFERROR(MATCH("CM2-91",'REGISTRE ELEVES'!$AI$10:$AI$250,0),"")</f>
        <v/>
      </c>
    </row>
    <row r="101" customFormat="false" ht="15" hidden="false" customHeight="false" outlineLevel="0" collapsed="false">
      <c r="A101" s="73" t="str">
        <f aca="false">IF(B101="","",92)</f>
        <v/>
      </c>
      <c r="B101" s="73" t="str">
        <f aca="false">IF($AK101="","",INDEX('REGISTRE ELEVES'!$B$10:$B$250,$AK101))</f>
        <v/>
      </c>
      <c r="C101" s="74" t="str">
        <f aca="false">IF($AK101="","",INDEX('REGISTRE ELEVES'!$D$10:$D$250,$AK101))</f>
        <v/>
      </c>
      <c r="D101" s="73" t="str">
        <f aca="false">IF($AK101="","",INDEX('REGISTRE ELEVES'!$E$10:$E$250,$AK101))</f>
        <v/>
      </c>
      <c r="E101" s="73" t="str">
        <f aca="false">IF($AK101="","",INDEX('REGISTRE ELEVES'!$F$10:$F$250,$AK101))</f>
        <v/>
      </c>
      <c r="F101" s="73" t="str">
        <f aca="false">IF($AK101="","",INDEX('REGISTRE ELEVES'!$AE$10:$AE$250,$AK101))</f>
        <v/>
      </c>
      <c r="G101" s="75"/>
      <c r="H101" s="76"/>
      <c r="I101" s="76"/>
      <c r="J101" s="76"/>
      <c r="K101" s="76"/>
      <c r="L101" s="79" t="str">
        <f aca="false">IF(B101="","",IF($G101="NON",0,IF(COUNT(H101:K101)=0,"",SUM(H101:K101))))</f>
        <v/>
      </c>
      <c r="M101" s="77" t="str">
        <f aca="false">IF(B101="","",IF($G101="NON",0,IF(COUNT(H101:K101)=0,"",IFERROR(ROUND(SUM(H101:K101)/SUMPRODUCT(ISNUMBER(H101:K101)*$H$8:$K$8)*20,2),""))))</f>
        <v/>
      </c>
      <c r="N101" s="75"/>
      <c r="O101" s="76"/>
      <c r="P101" s="76"/>
      <c r="Q101" s="76"/>
      <c r="R101" s="76"/>
      <c r="S101" s="79" t="str">
        <f aca="false">IF(B101="","",IF($N101="NON",0,IF(COUNT(O101:R101)=0,"",SUM(O101:R101))))</f>
        <v/>
      </c>
      <c r="T101" s="77" t="str">
        <f aca="false">IF(B101="","",IF($N101="NON",0,IF(COUNT(O101:R101)=0,"",IFERROR(ROUND(SUM(O101:R101)/SUMPRODUCT(ISNUMBER(O101:R101)*$O$8:$R$8)*20,2),""))))</f>
        <v/>
      </c>
      <c r="U101" s="75"/>
      <c r="V101" s="76"/>
      <c r="W101" s="76"/>
      <c r="X101" s="76"/>
      <c r="Y101" s="76"/>
      <c r="Z101" s="76"/>
      <c r="AA101" s="79" t="str">
        <f aca="false">IF(B101="","",IF($U101="NON",0,IF(COUNT(V101:Z101)=0,"",SUM(V101:Z101))))</f>
        <v/>
      </c>
      <c r="AB101" s="77" t="str">
        <f aca="false">IF(B101="","",IF($U101="NON",0,IF(COUNT(V101:Z101)=0,"",IFERROR(ROUND(SUM(V101:Z101)/SUMPRODUCT(ISNUMBER(V101:Z101)*$V$8:$Z$8)*20,2),""))))</f>
        <v/>
      </c>
      <c r="AC101" s="75"/>
      <c r="AD101" s="76"/>
      <c r="AE101" s="76"/>
      <c r="AF101" s="76"/>
      <c r="AG101" s="76"/>
      <c r="AH101" s="76"/>
      <c r="AI101" s="79" t="str">
        <f aca="false">IF(B101="","",IF($AC101="NON",0,IF(COUNT(AD101:AH101)=0,"",SUM(AD101:AH101))))</f>
        <v/>
      </c>
      <c r="AJ101" s="77" t="str">
        <f aca="false">IF(B101="","",IF($AC101="NON",0,IF(COUNT(AD101:AH101)=0,"",IFERROR(ROUND(SUM(AD101:AH101)/SUMPRODUCT(ISNUMBER(AD101:AH101)*$AD$8:$AH$8)*20,2),""))))</f>
        <v/>
      </c>
      <c r="AK101" s="51" t="str">
        <f aca="false">IFERROR(MATCH("CM2-92",'REGISTRE ELEVES'!$AI$10:$AI$250,0),"")</f>
        <v/>
      </c>
    </row>
    <row r="102" customFormat="false" ht="15" hidden="false" customHeight="false" outlineLevel="0" collapsed="false">
      <c r="A102" s="73" t="str">
        <f aca="false">IF(B102="","",93)</f>
        <v/>
      </c>
      <c r="B102" s="73" t="str">
        <f aca="false">IF($AK102="","",INDEX('REGISTRE ELEVES'!$B$10:$B$250,$AK102))</f>
        <v/>
      </c>
      <c r="C102" s="74" t="str">
        <f aca="false">IF($AK102="","",INDEX('REGISTRE ELEVES'!$D$10:$D$250,$AK102))</f>
        <v/>
      </c>
      <c r="D102" s="73" t="str">
        <f aca="false">IF($AK102="","",INDEX('REGISTRE ELEVES'!$E$10:$E$250,$AK102))</f>
        <v/>
      </c>
      <c r="E102" s="73" t="str">
        <f aca="false">IF($AK102="","",INDEX('REGISTRE ELEVES'!$F$10:$F$250,$AK102))</f>
        <v/>
      </c>
      <c r="F102" s="73" t="str">
        <f aca="false">IF($AK102="","",INDEX('REGISTRE ELEVES'!$AE$10:$AE$250,$AK102))</f>
        <v/>
      </c>
      <c r="G102" s="75"/>
      <c r="H102" s="76"/>
      <c r="I102" s="76"/>
      <c r="J102" s="76"/>
      <c r="K102" s="76"/>
      <c r="L102" s="79" t="str">
        <f aca="false">IF(B102="","",IF($G102="NON",0,IF(COUNT(H102:K102)=0,"",SUM(H102:K102))))</f>
        <v/>
      </c>
      <c r="M102" s="77" t="str">
        <f aca="false">IF(B102="","",IF($G102="NON",0,IF(COUNT(H102:K102)=0,"",IFERROR(ROUND(SUM(H102:K102)/SUMPRODUCT(ISNUMBER(H102:K102)*$H$8:$K$8)*20,2),""))))</f>
        <v/>
      </c>
      <c r="N102" s="75"/>
      <c r="O102" s="76"/>
      <c r="P102" s="76"/>
      <c r="Q102" s="76"/>
      <c r="R102" s="76"/>
      <c r="S102" s="79" t="str">
        <f aca="false">IF(B102="","",IF($N102="NON",0,IF(COUNT(O102:R102)=0,"",SUM(O102:R102))))</f>
        <v/>
      </c>
      <c r="T102" s="77" t="str">
        <f aca="false">IF(B102="","",IF($N102="NON",0,IF(COUNT(O102:R102)=0,"",IFERROR(ROUND(SUM(O102:R102)/SUMPRODUCT(ISNUMBER(O102:R102)*$O$8:$R$8)*20,2),""))))</f>
        <v/>
      </c>
      <c r="U102" s="75"/>
      <c r="V102" s="76"/>
      <c r="W102" s="76"/>
      <c r="X102" s="76"/>
      <c r="Y102" s="76"/>
      <c r="Z102" s="76"/>
      <c r="AA102" s="79" t="str">
        <f aca="false">IF(B102="","",IF($U102="NON",0,IF(COUNT(V102:Z102)=0,"",SUM(V102:Z102))))</f>
        <v/>
      </c>
      <c r="AB102" s="77" t="str">
        <f aca="false">IF(B102="","",IF($U102="NON",0,IF(COUNT(V102:Z102)=0,"",IFERROR(ROUND(SUM(V102:Z102)/SUMPRODUCT(ISNUMBER(V102:Z102)*$V$8:$Z$8)*20,2),""))))</f>
        <v/>
      </c>
      <c r="AC102" s="75"/>
      <c r="AD102" s="76"/>
      <c r="AE102" s="76"/>
      <c r="AF102" s="76"/>
      <c r="AG102" s="76"/>
      <c r="AH102" s="76"/>
      <c r="AI102" s="79" t="str">
        <f aca="false">IF(B102="","",IF($AC102="NON",0,IF(COUNT(AD102:AH102)=0,"",SUM(AD102:AH102))))</f>
        <v/>
      </c>
      <c r="AJ102" s="77" t="str">
        <f aca="false">IF(B102="","",IF($AC102="NON",0,IF(COUNT(AD102:AH102)=0,"",IFERROR(ROUND(SUM(AD102:AH102)/SUMPRODUCT(ISNUMBER(AD102:AH102)*$AD$8:$AH$8)*20,2),""))))</f>
        <v/>
      </c>
      <c r="AK102" s="51" t="str">
        <f aca="false">IFERROR(MATCH("CM2-93",'REGISTRE ELEVES'!$AI$10:$AI$250,0),"")</f>
        <v/>
      </c>
    </row>
    <row r="103" customFormat="false" ht="15" hidden="false" customHeight="false" outlineLevel="0" collapsed="false">
      <c r="A103" s="73" t="str">
        <f aca="false">IF(B103="","",94)</f>
        <v/>
      </c>
      <c r="B103" s="73" t="str">
        <f aca="false">IF($AK103="","",INDEX('REGISTRE ELEVES'!$B$10:$B$250,$AK103))</f>
        <v/>
      </c>
      <c r="C103" s="74" t="str">
        <f aca="false">IF($AK103="","",INDEX('REGISTRE ELEVES'!$D$10:$D$250,$AK103))</f>
        <v/>
      </c>
      <c r="D103" s="73" t="str">
        <f aca="false">IF($AK103="","",INDEX('REGISTRE ELEVES'!$E$10:$E$250,$AK103))</f>
        <v/>
      </c>
      <c r="E103" s="73" t="str">
        <f aca="false">IF($AK103="","",INDEX('REGISTRE ELEVES'!$F$10:$F$250,$AK103))</f>
        <v/>
      </c>
      <c r="F103" s="73" t="str">
        <f aca="false">IF($AK103="","",INDEX('REGISTRE ELEVES'!$AE$10:$AE$250,$AK103))</f>
        <v/>
      </c>
      <c r="G103" s="75"/>
      <c r="H103" s="76"/>
      <c r="I103" s="76"/>
      <c r="J103" s="76"/>
      <c r="K103" s="76"/>
      <c r="L103" s="79" t="str">
        <f aca="false">IF(B103="","",IF($G103="NON",0,IF(COUNT(H103:K103)=0,"",SUM(H103:K103))))</f>
        <v/>
      </c>
      <c r="M103" s="77" t="str">
        <f aca="false">IF(B103="","",IF($G103="NON",0,IF(COUNT(H103:K103)=0,"",IFERROR(ROUND(SUM(H103:K103)/SUMPRODUCT(ISNUMBER(H103:K103)*$H$8:$K$8)*20,2),""))))</f>
        <v/>
      </c>
      <c r="N103" s="75"/>
      <c r="O103" s="76"/>
      <c r="P103" s="76"/>
      <c r="Q103" s="76"/>
      <c r="R103" s="76"/>
      <c r="S103" s="79" t="str">
        <f aca="false">IF(B103="","",IF($N103="NON",0,IF(COUNT(O103:R103)=0,"",SUM(O103:R103))))</f>
        <v/>
      </c>
      <c r="T103" s="77" t="str">
        <f aca="false">IF(B103="","",IF($N103="NON",0,IF(COUNT(O103:R103)=0,"",IFERROR(ROUND(SUM(O103:R103)/SUMPRODUCT(ISNUMBER(O103:R103)*$O$8:$R$8)*20,2),""))))</f>
        <v/>
      </c>
      <c r="U103" s="75"/>
      <c r="V103" s="76"/>
      <c r="W103" s="76"/>
      <c r="X103" s="76"/>
      <c r="Y103" s="76"/>
      <c r="Z103" s="76"/>
      <c r="AA103" s="79" t="str">
        <f aca="false">IF(B103="","",IF($U103="NON",0,IF(COUNT(V103:Z103)=0,"",SUM(V103:Z103))))</f>
        <v/>
      </c>
      <c r="AB103" s="77" t="str">
        <f aca="false">IF(B103="","",IF($U103="NON",0,IF(COUNT(V103:Z103)=0,"",IFERROR(ROUND(SUM(V103:Z103)/SUMPRODUCT(ISNUMBER(V103:Z103)*$V$8:$Z$8)*20,2),""))))</f>
        <v/>
      </c>
      <c r="AC103" s="75"/>
      <c r="AD103" s="76"/>
      <c r="AE103" s="76"/>
      <c r="AF103" s="76"/>
      <c r="AG103" s="76"/>
      <c r="AH103" s="76"/>
      <c r="AI103" s="79" t="str">
        <f aca="false">IF(B103="","",IF($AC103="NON",0,IF(COUNT(AD103:AH103)=0,"",SUM(AD103:AH103))))</f>
        <v/>
      </c>
      <c r="AJ103" s="77" t="str">
        <f aca="false">IF(B103="","",IF($AC103="NON",0,IF(COUNT(AD103:AH103)=0,"",IFERROR(ROUND(SUM(AD103:AH103)/SUMPRODUCT(ISNUMBER(AD103:AH103)*$AD$8:$AH$8)*20,2),""))))</f>
        <v/>
      </c>
      <c r="AK103" s="51" t="str">
        <f aca="false">IFERROR(MATCH("CM2-94",'REGISTRE ELEVES'!$AI$10:$AI$250,0),"")</f>
        <v/>
      </c>
    </row>
    <row r="104" customFormat="false" ht="15" hidden="false" customHeight="false" outlineLevel="0" collapsed="false">
      <c r="A104" s="73" t="str">
        <f aca="false">IF(B104="","",95)</f>
        <v/>
      </c>
      <c r="B104" s="73" t="str">
        <f aca="false">IF($AK104="","",INDEX('REGISTRE ELEVES'!$B$10:$B$250,$AK104))</f>
        <v/>
      </c>
      <c r="C104" s="74" t="str">
        <f aca="false">IF($AK104="","",INDEX('REGISTRE ELEVES'!$D$10:$D$250,$AK104))</f>
        <v/>
      </c>
      <c r="D104" s="73" t="str">
        <f aca="false">IF($AK104="","",INDEX('REGISTRE ELEVES'!$E$10:$E$250,$AK104))</f>
        <v/>
      </c>
      <c r="E104" s="73" t="str">
        <f aca="false">IF($AK104="","",INDEX('REGISTRE ELEVES'!$F$10:$F$250,$AK104))</f>
        <v/>
      </c>
      <c r="F104" s="73" t="str">
        <f aca="false">IF($AK104="","",INDEX('REGISTRE ELEVES'!$AE$10:$AE$250,$AK104))</f>
        <v/>
      </c>
      <c r="G104" s="75"/>
      <c r="H104" s="76"/>
      <c r="I104" s="76"/>
      <c r="J104" s="76"/>
      <c r="K104" s="76"/>
      <c r="L104" s="79" t="str">
        <f aca="false">IF(B104="","",IF($G104="NON",0,IF(COUNT(H104:K104)=0,"",SUM(H104:K104))))</f>
        <v/>
      </c>
      <c r="M104" s="77" t="str">
        <f aca="false">IF(B104="","",IF($G104="NON",0,IF(COUNT(H104:K104)=0,"",IFERROR(ROUND(SUM(H104:K104)/SUMPRODUCT(ISNUMBER(H104:K104)*$H$8:$K$8)*20,2),""))))</f>
        <v/>
      </c>
      <c r="N104" s="75"/>
      <c r="O104" s="76"/>
      <c r="P104" s="76"/>
      <c r="Q104" s="76"/>
      <c r="R104" s="76"/>
      <c r="S104" s="79" t="str">
        <f aca="false">IF(B104="","",IF($N104="NON",0,IF(COUNT(O104:R104)=0,"",SUM(O104:R104))))</f>
        <v/>
      </c>
      <c r="T104" s="77" t="str">
        <f aca="false">IF(B104="","",IF($N104="NON",0,IF(COUNT(O104:R104)=0,"",IFERROR(ROUND(SUM(O104:R104)/SUMPRODUCT(ISNUMBER(O104:R104)*$O$8:$R$8)*20,2),""))))</f>
        <v/>
      </c>
      <c r="U104" s="75"/>
      <c r="V104" s="76"/>
      <c r="W104" s="76"/>
      <c r="X104" s="76"/>
      <c r="Y104" s="76"/>
      <c r="Z104" s="76"/>
      <c r="AA104" s="79" t="str">
        <f aca="false">IF(B104="","",IF($U104="NON",0,IF(COUNT(V104:Z104)=0,"",SUM(V104:Z104))))</f>
        <v/>
      </c>
      <c r="AB104" s="77" t="str">
        <f aca="false">IF(B104="","",IF($U104="NON",0,IF(COUNT(V104:Z104)=0,"",IFERROR(ROUND(SUM(V104:Z104)/SUMPRODUCT(ISNUMBER(V104:Z104)*$V$8:$Z$8)*20,2),""))))</f>
        <v/>
      </c>
      <c r="AC104" s="75"/>
      <c r="AD104" s="76"/>
      <c r="AE104" s="76"/>
      <c r="AF104" s="76"/>
      <c r="AG104" s="76"/>
      <c r="AH104" s="76"/>
      <c r="AI104" s="79" t="str">
        <f aca="false">IF(B104="","",IF($AC104="NON",0,IF(COUNT(AD104:AH104)=0,"",SUM(AD104:AH104))))</f>
        <v/>
      </c>
      <c r="AJ104" s="77" t="str">
        <f aca="false">IF(B104="","",IF($AC104="NON",0,IF(COUNT(AD104:AH104)=0,"",IFERROR(ROUND(SUM(AD104:AH104)/SUMPRODUCT(ISNUMBER(AD104:AH104)*$AD$8:$AH$8)*20,2),""))))</f>
        <v/>
      </c>
      <c r="AK104" s="51" t="str">
        <f aca="false">IFERROR(MATCH("CM2-95",'REGISTRE ELEVES'!$AI$10:$AI$250,0),"")</f>
        <v/>
      </c>
    </row>
    <row r="105" customFormat="false" ht="15" hidden="false" customHeight="false" outlineLevel="0" collapsed="false">
      <c r="A105" s="73" t="str">
        <f aca="false">IF(B105="","",96)</f>
        <v/>
      </c>
      <c r="B105" s="73" t="str">
        <f aca="false">IF($AK105="","",INDEX('REGISTRE ELEVES'!$B$10:$B$250,$AK105))</f>
        <v/>
      </c>
      <c r="C105" s="74" t="str">
        <f aca="false">IF($AK105="","",INDEX('REGISTRE ELEVES'!$D$10:$D$250,$AK105))</f>
        <v/>
      </c>
      <c r="D105" s="73" t="str">
        <f aca="false">IF($AK105="","",INDEX('REGISTRE ELEVES'!$E$10:$E$250,$AK105))</f>
        <v/>
      </c>
      <c r="E105" s="73" t="str">
        <f aca="false">IF($AK105="","",INDEX('REGISTRE ELEVES'!$F$10:$F$250,$AK105))</f>
        <v/>
      </c>
      <c r="F105" s="73" t="str">
        <f aca="false">IF($AK105="","",INDEX('REGISTRE ELEVES'!$AE$10:$AE$250,$AK105))</f>
        <v/>
      </c>
      <c r="G105" s="75"/>
      <c r="H105" s="76"/>
      <c r="I105" s="76"/>
      <c r="J105" s="76"/>
      <c r="K105" s="76"/>
      <c r="L105" s="79" t="str">
        <f aca="false">IF(B105="","",IF($G105="NON",0,IF(COUNT(H105:K105)=0,"",SUM(H105:K105))))</f>
        <v/>
      </c>
      <c r="M105" s="77" t="str">
        <f aca="false">IF(B105="","",IF($G105="NON",0,IF(COUNT(H105:K105)=0,"",IFERROR(ROUND(SUM(H105:K105)/SUMPRODUCT(ISNUMBER(H105:K105)*$H$8:$K$8)*20,2),""))))</f>
        <v/>
      </c>
      <c r="N105" s="75"/>
      <c r="O105" s="76"/>
      <c r="P105" s="76"/>
      <c r="Q105" s="76"/>
      <c r="R105" s="76"/>
      <c r="S105" s="79" t="str">
        <f aca="false">IF(B105="","",IF($N105="NON",0,IF(COUNT(O105:R105)=0,"",SUM(O105:R105))))</f>
        <v/>
      </c>
      <c r="T105" s="77" t="str">
        <f aca="false">IF(B105="","",IF($N105="NON",0,IF(COUNT(O105:R105)=0,"",IFERROR(ROUND(SUM(O105:R105)/SUMPRODUCT(ISNUMBER(O105:R105)*$O$8:$R$8)*20,2),""))))</f>
        <v/>
      </c>
      <c r="U105" s="75"/>
      <c r="V105" s="76"/>
      <c r="W105" s="76"/>
      <c r="X105" s="76"/>
      <c r="Y105" s="76"/>
      <c r="Z105" s="76"/>
      <c r="AA105" s="79" t="str">
        <f aca="false">IF(B105="","",IF($U105="NON",0,IF(COUNT(V105:Z105)=0,"",SUM(V105:Z105))))</f>
        <v/>
      </c>
      <c r="AB105" s="77" t="str">
        <f aca="false">IF(B105="","",IF($U105="NON",0,IF(COUNT(V105:Z105)=0,"",IFERROR(ROUND(SUM(V105:Z105)/SUMPRODUCT(ISNUMBER(V105:Z105)*$V$8:$Z$8)*20,2),""))))</f>
        <v/>
      </c>
      <c r="AC105" s="75"/>
      <c r="AD105" s="76"/>
      <c r="AE105" s="76"/>
      <c r="AF105" s="76"/>
      <c r="AG105" s="76"/>
      <c r="AH105" s="76"/>
      <c r="AI105" s="79" t="str">
        <f aca="false">IF(B105="","",IF($AC105="NON",0,IF(COUNT(AD105:AH105)=0,"",SUM(AD105:AH105))))</f>
        <v/>
      </c>
      <c r="AJ105" s="77" t="str">
        <f aca="false">IF(B105="","",IF($AC105="NON",0,IF(COUNT(AD105:AH105)=0,"",IFERROR(ROUND(SUM(AD105:AH105)/SUMPRODUCT(ISNUMBER(AD105:AH105)*$AD$8:$AH$8)*20,2),""))))</f>
        <v/>
      </c>
      <c r="AK105" s="51" t="str">
        <f aca="false">IFERROR(MATCH("CM2-96",'REGISTRE ELEVES'!$AI$10:$AI$250,0),"")</f>
        <v/>
      </c>
    </row>
    <row r="106" customFormat="false" ht="15" hidden="false" customHeight="false" outlineLevel="0" collapsed="false">
      <c r="A106" s="73" t="str">
        <f aca="false">IF(B106="","",97)</f>
        <v/>
      </c>
      <c r="B106" s="73" t="str">
        <f aca="false">IF($AK106="","",INDEX('REGISTRE ELEVES'!$B$10:$B$250,$AK106))</f>
        <v/>
      </c>
      <c r="C106" s="74" t="str">
        <f aca="false">IF($AK106="","",INDEX('REGISTRE ELEVES'!$D$10:$D$250,$AK106))</f>
        <v/>
      </c>
      <c r="D106" s="73" t="str">
        <f aca="false">IF($AK106="","",INDEX('REGISTRE ELEVES'!$E$10:$E$250,$AK106))</f>
        <v/>
      </c>
      <c r="E106" s="73" t="str">
        <f aca="false">IF($AK106="","",INDEX('REGISTRE ELEVES'!$F$10:$F$250,$AK106))</f>
        <v/>
      </c>
      <c r="F106" s="73" t="str">
        <f aca="false">IF($AK106="","",INDEX('REGISTRE ELEVES'!$AE$10:$AE$250,$AK106))</f>
        <v/>
      </c>
      <c r="G106" s="75"/>
      <c r="H106" s="76"/>
      <c r="I106" s="76"/>
      <c r="J106" s="76"/>
      <c r="K106" s="76"/>
      <c r="L106" s="79" t="str">
        <f aca="false">IF(B106="","",IF($G106="NON",0,IF(COUNT(H106:K106)=0,"",SUM(H106:K106))))</f>
        <v/>
      </c>
      <c r="M106" s="77" t="str">
        <f aca="false">IF(B106="","",IF($G106="NON",0,IF(COUNT(H106:K106)=0,"",IFERROR(ROUND(SUM(H106:K106)/SUMPRODUCT(ISNUMBER(H106:K106)*$H$8:$K$8)*20,2),""))))</f>
        <v/>
      </c>
      <c r="N106" s="75"/>
      <c r="O106" s="76"/>
      <c r="P106" s="76"/>
      <c r="Q106" s="76"/>
      <c r="R106" s="76"/>
      <c r="S106" s="79" t="str">
        <f aca="false">IF(B106="","",IF($N106="NON",0,IF(COUNT(O106:R106)=0,"",SUM(O106:R106))))</f>
        <v/>
      </c>
      <c r="T106" s="77" t="str">
        <f aca="false">IF(B106="","",IF($N106="NON",0,IF(COUNT(O106:R106)=0,"",IFERROR(ROUND(SUM(O106:R106)/SUMPRODUCT(ISNUMBER(O106:R106)*$O$8:$R$8)*20,2),""))))</f>
        <v/>
      </c>
      <c r="U106" s="75"/>
      <c r="V106" s="76"/>
      <c r="W106" s="76"/>
      <c r="X106" s="76"/>
      <c r="Y106" s="76"/>
      <c r="Z106" s="76"/>
      <c r="AA106" s="79" t="str">
        <f aca="false">IF(B106="","",IF($U106="NON",0,IF(COUNT(V106:Z106)=0,"",SUM(V106:Z106))))</f>
        <v/>
      </c>
      <c r="AB106" s="77" t="str">
        <f aca="false">IF(B106="","",IF($U106="NON",0,IF(COUNT(V106:Z106)=0,"",IFERROR(ROUND(SUM(V106:Z106)/SUMPRODUCT(ISNUMBER(V106:Z106)*$V$8:$Z$8)*20,2),""))))</f>
        <v/>
      </c>
      <c r="AC106" s="75"/>
      <c r="AD106" s="76"/>
      <c r="AE106" s="76"/>
      <c r="AF106" s="76"/>
      <c r="AG106" s="76"/>
      <c r="AH106" s="76"/>
      <c r="AI106" s="79" t="str">
        <f aca="false">IF(B106="","",IF($AC106="NON",0,IF(COUNT(AD106:AH106)=0,"",SUM(AD106:AH106))))</f>
        <v/>
      </c>
      <c r="AJ106" s="77" t="str">
        <f aca="false">IF(B106="","",IF($AC106="NON",0,IF(COUNT(AD106:AH106)=0,"",IFERROR(ROUND(SUM(AD106:AH106)/SUMPRODUCT(ISNUMBER(AD106:AH106)*$AD$8:$AH$8)*20,2),""))))</f>
        <v/>
      </c>
      <c r="AK106" s="51" t="str">
        <f aca="false">IFERROR(MATCH("CM2-97",'REGISTRE ELEVES'!$AI$10:$AI$250,0),"")</f>
        <v/>
      </c>
    </row>
    <row r="107" customFormat="false" ht="15" hidden="false" customHeight="false" outlineLevel="0" collapsed="false">
      <c r="A107" s="73" t="str">
        <f aca="false">IF(B107="","",98)</f>
        <v/>
      </c>
      <c r="B107" s="73" t="str">
        <f aca="false">IF($AK107="","",INDEX('REGISTRE ELEVES'!$B$10:$B$250,$AK107))</f>
        <v/>
      </c>
      <c r="C107" s="74" t="str">
        <f aca="false">IF($AK107="","",INDEX('REGISTRE ELEVES'!$D$10:$D$250,$AK107))</f>
        <v/>
      </c>
      <c r="D107" s="73" t="str">
        <f aca="false">IF($AK107="","",INDEX('REGISTRE ELEVES'!$E$10:$E$250,$AK107))</f>
        <v/>
      </c>
      <c r="E107" s="73" t="str">
        <f aca="false">IF($AK107="","",INDEX('REGISTRE ELEVES'!$F$10:$F$250,$AK107))</f>
        <v/>
      </c>
      <c r="F107" s="73" t="str">
        <f aca="false">IF($AK107="","",INDEX('REGISTRE ELEVES'!$AE$10:$AE$250,$AK107))</f>
        <v/>
      </c>
      <c r="G107" s="75"/>
      <c r="H107" s="76"/>
      <c r="I107" s="76"/>
      <c r="J107" s="76"/>
      <c r="K107" s="76"/>
      <c r="L107" s="79" t="str">
        <f aca="false">IF(B107="","",IF($G107="NON",0,IF(COUNT(H107:K107)=0,"",SUM(H107:K107))))</f>
        <v/>
      </c>
      <c r="M107" s="77" t="str">
        <f aca="false">IF(B107="","",IF($G107="NON",0,IF(COUNT(H107:K107)=0,"",IFERROR(ROUND(SUM(H107:K107)/SUMPRODUCT(ISNUMBER(H107:K107)*$H$8:$K$8)*20,2),""))))</f>
        <v/>
      </c>
      <c r="N107" s="75"/>
      <c r="O107" s="76"/>
      <c r="P107" s="76"/>
      <c r="Q107" s="76"/>
      <c r="R107" s="76"/>
      <c r="S107" s="79" t="str">
        <f aca="false">IF(B107="","",IF($N107="NON",0,IF(COUNT(O107:R107)=0,"",SUM(O107:R107))))</f>
        <v/>
      </c>
      <c r="T107" s="77" t="str">
        <f aca="false">IF(B107="","",IF($N107="NON",0,IF(COUNT(O107:R107)=0,"",IFERROR(ROUND(SUM(O107:R107)/SUMPRODUCT(ISNUMBER(O107:R107)*$O$8:$R$8)*20,2),""))))</f>
        <v/>
      </c>
      <c r="U107" s="75"/>
      <c r="V107" s="76"/>
      <c r="W107" s="76"/>
      <c r="X107" s="76"/>
      <c r="Y107" s="76"/>
      <c r="Z107" s="76"/>
      <c r="AA107" s="79" t="str">
        <f aca="false">IF(B107="","",IF($U107="NON",0,IF(COUNT(V107:Z107)=0,"",SUM(V107:Z107))))</f>
        <v/>
      </c>
      <c r="AB107" s="77" t="str">
        <f aca="false">IF(B107="","",IF($U107="NON",0,IF(COUNT(V107:Z107)=0,"",IFERROR(ROUND(SUM(V107:Z107)/SUMPRODUCT(ISNUMBER(V107:Z107)*$V$8:$Z$8)*20,2),""))))</f>
        <v/>
      </c>
      <c r="AC107" s="75"/>
      <c r="AD107" s="76"/>
      <c r="AE107" s="76"/>
      <c r="AF107" s="76"/>
      <c r="AG107" s="76"/>
      <c r="AH107" s="76"/>
      <c r="AI107" s="79" t="str">
        <f aca="false">IF(B107="","",IF($AC107="NON",0,IF(COUNT(AD107:AH107)=0,"",SUM(AD107:AH107))))</f>
        <v/>
      </c>
      <c r="AJ107" s="77" t="str">
        <f aca="false">IF(B107="","",IF($AC107="NON",0,IF(COUNT(AD107:AH107)=0,"",IFERROR(ROUND(SUM(AD107:AH107)/SUMPRODUCT(ISNUMBER(AD107:AH107)*$AD$8:$AH$8)*20,2),""))))</f>
        <v/>
      </c>
      <c r="AK107" s="51" t="str">
        <f aca="false">IFERROR(MATCH("CM2-98",'REGISTRE ELEVES'!$AI$10:$AI$250,0),"")</f>
        <v/>
      </c>
    </row>
    <row r="108" customFormat="false" ht="15" hidden="false" customHeight="false" outlineLevel="0" collapsed="false">
      <c r="A108" s="73" t="str">
        <f aca="false">IF(B108="","",99)</f>
        <v/>
      </c>
      <c r="B108" s="73" t="str">
        <f aca="false">IF($AK108="","",INDEX('REGISTRE ELEVES'!$B$10:$B$250,$AK108))</f>
        <v/>
      </c>
      <c r="C108" s="74" t="str">
        <f aca="false">IF($AK108="","",INDEX('REGISTRE ELEVES'!$D$10:$D$250,$AK108))</f>
        <v/>
      </c>
      <c r="D108" s="73" t="str">
        <f aca="false">IF($AK108="","",INDEX('REGISTRE ELEVES'!$E$10:$E$250,$AK108))</f>
        <v/>
      </c>
      <c r="E108" s="73" t="str">
        <f aca="false">IF($AK108="","",INDEX('REGISTRE ELEVES'!$F$10:$F$250,$AK108))</f>
        <v/>
      </c>
      <c r="F108" s="73" t="str">
        <f aca="false">IF($AK108="","",INDEX('REGISTRE ELEVES'!$AE$10:$AE$250,$AK108))</f>
        <v/>
      </c>
      <c r="G108" s="75"/>
      <c r="H108" s="76"/>
      <c r="I108" s="76"/>
      <c r="J108" s="76"/>
      <c r="K108" s="76"/>
      <c r="L108" s="79" t="str">
        <f aca="false">IF(B108="","",IF($G108="NON",0,IF(COUNT(H108:K108)=0,"",SUM(H108:K108))))</f>
        <v/>
      </c>
      <c r="M108" s="77" t="str">
        <f aca="false">IF(B108="","",IF($G108="NON",0,IF(COUNT(H108:K108)=0,"",IFERROR(ROUND(SUM(H108:K108)/SUMPRODUCT(ISNUMBER(H108:K108)*$H$8:$K$8)*20,2),""))))</f>
        <v/>
      </c>
      <c r="N108" s="75"/>
      <c r="O108" s="76"/>
      <c r="P108" s="76"/>
      <c r="Q108" s="76"/>
      <c r="R108" s="76"/>
      <c r="S108" s="79" t="str">
        <f aca="false">IF(B108="","",IF($N108="NON",0,IF(COUNT(O108:R108)=0,"",SUM(O108:R108))))</f>
        <v/>
      </c>
      <c r="T108" s="77" t="str">
        <f aca="false">IF(B108="","",IF($N108="NON",0,IF(COUNT(O108:R108)=0,"",IFERROR(ROUND(SUM(O108:R108)/SUMPRODUCT(ISNUMBER(O108:R108)*$O$8:$R$8)*20,2),""))))</f>
        <v/>
      </c>
      <c r="U108" s="75"/>
      <c r="V108" s="76"/>
      <c r="W108" s="76"/>
      <c r="X108" s="76"/>
      <c r="Y108" s="76"/>
      <c r="Z108" s="76"/>
      <c r="AA108" s="79" t="str">
        <f aca="false">IF(B108="","",IF($U108="NON",0,IF(COUNT(V108:Z108)=0,"",SUM(V108:Z108))))</f>
        <v/>
      </c>
      <c r="AB108" s="77" t="str">
        <f aca="false">IF(B108="","",IF($U108="NON",0,IF(COUNT(V108:Z108)=0,"",IFERROR(ROUND(SUM(V108:Z108)/SUMPRODUCT(ISNUMBER(V108:Z108)*$V$8:$Z$8)*20,2),""))))</f>
        <v/>
      </c>
      <c r="AC108" s="75"/>
      <c r="AD108" s="76"/>
      <c r="AE108" s="76"/>
      <c r="AF108" s="76"/>
      <c r="AG108" s="76"/>
      <c r="AH108" s="76"/>
      <c r="AI108" s="79" t="str">
        <f aca="false">IF(B108="","",IF($AC108="NON",0,IF(COUNT(AD108:AH108)=0,"",SUM(AD108:AH108))))</f>
        <v/>
      </c>
      <c r="AJ108" s="77" t="str">
        <f aca="false">IF(B108="","",IF($AC108="NON",0,IF(COUNT(AD108:AH108)=0,"",IFERROR(ROUND(SUM(AD108:AH108)/SUMPRODUCT(ISNUMBER(AD108:AH108)*$AD$8:$AH$8)*20,2),""))))</f>
        <v/>
      </c>
      <c r="AK108" s="51" t="str">
        <f aca="false">IFERROR(MATCH("CM2-99",'REGISTRE ELEVES'!$AI$10:$AI$250,0),"")</f>
        <v/>
      </c>
    </row>
    <row r="109" customFormat="false" ht="15" hidden="false" customHeight="false" outlineLevel="0" collapsed="false">
      <c r="A109" s="73" t="str">
        <f aca="false">IF(B109="","",100)</f>
        <v/>
      </c>
      <c r="B109" s="73" t="str">
        <f aca="false">IF($AK109="","",INDEX('REGISTRE ELEVES'!$B$10:$B$250,$AK109))</f>
        <v/>
      </c>
      <c r="C109" s="74" t="str">
        <f aca="false">IF($AK109="","",INDEX('REGISTRE ELEVES'!$D$10:$D$250,$AK109))</f>
        <v/>
      </c>
      <c r="D109" s="73" t="str">
        <f aca="false">IF($AK109="","",INDEX('REGISTRE ELEVES'!$E$10:$E$250,$AK109))</f>
        <v/>
      </c>
      <c r="E109" s="73" t="str">
        <f aca="false">IF($AK109="","",INDEX('REGISTRE ELEVES'!$F$10:$F$250,$AK109))</f>
        <v/>
      </c>
      <c r="F109" s="73" t="str">
        <f aca="false">IF($AK109="","",INDEX('REGISTRE ELEVES'!$AE$10:$AE$250,$AK109))</f>
        <v/>
      </c>
      <c r="G109" s="75"/>
      <c r="H109" s="76"/>
      <c r="I109" s="76"/>
      <c r="J109" s="76"/>
      <c r="K109" s="76"/>
      <c r="L109" s="79" t="str">
        <f aca="false">IF(B109="","",IF($G109="NON",0,IF(COUNT(H109:K109)=0,"",SUM(H109:K109))))</f>
        <v/>
      </c>
      <c r="M109" s="77" t="str">
        <f aca="false">IF(B109="","",IF($G109="NON",0,IF(COUNT(H109:K109)=0,"",IFERROR(ROUND(SUM(H109:K109)/SUMPRODUCT(ISNUMBER(H109:K109)*$H$8:$K$8)*20,2),""))))</f>
        <v/>
      </c>
      <c r="N109" s="75"/>
      <c r="O109" s="76"/>
      <c r="P109" s="76"/>
      <c r="Q109" s="76"/>
      <c r="R109" s="76"/>
      <c r="S109" s="79" t="str">
        <f aca="false">IF(B109="","",IF($N109="NON",0,IF(COUNT(O109:R109)=0,"",SUM(O109:R109))))</f>
        <v/>
      </c>
      <c r="T109" s="77" t="str">
        <f aca="false">IF(B109="","",IF($N109="NON",0,IF(COUNT(O109:R109)=0,"",IFERROR(ROUND(SUM(O109:R109)/SUMPRODUCT(ISNUMBER(O109:R109)*$O$8:$R$8)*20,2),""))))</f>
        <v/>
      </c>
      <c r="U109" s="75"/>
      <c r="V109" s="76"/>
      <c r="W109" s="76"/>
      <c r="X109" s="76"/>
      <c r="Y109" s="76"/>
      <c r="Z109" s="76"/>
      <c r="AA109" s="79" t="str">
        <f aca="false">IF(B109="","",IF($U109="NON",0,IF(COUNT(V109:Z109)=0,"",SUM(V109:Z109))))</f>
        <v/>
      </c>
      <c r="AB109" s="77" t="str">
        <f aca="false">IF(B109="","",IF($U109="NON",0,IF(COUNT(V109:Z109)=0,"",IFERROR(ROUND(SUM(V109:Z109)/SUMPRODUCT(ISNUMBER(V109:Z109)*$V$8:$Z$8)*20,2),""))))</f>
        <v/>
      </c>
      <c r="AC109" s="75"/>
      <c r="AD109" s="76"/>
      <c r="AE109" s="76"/>
      <c r="AF109" s="76"/>
      <c r="AG109" s="76"/>
      <c r="AH109" s="76"/>
      <c r="AI109" s="79" t="str">
        <f aca="false">IF(B109="","",IF($AC109="NON",0,IF(COUNT(AD109:AH109)=0,"",SUM(AD109:AH109))))</f>
        <v/>
      </c>
      <c r="AJ109" s="77" t="str">
        <f aca="false">IF(B109="","",IF($AC109="NON",0,IF(COUNT(AD109:AH109)=0,"",IFERROR(ROUND(SUM(AD109:AH109)/SUMPRODUCT(ISNUMBER(AD109:AH109)*$AD$8:$AH$8)*20,2),""))))</f>
        <v/>
      </c>
      <c r="AK109" s="51" t="str">
        <f aca="false">IFERROR(MATCH("CM2-100",'REGISTRE ELEVES'!$AI$10:$AI$250,0),"")</f>
        <v/>
      </c>
    </row>
    <row r="110" customFormat="false" ht="15" hidden="false" customHeight="false" outlineLevel="0" collapsed="false">
      <c r="A110" s="73" t="str">
        <f aca="false">IF(B110="","",101)</f>
        <v/>
      </c>
      <c r="B110" s="73" t="str">
        <f aca="false">IF($AK110="","",INDEX('REGISTRE ELEVES'!$B$10:$B$250,$AK110))</f>
        <v/>
      </c>
      <c r="C110" s="74" t="str">
        <f aca="false">IF($AK110="","",INDEX('REGISTRE ELEVES'!$D$10:$D$250,$AK110))</f>
        <v/>
      </c>
      <c r="D110" s="73" t="str">
        <f aca="false">IF($AK110="","",INDEX('REGISTRE ELEVES'!$E$10:$E$250,$AK110))</f>
        <v/>
      </c>
      <c r="E110" s="73" t="str">
        <f aca="false">IF($AK110="","",INDEX('REGISTRE ELEVES'!$F$10:$F$250,$AK110))</f>
        <v/>
      </c>
      <c r="F110" s="73" t="str">
        <f aca="false">IF($AK110="","",INDEX('REGISTRE ELEVES'!$AE$10:$AE$250,$AK110))</f>
        <v/>
      </c>
      <c r="G110" s="75"/>
      <c r="H110" s="76"/>
      <c r="I110" s="76"/>
      <c r="J110" s="76"/>
      <c r="K110" s="76"/>
      <c r="L110" s="79" t="str">
        <f aca="false">IF(B110="","",IF($G110="NON",0,IF(COUNT(H110:K110)=0,"",SUM(H110:K110))))</f>
        <v/>
      </c>
      <c r="M110" s="77" t="str">
        <f aca="false">IF(B110="","",IF($G110="NON",0,IF(COUNT(H110:K110)=0,"",IFERROR(ROUND(SUM(H110:K110)/SUMPRODUCT(ISNUMBER(H110:K110)*$H$8:$K$8)*20,2),""))))</f>
        <v/>
      </c>
      <c r="N110" s="75"/>
      <c r="O110" s="76"/>
      <c r="P110" s="76"/>
      <c r="Q110" s="76"/>
      <c r="R110" s="76"/>
      <c r="S110" s="79" t="str">
        <f aca="false">IF(B110="","",IF($N110="NON",0,IF(COUNT(O110:R110)=0,"",SUM(O110:R110))))</f>
        <v/>
      </c>
      <c r="T110" s="77" t="str">
        <f aca="false">IF(B110="","",IF($N110="NON",0,IF(COUNT(O110:R110)=0,"",IFERROR(ROUND(SUM(O110:R110)/SUMPRODUCT(ISNUMBER(O110:R110)*$O$8:$R$8)*20,2),""))))</f>
        <v/>
      </c>
      <c r="U110" s="75"/>
      <c r="V110" s="76"/>
      <c r="W110" s="76"/>
      <c r="X110" s="76"/>
      <c r="Y110" s="76"/>
      <c r="Z110" s="76"/>
      <c r="AA110" s="79" t="str">
        <f aca="false">IF(B110="","",IF($U110="NON",0,IF(COUNT(V110:Z110)=0,"",SUM(V110:Z110))))</f>
        <v/>
      </c>
      <c r="AB110" s="77" t="str">
        <f aca="false">IF(B110="","",IF($U110="NON",0,IF(COUNT(V110:Z110)=0,"",IFERROR(ROUND(SUM(V110:Z110)/SUMPRODUCT(ISNUMBER(V110:Z110)*$V$8:$Z$8)*20,2),""))))</f>
        <v/>
      </c>
      <c r="AC110" s="75"/>
      <c r="AD110" s="76"/>
      <c r="AE110" s="76"/>
      <c r="AF110" s="76"/>
      <c r="AG110" s="76"/>
      <c r="AH110" s="76"/>
      <c r="AI110" s="79" t="str">
        <f aca="false">IF(B110="","",IF($AC110="NON",0,IF(COUNT(AD110:AH110)=0,"",SUM(AD110:AH110))))</f>
        <v/>
      </c>
      <c r="AJ110" s="77" t="str">
        <f aca="false">IF(B110="","",IF($AC110="NON",0,IF(COUNT(AD110:AH110)=0,"",IFERROR(ROUND(SUM(AD110:AH110)/SUMPRODUCT(ISNUMBER(AD110:AH110)*$AD$8:$AH$8)*20,2),""))))</f>
        <v/>
      </c>
      <c r="AK110" s="51" t="str">
        <f aca="false">IFERROR(MATCH("CM2-101",'REGISTRE ELEVES'!$AI$10:$AI$250,0),"")</f>
        <v/>
      </c>
    </row>
    <row r="111" customFormat="false" ht="15" hidden="false" customHeight="false" outlineLevel="0" collapsed="false">
      <c r="A111" s="73" t="str">
        <f aca="false">IF(B111="","",102)</f>
        <v/>
      </c>
      <c r="B111" s="73" t="str">
        <f aca="false">IF($AK111="","",INDEX('REGISTRE ELEVES'!$B$10:$B$250,$AK111))</f>
        <v/>
      </c>
      <c r="C111" s="74" t="str">
        <f aca="false">IF($AK111="","",INDEX('REGISTRE ELEVES'!$D$10:$D$250,$AK111))</f>
        <v/>
      </c>
      <c r="D111" s="73" t="str">
        <f aca="false">IF($AK111="","",INDEX('REGISTRE ELEVES'!$E$10:$E$250,$AK111))</f>
        <v/>
      </c>
      <c r="E111" s="73" t="str">
        <f aca="false">IF($AK111="","",INDEX('REGISTRE ELEVES'!$F$10:$F$250,$AK111))</f>
        <v/>
      </c>
      <c r="F111" s="73" t="str">
        <f aca="false">IF($AK111="","",INDEX('REGISTRE ELEVES'!$AE$10:$AE$250,$AK111))</f>
        <v/>
      </c>
      <c r="G111" s="75"/>
      <c r="H111" s="76"/>
      <c r="I111" s="76"/>
      <c r="J111" s="76"/>
      <c r="K111" s="76"/>
      <c r="L111" s="79" t="str">
        <f aca="false">IF(B111="","",IF($G111="NON",0,IF(COUNT(H111:K111)=0,"",SUM(H111:K111))))</f>
        <v/>
      </c>
      <c r="M111" s="77" t="str">
        <f aca="false">IF(B111="","",IF($G111="NON",0,IF(COUNT(H111:K111)=0,"",IFERROR(ROUND(SUM(H111:K111)/SUMPRODUCT(ISNUMBER(H111:K111)*$H$8:$K$8)*20,2),""))))</f>
        <v/>
      </c>
      <c r="N111" s="75"/>
      <c r="O111" s="76"/>
      <c r="P111" s="76"/>
      <c r="Q111" s="76"/>
      <c r="R111" s="76"/>
      <c r="S111" s="79" t="str">
        <f aca="false">IF(B111="","",IF($N111="NON",0,IF(COUNT(O111:R111)=0,"",SUM(O111:R111))))</f>
        <v/>
      </c>
      <c r="T111" s="77" t="str">
        <f aca="false">IF(B111="","",IF($N111="NON",0,IF(COUNT(O111:R111)=0,"",IFERROR(ROUND(SUM(O111:R111)/SUMPRODUCT(ISNUMBER(O111:R111)*$O$8:$R$8)*20,2),""))))</f>
        <v/>
      </c>
      <c r="U111" s="75"/>
      <c r="V111" s="76"/>
      <c r="W111" s="76"/>
      <c r="X111" s="76"/>
      <c r="Y111" s="76"/>
      <c r="Z111" s="76"/>
      <c r="AA111" s="79" t="str">
        <f aca="false">IF(B111="","",IF($U111="NON",0,IF(COUNT(V111:Z111)=0,"",SUM(V111:Z111))))</f>
        <v/>
      </c>
      <c r="AB111" s="77" t="str">
        <f aca="false">IF(B111="","",IF($U111="NON",0,IF(COUNT(V111:Z111)=0,"",IFERROR(ROUND(SUM(V111:Z111)/SUMPRODUCT(ISNUMBER(V111:Z111)*$V$8:$Z$8)*20,2),""))))</f>
        <v/>
      </c>
      <c r="AC111" s="75"/>
      <c r="AD111" s="76"/>
      <c r="AE111" s="76"/>
      <c r="AF111" s="76"/>
      <c r="AG111" s="76"/>
      <c r="AH111" s="76"/>
      <c r="AI111" s="79" t="str">
        <f aca="false">IF(B111="","",IF($AC111="NON",0,IF(COUNT(AD111:AH111)=0,"",SUM(AD111:AH111))))</f>
        <v/>
      </c>
      <c r="AJ111" s="77" t="str">
        <f aca="false">IF(B111="","",IF($AC111="NON",0,IF(COUNT(AD111:AH111)=0,"",IFERROR(ROUND(SUM(AD111:AH111)/SUMPRODUCT(ISNUMBER(AD111:AH111)*$AD$8:$AH$8)*20,2),""))))</f>
        <v/>
      </c>
      <c r="AK111" s="51" t="str">
        <f aca="false">IFERROR(MATCH("CM2-102",'REGISTRE ELEVES'!$AI$10:$AI$250,0),"")</f>
        <v/>
      </c>
    </row>
    <row r="112" customFormat="false" ht="15" hidden="false" customHeight="false" outlineLevel="0" collapsed="false">
      <c r="A112" s="73" t="str">
        <f aca="false">IF(B112="","",103)</f>
        <v/>
      </c>
      <c r="B112" s="73" t="str">
        <f aca="false">IF($AK112="","",INDEX('REGISTRE ELEVES'!$B$10:$B$250,$AK112))</f>
        <v/>
      </c>
      <c r="C112" s="74" t="str">
        <f aca="false">IF($AK112="","",INDEX('REGISTRE ELEVES'!$D$10:$D$250,$AK112))</f>
        <v/>
      </c>
      <c r="D112" s="73" t="str">
        <f aca="false">IF($AK112="","",INDEX('REGISTRE ELEVES'!$E$10:$E$250,$AK112))</f>
        <v/>
      </c>
      <c r="E112" s="73" t="str">
        <f aca="false">IF($AK112="","",INDEX('REGISTRE ELEVES'!$F$10:$F$250,$AK112))</f>
        <v/>
      </c>
      <c r="F112" s="73" t="str">
        <f aca="false">IF($AK112="","",INDEX('REGISTRE ELEVES'!$AE$10:$AE$250,$AK112))</f>
        <v/>
      </c>
      <c r="G112" s="75"/>
      <c r="H112" s="76"/>
      <c r="I112" s="76"/>
      <c r="J112" s="76"/>
      <c r="K112" s="76"/>
      <c r="L112" s="79" t="str">
        <f aca="false">IF(B112="","",IF($G112="NON",0,IF(COUNT(H112:K112)=0,"",SUM(H112:K112))))</f>
        <v/>
      </c>
      <c r="M112" s="77" t="str">
        <f aca="false">IF(B112="","",IF($G112="NON",0,IF(COUNT(H112:K112)=0,"",IFERROR(ROUND(SUM(H112:K112)/SUMPRODUCT(ISNUMBER(H112:K112)*$H$8:$K$8)*20,2),""))))</f>
        <v/>
      </c>
      <c r="N112" s="75"/>
      <c r="O112" s="76"/>
      <c r="P112" s="76"/>
      <c r="Q112" s="76"/>
      <c r="R112" s="76"/>
      <c r="S112" s="79" t="str">
        <f aca="false">IF(B112="","",IF($N112="NON",0,IF(COUNT(O112:R112)=0,"",SUM(O112:R112))))</f>
        <v/>
      </c>
      <c r="T112" s="77" t="str">
        <f aca="false">IF(B112="","",IF($N112="NON",0,IF(COUNT(O112:R112)=0,"",IFERROR(ROUND(SUM(O112:R112)/SUMPRODUCT(ISNUMBER(O112:R112)*$O$8:$R$8)*20,2),""))))</f>
        <v/>
      </c>
      <c r="U112" s="75"/>
      <c r="V112" s="76"/>
      <c r="W112" s="76"/>
      <c r="X112" s="76"/>
      <c r="Y112" s="76"/>
      <c r="Z112" s="76"/>
      <c r="AA112" s="79" t="str">
        <f aca="false">IF(B112="","",IF($U112="NON",0,IF(COUNT(V112:Z112)=0,"",SUM(V112:Z112))))</f>
        <v/>
      </c>
      <c r="AB112" s="77" t="str">
        <f aca="false">IF(B112="","",IF($U112="NON",0,IF(COUNT(V112:Z112)=0,"",IFERROR(ROUND(SUM(V112:Z112)/SUMPRODUCT(ISNUMBER(V112:Z112)*$V$8:$Z$8)*20,2),""))))</f>
        <v/>
      </c>
      <c r="AC112" s="75"/>
      <c r="AD112" s="76"/>
      <c r="AE112" s="76"/>
      <c r="AF112" s="76"/>
      <c r="AG112" s="76"/>
      <c r="AH112" s="76"/>
      <c r="AI112" s="79" t="str">
        <f aca="false">IF(B112="","",IF($AC112="NON",0,IF(COUNT(AD112:AH112)=0,"",SUM(AD112:AH112))))</f>
        <v/>
      </c>
      <c r="AJ112" s="77" t="str">
        <f aca="false">IF(B112="","",IF($AC112="NON",0,IF(COUNT(AD112:AH112)=0,"",IFERROR(ROUND(SUM(AD112:AH112)/SUMPRODUCT(ISNUMBER(AD112:AH112)*$AD$8:$AH$8)*20,2),""))))</f>
        <v/>
      </c>
      <c r="AK112" s="51" t="str">
        <f aca="false">IFERROR(MATCH("CM2-103",'REGISTRE ELEVES'!$AI$10:$AI$250,0),"")</f>
        <v/>
      </c>
    </row>
    <row r="113" customFormat="false" ht="15" hidden="false" customHeight="false" outlineLevel="0" collapsed="false">
      <c r="A113" s="73" t="str">
        <f aca="false">IF(B113="","",104)</f>
        <v/>
      </c>
      <c r="B113" s="73" t="str">
        <f aca="false">IF($AK113="","",INDEX('REGISTRE ELEVES'!$B$10:$B$250,$AK113))</f>
        <v/>
      </c>
      <c r="C113" s="74" t="str">
        <f aca="false">IF($AK113="","",INDEX('REGISTRE ELEVES'!$D$10:$D$250,$AK113))</f>
        <v/>
      </c>
      <c r="D113" s="73" t="str">
        <f aca="false">IF($AK113="","",INDEX('REGISTRE ELEVES'!$E$10:$E$250,$AK113))</f>
        <v/>
      </c>
      <c r="E113" s="73" t="str">
        <f aca="false">IF($AK113="","",INDEX('REGISTRE ELEVES'!$F$10:$F$250,$AK113))</f>
        <v/>
      </c>
      <c r="F113" s="73" t="str">
        <f aca="false">IF($AK113="","",INDEX('REGISTRE ELEVES'!$AE$10:$AE$250,$AK113))</f>
        <v/>
      </c>
      <c r="G113" s="75"/>
      <c r="H113" s="76"/>
      <c r="I113" s="76"/>
      <c r="J113" s="76"/>
      <c r="K113" s="76"/>
      <c r="L113" s="79" t="str">
        <f aca="false">IF(B113="","",IF($G113="NON",0,IF(COUNT(H113:K113)=0,"",SUM(H113:K113))))</f>
        <v/>
      </c>
      <c r="M113" s="77" t="str">
        <f aca="false">IF(B113="","",IF($G113="NON",0,IF(COUNT(H113:K113)=0,"",IFERROR(ROUND(SUM(H113:K113)/SUMPRODUCT(ISNUMBER(H113:K113)*$H$8:$K$8)*20,2),""))))</f>
        <v/>
      </c>
      <c r="N113" s="75"/>
      <c r="O113" s="76"/>
      <c r="P113" s="76"/>
      <c r="Q113" s="76"/>
      <c r="R113" s="76"/>
      <c r="S113" s="79" t="str">
        <f aca="false">IF(B113="","",IF($N113="NON",0,IF(COUNT(O113:R113)=0,"",SUM(O113:R113))))</f>
        <v/>
      </c>
      <c r="T113" s="77" t="str">
        <f aca="false">IF(B113="","",IF($N113="NON",0,IF(COUNT(O113:R113)=0,"",IFERROR(ROUND(SUM(O113:R113)/SUMPRODUCT(ISNUMBER(O113:R113)*$O$8:$R$8)*20,2),""))))</f>
        <v/>
      </c>
      <c r="U113" s="75"/>
      <c r="V113" s="76"/>
      <c r="W113" s="76"/>
      <c r="X113" s="76"/>
      <c r="Y113" s="76"/>
      <c r="Z113" s="76"/>
      <c r="AA113" s="79" t="str">
        <f aca="false">IF(B113="","",IF($U113="NON",0,IF(COUNT(V113:Z113)=0,"",SUM(V113:Z113))))</f>
        <v/>
      </c>
      <c r="AB113" s="77" t="str">
        <f aca="false">IF(B113="","",IF($U113="NON",0,IF(COUNT(V113:Z113)=0,"",IFERROR(ROUND(SUM(V113:Z113)/SUMPRODUCT(ISNUMBER(V113:Z113)*$V$8:$Z$8)*20,2),""))))</f>
        <v/>
      </c>
      <c r="AC113" s="75"/>
      <c r="AD113" s="76"/>
      <c r="AE113" s="76"/>
      <c r="AF113" s="76"/>
      <c r="AG113" s="76"/>
      <c r="AH113" s="76"/>
      <c r="AI113" s="79" t="str">
        <f aca="false">IF(B113="","",IF($AC113="NON",0,IF(COUNT(AD113:AH113)=0,"",SUM(AD113:AH113))))</f>
        <v/>
      </c>
      <c r="AJ113" s="77" t="str">
        <f aca="false">IF(B113="","",IF($AC113="NON",0,IF(COUNT(AD113:AH113)=0,"",IFERROR(ROUND(SUM(AD113:AH113)/SUMPRODUCT(ISNUMBER(AD113:AH113)*$AD$8:$AH$8)*20,2),""))))</f>
        <v/>
      </c>
      <c r="AK113" s="51" t="str">
        <f aca="false">IFERROR(MATCH("CM2-104",'REGISTRE ELEVES'!$AI$10:$AI$250,0),"")</f>
        <v/>
      </c>
    </row>
    <row r="114" customFormat="false" ht="15" hidden="false" customHeight="false" outlineLevel="0" collapsed="false">
      <c r="A114" s="73" t="str">
        <f aca="false">IF(B114="","",105)</f>
        <v/>
      </c>
      <c r="B114" s="73" t="str">
        <f aca="false">IF($AK114="","",INDEX('REGISTRE ELEVES'!$B$10:$B$250,$AK114))</f>
        <v/>
      </c>
      <c r="C114" s="74" t="str">
        <f aca="false">IF($AK114="","",INDEX('REGISTRE ELEVES'!$D$10:$D$250,$AK114))</f>
        <v/>
      </c>
      <c r="D114" s="73" t="str">
        <f aca="false">IF($AK114="","",INDEX('REGISTRE ELEVES'!$E$10:$E$250,$AK114))</f>
        <v/>
      </c>
      <c r="E114" s="73" t="str">
        <f aca="false">IF($AK114="","",INDEX('REGISTRE ELEVES'!$F$10:$F$250,$AK114))</f>
        <v/>
      </c>
      <c r="F114" s="73" t="str">
        <f aca="false">IF($AK114="","",INDEX('REGISTRE ELEVES'!$AE$10:$AE$250,$AK114))</f>
        <v/>
      </c>
      <c r="G114" s="75"/>
      <c r="H114" s="76"/>
      <c r="I114" s="76"/>
      <c r="J114" s="76"/>
      <c r="K114" s="76"/>
      <c r="L114" s="79" t="str">
        <f aca="false">IF(B114="","",IF($G114="NON",0,IF(COUNT(H114:K114)=0,"",SUM(H114:K114))))</f>
        <v/>
      </c>
      <c r="M114" s="77" t="str">
        <f aca="false">IF(B114="","",IF($G114="NON",0,IF(COUNT(H114:K114)=0,"",IFERROR(ROUND(SUM(H114:K114)/SUMPRODUCT(ISNUMBER(H114:K114)*$H$8:$K$8)*20,2),""))))</f>
        <v/>
      </c>
      <c r="N114" s="75"/>
      <c r="O114" s="76"/>
      <c r="P114" s="76"/>
      <c r="Q114" s="76"/>
      <c r="R114" s="76"/>
      <c r="S114" s="79" t="str">
        <f aca="false">IF(B114="","",IF($N114="NON",0,IF(COUNT(O114:R114)=0,"",SUM(O114:R114))))</f>
        <v/>
      </c>
      <c r="T114" s="77" t="str">
        <f aca="false">IF(B114="","",IF($N114="NON",0,IF(COUNT(O114:R114)=0,"",IFERROR(ROUND(SUM(O114:R114)/SUMPRODUCT(ISNUMBER(O114:R114)*$O$8:$R$8)*20,2),""))))</f>
        <v/>
      </c>
      <c r="U114" s="75"/>
      <c r="V114" s="76"/>
      <c r="W114" s="76"/>
      <c r="X114" s="76"/>
      <c r="Y114" s="76"/>
      <c r="Z114" s="76"/>
      <c r="AA114" s="79" t="str">
        <f aca="false">IF(B114="","",IF($U114="NON",0,IF(COUNT(V114:Z114)=0,"",SUM(V114:Z114))))</f>
        <v/>
      </c>
      <c r="AB114" s="77" t="str">
        <f aca="false">IF(B114="","",IF($U114="NON",0,IF(COUNT(V114:Z114)=0,"",IFERROR(ROUND(SUM(V114:Z114)/SUMPRODUCT(ISNUMBER(V114:Z114)*$V$8:$Z$8)*20,2),""))))</f>
        <v/>
      </c>
      <c r="AC114" s="75"/>
      <c r="AD114" s="76"/>
      <c r="AE114" s="76"/>
      <c r="AF114" s="76"/>
      <c r="AG114" s="76"/>
      <c r="AH114" s="76"/>
      <c r="AI114" s="79" t="str">
        <f aca="false">IF(B114="","",IF($AC114="NON",0,IF(COUNT(AD114:AH114)=0,"",SUM(AD114:AH114))))</f>
        <v/>
      </c>
      <c r="AJ114" s="77" t="str">
        <f aca="false">IF(B114="","",IF($AC114="NON",0,IF(COUNT(AD114:AH114)=0,"",IFERROR(ROUND(SUM(AD114:AH114)/SUMPRODUCT(ISNUMBER(AD114:AH114)*$AD$8:$AH$8)*20,2),""))))</f>
        <v/>
      </c>
      <c r="AK114" s="51" t="str">
        <f aca="false">IFERROR(MATCH("CM2-105",'REGISTRE ELEVES'!$AI$10:$AI$250,0),"")</f>
        <v/>
      </c>
    </row>
    <row r="115" customFormat="false" ht="15" hidden="false" customHeight="false" outlineLevel="0" collapsed="false">
      <c r="A115" s="73" t="str">
        <f aca="false">IF(B115="","",106)</f>
        <v/>
      </c>
      <c r="B115" s="73" t="str">
        <f aca="false">IF($AK115="","",INDEX('REGISTRE ELEVES'!$B$10:$B$250,$AK115))</f>
        <v/>
      </c>
      <c r="C115" s="74" t="str">
        <f aca="false">IF($AK115="","",INDEX('REGISTRE ELEVES'!$D$10:$D$250,$AK115))</f>
        <v/>
      </c>
      <c r="D115" s="73" t="str">
        <f aca="false">IF($AK115="","",INDEX('REGISTRE ELEVES'!$E$10:$E$250,$AK115))</f>
        <v/>
      </c>
      <c r="E115" s="73" t="str">
        <f aca="false">IF($AK115="","",INDEX('REGISTRE ELEVES'!$F$10:$F$250,$AK115))</f>
        <v/>
      </c>
      <c r="F115" s="73" t="str">
        <f aca="false">IF($AK115="","",INDEX('REGISTRE ELEVES'!$AE$10:$AE$250,$AK115))</f>
        <v/>
      </c>
      <c r="G115" s="75"/>
      <c r="H115" s="76"/>
      <c r="I115" s="76"/>
      <c r="J115" s="76"/>
      <c r="K115" s="76"/>
      <c r="L115" s="79" t="str">
        <f aca="false">IF(B115="","",IF($G115="NON",0,IF(COUNT(H115:K115)=0,"",SUM(H115:K115))))</f>
        <v/>
      </c>
      <c r="M115" s="77" t="str">
        <f aca="false">IF(B115="","",IF($G115="NON",0,IF(COUNT(H115:K115)=0,"",IFERROR(ROUND(SUM(H115:K115)/SUMPRODUCT(ISNUMBER(H115:K115)*$H$8:$K$8)*20,2),""))))</f>
        <v/>
      </c>
      <c r="N115" s="75"/>
      <c r="O115" s="76"/>
      <c r="P115" s="76"/>
      <c r="Q115" s="76"/>
      <c r="R115" s="76"/>
      <c r="S115" s="79" t="str">
        <f aca="false">IF(B115="","",IF($N115="NON",0,IF(COUNT(O115:R115)=0,"",SUM(O115:R115))))</f>
        <v/>
      </c>
      <c r="T115" s="77" t="str">
        <f aca="false">IF(B115="","",IF($N115="NON",0,IF(COUNT(O115:R115)=0,"",IFERROR(ROUND(SUM(O115:R115)/SUMPRODUCT(ISNUMBER(O115:R115)*$O$8:$R$8)*20,2),""))))</f>
        <v/>
      </c>
      <c r="U115" s="75"/>
      <c r="V115" s="76"/>
      <c r="W115" s="76"/>
      <c r="X115" s="76"/>
      <c r="Y115" s="76"/>
      <c r="Z115" s="76"/>
      <c r="AA115" s="79" t="str">
        <f aca="false">IF(B115="","",IF($U115="NON",0,IF(COUNT(V115:Z115)=0,"",SUM(V115:Z115))))</f>
        <v/>
      </c>
      <c r="AB115" s="77" t="str">
        <f aca="false">IF(B115="","",IF($U115="NON",0,IF(COUNT(V115:Z115)=0,"",IFERROR(ROUND(SUM(V115:Z115)/SUMPRODUCT(ISNUMBER(V115:Z115)*$V$8:$Z$8)*20,2),""))))</f>
        <v/>
      </c>
      <c r="AC115" s="75"/>
      <c r="AD115" s="76"/>
      <c r="AE115" s="76"/>
      <c r="AF115" s="76"/>
      <c r="AG115" s="76"/>
      <c r="AH115" s="76"/>
      <c r="AI115" s="79" t="str">
        <f aca="false">IF(B115="","",IF($AC115="NON",0,IF(COUNT(AD115:AH115)=0,"",SUM(AD115:AH115))))</f>
        <v/>
      </c>
      <c r="AJ115" s="77" t="str">
        <f aca="false">IF(B115="","",IF($AC115="NON",0,IF(COUNT(AD115:AH115)=0,"",IFERROR(ROUND(SUM(AD115:AH115)/SUMPRODUCT(ISNUMBER(AD115:AH115)*$AD$8:$AH$8)*20,2),""))))</f>
        <v/>
      </c>
      <c r="AK115" s="51" t="str">
        <f aca="false">IFERROR(MATCH("CM2-106",'REGISTRE ELEVES'!$AI$10:$AI$250,0),"")</f>
        <v/>
      </c>
    </row>
    <row r="116" customFormat="false" ht="15" hidden="false" customHeight="false" outlineLevel="0" collapsed="false">
      <c r="A116" s="73" t="str">
        <f aca="false">IF(B116="","",107)</f>
        <v/>
      </c>
      <c r="B116" s="73" t="str">
        <f aca="false">IF($AK116="","",INDEX('REGISTRE ELEVES'!$B$10:$B$250,$AK116))</f>
        <v/>
      </c>
      <c r="C116" s="74" t="str">
        <f aca="false">IF($AK116="","",INDEX('REGISTRE ELEVES'!$D$10:$D$250,$AK116))</f>
        <v/>
      </c>
      <c r="D116" s="73" t="str">
        <f aca="false">IF($AK116="","",INDEX('REGISTRE ELEVES'!$E$10:$E$250,$AK116))</f>
        <v/>
      </c>
      <c r="E116" s="73" t="str">
        <f aca="false">IF($AK116="","",INDEX('REGISTRE ELEVES'!$F$10:$F$250,$AK116))</f>
        <v/>
      </c>
      <c r="F116" s="73" t="str">
        <f aca="false">IF($AK116="","",INDEX('REGISTRE ELEVES'!$AE$10:$AE$250,$AK116))</f>
        <v/>
      </c>
      <c r="G116" s="75"/>
      <c r="H116" s="76"/>
      <c r="I116" s="76"/>
      <c r="J116" s="76"/>
      <c r="K116" s="76"/>
      <c r="L116" s="79" t="str">
        <f aca="false">IF(B116="","",IF($G116="NON",0,IF(COUNT(H116:K116)=0,"",SUM(H116:K116))))</f>
        <v/>
      </c>
      <c r="M116" s="77" t="str">
        <f aca="false">IF(B116="","",IF($G116="NON",0,IF(COUNT(H116:K116)=0,"",IFERROR(ROUND(SUM(H116:K116)/SUMPRODUCT(ISNUMBER(H116:K116)*$H$8:$K$8)*20,2),""))))</f>
        <v/>
      </c>
      <c r="N116" s="75"/>
      <c r="O116" s="76"/>
      <c r="P116" s="76"/>
      <c r="Q116" s="76"/>
      <c r="R116" s="76"/>
      <c r="S116" s="79" t="str">
        <f aca="false">IF(B116="","",IF($N116="NON",0,IF(COUNT(O116:R116)=0,"",SUM(O116:R116))))</f>
        <v/>
      </c>
      <c r="T116" s="77" t="str">
        <f aca="false">IF(B116="","",IF($N116="NON",0,IF(COUNT(O116:R116)=0,"",IFERROR(ROUND(SUM(O116:R116)/SUMPRODUCT(ISNUMBER(O116:R116)*$O$8:$R$8)*20,2),""))))</f>
        <v/>
      </c>
      <c r="U116" s="75"/>
      <c r="V116" s="76"/>
      <c r="W116" s="76"/>
      <c r="X116" s="76"/>
      <c r="Y116" s="76"/>
      <c r="Z116" s="76"/>
      <c r="AA116" s="79" t="str">
        <f aca="false">IF(B116="","",IF($U116="NON",0,IF(COUNT(V116:Z116)=0,"",SUM(V116:Z116))))</f>
        <v/>
      </c>
      <c r="AB116" s="77" t="str">
        <f aca="false">IF(B116="","",IF($U116="NON",0,IF(COUNT(V116:Z116)=0,"",IFERROR(ROUND(SUM(V116:Z116)/SUMPRODUCT(ISNUMBER(V116:Z116)*$V$8:$Z$8)*20,2),""))))</f>
        <v/>
      </c>
      <c r="AC116" s="75"/>
      <c r="AD116" s="76"/>
      <c r="AE116" s="76"/>
      <c r="AF116" s="76"/>
      <c r="AG116" s="76"/>
      <c r="AH116" s="76"/>
      <c r="AI116" s="79" t="str">
        <f aca="false">IF(B116="","",IF($AC116="NON",0,IF(COUNT(AD116:AH116)=0,"",SUM(AD116:AH116))))</f>
        <v/>
      </c>
      <c r="AJ116" s="77" t="str">
        <f aca="false">IF(B116="","",IF($AC116="NON",0,IF(COUNT(AD116:AH116)=0,"",IFERROR(ROUND(SUM(AD116:AH116)/SUMPRODUCT(ISNUMBER(AD116:AH116)*$AD$8:$AH$8)*20,2),""))))</f>
        <v/>
      </c>
      <c r="AK116" s="51" t="str">
        <f aca="false">IFERROR(MATCH("CM2-107",'REGISTRE ELEVES'!$AI$10:$AI$250,0),"")</f>
        <v/>
      </c>
    </row>
    <row r="117" customFormat="false" ht="15" hidden="false" customHeight="false" outlineLevel="0" collapsed="false">
      <c r="A117" s="73" t="str">
        <f aca="false">IF(B117="","",108)</f>
        <v/>
      </c>
      <c r="B117" s="73" t="str">
        <f aca="false">IF($AK117="","",INDEX('REGISTRE ELEVES'!$B$10:$B$250,$AK117))</f>
        <v/>
      </c>
      <c r="C117" s="74" t="str">
        <f aca="false">IF($AK117="","",INDEX('REGISTRE ELEVES'!$D$10:$D$250,$AK117))</f>
        <v/>
      </c>
      <c r="D117" s="73" t="str">
        <f aca="false">IF($AK117="","",INDEX('REGISTRE ELEVES'!$E$10:$E$250,$AK117))</f>
        <v/>
      </c>
      <c r="E117" s="73" t="str">
        <f aca="false">IF($AK117="","",INDEX('REGISTRE ELEVES'!$F$10:$F$250,$AK117))</f>
        <v/>
      </c>
      <c r="F117" s="73" t="str">
        <f aca="false">IF($AK117="","",INDEX('REGISTRE ELEVES'!$AE$10:$AE$250,$AK117))</f>
        <v/>
      </c>
      <c r="G117" s="75"/>
      <c r="H117" s="76"/>
      <c r="I117" s="76"/>
      <c r="J117" s="76"/>
      <c r="K117" s="76"/>
      <c r="L117" s="79" t="str">
        <f aca="false">IF(B117="","",IF($G117="NON",0,IF(COUNT(H117:K117)=0,"",SUM(H117:K117))))</f>
        <v/>
      </c>
      <c r="M117" s="77" t="str">
        <f aca="false">IF(B117="","",IF($G117="NON",0,IF(COUNT(H117:K117)=0,"",IFERROR(ROUND(SUM(H117:K117)/SUMPRODUCT(ISNUMBER(H117:K117)*$H$8:$K$8)*20,2),""))))</f>
        <v/>
      </c>
      <c r="N117" s="75"/>
      <c r="O117" s="76"/>
      <c r="P117" s="76"/>
      <c r="Q117" s="76"/>
      <c r="R117" s="76"/>
      <c r="S117" s="79" t="str">
        <f aca="false">IF(B117="","",IF($N117="NON",0,IF(COUNT(O117:R117)=0,"",SUM(O117:R117))))</f>
        <v/>
      </c>
      <c r="T117" s="77" t="str">
        <f aca="false">IF(B117="","",IF($N117="NON",0,IF(COUNT(O117:R117)=0,"",IFERROR(ROUND(SUM(O117:R117)/SUMPRODUCT(ISNUMBER(O117:R117)*$O$8:$R$8)*20,2),""))))</f>
        <v/>
      </c>
      <c r="U117" s="75"/>
      <c r="V117" s="76"/>
      <c r="W117" s="76"/>
      <c r="X117" s="76"/>
      <c r="Y117" s="76"/>
      <c r="Z117" s="76"/>
      <c r="AA117" s="79" t="str">
        <f aca="false">IF(B117="","",IF($U117="NON",0,IF(COUNT(V117:Z117)=0,"",SUM(V117:Z117))))</f>
        <v/>
      </c>
      <c r="AB117" s="77" t="str">
        <f aca="false">IF(B117="","",IF($U117="NON",0,IF(COUNT(V117:Z117)=0,"",IFERROR(ROUND(SUM(V117:Z117)/SUMPRODUCT(ISNUMBER(V117:Z117)*$V$8:$Z$8)*20,2),""))))</f>
        <v/>
      </c>
      <c r="AC117" s="75"/>
      <c r="AD117" s="76"/>
      <c r="AE117" s="76"/>
      <c r="AF117" s="76"/>
      <c r="AG117" s="76"/>
      <c r="AH117" s="76"/>
      <c r="AI117" s="79" t="str">
        <f aca="false">IF(B117="","",IF($AC117="NON",0,IF(COUNT(AD117:AH117)=0,"",SUM(AD117:AH117))))</f>
        <v/>
      </c>
      <c r="AJ117" s="77" t="str">
        <f aca="false">IF(B117="","",IF($AC117="NON",0,IF(COUNT(AD117:AH117)=0,"",IFERROR(ROUND(SUM(AD117:AH117)/SUMPRODUCT(ISNUMBER(AD117:AH117)*$AD$8:$AH$8)*20,2),""))))</f>
        <v/>
      </c>
      <c r="AK117" s="51" t="str">
        <f aca="false">IFERROR(MATCH("CM2-108",'REGISTRE ELEVES'!$AI$10:$AI$250,0),"")</f>
        <v/>
      </c>
    </row>
    <row r="118" customFormat="false" ht="15" hidden="false" customHeight="false" outlineLevel="0" collapsed="false">
      <c r="A118" s="73" t="str">
        <f aca="false">IF(B118="","",109)</f>
        <v/>
      </c>
      <c r="B118" s="73" t="str">
        <f aca="false">IF($AK118="","",INDEX('REGISTRE ELEVES'!$B$10:$B$250,$AK118))</f>
        <v/>
      </c>
      <c r="C118" s="74" t="str">
        <f aca="false">IF($AK118="","",INDEX('REGISTRE ELEVES'!$D$10:$D$250,$AK118))</f>
        <v/>
      </c>
      <c r="D118" s="73" t="str">
        <f aca="false">IF($AK118="","",INDEX('REGISTRE ELEVES'!$E$10:$E$250,$AK118))</f>
        <v/>
      </c>
      <c r="E118" s="73" t="str">
        <f aca="false">IF($AK118="","",INDEX('REGISTRE ELEVES'!$F$10:$F$250,$AK118))</f>
        <v/>
      </c>
      <c r="F118" s="73" t="str">
        <f aca="false">IF($AK118="","",INDEX('REGISTRE ELEVES'!$AE$10:$AE$250,$AK118))</f>
        <v/>
      </c>
      <c r="G118" s="75"/>
      <c r="H118" s="76"/>
      <c r="I118" s="76"/>
      <c r="J118" s="76"/>
      <c r="K118" s="76"/>
      <c r="L118" s="79" t="str">
        <f aca="false">IF(B118="","",IF($G118="NON",0,IF(COUNT(H118:K118)=0,"",SUM(H118:K118))))</f>
        <v/>
      </c>
      <c r="M118" s="77" t="str">
        <f aca="false">IF(B118="","",IF($G118="NON",0,IF(COUNT(H118:K118)=0,"",IFERROR(ROUND(SUM(H118:K118)/SUMPRODUCT(ISNUMBER(H118:K118)*$H$8:$K$8)*20,2),""))))</f>
        <v/>
      </c>
      <c r="N118" s="75"/>
      <c r="O118" s="76"/>
      <c r="P118" s="76"/>
      <c r="Q118" s="76"/>
      <c r="R118" s="76"/>
      <c r="S118" s="79" t="str">
        <f aca="false">IF(B118="","",IF($N118="NON",0,IF(COUNT(O118:R118)=0,"",SUM(O118:R118))))</f>
        <v/>
      </c>
      <c r="T118" s="77" t="str">
        <f aca="false">IF(B118="","",IF($N118="NON",0,IF(COUNT(O118:R118)=0,"",IFERROR(ROUND(SUM(O118:R118)/SUMPRODUCT(ISNUMBER(O118:R118)*$O$8:$R$8)*20,2),""))))</f>
        <v/>
      </c>
      <c r="U118" s="75"/>
      <c r="V118" s="76"/>
      <c r="W118" s="76"/>
      <c r="X118" s="76"/>
      <c r="Y118" s="76"/>
      <c r="Z118" s="76"/>
      <c r="AA118" s="79" t="str">
        <f aca="false">IF(B118="","",IF($U118="NON",0,IF(COUNT(V118:Z118)=0,"",SUM(V118:Z118))))</f>
        <v/>
      </c>
      <c r="AB118" s="77" t="str">
        <f aca="false">IF(B118="","",IF($U118="NON",0,IF(COUNT(V118:Z118)=0,"",IFERROR(ROUND(SUM(V118:Z118)/SUMPRODUCT(ISNUMBER(V118:Z118)*$V$8:$Z$8)*20,2),""))))</f>
        <v/>
      </c>
      <c r="AC118" s="75"/>
      <c r="AD118" s="76"/>
      <c r="AE118" s="76"/>
      <c r="AF118" s="76"/>
      <c r="AG118" s="76"/>
      <c r="AH118" s="76"/>
      <c r="AI118" s="79" t="str">
        <f aca="false">IF(B118="","",IF($AC118="NON",0,IF(COUNT(AD118:AH118)=0,"",SUM(AD118:AH118))))</f>
        <v/>
      </c>
      <c r="AJ118" s="77" t="str">
        <f aca="false">IF(B118="","",IF($AC118="NON",0,IF(COUNT(AD118:AH118)=0,"",IFERROR(ROUND(SUM(AD118:AH118)/SUMPRODUCT(ISNUMBER(AD118:AH118)*$AD$8:$AH$8)*20,2),""))))</f>
        <v/>
      </c>
      <c r="AK118" s="51" t="str">
        <f aca="false">IFERROR(MATCH("CM2-109",'REGISTRE ELEVES'!$AI$10:$AI$250,0),"")</f>
        <v/>
      </c>
    </row>
    <row r="119" customFormat="false" ht="15" hidden="false" customHeight="false" outlineLevel="0" collapsed="false">
      <c r="A119" s="73" t="str">
        <f aca="false">IF(B119="","",110)</f>
        <v/>
      </c>
      <c r="B119" s="73" t="str">
        <f aca="false">IF($AK119="","",INDEX('REGISTRE ELEVES'!$B$10:$B$250,$AK119))</f>
        <v/>
      </c>
      <c r="C119" s="74" t="str">
        <f aca="false">IF($AK119="","",INDEX('REGISTRE ELEVES'!$D$10:$D$250,$AK119))</f>
        <v/>
      </c>
      <c r="D119" s="73" t="str">
        <f aca="false">IF($AK119="","",INDEX('REGISTRE ELEVES'!$E$10:$E$250,$AK119))</f>
        <v/>
      </c>
      <c r="E119" s="73" t="str">
        <f aca="false">IF($AK119="","",INDEX('REGISTRE ELEVES'!$F$10:$F$250,$AK119))</f>
        <v/>
      </c>
      <c r="F119" s="73" t="str">
        <f aca="false">IF($AK119="","",INDEX('REGISTRE ELEVES'!$AE$10:$AE$250,$AK119))</f>
        <v/>
      </c>
      <c r="G119" s="75"/>
      <c r="H119" s="76"/>
      <c r="I119" s="76"/>
      <c r="J119" s="76"/>
      <c r="K119" s="76"/>
      <c r="L119" s="79" t="str">
        <f aca="false">IF(B119="","",IF($G119="NON",0,IF(COUNT(H119:K119)=0,"",SUM(H119:K119))))</f>
        <v/>
      </c>
      <c r="M119" s="77" t="str">
        <f aca="false">IF(B119="","",IF($G119="NON",0,IF(COUNT(H119:K119)=0,"",IFERROR(ROUND(SUM(H119:K119)/SUMPRODUCT(ISNUMBER(H119:K119)*$H$8:$K$8)*20,2),""))))</f>
        <v/>
      </c>
      <c r="N119" s="75"/>
      <c r="O119" s="76"/>
      <c r="P119" s="76"/>
      <c r="Q119" s="76"/>
      <c r="R119" s="76"/>
      <c r="S119" s="79" t="str">
        <f aca="false">IF(B119="","",IF($N119="NON",0,IF(COUNT(O119:R119)=0,"",SUM(O119:R119))))</f>
        <v/>
      </c>
      <c r="T119" s="77" t="str">
        <f aca="false">IF(B119="","",IF($N119="NON",0,IF(COUNT(O119:R119)=0,"",IFERROR(ROUND(SUM(O119:R119)/SUMPRODUCT(ISNUMBER(O119:R119)*$O$8:$R$8)*20,2),""))))</f>
        <v/>
      </c>
      <c r="U119" s="75"/>
      <c r="V119" s="76"/>
      <c r="W119" s="76"/>
      <c r="X119" s="76"/>
      <c r="Y119" s="76"/>
      <c r="Z119" s="76"/>
      <c r="AA119" s="79" t="str">
        <f aca="false">IF(B119="","",IF($U119="NON",0,IF(COUNT(V119:Z119)=0,"",SUM(V119:Z119))))</f>
        <v/>
      </c>
      <c r="AB119" s="77" t="str">
        <f aca="false">IF(B119="","",IF($U119="NON",0,IF(COUNT(V119:Z119)=0,"",IFERROR(ROUND(SUM(V119:Z119)/SUMPRODUCT(ISNUMBER(V119:Z119)*$V$8:$Z$8)*20,2),""))))</f>
        <v/>
      </c>
      <c r="AC119" s="75"/>
      <c r="AD119" s="76"/>
      <c r="AE119" s="76"/>
      <c r="AF119" s="76"/>
      <c r="AG119" s="76"/>
      <c r="AH119" s="76"/>
      <c r="AI119" s="79" t="str">
        <f aca="false">IF(B119="","",IF($AC119="NON",0,IF(COUNT(AD119:AH119)=0,"",SUM(AD119:AH119))))</f>
        <v/>
      </c>
      <c r="AJ119" s="77" t="str">
        <f aca="false">IF(B119="","",IF($AC119="NON",0,IF(COUNT(AD119:AH119)=0,"",IFERROR(ROUND(SUM(AD119:AH119)/SUMPRODUCT(ISNUMBER(AD119:AH119)*$AD$8:$AH$8)*20,2),""))))</f>
        <v/>
      </c>
      <c r="AK119" s="51" t="str">
        <f aca="false">IFERROR(MATCH("CM2-110",'REGISTRE ELEVES'!$AI$10:$AI$250,0),"")</f>
        <v/>
      </c>
    </row>
    <row r="120" customFormat="false" ht="15" hidden="false" customHeight="false" outlineLevel="0" collapsed="false">
      <c r="A120" s="73" t="str">
        <f aca="false">IF(B120="","",111)</f>
        <v/>
      </c>
      <c r="B120" s="73" t="str">
        <f aca="false">IF($AK120="","",INDEX('REGISTRE ELEVES'!$B$10:$B$250,$AK120))</f>
        <v/>
      </c>
      <c r="C120" s="74" t="str">
        <f aca="false">IF($AK120="","",INDEX('REGISTRE ELEVES'!$D$10:$D$250,$AK120))</f>
        <v/>
      </c>
      <c r="D120" s="73" t="str">
        <f aca="false">IF($AK120="","",INDEX('REGISTRE ELEVES'!$E$10:$E$250,$AK120))</f>
        <v/>
      </c>
      <c r="E120" s="73" t="str">
        <f aca="false">IF($AK120="","",INDEX('REGISTRE ELEVES'!$F$10:$F$250,$AK120))</f>
        <v/>
      </c>
      <c r="F120" s="73" t="str">
        <f aca="false">IF($AK120="","",INDEX('REGISTRE ELEVES'!$AE$10:$AE$250,$AK120))</f>
        <v/>
      </c>
      <c r="G120" s="75"/>
      <c r="H120" s="76"/>
      <c r="I120" s="76"/>
      <c r="J120" s="76"/>
      <c r="K120" s="76"/>
      <c r="L120" s="79" t="str">
        <f aca="false">IF(B120="","",IF($G120="NON",0,IF(COUNT(H120:K120)=0,"",SUM(H120:K120))))</f>
        <v/>
      </c>
      <c r="M120" s="77" t="str">
        <f aca="false">IF(B120="","",IF($G120="NON",0,IF(COUNT(H120:K120)=0,"",IFERROR(ROUND(SUM(H120:K120)/SUMPRODUCT(ISNUMBER(H120:K120)*$H$8:$K$8)*20,2),""))))</f>
        <v/>
      </c>
      <c r="N120" s="75"/>
      <c r="O120" s="76"/>
      <c r="P120" s="76"/>
      <c r="Q120" s="76"/>
      <c r="R120" s="76"/>
      <c r="S120" s="79" t="str">
        <f aca="false">IF(B120="","",IF($N120="NON",0,IF(COUNT(O120:R120)=0,"",SUM(O120:R120))))</f>
        <v/>
      </c>
      <c r="T120" s="77" t="str">
        <f aca="false">IF(B120="","",IF($N120="NON",0,IF(COUNT(O120:R120)=0,"",IFERROR(ROUND(SUM(O120:R120)/SUMPRODUCT(ISNUMBER(O120:R120)*$O$8:$R$8)*20,2),""))))</f>
        <v/>
      </c>
      <c r="U120" s="75"/>
      <c r="V120" s="76"/>
      <c r="W120" s="76"/>
      <c r="X120" s="76"/>
      <c r="Y120" s="76"/>
      <c r="Z120" s="76"/>
      <c r="AA120" s="79" t="str">
        <f aca="false">IF(B120="","",IF($U120="NON",0,IF(COUNT(V120:Z120)=0,"",SUM(V120:Z120))))</f>
        <v/>
      </c>
      <c r="AB120" s="77" t="str">
        <f aca="false">IF(B120="","",IF($U120="NON",0,IF(COUNT(V120:Z120)=0,"",IFERROR(ROUND(SUM(V120:Z120)/SUMPRODUCT(ISNUMBER(V120:Z120)*$V$8:$Z$8)*20,2),""))))</f>
        <v/>
      </c>
      <c r="AC120" s="75"/>
      <c r="AD120" s="76"/>
      <c r="AE120" s="76"/>
      <c r="AF120" s="76"/>
      <c r="AG120" s="76"/>
      <c r="AH120" s="76"/>
      <c r="AI120" s="79" t="str">
        <f aca="false">IF(B120="","",IF($AC120="NON",0,IF(COUNT(AD120:AH120)=0,"",SUM(AD120:AH120))))</f>
        <v/>
      </c>
      <c r="AJ120" s="77" t="str">
        <f aca="false">IF(B120="","",IF($AC120="NON",0,IF(COUNT(AD120:AH120)=0,"",IFERROR(ROUND(SUM(AD120:AH120)/SUMPRODUCT(ISNUMBER(AD120:AH120)*$AD$8:$AH$8)*20,2),""))))</f>
        <v/>
      </c>
      <c r="AK120" s="51" t="str">
        <f aca="false">IFERROR(MATCH("CM2-111",'REGISTRE ELEVES'!$AI$10:$AI$250,0),"")</f>
        <v/>
      </c>
    </row>
    <row r="121" customFormat="false" ht="15" hidden="false" customHeight="false" outlineLevel="0" collapsed="false">
      <c r="A121" s="73" t="str">
        <f aca="false">IF(B121="","",112)</f>
        <v/>
      </c>
      <c r="B121" s="73" t="str">
        <f aca="false">IF($AK121="","",INDEX('REGISTRE ELEVES'!$B$10:$B$250,$AK121))</f>
        <v/>
      </c>
      <c r="C121" s="74" t="str">
        <f aca="false">IF($AK121="","",INDEX('REGISTRE ELEVES'!$D$10:$D$250,$AK121))</f>
        <v/>
      </c>
      <c r="D121" s="73" t="str">
        <f aca="false">IF($AK121="","",INDEX('REGISTRE ELEVES'!$E$10:$E$250,$AK121))</f>
        <v/>
      </c>
      <c r="E121" s="73" t="str">
        <f aca="false">IF($AK121="","",INDEX('REGISTRE ELEVES'!$F$10:$F$250,$AK121))</f>
        <v/>
      </c>
      <c r="F121" s="73" t="str">
        <f aca="false">IF($AK121="","",INDEX('REGISTRE ELEVES'!$AE$10:$AE$250,$AK121))</f>
        <v/>
      </c>
      <c r="G121" s="75"/>
      <c r="H121" s="76"/>
      <c r="I121" s="76"/>
      <c r="J121" s="76"/>
      <c r="K121" s="76"/>
      <c r="L121" s="79" t="str">
        <f aca="false">IF(B121="","",IF($G121="NON",0,IF(COUNT(H121:K121)=0,"",SUM(H121:K121))))</f>
        <v/>
      </c>
      <c r="M121" s="77" t="str">
        <f aca="false">IF(B121="","",IF($G121="NON",0,IF(COUNT(H121:K121)=0,"",IFERROR(ROUND(SUM(H121:K121)/SUMPRODUCT(ISNUMBER(H121:K121)*$H$8:$K$8)*20,2),""))))</f>
        <v/>
      </c>
      <c r="N121" s="75"/>
      <c r="O121" s="76"/>
      <c r="P121" s="76"/>
      <c r="Q121" s="76"/>
      <c r="R121" s="76"/>
      <c r="S121" s="79" t="str">
        <f aca="false">IF(B121="","",IF($N121="NON",0,IF(COUNT(O121:R121)=0,"",SUM(O121:R121))))</f>
        <v/>
      </c>
      <c r="T121" s="77" t="str">
        <f aca="false">IF(B121="","",IF($N121="NON",0,IF(COUNT(O121:R121)=0,"",IFERROR(ROUND(SUM(O121:R121)/SUMPRODUCT(ISNUMBER(O121:R121)*$O$8:$R$8)*20,2),""))))</f>
        <v/>
      </c>
      <c r="U121" s="75"/>
      <c r="V121" s="76"/>
      <c r="W121" s="76"/>
      <c r="X121" s="76"/>
      <c r="Y121" s="76"/>
      <c r="Z121" s="76"/>
      <c r="AA121" s="79" t="str">
        <f aca="false">IF(B121="","",IF($U121="NON",0,IF(COUNT(V121:Z121)=0,"",SUM(V121:Z121))))</f>
        <v/>
      </c>
      <c r="AB121" s="77" t="str">
        <f aca="false">IF(B121="","",IF($U121="NON",0,IF(COUNT(V121:Z121)=0,"",IFERROR(ROUND(SUM(V121:Z121)/SUMPRODUCT(ISNUMBER(V121:Z121)*$V$8:$Z$8)*20,2),""))))</f>
        <v/>
      </c>
      <c r="AC121" s="75"/>
      <c r="AD121" s="76"/>
      <c r="AE121" s="76"/>
      <c r="AF121" s="76"/>
      <c r="AG121" s="76"/>
      <c r="AH121" s="76"/>
      <c r="AI121" s="79" t="str">
        <f aca="false">IF(B121="","",IF($AC121="NON",0,IF(COUNT(AD121:AH121)=0,"",SUM(AD121:AH121))))</f>
        <v/>
      </c>
      <c r="AJ121" s="77" t="str">
        <f aca="false">IF(B121="","",IF($AC121="NON",0,IF(COUNT(AD121:AH121)=0,"",IFERROR(ROUND(SUM(AD121:AH121)/SUMPRODUCT(ISNUMBER(AD121:AH121)*$AD$8:$AH$8)*20,2),""))))</f>
        <v/>
      </c>
      <c r="AK121" s="51" t="str">
        <f aca="false">IFERROR(MATCH("CM2-112",'REGISTRE ELEVES'!$AI$10:$AI$250,0),"")</f>
        <v/>
      </c>
    </row>
    <row r="122" customFormat="false" ht="15" hidden="false" customHeight="false" outlineLevel="0" collapsed="false">
      <c r="A122" s="73" t="str">
        <f aca="false">IF(B122="","",113)</f>
        <v/>
      </c>
      <c r="B122" s="73" t="str">
        <f aca="false">IF($AK122="","",INDEX('REGISTRE ELEVES'!$B$10:$B$250,$AK122))</f>
        <v/>
      </c>
      <c r="C122" s="74" t="str">
        <f aca="false">IF($AK122="","",INDEX('REGISTRE ELEVES'!$D$10:$D$250,$AK122))</f>
        <v/>
      </c>
      <c r="D122" s="73" t="str">
        <f aca="false">IF($AK122="","",INDEX('REGISTRE ELEVES'!$E$10:$E$250,$AK122))</f>
        <v/>
      </c>
      <c r="E122" s="73" t="str">
        <f aca="false">IF($AK122="","",INDEX('REGISTRE ELEVES'!$F$10:$F$250,$AK122))</f>
        <v/>
      </c>
      <c r="F122" s="73" t="str">
        <f aca="false">IF($AK122="","",INDEX('REGISTRE ELEVES'!$AE$10:$AE$250,$AK122))</f>
        <v/>
      </c>
      <c r="G122" s="75"/>
      <c r="H122" s="76"/>
      <c r="I122" s="76"/>
      <c r="J122" s="76"/>
      <c r="K122" s="76"/>
      <c r="L122" s="79" t="str">
        <f aca="false">IF(B122="","",IF($G122="NON",0,IF(COUNT(H122:K122)=0,"",SUM(H122:K122))))</f>
        <v/>
      </c>
      <c r="M122" s="77" t="str">
        <f aca="false">IF(B122="","",IF($G122="NON",0,IF(COUNT(H122:K122)=0,"",IFERROR(ROUND(SUM(H122:K122)/SUMPRODUCT(ISNUMBER(H122:K122)*$H$8:$K$8)*20,2),""))))</f>
        <v/>
      </c>
      <c r="N122" s="75"/>
      <c r="O122" s="76"/>
      <c r="P122" s="76"/>
      <c r="Q122" s="76"/>
      <c r="R122" s="76"/>
      <c r="S122" s="79" t="str">
        <f aca="false">IF(B122="","",IF($N122="NON",0,IF(COUNT(O122:R122)=0,"",SUM(O122:R122))))</f>
        <v/>
      </c>
      <c r="T122" s="77" t="str">
        <f aca="false">IF(B122="","",IF($N122="NON",0,IF(COUNT(O122:R122)=0,"",IFERROR(ROUND(SUM(O122:R122)/SUMPRODUCT(ISNUMBER(O122:R122)*$O$8:$R$8)*20,2),""))))</f>
        <v/>
      </c>
      <c r="U122" s="75"/>
      <c r="V122" s="76"/>
      <c r="W122" s="76"/>
      <c r="X122" s="76"/>
      <c r="Y122" s="76"/>
      <c r="Z122" s="76"/>
      <c r="AA122" s="79" t="str">
        <f aca="false">IF(B122="","",IF($U122="NON",0,IF(COUNT(V122:Z122)=0,"",SUM(V122:Z122))))</f>
        <v/>
      </c>
      <c r="AB122" s="77" t="str">
        <f aca="false">IF(B122="","",IF($U122="NON",0,IF(COUNT(V122:Z122)=0,"",IFERROR(ROUND(SUM(V122:Z122)/SUMPRODUCT(ISNUMBER(V122:Z122)*$V$8:$Z$8)*20,2),""))))</f>
        <v/>
      </c>
      <c r="AC122" s="75"/>
      <c r="AD122" s="76"/>
      <c r="AE122" s="76"/>
      <c r="AF122" s="76"/>
      <c r="AG122" s="76"/>
      <c r="AH122" s="76"/>
      <c r="AI122" s="79" t="str">
        <f aca="false">IF(B122="","",IF($AC122="NON",0,IF(COUNT(AD122:AH122)=0,"",SUM(AD122:AH122))))</f>
        <v/>
      </c>
      <c r="AJ122" s="77" t="str">
        <f aca="false">IF(B122="","",IF($AC122="NON",0,IF(COUNT(AD122:AH122)=0,"",IFERROR(ROUND(SUM(AD122:AH122)/SUMPRODUCT(ISNUMBER(AD122:AH122)*$AD$8:$AH$8)*20,2),""))))</f>
        <v/>
      </c>
      <c r="AK122" s="51" t="str">
        <f aca="false">IFERROR(MATCH("CM2-113",'REGISTRE ELEVES'!$AI$10:$AI$250,0),"")</f>
        <v/>
      </c>
    </row>
    <row r="123" customFormat="false" ht="15" hidden="false" customHeight="false" outlineLevel="0" collapsed="false">
      <c r="A123" s="73" t="str">
        <f aca="false">IF(B123="","",114)</f>
        <v/>
      </c>
      <c r="B123" s="73" t="str">
        <f aca="false">IF($AK123="","",INDEX('REGISTRE ELEVES'!$B$10:$B$250,$AK123))</f>
        <v/>
      </c>
      <c r="C123" s="74" t="str">
        <f aca="false">IF($AK123="","",INDEX('REGISTRE ELEVES'!$D$10:$D$250,$AK123))</f>
        <v/>
      </c>
      <c r="D123" s="73" t="str">
        <f aca="false">IF($AK123="","",INDEX('REGISTRE ELEVES'!$E$10:$E$250,$AK123))</f>
        <v/>
      </c>
      <c r="E123" s="73" t="str">
        <f aca="false">IF($AK123="","",INDEX('REGISTRE ELEVES'!$F$10:$F$250,$AK123))</f>
        <v/>
      </c>
      <c r="F123" s="73" t="str">
        <f aca="false">IF($AK123="","",INDEX('REGISTRE ELEVES'!$AE$10:$AE$250,$AK123))</f>
        <v/>
      </c>
      <c r="G123" s="75"/>
      <c r="H123" s="76"/>
      <c r="I123" s="76"/>
      <c r="J123" s="76"/>
      <c r="K123" s="76"/>
      <c r="L123" s="79" t="str">
        <f aca="false">IF(B123="","",IF($G123="NON",0,IF(COUNT(H123:K123)=0,"",SUM(H123:K123))))</f>
        <v/>
      </c>
      <c r="M123" s="77" t="str">
        <f aca="false">IF(B123="","",IF($G123="NON",0,IF(COUNT(H123:K123)=0,"",IFERROR(ROUND(SUM(H123:K123)/SUMPRODUCT(ISNUMBER(H123:K123)*$H$8:$K$8)*20,2),""))))</f>
        <v/>
      </c>
      <c r="N123" s="75"/>
      <c r="O123" s="76"/>
      <c r="P123" s="76"/>
      <c r="Q123" s="76"/>
      <c r="R123" s="76"/>
      <c r="S123" s="79" t="str">
        <f aca="false">IF(B123="","",IF($N123="NON",0,IF(COUNT(O123:R123)=0,"",SUM(O123:R123))))</f>
        <v/>
      </c>
      <c r="T123" s="77" t="str">
        <f aca="false">IF(B123="","",IF($N123="NON",0,IF(COUNT(O123:R123)=0,"",IFERROR(ROUND(SUM(O123:R123)/SUMPRODUCT(ISNUMBER(O123:R123)*$O$8:$R$8)*20,2),""))))</f>
        <v/>
      </c>
      <c r="U123" s="75"/>
      <c r="V123" s="76"/>
      <c r="W123" s="76"/>
      <c r="X123" s="76"/>
      <c r="Y123" s="76"/>
      <c r="Z123" s="76"/>
      <c r="AA123" s="79" t="str">
        <f aca="false">IF(B123="","",IF($U123="NON",0,IF(COUNT(V123:Z123)=0,"",SUM(V123:Z123))))</f>
        <v/>
      </c>
      <c r="AB123" s="77" t="str">
        <f aca="false">IF(B123="","",IF($U123="NON",0,IF(COUNT(V123:Z123)=0,"",IFERROR(ROUND(SUM(V123:Z123)/SUMPRODUCT(ISNUMBER(V123:Z123)*$V$8:$Z$8)*20,2),""))))</f>
        <v/>
      </c>
      <c r="AC123" s="75"/>
      <c r="AD123" s="76"/>
      <c r="AE123" s="76"/>
      <c r="AF123" s="76"/>
      <c r="AG123" s="76"/>
      <c r="AH123" s="76"/>
      <c r="AI123" s="79" t="str">
        <f aca="false">IF(B123="","",IF($AC123="NON",0,IF(COUNT(AD123:AH123)=0,"",SUM(AD123:AH123))))</f>
        <v/>
      </c>
      <c r="AJ123" s="77" t="str">
        <f aca="false">IF(B123="","",IF($AC123="NON",0,IF(COUNT(AD123:AH123)=0,"",IFERROR(ROUND(SUM(AD123:AH123)/SUMPRODUCT(ISNUMBER(AD123:AH123)*$AD$8:$AH$8)*20,2),""))))</f>
        <v/>
      </c>
      <c r="AK123" s="51" t="str">
        <f aca="false">IFERROR(MATCH("CM2-114",'REGISTRE ELEVES'!$AI$10:$AI$250,0),"")</f>
        <v/>
      </c>
    </row>
    <row r="124" customFormat="false" ht="15" hidden="false" customHeight="false" outlineLevel="0" collapsed="false">
      <c r="A124" s="73" t="str">
        <f aca="false">IF(B124="","",115)</f>
        <v/>
      </c>
      <c r="B124" s="73" t="str">
        <f aca="false">IF($AK124="","",INDEX('REGISTRE ELEVES'!$B$10:$B$250,$AK124))</f>
        <v/>
      </c>
      <c r="C124" s="74" t="str">
        <f aca="false">IF($AK124="","",INDEX('REGISTRE ELEVES'!$D$10:$D$250,$AK124))</f>
        <v/>
      </c>
      <c r="D124" s="73" t="str">
        <f aca="false">IF($AK124="","",INDEX('REGISTRE ELEVES'!$E$10:$E$250,$AK124))</f>
        <v/>
      </c>
      <c r="E124" s="73" t="str">
        <f aca="false">IF($AK124="","",INDEX('REGISTRE ELEVES'!$F$10:$F$250,$AK124))</f>
        <v/>
      </c>
      <c r="F124" s="73" t="str">
        <f aca="false">IF($AK124="","",INDEX('REGISTRE ELEVES'!$AE$10:$AE$250,$AK124))</f>
        <v/>
      </c>
      <c r="G124" s="75"/>
      <c r="H124" s="76"/>
      <c r="I124" s="76"/>
      <c r="J124" s="76"/>
      <c r="K124" s="76"/>
      <c r="L124" s="79" t="str">
        <f aca="false">IF(B124="","",IF($G124="NON",0,IF(COUNT(H124:K124)=0,"",SUM(H124:K124))))</f>
        <v/>
      </c>
      <c r="M124" s="77" t="str">
        <f aca="false">IF(B124="","",IF($G124="NON",0,IF(COUNT(H124:K124)=0,"",IFERROR(ROUND(SUM(H124:K124)/SUMPRODUCT(ISNUMBER(H124:K124)*$H$8:$K$8)*20,2),""))))</f>
        <v/>
      </c>
      <c r="N124" s="75"/>
      <c r="O124" s="76"/>
      <c r="P124" s="76"/>
      <c r="Q124" s="76"/>
      <c r="R124" s="76"/>
      <c r="S124" s="79" t="str">
        <f aca="false">IF(B124="","",IF($N124="NON",0,IF(COUNT(O124:R124)=0,"",SUM(O124:R124))))</f>
        <v/>
      </c>
      <c r="T124" s="77" t="str">
        <f aca="false">IF(B124="","",IF($N124="NON",0,IF(COUNT(O124:R124)=0,"",IFERROR(ROUND(SUM(O124:R124)/SUMPRODUCT(ISNUMBER(O124:R124)*$O$8:$R$8)*20,2),""))))</f>
        <v/>
      </c>
      <c r="U124" s="75"/>
      <c r="V124" s="76"/>
      <c r="W124" s="76"/>
      <c r="X124" s="76"/>
      <c r="Y124" s="76"/>
      <c r="Z124" s="76"/>
      <c r="AA124" s="79" t="str">
        <f aca="false">IF(B124="","",IF($U124="NON",0,IF(COUNT(V124:Z124)=0,"",SUM(V124:Z124))))</f>
        <v/>
      </c>
      <c r="AB124" s="77" t="str">
        <f aca="false">IF(B124="","",IF($U124="NON",0,IF(COUNT(V124:Z124)=0,"",IFERROR(ROUND(SUM(V124:Z124)/SUMPRODUCT(ISNUMBER(V124:Z124)*$V$8:$Z$8)*20,2),""))))</f>
        <v/>
      </c>
      <c r="AC124" s="75"/>
      <c r="AD124" s="76"/>
      <c r="AE124" s="76"/>
      <c r="AF124" s="76"/>
      <c r="AG124" s="76"/>
      <c r="AH124" s="76"/>
      <c r="AI124" s="79" t="str">
        <f aca="false">IF(B124="","",IF($AC124="NON",0,IF(COUNT(AD124:AH124)=0,"",SUM(AD124:AH124))))</f>
        <v/>
      </c>
      <c r="AJ124" s="77" t="str">
        <f aca="false">IF(B124="","",IF($AC124="NON",0,IF(COUNT(AD124:AH124)=0,"",IFERROR(ROUND(SUM(AD124:AH124)/SUMPRODUCT(ISNUMBER(AD124:AH124)*$AD$8:$AH$8)*20,2),""))))</f>
        <v/>
      </c>
      <c r="AK124" s="51" t="str">
        <f aca="false">IFERROR(MATCH("CM2-115",'REGISTRE ELEVES'!$AI$10:$AI$250,0),"")</f>
        <v/>
      </c>
    </row>
    <row r="125" customFormat="false" ht="15" hidden="false" customHeight="false" outlineLevel="0" collapsed="false">
      <c r="A125" s="73" t="str">
        <f aca="false">IF(B125="","",116)</f>
        <v/>
      </c>
      <c r="B125" s="73" t="str">
        <f aca="false">IF($AK125="","",INDEX('REGISTRE ELEVES'!$B$10:$B$250,$AK125))</f>
        <v/>
      </c>
      <c r="C125" s="74" t="str">
        <f aca="false">IF($AK125="","",INDEX('REGISTRE ELEVES'!$D$10:$D$250,$AK125))</f>
        <v/>
      </c>
      <c r="D125" s="73" t="str">
        <f aca="false">IF($AK125="","",INDEX('REGISTRE ELEVES'!$E$10:$E$250,$AK125))</f>
        <v/>
      </c>
      <c r="E125" s="73" t="str">
        <f aca="false">IF($AK125="","",INDEX('REGISTRE ELEVES'!$F$10:$F$250,$AK125))</f>
        <v/>
      </c>
      <c r="F125" s="73" t="str">
        <f aca="false">IF($AK125="","",INDEX('REGISTRE ELEVES'!$AE$10:$AE$250,$AK125))</f>
        <v/>
      </c>
      <c r="G125" s="75"/>
      <c r="H125" s="76"/>
      <c r="I125" s="76"/>
      <c r="J125" s="76"/>
      <c r="K125" s="76"/>
      <c r="L125" s="79" t="str">
        <f aca="false">IF(B125="","",IF($G125="NON",0,IF(COUNT(H125:K125)=0,"",SUM(H125:K125))))</f>
        <v/>
      </c>
      <c r="M125" s="77" t="str">
        <f aca="false">IF(B125="","",IF($G125="NON",0,IF(COUNT(H125:K125)=0,"",IFERROR(ROUND(SUM(H125:K125)/SUMPRODUCT(ISNUMBER(H125:K125)*$H$8:$K$8)*20,2),""))))</f>
        <v/>
      </c>
      <c r="N125" s="75"/>
      <c r="O125" s="76"/>
      <c r="P125" s="76"/>
      <c r="Q125" s="76"/>
      <c r="R125" s="76"/>
      <c r="S125" s="79" t="str">
        <f aca="false">IF(B125="","",IF($N125="NON",0,IF(COUNT(O125:R125)=0,"",SUM(O125:R125))))</f>
        <v/>
      </c>
      <c r="T125" s="77" t="str">
        <f aca="false">IF(B125="","",IF($N125="NON",0,IF(COUNT(O125:R125)=0,"",IFERROR(ROUND(SUM(O125:R125)/SUMPRODUCT(ISNUMBER(O125:R125)*$O$8:$R$8)*20,2),""))))</f>
        <v/>
      </c>
      <c r="U125" s="75"/>
      <c r="V125" s="76"/>
      <c r="W125" s="76"/>
      <c r="X125" s="76"/>
      <c r="Y125" s="76"/>
      <c r="Z125" s="76"/>
      <c r="AA125" s="79" t="str">
        <f aca="false">IF(B125="","",IF($U125="NON",0,IF(COUNT(V125:Z125)=0,"",SUM(V125:Z125))))</f>
        <v/>
      </c>
      <c r="AB125" s="77" t="str">
        <f aca="false">IF(B125="","",IF($U125="NON",0,IF(COUNT(V125:Z125)=0,"",IFERROR(ROUND(SUM(V125:Z125)/SUMPRODUCT(ISNUMBER(V125:Z125)*$V$8:$Z$8)*20,2),""))))</f>
        <v/>
      </c>
      <c r="AC125" s="75"/>
      <c r="AD125" s="76"/>
      <c r="AE125" s="76"/>
      <c r="AF125" s="76"/>
      <c r="AG125" s="76"/>
      <c r="AH125" s="76"/>
      <c r="AI125" s="79" t="str">
        <f aca="false">IF(B125="","",IF($AC125="NON",0,IF(COUNT(AD125:AH125)=0,"",SUM(AD125:AH125))))</f>
        <v/>
      </c>
      <c r="AJ125" s="77" t="str">
        <f aca="false">IF(B125="","",IF($AC125="NON",0,IF(COUNT(AD125:AH125)=0,"",IFERROR(ROUND(SUM(AD125:AH125)/SUMPRODUCT(ISNUMBER(AD125:AH125)*$AD$8:$AH$8)*20,2),""))))</f>
        <v/>
      </c>
      <c r="AK125" s="51" t="str">
        <f aca="false">IFERROR(MATCH("CM2-116",'REGISTRE ELEVES'!$AI$10:$AI$250,0),"")</f>
        <v/>
      </c>
    </row>
    <row r="126" customFormat="false" ht="15" hidden="false" customHeight="false" outlineLevel="0" collapsed="false">
      <c r="A126" s="73" t="str">
        <f aca="false">IF(B126="","",117)</f>
        <v/>
      </c>
      <c r="B126" s="73" t="str">
        <f aca="false">IF($AK126="","",INDEX('REGISTRE ELEVES'!$B$10:$B$250,$AK126))</f>
        <v/>
      </c>
      <c r="C126" s="74" t="str">
        <f aca="false">IF($AK126="","",INDEX('REGISTRE ELEVES'!$D$10:$D$250,$AK126))</f>
        <v/>
      </c>
      <c r="D126" s="73" t="str">
        <f aca="false">IF($AK126="","",INDEX('REGISTRE ELEVES'!$E$10:$E$250,$AK126))</f>
        <v/>
      </c>
      <c r="E126" s="73" t="str">
        <f aca="false">IF($AK126="","",INDEX('REGISTRE ELEVES'!$F$10:$F$250,$AK126))</f>
        <v/>
      </c>
      <c r="F126" s="73" t="str">
        <f aca="false">IF($AK126="","",INDEX('REGISTRE ELEVES'!$AE$10:$AE$250,$AK126))</f>
        <v/>
      </c>
      <c r="G126" s="75"/>
      <c r="H126" s="76"/>
      <c r="I126" s="76"/>
      <c r="J126" s="76"/>
      <c r="K126" s="76"/>
      <c r="L126" s="79" t="str">
        <f aca="false">IF(B126="","",IF($G126="NON",0,IF(COUNT(H126:K126)=0,"",SUM(H126:K126))))</f>
        <v/>
      </c>
      <c r="M126" s="77" t="str">
        <f aca="false">IF(B126="","",IF($G126="NON",0,IF(COUNT(H126:K126)=0,"",IFERROR(ROUND(SUM(H126:K126)/SUMPRODUCT(ISNUMBER(H126:K126)*$H$8:$K$8)*20,2),""))))</f>
        <v/>
      </c>
      <c r="N126" s="75"/>
      <c r="O126" s="76"/>
      <c r="P126" s="76"/>
      <c r="Q126" s="76"/>
      <c r="R126" s="76"/>
      <c r="S126" s="79" t="str">
        <f aca="false">IF(B126="","",IF($N126="NON",0,IF(COUNT(O126:R126)=0,"",SUM(O126:R126))))</f>
        <v/>
      </c>
      <c r="T126" s="77" t="str">
        <f aca="false">IF(B126="","",IF($N126="NON",0,IF(COUNT(O126:R126)=0,"",IFERROR(ROUND(SUM(O126:R126)/SUMPRODUCT(ISNUMBER(O126:R126)*$O$8:$R$8)*20,2),""))))</f>
        <v/>
      </c>
      <c r="U126" s="75"/>
      <c r="V126" s="76"/>
      <c r="W126" s="76"/>
      <c r="X126" s="76"/>
      <c r="Y126" s="76"/>
      <c r="Z126" s="76"/>
      <c r="AA126" s="79" t="str">
        <f aca="false">IF(B126="","",IF($U126="NON",0,IF(COUNT(V126:Z126)=0,"",SUM(V126:Z126))))</f>
        <v/>
      </c>
      <c r="AB126" s="77" t="str">
        <f aca="false">IF(B126="","",IF($U126="NON",0,IF(COUNT(V126:Z126)=0,"",IFERROR(ROUND(SUM(V126:Z126)/SUMPRODUCT(ISNUMBER(V126:Z126)*$V$8:$Z$8)*20,2),""))))</f>
        <v/>
      </c>
      <c r="AC126" s="75"/>
      <c r="AD126" s="76"/>
      <c r="AE126" s="76"/>
      <c r="AF126" s="76"/>
      <c r="AG126" s="76"/>
      <c r="AH126" s="76"/>
      <c r="AI126" s="79" t="str">
        <f aca="false">IF(B126="","",IF($AC126="NON",0,IF(COUNT(AD126:AH126)=0,"",SUM(AD126:AH126))))</f>
        <v/>
      </c>
      <c r="AJ126" s="77" t="str">
        <f aca="false">IF(B126="","",IF($AC126="NON",0,IF(COUNT(AD126:AH126)=0,"",IFERROR(ROUND(SUM(AD126:AH126)/SUMPRODUCT(ISNUMBER(AD126:AH126)*$AD$8:$AH$8)*20,2),""))))</f>
        <v/>
      </c>
      <c r="AK126" s="51" t="str">
        <f aca="false">IFERROR(MATCH("CM2-117",'REGISTRE ELEVES'!$AI$10:$AI$250,0),"")</f>
        <v/>
      </c>
    </row>
    <row r="127" customFormat="false" ht="15" hidden="false" customHeight="false" outlineLevel="0" collapsed="false">
      <c r="A127" s="73" t="str">
        <f aca="false">IF(B127="","",118)</f>
        <v/>
      </c>
      <c r="B127" s="73" t="str">
        <f aca="false">IF($AK127="","",INDEX('REGISTRE ELEVES'!$B$10:$B$250,$AK127))</f>
        <v/>
      </c>
      <c r="C127" s="74" t="str">
        <f aca="false">IF($AK127="","",INDEX('REGISTRE ELEVES'!$D$10:$D$250,$AK127))</f>
        <v/>
      </c>
      <c r="D127" s="73" t="str">
        <f aca="false">IF($AK127="","",INDEX('REGISTRE ELEVES'!$E$10:$E$250,$AK127))</f>
        <v/>
      </c>
      <c r="E127" s="73" t="str">
        <f aca="false">IF($AK127="","",INDEX('REGISTRE ELEVES'!$F$10:$F$250,$AK127))</f>
        <v/>
      </c>
      <c r="F127" s="73" t="str">
        <f aca="false">IF($AK127="","",INDEX('REGISTRE ELEVES'!$AE$10:$AE$250,$AK127))</f>
        <v/>
      </c>
      <c r="G127" s="75"/>
      <c r="H127" s="76"/>
      <c r="I127" s="76"/>
      <c r="J127" s="76"/>
      <c r="K127" s="76"/>
      <c r="L127" s="79" t="str">
        <f aca="false">IF(B127="","",IF($G127="NON",0,IF(COUNT(H127:K127)=0,"",SUM(H127:K127))))</f>
        <v/>
      </c>
      <c r="M127" s="77" t="str">
        <f aca="false">IF(B127="","",IF($G127="NON",0,IF(COUNT(H127:K127)=0,"",IFERROR(ROUND(SUM(H127:K127)/SUMPRODUCT(ISNUMBER(H127:K127)*$H$8:$K$8)*20,2),""))))</f>
        <v/>
      </c>
      <c r="N127" s="75"/>
      <c r="O127" s="76"/>
      <c r="P127" s="76"/>
      <c r="Q127" s="76"/>
      <c r="R127" s="76"/>
      <c r="S127" s="79" t="str">
        <f aca="false">IF(B127="","",IF($N127="NON",0,IF(COUNT(O127:R127)=0,"",SUM(O127:R127))))</f>
        <v/>
      </c>
      <c r="T127" s="77" t="str">
        <f aca="false">IF(B127="","",IF($N127="NON",0,IF(COUNT(O127:R127)=0,"",IFERROR(ROUND(SUM(O127:R127)/SUMPRODUCT(ISNUMBER(O127:R127)*$O$8:$R$8)*20,2),""))))</f>
        <v/>
      </c>
      <c r="U127" s="75"/>
      <c r="V127" s="76"/>
      <c r="W127" s="76"/>
      <c r="X127" s="76"/>
      <c r="Y127" s="76"/>
      <c r="Z127" s="76"/>
      <c r="AA127" s="79" t="str">
        <f aca="false">IF(B127="","",IF($U127="NON",0,IF(COUNT(V127:Z127)=0,"",SUM(V127:Z127))))</f>
        <v/>
      </c>
      <c r="AB127" s="77" t="str">
        <f aca="false">IF(B127="","",IF($U127="NON",0,IF(COUNT(V127:Z127)=0,"",IFERROR(ROUND(SUM(V127:Z127)/SUMPRODUCT(ISNUMBER(V127:Z127)*$V$8:$Z$8)*20,2),""))))</f>
        <v/>
      </c>
      <c r="AC127" s="75"/>
      <c r="AD127" s="76"/>
      <c r="AE127" s="76"/>
      <c r="AF127" s="76"/>
      <c r="AG127" s="76"/>
      <c r="AH127" s="76"/>
      <c r="AI127" s="79" t="str">
        <f aca="false">IF(B127="","",IF($AC127="NON",0,IF(COUNT(AD127:AH127)=0,"",SUM(AD127:AH127))))</f>
        <v/>
      </c>
      <c r="AJ127" s="77" t="str">
        <f aca="false">IF(B127="","",IF($AC127="NON",0,IF(COUNT(AD127:AH127)=0,"",IFERROR(ROUND(SUM(AD127:AH127)/SUMPRODUCT(ISNUMBER(AD127:AH127)*$AD$8:$AH$8)*20,2),""))))</f>
        <v/>
      </c>
      <c r="AK127" s="51" t="str">
        <f aca="false">IFERROR(MATCH("CM2-118",'REGISTRE ELEVES'!$AI$10:$AI$250,0),"")</f>
        <v/>
      </c>
    </row>
    <row r="128" customFormat="false" ht="15" hidden="false" customHeight="false" outlineLevel="0" collapsed="false">
      <c r="A128" s="73" t="str">
        <f aca="false">IF(B128="","",119)</f>
        <v/>
      </c>
      <c r="B128" s="73" t="str">
        <f aca="false">IF($AK128="","",INDEX('REGISTRE ELEVES'!$B$10:$B$250,$AK128))</f>
        <v/>
      </c>
      <c r="C128" s="74" t="str">
        <f aca="false">IF($AK128="","",INDEX('REGISTRE ELEVES'!$D$10:$D$250,$AK128))</f>
        <v/>
      </c>
      <c r="D128" s="73" t="str">
        <f aca="false">IF($AK128="","",INDEX('REGISTRE ELEVES'!$E$10:$E$250,$AK128))</f>
        <v/>
      </c>
      <c r="E128" s="73" t="str">
        <f aca="false">IF($AK128="","",INDEX('REGISTRE ELEVES'!$F$10:$F$250,$AK128))</f>
        <v/>
      </c>
      <c r="F128" s="73" t="str">
        <f aca="false">IF($AK128="","",INDEX('REGISTRE ELEVES'!$AE$10:$AE$250,$AK128))</f>
        <v/>
      </c>
      <c r="G128" s="75"/>
      <c r="H128" s="76"/>
      <c r="I128" s="76"/>
      <c r="J128" s="76"/>
      <c r="K128" s="76"/>
      <c r="L128" s="79" t="str">
        <f aca="false">IF(B128="","",IF($G128="NON",0,IF(COUNT(H128:K128)=0,"",SUM(H128:K128))))</f>
        <v/>
      </c>
      <c r="M128" s="77" t="str">
        <f aca="false">IF(B128="","",IF($G128="NON",0,IF(COUNT(H128:K128)=0,"",IFERROR(ROUND(SUM(H128:K128)/SUMPRODUCT(ISNUMBER(H128:K128)*$H$8:$K$8)*20,2),""))))</f>
        <v/>
      </c>
      <c r="N128" s="75"/>
      <c r="O128" s="76"/>
      <c r="P128" s="76"/>
      <c r="Q128" s="76"/>
      <c r="R128" s="76"/>
      <c r="S128" s="79" t="str">
        <f aca="false">IF(B128="","",IF($N128="NON",0,IF(COUNT(O128:R128)=0,"",SUM(O128:R128))))</f>
        <v/>
      </c>
      <c r="T128" s="77" t="str">
        <f aca="false">IF(B128="","",IF($N128="NON",0,IF(COUNT(O128:R128)=0,"",IFERROR(ROUND(SUM(O128:R128)/SUMPRODUCT(ISNUMBER(O128:R128)*$O$8:$R$8)*20,2),""))))</f>
        <v/>
      </c>
      <c r="U128" s="75"/>
      <c r="V128" s="76"/>
      <c r="W128" s="76"/>
      <c r="X128" s="76"/>
      <c r="Y128" s="76"/>
      <c r="Z128" s="76"/>
      <c r="AA128" s="79" t="str">
        <f aca="false">IF(B128="","",IF($U128="NON",0,IF(COUNT(V128:Z128)=0,"",SUM(V128:Z128))))</f>
        <v/>
      </c>
      <c r="AB128" s="77" t="str">
        <f aca="false">IF(B128="","",IF($U128="NON",0,IF(COUNT(V128:Z128)=0,"",IFERROR(ROUND(SUM(V128:Z128)/SUMPRODUCT(ISNUMBER(V128:Z128)*$V$8:$Z$8)*20,2),""))))</f>
        <v/>
      </c>
      <c r="AC128" s="75"/>
      <c r="AD128" s="76"/>
      <c r="AE128" s="76"/>
      <c r="AF128" s="76"/>
      <c r="AG128" s="76"/>
      <c r="AH128" s="76"/>
      <c r="AI128" s="79" t="str">
        <f aca="false">IF(B128="","",IF($AC128="NON",0,IF(COUNT(AD128:AH128)=0,"",SUM(AD128:AH128))))</f>
        <v/>
      </c>
      <c r="AJ128" s="77" t="str">
        <f aca="false">IF(B128="","",IF($AC128="NON",0,IF(COUNT(AD128:AH128)=0,"",IFERROR(ROUND(SUM(AD128:AH128)/SUMPRODUCT(ISNUMBER(AD128:AH128)*$AD$8:$AH$8)*20,2),""))))</f>
        <v/>
      </c>
      <c r="AK128" s="51" t="str">
        <f aca="false">IFERROR(MATCH("CM2-119",'REGISTRE ELEVES'!$AI$10:$AI$250,0),"")</f>
        <v/>
      </c>
    </row>
    <row r="129" customFormat="false" ht="15" hidden="false" customHeight="false" outlineLevel="0" collapsed="false">
      <c r="A129" s="73" t="str">
        <f aca="false">IF(B129="","",120)</f>
        <v/>
      </c>
      <c r="B129" s="73" t="str">
        <f aca="false">IF($AK129="","",INDEX('REGISTRE ELEVES'!$B$10:$B$250,$AK129))</f>
        <v/>
      </c>
      <c r="C129" s="74" t="str">
        <f aca="false">IF($AK129="","",INDEX('REGISTRE ELEVES'!$D$10:$D$250,$AK129))</f>
        <v/>
      </c>
      <c r="D129" s="73" t="str">
        <f aca="false">IF($AK129="","",INDEX('REGISTRE ELEVES'!$E$10:$E$250,$AK129))</f>
        <v/>
      </c>
      <c r="E129" s="73" t="str">
        <f aca="false">IF($AK129="","",INDEX('REGISTRE ELEVES'!$F$10:$F$250,$AK129))</f>
        <v/>
      </c>
      <c r="F129" s="73" t="str">
        <f aca="false">IF($AK129="","",INDEX('REGISTRE ELEVES'!$AE$10:$AE$250,$AK129))</f>
        <v/>
      </c>
      <c r="G129" s="75"/>
      <c r="H129" s="76"/>
      <c r="I129" s="76"/>
      <c r="J129" s="76"/>
      <c r="K129" s="76"/>
      <c r="L129" s="79" t="str">
        <f aca="false">IF(B129="","",IF($G129="NON",0,IF(COUNT(H129:K129)=0,"",SUM(H129:K129))))</f>
        <v/>
      </c>
      <c r="M129" s="77" t="str">
        <f aca="false">IF(B129="","",IF($G129="NON",0,IF(COUNT(H129:K129)=0,"",IFERROR(ROUND(SUM(H129:K129)/SUMPRODUCT(ISNUMBER(H129:K129)*$H$8:$K$8)*20,2),""))))</f>
        <v/>
      </c>
      <c r="N129" s="75"/>
      <c r="O129" s="76"/>
      <c r="P129" s="76"/>
      <c r="Q129" s="76"/>
      <c r="R129" s="76"/>
      <c r="S129" s="79" t="str">
        <f aca="false">IF(B129="","",IF($N129="NON",0,IF(COUNT(O129:R129)=0,"",SUM(O129:R129))))</f>
        <v/>
      </c>
      <c r="T129" s="77" t="str">
        <f aca="false">IF(B129="","",IF($N129="NON",0,IF(COUNT(O129:R129)=0,"",IFERROR(ROUND(SUM(O129:R129)/SUMPRODUCT(ISNUMBER(O129:R129)*$O$8:$R$8)*20,2),""))))</f>
        <v/>
      </c>
      <c r="U129" s="75"/>
      <c r="V129" s="76"/>
      <c r="W129" s="76"/>
      <c r="X129" s="76"/>
      <c r="Y129" s="76"/>
      <c r="Z129" s="76"/>
      <c r="AA129" s="79" t="str">
        <f aca="false">IF(B129="","",IF($U129="NON",0,IF(COUNT(V129:Z129)=0,"",SUM(V129:Z129))))</f>
        <v/>
      </c>
      <c r="AB129" s="77" t="str">
        <f aca="false">IF(B129="","",IF($U129="NON",0,IF(COUNT(V129:Z129)=0,"",IFERROR(ROUND(SUM(V129:Z129)/SUMPRODUCT(ISNUMBER(V129:Z129)*$V$8:$Z$8)*20,2),""))))</f>
        <v/>
      </c>
      <c r="AC129" s="75"/>
      <c r="AD129" s="76"/>
      <c r="AE129" s="76"/>
      <c r="AF129" s="76"/>
      <c r="AG129" s="76"/>
      <c r="AH129" s="76"/>
      <c r="AI129" s="79" t="str">
        <f aca="false">IF(B129="","",IF($AC129="NON",0,IF(COUNT(AD129:AH129)=0,"",SUM(AD129:AH129))))</f>
        <v/>
      </c>
      <c r="AJ129" s="77" t="str">
        <f aca="false">IF(B129="","",IF($AC129="NON",0,IF(COUNT(AD129:AH129)=0,"",IFERROR(ROUND(SUM(AD129:AH129)/SUMPRODUCT(ISNUMBER(AD129:AH129)*$AD$8:$AH$8)*20,2),""))))</f>
        <v/>
      </c>
      <c r="AK129" s="51" t="str">
        <f aca="false">IFERROR(MATCH("CM2-120",'REGISTRE ELEVES'!$AI$10:$AI$250,0),"")</f>
        <v/>
      </c>
    </row>
    <row r="130" customFormat="false" ht="15" hidden="false" customHeight="false" outlineLevel="0" collapsed="false">
      <c r="A130" s="73" t="str">
        <f aca="false">IF(B130="","",121)</f>
        <v/>
      </c>
      <c r="B130" s="73" t="str">
        <f aca="false">IF($AK130="","",INDEX('REGISTRE ELEVES'!$B$10:$B$250,$AK130))</f>
        <v/>
      </c>
      <c r="C130" s="74" t="str">
        <f aca="false">IF($AK130="","",INDEX('REGISTRE ELEVES'!$D$10:$D$250,$AK130))</f>
        <v/>
      </c>
      <c r="D130" s="73" t="str">
        <f aca="false">IF($AK130="","",INDEX('REGISTRE ELEVES'!$E$10:$E$250,$AK130))</f>
        <v/>
      </c>
      <c r="E130" s="73" t="str">
        <f aca="false">IF($AK130="","",INDEX('REGISTRE ELEVES'!$F$10:$F$250,$AK130))</f>
        <v/>
      </c>
      <c r="F130" s="73" t="str">
        <f aca="false">IF($AK130="","",INDEX('REGISTRE ELEVES'!$AE$10:$AE$250,$AK130))</f>
        <v/>
      </c>
      <c r="G130" s="75"/>
      <c r="H130" s="76"/>
      <c r="I130" s="76"/>
      <c r="J130" s="76"/>
      <c r="K130" s="76"/>
      <c r="L130" s="79" t="str">
        <f aca="false">IF(B130="","",IF($G130="NON",0,IF(COUNT(H130:K130)=0,"",SUM(H130:K130))))</f>
        <v/>
      </c>
      <c r="M130" s="77" t="str">
        <f aca="false">IF(B130="","",IF($G130="NON",0,IF(COUNT(H130:K130)=0,"",IFERROR(ROUND(SUM(H130:K130)/SUMPRODUCT(ISNUMBER(H130:K130)*$H$8:$K$8)*20,2),""))))</f>
        <v/>
      </c>
      <c r="N130" s="75"/>
      <c r="O130" s="76"/>
      <c r="P130" s="76"/>
      <c r="Q130" s="76"/>
      <c r="R130" s="76"/>
      <c r="S130" s="79" t="str">
        <f aca="false">IF(B130="","",IF($N130="NON",0,IF(COUNT(O130:R130)=0,"",SUM(O130:R130))))</f>
        <v/>
      </c>
      <c r="T130" s="77" t="str">
        <f aca="false">IF(B130="","",IF($N130="NON",0,IF(COUNT(O130:R130)=0,"",IFERROR(ROUND(SUM(O130:R130)/SUMPRODUCT(ISNUMBER(O130:R130)*$O$8:$R$8)*20,2),""))))</f>
        <v/>
      </c>
      <c r="U130" s="75"/>
      <c r="V130" s="76"/>
      <c r="W130" s="76"/>
      <c r="X130" s="76"/>
      <c r="Y130" s="76"/>
      <c r="Z130" s="76"/>
      <c r="AA130" s="79" t="str">
        <f aca="false">IF(B130="","",IF($U130="NON",0,IF(COUNT(V130:Z130)=0,"",SUM(V130:Z130))))</f>
        <v/>
      </c>
      <c r="AB130" s="77" t="str">
        <f aca="false">IF(B130="","",IF($U130="NON",0,IF(COUNT(V130:Z130)=0,"",IFERROR(ROUND(SUM(V130:Z130)/SUMPRODUCT(ISNUMBER(V130:Z130)*$V$8:$Z$8)*20,2),""))))</f>
        <v/>
      </c>
      <c r="AC130" s="75"/>
      <c r="AD130" s="76"/>
      <c r="AE130" s="76"/>
      <c r="AF130" s="76"/>
      <c r="AG130" s="76"/>
      <c r="AH130" s="76"/>
      <c r="AI130" s="79" t="str">
        <f aca="false">IF(B130="","",IF($AC130="NON",0,IF(COUNT(AD130:AH130)=0,"",SUM(AD130:AH130))))</f>
        <v/>
      </c>
      <c r="AJ130" s="77" t="str">
        <f aca="false">IF(B130="","",IF($AC130="NON",0,IF(COUNT(AD130:AH130)=0,"",IFERROR(ROUND(SUM(AD130:AH130)/SUMPRODUCT(ISNUMBER(AD130:AH130)*$AD$8:$AH$8)*20,2),""))))</f>
        <v/>
      </c>
      <c r="AK130" s="51" t="str">
        <f aca="false">IFERROR(MATCH("CM2-121",'REGISTRE ELEVES'!$AI$10:$AI$250,0),"")</f>
        <v/>
      </c>
    </row>
    <row r="131" customFormat="false" ht="15" hidden="false" customHeight="false" outlineLevel="0" collapsed="false">
      <c r="A131" s="73" t="str">
        <f aca="false">IF(B131="","",122)</f>
        <v/>
      </c>
      <c r="B131" s="73" t="str">
        <f aca="false">IF($AK131="","",INDEX('REGISTRE ELEVES'!$B$10:$B$250,$AK131))</f>
        <v/>
      </c>
      <c r="C131" s="74" t="str">
        <f aca="false">IF($AK131="","",INDEX('REGISTRE ELEVES'!$D$10:$D$250,$AK131))</f>
        <v/>
      </c>
      <c r="D131" s="73" t="str">
        <f aca="false">IF($AK131="","",INDEX('REGISTRE ELEVES'!$E$10:$E$250,$AK131))</f>
        <v/>
      </c>
      <c r="E131" s="73" t="str">
        <f aca="false">IF($AK131="","",INDEX('REGISTRE ELEVES'!$F$10:$F$250,$AK131))</f>
        <v/>
      </c>
      <c r="F131" s="73" t="str">
        <f aca="false">IF($AK131="","",INDEX('REGISTRE ELEVES'!$AE$10:$AE$250,$AK131))</f>
        <v/>
      </c>
      <c r="G131" s="75"/>
      <c r="H131" s="76"/>
      <c r="I131" s="76"/>
      <c r="J131" s="76"/>
      <c r="K131" s="76"/>
      <c r="L131" s="79" t="str">
        <f aca="false">IF(B131="","",IF($G131="NON",0,IF(COUNT(H131:K131)=0,"",SUM(H131:K131))))</f>
        <v/>
      </c>
      <c r="M131" s="77" t="str">
        <f aca="false">IF(B131="","",IF($G131="NON",0,IF(COUNT(H131:K131)=0,"",IFERROR(ROUND(SUM(H131:K131)/SUMPRODUCT(ISNUMBER(H131:K131)*$H$8:$K$8)*20,2),""))))</f>
        <v/>
      </c>
      <c r="N131" s="75"/>
      <c r="O131" s="76"/>
      <c r="P131" s="76"/>
      <c r="Q131" s="76"/>
      <c r="R131" s="76"/>
      <c r="S131" s="79" t="str">
        <f aca="false">IF(B131="","",IF($N131="NON",0,IF(COUNT(O131:R131)=0,"",SUM(O131:R131))))</f>
        <v/>
      </c>
      <c r="T131" s="77" t="str">
        <f aca="false">IF(B131="","",IF($N131="NON",0,IF(COUNT(O131:R131)=0,"",IFERROR(ROUND(SUM(O131:R131)/SUMPRODUCT(ISNUMBER(O131:R131)*$O$8:$R$8)*20,2),""))))</f>
        <v/>
      </c>
      <c r="U131" s="75"/>
      <c r="V131" s="76"/>
      <c r="W131" s="76"/>
      <c r="X131" s="76"/>
      <c r="Y131" s="76"/>
      <c r="Z131" s="76"/>
      <c r="AA131" s="79" t="str">
        <f aca="false">IF(B131="","",IF($U131="NON",0,IF(COUNT(V131:Z131)=0,"",SUM(V131:Z131))))</f>
        <v/>
      </c>
      <c r="AB131" s="77" t="str">
        <f aca="false">IF(B131="","",IF($U131="NON",0,IF(COUNT(V131:Z131)=0,"",IFERROR(ROUND(SUM(V131:Z131)/SUMPRODUCT(ISNUMBER(V131:Z131)*$V$8:$Z$8)*20,2),""))))</f>
        <v/>
      </c>
      <c r="AC131" s="75"/>
      <c r="AD131" s="76"/>
      <c r="AE131" s="76"/>
      <c r="AF131" s="76"/>
      <c r="AG131" s="76"/>
      <c r="AH131" s="76"/>
      <c r="AI131" s="79" t="str">
        <f aca="false">IF(B131="","",IF($AC131="NON",0,IF(COUNT(AD131:AH131)=0,"",SUM(AD131:AH131))))</f>
        <v/>
      </c>
      <c r="AJ131" s="77" t="str">
        <f aca="false">IF(B131="","",IF($AC131="NON",0,IF(COUNT(AD131:AH131)=0,"",IFERROR(ROUND(SUM(AD131:AH131)/SUMPRODUCT(ISNUMBER(AD131:AH131)*$AD$8:$AH$8)*20,2),""))))</f>
        <v/>
      </c>
      <c r="AK131" s="51" t="str">
        <f aca="false">IFERROR(MATCH("CM2-122",'REGISTRE ELEVES'!$AI$10:$AI$250,0),"")</f>
        <v/>
      </c>
    </row>
    <row r="132" customFormat="false" ht="15" hidden="false" customHeight="false" outlineLevel="0" collapsed="false">
      <c r="A132" s="73" t="str">
        <f aca="false">IF(B132="","",123)</f>
        <v/>
      </c>
      <c r="B132" s="73" t="str">
        <f aca="false">IF($AK132="","",INDEX('REGISTRE ELEVES'!$B$10:$B$250,$AK132))</f>
        <v/>
      </c>
      <c r="C132" s="74" t="str">
        <f aca="false">IF($AK132="","",INDEX('REGISTRE ELEVES'!$D$10:$D$250,$AK132))</f>
        <v/>
      </c>
      <c r="D132" s="73" t="str">
        <f aca="false">IF($AK132="","",INDEX('REGISTRE ELEVES'!$E$10:$E$250,$AK132))</f>
        <v/>
      </c>
      <c r="E132" s="73" t="str">
        <f aca="false">IF($AK132="","",INDEX('REGISTRE ELEVES'!$F$10:$F$250,$AK132))</f>
        <v/>
      </c>
      <c r="F132" s="73" t="str">
        <f aca="false">IF($AK132="","",INDEX('REGISTRE ELEVES'!$AE$10:$AE$250,$AK132))</f>
        <v/>
      </c>
      <c r="G132" s="75"/>
      <c r="H132" s="76"/>
      <c r="I132" s="76"/>
      <c r="J132" s="76"/>
      <c r="K132" s="76"/>
      <c r="L132" s="79" t="str">
        <f aca="false">IF(B132="","",IF($G132="NON",0,IF(COUNT(H132:K132)=0,"",SUM(H132:K132))))</f>
        <v/>
      </c>
      <c r="M132" s="77" t="str">
        <f aca="false">IF(B132="","",IF($G132="NON",0,IF(COUNT(H132:K132)=0,"",IFERROR(ROUND(SUM(H132:K132)/SUMPRODUCT(ISNUMBER(H132:K132)*$H$8:$K$8)*20,2),""))))</f>
        <v/>
      </c>
      <c r="N132" s="75"/>
      <c r="O132" s="76"/>
      <c r="P132" s="76"/>
      <c r="Q132" s="76"/>
      <c r="R132" s="76"/>
      <c r="S132" s="79" t="str">
        <f aca="false">IF(B132="","",IF($N132="NON",0,IF(COUNT(O132:R132)=0,"",SUM(O132:R132))))</f>
        <v/>
      </c>
      <c r="T132" s="77" t="str">
        <f aca="false">IF(B132="","",IF($N132="NON",0,IF(COUNT(O132:R132)=0,"",IFERROR(ROUND(SUM(O132:R132)/SUMPRODUCT(ISNUMBER(O132:R132)*$O$8:$R$8)*20,2),""))))</f>
        <v/>
      </c>
      <c r="U132" s="75"/>
      <c r="V132" s="76"/>
      <c r="W132" s="76"/>
      <c r="X132" s="76"/>
      <c r="Y132" s="76"/>
      <c r="Z132" s="76"/>
      <c r="AA132" s="79" t="str">
        <f aca="false">IF(B132="","",IF($U132="NON",0,IF(COUNT(V132:Z132)=0,"",SUM(V132:Z132))))</f>
        <v/>
      </c>
      <c r="AB132" s="77" t="str">
        <f aca="false">IF(B132="","",IF($U132="NON",0,IF(COUNT(V132:Z132)=0,"",IFERROR(ROUND(SUM(V132:Z132)/SUMPRODUCT(ISNUMBER(V132:Z132)*$V$8:$Z$8)*20,2),""))))</f>
        <v/>
      </c>
      <c r="AC132" s="75"/>
      <c r="AD132" s="76"/>
      <c r="AE132" s="76"/>
      <c r="AF132" s="76"/>
      <c r="AG132" s="76"/>
      <c r="AH132" s="76"/>
      <c r="AI132" s="79" t="str">
        <f aca="false">IF(B132="","",IF($AC132="NON",0,IF(COUNT(AD132:AH132)=0,"",SUM(AD132:AH132))))</f>
        <v/>
      </c>
      <c r="AJ132" s="77" t="str">
        <f aca="false">IF(B132="","",IF($AC132="NON",0,IF(COUNT(AD132:AH132)=0,"",IFERROR(ROUND(SUM(AD132:AH132)/SUMPRODUCT(ISNUMBER(AD132:AH132)*$AD$8:$AH$8)*20,2),""))))</f>
        <v/>
      </c>
      <c r="AK132" s="51" t="str">
        <f aca="false">IFERROR(MATCH("CM2-123",'REGISTRE ELEVES'!$AI$10:$AI$250,0),"")</f>
        <v/>
      </c>
    </row>
    <row r="133" customFormat="false" ht="15" hidden="false" customHeight="false" outlineLevel="0" collapsed="false">
      <c r="A133" s="73" t="str">
        <f aca="false">IF(B133="","",124)</f>
        <v/>
      </c>
      <c r="B133" s="73" t="str">
        <f aca="false">IF($AK133="","",INDEX('REGISTRE ELEVES'!$B$10:$B$250,$AK133))</f>
        <v/>
      </c>
      <c r="C133" s="74" t="str">
        <f aca="false">IF($AK133="","",INDEX('REGISTRE ELEVES'!$D$10:$D$250,$AK133))</f>
        <v/>
      </c>
      <c r="D133" s="73" t="str">
        <f aca="false">IF($AK133="","",INDEX('REGISTRE ELEVES'!$E$10:$E$250,$AK133))</f>
        <v/>
      </c>
      <c r="E133" s="73" t="str">
        <f aca="false">IF($AK133="","",INDEX('REGISTRE ELEVES'!$F$10:$F$250,$AK133))</f>
        <v/>
      </c>
      <c r="F133" s="73" t="str">
        <f aca="false">IF($AK133="","",INDEX('REGISTRE ELEVES'!$AE$10:$AE$250,$AK133))</f>
        <v/>
      </c>
      <c r="G133" s="75"/>
      <c r="H133" s="76"/>
      <c r="I133" s="76"/>
      <c r="J133" s="76"/>
      <c r="K133" s="76"/>
      <c r="L133" s="79" t="str">
        <f aca="false">IF(B133="","",IF($G133="NON",0,IF(COUNT(H133:K133)=0,"",SUM(H133:K133))))</f>
        <v/>
      </c>
      <c r="M133" s="77" t="str">
        <f aca="false">IF(B133="","",IF($G133="NON",0,IF(COUNT(H133:K133)=0,"",IFERROR(ROUND(SUM(H133:K133)/SUMPRODUCT(ISNUMBER(H133:K133)*$H$8:$K$8)*20,2),""))))</f>
        <v/>
      </c>
      <c r="N133" s="75"/>
      <c r="O133" s="76"/>
      <c r="P133" s="76"/>
      <c r="Q133" s="76"/>
      <c r="R133" s="76"/>
      <c r="S133" s="79" t="str">
        <f aca="false">IF(B133="","",IF($N133="NON",0,IF(COUNT(O133:R133)=0,"",SUM(O133:R133))))</f>
        <v/>
      </c>
      <c r="T133" s="77" t="str">
        <f aca="false">IF(B133="","",IF($N133="NON",0,IF(COUNT(O133:R133)=0,"",IFERROR(ROUND(SUM(O133:R133)/SUMPRODUCT(ISNUMBER(O133:R133)*$O$8:$R$8)*20,2),""))))</f>
        <v/>
      </c>
      <c r="U133" s="75"/>
      <c r="V133" s="76"/>
      <c r="W133" s="76"/>
      <c r="X133" s="76"/>
      <c r="Y133" s="76"/>
      <c r="Z133" s="76"/>
      <c r="AA133" s="79" t="str">
        <f aca="false">IF(B133="","",IF($U133="NON",0,IF(COUNT(V133:Z133)=0,"",SUM(V133:Z133))))</f>
        <v/>
      </c>
      <c r="AB133" s="77" t="str">
        <f aca="false">IF(B133="","",IF($U133="NON",0,IF(COUNT(V133:Z133)=0,"",IFERROR(ROUND(SUM(V133:Z133)/SUMPRODUCT(ISNUMBER(V133:Z133)*$V$8:$Z$8)*20,2),""))))</f>
        <v/>
      </c>
      <c r="AC133" s="75"/>
      <c r="AD133" s="76"/>
      <c r="AE133" s="76"/>
      <c r="AF133" s="76"/>
      <c r="AG133" s="76"/>
      <c r="AH133" s="76"/>
      <c r="AI133" s="79" t="str">
        <f aca="false">IF(B133="","",IF($AC133="NON",0,IF(COUNT(AD133:AH133)=0,"",SUM(AD133:AH133))))</f>
        <v/>
      </c>
      <c r="AJ133" s="77" t="str">
        <f aca="false">IF(B133="","",IF($AC133="NON",0,IF(COUNT(AD133:AH133)=0,"",IFERROR(ROUND(SUM(AD133:AH133)/SUMPRODUCT(ISNUMBER(AD133:AH133)*$AD$8:$AH$8)*20,2),""))))</f>
        <v/>
      </c>
      <c r="AK133" s="51" t="str">
        <f aca="false">IFERROR(MATCH("CM2-124",'REGISTRE ELEVES'!$AI$10:$AI$250,0),"")</f>
        <v/>
      </c>
    </row>
    <row r="134" customFormat="false" ht="15" hidden="false" customHeight="false" outlineLevel="0" collapsed="false">
      <c r="A134" s="73" t="str">
        <f aca="false">IF(B134="","",125)</f>
        <v/>
      </c>
      <c r="B134" s="73" t="str">
        <f aca="false">IF($AK134="","",INDEX('REGISTRE ELEVES'!$B$10:$B$250,$AK134))</f>
        <v/>
      </c>
      <c r="C134" s="74" t="str">
        <f aca="false">IF($AK134="","",INDEX('REGISTRE ELEVES'!$D$10:$D$250,$AK134))</f>
        <v/>
      </c>
      <c r="D134" s="73" t="str">
        <f aca="false">IF($AK134="","",INDEX('REGISTRE ELEVES'!$E$10:$E$250,$AK134))</f>
        <v/>
      </c>
      <c r="E134" s="73" t="str">
        <f aca="false">IF($AK134="","",INDEX('REGISTRE ELEVES'!$F$10:$F$250,$AK134))</f>
        <v/>
      </c>
      <c r="F134" s="73" t="str">
        <f aca="false">IF($AK134="","",INDEX('REGISTRE ELEVES'!$AE$10:$AE$250,$AK134))</f>
        <v/>
      </c>
      <c r="G134" s="75"/>
      <c r="H134" s="76"/>
      <c r="I134" s="76"/>
      <c r="J134" s="76"/>
      <c r="K134" s="76"/>
      <c r="L134" s="79" t="str">
        <f aca="false">IF(B134="","",IF($G134="NON",0,IF(COUNT(H134:K134)=0,"",SUM(H134:K134))))</f>
        <v/>
      </c>
      <c r="M134" s="77" t="str">
        <f aca="false">IF(B134="","",IF($G134="NON",0,IF(COUNT(H134:K134)=0,"",IFERROR(ROUND(SUM(H134:K134)/SUMPRODUCT(ISNUMBER(H134:K134)*$H$8:$K$8)*20,2),""))))</f>
        <v/>
      </c>
      <c r="N134" s="75"/>
      <c r="O134" s="76"/>
      <c r="P134" s="76"/>
      <c r="Q134" s="76"/>
      <c r="R134" s="76"/>
      <c r="S134" s="79" t="str">
        <f aca="false">IF(B134="","",IF($N134="NON",0,IF(COUNT(O134:R134)=0,"",SUM(O134:R134))))</f>
        <v/>
      </c>
      <c r="T134" s="77" t="str">
        <f aca="false">IF(B134="","",IF($N134="NON",0,IF(COUNT(O134:R134)=0,"",IFERROR(ROUND(SUM(O134:R134)/SUMPRODUCT(ISNUMBER(O134:R134)*$O$8:$R$8)*20,2),""))))</f>
        <v/>
      </c>
      <c r="U134" s="75"/>
      <c r="V134" s="76"/>
      <c r="W134" s="76"/>
      <c r="X134" s="76"/>
      <c r="Y134" s="76"/>
      <c r="Z134" s="76"/>
      <c r="AA134" s="79" t="str">
        <f aca="false">IF(B134="","",IF($U134="NON",0,IF(COUNT(V134:Z134)=0,"",SUM(V134:Z134))))</f>
        <v/>
      </c>
      <c r="AB134" s="77" t="str">
        <f aca="false">IF(B134="","",IF($U134="NON",0,IF(COUNT(V134:Z134)=0,"",IFERROR(ROUND(SUM(V134:Z134)/SUMPRODUCT(ISNUMBER(V134:Z134)*$V$8:$Z$8)*20,2),""))))</f>
        <v/>
      </c>
      <c r="AC134" s="75"/>
      <c r="AD134" s="76"/>
      <c r="AE134" s="76"/>
      <c r="AF134" s="76"/>
      <c r="AG134" s="76"/>
      <c r="AH134" s="76"/>
      <c r="AI134" s="79" t="str">
        <f aca="false">IF(B134="","",IF($AC134="NON",0,IF(COUNT(AD134:AH134)=0,"",SUM(AD134:AH134))))</f>
        <v/>
      </c>
      <c r="AJ134" s="77" t="str">
        <f aca="false">IF(B134="","",IF($AC134="NON",0,IF(COUNT(AD134:AH134)=0,"",IFERROR(ROUND(SUM(AD134:AH134)/SUMPRODUCT(ISNUMBER(AD134:AH134)*$AD$8:$AH$8)*20,2),""))))</f>
        <v/>
      </c>
      <c r="AK134" s="51" t="str">
        <f aca="false">IFERROR(MATCH("CM2-125",'REGISTRE ELEVES'!$AI$10:$AI$250,0),"")</f>
        <v/>
      </c>
    </row>
    <row r="135" customFormat="false" ht="15" hidden="false" customHeight="false" outlineLevel="0" collapsed="false">
      <c r="A135" s="73" t="str">
        <f aca="false">IF(B135="","",126)</f>
        <v/>
      </c>
      <c r="B135" s="73" t="str">
        <f aca="false">IF($AK135="","",INDEX('REGISTRE ELEVES'!$B$10:$B$250,$AK135))</f>
        <v/>
      </c>
      <c r="C135" s="74" t="str">
        <f aca="false">IF($AK135="","",INDEX('REGISTRE ELEVES'!$D$10:$D$250,$AK135))</f>
        <v/>
      </c>
      <c r="D135" s="73" t="str">
        <f aca="false">IF($AK135="","",INDEX('REGISTRE ELEVES'!$E$10:$E$250,$AK135))</f>
        <v/>
      </c>
      <c r="E135" s="73" t="str">
        <f aca="false">IF($AK135="","",INDEX('REGISTRE ELEVES'!$F$10:$F$250,$AK135))</f>
        <v/>
      </c>
      <c r="F135" s="73" t="str">
        <f aca="false">IF($AK135="","",INDEX('REGISTRE ELEVES'!$AE$10:$AE$250,$AK135))</f>
        <v/>
      </c>
      <c r="G135" s="75"/>
      <c r="H135" s="76"/>
      <c r="I135" s="76"/>
      <c r="J135" s="76"/>
      <c r="K135" s="76"/>
      <c r="L135" s="79" t="str">
        <f aca="false">IF(B135="","",IF($G135="NON",0,IF(COUNT(H135:K135)=0,"",SUM(H135:K135))))</f>
        <v/>
      </c>
      <c r="M135" s="77" t="str">
        <f aca="false">IF(B135="","",IF($G135="NON",0,IF(COUNT(H135:K135)=0,"",IFERROR(ROUND(SUM(H135:K135)/SUMPRODUCT(ISNUMBER(H135:K135)*$H$8:$K$8)*20,2),""))))</f>
        <v/>
      </c>
      <c r="N135" s="75"/>
      <c r="O135" s="76"/>
      <c r="P135" s="76"/>
      <c r="Q135" s="76"/>
      <c r="R135" s="76"/>
      <c r="S135" s="79" t="str">
        <f aca="false">IF(B135="","",IF($N135="NON",0,IF(COUNT(O135:R135)=0,"",SUM(O135:R135))))</f>
        <v/>
      </c>
      <c r="T135" s="77" t="str">
        <f aca="false">IF(B135="","",IF($N135="NON",0,IF(COUNT(O135:R135)=0,"",IFERROR(ROUND(SUM(O135:R135)/SUMPRODUCT(ISNUMBER(O135:R135)*$O$8:$R$8)*20,2),""))))</f>
        <v/>
      </c>
      <c r="U135" s="75"/>
      <c r="V135" s="76"/>
      <c r="W135" s="76"/>
      <c r="X135" s="76"/>
      <c r="Y135" s="76"/>
      <c r="Z135" s="76"/>
      <c r="AA135" s="79" t="str">
        <f aca="false">IF(B135="","",IF($U135="NON",0,IF(COUNT(V135:Z135)=0,"",SUM(V135:Z135))))</f>
        <v/>
      </c>
      <c r="AB135" s="77" t="str">
        <f aca="false">IF(B135="","",IF($U135="NON",0,IF(COUNT(V135:Z135)=0,"",IFERROR(ROUND(SUM(V135:Z135)/SUMPRODUCT(ISNUMBER(V135:Z135)*$V$8:$Z$8)*20,2),""))))</f>
        <v/>
      </c>
      <c r="AC135" s="75"/>
      <c r="AD135" s="76"/>
      <c r="AE135" s="76"/>
      <c r="AF135" s="76"/>
      <c r="AG135" s="76"/>
      <c r="AH135" s="76"/>
      <c r="AI135" s="79" t="str">
        <f aca="false">IF(B135="","",IF($AC135="NON",0,IF(COUNT(AD135:AH135)=0,"",SUM(AD135:AH135))))</f>
        <v/>
      </c>
      <c r="AJ135" s="77" t="str">
        <f aca="false">IF(B135="","",IF($AC135="NON",0,IF(COUNT(AD135:AH135)=0,"",IFERROR(ROUND(SUM(AD135:AH135)/SUMPRODUCT(ISNUMBER(AD135:AH135)*$AD$8:$AH$8)*20,2),""))))</f>
        <v/>
      </c>
      <c r="AK135" s="51" t="str">
        <f aca="false">IFERROR(MATCH("CM2-126",'REGISTRE ELEVES'!$AI$10:$AI$250,0),"")</f>
        <v/>
      </c>
    </row>
    <row r="136" customFormat="false" ht="15" hidden="false" customHeight="false" outlineLevel="0" collapsed="false">
      <c r="A136" s="73" t="str">
        <f aca="false">IF(B136="","",127)</f>
        <v/>
      </c>
      <c r="B136" s="73" t="str">
        <f aca="false">IF($AK136="","",INDEX('REGISTRE ELEVES'!$B$10:$B$250,$AK136))</f>
        <v/>
      </c>
      <c r="C136" s="74" t="str">
        <f aca="false">IF($AK136="","",INDEX('REGISTRE ELEVES'!$D$10:$D$250,$AK136))</f>
        <v/>
      </c>
      <c r="D136" s="73" t="str">
        <f aca="false">IF($AK136="","",INDEX('REGISTRE ELEVES'!$E$10:$E$250,$AK136))</f>
        <v/>
      </c>
      <c r="E136" s="73" t="str">
        <f aca="false">IF($AK136="","",INDEX('REGISTRE ELEVES'!$F$10:$F$250,$AK136))</f>
        <v/>
      </c>
      <c r="F136" s="73" t="str">
        <f aca="false">IF($AK136="","",INDEX('REGISTRE ELEVES'!$AE$10:$AE$250,$AK136))</f>
        <v/>
      </c>
      <c r="G136" s="75"/>
      <c r="H136" s="76"/>
      <c r="I136" s="76"/>
      <c r="J136" s="76"/>
      <c r="K136" s="76"/>
      <c r="L136" s="79" t="str">
        <f aca="false">IF(B136="","",IF($G136="NON",0,IF(COUNT(H136:K136)=0,"",SUM(H136:K136))))</f>
        <v/>
      </c>
      <c r="M136" s="77" t="str">
        <f aca="false">IF(B136="","",IF($G136="NON",0,IF(COUNT(H136:K136)=0,"",IFERROR(ROUND(SUM(H136:K136)/SUMPRODUCT(ISNUMBER(H136:K136)*$H$8:$K$8)*20,2),""))))</f>
        <v/>
      </c>
      <c r="N136" s="75"/>
      <c r="O136" s="76"/>
      <c r="P136" s="76"/>
      <c r="Q136" s="76"/>
      <c r="R136" s="76"/>
      <c r="S136" s="79" t="str">
        <f aca="false">IF(B136="","",IF($N136="NON",0,IF(COUNT(O136:R136)=0,"",SUM(O136:R136))))</f>
        <v/>
      </c>
      <c r="T136" s="77" t="str">
        <f aca="false">IF(B136="","",IF($N136="NON",0,IF(COUNT(O136:R136)=0,"",IFERROR(ROUND(SUM(O136:R136)/SUMPRODUCT(ISNUMBER(O136:R136)*$O$8:$R$8)*20,2),""))))</f>
        <v/>
      </c>
      <c r="U136" s="75"/>
      <c r="V136" s="76"/>
      <c r="W136" s="76"/>
      <c r="X136" s="76"/>
      <c r="Y136" s="76"/>
      <c r="Z136" s="76"/>
      <c r="AA136" s="79" t="str">
        <f aca="false">IF(B136="","",IF($U136="NON",0,IF(COUNT(V136:Z136)=0,"",SUM(V136:Z136))))</f>
        <v/>
      </c>
      <c r="AB136" s="77" t="str">
        <f aca="false">IF(B136="","",IF($U136="NON",0,IF(COUNT(V136:Z136)=0,"",IFERROR(ROUND(SUM(V136:Z136)/SUMPRODUCT(ISNUMBER(V136:Z136)*$V$8:$Z$8)*20,2),""))))</f>
        <v/>
      </c>
      <c r="AC136" s="75"/>
      <c r="AD136" s="76"/>
      <c r="AE136" s="76"/>
      <c r="AF136" s="76"/>
      <c r="AG136" s="76"/>
      <c r="AH136" s="76"/>
      <c r="AI136" s="79" t="str">
        <f aca="false">IF(B136="","",IF($AC136="NON",0,IF(COUNT(AD136:AH136)=0,"",SUM(AD136:AH136))))</f>
        <v/>
      </c>
      <c r="AJ136" s="77" t="str">
        <f aca="false">IF(B136="","",IF($AC136="NON",0,IF(COUNT(AD136:AH136)=0,"",IFERROR(ROUND(SUM(AD136:AH136)/SUMPRODUCT(ISNUMBER(AD136:AH136)*$AD$8:$AH$8)*20,2),""))))</f>
        <v/>
      </c>
      <c r="AK136" s="51" t="str">
        <f aca="false">IFERROR(MATCH("CM2-127",'REGISTRE ELEVES'!$AI$10:$AI$250,0),"")</f>
        <v/>
      </c>
    </row>
    <row r="137" customFormat="false" ht="15" hidden="false" customHeight="false" outlineLevel="0" collapsed="false">
      <c r="A137" s="73" t="str">
        <f aca="false">IF(B137="","",128)</f>
        <v/>
      </c>
      <c r="B137" s="73" t="str">
        <f aca="false">IF($AK137="","",INDEX('REGISTRE ELEVES'!$B$10:$B$250,$AK137))</f>
        <v/>
      </c>
      <c r="C137" s="74" t="str">
        <f aca="false">IF($AK137="","",INDEX('REGISTRE ELEVES'!$D$10:$D$250,$AK137))</f>
        <v/>
      </c>
      <c r="D137" s="73" t="str">
        <f aca="false">IF($AK137="","",INDEX('REGISTRE ELEVES'!$E$10:$E$250,$AK137))</f>
        <v/>
      </c>
      <c r="E137" s="73" t="str">
        <f aca="false">IF($AK137="","",INDEX('REGISTRE ELEVES'!$F$10:$F$250,$AK137))</f>
        <v/>
      </c>
      <c r="F137" s="73" t="str">
        <f aca="false">IF($AK137="","",INDEX('REGISTRE ELEVES'!$AE$10:$AE$250,$AK137))</f>
        <v/>
      </c>
      <c r="G137" s="75"/>
      <c r="H137" s="76"/>
      <c r="I137" s="76"/>
      <c r="J137" s="76"/>
      <c r="K137" s="76"/>
      <c r="L137" s="79" t="str">
        <f aca="false">IF(B137="","",IF($G137="NON",0,IF(COUNT(H137:K137)=0,"",SUM(H137:K137))))</f>
        <v/>
      </c>
      <c r="M137" s="77" t="str">
        <f aca="false">IF(B137="","",IF($G137="NON",0,IF(COUNT(H137:K137)=0,"",IFERROR(ROUND(SUM(H137:K137)/SUMPRODUCT(ISNUMBER(H137:K137)*$H$8:$K$8)*20,2),""))))</f>
        <v/>
      </c>
      <c r="N137" s="75"/>
      <c r="O137" s="76"/>
      <c r="P137" s="76"/>
      <c r="Q137" s="76"/>
      <c r="R137" s="76"/>
      <c r="S137" s="79" t="str">
        <f aca="false">IF(B137="","",IF($N137="NON",0,IF(COUNT(O137:R137)=0,"",SUM(O137:R137))))</f>
        <v/>
      </c>
      <c r="T137" s="77" t="str">
        <f aca="false">IF(B137="","",IF($N137="NON",0,IF(COUNT(O137:R137)=0,"",IFERROR(ROUND(SUM(O137:R137)/SUMPRODUCT(ISNUMBER(O137:R137)*$O$8:$R$8)*20,2),""))))</f>
        <v/>
      </c>
      <c r="U137" s="75"/>
      <c r="V137" s="76"/>
      <c r="W137" s="76"/>
      <c r="X137" s="76"/>
      <c r="Y137" s="76"/>
      <c r="Z137" s="76"/>
      <c r="AA137" s="79" t="str">
        <f aca="false">IF(B137="","",IF($U137="NON",0,IF(COUNT(V137:Z137)=0,"",SUM(V137:Z137))))</f>
        <v/>
      </c>
      <c r="AB137" s="77" t="str">
        <f aca="false">IF(B137="","",IF($U137="NON",0,IF(COUNT(V137:Z137)=0,"",IFERROR(ROUND(SUM(V137:Z137)/SUMPRODUCT(ISNUMBER(V137:Z137)*$V$8:$Z$8)*20,2),""))))</f>
        <v/>
      </c>
      <c r="AC137" s="75"/>
      <c r="AD137" s="76"/>
      <c r="AE137" s="76"/>
      <c r="AF137" s="76"/>
      <c r="AG137" s="76"/>
      <c r="AH137" s="76"/>
      <c r="AI137" s="79" t="str">
        <f aca="false">IF(B137="","",IF($AC137="NON",0,IF(COUNT(AD137:AH137)=0,"",SUM(AD137:AH137))))</f>
        <v/>
      </c>
      <c r="AJ137" s="77" t="str">
        <f aca="false">IF(B137="","",IF($AC137="NON",0,IF(COUNT(AD137:AH137)=0,"",IFERROR(ROUND(SUM(AD137:AH137)/SUMPRODUCT(ISNUMBER(AD137:AH137)*$AD$8:$AH$8)*20,2),""))))</f>
        <v/>
      </c>
      <c r="AK137" s="51" t="str">
        <f aca="false">IFERROR(MATCH("CM2-128",'REGISTRE ELEVES'!$AI$10:$AI$250,0),"")</f>
        <v/>
      </c>
    </row>
    <row r="138" customFormat="false" ht="15" hidden="false" customHeight="false" outlineLevel="0" collapsed="false">
      <c r="A138" s="73" t="str">
        <f aca="false">IF(B138="","",129)</f>
        <v/>
      </c>
      <c r="B138" s="73" t="str">
        <f aca="false">IF($AK138="","",INDEX('REGISTRE ELEVES'!$B$10:$B$250,$AK138))</f>
        <v/>
      </c>
      <c r="C138" s="74" t="str">
        <f aca="false">IF($AK138="","",INDEX('REGISTRE ELEVES'!$D$10:$D$250,$AK138))</f>
        <v/>
      </c>
      <c r="D138" s="73" t="str">
        <f aca="false">IF($AK138="","",INDEX('REGISTRE ELEVES'!$E$10:$E$250,$AK138))</f>
        <v/>
      </c>
      <c r="E138" s="73" t="str">
        <f aca="false">IF($AK138="","",INDEX('REGISTRE ELEVES'!$F$10:$F$250,$AK138))</f>
        <v/>
      </c>
      <c r="F138" s="73" t="str">
        <f aca="false">IF($AK138="","",INDEX('REGISTRE ELEVES'!$AE$10:$AE$250,$AK138))</f>
        <v/>
      </c>
      <c r="G138" s="75"/>
      <c r="H138" s="76"/>
      <c r="I138" s="76"/>
      <c r="J138" s="76"/>
      <c r="K138" s="76"/>
      <c r="L138" s="79" t="str">
        <f aca="false">IF(B138="","",IF($G138="NON",0,IF(COUNT(H138:K138)=0,"",SUM(H138:K138))))</f>
        <v/>
      </c>
      <c r="M138" s="77" t="str">
        <f aca="false">IF(B138="","",IF($G138="NON",0,IF(COUNT(H138:K138)=0,"",IFERROR(ROUND(SUM(H138:K138)/SUMPRODUCT(ISNUMBER(H138:K138)*$H$8:$K$8)*20,2),""))))</f>
        <v/>
      </c>
      <c r="N138" s="75"/>
      <c r="O138" s="76"/>
      <c r="P138" s="76"/>
      <c r="Q138" s="76"/>
      <c r="R138" s="76"/>
      <c r="S138" s="79" t="str">
        <f aca="false">IF(B138="","",IF($N138="NON",0,IF(COUNT(O138:R138)=0,"",SUM(O138:R138))))</f>
        <v/>
      </c>
      <c r="T138" s="77" t="str">
        <f aca="false">IF(B138="","",IF($N138="NON",0,IF(COUNT(O138:R138)=0,"",IFERROR(ROUND(SUM(O138:R138)/SUMPRODUCT(ISNUMBER(O138:R138)*$O$8:$R$8)*20,2),""))))</f>
        <v/>
      </c>
      <c r="U138" s="75"/>
      <c r="V138" s="76"/>
      <c r="W138" s="76"/>
      <c r="X138" s="76"/>
      <c r="Y138" s="76"/>
      <c r="Z138" s="76"/>
      <c r="AA138" s="79" t="str">
        <f aca="false">IF(B138="","",IF($U138="NON",0,IF(COUNT(V138:Z138)=0,"",SUM(V138:Z138))))</f>
        <v/>
      </c>
      <c r="AB138" s="77" t="str">
        <f aca="false">IF(B138="","",IF($U138="NON",0,IF(COUNT(V138:Z138)=0,"",IFERROR(ROUND(SUM(V138:Z138)/SUMPRODUCT(ISNUMBER(V138:Z138)*$V$8:$Z$8)*20,2),""))))</f>
        <v/>
      </c>
      <c r="AC138" s="75"/>
      <c r="AD138" s="76"/>
      <c r="AE138" s="76"/>
      <c r="AF138" s="76"/>
      <c r="AG138" s="76"/>
      <c r="AH138" s="76"/>
      <c r="AI138" s="79" t="str">
        <f aca="false">IF(B138="","",IF($AC138="NON",0,IF(COUNT(AD138:AH138)=0,"",SUM(AD138:AH138))))</f>
        <v/>
      </c>
      <c r="AJ138" s="77" t="str">
        <f aca="false">IF(B138="","",IF($AC138="NON",0,IF(COUNT(AD138:AH138)=0,"",IFERROR(ROUND(SUM(AD138:AH138)/SUMPRODUCT(ISNUMBER(AD138:AH138)*$AD$8:$AH$8)*20,2),""))))</f>
        <v/>
      </c>
      <c r="AK138" s="51" t="str">
        <f aca="false">IFERROR(MATCH("CM2-129",'REGISTRE ELEVES'!$AI$10:$AI$250,0),"")</f>
        <v/>
      </c>
    </row>
    <row r="139" customFormat="false" ht="15" hidden="false" customHeight="false" outlineLevel="0" collapsed="false">
      <c r="A139" s="73" t="str">
        <f aca="false">IF(B139="","",130)</f>
        <v/>
      </c>
      <c r="B139" s="73" t="str">
        <f aca="false">IF($AK139="","",INDEX('REGISTRE ELEVES'!$B$10:$B$250,$AK139))</f>
        <v/>
      </c>
      <c r="C139" s="74" t="str">
        <f aca="false">IF($AK139="","",INDEX('REGISTRE ELEVES'!$D$10:$D$250,$AK139))</f>
        <v/>
      </c>
      <c r="D139" s="73" t="str">
        <f aca="false">IF($AK139="","",INDEX('REGISTRE ELEVES'!$E$10:$E$250,$AK139))</f>
        <v/>
      </c>
      <c r="E139" s="73" t="str">
        <f aca="false">IF($AK139="","",INDEX('REGISTRE ELEVES'!$F$10:$F$250,$AK139))</f>
        <v/>
      </c>
      <c r="F139" s="73" t="str">
        <f aca="false">IF($AK139="","",INDEX('REGISTRE ELEVES'!$AE$10:$AE$250,$AK139))</f>
        <v/>
      </c>
      <c r="G139" s="75"/>
      <c r="H139" s="76"/>
      <c r="I139" s="76"/>
      <c r="J139" s="76"/>
      <c r="K139" s="76"/>
      <c r="L139" s="79" t="str">
        <f aca="false">IF(B139="","",IF($G139="NON",0,IF(COUNT(H139:K139)=0,"",SUM(H139:K139))))</f>
        <v/>
      </c>
      <c r="M139" s="77" t="str">
        <f aca="false">IF(B139="","",IF($G139="NON",0,IF(COUNT(H139:K139)=0,"",IFERROR(ROUND(SUM(H139:K139)/SUMPRODUCT(ISNUMBER(H139:K139)*$H$8:$K$8)*20,2),""))))</f>
        <v/>
      </c>
      <c r="N139" s="75"/>
      <c r="O139" s="76"/>
      <c r="P139" s="76"/>
      <c r="Q139" s="76"/>
      <c r="R139" s="76"/>
      <c r="S139" s="79" t="str">
        <f aca="false">IF(B139="","",IF($N139="NON",0,IF(COUNT(O139:R139)=0,"",SUM(O139:R139))))</f>
        <v/>
      </c>
      <c r="T139" s="77" t="str">
        <f aca="false">IF(B139="","",IF($N139="NON",0,IF(COUNT(O139:R139)=0,"",IFERROR(ROUND(SUM(O139:R139)/SUMPRODUCT(ISNUMBER(O139:R139)*$O$8:$R$8)*20,2),""))))</f>
        <v/>
      </c>
      <c r="U139" s="75"/>
      <c r="V139" s="76"/>
      <c r="W139" s="76"/>
      <c r="X139" s="76"/>
      <c r="Y139" s="76"/>
      <c r="Z139" s="76"/>
      <c r="AA139" s="79" t="str">
        <f aca="false">IF(B139="","",IF($U139="NON",0,IF(COUNT(V139:Z139)=0,"",SUM(V139:Z139))))</f>
        <v/>
      </c>
      <c r="AB139" s="77" t="str">
        <f aca="false">IF(B139="","",IF($U139="NON",0,IF(COUNT(V139:Z139)=0,"",IFERROR(ROUND(SUM(V139:Z139)/SUMPRODUCT(ISNUMBER(V139:Z139)*$V$8:$Z$8)*20,2),""))))</f>
        <v/>
      </c>
      <c r="AC139" s="75"/>
      <c r="AD139" s="76"/>
      <c r="AE139" s="76"/>
      <c r="AF139" s="76"/>
      <c r="AG139" s="76"/>
      <c r="AH139" s="76"/>
      <c r="AI139" s="79" t="str">
        <f aca="false">IF(B139="","",IF($AC139="NON",0,IF(COUNT(AD139:AH139)=0,"",SUM(AD139:AH139))))</f>
        <v/>
      </c>
      <c r="AJ139" s="77" t="str">
        <f aca="false">IF(B139="","",IF($AC139="NON",0,IF(COUNT(AD139:AH139)=0,"",IFERROR(ROUND(SUM(AD139:AH139)/SUMPRODUCT(ISNUMBER(AD139:AH139)*$AD$8:$AH$8)*20,2),""))))</f>
        <v/>
      </c>
      <c r="AK139" s="51" t="str">
        <f aca="false">IFERROR(MATCH("CM2-130",'REGISTRE ELEVES'!$AI$10:$AI$250,0),"")</f>
        <v/>
      </c>
    </row>
    <row r="140" customFormat="false" ht="15" hidden="false" customHeight="false" outlineLevel="0" collapsed="false">
      <c r="A140" s="73" t="str">
        <f aca="false">IF(B140="","",131)</f>
        <v/>
      </c>
      <c r="B140" s="73" t="str">
        <f aca="false">IF($AK140="","",INDEX('REGISTRE ELEVES'!$B$10:$B$250,$AK140))</f>
        <v/>
      </c>
      <c r="C140" s="74" t="str">
        <f aca="false">IF($AK140="","",INDEX('REGISTRE ELEVES'!$D$10:$D$250,$AK140))</f>
        <v/>
      </c>
      <c r="D140" s="73" t="str">
        <f aca="false">IF($AK140="","",INDEX('REGISTRE ELEVES'!$E$10:$E$250,$AK140))</f>
        <v/>
      </c>
      <c r="E140" s="73" t="str">
        <f aca="false">IF($AK140="","",INDEX('REGISTRE ELEVES'!$F$10:$F$250,$AK140))</f>
        <v/>
      </c>
      <c r="F140" s="73" t="str">
        <f aca="false">IF($AK140="","",INDEX('REGISTRE ELEVES'!$AE$10:$AE$250,$AK140))</f>
        <v/>
      </c>
      <c r="G140" s="75"/>
      <c r="H140" s="76"/>
      <c r="I140" s="76"/>
      <c r="J140" s="76"/>
      <c r="K140" s="76"/>
      <c r="L140" s="79" t="str">
        <f aca="false">IF(B140="","",IF($G140="NON",0,IF(COUNT(H140:K140)=0,"",SUM(H140:K140))))</f>
        <v/>
      </c>
      <c r="M140" s="77" t="str">
        <f aca="false">IF(B140="","",IF($G140="NON",0,IF(COUNT(H140:K140)=0,"",IFERROR(ROUND(SUM(H140:K140)/SUMPRODUCT(ISNUMBER(H140:K140)*$H$8:$K$8)*20,2),""))))</f>
        <v/>
      </c>
      <c r="N140" s="75"/>
      <c r="O140" s="76"/>
      <c r="P140" s="76"/>
      <c r="Q140" s="76"/>
      <c r="R140" s="76"/>
      <c r="S140" s="79" t="str">
        <f aca="false">IF(B140="","",IF($N140="NON",0,IF(COUNT(O140:R140)=0,"",SUM(O140:R140))))</f>
        <v/>
      </c>
      <c r="T140" s="77" t="str">
        <f aca="false">IF(B140="","",IF($N140="NON",0,IF(COUNT(O140:R140)=0,"",IFERROR(ROUND(SUM(O140:R140)/SUMPRODUCT(ISNUMBER(O140:R140)*$O$8:$R$8)*20,2),""))))</f>
        <v/>
      </c>
      <c r="U140" s="75"/>
      <c r="V140" s="76"/>
      <c r="W140" s="76"/>
      <c r="X140" s="76"/>
      <c r="Y140" s="76"/>
      <c r="Z140" s="76"/>
      <c r="AA140" s="79" t="str">
        <f aca="false">IF(B140="","",IF($U140="NON",0,IF(COUNT(V140:Z140)=0,"",SUM(V140:Z140))))</f>
        <v/>
      </c>
      <c r="AB140" s="77" t="str">
        <f aca="false">IF(B140="","",IF($U140="NON",0,IF(COUNT(V140:Z140)=0,"",IFERROR(ROUND(SUM(V140:Z140)/SUMPRODUCT(ISNUMBER(V140:Z140)*$V$8:$Z$8)*20,2),""))))</f>
        <v/>
      </c>
      <c r="AC140" s="75"/>
      <c r="AD140" s="76"/>
      <c r="AE140" s="76"/>
      <c r="AF140" s="76"/>
      <c r="AG140" s="76"/>
      <c r="AH140" s="76"/>
      <c r="AI140" s="79" t="str">
        <f aca="false">IF(B140="","",IF($AC140="NON",0,IF(COUNT(AD140:AH140)=0,"",SUM(AD140:AH140))))</f>
        <v/>
      </c>
      <c r="AJ140" s="77" t="str">
        <f aca="false">IF(B140="","",IF($AC140="NON",0,IF(COUNT(AD140:AH140)=0,"",IFERROR(ROUND(SUM(AD140:AH140)/SUMPRODUCT(ISNUMBER(AD140:AH140)*$AD$8:$AH$8)*20,2),""))))</f>
        <v/>
      </c>
      <c r="AK140" s="51" t="str">
        <f aca="false">IFERROR(MATCH("CM2-131",'REGISTRE ELEVES'!$AI$10:$AI$250,0),"")</f>
        <v/>
      </c>
    </row>
    <row r="141" customFormat="false" ht="15" hidden="false" customHeight="false" outlineLevel="0" collapsed="false">
      <c r="A141" s="73" t="str">
        <f aca="false">IF(B141="","",132)</f>
        <v/>
      </c>
      <c r="B141" s="73" t="str">
        <f aca="false">IF($AK141="","",INDEX('REGISTRE ELEVES'!$B$10:$B$250,$AK141))</f>
        <v/>
      </c>
      <c r="C141" s="74" t="str">
        <f aca="false">IF($AK141="","",INDEX('REGISTRE ELEVES'!$D$10:$D$250,$AK141))</f>
        <v/>
      </c>
      <c r="D141" s="73" t="str">
        <f aca="false">IF($AK141="","",INDEX('REGISTRE ELEVES'!$E$10:$E$250,$AK141))</f>
        <v/>
      </c>
      <c r="E141" s="73" t="str">
        <f aca="false">IF($AK141="","",INDEX('REGISTRE ELEVES'!$F$10:$F$250,$AK141))</f>
        <v/>
      </c>
      <c r="F141" s="73" t="str">
        <f aca="false">IF($AK141="","",INDEX('REGISTRE ELEVES'!$AE$10:$AE$250,$AK141))</f>
        <v/>
      </c>
      <c r="G141" s="75"/>
      <c r="H141" s="76"/>
      <c r="I141" s="76"/>
      <c r="J141" s="76"/>
      <c r="K141" s="76"/>
      <c r="L141" s="79" t="str">
        <f aca="false">IF(B141="","",IF($G141="NON",0,IF(COUNT(H141:K141)=0,"",SUM(H141:K141))))</f>
        <v/>
      </c>
      <c r="M141" s="77" t="str">
        <f aca="false">IF(B141="","",IF($G141="NON",0,IF(COUNT(H141:K141)=0,"",IFERROR(ROUND(SUM(H141:K141)/SUMPRODUCT(ISNUMBER(H141:K141)*$H$8:$K$8)*20,2),""))))</f>
        <v/>
      </c>
      <c r="N141" s="75"/>
      <c r="O141" s="76"/>
      <c r="P141" s="76"/>
      <c r="Q141" s="76"/>
      <c r="R141" s="76"/>
      <c r="S141" s="79" t="str">
        <f aca="false">IF(B141="","",IF($N141="NON",0,IF(COUNT(O141:R141)=0,"",SUM(O141:R141))))</f>
        <v/>
      </c>
      <c r="T141" s="77" t="str">
        <f aca="false">IF(B141="","",IF($N141="NON",0,IF(COUNT(O141:R141)=0,"",IFERROR(ROUND(SUM(O141:R141)/SUMPRODUCT(ISNUMBER(O141:R141)*$O$8:$R$8)*20,2),""))))</f>
        <v/>
      </c>
      <c r="U141" s="75"/>
      <c r="V141" s="76"/>
      <c r="W141" s="76"/>
      <c r="X141" s="76"/>
      <c r="Y141" s="76"/>
      <c r="Z141" s="76"/>
      <c r="AA141" s="79" t="str">
        <f aca="false">IF(B141="","",IF($U141="NON",0,IF(COUNT(V141:Z141)=0,"",SUM(V141:Z141))))</f>
        <v/>
      </c>
      <c r="AB141" s="77" t="str">
        <f aca="false">IF(B141="","",IF($U141="NON",0,IF(COUNT(V141:Z141)=0,"",IFERROR(ROUND(SUM(V141:Z141)/SUMPRODUCT(ISNUMBER(V141:Z141)*$V$8:$Z$8)*20,2),""))))</f>
        <v/>
      </c>
      <c r="AC141" s="75"/>
      <c r="AD141" s="76"/>
      <c r="AE141" s="76"/>
      <c r="AF141" s="76"/>
      <c r="AG141" s="76"/>
      <c r="AH141" s="76"/>
      <c r="AI141" s="79" t="str">
        <f aca="false">IF(B141="","",IF($AC141="NON",0,IF(COUNT(AD141:AH141)=0,"",SUM(AD141:AH141))))</f>
        <v/>
      </c>
      <c r="AJ141" s="77" t="str">
        <f aca="false">IF(B141="","",IF($AC141="NON",0,IF(COUNT(AD141:AH141)=0,"",IFERROR(ROUND(SUM(AD141:AH141)/SUMPRODUCT(ISNUMBER(AD141:AH141)*$AD$8:$AH$8)*20,2),""))))</f>
        <v/>
      </c>
      <c r="AK141" s="51" t="str">
        <f aca="false">IFERROR(MATCH("CM2-132",'REGISTRE ELEVES'!$AI$10:$AI$250,0),"")</f>
        <v/>
      </c>
    </row>
    <row r="142" customFormat="false" ht="15" hidden="false" customHeight="false" outlineLevel="0" collapsed="false">
      <c r="A142" s="73" t="str">
        <f aca="false">IF(B142="","",133)</f>
        <v/>
      </c>
      <c r="B142" s="73" t="str">
        <f aca="false">IF($AK142="","",INDEX('REGISTRE ELEVES'!$B$10:$B$250,$AK142))</f>
        <v/>
      </c>
      <c r="C142" s="74" t="str">
        <f aca="false">IF($AK142="","",INDEX('REGISTRE ELEVES'!$D$10:$D$250,$AK142))</f>
        <v/>
      </c>
      <c r="D142" s="73" t="str">
        <f aca="false">IF($AK142="","",INDEX('REGISTRE ELEVES'!$E$10:$E$250,$AK142))</f>
        <v/>
      </c>
      <c r="E142" s="73" t="str">
        <f aca="false">IF($AK142="","",INDEX('REGISTRE ELEVES'!$F$10:$F$250,$AK142))</f>
        <v/>
      </c>
      <c r="F142" s="73" t="str">
        <f aca="false">IF($AK142="","",INDEX('REGISTRE ELEVES'!$AE$10:$AE$250,$AK142))</f>
        <v/>
      </c>
      <c r="G142" s="75"/>
      <c r="H142" s="76"/>
      <c r="I142" s="76"/>
      <c r="J142" s="76"/>
      <c r="K142" s="76"/>
      <c r="L142" s="79" t="str">
        <f aca="false">IF(B142="","",IF($G142="NON",0,IF(COUNT(H142:K142)=0,"",SUM(H142:K142))))</f>
        <v/>
      </c>
      <c r="M142" s="77" t="str">
        <f aca="false">IF(B142="","",IF($G142="NON",0,IF(COUNT(H142:K142)=0,"",IFERROR(ROUND(SUM(H142:K142)/SUMPRODUCT(ISNUMBER(H142:K142)*$H$8:$K$8)*20,2),""))))</f>
        <v/>
      </c>
      <c r="N142" s="75"/>
      <c r="O142" s="76"/>
      <c r="P142" s="76"/>
      <c r="Q142" s="76"/>
      <c r="R142" s="76"/>
      <c r="S142" s="79" t="str">
        <f aca="false">IF(B142="","",IF($N142="NON",0,IF(COUNT(O142:R142)=0,"",SUM(O142:R142))))</f>
        <v/>
      </c>
      <c r="T142" s="77" t="str">
        <f aca="false">IF(B142="","",IF($N142="NON",0,IF(COUNT(O142:R142)=0,"",IFERROR(ROUND(SUM(O142:R142)/SUMPRODUCT(ISNUMBER(O142:R142)*$O$8:$R$8)*20,2),""))))</f>
        <v/>
      </c>
      <c r="U142" s="75"/>
      <c r="V142" s="76"/>
      <c r="W142" s="76"/>
      <c r="X142" s="76"/>
      <c r="Y142" s="76"/>
      <c r="Z142" s="76"/>
      <c r="AA142" s="79" t="str">
        <f aca="false">IF(B142="","",IF($U142="NON",0,IF(COUNT(V142:Z142)=0,"",SUM(V142:Z142))))</f>
        <v/>
      </c>
      <c r="AB142" s="77" t="str">
        <f aca="false">IF(B142="","",IF($U142="NON",0,IF(COUNT(V142:Z142)=0,"",IFERROR(ROUND(SUM(V142:Z142)/SUMPRODUCT(ISNUMBER(V142:Z142)*$V$8:$Z$8)*20,2),""))))</f>
        <v/>
      </c>
      <c r="AC142" s="75"/>
      <c r="AD142" s="76"/>
      <c r="AE142" s="76"/>
      <c r="AF142" s="76"/>
      <c r="AG142" s="76"/>
      <c r="AH142" s="76"/>
      <c r="AI142" s="79" t="str">
        <f aca="false">IF(B142="","",IF($AC142="NON",0,IF(COUNT(AD142:AH142)=0,"",SUM(AD142:AH142))))</f>
        <v/>
      </c>
      <c r="AJ142" s="77" t="str">
        <f aca="false">IF(B142="","",IF($AC142="NON",0,IF(COUNT(AD142:AH142)=0,"",IFERROR(ROUND(SUM(AD142:AH142)/SUMPRODUCT(ISNUMBER(AD142:AH142)*$AD$8:$AH$8)*20,2),""))))</f>
        <v/>
      </c>
      <c r="AK142" s="51" t="str">
        <f aca="false">IFERROR(MATCH("CM2-133",'REGISTRE ELEVES'!$AI$10:$AI$250,0),"")</f>
        <v/>
      </c>
    </row>
    <row r="143" customFormat="false" ht="15" hidden="false" customHeight="false" outlineLevel="0" collapsed="false">
      <c r="A143" s="73" t="str">
        <f aca="false">IF(B143="","",134)</f>
        <v/>
      </c>
      <c r="B143" s="73" t="str">
        <f aca="false">IF($AK143="","",INDEX('REGISTRE ELEVES'!$B$10:$B$250,$AK143))</f>
        <v/>
      </c>
      <c r="C143" s="74" t="str">
        <f aca="false">IF($AK143="","",INDEX('REGISTRE ELEVES'!$D$10:$D$250,$AK143))</f>
        <v/>
      </c>
      <c r="D143" s="73" t="str">
        <f aca="false">IF($AK143="","",INDEX('REGISTRE ELEVES'!$E$10:$E$250,$AK143))</f>
        <v/>
      </c>
      <c r="E143" s="73" t="str">
        <f aca="false">IF($AK143="","",INDEX('REGISTRE ELEVES'!$F$10:$F$250,$AK143))</f>
        <v/>
      </c>
      <c r="F143" s="73" t="str">
        <f aca="false">IF($AK143="","",INDEX('REGISTRE ELEVES'!$AE$10:$AE$250,$AK143))</f>
        <v/>
      </c>
      <c r="G143" s="75"/>
      <c r="H143" s="76"/>
      <c r="I143" s="76"/>
      <c r="J143" s="76"/>
      <c r="K143" s="76"/>
      <c r="L143" s="79" t="str">
        <f aca="false">IF(B143="","",IF($G143="NON",0,IF(COUNT(H143:K143)=0,"",SUM(H143:K143))))</f>
        <v/>
      </c>
      <c r="M143" s="77" t="str">
        <f aca="false">IF(B143="","",IF($G143="NON",0,IF(COUNT(H143:K143)=0,"",IFERROR(ROUND(SUM(H143:K143)/SUMPRODUCT(ISNUMBER(H143:K143)*$H$8:$K$8)*20,2),""))))</f>
        <v/>
      </c>
      <c r="N143" s="75"/>
      <c r="O143" s="76"/>
      <c r="P143" s="76"/>
      <c r="Q143" s="76"/>
      <c r="R143" s="76"/>
      <c r="S143" s="79" t="str">
        <f aca="false">IF(B143="","",IF($N143="NON",0,IF(COUNT(O143:R143)=0,"",SUM(O143:R143))))</f>
        <v/>
      </c>
      <c r="T143" s="77" t="str">
        <f aca="false">IF(B143="","",IF($N143="NON",0,IF(COUNT(O143:R143)=0,"",IFERROR(ROUND(SUM(O143:R143)/SUMPRODUCT(ISNUMBER(O143:R143)*$O$8:$R$8)*20,2),""))))</f>
        <v/>
      </c>
      <c r="U143" s="75"/>
      <c r="V143" s="76"/>
      <c r="W143" s="76"/>
      <c r="X143" s="76"/>
      <c r="Y143" s="76"/>
      <c r="Z143" s="76"/>
      <c r="AA143" s="79" t="str">
        <f aca="false">IF(B143="","",IF($U143="NON",0,IF(COUNT(V143:Z143)=0,"",SUM(V143:Z143))))</f>
        <v/>
      </c>
      <c r="AB143" s="77" t="str">
        <f aca="false">IF(B143="","",IF($U143="NON",0,IF(COUNT(V143:Z143)=0,"",IFERROR(ROUND(SUM(V143:Z143)/SUMPRODUCT(ISNUMBER(V143:Z143)*$V$8:$Z$8)*20,2),""))))</f>
        <v/>
      </c>
      <c r="AC143" s="75"/>
      <c r="AD143" s="76"/>
      <c r="AE143" s="76"/>
      <c r="AF143" s="76"/>
      <c r="AG143" s="76"/>
      <c r="AH143" s="76"/>
      <c r="AI143" s="79" t="str">
        <f aca="false">IF(B143="","",IF($AC143="NON",0,IF(COUNT(AD143:AH143)=0,"",SUM(AD143:AH143))))</f>
        <v/>
      </c>
      <c r="AJ143" s="77" t="str">
        <f aca="false">IF(B143="","",IF($AC143="NON",0,IF(COUNT(AD143:AH143)=0,"",IFERROR(ROUND(SUM(AD143:AH143)/SUMPRODUCT(ISNUMBER(AD143:AH143)*$AD$8:$AH$8)*20,2),""))))</f>
        <v/>
      </c>
      <c r="AK143" s="51" t="str">
        <f aca="false">IFERROR(MATCH("CM2-134",'REGISTRE ELEVES'!$AI$10:$AI$250,0),"")</f>
        <v/>
      </c>
    </row>
    <row r="144" customFormat="false" ht="15" hidden="false" customHeight="false" outlineLevel="0" collapsed="false">
      <c r="A144" s="73" t="str">
        <f aca="false">IF(B144="","",135)</f>
        <v/>
      </c>
      <c r="B144" s="73" t="str">
        <f aca="false">IF($AK144="","",INDEX('REGISTRE ELEVES'!$B$10:$B$250,$AK144))</f>
        <v/>
      </c>
      <c r="C144" s="74" t="str">
        <f aca="false">IF($AK144="","",INDEX('REGISTRE ELEVES'!$D$10:$D$250,$AK144))</f>
        <v/>
      </c>
      <c r="D144" s="73" t="str">
        <f aca="false">IF($AK144="","",INDEX('REGISTRE ELEVES'!$E$10:$E$250,$AK144))</f>
        <v/>
      </c>
      <c r="E144" s="73" t="str">
        <f aca="false">IF($AK144="","",INDEX('REGISTRE ELEVES'!$F$10:$F$250,$AK144))</f>
        <v/>
      </c>
      <c r="F144" s="73" t="str">
        <f aca="false">IF($AK144="","",INDEX('REGISTRE ELEVES'!$AE$10:$AE$250,$AK144))</f>
        <v/>
      </c>
      <c r="G144" s="75"/>
      <c r="H144" s="76"/>
      <c r="I144" s="76"/>
      <c r="J144" s="76"/>
      <c r="K144" s="76"/>
      <c r="L144" s="79" t="str">
        <f aca="false">IF(B144="","",IF($G144="NON",0,IF(COUNT(H144:K144)=0,"",SUM(H144:K144))))</f>
        <v/>
      </c>
      <c r="M144" s="77" t="str">
        <f aca="false">IF(B144="","",IF($G144="NON",0,IF(COUNT(H144:K144)=0,"",IFERROR(ROUND(SUM(H144:K144)/SUMPRODUCT(ISNUMBER(H144:K144)*$H$8:$K$8)*20,2),""))))</f>
        <v/>
      </c>
      <c r="N144" s="75"/>
      <c r="O144" s="76"/>
      <c r="P144" s="76"/>
      <c r="Q144" s="76"/>
      <c r="R144" s="76"/>
      <c r="S144" s="79" t="str">
        <f aca="false">IF(B144="","",IF($N144="NON",0,IF(COUNT(O144:R144)=0,"",SUM(O144:R144))))</f>
        <v/>
      </c>
      <c r="T144" s="77" t="str">
        <f aca="false">IF(B144="","",IF($N144="NON",0,IF(COUNT(O144:R144)=0,"",IFERROR(ROUND(SUM(O144:R144)/SUMPRODUCT(ISNUMBER(O144:R144)*$O$8:$R$8)*20,2),""))))</f>
        <v/>
      </c>
      <c r="U144" s="75"/>
      <c r="V144" s="76"/>
      <c r="W144" s="76"/>
      <c r="X144" s="76"/>
      <c r="Y144" s="76"/>
      <c r="Z144" s="76"/>
      <c r="AA144" s="79" t="str">
        <f aca="false">IF(B144="","",IF($U144="NON",0,IF(COUNT(V144:Z144)=0,"",SUM(V144:Z144))))</f>
        <v/>
      </c>
      <c r="AB144" s="77" t="str">
        <f aca="false">IF(B144="","",IF($U144="NON",0,IF(COUNT(V144:Z144)=0,"",IFERROR(ROUND(SUM(V144:Z144)/SUMPRODUCT(ISNUMBER(V144:Z144)*$V$8:$Z$8)*20,2),""))))</f>
        <v/>
      </c>
      <c r="AC144" s="75"/>
      <c r="AD144" s="76"/>
      <c r="AE144" s="76"/>
      <c r="AF144" s="76"/>
      <c r="AG144" s="76"/>
      <c r="AH144" s="76"/>
      <c r="AI144" s="79" t="str">
        <f aca="false">IF(B144="","",IF($AC144="NON",0,IF(COUNT(AD144:AH144)=0,"",SUM(AD144:AH144))))</f>
        <v/>
      </c>
      <c r="AJ144" s="77" t="str">
        <f aca="false">IF(B144="","",IF($AC144="NON",0,IF(COUNT(AD144:AH144)=0,"",IFERROR(ROUND(SUM(AD144:AH144)/SUMPRODUCT(ISNUMBER(AD144:AH144)*$AD$8:$AH$8)*20,2),""))))</f>
        <v/>
      </c>
      <c r="AK144" s="51" t="str">
        <f aca="false">IFERROR(MATCH("CM2-135",'REGISTRE ELEVES'!$AI$10:$AI$250,0),"")</f>
        <v/>
      </c>
    </row>
    <row r="145" customFormat="false" ht="15" hidden="false" customHeight="false" outlineLevel="0" collapsed="false">
      <c r="A145" s="73" t="str">
        <f aca="false">IF(B145="","",136)</f>
        <v/>
      </c>
      <c r="B145" s="73" t="str">
        <f aca="false">IF($AK145="","",INDEX('REGISTRE ELEVES'!$B$10:$B$250,$AK145))</f>
        <v/>
      </c>
      <c r="C145" s="74" t="str">
        <f aca="false">IF($AK145="","",INDEX('REGISTRE ELEVES'!$D$10:$D$250,$AK145))</f>
        <v/>
      </c>
      <c r="D145" s="73" t="str">
        <f aca="false">IF($AK145="","",INDEX('REGISTRE ELEVES'!$E$10:$E$250,$AK145))</f>
        <v/>
      </c>
      <c r="E145" s="73" t="str">
        <f aca="false">IF($AK145="","",INDEX('REGISTRE ELEVES'!$F$10:$F$250,$AK145))</f>
        <v/>
      </c>
      <c r="F145" s="73" t="str">
        <f aca="false">IF($AK145="","",INDEX('REGISTRE ELEVES'!$AE$10:$AE$250,$AK145))</f>
        <v/>
      </c>
      <c r="G145" s="75"/>
      <c r="H145" s="76"/>
      <c r="I145" s="76"/>
      <c r="J145" s="76"/>
      <c r="K145" s="76"/>
      <c r="L145" s="79" t="str">
        <f aca="false">IF(B145="","",IF($G145="NON",0,IF(COUNT(H145:K145)=0,"",SUM(H145:K145))))</f>
        <v/>
      </c>
      <c r="M145" s="77" t="str">
        <f aca="false">IF(B145="","",IF($G145="NON",0,IF(COUNT(H145:K145)=0,"",IFERROR(ROUND(SUM(H145:K145)/SUMPRODUCT(ISNUMBER(H145:K145)*$H$8:$K$8)*20,2),""))))</f>
        <v/>
      </c>
      <c r="N145" s="75"/>
      <c r="O145" s="76"/>
      <c r="P145" s="76"/>
      <c r="Q145" s="76"/>
      <c r="R145" s="76"/>
      <c r="S145" s="79" t="str">
        <f aca="false">IF(B145="","",IF($N145="NON",0,IF(COUNT(O145:R145)=0,"",SUM(O145:R145))))</f>
        <v/>
      </c>
      <c r="T145" s="77" t="str">
        <f aca="false">IF(B145="","",IF($N145="NON",0,IF(COUNT(O145:R145)=0,"",IFERROR(ROUND(SUM(O145:R145)/SUMPRODUCT(ISNUMBER(O145:R145)*$O$8:$R$8)*20,2),""))))</f>
        <v/>
      </c>
      <c r="U145" s="75"/>
      <c r="V145" s="76"/>
      <c r="W145" s="76"/>
      <c r="X145" s="76"/>
      <c r="Y145" s="76"/>
      <c r="Z145" s="76"/>
      <c r="AA145" s="79" t="str">
        <f aca="false">IF(B145="","",IF($U145="NON",0,IF(COUNT(V145:Z145)=0,"",SUM(V145:Z145))))</f>
        <v/>
      </c>
      <c r="AB145" s="77" t="str">
        <f aca="false">IF(B145="","",IF($U145="NON",0,IF(COUNT(V145:Z145)=0,"",IFERROR(ROUND(SUM(V145:Z145)/SUMPRODUCT(ISNUMBER(V145:Z145)*$V$8:$Z$8)*20,2),""))))</f>
        <v/>
      </c>
      <c r="AC145" s="75"/>
      <c r="AD145" s="76"/>
      <c r="AE145" s="76"/>
      <c r="AF145" s="76"/>
      <c r="AG145" s="76"/>
      <c r="AH145" s="76"/>
      <c r="AI145" s="79" t="str">
        <f aca="false">IF(B145="","",IF($AC145="NON",0,IF(COUNT(AD145:AH145)=0,"",SUM(AD145:AH145))))</f>
        <v/>
      </c>
      <c r="AJ145" s="77" t="str">
        <f aca="false">IF(B145="","",IF($AC145="NON",0,IF(COUNT(AD145:AH145)=0,"",IFERROR(ROUND(SUM(AD145:AH145)/SUMPRODUCT(ISNUMBER(AD145:AH145)*$AD$8:$AH$8)*20,2),""))))</f>
        <v/>
      </c>
      <c r="AK145" s="51" t="str">
        <f aca="false">IFERROR(MATCH("CM2-136",'REGISTRE ELEVES'!$AI$10:$AI$250,0),"")</f>
        <v/>
      </c>
    </row>
    <row r="146" customFormat="false" ht="15" hidden="false" customHeight="false" outlineLevel="0" collapsed="false">
      <c r="A146" s="73" t="str">
        <f aca="false">IF(B146="","",137)</f>
        <v/>
      </c>
      <c r="B146" s="73" t="str">
        <f aca="false">IF($AK146="","",INDEX('REGISTRE ELEVES'!$B$10:$B$250,$AK146))</f>
        <v/>
      </c>
      <c r="C146" s="74" t="str">
        <f aca="false">IF($AK146="","",INDEX('REGISTRE ELEVES'!$D$10:$D$250,$AK146))</f>
        <v/>
      </c>
      <c r="D146" s="73" t="str">
        <f aca="false">IF($AK146="","",INDEX('REGISTRE ELEVES'!$E$10:$E$250,$AK146))</f>
        <v/>
      </c>
      <c r="E146" s="73" t="str">
        <f aca="false">IF($AK146="","",INDEX('REGISTRE ELEVES'!$F$10:$F$250,$AK146))</f>
        <v/>
      </c>
      <c r="F146" s="73" t="str">
        <f aca="false">IF($AK146="","",INDEX('REGISTRE ELEVES'!$AE$10:$AE$250,$AK146))</f>
        <v/>
      </c>
      <c r="G146" s="75"/>
      <c r="H146" s="76"/>
      <c r="I146" s="76"/>
      <c r="J146" s="76"/>
      <c r="K146" s="76"/>
      <c r="L146" s="79" t="str">
        <f aca="false">IF(B146="","",IF($G146="NON",0,IF(COUNT(H146:K146)=0,"",SUM(H146:K146))))</f>
        <v/>
      </c>
      <c r="M146" s="77" t="str">
        <f aca="false">IF(B146="","",IF($G146="NON",0,IF(COUNT(H146:K146)=0,"",IFERROR(ROUND(SUM(H146:K146)/SUMPRODUCT(ISNUMBER(H146:K146)*$H$8:$K$8)*20,2),""))))</f>
        <v/>
      </c>
      <c r="N146" s="75"/>
      <c r="O146" s="76"/>
      <c r="P146" s="76"/>
      <c r="Q146" s="76"/>
      <c r="R146" s="76"/>
      <c r="S146" s="79" t="str">
        <f aca="false">IF(B146="","",IF($N146="NON",0,IF(COUNT(O146:R146)=0,"",SUM(O146:R146))))</f>
        <v/>
      </c>
      <c r="T146" s="77" t="str">
        <f aca="false">IF(B146="","",IF($N146="NON",0,IF(COUNT(O146:R146)=0,"",IFERROR(ROUND(SUM(O146:R146)/SUMPRODUCT(ISNUMBER(O146:R146)*$O$8:$R$8)*20,2),""))))</f>
        <v/>
      </c>
      <c r="U146" s="75"/>
      <c r="V146" s="76"/>
      <c r="W146" s="76"/>
      <c r="X146" s="76"/>
      <c r="Y146" s="76"/>
      <c r="Z146" s="76"/>
      <c r="AA146" s="79" t="str">
        <f aca="false">IF(B146="","",IF($U146="NON",0,IF(COUNT(V146:Z146)=0,"",SUM(V146:Z146))))</f>
        <v/>
      </c>
      <c r="AB146" s="77" t="str">
        <f aca="false">IF(B146="","",IF($U146="NON",0,IF(COUNT(V146:Z146)=0,"",IFERROR(ROUND(SUM(V146:Z146)/SUMPRODUCT(ISNUMBER(V146:Z146)*$V$8:$Z$8)*20,2),""))))</f>
        <v/>
      </c>
      <c r="AC146" s="75"/>
      <c r="AD146" s="76"/>
      <c r="AE146" s="76"/>
      <c r="AF146" s="76"/>
      <c r="AG146" s="76"/>
      <c r="AH146" s="76"/>
      <c r="AI146" s="79" t="str">
        <f aca="false">IF(B146="","",IF($AC146="NON",0,IF(COUNT(AD146:AH146)=0,"",SUM(AD146:AH146))))</f>
        <v/>
      </c>
      <c r="AJ146" s="77" t="str">
        <f aca="false">IF(B146="","",IF($AC146="NON",0,IF(COUNT(AD146:AH146)=0,"",IFERROR(ROUND(SUM(AD146:AH146)/SUMPRODUCT(ISNUMBER(AD146:AH146)*$AD$8:$AH$8)*20,2),""))))</f>
        <v/>
      </c>
      <c r="AK146" s="51" t="str">
        <f aca="false">IFERROR(MATCH("CM2-137",'REGISTRE ELEVES'!$AI$10:$AI$250,0),"")</f>
        <v/>
      </c>
    </row>
    <row r="147" customFormat="false" ht="15" hidden="false" customHeight="false" outlineLevel="0" collapsed="false">
      <c r="A147" s="73" t="str">
        <f aca="false">IF(B147="","",138)</f>
        <v/>
      </c>
      <c r="B147" s="73" t="str">
        <f aca="false">IF($AK147="","",INDEX('REGISTRE ELEVES'!$B$10:$B$250,$AK147))</f>
        <v/>
      </c>
      <c r="C147" s="74" t="str">
        <f aca="false">IF($AK147="","",INDEX('REGISTRE ELEVES'!$D$10:$D$250,$AK147))</f>
        <v/>
      </c>
      <c r="D147" s="73" t="str">
        <f aca="false">IF($AK147="","",INDEX('REGISTRE ELEVES'!$E$10:$E$250,$AK147))</f>
        <v/>
      </c>
      <c r="E147" s="73" t="str">
        <f aca="false">IF($AK147="","",INDEX('REGISTRE ELEVES'!$F$10:$F$250,$AK147))</f>
        <v/>
      </c>
      <c r="F147" s="73" t="str">
        <f aca="false">IF($AK147="","",INDEX('REGISTRE ELEVES'!$AE$10:$AE$250,$AK147))</f>
        <v/>
      </c>
      <c r="G147" s="75"/>
      <c r="H147" s="76"/>
      <c r="I147" s="76"/>
      <c r="J147" s="76"/>
      <c r="K147" s="76"/>
      <c r="L147" s="79" t="str">
        <f aca="false">IF(B147="","",IF($G147="NON",0,IF(COUNT(H147:K147)=0,"",SUM(H147:K147))))</f>
        <v/>
      </c>
      <c r="M147" s="77" t="str">
        <f aca="false">IF(B147="","",IF($G147="NON",0,IF(COUNT(H147:K147)=0,"",IFERROR(ROUND(SUM(H147:K147)/SUMPRODUCT(ISNUMBER(H147:K147)*$H$8:$K$8)*20,2),""))))</f>
        <v/>
      </c>
      <c r="N147" s="75"/>
      <c r="O147" s="76"/>
      <c r="P147" s="76"/>
      <c r="Q147" s="76"/>
      <c r="R147" s="76"/>
      <c r="S147" s="79" t="str">
        <f aca="false">IF(B147="","",IF($N147="NON",0,IF(COUNT(O147:R147)=0,"",SUM(O147:R147))))</f>
        <v/>
      </c>
      <c r="T147" s="77" t="str">
        <f aca="false">IF(B147="","",IF($N147="NON",0,IF(COUNT(O147:R147)=0,"",IFERROR(ROUND(SUM(O147:R147)/SUMPRODUCT(ISNUMBER(O147:R147)*$O$8:$R$8)*20,2),""))))</f>
        <v/>
      </c>
      <c r="U147" s="75"/>
      <c r="V147" s="76"/>
      <c r="W147" s="76"/>
      <c r="X147" s="76"/>
      <c r="Y147" s="76"/>
      <c r="Z147" s="76"/>
      <c r="AA147" s="79" t="str">
        <f aca="false">IF(B147="","",IF($U147="NON",0,IF(COUNT(V147:Z147)=0,"",SUM(V147:Z147))))</f>
        <v/>
      </c>
      <c r="AB147" s="77" t="str">
        <f aca="false">IF(B147="","",IF($U147="NON",0,IF(COUNT(V147:Z147)=0,"",IFERROR(ROUND(SUM(V147:Z147)/SUMPRODUCT(ISNUMBER(V147:Z147)*$V$8:$Z$8)*20,2),""))))</f>
        <v/>
      </c>
      <c r="AC147" s="75"/>
      <c r="AD147" s="76"/>
      <c r="AE147" s="76"/>
      <c r="AF147" s="76"/>
      <c r="AG147" s="76"/>
      <c r="AH147" s="76"/>
      <c r="AI147" s="79" t="str">
        <f aca="false">IF(B147="","",IF($AC147="NON",0,IF(COUNT(AD147:AH147)=0,"",SUM(AD147:AH147))))</f>
        <v/>
      </c>
      <c r="AJ147" s="77" t="str">
        <f aca="false">IF(B147="","",IF($AC147="NON",0,IF(COUNT(AD147:AH147)=0,"",IFERROR(ROUND(SUM(AD147:AH147)/SUMPRODUCT(ISNUMBER(AD147:AH147)*$AD$8:$AH$8)*20,2),""))))</f>
        <v/>
      </c>
      <c r="AK147" s="51" t="str">
        <f aca="false">IFERROR(MATCH("CM2-138",'REGISTRE ELEVES'!$AI$10:$AI$250,0),"")</f>
        <v/>
      </c>
    </row>
    <row r="148" customFormat="false" ht="15" hidden="false" customHeight="false" outlineLevel="0" collapsed="false">
      <c r="A148" s="73" t="str">
        <f aca="false">IF(B148="","",139)</f>
        <v/>
      </c>
      <c r="B148" s="73" t="str">
        <f aca="false">IF($AK148="","",INDEX('REGISTRE ELEVES'!$B$10:$B$250,$AK148))</f>
        <v/>
      </c>
      <c r="C148" s="74" t="str">
        <f aca="false">IF($AK148="","",INDEX('REGISTRE ELEVES'!$D$10:$D$250,$AK148))</f>
        <v/>
      </c>
      <c r="D148" s="73" t="str">
        <f aca="false">IF($AK148="","",INDEX('REGISTRE ELEVES'!$E$10:$E$250,$AK148))</f>
        <v/>
      </c>
      <c r="E148" s="73" t="str">
        <f aca="false">IF($AK148="","",INDEX('REGISTRE ELEVES'!$F$10:$F$250,$AK148))</f>
        <v/>
      </c>
      <c r="F148" s="73" t="str">
        <f aca="false">IF($AK148="","",INDEX('REGISTRE ELEVES'!$AE$10:$AE$250,$AK148))</f>
        <v/>
      </c>
      <c r="G148" s="75"/>
      <c r="H148" s="76"/>
      <c r="I148" s="76"/>
      <c r="J148" s="76"/>
      <c r="K148" s="76"/>
      <c r="L148" s="79" t="str">
        <f aca="false">IF(B148="","",IF($G148="NON",0,IF(COUNT(H148:K148)=0,"",SUM(H148:K148))))</f>
        <v/>
      </c>
      <c r="M148" s="77" t="str">
        <f aca="false">IF(B148="","",IF($G148="NON",0,IF(COUNT(H148:K148)=0,"",IFERROR(ROUND(SUM(H148:K148)/SUMPRODUCT(ISNUMBER(H148:K148)*$H$8:$K$8)*20,2),""))))</f>
        <v/>
      </c>
      <c r="N148" s="75"/>
      <c r="O148" s="76"/>
      <c r="P148" s="76"/>
      <c r="Q148" s="76"/>
      <c r="R148" s="76"/>
      <c r="S148" s="79" t="str">
        <f aca="false">IF(B148="","",IF($N148="NON",0,IF(COUNT(O148:R148)=0,"",SUM(O148:R148))))</f>
        <v/>
      </c>
      <c r="T148" s="77" t="str">
        <f aca="false">IF(B148="","",IF($N148="NON",0,IF(COUNT(O148:R148)=0,"",IFERROR(ROUND(SUM(O148:R148)/SUMPRODUCT(ISNUMBER(O148:R148)*$O$8:$R$8)*20,2),""))))</f>
        <v/>
      </c>
      <c r="U148" s="75"/>
      <c r="V148" s="76"/>
      <c r="W148" s="76"/>
      <c r="X148" s="76"/>
      <c r="Y148" s="76"/>
      <c r="Z148" s="76"/>
      <c r="AA148" s="79" t="str">
        <f aca="false">IF(B148="","",IF($U148="NON",0,IF(COUNT(V148:Z148)=0,"",SUM(V148:Z148))))</f>
        <v/>
      </c>
      <c r="AB148" s="77" t="str">
        <f aca="false">IF(B148="","",IF($U148="NON",0,IF(COUNT(V148:Z148)=0,"",IFERROR(ROUND(SUM(V148:Z148)/SUMPRODUCT(ISNUMBER(V148:Z148)*$V$8:$Z$8)*20,2),""))))</f>
        <v/>
      </c>
      <c r="AC148" s="75"/>
      <c r="AD148" s="76"/>
      <c r="AE148" s="76"/>
      <c r="AF148" s="76"/>
      <c r="AG148" s="76"/>
      <c r="AH148" s="76"/>
      <c r="AI148" s="79" t="str">
        <f aca="false">IF(B148="","",IF($AC148="NON",0,IF(COUNT(AD148:AH148)=0,"",SUM(AD148:AH148))))</f>
        <v/>
      </c>
      <c r="AJ148" s="77" t="str">
        <f aca="false">IF(B148="","",IF($AC148="NON",0,IF(COUNT(AD148:AH148)=0,"",IFERROR(ROUND(SUM(AD148:AH148)/SUMPRODUCT(ISNUMBER(AD148:AH148)*$AD$8:$AH$8)*20,2),""))))</f>
        <v/>
      </c>
      <c r="AK148" s="51" t="str">
        <f aca="false">IFERROR(MATCH("CM2-139",'REGISTRE ELEVES'!$AI$10:$AI$250,0),"")</f>
        <v/>
      </c>
    </row>
    <row r="149" customFormat="false" ht="15" hidden="false" customHeight="false" outlineLevel="0" collapsed="false">
      <c r="A149" s="73" t="str">
        <f aca="false">IF(B149="","",140)</f>
        <v/>
      </c>
      <c r="B149" s="73" t="str">
        <f aca="false">IF($AK149="","",INDEX('REGISTRE ELEVES'!$B$10:$B$250,$AK149))</f>
        <v/>
      </c>
      <c r="C149" s="74" t="str">
        <f aca="false">IF($AK149="","",INDEX('REGISTRE ELEVES'!$D$10:$D$250,$AK149))</f>
        <v/>
      </c>
      <c r="D149" s="73" t="str">
        <f aca="false">IF($AK149="","",INDEX('REGISTRE ELEVES'!$E$10:$E$250,$AK149))</f>
        <v/>
      </c>
      <c r="E149" s="73" t="str">
        <f aca="false">IF($AK149="","",INDEX('REGISTRE ELEVES'!$F$10:$F$250,$AK149))</f>
        <v/>
      </c>
      <c r="F149" s="73" t="str">
        <f aca="false">IF($AK149="","",INDEX('REGISTRE ELEVES'!$AE$10:$AE$250,$AK149))</f>
        <v/>
      </c>
      <c r="G149" s="75"/>
      <c r="H149" s="76"/>
      <c r="I149" s="76"/>
      <c r="J149" s="76"/>
      <c r="K149" s="76"/>
      <c r="L149" s="79" t="str">
        <f aca="false">IF(B149="","",IF($G149="NON",0,IF(COUNT(H149:K149)=0,"",SUM(H149:K149))))</f>
        <v/>
      </c>
      <c r="M149" s="77" t="str">
        <f aca="false">IF(B149="","",IF($G149="NON",0,IF(COUNT(H149:K149)=0,"",IFERROR(ROUND(SUM(H149:K149)/SUMPRODUCT(ISNUMBER(H149:K149)*$H$8:$K$8)*20,2),""))))</f>
        <v/>
      </c>
      <c r="N149" s="75"/>
      <c r="O149" s="76"/>
      <c r="P149" s="76"/>
      <c r="Q149" s="76"/>
      <c r="R149" s="76"/>
      <c r="S149" s="79" t="str">
        <f aca="false">IF(B149="","",IF($N149="NON",0,IF(COUNT(O149:R149)=0,"",SUM(O149:R149))))</f>
        <v/>
      </c>
      <c r="T149" s="77" t="str">
        <f aca="false">IF(B149="","",IF($N149="NON",0,IF(COUNT(O149:R149)=0,"",IFERROR(ROUND(SUM(O149:R149)/SUMPRODUCT(ISNUMBER(O149:R149)*$O$8:$R$8)*20,2),""))))</f>
        <v/>
      </c>
      <c r="U149" s="75"/>
      <c r="V149" s="76"/>
      <c r="W149" s="76"/>
      <c r="X149" s="76"/>
      <c r="Y149" s="76"/>
      <c r="Z149" s="76"/>
      <c r="AA149" s="79" t="str">
        <f aca="false">IF(B149="","",IF($U149="NON",0,IF(COUNT(V149:Z149)=0,"",SUM(V149:Z149))))</f>
        <v/>
      </c>
      <c r="AB149" s="77" t="str">
        <f aca="false">IF(B149="","",IF($U149="NON",0,IF(COUNT(V149:Z149)=0,"",IFERROR(ROUND(SUM(V149:Z149)/SUMPRODUCT(ISNUMBER(V149:Z149)*$V$8:$Z$8)*20,2),""))))</f>
        <v/>
      </c>
      <c r="AC149" s="75"/>
      <c r="AD149" s="76"/>
      <c r="AE149" s="76"/>
      <c r="AF149" s="76"/>
      <c r="AG149" s="76"/>
      <c r="AH149" s="76"/>
      <c r="AI149" s="79" t="str">
        <f aca="false">IF(B149="","",IF($AC149="NON",0,IF(COUNT(AD149:AH149)=0,"",SUM(AD149:AH149))))</f>
        <v/>
      </c>
      <c r="AJ149" s="77" t="str">
        <f aca="false">IF(B149="","",IF($AC149="NON",0,IF(COUNT(AD149:AH149)=0,"",IFERROR(ROUND(SUM(AD149:AH149)/SUMPRODUCT(ISNUMBER(AD149:AH149)*$AD$8:$AH$8)*20,2),""))))</f>
        <v/>
      </c>
      <c r="AK149" s="51" t="str">
        <f aca="false">IFERROR(MATCH("CM2-140",'REGISTRE ELEVES'!$AI$10:$AI$250,0),"")</f>
        <v/>
      </c>
    </row>
    <row r="150" customFormat="false" ht="15" hidden="false" customHeight="false" outlineLevel="0" collapsed="false">
      <c r="A150" s="73" t="str">
        <f aca="false">IF(B150="","",141)</f>
        <v/>
      </c>
      <c r="B150" s="73" t="str">
        <f aca="false">IF($AK150="","",INDEX('REGISTRE ELEVES'!$B$10:$B$250,$AK150))</f>
        <v/>
      </c>
      <c r="C150" s="74" t="str">
        <f aca="false">IF($AK150="","",INDEX('REGISTRE ELEVES'!$D$10:$D$250,$AK150))</f>
        <v/>
      </c>
      <c r="D150" s="73" t="str">
        <f aca="false">IF($AK150="","",INDEX('REGISTRE ELEVES'!$E$10:$E$250,$AK150))</f>
        <v/>
      </c>
      <c r="E150" s="73" t="str">
        <f aca="false">IF($AK150="","",INDEX('REGISTRE ELEVES'!$F$10:$F$250,$AK150))</f>
        <v/>
      </c>
      <c r="F150" s="73" t="str">
        <f aca="false">IF($AK150="","",INDEX('REGISTRE ELEVES'!$AE$10:$AE$250,$AK150))</f>
        <v/>
      </c>
      <c r="G150" s="75"/>
      <c r="H150" s="76"/>
      <c r="I150" s="76"/>
      <c r="J150" s="76"/>
      <c r="K150" s="76"/>
      <c r="L150" s="79" t="str">
        <f aca="false">IF(B150="","",IF($G150="NON",0,IF(COUNT(H150:K150)=0,"",SUM(H150:K150))))</f>
        <v/>
      </c>
      <c r="M150" s="77" t="str">
        <f aca="false">IF(B150="","",IF($G150="NON",0,IF(COUNT(H150:K150)=0,"",IFERROR(ROUND(SUM(H150:K150)/SUMPRODUCT(ISNUMBER(H150:K150)*$H$8:$K$8)*20,2),""))))</f>
        <v/>
      </c>
      <c r="N150" s="75"/>
      <c r="O150" s="76"/>
      <c r="P150" s="76"/>
      <c r="Q150" s="76"/>
      <c r="R150" s="76"/>
      <c r="S150" s="79" t="str">
        <f aca="false">IF(B150="","",IF($N150="NON",0,IF(COUNT(O150:R150)=0,"",SUM(O150:R150))))</f>
        <v/>
      </c>
      <c r="T150" s="77" t="str">
        <f aca="false">IF(B150="","",IF($N150="NON",0,IF(COUNT(O150:R150)=0,"",IFERROR(ROUND(SUM(O150:R150)/SUMPRODUCT(ISNUMBER(O150:R150)*$O$8:$R$8)*20,2),""))))</f>
        <v/>
      </c>
      <c r="U150" s="75"/>
      <c r="V150" s="76"/>
      <c r="W150" s="76"/>
      <c r="X150" s="76"/>
      <c r="Y150" s="76"/>
      <c r="Z150" s="76"/>
      <c r="AA150" s="79" t="str">
        <f aca="false">IF(B150="","",IF($U150="NON",0,IF(COUNT(V150:Z150)=0,"",SUM(V150:Z150))))</f>
        <v/>
      </c>
      <c r="AB150" s="77" t="str">
        <f aca="false">IF(B150="","",IF($U150="NON",0,IF(COUNT(V150:Z150)=0,"",IFERROR(ROUND(SUM(V150:Z150)/SUMPRODUCT(ISNUMBER(V150:Z150)*$V$8:$Z$8)*20,2),""))))</f>
        <v/>
      </c>
      <c r="AC150" s="75"/>
      <c r="AD150" s="76"/>
      <c r="AE150" s="76"/>
      <c r="AF150" s="76"/>
      <c r="AG150" s="76"/>
      <c r="AH150" s="76"/>
      <c r="AI150" s="79" t="str">
        <f aca="false">IF(B150="","",IF($AC150="NON",0,IF(COUNT(AD150:AH150)=0,"",SUM(AD150:AH150))))</f>
        <v/>
      </c>
      <c r="AJ150" s="77" t="str">
        <f aca="false">IF(B150="","",IF($AC150="NON",0,IF(COUNT(AD150:AH150)=0,"",IFERROR(ROUND(SUM(AD150:AH150)/SUMPRODUCT(ISNUMBER(AD150:AH150)*$AD$8:$AH$8)*20,2),""))))</f>
        <v/>
      </c>
      <c r="AK150" s="51" t="str">
        <f aca="false">IFERROR(MATCH("CM2-141",'REGISTRE ELEVES'!$AI$10:$AI$250,0),"")</f>
        <v/>
      </c>
    </row>
    <row r="151" customFormat="false" ht="15" hidden="false" customHeight="false" outlineLevel="0" collapsed="false">
      <c r="A151" s="73" t="str">
        <f aca="false">IF(B151="","",142)</f>
        <v/>
      </c>
      <c r="B151" s="73" t="str">
        <f aca="false">IF($AK151="","",INDEX('REGISTRE ELEVES'!$B$10:$B$250,$AK151))</f>
        <v/>
      </c>
      <c r="C151" s="74" t="str">
        <f aca="false">IF($AK151="","",INDEX('REGISTRE ELEVES'!$D$10:$D$250,$AK151))</f>
        <v/>
      </c>
      <c r="D151" s="73" t="str">
        <f aca="false">IF($AK151="","",INDEX('REGISTRE ELEVES'!$E$10:$E$250,$AK151))</f>
        <v/>
      </c>
      <c r="E151" s="73" t="str">
        <f aca="false">IF($AK151="","",INDEX('REGISTRE ELEVES'!$F$10:$F$250,$AK151))</f>
        <v/>
      </c>
      <c r="F151" s="73" t="str">
        <f aca="false">IF($AK151="","",INDEX('REGISTRE ELEVES'!$AE$10:$AE$250,$AK151))</f>
        <v/>
      </c>
      <c r="G151" s="75"/>
      <c r="H151" s="76"/>
      <c r="I151" s="76"/>
      <c r="J151" s="76"/>
      <c r="K151" s="76"/>
      <c r="L151" s="79" t="str">
        <f aca="false">IF(B151="","",IF($G151="NON",0,IF(COUNT(H151:K151)=0,"",SUM(H151:K151))))</f>
        <v/>
      </c>
      <c r="M151" s="77" t="str">
        <f aca="false">IF(B151="","",IF($G151="NON",0,IF(COUNT(H151:K151)=0,"",IFERROR(ROUND(SUM(H151:K151)/SUMPRODUCT(ISNUMBER(H151:K151)*$H$8:$K$8)*20,2),""))))</f>
        <v/>
      </c>
      <c r="N151" s="75"/>
      <c r="O151" s="76"/>
      <c r="P151" s="76"/>
      <c r="Q151" s="76"/>
      <c r="R151" s="76"/>
      <c r="S151" s="79" t="str">
        <f aca="false">IF(B151="","",IF($N151="NON",0,IF(COUNT(O151:R151)=0,"",SUM(O151:R151))))</f>
        <v/>
      </c>
      <c r="T151" s="77" t="str">
        <f aca="false">IF(B151="","",IF($N151="NON",0,IF(COUNT(O151:R151)=0,"",IFERROR(ROUND(SUM(O151:R151)/SUMPRODUCT(ISNUMBER(O151:R151)*$O$8:$R$8)*20,2),""))))</f>
        <v/>
      </c>
      <c r="U151" s="75"/>
      <c r="V151" s="76"/>
      <c r="W151" s="76"/>
      <c r="X151" s="76"/>
      <c r="Y151" s="76"/>
      <c r="Z151" s="76"/>
      <c r="AA151" s="79" t="str">
        <f aca="false">IF(B151="","",IF($U151="NON",0,IF(COUNT(V151:Z151)=0,"",SUM(V151:Z151))))</f>
        <v/>
      </c>
      <c r="AB151" s="77" t="str">
        <f aca="false">IF(B151="","",IF($U151="NON",0,IF(COUNT(V151:Z151)=0,"",IFERROR(ROUND(SUM(V151:Z151)/SUMPRODUCT(ISNUMBER(V151:Z151)*$V$8:$Z$8)*20,2),""))))</f>
        <v/>
      </c>
      <c r="AC151" s="75"/>
      <c r="AD151" s="76"/>
      <c r="AE151" s="76"/>
      <c r="AF151" s="76"/>
      <c r="AG151" s="76"/>
      <c r="AH151" s="76"/>
      <c r="AI151" s="79" t="str">
        <f aca="false">IF(B151="","",IF($AC151="NON",0,IF(COUNT(AD151:AH151)=0,"",SUM(AD151:AH151))))</f>
        <v/>
      </c>
      <c r="AJ151" s="77" t="str">
        <f aca="false">IF(B151="","",IF($AC151="NON",0,IF(COUNT(AD151:AH151)=0,"",IFERROR(ROUND(SUM(AD151:AH151)/SUMPRODUCT(ISNUMBER(AD151:AH151)*$AD$8:$AH$8)*20,2),""))))</f>
        <v/>
      </c>
      <c r="AK151" s="51" t="str">
        <f aca="false">IFERROR(MATCH("CM2-142",'REGISTRE ELEVES'!$AI$10:$AI$250,0),"")</f>
        <v/>
      </c>
    </row>
    <row r="152" customFormat="false" ht="15" hidden="false" customHeight="false" outlineLevel="0" collapsed="false">
      <c r="A152" s="73" t="str">
        <f aca="false">IF(B152="","",143)</f>
        <v/>
      </c>
      <c r="B152" s="73" t="str">
        <f aca="false">IF($AK152="","",INDEX('REGISTRE ELEVES'!$B$10:$B$250,$AK152))</f>
        <v/>
      </c>
      <c r="C152" s="74" t="str">
        <f aca="false">IF($AK152="","",INDEX('REGISTRE ELEVES'!$D$10:$D$250,$AK152))</f>
        <v/>
      </c>
      <c r="D152" s="73" t="str">
        <f aca="false">IF($AK152="","",INDEX('REGISTRE ELEVES'!$E$10:$E$250,$AK152))</f>
        <v/>
      </c>
      <c r="E152" s="73" t="str">
        <f aca="false">IF($AK152="","",INDEX('REGISTRE ELEVES'!$F$10:$F$250,$AK152))</f>
        <v/>
      </c>
      <c r="F152" s="73" t="str">
        <f aca="false">IF($AK152="","",INDEX('REGISTRE ELEVES'!$AE$10:$AE$250,$AK152))</f>
        <v/>
      </c>
      <c r="G152" s="75"/>
      <c r="H152" s="76"/>
      <c r="I152" s="76"/>
      <c r="J152" s="76"/>
      <c r="K152" s="76"/>
      <c r="L152" s="79" t="str">
        <f aca="false">IF(B152="","",IF($G152="NON",0,IF(COUNT(H152:K152)=0,"",SUM(H152:K152))))</f>
        <v/>
      </c>
      <c r="M152" s="77" t="str">
        <f aca="false">IF(B152="","",IF($G152="NON",0,IF(COUNT(H152:K152)=0,"",IFERROR(ROUND(SUM(H152:K152)/SUMPRODUCT(ISNUMBER(H152:K152)*$H$8:$K$8)*20,2),""))))</f>
        <v/>
      </c>
      <c r="N152" s="75"/>
      <c r="O152" s="76"/>
      <c r="P152" s="76"/>
      <c r="Q152" s="76"/>
      <c r="R152" s="76"/>
      <c r="S152" s="79" t="str">
        <f aca="false">IF(B152="","",IF($N152="NON",0,IF(COUNT(O152:R152)=0,"",SUM(O152:R152))))</f>
        <v/>
      </c>
      <c r="T152" s="77" t="str">
        <f aca="false">IF(B152="","",IF($N152="NON",0,IF(COUNT(O152:R152)=0,"",IFERROR(ROUND(SUM(O152:R152)/SUMPRODUCT(ISNUMBER(O152:R152)*$O$8:$R$8)*20,2),""))))</f>
        <v/>
      </c>
      <c r="U152" s="75"/>
      <c r="V152" s="76"/>
      <c r="W152" s="76"/>
      <c r="X152" s="76"/>
      <c r="Y152" s="76"/>
      <c r="Z152" s="76"/>
      <c r="AA152" s="79" t="str">
        <f aca="false">IF(B152="","",IF($U152="NON",0,IF(COUNT(V152:Z152)=0,"",SUM(V152:Z152))))</f>
        <v/>
      </c>
      <c r="AB152" s="77" t="str">
        <f aca="false">IF(B152="","",IF($U152="NON",0,IF(COUNT(V152:Z152)=0,"",IFERROR(ROUND(SUM(V152:Z152)/SUMPRODUCT(ISNUMBER(V152:Z152)*$V$8:$Z$8)*20,2),""))))</f>
        <v/>
      </c>
      <c r="AC152" s="75"/>
      <c r="AD152" s="76"/>
      <c r="AE152" s="76"/>
      <c r="AF152" s="76"/>
      <c r="AG152" s="76"/>
      <c r="AH152" s="76"/>
      <c r="AI152" s="79" t="str">
        <f aca="false">IF(B152="","",IF($AC152="NON",0,IF(COUNT(AD152:AH152)=0,"",SUM(AD152:AH152))))</f>
        <v/>
      </c>
      <c r="AJ152" s="77" t="str">
        <f aca="false">IF(B152="","",IF($AC152="NON",0,IF(COUNT(AD152:AH152)=0,"",IFERROR(ROUND(SUM(AD152:AH152)/SUMPRODUCT(ISNUMBER(AD152:AH152)*$AD$8:$AH$8)*20,2),""))))</f>
        <v/>
      </c>
      <c r="AK152" s="51" t="str">
        <f aca="false">IFERROR(MATCH("CM2-143",'REGISTRE ELEVES'!$AI$10:$AI$250,0),"")</f>
        <v/>
      </c>
    </row>
    <row r="153" customFormat="false" ht="15" hidden="false" customHeight="false" outlineLevel="0" collapsed="false">
      <c r="A153" s="73" t="str">
        <f aca="false">IF(B153="","",144)</f>
        <v/>
      </c>
      <c r="B153" s="73" t="str">
        <f aca="false">IF($AK153="","",INDEX('REGISTRE ELEVES'!$B$10:$B$250,$AK153))</f>
        <v/>
      </c>
      <c r="C153" s="74" t="str">
        <f aca="false">IF($AK153="","",INDEX('REGISTRE ELEVES'!$D$10:$D$250,$AK153))</f>
        <v/>
      </c>
      <c r="D153" s="73" t="str">
        <f aca="false">IF($AK153="","",INDEX('REGISTRE ELEVES'!$E$10:$E$250,$AK153))</f>
        <v/>
      </c>
      <c r="E153" s="73" t="str">
        <f aca="false">IF($AK153="","",INDEX('REGISTRE ELEVES'!$F$10:$F$250,$AK153))</f>
        <v/>
      </c>
      <c r="F153" s="73" t="str">
        <f aca="false">IF($AK153="","",INDEX('REGISTRE ELEVES'!$AE$10:$AE$250,$AK153))</f>
        <v/>
      </c>
      <c r="G153" s="75"/>
      <c r="H153" s="76"/>
      <c r="I153" s="76"/>
      <c r="J153" s="76"/>
      <c r="K153" s="76"/>
      <c r="L153" s="79" t="str">
        <f aca="false">IF(B153="","",IF($G153="NON",0,IF(COUNT(H153:K153)=0,"",SUM(H153:K153))))</f>
        <v/>
      </c>
      <c r="M153" s="77" t="str">
        <f aca="false">IF(B153="","",IF($G153="NON",0,IF(COUNT(H153:K153)=0,"",IFERROR(ROUND(SUM(H153:K153)/SUMPRODUCT(ISNUMBER(H153:K153)*$H$8:$K$8)*20,2),""))))</f>
        <v/>
      </c>
      <c r="N153" s="75"/>
      <c r="O153" s="76"/>
      <c r="P153" s="76"/>
      <c r="Q153" s="76"/>
      <c r="R153" s="76"/>
      <c r="S153" s="79" t="str">
        <f aca="false">IF(B153="","",IF($N153="NON",0,IF(COUNT(O153:R153)=0,"",SUM(O153:R153))))</f>
        <v/>
      </c>
      <c r="T153" s="77" t="str">
        <f aca="false">IF(B153="","",IF($N153="NON",0,IF(COUNT(O153:R153)=0,"",IFERROR(ROUND(SUM(O153:R153)/SUMPRODUCT(ISNUMBER(O153:R153)*$O$8:$R$8)*20,2),""))))</f>
        <v/>
      </c>
      <c r="U153" s="75"/>
      <c r="V153" s="76"/>
      <c r="W153" s="76"/>
      <c r="X153" s="76"/>
      <c r="Y153" s="76"/>
      <c r="Z153" s="76"/>
      <c r="AA153" s="79" t="str">
        <f aca="false">IF(B153="","",IF($U153="NON",0,IF(COUNT(V153:Z153)=0,"",SUM(V153:Z153))))</f>
        <v/>
      </c>
      <c r="AB153" s="77" t="str">
        <f aca="false">IF(B153="","",IF($U153="NON",0,IF(COUNT(V153:Z153)=0,"",IFERROR(ROUND(SUM(V153:Z153)/SUMPRODUCT(ISNUMBER(V153:Z153)*$V$8:$Z$8)*20,2),""))))</f>
        <v/>
      </c>
      <c r="AC153" s="75"/>
      <c r="AD153" s="76"/>
      <c r="AE153" s="76"/>
      <c r="AF153" s="76"/>
      <c r="AG153" s="76"/>
      <c r="AH153" s="76"/>
      <c r="AI153" s="79" t="str">
        <f aca="false">IF(B153="","",IF($AC153="NON",0,IF(COUNT(AD153:AH153)=0,"",SUM(AD153:AH153))))</f>
        <v/>
      </c>
      <c r="AJ153" s="77" t="str">
        <f aca="false">IF(B153="","",IF($AC153="NON",0,IF(COUNT(AD153:AH153)=0,"",IFERROR(ROUND(SUM(AD153:AH153)/SUMPRODUCT(ISNUMBER(AD153:AH153)*$AD$8:$AH$8)*20,2),""))))</f>
        <v/>
      </c>
      <c r="AK153" s="51" t="str">
        <f aca="false">IFERROR(MATCH("CM2-144",'REGISTRE ELEVES'!$AI$10:$AI$250,0),"")</f>
        <v/>
      </c>
    </row>
    <row r="154" customFormat="false" ht="15" hidden="false" customHeight="false" outlineLevel="0" collapsed="false">
      <c r="A154" s="73" t="str">
        <f aca="false">IF(B154="","",145)</f>
        <v/>
      </c>
      <c r="B154" s="73" t="str">
        <f aca="false">IF($AK154="","",INDEX('REGISTRE ELEVES'!$B$10:$B$250,$AK154))</f>
        <v/>
      </c>
      <c r="C154" s="74" t="str">
        <f aca="false">IF($AK154="","",INDEX('REGISTRE ELEVES'!$D$10:$D$250,$AK154))</f>
        <v/>
      </c>
      <c r="D154" s="73" t="str">
        <f aca="false">IF($AK154="","",INDEX('REGISTRE ELEVES'!$E$10:$E$250,$AK154))</f>
        <v/>
      </c>
      <c r="E154" s="73" t="str">
        <f aca="false">IF($AK154="","",INDEX('REGISTRE ELEVES'!$F$10:$F$250,$AK154))</f>
        <v/>
      </c>
      <c r="F154" s="73" t="str">
        <f aca="false">IF($AK154="","",INDEX('REGISTRE ELEVES'!$AE$10:$AE$250,$AK154))</f>
        <v/>
      </c>
      <c r="G154" s="75"/>
      <c r="H154" s="76"/>
      <c r="I154" s="76"/>
      <c r="J154" s="76"/>
      <c r="K154" s="76"/>
      <c r="L154" s="79" t="str">
        <f aca="false">IF(B154="","",IF($G154="NON",0,IF(COUNT(H154:K154)=0,"",SUM(H154:K154))))</f>
        <v/>
      </c>
      <c r="M154" s="77" t="str">
        <f aca="false">IF(B154="","",IF($G154="NON",0,IF(COUNT(H154:K154)=0,"",IFERROR(ROUND(SUM(H154:K154)/SUMPRODUCT(ISNUMBER(H154:K154)*$H$8:$K$8)*20,2),""))))</f>
        <v/>
      </c>
      <c r="N154" s="75"/>
      <c r="O154" s="76"/>
      <c r="P154" s="76"/>
      <c r="Q154" s="76"/>
      <c r="R154" s="76"/>
      <c r="S154" s="79" t="str">
        <f aca="false">IF(B154="","",IF($N154="NON",0,IF(COUNT(O154:R154)=0,"",SUM(O154:R154))))</f>
        <v/>
      </c>
      <c r="T154" s="77" t="str">
        <f aca="false">IF(B154="","",IF($N154="NON",0,IF(COUNT(O154:R154)=0,"",IFERROR(ROUND(SUM(O154:R154)/SUMPRODUCT(ISNUMBER(O154:R154)*$O$8:$R$8)*20,2),""))))</f>
        <v/>
      </c>
      <c r="U154" s="75"/>
      <c r="V154" s="76"/>
      <c r="W154" s="76"/>
      <c r="X154" s="76"/>
      <c r="Y154" s="76"/>
      <c r="Z154" s="76"/>
      <c r="AA154" s="79" t="str">
        <f aca="false">IF(B154="","",IF($U154="NON",0,IF(COUNT(V154:Z154)=0,"",SUM(V154:Z154))))</f>
        <v/>
      </c>
      <c r="AB154" s="77" t="str">
        <f aca="false">IF(B154="","",IF($U154="NON",0,IF(COUNT(V154:Z154)=0,"",IFERROR(ROUND(SUM(V154:Z154)/SUMPRODUCT(ISNUMBER(V154:Z154)*$V$8:$Z$8)*20,2),""))))</f>
        <v/>
      </c>
      <c r="AC154" s="75"/>
      <c r="AD154" s="76"/>
      <c r="AE154" s="76"/>
      <c r="AF154" s="76"/>
      <c r="AG154" s="76"/>
      <c r="AH154" s="76"/>
      <c r="AI154" s="79" t="str">
        <f aca="false">IF(B154="","",IF($AC154="NON",0,IF(COUNT(AD154:AH154)=0,"",SUM(AD154:AH154))))</f>
        <v/>
      </c>
      <c r="AJ154" s="77" t="str">
        <f aca="false">IF(B154="","",IF($AC154="NON",0,IF(COUNT(AD154:AH154)=0,"",IFERROR(ROUND(SUM(AD154:AH154)/SUMPRODUCT(ISNUMBER(AD154:AH154)*$AD$8:$AH$8)*20,2),""))))</f>
        <v/>
      </c>
      <c r="AK154" s="51" t="str">
        <f aca="false">IFERROR(MATCH("CM2-145",'REGISTRE ELEVES'!$AI$10:$AI$250,0),"")</f>
        <v/>
      </c>
    </row>
    <row r="155" customFormat="false" ht="15" hidden="false" customHeight="false" outlineLevel="0" collapsed="false">
      <c r="A155" s="73" t="str">
        <f aca="false">IF(B155="","",146)</f>
        <v/>
      </c>
      <c r="B155" s="73" t="str">
        <f aca="false">IF($AK155="","",INDEX('REGISTRE ELEVES'!$B$10:$B$250,$AK155))</f>
        <v/>
      </c>
      <c r="C155" s="74" t="str">
        <f aca="false">IF($AK155="","",INDEX('REGISTRE ELEVES'!$D$10:$D$250,$AK155))</f>
        <v/>
      </c>
      <c r="D155" s="73" t="str">
        <f aca="false">IF($AK155="","",INDEX('REGISTRE ELEVES'!$E$10:$E$250,$AK155))</f>
        <v/>
      </c>
      <c r="E155" s="73" t="str">
        <f aca="false">IF($AK155="","",INDEX('REGISTRE ELEVES'!$F$10:$F$250,$AK155))</f>
        <v/>
      </c>
      <c r="F155" s="73" t="str">
        <f aca="false">IF($AK155="","",INDEX('REGISTRE ELEVES'!$AE$10:$AE$250,$AK155))</f>
        <v/>
      </c>
      <c r="G155" s="75"/>
      <c r="H155" s="76"/>
      <c r="I155" s="76"/>
      <c r="J155" s="76"/>
      <c r="K155" s="76"/>
      <c r="L155" s="79" t="str">
        <f aca="false">IF(B155="","",IF($G155="NON",0,IF(COUNT(H155:K155)=0,"",SUM(H155:K155))))</f>
        <v/>
      </c>
      <c r="M155" s="77" t="str">
        <f aca="false">IF(B155="","",IF($G155="NON",0,IF(COUNT(H155:K155)=0,"",IFERROR(ROUND(SUM(H155:K155)/SUMPRODUCT(ISNUMBER(H155:K155)*$H$8:$K$8)*20,2),""))))</f>
        <v/>
      </c>
      <c r="N155" s="75"/>
      <c r="O155" s="76"/>
      <c r="P155" s="76"/>
      <c r="Q155" s="76"/>
      <c r="R155" s="76"/>
      <c r="S155" s="79" t="str">
        <f aca="false">IF(B155="","",IF($N155="NON",0,IF(COUNT(O155:R155)=0,"",SUM(O155:R155))))</f>
        <v/>
      </c>
      <c r="T155" s="77" t="str">
        <f aca="false">IF(B155="","",IF($N155="NON",0,IF(COUNT(O155:R155)=0,"",IFERROR(ROUND(SUM(O155:R155)/SUMPRODUCT(ISNUMBER(O155:R155)*$O$8:$R$8)*20,2),""))))</f>
        <v/>
      </c>
      <c r="U155" s="75"/>
      <c r="V155" s="76"/>
      <c r="W155" s="76"/>
      <c r="X155" s="76"/>
      <c r="Y155" s="76"/>
      <c r="Z155" s="76"/>
      <c r="AA155" s="79" t="str">
        <f aca="false">IF(B155="","",IF($U155="NON",0,IF(COUNT(V155:Z155)=0,"",SUM(V155:Z155))))</f>
        <v/>
      </c>
      <c r="AB155" s="77" t="str">
        <f aca="false">IF(B155="","",IF($U155="NON",0,IF(COUNT(V155:Z155)=0,"",IFERROR(ROUND(SUM(V155:Z155)/SUMPRODUCT(ISNUMBER(V155:Z155)*$V$8:$Z$8)*20,2),""))))</f>
        <v/>
      </c>
      <c r="AC155" s="75"/>
      <c r="AD155" s="76"/>
      <c r="AE155" s="76"/>
      <c r="AF155" s="76"/>
      <c r="AG155" s="76"/>
      <c r="AH155" s="76"/>
      <c r="AI155" s="79" t="str">
        <f aca="false">IF(B155="","",IF($AC155="NON",0,IF(COUNT(AD155:AH155)=0,"",SUM(AD155:AH155))))</f>
        <v/>
      </c>
      <c r="AJ155" s="77" t="str">
        <f aca="false">IF(B155="","",IF($AC155="NON",0,IF(COUNT(AD155:AH155)=0,"",IFERROR(ROUND(SUM(AD155:AH155)/SUMPRODUCT(ISNUMBER(AD155:AH155)*$AD$8:$AH$8)*20,2),""))))</f>
        <v/>
      </c>
      <c r="AK155" s="51" t="str">
        <f aca="false">IFERROR(MATCH("CM2-146",'REGISTRE ELEVES'!$AI$10:$AI$250,0),"")</f>
        <v/>
      </c>
    </row>
    <row r="156" customFormat="false" ht="15" hidden="false" customHeight="false" outlineLevel="0" collapsed="false">
      <c r="A156" s="73" t="str">
        <f aca="false">IF(B156="","",147)</f>
        <v/>
      </c>
      <c r="B156" s="73" t="str">
        <f aca="false">IF($AK156="","",INDEX('REGISTRE ELEVES'!$B$10:$B$250,$AK156))</f>
        <v/>
      </c>
      <c r="C156" s="74" t="str">
        <f aca="false">IF($AK156="","",INDEX('REGISTRE ELEVES'!$D$10:$D$250,$AK156))</f>
        <v/>
      </c>
      <c r="D156" s="73" t="str">
        <f aca="false">IF($AK156="","",INDEX('REGISTRE ELEVES'!$E$10:$E$250,$AK156))</f>
        <v/>
      </c>
      <c r="E156" s="73" t="str">
        <f aca="false">IF($AK156="","",INDEX('REGISTRE ELEVES'!$F$10:$F$250,$AK156))</f>
        <v/>
      </c>
      <c r="F156" s="73" t="str">
        <f aca="false">IF($AK156="","",INDEX('REGISTRE ELEVES'!$AE$10:$AE$250,$AK156))</f>
        <v/>
      </c>
      <c r="G156" s="75"/>
      <c r="H156" s="76"/>
      <c r="I156" s="76"/>
      <c r="J156" s="76"/>
      <c r="K156" s="76"/>
      <c r="L156" s="79" t="str">
        <f aca="false">IF(B156="","",IF($G156="NON",0,IF(COUNT(H156:K156)=0,"",SUM(H156:K156))))</f>
        <v/>
      </c>
      <c r="M156" s="77" t="str">
        <f aca="false">IF(B156="","",IF($G156="NON",0,IF(COUNT(H156:K156)=0,"",IFERROR(ROUND(SUM(H156:K156)/SUMPRODUCT(ISNUMBER(H156:K156)*$H$8:$K$8)*20,2),""))))</f>
        <v/>
      </c>
      <c r="N156" s="75"/>
      <c r="O156" s="76"/>
      <c r="P156" s="76"/>
      <c r="Q156" s="76"/>
      <c r="R156" s="76"/>
      <c r="S156" s="79" t="str">
        <f aca="false">IF(B156="","",IF($N156="NON",0,IF(COUNT(O156:R156)=0,"",SUM(O156:R156))))</f>
        <v/>
      </c>
      <c r="T156" s="77" t="str">
        <f aca="false">IF(B156="","",IF($N156="NON",0,IF(COUNT(O156:R156)=0,"",IFERROR(ROUND(SUM(O156:R156)/SUMPRODUCT(ISNUMBER(O156:R156)*$O$8:$R$8)*20,2),""))))</f>
        <v/>
      </c>
      <c r="U156" s="75"/>
      <c r="V156" s="76"/>
      <c r="W156" s="76"/>
      <c r="X156" s="76"/>
      <c r="Y156" s="76"/>
      <c r="Z156" s="76"/>
      <c r="AA156" s="79" t="str">
        <f aca="false">IF(B156="","",IF($U156="NON",0,IF(COUNT(V156:Z156)=0,"",SUM(V156:Z156))))</f>
        <v/>
      </c>
      <c r="AB156" s="77" t="str">
        <f aca="false">IF(B156="","",IF($U156="NON",0,IF(COUNT(V156:Z156)=0,"",IFERROR(ROUND(SUM(V156:Z156)/SUMPRODUCT(ISNUMBER(V156:Z156)*$V$8:$Z$8)*20,2),""))))</f>
        <v/>
      </c>
      <c r="AC156" s="75"/>
      <c r="AD156" s="76"/>
      <c r="AE156" s="76"/>
      <c r="AF156" s="76"/>
      <c r="AG156" s="76"/>
      <c r="AH156" s="76"/>
      <c r="AI156" s="79" t="str">
        <f aca="false">IF(B156="","",IF($AC156="NON",0,IF(COUNT(AD156:AH156)=0,"",SUM(AD156:AH156))))</f>
        <v/>
      </c>
      <c r="AJ156" s="77" t="str">
        <f aca="false">IF(B156="","",IF($AC156="NON",0,IF(COUNT(AD156:AH156)=0,"",IFERROR(ROUND(SUM(AD156:AH156)/SUMPRODUCT(ISNUMBER(AD156:AH156)*$AD$8:$AH$8)*20,2),""))))</f>
        <v/>
      </c>
      <c r="AK156" s="51" t="str">
        <f aca="false">IFERROR(MATCH("CM2-147",'REGISTRE ELEVES'!$AI$10:$AI$250,0),"")</f>
        <v/>
      </c>
    </row>
    <row r="157" customFormat="false" ht="15" hidden="false" customHeight="false" outlineLevel="0" collapsed="false">
      <c r="A157" s="73" t="str">
        <f aca="false">IF(B157="","",148)</f>
        <v/>
      </c>
      <c r="B157" s="73" t="str">
        <f aca="false">IF($AK157="","",INDEX('REGISTRE ELEVES'!$B$10:$B$250,$AK157))</f>
        <v/>
      </c>
      <c r="C157" s="74" t="str">
        <f aca="false">IF($AK157="","",INDEX('REGISTRE ELEVES'!$D$10:$D$250,$AK157))</f>
        <v/>
      </c>
      <c r="D157" s="73" t="str">
        <f aca="false">IF($AK157="","",INDEX('REGISTRE ELEVES'!$E$10:$E$250,$AK157))</f>
        <v/>
      </c>
      <c r="E157" s="73" t="str">
        <f aca="false">IF($AK157="","",INDEX('REGISTRE ELEVES'!$F$10:$F$250,$AK157))</f>
        <v/>
      </c>
      <c r="F157" s="73" t="str">
        <f aca="false">IF($AK157="","",INDEX('REGISTRE ELEVES'!$AE$10:$AE$250,$AK157))</f>
        <v/>
      </c>
      <c r="G157" s="75"/>
      <c r="H157" s="76"/>
      <c r="I157" s="76"/>
      <c r="J157" s="76"/>
      <c r="K157" s="76"/>
      <c r="L157" s="79" t="str">
        <f aca="false">IF(B157="","",IF($G157="NON",0,IF(COUNT(H157:K157)=0,"",SUM(H157:K157))))</f>
        <v/>
      </c>
      <c r="M157" s="77" t="str">
        <f aca="false">IF(B157="","",IF($G157="NON",0,IF(COUNT(H157:K157)=0,"",IFERROR(ROUND(SUM(H157:K157)/SUMPRODUCT(ISNUMBER(H157:K157)*$H$8:$K$8)*20,2),""))))</f>
        <v/>
      </c>
      <c r="N157" s="75"/>
      <c r="O157" s="76"/>
      <c r="P157" s="76"/>
      <c r="Q157" s="76"/>
      <c r="R157" s="76"/>
      <c r="S157" s="79" t="str">
        <f aca="false">IF(B157="","",IF($N157="NON",0,IF(COUNT(O157:R157)=0,"",SUM(O157:R157))))</f>
        <v/>
      </c>
      <c r="T157" s="77" t="str">
        <f aca="false">IF(B157="","",IF($N157="NON",0,IF(COUNT(O157:R157)=0,"",IFERROR(ROUND(SUM(O157:R157)/SUMPRODUCT(ISNUMBER(O157:R157)*$O$8:$R$8)*20,2),""))))</f>
        <v/>
      </c>
      <c r="U157" s="75"/>
      <c r="V157" s="76"/>
      <c r="W157" s="76"/>
      <c r="X157" s="76"/>
      <c r="Y157" s="76"/>
      <c r="Z157" s="76"/>
      <c r="AA157" s="79" t="str">
        <f aca="false">IF(B157="","",IF($U157="NON",0,IF(COUNT(V157:Z157)=0,"",SUM(V157:Z157))))</f>
        <v/>
      </c>
      <c r="AB157" s="77" t="str">
        <f aca="false">IF(B157="","",IF($U157="NON",0,IF(COUNT(V157:Z157)=0,"",IFERROR(ROUND(SUM(V157:Z157)/SUMPRODUCT(ISNUMBER(V157:Z157)*$V$8:$Z$8)*20,2),""))))</f>
        <v/>
      </c>
      <c r="AC157" s="75"/>
      <c r="AD157" s="76"/>
      <c r="AE157" s="76"/>
      <c r="AF157" s="76"/>
      <c r="AG157" s="76"/>
      <c r="AH157" s="76"/>
      <c r="AI157" s="79" t="str">
        <f aca="false">IF(B157="","",IF($AC157="NON",0,IF(COUNT(AD157:AH157)=0,"",SUM(AD157:AH157))))</f>
        <v/>
      </c>
      <c r="AJ157" s="77" t="str">
        <f aca="false">IF(B157="","",IF($AC157="NON",0,IF(COUNT(AD157:AH157)=0,"",IFERROR(ROUND(SUM(AD157:AH157)/SUMPRODUCT(ISNUMBER(AD157:AH157)*$AD$8:$AH$8)*20,2),""))))</f>
        <v/>
      </c>
      <c r="AK157" s="51" t="str">
        <f aca="false">IFERROR(MATCH("CM2-148",'REGISTRE ELEVES'!$AI$10:$AI$250,0),"")</f>
        <v/>
      </c>
    </row>
    <row r="158" customFormat="false" ht="15" hidden="false" customHeight="false" outlineLevel="0" collapsed="false">
      <c r="A158" s="73" t="str">
        <f aca="false">IF(B158="","",149)</f>
        <v/>
      </c>
      <c r="B158" s="73" t="str">
        <f aca="false">IF($AK158="","",INDEX('REGISTRE ELEVES'!$B$10:$B$250,$AK158))</f>
        <v/>
      </c>
      <c r="C158" s="74" t="str">
        <f aca="false">IF($AK158="","",INDEX('REGISTRE ELEVES'!$D$10:$D$250,$AK158))</f>
        <v/>
      </c>
      <c r="D158" s="73" t="str">
        <f aca="false">IF($AK158="","",INDEX('REGISTRE ELEVES'!$E$10:$E$250,$AK158))</f>
        <v/>
      </c>
      <c r="E158" s="73" t="str">
        <f aca="false">IF($AK158="","",INDEX('REGISTRE ELEVES'!$F$10:$F$250,$AK158))</f>
        <v/>
      </c>
      <c r="F158" s="73" t="str">
        <f aca="false">IF($AK158="","",INDEX('REGISTRE ELEVES'!$AE$10:$AE$250,$AK158))</f>
        <v/>
      </c>
      <c r="G158" s="75"/>
      <c r="H158" s="76"/>
      <c r="I158" s="76"/>
      <c r="J158" s="76"/>
      <c r="K158" s="76"/>
      <c r="L158" s="79" t="str">
        <f aca="false">IF(B158="","",IF($G158="NON",0,IF(COUNT(H158:K158)=0,"",SUM(H158:K158))))</f>
        <v/>
      </c>
      <c r="M158" s="77" t="str">
        <f aca="false">IF(B158="","",IF($G158="NON",0,IF(COUNT(H158:K158)=0,"",IFERROR(ROUND(SUM(H158:K158)/SUMPRODUCT(ISNUMBER(H158:K158)*$H$8:$K$8)*20,2),""))))</f>
        <v/>
      </c>
      <c r="N158" s="75"/>
      <c r="O158" s="76"/>
      <c r="P158" s="76"/>
      <c r="Q158" s="76"/>
      <c r="R158" s="76"/>
      <c r="S158" s="79" t="str">
        <f aca="false">IF(B158="","",IF($N158="NON",0,IF(COUNT(O158:R158)=0,"",SUM(O158:R158))))</f>
        <v/>
      </c>
      <c r="T158" s="77" t="str">
        <f aca="false">IF(B158="","",IF($N158="NON",0,IF(COUNT(O158:R158)=0,"",IFERROR(ROUND(SUM(O158:R158)/SUMPRODUCT(ISNUMBER(O158:R158)*$O$8:$R$8)*20,2),""))))</f>
        <v/>
      </c>
      <c r="U158" s="75"/>
      <c r="V158" s="76"/>
      <c r="W158" s="76"/>
      <c r="X158" s="76"/>
      <c r="Y158" s="76"/>
      <c r="Z158" s="76"/>
      <c r="AA158" s="79" t="str">
        <f aca="false">IF(B158="","",IF($U158="NON",0,IF(COUNT(V158:Z158)=0,"",SUM(V158:Z158))))</f>
        <v/>
      </c>
      <c r="AB158" s="77" t="str">
        <f aca="false">IF(B158="","",IF($U158="NON",0,IF(COUNT(V158:Z158)=0,"",IFERROR(ROUND(SUM(V158:Z158)/SUMPRODUCT(ISNUMBER(V158:Z158)*$V$8:$Z$8)*20,2),""))))</f>
        <v/>
      </c>
      <c r="AC158" s="75"/>
      <c r="AD158" s="76"/>
      <c r="AE158" s="76"/>
      <c r="AF158" s="76"/>
      <c r="AG158" s="76"/>
      <c r="AH158" s="76"/>
      <c r="AI158" s="79" t="str">
        <f aca="false">IF(B158="","",IF($AC158="NON",0,IF(COUNT(AD158:AH158)=0,"",SUM(AD158:AH158))))</f>
        <v/>
      </c>
      <c r="AJ158" s="77" t="str">
        <f aca="false">IF(B158="","",IF($AC158="NON",0,IF(COUNT(AD158:AH158)=0,"",IFERROR(ROUND(SUM(AD158:AH158)/SUMPRODUCT(ISNUMBER(AD158:AH158)*$AD$8:$AH$8)*20,2),""))))</f>
        <v/>
      </c>
      <c r="AK158" s="51" t="str">
        <f aca="false">IFERROR(MATCH("CM2-149",'REGISTRE ELEVES'!$AI$10:$AI$250,0),"")</f>
        <v/>
      </c>
    </row>
    <row r="159" customFormat="false" ht="15" hidden="false" customHeight="false" outlineLevel="0" collapsed="false">
      <c r="A159" s="73" t="str">
        <f aca="false">IF(B159="","",150)</f>
        <v/>
      </c>
      <c r="B159" s="73" t="str">
        <f aca="false">IF($AK159="","",INDEX('REGISTRE ELEVES'!$B$10:$B$250,$AK159))</f>
        <v/>
      </c>
      <c r="C159" s="74" t="str">
        <f aca="false">IF($AK159="","",INDEX('REGISTRE ELEVES'!$D$10:$D$250,$AK159))</f>
        <v/>
      </c>
      <c r="D159" s="73" t="str">
        <f aca="false">IF($AK159="","",INDEX('REGISTRE ELEVES'!$E$10:$E$250,$AK159))</f>
        <v/>
      </c>
      <c r="E159" s="73" t="str">
        <f aca="false">IF($AK159="","",INDEX('REGISTRE ELEVES'!$F$10:$F$250,$AK159))</f>
        <v/>
      </c>
      <c r="F159" s="73" t="str">
        <f aca="false">IF($AK159="","",INDEX('REGISTRE ELEVES'!$AE$10:$AE$250,$AK159))</f>
        <v/>
      </c>
      <c r="G159" s="75"/>
      <c r="H159" s="76"/>
      <c r="I159" s="76"/>
      <c r="J159" s="76"/>
      <c r="K159" s="76"/>
      <c r="L159" s="79" t="str">
        <f aca="false">IF(B159="","",IF($G159="NON",0,IF(COUNT(H159:K159)=0,"",SUM(H159:K159))))</f>
        <v/>
      </c>
      <c r="M159" s="77" t="str">
        <f aca="false">IF(B159="","",IF($G159="NON",0,IF(COUNT(H159:K159)=0,"",IFERROR(ROUND(SUM(H159:K159)/SUMPRODUCT(ISNUMBER(H159:K159)*$H$8:$K$8)*20,2),""))))</f>
        <v/>
      </c>
      <c r="N159" s="75"/>
      <c r="O159" s="76"/>
      <c r="P159" s="76"/>
      <c r="Q159" s="76"/>
      <c r="R159" s="76"/>
      <c r="S159" s="79" t="str">
        <f aca="false">IF(B159="","",IF($N159="NON",0,IF(COUNT(O159:R159)=0,"",SUM(O159:R159))))</f>
        <v/>
      </c>
      <c r="T159" s="77" t="str">
        <f aca="false">IF(B159="","",IF($N159="NON",0,IF(COUNT(O159:R159)=0,"",IFERROR(ROUND(SUM(O159:R159)/SUMPRODUCT(ISNUMBER(O159:R159)*$O$8:$R$8)*20,2),""))))</f>
        <v/>
      </c>
      <c r="U159" s="75"/>
      <c r="V159" s="76"/>
      <c r="W159" s="76"/>
      <c r="X159" s="76"/>
      <c r="Y159" s="76"/>
      <c r="Z159" s="76"/>
      <c r="AA159" s="79" t="str">
        <f aca="false">IF(B159="","",IF($U159="NON",0,IF(COUNT(V159:Z159)=0,"",SUM(V159:Z159))))</f>
        <v/>
      </c>
      <c r="AB159" s="77" t="str">
        <f aca="false">IF(B159="","",IF($U159="NON",0,IF(COUNT(V159:Z159)=0,"",IFERROR(ROUND(SUM(V159:Z159)/SUMPRODUCT(ISNUMBER(V159:Z159)*$V$8:$Z$8)*20,2),""))))</f>
        <v/>
      </c>
      <c r="AC159" s="75"/>
      <c r="AD159" s="76"/>
      <c r="AE159" s="76"/>
      <c r="AF159" s="76"/>
      <c r="AG159" s="76"/>
      <c r="AH159" s="76"/>
      <c r="AI159" s="79" t="str">
        <f aca="false">IF(B159="","",IF($AC159="NON",0,IF(COUNT(AD159:AH159)=0,"",SUM(AD159:AH159))))</f>
        <v/>
      </c>
      <c r="AJ159" s="77" t="str">
        <f aca="false">IF(B159="","",IF($AC159="NON",0,IF(COUNT(AD159:AH159)=0,"",IFERROR(ROUND(SUM(AD159:AH159)/SUMPRODUCT(ISNUMBER(AD159:AH159)*$AD$8:$AH$8)*20,2),""))))</f>
        <v/>
      </c>
      <c r="AK159" s="51" t="str">
        <f aca="false">IFERROR(MATCH("CM2-150",'REGISTRE ELEVES'!$AI$10:$AI$250,0),"")</f>
        <v/>
      </c>
    </row>
    <row r="160" customFormat="false" ht="15" hidden="false" customHeight="false" outlineLevel="0" collapsed="false">
      <c r="A160" s="73" t="str">
        <f aca="false">IF(B160="","",151)</f>
        <v/>
      </c>
      <c r="B160" s="73" t="str">
        <f aca="false">IF($AK160="","",INDEX('REGISTRE ELEVES'!$B$10:$B$250,$AK160))</f>
        <v/>
      </c>
      <c r="C160" s="74" t="str">
        <f aca="false">IF($AK160="","",INDEX('REGISTRE ELEVES'!$D$10:$D$250,$AK160))</f>
        <v/>
      </c>
      <c r="D160" s="73" t="str">
        <f aca="false">IF($AK160="","",INDEX('REGISTRE ELEVES'!$E$10:$E$250,$AK160))</f>
        <v/>
      </c>
      <c r="E160" s="73" t="str">
        <f aca="false">IF($AK160="","",INDEX('REGISTRE ELEVES'!$F$10:$F$250,$AK160))</f>
        <v/>
      </c>
      <c r="F160" s="73" t="str">
        <f aca="false">IF($AK160="","",INDEX('REGISTRE ELEVES'!$AE$10:$AE$250,$AK160))</f>
        <v/>
      </c>
      <c r="G160" s="75"/>
      <c r="H160" s="76"/>
      <c r="I160" s="76"/>
      <c r="J160" s="76"/>
      <c r="K160" s="76"/>
      <c r="L160" s="79" t="str">
        <f aca="false">IF(B160="","",IF($G160="NON",0,IF(COUNT(H160:K160)=0,"",SUM(H160:K160))))</f>
        <v/>
      </c>
      <c r="M160" s="77" t="str">
        <f aca="false">IF(B160="","",IF($G160="NON",0,IF(COUNT(H160:K160)=0,"",IFERROR(ROUND(SUM(H160:K160)/SUMPRODUCT(ISNUMBER(H160:K160)*$H$8:$K$8)*20,2),""))))</f>
        <v/>
      </c>
      <c r="N160" s="75"/>
      <c r="O160" s="76"/>
      <c r="P160" s="76"/>
      <c r="Q160" s="76"/>
      <c r="R160" s="76"/>
      <c r="S160" s="79" t="str">
        <f aca="false">IF(B160="","",IF($N160="NON",0,IF(COUNT(O160:R160)=0,"",SUM(O160:R160))))</f>
        <v/>
      </c>
      <c r="T160" s="77" t="str">
        <f aca="false">IF(B160="","",IF($N160="NON",0,IF(COUNT(O160:R160)=0,"",IFERROR(ROUND(SUM(O160:R160)/SUMPRODUCT(ISNUMBER(O160:R160)*$O$8:$R$8)*20,2),""))))</f>
        <v/>
      </c>
      <c r="U160" s="75"/>
      <c r="V160" s="76"/>
      <c r="W160" s="76"/>
      <c r="X160" s="76"/>
      <c r="Y160" s="76"/>
      <c r="Z160" s="76"/>
      <c r="AA160" s="79" t="str">
        <f aca="false">IF(B160="","",IF($U160="NON",0,IF(COUNT(V160:Z160)=0,"",SUM(V160:Z160))))</f>
        <v/>
      </c>
      <c r="AB160" s="77" t="str">
        <f aca="false">IF(B160="","",IF($U160="NON",0,IF(COUNT(V160:Z160)=0,"",IFERROR(ROUND(SUM(V160:Z160)/SUMPRODUCT(ISNUMBER(V160:Z160)*$V$8:$Z$8)*20,2),""))))</f>
        <v/>
      </c>
      <c r="AC160" s="75"/>
      <c r="AD160" s="76"/>
      <c r="AE160" s="76"/>
      <c r="AF160" s="76"/>
      <c r="AG160" s="76"/>
      <c r="AH160" s="76"/>
      <c r="AI160" s="79" t="str">
        <f aca="false">IF(B160="","",IF($AC160="NON",0,IF(COUNT(AD160:AH160)=0,"",SUM(AD160:AH160))))</f>
        <v/>
      </c>
      <c r="AJ160" s="77" t="str">
        <f aca="false">IF(B160="","",IF($AC160="NON",0,IF(COUNT(AD160:AH160)=0,"",IFERROR(ROUND(SUM(AD160:AH160)/SUMPRODUCT(ISNUMBER(AD160:AH160)*$AD$8:$AH$8)*20,2),""))))</f>
        <v/>
      </c>
      <c r="AK160" s="51" t="str">
        <f aca="false">IFERROR(MATCH("CM2-151",'REGISTRE ELEVES'!$AI$10:$AI$250,0),"")</f>
        <v/>
      </c>
    </row>
    <row r="161" customFormat="false" ht="15" hidden="false" customHeight="false" outlineLevel="0" collapsed="false">
      <c r="A161" s="73" t="str">
        <f aca="false">IF(B161="","",152)</f>
        <v/>
      </c>
      <c r="B161" s="73" t="str">
        <f aca="false">IF($AK161="","",INDEX('REGISTRE ELEVES'!$B$10:$B$250,$AK161))</f>
        <v/>
      </c>
      <c r="C161" s="74" t="str">
        <f aca="false">IF($AK161="","",INDEX('REGISTRE ELEVES'!$D$10:$D$250,$AK161))</f>
        <v/>
      </c>
      <c r="D161" s="73" t="str">
        <f aca="false">IF($AK161="","",INDEX('REGISTRE ELEVES'!$E$10:$E$250,$AK161))</f>
        <v/>
      </c>
      <c r="E161" s="73" t="str">
        <f aca="false">IF($AK161="","",INDEX('REGISTRE ELEVES'!$F$10:$F$250,$AK161))</f>
        <v/>
      </c>
      <c r="F161" s="73" t="str">
        <f aca="false">IF($AK161="","",INDEX('REGISTRE ELEVES'!$AE$10:$AE$250,$AK161))</f>
        <v/>
      </c>
      <c r="G161" s="75"/>
      <c r="H161" s="76"/>
      <c r="I161" s="76"/>
      <c r="J161" s="76"/>
      <c r="K161" s="76"/>
      <c r="L161" s="79" t="str">
        <f aca="false">IF(B161="","",IF($G161="NON",0,IF(COUNT(H161:K161)=0,"",SUM(H161:K161))))</f>
        <v/>
      </c>
      <c r="M161" s="77" t="str">
        <f aca="false">IF(B161="","",IF($G161="NON",0,IF(COUNT(H161:K161)=0,"",IFERROR(ROUND(SUM(H161:K161)/SUMPRODUCT(ISNUMBER(H161:K161)*$H$8:$K$8)*20,2),""))))</f>
        <v/>
      </c>
      <c r="N161" s="75"/>
      <c r="O161" s="76"/>
      <c r="P161" s="76"/>
      <c r="Q161" s="76"/>
      <c r="R161" s="76"/>
      <c r="S161" s="79" t="str">
        <f aca="false">IF(B161="","",IF($N161="NON",0,IF(COUNT(O161:R161)=0,"",SUM(O161:R161))))</f>
        <v/>
      </c>
      <c r="T161" s="77" t="str">
        <f aca="false">IF(B161="","",IF($N161="NON",0,IF(COUNT(O161:R161)=0,"",IFERROR(ROUND(SUM(O161:R161)/SUMPRODUCT(ISNUMBER(O161:R161)*$O$8:$R$8)*20,2),""))))</f>
        <v/>
      </c>
      <c r="U161" s="75"/>
      <c r="V161" s="76"/>
      <c r="W161" s="76"/>
      <c r="X161" s="76"/>
      <c r="Y161" s="76"/>
      <c r="Z161" s="76"/>
      <c r="AA161" s="79" t="str">
        <f aca="false">IF(B161="","",IF($U161="NON",0,IF(COUNT(V161:Z161)=0,"",SUM(V161:Z161))))</f>
        <v/>
      </c>
      <c r="AB161" s="77" t="str">
        <f aca="false">IF(B161="","",IF($U161="NON",0,IF(COUNT(V161:Z161)=0,"",IFERROR(ROUND(SUM(V161:Z161)/SUMPRODUCT(ISNUMBER(V161:Z161)*$V$8:$Z$8)*20,2),""))))</f>
        <v/>
      </c>
      <c r="AC161" s="75"/>
      <c r="AD161" s="76"/>
      <c r="AE161" s="76"/>
      <c r="AF161" s="76"/>
      <c r="AG161" s="76"/>
      <c r="AH161" s="76"/>
      <c r="AI161" s="79" t="str">
        <f aca="false">IF(B161="","",IF($AC161="NON",0,IF(COUNT(AD161:AH161)=0,"",SUM(AD161:AH161))))</f>
        <v/>
      </c>
      <c r="AJ161" s="77" t="str">
        <f aca="false">IF(B161="","",IF($AC161="NON",0,IF(COUNT(AD161:AH161)=0,"",IFERROR(ROUND(SUM(AD161:AH161)/SUMPRODUCT(ISNUMBER(AD161:AH161)*$AD$8:$AH$8)*20,2),""))))</f>
        <v/>
      </c>
      <c r="AK161" s="51" t="str">
        <f aca="false">IFERROR(MATCH("CM2-152",'REGISTRE ELEVES'!$AI$10:$AI$250,0),"")</f>
        <v/>
      </c>
    </row>
    <row r="162" customFormat="false" ht="15" hidden="false" customHeight="false" outlineLevel="0" collapsed="false">
      <c r="A162" s="73" t="str">
        <f aca="false">IF(B162="","",153)</f>
        <v/>
      </c>
      <c r="B162" s="73" t="str">
        <f aca="false">IF($AK162="","",INDEX('REGISTRE ELEVES'!$B$10:$B$250,$AK162))</f>
        <v/>
      </c>
      <c r="C162" s="74" t="str">
        <f aca="false">IF($AK162="","",INDEX('REGISTRE ELEVES'!$D$10:$D$250,$AK162))</f>
        <v/>
      </c>
      <c r="D162" s="73" t="str">
        <f aca="false">IF($AK162="","",INDEX('REGISTRE ELEVES'!$E$10:$E$250,$AK162))</f>
        <v/>
      </c>
      <c r="E162" s="73" t="str">
        <f aca="false">IF($AK162="","",INDEX('REGISTRE ELEVES'!$F$10:$F$250,$AK162))</f>
        <v/>
      </c>
      <c r="F162" s="73" t="str">
        <f aca="false">IF($AK162="","",INDEX('REGISTRE ELEVES'!$AE$10:$AE$250,$AK162))</f>
        <v/>
      </c>
      <c r="G162" s="75"/>
      <c r="H162" s="76"/>
      <c r="I162" s="76"/>
      <c r="J162" s="76"/>
      <c r="K162" s="76"/>
      <c r="L162" s="79" t="str">
        <f aca="false">IF(B162="","",IF($G162="NON",0,IF(COUNT(H162:K162)=0,"",SUM(H162:K162))))</f>
        <v/>
      </c>
      <c r="M162" s="77" t="str">
        <f aca="false">IF(B162="","",IF($G162="NON",0,IF(COUNT(H162:K162)=0,"",IFERROR(ROUND(SUM(H162:K162)/SUMPRODUCT(ISNUMBER(H162:K162)*$H$8:$K$8)*20,2),""))))</f>
        <v/>
      </c>
      <c r="N162" s="75"/>
      <c r="O162" s="76"/>
      <c r="P162" s="76"/>
      <c r="Q162" s="76"/>
      <c r="R162" s="76"/>
      <c r="S162" s="79" t="str">
        <f aca="false">IF(B162="","",IF($N162="NON",0,IF(COUNT(O162:R162)=0,"",SUM(O162:R162))))</f>
        <v/>
      </c>
      <c r="T162" s="77" t="str">
        <f aca="false">IF(B162="","",IF($N162="NON",0,IF(COUNT(O162:R162)=0,"",IFERROR(ROUND(SUM(O162:R162)/SUMPRODUCT(ISNUMBER(O162:R162)*$O$8:$R$8)*20,2),""))))</f>
        <v/>
      </c>
      <c r="U162" s="75"/>
      <c r="V162" s="76"/>
      <c r="W162" s="76"/>
      <c r="X162" s="76"/>
      <c r="Y162" s="76"/>
      <c r="Z162" s="76"/>
      <c r="AA162" s="79" t="str">
        <f aca="false">IF(B162="","",IF($U162="NON",0,IF(COUNT(V162:Z162)=0,"",SUM(V162:Z162))))</f>
        <v/>
      </c>
      <c r="AB162" s="77" t="str">
        <f aca="false">IF(B162="","",IF($U162="NON",0,IF(COUNT(V162:Z162)=0,"",IFERROR(ROUND(SUM(V162:Z162)/SUMPRODUCT(ISNUMBER(V162:Z162)*$V$8:$Z$8)*20,2),""))))</f>
        <v/>
      </c>
      <c r="AC162" s="75"/>
      <c r="AD162" s="76"/>
      <c r="AE162" s="76"/>
      <c r="AF162" s="76"/>
      <c r="AG162" s="76"/>
      <c r="AH162" s="76"/>
      <c r="AI162" s="79" t="str">
        <f aca="false">IF(B162="","",IF($AC162="NON",0,IF(COUNT(AD162:AH162)=0,"",SUM(AD162:AH162))))</f>
        <v/>
      </c>
      <c r="AJ162" s="77" t="str">
        <f aca="false">IF(B162="","",IF($AC162="NON",0,IF(COUNT(AD162:AH162)=0,"",IFERROR(ROUND(SUM(AD162:AH162)/SUMPRODUCT(ISNUMBER(AD162:AH162)*$AD$8:$AH$8)*20,2),""))))</f>
        <v/>
      </c>
      <c r="AK162" s="51" t="str">
        <f aca="false">IFERROR(MATCH("CM2-153",'REGISTRE ELEVES'!$AI$10:$AI$250,0),"")</f>
        <v/>
      </c>
    </row>
    <row r="163" customFormat="false" ht="15" hidden="false" customHeight="false" outlineLevel="0" collapsed="false">
      <c r="A163" s="73" t="str">
        <f aca="false">IF(B163="","",154)</f>
        <v/>
      </c>
      <c r="B163" s="73" t="str">
        <f aca="false">IF($AK163="","",INDEX('REGISTRE ELEVES'!$B$10:$B$250,$AK163))</f>
        <v/>
      </c>
      <c r="C163" s="74" t="str">
        <f aca="false">IF($AK163="","",INDEX('REGISTRE ELEVES'!$D$10:$D$250,$AK163))</f>
        <v/>
      </c>
      <c r="D163" s="73" t="str">
        <f aca="false">IF($AK163="","",INDEX('REGISTRE ELEVES'!$E$10:$E$250,$AK163))</f>
        <v/>
      </c>
      <c r="E163" s="73" t="str">
        <f aca="false">IF($AK163="","",INDEX('REGISTRE ELEVES'!$F$10:$F$250,$AK163))</f>
        <v/>
      </c>
      <c r="F163" s="73" t="str">
        <f aca="false">IF($AK163="","",INDEX('REGISTRE ELEVES'!$AE$10:$AE$250,$AK163))</f>
        <v/>
      </c>
      <c r="G163" s="75"/>
      <c r="H163" s="76"/>
      <c r="I163" s="76"/>
      <c r="J163" s="76"/>
      <c r="K163" s="76"/>
      <c r="L163" s="79" t="str">
        <f aca="false">IF(B163="","",IF($G163="NON",0,IF(COUNT(H163:K163)=0,"",SUM(H163:K163))))</f>
        <v/>
      </c>
      <c r="M163" s="77" t="str">
        <f aca="false">IF(B163="","",IF($G163="NON",0,IF(COUNT(H163:K163)=0,"",IFERROR(ROUND(SUM(H163:K163)/SUMPRODUCT(ISNUMBER(H163:K163)*$H$8:$K$8)*20,2),""))))</f>
        <v/>
      </c>
      <c r="N163" s="75"/>
      <c r="O163" s="76"/>
      <c r="P163" s="76"/>
      <c r="Q163" s="76"/>
      <c r="R163" s="76"/>
      <c r="S163" s="79" t="str">
        <f aca="false">IF(B163="","",IF($N163="NON",0,IF(COUNT(O163:R163)=0,"",SUM(O163:R163))))</f>
        <v/>
      </c>
      <c r="T163" s="77" t="str">
        <f aca="false">IF(B163="","",IF($N163="NON",0,IF(COUNT(O163:R163)=0,"",IFERROR(ROUND(SUM(O163:R163)/SUMPRODUCT(ISNUMBER(O163:R163)*$O$8:$R$8)*20,2),""))))</f>
        <v/>
      </c>
      <c r="U163" s="75"/>
      <c r="V163" s="76"/>
      <c r="W163" s="76"/>
      <c r="X163" s="76"/>
      <c r="Y163" s="76"/>
      <c r="Z163" s="76"/>
      <c r="AA163" s="79" t="str">
        <f aca="false">IF(B163="","",IF($U163="NON",0,IF(COUNT(V163:Z163)=0,"",SUM(V163:Z163))))</f>
        <v/>
      </c>
      <c r="AB163" s="77" t="str">
        <f aca="false">IF(B163="","",IF($U163="NON",0,IF(COUNT(V163:Z163)=0,"",IFERROR(ROUND(SUM(V163:Z163)/SUMPRODUCT(ISNUMBER(V163:Z163)*$V$8:$Z$8)*20,2),""))))</f>
        <v/>
      </c>
      <c r="AC163" s="75"/>
      <c r="AD163" s="76"/>
      <c r="AE163" s="76"/>
      <c r="AF163" s="76"/>
      <c r="AG163" s="76"/>
      <c r="AH163" s="76"/>
      <c r="AI163" s="79" t="str">
        <f aca="false">IF(B163="","",IF($AC163="NON",0,IF(COUNT(AD163:AH163)=0,"",SUM(AD163:AH163))))</f>
        <v/>
      </c>
      <c r="AJ163" s="77" t="str">
        <f aca="false">IF(B163="","",IF($AC163="NON",0,IF(COUNT(AD163:AH163)=0,"",IFERROR(ROUND(SUM(AD163:AH163)/SUMPRODUCT(ISNUMBER(AD163:AH163)*$AD$8:$AH$8)*20,2),""))))</f>
        <v/>
      </c>
      <c r="AK163" s="51" t="str">
        <f aca="false">IFERROR(MATCH("CM2-154",'REGISTRE ELEVES'!$AI$10:$AI$250,0),"")</f>
        <v/>
      </c>
    </row>
    <row r="164" customFormat="false" ht="15" hidden="false" customHeight="false" outlineLevel="0" collapsed="false">
      <c r="A164" s="73" t="str">
        <f aca="false">IF(B164="","",155)</f>
        <v/>
      </c>
      <c r="B164" s="73" t="str">
        <f aca="false">IF($AK164="","",INDEX('REGISTRE ELEVES'!$B$10:$B$250,$AK164))</f>
        <v/>
      </c>
      <c r="C164" s="74" t="str">
        <f aca="false">IF($AK164="","",INDEX('REGISTRE ELEVES'!$D$10:$D$250,$AK164))</f>
        <v/>
      </c>
      <c r="D164" s="73" t="str">
        <f aca="false">IF($AK164="","",INDEX('REGISTRE ELEVES'!$E$10:$E$250,$AK164))</f>
        <v/>
      </c>
      <c r="E164" s="73" t="str">
        <f aca="false">IF($AK164="","",INDEX('REGISTRE ELEVES'!$F$10:$F$250,$AK164))</f>
        <v/>
      </c>
      <c r="F164" s="73" t="str">
        <f aca="false">IF($AK164="","",INDEX('REGISTRE ELEVES'!$AE$10:$AE$250,$AK164))</f>
        <v/>
      </c>
      <c r="G164" s="75"/>
      <c r="H164" s="76"/>
      <c r="I164" s="76"/>
      <c r="J164" s="76"/>
      <c r="K164" s="76"/>
      <c r="L164" s="79" t="str">
        <f aca="false">IF(B164="","",IF($G164="NON",0,IF(COUNT(H164:K164)=0,"",SUM(H164:K164))))</f>
        <v/>
      </c>
      <c r="M164" s="77" t="str">
        <f aca="false">IF(B164="","",IF($G164="NON",0,IF(COUNT(H164:K164)=0,"",IFERROR(ROUND(SUM(H164:K164)/SUMPRODUCT(ISNUMBER(H164:K164)*$H$8:$K$8)*20,2),""))))</f>
        <v/>
      </c>
      <c r="N164" s="75"/>
      <c r="O164" s="76"/>
      <c r="P164" s="76"/>
      <c r="Q164" s="76"/>
      <c r="R164" s="76"/>
      <c r="S164" s="79" t="str">
        <f aca="false">IF(B164="","",IF($N164="NON",0,IF(COUNT(O164:R164)=0,"",SUM(O164:R164))))</f>
        <v/>
      </c>
      <c r="T164" s="77" t="str">
        <f aca="false">IF(B164="","",IF($N164="NON",0,IF(COUNT(O164:R164)=0,"",IFERROR(ROUND(SUM(O164:R164)/SUMPRODUCT(ISNUMBER(O164:R164)*$O$8:$R$8)*20,2),""))))</f>
        <v/>
      </c>
      <c r="U164" s="75"/>
      <c r="V164" s="76"/>
      <c r="W164" s="76"/>
      <c r="X164" s="76"/>
      <c r="Y164" s="76"/>
      <c r="Z164" s="76"/>
      <c r="AA164" s="79" t="str">
        <f aca="false">IF(B164="","",IF($U164="NON",0,IF(COUNT(V164:Z164)=0,"",SUM(V164:Z164))))</f>
        <v/>
      </c>
      <c r="AB164" s="77" t="str">
        <f aca="false">IF(B164="","",IF($U164="NON",0,IF(COUNT(V164:Z164)=0,"",IFERROR(ROUND(SUM(V164:Z164)/SUMPRODUCT(ISNUMBER(V164:Z164)*$V$8:$Z$8)*20,2),""))))</f>
        <v/>
      </c>
      <c r="AC164" s="75"/>
      <c r="AD164" s="76"/>
      <c r="AE164" s="76"/>
      <c r="AF164" s="76"/>
      <c r="AG164" s="76"/>
      <c r="AH164" s="76"/>
      <c r="AI164" s="79" t="str">
        <f aca="false">IF(B164="","",IF($AC164="NON",0,IF(COUNT(AD164:AH164)=0,"",SUM(AD164:AH164))))</f>
        <v/>
      </c>
      <c r="AJ164" s="77" t="str">
        <f aca="false">IF(B164="","",IF($AC164="NON",0,IF(COUNT(AD164:AH164)=0,"",IFERROR(ROUND(SUM(AD164:AH164)/SUMPRODUCT(ISNUMBER(AD164:AH164)*$AD$8:$AH$8)*20,2),""))))</f>
        <v/>
      </c>
      <c r="AK164" s="51" t="str">
        <f aca="false">IFERROR(MATCH("CM2-155",'REGISTRE ELEVES'!$AI$10:$AI$250,0),"")</f>
        <v/>
      </c>
    </row>
    <row r="165" customFormat="false" ht="15" hidden="false" customHeight="false" outlineLevel="0" collapsed="false">
      <c r="A165" s="73" t="str">
        <f aca="false">IF(B165="","",156)</f>
        <v/>
      </c>
      <c r="B165" s="73" t="str">
        <f aca="false">IF($AK165="","",INDEX('REGISTRE ELEVES'!$B$10:$B$250,$AK165))</f>
        <v/>
      </c>
      <c r="C165" s="74" t="str">
        <f aca="false">IF($AK165="","",INDEX('REGISTRE ELEVES'!$D$10:$D$250,$AK165))</f>
        <v/>
      </c>
      <c r="D165" s="73" t="str">
        <f aca="false">IF($AK165="","",INDEX('REGISTRE ELEVES'!$E$10:$E$250,$AK165))</f>
        <v/>
      </c>
      <c r="E165" s="73" t="str">
        <f aca="false">IF($AK165="","",INDEX('REGISTRE ELEVES'!$F$10:$F$250,$AK165))</f>
        <v/>
      </c>
      <c r="F165" s="73" t="str">
        <f aca="false">IF($AK165="","",INDEX('REGISTRE ELEVES'!$AE$10:$AE$250,$AK165))</f>
        <v/>
      </c>
      <c r="G165" s="75"/>
      <c r="H165" s="76"/>
      <c r="I165" s="76"/>
      <c r="J165" s="76"/>
      <c r="K165" s="76"/>
      <c r="L165" s="79" t="str">
        <f aca="false">IF(B165="","",IF($G165="NON",0,IF(COUNT(H165:K165)=0,"",SUM(H165:K165))))</f>
        <v/>
      </c>
      <c r="M165" s="77" t="str">
        <f aca="false">IF(B165="","",IF($G165="NON",0,IF(COUNT(H165:K165)=0,"",IFERROR(ROUND(SUM(H165:K165)/SUMPRODUCT(ISNUMBER(H165:K165)*$H$8:$K$8)*20,2),""))))</f>
        <v/>
      </c>
      <c r="N165" s="75"/>
      <c r="O165" s="76"/>
      <c r="P165" s="76"/>
      <c r="Q165" s="76"/>
      <c r="R165" s="76"/>
      <c r="S165" s="79" t="str">
        <f aca="false">IF(B165="","",IF($N165="NON",0,IF(COUNT(O165:R165)=0,"",SUM(O165:R165))))</f>
        <v/>
      </c>
      <c r="T165" s="77" t="str">
        <f aca="false">IF(B165="","",IF($N165="NON",0,IF(COUNT(O165:R165)=0,"",IFERROR(ROUND(SUM(O165:R165)/SUMPRODUCT(ISNUMBER(O165:R165)*$O$8:$R$8)*20,2),""))))</f>
        <v/>
      </c>
      <c r="U165" s="75"/>
      <c r="V165" s="76"/>
      <c r="W165" s="76"/>
      <c r="X165" s="76"/>
      <c r="Y165" s="76"/>
      <c r="Z165" s="76"/>
      <c r="AA165" s="79" t="str">
        <f aca="false">IF(B165="","",IF($U165="NON",0,IF(COUNT(V165:Z165)=0,"",SUM(V165:Z165))))</f>
        <v/>
      </c>
      <c r="AB165" s="77" t="str">
        <f aca="false">IF(B165="","",IF($U165="NON",0,IF(COUNT(V165:Z165)=0,"",IFERROR(ROUND(SUM(V165:Z165)/SUMPRODUCT(ISNUMBER(V165:Z165)*$V$8:$Z$8)*20,2),""))))</f>
        <v/>
      </c>
      <c r="AC165" s="75"/>
      <c r="AD165" s="76"/>
      <c r="AE165" s="76"/>
      <c r="AF165" s="76"/>
      <c r="AG165" s="76"/>
      <c r="AH165" s="76"/>
      <c r="AI165" s="79" t="str">
        <f aca="false">IF(B165="","",IF($AC165="NON",0,IF(COUNT(AD165:AH165)=0,"",SUM(AD165:AH165))))</f>
        <v/>
      </c>
      <c r="AJ165" s="77" t="str">
        <f aca="false">IF(B165="","",IF($AC165="NON",0,IF(COUNT(AD165:AH165)=0,"",IFERROR(ROUND(SUM(AD165:AH165)/SUMPRODUCT(ISNUMBER(AD165:AH165)*$AD$8:$AH$8)*20,2),""))))</f>
        <v/>
      </c>
      <c r="AK165" s="51" t="str">
        <f aca="false">IFERROR(MATCH("CM2-156",'REGISTRE ELEVES'!$AI$10:$AI$250,0),"")</f>
        <v/>
      </c>
    </row>
    <row r="166" customFormat="false" ht="15" hidden="false" customHeight="false" outlineLevel="0" collapsed="false">
      <c r="A166" s="73" t="str">
        <f aca="false">IF(B166="","",157)</f>
        <v/>
      </c>
      <c r="B166" s="73" t="str">
        <f aca="false">IF($AK166="","",INDEX('REGISTRE ELEVES'!$B$10:$B$250,$AK166))</f>
        <v/>
      </c>
      <c r="C166" s="74" t="str">
        <f aca="false">IF($AK166="","",INDEX('REGISTRE ELEVES'!$D$10:$D$250,$AK166))</f>
        <v/>
      </c>
      <c r="D166" s="73" t="str">
        <f aca="false">IF($AK166="","",INDEX('REGISTRE ELEVES'!$E$10:$E$250,$AK166))</f>
        <v/>
      </c>
      <c r="E166" s="73" t="str">
        <f aca="false">IF($AK166="","",INDEX('REGISTRE ELEVES'!$F$10:$F$250,$AK166))</f>
        <v/>
      </c>
      <c r="F166" s="73" t="str">
        <f aca="false">IF($AK166="","",INDEX('REGISTRE ELEVES'!$AE$10:$AE$250,$AK166))</f>
        <v/>
      </c>
      <c r="G166" s="75"/>
      <c r="H166" s="76"/>
      <c r="I166" s="76"/>
      <c r="J166" s="76"/>
      <c r="K166" s="76"/>
      <c r="L166" s="79" t="str">
        <f aca="false">IF(B166="","",IF($G166="NON",0,IF(COUNT(H166:K166)=0,"",SUM(H166:K166))))</f>
        <v/>
      </c>
      <c r="M166" s="77" t="str">
        <f aca="false">IF(B166="","",IF($G166="NON",0,IF(COUNT(H166:K166)=0,"",IFERROR(ROUND(SUM(H166:K166)/SUMPRODUCT(ISNUMBER(H166:K166)*$H$8:$K$8)*20,2),""))))</f>
        <v/>
      </c>
      <c r="N166" s="75"/>
      <c r="O166" s="76"/>
      <c r="P166" s="76"/>
      <c r="Q166" s="76"/>
      <c r="R166" s="76"/>
      <c r="S166" s="79" t="str">
        <f aca="false">IF(B166="","",IF($N166="NON",0,IF(COUNT(O166:R166)=0,"",SUM(O166:R166))))</f>
        <v/>
      </c>
      <c r="T166" s="77" t="str">
        <f aca="false">IF(B166="","",IF($N166="NON",0,IF(COUNT(O166:R166)=0,"",IFERROR(ROUND(SUM(O166:R166)/SUMPRODUCT(ISNUMBER(O166:R166)*$O$8:$R$8)*20,2),""))))</f>
        <v/>
      </c>
      <c r="U166" s="75"/>
      <c r="V166" s="76"/>
      <c r="W166" s="76"/>
      <c r="X166" s="76"/>
      <c r="Y166" s="76"/>
      <c r="Z166" s="76"/>
      <c r="AA166" s="79" t="str">
        <f aca="false">IF(B166="","",IF($U166="NON",0,IF(COUNT(V166:Z166)=0,"",SUM(V166:Z166))))</f>
        <v/>
      </c>
      <c r="AB166" s="77" t="str">
        <f aca="false">IF(B166="","",IF($U166="NON",0,IF(COUNT(V166:Z166)=0,"",IFERROR(ROUND(SUM(V166:Z166)/SUMPRODUCT(ISNUMBER(V166:Z166)*$V$8:$Z$8)*20,2),""))))</f>
        <v/>
      </c>
      <c r="AC166" s="75"/>
      <c r="AD166" s="76"/>
      <c r="AE166" s="76"/>
      <c r="AF166" s="76"/>
      <c r="AG166" s="76"/>
      <c r="AH166" s="76"/>
      <c r="AI166" s="79" t="str">
        <f aca="false">IF(B166="","",IF($AC166="NON",0,IF(COUNT(AD166:AH166)=0,"",SUM(AD166:AH166))))</f>
        <v/>
      </c>
      <c r="AJ166" s="77" t="str">
        <f aca="false">IF(B166="","",IF($AC166="NON",0,IF(COUNT(AD166:AH166)=0,"",IFERROR(ROUND(SUM(AD166:AH166)/SUMPRODUCT(ISNUMBER(AD166:AH166)*$AD$8:$AH$8)*20,2),""))))</f>
        <v/>
      </c>
      <c r="AK166" s="51" t="str">
        <f aca="false">IFERROR(MATCH("CM2-157",'REGISTRE ELEVES'!$AI$10:$AI$250,0),"")</f>
        <v/>
      </c>
    </row>
    <row r="167" customFormat="false" ht="15" hidden="false" customHeight="false" outlineLevel="0" collapsed="false">
      <c r="A167" s="73" t="str">
        <f aca="false">IF(B167="","",158)</f>
        <v/>
      </c>
      <c r="B167" s="73" t="str">
        <f aca="false">IF($AK167="","",INDEX('REGISTRE ELEVES'!$B$10:$B$250,$AK167))</f>
        <v/>
      </c>
      <c r="C167" s="74" t="str">
        <f aca="false">IF($AK167="","",INDEX('REGISTRE ELEVES'!$D$10:$D$250,$AK167))</f>
        <v/>
      </c>
      <c r="D167" s="73" t="str">
        <f aca="false">IF($AK167="","",INDEX('REGISTRE ELEVES'!$E$10:$E$250,$AK167))</f>
        <v/>
      </c>
      <c r="E167" s="73" t="str">
        <f aca="false">IF($AK167="","",INDEX('REGISTRE ELEVES'!$F$10:$F$250,$AK167))</f>
        <v/>
      </c>
      <c r="F167" s="73" t="str">
        <f aca="false">IF($AK167="","",INDEX('REGISTRE ELEVES'!$AE$10:$AE$250,$AK167))</f>
        <v/>
      </c>
      <c r="G167" s="75"/>
      <c r="H167" s="76"/>
      <c r="I167" s="76"/>
      <c r="J167" s="76"/>
      <c r="K167" s="76"/>
      <c r="L167" s="79" t="str">
        <f aca="false">IF(B167="","",IF($G167="NON",0,IF(COUNT(H167:K167)=0,"",SUM(H167:K167))))</f>
        <v/>
      </c>
      <c r="M167" s="77" t="str">
        <f aca="false">IF(B167="","",IF($G167="NON",0,IF(COUNT(H167:K167)=0,"",IFERROR(ROUND(SUM(H167:K167)/SUMPRODUCT(ISNUMBER(H167:K167)*$H$8:$K$8)*20,2),""))))</f>
        <v/>
      </c>
      <c r="N167" s="75"/>
      <c r="O167" s="76"/>
      <c r="P167" s="76"/>
      <c r="Q167" s="76"/>
      <c r="R167" s="76"/>
      <c r="S167" s="79" t="str">
        <f aca="false">IF(B167="","",IF($N167="NON",0,IF(COUNT(O167:R167)=0,"",SUM(O167:R167))))</f>
        <v/>
      </c>
      <c r="T167" s="77" t="str">
        <f aca="false">IF(B167="","",IF($N167="NON",0,IF(COUNT(O167:R167)=0,"",IFERROR(ROUND(SUM(O167:R167)/SUMPRODUCT(ISNUMBER(O167:R167)*$O$8:$R$8)*20,2),""))))</f>
        <v/>
      </c>
      <c r="U167" s="75"/>
      <c r="V167" s="76"/>
      <c r="W167" s="76"/>
      <c r="X167" s="76"/>
      <c r="Y167" s="76"/>
      <c r="Z167" s="76"/>
      <c r="AA167" s="79" t="str">
        <f aca="false">IF(B167="","",IF($U167="NON",0,IF(COUNT(V167:Z167)=0,"",SUM(V167:Z167))))</f>
        <v/>
      </c>
      <c r="AB167" s="77" t="str">
        <f aca="false">IF(B167="","",IF($U167="NON",0,IF(COUNT(V167:Z167)=0,"",IFERROR(ROUND(SUM(V167:Z167)/SUMPRODUCT(ISNUMBER(V167:Z167)*$V$8:$Z$8)*20,2),""))))</f>
        <v/>
      </c>
      <c r="AC167" s="75"/>
      <c r="AD167" s="76"/>
      <c r="AE167" s="76"/>
      <c r="AF167" s="76"/>
      <c r="AG167" s="76"/>
      <c r="AH167" s="76"/>
      <c r="AI167" s="79" t="str">
        <f aca="false">IF(B167="","",IF($AC167="NON",0,IF(COUNT(AD167:AH167)=0,"",SUM(AD167:AH167))))</f>
        <v/>
      </c>
      <c r="AJ167" s="77" t="str">
        <f aca="false">IF(B167="","",IF($AC167="NON",0,IF(COUNT(AD167:AH167)=0,"",IFERROR(ROUND(SUM(AD167:AH167)/SUMPRODUCT(ISNUMBER(AD167:AH167)*$AD$8:$AH$8)*20,2),""))))</f>
        <v/>
      </c>
      <c r="AK167" s="51" t="str">
        <f aca="false">IFERROR(MATCH("CM2-158",'REGISTRE ELEVES'!$AI$10:$AI$250,0),"")</f>
        <v/>
      </c>
    </row>
    <row r="168" customFormat="false" ht="15" hidden="false" customHeight="false" outlineLevel="0" collapsed="false">
      <c r="A168" s="73" t="str">
        <f aca="false">IF(B168="","",159)</f>
        <v/>
      </c>
      <c r="B168" s="73" t="str">
        <f aca="false">IF($AK168="","",INDEX('REGISTRE ELEVES'!$B$10:$B$250,$AK168))</f>
        <v/>
      </c>
      <c r="C168" s="74" t="str">
        <f aca="false">IF($AK168="","",INDEX('REGISTRE ELEVES'!$D$10:$D$250,$AK168))</f>
        <v/>
      </c>
      <c r="D168" s="73" t="str">
        <f aca="false">IF($AK168="","",INDEX('REGISTRE ELEVES'!$E$10:$E$250,$AK168))</f>
        <v/>
      </c>
      <c r="E168" s="73" t="str">
        <f aca="false">IF($AK168="","",INDEX('REGISTRE ELEVES'!$F$10:$F$250,$AK168))</f>
        <v/>
      </c>
      <c r="F168" s="73" t="str">
        <f aca="false">IF($AK168="","",INDEX('REGISTRE ELEVES'!$AE$10:$AE$250,$AK168))</f>
        <v/>
      </c>
      <c r="G168" s="75"/>
      <c r="H168" s="76"/>
      <c r="I168" s="76"/>
      <c r="J168" s="76"/>
      <c r="K168" s="76"/>
      <c r="L168" s="79" t="str">
        <f aca="false">IF(B168="","",IF($G168="NON",0,IF(COUNT(H168:K168)=0,"",SUM(H168:K168))))</f>
        <v/>
      </c>
      <c r="M168" s="77" t="str">
        <f aca="false">IF(B168="","",IF($G168="NON",0,IF(COUNT(H168:K168)=0,"",IFERROR(ROUND(SUM(H168:K168)/SUMPRODUCT(ISNUMBER(H168:K168)*$H$8:$K$8)*20,2),""))))</f>
        <v/>
      </c>
      <c r="N168" s="75"/>
      <c r="O168" s="76"/>
      <c r="P168" s="76"/>
      <c r="Q168" s="76"/>
      <c r="R168" s="76"/>
      <c r="S168" s="79" t="str">
        <f aca="false">IF(B168="","",IF($N168="NON",0,IF(COUNT(O168:R168)=0,"",SUM(O168:R168))))</f>
        <v/>
      </c>
      <c r="T168" s="77" t="str">
        <f aca="false">IF(B168="","",IF($N168="NON",0,IF(COUNT(O168:R168)=0,"",IFERROR(ROUND(SUM(O168:R168)/SUMPRODUCT(ISNUMBER(O168:R168)*$O$8:$R$8)*20,2),""))))</f>
        <v/>
      </c>
      <c r="U168" s="75"/>
      <c r="V168" s="76"/>
      <c r="W168" s="76"/>
      <c r="X168" s="76"/>
      <c r="Y168" s="76"/>
      <c r="Z168" s="76"/>
      <c r="AA168" s="79" t="str">
        <f aca="false">IF(B168="","",IF($U168="NON",0,IF(COUNT(V168:Z168)=0,"",SUM(V168:Z168))))</f>
        <v/>
      </c>
      <c r="AB168" s="77" t="str">
        <f aca="false">IF(B168="","",IF($U168="NON",0,IF(COUNT(V168:Z168)=0,"",IFERROR(ROUND(SUM(V168:Z168)/SUMPRODUCT(ISNUMBER(V168:Z168)*$V$8:$Z$8)*20,2),""))))</f>
        <v/>
      </c>
      <c r="AC168" s="75"/>
      <c r="AD168" s="76"/>
      <c r="AE168" s="76"/>
      <c r="AF168" s="76"/>
      <c r="AG168" s="76"/>
      <c r="AH168" s="76"/>
      <c r="AI168" s="79" t="str">
        <f aca="false">IF(B168="","",IF($AC168="NON",0,IF(COUNT(AD168:AH168)=0,"",SUM(AD168:AH168))))</f>
        <v/>
      </c>
      <c r="AJ168" s="77" t="str">
        <f aca="false">IF(B168="","",IF($AC168="NON",0,IF(COUNT(AD168:AH168)=0,"",IFERROR(ROUND(SUM(AD168:AH168)/SUMPRODUCT(ISNUMBER(AD168:AH168)*$AD$8:$AH$8)*20,2),""))))</f>
        <v/>
      </c>
      <c r="AK168" s="51" t="str">
        <f aca="false">IFERROR(MATCH("CM2-159",'REGISTRE ELEVES'!$AI$10:$AI$250,0),"")</f>
        <v/>
      </c>
    </row>
    <row r="169" customFormat="false" ht="15" hidden="false" customHeight="false" outlineLevel="0" collapsed="false">
      <c r="A169" s="73" t="str">
        <f aca="false">IF(B169="","",160)</f>
        <v/>
      </c>
      <c r="B169" s="73" t="str">
        <f aca="false">IF($AK169="","",INDEX('REGISTRE ELEVES'!$B$10:$B$250,$AK169))</f>
        <v/>
      </c>
      <c r="C169" s="74" t="str">
        <f aca="false">IF($AK169="","",INDEX('REGISTRE ELEVES'!$D$10:$D$250,$AK169))</f>
        <v/>
      </c>
      <c r="D169" s="73" t="str">
        <f aca="false">IF($AK169="","",INDEX('REGISTRE ELEVES'!$E$10:$E$250,$AK169))</f>
        <v/>
      </c>
      <c r="E169" s="73" t="str">
        <f aca="false">IF($AK169="","",INDEX('REGISTRE ELEVES'!$F$10:$F$250,$AK169))</f>
        <v/>
      </c>
      <c r="F169" s="73" t="str">
        <f aca="false">IF($AK169="","",INDEX('REGISTRE ELEVES'!$AE$10:$AE$250,$AK169))</f>
        <v/>
      </c>
      <c r="G169" s="75"/>
      <c r="H169" s="76"/>
      <c r="I169" s="76"/>
      <c r="J169" s="76"/>
      <c r="K169" s="76"/>
      <c r="L169" s="79" t="str">
        <f aca="false">IF(B169="","",IF($G169="NON",0,IF(COUNT(H169:K169)=0,"",SUM(H169:K169))))</f>
        <v/>
      </c>
      <c r="M169" s="77" t="str">
        <f aca="false">IF(B169="","",IF($G169="NON",0,IF(COUNT(H169:K169)=0,"",IFERROR(ROUND(SUM(H169:K169)/SUMPRODUCT(ISNUMBER(H169:K169)*$H$8:$K$8)*20,2),""))))</f>
        <v/>
      </c>
      <c r="N169" s="75"/>
      <c r="O169" s="76"/>
      <c r="P169" s="76"/>
      <c r="Q169" s="76"/>
      <c r="R169" s="76"/>
      <c r="S169" s="79" t="str">
        <f aca="false">IF(B169="","",IF($N169="NON",0,IF(COUNT(O169:R169)=0,"",SUM(O169:R169))))</f>
        <v/>
      </c>
      <c r="T169" s="77" t="str">
        <f aca="false">IF(B169="","",IF($N169="NON",0,IF(COUNT(O169:R169)=0,"",IFERROR(ROUND(SUM(O169:R169)/SUMPRODUCT(ISNUMBER(O169:R169)*$O$8:$R$8)*20,2),""))))</f>
        <v/>
      </c>
      <c r="U169" s="75"/>
      <c r="V169" s="76"/>
      <c r="W169" s="76"/>
      <c r="X169" s="76"/>
      <c r="Y169" s="76"/>
      <c r="Z169" s="76"/>
      <c r="AA169" s="79" t="str">
        <f aca="false">IF(B169="","",IF($U169="NON",0,IF(COUNT(V169:Z169)=0,"",SUM(V169:Z169))))</f>
        <v/>
      </c>
      <c r="AB169" s="77" t="str">
        <f aca="false">IF(B169="","",IF($U169="NON",0,IF(COUNT(V169:Z169)=0,"",IFERROR(ROUND(SUM(V169:Z169)/SUMPRODUCT(ISNUMBER(V169:Z169)*$V$8:$Z$8)*20,2),""))))</f>
        <v/>
      </c>
      <c r="AC169" s="75"/>
      <c r="AD169" s="76"/>
      <c r="AE169" s="76"/>
      <c r="AF169" s="76"/>
      <c r="AG169" s="76"/>
      <c r="AH169" s="76"/>
      <c r="AI169" s="79" t="str">
        <f aca="false">IF(B169="","",IF($AC169="NON",0,IF(COUNT(AD169:AH169)=0,"",SUM(AD169:AH169))))</f>
        <v/>
      </c>
      <c r="AJ169" s="77" t="str">
        <f aca="false">IF(B169="","",IF($AC169="NON",0,IF(COUNT(AD169:AH169)=0,"",IFERROR(ROUND(SUM(AD169:AH169)/SUMPRODUCT(ISNUMBER(AD169:AH169)*$AD$8:$AH$8)*20,2),""))))</f>
        <v/>
      </c>
      <c r="AK169" s="51" t="str">
        <f aca="false">IFERROR(MATCH("CM2-160",'REGISTRE ELEVES'!$AI$10:$AI$250,0),"")</f>
        <v/>
      </c>
    </row>
    <row r="170" customFormat="false" ht="15" hidden="false" customHeight="false" outlineLevel="0" collapsed="false">
      <c r="A170" s="73" t="str">
        <f aca="false">IF(B170="","",161)</f>
        <v/>
      </c>
      <c r="B170" s="73" t="str">
        <f aca="false">IF($AK170="","",INDEX('REGISTRE ELEVES'!$B$10:$B$250,$AK170))</f>
        <v/>
      </c>
      <c r="C170" s="74" t="str">
        <f aca="false">IF($AK170="","",INDEX('REGISTRE ELEVES'!$D$10:$D$250,$AK170))</f>
        <v/>
      </c>
      <c r="D170" s="73" t="str">
        <f aca="false">IF($AK170="","",INDEX('REGISTRE ELEVES'!$E$10:$E$250,$AK170))</f>
        <v/>
      </c>
      <c r="E170" s="73" t="str">
        <f aca="false">IF($AK170="","",INDEX('REGISTRE ELEVES'!$F$10:$F$250,$AK170))</f>
        <v/>
      </c>
      <c r="F170" s="73" t="str">
        <f aca="false">IF($AK170="","",INDEX('REGISTRE ELEVES'!$AE$10:$AE$250,$AK170))</f>
        <v/>
      </c>
      <c r="G170" s="75"/>
      <c r="H170" s="76"/>
      <c r="I170" s="76"/>
      <c r="J170" s="76"/>
      <c r="K170" s="76"/>
      <c r="L170" s="79" t="str">
        <f aca="false">IF(B170="","",IF($G170="NON",0,IF(COUNT(H170:K170)=0,"",SUM(H170:K170))))</f>
        <v/>
      </c>
      <c r="M170" s="77" t="str">
        <f aca="false">IF(B170="","",IF($G170="NON",0,IF(COUNT(H170:K170)=0,"",IFERROR(ROUND(SUM(H170:K170)/SUMPRODUCT(ISNUMBER(H170:K170)*$H$8:$K$8)*20,2),""))))</f>
        <v/>
      </c>
      <c r="N170" s="75"/>
      <c r="O170" s="76"/>
      <c r="P170" s="76"/>
      <c r="Q170" s="76"/>
      <c r="R170" s="76"/>
      <c r="S170" s="79" t="str">
        <f aca="false">IF(B170="","",IF($N170="NON",0,IF(COUNT(O170:R170)=0,"",SUM(O170:R170))))</f>
        <v/>
      </c>
      <c r="T170" s="77" t="str">
        <f aca="false">IF(B170="","",IF($N170="NON",0,IF(COUNT(O170:R170)=0,"",IFERROR(ROUND(SUM(O170:R170)/SUMPRODUCT(ISNUMBER(O170:R170)*$O$8:$R$8)*20,2),""))))</f>
        <v/>
      </c>
      <c r="U170" s="75"/>
      <c r="V170" s="76"/>
      <c r="W170" s="76"/>
      <c r="X170" s="76"/>
      <c r="Y170" s="76"/>
      <c r="Z170" s="76"/>
      <c r="AA170" s="79" t="str">
        <f aca="false">IF(B170="","",IF($U170="NON",0,IF(COUNT(V170:Z170)=0,"",SUM(V170:Z170))))</f>
        <v/>
      </c>
      <c r="AB170" s="77" t="str">
        <f aca="false">IF(B170="","",IF($U170="NON",0,IF(COUNT(V170:Z170)=0,"",IFERROR(ROUND(SUM(V170:Z170)/SUMPRODUCT(ISNUMBER(V170:Z170)*$V$8:$Z$8)*20,2),""))))</f>
        <v/>
      </c>
      <c r="AC170" s="75"/>
      <c r="AD170" s="76"/>
      <c r="AE170" s="76"/>
      <c r="AF170" s="76"/>
      <c r="AG170" s="76"/>
      <c r="AH170" s="76"/>
      <c r="AI170" s="79" t="str">
        <f aca="false">IF(B170="","",IF($AC170="NON",0,IF(COUNT(AD170:AH170)=0,"",SUM(AD170:AH170))))</f>
        <v/>
      </c>
      <c r="AJ170" s="77" t="str">
        <f aca="false">IF(B170="","",IF($AC170="NON",0,IF(COUNT(AD170:AH170)=0,"",IFERROR(ROUND(SUM(AD170:AH170)/SUMPRODUCT(ISNUMBER(AD170:AH170)*$AD$8:$AH$8)*20,2),""))))</f>
        <v/>
      </c>
      <c r="AK170" s="51" t="str">
        <f aca="false">IFERROR(MATCH("CM2-161",'REGISTRE ELEVES'!$AI$10:$AI$250,0),"")</f>
        <v/>
      </c>
    </row>
    <row r="171" customFormat="false" ht="15" hidden="false" customHeight="false" outlineLevel="0" collapsed="false">
      <c r="A171" s="73" t="str">
        <f aca="false">IF(B171="","",162)</f>
        <v/>
      </c>
      <c r="B171" s="73" t="str">
        <f aca="false">IF($AK171="","",INDEX('REGISTRE ELEVES'!$B$10:$B$250,$AK171))</f>
        <v/>
      </c>
      <c r="C171" s="74" t="str">
        <f aca="false">IF($AK171="","",INDEX('REGISTRE ELEVES'!$D$10:$D$250,$AK171))</f>
        <v/>
      </c>
      <c r="D171" s="73" t="str">
        <f aca="false">IF($AK171="","",INDEX('REGISTRE ELEVES'!$E$10:$E$250,$AK171))</f>
        <v/>
      </c>
      <c r="E171" s="73" t="str">
        <f aca="false">IF($AK171="","",INDEX('REGISTRE ELEVES'!$F$10:$F$250,$AK171))</f>
        <v/>
      </c>
      <c r="F171" s="73" t="str">
        <f aca="false">IF($AK171="","",INDEX('REGISTRE ELEVES'!$AE$10:$AE$250,$AK171))</f>
        <v/>
      </c>
      <c r="G171" s="75"/>
      <c r="H171" s="76"/>
      <c r="I171" s="76"/>
      <c r="J171" s="76"/>
      <c r="K171" s="76"/>
      <c r="L171" s="79" t="str">
        <f aca="false">IF(B171="","",IF($G171="NON",0,IF(COUNT(H171:K171)=0,"",SUM(H171:K171))))</f>
        <v/>
      </c>
      <c r="M171" s="77" t="str">
        <f aca="false">IF(B171="","",IF($G171="NON",0,IF(COUNT(H171:K171)=0,"",IFERROR(ROUND(SUM(H171:K171)/SUMPRODUCT(ISNUMBER(H171:K171)*$H$8:$K$8)*20,2),""))))</f>
        <v/>
      </c>
      <c r="N171" s="75"/>
      <c r="O171" s="76"/>
      <c r="P171" s="76"/>
      <c r="Q171" s="76"/>
      <c r="R171" s="76"/>
      <c r="S171" s="79" t="str">
        <f aca="false">IF(B171="","",IF($N171="NON",0,IF(COUNT(O171:R171)=0,"",SUM(O171:R171))))</f>
        <v/>
      </c>
      <c r="T171" s="77" t="str">
        <f aca="false">IF(B171="","",IF($N171="NON",0,IF(COUNT(O171:R171)=0,"",IFERROR(ROUND(SUM(O171:R171)/SUMPRODUCT(ISNUMBER(O171:R171)*$O$8:$R$8)*20,2),""))))</f>
        <v/>
      </c>
      <c r="U171" s="75"/>
      <c r="V171" s="76"/>
      <c r="W171" s="76"/>
      <c r="X171" s="76"/>
      <c r="Y171" s="76"/>
      <c r="Z171" s="76"/>
      <c r="AA171" s="79" t="str">
        <f aca="false">IF(B171="","",IF($U171="NON",0,IF(COUNT(V171:Z171)=0,"",SUM(V171:Z171))))</f>
        <v/>
      </c>
      <c r="AB171" s="77" t="str">
        <f aca="false">IF(B171="","",IF($U171="NON",0,IF(COUNT(V171:Z171)=0,"",IFERROR(ROUND(SUM(V171:Z171)/SUMPRODUCT(ISNUMBER(V171:Z171)*$V$8:$Z$8)*20,2),""))))</f>
        <v/>
      </c>
      <c r="AC171" s="75"/>
      <c r="AD171" s="76"/>
      <c r="AE171" s="76"/>
      <c r="AF171" s="76"/>
      <c r="AG171" s="76"/>
      <c r="AH171" s="76"/>
      <c r="AI171" s="79" t="str">
        <f aca="false">IF(B171="","",IF($AC171="NON",0,IF(COUNT(AD171:AH171)=0,"",SUM(AD171:AH171))))</f>
        <v/>
      </c>
      <c r="AJ171" s="77" t="str">
        <f aca="false">IF(B171="","",IF($AC171="NON",0,IF(COUNT(AD171:AH171)=0,"",IFERROR(ROUND(SUM(AD171:AH171)/SUMPRODUCT(ISNUMBER(AD171:AH171)*$AD$8:$AH$8)*20,2),""))))</f>
        <v/>
      </c>
      <c r="AK171" s="51" t="str">
        <f aca="false">IFERROR(MATCH("CM2-162",'REGISTRE ELEVES'!$AI$10:$AI$250,0),"")</f>
        <v/>
      </c>
    </row>
    <row r="172" customFormat="false" ht="15" hidden="false" customHeight="false" outlineLevel="0" collapsed="false">
      <c r="A172" s="73" t="str">
        <f aca="false">IF(B172="","",163)</f>
        <v/>
      </c>
      <c r="B172" s="73" t="str">
        <f aca="false">IF($AK172="","",INDEX('REGISTRE ELEVES'!$B$10:$B$250,$AK172))</f>
        <v/>
      </c>
      <c r="C172" s="74" t="str">
        <f aca="false">IF($AK172="","",INDEX('REGISTRE ELEVES'!$D$10:$D$250,$AK172))</f>
        <v/>
      </c>
      <c r="D172" s="73" t="str">
        <f aca="false">IF($AK172="","",INDEX('REGISTRE ELEVES'!$E$10:$E$250,$AK172))</f>
        <v/>
      </c>
      <c r="E172" s="73" t="str">
        <f aca="false">IF($AK172="","",INDEX('REGISTRE ELEVES'!$F$10:$F$250,$AK172))</f>
        <v/>
      </c>
      <c r="F172" s="73" t="str">
        <f aca="false">IF($AK172="","",INDEX('REGISTRE ELEVES'!$AE$10:$AE$250,$AK172))</f>
        <v/>
      </c>
      <c r="G172" s="75"/>
      <c r="H172" s="76"/>
      <c r="I172" s="76"/>
      <c r="J172" s="76"/>
      <c r="K172" s="76"/>
      <c r="L172" s="79" t="str">
        <f aca="false">IF(B172="","",IF($G172="NON",0,IF(COUNT(H172:K172)=0,"",SUM(H172:K172))))</f>
        <v/>
      </c>
      <c r="M172" s="77" t="str">
        <f aca="false">IF(B172="","",IF($G172="NON",0,IF(COUNT(H172:K172)=0,"",IFERROR(ROUND(SUM(H172:K172)/SUMPRODUCT(ISNUMBER(H172:K172)*$H$8:$K$8)*20,2),""))))</f>
        <v/>
      </c>
      <c r="N172" s="75"/>
      <c r="O172" s="76"/>
      <c r="P172" s="76"/>
      <c r="Q172" s="76"/>
      <c r="R172" s="76"/>
      <c r="S172" s="79" t="str">
        <f aca="false">IF(B172="","",IF($N172="NON",0,IF(COUNT(O172:R172)=0,"",SUM(O172:R172))))</f>
        <v/>
      </c>
      <c r="T172" s="77" t="str">
        <f aca="false">IF(B172="","",IF($N172="NON",0,IF(COUNT(O172:R172)=0,"",IFERROR(ROUND(SUM(O172:R172)/SUMPRODUCT(ISNUMBER(O172:R172)*$O$8:$R$8)*20,2),""))))</f>
        <v/>
      </c>
      <c r="U172" s="75"/>
      <c r="V172" s="76"/>
      <c r="W172" s="76"/>
      <c r="X172" s="76"/>
      <c r="Y172" s="76"/>
      <c r="Z172" s="76"/>
      <c r="AA172" s="79" t="str">
        <f aca="false">IF(B172="","",IF($U172="NON",0,IF(COUNT(V172:Z172)=0,"",SUM(V172:Z172))))</f>
        <v/>
      </c>
      <c r="AB172" s="77" t="str">
        <f aca="false">IF(B172="","",IF($U172="NON",0,IF(COUNT(V172:Z172)=0,"",IFERROR(ROUND(SUM(V172:Z172)/SUMPRODUCT(ISNUMBER(V172:Z172)*$V$8:$Z$8)*20,2),""))))</f>
        <v/>
      </c>
      <c r="AC172" s="75"/>
      <c r="AD172" s="76"/>
      <c r="AE172" s="76"/>
      <c r="AF172" s="76"/>
      <c r="AG172" s="76"/>
      <c r="AH172" s="76"/>
      <c r="AI172" s="79" t="str">
        <f aca="false">IF(B172="","",IF($AC172="NON",0,IF(COUNT(AD172:AH172)=0,"",SUM(AD172:AH172))))</f>
        <v/>
      </c>
      <c r="AJ172" s="77" t="str">
        <f aca="false">IF(B172="","",IF($AC172="NON",0,IF(COUNT(AD172:AH172)=0,"",IFERROR(ROUND(SUM(AD172:AH172)/SUMPRODUCT(ISNUMBER(AD172:AH172)*$AD$8:$AH$8)*20,2),""))))</f>
        <v/>
      </c>
      <c r="AK172" s="51" t="str">
        <f aca="false">IFERROR(MATCH("CM2-163",'REGISTRE ELEVES'!$AI$10:$AI$250,0),"")</f>
        <v/>
      </c>
    </row>
    <row r="173" customFormat="false" ht="15" hidden="false" customHeight="false" outlineLevel="0" collapsed="false">
      <c r="A173" s="73" t="str">
        <f aca="false">IF(B173="","",164)</f>
        <v/>
      </c>
      <c r="B173" s="73" t="str">
        <f aca="false">IF($AK173="","",INDEX('REGISTRE ELEVES'!$B$10:$B$250,$AK173))</f>
        <v/>
      </c>
      <c r="C173" s="74" t="str">
        <f aca="false">IF($AK173="","",INDEX('REGISTRE ELEVES'!$D$10:$D$250,$AK173))</f>
        <v/>
      </c>
      <c r="D173" s="73" t="str">
        <f aca="false">IF($AK173="","",INDEX('REGISTRE ELEVES'!$E$10:$E$250,$AK173))</f>
        <v/>
      </c>
      <c r="E173" s="73" t="str">
        <f aca="false">IF($AK173="","",INDEX('REGISTRE ELEVES'!$F$10:$F$250,$AK173))</f>
        <v/>
      </c>
      <c r="F173" s="73" t="str">
        <f aca="false">IF($AK173="","",INDEX('REGISTRE ELEVES'!$AE$10:$AE$250,$AK173))</f>
        <v/>
      </c>
      <c r="G173" s="75"/>
      <c r="H173" s="76"/>
      <c r="I173" s="76"/>
      <c r="J173" s="76"/>
      <c r="K173" s="76"/>
      <c r="L173" s="79" t="str">
        <f aca="false">IF(B173="","",IF($G173="NON",0,IF(COUNT(H173:K173)=0,"",SUM(H173:K173))))</f>
        <v/>
      </c>
      <c r="M173" s="77" t="str">
        <f aca="false">IF(B173="","",IF($G173="NON",0,IF(COUNT(H173:K173)=0,"",IFERROR(ROUND(SUM(H173:K173)/SUMPRODUCT(ISNUMBER(H173:K173)*$H$8:$K$8)*20,2),""))))</f>
        <v/>
      </c>
      <c r="N173" s="75"/>
      <c r="O173" s="76"/>
      <c r="P173" s="76"/>
      <c r="Q173" s="76"/>
      <c r="R173" s="76"/>
      <c r="S173" s="79" t="str">
        <f aca="false">IF(B173="","",IF($N173="NON",0,IF(COUNT(O173:R173)=0,"",SUM(O173:R173))))</f>
        <v/>
      </c>
      <c r="T173" s="77" t="str">
        <f aca="false">IF(B173="","",IF($N173="NON",0,IF(COUNT(O173:R173)=0,"",IFERROR(ROUND(SUM(O173:R173)/SUMPRODUCT(ISNUMBER(O173:R173)*$O$8:$R$8)*20,2),""))))</f>
        <v/>
      </c>
      <c r="U173" s="75"/>
      <c r="V173" s="76"/>
      <c r="W173" s="76"/>
      <c r="X173" s="76"/>
      <c r="Y173" s="76"/>
      <c r="Z173" s="76"/>
      <c r="AA173" s="79" t="str">
        <f aca="false">IF(B173="","",IF($U173="NON",0,IF(COUNT(V173:Z173)=0,"",SUM(V173:Z173))))</f>
        <v/>
      </c>
      <c r="AB173" s="77" t="str">
        <f aca="false">IF(B173="","",IF($U173="NON",0,IF(COUNT(V173:Z173)=0,"",IFERROR(ROUND(SUM(V173:Z173)/SUMPRODUCT(ISNUMBER(V173:Z173)*$V$8:$Z$8)*20,2),""))))</f>
        <v/>
      </c>
      <c r="AC173" s="75"/>
      <c r="AD173" s="76"/>
      <c r="AE173" s="76"/>
      <c r="AF173" s="76"/>
      <c r="AG173" s="76"/>
      <c r="AH173" s="76"/>
      <c r="AI173" s="79" t="str">
        <f aca="false">IF(B173="","",IF($AC173="NON",0,IF(COUNT(AD173:AH173)=0,"",SUM(AD173:AH173))))</f>
        <v/>
      </c>
      <c r="AJ173" s="77" t="str">
        <f aca="false">IF(B173="","",IF($AC173="NON",0,IF(COUNT(AD173:AH173)=0,"",IFERROR(ROUND(SUM(AD173:AH173)/SUMPRODUCT(ISNUMBER(AD173:AH173)*$AD$8:$AH$8)*20,2),""))))</f>
        <v/>
      </c>
      <c r="AK173" s="51" t="str">
        <f aca="false">IFERROR(MATCH("CM2-164",'REGISTRE ELEVES'!$AI$10:$AI$250,0),"")</f>
        <v/>
      </c>
    </row>
    <row r="174" customFormat="false" ht="15" hidden="false" customHeight="false" outlineLevel="0" collapsed="false">
      <c r="A174" s="73" t="str">
        <f aca="false">IF(B174="","",165)</f>
        <v/>
      </c>
      <c r="B174" s="73" t="str">
        <f aca="false">IF($AK174="","",INDEX('REGISTRE ELEVES'!$B$10:$B$250,$AK174))</f>
        <v/>
      </c>
      <c r="C174" s="74" t="str">
        <f aca="false">IF($AK174="","",INDEX('REGISTRE ELEVES'!$D$10:$D$250,$AK174))</f>
        <v/>
      </c>
      <c r="D174" s="73" t="str">
        <f aca="false">IF($AK174="","",INDEX('REGISTRE ELEVES'!$E$10:$E$250,$AK174))</f>
        <v/>
      </c>
      <c r="E174" s="73" t="str">
        <f aca="false">IF($AK174="","",INDEX('REGISTRE ELEVES'!$F$10:$F$250,$AK174))</f>
        <v/>
      </c>
      <c r="F174" s="73" t="str">
        <f aca="false">IF($AK174="","",INDEX('REGISTRE ELEVES'!$AE$10:$AE$250,$AK174))</f>
        <v/>
      </c>
      <c r="G174" s="75"/>
      <c r="H174" s="76"/>
      <c r="I174" s="76"/>
      <c r="J174" s="76"/>
      <c r="K174" s="76"/>
      <c r="L174" s="79" t="str">
        <f aca="false">IF(B174="","",IF($G174="NON",0,IF(COUNT(H174:K174)=0,"",SUM(H174:K174))))</f>
        <v/>
      </c>
      <c r="M174" s="77" t="str">
        <f aca="false">IF(B174="","",IF($G174="NON",0,IF(COUNT(H174:K174)=0,"",IFERROR(ROUND(SUM(H174:K174)/SUMPRODUCT(ISNUMBER(H174:K174)*$H$8:$K$8)*20,2),""))))</f>
        <v/>
      </c>
      <c r="N174" s="75"/>
      <c r="O174" s="76"/>
      <c r="P174" s="76"/>
      <c r="Q174" s="76"/>
      <c r="R174" s="76"/>
      <c r="S174" s="79" t="str">
        <f aca="false">IF(B174="","",IF($N174="NON",0,IF(COUNT(O174:R174)=0,"",SUM(O174:R174))))</f>
        <v/>
      </c>
      <c r="T174" s="77" t="str">
        <f aca="false">IF(B174="","",IF($N174="NON",0,IF(COUNT(O174:R174)=0,"",IFERROR(ROUND(SUM(O174:R174)/SUMPRODUCT(ISNUMBER(O174:R174)*$O$8:$R$8)*20,2),""))))</f>
        <v/>
      </c>
      <c r="U174" s="75"/>
      <c r="V174" s="76"/>
      <c r="W174" s="76"/>
      <c r="X174" s="76"/>
      <c r="Y174" s="76"/>
      <c r="Z174" s="76"/>
      <c r="AA174" s="79" t="str">
        <f aca="false">IF(B174="","",IF($U174="NON",0,IF(COUNT(V174:Z174)=0,"",SUM(V174:Z174))))</f>
        <v/>
      </c>
      <c r="AB174" s="77" t="str">
        <f aca="false">IF(B174="","",IF($U174="NON",0,IF(COUNT(V174:Z174)=0,"",IFERROR(ROUND(SUM(V174:Z174)/SUMPRODUCT(ISNUMBER(V174:Z174)*$V$8:$Z$8)*20,2),""))))</f>
        <v/>
      </c>
      <c r="AC174" s="75"/>
      <c r="AD174" s="76"/>
      <c r="AE174" s="76"/>
      <c r="AF174" s="76"/>
      <c r="AG174" s="76"/>
      <c r="AH174" s="76"/>
      <c r="AI174" s="79" t="str">
        <f aca="false">IF(B174="","",IF($AC174="NON",0,IF(COUNT(AD174:AH174)=0,"",SUM(AD174:AH174))))</f>
        <v/>
      </c>
      <c r="AJ174" s="77" t="str">
        <f aca="false">IF(B174="","",IF($AC174="NON",0,IF(COUNT(AD174:AH174)=0,"",IFERROR(ROUND(SUM(AD174:AH174)/SUMPRODUCT(ISNUMBER(AD174:AH174)*$AD$8:$AH$8)*20,2),""))))</f>
        <v/>
      </c>
      <c r="AK174" s="51" t="str">
        <f aca="false">IFERROR(MATCH("CM2-165",'REGISTRE ELEVES'!$AI$10:$AI$250,0),"")</f>
        <v/>
      </c>
    </row>
    <row r="175" customFormat="false" ht="15" hidden="false" customHeight="false" outlineLevel="0" collapsed="false">
      <c r="A175" s="73" t="str">
        <f aca="false">IF(B175="","",166)</f>
        <v/>
      </c>
      <c r="B175" s="73" t="str">
        <f aca="false">IF($AK175="","",INDEX('REGISTRE ELEVES'!$B$10:$B$250,$AK175))</f>
        <v/>
      </c>
      <c r="C175" s="74" t="str">
        <f aca="false">IF($AK175="","",INDEX('REGISTRE ELEVES'!$D$10:$D$250,$AK175))</f>
        <v/>
      </c>
      <c r="D175" s="73" t="str">
        <f aca="false">IF($AK175="","",INDEX('REGISTRE ELEVES'!$E$10:$E$250,$AK175))</f>
        <v/>
      </c>
      <c r="E175" s="73" t="str">
        <f aca="false">IF($AK175="","",INDEX('REGISTRE ELEVES'!$F$10:$F$250,$AK175))</f>
        <v/>
      </c>
      <c r="F175" s="73" t="str">
        <f aca="false">IF($AK175="","",INDEX('REGISTRE ELEVES'!$AE$10:$AE$250,$AK175))</f>
        <v/>
      </c>
      <c r="G175" s="75"/>
      <c r="H175" s="76"/>
      <c r="I175" s="76"/>
      <c r="J175" s="76"/>
      <c r="K175" s="76"/>
      <c r="L175" s="79" t="str">
        <f aca="false">IF(B175="","",IF($G175="NON",0,IF(COUNT(H175:K175)=0,"",SUM(H175:K175))))</f>
        <v/>
      </c>
      <c r="M175" s="77" t="str">
        <f aca="false">IF(B175="","",IF($G175="NON",0,IF(COUNT(H175:K175)=0,"",IFERROR(ROUND(SUM(H175:K175)/SUMPRODUCT(ISNUMBER(H175:K175)*$H$8:$K$8)*20,2),""))))</f>
        <v/>
      </c>
      <c r="N175" s="75"/>
      <c r="O175" s="76"/>
      <c r="P175" s="76"/>
      <c r="Q175" s="76"/>
      <c r="R175" s="76"/>
      <c r="S175" s="79" t="str">
        <f aca="false">IF(B175="","",IF($N175="NON",0,IF(COUNT(O175:R175)=0,"",SUM(O175:R175))))</f>
        <v/>
      </c>
      <c r="T175" s="77" t="str">
        <f aca="false">IF(B175="","",IF($N175="NON",0,IF(COUNT(O175:R175)=0,"",IFERROR(ROUND(SUM(O175:R175)/SUMPRODUCT(ISNUMBER(O175:R175)*$O$8:$R$8)*20,2),""))))</f>
        <v/>
      </c>
      <c r="U175" s="75"/>
      <c r="V175" s="76"/>
      <c r="W175" s="76"/>
      <c r="X175" s="76"/>
      <c r="Y175" s="76"/>
      <c r="Z175" s="76"/>
      <c r="AA175" s="79" t="str">
        <f aca="false">IF(B175="","",IF($U175="NON",0,IF(COUNT(V175:Z175)=0,"",SUM(V175:Z175))))</f>
        <v/>
      </c>
      <c r="AB175" s="77" t="str">
        <f aca="false">IF(B175="","",IF($U175="NON",0,IF(COUNT(V175:Z175)=0,"",IFERROR(ROUND(SUM(V175:Z175)/SUMPRODUCT(ISNUMBER(V175:Z175)*$V$8:$Z$8)*20,2),""))))</f>
        <v/>
      </c>
      <c r="AC175" s="75"/>
      <c r="AD175" s="76"/>
      <c r="AE175" s="76"/>
      <c r="AF175" s="76"/>
      <c r="AG175" s="76"/>
      <c r="AH175" s="76"/>
      <c r="AI175" s="79" t="str">
        <f aca="false">IF(B175="","",IF($AC175="NON",0,IF(COUNT(AD175:AH175)=0,"",SUM(AD175:AH175))))</f>
        <v/>
      </c>
      <c r="AJ175" s="77" t="str">
        <f aca="false">IF(B175="","",IF($AC175="NON",0,IF(COUNT(AD175:AH175)=0,"",IFERROR(ROUND(SUM(AD175:AH175)/SUMPRODUCT(ISNUMBER(AD175:AH175)*$AD$8:$AH$8)*20,2),""))))</f>
        <v/>
      </c>
      <c r="AK175" s="51" t="str">
        <f aca="false">IFERROR(MATCH("CM2-166",'REGISTRE ELEVES'!$AI$10:$AI$250,0),"")</f>
        <v/>
      </c>
    </row>
    <row r="176" customFormat="false" ht="15" hidden="false" customHeight="false" outlineLevel="0" collapsed="false">
      <c r="A176" s="73" t="str">
        <f aca="false">IF(B176="","",167)</f>
        <v/>
      </c>
      <c r="B176" s="73" t="str">
        <f aca="false">IF($AK176="","",INDEX('REGISTRE ELEVES'!$B$10:$B$250,$AK176))</f>
        <v/>
      </c>
      <c r="C176" s="74" t="str">
        <f aca="false">IF($AK176="","",INDEX('REGISTRE ELEVES'!$D$10:$D$250,$AK176))</f>
        <v/>
      </c>
      <c r="D176" s="73" t="str">
        <f aca="false">IF($AK176="","",INDEX('REGISTRE ELEVES'!$E$10:$E$250,$AK176))</f>
        <v/>
      </c>
      <c r="E176" s="73" t="str">
        <f aca="false">IF($AK176="","",INDEX('REGISTRE ELEVES'!$F$10:$F$250,$AK176))</f>
        <v/>
      </c>
      <c r="F176" s="73" t="str">
        <f aca="false">IF($AK176="","",INDEX('REGISTRE ELEVES'!$AE$10:$AE$250,$AK176))</f>
        <v/>
      </c>
      <c r="G176" s="75"/>
      <c r="H176" s="76"/>
      <c r="I176" s="76"/>
      <c r="J176" s="76"/>
      <c r="K176" s="76"/>
      <c r="L176" s="79" t="str">
        <f aca="false">IF(B176="","",IF($G176="NON",0,IF(COUNT(H176:K176)=0,"",SUM(H176:K176))))</f>
        <v/>
      </c>
      <c r="M176" s="77" t="str">
        <f aca="false">IF(B176="","",IF($G176="NON",0,IF(COUNT(H176:K176)=0,"",IFERROR(ROUND(SUM(H176:K176)/SUMPRODUCT(ISNUMBER(H176:K176)*$H$8:$K$8)*20,2),""))))</f>
        <v/>
      </c>
      <c r="N176" s="75"/>
      <c r="O176" s="76"/>
      <c r="P176" s="76"/>
      <c r="Q176" s="76"/>
      <c r="R176" s="76"/>
      <c r="S176" s="79" t="str">
        <f aca="false">IF(B176="","",IF($N176="NON",0,IF(COUNT(O176:R176)=0,"",SUM(O176:R176))))</f>
        <v/>
      </c>
      <c r="T176" s="77" t="str">
        <f aca="false">IF(B176="","",IF($N176="NON",0,IF(COUNT(O176:R176)=0,"",IFERROR(ROUND(SUM(O176:R176)/SUMPRODUCT(ISNUMBER(O176:R176)*$O$8:$R$8)*20,2),""))))</f>
        <v/>
      </c>
      <c r="U176" s="75"/>
      <c r="V176" s="76"/>
      <c r="W176" s="76"/>
      <c r="X176" s="76"/>
      <c r="Y176" s="76"/>
      <c r="Z176" s="76"/>
      <c r="AA176" s="79" t="str">
        <f aca="false">IF(B176="","",IF($U176="NON",0,IF(COUNT(V176:Z176)=0,"",SUM(V176:Z176))))</f>
        <v/>
      </c>
      <c r="AB176" s="77" t="str">
        <f aca="false">IF(B176="","",IF($U176="NON",0,IF(COUNT(V176:Z176)=0,"",IFERROR(ROUND(SUM(V176:Z176)/SUMPRODUCT(ISNUMBER(V176:Z176)*$V$8:$Z$8)*20,2),""))))</f>
        <v/>
      </c>
      <c r="AC176" s="75"/>
      <c r="AD176" s="76"/>
      <c r="AE176" s="76"/>
      <c r="AF176" s="76"/>
      <c r="AG176" s="76"/>
      <c r="AH176" s="76"/>
      <c r="AI176" s="79" t="str">
        <f aca="false">IF(B176="","",IF($AC176="NON",0,IF(COUNT(AD176:AH176)=0,"",SUM(AD176:AH176))))</f>
        <v/>
      </c>
      <c r="AJ176" s="77" t="str">
        <f aca="false">IF(B176="","",IF($AC176="NON",0,IF(COUNT(AD176:AH176)=0,"",IFERROR(ROUND(SUM(AD176:AH176)/SUMPRODUCT(ISNUMBER(AD176:AH176)*$AD$8:$AH$8)*20,2),""))))</f>
        <v/>
      </c>
      <c r="AK176" s="51" t="str">
        <f aca="false">IFERROR(MATCH("CM2-167",'REGISTRE ELEVES'!$AI$10:$AI$250,0),"")</f>
        <v/>
      </c>
    </row>
    <row r="177" customFormat="false" ht="15" hidden="false" customHeight="false" outlineLevel="0" collapsed="false">
      <c r="A177" s="73" t="str">
        <f aca="false">IF(B177="","",168)</f>
        <v/>
      </c>
      <c r="B177" s="73" t="str">
        <f aca="false">IF($AK177="","",INDEX('REGISTRE ELEVES'!$B$10:$B$250,$AK177))</f>
        <v/>
      </c>
      <c r="C177" s="74" t="str">
        <f aca="false">IF($AK177="","",INDEX('REGISTRE ELEVES'!$D$10:$D$250,$AK177))</f>
        <v/>
      </c>
      <c r="D177" s="73" t="str">
        <f aca="false">IF($AK177="","",INDEX('REGISTRE ELEVES'!$E$10:$E$250,$AK177))</f>
        <v/>
      </c>
      <c r="E177" s="73" t="str">
        <f aca="false">IF($AK177="","",INDEX('REGISTRE ELEVES'!$F$10:$F$250,$AK177))</f>
        <v/>
      </c>
      <c r="F177" s="73" t="str">
        <f aca="false">IF($AK177="","",INDEX('REGISTRE ELEVES'!$AE$10:$AE$250,$AK177))</f>
        <v/>
      </c>
      <c r="G177" s="75"/>
      <c r="H177" s="76"/>
      <c r="I177" s="76"/>
      <c r="J177" s="76"/>
      <c r="K177" s="76"/>
      <c r="L177" s="79" t="str">
        <f aca="false">IF(B177="","",IF($G177="NON",0,IF(COUNT(H177:K177)=0,"",SUM(H177:K177))))</f>
        <v/>
      </c>
      <c r="M177" s="77" t="str">
        <f aca="false">IF(B177="","",IF($G177="NON",0,IF(COUNT(H177:K177)=0,"",IFERROR(ROUND(SUM(H177:K177)/SUMPRODUCT(ISNUMBER(H177:K177)*$H$8:$K$8)*20,2),""))))</f>
        <v/>
      </c>
      <c r="N177" s="75"/>
      <c r="O177" s="76"/>
      <c r="P177" s="76"/>
      <c r="Q177" s="76"/>
      <c r="R177" s="76"/>
      <c r="S177" s="79" t="str">
        <f aca="false">IF(B177="","",IF($N177="NON",0,IF(COUNT(O177:R177)=0,"",SUM(O177:R177))))</f>
        <v/>
      </c>
      <c r="T177" s="77" t="str">
        <f aca="false">IF(B177="","",IF($N177="NON",0,IF(COUNT(O177:R177)=0,"",IFERROR(ROUND(SUM(O177:R177)/SUMPRODUCT(ISNUMBER(O177:R177)*$O$8:$R$8)*20,2),""))))</f>
        <v/>
      </c>
      <c r="U177" s="75"/>
      <c r="V177" s="76"/>
      <c r="W177" s="76"/>
      <c r="X177" s="76"/>
      <c r="Y177" s="76"/>
      <c r="Z177" s="76"/>
      <c r="AA177" s="79" t="str">
        <f aca="false">IF(B177="","",IF($U177="NON",0,IF(COUNT(V177:Z177)=0,"",SUM(V177:Z177))))</f>
        <v/>
      </c>
      <c r="AB177" s="77" t="str">
        <f aca="false">IF(B177="","",IF($U177="NON",0,IF(COUNT(V177:Z177)=0,"",IFERROR(ROUND(SUM(V177:Z177)/SUMPRODUCT(ISNUMBER(V177:Z177)*$V$8:$Z$8)*20,2),""))))</f>
        <v/>
      </c>
      <c r="AC177" s="75"/>
      <c r="AD177" s="76"/>
      <c r="AE177" s="76"/>
      <c r="AF177" s="76"/>
      <c r="AG177" s="76"/>
      <c r="AH177" s="76"/>
      <c r="AI177" s="79" t="str">
        <f aca="false">IF(B177="","",IF($AC177="NON",0,IF(COUNT(AD177:AH177)=0,"",SUM(AD177:AH177))))</f>
        <v/>
      </c>
      <c r="AJ177" s="77" t="str">
        <f aca="false">IF(B177="","",IF($AC177="NON",0,IF(COUNT(AD177:AH177)=0,"",IFERROR(ROUND(SUM(AD177:AH177)/SUMPRODUCT(ISNUMBER(AD177:AH177)*$AD$8:$AH$8)*20,2),""))))</f>
        <v/>
      </c>
      <c r="AK177" s="51" t="str">
        <f aca="false">IFERROR(MATCH("CM2-168",'REGISTRE ELEVES'!$AI$10:$AI$250,0),"")</f>
        <v/>
      </c>
    </row>
    <row r="178" customFormat="false" ht="15" hidden="false" customHeight="false" outlineLevel="0" collapsed="false">
      <c r="A178" s="73" t="str">
        <f aca="false">IF(B178="","",169)</f>
        <v/>
      </c>
      <c r="B178" s="73" t="str">
        <f aca="false">IF($AK178="","",INDEX('REGISTRE ELEVES'!$B$10:$B$250,$AK178))</f>
        <v/>
      </c>
      <c r="C178" s="74" t="str">
        <f aca="false">IF($AK178="","",INDEX('REGISTRE ELEVES'!$D$10:$D$250,$AK178))</f>
        <v/>
      </c>
      <c r="D178" s="73" t="str">
        <f aca="false">IF($AK178="","",INDEX('REGISTRE ELEVES'!$E$10:$E$250,$AK178))</f>
        <v/>
      </c>
      <c r="E178" s="73" t="str">
        <f aca="false">IF($AK178="","",INDEX('REGISTRE ELEVES'!$F$10:$F$250,$AK178))</f>
        <v/>
      </c>
      <c r="F178" s="73" t="str">
        <f aca="false">IF($AK178="","",INDEX('REGISTRE ELEVES'!$AE$10:$AE$250,$AK178))</f>
        <v/>
      </c>
      <c r="G178" s="75"/>
      <c r="H178" s="76"/>
      <c r="I178" s="76"/>
      <c r="J178" s="76"/>
      <c r="K178" s="76"/>
      <c r="L178" s="79" t="str">
        <f aca="false">IF(B178="","",IF($G178="NON",0,IF(COUNT(H178:K178)=0,"",SUM(H178:K178))))</f>
        <v/>
      </c>
      <c r="M178" s="77" t="str">
        <f aca="false">IF(B178="","",IF($G178="NON",0,IF(COUNT(H178:K178)=0,"",IFERROR(ROUND(SUM(H178:K178)/SUMPRODUCT(ISNUMBER(H178:K178)*$H$8:$K$8)*20,2),""))))</f>
        <v/>
      </c>
      <c r="N178" s="75"/>
      <c r="O178" s="76"/>
      <c r="P178" s="76"/>
      <c r="Q178" s="76"/>
      <c r="R178" s="76"/>
      <c r="S178" s="79" t="str">
        <f aca="false">IF(B178="","",IF($N178="NON",0,IF(COUNT(O178:R178)=0,"",SUM(O178:R178))))</f>
        <v/>
      </c>
      <c r="T178" s="77" t="str">
        <f aca="false">IF(B178="","",IF($N178="NON",0,IF(COUNT(O178:R178)=0,"",IFERROR(ROUND(SUM(O178:R178)/SUMPRODUCT(ISNUMBER(O178:R178)*$O$8:$R$8)*20,2),""))))</f>
        <v/>
      </c>
      <c r="U178" s="75"/>
      <c r="V178" s="76"/>
      <c r="W178" s="76"/>
      <c r="X178" s="76"/>
      <c r="Y178" s="76"/>
      <c r="Z178" s="76"/>
      <c r="AA178" s="79" t="str">
        <f aca="false">IF(B178="","",IF($U178="NON",0,IF(COUNT(V178:Z178)=0,"",SUM(V178:Z178))))</f>
        <v/>
      </c>
      <c r="AB178" s="77" t="str">
        <f aca="false">IF(B178="","",IF($U178="NON",0,IF(COUNT(V178:Z178)=0,"",IFERROR(ROUND(SUM(V178:Z178)/SUMPRODUCT(ISNUMBER(V178:Z178)*$V$8:$Z$8)*20,2),""))))</f>
        <v/>
      </c>
      <c r="AC178" s="75"/>
      <c r="AD178" s="76"/>
      <c r="AE178" s="76"/>
      <c r="AF178" s="76"/>
      <c r="AG178" s="76"/>
      <c r="AH178" s="76"/>
      <c r="AI178" s="79" t="str">
        <f aca="false">IF(B178="","",IF($AC178="NON",0,IF(COUNT(AD178:AH178)=0,"",SUM(AD178:AH178))))</f>
        <v/>
      </c>
      <c r="AJ178" s="77" t="str">
        <f aca="false">IF(B178="","",IF($AC178="NON",0,IF(COUNT(AD178:AH178)=0,"",IFERROR(ROUND(SUM(AD178:AH178)/SUMPRODUCT(ISNUMBER(AD178:AH178)*$AD$8:$AH$8)*20,2),""))))</f>
        <v/>
      </c>
      <c r="AK178" s="51" t="str">
        <f aca="false">IFERROR(MATCH("CM2-169",'REGISTRE ELEVES'!$AI$10:$AI$250,0),"")</f>
        <v/>
      </c>
    </row>
    <row r="179" customFormat="false" ht="15" hidden="false" customHeight="false" outlineLevel="0" collapsed="false">
      <c r="A179" s="73" t="str">
        <f aca="false">IF(B179="","",170)</f>
        <v/>
      </c>
      <c r="B179" s="73" t="str">
        <f aca="false">IF($AK179="","",INDEX('REGISTRE ELEVES'!$B$10:$B$250,$AK179))</f>
        <v/>
      </c>
      <c r="C179" s="74" t="str">
        <f aca="false">IF($AK179="","",INDEX('REGISTRE ELEVES'!$D$10:$D$250,$AK179))</f>
        <v/>
      </c>
      <c r="D179" s="73" t="str">
        <f aca="false">IF($AK179="","",INDEX('REGISTRE ELEVES'!$E$10:$E$250,$AK179))</f>
        <v/>
      </c>
      <c r="E179" s="73" t="str">
        <f aca="false">IF($AK179="","",INDEX('REGISTRE ELEVES'!$F$10:$F$250,$AK179))</f>
        <v/>
      </c>
      <c r="F179" s="73" t="str">
        <f aca="false">IF($AK179="","",INDEX('REGISTRE ELEVES'!$AE$10:$AE$250,$AK179))</f>
        <v/>
      </c>
      <c r="G179" s="75"/>
      <c r="H179" s="76"/>
      <c r="I179" s="76"/>
      <c r="J179" s="76"/>
      <c r="K179" s="76"/>
      <c r="L179" s="79" t="str">
        <f aca="false">IF(B179="","",IF($G179="NON",0,IF(COUNT(H179:K179)=0,"",SUM(H179:K179))))</f>
        <v/>
      </c>
      <c r="M179" s="77" t="str">
        <f aca="false">IF(B179="","",IF($G179="NON",0,IF(COUNT(H179:K179)=0,"",IFERROR(ROUND(SUM(H179:K179)/SUMPRODUCT(ISNUMBER(H179:K179)*$H$8:$K$8)*20,2),""))))</f>
        <v/>
      </c>
      <c r="N179" s="75"/>
      <c r="O179" s="76"/>
      <c r="P179" s="76"/>
      <c r="Q179" s="76"/>
      <c r="R179" s="76"/>
      <c r="S179" s="79" t="str">
        <f aca="false">IF(B179="","",IF($N179="NON",0,IF(COUNT(O179:R179)=0,"",SUM(O179:R179))))</f>
        <v/>
      </c>
      <c r="T179" s="77" t="str">
        <f aca="false">IF(B179="","",IF($N179="NON",0,IF(COUNT(O179:R179)=0,"",IFERROR(ROUND(SUM(O179:R179)/SUMPRODUCT(ISNUMBER(O179:R179)*$O$8:$R$8)*20,2),""))))</f>
        <v/>
      </c>
      <c r="U179" s="75"/>
      <c r="V179" s="76"/>
      <c r="W179" s="76"/>
      <c r="X179" s="76"/>
      <c r="Y179" s="76"/>
      <c r="Z179" s="76"/>
      <c r="AA179" s="79" t="str">
        <f aca="false">IF(B179="","",IF($U179="NON",0,IF(COUNT(V179:Z179)=0,"",SUM(V179:Z179))))</f>
        <v/>
      </c>
      <c r="AB179" s="77" t="str">
        <f aca="false">IF(B179="","",IF($U179="NON",0,IF(COUNT(V179:Z179)=0,"",IFERROR(ROUND(SUM(V179:Z179)/SUMPRODUCT(ISNUMBER(V179:Z179)*$V$8:$Z$8)*20,2),""))))</f>
        <v/>
      </c>
      <c r="AC179" s="75"/>
      <c r="AD179" s="76"/>
      <c r="AE179" s="76"/>
      <c r="AF179" s="76"/>
      <c r="AG179" s="76"/>
      <c r="AH179" s="76"/>
      <c r="AI179" s="79" t="str">
        <f aca="false">IF(B179="","",IF($AC179="NON",0,IF(COUNT(AD179:AH179)=0,"",SUM(AD179:AH179))))</f>
        <v/>
      </c>
      <c r="AJ179" s="77" t="str">
        <f aca="false">IF(B179="","",IF($AC179="NON",0,IF(COUNT(AD179:AH179)=0,"",IFERROR(ROUND(SUM(AD179:AH179)/SUMPRODUCT(ISNUMBER(AD179:AH179)*$AD$8:$AH$8)*20,2),""))))</f>
        <v/>
      </c>
      <c r="AK179" s="51" t="str">
        <f aca="false">IFERROR(MATCH("CM2-170",'REGISTRE ELEVES'!$AI$10:$AI$250,0),"")</f>
        <v/>
      </c>
    </row>
    <row r="180" customFormat="false" ht="15" hidden="false" customHeight="false" outlineLevel="0" collapsed="false">
      <c r="A180" s="73" t="str">
        <f aca="false">IF(B180="","",171)</f>
        <v/>
      </c>
      <c r="B180" s="73" t="str">
        <f aca="false">IF($AK180="","",INDEX('REGISTRE ELEVES'!$B$10:$B$250,$AK180))</f>
        <v/>
      </c>
      <c r="C180" s="74" t="str">
        <f aca="false">IF($AK180="","",INDEX('REGISTRE ELEVES'!$D$10:$D$250,$AK180))</f>
        <v/>
      </c>
      <c r="D180" s="73" t="str">
        <f aca="false">IF($AK180="","",INDEX('REGISTRE ELEVES'!$E$10:$E$250,$AK180))</f>
        <v/>
      </c>
      <c r="E180" s="73" t="str">
        <f aca="false">IF($AK180="","",INDEX('REGISTRE ELEVES'!$F$10:$F$250,$AK180))</f>
        <v/>
      </c>
      <c r="F180" s="73" t="str">
        <f aca="false">IF($AK180="","",INDEX('REGISTRE ELEVES'!$AE$10:$AE$250,$AK180))</f>
        <v/>
      </c>
      <c r="G180" s="75"/>
      <c r="H180" s="76"/>
      <c r="I180" s="76"/>
      <c r="J180" s="76"/>
      <c r="K180" s="76"/>
      <c r="L180" s="79" t="str">
        <f aca="false">IF(B180="","",IF($G180="NON",0,IF(COUNT(H180:K180)=0,"",SUM(H180:K180))))</f>
        <v/>
      </c>
      <c r="M180" s="77" t="str">
        <f aca="false">IF(B180="","",IF($G180="NON",0,IF(COUNT(H180:K180)=0,"",IFERROR(ROUND(SUM(H180:K180)/SUMPRODUCT(ISNUMBER(H180:K180)*$H$8:$K$8)*20,2),""))))</f>
        <v/>
      </c>
      <c r="N180" s="75"/>
      <c r="O180" s="76"/>
      <c r="P180" s="76"/>
      <c r="Q180" s="76"/>
      <c r="R180" s="76"/>
      <c r="S180" s="79" t="str">
        <f aca="false">IF(B180="","",IF($N180="NON",0,IF(COUNT(O180:R180)=0,"",SUM(O180:R180))))</f>
        <v/>
      </c>
      <c r="T180" s="77" t="str">
        <f aca="false">IF(B180="","",IF($N180="NON",0,IF(COUNT(O180:R180)=0,"",IFERROR(ROUND(SUM(O180:R180)/SUMPRODUCT(ISNUMBER(O180:R180)*$O$8:$R$8)*20,2),""))))</f>
        <v/>
      </c>
      <c r="U180" s="75"/>
      <c r="V180" s="76"/>
      <c r="W180" s="76"/>
      <c r="X180" s="76"/>
      <c r="Y180" s="76"/>
      <c r="Z180" s="76"/>
      <c r="AA180" s="79" t="str">
        <f aca="false">IF(B180="","",IF($U180="NON",0,IF(COUNT(V180:Z180)=0,"",SUM(V180:Z180))))</f>
        <v/>
      </c>
      <c r="AB180" s="77" t="str">
        <f aca="false">IF(B180="","",IF($U180="NON",0,IF(COUNT(V180:Z180)=0,"",IFERROR(ROUND(SUM(V180:Z180)/SUMPRODUCT(ISNUMBER(V180:Z180)*$V$8:$Z$8)*20,2),""))))</f>
        <v/>
      </c>
      <c r="AC180" s="75"/>
      <c r="AD180" s="76"/>
      <c r="AE180" s="76"/>
      <c r="AF180" s="76"/>
      <c r="AG180" s="76"/>
      <c r="AH180" s="76"/>
      <c r="AI180" s="79" t="str">
        <f aca="false">IF(B180="","",IF($AC180="NON",0,IF(COUNT(AD180:AH180)=0,"",SUM(AD180:AH180))))</f>
        <v/>
      </c>
      <c r="AJ180" s="77" t="str">
        <f aca="false">IF(B180="","",IF($AC180="NON",0,IF(COUNT(AD180:AH180)=0,"",IFERROR(ROUND(SUM(AD180:AH180)/SUMPRODUCT(ISNUMBER(AD180:AH180)*$AD$8:$AH$8)*20,2),""))))</f>
        <v/>
      </c>
      <c r="AK180" s="51" t="str">
        <f aca="false">IFERROR(MATCH("CM2-171",'REGISTRE ELEVES'!$AI$10:$AI$250,0),"")</f>
        <v/>
      </c>
    </row>
    <row r="181" customFormat="false" ht="15" hidden="false" customHeight="false" outlineLevel="0" collapsed="false">
      <c r="A181" s="73" t="str">
        <f aca="false">IF(B181="","",172)</f>
        <v/>
      </c>
      <c r="B181" s="73" t="str">
        <f aca="false">IF($AK181="","",INDEX('REGISTRE ELEVES'!$B$10:$B$250,$AK181))</f>
        <v/>
      </c>
      <c r="C181" s="74" t="str">
        <f aca="false">IF($AK181="","",INDEX('REGISTRE ELEVES'!$D$10:$D$250,$AK181))</f>
        <v/>
      </c>
      <c r="D181" s="73" t="str">
        <f aca="false">IF($AK181="","",INDEX('REGISTRE ELEVES'!$E$10:$E$250,$AK181))</f>
        <v/>
      </c>
      <c r="E181" s="73" t="str">
        <f aca="false">IF($AK181="","",INDEX('REGISTRE ELEVES'!$F$10:$F$250,$AK181))</f>
        <v/>
      </c>
      <c r="F181" s="73" t="str">
        <f aca="false">IF($AK181="","",INDEX('REGISTRE ELEVES'!$AE$10:$AE$250,$AK181))</f>
        <v/>
      </c>
      <c r="G181" s="75"/>
      <c r="H181" s="76"/>
      <c r="I181" s="76"/>
      <c r="J181" s="76"/>
      <c r="K181" s="76"/>
      <c r="L181" s="79" t="str">
        <f aca="false">IF(B181="","",IF($G181="NON",0,IF(COUNT(H181:K181)=0,"",SUM(H181:K181))))</f>
        <v/>
      </c>
      <c r="M181" s="77" t="str">
        <f aca="false">IF(B181="","",IF($G181="NON",0,IF(COUNT(H181:K181)=0,"",IFERROR(ROUND(SUM(H181:K181)/SUMPRODUCT(ISNUMBER(H181:K181)*$H$8:$K$8)*20,2),""))))</f>
        <v/>
      </c>
      <c r="N181" s="75"/>
      <c r="O181" s="76"/>
      <c r="P181" s="76"/>
      <c r="Q181" s="76"/>
      <c r="R181" s="76"/>
      <c r="S181" s="79" t="str">
        <f aca="false">IF(B181="","",IF($N181="NON",0,IF(COUNT(O181:R181)=0,"",SUM(O181:R181))))</f>
        <v/>
      </c>
      <c r="T181" s="77" t="str">
        <f aca="false">IF(B181="","",IF($N181="NON",0,IF(COUNT(O181:R181)=0,"",IFERROR(ROUND(SUM(O181:R181)/SUMPRODUCT(ISNUMBER(O181:R181)*$O$8:$R$8)*20,2),""))))</f>
        <v/>
      </c>
      <c r="U181" s="75"/>
      <c r="V181" s="76"/>
      <c r="W181" s="76"/>
      <c r="X181" s="76"/>
      <c r="Y181" s="76"/>
      <c r="Z181" s="76"/>
      <c r="AA181" s="79" t="str">
        <f aca="false">IF(B181="","",IF($U181="NON",0,IF(COUNT(V181:Z181)=0,"",SUM(V181:Z181))))</f>
        <v/>
      </c>
      <c r="AB181" s="77" t="str">
        <f aca="false">IF(B181="","",IF($U181="NON",0,IF(COUNT(V181:Z181)=0,"",IFERROR(ROUND(SUM(V181:Z181)/SUMPRODUCT(ISNUMBER(V181:Z181)*$V$8:$Z$8)*20,2),""))))</f>
        <v/>
      </c>
      <c r="AC181" s="75"/>
      <c r="AD181" s="76"/>
      <c r="AE181" s="76"/>
      <c r="AF181" s="76"/>
      <c r="AG181" s="76"/>
      <c r="AH181" s="76"/>
      <c r="AI181" s="79" t="str">
        <f aca="false">IF(B181="","",IF($AC181="NON",0,IF(COUNT(AD181:AH181)=0,"",SUM(AD181:AH181))))</f>
        <v/>
      </c>
      <c r="AJ181" s="77" t="str">
        <f aca="false">IF(B181="","",IF($AC181="NON",0,IF(COUNT(AD181:AH181)=0,"",IFERROR(ROUND(SUM(AD181:AH181)/SUMPRODUCT(ISNUMBER(AD181:AH181)*$AD$8:$AH$8)*20,2),""))))</f>
        <v/>
      </c>
      <c r="AK181" s="51" t="str">
        <f aca="false">IFERROR(MATCH("CM2-172",'REGISTRE ELEVES'!$AI$10:$AI$250,0),"")</f>
        <v/>
      </c>
    </row>
    <row r="182" customFormat="false" ht="15" hidden="false" customHeight="false" outlineLevel="0" collapsed="false">
      <c r="A182" s="73" t="str">
        <f aca="false">IF(B182="","",173)</f>
        <v/>
      </c>
      <c r="B182" s="73" t="str">
        <f aca="false">IF($AK182="","",INDEX('REGISTRE ELEVES'!$B$10:$B$250,$AK182))</f>
        <v/>
      </c>
      <c r="C182" s="74" t="str">
        <f aca="false">IF($AK182="","",INDEX('REGISTRE ELEVES'!$D$10:$D$250,$AK182))</f>
        <v/>
      </c>
      <c r="D182" s="73" t="str">
        <f aca="false">IF($AK182="","",INDEX('REGISTRE ELEVES'!$E$10:$E$250,$AK182))</f>
        <v/>
      </c>
      <c r="E182" s="73" t="str">
        <f aca="false">IF($AK182="","",INDEX('REGISTRE ELEVES'!$F$10:$F$250,$AK182))</f>
        <v/>
      </c>
      <c r="F182" s="73" t="str">
        <f aca="false">IF($AK182="","",INDEX('REGISTRE ELEVES'!$AE$10:$AE$250,$AK182))</f>
        <v/>
      </c>
      <c r="G182" s="75"/>
      <c r="H182" s="76"/>
      <c r="I182" s="76"/>
      <c r="J182" s="76"/>
      <c r="K182" s="76"/>
      <c r="L182" s="79" t="str">
        <f aca="false">IF(B182="","",IF($G182="NON",0,IF(COUNT(H182:K182)=0,"",SUM(H182:K182))))</f>
        <v/>
      </c>
      <c r="M182" s="77" t="str">
        <f aca="false">IF(B182="","",IF($G182="NON",0,IF(COUNT(H182:K182)=0,"",IFERROR(ROUND(SUM(H182:K182)/SUMPRODUCT(ISNUMBER(H182:K182)*$H$8:$K$8)*20,2),""))))</f>
        <v/>
      </c>
      <c r="N182" s="75"/>
      <c r="O182" s="76"/>
      <c r="P182" s="76"/>
      <c r="Q182" s="76"/>
      <c r="R182" s="76"/>
      <c r="S182" s="79" t="str">
        <f aca="false">IF(B182="","",IF($N182="NON",0,IF(COUNT(O182:R182)=0,"",SUM(O182:R182))))</f>
        <v/>
      </c>
      <c r="T182" s="77" t="str">
        <f aca="false">IF(B182="","",IF($N182="NON",0,IF(COUNT(O182:R182)=0,"",IFERROR(ROUND(SUM(O182:R182)/SUMPRODUCT(ISNUMBER(O182:R182)*$O$8:$R$8)*20,2),""))))</f>
        <v/>
      </c>
      <c r="U182" s="75"/>
      <c r="V182" s="76"/>
      <c r="W182" s="76"/>
      <c r="X182" s="76"/>
      <c r="Y182" s="76"/>
      <c r="Z182" s="76"/>
      <c r="AA182" s="79" t="str">
        <f aca="false">IF(B182="","",IF($U182="NON",0,IF(COUNT(V182:Z182)=0,"",SUM(V182:Z182))))</f>
        <v/>
      </c>
      <c r="AB182" s="77" t="str">
        <f aca="false">IF(B182="","",IF($U182="NON",0,IF(COUNT(V182:Z182)=0,"",IFERROR(ROUND(SUM(V182:Z182)/SUMPRODUCT(ISNUMBER(V182:Z182)*$V$8:$Z$8)*20,2),""))))</f>
        <v/>
      </c>
      <c r="AC182" s="75"/>
      <c r="AD182" s="76"/>
      <c r="AE182" s="76"/>
      <c r="AF182" s="76"/>
      <c r="AG182" s="76"/>
      <c r="AH182" s="76"/>
      <c r="AI182" s="79" t="str">
        <f aca="false">IF(B182="","",IF($AC182="NON",0,IF(COUNT(AD182:AH182)=0,"",SUM(AD182:AH182))))</f>
        <v/>
      </c>
      <c r="AJ182" s="77" t="str">
        <f aca="false">IF(B182="","",IF($AC182="NON",0,IF(COUNT(AD182:AH182)=0,"",IFERROR(ROUND(SUM(AD182:AH182)/SUMPRODUCT(ISNUMBER(AD182:AH182)*$AD$8:$AH$8)*20,2),""))))</f>
        <v/>
      </c>
      <c r="AK182" s="51" t="str">
        <f aca="false">IFERROR(MATCH("CM2-173",'REGISTRE ELEVES'!$AI$10:$AI$250,0),"")</f>
        <v/>
      </c>
    </row>
    <row r="183" customFormat="false" ht="15" hidden="false" customHeight="false" outlineLevel="0" collapsed="false">
      <c r="A183" s="73" t="str">
        <f aca="false">IF(B183="","",174)</f>
        <v/>
      </c>
      <c r="B183" s="73" t="str">
        <f aca="false">IF($AK183="","",INDEX('REGISTRE ELEVES'!$B$10:$B$250,$AK183))</f>
        <v/>
      </c>
      <c r="C183" s="74" t="str">
        <f aca="false">IF($AK183="","",INDEX('REGISTRE ELEVES'!$D$10:$D$250,$AK183))</f>
        <v/>
      </c>
      <c r="D183" s="73" t="str">
        <f aca="false">IF($AK183="","",INDEX('REGISTRE ELEVES'!$E$10:$E$250,$AK183))</f>
        <v/>
      </c>
      <c r="E183" s="73" t="str">
        <f aca="false">IF($AK183="","",INDEX('REGISTRE ELEVES'!$F$10:$F$250,$AK183))</f>
        <v/>
      </c>
      <c r="F183" s="73" t="str">
        <f aca="false">IF($AK183="","",INDEX('REGISTRE ELEVES'!$AE$10:$AE$250,$AK183))</f>
        <v/>
      </c>
      <c r="G183" s="75"/>
      <c r="H183" s="76"/>
      <c r="I183" s="76"/>
      <c r="J183" s="76"/>
      <c r="K183" s="76"/>
      <c r="L183" s="79" t="str">
        <f aca="false">IF(B183="","",IF($G183="NON",0,IF(COUNT(H183:K183)=0,"",SUM(H183:K183))))</f>
        <v/>
      </c>
      <c r="M183" s="77" t="str">
        <f aca="false">IF(B183="","",IF($G183="NON",0,IF(COUNT(H183:K183)=0,"",IFERROR(ROUND(SUM(H183:K183)/SUMPRODUCT(ISNUMBER(H183:K183)*$H$8:$K$8)*20,2),""))))</f>
        <v/>
      </c>
      <c r="N183" s="75"/>
      <c r="O183" s="76"/>
      <c r="P183" s="76"/>
      <c r="Q183" s="76"/>
      <c r="R183" s="76"/>
      <c r="S183" s="79" t="str">
        <f aca="false">IF(B183="","",IF($N183="NON",0,IF(COUNT(O183:R183)=0,"",SUM(O183:R183))))</f>
        <v/>
      </c>
      <c r="T183" s="77" t="str">
        <f aca="false">IF(B183="","",IF($N183="NON",0,IF(COUNT(O183:R183)=0,"",IFERROR(ROUND(SUM(O183:R183)/SUMPRODUCT(ISNUMBER(O183:R183)*$O$8:$R$8)*20,2),""))))</f>
        <v/>
      </c>
      <c r="U183" s="75"/>
      <c r="V183" s="76"/>
      <c r="W183" s="76"/>
      <c r="X183" s="76"/>
      <c r="Y183" s="76"/>
      <c r="Z183" s="76"/>
      <c r="AA183" s="79" t="str">
        <f aca="false">IF(B183="","",IF($U183="NON",0,IF(COUNT(V183:Z183)=0,"",SUM(V183:Z183))))</f>
        <v/>
      </c>
      <c r="AB183" s="77" t="str">
        <f aca="false">IF(B183="","",IF($U183="NON",0,IF(COUNT(V183:Z183)=0,"",IFERROR(ROUND(SUM(V183:Z183)/SUMPRODUCT(ISNUMBER(V183:Z183)*$V$8:$Z$8)*20,2),""))))</f>
        <v/>
      </c>
      <c r="AC183" s="75"/>
      <c r="AD183" s="76"/>
      <c r="AE183" s="76"/>
      <c r="AF183" s="76"/>
      <c r="AG183" s="76"/>
      <c r="AH183" s="76"/>
      <c r="AI183" s="79" t="str">
        <f aca="false">IF(B183="","",IF($AC183="NON",0,IF(COUNT(AD183:AH183)=0,"",SUM(AD183:AH183))))</f>
        <v/>
      </c>
      <c r="AJ183" s="77" t="str">
        <f aca="false">IF(B183="","",IF($AC183="NON",0,IF(COUNT(AD183:AH183)=0,"",IFERROR(ROUND(SUM(AD183:AH183)/SUMPRODUCT(ISNUMBER(AD183:AH183)*$AD$8:$AH$8)*20,2),""))))</f>
        <v/>
      </c>
      <c r="AK183" s="51" t="str">
        <f aca="false">IFERROR(MATCH("CM2-174",'REGISTRE ELEVES'!$AI$10:$AI$250,0),"")</f>
        <v/>
      </c>
    </row>
    <row r="184" customFormat="false" ht="15" hidden="false" customHeight="false" outlineLevel="0" collapsed="false">
      <c r="A184" s="73" t="str">
        <f aca="false">IF(B184="","",175)</f>
        <v/>
      </c>
      <c r="B184" s="73" t="str">
        <f aca="false">IF($AK184="","",INDEX('REGISTRE ELEVES'!$B$10:$B$250,$AK184))</f>
        <v/>
      </c>
      <c r="C184" s="74" t="str">
        <f aca="false">IF($AK184="","",INDEX('REGISTRE ELEVES'!$D$10:$D$250,$AK184))</f>
        <v/>
      </c>
      <c r="D184" s="73" t="str">
        <f aca="false">IF($AK184="","",INDEX('REGISTRE ELEVES'!$E$10:$E$250,$AK184))</f>
        <v/>
      </c>
      <c r="E184" s="73" t="str">
        <f aca="false">IF($AK184="","",INDEX('REGISTRE ELEVES'!$F$10:$F$250,$AK184))</f>
        <v/>
      </c>
      <c r="F184" s="73" t="str">
        <f aca="false">IF($AK184="","",INDEX('REGISTRE ELEVES'!$AE$10:$AE$250,$AK184))</f>
        <v/>
      </c>
      <c r="G184" s="75"/>
      <c r="H184" s="76"/>
      <c r="I184" s="76"/>
      <c r="J184" s="76"/>
      <c r="K184" s="76"/>
      <c r="L184" s="79" t="str">
        <f aca="false">IF(B184="","",IF($G184="NON",0,IF(COUNT(H184:K184)=0,"",SUM(H184:K184))))</f>
        <v/>
      </c>
      <c r="M184" s="77" t="str">
        <f aca="false">IF(B184="","",IF($G184="NON",0,IF(COUNT(H184:K184)=0,"",IFERROR(ROUND(SUM(H184:K184)/SUMPRODUCT(ISNUMBER(H184:K184)*$H$8:$K$8)*20,2),""))))</f>
        <v/>
      </c>
      <c r="N184" s="75"/>
      <c r="O184" s="76"/>
      <c r="P184" s="76"/>
      <c r="Q184" s="76"/>
      <c r="R184" s="76"/>
      <c r="S184" s="79" t="str">
        <f aca="false">IF(B184="","",IF($N184="NON",0,IF(COUNT(O184:R184)=0,"",SUM(O184:R184))))</f>
        <v/>
      </c>
      <c r="T184" s="77" t="str">
        <f aca="false">IF(B184="","",IF($N184="NON",0,IF(COUNT(O184:R184)=0,"",IFERROR(ROUND(SUM(O184:R184)/SUMPRODUCT(ISNUMBER(O184:R184)*$O$8:$R$8)*20,2),""))))</f>
        <v/>
      </c>
      <c r="U184" s="75"/>
      <c r="V184" s="76"/>
      <c r="W184" s="76"/>
      <c r="X184" s="76"/>
      <c r="Y184" s="76"/>
      <c r="Z184" s="76"/>
      <c r="AA184" s="79" t="str">
        <f aca="false">IF(B184="","",IF($U184="NON",0,IF(COUNT(V184:Z184)=0,"",SUM(V184:Z184))))</f>
        <v/>
      </c>
      <c r="AB184" s="77" t="str">
        <f aca="false">IF(B184="","",IF($U184="NON",0,IF(COUNT(V184:Z184)=0,"",IFERROR(ROUND(SUM(V184:Z184)/SUMPRODUCT(ISNUMBER(V184:Z184)*$V$8:$Z$8)*20,2),""))))</f>
        <v/>
      </c>
      <c r="AC184" s="75"/>
      <c r="AD184" s="76"/>
      <c r="AE184" s="76"/>
      <c r="AF184" s="76"/>
      <c r="AG184" s="76"/>
      <c r="AH184" s="76"/>
      <c r="AI184" s="79" t="str">
        <f aca="false">IF(B184="","",IF($AC184="NON",0,IF(COUNT(AD184:AH184)=0,"",SUM(AD184:AH184))))</f>
        <v/>
      </c>
      <c r="AJ184" s="77" t="str">
        <f aca="false">IF(B184="","",IF($AC184="NON",0,IF(COUNT(AD184:AH184)=0,"",IFERROR(ROUND(SUM(AD184:AH184)/SUMPRODUCT(ISNUMBER(AD184:AH184)*$AD$8:$AH$8)*20,2),""))))</f>
        <v/>
      </c>
      <c r="AK184" s="51" t="str">
        <f aca="false">IFERROR(MATCH("CM2-175",'REGISTRE ELEVES'!$AI$10:$AI$250,0),"")</f>
        <v/>
      </c>
    </row>
    <row r="185" customFormat="false" ht="15" hidden="false" customHeight="false" outlineLevel="0" collapsed="false">
      <c r="A185" s="73" t="str">
        <f aca="false">IF(B185="","",176)</f>
        <v/>
      </c>
      <c r="B185" s="73" t="str">
        <f aca="false">IF($AK185="","",INDEX('REGISTRE ELEVES'!$B$10:$B$250,$AK185))</f>
        <v/>
      </c>
      <c r="C185" s="74" t="str">
        <f aca="false">IF($AK185="","",INDEX('REGISTRE ELEVES'!$D$10:$D$250,$AK185))</f>
        <v/>
      </c>
      <c r="D185" s="73" t="str">
        <f aca="false">IF($AK185="","",INDEX('REGISTRE ELEVES'!$E$10:$E$250,$AK185))</f>
        <v/>
      </c>
      <c r="E185" s="73" t="str">
        <f aca="false">IF($AK185="","",INDEX('REGISTRE ELEVES'!$F$10:$F$250,$AK185))</f>
        <v/>
      </c>
      <c r="F185" s="73" t="str">
        <f aca="false">IF($AK185="","",INDEX('REGISTRE ELEVES'!$AE$10:$AE$250,$AK185))</f>
        <v/>
      </c>
      <c r="G185" s="75"/>
      <c r="H185" s="76"/>
      <c r="I185" s="76"/>
      <c r="J185" s="76"/>
      <c r="K185" s="76"/>
      <c r="L185" s="79" t="str">
        <f aca="false">IF(B185="","",IF($G185="NON",0,IF(COUNT(H185:K185)=0,"",SUM(H185:K185))))</f>
        <v/>
      </c>
      <c r="M185" s="77" t="str">
        <f aca="false">IF(B185="","",IF($G185="NON",0,IF(COUNT(H185:K185)=0,"",IFERROR(ROUND(SUM(H185:K185)/SUMPRODUCT(ISNUMBER(H185:K185)*$H$8:$K$8)*20,2),""))))</f>
        <v/>
      </c>
      <c r="N185" s="75"/>
      <c r="O185" s="76"/>
      <c r="P185" s="76"/>
      <c r="Q185" s="76"/>
      <c r="R185" s="76"/>
      <c r="S185" s="79" t="str">
        <f aca="false">IF(B185="","",IF($N185="NON",0,IF(COUNT(O185:R185)=0,"",SUM(O185:R185))))</f>
        <v/>
      </c>
      <c r="T185" s="77" t="str">
        <f aca="false">IF(B185="","",IF($N185="NON",0,IF(COUNT(O185:R185)=0,"",IFERROR(ROUND(SUM(O185:R185)/SUMPRODUCT(ISNUMBER(O185:R185)*$O$8:$R$8)*20,2),""))))</f>
        <v/>
      </c>
      <c r="U185" s="75"/>
      <c r="V185" s="76"/>
      <c r="W185" s="76"/>
      <c r="X185" s="76"/>
      <c r="Y185" s="76"/>
      <c r="Z185" s="76"/>
      <c r="AA185" s="79" t="str">
        <f aca="false">IF(B185="","",IF($U185="NON",0,IF(COUNT(V185:Z185)=0,"",SUM(V185:Z185))))</f>
        <v/>
      </c>
      <c r="AB185" s="77" t="str">
        <f aca="false">IF(B185="","",IF($U185="NON",0,IF(COUNT(V185:Z185)=0,"",IFERROR(ROUND(SUM(V185:Z185)/SUMPRODUCT(ISNUMBER(V185:Z185)*$V$8:$Z$8)*20,2),""))))</f>
        <v/>
      </c>
      <c r="AC185" s="75"/>
      <c r="AD185" s="76"/>
      <c r="AE185" s="76"/>
      <c r="AF185" s="76"/>
      <c r="AG185" s="76"/>
      <c r="AH185" s="76"/>
      <c r="AI185" s="79" t="str">
        <f aca="false">IF(B185="","",IF($AC185="NON",0,IF(COUNT(AD185:AH185)=0,"",SUM(AD185:AH185))))</f>
        <v/>
      </c>
      <c r="AJ185" s="77" t="str">
        <f aca="false">IF(B185="","",IF($AC185="NON",0,IF(COUNT(AD185:AH185)=0,"",IFERROR(ROUND(SUM(AD185:AH185)/SUMPRODUCT(ISNUMBER(AD185:AH185)*$AD$8:$AH$8)*20,2),""))))</f>
        <v/>
      </c>
      <c r="AK185" s="51" t="str">
        <f aca="false">IFERROR(MATCH("CM2-176",'REGISTRE ELEVES'!$AI$10:$AI$250,0),"")</f>
        <v/>
      </c>
    </row>
    <row r="186" customFormat="false" ht="15" hidden="false" customHeight="false" outlineLevel="0" collapsed="false">
      <c r="A186" s="73" t="str">
        <f aca="false">IF(B186="","",177)</f>
        <v/>
      </c>
      <c r="B186" s="73" t="str">
        <f aca="false">IF($AK186="","",INDEX('REGISTRE ELEVES'!$B$10:$B$250,$AK186))</f>
        <v/>
      </c>
      <c r="C186" s="74" t="str">
        <f aca="false">IF($AK186="","",INDEX('REGISTRE ELEVES'!$D$10:$D$250,$AK186))</f>
        <v/>
      </c>
      <c r="D186" s="73" t="str">
        <f aca="false">IF($AK186="","",INDEX('REGISTRE ELEVES'!$E$10:$E$250,$AK186))</f>
        <v/>
      </c>
      <c r="E186" s="73" t="str">
        <f aca="false">IF($AK186="","",INDEX('REGISTRE ELEVES'!$F$10:$F$250,$AK186))</f>
        <v/>
      </c>
      <c r="F186" s="73" t="str">
        <f aca="false">IF($AK186="","",INDEX('REGISTRE ELEVES'!$AE$10:$AE$250,$AK186))</f>
        <v/>
      </c>
      <c r="G186" s="75"/>
      <c r="H186" s="76"/>
      <c r="I186" s="76"/>
      <c r="J186" s="76"/>
      <c r="K186" s="76"/>
      <c r="L186" s="79" t="str">
        <f aca="false">IF(B186="","",IF($G186="NON",0,IF(COUNT(H186:K186)=0,"",SUM(H186:K186))))</f>
        <v/>
      </c>
      <c r="M186" s="77" t="str">
        <f aca="false">IF(B186="","",IF($G186="NON",0,IF(COUNT(H186:K186)=0,"",IFERROR(ROUND(SUM(H186:K186)/SUMPRODUCT(ISNUMBER(H186:K186)*$H$8:$K$8)*20,2),""))))</f>
        <v/>
      </c>
      <c r="N186" s="75"/>
      <c r="O186" s="76"/>
      <c r="P186" s="76"/>
      <c r="Q186" s="76"/>
      <c r="R186" s="76"/>
      <c r="S186" s="79" t="str">
        <f aca="false">IF(B186="","",IF($N186="NON",0,IF(COUNT(O186:R186)=0,"",SUM(O186:R186))))</f>
        <v/>
      </c>
      <c r="T186" s="77" t="str">
        <f aca="false">IF(B186="","",IF($N186="NON",0,IF(COUNT(O186:R186)=0,"",IFERROR(ROUND(SUM(O186:R186)/SUMPRODUCT(ISNUMBER(O186:R186)*$O$8:$R$8)*20,2),""))))</f>
        <v/>
      </c>
      <c r="U186" s="75"/>
      <c r="V186" s="76"/>
      <c r="W186" s="76"/>
      <c r="X186" s="76"/>
      <c r="Y186" s="76"/>
      <c r="Z186" s="76"/>
      <c r="AA186" s="79" t="str">
        <f aca="false">IF(B186="","",IF($U186="NON",0,IF(COUNT(V186:Z186)=0,"",SUM(V186:Z186))))</f>
        <v/>
      </c>
      <c r="AB186" s="77" t="str">
        <f aca="false">IF(B186="","",IF($U186="NON",0,IF(COUNT(V186:Z186)=0,"",IFERROR(ROUND(SUM(V186:Z186)/SUMPRODUCT(ISNUMBER(V186:Z186)*$V$8:$Z$8)*20,2),""))))</f>
        <v/>
      </c>
      <c r="AC186" s="75"/>
      <c r="AD186" s="76"/>
      <c r="AE186" s="76"/>
      <c r="AF186" s="76"/>
      <c r="AG186" s="76"/>
      <c r="AH186" s="76"/>
      <c r="AI186" s="79" t="str">
        <f aca="false">IF(B186="","",IF($AC186="NON",0,IF(COUNT(AD186:AH186)=0,"",SUM(AD186:AH186))))</f>
        <v/>
      </c>
      <c r="AJ186" s="77" t="str">
        <f aca="false">IF(B186="","",IF($AC186="NON",0,IF(COUNT(AD186:AH186)=0,"",IFERROR(ROUND(SUM(AD186:AH186)/SUMPRODUCT(ISNUMBER(AD186:AH186)*$AD$8:$AH$8)*20,2),""))))</f>
        <v/>
      </c>
      <c r="AK186" s="51" t="str">
        <f aca="false">IFERROR(MATCH("CM2-177",'REGISTRE ELEVES'!$AI$10:$AI$250,0),"")</f>
        <v/>
      </c>
    </row>
    <row r="187" customFormat="false" ht="15" hidden="false" customHeight="false" outlineLevel="0" collapsed="false">
      <c r="A187" s="73" t="str">
        <f aca="false">IF(B187="","",178)</f>
        <v/>
      </c>
      <c r="B187" s="73" t="str">
        <f aca="false">IF($AK187="","",INDEX('REGISTRE ELEVES'!$B$10:$B$250,$AK187))</f>
        <v/>
      </c>
      <c r="C187" s="74" t="str">
        <f aca="false">IF($AK187="","",INDEX('REGISTRE ELEVES'!$D$10:$D$250,$AK187))</f>
        <v/>
      </c>
      <c r="D187" s="73" t="str">
        <f aca="false">IF($AK187="","",INDEX('REGISTRE ELEVES'!$E$10:$E$250,$AK187))</f>
        <v/>
      </c>
      <c r="E187" s="73" t="str">
        <f aca="false">IF($AK187="","",INDEX('REGISTRE ELEVES'!$F$10:$F$250,$AK187))</f>
        <v/>
      </c>
      <c r="F187" s="73" t="str">
        <f aca="false">IF($AK187="","",INDEX('REGISTRE ELEVES'!$AE$10:$AE$250,$AK187))</f>
        <v/>
      </c>
      <c r="G187" s="75"/>
      <c r="H187" s="76"/>
      <c r="I187" s="76"/>
      <c r="J187" s="76"/>
      <c r="K187" s="76"/>
      <c r="L187" s="79" t="str">
        <f aca="false">IF(B187="","",IF($G187="NON",0,IF(COUNT(H187:K187)=0,"",SUM(H187:K187))))</f>
        <v/>
      </c>
      <c r="M187" s="77" t="str">
        <f aca="false">IF(B187="","",IF($G187="NON",0,IF(COUNT(H187:K187)=0,"",IFERROR(ROUND(SUM(H187:K187)/SUMPRODUCT(ISNUMBER(H187:K187)*$H$8:$K$8)*20,2),""))))</f>
        <v/>
      </c>
      <c r="N187" s="75"/>
      <c r="O187" s="76"/>
      <c r="P187" s="76"/>
      <c r="Q187" s="76"/>
      <c r="R187" s="76"/>
      <c r="S187" s="79" t="str">
        <f aca="false">IF(B187="","",IF($N187="NON",0,IF(COUNT(O187:R187)=0,"",SUM(O187:R187))))</f>
        <v/>
      </c>
      <c r="T187" s="77" t="str">
        <f aca="false">IF(B187="","",IF($N187="NON",0,IF(COUNT(O187:R187)=0,"",IFERROR(ROUND(SUM(O187:R187)/SUMPRODUCT(ISNUMBER(O187:R187)*$O$8:$R$8)*20,2),""))))</f>
        <v/>
      </c>
      <c r="U187" s="75"/>
      <c r="V187" s="76"/>
      <c r="W187" s="76"/>
      <c r="X187" s="76"/>
      <c r="Y187" s="76"/>
      <c r="Z187" s="76"/>
      <c r="AA187" s="79" t="str">
        <f aca="false">IF(B187="","",IF($U187="NON",0,IF(COUNT(V187:Z187)=0,"",SUM(V187:Z187))))</f>
        <v/>
      </c>
      <c r="AB187" s="77" t="str">
        <f aca="false">IF(B187="","",IF($U187="NON",0,IF(COUNT(V187:Z187)=0,"",IFERROR(ROUND(SUM(V187:Z187)/SUMPRODUCT(ISNUMBER(V187:Z187)*$V$8:$Z$8)*20,2),""))))</f>
        <v/>
      </c>
      <c r="AC187" s="75"/>
      <c r="AD187" s="76"/>
      <c r="AE187" s="76"/>
      <c r="AF187" s="76"/>
      <c r="AG187" s="76"/>
      <c r="AH187" s="76"/>
      <c r="AI187" s="79" t="str">
        <f aca="false">IF(B187="","",IF($AC187="NON",0,IF(COUNT(AD187:AH187)=0,"",SUM(AD187:AH187))))</f>
        <v/>
      </c>
      <c r="AJ187" s="77" t="str">
        <f aca="false">IF(B187="","",IF($AC187="NON",0,IF(COUNT(AD187:AH187)=0,"",IFERROR(ROUND(SUM(AD187:AH187)/SUMPRODUCT(ISNUMBER(AD187:AH187)*$AD$8:$AH$8)*20,2),""))))</f>
        <v/>
      </c>
      <c r="AK187" s="51" t="str">
        <f aca="false">IFERROR(MATCH("CM2-178",'REGISTRE ELEVES'!$AI$10:$AI$250,0),"")</f>
        <v/>
      </c>
    </row>
    <row r="188" customFormat="false" ht="15" hidden="false" customHeight="false" outlineLevel="0" collapsed="false">
      <c r="A188" s="73" t="str">
        <f aca="false">IF(B188="","",179)</f>
        <v/>
      </c>
      <c r="B188" s="73" t="str">
        <f aca="false">IF($AK188="","",INDEX('REGISTRE ELEVES'!$B$10:$B$250,$AK188))</f>
        <v/>
      </c>
      <c r="C188" s="74" t="str">
        <f aca="false">IF($AK188="","",INDEX('REGISTRE ELEVES'!$D$10:$D$250,$AK188))</f>
        <v/>
      </c>
      <c r="D188" s="73" t="str">
        <f aca="false">IF($AK188="","",INDEX('REGISTRE ELEVES'!$E$10:$E$250,$AK188))</f>
        <v/>
      </c>
      <c r="E188" s="73" t="str">
        <f aca="false">IF($AK188="","",INDEX('REGISTRE ELEVES'!$F$10:$F$250,$AK188))</f>
        <v/>
      </c>
      <c r="F188" s="73" t="str">
        <f aca="false">IF($AK188="","",INDEX('REGISTRE ELEVES'!$AE$10:$AE$250,$AK188))</f>
        <v/>
      </c>
      <c r="G188" s="75"/>
      <c r="H188" s="76"/>
      <c r="I188" s="76"/>
      <c r="J188" s="76"/>
      <c r="K188" s="76"/>
      <c r="L188" s="79" t="str">
        <f aca="false">IF(B188="","",IF($G188="NON",0,IF(COUNT(H188:K188)=0,"",SUM(H188:K188))))</f>
        <v/>
      </c>
      <c r="M188" s="77" t="str">
        <f aca="false">IF(B188="","",IF($G188="NON",0,IF(COUNT(H188:K188)=0,"",IFERROR(ROUND(SUM(H188:K188)/SUMPRODUCT(ISNUMBER(H188:K188)*$H$8:$K$8)*20,2),""))))</f>
        <v/>
      </c>
      <c r="N188" s="75"/>
      <c r="O188" s="76"/>
      <c r="P188" s="76"/>
      <c r="Q188" s="76"/>
      <c r="R188" s="76"/>
      <c r="S188" s="79" t="str">
        <f aca="false">IF(B188="","",IF($N188="NON",0,IF(COUNT(O188:R188)=0,"",SUM(O188:R188))))</f>
        <v/>
      </c>
      <c r="T188" s="77" t="str">
        <f aca="false">IF(B188="","",IF($N188="NON",0,IF(COUNT(O188:R188)=0,"",IFERROR(ROUND(SUM(O188:R188)/SUMPRODUCT(ISNUMBER(O188:R188)*$O$8:$R$8)*20,2),""))))</f>
        <v/>
      </c>
      <c r="U188" s="75"/>
      <c r="V188" s="76"/>
      <c r="W188" s="76"/>
      <c r="X188" s="76"/>
      <c r="Y188" s="76"/>
      <c r="Z188" s="76"/>
      <c r="AA188" s="79" t="str">
        <f aca="false">IF(B188="","",IF($U188="NON",0,IF(COUNT(V188:Z188)=0,"",SUM(V188:Z188))))</f>
        <v/>
      </c>
      <c r="AB188" s="77" t="str">
        <f aca="false">IF(B188="","",IF($U188="NON",0,IF(COUNT(V188:Z188)=0,"",IFERROR(ROUND(SUM(V188:Z188)/SUMPRODUCT(ISNUMBER(V188:Z188)*$V$8:$Z$8)*20,2),""))))</f>
        <v/>
      </c>
      <c r="AC188" s="75"/>
      <c r="AD188" s="76"/>
      <c r="AE188" s="76"/>
      <c r="AF188" s="76"/>
      <c r="AG188" s="76"/>
      <c r="AH188" s="76"/>
      <c r="AI188" s="79" t="str">
        <f aca="false">IF(B188="","",IF($AC188="NON",0,IF(COUNT(AD188:AH188)=0,"",SUM(AD188:AH188))))</f>
        <v/>
      </c>
      <c r="AJ188" s="77" t="str">
        <f aca="false">IF(B188="","",IF($AC188="NON",0,IF(COUNT(AD188:AH188)=0,"",IFERROR(ROUND(SUM(AD188:AH188)/SUMPRODUCT(ISNUMBER(AD188:AH188)*$AD$8:$AH$8)*20,2),""))))</f>
        <v/>
      </c>
      <c r="AK188" s="51" t="str">
        <f aca="false">IFERROR(MATCH("CM2-179",'REGISTRE ELEVES'!$AI$10:$AI$250,0),"")</f>
        <v/>
      </c>
    </row>
    <row r="189" customFormat="false" ht="15" hidden="false" customHeight="false" outlineLevel="0" collapsed="false">
      <c r="A189" s="73" t="str">
        <f aca="false">IF(B189="","",180)</f>
        <v/>
      </c>
      <c r="B189" s="73" t="str">
        <f aca="false">IF($AK189="","",INDEX('REGISTRE ELEVES'!$B$10:$B$250,$AK189))</f>
        <v/>
      </c>
      <c r="C189" s="74" t="str">
        <f aca="false">IF($AK189="","",INDEX('REGISTRE ELEVES'!$D$10:$D$250,$AK189))</f>
        <v/>
      </c>
      <c r="D189" s="73" t="str">
        <f aca="false">IF($AK189="","",INDEX('REGISTRE ELEVES'!$E$10:$E$250,$AK189))</f>
        <v/>
      </c>
      <c r="E189" s="73" t="str">
        <f aca="false">IF($AK189="","",INDEX('REGISTRE ELEVES'!$F$10:$F$250,$AK189))</f>
        <v/>
      </c>
      <c r="F189" s="73" t="str">
        <f aca="false">IF($AK189="","",INDEX('REGISTRE ELEVES'!$AE$10:$AE$250,$AK189))</f>
        <v/>
      </c>
      <c r="G189" s="75"/>
      <c r="H189" s="76"/>
      <c r="I189" s="76"/>
      <c r="J189" s="76"/>
      <c r="K189" s="76"/>
      <c r="L189" s="79" t="str">
        <f aca="false">IF(B189="","",IF($G189="NON",0,IF(COUNT(H189:K189)=0,"",SUM(H189:K189))))</f>
        <v/>
      </c>
      <c r="M189" s="77" t="str">
        <f aca="false">IF(B189="","",IF($G189="NON",0,IF(COUNT(H189:K189)=0,"",IFERROR(ROUND(SUM(H189:K189)/SUMPRODUCT(ISNUMBER(H189:K189)*$H$8:$K$8)*20,2),""))))</f>
        <v/>
      </c>
      <c r="N189" s="75"/>
      <c r="O189" s="76"/>
      <c r="P189" s="76"/>
      <c r="Q189" s="76"/>
      <c r="R189" s="76"/>
      <c r="S189" s="79" t="str">
        <f aca="false">IF(B189="","",IF($N189="NON",0,IF(COUNT(O189:R189)=0,"",SUM(O189:R189))))</f>
        <v/>
      </c>
      <c r="T189" s="77" t="str">
        <f aca="false">IF(B189="","",IF($N189="NON",0,IF(COUNT(O189:R189)=0,"",IFERROR(ROUND(SUM(O189:R189)/SUMPRODUCT(ISNUMBER(O189:R189)*$O$8:$R$8)*20,2),""))))</f>
        <v/>
      </c>
      <c r="U189" s="75"/>
      <c r="V189" s="76"/>
      <c r="W189" s="76"/>
      <c r="X189" s="76"/>
      <c r="Y189" s="76"/>
      <c r="Z189" s="76"/>
      <c r="AA189" s="79" t="str">
        <f aca="false">IF(B189="","",IF($U189="NON",0,IF(COUNT(V189:Z189)=0,"",SUM(V189:Z189))))</f>
        <v/>
      </c>
      <c r="AB189" s="77" t="str">
        <f aca="false">IF(B189="","",IF($U189="NON",0,IF(COUNT(V189:Z189)=0,"",IFERROR(ROUND(SUM(V189:Z189)/SUMPRODUCT(ISNUMBER(V189:Z189)*$V$8:$Z$8)*20,2),""))))</f>
        <v/>
      </c>
      <c r="AC189" s="75"/>
      <c r="AD189" s="76"/>
      <c r="AE189" s="76"/>
      <c r="AF189" s="76"/>
      <c r="AG189" s="76"/>
      <c r="AH189" s="76"/>
      <c r="AI189" s="79" t="str">
        <f aca="false">IF(B189="","",IF($AC189="NON",0,IF(COUNT(AD189:AH189)=0,"",SUM(AD189:AH189))))</f>
        <v/>
      </c>
      <c r="AJ189" s="77" t="str">
        <f aca="false">IF(B189="","",IF($AC189="NON",0,IF(COUNT(AD189:AH189)=0,"",IFERROR(ROUND(SUM(AD189:AH189)/SUMPRODUCT(ISNUMBER(AD189:AH189)*$AD$8:$AH$8)*20,2),""))))</f>
        <v/>
      </c>
      <c r="AK189" s="51" t="str">
        <f aca="false">IFERROR(MATCH("CM2-180",'REGISTRE ELEVES'!$AI$10:$AI$250,0),"")</f>
        <v/>
      </c>
    </row>
    <row r="190" customFormat="false" ht="15" hidden="false" customHeight="false" outlineLevel="0" collapsed="false">
      <c r="A190" s="73" t="str">
        <f aca="false">IF(B190="","",181)</f>
        <v/>
      </c>
      <c r="B190" s="73" t="str">
        <f aca="false">IF($AK190="","",INDEX('REGISTRE ELEVES'!$B$10:$B$250,$AK190))</f>
        <v/>
      </c>
      <c r="C190" s="74" t="str">
        <f aca="false">IF($AK190="","",INDEX('REGISTRE ELEVES'!$D$10:$D$250,$AK190))</f>
        <v/>
      </c>
      <c r="D190" s="73" t="str">
        <f aca="false">IF($AK190="","",INDEX('REGISTRE ELEVES'!$E$10:$E$250,$AK190))</f>
        <v/>
      </c>
      <c r="E190" s="73" t="str">
        <f aca="false">IF($AK190="","",INDEX('REGISTRE ELEVES'!$F$10:$F$250,$AK190))</f>
        <v/>
      </c>
      <c r="F190" s="73" t="str">
        <f aca="false">IF($AK190="","",INDEX('REGISTRE ELEVES'!$AE$10:$AE$250,$AK190))</f>
        <v/>
      </c>
      <c r="G190" s="75"/>
      <c r="H190" s="76"/>
      <c r="I190" s="76"/>
      <c r="J190" s="76"/>
      <c r="K190" s="76"/>
      <c r="L190" s="79" t="str">
        <f aca="false">IF(B190="","",IF($G190="NON",0,IF(COUNT(H190:K190)=0,"",SUM(H190:K190))))</f>
        <v/>
      </c>
      <c r="M190" s="77" t="str">
        <f aca="false">IF(B190="","",IF($G190="NON",0,IF(COUNT(H190:K190)=0,"",IFERROR(ROUND(SUM(H190:K190)/SUMPRODUCT(ISNUMBER(H190:K190)*$H$8:$K$8)*20,2),""))))</f>
        <v/>
      </c>
      <c r="N190" s="75"/>
      <c r="O190" s="76"/>
      <c r="P190" s="76"/>
      <c r="Q190" s="76"/>
      <c r="R190" s="76"/>
      <c r="S190" s="79" t="str">
        <f aca="false">IF(B190="","",IF($N190="NON",0,IF(COUNT(O190:R190)=0,"",SUM(O190:R190))))</f>
        <v/>
      </c>
      <c r="T190" s="77" t="str">
        <f aca="false">IF(B190="","",IF($N190="NON",0,IF(COUNT(O190:R190)=0,"",IFERROR(ROUND(SUM(O190:R190)/SUMPRODUCT(ISNUMBER(O190:R190)*$O$8:$R$8)*20,2),""))))</f>
        <v/>
      </c>
      <c r="U190" s="75"/>
      <c r="V190" s="76"/>
      <c r="W190" s="76"/>
      <c r="X190" s="76"/>
      <c r="Y190" s="76"/>
      <c r="Z190" s="76"/>
      <c r="AA190" s="79" t="str">
        <f aca="false">IF(B190="","",IF($U190="NON",0,IF(COUNT(V190:Z190)=0,"",SUM(V190:Z190))))</f>
        <v/>
      </c>
      <c r="AB190" s="77" t="str">
        <f aca="false">IF(B190="","",IF($U190="NON",0,IF(COUNT(V190:Z190)=0,"",IFERROR(ROUND(SUM(V190:Z190)/SUMPRODUCT(ISNUMBER(V190:Z190)*$V$8:$Z$8)*20,2),""))))</f>
        <v/>
      </c>
      <c r="AC190" s="75"/>
      <c r="AD190" s="76"/>
      <c r="AE190" s="76"/>
      <c r="AF190" s="76"/>
      <c r="AG190" s="76"/>
      <c r="AH190" s="76"/>
      <c r="AI190" s="79" t="str">
        <f aca="false">IF(B190="","",IF($AC190="NON",0,IF(COUNT(AD190:AH190)=0,"",SUM(AD190:AH190))))</f>
        <v/>
      </c>
      <c r="AJ190" s="77" t="str">
        <f aca="false">IF(B190="","",IF($AC190="NON",0,IF(COUNT(AD190:AH190)=0,"",IFERROR(ROUND(SUM(AD190:AH190)/SUMPRODUCT(ISNUMBER(AD190:AH190)*$AD$8:$AH$8)*20,2),""))))</f>
        <v/>
      </c>
      <c r="AK190" s="51" t="str">
        <f aca="false">IFERROR(MATCH("CM2-181",'REGISTRE ELEVES'!$AI$10:$AI$250,0),"")</f>
        <v/>
      </c>
    </row>
    <row r="191" customFormat="false" ht="15" hidden="false" customHeight="false" outlineLevel="0" collapsed="false">
      <c r="A191" s="73" t="str">
        <f aca="false">IF(B191="","",182)</f>
        <v/>
      </c>
      <c r="B191" s="73" t="str">
        <f aca="false">IF($AK191="","",INDEX('REGISTRE ELEVES'!$B$10:$B$250,$AK191))</f>
        <v/>
      </c>
      <c r="C191" s="74" t="str">
        <f aca="false">IF($AK191="","",INDEX('REGISTRE ELEVES'!$D$10:$D$250,$AK191))</f>
        <v/>
      </c>
      <c r="D191" s="73" t="str">
        <f aca="false">IF($AK191="","",INDEX('REGISTRE ELEVES'!$E$10:$E$250,$AK191))</f>
        <v/>
      </c>
      <c r="E191" s="73" t="str">
        <f aca="false">IF($AK191="","",INDEX('REGISTRE ELEVES'!$F$10:$F$250,$AK191))</f>
        <v/>
      </c>
      <c r="F191" s="73" t="str">
        <f aca="false">IF($AK191="","",INDEX('REGISTRE ELEVES'!$AE$10:$AE$250,$AK191))</f>
        <v/>
      </c>
      <c r="G191" s="75"/>
      <c r="H191" s="76"/>
      <c r="I191" s="76"/>
      <c r="J191" s="76"/>
      <c r="K191" s="76"/>
      <c r="L191" s="79" t="str">
        <f aca="false">IF(B191="","",IF($G191="NON",0,IF(COUNT(H191:K191)=0,"",SUM(H191:K191))))</f>
        <v/>
      </c>
      <c r="M191" s="77" t="str">
        <f aca="false">IF(B191="","",IF($G191="NON",0,IF(COUNT(H191:K191)=0,"",IFERROR(ROUND(SUM(H191:K191)/SUMPRODUCT(ISNUMBER(H191:K191)*$H$8:$K$8)*20,2),""))))</f>
        <v/>
      </c>
      <c r="N191" s="75"/>
      <c r="O191" s="76"/>
      <c r="P191" s="76"/>
      <c r="Q191" s="76"/>
      <c r="R191" s="76"/>
      <c r="S191" s="79" t="str">
        <f aca="false">IF(B191="","",IF($N191="NON",0,IF(COUNT(O191:R191)=0,"",SUM(O191:R191))))</f>
        <v/>
      </c>
      <c r="T191" s="77" t="str">
        <f aca="false">IF(B191="","",IF($N191="NON",0,IF(COUNT(O191:R191)=0,"",IFERROR(ROUND(SUM(O191:R191)/SUMPRODUCT(ISNUMBER(O191:R191)*$O$8:$R$8)*20,2),""))))</f>
        <v/>
      </c>
      <c r="U191" s="75"/>
      <c r="V191" s="76"/>
      <c r="W191" s="76"/>
      <c r="X191" s="76"/>
      <c r="Y191" s="76"/>
      <c r="Z191" s="76"/>
      <c r="AA191" s="79" t="str">
        <f aca="false">IF(B191="","",IF($U191="NON",0,IF(COUNT(V191:Z191)=0,"",SUM(V191:Z191))))</f>
        <v/>
      </c>
      <c r="AB191" s="77" t="str">
        <f aca="false">IF(B191="","",IF($U191="NON",0,IF(COUNT(V191:Z191)=0,"",IFERROR(ROUND(SUM(V191:Z191)/SUMPRODUCT(ISNUMBER(V191:Z191)*$V$8:$Z$8)*20,2),""))))</f>
        <v/>
      </c>
      <c r="AC191" s="75"/>
      <c r="AD191" s="76"/>
      <c r="AE191" s="76"/>
      <c r="AF191" s="76"/>
      <c r="AG191" s="76"/>
      <c r="AH191" s="76"/>
      <c r="AI191" s="79" t="str">
        <f aca="false">IF(B191="","",IF($AC191="NON",0,IF(COUNT(AD191:AH191)=0,"",SUM(AD191:AH191))))</f>
        <v/>
      </c>
      <c r="AJ191" s="77" t="str">
        <f aca="false">IF(B191="","",IF($AC191="NON",0,IF(COUNT(AD191:AH191)=0,"",IFERROR(ROUND(SUM(AD191:AH191)/SUMPRODUCT(ISNUMBER(AD191:AH191)*$AD$8:$AH$8)*20,2),""))))</f>
        <v/>
      </c>
      <c r="AK191" s="51" t="str">
        <f aca="false">IFERROR(MATCH("CM2-182",'REGISTRE ELEVES'!$AI$10:$AI$250,0),"")</f>
        <v/>
      </c>
    </row>
    <row r="192" customFormat="false" ht="15" hidden="false" customHeight="false" outlineLevel="0" collapsed="false">
      <c r="A192" s="73" t="str">
        <f aca="false">IF(B192="","",183)</f>
        <v/>
      </c>
      <c r="B192" s="73" t="str">
        <f aca="false">IF($AK192="","",INDEX('REGISTRE ELEVES'!$B$10:$B$250,$AK192))</f>
        <v/>
      </c>
      <c r="C192" s="74" t="str">
        <f aca="false">IF($AK192="","",INDEX('REGISTRE ELEVES'!$D$10:$D$250,$AK192))</f>
        <v/>
      </c>
      <c r="D192" s="73" t="str">
        <f aca="false">IF($AK192="","",INDEX('REGISTRE ELEVES'!$E$10:$E$250,$AK192))</f>
        <v/>
      </c>
      <c r="E192" s="73" t="str">
        <f aca="false">IF($AK192="","",INDEX('REGISTRE ELEVES'!$F$10:$F$250,$AK192))</f>
        <v/>
      </c>
      <c r="F192" s="73" t="str">
        <f aca="false">IF($AK192="","",INDEX('REGISTRE ELEVES'!$AE$10:$AE$250,$AK192))</f>
        <v/>
      </c>
      <c r="G192" s="75"/>
      <c r="H192" s="76"/>
      <c r="I192" s="76"/>
      <c r="J192" s="76"/>
      <c r="K192" s="76"/>
      <c r="L192" s="79" t="str">
        <f aca="false">IF(B192="","",IF($G192="NON",0,IF(COUNT(H192:K192)=0,"",SUM(H192:K192))))</f>
        <v/>
      </c>
      <c r="M192" s="77" t="str">
        <f aca="false">IF(B192="","",IF($G192="NON",0,IF(COUNT(H192:K192)=0,"",IFERROR(ROUND(SUM(H192:K192)/SUMPRODUCT(ISNUMBER(H192:K192)*$H$8:$K$8)*20,2),""))))</f>
        <v/>
      </c>
      <c r="N192" s="75"/>
      <c r="O192" s="76"/>
      <c r="P192" s="76"/>
      <c r="Q192" s="76"/>
      <c r="R192" s="76"/>
      <c r="S192" s="79" t="str">
        <f aca="false">IF(B192="","",IF($N192="NON",0,IF(COUNT(O192:R192)=0,"",SUM(O192:R192))))</f>
        <v/>
      </c>
      <c r="T192" s="77" t="str">
        <f aca="false">IF(B192="","",IF($N192="NON",0,IF(COUNT(O192:R192)=0,"",IFERROR(ROUND(SUM(O192:R192)/SUMPRODUCT(ISNUMBER(O192:R192)*$O$8:$R$8)*20,2),""))))</f>
        <v/>
      </c>
      <c r="U192" s="75"/>
      <c r="V192" s="76"/>
      <c r="W192" s="76"/>
      <c r="X192" s="76"/>
      <c r="Y192" s="76"/>
      <c r="Z192" s="76"/>
      <c r="AA192" s="79" t="str">
        <f aca="false">IF(B192="","",IF($U192="NON",0,IF(COUNT(V192:Z192)=0,"",SUM(V192:Z192))))</f>
        <v/>
      </c>
      <c r="AB192" s="77" t="str">
        <f aca="false">IF(B192="","",IF($U192="NON",0,IF(COUNT(V192:Z192)=0,"",IFERROR(ROUND(SUM(V192:Z192)/SUMPRODUCT(ISNUMBER(V192:Z192)*$V$8:$Z$8)*20,2),""))))</f>
        <v/>
      </c>
      <c r="AC192" s="75"/>
      <c r="AD192" s="76"/>
      <c r="AE192" s="76"/>
      <c r="AF192" s="76"/>
      <c r="AG192" s="76"/>
      <c r="AH192" s="76"/>
      <c r="AI192" s="79" t="str">
        <f aca="false">IF(B192="","",IF($AC192="NON",0,IF(COUNT(AD192:AH192)=0,"",SUM(AD192:AH192))))</f>
        <v/>
      </c>
      <c r="AJ192" s="77" t="str">
        <f aca="false">IF(B192="","",IF($AC192="NON",0,IF(COUNT(AD192:AH192)=0,"",IFERROR(ROUND(SUM(AD192:AH192)/SUMPRODUCT(ISNUMBER(AD192:AH192)*$AD$8:$AH$8)*20,2),""))))</f>
        <v/>
      </c>
      <c r="AK192" s="51" t="str">
        <f aca="false">IFERROR(MATCH("CM2-183",'REGISTRE ELEVES'!$AI$10:$AI$250,0),"")</f>
        <v/>
      </c>
    </row>
    <row r="193" customFormat="false" ht="15" hidden="false" customHeight="false" outlineLevel="0" collapsed="false">
      <c r="A193" s="73" t="str">
        <f aca="false">IF(B193="","",184)</f>
        <v/>
      </c>
      <c r="B193" s="73" t="str">
        <f aca="false">IF($AK193="","",INDEX('REGISTRE ELEVES'!$B$10:$B$250,$AK193))</f>
        <v/>
      </c>
      <c r="C193" s="74" t="str">
        <f aca="false">IF($AK193="","",INDEX('REGISTRE ELEVES'!$D$10:$D$250,$AK193))</f>
        <v/>
      </c>
      <c r="D193" s="73" t="str">
        <f aca="false">IF($AK193="","",INDEX('REGISTRE ELEVES'!$E$10:$E$250,$AK193))</f>
        <v/>
      </c>
      <c r="E193" s="73" t="str">
        <f aca="false">IF($AK193="","",INDEX('REGISTRE ELEVES'!$F$10:$F$250,$AK193))</f>
        <v/>
      </c>
      <c r="F193" s="73" t="str">
        <f aca="false">IF($AK193="","",INDEX('REGISTRE ELEVES'!$AE$10:$AE$250,$AK193))</f>
        <v/>
      </c>
      <c r="G193" s="75"/>
      <c r="H193" s="76"/>
      <c r="I193" s="76"/>
      <c r="J193" s="76"/>
      <c r="K193" s="76"/>
      <c r="L193" s="79" t="str">
        <f aca="false">IF(B193="","",IF($G193="NON",0,IF(COUNT(H193:K193)=0,"",SUM(H193:K193))))</f>
        <v/>
      </c>
      <c r="M193" s="77" t="str">
        <f aca="false">IF(B193="","",IF($G193="NON",0,IF(COUNT(H193:K193)=0,"",IFERROR(ROUND(SUM(H193:K193)/SUMPRODUCT(ISNUMBER(H193:K193)*$H$8:$K$8)*20,2),""))))</f>
        <v/>
      </c>
      <c r="N193" s="75"/>
      <c r="O193" s="76"/>
      <c r="P193" s="76"/>
      <c r="Q193" s="76"/>
      <c r="R193" s="76"/>
      <c r="S193" s="79" t="str">
        <f aca="false">IF(B193="","",IF($N193="NON",0,IF(COUNT(O193:R193)=0,"",SUM(O193:R193))))</f>
        <v/>
      </c>
      <c r="T193" s="77" t="str">
        <f aca="false">IF(B193="","",IF($N193="NON",0,IF(COUNT(O193:R193)=0,"",IFERROR(ROUND(SUM(O193:R193)/SUMPRODUCT(ISNUMBER(O193:R193)*$O$8:$R$8)*20,2),""))))</f>
        <v/>
      </c>
      <c r="U193" s="75"/>
      <c r="V193" s="76"/>
      <c r="W193" s="76"/>
      <c r="X193" s="76"/>
      <c r="Y193" s="76"/>
      <c r="Z193" s="76"/>
      <c r="AA193" s="79" t="str">
        <f aca="false">IF(B193="","",IF($U193="NON",0,IF(COUNT(V193:Z193)=0,"",SUM(V193:Z193))))</f>
        <v/>
      </c>
      <c r="AB193" s="77" t="str">
        <f aca="false">IF(B193="","",IF($U193="NON",0,IF(COUNT(V193:Z193)=0,"",IFERROR(ROUND(SUM(V193:Z193)/SUMPRODUCT(ISNUMBER(V193:Z193)*$V$8:$Z$8)*20,2),""))))</f>
        <v/>
      </c>
      <c r="AC193" s="75"/>
      <c r="AD193" s="76"/>
      <c r="AE193" s="76"/>
      <c r="AF193" s="76"/>
      <c r="AG193" s="76"/>
      <c r="AH193" s="76"/>
      <c r="AI193" s="79" t="str">
        <f aca="false">IF(B193="","",IF($AC193="NON",0,IF(COUNT(AD193:AH193)=0,"",SUM(AD193:AH193))))</f>
        <v/>
      </c>
      <c r="AJ193" s="77" t="str">
        <f aca="false">IF(B193="","",IF($AC193="NON",0,IF(COUNT(AD193:AH193)=0,"",IFERROR(ROUND(SUM(AD193:AH193)/SUMPRODUCT(ISNUMBER(AD193:AH193)*$AD$8:$AH$8)*20,2),""))))</f>
        <v/>
      </c>
      <c r="AK193" s="51" t="str">
        <f aca="false">IFERROR(MATCH("CM2-184",'REGISTRE ELEVES'!$AI$10:$AI$250,0),"")</f>
        <v/>
      </c>
    </row>
    <row r="194" customFormat="false" ht="15" hidden="false" customHeight="false" outlineLevel="0" collapsed="false">
      <c r="A194" s="73" t="str">
        <f aca="false">IF(B194="","",185)</f>
        <v/>
      </c>
      <c r="B194" s="73" t="str">
        <f aca="false">IF($AK194="","",INDEX('REGISTRE ELEVES'!$B$10:$B$250,$AK194))</f>
        <v/>
      </c>
      <c r="C194" s="74" t="str">
        <f aca="false">IF($AK194="","",INDEX('REGISTRE ELEVES'!$D$10:$D$250,$AK194))</f>
        <v/>
      </c>
      <c r="D194" s="73" t="str">
        <f aca="false">IF($AK194="","",INDEX('REGISTRE ELEVES'!$E$10:$E$250,$AK194))</f>
        <v/>
      </c>
      <c r="E194" s="73" t="str">
        <f aca="false">IF($AK194="","",INDEX('REGISTRE ELEVES'!$F$10:$F$250,$AK194))</f>
        <v/>
      </c>
      <c r="F194" s="73" t="str">
        <f aca="false">IF($AK194="","",INDEX('REGISTRE ELEVES'!$AE$10:$AE$250,$AK194))</f>
        <v/>
      </c>
      <c r="G194" s="75"/>
      <c r="H194" s="76"/>
      <c r="I194" s="76"/>
      <c r="J194" s="76"/>
      <c r="K194" s="76"/>
      <c r="L194" s="79" t="str">
        <f aca="false">IF(B194="","",IF($G194="NON",0,IF(COUNT(H194:K194)=0,"",SUM(H194:K194))))</f>
        <v/>
      </c>
      <c r="M194" s="77" t="str">
        <f aca="false">IF(B194="","",IF($G194="NON",0,IF(COUNT(H194:K194)=0,"",IFERROR(ROUND(SUM(H194:K194)/SUMPRODUCT(ISNUMBER(H194:K194)*$H$8:$K$8)*20,2),""))))</f>
        <v/>
      </c>
      <c r="N194" s="75"/>
      <c r="O194" s="76"/>
      <c r="P194" s="76"/>
      <c r="Q194" s="76"/>
      <c r="R194" s="76"/>
      <c r="S194" s="79" t="str">
        <f aca="false">IF(B194="","",IF($N194="NON",0,IF(COUNT(O194:R194)=0,"",SUM(O194:R194))))</f>
        <v/>
      </c>
      <c r="T194" s="77" t="str">
        <f aca="false">IF(B194="","",IF($N194="NON",0,IF(COUNT(O194:R194)=0,"",IFERROR(ROUND(SUM(O194:R194)/SUMPRODUCT(ISNUMBER(O194:R194)*$O$8:$R$8)*20,2),""))))</f>
        <v/>
      </c>
      <c r="U194" s="75"/>
      <c r="V194" s="76"/>
      <c r="W194" s="76"/>
      <c r="X194" s="76"/>
      <c r="Y194" s="76"/>
      <c r="Z194" s="76"/>
      <c r="AA194" s="79" t="str">
        <f aca="false">IF(B194="","",IF($U194="NON",0,IF(COUNT(V194:Z194)=0,"",SUM(V194:Z194))))</f>
        <v/>
      </c>
      <c r="AB194" s="77" t="str">
        <f aca="false">IF(B194="","",IF($U194="NON",0,IF(COUNT(V194:Z194)=0,"",IFERROR(ROUND(SUM(V194:Z194)/SUMPRODUCT(ISNUMBER(V194:Z194)*$V$8:$Z$8)*20,2),""))))</f>
        <v/>
      </c>
      <c r="AC194" s="75"/>
      <c r="AD194" s="76"/>
      <c r="AE194" s="76"/>
      <c r="AF194" s="76"/>
      <c r="AG194" s="76"/>
      <c r="AH194" s="76"/>
      <c r="AI194" s="79" t="str">
        <f aca="false">IF(B194="","",IF($AC194="NON",0,IF(COUNT(AD194:AH194)=0,"",SUM(AD194:AH194))))</f>
        <v/>
      </c>
      <c r="AJ194" s="77" t="str">
        <f aca="false">IF(B194="","",IF($AC194="NON",0,IF(COUNT(AD194:AH194)=0,"",IFERROR(ROUND(SUM(AD194:AH194)/SUMPRODUCT(ISNUMBER(AD194:AH194)*$AD$8:$AH$8)*20,2),""))))</f>
        <v/>
      </c>
      <c r="AK194" s="51" t="str">
        <f aca="false">IFERROR(MATCH("CM2-185",'REGISTRE ELEVES'!$AI$10:$AI$250,0),"")</f>
        <v/>
      </c>
    </row>
    <row r="195" customFormat="false" ht="15" hidden="false" customHeight="false" outlineLevel="0" collapsed="false">
      <c r="A195" s="73" t="str">
        <f aca="false">IF(B195="","",186)</f>
        <v/>
      </c>
      <c r="B195" s="73" t="str">
        <f aca="false">IF($AK195="","",INDEX('REGISTRE ELEVES'!$B$10:$B$250,$AK195))</f>
        <v/>
      </c>
      <c r="C195" s="74" t="str">
        <f aca="false">IF($AK195="","",INDEX('REGISTRE ELEVES'!$D$10:$D$250,$AK195))</f>
        <v/>
      </c>
      <c r="D195" s="73" t="str">
        <f aca="false">IF($AK195="","",INDEX('REGISTRE ELEVES'!$E$10:$E$250,$AK195))</f>
        <v/>
      </c>
      <c r="E195" s="73" t="str">
        <f aca="false">IF($AK195="","",INDEX('REGISTRE ELEVES'!$F$10:$F$250,$AK195))</f>
        <v/>
      </c>
      <c r="F195" s="73" t="str">
        <f aca="false">IF($AK195="","",INDEX('REGISTRE ELEVES'!$AE$10:$AE$250,$AK195))</f>
        <v/>
      </c>
      <c r="G195" s="75"/>
      <c r="H195" s="76"/>
      <c r="I195" s="76"/>
      <c r="J195" s="76"/>
      <c r="K195" s="76"/>
      <c r="L195" s="79" t="str">
        <f aca="false">IF(B195="","",IF($G195="NON",0,IF(COUNT(H195:K195)=0,"",SUM(H195:K195))))</f>
        <v/>
      </c>
      <c r="M195" s="77" t="str">
        <f aca="false">IF(B195="","",IF($G195="NON",0,IF(COUNT(H195:K195)=0,"",IFERROR(ROUND(SUM(H195:K195)/SUMPRODUCT(ISNUMBER(H195:K195)*$H$8:$K$8)*20,2),""))))</f>
        <v/>
      </c>
      <c r="N195" s="75"/>
      <c r="O195" s="76"/>
      <c r="P195" s="76"/>
      <c r="Q195" s="76"/>
      <c r="R195" s="76"/>
      <c r="S195" s="79" t="str">
        <f aca="false">IF(B195="","",IF($N195="NON",0,IF(COUNT(O195:R195)=0,"",SUM(O195:R195))))</f>
        <v/>
      </c>
      <c r="T195" s="77" t="str">
        <f aca="false">IF(B195="","",IF($N195="NON",0,IF(COUNT(O195:R195)=0,"",IFERROR(ROUND(SUM(O195:R195)/SUMPRODUCT(ISNUMBER(O195:R195)*$O$8:$R$8)*20,2),""))))</f>
        <v/>
      </c>
      <c r="U195" s="75"/>
      <c r="V195" s="76"/>
      <c r="W195" s="76"/>
      <c r="X195" s="76"/>
      <c r="Y195" s="76"/>
      <c r="Z195" s="76"/>
      <c r="AA195" s="79" t="str">
        <f aca="false">IF(B195="","",IF($U195="NON",0,IF(COUNT(V195:Z195)=0,"",SUM(V195:Z195))))</f>
        <v/>
      </c>
      <c r="AB195" s="77" t="str">
        <f aca="false">IF(B195="","",IF($U195="NON",0,IF(COUNT(V195:Z195)=0,"",IFERROR(ROUND(SUM(V195:Z195)/SUMPRODUCT(ISNUMBER(V195:Z195)*$V$8:$Z$8)*20,2),""))))</f>
        <v/>
      </c>
      <c r="AC195" s="75"/>
      <c r="AD195" s="76"/>
      <c r="AE195" s="76"/>
      <c r="AF195" s="76"/>
      <c r="AG195" s="76"/>
      <c r="AH195" s="76"/>
      <c r="AI195" s="79" t="str">
        <f aca="false">IF(B195="","",IF($AC195="NON",0,IF(COUNT(AD195:AH195)=0,"",SUM(AD195:AH195))))</f>
        <v/>
      </c>
      <c r="AJ195" s="77" t="str">
        <f aca="false">IF(B195="","",IF($AC195="NON",0,IF(COUNT(AD195:AH195)=0,"",IFERROR(ROUND(SUM(AD195:AH195)/SUMPRODUCT(ISNUMBER(AD195:AH195)*$AD$8:$AH$8)*20,2),""))))</f>
        <v/>
      </c>
      <c r="AK195" s="51" t="str">
        <f aca="false">IFERROR(MATCH("CM2-186",'REGISTRE ELEVES'!$AI$10:$AI$250,0),"")</f>
        <v/>
      </c>
    </row>
    <row r="196" customFormat="false" ht="15" hidden="false" customHeight="false" outlineLevel="0" collapsed="false">
      <c r="A196" s="73" t="str">
        <f aca="false">IF(B196="","",187)</f>
        <v/>
      </c>
      <c r="B196" s="73" t="str">
        <f aca="false">IF($AK196="","",INDEX('REGISTRE ELEVES'!$B$10:$B$250,$AK196))</f>
        <v/>
      </c>
      <c r="C196" s="74" t="str">
        <f aca="false">IF($AK196="","",INDEX('REGISTRE ELEVES'!$D$10:$D$250,$AK196))</f>
        <v/>
      </c>
      <c r="D196" s="73" t="str">
        <f aca="false">IF($AK196="","",INDEX('REGISTRE ELEVES'!$E$10:$E$250,$AK196))</f>
        <v/>
      </c>
      <c r="E196" s="73" t="str">
        <f aca="false">IF($AK196="","",INDEX('REGISTRE ELEVES'!$F$10:$F$250,$AK196))</f>
        <v/>
      </c>
      <c r="F196" s="73" t="str">
        <f aca="false">IF($AK196="","",INDEX('REGISTRE ELEVES'!$AE$10:$AE$250,$AK196))</f>
        <v/>
      </c>
      <c r="G196" s="75"/>
      <c r="H196" s="76"/>
      <c r="I196" s="76"/>
      <c r="J196" s="76"/>
      <c r="K196" s="76"/>
      <c r="L196" s="79" t="str">
        <f aca="false">IF(B196="","",IF($G196="NON",0,IF(COUNT(H196:K196)=0,"",SUM(H196:K196))))</f>
        <v/>
      </c>
      <c r="M196" s="77" t="str">
        <f aca="false">IF(B196="","",IF($G196="NON",0,IF(COUNT(H196:K196)=0,"",IFERROR(ROUND(SUM(H196:K196)/SUMPRODUCT(ISNUMBER(H196:K196)*$H$8:$K$8)*20,2),""))))</f>
        <v/>
      </c>
      <c r="N196" s="75"/>
      <c r="O196" s="76"/>
      <c r="P196" s="76"/>
      <c r="Q196" s="76"/>
      <c r="R196" s="76"/>
      <c r="S196" s="79" t="str">
        <f aca="false">IF(B196="","",IF($N196="NON",0,IF(COUNT(O196:R196)=0,"",SUM(O196:R196))))</f>
        <v/>
      </c>
      <c r="T196" s="77" t="str">
        <f aca="false">IF(B196="","",IF($N196="NON",0,IF(COUNT(O196:R196)=0,"",IFERROR(ROUND(SUM(O196:R196)/SUMPRODUCT(ISNUMBER(O196:R196)*$O$8:$R$8)*20,2),""))))</f>
        <v/>
      </c>
      <c r="U196" s="75"/>
      <c r="V196" s="76"/>
      <c r="W196" s="76"/>
      <c r="X196" s="76"/>
      <c r="Y196" s="76"/>
      <c r="Z196" s="76"/>
      <c r="AA196" s="79" t="str">
        <f aca="false">IF(B196="","",IF($U196="NON",0,IF(COUNT(V196:Z196)=0,"",SUM(V196:Z196))))</f>
        <v/>
      </c>
      <c r="AB196" s="77" t="str">
        <f aca="false">IF(B196="","",IF($U196="NON",0,IF(COUNT(V196:Z196)=0,"",IFERROR(ROUND(SUM(V196:Z196)/SUMPRODUCT(ISNUMBER(V196:Z196)*$V$8:$Z$8)*20,2),""))))</f>
        <v/>
      </c>
      <c r="AC196" s="75"/>
      <c r="AD196" s="76"/>
      <c r="AE196" s="76"/>
      <c r="AF196" s="76"/>
      <c r="AG196" s="76"/>
      <c r="AH196" s="76"/>
      <c r="AI196" s="79" t="str">
        <f aca="false">IF(B196="","",IF($AC196="NON",0,IF(COUNT(AD196:AH196)=0,"",SUM(AD196:AH196))))</f>
        <v/>
      </c>
      <c r="AJ196" s="77" t="str">
        <f aca="false">IF(B196="","",IF($AC196="NON",0,IF(COUNT(AD196:AH196)=0,"",IFERROR(ROUND(SUM(AD196:AH196)/SUMPRODUCT(ISNUMBER(AD196:AH196)*$AD$8:$AH$8)*20,2),""))))</f>
        <v/>
      </c>
      <c r="AK196" s="51" t="str">
        <f aca="false">IFERROR(MATCH("CM2-187",'REGISTRE ELEVES'!$AI$10:$AI$250,0),"")</f>
        <v/>
      </c>
    </row>
    <row r="197" customFormat="false" ht="15" hidden="false" customHeight="false" outlineLevel="0" collapsed="false">
      <c r="A197" s="73" t="str">
        <f aca="false">IF(B197="","",188)</f>
        <v/>
      </c>
      <c r="B197" s="73" t="str">
        <f aca="false">IF($AK197="","",INDEX('REGISTRE ELEVES'!$B$10:$B$250,$AK197))</f>
        <v/>
      </c>
      <c r="C197" s="74" t="str">
        <f aca="false">IF($AK197="","",INDEX('REGISTRE ELEVES'!$D$10:$D$250,$AK197))</f>
        <v/>
      </c>
      <c r="D197" s="73" t="str">
        <f aca="false">IF($AK197="","",INDEX('REGISTRE ELEVES'!$E$10:$E$250,$AK197))</f>
        <v/>
      </c>
      <c r="E197" s="73" t="str">
        <f aca="false">IF($AK197="","",INDEX('REGISTRE ELEVES'!$F$10:$F$250,$AK197))</f>
        <v/>
      </c>
      <c r="F197" s="73" t="str">
        <f aca="false">IF($AK197="","",INDEX('REGISTRE ELEVES'!$AE$10:$AE$250,$AK197))</f>
        <v/>
      </c>
      <c r="G197" s="75"/>
      <c r="H197" s="76"/>
      <c r="I197" s="76"/>
      <c r="J197" s="76"/>
      <c r="K197" s="76"/>
      <c r="L197" s="79" t="str">
        <f aca="false">IF(B197="","",IF($G197="NON",0,IF(COUNT(H197:K197)=0,"",SUM(H197:K197))))</f>
        <v/>
      </c>
      <c r="M197" s="77" t="str">
        <f aca="false">IF(B197="","",IF($G197="NON",0,IF(COUNT(H197:K197)=0,"",IFERROR(ROUND(SUM(H197:K197)/SUMPRODUCT(ISNUMBER(H197:K197)*$H$8:$K$8)*20,2),""))))</f>
        <v/>
      </c>
      <c r="N197" s="75"/>
      <c r="O197" s="76"/>
      <c r="P197" s="76"/>
      <c r="Q197" s="76"/>
      <c r="R197" s="76"/>
      <c r="S197" s="79" t="str">
        <f aca="false">IF(B197="","",IF($N197="NON",0,IF(COUNT(O197:R197)=0,"",SUM(O197:R197))))</f>
        <v/>
      </c>
      <c r="T197" s="77" t="str">
        <f aca="false">IF(B197="","",IF($N197="NON",0,IF(COUNT(O197:R197)=0,"",IFERROR(ROUND(SUM(O197:R197)/SUMPRODUCT(ISNUMBER(O197:R197)*$O$8:$R$8)*20,2),""))))</f>
        <v/>
      </c>
      <c r="U197" s="75"/>
      <c r="V197" s="76"/>
      <c r="W197" s="76"/>
      <c r="X197" s="76"/>
      <c r="Y197" s="76"/>
      <c r="Z197" s="76"/>
      <c r="AA197" s="79" t="str">
        <f aca="false">IF(B197="","",IF($U197="NON",0,IF(COUNT(V197:Z197)=0,"",SUM(V197:Z197))))</f>
        <v/>
      </c>
      <c r="AB197" s="77" t="str">
        <f aca="false">IF(B197="","",IF($U197="NON",0,IF(COUNT(V197:Z197)=0,"",IFERROR(ROUND(SUM(V197:Z197)/SUMPRODUCT(ISNUMBER(V197:Z197)*$V$8:$Z$8)*20,2),""))))</f>
        <v/>
      </c>
      <c r="AC197" s="75"/>
      <c r="AD197" s="76"/>
      <c r="AE197" s="76"/>
      <c r="AF197" s="76"/>
      <c r="AG197" s="76"/>
      <c r="AH197" s="76"/>
      <c r="AI197" s="79" t="str">
        <f aca="false">IF(B197="","",IF($AC197="NON",0,IF(COUNT(AD197:AH197)=0,"",SUM(AD197:AH197))))</f>
        <v/>
      </c>
      <c r="AJ197" s="77" t="str">
        <f aca="false">IF(B197="","",IF($AC197="NON",0,IF(COUNT(AD197:AH197)=0,"",IFERROR(ROUND(SUM(AD197:AH197)/SUMPRODUCT(ISNUMBER(AD197:AH197)*$AD$8:$AH$8)*20,2),""))))</f>
        <v/>
      </c>
      <c r="AK197" s="51" t="str">
        <f aca="false">IFERROR(MATCH("CM2-188",'REGISTRE ELEVES'!$AI$10:$AI$250,0),"")</f>
        <v/>
      </c>
    </row>
    <row r="198" customFormat="false" ht="15" hidden="false" customHeight="false" outlineLevel="0" collapsed="false">
      <c r="A198" s="73" t="str">
        <f aca="false">IF(B198="","",189)</f>
        <v/>
      </c>
      <c r="B198" s="73" t="str">
        <f aca="false">IF($AK198="","",INDEX('REGISTRE ELEVES'!$B$10:$B$250,$AK198))</f>
        <v/>
      </c>
      <c r="C198" s="74" t="str">
        <f aca="false">IF($AK198="","",INDEX('REGISTRE ELEVES'!$D$10:$D$250,$AK198))</f>
        <v/>
      </c>
      <c r="D198" s="73" t="str">
        <f aca="false">IF($AK198="","",INDEX('REGISTRE ELEVES'!$E$10:$E$250,$AK198))</f>
        <v/>
      </c>
      <c r="E198" s="73" t="str">
        <f aca="false">IF($AK198="","",INDEX('REGISTRE ELEVES'!$F$10:$F$250,$AK198))</f>
        <v/>
      </c>
      <c r="F198" s="73" t="str">
        <f aca="false">IF($AK198="","",INDEX('REGISTRE ELEVES'!$AE$10:$AE$250,$AK198))</f>
        <v/>
      </c>
      <c r="G198" s="75"/>
      <c r="H198" s="76"/>
      <c r="I198" s="76"/>
      <c r="J198" s="76"/>
      <c r="K198" s="76"/>
      <c r="L198" s="79" t="str">
        <f aca="false">IF(B198="","",IF($G198="NON",0,IF(COUNT(H198:K198)=0,"",SUM(H198:K198))))</f>
        <v/>
      </c>
      <c r="M198" s="77" t="str">
        <f aca="false">IF(B198="","",IF($G198="NON",0,IF(COUNT(H198:K198)=0,"",IFERROR(ROUND(SUM(H198:K198)/SUMPRODUCT(ISNUMBER(H198:K198)*$H$8:$K$8)*20,2),""))))</f>
        <v/>
      </c>
      <c r="N198" s="75"/>
      <c r="O198" s="76"/>
      <c r="P198" s="76"/>
      <c r="Q198" s="76"/>
      <c r="R198" s="76"/>
      <c r="S198" s="79" t="str">
        <f aca="false">IF(B198="","",IF($N198="NON",0,IF(COUNT(O198:R198)=0,"",SUM(O198:R198))))</f>
        <v/>
      </c>
      <c r="T198" s="77" t="str">
        <f aca="false">IF(B198="","",IF($N198="NON",0,IF(COUNT(O198:R198)=0,"",IFERROR(ROUND(SUM(O198:R198)/SUMPRODUCT(ISNUMBER(O198:R198)*$O$8:$R$8)*20,2),""))))</f>
        <v/>
      </c>
      <c r="U198" s="75"/>
      <c r="V198" s="76"/>
      <c r="W198" s="76"/>
      <c r="X198" s="76"/>
      <c r="Y198" s="76"/>
      <c r="Z198" s="76"/>
      <c r="AA198" s="79" t="str">
        <f aca="false">IF(B198="","",IF($U198="NON",0,IF(COUNT(V198:Z198)=0,"",SUM(V198:Z198))))</f>
        <v/>
      </c>
      <c r="AB198" s="77" t="str">
        <f aca="false">IF(B198="","",IF($U198="NON",0,IF(COUNT(V198:Z198)=0,"",IFERROR(ROUND(SUM(V198:Z198)/SUMPRODUCT(ISNUMBER(V198:Z198)*$V$8:$Z$8)*20,2),""))))</f>
        <v/>
      </c>
      <c r="AC198" s="75"/>
      <c r="AD198" s="76"/>
      <c r="AE198" s="76"/>
      <c r="AF198" s="76"/>
      <c r="AG198" s="76"/>
      <c r="AH198" s="76"/>
      <c r="AI198" s="79" t="str">
        <f aca="false">IF(B198="","",IF($AC198="NON",0,IF(COUNT(AD198:AH198)=0,"",SUM(AD198:AH198))))</f>
        <v/>
      </c>
      <c r="AJ198" s="77" t="str">
        <f aca="false">IF(B198="","",IF($AC198="NON",0,IF(COUNT(AD198:AH198)=0,"",IFERROR(ROUND(SUM(AD198:AH198)/SUMPRODUCT(ISNUMBER(AD198:AH198)*$AD$8:$AH$8)*20,2),""))))</f>
        <v/>
      </c>
      <c r="AK198" s="51" t="str">
        <f aca="false">IFERROR(MATCH("CM2-189",'REGISTRE ELEVES'!$AI$10:$AI$250,0),"")</f>
        <v/>
      </c>
    </row>
    <row r="199" customFormat="false" ht="15" hidden="false" customHeight="false" outlineLevel="0" collapsed="false">
      <c r="A199" s="73" t="str">
        <f aca="false">IF(B199="","",190)</f>
        <v/>
      </c>
      <c r="B199" s="73" t="str">
        <f aca="false">IF($AK199="","",INDEX('REGISTRE ELEVES'!$B$10:$B$250,$AK199))</f>
        <v/>
      </c>
      <c r="C199" s="74" t="str">
        <f aca="false">IF($AK199="","",INDEX('REGISTRE ELEVES'!$D$10:$D$250,$AK199))</f>
        <v/>
      </c>
      <c r="D199" s="73" t="str">
        <f aca="false">IF($AK199="","",INDEX('REGISTRE ELEVES'!$E$10:$E$250,$AK199))</f>
        <v/>
      </c>
      <c r="E199" s="73" t="str">
        <f aca="false">IF($AK199="","",INDEX('REGISTRE ELEVES'!$F$10:$F$250,$AK199))</f>
        <v/>
      </c>
      <c r="F199" s="73" t="str">
        <f aca="false">IF($AK199="","",INDEX('REGISTRE ELEVES'!$AE$10:$AE$250,$AK199))</f>
        <v/>
      </c>
      <c r="G199" s="75"/>
      <c r="H199" s="76"/>
      <c r="I199" s="76"/>
      <c r="J199" s="76"/>
      <c r="K199" s="76"/>
      <c r="L199" s="79" t="str">
        <f aca="false">IF(B199="","",IF($G199="NON",0,IF(COUNT(H199:K199)=0,"",SUM(H199:K199))))</f>
        <v/>
      </c>
      <c r="M199" s="77" t="str">
        <f aca="false">IF(B199="","",IF($G199="NON",0,IF(COUNT(H199:K199)=0,"",IFERROR(ROUND(SUM(H199:K199)/SUMPRODUCT(ISNUMBER(H199:K199)*$H$8:$K$8)*20,2),""))))</f>
        <v/>
      </c>
      <c r="N199" s="75"/>
      <c r="O199" s="76"/>
      <c r="P199" s="76"/>
      <c r="Q199" s="76"/>
      <c r="R199" s="76"/>
      <c r="S199" s="79" t="str">
        <f aca="false">IF(B199="","",IF($N199="NON",0,IF(COUNT(O199:R199)=0,"",SUM(O199:R199))))</f>
        <v/>
      </c>
      <c r="T199" s="77" t="str">
        <f aca="false">IF(B199="","",IF($N199="NON",0,IF(COUNT(O199:R199)=0,"",IFERROR(ROUND(SUM(O199:R199)/SUMPRODUCT(ISNUMBER(O199:R199)*$O$8:$R$8)*20,2),""))))</f>
        <v/>
      </c>
      <c r="U199" s="75"/>
      <c r="V199" s="76"/>
      <c r="W199" s="76"/>
      <c r="X199" s="76"/>
      <c r="Y199" s="76"/>
      <c r="Z199" s="76"/>
      <c r="AA199" s="79" t="str">
        <f aca="false">IF(B199="","",IF($U199="NON",0,IF(COUNT(V199:Z199)=0,"",SUM(V199:Z199))))</f>
        <v/>
      </c>
      <c r="AB199" s="77" t="str">
        <f aca="false">IF(B199="","",IF($U199="NON",0,IF(COUNT(V199:Z199)=0,"",IFERROR(ROUND(SUM(V199:Z199)/SUMPRODUCT(ISNUMBER(V199:Z199)*$V$8:$Z$8)*20,2),""))))</f>
        <v/>
      </c>
      <c r="AC199" s="75"/>
      <c r="AD199" s="76"/>
      <c r="AE199" s="76"/>
      <c r="AF199" s="76"/>
      <c r="AG199" s="76"/>
      <c r="AH199" s="76"/>
      <c r="AI199" s="79" t="str">
        <f aca="false">IF(B199="","",IF($AC199="NON",0,IF(COUNT(AD199:AH199)=0,"",SUM(AD199:AH199))))</f>
        <v/>
      </c>
      <c r="AJ199" s="77" t="str">
        <f aca="false">IF(B199="","",IF($AC199="NON",0,IF(COUNT(AD199:AH199)=0,"",IFERROR(ROUND(SUM(AD199:AH199)/SUMPRODUCT(ISNUMBER(AD199:AH199)*$AD$8:$AH$8)*20,2),""))))</f>
        <v/>
      </c>
      <c r="AK199" s="51" t="str">
        <f aca="false">IFERROR(MATCH("CM2-190",'REGISTRE ELEVES'!$AI$10:$AI$250,0),"")</f>
        <v/>
      </c>
    </row>
    <row r="200" customFormat="false" ht="15" hidden="false" customHeight="false" outlineLevel="0" collapsed="false">
      <c r="A200" s="73" t="str">
        <f aca="false">IF(B200="","",191)</f>
        <v/>
      </c>
      <c r="B200" s="73" t="str">
        <f aca="false">IF($AK200="","",INDEX('REGISTRE ELEVES'!$B$10:$B$250,$AK200))</f>
        <v/>
      </c>
      <c r="C200" s="74" t="str">
        <f aca="false">IF($AK200="","",INDEX('REGISTRE ELEVES'!$D$10:$D$250,$AK200))</f>
        <v/>
      </c>
      <c r="D200" s="73" t="str">
        <f aca="false">IF($AK200="","",INDEX('REGISTRE ELEVES'!$E$10:$E$250,$AK200))</f>
        <v/>
      </c>
      <c r="E200" s="73" t="str">
        <f aca="false">IF($AK200="","",INDEX('REGISTRE ELEVES'!$F$10:$F$250,$AK200))</f>
        <v/>
      </c>
      <c r="F200" s="73" t="str">
        <f aca="false">IF($AK200="","",INDEX('REGISTRE ELEVES'!$AE$10:$AE$250,$AK200))</f>
        <v/>
      </c>
      <c r="G200" s="75"/>
      <c r="H200" s="76"/>
      <c r="I200" s="76"/>
      <c r="J200" s="76"/>
      <c r="K200" s="76"/>
      <c r="L200" s="79" t="str">
        <f aca="false">IF(B200="","",IF($G200="NON",0,IF(COUNT(H200:K200)=0,"",SUM(H200:K200))))</f>
        <v/>
      </c>
      <c r="M200" s="77" t="str">
        <f aca="false">IF(B200="","",IF($G200="NON",0,IF(COUNT(H200:K200)=0,"",IFERROR(ROUND(SUM(H200:K200)/SUMPRODUCT(ISNUMBER(H200:K200)*$H$8:$K$8)*20,2),""))))</f>
        <v/>
      </c>
      <c r="N200" s="75"/>
      <c r="O200" s="76"/>
      <c r="P200" s="76"/>
      <c r="Q200" s="76"/>
      <c r="R200" s="76"/>
      <c r="S200" s="79" t="str">
        <f aca="false">IF(B200="","",IF($N200="NON",0,IF(COUNT(O200:R200)=0,"",SUM(O200:R200))))</f>
        <v/>
      </c>
      <c r="T200" s="77" t="str">
        <f aca="false">IF(B200="","",IF($N200="NON",0,IF(COUNT(O200:R200)=0,"",IFERROR(ROUND(SUM(O200:R200)/SUMPRODUCT(ISNUMBER(O200:R200)*$O$8:$R$8)*20,2),""))))</f>
        <v/>
      </c>
      <c r="U200" s="75"/>
      <c r="V200" s="76"/>
      <c r="W200" s="76"/>
      <c r="X200" s="76"/>
      <c r="Y200" s="76"/>
      <c r="Z200" s="76"/>
      <c r="AA200" s="79" t="str">
        <f aca="false">IF(B200="","",IF($U200="NON",0,IF(COUNT(V200:Z200)=0,"",SUM(V200:Z200))))</f>
        <v/>
      </c>
      <c r="AB200" s="77" t="str">
        <f aca="false">IF(B200="","",IF($U200="NON",0,IF(COUNT(V200:Z200)=0,"",IFERROR(ROUND(SUM(V200:Z200)/SUMPRODUCT(ISNUMBER(V200:Z200)*$V$8:$Z$8)*20,2),""))))</f>
        <v/>
      </c>
      <c r="AC200" s="75"/>
      <c r="AD200" s="76"/>
      <c r="AE200" s="76"/>
      <c r="AF200" s="76"/>
      <c r="AG200" s="76"/>
      <c r="AH200" s="76"/>
      <c r="AI200" s="79" t="str">
        <f aca="false">IF(B200="","",IF($AC200="NON",0,IF(COUNT(AD200:AH200)=0,"",SUM(AD200:AH200))))</f>
        <v/>
      </c>
      <c r="AJ200" s="77" t="str">
        <f aca="false">IF(B200="","",IF($AC200="NON",0,IF(COUNT(AD200:AH200)=0,"",IFERROR(ROUND(SUM(AD200:AH200)/SUMPRODUCT(ISNUMBER(AD200:AH200)*$AD$8:$AH$8)*20,2),""))))</f>
        <v/>
      </c>
      <c r="AK200" s="51" t="str">
        <f aca="false">IFERROR(MATCH("CM2-191",'REGISTRE ELEVES'!$AI$10:$AI$250,0),"")</f>
        <v/>
      </c>
    </row>
    <row r="201" customFormat="false" ht="15" hidden="false" customHeight="false" outlineLevel="0" collapsed="false">
      <c r="A201" s="73" t="str">
        <f aca="false">IF(B201="","",192)</f>
        <v/>
      </c>
      <c r="B201" s="73" t="str">
        <f aca="false">IF($AK201="","",INDEX('REGISTRE ELEVES'!$B$10:$B$250,$AK201))</f>
        <v/>
      </c>
      <c r="C201" s="74" t="str">
        <f aca="false">IF($AK201="","",INDEX('REGISTRE ELEVES'!$D$10:$D$250,$AK201))</f>
        <v/>
      </c>
      <c r="D201" s="73" t="str">
        <f aca="false">IF($AK201="","",INDEX('REGISTRE ELEVES'!$E$10:$E$250,$AK201))</f>
        <v/>
      </c>
      <c r="E201" s="73" t="str">
        <f aca="false">IF($AK201="","",INDEX('REGISTRE ELEVES'!$F$10:$F$250,$AK201))</f>
        <v/>
      </c>
      <c r="F201" s="73" t="str">
        <f aca="false">IF($AK201="","",INDEX('REGISTRE ELEVES'!$AE$10:$AE$250,$AK201))</f>
        <v/>
      </c>
      <c r="G201" s="75"/>
      <c r="H201" s="76"/>
      <c r="I201" s="76"/>
      <c r="J201" s="76"/>
      <c r="K201" s="76"/>
      <c r="L201" s="79" t="str">
        <f aca="false">IF(B201="","",IF($G201="NON",0,IF(COUNT(H201:K201)=0,"",SUM(H201:K201))))</f>
        <v/>
      </c>
      <c r="M201" s="77" t="str">
        <f aca="false">IF(B201="","",IF($G201="NON",0,IF(COUNT(H201:K201)=0,"",IFERROR(ROUND(SUM(H201:K201)/SUMPRODUCT(ISNUMBER(H201:K201)*$H$8:$K$8)*20,2),""))))</f>
        <v/>
      </c>
      <c r="N201" s="75"/>
      <c r="O201" s="76"/>
      <c r="P201" s="76"/>
      <c r="Q201" s="76"/>
      <c r="R201" s="76"/>
      <c r="S201" s="79" t="str">
        <f aca="false">IF(B201="","",IF($N201="NON",0,IF(COUNT(O201:R201)=0,"",SUM(O201:R201))))</f>
        <v/>
      </c>
      <c r="T201" s="77" t="str">
        <f aca="false">IF(B201="","",IF($N201="NON",0,IF(COUNT(O201:R201)=0,"",IFERROR(ROUND(SUM(O201:R201)/SUMPRODUCT(ISNUMBER(O201:R201)*$O$8:$R$8)*20,2),""))))</f>
        <v/>
      </c>
      <c r="U201" s="75"/>
      <c r="V201" s="76"/>
      <c r="W201" s="76"/>
      <c r="X201" s="76"/>
      <c r="Y201" s="76"/>
      <c r="Z201" s="76"/>
      <c r="AA201" s="79" t="str">
        <f aca="false">IF(B201="","",IF($U201="NON",0,IF(COUNT(V201:Z201)=0,"",SUM(V201:Z201))))</f>
        <v/>
      </c>
      <c r="AB201" s="77" t="str">
        <f aca="false">IF(B201="","",IF($U201="NON",0,IF(COUNT(V201:Z201)=0,"",IFERROR(ROUND(SUM(V201:Z201)/SUMPRODUCT(ISNUMBER(V201:Z201)*$V$8:$Z$8)*20,2),""))))</f>
        <v/>
      </c>
      <c r="AC201" s="75"/>
      <c r="AD201" s="76"/>
      <c r="AE201" s="76"/>
      <c r="AF201" s="76"/>
      <c r="AG201" s="76"/>
      <c r="AH201" s="76"/>
      <c r="AI201" s="79" t="str">
        <f aca="false">IF(B201="","",IF($AC201="NON",0,IF(COUNT(AD201:AH201)=0,"",SUM(AD201:AH201))))</f>
        <v/>
      </c>
      <c r="AJ201" s="77" t="str">
        <f aca="false">IF(B201="","",IF($AC201="NON",0,IF(COUNT(AD201:AH201)=0,"",IFERROR(ROUND(SUM(AD201:AH201)/SUMPRODUCT(ISNUMBER(AD201:AH201)*$AD$8:$AH$8)*20,2),""))))</f>
        <v/>
      </c>
      <c r="AK201" s="51" t="str">
        <f aca="false">IFERROR(MATCH("CM2-192",'REGISTRE ELEVES'!$AI$10:$AI$250,0),"")</f>
        <v/>
      </c>
    </row>
    <row r="202" customFormat="false" ht="15" hidden="false" customHeight="false" outlineLevel="0" collapsed="false">
      <c r="A202" s="73" t="str">
        <f aca="false">IF(B202="","",193)</f>
        <v/>
      </c>
      <c r="B202" s="73" t="str">
        <f aca="false">IF($AK202="","",INDEX('REGISTRE ELEVES'!$B$10:$B$250,$AK202))</f>
        <v/>
      </c>
      <c r="C202" s="74" t="str">
        <f aca="false">IF($AK202="","",INDEX('REGISTRE ELEVES'!$D$10:$D$250,$AK202))</f>
        <v/>
      </c>
      <c r="D202" s="73" t="str">
        <f aca="false">IF($AK202="","",INDEX('REGISTRE ELEVES'!$E$10:$E$250,$AK202))</f>
        <v/>
      </c>
      <c r="E202" s="73" t="str">
        <f aca="false">IF($AK202="","",INDEX('REGISTRE ELEVES'!$F$10:$F$250,$AK202))</f>
        <v/>
      </c>
      <c r="F202" s="73" t="str">
        <f aca="false">IF($AK202="","",INDEX('REGISTRE ELEVES'!$AE$10:$AE$250,$AK202))</f>
        <v/>
      </c>
      <c r="G202" s="75"/>
      <c r="H202" s="76"/>
      <c r="I202" s="76"/>
      <c r="J202" s="76"/>
      <c r="K202" s="76"/>
      <c r="L202" s="79" t="str">
        <f aca="false">IF(B202="","",IF($G202="NON",0,IF(COUNT(H202:K202)=0,"",SUM(H202:K202))))</f>
        <v/>
      </c>
      <c r="M202" s="77" t="str">
        <f aca="false">IF(B202="","",IF($G202="NON",0,IF(COUNT(H202:K202)=0,"",IFERROR(ROUND(SUM(H202:K202)/SUMPRODUCT(ISNUMBER(H202:K202)*$H$8:$K$8)*20,2),""))))</f>
        <v/>
      </c>
      <c r="N202" s="75"/>
      <c r="O202" s="76"/>
      <c r="P202" s="76"/>
      <c r="Q202" s="76"/>
      <c r="R202" s="76"/>
      <c r="S202" s="79" t="str">
        <f aca="false">IF(B202="","",IF($N202="NON",0,IF(COUNT(O202:R202)=0,"",SUM(O202:R202))))</f>
        <v/>
      </c>
      <c r="T202" s="77" t="str">
        <f aca="false">IF(B202="","",IF($N202="NON",0,IF(COUNT(O202:R202)=0,"",IFERROR(ROUND(SUM(O202:R202)/SUMPRODUCT(ISNUMBER(O202:R202)*$O$8:$R$8)*20,2),""))))</f>
        <v/>
      </c>
      <c r="U202" s="75"/>
      <c r="V202" s="76"/>
      <c r="W202" s="76"/>
      <c r="X202" s="76"/>
      <c r="Y202" s="76"/>
      <c r="Z202" s="76"/>
      <c r="AA202" s="79" t="str">
        <f aca="false">IF(B202="","",IF($U202="NON",0,IF(COUNT(V202:Z202)=0,"",SUM(V202:Z202))))</f>
        <v/>
      </c>
      <c r="AB202" s="77" t="str">
        <f aca="false">IF(B202="","",IF($U202="NON",0,IF(COUNT(V202:Z202)=0,"",IFERROR(ROUND(SUM(V202:Z202)/SUMPRODUCT(ISNUMBER(V202:Z202)*$V$8:$Z$8)*20,2),""))))</f>
        <v/>
      </c>
      <c r="AC202" s="75"/>
      <c r="AD202" s="76"/>
      <c r="AE202" s="76"/>
      <c r="AF202" s="76"/>
      <c r="AG202" s="76"/>
      <c r="AH202" s="76"/>
      <c r="AI202" s="79" t="str">
        <f aca="false">IF(B202="","",IF($AC202="NON",0,IF(COUNT(AD202:AH202)=0,"",SUM(AD202:AH202))))</f>
        <v/>
      </c>
      <c r="AJ202" s="77" t="str">
        <f aca="false">IF(B202="","",IF($AC202="NON",0,IF(COUNT(AD202:AH202)=0,"",IFERROR(ROUND(SUM(AD202:AH202)/SUMPRODUCT(ISNUMBER(AD202:AH202)*$AD$8:$AH$8)*20,2),""))))</f>
        <v/>
      </c>
      <c r="AK202" s="51" t="str">
        <f aca="false">IFERROR(MATCH("CM2-193",'REGISTRE ELEVES'!$AI$10:$AI$250,0),"")</f>
        <v/>
      </c>
    </row>
    <row r="203" customFormat="false" ht="15" hidden="false" customHeight="false" outlineLevel="0" collapsed="false">
      <c r="A203" s="73" t="str">
        <f aca="false">IF(B203="","",194)</f>
        <v/>
      </c>
      <c r="B203" s="73" t="str">
        <f aca="false">IF($AK203="","",INDEX('REGISTRE ELEVES'!$B$10:$B$250,$AK203))</f>
        <v/>
      </c>
      <c r="C203" s="74" t="str">
        <f aca="false">IF($AK203="","",INDEX('REGISTRE ELEVES'!$D$10:$D$250,$AK203))</f>
        <v/>
      </c>
      <c r="D203" s="73" t="str">
        <f aca="false">IF($AK203="","",INDEX('REGISTRE ELEVES'!$E$10:$E$250,$AK203))</f>
        <v/>
      </c>
      <c r="E203" s="73" t="str">
        <f aca="false">IF($AK203="","",INDEX('REGISTRE ELEVES'!$F$10:$F$250,$AK203))</f>
        <v/>
      </c>
      <c r="F203" s="73" t="str">
        <f aca="false">IF($AK203="","",INDEX('REGISTRE ELEVES'!$AE$10:$AE$250,$AK203))</f>
        <v/>
      </c>
      <c r="G203" s="75"/>
      <c r="H203" s="76"/>
      <c r="I203" s="76"/>
      <c r="J203" s="76"/>
      <c r="K203" s="76"/>
      <c r="L203" s="79" t="str">
        <f aca="false">IF(B203="","",IF($G203="NON",0,IF(COUNT(H203:K203)=0,"",SUM(H203:K203))))</f>
        <v/>
      </c>
      <c r="M203" s="77" t="str">
        <f aca="false">IF(B203="","",IF($G203="NON",0,IF(COUNT(H203:K203)=0,"",IFERROR(ROUND(SUM(H203:K203)/SUMPRODUCT(ISNUMBER(H203:K203)*$H$8:$K$8)*20,2),""))))</f>
        <v/>
      </c>
      <c r="N203" s="75"/>
      <c r="O203" s="76"/>
      <c r="P203" s="76"/>
      <c r="Q203" s="76"/>
      <c r="R203" s="76"/>
      <c r="S203" s="79" t="str">
        <f aca="false">IF(B203="","",IF($N203="NON",0,IF(COUNT(O203:R203)=0,"",SUM(O203:R203))))</f>
        <v/>
      </c>
      <c r="T203" s="77" t="str">
        <f aca="false">IF(B203="","",IF($N203="NON",0,IF(COUNT(O203:R203)=0,"",IFERROR(ROUND(SUM(O203:R203)/SUMPRODUCT(ISNUMBER(O203:R203)*$O$8:$R$8)*20,2),""))))</f>
        <v/>
      </c>
      <c r="U203" s="75"/>
      <c r="V203" s="76"/>
      <c r="W203" s="76"/>
      <c r="X203" s="76"/>
      <c r="Y203" s="76"/>
      <c r="Z203" s="76"/>
      <c r="AA203" s="79" t="str">
        <f aca="false">IF(B203="","",IF($U203="NON",0,IF(COUNT(V203:Z203)=0,"",SUM(V203:Z203))))</f>
        <v/>
      </c>
      <c r="AB203" s="77" t="str">
        <f aca="false">IF(B203="","",IF($U203="NON",0,IF(COUNT(V203:Z203)=0,"",IFERROR(ROUND(SUM(V203:Z203)/SUMPRODUCT(ISNUMBER(V203:Z203)*$V$8:$Z$8)*20,2),""))))</f>
        <v/>
      </c>
      <c r="AC203" s="75"/>
      <c r="AD203" s="76"/>
      <c r="AE203" s="76"/>
      <c r="AF203" s="76"/>
      <c r="AG203" s="76"/>
      <c r="AH203" s="76"/>
      <c r="AI203" s="79" t="str">
        <f aca="false">IF(B203="","",IF($AC203="NON",0,IF(COUNT(AD203:AH203)=0,"",SUM(AD203:AH203))))</f>
        <v/>
      </c>
      <c r="AJ203" s="77" t="str">
        <f aca="false">IF(B203="","",IF($AC203="NON",0,IF(COUNT(AD203:AH203)=0,"",IFERROR(ROUND(SUM(AD203:AH203)/SUMPRODUCT(ISNUMBER(AD203:AH203)*$AD$8:$AH$8)*20,2),""))))</f>
        <v/>
      </c>
      <c r="AK203" s="51" t="str">
        <f aca="false">IFERROR(MATCH("CM2-194",'REGISTRE ELEVES'!$AI$10:$AI$250,0),"")</f>
        <v/>
      </c>
    </row>
    <row r="204" customFormat="false" ht="15" hidden="false" customHeight="false" outlineLevel="0" collapsed="false">
      <c r="A204" s="73" t="str">
        <f aca="false">IF(B204="","",195)</f>
        <v/>
      </c>
      <c r="B204" s="73" t="str">
        <f aca="false">IF($AK204="","",INDEX('REGISTRE ELEVES'!$B$10:$B$250,$AK204))</f>
        <v/>
      </c>
      <c r="C204" s="74" t="str">
        <f aca="false">IF($AK204="","",INDEX('REGISTRE ELEVES'!$D$10:$D$250,$AK204))</f>
        <v/>
      </c>
      <c r="D204" s="73" t="str">
        <f aca="false">IF($AK204="","",INDEX('REGISTRE ELEVES'!$E$10:$E$250,$AK204))</f>
        <v/>
      </c>
      <c r="E204" s="73" t="str">
        <f aca="false">IF($AK204="","",INDEX('REGISTRE ELEVES'!$F$10:$F$250,$AK204))</f>
        <v/>
      </c>
      <c r="F204" s="73" t="str">
        <f aca="false">IF($AK204="","",INDEX('REGISTRE ELEVES'!$AE$10:$AE$250,$AK204))</f>
        <v/>
      </c>
      <c r="G204" s="75"/>
      <c r="H204" s="76"/>
      <c r="I204" s="76"/>
      <c r="J204" s="76"/>
      <c r="K204" s="76"/>
      <c r="L204" s="79" t="str">
        <f aca="false">IF(B204="","",IF($G204="NON",0,IF(COUNT(H204:K204)=0,"",SUM(H204:K204))))</f>
        <v/>
      </c>
      <c r="M204" s="77" t="str">
        <f aca="false">IF(B204="","",IF($G204="NON",0,IF(COUNT(H204:K204)=0,"",IFERROR(ROUND(SUM(H204:K204)/SUMPRODUCT(ISNUMBER(H204:K204)*$H$8:$K$8)*20,2),""))))</f>
        <v/>
      </c>
      <c r="N204" s="75"/>
      <c r="O204" s="76"/>
      <c r="P204" s="76"/>
      <c r="Q204" s="76"/>
      <c r="R204" s="76"/>
      <c r="S204" s="79" t="str">
        <f aca="false">IF(B204="","",IF($N204="NON",0,IF(COUNT(O204:R204)=0,"",SUM(O204:R204))))</f>
        <v/>
      </c>
      <c r="T204" s="77" t="str">
        <f aca="false">IF(B204="","",IF($N204="NON",0,IF(COUNT(O204:R204)=0,"",IFERROR(ROUND(SUM(O204:R204)/SUMPRODUCT(ISNUMBER(O204:R204)*$O$8:$R$8)*20,2),""))))</f>
        <v/>
      </c>
      <c r="U204" s="75"/>
      <c r="V204" s="76"/>
      <c r="W204" s="76"/>
      <c r="X204" s="76"/>
      <c r="Y204" s="76"/>
      <c r="Z204" s="76"/>
      <c r="AA204" s="79" t="str">
        <f aca="false">IF(B204="","",IF($U204="NON",0,IF(COUNT(V204:Z204)=0,"",SUM(V204:Z204))))</f>
        <v/>
      </c>
      <c r="AB204" s="77" t="str">
        <f aca="false">IF(B204="","",IF($U204="NON",0,IF(COUNT(V204:Z204)=0,"",IFERROR(ROUND(SUM(V204:Z204)/SUMPRODUCT(ISNUMBER(V204:Z204)*$V$8:$Z$8)*20,2),""))))</f>
        <v/>
      </c>
      <c r="AC204" s="75"/>
      <c r="AD204" s="76"/>
      <c r="AE204" s="76"/>
      <c r="AF204" s="76"/>
      <c r="AG204" s="76"/>
      <c r="AH204" s="76"/>
      <c r="AI204" s="79" t="str">
        <f aca="false">IF(B204="","",IF($AC204="NON",0,IF(COUNT(AD204:AH204)=0,"",SUM(AD204:AH204))))</f>
        <v/>
      </c>
      <c r="AJ204" s="77" t="str">
        <f aca="false">IF(B204="","",IF($AC204="NON",0,IF(COUNT(AD204:AH204)=0,"",IFERROR(ROUND(SUM(AD204:AH204)/SUMPRODUCT(ISNUMBER(AD204:AH204)*$AD$8:$AH$8)*20,2),""))))</f>
        <v/>
      </c>
      <c r="AK204" s="51" t="str">
        <f aca="false">IFERROR(MATCH("CM2-195",'REGISTRE ELEVES'!$AI$10:$AI$250,0),"")</f>
        <v/>
      </c>
    </row>
    <row r="205" customFormat="false" ht="15" hidden="false" customHeight="false" outlineLevel="0" collapsed="false">
      <c r="A205" s="73" t="str">
        <f aca="false">IF(B205="","",196)</f>
        <v/>
      </c>
      <c r="B205" s="73" t="str">
        <f aca="false">IF($AK205="","",INDEX('REGISTRE ELEVES'!$B$10:$B$250,$AK205))</f>
        <v/>
      </c>
      <c r="C205" s="74" t="str">
        <f aca="false">IF($AK205="","",INDEX('REGISTRE ELEVES'!$D$10:$D$250,$AK205))</f>
        <v/>
      </c>
      <c r="D205" s="73" t="str">
        <f aca="false">IF($AK205="","",INDEX('REGISTRE ELEVES'!$E$10:$E$250,$AK205))</f>
        <v/>
      </c>
      <c r="E205" s="73" t="str">
        <f aca="false">IF($AK205="","",INDEX('REGISTRE ELEVES'!$F$10:$F$250,$AK205))</f>
        <v/>
      </c>
      <c r="F205" s="73" t="str">
        <f aca="false">IF($AK205="","",INDEX('REGISTRE ELEVES'!$AE$10:$AE$250,$AK205))</f>
        <v/>
      </c>
      <c r="G205" s="75"/>
      <c r="H205" s="76"/>
      <c r="I205" s="76"/>
      <c r="J205" s="76"/>
      <c r="K205" s="76"/>
      <c r="L205" s="79" t="str">
        <f aca="false">IF(B205="","",IF($G205="NON",0,IF(COUNT(H205:K205)=0,"",SUM(H205:K205))))</f>
        <v/>
      </c>
      <c r="M205" s="77" t="str">
        <f aca="false">IF(B205="","",IF($G205="NON",0,IF(COUNT(H205:K205)=0,"",IFERROR(ROUND(SUM(H205:K205)/SUMPRODUCT(ISNUMBER(H205:K205)*$H$8:$K$8)*20,2),""))))</f>
        <v/>
      </c>
      <c r="N205" s="75"/>
      <c r="O205" s="76"/>
      <c r="P205" s="76"/>
      <c r="Q205" s="76"/>
      <c r="R205" s="76"/>
      <c r="S205" s="79" t="str">
        <f aca="false">IF(B205="","",IF($N205="NON",0,IF(COUNT(O205:R205)=0,"",SUM(O205:R205))))</f>
        <v/>
      </c>
      <c r="T205" s="77" t="str">
        <f aca="false">IF(B205="","",IF($N205="NON",0,IF(COUNT(O205:R205)=0,"",IFERROR(ROUND(SUM(O205:R205)/SUMPRODUCT(ISNUMBER(O205:R205)*$O$8:$R$8)*20,2),""))))</f>
        <v/>
      </c>
      <c r="U205" s="75"/>
      <c r="V205" s="76"/>
      <c r="W205" s="76"/>
      <c r="X205" s="76"/>
      <c r="Y205" s="76"/>
      <c r="Z205" s="76"/>
      <c r="AA205" s="79" t="str">
        <f aca="false">IF(B205="","",IF($U205="NON",0,IF(COUNT(V205:Z205)=0,"",SUM(V205:Z205))))</f>
        <v/>
      </c>
      <c r="AB205" s="77" t="str">
        <f aca="false">IF(B205="","",IF($U205="NON",0,IF(COUNT(V205:Z205)=0,"",IFERROR(ROUND(SUM(V205:Z205)/SUMPRODUCT(ISNUMBER(V205:Z205)*$V$8:$Z$8)*20,2),""))))</f>
        <v/>
      </c>
      <c r="AC205" s="75"/>
      <c r="AD205" s="76"/>
      <c r="AE205" s="76"/>
      <c r="AF205" s="76"/>
      <c r="AG205" s="76"/>
      <c r="AH205" s="76"/>
      <c r="AI205" s="79" t="str">
        <f aca="false">IF(B205="","",IF($AC205="NON",0,IF(COUNT(AD205:AH205)=0,"",SUM(AD205:AH205))))</f>
        <v/>
      </c>
      <c r="AJ205" s="77" t="str">
        <f aca="false">IF(B205="","",IF($AC205="NON",0,IF(COUNT(AD205:AH205)=0,"",IFERROR(ROUND(SUM(AD205:AH205)/SUMPRODUCT(ISNUMBER(AD205:AH205)*$AD$8:$AH$8)*20,2),""))))</f>
        <v/>
      </c>
      <c r="AK205" s="51" t="str">
        <f aca="false">IFERROR(MATCH("CM2-196",'REGISTRE ELEVES'!$AI$10:$AI$250,0),"")</f>
        <v/>
      </c>
    </row>
    <row r="206" customFormat="false" ht="15" hidden="false" customHeight="false" outlineLevel="0" collapsed="false">
      <c r="A206" s="73" t="str">
        <f aca="false">IF(B206="","",197)</f>
        <v/>
      </c>
      <c r="B206" s="73" t="str">
        <f aca="false">IF($AK206="","",INDEX('REGISTRE ELEVES'!$B$10:$B$250,$AK206))</f>
        <v/>
      </c>
      <c r="C206" s="74" t="str">
        <f aca="false">IF($AK206="","",INDEX('REGISTRE ELEVES'!$D$10:$D$250,$AK206))</f>
        <v/>
      </c>
      <c r="D206" s="73" t="str">
        <f aca="false">IF($AK206="","",INDEX('REGISTRE ELEVES'!$E$10:$E$250,$AK206))</f>
        <v/>
      </c>
      <c r="E206" s="73" t="str">
        <f aca="false">IF($AK206="","",INDEX('REGISTRE ELEVES'!$F$10:$F$250,$AK206))</f>
        <v/>
      </c>
      <c r="F206" s="73" t="str">
        <f aca="false">IF($AK206="","",INDEX('REGISTRE ELEVES'!$AE$10:$AE$250,$AK206))</f>
        <v/>
      </c>
      <c r="G206" s="75"/>
      <c r="H206" s="76"/>
      <c r="I206" s="76"/>
      <c r="J206" s="76"/>
      <c r="K206" s="76"/>
      <c r="L206" s="79" t="str">
        <f aca="false">IF(B206="","",IF($G206="NON",0,IF(COUNT(H206:K206)=0,"",SUM(H206:K206))))</f>
        <v/>
      </c>
      <c r="M206" s="77" t="str">
        <f aca="false">IF(B206="","",IF($G206="NON",0,IF(COUNT(H206:K206)=0,"",IFERROR(ROUND(SUM(H206:K206)/SUMPRODUCT(ISNUMBER(H206:K206)*$H$8:$K$8)*20,2),""))))</f>
        <v/>
      </c>
      <c r="N206" s="75"/>
      <c r="O206" s="76"/>
      <c r="P206" s="76"/>
      <c r="Q206" s="76"/>
      <c r="R206" s="76"/>
      <c r="S206" s="79" t="str">
        <f aca="false">IF(B206="","",IF($N206="NON",0,IF(COUNT(O206:R206)=0,"",SUM(O206:R206))))</f>
        <v/>
      </c>
      <c r="T206" s="77" t="str">
        <f aca="false">IF(B206="","",IF($N206="NON",0,IF(COUNT(O206:R206)=0,"",IFERROR(ROUND(SUM(O206:R206)/SUMPRODUCT(ISNUMBER(O206:R206)*$O$8:$R$8)*20,2),""))))</f>
        <v/>
      </c>
      <c r="U206" s="75"/>
      <c r="V206" s="76"/>
      <c r="W206" s="76"/>
      <c r="X206" s="76"/>
      <c r="Y206" s="76"/>
      <c r="Z206" s="76"/>
      <c r="AA206" s="79" t="str">
        <f aca="false">IF(B206="","",IF($U206="NON",0,IF(COUNT(V206:Z206)=0,"",SUM(V206:Z206))))</f>
        <v/>
      </c>
      <c r="AB206" s="77" t="str">
        <f aca="false">IF(B206="","",IF($U206="NON",0,IF(COUNT(V206:Z206)=0,"",IFERROR(ROUND(SUM(V206:Z206)/SUMPRODUCT(ISNUMBER(V206:Z206)*$V$8:$Z$8)*20,2),""))))</f>
        <v/>
      </c>
      <c r="AC206" s="75"/>
      <c r="AD206" s="76"/>
      <c r="AE206" s="76"/>
      <c r="AF206" s="76"/>
      <c r="AG206" s="76"/>
      <c r="AH206" s="76"/>
      <c r="AI206" s="79" t="str">
        <f aca="false">IF(B206="","",IF($AC206="NON",0,IF(COUNT(AD206:AH206)=0,"",SUM(AD206:AH206))))</f>
        <v/>
      </c>
      <c r="AJ206" s="77" t="str">
        <f aca="false">IF(B206="","",IF($AC206="NON",0,IF(COUNT(AD206:AH206)=0,"",IFERROR(ROUND(SUM(AD206:AH206)/SUMPRODUCT(ISNUMBER(AD206:AH206)*$AD$8:$AH$8)*20,2),""))))</f>
        <v/>
      </c>
      <c r="AK206" s="51" t="str">
        <f aca="false">IFERROR(MATCH("CM2-197",'REGISTRE ELEVES'!$AI$10:$AI$250,0),"")</f>
        <v/>
      </c>
    </row>
    <row r="207" customFormat="false" ht="15" hidden="false" customHeight="false" outlineLevel="0" collapsed="false">
      <c r="A207" s="73" t="str">
        <f aca="false">IF(B207="","",198)</f>
        <v/>
      </c>
      <c r="B207" s="73" t="str">
        <f aca="false">IF($AK207="","",INDEX('REGISTRE ELEVES'!$B$10:$B$250,$AK207))</f>
        <v/>
      </c>
      <c r="C207" s="74" t="str">
        <f aca="false">IF($AK207="","",INDEX('REGISTRE ELEVES'!$D$10:$D$250,$AK207))</f>
        <v/>
      </c>
      <c r="D207" s="73" t="str">
        <f aca="false">IF($AK207="","",INDEX('REGISTRE ELEVES'!$E$10:$E$250,$AK207))</f>
        <v/>
      </c>
      <c r="E207" s="73" t="str">
        <f aca="false">IF($AK207="","",INDEX('REGISTRE ELEVES'!$F$10:$F$250,$AK207))</f>
        <v/>
      </c>
      <c r="F207" s="73" t="str">
        <f aca="false">IF($AK207="","",INDEX('REGISTRE ELEVES'!$AE$10:$AE$250,$AK207))</f>
        <v/>
      </c>
      <c r="G207" s="75"/>
      <c r="H207" s="76"/>
      <c r="I207" s="76"/>
      <c r="J207" s="76"/>
      <c r="K207" s="76"/>
      <c r="L207" s="79" t="str">
        <f aca="false">IF(B207="","",IF($G207="NON",0,IF(COUNT(H207:K207)=0,"",SUM(H207:K207))))</f>
        <v/>
      </c>
      <c r="M207" s="77" t="str">
        <f aca="false">IF(B207="","",IF($G207="NON",0,IF(COUNT(H207:K207)=0,"",IFERROR(ROUND(SUM(H207:K207)/SUMPRODUCT(ISNUMBER(H207:K207)*$H$8:$K$8)*20,2),""))))</f>
        <v/>
      </c>
      <c r="N207" s="75"/>
      <c r="O207" s="76"/>
      <c r="P207" s="76"/>
      <c r="Q207" s="76"/>
      <c r="R207" s="76"/>
      <c r="S207" s="79" t="str">
        <f aca="false">IF(B207="","",IF($N207="NON",0,IF(COUNT(O207:R207)=0,"",SUM(O207:R207))))</f>
        <v/>
      </c>
      <c r="T207" s="77" t="str">
        <f aca="false">IF(B207="","",IF($N207="NON",0,IF(COUNT(O207:R207)=0,"",IFERROR(ROUND(SUM(O207:R207)/SUMPRODUCT(ISNUMBER(O207:R207)*$O$8:$R$8)*20,2),""))))</f>
        <v/>
      </c>
      <c r="U207" s="75"/>
      <c r="V207" s="76"/>
      <c r="W207" s="76"/>
      <c r="X207" s="76"/>
      <c r="Y207" s="76"/>
      <c r="Z207" s="76"/>
      <c r="AA207" s="79" t="str">
        <f aca="false">IF(B207="","",IF($U207="NON",0,IF(COUNT(V207:Z207)=0,"",SUM(V207:Z207))))</f>
        <v/>
      </c>
      <c r="AB207" s="77" t="str">
        <f aca="false">IF(B207="","",IF($U207="NON",0,IF(COUNT(V207:Z207)=0,"",IFERROR(ROUND(SUM(V207:Z207)/SUMPRODUCT(ISNUMBER(V207:Z207)*$V$8:$Z$8)*20,2),""))))</f>
        <v/>
      </c>
      <c r="AC207" s="75"/>
      <c r="AD207" s="76"/>
      <c r="AE207" s="76"/>
      <c r="AF207" s="76"/>
      <c r="AG207" s="76"/>
      <c r="AH207" s="76"/>
      <c r="AI207" s="79" t="str">
        <f aca="false">IF(B207="","",IF($AC207="NON",0,IF(COUNT(AD207:AH207)=0,"",SUM(AD207:AH207))))</f>
        <v/>
      </c>
      <c r="AJ207" s="77" t="str">
        <f aca="false">IF(B207="","",IF($AC207="NON",0,IF(COUNT(AD207:AH207)=0,"",IFERROR(ROUND(SUM(AD207:AH207)/SUMPRODUCT(ISNUMBER(AD207:AH207)*$AD$8:$AH$8)*20,2),""))))</f>
        <v/>
      </c>
      <c r="AK207" s="51" t="str">
        <f aca="false">IFERROR(MATCH("CM2-198",'REGISTRE ELEVES'!$AI$10:$AI$250,0),"")</f>
        <v/>
      </c>
    </row>
    <row r="208" customFormat="false" ht="15" hidden="false" customHeight="false" outlineLevel="0" collapsed="false">
      <c r="A208" s="73" t="str">
        <f aca="false">IF(B208="","",199)</f>
        <v/>
      </c>
      <c r="B208" s="73" t="str">
        <f aca="false">IF($AK208="","",INDEX('REGISTRE ELEVES'!$B$10:$B$250,$AK208))</f>
        <v/>
      </c>
      <c r="C208" s="74" t="str">
        <f aca="false">IF($AK208="","",INDEX('REGISTRE ELEVES'!$D$10:$D$250,$AK208))</f>
        <v/>
      </c>
      <c r="D208" s="73" t="str">
        <f aca="false">IF($AK208="","",INDEX('REGISTRE ELEVES'!$E$10:$E$250,$AK208))</f>
        <v/>
      </c>
      <c r="E208" s="73" t="str">
        <f aca="false">IF($AK208="","",INDEX('REGISTRE ELEVES'!$F$10:$F$250,$AK208))</f>
        <v/>
      </c>
      <c r="F208" s="73" t="str">
        <f aca="false">IF($AK208="","",INDEX('REGISTRE ELEVES'!$AE$10:$AE$250,$AK208))</f>
        <v/>
      </c>
      <c r="G208" s="75"/>
      <c r="H208" s="76"/>
      <c r="I208" s="76"/>
      <c r="J208" s="76"/>
      <c r="K208" s="76"/>
      <c r="L208" s="79" t="str">
        <f aca="false">IF(B208="","",IF($G208="NON",0,IF(COUNT(H208:K208)=0,"",SUM(H208:K208))))</f>
        <v/>
      </c>
      <c r="M208" s="77" t="str">
        <f aca="false">IF(B208="","",IF($G208="NON",0,IF(COUNT(H208:K208)=0,"",IFERROR(ROUND(SUM(H208:K208)/SUMPRODUCT(ISNUMBER(H208:K208)*$H$8:$K$8)*20,2),""))))</f>
        <v/>
      </c>
      <c r="N208" s="75"/>
      <c r="O208" s="76"/>
      <c r="P208" s="76"/>
      <c r="Q208" s="76"/>
      <c r="R208" s="76"/>
      <c r="S208" s="79" t="str">
        <f aca="false">IF(B208="","",IF($N208="NON",0,IF(COUNT(O208:R208)=0,"",SUM(O208:R208))))</f>
        <v/>
      </c>
      <c r="T208" s="77" t="str">
        <f aca="false">IF(B208="","",IF($N208="NON",0,IF(COUNT(O208:R208)=0,"",IFERROR(ROUND(SUM(O208:R208)/SUMPRODUCT(ISNUMBER(O208:R208)*$O$8:$R$8)*20,2),""))))</f>
        <v/>
      </c>
      <c r="U208" s="75"/>
      <c r="V208" s="76"/>
      <c r="W208" s="76"/>
      <c r="X208" s="76"/>
      <c r="Y208" s="76"/>
      <c r="Z208" s="76"/>
      <c r="AA208" s="79" t="str">
        <f aca="false">IF(B208="","",IF($U208="NON",0,IF(COUNT(V208:Z208)=0,"",SUM(V208:Z208))))</f>
        <v/>
      </c>
      <c r="AB208" s="77" t="str">
        <f aca="false">IF(B208="","",IF($U208="NON",0,IF(COUNT(V208:Z208)=0,"",IFERROR(ROUND(SUM(V208:Z208)/SUMPRODUCT(ISNUMBER(V208:Z208)*$V$8:$Z$8)*20,2),""))))</f>
        <v/>
      </c>
      <c r="AC208" s="75"/>
      <c r="AD208" s="76"/>
      <c r="AE208" s="76"/>
      <c r="AF208" s="76"/>
      <c r="AG208" s="76"/>
      <c r="AH208" s="76"/>
      <c r="AI208" s="79" t="str">
        <f aca="false">IF(B208="","",IF($AC208="NON",0,IF(COUNT(AD208:AH208)=0,"",SUM(AD208:AH208))))</f>
        <v/>
      </c>
      <c r="AJ208" s="77" t="str">
        <f aca="false">IF(B208="","",IF($AC208="NON",0,IF(COUNT(AD208:AH208)=0,"",IFERROR(ROUND(SUM(AD208:AH208)/SUMPRODUCT(ISNUMBER(AD208:AH208)*$AD$8:$AH$8)*20,2),""))))</f>
        <v/>
      </c>
      <c r="AK208" s="51" t="str">
        <f aca="false">IFERROR(MATCH("CM2-199",'REGISTRE ELEVES'!$AI$10:$AI$250,0),"")</f>
        <v/>
      </c>
    </row>
    <row r="209" customFormat="false" ht="15" hidden="false" customHeight="false" outlineLevel="0" collapsed="false">
      <c r="A209" s="73" t="str">
        <f aca="false">IF(B209="","",200)</f>
        <v/>
      </c>
      <c r="B209" s="73" t="str">
        <f aca="false">IF($AK209="","",INDEX('REGISTRE ELEVES'!$B$10:$B$250,$AK209))</f>
        <v/>
      </c>
      <c r="C209" s="74" t="str">
        <f aca="false">IF($AK209="","",INDEX('REGISTRE ELEVES'!$D$10:$D$250,$AK209))</f>
        <v/>
      </c>
      <c r="D209" s="73" t="str">
        <f aca="false">IF($AK209="","",INDEX('REGISTRE ELEVES'!$E$10:$E$250,$AK209))</f>
        <v/>
      </c>
      <c r="E209" s="73" t="str">
        <f aca="false">IF($AK209="","",INDEX('REGISTRE ELEVES'!$F$10:$F$250,$AK209))</f>
        <v/>
      </c>
      <c r="F209" s="73" t="str">
        <f aca="false">IF($AK209="","",INDEX('REGISTRE ELEVES'!$AE$10:$AE$250,$AK209))</f>
        <v/>
      </c>
      <c r="G209" s="75"/>
      <c r="H209" s="76"/>
      <c r="I209" s="76"/>
      <c r="J209" s="76"/>
      <c r="K209" s="76"/>
      <c r="L209" s="79" t="str">
        <f aca="false">IF(B209="","",IF($G209="NON",0,IF(COUNT(H209:K209)=0,"",SUM(H209:K209))))</f>
        <v/>
      </c>
      <c r="M209" s="77" t="str">
        <f aca="false">IF(B209="","",IF($G209="NON",0,IF(COUNT(H209:K209)=0,"",IFERROR(ROUND(SUM(H209:K209)/SUMPRODUCT(ISNUMBER(H209:K209)*$H$8:$K$8)*20,2),""))))</f>
        <v/>
      </c>
      <c r="N209" s="75"/>
      <c r="O209" s="76"/>
      <c r="P209" s="76"/>
      <c r="Q209" s="76"/>
      <c r="R209" s="76"/>
      <c r="S209" s="79" t="str">
        <f aca="false">IF(B209="","",IF($N209="NON",0,IF(COUNT(O209:R209)=0,"",SUM(O209:R209))))</f>
        <v/>
      </c>
      <c r="T209" s="77" t="str">
        <f aca="false">IF(B209="","",IF($N209="NON",0,IF(COUNT(O209:R209)=0,"",IFERROR(ROUND(SUM(O209:R209)/SUMPRODUCT(ISNUMBER(O209:R209)*$O$8:$R$8)*20,2),""))))</f>
        <v/>
      </c>
      <c r="U209" s="75"/>
      <c r="V209" s="76"/>
      <c r="W209" s="76"/>
      <c r="X209" s="76"/>
      <c r="Y209" s="76"/>
      <c r="Z209" s="76"/>
      <c r="AA209" s="79" t="str">
        <f aca="false">IF(B209="","",IF($U209="NON",0,IF(COUNT(V209:Z209)=0,"",SUM(V209:Z209))))</f>
        <v/>
      </c>
      <c r="AB209" s="77" t="str">
        <f aca="false">IF(B209="","",IF($U209="NON",0,IF(COUNT(V209:Z209)=0,"",IFERROR(ROUND(SUM(V209:Z209)/SUMPRODUCT(ISNUMBER(V209:Z209)*$V$8:$Z$8)*20,2),""))))</f>
        <v/>
      </c>
      <c r="AC209" s="75"/>
      <c r="AD209" s="76"/>
      <c r="AE209" s="76"/>
      <c r="AF209" s="76"/>
      <c r="AG209" s="76"/>
      <c r="AH209" s="76"/>
      <c r="AI209" s="79" t="str">
        <f aca="false">IF(B209="","",IF($AC209="NON",0,IF(COUNT(AD209:AH209)=0,"",SUM(AD209:AH209))))</f>
        <v/>
      </c>
      <c r="AJ209" s="77" t="str">
        <f aca="false">IF(B209="","",IF($AC209="NON",0,IF(COUNT(AD209:AH209)=0,"",IFERROR(ROUND(SUM(AD209:AH209)/SUMPRODUCT(ISNUMBER(AD209:AH209)*$AD$8:$AH$8)*20,2),""))))</f>
        <v/>
      </c>
      <c r="AK209" s="51" t="str">
        <f aca="false">IFERROR(MATCH("CM2-200",'REGISTRE ELEVES'!$AI$10:$AI$250,0),"")</f>
        <v/>
      </c>
    </row>
    <row r="210" customFormat="false" ht="15" hidden="false" customHeight="false" outlineLevel="0" collapsed="false">
      <c r="A210" s="73" t="str">
        <f aca="false">IF(B210="","",201)</f>
        <v/>
      </c>
      <c r="B210" s="73" t="str">
        <f aca="false">IF($AK210="","",INDEX('REGISTRE ELEVES'!$B$10:$B$250,$AK210))</f>
        <v/>
      </c>
      <c r="C210" s="74" t="str">
        <f aca="false">IF($AK210="","",INDEX('REGISTRE ELEVES'!$D$10:$D$250,$AK210))</f>
        <v/>
      </c>
      <c r="D210" s="73" t="str">
        <f aca="false">IF($AK210="","",INDEX('REGISTRE ELEVES'!$E$10:$E$250,$AK210))</f>
        <v/>
      </c>
      <c r="E210" s="73" t="str">
        <f aca="false">IF($AK210="","",INDEX('REGISTRE ELEVES'!$F$10:$F$250,$AK210))</f>
        <v/>
      </c>
      <c r="F210" s="73" t="str">
        <f aca="false">IF($AK210="","",INDEX('REGISTRE ELEVES'!$AE$10:$AE$250,$AK210))</f>
        <v/>
      </c>
      <c r="G210" s="75"/>
      <c r="H210" s="76"/>
      <c r="I210" s="76"/>
      <c r="J210" s="76"/>
      <c r="K210" s="76"/>
      <c r="L210" s="79" t="str">
        <f aca="false">IF(B210="","",IF($G210="NON",0,IF(COUNT(H210:K210)=0,"",SUM(H210:K210))))</f>
        <v/>
      </c>
      <c r="M210" s="77" t="str">
        <f aca="false">IF(B210="","",IF($G210="NON",0,IF(COUNT(H210:K210)=0,"",IFERROR(ROUND(SUM(H210:K210)/SUMPRODUCT(ISNUMBER(H210:K210)*$H$8:$K$8)*20,2),""))))</f>
        <v/>
      </c>
      <c r="N210" s="75"/>
      <c r="O210" s="76"/>
      <c r="P210" s="76"/>
      <c r="Q210" s="76"/>
      <c r="R210" s="76"/>
      <c r="S210" s="79" t="str">
        <f aca="false">IF(B210="","",IF($N210="NON",0,IF(COUNT(O210:R210)=0,"",SUM(O210:R210))))</f>
        <v/>
      </c>
      <c r="T210" s="77" t="str">
        <f aca="false">IF(B210="","",IF($N210="NON",0,IF(COUNT(O210:R210)=0,"",IFERROR(ROUND(SUM(O210:R210)/SUMPRODUCT(ISNUMBER(O210:R210)*$O$8:$R$8)*20,2),""))))</f>
        <v/>
      </c>
      <c r="U210" s="75"/>
      <c r="V210" s="76"/>
      <c r="W210" s="76"/>
      <c r="X210" s="76"/>
      <c r="Y210" s="76"/>
      <c r="Z210" s="76"/>
      <c r="AA210" s="79" t="str">
        <f aca="false">IF(B210="","",IF($U210="NON",0,IF(COUNT(V210:Z210)=0,"",SUM(V210:Z210))))</f>
        <v/>
      </c>
      <c r="AB210" s="77" t="str">
        <f aca="false">IF(B210="","",IF($U210="NON",0,IF(COUNT(V210:Z210)=0,"",IFERROR(ROUND(SUM(V210:Z210)/SUMPRODUCT(ISNUMBER(V210:Z210)*$V$8:$Z$8)*20,2),""))))</f>
        <v/>
      </c>
      <c r="AC210" s="75"/>
      <c r="AD210" s="76"/>
      <c r="AE210" s="76"/>
      <c r="AF210" s="76"/>
      <c r="AG210" s="76"/>
      <c r="AH210" s="76"/>
      <c r="AI210" s="79" t="str">
        <f aca="false">IF(B210="","",IF($AC210="NON",0,IF(COUNT(AD210:AH210)=0,"",SUM(AD210:AH210))))</f>
        <v/>
      </c>
      <c r="AJ210" s="77" t="str">
        <f aca="false">IF(B210="","",IF($AC210="NON",0,IF(COUNT(AD210:AH210)=0,"",IFERROR(ROUND(SUM(AD210:AH210)/SUMPRODUCT(ISNUMBER(AD210:AH210)*$AD$8:$AH$8)*20,2),""))))</f>
        <v/>
      </c>
      <c r="AK210" s="51" t="str">
        <f aca="false">IFERROR(MATCH("CM2-201",'REGISTRE ELEVES'!$AI$10:$AI$250,0),"")</f>
        <v/>
      </c>
    </row>
    <row r="211" customFormat="false" ht="15" hidden="false" customHeight="false" outlineLevel="0" collapsed="false">
      <c r="A211" s="73" t="str">
        <f aca="false">IF(B211="","",202)</f>
        <v/>
      </c>
      <c r="B211" s="73" t="str">
        <f aca="false">IF($AK211="","",INDEX('REGISTRE ELEVES'!$B$10:$B$250,$AK211))</f>
        <v/>
      </c>
      <c r="C211" s="74" t="str">
        <f aca="false">IF($AK211="","",INDEX('REGISTRE ELEVES'!$D$10:$D$250,$AK211))</f>
        <v/>
      </c>
      <c r="D211" s="73" t="str">
        <f aca="false">IF($AK211="","",INDEX('REGISTRE ELEVES'!$E$10:$E$250,$AK211))</f>
        <v/>
      </c>
      <c r="E211" s="73" t="str">
        <f aca="false">IF($AK211="","",INDEX('REGISTRE ELEVES'!$F$10:$F$250,$AK211))</f>
        <v/>
      </c>
      <c r="F211" s="73" t="str">
        <f aca="false">IF($AK211="","",INDEX('REGISTRE ELEVES'!$AE$10:$AE$250,$AK211))</f>
        <v/>
      </c>
      <c r="G211" s="75"/>
      <c r="H211" s="76"/>
      <c r="I211" s="76"/>
      <c r="J211" s="76"/>
      <c r="K211" s="76"/>
      <c r="L211" s="79" t="str">
        <f aca="false">IF(B211="","",IF($G211="NON",0,IF(COUNT(H211:K211)=0,"",SUM(H211:K211))))</f>
        <v/>
      </c>
      <c r="M211" s="77" t="str">
        <f aca="false">IF(B211="","",IF($G211="NON",0,IF(COUNT(H211:K211)=0,"",IFERROR(ROUND(SUM(H211:K211)/SUMPRODUCT(ISNUMBER(H211:K211)*$H$8:$K$8)*20,2),""))))</f>
        <v/>
      </c>
      <c r="N211" s="75"/>
      <c r="O211" s="76"/>
      <c r="P211" s="76"/>
      <c r="Q211" s="76"/>
      <c r="R211" s="76"/>
      <c r="S211" s="79" t="str">
        <f aca="false">IF(B211="","",IF($N211="NON",0,IF(COUNT(O211:R211)=0,"",SUM(O211:R211))))</f>
        <v/>
      </c>
      <c r="T211" s="77" t="str">
        <f aca="false">IF(B211="","",IF($N211="NON",0,IF(COUNT(O211:R211)=0,"",IFERROR(ROUND(SUM(O211:R211)/SUMPRODUCT(ISNUMBER(O211:R211)*$O$8:$R$8)*20,2),""))))</f>
        <v/>
      </c>
      <c r="U211" s="75"/>
      <c r="V211" s="76"/>
      <c r="W211" s="76"/>
      <c r="X211" s="76"/>
      <c r="Y211" s="76"/>
      <c r="Z211" s="76"/>
      <c r="AA211" s="79" t="str">
        <f aca="false">IF(B211="","",IF($U211="NON",0,IF(COUNT(V211:Z211)=0,"",SUM(V211:Z211))))</f>
        <v/>
      </c>
      <c r="AB211" s="77" t="str">
        <f aca="false">IF(B211="","",IF($U211="NON",0,IF(COUNT(V211:Z211)=0,"",IFERROR(ROUND(SUM(V211:Z211)/SUMPRODUCT(ISNUMBER(V211:Z211)*$V$8:$Z$8)*20,2),""))))</f>
        <v/>
      </c>
      <c r="AC211" s="75"/>
      <c r="AD211" s="76"/>
      <c r="AE211" s="76"/>
      <c r="AF211" s="76"/>
      <c r="AG211" s="76"/>
      <c r="AH211" s="76"/>
      <c r="AI211" s="79" t="str">
        <f aca="false">IF(B211="","",IF($AC211="NON",0,IF(COUNT(AD211:AH211)=0,"",SUM(AD211:AH211))))</f>
        <v/>
      </c>
      <c r="AJ211" s="77" t="str">
        <f aca="false">IF(B211="","",IF($AC211="NON",0,IF(COUNT(AD211:AH211)=0,"",IFERROR(ROUND(SUM(AD211:AH211)/SUMPRODUCT(ISNUMBER(AD211:AH211)*$AD$8:$AH$8)*20,2),""))))</f>
        <v/>
      </c>
      <c r="AK211" s="51" t="str">
        <f aca="false">IFERROR(MATCH("CM2-202",'REGISTRE ELEVES'!$AI$10:$AI$250,0),"")</f>
        <v/>
      </c>
    </row>
    <row r="212" customFormat="false" ht="15" hidden="false" customHeight="false" outlineLevel="0" collapsed="false">
      <c r="A212" s="73" t="str">
        <f aca="false">IF(B212="","",203)</f>
        <v/>
      </c>
      <c r="B212" s="73" t="str">
        <f aca="false">IF($AK212="","",INDEX('REGISTRE ELEVES'!$B$10:$B$250,$AK212))</f>
        <v/>
      </c>
      <c r="C212" s="74" t="str">
        <f aca="false">IF($AK212="","",INDEX('REGISTRE ELEVES'!$D$10:$D$250,$AK212))</f>
        <v/>
      </c>
      <c r="D212" s="73" t="str">
        <f aca="false">IF($AK212="","",INDEX('REGISTRE ELEVES'!$E$10:$E$250,$AK212))</f>
        <v/>
      </c>
      <c r="E212" s="73" t="str">
        <f aca="false">IF($AK212="","",INDEX('REGISTRE ELEVES'!$F$10:$F$250,$AK212))</f>
        <v/>
      </c>
      <c r="F212" s="73" t="str">
        <f aca="false">IF($AK212="","",INDEX('REGISTRE ELEVES'!$AE$10:$AE$250,$AK212))</f>
        <v/>
      </c>
      <c r="G212" s="75"/>
      <c r="H212" s="76"/>
      <c r="I212" s="76"/>
      <c r="J212" s="76"/>
      <c r="K212" s="76"/>
      <c r="L212" s="79" t="str">
        <f aca="false">IF(B212="","",IF($G212="NON",0,IF(COUNT(H212:K212)=0,"",SUM(H212:K212))))</f>
        <v/>
      </c>
      <c r="M212" s="77" t="str">
        <f aca="false">IF(B212="","",IF($G212="NON",0,IF(COUNT(H212:K212)=0,"",IFERROR(ROUND(SUM(H212:K212)/SUMPRODUCT(ISNUMBER(H212:K212)*$H$8:$K$8)*20,2),""))))</f>
        <v/>
      </c>
      <c r="N212" s="75"/>
      <c r="O212" s="76"/>
      <c r="P212" s="76"/>
      <c r="Q212" s="76"/>
      <c r="R212" s="76"/>
      <c r="S212" s="79" t="str">
        <f aca="false">IF(B212="","",IF($N212="NON",0,IF(COUNT(O212:R212)=0,"",SUM(O212:R212))))</f>
        <v/>
      </c>
      <c r="T212" s="77" t="str">
        <f aca="false">IF(B212="","",IF($N212="NON",0,IF(COUNT(O212:R212)=0,"",IFERROR(ROUND(SUM(O212:R212)/SUMPRODUCT(ISNUMBER(O212:R212)*$O$8:$R$8)*20,2),""))))</f>
        <v/>
      </c>
      <c r="U212" s="75"/>
      <c r="V212" s="76"/>
      <c r="W212" s="76"/>
      <c r="X212" s="76"/>
      <c r="Y212" s="76"/>
      <c r="Z212" s="76"/>
      <c r="AA212" s="79" t="str">
        <f aca="false">IF(B212="","",IF($U212="NON",0,IF(COUNT(V212:Z212)=0,"",SUM(V212:Z212))))</f>
        <v/>
      </c>
      <c r="AB212" s="77" t="str">
        <f aca="false">IF(B212="","",IF($U212="NON",0,IF(COUNT(V212:Z212)=0,"",IFERROR(ROUND(SUM(V212:Z212)/SUMPRODUCT(ISNUMBER(V212:Z212)*$V$8:$Z$8)*20,2),""))))</f>
        <v/>
      </c>
      <c r="AC212" s="75"/>
      <c r="AD212" s="76"/>
      <c r="AE212" s="76"/>
      <c r="AF212" s="76"/>
      <c r="AG212" s="76"/>
      <c r="AH212" s="76"/>
      <c r="AI212" s="79" t="str">
        <f aca="false">IF(B212="","",IF($AC212="NON",0,IF(COUNT(AD212:AH212)=0,"",SUM(AD212:AH212))))</f>
        <v/>
      </c>
      <c r="AJ212" s="77" t="str">
        <f aca="false">IF(B212="","",IF($AC212="NON",0,IF(COUNT(AD212:AH212)=0,"",IFERROR(ROUND(SUM(AD212:AH212)/SUMPRODUCT(ISNUMBER(AD212:AH212)*$AD$8:$AH$8)*20,2),""))))</f>
        <v/>
      </c>
      <c r="AK212" s="51" t="str">
        <f aca="false">IFERROR(MATCH("CM2-203",'REGISTRE ELEVES'!$AI$10:$AI$250,0),"")</f>
        <v/>
      </c>
    </row>
    <row r="213" customFormat="false" ht="15" hidden="false" customHeight="false" outlineLevel="0" collapsed="false">
      <c r="A213" s="73" t="str">
        <f aca="false">IF(B213="","",204)</f>
        <v/>
      </c>
      <c r="B213" s="73" t="str">
        <f aca="false">IF($AK213="","",INDEX('REGISTRE ELEVES'!$B$10:$B$250,$AK213))</f>
        <v/>
      </c>
      <c r="C213" s="74" t="str">
        <f aca="false">IF($AK213="","",INDEX('REGISTRE ELEVES'!$D$10:$D$250,$AK213))</f>
        <v/>
      </c>
      <c r="D213" s="73" t="str">
        <f aca="false">IF($AK213="","",INDEX('REGISTRE ELEVES'!$E$10:$E$250,$AK213))</f>
        <v/>
      </c>
      <c r="E213" s="73" t="str">
        <f aca="false">IF($AK213="","",INDEX('REGISTRE ELEVES'!$F$10:$F$250,$AK213))</f>
        <v/>
      </c>
      <c r="F213" s="73" t="str">
        <f aca="false">IF($AK213="","",INDEX('REGISTRE ELEVES'!$AE$10:$AE$250,$AK213))</f>
        <v/>
      </c>
      <c r="G213" s="75"/>
      <c r="H213" s="76"/>
      <c r="I213" s="76"/>
      <c r="J213" s="76"/>
      <c r="K213" s="76"/>
      <c r="L213" s="79" t="str">
        <f aca="false">IF(B213="","",IF($G213="NON",0,IF(COUNT(H213:K213)=0,"",SUM(H213:K213))))</f>
        <v/>
      </c>
      <c r="M213" s="77" t="str">
        <f aca="false">IF(B213="","",IF($G213="NON",0,IF(COUNT(H213:K213)=0,"",IFERROR(ROUND(SUM(H213:K213)/SUMPRODUCT(ISNUMBER(H213:K213)*$H$8:$K$8)*20,2),""))))</f>
        <v/>
      </c>
      <c r="N213" s="75"/>
      <c r="O213" s="76"/>
      <c r="P213" s="76"/>
      <c r="Q213" s="76"/>
      <c r="R213" s="76"/>
      <c r="S213" s="79" t="str">
        <f aca="false">IF(B213="","",IF($N213="NON",0,IF(COUNT(O213:R213)=0,"",SUM(O213:R213))))</f>
        <v/>
      </c>
      <c r="T213" s="77" t="str">
        <f aca="false">IF(B213="","",IF($N213="NON",0,IF(COUNT(O213:R213)=0,"",IFERROR(ROUND(SUM(O213:R213)/SUMPRODUCT(ISNUMBER(O213:R213)*$O$8:$R$8)*20,2),""))))</f>
        <v/>
      </c>
      <c r="U213" s="75"/>
      <c r="V213" s="76"/>
      <c r="W213" s="76"/>
      <c r="X213" s="76"/>
      <c r="Y213" s="76"/>
      <c r="Z213" s="76"/>
      <c r="AA213" s="79" t="str">
        <f aca="false">IF(B213="","",IF($U213="NON",0,IF(COUNT(V213:Z213)=0,"",SUM(V213:Z213))))</f>
        <v/>
      </c>
      <c r="AB213" s="77" t="str">
        <f aca="false">IF(B213="","",IF($U213="NON",0,IF(COUNT(V213:Z213)=0,"",IFERROR(ROUND(SUM(V213:Z213)/SUMPRODUCT(ISNUMBER(V213:Z213)*$V$8:$Z$8)*20,2),""))))</f>
        <v/>
      </c>
      <c r="AC213" s="75"/>
      <c r="AD213" s="76"/>
      <c r="AE213" s="76"/>
      <c r="AF213" s="76"/>
      <c r="AG213" s="76"/>
      <c r="AH213" s="76"/>
      <c r="AI213" s="79" t="str">
        <f aca="false">IF(B213="","",IF($AC213="NON",0,IF(COUNT(AD213:AH213)=0,"",SUM(AD213:AH213))))</f>
        <v/>
      </c>
      <c r="AJ213" s="77" t="str">
        <f aca="false">IF(B213="","",IF($AC213="NON",0,IF(COUNT(AD213:AH213)=0,"",IFERROR(ROUND(SUM(AD213:AH213)/SUMPRODUCT(ISNUMBER(AD213:AH213)*$AD$8:$AH$8)*20,2),""))))</f>
        <v/>
      </c>
      <c r="AK213" s="51" t="str">
        <f aca="false">IFERROR(MATCH("CM2-204",'REGISTRE ELEVES'!$AI$10:$AI$250,0),"")</f>
        <v/>
      </c>
    </row>
    <row r="214" customFormat="false" ht="15" hidden="false" customHeight="false" outlineLevel="0" collapsed="false">
      <c r="A214" s="73" t="str">
        <f aca="false">IF(B214="","",205)</f>
        <v/>
      </c>
      <c r="B214" s="73" t="str">
        <f aca="false">IF($AK214="","",INDEX('REGISTRE ELEVES'!$B$10:$B$250,$AK214))</f>
        <v/>
      </c>
      <c r="C214" s="74" t="str">
        <f aca="false">IF($AK214="","",INDEX('REGISTRE ELEVES'!$D$10:$D$250,$AK214))</f>
        <v/>
      </c>
      <c r="D214" s="73" t="str">
        <f aca="false">IF($AK214="","",INDEX('REGISTRE ELEVES'!$E$10:$E$250,$AK214))</f>
        <v/>
      </c>
      <c r="E214" s="73" t="str">
        <f aca="false">IF($AK214="","",INDEX('REGISTRE ELEVES'!$F$10:$F$250,$AK214))</f>
        <v/>
      </c>
      <c r="F214" s="73" t="str">
        <f aca="false">IF($AK214="","",INDEX('REGISTRE ELEVES'!$AE$10:$AE$250,$AK214))</f>
        <v/>
      </c>
      <c r="G214" s="75"/>
      <c r="H214" s="76"/>
      <c r="I214" s="76"/>
      <c r="J214" s="76"/>
      <c r="K214" s="76"/>
      <c r="L214" s="79" t="str">
        <f aca="false">IF(B214="","",IF($G214="NON",0,IF(COUNT(H214:K214)=0,"",SUM(H214:K214))))</f>
        <v/>
      </c>
      <c r="M214" s="77" t="str">
        <f aca="false">IF(B214="","",IF($G214="NON",0,IF(COUNT(H214:K214)=0,"",IFERROR(ROUND(SUM(H214:K214)/SUMPRODUCT(ISNUMBER(H214:K214)*$H$8:$K$8)*20,2),""))))</f>
        <v/>
      </c>
      <c r="N214" s="75"/>
      <c r="O214" s="76"/>
      <c r="P214" s="76"/>
      <c r="Q214" s="76"/>
      <c r="R214" s="76"/>
      <c r="S214" s="79" t="str">
        <f aca="false">IF(B214="","",IF($N214="NON",0,IF(COUNT(O214:R214)=0,"",SUM(O214:R214))))</f>
        <v/>
      </c>
      <c r="T214" s="77" t="str">
        <f aca="false">IF(B214="","",IF($N214="NON",0,IF(COUNT(O214:R214)=0,"",IFERROR(ROUND(SUM(O214:R214)/SUMPRODUCT(ISNUMBER(O214:R214)*$O$8:$R$8)*20,2),""))))</f>
        <v/>
      </c>
      <c r="U214" s="75"/>
      <c r="V214" s="76"/>
      <c r="W214" s="76"/>
      <c r="X214" s="76"/>
      <c r="Y214" s="76"/>
      <c r="Z214" s="76"/>
      <c r="AA214" s="79" t="str">
        <f aca="false">IF(B214="","",IF($U214="NON",0,IF(COUNT(V214:Z214)=0,"",SUM(V214:Z214))))</f>
        <v/>
      </c>
      <c r="AB214" s="77" t="str">
        <f aca="false">IF(B214="","",IF($U214="NON",0,IF(COUNT(V214:Z214)=0,"",IFERROR(ROUND(SUM(V214:Z214)/SUMPRODUCT(ISNUMBER(V214:Z214)*$V$8:$Z$8)*20,2),""))))</f>
        <v/>
      </c>
      <c r="AC214" s="75"/>
      <c r="AD214" s="76"/>
      <c r="AE214" s="76"/>
      <c r="AF214" s="76"/>
      <c r="AG214" s="76"/>
      <c r="AH214" s="76"/>
      <c r="AI214" s="79" t="str">
        <f aca="false">IF(B214="","",IF($AC214="NON",0,IF(COUNT(AD214:AH214)=0,"",SUM(AD214:AH214))))</f>
        <v/>
      </c>
      <c r="AJ214" s="77" t="str">
        <f aca="false">IF(B214="","",IF($AC214="NON",0,IF(COUNT(AD214:AH214)=0,"",IFERROR(ROUND(SUM(AD214:AH214)/SUMPRODUCT(ISNUMBER(AD214:AH214)*$AD$8:$AH$8)*20,2),""))))</f>
        <v/>
      </c>
      <c r="AK214" s="51" t="str">
        <f aca="false">IFERROR(MATCH("CM2-205",'REGISTRE ELEVES'!$AI$10:$AI$250,0),"")</f>
        <v/>
      </c>
    </row>
    <row r="215" customFormat="false" ht="15" hidden="false" customHeight="false" outlineLevel="0" collapsed="false">
      <c r="A215" s="73" t="str">
        <f aca="false">IF(B215="","",206)</f>
        <v/>
      </c>
      <c r="B215" s="73" t="str">
        <f aca="false">IF($AK215="","",INDEX('REGISTRE ELEVES'!$B$10:$B$250,$AK215))</f>
        <v/>
      </c>
      <c r="C215" s="74" t="str">
        <f aca="false">IF($AK215="","",INDEX('REGISTRE ELEVES'!$D$10:$D$250,$AK215))</f>
        <v/>
      </c>
      <c r="D215" s="73" t="str">
        <f aca="false">IF($AK215="","",INDEX('REGISTRE ELEVES'!$E$10:$E$250,$AK215))</f>
        <v/>
      </c>
      <c r="E215" s="73" t="str">
        <f aca="false">IF($AK215="","",INDEX('REGISTRE ELEVES'!$F$10:$F$250,$AK215))</f>
        <v/>
      </c>
      <c r="F215" s="73" t="str">
        <f aca="false">IF($AK215="","",INDEX('REGISTRE ELEVES'!$AE$10:$AE$250,$AK215))</f>
        <v/>
      </c>
      <c r="G215" s="75"/>
      <c r="H215" s="76"/>
      <c r="I215" s="76"/>
      <c r="J215" s="76"/>
      <c r="K215" s="76"/>
      <c r="L215" s="79" t="str">
        <f aca="false">IF(B215="","",IF($G215="NON",0,IF(COUNT(H215:K215)=0,"",SUM(H215:K215))))</f>
        <v/>
      </c>
      <c r="M215" s="77" t="str">
        <f aca="false">IF(B215="","",IF($G215="NON",0,IF(COUNT(H215:K215)=0,"",IFERROR(ROUND(SUM(H215:K215)/SUMPRODUCT(ISNUMBER(H215:K215)*$H$8:$K$8)*20,2),""))))</f>
        <v/>
      </c>
      <c r="N215" s="75"/>
      <c r="O215" s="76"/>
      <c r="P215" s="76"/>
      <c r="Q215" s="76"/>
      <c r="R215" s="76"/>
      <c r="S215" s="79" t="str">
        <f aca="false">IF(B215="","",IF($N215="NON",0,IF(COUNT(O215:R215)=0,"",SUM(O215:R215))))</f>
        <v/>
      </c>
      <c r="T215" s="77" t="str">
        <f aca="false">IF(B215="","",IF($N215="NON",0,IF(COUNT(O215:R215)=0,"",IFERROR(ROUND(SUM(O215:R215)/SUMPRODUCT(ISNUMBER(O215:R215)*$O$8:$R$8)*20,2),""))))</f>
        <v/>
      </c>
      <c r="U215" s="75"/>
      <c r="V215" s="76"/>
      <c r="W215" s="76"/>
      <c r="X215" s="76"/>
      <c r="Y215" s="76"/>
      <c r="Z215" s="76"/>
      <c r="AA215" s="79" t="str">
        <f aca="false">IF(B215="","",IF($U215="NON",0,IF(COUNT(V215:Z215)=0,"",SUM(V215:Z215))))</f>
        <v/>
      </c>
      <c r="AB215" s="77" t="str">
        <f aca="false">IF(B215="","",IF($U215="NON",0,IF(COUNT(V215:Z215)=0,"",IFERROR(ROUND(SUM(V215:Z215)/SUMPRODUCT(ISNUMBER(V215:Z215)*$V$8:$Z$8)*20,2),""))))</f>
        <v/>
      </c>
      <c r="AC215" s="75"/>
      <c r="AD215" s="76"/>
      <c r="AE215" s="76"/>
      <c r="AF215" s="76"/>
      <c r="AG215" s="76"/>
      <c r="AH215" s="76"/>
      <c r="AI215" s="79" t="str">
        <f aca="false">IF(B215="","",IF($AC215="NON",0,IF(COUNT(AD215:AH215)=0,"",SUM(AD215:AH215))))</f>
        <v/>
      </c>
      <c r="AJ215" s="77" t="str">
        <f aca="false">IF(B215="","",IF($AC215="NON",0,IF(COUNT(AD215:AH215)=0,"",IFERROR(ROUND(SUM(AD215:AH215)/SUMPRODUCT(ISNUMBER(AD215:AH215)*$AD$8:$AH$8)*20,2),""))))</f>
        <v/>
      </c>
      <c r="AK215" s="51" t="str">
        <f aca="false">IFERROR(MATCH("CM2-206",'REGISTRE ELEVES'!$AI$10:$AI$250,0),"")</f>
        <v/>
      </c>
    </row>
    <row r="216" customFormat="false" ht="15" hidden="false" customHeight="false" outlineLevel="0" collapsed="false">
      <c r="A216" s="73" t="str">
        <f aca="false">IF(B216="","",207)</f>
        <v/>
      </c>
      <c r="B216" s="73" t="str">
        <f aca="false">IF($AK216="","",INDEX('REGISTRE ELEVES'!$B$10:$B$250,$AK216))</f>
        <v/>
      </c>
      <c r="C216" s="74" t="str">
        <f aca="false">IF($AK216="","",INDEX('REGISTRE ELEVES'!$D$10:$D$250,$AK216))</f>
        <v/>
      </c>
      <c r="D216" s="73" t="str">
        <f aca="false">IF($AK216="","",INDEX('REGISTRE ELEVES'!$E$10:$E$250,$AK216))</f>
        <v/>
      </c>
      <c r="E216" s="73" t="str">
        <f aca="false">IF($AK216="","",INDEX('REGISTRE ELEVES'!$F$10:$F$250,$AK216))</f>
        <v/>
      </c>
      <c r="F216" s="73" t="str">
        <f aca="false">IF($AK216="","",INDEX('REGISTRE ELEVES'!$AE$10:$AE$250,$AK216))</f>
        <v/>
      </c>
      <c r="G216" s="75"/>
      <c r="H216" s="76"/>
      <c r="I216" s="76"/>
      <c r="J216" s="76"/>
      <c r="K216" s="76"/>
      <c r="L216" s="79" t="str">
        <f aca="false">IF(B216="","",IF($G216="NON",0,IF(COUNT(H216:K216)=0,"",SUM(H216:K216))))</f>
        <v/>
      </c>
      <c r="M216" s="77" t="str">
        <f aca="false">IF(B216="","",IF($G216="NON",0,IF(COUNT(H216:K216)=0,"",IFERROR(ROUND(SUM(H216:K216)/SUMPRODUCT(ISNUMBER(H216:K216)*$H$8:$K$8)*20,2),""))))</f>
        <v/>
      </c>
      <c r="N216" s="75"/>
      <c r="O216" s="76"/>
      <c r="P216" s="76"/>
      <c r="Q216" s="76"/>
      <c r="R216" s="76"/>
      <c r="S216" s="79" t="str">
        <f aca="false">IF(B216="","",IF($N216="NON",0,IF(COUNT(O216:R216)=0,"",SUM(O216:R216))))</f>
        <v/>
      </c>
      <c r="T216" s="77" t="str">
        <f aca="false">IF(B216="","",IF($N216="NON",0,IF(COUNT(O216:R216)=0,"",IFERROR(ROUND(SUM(O216:R216)/SUMPRODUCT(ISNUMBER(O216:R216)*$O$8:$R$8)*20,2),""))))</f>
        <v/>
      </c>
      <c r="U216" s="75"/>
      <c r="V216" s="76"/>
      <c r="W216" s="76"/>
      <c r="X216" s="76"/>
      <c r="Y216" s="76"/>
      <c r="Z216" s="76"/>
      <c r="AA216" s="79" t="str">
        <f aca="false">IF(B216="","",IF($U216="NON",0,IF(COUNT(V216:Z216)=0,"",SUM(V216:Z216))))</f>
        <v/>
      </c>
      <c r="AB216" s="77" t="str">
        <f aca="false">IF(B216="","",IF($U216="NON",0,IF(COUNT(V216:Z216)=0,"",IFERROR(ROUND(SUM(V216:Z216)/SUMPRODUCT(ISNUMBER(V216:Z216)*$V$8:$Z$8)*20,2),""))))</f>
        <v/>
      </c>
      <c r="AC216" s="75"/>
      <c r="AD216" s="76"/>
      <c r="AE216" s="76"/>
      <c r="AF216" s="76"/>
      <c r="AG216" s="76"/>
      <c r="AH216" s="76"/>
      <c r="AI216" s="79" t="str">
        <f aca="false">IF(B216="","",IF($AC216="NON",0,IF(COUNT(AD216:AH216)=0,"",SUM(AD216:AH216))))</f>
        <v/>
      </c>
      <c r="AJ216" s="77" t="str">
        <f aca="false">IF(B216="","",IF($AC216="NON",0,IF(COUNT(AD216:AH216)=0,"",IFERROR(ROUND(SUM(AD216:AH216)/SUMPRODUCT(ISNUMBER(AD216:AH216)*$AD$8:$AH$8)*20,2),""))))</f>
        <v/>
      </c>
      <c r="AK216" s="51" t="str">
        <f aca="false">IFERROR(MATCH("CM2-207",'REGISTRE ELEVES'!$AI$10:$AI$250,0),"")</f>
        <v/>
      </c>
    </row>
    <row r="217" customFormat="false" ht="15" hidden="false" customHeight="false" outlineLevel="0" collapsed="false">
      <c r="A217" s="73" t="str">
        <f aca="false">IF(B217="","",208)</f>
        <v/>
      </c>
      <c r="B217" s="73" t="str">
        <f aca="false">IF($AK217="","",INDEX('REGISTRE ELEVES'!$B$10:$B$250,$AK217))</f>
        <v/>
      </c>
      <c r="C217" s="74" t="str">
        <f aca="false">IF($AK217="","",INDEX('REGISTRE ELEVES'!$D$10:$D$250,$AK217))</f>
        <v/>
      </c>
      <c r="D217" s="73" t="str">
        <f aca="false">IF($AK217="","",INDEX('REGISTRE ELEVES'!$E$10:$E$250,$AK217))</f>
        <v/>
      </c>
      <c r="E217" s="73" t="str">
        <f aca="false">IF($AK217="","",INDEX('REGISTRE ELEVES'!$F$10:$F$250,$AK217))</f>
        <v/>
      </c>
      <c r="F217" s="73" t="str">
        <f aca="false">IF($AK217="","",INDEX('REGISTRE ELEVES'!$AE$10:$AE$250,$AK217))</f>
        <v/>
      </c>
      <c r="G217" s="75"/>
      <c r="H217" s="76"/>
      <c r="I217" s="76"/>
      <c r="J217" s="76"/>
      <c r="K217" s="76"/>
      <c r="L217" s="79" t="str">
        <f aca="false">IF(B217="","",IF($G217="NON",0,IF(COUNT(H217:K217)=0,"",SUM(H217:K217))))</f>
        <v/>
      </c>
      <c r="M217" s="77" t="str">
        <f aca="false">IF(B217="","",IF($G217="NON",0,IF(COUNT(H217:K217)=0,"",IFERROR(ROUND(SUM(H217:K217)/SUMPRODUCT(ISNUMBER(H217:K217)*$H$8:$K$8)*20,2),""))))</f>
        <v/>
      </c>
      <c r="N217" s="75"/>
      <c r="O217" s="76"/>
      <c r="P217" s="76"/>
      <c r="Q217" s="76"/>
      <c r="R217" s="76"/>
      <c r="S217" s="79" t="str">
        <f aca="false">IF(B217="","",IF($N217="NON",0,IF(COUNT(O217:R217)=0,"",SUM(O217:R217))))</f>
        <v/>
      </c>
      <c r="T217" s="77" t="str">
        <f aca="false">IF(B217="","",IF($N217="NON",0,IF(COUNT(O217:R217)=0,"",IFERROR(ROUND(SUM(O217:R217)/SUMPRODUCT(ISNUMBER(O217:R217)*$O$8:$R$8)*20,2),""))))</f>
        <v/>
      </c>
      <c r="U217" s="75"/>
      <c r="V217" s="76"/>
      <c r="W217" s="76"/>
      <c r="X217" s="76"/>
      <c r="Y217" s="76"/>
      <c r="Z217" s="76"/>
      <c r="AA217" s="79" t="str">
        <f aca="false">IF(B217="","",IF($U217="NON",0,IF(COUNT(V217:Z217)=0,"",SUM(V217:Z217))))</f>
        <v/>
      </c>
      <c r="AB217" s="77" t="str">
        <f aca="false">IF(B217="","",IF($U217="NON",0,IF(COUNT(V217:Z217)=0,"",IFERROR(ROUND(SUM(V217:Z217)/SUMPRODUCT(ISNUMBER(V217:Z217)*$V$8:$Z$8)*20,2),""))))</f>
        <v/>
      </c>
      <c r="AC217" s="75"/>
      <c r="AD217" s="76"/>
      <c r="AE217" s="76"/>
      <c r="AF217" s="76"/>
      <c r="AG217" s="76"/>
      <c r="AH217" s="76"/>
      <c r="AI217" s="79" t="str">
        <f aca="false">IF(B217="","",IF($AC217="NON",0,IF(COUNT(AD217:AH217)=0,"",SUM(AD217:AH217))))</f>
        <v/>
      </c>
      <c r="AJ217" s="77" t="str">
        <f aca="false">IF(B217="","",IF($AC217="NON",0,IF(COUNT(AD217:AH217)=0,"",IFERROR(ROUND(SUM(AD217:AH217)/SUMPRODUCT(ISNUMBER(AD217:AH217)*$AD$8:$AH$8)*20,2),""))))</f>
        <v/>
      </c>
      <c r="AK217" s="51" t="str">
        <f aca="false">IFERROR(MATCH("CM2-208",'REGISTRE ELEVES'!$AI$10:$AI$250,0),"")</f>
        <v/>
      </c>
    </row>
    <row r="218" customFormat="false" ht="15" hidden="false" customHeight="false" outlineLevel="0" collapsed="false">
      <c r="A218" s="73" t="str">
        <f aca="false">IF(B218="","",209)</f>
        <v/>
      </c>
      <c r="B218" s="73" t="str">
        <f aca="false">IF($AK218="","",INDEX('REGISTRE ELEVES'!$B$10:$B$250,$AK218))</f>
        <v/>
      </c>
      <c r="C218" s="74" t="str">
        <f aca="false">IF($AK218="","",INDEX('REGISTRE ELEVES'!$D$10:$D$250,$AK218))</f>
        <v/>
      </c>
      <c r="D218" s="73" t="str">
        <f aca="false">IF($AK218="","",INDEX('REGISTRE ELEVES'!$E$10:$E$250,$AK218))</f>
        <v/>
      </c>
      <c r="E218" s="73" t="str">
        <f aca="false">IF($AK218="","",INDEX('REGISTRE ELEVES'!$F$10:$F$250,$AK218))</f>
        <v/>
      </c>
      <c r="F218" s="73" t="str">
        <f aca="false">IF($AK218="","",INDEX('REGISTRE ELEVES'!$AE$10:$AE$250,$AK218))</f>
        <v/>
      </c>
      <c r="G218" s="75"/>
      <c r="H218" s="76"/>
      <c r="I218" s="76"/>
      <c r="J218" s="76"/>
      <c r="K218" s="76"/>
      <c r="L218" s="79" t="str">
        <f aca="false">IF(B218="","",IF($G218="NON",0,IF(COUNT(H218:K218)=0,"",SUM(H218:K218))))</f>
        <v/>
      </c>
      <c r="M218" s="77" t="str">
        <f aca="false">IF(B218="","",IF($G218="NON",0,IF(COUNT(H218:K218)=0,"",IFERROR(ROUND(SUM(H218:K218)/SUMPRODUCT(ISNUMBER(H218:K218)*$H$8:$K$8)*20,2),""))))</f>
        <v/>
      </c>
      <c r="N218" s="75"/>
      <c r="O218" s="76"/>
      <c r="P218" s="76"/>
      <c r="Q218" s="76"/>
      <c r="R218" s="76"/>
      <c r="S218" s="79" t="str">
        <f aca="false">IF(B218="","",IF($N218="NON",0,IF(COUNT(O218:R218)=0,"",SUM(O218:R218))))</f>
        <v/>
      </c>
      <c r="T218" s="77" t="str">
        <f aca="false">IF(B218="","",IF($N218="NON",0,IF(COUNT(O218:R218)=0,"",IFERROR(ROUND(SUM(O218:R218)/SUMPRODUCT(ISNUMBER(O218:R218)*$O$8:$R$8)*20,2),""))))</f>
        <v/>
      </c>
      <c r="U218" s="75"/>
      <c r="V218" s="76"/>
      <c r="W218" s="76"/>
      <c r="X218" s="76"/>
      <c r="Y218" s="76"/>
      <c r="Z218" s="76"/>
      <c r="AA218" s="79" t="str">
        <f aca="false">IF(B218="","",IF($U218="NON",0,IF(COUNT(V218:Z218)=0,"",SUM(V218:Z218))))</f>
        <v/>
      </c>
      <c r="AB218" s="77" t="str">
        <f aca="false">IF(B218="","",IF($U218="NON",0,IF(COUNT(V218:Z218)=0,"",IFERROR(ROUND(SUM(V218:Z218)/SUMPRODUCT(ISNUMBER(V218:Z218)*$V$8:$Z$8)*20,2),""))))</f>
        <v/>
      </c>
      <c r="AC218" s="75"/>
      <c r="AD218" s="76"/>
      <c r="AE218" s="76"/>
      <c r="AF218" s="76"/>
      <c r="AG218" s="76"/>
      <c r="AH218" s="76"/>
      <c r="AI218" s="79" t="str">
        <f aca="false">IF(B218="","",IF($AC218="NON",0,IF(COUNT(AD218:AH218)=0,"",SUM(AD218:AH218))))</f>
        <v/>
      </c>
      <c r="AJ218" s="77" t="str">
        <f aca="false">IF(B218="","",IF($AC218="NON",0,IF(COUNT(AD218:AH218)=0,"",IFERROR(ROUND(SUM(AD218:AH218)/SUMPRODUCT(ISNUMBER(AD218:AH218)*$AD$8:$AH$8)*20,2),""))))</f>
        <v/>
      </c>
      <c r="AK218" s="51" t="str">
        <f aca="false">IFERROR(MATCH("CM2-209",'REGISTRE ELEVES'!$AI$10:$AI$250,0),"")</f>
        <v/>
      </c>
    </row>
    <row r="219" customFormat="false" ht="15" hidden="false" customHeight="false" outlineLevel="0" collapsed="false">
      <c r="A219" s="73" t="str">
        <f aca="false">IF(B219="","",210)</f>
        <v/>
      </c>
      <c r="B219" s="73" t="str">
        <f aca="false">IF($AK219="","",INDEX('REGISTRE ELEVES'!$B$10:$B$250,$AK219))</f>
        <v/>
      </c>
      <c r="C219" s="74" t="str">
        <f aca="false">IF($AK219="","",INDEX('REGISTRE ELEVES'!$D$10:$D$250,$AK219))</f>
        <v/>
      </c>
      <c r="D219" s="73" t="str">
        <f aca="false">IF($AK219="","",INDEX('REGISTRE ELEVES'!$E$10:$E$250,$AK219))</f>
        <v/>
      </c>
      <c r="E219" s="73" t="str">
        <f aca="false">IF($AK219="","",INDEX('REGISTRE ELEVES'!$F$10:$F$250,$AK219))</f>
        <v/>
      </c>
      <c r="F219" s="73" t="str">
        <f aca="false">IF($AK219="","",INDEX('REGISTRE ELEVES'!$AE$10:$AE$250,$AK219))</f>
        <v/>
      </c>
      <c r="G219" s="75"/>
      <c r="H219" s="76"/>
      <c r="I219" s="76"/>
      <c r="J219" s="76"/>
      <c r="K219" s="76"/>
      <c r="L219" s="79" t="str">
        <f aca="false">IF(B219="","",IF($G219="NON",0,IF(COUNT(H219:K219)=0,"",SUM(H219:K219))))</f>
        <v/>
      </c>
      <c r="M219" s="77" t="str">
        <f aca="false">IF(B219="","",IF($G219="NON",0,IF(COUNT(H219:K219)=0,"",IFERROR(ROUND(SUM(H219:K219)/SUMPRODUCT(ISNUMBER(H219:K219)*$H$8:$K$8)*20,2),""))))</f>
        <v/>
      </c>
      <c r="N219" s="75"/>
      <c r="O219" s="76"/>
      <c r="P219" s="76"/>
      <c r="Q219" s="76"/>
      <c r="R219" s="76"/>
      <c r="S219" s="79" t="str">
        <f aca="false">IF(B219="","",IF($N219="NON",0,IF(COUNT(O219:R219)=0,"",SUM(O219:R219))))</f>
        <v/>
      </c>
      <c r="T219" s="77" t="str">
        <f aca="false">IF(B219="","",IF($N219="NON",0,IF(COUNT(O219:R219)=0,"",IFERROR(ROUND(SUM(O219:R219)/SUMPRODUCT(ISNUMBER(O219:R219)*$O$8:$R$8)*20,2),""))))</f>
        <v/>
      </c>
      <c r="U219" s="75"/>
      <c r="V219" s="76"/>
      <c r="W219" s="76"/>
      <c r="X219" s="76"/>
      <c r="Y219" s="76"/>
      <c r="Z219" s="76"/>
      <c r="AA219" s="79" t="str">
        <f aca="false">IF(B219="","",IF($U219="NON",0,IF(COUNT(V219:Z219)=0,"",SUM(V219:Z219))))</f>
        <v/>
      </c>
      <c r="AB219" s="77" t="str">
        <f aca="false">IF(B219="","",IF($U219="NON",0,IF(COUNT(V219:Z219)=0,"",IFERROR(ROUND(SUM(V219:Z219)/SUMPRODUCT(ISNUMBER(V219:Z219)*$V$8:$Z$8)*20,2),""))))</f>
        <v/>
      </c>
      <c r="AC219" s="75"/>
      <c r="AD219" s="76"/>
      <c r="AE219" s="76"/>
      <c r="AF219" s="76"/>
      <c r="AG219" s="76"/>
      <c r="AH219" s="76"/>
      <c r="AI219" s="79" t="str">
        <f aca="false">IF(B219="","",IF($AC219="NON",0,IF(COUNT(AD219:AH219)=0,"",SUM(AD219:AH219))))</f>
        <v/>
      </c>
      <c r="AJ219" s="77" t="str">
        <f aca="false">IF(B219="","",IF($AC219="NON",0,IF(COUNT(AD219:AH219)=0,"",IFERROR(ROUND(SUM(AD219:AH219)/SUMPRODUCT(ISNUMBER(AD219:AH219)*$AD$8:$AH$8)*20,2),""))))</f>
        <v/>
      </c>
      <c r="AK219" s="51" t="str">
        <f aca="false">IFERROR(MATCH("CM2-210",'REGISTRE ELEVES'!$AI$10:$AI$250,0),"")</f>
        <v/>
      </c>
    </row>
    <row r="220" customFormat="false" ht="15" hidden="false" customHeight="false" outlineLevel="0" collapsed="false">
      <c r="A220" s="73" t="str">
        <f aca="false">IF(B220="","",211)</f>
        <v/>
      </c>
      <c r="B220" s="73" t="str">
        <f aca="false">IF($AK220="","",INDEX('REGISTRE ELEVES'!$B$10:$B$250,$AK220))</f>
        <v/>
      </c>
      <c r="C220" s="74" t="str">
        <f aca="false">IF($AK220="","",INDEX('REGISTRE ELEVES'!$D$10:$D$250,$AK220))</f>
        <v/>
      </c>
      <c r="D220" s="73" t="str">
        <f aca="false">IF($AK220="","",INDEX('REGISTRE ELEVES'!$E$10:$E$250,$AK220))</f>
        <v/>
      </c>
      <c r="E220" s="73" t="str">
        <f aca="false">IF($AK220="","",INDEX('REGISTRE ELEVES'!$F$10:$F$250,$AK220))</f>
        <v/>
      </c>
      <c r="F220" s="73" t="str">
        <f aca="false">IF($AK220="","",INDEX('REGISTRE ELEVES'!$AE$10:$AE$250,$AK220))</f>
        <v/>
      </c>
      <c r="G220" s="75"/>
      <c r="H220" s="76"/>
      <c r="I220" s="76"/>
      <c r="J220" s="76"/>
      <c r="K220" s="76"/>
      <c r="L220" s="79" t="str">
        <f aca="false">IF(B220="","",IF($G220="NON",0,IF(COUNT(H220:K220)=0,"",SUM(H220:K220))))</f>
        <v/>
      </c>
      <c r="M220" s="77" t="str">
        <f aca="false">IF(B220="","",IF($G220="NON",0,IF(COUNT(H220:K220)=0,"",IFERROR(ROUND(SUM(H220:K220)/SUMPRODUCT(ISNUMBER(H220:K220)*$H$8:$K$8)*20,2),""))))</f>
        <v/>
      </c>
      <c r="N220" s="75"/>
      <c r="O220" s="76"/>
      <c r="P220" s="76"/>
      <c r="Q220" s="76"/>
      <c r="R220" s="76"/>
      <c r="S220" s="79" t="str">
        <f aca="false">IF(B220="","",IF($N220="NON",0,IF(COUNT(O220:R220)=0,"",SUM(O220:R220))))</f>
        <v/>
      </c>
      <c r="T220" s="77" t="str">
        <f aca="false">IF(B220="","",IF($N220="NON",0,IF(COUNT(O220:R220)=0,"",IFERROR(ROUND(SUM(O220:R220)/SUMPRODUCT(ISNUMBER(O220:R220)*$O$8:$R$8)*20,2),""))))</f>
        <v/>
      </c>
      <c r="U220" s="75"/>
      <c r="V220" s="76"/>
      <c r="W220" s="76"/>
      <c r="X220" s="76"/>
      <c r="Y220" s="76"/>
      <c r="Z220" s="76"/>
      <c r="AA220" s="79" t="str">
        <f aca="false">IF(B220="","",IF($U220="NON",0,IF(COUNT(V220:Z220)=0,"",SUM(V220:Z220))))</f>
        <v/>
      </c>
      <c r="AB220" s="77" t="str">
        <f aca="false">IF(B220="","",IF($U220="NON",0,IF(COUNT(V220:Z220)=0,"",IFERROR(ROUND(SUM(V220:Z220)/SUMPRODUCT(ISNUMBER(V220:Z220)*$V$8:$Z$8)*20,2),""))))</f>
        <v/>
      </c>
      <c r="AC220" s="75"/>
      <c r="AD220" s="76"/>
      <c r="AE220" s="76"/>
      <c r="AF220" s="76"/>
      <c r="AG220" s="76"/>
      <c r="AH220" s="76"/>
      <c r="AI220" s="79" t="str">
        <f aca="false">IF(B220="","",IF($AC220="NON",0,IF(COUNT(AD220:AH220)=0,"",SUM(AD220:AH220))))</f>
        <v/>
      </c>
      <c r="AJ220" s="77" t="str">
        <f aca="false">IF(B220="","",IF($AC220="NON",0,IF(COUNT(AD220:AH220)=0,"",IFERROR(ROUND(SUM(AD220:AH220)/SUMPRODUCT(ISNUMBER(AD220:AH220)*$AD$8:$AH$8)*20,2),""))))</f>
        <v/>
      </c>
      <c r="AK220" s="51" t="str">
        <f aca="false">IFERROR(MATCH("CM2-211",'REGISTRE ELEVES'!$AI$10:$AI$250,0),"")</f>
        <v/>
      </c>
    </row>
    <row r="221" customFormat="false" ht="15" hidden="false" customHeight="false" outlineLevel="0" collapsed="false">
      <c r="A221" s="73" t="str">
        <f aca="false">IF(B221="","",212)</f>
        <v/>
      </c>
      <c r="B221" s="73" t="str">
        <f aca="false">IF($AK221="","",INDEX('REGISTRE ELEVES'!$B$10:$B$250,$AK221))</f>
        <v/>
      </c>
      <c r="C221" s="74" t="str">
        <f aca="false">IF($AK221="","",INDEX('REGISTRE ELEVES'!$D$10:$D$250,$AK221))</f>
        <v/>
      </c>
      <c r="D221" s="73" t="str">
        <f aca="false">IF($AK221="","",INDEX('REGISTRE ELEVES'!$E$10:$E$250,$AK221))</f>
        <v/>
      </c>
      <c r="E221" s="73" t="str">
        <f aca="false">IF($AK221="","",INDEX('REGISTRE ELEVES'!$F$10:$F$250,$AK221))</f>
        <v/>
      </c>
      <c r="F221" s="73" t="str">
        <f aca="false">IF($AK221="","",INDEX('REGISTRE ELEVES'!$AE$10:$AE$250,$AK221))</f>
        <v/>
      </c>
      <c r="G221" s="75"/>
      <c r="H221" s="76"/>
      <c r="I221" s="76"/>
      <c r="J221" s="76"/>
      <c r="K221" s="76"/>
      <c r="L221" s="79" t="str">
        <f aca="false">IF(B221="","",IF($G221="NON",0,IF(COUNT(H221:K221)=0,"",SUM(H221:K221))))</f>
        <v/>
      </c>
      <c r="M221" s="77" t="str">
        <f aca="false">IF(B221="","",IF($G221="NON",0,IF(COUNT(H221:K221)=0,"",IFERROR(ROUND(SUM(H221:K221)/SUMPRODUCT(ISNUMBER(H221:K221)*$H$8:$K$8)*20,2),""))))</f>
        <v/>
      </c>
      <c r="N221" s="75"/>
      <c r="O221" s="76"/>
      <c r="P221" s="76"/>
      <c r="Q221" s="76"/>
      <c r="R221" s="76"/>
      <c r="S221" s="79" t="str">
        <f aca="false">IF(B221="","",IF($N221="NON",0,IF(COUNT(O221:R221)=0,"",SUM(O221:R221))))</f>
        <v/>
      </c>
      <c r="T221" s="77" t="str">
        <f aca="false">IF(B221="","",IF($N221="NON",0,IF(COUNT(O221:R221)=0,"",IFERROR(ROUND(SUM(O221:R221)/SUMPRODUCT(ISNUMBER(O221:R221)*$O$8:$R$8)*20,2),""))))</f>
        <v/>
      </c>
      <c r="U221" s="75"/>
      <c r="V221" s="76"/>
      <c r="W221" s="76"/>
      <c r="X221" s="76"/>
      <c r="Y221" s="76"/>
      <c r="Z221" s="76"/>
      <c r="AA221" s="79" t="str">
        <f aca="false">IF(B221="","",IF($U221="NON",0,IF(COUNT(V221:Z221)=0,"",SUM(V221:Z221))))</f>
        <v/>
      </c>
      <c r="AB221" s="77" t="str">
        <f aca="false">IF(B221="","",IF($U221="NON",0,IF(COUNT(V221:Z221)=0,"",IFERROR(ROUND(SUM(V221:Z221)/SUMPRODUCT(ISNUMBER(V221:Z221)*$V$8:$Z$8)*20,2),""))))</f>
        <v/>
      </c>
      <c r="AC221" s="75"/>
      <c r="AD221" s="76"/>
      <c r="AE221" s="76"/>
      <c r="AF221" s="76"/>
      <c r="AG221" s="76"/>
      <c r="AH221" s="76"/>
      <c r="AI221" s="79" t="str">
        <f aca="false">IF(B221="","",IF($AC221="NON",0,IF(COUNT(AD221:AH221)=0,"",SUM(AD221:AH221))))</f>
        <v/>
      </c>
      <c r="AJ221" s="77" t="str">
        <f aca="false">IF(B221="","",IF($AC221="NON",0,IF(COUNT(AD221:AH221)=0,"",IFERROR(ROUND(SUM(AD221:AH221)/SUMPRODUCT(ISNUMBER(AD221:AH221)*$AD$8:$AH$8)*20,2),""))))</f>
        <v/>
      </c>
      <c r="AK221" s="51" t="str">
        <f aca="false">IFERROR(MATCH("CM2-212",'REGISTRE ELEVES'!$AI$10:$AI$250,0),"")</f>
        <v/>
      </c>
    </row>
    <row r="222" customFormat="false" ht="15" hidden="false" customHeight="false" outlineLevel="0" collapsed="false">
      <c r="A222" s="73" t="str">
        <f aca="false">IF(B222="","",213)</f>
        <v/>
      </c>
      <c r="B222" s="73" t="str">
        <f aca="false">IF($AK222="","",INDEX('REGISTRE ELEVES'!$B$10:$B$250,$AK222))</f>
        <v/>
      </c>
      <c r="C222" s="74" t="str">
        <f aca="false">IF($AK222="","",INDEX('REGISTRE ELEVES'!$D$10:$D$250,$AK222))</f>
        <v/>
      </c>
      <c r="D222" s="73" t="str">
        <f aca="false">IF($AK222="","",INDEX('REGISTRE ELEVES'!$E$10:$E$250,$AK222))</f>
        <v/>
      </c>
      <c r="E222" s="73" t="str">
        <f aca="false">IF($AK222="","",INDEX('REGISTRE ELEVES'!$F$10:$F$250,$AK222))</f>
        <v/>
      </c>
      <c r="F222" s="73" t="str">
        <f aca="false">IF($AK222="","",INDEX('REGISTRE ELEVES'!$AE$10:$AE$250,$AK222))</f>
        <v/>
      </c>
      <c r="G222" s="75"/>
      <c r="H222" s="76"/>
      <c r="I222" s="76"/>
      <c r="J222" s="76"/>
      <c r="K222" s="76"/>
      <c r="L222" s="79" t="str">
        <f aca="false">IF(B222="","",IF($G222="NON",0,IF(COUNT(H222:K222)=0,"",SUM(H222:K222))))</f>
        <v/>
      </c>
      <c r="M222" s="77" t="str">
        <f aca="false">IF(B222="","",IF($G222="NON",0,IF(COUNT(H222:K222)=0,"",IFERROR(ROUND(SUM(H222:K222)/SUMPRODUCT(ISNUMBER(H222:K222)*$H$8:$K$8)*20,2),""))))</f>
        <v/>
      </c>
      <c r="N222" s="75"/>
      <c r="O222" s="76"/>
      <c r="P222" s="76"/>
      <c r="Q222" s="76"/>
      <c r="R222" s="76"/>
      <c r="S222" s="79" t="str">
        <f aca="false">IF(B222="","",IF($N222="NON",0,IF(COUNT(O222:R222)=0,"",SUM(O222:R222))))</f>
        <v/>
      </c>
      <c r="T222" s="77" t="str">
        <f aca="false">IF(B222="","",IF($N222="NON",0,IF(COUNT(O222:R222)=0,"",IFERROR(ROUND(SUM(O222:R222)/SUMPRODUCT(ISNUMBER(O222:R222)*$O$8:$R$8)*20,2),""))))</f>
        <v/>
      </c>
      <c r="U222" s="75"/>
      <c r="V222" s="76"/>
      <c r="W222" s="76"/>
      <c r="X222" s="76"/>
      <c r="Y222" s="76"/>
      <c r="Z222" s="76"/>
      <c r="AA222" s="79" t="str">
        <f aca="false">IF(B222="","",IF($U222="NON",0,IF(COUNT(V222:Z222)=0,"",SUM(V222:Z222))))</f>
        <v/>
      </c>
      <c r="AB222" s="77" t="str">
        <f aca="false">IF(B222="","",IF($U222="NON",0,IF(COUNT(V222:Z222)=0,"",IFERROR(ROUND(SUM(V222:Z222)/SUMPRODUCT(ISNUMBER(V222:Z222)*$V$8:$Z$8)*20,2),""))))</f>
        <v/>
      </c>
      <c r="AC222" s="75"/>
      <c r="AD222" s="76"/>
      <c r="AE222" s="76"/>
      <c r="AF222" s="76"/>
      <c r="AG222" s="76"/>
      <c r="AH222" s="76"/>
      <c r="AI222" s="79" t="str">
        <f aca="false">IF(B222="","",IF($AC222="NON",0,IF(COUNT(AD222:AH222)=0,"",SUM(AD222:AH222))))</f>
        <v/>
      </c>
      <c r="AJ222" s="77" t="str">
        <f aca="false">IF(B222="","",IF($AC222="NON",0,IF(COUNT(AD222:AH222)=0,"",IFERROR(ROUND(SUM(AD222:AH222)/SUMPRODUCT(ISNUMBER(AD222:AH222)*$AD$8:$AH$8)*20,2),""))))</f>
        <v/>
      </c>
      <c r="AK222" s="51" t="str">
        <f aca="false">IFERROR(MATCH("CM2-213",'REGISTRE ELEVES'!$AI$10:$AI$250,0),"")</f>
        <v/>
      </c>
    </row>
    <row r="223" customFormat="false" ht="15" hidden="false" customHeight="false" outlineLevel="0" collapsed="false">
      <c r="A223" s="73" t="str">
        <f aca="false">IF(B223="","",214)</f>
        <v/>
      </c>
      <c r="B223" s="73" t="str">
        <f aca="false">IF($AK223="","",INDEX('REGISTRE ELEVES'!$B$10:$B$250,$AK223))</f>
        <v/>
      </c>
      <c r="C223" s="74" t="str">
        <f aca="false">IF($AK223="","",INDEX('REGISTRE ELEVES'!$D$10:$D$250,$AK223))</f>
        <v/>
      </c>
      <c r="D223" s="73" t="str">
        <f aca="false">IF($AK223="","",INDEX('REGISTRE ELEVES'!$E$10:$E$250,$AK223))</f>
        <v/>
      </c>
      <c r="E223" s="73" t="str">
        <f aca="false">IF($AK223="","",INDEX('REGISTRE ELEVES'!$F$10:$F$250,$AK223))</f>
        <v/>
      </c>
      <c r="F223" s="73" t="str">
        <f aca="false">IF($AK223="","",INDEX('REGISTRE ELEVES'!$AE$10:$AE$250,$AK223))</f>
        <v/>
      </c>
      <c r="G223" s="75"/>
      <c r="H223" s="76"/>
      <c r="I223" s="76"/>
      <c r="J223" s="76"/>
      <c r="K223" s="76"/>
      <c r="L223" s="79" t="str">
        <f aca="false">IF(B223="","",IF($G223="NON",0,IF(COUNT(H223:K223)=0,"",SUM(H223:K223))))</f>
        <v/>
      </c>
      <c r="M223" s="77" t="str">
        <f aca="false">IF(B223="","",IF($G223="NON",0,IF(COUNT(H223:K223)=0,"",IFERROR(ROUND(SUM(H223:K223)/SUMPRODUCT(ISNUMBER(H223:K223)*$H$8:$K$8)*20,2),""))))</f>
        <v/>
      </c>
      <c r="N223" s="75"/>
      <c r="O223" s="76"/>
      <c r="P223" s="76"/>
      <c r="Q223" s="76"/>
      <c r="R223" s="76"/>
      <c r="S223" s="79" t="str">
        <f aca="false">IF(B223="","",IF($N223="NON",0,IF(COUNT(O223:R223)=0,"",SUM(O223:R223))))</f>
        <v/>
      </c>
      <c r="T223" s="77" t="str">
        <f aca="false">IF(B223="","",IF($N223="NON",0,IF(COUNT(O223:R223)=0,"",IFERROR(ROUND(SUM(O223:R223)/SUMPRODUCT(ISNUMBER(O223:R223)*$O$8:$R$8)*20,2),""))))</f>
        <v/>
      </c>
      <c r="U223" s="75"/>
      <c r="V223" s="76"/>
      <c r="W223" s="76"/>
      <c r="X223" s="76"/>
      <c r="Y223" s="76"/>
      <c r="Z223" s="76"/>
      <c r="AA223" s="79" t="str">
        <f aca="false">IF(B223="","",IF($U223="NON",0,IF(COUNT(V223:Z223)=0,"",SUM(V223:Z223))))</f>
        <v/>
      </c>
      <c r="AB223" s="77" t="str">
        <f aca="false">IF(B223="","",IF($U223="NON",0,IF(COUNT(V223:Z223)=0,"",IFERROR(ROUND(SUM(V223:Z223)/SUMPRODUCT(ISNUMBER(V223:Z223)*$V$8:$Z$8)*20,2),""))))</f>
        <v/>
      </c>
      <c r="AC223" s="75"/>
      <c r="AD223" s="76"/>
      <c r="AE223" s="76"/>
      <c r="AF223" s="76"/>
      <c r="AG223" s="76"/>
      <c r="AH223" s="76"/>
      <c r="AI223" s="79" t="str">
        <f aca="false">IF(B223="","",IF($AC223="NON",0,IF(COUNT(AD223:AH223)=0,"",SUM(AD223:AH223))))</f>
        <v/>
      </c>
      <c r="AJ223" s="77" t="str">
        <f aca="false">IF(B223="","",IF($AC223="NON",0,IF(COUNT(AD223:AH223)=0,"",IFERROR(ROUND(SUM(AD223:AH223)/SUMPRODUCT(ISNUMBER(AD223:AH223)*$AD$8:$AH$8)*20,2),""))))</f>
        <v/>
      </c>
      <c r="AK223" s="51" t="str">
        <f aca="false">IFERROR(MATCH("CM2-214",'REGISTRE ELEVES'!$AI$10:$AI$250,0),"")</f>
        <v/>
      </c>
    </row>
    <row r="224" customFormat="false" ht="15" hidden="false" customHeight="false" outlineLevel="0" collapsed="false">
      <c r="A224" s="73" t="str">
        <f aca="false">IF(B224="","",215)</f>
        <v/>
      </c>
      <c r="B224" s="73" t="str">
        <f aca="false">IF($AK224="","",INDEX('REGISTRE ELEVES'!$B$10:$B$250,$AK224))</f>
        <v/>
      </c>
      <c r="C224" s="74" t="str">
        <f aca="false">IF($AK224="","",INDEX('REGISTRE ELEVES'!$D$10:$D$250,$AK224))</f>
        <v/>
      </c>
      <c r="D224" s="73" t="str">
        <f aca="false">IF($AK224="","",INDEX('REGISTRE ELEVES'!$E$10:$E$250,$AK224))</f>
        <v/>
      </c>
      <c r="E224" s="73" t="str">
        <f aca="false">IF($AK224="","",INDEX('REGISTRE ELEVES'!$F$10:$F$250,$AK224))</f>
        <v/>
      </c>
      <c r="F224" s="73" t="str">
        <f aca="false">IF($AK224="","",INDEX('REGISTRE ELEVES'!$AE$10:$AE$250,$AK224))</f>
        <v/>
      </c>
      <c r="G224" s="75"/>
      <c r="H224" s="76"/>
      <c r="I224" s="76"/>
      <c r="J224" s="76"/>
      <c r="K224" s="76"/>
      <c r="L224" s="79" t="str">
        <f aca="false">IF(B224="","",IF($G224="NON",0,IF(COUNT(H224:K224)=0,"",SUM(H224:K224))))</f>
        <v/>
      </c>
      <c r="M224" s="77" t="str">
        <f aca="false">IF(B224="","",IF($G224="NON",0,IF(COUNT(H224:K224)=0,"",IFERROR(ROUND(SUM(H224:K224)/SUMPRODUCT(ISNUMBER(H224:K224)*$H$8:$K$8)*20,2),""))))</f>
        <v/>
      </c>
      <c r="N224" s="75"/>
      <c r="O224" s="76"/>
      <c r="P224" s="76"/>
      <c r="Q224" s="76"/>
      <c r="R224" s="76"/>
      <c r="S224" s="79" t="str">
        <f aca="false">IF(B224="","",IF($N224="NON",0,IF(COUNT(O224:R224)=0,"",SUM(O224:R224))))</f>
        <v/>
      </c>
      <c r="T224" s="77" t="str">
        <f aca="false">IF(B224="","",IF($N224="NON",0,IF(COUNT(O224:R224)=0,"",IFERROR(ROUND(SUM(O224:R224)/SUMPRODUCT(ISNUMBER(O224:R224)*$O$8:$R$8)*20,2),""))))</f>
        <v/>
      </c>
      <c r="U224" s="75"/>
      <c r="V224" s="76"/>
      <c r="W224" s="76"/>
      <c r="X224" s="76"/>
      <c r="Y224" s="76"/>
      <c r="Z224" s="76"/>
      <c r="AA224" s="79" t="str">
        <f aca="false">IF(B224="","",IF($U224="NON",0,IF(COUNT(V224:Z224)=0,"",SUM(V224:Z224))))</f>
        <v/>
      </c>
      <c r="AB224" s="77" t="str">
        <f aca="false">IF(B224="","",IF($U224="NON",0,IF(COUNT(V224:Z224)=0,"",IFERROR(ROUND(SUM(V224:Z224)/SUMPRODUCT(ISNUMBER(V224:Z224)*$V$8:$Z$8)*20,2),""))))</f>
        <v/>
      </c>
      <c r="AC224" s="75"/>
      <c r="AD224" s="76"/>
      <c r="AE224" s="76"/>
      <c r="AF224" s="76"/>
      <c r="AG224" s="76"/>
      <c r="AH224" s="76"/>
      <c r="AI224" s="79" t="str">
        <f aca="false">IF(B224="","",IF($AC224="NON",0,IF(COUNT(AD224:AH224)=0,"",SUM(AD224:AH224))))</f>
        <v/>
      </c>
      <c r="AJ224" s="77" t="str">
        <f aca="false">IF(B224="","",IF($AC224="NON",0,IF(COUNT(AD224:AH224)=0,"",IFERROR(ROUND(SUM(AD224:AH224)/SUMPRODUCT(ISNUMBER(AD224:AH224)*$AD$8:$AH$8)*20,2),""))))</f>
        <v/>
      </c>
      <c r="AK224" s="51" t="str">
        <f aca="false">IFERROR(MATCH("CM2-215",'REGISTRE ELEVES'!$AI$10:$AI$250,0),"")</f>
        <v/>
      </c>
    </row>
    <row r="225" customFormat="false" ht="15" hidden="false" customHeight="false" outlineLevel="0" collapsed="false">
      <c r="A225" s="73" t="str">
        <f aca="false">IF(B225="","",216)</f>
        <v/>
      </c>
      <c r="B225" s="73" t="str">
        <f aca="false">IF($AK225="","",INDEX('REGISTRE ELEVES'!$B$10:$B$250,$AK225))</f>
        <v/>
      </c>
      <c r="C225" s="74" t="str">
        <f aca="false">IF($AK225="","",INDEX('REGISTRE ELEVES'!$D$10:$D$250,$AK225))</f>
        <v/>
      </c>
      <c r="D225" s="73" t="str">
        <f aca="false">IF($AK225="","",INDEX('REGISTRE ELEVES'!$E$10:$E$250,$AK225))</f>
        <v/>
      </c>
      <c r="E225" s="73" t="str">
        <f aca="false">IF($AK225="","",INDEX('REGISTRE ELEVES'!$F$10:$F$250,$AK225))</f>
        <v/>
      </c>
      <c r="F225" s="73" t="str">
        <f aca="false">IF($AK225="","",INDEX('REGISTRE ELEVES'!$AE$10:$AE$250,$AK225))</f>
        <v/>
      </c>
      <c r="G225" s="75"/>
      <c r="H225" s="76"/>
      <c r="I225" s="76"/>
      <c r="J225" s="76"/>
      <c r="K225" s="76"/>
      <c r="L225" s="79" t="str">
        <f aca="false">IF(B225="","",IF($G225="NON",0,IF(COUNT(H225:K225)=0,"",SUM(H225:K225))))</f>
        <v/>
      </c>
      <c r="M225" s="77" t="str">
        <f aca="false">IF(B225="","",IF($G225="NON",0,IF(COUNT(H225:K225)=0,"",IFERROR(ROUND(SUM(H225:K225)/SUMPRODUCT(ISNUMBER(H225:K225)*$H$8:$K$8)*20,2),""))))</f>
        <v/>
      </c>
      <c r="N225" s="75"/>
      <c r="O225" s="76"/>
      <c r="P225" s="76"/>
      <c r="Q225" s="76"/>
      <c r="R225" s="76"/>
      <c r="S225" s="79" t="str">
        <f aca="false">IF(B225="","",IF($N225="NON",0,IF(COUNT(O225:R225)=0,"",SUM(O225:R225))))</f>
        <v/>
      </c>
      <c r="T225" s="77" t="str">
        <f aca="false">IF(B225="","",IF($N225="NON",0,IF(COUNT(O225:R225)=0,"",IFERROR(ROUND(SUM(O225:R225)/SUMPRODUCT(ISNUMBER(O225:R225)*$O$8:$R$8)*20,2),""))))</f>
        <v/>
      </c>
      <c r="U225" s="75"/>
      <c r="V225" s="76"/>
      <c r="W225" s="76"/>
      <c r="X225" s="76"/>
      <c r="Y225" s="76"/>
      <c r="Z225" s="76"/>
      <c r="AA225" s="79" t="str">
        <f aca="false">IF(B225="","",IF($U225="NON",0,IF(COUNT(V225:Z225)=0,"",SUM(V225:Z225))))</f>
        <v/>
      </c>
      <c r="AB225" s="77" t="str">
        <f aca="false">IF(B225="","",IF($U225="NON",0,IF(COUNT(V225:Z225)=0,"",IFERROR(ROUND(SUM(V225:Z225)/SUMPRODUCT(ISNUMBER(V225:Z225)*$V$8:$Z$8)*20,2),""))))</f>
        <v/>
      </c>
      <c r="AC225" s="75"/>
      <c r="AD225" s="76"/>
      <c r="AE225" s="76"/>
      <c r="AF225" s="76"/>
      <c r="AG225" s="76"/>
      <c r="AH225" s="76"/>
      <c r="AI225" s="79" t="str">
        <f aca="false">IF(B225="","",IF($AC225="NON",0,IF(COUNT(AD225:AH225)=0,"",SUM(AD225:AH225))))</f>
        <v/>
      </c>
      <c r="AJ225" s="77" t="str">
        <f aca="false">IF(B225="","",IF($AC225="NON",0,IF(COUNT(AD225:AH225)=0,"",IFERROR(ROUND(SUM(AD225:AH225)/SUMPRODUCT(ISNUMBER(AD225:AH225)*$AD$8:$AH$8)*20,2),""))))</f>
        <v/>
      </c>
      <c r="AK225" s="51" t="str">
        <f aca="false">IFERROR(MATCH("CM2-216",'REGISTRE ELEVES'!$AI$10:$AI$250,0),"")</f>
        <v/>
      </c>
    </row>
    <row r="226" customFormat="false" ht="15" hidden="false" customHeight="false" outlineLevel="0" collapsed="false">
      <c r="A226" s="73" t="str">
        <f aca="false">IF(B226="","",217)</f>
        <v/>
      </c>
      <c r="B226" s="73" t="str">
        <f aca="false">IF($AK226="","",INDEX('REGISTRE ELEVES'!$B$10:$B$250,$AK226))</f>
        <v/>
      </c>
      <c r="C226" s="74" t="str">
        <f aca="false">IF($AK226="","",INDEX('REGISTRE ELEVES'!$D$10:$D$250,$AK226))</f>
        <v/>
      </c>
      <c r="D226" s="73" t="str">
        <f aca="false">IF($AK226="","",INDEX('REGISTRE ELEVES'!$E$10:$E$250,$AK226))</f>
        <v/>
      </c>
      <c r="E226" s="73" t="str">
        <f aca="false">IF($AK226="","",INDEX('REGISTRE ELEVES'!$F$10:$F$250,$AK226))</f>
        <v/>
      </c>
      <c r="F226" s="73" t="str">
        <f aca="false">IF($AK226="","",INDEX('REGISTRE ELEVES'!$AE$10:$AE$250,$AK226))</f>
        <v/>
      </c>
      <c r="G226" s="75"/>
      <c r="H226" s="76"/>
      <c r="I226" s="76"/>
      <c r="J226" s="76"/>
      <c r="K226" s="76"/>
      <c r="L226" s="79" t="str">
        <f aca="false">IF(B226="","",IF($G226="NON",0,IF(COUNT(H226:K226)=0,"",SUM(H226:K226))))</f>
        <v/>
      </c>
      <c r="M226" s="77" t="str">
        <f aca="false">IF(B226="","",IF($G226="NON",0,IF(COUNT(H226:K226)=0,"",IFERROR(ROUND(SUM(H226:K226)/SUMPRODUCT(ISNUMBER(H226:K226)*$H$8:$K$8)*20,2),""))))</f>
        <v/>
      </c>
      <c r="N226" s="75"/>
      <c r="O226" s="76"/>
      <c r="P226" s="76"/>
      <c r="Q226" s="76"/>
      <c r="R226" s="76"/>
      <c r="S226" s="79" t="str">
        <f aca="false">IF(B226="","",IF($N226="NON",0,IF(COUNT(O226:R226)=0,"",SUM(O226:R226))))</f>
        <v/>
      </c>
      <c r="T226" s="77" t="str">
        <f aca="false">IF(B226="","",IF($N226="NON",0,IF(COUNT(O226:R226)=0,"",IFERROR(ROUND(SUM(O226:R226)/SUMPRODUCT(ISNUMBER(O226:R226)*$O$8:$R$8)*20,2),""))))</f>
        <v/>
      </c>
      <c r="U226" s="75"/>
      <c r="V226" s="76"/>
      <c r="W226" s="76"/>
      <c r="X226" s="76"/>
      <c r="Y226" s="76"/>
      <c r="Z226" s="76"/>
      <c r="AA226" s="79" t="str">
        <f aca="false">IF(B226="","",IF($U226="NON",0,IF(COUNT(V226:Z226)=0,"",SUM(V226:Z226))))</f>
        <v/>
      </c>
      <c r="AB226" s="77" t="str">
        <f aca="false">IF(B226="","",IF($U226="NON",0,IF(COUNT(V226:Z226)=0,"",IFERROR(ROUND(SUM(V226:Z226)/SUMPRODUCT(ISNUMBER(V226:Z226)*$V$8:$Z$8)*20,2),""))))</f>
        <v/>
      </c>
      <c r="AC226" s="75"/>
      <c r="AD226" s="76"/>
      <c r="AE226" s="76"/>
      <c r="AF226" s="76"/>
      <c r="AG226" s="76"/>
      <c r="AH226" s="76"/>
      <c r="AI226" s="79" t="str">
        <f aca="false">IF(B226="","",IF($AC226="NON",0,IF(COUNT(AD226:AH226)=0,"",SUM(AD226:AH226))))</f>
        <v/>
      </c>
      <c r="AJ226" s="77" t="str">
        <f aca="false">IF(B226="","",IF($AC226="NON",0,IF(COUNT(AD226:AH226)=0,"",IFERROR(ROUND(SUM(AD226:AH226)/SUMPRODUCT(ISNUMBER(AD226:AH226)*$AD$8:$AH$8)*20,2),""))))</f>
        <v/>
      </c>
      <c r="AK226" s="51" t="str">
        <f aca="false">IFERROR(MATCH("CM2-217",'REGISTRE ELEVES'!$AI$10:$AI$250,0),"")</f>
        <v/>
      </c>
    </row>
    <row r="227" customFormat="false" ht="15" hidden="false" customHeight="false" outlineLevel="0" collapsed="false">
      <c r="A227" s="73" t="str">
        <f aca="false">IF(B227="","",218)</f>
        <v/>
      </c>
      <c r="B227" s="73" t="str">
        <f aca="false">IF($AK227="","",INDEX('REGISTRE ELEVES'!$B$10:$B$250,$AK227))</f>
        <v/>
      </c>
      <c r="C227" s="74" t="str">
        <f aca="false">IF($AK227="","",INDEX('REGISTRE ELEVES'!$D$10:$D$250,$AK227))</f>
        <v/>
      </c>
      <c r="D227" s="73" t="str">
        <f aca="false">IF($AK227="","",INDEX('REGISTRE ELEVES'!$E$10:$E$250,$AK227))</f>
        <v/>
      </c>
      <c r="E227" s="73" t="str">
        <f aca="false">IF($AK227="","",INDEX('REGISTRE ELEVES'!$F$10:$F$250,$AK227))</f>
        <v/>
      </c>
      <c r="F227" s="73" t="str">
        <f aca="false">IF($AK227="","",INDEX('REGISTRE ELEVES'!$AE$10:$AE$250,$AK227))</f>
        <v/>
      </c>
      <c r="G227" s="75"/>
      <c r="H227" s="76"/>
      <c r="I227" s="76"/>
      <c r="J227" s="76"/>
      <c r="K227" s="76"/>
      <c r="L227" s="79" t="str">
        <f aca="false">IF(B227="","",IF($G227="NON",0,IF(COUNT(H227:K227)=0,"",SUM(H227:K227))))</f>
        <v/>
      </c>
      <c r="M227" s="77" t="str">
        <f aca="false">IF(B227="","",IF($G227="NON",0,IF(COUNT(H227:K227)=0,"",IFERROR(ROUND(SUM(H227:K227)/SUMPRODUCT(ISNUMBER(H227:K227)*$H$8:$K$8)*20,2),""))))</f>
        <v/>
      </c>
      <c r="N227" s="75"/>
      <c r="O227" s="76"/>
      <c r="P227" s="76"/>
      <c r="Q227" s="76"/>
      <c r="R227" s="76"/>
      <c r="S227" s="79" t="str">
        <f aca="false">IF(B227="","",IF($N227="NON",0,IF(COUNT(O227:R227)=0,"",SUM(O227:R227))))</f>
        <v/>
      </c>
      <c r="T227" s="77" t="str">
        <f aca="false">IF(B227="","",IF($N227="NON",0,IF(COUNT(O227:R227)=0,"",IFERROR(ROUND(SUM(O227:R227)/SUMPRODUCT(ISNUMBER(O227:R227)*$O$8:$R$8)*20,2),""))))</f>
        <v/>
      </c>
      <c r="U227" s="75"/>
      <c r="V227" s="76"/>
      <c r="W227" s="76"/>
      <c r="X227" s="76"/>
      <c r="Y227" s="76"/>
      <c r="Z227" s="76"/>
      <c r="AA227" s="79" t="str">
        <f aca="false">IF(B227="","",IF($U227="NON",0,IF(COUNT(V227:Z227)=0,"",SUM(V227:Z227))))</f>
        <v/>
      </c>
      <c r="AB227" s="77" t="str">
        <f aca="false">IF(B227="","",IF($U227="NON",0,IF(COUNT(V227:Z227)=0,"",IFERROR(ROUND(SUM(V227:Z227)/SUMPRODUCT(ISNUMBER(V227:Z227)*$V$8:$Z$8)*20,2),""))))</f>
        <v/>
      </c>
      <c r="AC227" s="75"/>
      <c r="AD227" s="76"/>
      <c r="AE227" s="76"/>
      <c r="AF227" s="76"/>
      <c r="AG227" s="76"/>
      <c r="AH227" s="76"/>
      <c r="AI227" s="79" t="str">
        <f aca="false">IF(B227="","",IF($AC227="NON",0,IF(COUNT(AD227:AH227)=0,"",SUM(AD227:AH227))))</f>
        <v/>
      </c>
      <c r="AJ227" s="77" t="str">
        <f aca="false">IF(B227="","",IF($AC227="NON",0,IF(COUNT(AD227:AH227)=0,"",IFERROR(ROUND(SUM(AD227:AH227)/SUMPRODUCT(ISNUMBER(AD227:AH227)*$AD$8:$AH$8)*20,2),""))))</f>
        <v/>
      </c>
      <c r="AK227" s="51" t="str">
        <f aca="false">IFERROR(MATCH("CM2-218",'REGISTRE ELEVES'!$AI$10:$AI$250,0),"")</f>
        <v/>
      </c>
    </row>
    <row r="228" customFormat="false" ht="15" hidden="false" customHeight="false" outlineLevel="0" collapsed="false">
      <c r="A228" s="73" t="str">
        <f aca="false">IF(B228="","",219)</f>
        <v/>
      </c>
      <c r="B228" s="73" t="str">
        <f aca="false">IF($AK228="","",INDEX('REGISTRE ELEVES'!$B$10:$B$250,$AK228))</f>
        <v/>
      </c>
      <c r="C228" s="74" t="str">
        <f aca="false">IF($AK228="","",INDEX('REGISTRE ELEVES'!$D$10:$D$250,$AK228))</f>
        <v/>
      </c>
      <c r="D228" s="73" t="str">
        <f aca="false">IF($AK228="","",INDEX('REGISTRE ELEVES'!$E$10:$E$250,$AK228))</f>
        <v/>
      </c>
      <c r="E228" s="73" t="str">
        <f aca="false">IF($AK228="","",INDEX('REGISTRE ELEVES'!$F$10:$F$250,$AK228))</f>
        <v/>
      </c>
      <c r="F228" s="73" t="str">
        <f aca="false">IF($AK228="","",INDEX('REGISTRE ELEVES'!$AE$10:$AE$250,$AK228))</f>
        <v/>
      </c>
      <c r="G228" s="75"/>
      <c r="H228" s="76"/>
      <c r="I228" s="76"/>
      <c r="J228" s="76"/>
      <c r="K228" s="76"/>
      <c r="L228" s="79" t="str">
        <f aca="false">IF(B228="","",IF($G228="NON",0,IF(COUNT(H228:K228)=0,"",SUM(H228:K228))))</f>
        <v/>
      </c>
      <c r="M228" s="77" t="str">
        <f aca="false">IF(B228="","",IF($G228="NON",0,IF(COUNT(H228:K228)=0,"",IFERROR(ROUND(SUM(H228:K228)/SUMPRODUCT(ISNUMBER(H228:K228)*$H$8:$K$8)*20,2),""))))</f>
        <v/>
      </c>
      <c r="N228" s="75"/>
      <c r="O228" s="76"/>
      <c r="P228" s="76"/>
      <c r="Q228" s="76"/>
      <c r="R228" s="76"/>
      <c r="S228" s="79" t="str">
        <f aca="false">IF(B228="","",IF($N228="NON",0,IF(COUNT(O228:R228)=0,"",SUM(O228:R228))))</f>
        <v/>
      </c>
      <c r="T228" s="77" t="str">
        <f aca="false">IF(B228="","",IF($N228="NON",0,IF(COUNT(O228:R228)=0,"",IFERROR(ROUND(SUM(O228:R228)/SUMPRODUCT(ISNUMBER(O228:R228)*$O$8:$R$8)*20,2),""))))</f>
        <v/>
      </c>
      <c r="U228" s="75"/>
      <c r="V228" s="76"/>
      <c r="W228" s="76"/>
      <c r="X228" s="76"/>
      <c r="Y228" s="76"/>
      <c r="Z228" s="76"/>
      <c r="AA228" s="79" t="str">
        <f aca="false">IF(B228="","",IF($U228="NON",0,IF(COUNT(V228:Z228)=0,"",SUM(V228:Z228))))</f>
        <v/>
      </c>
      <c r="AB228" s="77" t="str">
        <f aca="false">IF(B228="","",IF($U228="NON",0,IF(COUNT(V228:Z228)=0,"",IFERROR(ROUND(SUM(V228:Z228)/SUMPRODUCT(ISNUMBER(V228:Z228)*$V$8:$Z$8)*20,2),""))))</f>
        <v/>
      </c>
      <c r="AC228" s="75"/>
      <c r="AD228" s="76"/>
      <c r="AE228" s="76"/>
      <c r="AF228" s="76"/>
      <c r="AG228" s="76"/>
      <c r="AH228" s="76"/>
      <c r="AI228" s="79" t="str">
        <f aca="false">IF(B228="","",IF($AC228="NON",0,IF(COUNT(AD228:AH228)=0,"",SUM(AD228:AH228))))</f>
        <v/>
      </c>
      <c r="AJ228" s="77" t="str">
        <f aca="false">IF(B228="","",IF($AC228="NON",0,IF(COUNT(AD228:AH228)=0,"",IFERROR(ROUND(SUM(AD228:AH228)/SUMPRODUCT(ISNUMBER(AD228:AH228)*$AD$8:$AH$8)*20,2),""))))</f>
        <v/>
      </c>
      <c r="AK228" s="51" t="str">
        <f aca="false">IFERROR(MATCH("CM2-219",'REGISTRE ELEVES'!$AI$10:$AI$250,0),"")</f>
        <v/>
      </c>
    </row>
    <row r="229" customFormat="false" ht="15" hidden="false" customHeight="false" outlineLevel="0" collapsed="false">
      <c r="A229" s="73" t="str">
        <f aca="false">IF(B229="","",220)</f>
        <v/>
      </c>
      <c r="B229" s="73" t="str">
        <f aca="false">IF($AK229="","",INDEX('REGISTRE ELEVES'!$B$10:$B$250,$AK229))</f>
        <v/>
      </c>
      <c r="C229" s="74" t="str">
        <f aca="false">IF($AK229="","",INDEX('REGISTRE ELEVES'!$D$10:$D$250,$AK229))</f>
        <v/>
      </c>
      <c r="D229" s="73" t="str">
        <f aca="false">IF($AK229="","",INDEX('REGISTRE ELEVES'!$E$10:$E$250,$AK229))</f>
        <v/>
      </c>
      <c r="E229" s="73" t="str">
        <f aca="false">IF($AK229="","",INDEX('REGISTRE ELEVES'!$F$10:$F$250,$AK229))</f>
        <v/>
      </c>
      <c r="F229" s="73" t="str">
        <f aca="false">IF($AK229="","",INDEX('REGISTRE ELEVES'!$AE$10:$AE$250,$AK229))</f>
        <v/>
      </c>
      <c r="G229" s="75"/>
      <c r="H229" s="76"/>
      <c r="I229" s="76"/>
      <c r="J229" s="76"/>
      <c r="K229" s="76"/>
      <c r="L229" s="79" t="str">
        <f aca="false">IF(B229="","",IF($G229="NON",0,IF(COUNT(H229:K229)=0,"",SUM(H229:K229))))</f>
        <v/>
      </c>
      <c r="M229" s="77" t="str">
        <f aca="false">IF(B229="","",IF($G229="NON",0,IF(COUNT(H229:K229)=0,"",IFERROR(ROUND(SUM(H229:K229)/SUMPRODUCT(ISNUMBER(H229:K229)*$H$8:$K$8)*20,2),""))))</f>
        <v/>
      </c>
      <c r="N229" s="75"/>
      <c r="O229" s="76"/>
      <c r="P229" s="76"/>
      <c r="Q229" s="76"/>
      <c r="R229" s="76"/>
      <c r="S229" s="79" t="str">
        <f aca="false">IF(B229="","",IF($N229="NON",0,IF(COUNT(O229:R229)=0,"",SUM(O229:R229))))</f>
        <v/>
      </c>
      <c r="T229" s="77" t="str">
        <f aca="false">IF(B229="","",IF($N229="NON",0,IF(COUNT(O229:R229)=0,"",IFERROR(ROUND(SUM(O229:R229)/SUMPRODUCT(ISNUMBER(O229:R229)*$O$8:$R$8)*20,2),""))))</f>
        <v/>
      </c>
      <c r="U229" s="75"/>
      <c r="V229" s="76"/>
      <c r="W229" s="76"/>
      <c r="X229" s="76"/>
      <c r="Y229" s="76"/>
      <c r="Z229" s="76"/>
      <c r="AA229" s="79" t="str">
        <f aca="false">IF(B229="","",IF($U229="NON",0,IF(COUNT(V229:Z229)=0,"",SUM(V229:Z229))))</f>
        <v/>
      </c>
      <c r="AB229" s="77" t="str">
        <f aca="false">IF(B229="","",IF($U229="NON",0,IF(COUNT(V229:Z229)=0,"",IFERROR(ROUND(SUM(V229:Z229)/SUMPRODUCT(ISNUMBER(V229:Z229)*$V$8:$Z$8)*20,2),""))))</f>
        <v/>
      </c>
      <c r="AC229" s="75"/>
      <c r="AD229" s="76"/>
      <c r="AE229" s="76"/>
      <c r="AF229" s="76"/>
      <c r="AG229" s="76"/>
      <c r="AH229" s="76"/>
      <c r="AI229" s="79" t="str">
        <f aca="false">IF(B229="","",IF($AC229="NON",0,IF(COUNT(AD229:AH229)=0,"",SUM(AD229:AH229))))</f>
        <v/>
      </c>
      <c r="AJ229" s="77" t="str">
        <f aca="false">IF(B229="","",IF($AC229="NON",0,IF(COUNT(AD229:AH229)=0,"",IFERROR(ROUND(SUM(AD229:AH229)/SUMPRODUCT(ISNUMBER(AD229:AH229)*$AD$8:$AH$8)*20,2),""))))</f>
        <v/>
      </c>
      <c r="AK229" s="51" t="str">
        <f aca="false">IFERROR(MATCH("CM2-220",'REGISTRE ELEVES'!$AI$10:$AI$250,0),"")</f>
        <v/>
      </c>
    </row>
    <row r="230" customFormat="false" ht="15" hidden="false" customHeight="false" outlineLevel="0" collapsed="false">
      <c r="A230" s="73" t="str">
        <f aca="false">IF(B230="","",221)</f>
        <v/>
      </c>
      <c r="B230" s="73" t="str">
        <f aca="false">IF($AK230="","",INDEX('REGISTRE ELEVES'!$B$10:$B$250,$AK230))</f>
        <v/>
      </c>
      <c r="C230" s="74" t="str">
        <f aca="false">IF($AK230="","",INDEX('REGISTRE ELEVES'!$D$10:$D$250,$AK230))</f>
        <v/>
      </c>
      <c r="D230" s="73" t="str">
        <f aca="false">IF($AK230="","",INDEX('REGISTRE ELEVES'!$E$10:$E$250,$AK230))</f>
        <v/>
      </c>
      <c r="E230" s="73" t="str">
        <f aca="false">IF($AK230="","",INDEX('REGISTRE ELEVES'!$F$10:$F$250,$AK230))</f>
        <v/>
      </c>
      <c r="F230" s="73" t="str">
        <f aca="false">IF($AK230="","",INDEX('REGISTRE ELEVES'!$AE$10:$AE$250,$AK230))</f>
        <v/>
      </c>
      <c r="G230" s="75"/>
      <c r="H230" s="76"/>
      <c r="I230" s="76"/>
      <c r="J230" s="76"/>
      <c r="K230" s="76"/>
      <c r="L230" s="79" t="str">
        <f aca="false">IF(B230="","",IF($G230="NON",0,IF(COUNT(H230:K230)=0,"",SUM(H230:K230))))</f>
        <v/>
      </c>
      <c r="M230" s="77" t="str">
        <f aca="false">IF(B230="","",IF($G230="NON",0,IF(COUNT(H230:K230)=0,"",IFERROR(ROUND(SUM(H230:K230)/SUMPRODUCT(ISNUMBER(H230:K230)*$H$8:$K$8)*20,2),""))))</f>
        <v/>
      </c>
      <c r="N230" s="75"/>
      <c r="O230" s="76"/>
      <c r="P230" s="76"/>
      <c r="Q230" s="76"/>
      <c r="R230" s="76"/>
      <c r="S230" s="79" t="str">
        <f aca="false">IF(B230="","",IF($N230="NON",0,IF(COUNT(O230:R230)=0,"",SUM(O230:R230))))</f>
        <v/>
      </c>
      <c r="T230" s="77" t="str">
        <f aca="false">IF(B230="","",IF($N230="NON",0,IF(COUNT(O230:R230)=0,"",IFERROR(ROUND(SUM(O230:R230)/SUMPRODUCT(ISNUMBER(O230:R230)*$O$8:$R$8)*20,2),""))))</f>
        <v/>
      </c>
      <c r="U230" s="75"/>
      <c r="V230" s="76"/>
      <c r="W230" s="76"/>
      <c r="X230" s="76"/>
      <c r="Y230" s="76"/>
      <c r="Z230" s="76"/>
      <c r="AA230" s="79" t="str">
        <f aca="false">IF(B230="","",IF($U230="NON",0,IF(COUNT(V230:Z230)=0,"",SUM(V230:Z230))))</f>
        <v/>
      </c>
      <c r="AB230" s="77" t="str">
        <f aca="false">IF(B230="","",IF($U230="NON",0,IF(COUNT(V230:Z230)=0,"",IFERROR(ROUND(SUM(V230:Z230)/SUMPRODUCT(ISNUMBER(V230:Z230)*$V$8:$Z$8)*20,2),""))))</f>
        <v/>
      </c>
      <c r="AC230" s="75"/>
      <c r="AD230" s="76"/>
      <c r="AE230" s="76"/>
      <c r="AF230" s="76"/>
      <c r="AG230" s="76"/>
      <c r="AH230" s="76"/>
      <c r="AI230" s="79" t="str">
        <f aca="false">IF(B230="","",IF($AC230="NON",0,IF(COUNT(AD230:AH230)=0,"",SUM(AD230:AH230))))</f>
        <v/>
      </c>
      <c r="AJ230" s="77" t="str">
        <f aca="false">IF(B230="","",IF($AC230="NON",0,IF(COUNT(AD230:AH230)=0,"",IFERROR(ROUND(SUM(AD230:AH230)/SUMPRODUCT(ISNUMBER(AD230:AH230)*$AD$8:$AH$8)*20,2),""))))</f>
        <v/>
      </c>
      <c r="AK230" s="51" t="str">
        <f aca="false">IFERROR(MATCH("CM2-221",'REGISTRE ELEVES'!$AI$10:$AI$250,0),"")</f>
        <v/>
      </c>
    </row>
    <row r="231" customFormat="false" ht="15" hidden="false" customHeight="false" outlineLevel="0" collapsed="false">
      <c r="A231" s="73" t="str">
        <f aca="false">IF(B231="","",222)</f>
        <v/>
      </c>
      <c r="B231" s="73" t="str">
        <f aca="false">IF($AK231="","",INDEX('REGISTRE ELEVES'!$B$10:$B$250,$AK231))</f>
        <v/>
      </c>
      <c r="C231" s="74" t="str">
        <f aca="false">IF($AK231="","",INDEX('REGISTRE ELEVES'!$D$10:$D$250,$AK231))</f>
        <v/>
      </c>
      <c r="D231" s="73" t="str">
        <f aca="false">IF($AK231="","",INDEX('REGISTRE ELEVES'!$E$10:$E$250,$AK231))</f>
        <v/>
      </c>
      <c r="E231" s="73" t="str">
        <f aca="false">IF($AK231="","",INDEX('REGISTRE ELEVES'!$F$10:$F$250,$AK231))</f>
        <v/>
      </c>
      <c r="F231" s="73" t="str">
        <f aca="false">IF($AK231="","",INDEX('REGISTRE ELEVES'!$AE$10:$AE$250,$AK231))</f>
        <v/>
      </c>
      <c r="G231" s="75"/>
      <c r="H231" s="76"/>
      <c r="I231" s="76"/>
      <c r="J231" s="76"/>
      <c r="K231" s="76"/>
      <c r="L231" s="79" t="str">
        <f aca="false">IF(B231="","",IF($G231="NON",0,IF(COUNT(H231:K231)=0,"",SUM(H231:K231))))</f>
        <v/>
      </c>
      <c r="M231" s="77" t="str">
        <f aca="false">IF(B231="","",IF($G231="NON",0,IF(COUNT(H231:K231)=0,"",IFERROR(ROUND(SUM(H231:K231)/SUMPRODUCT(ISNUMBER(H231:K231)*$H$8:$K$8)*20,2),""))))</f>
        <v/>
      </c>
      <c r="N231" s="75"/>
      <c r="O231" s="76"/>
      <c r="P231" s="76"/>
      <c r="Q231" s="76"/>
      <c r="R231" s="76"/>
      <c r="S231" s="79" t="str">
        <f aca="false">IF(B231="","",IF($N231="NON",0,IF(COUNT(O231:R231)=0,"",SUM(O231:R231))))</f>
        <v/>
      </c>
      <c r="T231" s="77" t="str">
        <f aca="false">IF(B231="","",IF($N231="NON",0,IF(COUNT(O231:R231)=0,"",IFERROR(ROUND(SUM(O231:R231)/SUMPRODUCT(ISNUMBER(O231:R231)*$O$8:$R$8)*20,2),""))))</f>
        <v/>
      </c>
      <c r="U231" s="75"/>
      <c r="V231" s="76"/>
      <c r="W231" s="76"/>
      <c r="X231" s="76"/>
      <c r="Y231" s="76"/>
      <c r="Z231" s="76"/>
      <c r="AA231" s="79" t="str">
        <f aca="false">IF(B231="","",IF($U231="NON",0,IF(COUNT(V231:Z231)=0,"",SUM(V231:Z231))))</f>
        <v/>
      </c>
      <c r="AB231" s="77" t="str">
        <f aca="false">IF(B231="","",IF($U231="NON",0,IF(COUNT(V231:Z231)=0,"",IFERROR(ROUND(SUM(V231:Z231)/SUMPRODUCT(ISNUMBER(V231:Z231)*$V$8:$Z$8)*20,2),""))))</f>
        <v/>
      </c>
      <c r="AC231" s="75"/>
      <c r="AD231" s="76"/>
      <c r="AE231" s="76"/>
      <c r="AF231" s="76"/>
      <c r="AG231" s="76"/>
      <c r="AH231" s="76"/>
      <c r="AI231" s="79" t="str">
        <f aca="false">IF(B231="","",IF($AC231="NON",0,IF(COUNT(AD231:AH231)=0,"",SUM(AD231:AH231))))</f>
        <v/>
      </c>
      <c r="AJ231" s="77" t="str">
        <f aca="false">IF(B231="","",IF($AC231="NON",0,IF(COUNT(AD231:AH231)=0,"",IFERROR(ROUND(SUM(AD231:AH231)/SUMPRODUCT(ISNUMBER(AD231:AH231)*$AD$8:$AH$8)*20,2),""))))</f>
        <v/>
      </c>
      <c r="AK231" s="51" t="str">
        <f aca="false">IFERROR(MATCH("CM2-222",'REGISTRE ELEVES'!$AI$10:$AI$250,0),"")</f>
        <v/>
      </c>
    </row>
    <row r="232" customFormat="false" ht="15" hidden="false" customHeight="false" outlineLevel="0" collapsed="false">
      <c r="A232" s="73" t="str">
        <f aca="false">IF(B232="","",223)</f>
        <v/>
      </c>
      <c r="B232" s="73" t="str">
        <f aca="false">IF($AK232="","",INDEX('REGISTRE ELEVES'!$B$10:$B$250,$AK232))</f>
        <v/>
      </c>
      <c r="C232" s="74" t="str">
        <f aca="false">IF($AK232="","",INDEX('REGISTRE ELEVES'!$D$10:$D$250,$AK232))</f>
        <v/>
      </c>
      <c r="D232" s="73" t="str">
        <f aca="false">IF($AK232="","",INDEX('REGISTRE ELEVES'!$E$10:$E$250,$AK232))</f>
        <v/>
      </c>
      <c r="E232" s="73" t="str">
        <f aca="false">IF($AK232="","",INDEX('REGISTRE ELEVES'!$F$10:$F$250,$AK232))</f>
        <v/>
      </c>
      <c r="F232" s="73" t="str">
        <f aca="false">IF($AK232="","",INDEX('REGISTRE ELEVES'!$AE$10:$AE$250,$AK232))</f>
        <v/>
      </c>
      <c r="G232" s="75"/>
      <c r="H232" s="76"/>
      <c r="I232" s="76"/>
      <c r="J232" s="76"/>
      <c r="K232" s="76"/>
      <c r="L232" s="79" t="str">
        <f aca="false">IF(B232="","",IF($G232="NON",0,IF(COUNT(H232:K232)=0,"",SUM(H232:K232))))</f>
        <v/>
      </c>
      <c r="M232" s="77" t="str">
        <f aca="false">IF(B232="","",IF($G232="NON",0,IF(COUNT(H232:K232)=0,"",IFERROR(ROUND(SUM(H232:K232)/SUMPRODUCT(ISNUMBER(H232:K232)*$H$8:$K$8)*20,2),""))))</f>
        <v/>
      </c>
      <c r="N232" s="75"/>
      <c r="O232" s="76"/>
      <c r="P232" s="76"/>
      <c r="Q232" s="76"/>
      <c r="R232" s="76"/>
      <c r="S232" s="79" t="str">
        <f aca="false">IF(B232="","",IF($N232="NON",0,IF(COUNT(O232:R232)=0,"",SUM(O232:R232))))</f>
        <v/>
      </c>
      <c r="T232" s="77" t="str">
        <f aca="false">IF(B232="","",IF($N232="NON",0,IF(COUNT(O232:R232)=0,"",IFERROR(ROUND(SUM(O232:R232)/SUMPRODUCT(ISNUMBER(O232:R232)*$O$8:$R$8)*20,2),""))))</f>
        <v/>
      </c>
      <c r="U232" s="75"/>
      <c r="V232" s="76"/>
      <c r="W232" s="76"/>
      <c r="X232" s="76"/>
      <c r="Y232" s="76"/>
      <c r="Z232" s="76"/>
      <c r="AA232" s="79" t="str">
        <f aca="false">IF(B232="","",IF($U232="NON",0,IF(COUNT(V232:Z232)=0,"",SUM(V232:Z232))))</f>
        <v/>
      </c>
      <c r="AB232" s="77" t="str">
        <f aca="false">IF(B232="","",IF($U232="NON",0,IF(COUNT(V232:Z232)=0,"",IFERROR(ROUND(SUM(V232:Z232)/SUMPRODUCT(ISNUMBER(V232:Z232)*$V$8:$Z$8)*20,2),""))))</f>
        <v/>
      </c>
      <c r="AC232" s="75"/>
      <c r="AD232" s="76"/>
      <c r="AE232" s="76"/>
      <c r="AF232" s="76"/>
      <c r="AG232" s="76"/>
      <c r="AH232" s="76"/>
      <c r="AI232" s="79" t="str">
        <f aca="false">IF(B232="","",IF($AC232="NON",0,IF(COUNT(AD232:AH232)=0,"",SUM(AD232:AH232))))</f>
        <v/>
      </c>
      <c r="AJ232" s="77" t="str">
        <f aca="false">IF(B232="","",IF($AC232="NON",0,IF(COUNT(AD232:AH232)=0,"",IFERROR(ROUND(SUM(AD232:AH232)/SUMPRODUCT(ISNUMBER(AD232:AH232)*$AD$8:$AH$8)*20,2),""))))</f>
        <v/>
      </c>
      <c r="AK232" s="51" t="str">
        <f aca="false">IFERROR(MATCH("CM2-223",'REGISTRE ELEVES'!$AI$10:$AI$250,0),"")</f>
        <v/>
      </c>
    </row>
    <row r="233" customFormat="false" ht="15" hidden="false" customHeight="false" outlineLevel="0" collapsed="false">
      <c r="A233" s="73" t="str">
        <f aca="false">IF(B233="","",224)</f>
        <v/>
      </c>
      <c r="B233" s="73" t="str">
        <f aca="false">IF($AK233="","",INDEX('REGISTRE ELEVES'!$B$10:$B$250,$AK233))</f>
        <v/>
      </c>
      <c r="C233" s="74" t="str">
        <f aca="false">IF($AK233="","",INDEX('REGISTRE ELEVES'!$D$10:$D$250,$AK233))</f>
        <v/>
      </c>
      <c r="D233" s="73" t="str">
        <f aca="false">IF($AK233="","",INDEX('REGISTRE ELEVES'!$E$10:$E$250,$AK233))</f>
        <v/>
      </c>
      <c r="E233" s="73" t="str">
        <f aca="false">IF($AK233="","",INDEX('REGISTRE ELEVES'!$F$10:$F$250,$AK233))</f>
        <v/>
      </c>
      <c r="F233" s="73" t="str">
        <f aca="false">IF($AK233="","",INDEX('REGISTRE ELEVES'!$AE$10:$AE$250,$AK233))</f>
        <v/>
      </c>
      <c r="G233" s="75"/>
      <c r="H233" s="76"/>
      <c r="I233" s="76"/>
      <c r="J233" s="76"/>
      <c r="K233" s="76"/>
      <c r="L233" s="79" t="str">
        <f aca="false">IF(B233="","",IF($G233="NON",0,IF(COUNT(H233:K233)=0,"",SUM(H233:K233))))</f>
        <v/>
      </c>
      <c r="M233" s="77" t="str">
        <f aca="false">IF(B233="","",IF($G233="NON",0,IF(COUNT(H233:K233)=0,"",IFERROR(ROUND(SUM(H233:K233)/SUMPRODUCT(ISNUMBER(H233:K233)*$H$8:$K$8)*20,2),""))))</f>
        <v/>
      </c>
      <c r="N233" s="75"/>
      <c r="O233" s="76"/>
      <c r="P233" s="76"/>
      <c r="Q233" s="76"/>
      <c r="R233" s="76"/>
      <c r="S233" s="79" t="str">
        <f aca="false">IF(B233="","",IF($N233="NON",0,IF(COUNT(O233:R233)=0,"",SUM(O233:R233))))</f>
        <v/>
      </c>
      <c r="T233" s="77" t="str">
        <f aca="false">IF(B233="","",IF($N233="NON",0,IF(COUNT(O233:R233)=0,"",IFERROR(ROUND(SUM(O233:R233)/SUMPRODUCT(ISNUMBER(O233:R233)*$O$8:$R$8)*20,2),""))))</f>
        <v/>
      </c>
      <c r="U233" s="75"/>
      <c r="V233" s="76"/>
      <c r="W233" s="76"/>
      <c r="X233" s="76"/>
      <c r="Y233" s="76"/>
      <c r="Z233" s="76"/>
      <c r="AA233" s="79" t="str">
        <f aca="false">IF(B233="","",IF($U233="NON",0,IF(COUNT(V233:Z233)=0,"",SUM(V233:Z233))))</f>
        <v/>
      </c>
      <c r="AB233" s="77" t="str">
        <f aca="false">IF(B233="","",IF($U233="NON",0,IF(COUNT(V233:Z233)=0,"",IFERROR(ROUND(SUM(V233:Z233)/SUMPRODUCT(ISNUMBER(V233:Z233)*$V$8:$Z$8)*20,2),""))))</f>
        <v/>
      </c>
      <c r="AC233" s="75"/>
      <c r="AD233" s="76"/>
      <c r="AE233" s="76"/>
      <c r="AF233" s="76"/>
      <c r="AG233" s="76"/>
      <c r="AH233" s="76"/>
      <c r="AI233" s="79" t="str">
        <f aca="false">IF(B233="","",IF($AC233="NON",0,IF(COUNT(AD233:AH233)=0,"",SUM(AD233:AH233))))</f>
        <v/>
      </c>
      <c r="AJ233" s="77" t="str">
        <f aca="false">IF(B233="","",IF($AC233="NON",0,IF(COUNT(AD233:AH233)=0,"",IFERROR(ROUND(SUM(AD233:AH233)/SUMPRODUCT(ISNUMBER(AD233:AH233)*$AD$8:$AH$8)*20,2),""))))</f>
        <v/>
      </c>
      <c r="AK233" s="51" t="str">
        <f aca="false">IFERROR(MATCH("CM2-224",'REGISTRE ELEVES'!$AI$10:$AI$250,0),"")</f>
        <v/>
      </c>
    </row>
    <row r="234" customFormat="false" ht="15" hidden="false" customHeight="false" outlineLevel="0" collapsed="false">
      <c r="A234" s="73" t="str">
        <f aca="false">IF(B234="","",225)</f>
        <v/>
      </c>
      <c r="B234" s="73" t="str">
        <f aca="false">IF($AK234="","",INDEX('REGISTRE ELEVES'!$B$10:$B$250,$AK234))</f>
        <v/>
      </c>
      <c r="C234" s="74" t="str">
        <f aca="false">IF($AK234="","",INDEX('REGISTRE ELEVES'!$D$10:$D$250,$AK234))</f>
        <v/>
      </c>
      <c r="D234" s="73" t="str">
        <f aca="false">IF($AK234="","",INDEX('REGISTRE ELEVES'!$E$10:$E$250,$AK234))</f>
        <v/>
      </c>
      <c r="E234" s="73" t="str">
        <f aca="false">IF($AK234="","",INDEX('REGISTRE ELEVES'!$F$10:$F$250,$AK234))</f>
        <v/>
      </c>
      <c r="F234" s="73" t="str">
        <f aca="false">IF($AK234="","",INDEX('REGISTRE ELEVES'!$AE$10:$AE$250,$AK234))</f>
        <v/>
      </c>
      <c r="G234" s="75"/>
      <c r="H234" s="76"/>
      <c r="I234" s="76"/>
      <c r="J234" s="76"/>
      <c r="K234" s="76"/>
      <c r="L234" s="79" t="str">
        <f aca="false">IF(B234="","",IF($G234="NON",0,IF(COUNT(H234:K234)=0,"",SUM(H234:K234))))</f>
        <v/>
      </c>
      <c r="M234" s="77" t="str">
        <f aca="false">IF(B234="","",IF($G234="NON",0,IF(COUNT(H234:K234)=0,"",IFERROR(ROUND(SUM(H234:K234)/SUMPRODUCT(ISNUMBER(H234:K234)*$H$8:$K$8)*20,2),""))))</f>
        <v/>
      </c>
      <c r="N234" s="75"/>
      <c r="O234" s="76"/>
      <c r="P234" s="76"/>
      <c r="Q234" s="76"/>
      <c r="R234" s="76"/>
      <c r="S234" s="79" t="str">
        <f aca="false">IF(B234="","",IF($N234="NON",0,IF(COUNT(O234:R234)=0,"",SUM(O234:R234))))</f>
        <v/>
      </c>
      <c r="T234" s="77" t="str">
        <f aca="false">IF(B234="","",IF($N234="NON",0,IF(COUNT(O234:R234)=0,"",IFERROR(ROUND(SUM(O234:R234)/SUMPRODUCT(ISNUMBER(O234:R234)*$O$8:$R$8)*20,2),""))))</f>
        <v/>
      </c>
      <c r="U234" s="75"/>
      <c r="V234" s="76"/>
      <c r="W234" s="76"/>
      <c r="X234" s="76"/>
      <c r="Y234" s="76"/>
      <c r="Z234" s="76"/>
      <c r="AA234" s="79" t="str">
        <f aca="false">IF(B234="","",IF($U234="NON",0,IF(COUNT(V234:Z234)=0,"",SUM(V234:Z234))))</f>
        <v/>
      </c>
      <c r="AB234" s="77" t="str">
        <f aca="false">IF(B234="","",IF($U234="NON",0,IF(COUNT(V234:Z234)=0,"",IFERROR(ROUND(SUM(V234:Z234)/SUMPRODUCT(ISNUMBER(V234:Z234)*$V$8:$Z$8)*20,2),""))))</f>
        <v/>
      </c>
      <c r="AC234" s="75"/>
      <c r="AD234" s="76"/>
      <c r="AE234" s="76"/>
      <c r="AF234" s="76"/>
      <c r="AG234" s="76"/>
      <c r="AH234" s="76"/>
      <c r="AI234" s="79" t="str">
        <f aca="false">IF(B234="","",IF($AC234="NON",0,IF(COUNT(AD234:AH234)=0,"",SUM(AD234:AH234))))</f>
        <v/>
      </c>
      <c r="AJ234" s="77" t="str">
        <f aca="false">IF(B234="","",IF($AC234="NON",0,IF(COUNT(AD234:AH234)=0,"",IFERROR(ROUND(SUM(AD234:AH234)/SUMPRODUCT(ISNUMBER(AD234:AH234)*$AD$8:$AH$8)*20,2),""))))</f>
        <v/>
      </c>
      <c r="AK234" s="51" t="str">
        <f aca="false">IFERROR(MATCH("CM2-225",'REGISTRE ELEVES'!$AI$10:$AI$250,0),"")</f>
        <v/>
      </c>
    </row>
    <row r="235" customFormat="false" ht="15" hidden="false" customHeight="false" outlineLevel="0" collapsed="false">
      <c r="A235" s="73" t="str">
        <f aca="false">IF(B235="","",226)</f>
        <v/>
      </c>
      <c r="B235" s="73" t="str">
        <f aca="false">IF($AK235="","",INDEX('REGISTRE ELEVES'!$B$10:$B$250,$AK235))</f>
        <v/>
      </c>
      <c r="C235" s="74" t="str">
        <f aca="false">IF($AK235="","",INDEX('REGISTRE ELEVES'!$D$10:$D$250,$AK235))</f>
        <v/>
      </c>
      <c r="D235" s="73" t="str">
        <f aca="false">IF($AK235="","",INDEX('REGISTRE ELEVES'!$E$10:$E$250,$AK235))</f>
        <v/>
      </c>
      <c r="E235" s="73" t="str">
        <f aca="false">IF($AK235="","",INDEX('REGISTRE ELEVES'!$F$10:$F$250,$AK235))</f>
        <v/>
      </c>
      <c r="F235" s="73" t="str">
        <f aca="false">IF($AK235="","",INDEX('REGISTRE ELEVES'!$AE$10:$AE$250,$AK235))</f>
        <v/>
      </c>
      <c r="G235" s="75"/>
      <c r="H235" s="76"/>
      <c r="I235" s="76"/>
      <c r="J235" s="76"/>
      <c r="K235" s="76"/>
      <c r="L235" s="79" t="str">
        <f aca="false">IF(B235="","",IF($G235="NON",0,IF(COUNT(H235:K235)=0,"",SUM(H235:K235))))</f>
        <v/>
      </c>
      <c r="M235" s="77" t="str">
        <f aca="false">IF(B235="","",IF($G235="NON",0,IF(COUNT(H235:K235)=0,"",IFERROR(ROUND(SUM(H235:K235)/SUMPRODUCT(ISNUMBER(H235:K235)*$H$8:$K$8)*20,2),""))))</f>
        <v/>
      </c>
      <c r="N235" s="75"/>
      <c r="O235" s="76"/>
      <c r="P235" s="76"/>
      <c r="Q235" s="76"/>
      <c r="R235" s="76"/>
      <c r="S235" s="79" t="str">
        <f aca="false">IF(B235="","",IF($N235="NON",0,IF(COUNT(O235:R235)=0,"",SUM(O235:R235))))</f>
        <v/>
      </c>
      <c r="T235" s="77" t="str">
        <f aca="false">IF(B235="","",IF($N235="NON",0,IF(COUNT(O235:R235)=0,"",IFERROR(ROUND(SUM(O235:R235)/SUMPRODUCT(ISNUMBER(O235:R235)*$O$8:$R$8)*20,2),""))))</f>
        <v/>
      </c>
      <c r="U235" s="75"/>
      <c r="V235" s="76"/>
      <c r="W235" s="76"/>
      <c r="X235" s="76"/>
      <c r="Y235" s="76"/>
      <c r="Z235" s="76"/>
      <c r="AA235" s="79" t="str">
        <f aca="false">IF(B235="","",IF($U235="NON",0,IF(COUNT(V235:Z235)=0,"",SUM(V235:Z235))))</f>
        <v/>
      </c>
      <c r="AB235" s="77" t="str">
        <f aca="false">IF(B235="","",IF($U235="NON",0,IF(COUNT(V235:Z235)=0,"",IFERROR(ROUND(SUM(V235:Z235)/SUMPRODUCT(ISNUMBER(V235:Z235)*$V$8:$Z$8)*20,2),""))))</f>
        <v/>
      </c>
      <c r="AC235" s="75"/>
      <c r="AD235" s="76"/>
      <c r="AE235" s="76"/>
      <c r="AF235" s="76"/>
      <c r="AG235" s="76"/>
      <c r="AH235" s="76"/>
      <c r="AI235" s="79" t="str">
        <f aca="false">IF(B235="","",IF($AC235="NON",0,IF(COUNT(AD235:AH235)=0,"",SUM(AD235:AH235))))</f>
        <v/>
      </c>
      <c r="AJ235" s="77" t="str">
        <f aca="false">IF(B235="","",IF($AC235="NON",0,IF(COUNT(AD235:AH235)=0,"",IFERROR(ROUND(SUM(AD235:AH235)/SUMPRODUCT(ISNUMBER(AD235:AH235)*$AD$8:$AH$8)*20,2),""))))</f>
        <v/>
      </c>
      <c r="AK235" s="51" t="str">
        <f aca="false">IFERROR(MATCH("CM2-226",'REGISTRE ELEVES'!$AI$10:$AI$250,0),"")</f>
        <v/>
      </c>
    </row>
    <row r="236" customFormat="false" ht="15" hidden="false" customHeight="false" outlineLevel="0" collapsed="false">
      <c r="A236" s="73" t="str">
        <f aca="false">IF(B236="","",227)</f>
        <v/>
      </c>
      <c r="B236" s="73" t="str">
        <f aca="false">IF($AK236="","",INDEX('REGISTRE ELEVES'!$B$10:$B$250,$AK236))</f>
        <v/>
      </c>
      <c r="C236" s="74" t="str">
        <f aca="false">IF($AK236="","",INDEX('REGISTRE ELEVES'!$D$10:$D$250,$AK236))</f>
        <v/>
      </c>
      <c r="D236" s="73" t="str">
        <f aca="false">IF($AK236="","",INDEX('REGISTRE ELEVES'!$E$10:$E$250,$AK236))</f>
        <v/>
      </c>
      <c r="E236" s="73" t="str">
        <f aca="false">IF($AK236="","",INDEX('REGISTRE ELEVES'!$F$10:$F$250,$AK236))</f>
        <v/>
      </c>
      <c r="F236" s="73" t="str">
        <f aca="false">IF($AK236="","",INDEX('REGISTRE ELEVES'!$AE$10:$AE$250,$AK236))</f>
        <v/>
      </c>
      <c r="G236" s="75"/>
      <c r="H236" s="76"/>
      <c r="I236" s="76"/>
      <c r="J236" s="76"/>
      <c r="K236" s="76"/>
      <c r="L236" s="79" t="str">
        <f aca="false">IF(B236="","",IF($G236="NON",0,IF(COUNT(H236:K236)=0,"",SUM(H236:K236))))</f>
        <v/>
      </c>
      <c r="M236" s="77" t="str">
        <f aca="false">IF(B236="","",IF($G236="NON",0,IF(COUNT(H236:K236)=0,"",IFERROR(ROUND(SUM(H236:K236)/SUMPRODUCT(ISNUMBER(H236:K236)*$H$8:$K$8)*20,2),""))))</f>
        <v/>
      </c>
      <c r="N236" s="75"/>
      <c r="O236" s="76"/>
      <c r="P236" s="76"/>
      <c r="Q236" s="76"/>
      <c r="R236" s="76"/>
      <c r="S236" s="79" t="str">
        <f aca="false">IF(B236="","",IF($N236="NON",0,IF(COUNT(O236:R236)=0,"",SUM(O236:R236))))</f>
        <v/>
      </c>
      <c r="T236" s="77" t="str">
        <f aca="false">IF(B236="","",IF($N236="NON",0,IF(COUNT(O236:R236)=0,"",IFERROR(ROUND(SUM(O236:R236)/SUMPRODUCT(ISNUMBER(O236:R236)*$O$8:$R$8)*20,2),""))))</f>
        <v/>
      </c>
      <c r="U236" s="75"/>
      <c r="V236" s="76"/>
      <c r="W236" s="76"/>
      <c r="X236" s="76"/>
      <c r="Y236" s="76"/>
      <c r="Z236" s="76"/>
      <c r="AA236" s="79" t="str">
        <f aca="false">IF(B236="","",IF($U236="NON",0,IF(COUNT(V236:Z236)=0,"",SUM(V236:Z236))))</f>
        <v/>
      </c>
      <c r="AB236" s="77" t="str">
        <f aca="false">IF(B236="","",IF($U236="NON",0,IF(COUNT(V236:Z236)=0,"",IFERROR(ROUND(SUM(V236:Z236)/SUMPRODUCT(ISNUMBER(V236:Z236)*$V$8:$Z$8)*20,2),""))))</f>
        <v/>
      </c>
      <c r="AC236" s="75"/>
      <c r="AD236" s="76"/>
      <c r="AE236" s="76"/>
      <c r="AF236" s="76"/>
      <c r="AG236" s="76"/>
      <c r="AH236" s="76"/>
      <c r="AI236" s="79" t="str">
        <f aca="false">IF(B236="","",IF($AC236="NON",0,IF(COUNT(AD236:AH236)=0,"",SUM(AD236:AH236))))</f>
        <v/>
      </c>
      <c r="AJ236" s="77" t="str">
        <f aca="false">IF(B236="","",IF($AC236="NON",0,IF(COUNT(AD236:AH236)=0,"",IFERROR(ROUND(SUM(AD236:AH236)/SUMPRODUCT(ISNUMBER(AD236:AH236)*$AD$8:$AH$8)*20,2),""))))</f>
        <v/>
      </c>
      <c r="AK236" s="51" t="str">
        <f aca="false">IFERROR(MATCH("CM2-227",'REGISTRE ELEVES'!$AI$10:$AI$250,0),"")</f>
        <v/>
      </c>
    </row>
    <row r="237" customFormat="false" ht="15" hidden="false" customHeight="false" outlineLevel="0" collapsed="false">
      <c r="A237" s="73" t="str">
        <f aca="false">IF(B237="","",228)</f>
        <v/>
      </c>
      <c r="B237" s="73" t="str">
        <f aca="false">IF($AK237="","",INDEX('REGISTRE ELEVES'!$B$10:$B$250,$AK237))</f>
        <v/>
      </c>
      <c r="C237" s="74" t="str">
        <f aca="false">IF($AK237="","",INDEX('REGISTRE ELEVES'!$D$10:$D$250,$AK237))</f>
        <v/>
      </c>
      <c r="D237" s="73" t="str">
        <f aca="false">IF($AK237="","",INDEX('REGISTRE ELEVES'!$E$10:$E$250,$AK237))</f>
        <v/>
      </c>
      <c r="E237" s="73" t="str">
        <f aca="false">IF($AK237="","",INDEX('REGISTRE ELEVES'!$F$10:$F$250,$AK237))</f>
        <v/>
      </c>
      <c r="F237" s="73" t="str">
        <f aca="false">IF($AK237="","",INDEX('REGISTRE ELEVES'!$AE$10:$AE$250,$AK237))</f>
        <v/>
      </c>
      <c r="G237" s="75"/>
      <c r="H237" s="76"/>
      <c r="I237" s="76"/>
      <c r="J237" s="76"/>
      <c r="K237" s="76"/>
      <c r="L237" s="79" t="str">
        <f aca="false">IF(B237="","",IF($G237="NON",0,IF(COUNT(H237:K237)=0,"",SUM(H237:K237))))</f>
        <v/>
      </c>
      <c r="M237" s="77" t="str">
        <f aca="false">IF(B237="","",IF($G237="NON",0,IF(COUNT(H237:K237)=0,"",IFERROR(ROUND(SUM(H237:K237)/SUMPRODUCT(ISNUMBER(H237:K237)*$H$8:$K$8)*20,2),""))))</f>
        <v/>
      </c>
      <c r="N237" s="75"/>
      <c r="O237" s="76"/>
      <c r="P237" s="76"/>
      <c r="Q237" s="76"/>
      <c r="R237" s="76"/>
      <c r="S237" s="79" t="str">
        <f aca="false">IF(B237="","",IF($N237="NON",0,IF(COUNT(O237:R237)=0,"",SUM(O237:R237))))</f>
        <v/>
      </c>
      <c r="T237" s="77" t="str">
        <f aca="false">IF(B237="","",IF($N237="NON",0,IF(COUNT(O237:R237)=0,"",IFERROR(ROUND(SUM(O237:R237)/SUMPRODUCT(ISNUMBER(O237:R237)*$O$8:$R$8)*20,2),""))))</f>
        <v/>
      </c>
      <c r="U237" s="75"/>
      <c r="V237" s="76"/>
      <c r="W237" s="76"/>
      <c r="X237" s="76"/>
      <c r="Y237" s="76"/>
      <c r="Z237" s="76"/>
      <c r="AA237" s="79" t="str">
        <f aca="false">IF(B237="","",IF($U237="NON",0,IF(COUNT(V237:Z237)=0,"",SUM(V237:Z237))))</f>
        <v/>
      </c>
      <c r="AB237" s="77" t="str">
        <f aca="false">IF(B237="","",IF($U237="NON",0,IF(COUNT(V237:Z237)=0,"",IFERROR(ROUND(SUM(V237:Z237)/SUMPRODUCT(ISNUMBER(V237:Z237)*$V$8:$Z$8)*20,2),""))))</f>
        <v/>
      </c>
      <c r="AC237" s="75"/>
      <c r="AD237" s="76"/>
      <c r="AE237" s="76"/>
      <c r="AF237" s="76"/>
      <c r="AG237" s="76"/>
      <c r="AH237" s="76"/>
      <c r="AI237" s="79" t="str">
        <f aca="false">IF(B237="","",IF($AC237="NON",0,IF(COUNT(AD237:AH237)=0,"",SUM(AD237:AH237))))</f>
        <v/>
      </c>
      <c r="AJ237" s="77" t="str">
        <f aca="false">IF(B237="","",IF($AC237="NON",0,IF(COUNT(AD237:AH237)=0,"",IFERROR(ROUND(SUM(AD237:AH237)/SUMPRODUCT(ISNUMBER(AD237:AH237)*$AD$8:$AH$8)*20,2),""))))</f>
        <v/>
      </c>
      <c r="AK237" s="51" t="str">
        <f aca="false">IFERROR(MATCH("CM2-228",'REGISTRE ELEVES'!$AI$10:$AI$250,0),"")</f>
        <v/>
      </c>
    </row>
    <row r="238" customFormat="false" ht="15" hidden="false" customHeight="false" outlineLevel="0" collapsed="false">
      <c r="A238" s="73" t="str">
        <f aca="false">IF(B238="","",229)</f>
        <v/>
      </c>
      <c r="B238" s="73" t="str">
        <f aca="false">IF($AK238="","",INDEX('REGISTRE ELEVES'!$B$10:$B$250,$AK238))</f>
        <v/>
      </c>
      <c r="C238" s="74" t="str">
        <f aca="false">IF($AK238="","",INDEX('REGISTRE ELEVES'!$D$10:$D$250,$AK238))</f>
        <v/>
      </c>
      <c r="D238" s="73" t="str">
        <f aca="false">IF($AK238="","",INDEX('REGISTRE ELEVES'!$E$10:$E$250,$AK238))</f>
        <v/>
      </c>
      <c r="E238" s="73" t="str">
        <f aca="false">IF($AK238="","",INDEX('REGISTRE ELEVES'!$F$10:$F$250,$AK238))</f>
        <v/>
      </c>
      <c r="F238" s="73" t="str">
        <f aca="false">IF($AK238="","",INDEX('REGISTRE ELEVES'!$AE$10:$AE$250,$AK238))</f>
        <v/>
      </c>
      <c r="G238" s="75"/>
      <c r="H238" s="76"/>
      <c r="I238" s="76"/>
      <c r="J238" s="76"/>
      <c r="K238" s="76"/>
      <c r="L238" s="79" t="str">
        <f aca="false">IF(B238="","",IF($G238="NON",0,IF(COUNT(H238:K238)=0,"",SUM(H238:K238))))</f>
        <v/>
      </c>
      <c r="M238" s="77" t="str">
        <f aca="false">IF(B238="","",IF($G238="NON",0,IF(COUNT(H238:K238)=0,"",IFERROR(ROUND(SUM(H238:K238)/SUMPRODUCT(ISNUMBER(H238:K238)*$H$8:$K$8)*20,2),""))))</f>
        <v/>
      </c>
      <c r="N238" s="75"/>
      <c r="O238" s="76"/>
      <c r="P238" s="76"/>
      <c r="Q238" s="76"/>
      <c r="R238" s="76"/>
      <c r="S238" s="79" t="str">
        <f aca="false">IF(B238="","",IF($N238="NON",0,IF(COUNT(O238:R238)=0,"",SUM(O238:R238))))</f>
        <v/>
      </c>
      <c r="T238" s="77" t="str">
        <f aca="false">IF(B238="","",IF($N238="NON",0,IF(COUNT(O238:R238)=0,"",IFERROR(ROUND(SUM(O238:R238)/SUMPRODUCT(ISNUMBER(O238:R238)*$O$8:$R$8)*20,2),""))))</f>
        <v/>
      </c>
      <c r="U238" s="75"/>
      <c r="V238" s="76"/>
      <c r="W238" s="76"/>
      <c r="X238" s="76"/>
      <c r="Y238" s="76"/>
      <c r="Z238" s="76"/>
      <c r="AA238" s="79" t="str">
        <f aca="false">IF(B238="","",IF($U238="NON",0,IF(COUNT(V238:Z238)=0,"",SUM(V238:Z238))))</f>
        <v/>
      </c>
      <c r="AB238" s="77" t="str">
        <f aca="false">IF(B238="","",IF($U238="NON",0,IF(COUNT(V238:Z238)=0,"",IFERROR(ROUND(SUM(V238:Z238)/SUMPRODUCT(ISNUMBER(V238:Z238)*$V$8:$Z$8)*20,2),""))))</f>
        <v/>
      </c>
      <c r="AC238" s="75"/>
      <c r="AD238" s="76"/>
      <c r="AE238" s="76"/>
      <c r="AF238" s="76"/>
      <c r="AG238" s="76"/>
      <c r="AH238" s="76"/>
      <c r="AI238" s="79" t="str">
        <f aca="false">IF(B238="","",IF($AC238="NON",0,IF(COUNT(AD238:AH238)=0,"",SUM(AD238:AH238))))</f>
        <v/>
      </c>
      <c r="AJ238" s="77" t="str">
        <f aca="false">IF(B238="","",IF($AC238="NON",0,IF(COUNT(AD238:AH238)=0,"",IFERROR(ROUND(SUM(AD238:AH238)/SUMPRODUCT(ISNUMBER(AD238:AH238)*$AD$8:$AH$8)*20,2),""))))</f>
        <v/>
      </c>
      <c r="AK238" s="51" t="str">
        <f aca="false">IFERROR(MATCH("CM2-229",'REGISTRE ELEVES'!$AI$10:$AI$250,0),"")</f>
        <v/>
      </c>
    </row>
    <row r="239" customFormat="false" ht="15" hidden="false" customHeight="false" outlineLevel="0" collapsed="false">
      <c r="A239" s="73" t="str">
        <f aca="false">IF(B239="","",230)</f>
        <v/>
      </c>
      <c r="B239" s="73" t="str">
        <f aca="false">IF($AK239="","",INDEX('REGISTRE ELEVES'!$B$10:$B$250,$AK239))</f>
        <v/>
      </c>
      <c r="C239" s="74" t="str">
        <f aca="false">IF($AK239="","",INDEX('REGISTRE ELEVES'!$D$10:$D$250,$AK239))</f>
        <v/>
      </c>
      <c r="D239" s="73" t="str">
        <f aca="false">IF($AK239="","",INDEX('REGISTRE ELEVES'!$E$10:$E$250,$AK239))</f>
        <v/>
      </c>
      <c r="E239" s="73" t="str">
        <f aca="false">IF($AK239="","",INDEX('REGISTRE ELEVES'!$F$10:$F$250,$AK239))</f>
        <v/>
      </c>
      <c r="F239" s="73" t="str">
        <f aca="false">IF($AK239="","",INDEX('REGISTRE ELEVES'!$AE$10:$AE$250,$AK239))</f>
        <v/>
      </c>
      <c r="G239" s="75"/>
      <c r="H239" s="76"/>
      <c r="I239" s="76"/>
      <c r="J239" s="76"/>
      <c r="K239" s="76"/>
      <c r="L239" s="79" t="str">
        <f aca="false">IF(B239="","",IF($G239="NON",0,IF(COUNT(H239:K239)=0,"",SUM(H239:K239))))</f>
        <v/>
      </c>
      <c r="M239" s="77" t="str">
        <f aca="false">IF(B239="","",IF($G239="NON",0,IF(COUNT(H239:K239)=0,"",IFERROR(ROUND(SUM(H239:K239)/SUMPRODUCT(ISNUMBER(H239:K239)*$H$8:$K$8)*20,2),""))))</f>
        <v/>
      </c>
      <c r="N239" s="75"/>
      <c r="O239" s="76"/>
      <c r="P239" s="76"/>
      <c r="Q239" s="76"/>
      <c r="R239" s="76"/>
      <c r="S239" s="79" t="str">
        <f aca="false">IF(B239="","",IF($N239="NON",0,IF(COUNT(O239:R239)=0,"",SUM(O239:R239))))</f>
        <v/>
      </c>
      <c r="T239" s="77" t="str">
        <f aca="false">IF(B239="","",IF($N239="NON",0,IF(COUNT(O239:R239)=0,"",IFERROR(ROUND(SUM(O239:R239)/SUMPRODUCT(ISNUMBER(O239:R239)*$O$8:$R$8)*20,2),""))))</f>
        <v/>
      </c>
      <c r="U239" s="75"/>
      <c r="V239" s="76"/>
      <c r="W239" s="76"/>
      <c r="X239" s="76"/>
      <c r="Y239" s="76"/>
      <c r="Z239" s="76"/>
      <c r="AA239" s="79" t="str">
        <f aca="false">IF(B239="","",IF($U239="NON",0,IF(COUNT(V239:Z239)=0,"",SUM(V239:Z239))))</f>
        <v/>
      </c>
      <c r="AB239" s="77" t="str">
        <f aca="false">IF(B239="","",IF($U239="NON",0,IF(COUNT(V239:Z239)=0,"",IFERROR(ROUND(SUM(V239:Z239)/SUMPRODUCT(ISNUMBER(V239:Z239)*$V$8:$Z$8)*20,2),""))))</f>
        <v/>
      </c>
      <c r="AC239" s="75"/>
      <c r="AD239" s="76"/>
      <c r="AE239" s="76"/>
      <c r="AF239" s="76"/>
      <c r="AG239" s="76"/>
      <c r="AH239" s="76"/>
      <c r="AI239" s="79" t="str">
        <f aca="false">IF(B239="","",IF($AC239="NON",0,IF(COUNT(AD239:AH239)=0,"",SUM(AD239:AH239))))</f>
        <v/>
      </c>
      <c r="AJ239" s="77" t="str">
        <f aca="false">IF(B239="","",IF($AC239="NON",0,IF(COUNT(AD239:AH239)=0,"",IFERROR(ROUND(SUM(AD239:AH239)/SUMPRODUCT(ISNUMBER(AD239:AH239)*$AD$8:$AH$8)*20,2),""))))</f>
        <v/>
      </c>
      <c r="AK239" s="51" t="str">
        <f aca="false">IFERROR(MATCH("CM2-230",'REGISTRE ELEVES'!$AI$10:$AI$250,0),"")</f>
        <v/>
      </c>
    </row>
    <row r="240" customFormat="false" ht="15" hidden="false" customHeight="false" outlineLevel="0" collapsed="false">
      <c r="A240" s="73" t="str">
        <f aca="false">IF(B240="","",231)</f>
        <v/>
      </c>
      <c r="B240" s="73" t="str">
        <f aca="false">IF($AK240="","",INDEX('REGISTRE ELEVES'!$B$10:$B$250,$AK240))</f>
        <v/>
      </c>
      <c r="C240" s="74" t="str">
        <f aca="false">IF($AK240="","",INDEX('REGISTRE ELEVES'!$D$10:$D$250,$AK240))</f>
        <v/>
      </c>
      <c r="D240" s="73" t="str">
        <f aca="false">IF($AK240="","",INDEX('REGISTRE ELEVES'!$E$10:$E$250,$AK240))</f>
        <v/>
      </c>
      <c r="E240" s="73" t="str">
        <f aca="false">IF($AK240="","",INDEX('REGISTRE ELEVES'!$F$10:$F$250,$AK240))</f>
        <v/>
      </c>
      <c r="F240" s="73" t="str">
        <f aca="false">IF($AK240="","",INDEX('REGISTRE ELEVES'!$AE$10:$AE$250,$AK240))</f>
        <v/>
      </c>
      <c r="G240" s="75"/>
      <c r="H240" s="76"/>
      <c r="I240" s="76"/>
      <c r="J240" s="76"/>
      <c r="K240" s="76"/>
      <c r="L240" s="79" t="str">
        <f aca="false">IF(B240="","",IF($G240="NON",0,IF(COUNT(H240:K240)=0,"",SUM(H240:K240))))</f>
        <v/>
      </c>
      <c r="M240" s="77" t="str">
        <f aca="false">IF(B240="","",IF($G240="NON",0,IF(COUNT(H240:K240)=0,"",IFERROR(ROUND(SUM(H240:K240)/SUMPRODUCT(ISNUMBER(H240:K240)*$H$8:$K$8)*20,2),""))))</f>
        <v/>
      </c>
      <c r="N240" s="75"/>
      <c r="O240" s="76"/>
      <c r="P240" s="76"/>
      <c r="Q240" s="76"/>
      <c r="R240" s="76"/>
      <c r="S240" s="79" t="str">
        <f aca="false">IF(B240="","",IF($N240="NON",0,IF(COUNT(O240:R240)=0,"",SUM(O240:R240))))</f>
        <v/>
      </c>
      <c r="T240" s="77" t="str">
        <f aca="false">IF(B240="","",IF($N240="NON",0,IF(COUNT(O240:R240)=0,"",IFERROR(ROUND(SUM(O240:R240)/SUMPRODUCT(ISNUMBER(O240:R240)*$O$8:$R$8)*20,2),""))))</f>
        <v/>
      </c>
      <c r="U240" s="75"/>
      <c r="V240" s="76"/>
      <c r="W240" s="76"/>
      <c r="X240" s="76"/>
      <c r="Y240" s="76"/>
      <c r="Z240" s="76"/>
      <c r="AA240" s="79" t="str">
        <f aca="false">IF(B240="","",IF($U240="NON",0,IF(COUNT(V240:Z240)=0,"",SUM(V240:Z240))))</f>
        <v/>
      </c>
      <c r="AB240" s="77" t="str">
        <f aca="false">IF(B240="","",IF($U240="NON",0,IF(COUNT(V240:Z240)=0,"",IFERROR(ROUND(SUM(V240:Z240)/SUMPRODUCT(ISNUMBER(V240:Z240)*$V$8:$Z$8)*20,2),""))))</f>
        <v/>
      </c>
      <c r="AC240" s="75"/>
      <c r="AD240" s="76"/>
      <c r="AE240" s="76"/>
      <c r="AF240" s="76"/>
      <c r="AG240" s="76"/>
      <c r="AH240" s="76"/>
      <c r="AI240" s="79" t="str">
        <f aca="false">IF(B240="","",IF($AC240="NON",0,IF(COUNT(AD240:AH240)=0,"",SUM(AD240:AH240))))</f>
        <v/>
      </c>
      <c r="AJ240" s="77" t="str">
        <f aca="false">IF(B240="","",IF($AC240="NON",0,IF(COUNT(AD240:AH240)=0,"",IFERROR(ROUND(SUM(AD240:AH240)/SUMPRODUCT(ISNUMBER(AD240:AH240)*$AD$8:$AH$8)*20,2),""))))</f>
        <v/>
      </c>
      <c r="AK240" s="51" t="str">
        <f aca="false">IFERROR(MATCH("CM2-231",'REGISTRE ELEVES'!$AI$10:$AI$250,0),"")</f>
        <v/>
      </c>
    </row>
    <row r="241" customFormat="false" ht="15" hidden="false" customHeight="false" outlineLevel="0" collapsed="false">
      <c r="A241" s="73" t="str">
        <f aca="false">IF(B241="","",232)</f>
        <v/>
      </c>
      <c r="B241" s="73" t="str">
        <f aca="false">IF($AK241="","",INDEX('REGISTRE ELEVES'!$B$10:$B$250,$AK241))</f>
        <v/>
      </c>
      <c r="C241" s="74" t="str">
        <f aca="false">IF($AK241="","",INDEX('REGISTRE ELEVES'!$D$10:$D$250,$AK241))</f>
        <v/>
      </c>
      <c r="D241" s="73" t="str">
        <f aca="false">IF($AK241="","",INDEX('REGISTRE ELEVES'!$E$10:$E$250,$AK241))</f>
        <v/>
      </c>
      <c r="E241" s="73" t="str">
        <f aca="false">IF($AK241="","",INDEX('REGISTRE ELEVES'!$F$10:$F$250,$AK241))</f>
        <v/>
      </c>
      <c r="F241" s="73" t="str">
        <f aca="false">IF($AK241="","",INDEX('REGISTRE ELEVES'!$AE$10:$AE$250,$AK241))</f>
        <v/>
      </c>
      <c r="G241" s="75"/>
      <c r="H241" s="76"/>
      <c r="I241" s="76"/>
      <c r="J241" s="76"/>
      <c r="K241" s="76"/>
      <c r="L241" s="79" t="str">
        <f aca="false">IF(B241="","",IF($G241="NON",0,IF(COUNT(H241:K241)=0,"",SUM(H241:K241))))</f>
        <v/>
      </c>
      <c r="M241" s="77" t="str">
        <f aca="false">IF(B241="","",IF($G241="NON",0,IF(COUNT(H241:K241)=0,"",IFERROR(ROUND(SUM(H241:K241)/SUMPRODUCT(ISNUMBER(H241:K241)*$H$8:$K$8)*20,2),""))))</f>
        <v/>
      </c>
      <c r="N241" s="75"/>
      <c r="O241" s="76"/>
      <c r="P241" s="76"/>
      <c r="Q241" s="76"/>
      <c r="R241" s="76"/>
      <c r="S241" s="79" t="str">
        <f aca="false">IF(B241="","",IF($N241="NON",0,IF(COUNT(O241:R241)=0,"",SUM(O241:R241))))</f>
        <v/>
      </c>
      <c r="T241" s="77" t="str">
        <f aca="false">IF(B241="","",IF($N241="NON",0,IF(COUNT(O241:R241)=0,"",IFERROR(ROUND(SUM(O241:R241)/SUMPRODUCT(ISNUMBER(O241:R241)*$O$8:$R$8)*20,2),""))))</f>
        <v/>
      </c>
      <c r="U241" s="75"/>
      <c r="V241" s="76"/>
      <c r="W241" s="76"/>
      <c r="X241" s="76"/>
      <c r="Y241" s="76"/>
      <c r="Z241" s="76"/>
      <c r="AA241" s="79" t="str">
        <f aca="false">IF(B241="","",IF($U241="NON",0,IF(COUNT(V241:Z241)=0,"",SUM(V241:Z241))))</f>
        <v/>
      </c>
      <c r="AB241" s="77" t="str">
        <f aca="false">IF(B241="","",IF($U241="NON",0,IF(COUNT(V241:Z241)=0,"",IFERROR(ROUND(SUM(V241:Z241)/SUMPRODUCT(ISNUMBER(V241:Z241)*$V$8:$Z$8)*20,2),""))))</f>
        <v/>
      </c>
      <c r="AC241" s="75"/>
      <c r="AD241" s="76"/>
      <c r="AE241" s="76"/>
      <c r="AF241" s="76"/>
      <c r="AG241" s="76"/>
      <c r="AH241" s="76"/>
      <c r="AI241" s="79" t="str">
        <f aca="false">IF(B241="","",IF($AC241="NON",0,IF(COUNT(AD241:AH241)=0,"",SUM(AD241:AH241))))</f>
        <v/>
      </c>
      <c r="AJ241" s="77" t="str">
        <f aca="false">IF(B241="","",IF($AC241="NON",0,IF(COUNT(AD241:AH241)=0,"",IFERROR(ROUND(SUM(AD241:AH241)/SUMPRODUCT(ISNUMBER(AD241:AH241)*$AD$8:$AH$8)*20,2),""))))</f>
        <v/>
      </c>
      <c r="AK241" s="51" t="str">
        <f aca="false">IFERROR(MATCH("CM2-232",'REGISTRE ELEVES'!$AI$10:$AI$250,0),"")</f>
        <v/>
      </c>
    </row>
    <row r="242" customFormat="false" ht="15" hidden="false" customHeight="false" outlineLevel="0" collapsed="false">
      <c r="A242" s="73" t="str">
        <f aca="false">IF(B242="","",233)</f>
        <v/>
      </c>
      <c r="B242" s="73" t="str">
        <f aca="false">IF($AK242="","",INDEX('REGISTRE ELEVES'!$B$10:$B$250,$AK242))</f>
        <v/>
      </c>
      <c r="C242" s="74" t="str">
        <f aca="false">IF($AK242="","",INDEX('REGISTRE ELEVES'!$D$10:$D$250,$AK242))</f>
        <v/>
      </c>
      <c r="D242" s="73" t="str">
        <f aca="false">IF($AK242="","",INDEX('REGISTRE ELEVES'!$E$10:$E$250,$AK242))</f>
        <v/>
      </c>
      <c r="E242" s="73" t="str">
        <f aca="false">IF($AK242="","",INDEX('REGISTRE ELEVES'!$F$10:$F$250,$AK242))</f>
        <v/>
      </c>
      <c r="F242" s="73" t="str">
        <f aca="false">IF($AK242="","",INDEX('REGISTRE ELEVES'!$AE$10:$AE$250,$AK242))</f>
        <v/>
      </c>
      <c r="G242" s="75"/>
      <c r="H242" s="76"/>
      <c r="I242" s="76"/>
      <c r="J242" s="76"/>
      <c r="K242" s="76"/>
      <c r="L242" s="79" t="str">
        <f aca="false">IF(B242="","",IF($G242="NON",0,IF(COUNT(H242:K242)=0,"",SUM(H242:K242))))</f>
        <v/>
      </c>
      <c r="M242" s="77" t="str">
        <f aca="false">IF(B242="","",IF($G242="NON",0,IF(COUNT(H242:K242)=0,"",IFERROR(ROUND(SUM(H242:K242)/SUMPRODUCT(ISNUMBER(H242:K242)*$H$8:$K$8)*20,2),""))))</f>
        <v/>
      </c>
      <c r="N242" s="75"/>
      <c r="O242" s="76"/>
      <c r="P242" s="76"/>
      <c r="Q242" s="76"/>
      <c r="R242" s="76"/>
      <c r="S242" s="79" t="str">
        <f aca="false">IF(B242="","",IF($N242="NON",0,IF(COUNT(O242:R242)=0,"",SUM(O242:R242))))</f>
        <v/>
      </c>
      <c r="T242" s="77" t="str">
        <f aca="false">IF(B242="","",IF($N242="NON",0,IF(COUNT(O242:R242)=0,"",IFERROR(ROUND(SUM(O242:R242)/SUMPRODUCT(ISNUMBER(O242:R242)*$O$8:$R$8)*20,2),""))))</f>
        <v/>
      </c>
      <c r="U242" s="75"/>
      <c r="V242" s="76"/>
      <c r="W242" s="76"/>
      <c r="X242" s="76"/>
      <c r="Y242" s="76"/>
      <c r="Z242" s="76"/>
      <c r="AA242" s="79" t="str">
        <f aca="false">IF(B242="","",IF($U242="NON",0,IF(COUNT(V242:Z242)=0,"",SUM(V242:Z242))))</f>
        <v/>
      </c>
      <c r="AB242" s="77" t="str">
        <f aca="false">IF(B242="","",IF($U242="NON",0,IF(COUNT(V242:Z242)=0,"",IFERROR(ROUND(SUM(V242:Z242)/SUMPRODUCT(ISNUMBER(V242:Z242)*$V$8:$Z$8)*20,2),""))))</f>
        <v/>
      </c>
      <c r="AC242" s="75"/>
      <c r="AD242" s="76"/>
      <c r="AE242" s="76"/>
      <c r="AF242" s="76"/>
      <c r="AG242" s="76"/>
      <c r="AH242" s="76"/>
      <c r="AI242" s="79" t="str">
        <f aca="false">IF(B242="","",IF($AC242="NON",0,IF(COUNT(AD242:AH242)=0,"",SUM(AD242:AH242))))</f>
        <v/>
      </c>
      <c r="AJ242" s="77" t="str">
        <f aca="false">IF(B242="","",IF($AC242="NON",0,IF(COUNT(AD242:AH242)=0,"",IFERROR(ROUND(SUM(AD242:AH242)/SUMPRODUCT(ISNUMBER(AD242:AH242)*$AD$8:$AH$8)*20,2),""))))</f>
        <v/>
      </c>
      <c r="AK242" s="51" t="str">
        <f aca="false">IFERROR(MATCH("CM2-233",'REGISTRE ELEVES'!$AI$10:$AI$250,0),"")</f>
        <v/>
      </c>
    </row>
    <row r="243" customFormat="false" ht="15" hidden="false" customHeight="false" outlineLevel="0" collapsed="false">
      <c r="A243" s="73" t="str">
        <f aca="false">IF(B243="","",234)</f>
        <v/>
      </c>
      <c r="B243" s="73" t="str">
        <f aca="false">IF($AK243="","",INDEX('REGISTRE ELEVES'!$B$10:$B$250,$AK243))</f>
        <v/>
      </c>
      <c r="C243" s="74" t="str">
        <f aca="false">IF($AK243="","",INDEX('REGISTRE ELEVES'!$D$10:$D$250,$AK243))</f>
        <v/>
      </c>
      <c r="D243" s="73" t="str">
        <f aca="false">IF($AK243="","",INDEX('REGISTRE ELEVES'!$E$10:$E$250,$AK243))</f>
        <v/>
      </c>
      <c r="E243" s="73" t="str">
        <f aca="false">IF($AK243="","",INDEX('REGISTRE ELEVES'!$F$10:$F$250,$AK243))</f>
        <v/>
      </c>
      <c r="F243" s="73" t="str">
        <f aca="false">IF($AK243="","",INDEX('REGISTRE ELEVES'!$AE$10:$AE$250,$AK243))</f>
        <v/>
      </c>
      <c r="G243" s="75"/>
      <c r="H243" s="76"/>
      <c r="I243" s="76"/>
      <c r="J243" s="76"/>
      <c r="K243" s="76"/>
      <c r="L243" s="79" t="str">
        <f aca="false">IF(B243="","",IF($G243="NON",0,IF(COUNT(H243:K243)=0,"",SUM(H243:K243))))</f>
        <v/>
      </c>
      <c r="M243" s="77" t="str">
        <f aca="false">IF(B243="","",IF($G243="NON",0,IF(COUNT(H243:K243)=0,"",IFERROR(ROUND(SUM(H243:K243)/SUMPRODUCT(ISNUMBER(H243:K243)*$H$8:$K$8)*20,2),""))))</f>
        <v/>
      </c>
      <c r="N243" s="75"/>
      <c r="O243" s="76"/>
      <c r="P243" s="76"/>
      <c r="Q243" s="76"/>
      <c r="R243" s="76"/>
      <c r="S243" s="79" t="str">
        <f aca="false">IF(B243="","",IF($N243="NON",0,IF(COUNT(O243:R243)=0,"",SUM(O243:R243))))</f>
        <v/>
      </c>
      <c r="T243" s="77" t="str">
        <f aca="false">IF(B243="","",IF($N243="NON",0,IF(COUNT(O243:R243)=0,"",IFERROR(ROUND(SUM(O243:R243)/SUMPRODUCT(ISNUMBER(O243:R243)*$O$8:$R$8)*20,2),""))))</f>
        <v/>
      </c>
      <c r="U243" s="75"/>
      <c r="V243" s="76"/>
      <c r="W243" s="76"/>
      <c r="X243" s="76"/>
      <c r="Y243" s="76"/>
      <c r="Z243" s="76"/>
      <c r="AA243" s="79" t="str">
        <f aca="false">IF(B243="","",IF($U243="NON",0,IF(COUNT(V243:Z243)=0,"",SUM(V243:Z243))))</f>
        <v/>
      </c>
      <c r="AB243" s="77" t="str">
        <f aca="false">IF(B243="","",IF($U243="NON",0,IF(COUNT(V243:Z243)=0,"",IFERROR(ROUND(SUM(V243:Z243)/SUMPRODUCT(ISNUMBER(V243:Z243)*$V$8:$Z$8)*20,2),""))))</f>
        <v/>
      </c>
      <c r="AC243" s="75"/>
      <c r="AD243" s="76"/>
      <c r="AE243" s="76"/>
      <c r="AF243" s="76"/>
      <c r="AG243" s="76"/>
      <c r="AH243" s="76"/>
      <c r="AI243" s="79" t="str">
        <f aca="false">IF(B243="","",IF($AC243="NON",0,IF(COUNT(AD243:AH243)=0,"",SUM(AD243:AH243))))</f>
        <v/>
      </c>
      <c r="AJ243" s="77" t="str">
        <f aca="false">IF(B243="","",IF($AC243="NON",0,IF(COUNT(AD243:AH243)=0,"",IFERROR(ROUND(SUM(AD243:AH243)/SUMPRODUCT(ISNUMBER(AD243:AH243)*$AD$8:$AH$8)*20,2),""))))</f>
        <v/>
      </c>
      <c r="AK243" s="51" t="str">
        <f aca="false">IFERROR(MATCH("CM2-234",'REGISTRE ELEVES'!$AI$10:$AI$250,0),"")</f>
        <v/>
      </c>
    </row>
    <row r="244" customFormat="false" ht="15" hidden="false" customHeight="false" outlineLevel="0" collapsed="false">
      <c r="A244" s="73" t="str">
        <f aca="false">IF(B244="","",235)</f>
        <v/>
      </c>
      <c r="B244" s="73" t="str">
        <f aca="false">IF($AK244="","",INDEX('REGISTRE ELEVES'!$B$10:$B$250,$AK244))</f>
        <v/>
      </c>
      <c r="C244" s="74" t="str">
        <f aca="false">IF($AK244="","",INDEX('REGISTRE ELEVES'!$D$10:$D$250,$AK244))</f>
        <v/>
      </c>
      <c r="D244" s="73" t="str">
        <f aca="false">IF($AK244="","",INDEX('REGISTRE ELEVES'!$E$10:$E$250,$AK244))</f>
        <v/>
      </c>
      <c r="E244" s="73" t="str">
        <f aca="false">IF($AK244="","",INDEX('REGISTRE ELEVES'!$F$10:$F$250,$AK244))</f>
        <v/>
      </c>
      <c r="F244" s="73" t="str">
        <f aca="false">IF($AK244="","",INDEX('REGISTRE ELEVES'!$AE$10:$AE$250,$AK244))</f>
        <v/>
      </c>
      <c r="G244" s="75"/>
      <c r="H244" s="76"/>
      <c r="I244" s="76"/>
      <c r="J244" s="76"/>
      <c r="K244" s="76"/>
      <c r="L244" s="79" t="str">
        <f aca="false">IF(B244="","",IF($G244="NON",0,IF(COUNT(H244:K244)=0,"",SUM(H244:K244))))</f>
        <v/>
      </c>
      <c r="M244" s="77" t="str">
        <f aca="false">IF(B244="","",IF($G244="NON",0,IF(COUNT(H244:K244)=0,"",IFERROR(ROUND(SUM(H244:K244)/SUMPRODUCT(ISNUMBER(H244:K244)*$H$8:$K$8)*20,2),""))))</f>
        <v/>
      </c>
      <c r="N244" s="75"/>
      <c r="O244" s="76"/>
      <c r="P244" s="76"/>
      <c r="Q244" s="76"/>
      <c r="R244" s="76"/>
      <c r="S244" s="79" t="str">
        <f aca="false">IF(B244="","",IF($N244="NON",0,IF(COUNT(O244:R244)=0,"",SUM(O244:R244))))</f>
        <v/>
      </c>
      <c r="T244" s="77" t="str">
        <f aca="false">IF(B244="","",IF($N244="NON",0,IF(COUNT(O244:R244)=0,"",IFERROR(ROUND(SUM(O244:R244)/SUMPRODUCT(ISNUMBER(O244:R244)*$O$8:$R$8)*20,2),""))))</f>
        <v/>
      </c>
      <c r="U244" s="75"/>
      <c r="V244" s="76"/>
      <c r="W244" s="76"/>
      <c r="X244" s="76"/>
      <c r="Y244" s="76"/>
      <c r="Z244" s="76"/>
      <c r="AA244" s="79" t="str">
        <f aca="false">IF(B244="","",IF($U244="NON",0,IF(COUNT(V244:Z244)=0,"",SUM(V244:Z244))))</f>
        <v/>
      </c>
      <c r="AB244" s="77" t="str">
        <f aca="false">IF(B244="","",IF($U244="NON",0,IF(COUNT(V244:Z244)=0,"",IFERROR(ROUND(SUM(V244:Z244)/SUMPRODUCT(ISNUMBER(V244:Z244)*$V$8:$Z$8)*20,2),""))))</f>
        <v/>
      </c>
      <c r="AC244" s="75"/>
      <c r="AD244" s="76"/>
      <c r="AE244" s="76"/>
      <c r="AF244" s="76"/>
      <c r="AG244" s="76"/>
      <c r="AH244" s="76"/>
      <c r="AI244" s="79" t="str">
        <f aca="false">IF(B244="","",IF($AC244="NON",0,IF(COUNT(AD244:AH244)=0,"",SUM(AD244:AH244))))</f>
        <v/>
      </c>
      <c r="AJ244" s="77" t="str">
        <f aca="false">IF(B244="","",IF($AC244="NON",0,IF(COUNT(AD244:AH244)=0,"",IFERROR(ROUND(SUM(AD244:AH244)/SUMPRODUCT(ISNUMBER(AD244:AH244)*$AD$8:$AH$8)*20,2),""))))</f>
        <v/>
      </c>
      <c r="AK244" s="51" t="str">
        <f aca="false">IFERROR(MATCH("CM2-235",'REGISTRE ELEVES'!$AI$10:$AI$250,0),"")</f>
        <v/>
      </c>
    </row>
    <row r="245" customFormat="false" ht="15" hidden="false" customHeight="false" outlineLevel="0" collapsed="false">
      <c r="A245" s="73" t="str">
        <f aca="false">IF(B245="","",236)</f>
        <v/>
      </c>
      <c r="B245" s="73" t="str">
        <f aca="false">IF($AK245="","",INDEX('REGISTRE ELEVES'!$B$10:$B$250,$AK245))</f>
        <v/>
      </c>
      <c r="C245" s="74" t="str">
        <f aca="false">IF($AK245="","",INDEX('REGISTRE ELEVES'!$D$10:$D$250,$AK245))</f>
        <v/>
      </c>
      <c r="D245" s="73" t="str">
        <f aca="false">IF($AK245="","",INDEX('REGISTRE ELEVES'!$E$10:$E$250,$AK245))</f>
        <v/>
      </c>
      <c r="E245" s="73" t="str">
        <f aca="false">IF($AK245="","",INDEX('REGISTRE ELEVES'!$F$10:$F$250,$AK245))</f>
        <v/>
      </c>
      <c r="F245" s="73" t="str">
        <f aca="false">IF($AK245="","",INDEX('REGISTRE ELEVES'!$AE$10:$AE$250,$AK245))</f>
        <v/>
      </c>
      <c r="G245" s="75"/>
      <c r="H245" s="76"/>
      <c r="I245" s="76"/>
      <c r="J245" s="76"/>
      <c r="K245" s="76"/>
      <c r="L245" s="79" t="str">
        <f aca="false">IF(B245="","",IF($G245="NON",0,IF(COUNT(H245:K245)=0,"",SUM(H245:K245))))</f>
        <v/>
      </c>
      <c r="M245" s="77" t="str">
        <f aca="false">IF(B245="","",IF($G245="NON",0,IF(COUNT(H245:K245)=0,"",IFERROR(ROUND(SUM(H245:K245)/SUMPRODUCT(ISNUMBER(H245:K245)*$H$8:$K$8)*20,2),""))))</f>
        <v/>
      </c>
      <c r="N245" s="75"/>
      <c r="O245" s="76"/>
      <c r="P245" s="76"/>
      <c r="Q245" s="76"/>
      <c r="R245" s="76"/>
      <c r="S245" s="79" t="str">
        <f aca="false">IF(B245="","",IF($N245="NON",0,IF(COUNT(O245:R245)=0,"",SUM(O245:R245))))</f>
        <v/>
      </c>
      <c r="T245" s="77" t="str">
        <f aca="false">IF(B245="","",IF($N245="NON",0,IF(COUNT(O245:R245)=0,"",IFERROR(ROUND(SUM(O245:R245)/SUMPRODUCT(ISNUMBER(O245:R245)*$O$8:$R$8)*20,2),""))))</f>
        <v/>
      </c>
      <c r="U245" s="75"/>
      <c r="V245" s="76"/>
      <c r="W245" s="76"/>
      <c r="X245" s="76"/>
      <c r="Y245" s="76"/>
      <c r="Z245" s="76"/>
      <c r="AA245" s="79" t="str">
        <f aca="false">IF(B245="","",IF($U245="NON",0,IF(COUNT(V245:Z245)=0,"",SUM(V245:Z245))))</f>
        <v/>
      </c>
      <c r="AB245" s="77" t="str">
        <f aca="false">IF(B245="","",IF($U245="NON",0,IF(COUNT(V245:Z245)=0,"",IFERROR(ROUND(SUM(V245:Z245)/SUMPRODUCT(ISNUMBER(V245:Z245)*$V$8:$Z$8)*20,2),""))))</f>
        <v/>
      </c>
      <c r="AC245" s="75"/>
      <c r="AD245" s="76"/>
      <c r="AE245" s="76"/>
      <c r="AF245" s="76"/>
      <c r="AG245" s="76"/>
      <c r="AH245" s="76"/>
      <c r="AI245" s="79" t="str">
        <f aca="false">IF(B245="","",IF($AC245="NON",0,IF(COUNT(AD245:AH245)=0,"",SUM(AD245:AH245))))</f>
        <v/>
      </c>
      <c r="AJ245" s="77" t="str">
        <f aca="false">IF(B245="","",IF($AC245="NON",0,IF(COUNT(AD245:AH245)=0,"",IFERROR(ROUND(SUM(AD245:AH245)/SUMPRODUCT(ISNUMBER(AD245:AH245)*$AD$8:$AH$8)*20,2),""))))</f>
        <v/>
      </c>
      <c r="AK245" s="51" t="str">
        <f aca="false">IFERROR(MATCH("CM2-236",'REGISTRE ELEVES'!$AI$10:$AI$250,0),"")</f>
        <v/>
      </c>
    </row>
    <row r="246" customFormat="false" ht="15" hidden="false" customHeight="false" outlineLevel="0" collapsed="false">
      <c r="A246" s="73" t="str">
        <f aca="false">IF(B246="","",237)</f>
        <v/>
      </c>
      <c r="B246" s="73" t="str">
        <f aca="false">IF($AK246="","",INDEX('REGISTRE ELEVES'!$B$10:$B$250,$AK246))</f>
        <v/>
      </c>
      <c r="C246" s="74" t="str">
        <f aca="false">IF($AK246="","",INDEX('REGISTRE ELEVES'!$D$10:$D$250,$AK246))</f>
        <v/>
      </c>
      <c r="D246" s="73" t="str">
        <f aca="false">IF($AK246="","",INDEX('REGISTRE ELEVES'!$E$10:$E$250,$AK246))</f>
        <v/>
      </c>
      <c r="E246" s="73" t="str">
        <f aca="false">IF($AK246="","",INDEX('REGISTRE ELEVES'!$F$10:$F$250,$AK246))</f>
        <v/>
      </c>
      <c r="F246" s="73" t="str">
        <f aca="false">IF($AK246="","",INDEX('REGISTRE ELEVES'!$AE$10:$AE$250,$AK246))</f>
        <v/>
      </c>
      <c r="G246" s="75"/>
      <c r="H246" s="76"/>
      <c r="I246" s="76"/>
      <c r="J246" s="76"/>
      <c r="K246" s="76"/>
      <c r="L246" s="79" t="str">
        <f aca="false">IF(B246="","",IF($G246="NON",0,IF(COUNT(H246:K246)=0,"",SUM(H246:K246))))</f>
        <v/>
      </c>
      <c r="M246" s="77" t="str">
        <f aca="false">IF(B246="","",IF($G246="NON",0,IF(COUNT(H246:K246)=0,"",IFERROR(ROUND(SUM(H246:K246)/SUMPRODUCT(ISNUMBER(H246:K246)*$H$8:$K$8)*20,2),""))))</f>
        <v/>
      </c>
      <c r="N246" s="75"/>
      <c r="O246" s="76"/>
      <c r="P246" s="76"/>
      <c r="Q246" s="76"/>
      <c r="R246" s="76"/>
      <c r="S246" s="79" t="str">
        <f aca="false">IF(B246="","",IF($N246="NON",0,IF(COUNT(O246:R246)=0,"",SUM(O246:R246))))</f>
        <v/>
      </c>
      <c r="T246" s="77" t="str">
        <f aca="false">IF(B246="","",IF($N246="NON",0,IF(COUNT(O246:R246)=0,"",IFERROR(ROUND(SUM(O246:R246)/SUMPRODUCT(ISNUMBER(O246:R246)*$O$8:$R$8)*20,2),""))))</f>
        <v/>
      </c>
      <c r="U246" s="75"/>
      <c r="V246" s="76"/>
      <c r="W246" s="76"/>
      <c r="X246" s="76"/>
      <c r="Y246" s="76"/>
      <c r="Z246" s="76"/>
      <c r="AA246" s="79" t="str">
        <f aca="false">IF(B246="","",IF($U246="NON",0,IF(COUNT(V246:Z246)=0,"",SUM(V246:Z246))))</f>
        <v/>
      </c>
      <c r="AB246" s="77" t="str">
        <f aca="false">IF(B246="","",IF($U246="NON",0,IF(COUNT(V246:Z246)=0,"",IFERROR(ROUND(SUM(V246:Z246)/SUMPRODUCT(ISNUMBER(V246:Z246)*$V$8:$Z$8)*20,2),""))))</f>
        <v/>
      </c>
      <c r="AC246" s="75"/>
      <c r="AD246" s="76"/>
      <c r="AE246" s="76"/>
      <c r="AF246" s="76"/>
      <c r="AG246" s="76"/>
      <c r="AH246" s="76"/>
      <c r="AI246" s="79" t="str">
        <f aca="false">IF(B246="","",IF($AC246="NON",0,IF(COUNT(AD246:AH246)=0,"",SUM(AD246:AH246))))</f>
        <v/>
      </c>
      <c r="AJ246" s="77" t="str">
        <f aca="false">IF(B246="","",IF($AC246="NON",0,IF(COUNT(AD246:AH246)=0,"",IFERROR(ROUND(SUM(AD246:AH246)/SUMPRODUCT(ISNUMBER(AD246:AH246)*$AD$8:$AH$8)*20,2),""))))</f>
        <v/>
      </c>
      <c r="AK246" s="51" t="str">
        <f aca="false">IFERROR(MATCH("CM2-237",'REGISTRE ELEVES'!$AI$10:$AI$250,0),"")</f>
        <v/>
      </c>
    </row>
    <row r="247" customFormat="false" ht="15" hidden="false" customHeight="false" outlineLevel="0" collapsed="false">
      <c r="A247" s="73" t="str">
        <f aca="false">IF(B247="","",238)</f>
        <v/>
      </c>
      <c r="B247" s="73" t="str">
        <f aca="false">IF($AK247="","",INDEX('REGISTRE ELEVES'!$B$10:$B$250,$AK247))</f>
        <v/>
      </c>
      <c r="C247" s="74" t="str">
        <f aca="false">IF($AK247="","",INDEX('REGISTRE ELEVES'!$D$10:$D$250,$AK247))</f>
        <v/>
      </c>
      <c r="D247" s="73" t="str">
        <f aca="false">IF($AK247="","",INDEX('REGISTRE ELEVES'!$E$10:$E$250,$AK247))</f>
        <v/>
      </c>
      <c r="E247" s="73" t="str">
        <f aca="false">IF($AK247="","",INDEX('REGISTRE ELEVES'!$F$10:$F$250,$AK247))</f>
        <v/>
      </c>
      <c r="F247" s="73" t="str">
        <f aca="false">IF($AK247="","",INDEX('REGISTRE ELEVES'!$AE$10:$AE$250,$AK247))</f>
        <v/>
      </c>
      <c r="G247" s="75"/>
      <c r="H247" s="76"/>
      <c r="I247" s="76"/>
      <c r="J247" s="76"/>
      <c r="K247" s="76"/>
      <c r="L247" s="79" t="str">
        <f aca="false">IF(B247="","",IF($G247="NON",0,IF(COUNT(H247:K247)=0,"",SUM(H247:K247))))</f>
        <v/>
      </c>
      <c r="M247" s="77" t="str">
        <f aca="false">IF(B247="","",IF($G247="NON",0,IF(COUNT(H247:K247)=0,"",IFERROR(ROUND(SUM(H247:K247)/SUMPRODUCT(ISNUMBER(H247:K247)*$H$8:$K$8)*20,2),""))))</f>
        <v/>
      </c>
      <c r="N247" s="75"/>
      <c r="O247" s="76"/>
      <c r="P247" s="76"/>
      <c r="Q247" s="76"/>
      <c r="R247" s="76"/>
      <c r="S247" s="79" t="str">
        <f aca="false">IF(B247="","",IF($N247="NON",0,IF(COUNT(O247:R247)=0,"",SUM(O247:R247))))</f>
        <v/>
      </c>
      <c r="T247" s="77" t="str">
        <f aca="false">IF(B247="","",IF($N247="NON",0,IF(COUNT(O247:R247)=0,"",IFERROR(ROUND(SUM(O247:R247)/SUMPRODUCT(ISNUMBER(O247:R247)*$O$8:$R$8)*20,2),""))))</f>
        <v/>
      </c>
      <c r="U247" s="75"/>
      <c r="V247" s="76"/>
      <c r="W247" s="76"/>
      <c r="X247" s="76"/>
      <c r="Y247" s="76"/>
      <c r="Z247" s="76"/>
      <c r="AA247" s="79" t="str">
        <f aca="false">IF(B247="","",IF($U247="NON",0,IF(COUNT(V247:Z247)=0,"",SUM(V247:Z247))))</f>
        <v/>
      </c>
      <c r="AB247" s="77" t="str">
        <f aca="false">IF(B247="","",IF($U247="NON",0,IF(COUNT(V247:Z247)=0,"",IFERROR(ROUND(SUM(V247:Z247)/SUMPRODUCT(ISNUMBER(V247:Z247)*$V$8:$Z$8)*20,2),""))))</f>
        <v/>
      </c>
      <c r="AC247" s="75"/>
      <c r="AD247" s="76"/>
      <c r="AE247" s="76"/>
      <c r="AF247" s="76"/>
      <c r="AG247" s="76"/>
      <c r="AH247" s="76"/>
      <c r="AI247" s="79" t="str">
        <f aca="false">IF(B247="","",IF($AC247="NON",0,IF(COUNT(AD247:AH247)=0,"",SUM(AD247:AH247))))</f>
        <v/>
      </c>
      <c r="AJ247" s="77" t="str">
        <f aca="false">IF(B247="","",IF($AC247="NON",0,IF(COUNT(AD247:AH247)=0,"",IFERROR(ROUND(SUM(AD247:AH247)/SUMPRODUCT(ISNUMBER(AD247:AH247)*$AD$8:$AH$8)*20,2),""))))</f>
        <v/>
      </c>
      <c r="AK247" s="51" t="str">
        <f aca="false">IFERROR(MATCH("CM2-238",'REGISTRE ELEVES'!$AI$10:$AI$250,0),"")</f>
        <v/>
      </c>
    </row>
    <row r="248" customFormat="false" ht="15" hidden="false" customHeight="false" outlineLevel="0" collapsed="false">
      <c r="A248" s="73" t="str">
        <f aca="false">IF(B248="","",239)</f>
        <v/>
      </c>
      <c r="B248" s="73" t="str">
        <f aca="false">IF($AK248="","",INDEX('REGISTRE ELEVES'!$B$10:$B$250,$AK248))</f>
        <v/>
      </c>
      <c r="C248" s="74" t="str">
        <f aca="false">IF($AK248="","",INDEX('REGISTRE ELEVES'!$D$10:$D$250,$AK248))</f>
        <v/>
      </c>
      <c r="D248" s="73" t="str">
        <f aca="false">IF($AK248="","",INDEX('REGISTRE ELEVES'!$E$10:$E$250,$AK248))</f>
        <v/>
      </c>
      <c r="E248" s="73" t="str">
        <f aca="false">IF($AK248="","",INDEX('REGISTRE ELEVES'!$F$10:$F$250,$AK248))</f>
        <v/>
      </c>
      <c r="F248" s="73" t="str">
        <f aca="false">IF($AK248="","",INDEX('REGISTRE ELEVES'!$AE$10:$AE$250,$AK248))</f>
        <v/>
      </c>
      <c r="G248" s="75"/>
      <c r="H248" s="76"/>
      <c r="I248" s="76"/>
      <c r="J248" s="76"/>
      <c r="K248" s="76"/>
      <c r="L248" s="79" t="str">
        <f aca="false">IF(B248="","",IF($G248="NON",0,IF(COUNT(H248:K248)=0,"",SUM(H248:K248))))</f>
        <v/>
      </c>
      <c r="M248" s="77" t="str">
        <f aca="false">IF(B248="","",IF($G248="NON",0,IF(COUNT(H248:K248)=0,"",IFERROR(ROUND(SUM(H248:K248)/SUMPRODUCT(ISNUMBER(H248:K248)*$H$8:$K$8)*20,2),""))))</f>
        <v/>
      </c>
      <c r="N248" s="75"/>
      <c r="O248" s="76"/>
      <c r="P248" s="76"/>
      <c r="Q248" s="76"/>
      <c r="R248" s="76"/>
      <c r="S248" s="79" t="str">
        <f aca="false">IF(B248="","",IF($N248="NON",0,IF(COUNT(O248:R248)=0,"",SUM(O248:R248))))</f>
        <v/>
      </c>
      <c r="T248" s="77" t="str">
        <f aca="false">IF(B248="","",IF($N248="NON",0,IF(COUNT(O248:R248)=0,"",IFERROR(ROUND(SUM(O248:R248)/SUMPRODUCT(ISNUMBER(O248:R248)*$O$8:$R$8)*20,2),""))))</f>
        <v/>
      </c>
      <c r="U248" s="75"/>
      <c r="V248" s="76"/>
      <c r="W248" s="76"/>
      <c r="X248" s="76"/>
      <c r="Y248" s="76"/>
      <c r="Z248" s="76"/>
      <c r="AA248" s="79" t="str">
        <f aca="false">IF(B248="","",IF($U248="NON",0,IF(COUNT(V248:Z248)=0,"",SUM(V248:Z248))))</f>
        <v/>
      </c>
      <c r="AB248" s="77" t="str">
        <f aca="false">IF(B248="","",IF($U248="NON",0,IF(COUNT(V248:Z248)=0,"",IFERROR(ROUND(SUM(V248:Z248)/SUMPRODUCT(ISNUMBER(V248:Z248)*$V$8:$Z$8)*20,2),""))))</f>
        <v/>
      </c>
      <c r="AC248" s="75"/>
      <c r="AD248" s="76"/>
      <c r="AE248" s="76"/>
      <c r="AF248" s="76"/>
      <c r="AG248" s="76"/>
      <c r="AH248" s="76"/>
      <c r="AI248" s="79" t="str">
        <f aca="false">IF(B248="","",IF($AC248="NON",0,IF(COUNT(AD248:AH248)=0,"",SUM(AD248:AH248))))</f>
        <v/>
      </c>
      <c r="AJ248" s="77" t="str">
        <f aca="false">IF(B248="","",IF($AC248="NON",0,IF(COUNT(AD248:AH248)=0,"",IFERROR(ROUND(SUM(AD248:AH248)/SUMPRODUCT(ISNUMBER(AD248:AH248)*$AD$8:$AH$8)*20,2),""))))</f>
        <v/>
      </c>
      <c r="AK248" s="51" t="str">
        <f aca="false">IFERROR(MATCH("CM2-239",'REGISTRE ELEVES'!$AI$10:$AI$250,0),"")</f>
        <v/>
      </c>
    </row>
    <row r="249" customFormat="false" ht="15" hidden="false" customHeight="false" outlineLevel="0" collapsed="false">
      <c r="A249" s="73" t="str">
        <f aca="false">IF(B249="","",240)</f>
        <v/>
      </c>
      <c r="B249" s="73" t="str">
        <f aca="false">IF($AK249="","",INDEX('REGISTRE ELEVES'!$B$10:$B$250,$AK249))</f>
        <v/>
      </c>
      <c r="C249" s="74" t="str">
        <f aca="false">IF($AK249="","",INDEX('REGISTRE ELEVES'!$D$10:$D$250,$AK249))</f>
        <v/>
      </c>
      <c r="D249" s="73" t="str">
        <f aca="false">IF($AK249="","",INDEX('REGISTRE ELEVES'!$E$10:$E$250,$AK249))</f>
        <v/>
      </c>
      <c r="E249" s="73" t="str">
        <f aca="false">IF($AK249="","",INDEX('REGISTRE ELEVES'!$F$10:$F$250,$AK249))</f>
        <v/>
      </c>
      <c r="F249" s="73" t="str">
        <f aca="false">IF($AK249="","",INDEX('REGISTRE ELEVES'!$AE$10:$AE$250,$AK249))</f>
        <v/>
      </c>
      <c r="G249" s="75"/>
      <c r="H249" s="76"/>
      <c r="I249" s="76"/>
      <c r="J249" s="76"/>
      <c r="K249" s="76"/>
      <c r="L249" s="79" t="str">
        <f aca="false">IF(B249="","",IF($G249="NON",0,IF(COUNT(H249:K249)=0,"",SUM(H249:K249))))</f>
        <v/>
      </c>
      <c r="M249" s="77" t="str">
        <f aca="false">IF(B249="","",IF($G249="NON",0,IF(COUNT(H249:K249)=0,"",IFERROR(ROUND(SUM(H249:K249)/SUMPRODUCT(ISNUMBER(H249:K249)*$H$8:$K$8)*20,2),""))))</f>
        <v/>
      </c>
      <c r="N249" s="75"/>
      <c r="O249" s="76"/>
      <c r="P249" s="76"/>
      <c r="Q249" s="76"/>
      <c r="R249" s="76"/>
      <c r="S249" s="79" t="str">
        <f aca="false">IF(B249="","",IF($N249="NON",0,IF(COUNT(O249:R249)=0,"",SUM(O249:R249))))</f>
        <v/>
      </c>
      <c r="T249" s="77" t="str">
        <f aca="false">IF(B249="","",IF($N249="NON",0,IF(COUNT(O249:R249)=0,"",IFERROR(ROUND(SUM(O249:R249)/SUMPRODUCT(ISNUMBER(O249:R249)*$O$8:$R$8)*20,2),""))))</f>
        <v/>
      </c>
      <c r="U249" s="75"/>
      <c r="V249" s="76"/>
      <c r="W249" s="76"/>
      <c r="X249" s="76"/>
      <c r="Y249" s="76"/>
      <c r="Z249" s="76"/>
      <c r="AA249" s="79" t="str">
        <f aca="false">IF(B249="","",IF($U249="NON",0,IF(COUNT(V249:Z249)=0,"",SUM(V249:Z249))))</f>
        <v/>
      </c>
      <c r="AB249" s="77" t="str">
        <f aca="false">IF(B249="","",IF($U249="NON",0,IF(COUNT(V249:Z249)=0,"",IFERROR(ROUND(SUM(V249:Z249)/SUMPRODUCT(ISNUMBER(V249:Z249)*$V$8:$Z$8)*20,2),""))))</f>
        <v/>
      </c>
      <c r="AC249" s="75"/>
      <c r="AD249" s="76"/>
      <c r="AE249" s="76"/>
      <c r="AF249" s="76"/>
      <c r="AG249" s="76"/>
      <c r="AH249" s="76"/>
      <c r="AI249" s="79" t="str">
        <f aca="false">IF(B249="","",IF($AC249="NON",0,IF(COUNT(AD249:AH249)=0,"",SUM(AD249:AH249))))</f>
        <v/>
      </c>
      <c r="AJ249" s="77" t="str">
        <f aca="false">IF(B249="","",IF($AC249="NON",0,IF(COUNT(AD249:AH249)=0,"",IFERROR(ROUND(SUM(AD249:AH249)/SUMPRODUCT(ISNUMBER(AD249:AH249)*$AD$8:$AH$8)*20,2),""))))</f>
        <v/>
      </c>
      <c r="AK249" s="51" t="str">
        <f aca="false">IFERROR(MATCH("CM2-240",'REGISTRE ELEVES'!$AI$10:$AI$250,0),"")</f>
        <v/>
      </c>
    </row>
    <row r="250" customFormat="false" ht="15" hidden="false" customHeight="false" outlineLevel="0" collapsed="false">
      <c r="A250" s="73" t="str">
        <f aca="false">IF(B250="","",241)</f>
        <v/>
      </c>
      <c r="B250" s="73" t="str">
        <f aca="false">IF($AK250="","",INDEX('REGISTRE ELEVES'!$B$10:$B$250,$AK250))</f>
        <v/>
      </c>
      <c r="C250" s="74" t="str">
        <f aca="false">IF($AK250="","",INDEX('REGISTRE ELEVES'!$D$10:$D$250,$AK250))</f>
        <v/>
      </c>
      <c r="D250" s="73" t="str">
        <f aca="false">IF($AK250="","",INDEX('REGISTRE ELEVES'!$E$10:$E$250,$AK250))</f>
        <v/>
      </c>
      <c r="E250" s="73" t="str">
        <f aca="false">IF($AK250="","",INDEX('REGISTRE ELEVES'!$F$10:$F$250,$AK250))</f>
        <v/>
      </c>
      <c r="F250" s="73" t="str">
        <f aca="false">IF($AK250="","",INDEX('REGISTRE ELEVES'!$AE$10:$AE$250,$AK250))</f>
        <v/>
      </c>
      <c r="G250" s="75"/>
      <c r="H250" s="76"/>
      <c r="I250" s="76"/>
      <c r="J250" s="76"/>
      <c r="K250" s="76"/>
      <c r="L250" s="79" t="str">
        <f aca="false">IF(B250="","",IF($G250="NON",0,IF(COUNT(H250:K250)=0,"",SUM(H250:K250))))</f>
        <v/>
      </c>
      <c r="M250" s="77" t="str">
        <f aca="false">IF(B250="","",IF($G250="NON",0,IF(COUNT(H250:K250)=0,"",IFERROR(ROUND(SUM(H250:K250)/SUMPRODUCT(ISNUMBER(H250:K250)*$H$8:$K$8)*20,2),""))))</f>
        <v/>
      </c>
      <c r="N250" s="75"/>
      <c r="O250" s="76"/>
      <c r="P250" s="76"/>
      <c r="Q250" s="76"/>
      <c r="R250" s="76"/>
      <c r="S250" s="79" t="str">
        <f aca="false">IF(B250="","",IF($N250="NON",0,IF(COUNT(O250:R250)=0,"",SUM(O250:R250))))</f>
        <v/>
      </c>
      <c r="T250" s="77" t="str">
        <f aca="false">IF(B250="","",IF($N250="NON",0,IF(COUNT(O250:R250)=0,"",IFERROR(ROUND(SUM(O250:R250)/SUMPRODUCT(ISNUMBER(O250:R250)*$O$8:$R$8)*20,2),""))))</f>
        <v/>
      </c>
      <c r="U250" s="75"/>
      <c r="V250" s="76"/>
      <c r="W250" s="76"/>
      <c r="X250" s="76"/>
      <c r="Y250" s="76"/>
      <c r="Z250" s="76"/>
      <c r="AA250" s="79" t="str">
        <f aca="false">IF(B250="","",IF($U250="NON",0,IF(COUNT(V250:Z250)=0,"",SUM(V250:Z250))))</f>
        <v/>
      </c>
      <c r="AB250" s="77" t="str">
        <f aca="false">IF(B250="","",IF($U250="NON",0,IF(COUNT(V250:Z250)=0,"",IFERROR(ROUND(SUM(V250:Z250)/SUMPRODUCT(ISNUMBER(V250:Z250)*$V$8:$Z$8)*20,2),""))))</f>
        <v/>
      </c>
      <c r="AC250" s="75"/>
      <c r="AD250" s="76"/>
      <c r="AE250" s="76"/>
      <c r="AF250" s="76"/>
      <c r="AG250" s="76"/>
      <c r="AH250" s="76"/>
      <c r="AI250" s="79" t="str">
        <f aca="false">IF(B250="","",IF($AC250="NON",0,IF(COUNT(AD250:AH250)=0,"",SUM(AD250:AH250))))</f>
        <v/>
      </c>
      <c r="AJ250" s="77" t="str">
        <f aca="false">IF(B250="","",IF($AC250="NON",0,IF(COUNT(AD250:AH250)=0,"",IFERROR(ROUND(SUM(AD250:AH250)/SUMPRODUCT(ISNUMBER(AD250:AH250)*$AD$8:$AH$8)*20,2),""))))</f>
        <v/>
      </c>
      <c r="AK250" s="51" t="str">
        <f aca="false">IFERROR(MATCH("CM2-241",'REGISTRE ELEVES'!$AI$10:$AI$250,0),"")</f>
        <v/>
      </c>
    </row>
  </sheetData>
  <autoFilter ref="A9:AJ250"/>
  <mergeCells count="13">
    <mergeCell ref="A1:R1"/>
    <mergeCell ref="S1:AJ1"/>
    <mergeCell ref="A2:R2"/>
    <mergeCell ref="S2:AJ2"/>
    <mergeCell ref="A3:R3"/>
    <mergeCell ref="S3:AJ3"/>
    <mergeCell ref="A4:R4"/>
    <mergeCell ref="A6:AJ6"/>
    <mergeCell ref="G7:M7"/>
    <mergeCell ref="N7:T7"/>
    <mergeCell ref="U7:AB7"/>
    <mergeCell ref="AC7:AJ7"/>
    <mergeCell ref="C8:F8"/>
  </mergeCells>
  <conditionalFormatting sqref="H10:M250">
    <cfRule type="expression" priority="2" aboveAverage="0" equalAverage="0" bottom="0" percent="0" rank="0" text="" dxfId="25">
      <formula>$G10="NON"</formula>
    </cfRule>
  </conditionalFormatting>
  <conditionalFormatting sqref="G10:G250">
    <cfRule type="cellIs" priority="3" operator="equal" aboveAverage="0" equalAverage="0" bottom="0" percent="0" rank="0" text="" dxfId="26">
      <formula>"NON"</formula>
    </cfRule>
  </conditionalFormatting>
  <conditionalFormatting sqref="O10:T250">
    <cfRule type="expression" priority="4" aboveAverage="0" equalAverage="0" bottom="0" percent="0" rank="0" text="" dxfId="25">
      <formula>$N10="NON"</formula>
    </cfRule>
  </conditionalFormatting>
  <conditionalFormatting sqref="N10:N250">
    <cfRule type="cellIs" priority="5" operator="equal" aboveAverage="0" equalAverage="0" bottom="0" percent="0" rank="0" text="" dxfId="26">
      <formula>"NON"</formula>
    </cfRule>
  </conditionalFormatting>
  <conditionalFormatting sqref="V10:AB250">
    <cfRule type="expression" priority="6" aboveAverage="0" equalAverage="0" bottom="0" percent="0" rank="0" text="" dxfId="25">
      <formula>$U10="NON"</formula>
    </cfRule>
  </conditionalFormatting>
  <conditionalFormatting sqref="U10:U250">
    <cfRule type="cellIs" priority="7" operator="equal" aboveAverage="0" equalAverage="0" bottom="0" percent="0" rank="0" text="" dxfId="26">
      <formula>"NON"</formula>
    </cfRule>
  </conditionalFormatting>
  <conditionalFormatting sqref="AD10:AJ250">
    <cfRule type="expression" priority="8" aboveAverage="0" equalAverage="0" bottom="0" percent="0" rank="0" text="" dxfId="25">
      <formula>$AC10="NON"</formula>
    </cfRule>
  </conditionalFormatting>
  <conditionalFormatting sqref="AC10:AC250">
    <cfRule type="cellIs" priority="9" operator="equal" aboveAverage="0" equalAverage="0" bottom="0" percent="0" rank="0" text="" dxfId="26">
      <formula>"NON"</formula>
    </cfRule>
  </conditionalFormatting>
  <conditionalFormatting sqref="M10:M250">
    <cfRule type="expression" priority="10" aboveAverage="0" equalAverage="0" bottom="0" percent="0" rank="0" text="" dxfId="26">
      <formula>$G10="NON"</formula>
    </cfRule>
    <cfRule type="expression" priority="11" aboveAverage="0" equalAverage="0" bottom="0" percent="0" rank="0" text="" dxfId="27">
      <formula>AND(ISNUMBER(M10),M10&lt;20/2)</formula>
    </cfRule>
  </conditionalFormatting>
  <conditionalFormatting sqref="T10:T250">
    <cfRule type="expression" priority="12" aboveAverage="0" equalAverage="0" bottom="0" percent="0" rank="0" text="" dxfId="26">
      <formula>$N10="NON"</formula>
    </cfRule>
    <cfRule type="expression" priority="13" aboveAverage="0" equalAverage="0" bottom="0" percent="0" rank="0" text="" dxfId="27">
      <formula>AND(ISNUMBER(T10),T10&lt;20/2)</formula>
    </cfRule>
  </conditionalFormatting>
  <conditionalFormatting sqref="AB10:AB250">
    <cfRule type="expression" priority="14" aboveAverage="0" equalAverage="0" bottom="0" percent="0" rank="0" text="" dxfId="26">
      <formula>$U10="NON"</formula>
    </cfRule>
    <cfRule type="expression" priority="15" aboveAverage="0" equalAverage="0" bottom="0" percent="0" rank="0" text="" dxfId="27">
      <formula>AND(ISNUMBER(AB10),AB10&lt;20/2)</formula>
    </cfRule>
  </conditionalFormatting>
  <conditionalFormatting sqref="AJ10:AJ250">
    <cfRule type="expression" priority="16" aboveAverage="0" equalAverage="0" bottom="0" percent="0" rank="0" text="" dxfId="26">
      <formula>$AC10="NON"</formula>
    </cfRule>
    <cfRule type="expression" priority="17" aboveAverage="0" equalAverage="0" bottom="0" percent="0" rank="0" text="" dxfId="27">
      <formula>AND(ISNUMBER(AJ10),AJ10&lt;20/2)</formula>
    </cfRule>
  </conditionalFormatting>
  <conditionalFormatting sqref="A10:AJ250">
    <cfRule type="expression" priority="18" aboveAverage="0" equalAverage="0" bottom="0" percent="0" rank="0" text="" dxfId="28">
      <formula>$F10="ABANDON"</formula>
    </cfRule>
  </conditionalFormatting>
  <conditionalFormatting sqref="H10:K250">
    <cfRule type="expression" priority="19" aboveAverage="0" equalAverage="0" bottom="0" percent="0" rank="0" text="" dxfId="29">
      <formula>AND(ISNUMBER(H10),H10&gt;H$8)</formula>
    </cfRule>
    <cfRule type="expression" priority="20" aboveAverage="0" equalAverage="0" bottom="0" percent="0" rank="0" text="" dxfId="30">
      <formula>AND(ISNUMBER(H10),H10&lt;H$8/2)</formula>
    </cfRule>
  </conditionalFormatting>
  <conditionalFormatting sqref="O10:R250">
    <cfRule type="expression" priority="21" aboveAverage="0" equalAverage="0" bottom="0" percent="0" rank="0" text="" dxfId="29">
      <formula>AND(ISNUMBER(O10),O10&gt;O$8)</formula>
    </cfRule>
    <cfRule type="expression" priority="22" aboveAverage="0" equalAverage="0" bottom="0" percent="0" rank="0" text="" dxfId="30">
      <formula>AND(ISNUMBER(O10),O10&lt;O$8/2)</formula>
    </cfRule>
  </conditionalFormatting>
  <conditionalFormatting sqref="V10:Z250">
    <cfRule type="expression" priority="23" aboveAverage="0" equalAverage="0" bottom="0" percent="0" rank="0" text="" dxfId="29">
      <formula>AND(ISNUMBER(V10),V10&gt;V$8)</formula>
    </cfRule>
    <cfRule type="expression" priority="24" aboveAverage="0" equalAverage="0" bottom="0" percent="0" rank="0" text="" dxfId="30">
      <formula>AND(ISNUMBER(V10),V10&lt;V$8/2)</formula>
    </cfRule>
  </conditionalFormatting>
  <conditionalFormatting sqref="AD10:AH250">
    <cfRule type="expression" priority="25" aboveAverage="0" equalAverage="0" bottom="0" percent="0" rank="0" text="" dxfId="29">
      <formula>AND(ISNUMBER(AD10),AD10&gt;AD$8)</formula>
    </cfRule>
    <cfRule type="expression" priority="26" aboveAverage="0" equalAverage="0" bottom="0" percent="0" rank="0" text="" dxfId="30">
      <formula>AND(ISNUMBER(AD10),AD10&lt;AD$8/2)</formula>
    </cfRule>
  </conditionalFormatting>
  <dataValidations count="19">
    <dataValidation allowBlank="true" error="OUI ou NON (vide = présent)" errorStyle="stop" errorTitle="Présence" operator="between" showDropDown="false" showErrorMessage="true" showInputMessage="false" sqref="G10:G250 N10:N250 U10:U250 AC10:AC250" type="list">
      <formula1>"OUI,NON"</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H10:H250" type="custom">
      <formula1>AND($G10&lt;&gt;"NON",ISNUMBER(H10),H10&gt;=0,H10&lt;=H$8)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I10:I250" type="custom">
      <formula1>AND($G10&lt;&gt;"NON",ISNUMBER(I10),I10&gt;=0,I10&lt;=I$8)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J10:J250" type="custom">
      <formula1>AND($G10&lt;&gt;"NON",ISNUMBER(J10),J10&gt;=0,J10&lt;=J$8)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K10:K250" type="custom">
      <formula1>AND($G10&lt;&gt;"NON",ISNUMBER(K10),K10&gt;=0,K10&lt;=K$8)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O10:O250" type="custom">
      <formula1>AND($N10&lt;&gt;"NON",ISNUMBER(O10),O10&gt;=0,O10&lt;=O$8)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P10:P250" type="custom">
      <formula1>AND($N10&lt;&gt;"NON",ISNUMBER(P10),P10&gt;=0,P10&lt;=P$8)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Q10:Q250" type="custom">
      <formula1>AND($N10&lt;&gt;"NON",ISNUMBER(Q10),Q10&gt;=0,Q10&lt;=Q$8)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R10:R250" type="custom">
      <formula1>AND($N10&lt;&gt;"NON",ISNUMBER(R10),R10&gt;=0,R10&lt;=R$8)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V10:V250" type="custom">
      <formula1>AND($U10&lt;&gt;"NON",ISNUMBER(V10),V10&gt;=0,V10&lt;=V$8)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W10:W250" type="custom">
      <formula1>AND($U10&lt;&gt;"NON",ISNUMBER(W10),W10&gt;=0,W10&lt;=W$8)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X10:X250" type="custom">
      <formula1>AND($U10&lt;&gt;"NON",ISNUMBER(X10),X10&gt;=0,X10&lt;=X$8)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Y10:Y250" type="custom">
      <formula1>AND($U10&lt;&gt;"NON",ISNUMBER(Y10),Y10&gt;=0,Y10&lt;=Y$8)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Z10:Z250" type="custom">
      <formula1>AND($U10&lt;&gt;"NON",ISNUMBER(Z10),Z10&gt;=0,Z10&lt;=Z$8)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AD10:AD250" type="custom">
      <formula1>AND($AC10&lt;&gt;"NON",ISNUMBER(AD10),AD10&gt;=0,AD10&lt;=AD$8)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AE10:AE250" type="custom">
      <formula1>AND($AC10&lt;&gt;"NON",ISNUMBER(AE10),AE10&gt;=0,AE10&lt;=AE$8)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AF10:AF250" type="custom">
      <formula1>AND($AC10&lt;&gt;"NON",ISNUMBER(AF10),AF10&gt;=0,AF10&lt;=AF$8)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AG10:AG250" type="custom">
      <formula1>AND($AC10&lt;&gt;"NON",ISNUMBER(AG10),AG10&gt;=0,AG10&lt;=AG$8)</formula1>
      <formula2>0</formula2>
    </dataValidation>
    <dataValidation allowBlank="false" error="Elève absent à cette évaluation (colonne « Présent ? » = NON) : la note ne peut pas être saisie. Sinon : note entre 0 et le barème de la matière (ligne 8)." errorStyle="stop" errorTitle="Saisie impossible" operator="between" showDropDown="false" showErrorMessage="true" showInputMessage="false" sqref="AH10:AH250" type="custom">
      <formula1>AND($AC10&lt;&gt;"NON",ISNUMBER(AH10),AH10&gt;=0,AH10&lt;=AH$8)</formula1>
      <formula2>0</formula2>
    </dataValidation>
  </dataValidations>
  <printOptions headings="false" gridLines="false" gridLinesSet="true" horizontalCentered="true" verticalCentered="false"/>
  <pageMargins left="0.309722222222222" right="0.309722222222222" top="0.470138888888889" bottom="0.470138888888889" header="0.511811023622047" footer="0.511811023622047"/>
  <pageSetup paperSize="9" scale="70" fitToWidth="1" fitToHeight="1" pageOrder="downThenOver" orientation="landscape" blackAndWhite="false" draft="false" cellComments="none" horizontalDpi="300" verticalDpi="300" copies="1"/>
  <headerFooter differentFirst="false" differentOddEven="false">
    <oddHeader/>
    <oddFooter/>
  </headerFooter>
  <colBreaks count="3" manualBreakCount="3">
    <brk id="13" man="true" max="65535" min="0"/>
    <brk id="20" man="true" max="65535" min="0"/>
    <brk id="28" man="true" max="65535" min="0"/>
  </col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Feuil8" filterMode="false">
    <tabColor rgb="FF1E8449"/>
    <pageSetUpPr fitToPage="true"/>
  </sheetPr>
  <dimension ref="A1:R25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3" ySplit="9" topLeftCell="D10" activePane="bottomRight" state="frozen"/>
      <selection pane="topLeft" activeCell="A1" activeCellId="0" sqref="A1"/>
      <selection pane="topRight" activeCell="D1" activeCellId="0" sqref="D1"/>
      <selection pane="bottomLeft" activeCell="A10" activeCellId="0" sqref="A10"/>
      <selection pane="bottomRight" activeCell="A1" activeCellId="0" sqref="A1"/>
    </sheetView>
  </sheetViews>
  <sheetFormatPr defaultColWidth="8.6796875" defaultRowHeight="15" zeroHeight="false" outlineLevelRow="0" outlineLevelCol="0"/>
  <cols>
    <col collapsed="false" customWidth="true" hidden="false" outlineLevel="0" max="1" min="1" style="0" width="5"/>
    <col collapsed="false" customWidth="true" hidden="false" outlineLevel="0" max="2" min="2" style="0" width="13"/>
    <col collapsed="false" customWidth="true" hidden="false" outlineLevel="0" max="3" min="3" style="0" width="30"/>
    <col collapsed="false" customWidth="true" hidden="false" outlineLevel="0" max="4" min="4" style="0" width="6"/>
    <col collapsed="false" customWidth="true" hidden="false" outlineLevel="0" max="5" min="5" style="0" width="7"/>
    <col collapsed="false" customWidth="true" hidden="false" outlineLevel="0" max="6" min="6" style="0" width="11"/>
    <col collapsed="false" customWidth="true" hidden="false" outlineLevel="0" max="9" min="7" style="0" width="10"/>
    <col collapsed="false" customWidth="true" hidden="false" outlineLevel="0" max="10" min="10" style="0" width="11"/>
    <col collapsed="false" customWidth="true" hidden="false" outlineLevel="0" max="11" min="11" style="0" width="12"/>
    <col collapsed="false" customWidth="true" hidden="false" outlineLevel="0" max="12" min="12" style="0" width="10"/>
    <col collapsed="false" customWidth="true" hidden="false" outlineLevel="0" max="14" min="13" style="0" width="8"/>
    <col collapsed="false" customWidth="true" hidden="false" outlineLevel="0" max="15" min="15" style="0" width="12"/>
    <col collapsed="false" customWidth="true" hidden="false" outlineLevel="0" max="16" min="16" style="0" width="9"/>
    <col collapsed="false" customWidth="true" hidden="false" outlineLevel="0" max="17" min="17" style="0" width="22"/>
    <col collapsed="false" customWidth="true" hidden="true" outlineLevel="0" max="18" min="18" style="0" width="13"/>
  </cols>
  <sheetData>
    <row r="1" customFormat="false" ht="15" hidden="false" customHeight="true" outlineLevel="0" collapsed="false">
      <c r="A1" s="47" t="str">
        <f aca="false">PARAMETRES!$C$4</f>
        <v>MINISTERE DE L'EDUCATION NATIONALE ET DE L'ALPHABETISATION</v>
      </c>
      <c r="B1" s="47"/>
      <c r="C1" s="47"/>
      <c r="D1" s="47"/>
      <c r="E1" s="47"/>
      <c r="F1" s="47"/>
      <c r="G1" s="47"/>
      <c r="H1" s="47"/>
      <c r="I1" s="47" t="s">
        <v>115</v>
      </c>
      <c r="J1" s="47"/>
      <c r="K1" s="47"/>
      <c r="L1" s="47"/>
      <c r="M1" s="47"/>
      <c r="N1" s="47"/>
      <c r="O1" s="47"/>
      <c r="P1" s="47"/>
      <c r="Q1" s="47"/>
    </row>
    <row r="2" customFormat="false" ht="15" hidden="false" customHeight="true" outlineLevel="0" collapsed="false">
      <c r="A2" s="48" t="str">
        <f aca="false">PARAMETRES!$C$5</f>
        <v>DIRECTION REGIONALE DE L'EDUCATION NATIONALE DE GAGNOA</v>
      </c>
      <c r="B2" s="48"/>
      <c r="C2" s="48"/>
      <c r="D2" s="48"/>
      <c r="E2" s="48"/>
      <c r="F2" s="48"/>
      <c r="G2" s="48"/>
      <c r="H2" s="48"/>
      <c r="I2" s="48" t="s">
        <v>116</v>
      </c>
      <c r="J2" s="48"/>
      <c r="K2" s="48"/>
      <c r="L2" s="48"/>
      <c r="M2" s="48"/>
      <c r="N2" s="48"/>
      <c r="O2" s="48"/>
      <c r="P2" s="48"/>
      <c r="Q2" s="48"/>
    </row>
    <row r="3" customFormat="false" ht="15" hidden="false" customHeight="false" outlineLevel="0" collapsed="false">
      <c r="A3" s="47" t="str">
        <f aca="false">PARAMETRES!$C$6</f>
        <v>IEPP GAGNOA 2</v>
      </c>
      <c r="B3" s="47"/>
      <c r="C3" s="47"/>
      <c r="D3" s="47"/>
      <c r="E3" s="47"/>
      <c r="F3" s="47"/>
      <c r="G3" s="47"/>
      <c r="H3" s="47"/>
      <c r="I3" s="47" t="str">
        <f aca="false">"ANNEE SCOLAIRE : "&amp;PARAMETRES!$C$9</f>
        <v>ANNEE SCOLAIRE : 2026-2027</v>
      </c>
      <c r="J3" s="47"/>
      <c r="K3" s="47"/>
      <c r="L3" s="47"/>
      <c r="M3" s="47"/>
      <c r="N3" s="47"/>
      <c r="O3" s="47"/>
      <c r="P3" s="47"/>
      <c r="Q3" s="47"/>
    </row>
    <row r="4" customFormat="false" ht="15" hidden="false" customHeight="false" outlineLevel="0" collapsed="false">
      <c r="A4" s="48" t="str">
        <f aca="false">PARAMETRES!$C$7&amp;"  -  Code : "&amp;PARAMETRES!$C$8</f>
        <v>EPP LIGUIYO  -  Code : EPP-GAG-0123</v>
      </c>
      <c r="B4" s="48"/>
      <c r="C4" s="48"/>
      <c r="D4" s="48"/>
      <c r="E4" s="48"/>
      <c r="F4" s="48"/>
      <c r="G4" s="48"/>
      <c r="H4" s="48"/>
      <c r="I4" s="49"/>
    </row>
    <row r="6" customFormat="false" ht="27.75" hidden="false" customHeight="true" outlineLevel="0" collapsed="false">
      <c r="A6" s="30" t="s">
        <v>595</v>
      </c>
      <c r="B6" s="30"/>
      <c r="C6" s="30"/>
      <c r="D6" s="30"/>
      <c r="E6" s="30"/>
      <c r="F6" s="30"/>
      <c r="G6" s="30"/>
      <c r="H6" s="30"/>
      <c r="I6" s="30"/>
      <c r="J6" s="30"/>
      <c r="K6" s="30"/>
      <c r="L6" s="30"/>
      <c r="M6" s="30"/>
      <c r="N6" s="30"/>
      <c r="O6" s="30"/>
      <c r="P6" s="30"/>
      <c r="Q6" s="30"/>
    </row>
    <row r="7" customFormat="false" ht="15" hidden="false" customHeight="true" outlineLevel="0" collapsed="false">
      <c r="A7" s="2" t="s">
        <v>596</v>
      </c>
      <c r="B7" s="2"/>
      <c r="C7" s="2"/>
      <c r="D7" s="2"/>
      <c r="E7" s="2"/>
      <c r="F7" s="2"/>
      <c r="G7" s="2"/>
      <c r="H7" s="2"/>
      <c r="I7" s="2"/>
      <c r="J7" s="2"/>
      <c r="K7" s="2"/>
      <c r="L7" s="2"/>
      <c r="M7" s="2"/>
      <c r="N7" s="2"/>
      <c r="O7" s="2"/>
      <c r="P7" s="2"/>
      <c r="Q7" s="2"/>
    </row>
    <row r="8" customFormat="false" ht="15" hidden="false" customHeight="true" outlineLevel="0" collapsed="false">
      <c r="A8" s="4" t="s">
        <v>597</v>
      </c>
      <c r="B8" s="4"/>
      <c r="C8" s="4"/>
      <c r="D8" s="4"/>
      <c r="E8" s="4"/>
      <c r="F8" s="4"/>
      <c r="G8" s="4"/>
      <c r="H8" s="4"/>
      <c r="I8" s="4"/>
      <c r="J8" s="4"/>
      <c r="K8" s="4"/>
      <c r="L8" s="4"/>
      <c r="M8" s="4"/>
      <c r="N8" s="4"/>
      <c r="O8" s="4"/>
      <c r="P8" s="4"/>
      <c r="Q8" s="4"/>
    </row>
    <row r="9" customFormat="false" ht="43.5" hidden="false" customHeight="true" outlineLevel="0" collapsed="false">
      <c r="A9" s="50" t="s">
        <v>120</v>
      </c>
      <c r="B9" s="50" t="s">
        <v>121</v>
      </c>
      <c r="C9" s="50" t="s">
        <v>123</v>
      </c>
      <c r="D9" s="50" t="s">
        <v>32</v>
      </c>
      <c r="E9" s="50" t="s">
        <v>12</v>
      </c>
      <c r="F9" s="50" t="s">
        <v>36</v>
      </c>
      <c r="G9" s="50" t="s">
        <v>598</v>
      </c>
      <c r="H9" s="50" t="s">
        <v>599</v>
      </c>
      <c r="I9" s="50" t="s">
        <v>600</v>
      </c>
      <c r="J9" s="50" t="s">
        <v>601</v>
      </c>
      <c r="K9" s="50" t="s">
        <v>602</v>
      </c>
      <c r="L9" s="50" t="s">
        <v>603</v>
      </c>
      <c r="M9" s="50" t="s">
        <v>604</v>
      </c>
      <c r="N9" s="50" t="s">
        <v>605</v>
      </c>
      <c r="O9" s="50" t="s">
        <v>606</v>
      </c>
      <c r="P9" s="50" t="s">
        <v>607</v>
      </c>
      <c r="Q9" s="50" t="s">
        <v>608</v>
      </c>
      <c r="R9" s="51" t="s">
        <v>576</v>
      </c>
    </row>
    <row r="10" customFormat="false" ht="15" hidden="false" customHeight="false" outlineLevel="0" collapsed="false">
      <c r="A10" s="45" t="n">
        <f aca="false">IF(B10="","",1)</f>
        <v>1</v>
      </c>
      <c r="B10" s="45" t="str">
        <f aca="false">IF($R10="","",INDEX('REGISTRE ELEVES'!$B$10:$B$250,$R10))</f>
        <v>CP1-001-26</v>
      </c>
      <c r="C10" s="74" t="str">
        <f aca="false">IF($R10="","",INDEX('REGISTRE ELEVES'!$D$10:$D$250,$R10))</f>
        <v>DIGBEU Ismaël Kouadio</v>
      </c>
      <c r="D10" s="45" t="str">
        <f aca="false">IF($R10="","",INDEX('REGISTRE ELEVES'!$E$10:$E$250,$R10))</f>
        <v>M</v>
      </c>
      <c r="E10" s="45" t="str">
        <f aca="false">IF($R10="","",INDEX('REGISTRE ELEVES'!$F$10:$F$250,$R10))</f>
        <v>CP1</v>
      </c>
      <c r="F10" s="45" t="str">
        <f aca="false">IF($R10="","",INDEX('REGISTRE ELEVES'!$AE$10:$AE$250,$R10))</f>
        <v>PRESENT</v>
      </c>
      <c r="G10" s="80" t="n">
        <f aca="false">IF(B10="","",IFERROR(IF(LEFT(E10,2)="CP",INDEX('NOTES CP'!$P$10:$P$250,MATCH(B10,'NOTES CP'!$B$10:$B$250,0)),IF(E10="CE1",INDEX('NOTES CE1'!$M$10:$M$250,MATCH(B10,'NOTES CE1'!$B$10:$B$250,0)),INDEX('NOTES CE2-CM1'!$M$10:$M$250,MATCH(B10,'NOTES CE2-CM1'!$B$10:$B$250,0)))),""))</f>
        <v>7.06</v>
      </c>
      <c r="H10" s="80" t="n">
        <f aca="false">IF(B10="","",IFERROR(IF(LEFT(E10,2)="CP",INDEX('NOTES CP'!$Z$10:$Z$250,MATCH(B10,'NOTES CP'!$B$10:$B$250,0)),IF(E10="CE1",INDEX('NOTES CE1'!$T$10:$T$250,MATCH(B10,'NOTES CE1'!$B$10:$B$250,0)),INDEX('NOTES CE2-CM1'!$T$10:$T$250,MATCH(B10,'NOTES CE2-CM1'!$B$10:$B$250,0)))),""))</f>
        <v>6.63</v>
      </c>
      <c r="I10" s="80" t="n">
        <f aca="false">IF(B10="","",IFERROR(IF(LEFT(E10,2)="CP",INDEX('NOTES CP'!$AJ$10:$AJ$250,MATCH(B10,'NOTES CP'!$B$10:$B$250,0)),IF(E10="CE1",INDEX('NOTES CE1'!$AA$10:$AA$250,MATCH(B10,'NOTES CE1'!$B$10:$B$250,0)),INDEX('NOTES CE2-CM1'!$AA$10:$AA$250,MATCH(B10,'NOTES CE2-CM1'!$B$10:$B$250,0)))),""))</f>
        <v>6.75</v>
      </c>
      <c r="J10" s="81" t="n">
        <f aca="false">IF(COUNT(G10:I10)=0,"",ROUND(AVERAGE(G10:I10),2))</f>
        <v>6.81</v>
      </c>
      <c r="K10" s="80" t="n">
        <f aca="false">IF(B10="","",IFERROR(IF(LEFT(E10,2)="CP",INDEX('NOTES CP'!$AT$10:$AT$250,MATCH(B10,'NOTES CP'!$B$10:$B$250,0)),IF(E10="CE1",INDEX('NOTES CE1'!$AH$10:$AH$250,MATCH(B10,'NOTES CE1'!$B$10:$B$250,0)),INDEX('NOTES CE2-CM1'!$AH$10:$AH$250,MATCH(B10,'NOTES CE2-CM1'!$B$10:$B$250,0)))),""))</f>
        <v>6.94</v>
      </c>
      <c r="L10" s="82" t="n">
        <f aca="false">IF(OR(J10="",K10=""),"",ROUND((J10+2*K10)/3,2))</f>
        <v>6.9</v>
      </c>
      <c r="M10" s="83" t="n">
        <f aca="false">IF(E10="","",IFERROR(INDEX(PARAMETRES!$D$18:$D$23,MATCH(E10,PARAMETRES!$B$18:$B$23,0)),""))</f>
        <v>10</v>
      </c>
      <c r="N10" s="81" t="n">
        <f aca="false">IF(E10="","",IFERROR(INDEX(PARAMETRES!$C$18:$C$23,MATCH(E10,PARAMETRES!$B$18:$B$23,0)),""))</f>
        <v>5</v>
      </c>
      <c r="O10" s="45" t="str">
        <f aca="false">IF(B10="","",IF(F10="ABANDON","ABANDON",IF(F10="TRANSFERE","TRANSFERE",IF(L10="","",IF(L10&gt;=N10,"ADMIS","REDOUBLE")))))</f>
        <v>ADMIS</v>
      </c>
      <c r="P10" s="73" t="n">
        <f aca="false">IF(OR(L10="",F10&lt;&gt;"PRESENT"),"",COUNTIFS($E$10:$E$250,E10,$F$10:$F$250,"PRESENT",$L$10:$L$250,"&gt;"&amp;L10)+1)</f>
        <v>4</v>
      </c>
      <c r="Q10" s="74" t="str">
        <f aca="false">IF(O10="ADMIS",IF(L10/M10*10&gt;=8,"Très bien",IF(L10/M10*10&gt;=7,"Bien",IF(L10/M10*10&gt;=6,"Assez bien","Passable"))),IF(O10="REDOUBLE","Insuffisant",""))</f>
        <v>Assez bien</v>
      </c>
      <c r="R10" s="51" t="n">
        <f aca="false">IFERROR(MATCH("P-1",'REGISTRE ELEVES'!$AH$10:$AH$250,0),"")</f>
        <v>1</v>
      </c>
    </row>
    <row r="11" customFormat="false" ht="15" hidden="false" customHeight="false" outlineLevel="0" collapsed="false">
      <c r="A11" s="45" t="n">
        <f aca="false">IF(B11="","",2)</f>
        <v>2</v>
      </c>
      <c r="B11" s="45" t="str">
        <f aca="false">IF($R11="","",INDEX('REGISTRE ELEVES'!$B$10:$B$250,$R11))</f>
        <v>CP1-002-26</v>
      </c>
      <c r="C11" s="74" t="str">
        <f aca="false">IF($R11="","",INDEX('REGISTRE ELEVES'!$D$10:$D$250,$R11))</f>
        <v>KONAN Franck Koffi</v>
      </c>
      <c r="D11" s="45" t="str">
        <f aca="false">IF($R11="","",INDEX('REGISTRE ELEVES'!$E$10:$E$250,$R11))</f>
        <v>M</v>
      </c>
      <c r="E11" s="45" t="str">
        <f aca="false">IF($R11="","",INDEX('REGISTRE ELEVES'!$F$10:$F$250,$R11))</f>
        <v>CP1</v>
      </c>
      <c r="F11" s="45" t="str">
        <f aca="false">IF($R11="","",INDEX('REGISTRE ELEVES'!$AE$10:$AE$250,$R11))</f>
        <v>PRESENT</v>
      </c>
      <c r="G11" s="80" t="n">
        <f aca="false">IF(B11="","",IFERROR(IF(LEFT(E11,2)="CP",INDEX('NOTES CP'!$P$10:$P$250,MATCH(B11,'NOTES CP'!$B$10:$B$250,0)),IF(E11="CE1",INDEX('NOTES CE1'!$M$10:$M$250,MATCH(B11,'NOTES CE1'!$B$10:$B$250,0)),INDEX('NOTES CE2-CM1'!$M$10:$M$250,MATCH(B11,'NOTES CE2-CM1'!$B$10:$B$250,0)))),""))</f>
        <v>3.06</v>
      </c>
      <c r="H11" s="80" t="n">
        <f aca="false">IF(B11="","",IFERROR(IF(LEFT(E11,2)="CP",INDEX('NOTES CP'!$Z$10:$Z$250,MATCH(B11,'NOTES CP'!$B$10:$B$250,0)),IF(E11="CE1",INDEX('NOTES CE1'!$T$10:$T$250,MATCH(B11,'NOTES CE1'!$B$10:$B$250,0)),INDEX('NOTES CE2-CM1'!$T$10:$T$250,MATCH(B11,'NOTES CE2-CM1'!$B$10:$B$250,0)))),""))</f>
        <v>3.94</v>
      </c>
      <c r="I11" s="80" t="n">
        <f aca="false">IF(B11="","",IFERROR(IF(LEFT(E11,2)="CP",INDEX('NOTES CP'!$AJ$10:$AJ$250,MATCH(B11,'NOTES CP'!$B$10:$B$250,0)),IF(E11="CE1",INDEX('NOTES CE1'!$AA$10:$AA$250,MATCH(B11,'NOTES CE1'!$B$10:$B$250,0)),INDEX('NOTES CE2-CM1'!$AA$10:$AA$250,MATCH(B11,'NOTES CE2-CM1'!$B$10:$B$250,0)))),""))</f>
        <v>3.25</v>
      </c>
      <c r="J11" s="81" t="n">
        <f aca="false">IF(COUNT(G11:I11)=0,"",ROUND(AVERAGE(G11:I11),2))</f>
        <v>3.42</v>
      </c>
      <c r="K11" s="80" t="n">
        <f aca="false">IF(B11="","",IFERROR(IF(LEFT(E11,2)="CP",INDEX('NOTES CP'!$AT$10:$AT$250,MATCH(B11,'NOTES CP'!$B$10:$B$250,0)),IF(E11="CE1",INDEX('NOTES CE1'!$AH$10:$AH$250,MATCH(B11,'NOTES CE1'!$B$10:$B$250,0)),INDEX('NOTES CE2-CM1'!$AH$10:$AH$250,MATCH(B11,'NOTES CE2-CM1'!$B$10:$B$250,0)))),""))</f>
        <v>3.19</v>
      </c>
      <c r="L11" s="82" t="n">
        <f aca="false">IF(OR(J11="",K11=""),"",ROUND((J11+2*K11)/3,2))</f>
        <v>3.27</v>
      </c>
      <c r="M11" s="83" t="n">
        <f aca="false">IF(E11="","",IFERROR(INDEX(PARAMETRES!$D$18:$D$23,MATCH(E11,PARAMETRES!$B$18:$B$23,0)),""))</f>
        <v>10</v>
      </c>
      <c r="N11" s="81" t="n">
        <f aca="false">IF(E11="","",IFERROR(INDEX(PARAMETRES!$C$18:$C$23,MATCH(E11,PARAMETRES!$B$18:$B$23,0)),""))</f>
        <v>5</v>
      </c>
      <c r="O11" s="45" t="str">
        <f aca="false">IF(B11="","",IF(F11="ABANDON","ABANDON",IF(F11="TRANSFERE","TRANSFERE",IF(L11="","",IF(L11&gt;=N11,"ADMIS","REDOUBLE")))))</f>
        <v>REDOUBLE</v>
      </c>
      <c r="P11" s="73" t="n">
        <f aca="false">IF(OR(L11="",F11&lt;&gt;"PRESENT"),"",COUNTIFS($E$10:$E$250,E11,$F$10:$F$250,"PRESENT",$L$10:$L$250,"&gt;"&amp;L11)+1)</f>
        <v>10</v>
      </c>
      <c r="Q11" s="74" t="str">
        <f aca="false">IF(O11="ADMIS",IF(L11/M11*10&gt;=8,"Très bien",IF(L11/M11*10&gt;=7,"Bien",IF(L11/M11*10&gt;=6,"Assez bien","Passable"))),IF(O11="REDOUBLE","Insuffisant",""))</f>
        <v>Insuffisant</v>
      </c>
      <c r="R11" s="51" t="n">
        <f aca="false">IFERROR(MATCH("P-2",'REGISTRE ELEVES'!$AH$10:$AH$250,0),"")</f>
        <v>2</v>
      </c>
    </row>
    <row r="12" customFormat="false" ht="15" hidden="false" customHeight="false" outlineLevel="0" collapsed="false">
      <c r="A12" s="45" t="n">
        <f aca="false">IF(B12="","",3)</f>
        <v>3</v>
      </c>
      <c r="B12" s="45" t="str">
        <f aca="false">IF($R12="","",INDEX('REGISTRE ELEVES'!$B$10:$B$250,$R12))</f>
        <v>CP1-003-26</v>
      </c>
      <c r="C12" s="74" t="str">
        <f aca="false">IF($R12="","",INDEX('REGISTRE ELEVES'!$D$10:$D$250,$R12))</f>
        <v>ZADI Aya Akissi</v>
      </c>
      <c r="D12" s="45" t="str">
        <f aca="false">IF($R12="","",INDEX('REGISTRE ELEVES'!$E$10:$E$250,$R12))</f>
        <v>F</v>
      </c>
      <c r="E12" s="45" t="str">
        <f aca="false">IF($R12="","",INDEX('REGISTRE ELEVES'!$F$10:$F$250,$R12))</f>
        <v>CP1</v>
      </c>
      <c r="F12" s="45" t="str">
        <f aca="false">IF($R12="","",INDEX('REGISTRE ELEVES'!$AE$10:$AE$250,$R12))</f>
        <v>PRESENT</v>
      </c>
      <c r="G12" s="80" t="n">
        <f aca="false">IF(B12="","",IFERROR(IF(LEFT(E12,2)="CP",INDEX('NOTES CP'!$P$10:$P$250,MATCH(B12,'NOTES CP'!$B$10:$B$250,0)),IF(E12="CE1",INDEX('NOTES CE1'!$M$10:$M$250,MATCH(B12,'NOTES CE1'!$B$10:$B$250,0)),INDEX('NOTES CE2-CM1'!$M$10:$M$250,MATCH(B12,'NOTES CE2-CM1'!$B$10:$B$250,0)))),""))</f>
        <v>5.69</v>
      </c>
      <c r="H12" s="80" t="n">
        <f aca="false">IF(B12="","",IFERROR(IF(LEFT(E12,2)="CP",INDEX('NOTES CP'!$Z$10:$Z$250,MATCH(B12,'NOTES CP'!$B$10:$B$250,0)),IF(E12="CE1",INDEX('NOTES CE1'!$T$10:$T$250,MATCH(B12,'NOTES CE1'!$B$10:$B$250,0)),INDEX('NOTES CE2-CM1'!$T$10:$T$250,MATCH(B12,'NOTES CE2-CM1'!$B$10:$B$250,0)))),""))</f>
        <v>5.5</v>
      </c>
      <c r="I12" s="80" t="n">
        <f aca="false">IF(B12="","",IFERROR(IF(LEFT(E12,2)="CP",INDEX('NOTES CP'!$AJ$10:$AJ$250,MATCH(B12,'NOTES CP'!$B$10:$B$250,0)),IF(E12="CE1",INDEX('NOTES CE1'!$AA$10:$AA$250,MATCH(B12,'NOTES CE1'!$B$10:$B$250,0)),INDEX('NOTES CE2-CM1'!$AA$10:$AA$250,MATCH(B12,'NOTES CE2-CM1'!$B$10:$B$250,0)))),""))</f>
        <v>4.69</v>
      </c>
      <c r="J12" s="81" t="n">
        <f aca="false">IF(COUNT(G12:I12)=0,"",ROUND(AVERAGE(G12:I12),2))</f>
        <v>5.29</v>
      </c>
      <c r="K12" s="80" t="n">
        <f aca="false">IF(B12="","",IFERROR(IF(LEFT(E12,2)="CP",INDEX('NOTES CP'!$AT$10:$AT$250,MATCH(B12,'NOTES CP'!$B$10:$B$250,0)),IF(E12="CE1",INDEX('NOTES CE1'!$AH$10:$AH$250,MATCH(B12,'NOTES CE1'!$B$10:$B$250,0)),INDEX('NOTES CE2-CM1'!$AH$10:$AH$250,MATCH(B12,'NOTES CE2-CM1'!$B$10:$B$250,0)))),""))</f>
        <v>5</v>
      </c>
      <c r="L12" s="82" t="n">
        <f aca="false">IF(OR(J12="",K12=""),"",ROUND((J12+2*K12)/3,2))</f>
        <v>5.1</v>
      </c>
      <c r="M12" s="83" t="n">
        <f aca="false">IF(E12="","",IFERROR(INDEX(PARAMETRES!$D$18:$D$23,MATCH(E12,PARAMETRES!$B$18:$B$23,0)),""))</f>
        <v>10</v>
      </c>
      <c r="N12" s="81" t="n">
        <f aca="false">IF(E12="","",IFERROR(INDEX(PARAMETRES!$C$18:$C$23,MATCH(E12,PARAMETRES!$B$18:$B$23,0)),""))</f>
        <v>5</v>
      </c>
      <c r="O12" s="45" t="str">
        <f aca="false">IF(B12="","",IF(F12="ABANDON","ABANDON",IF(F12="TRANSFERE","TRANSFERE",IF(L12="","",IF(L12&gt;=N12,"ADMIS","REDOUBLE")))))</f>
        <v>ADMIS</v>
      </c>
      <c r="P12" s="73" t="n">
        <f aca="false">IF(OR(L12="",F12&lt;&gt;"PRESENT"),"",COUNTIFS($E$10:$E$250,E12,$F$10:$F$250,"PRESENT",$L$10:$L$250,"&gt;"&amp;L12)+1)</f>
        <v>6</v>
      </c>
      <c r="Q12" s="74" t="str">
        <f aca="false">IF(O12="ADMIS",IF(L12/M12*10&gt;=8,"Très bien",IF(L12/M12*10&gt;=7,"Bien",IF(L12/M12*10&gt;=6,"Assez bien","Passable"))),IF(O12="REDOUBLE","Insuffisant",""))</f>
        <v>Passable</v>
      </c>
      <c r="R12" s="51" t="n">
        <f aca="false">IFERROR(MATCH("P-3",'REGISTRE ELEVES'!$AH$10:$AH$250,0),"")</f>
        <v>3</v>
      </c>
    </row>
    <row r="13" customFormat="false" ht="15" hidden="false" customHeight="false" outlineLevel="0" collapsed="false">
      <c r="A13" s="45" t="n">
        <f aca="false">IF(B13="","",4)</f>
        <v>4</v>
      </c>
      <c r="B13" s="45" t="str">
        <f aca="false">IF($R13="","",INDEX('REGISTRE ELEVES'!$B$10:$B$250,$R13))</f>
        <v>CP1-004-26</v>
      </c>
      <c r="C13" s="74" t="str">
        <f aca="false">IF($R13="","",INDEX('REGISTRE ELEVES'!$D$10:$D$250,$R13))</f>
        <v>ZADI Estelle Mariam</v>
      </c>
      <c r="D13" s="45" t="str">
        <f aca="false">IF($R13="","",INDEX('REGISTRE ELEVES'!$E$10:$E$250,$R13))</f>
        <v>F</v>
      </c>
      <c r="E13" s="45" t="str">
        <f aca="false">IF($R13="","",INDEX('REGISTRE ELEVES'!$F$10:$F$250,$R13))</f>
        <v>CP1</v>
      </c>
      <c r="F13" s="45" t="str">
        <f aca="false">IF($R13="","",INDEX('REGISTRE ELEVES'!$AE$10:$AE$250,$R13))</f>
        <v>PRESENT</v>
      </c>
      <c r="G13" s="80" t="n">
        <f aca="false">IF(B13="","",IFERROR(IF(LEFT(E13,2)="CP",INDEX('NOTES CP'!$P$10:$P$250,MATCH(B13,'NOTES CP'!$B$10:$B$250,0)),IF(E13="CE1",INDEX('NOTES CE1'!$M$10:$M$250,MATCH(B13,'NOTES CE1'!$B$10:$B$250,0)),INDEX('NOTES CE2-CM1'!$M$10:$M$250,MATCH(B13,'NOTES CE2-CM1'!$B$10:$B$250,0)))),""))</f>
        <v>7.63</v>
      </c>
      <c r="H13" s="80" t="n">
        <f aca="false">IF(B13="","",IFERROR(IF(LEFT(E13,2)="CP",INDEX('NOTES CP'!$Z$10:$Z$250,MATCH(B13,'NOTES CP'!$B$10:$B$250,0)),IF(E13="CE1",INDEX('NOTES CE1'!$T$10:$T$250,MATCH(B13,'NOTES CE1'!$B$10:$B$250,0)),INDEX('NOTES CE2-CM1'!$T$10:$T$250,MATCH(B13,'NOTES CE2-CM1'!$B$10:$B$250,0)))),""))</f>
        <v>6.69</v>
      </c>
      <c r="I13" s="80" t="n">
        <f aca="false">IF(B13="","",IFERROR(IF(LEFT(E13,2)="CP",INDEX('NOTES CP'!$AJ$10:$AJ$250,MATCH(B13,'NOTES CP'!$B$10:$B$250,0)),IF(E13="CE1",INDEX('NOTES CE1'!$AA$10:$AA$250,MATCH(B13,'NOTES CE1'!$B$10:$B$250,0)),INDEX('NOTES CE2-CM1'!$AA$10:$AA$250,MATCH(B13,'NOTES CE2-CM1'!$B$10:$B$250,0)))),""))</f>
        <v>7.06</v>
      </c>
      <c r="J13" s="81" t="n">
        <f aca="false">IF(COUNT(G13:I13)=0,"",ROUND(AVERAGE(G13:I13),2))</f>
        <v>7.13</v>
      </c>
      <c r="K13" s="80" t="n">
        <f aca="false">IF(B13="","",IFERROR(IF(LEFT(E13,2)="CP",INDEX('NOTES CP'!$AT$10:$AT$250,MATCH(B13,'NOTES CP'!$B$10:$B$250,0)),IF(E13="CE1",INDEX('NOTES CE1'!$AH$10:$AH$250,MATCH(B13,'NOTES CE1'!$B$10:$B$250,0)),INDEX('NOTES CE2-CM1'!$AH$10:$AH$250,MATCH(B13,'NOTES CE2-CM1'!$B$10:$B$250,0)))),""))</f>
        <v>7.94</v>
      </c>
      <c r="L13" s="82" t="n">
        <f aca="false">IF(OR(J13="",K13=""),"",ROUND((J13+2*K13)/3,2))</f>
        <v>7.67</v>
      </c>
      <c r="M13" s="83" t="n">
        <f aca="false">IF(E13="","",IFERROR(INDEX(PARAMETRES!$D$18:$D$23,MATCH(E13,PARAMETRES!$B$18:$B$23,0)),""))</f>
        <v>10</v>
      </c>
      <c r="N13" s="81" t="n">
        <f aca="false">IF(E13="","",IFERROR(INDEX(PARAMETRES!$C$18:$C$23,MATCH(E13,PARAMETRES!$B$18:$B$23,0)),""))</f>
        <v>5</v>
      </c>
      <c r="O13" s="45" t="str">
        <f aca="false">IF(B13="","",IF(F13="ABANDON","ABANDON",IF(F13="TRANSFERE","TRANSFERE",IF(L13="","",IF(L13&gt;=N13,"ADMIS","REDOUBLE")))))</f>
        <v>ADMIS</v>
      </c>
      <c r="P13" s="73" t="n">
        <f aca="false">IF(OR(L13="",F13&lt;&gt;"PRESENT"),"",COUNTIFS($E$10:$E$250,E13,$F$10:$F$250,"PRESENT",$L$10:$L$250,"&gt;"&amp;L13)+1)</f>
        <v>3</v>
      </c>
      <c r="Q13" s="74" t="str">
        <f aca="false">IF(O13="ADMIS",IF(L13/M13*10&gt;=8,"Très bien",IF(L13/M13*10&gt;=7,"Bien",IF(L13/M13*10&gt;=6,"Assez bien","Passable"))),IF(O13="REDOUBLE","Insuffisant",""))</f>
        <v>Bien</v>
      </c>
      <c r="R13" s="51" t="n">
        <f aca="false">IFERROR(MATCH("P-4",'REGISTRE ELEVES'!$AH$10:$AH$250,0),"")</f>
        <v>4</v>
      </c>
    </row>
    <row r="14" customFormat="false" ht="15" hidden="false" customHeight="false" outlineLevel="0" collapsed="false">
      <c r="A14" s="45" t="n">
        <f aca="false">IF(B14="","",5)</f>
        <v>5</v>
      </c>
      <c r="B14" s="45" t="str">
        <f aca="false">IF($R14="","",INDEX('REGISTRE ELEVES'!$B$10:$B$250,$R14))</f>
        <v>CP1-005-26</v>
      </c>
      <c r="C14" s="74" t="str">
        <f aca="false">IF($R14="","",INDEX('REGISTRE ELEVES'!$D$10:$D$250,$R14))</f>
        <v>KOFFI Awa Akissi</v>
      </c>
      <c r="D14" s="45" t="str">
        <f aca="false">IF($R14="","",INDEX('REGISTRE ELEVES'!$E$10:$E$250,$R14))</f>
        <v>F</v>
      </c>
      <c r="E14" s="45" t="str">
        <f aca="false">IF($R14="","",INDEX('REGISTRE ELEVES'!$F$10:$F$250,$R14))</f>
        <v>CP1</v>
      </c>
      <c r="F14" s="45" t="str">
        <f aca="false">IF($R14="","",INDEX('REGISTRE ELEVES'!$AE$10:$AE$250,$R14))</f>
        <v>PRESENT</v>
      </c>
      <c r="G14" s="80" t="n">
        <f aca="false">IF(B14="","",IFERROR(IF(LEFT(E14,2)="CP",INDEX('NOTES CP'!$P$10:$P$250,MATCH(B14,'NOTES CP'!$B$10:$B$250,0)),IF(E14="CE1",INDEX('NOTES CE1'!$M$10:$M$250,MATCH(B14,'NOTES CE1'!$B$10:$B$250,0)),INDEX('NOTES CE2-CM1'!$M$10:$M$250,MATCH(B14,'NOTES CE2-CM1'!$B$10:$B$250,0)))),""))</f>
        <v>5.56</v>
      </c>
      <c r="H14" s="80" t="n">
        <f aca="false">IF(B14="","",IFERROR(IF(LEFT(E14,2)="CP",INDEX('NOTES CP'!$Z$10:$Z$250,MATCH(B14,'NOTES CP'!$B$10:$B$250,0)),IF(E14="CE1",INDEX('NOTES CE1'!$T$10:$T$250,MATCH(B14,'NOTES CE1'!$B$10:$B$250,0)),INDEX('NOTES CE2-CM1'!$T$10:$T$250,MATCH(B14,'NOTES CE2-CM1'!$B$10:$B$250,0)))),""))</f>
        <v>5.31</v>
      </c>
      <c r="I14" s="80" t="n">
        <f aca="false">IF(B14="","",IFERROR(IF(LEFT(E14,2)="CP",INDEX('NOTES CP'!$AJ$10:$AJ$250,MATCH(B14,'NOTES CP'!$B$10:$B$250,0)),IF(E14="CE1",INDEX('NOTES CE1'!$AA$10:$AA$250,MATCH(B14,'NOTES CE1'!$B$10:$B$250,0)),INDEX('NOTES CE2-CM1'!$AA$10:$AA$250,MATCH(B14,'NOTES CE2-CM1'!$B$10:$B$250,0)))),""))</f>
        <v>0</v>
      </c>
      <c r="J14" s="81" t="n">
        <f aca="false">IF(COUNT(G14:I14)=0,"",ROUND(AVERAGE(G14:I14),2))</f>
        <v>3.62</v>
      </c>
      <c r="K14" s="80" t="n">
        <f aca="false">IF(B14="","",IFERROR(IF(LEFT(E14,2)="CP",INDEX('NOTES CP'!$AT$10:$AT$250,MATCH(B14,'NOTES CP'!$B$10:$B$250,0)),IF(E14="CE1",INDEX('NOTES CE1'!$AH$10:$AH$250,MATCH(B14,'NOTES CE1'!$B$10:$B$250,0)),INDEX('NOTES CE2-CM1'!$AH$10:$AH$250,MATCH(B14,'NOTES CE2-CM1'!$B$10:$B$250,0)))),""))</f>
        <v>5.38</v>
      </c>
      <c r="L14" s="82" t="n">
        <f aca="false">IF(OR(J14="",K14=""),"",ROUND((J14+2*K14)/3,2))</f>
        <v>4.79</v>
      </c>
      <c r="M14" s="83" t="n">
        <f aca="false">IF(E14="","",IFERROR(INDEX(PARAMETRES!$D$18:$D$23,MATCH(E14,PARAMETRES!$B$18:$B$23,0)),""))</f>
        <v>10</v>
      </c>
      <c r="N14" s="81" t="n">
        <f aca="false">IF(E14="","",IFERROR(INDEX(PARAMETRES!$C$18:$C$23,MATCH(E14,PARAMETRES!$B$18:$B$23,0)),""))</f>
        <v>5</v>
      </c>
      <c r="O14" s="45" t="str">
        <f aca="false">IF(B14="","",IF(F14="ABANDON","ABANDON",IF(F14="TRANSFERE","TRANSFERE",IF(L14="","",IF(L14&gt;=N14,"ADMIS","REDOUBLE")))))</f>
        <v>REDOUBLE</v>
      </c>
      <c r="P14" s="73" t="n">
        <f aca="false">IF(OR(L14="",F14&lt;&gt;"PRESENT"),"",COUNTIFS($E$10:$E$250,E14,$F$10:$F$250,"PRESENT",$L$10:$L$250,"&gt;"&amp;L14)+1)</f>
        <v>7</v>
      </c>
      <c r="Q14" s="74" t="str">
        <f aca="false">IF(O14="ADMIS",IF(L14/M14*10&gt;=8,"Très bien",IF(L14/M14*10&gt;=7,"Bien",IF(L14/M14*10&gt;=6,"Assez bien","Passable"))),IF(O14="REDOUBLE","Insuffisant",""))</f>
        <v>Insuffisant</v>
      </c>
      <c r="R14" s="51" t="n">
        <f aca="false">IFERROR(MATCH("P-5",'REGISTRE ELEVES'!$AH$10:$AH$250,0),"")</f>
        <v>5</v>
      </c>
    </row>
    <row r="15" customFormat="false" ht="15" hidden="false" customHeight="false" outlineLevel="0" collapsed="false">
      <c r="A15" s="45" t="n">
        <f aca="false">IF(B15="","",6)</f>
        <v>6</v>
      </c>
      <c r="B15" s="45" t="str">
        <f aca="false">IF($R15="","",INDEX('REGISTRE ELEVES'!$B$10:$B$250,$R15))</f>
        <v>CP1-006-26</v>
      </c>
      <c r="C15" s="74" t="str">
        <f aca="false">IF($R15="","",INDEX('REGISTRE ELEVES'!$D$10:$D$250,$R15))</f>
        <v>GBOGOU Marie-Ange Estelle</v>
      </c>
      <c r="D15" s="45" t="str">
        <f aca="false">IF($R15="","",INDEX('REGISTRE ELEVES'!$E$10:$E$250,$R15))</f>
        <v>F</v>
      </c>
      <c r="E15" s="45" t="str">
        <f aca="false">IF($R15="","",INDEX('REGISTRE ELEVES'!$F$10:$F$250,$R15))</f>
        <v>CP1</v>
      </c>
      <c r="F15" s="45" t="str">
        <f aca="false">IF($R15="","",INDEX('REGISTRE ELEVES'!$AE$10:$AE$250,$R15))</f>
        <v>PRESENT</v>
      </c>
      <c r="G15" s="80" t="n">
        <f aca="false">IF(B15="","",IFERROR(IF(LEFT(E15,2)="CP",INDEX('NOTES CP'!$P$10:$P$250,MATCH(B15,'NOTES CP'!$B$10:$B$250,0)),IF(E15="CE1",INDEX('NOTES CE1'!$M$10:$M$250,MATCH(B15,'NOTES CE1'!$B$10:$B$250,0)),INDEX('NOTES CE2-CM1'!$M$10:$M$250,MATCH(B15,'NOTES CE2-CM1'!$B$10:$B$250,0)))),""))</f>
        <v>6.94</v>
      </c>
      <c r="H15" s="80" t="n">
        <f aca="false">IF(B15="","",IFERROR(IF(LEFT(E15,2)="CP",INDEX('NOTES CP'!$Z$10:$Z$250,MATCH(B15,'NOTES CP'!$B$10:$B$250,0)),IF(E15="CE1",INDEX('NOTES CE1'!$T$10:$T$250,MATCH(B15,'NOTES CE1'!$B$10:$B$250,0)),INDEX('NOTES CE2-CM1'!$T$10:$T$250,MATCH(B15,'NOTES CE2-CM1'!$B$10:$B$250,0)))),""))</f>
        <v>6.56</v>
      </c>
      <c r="I15" s="80" t="n">
        <f aca="false">IF(B15="","",IFERROR(IF(LEFT(E15,2)="CP",INDEX('NOTES CP'!$AJ$10:$AJ$250,MATCH(B15,'NOTES CP'!$B$10:$B$250,0)),IF(E15="CE1",INDEX('NOTES CE1'!$AA$10:$AA$250,MATCH(B15,'NOTES CE1'!$B$10:$B$250,0)),INDEX('NOTES CE2-CM1'!$AA$10:$AA$250,MATCH(B15,'NOTES CE2-CM1'!$B$10:$B$250,0)))),""))</f>
        <v>6.75</v>
      </c>
      <c r="J15" s="81" t="n">
        <f aca="false">IF(COUNT(G15:I15)=0,"",ROUND(AVERAGE(G15:I15),2))</f>
        <v>6.75</v>
      </c>
      <c r="K15" s="80" t="n">
        <f aca="false">IF(B15="","",IFERROR(IF(LEFT(E15,2)="CP",INDEX('NOTES CP'!$AT$10:$AT$250,MATCH(B15,'NOTES CP'!$B$10:$B$250,0)),IF(E15="CE1",INDEX('NOTES CE1'!$AH$10:$AH$250,MATCH(B15,'NOTES CE1'!$B$10:$B$250,0)),INDEX('NOTES CE2-CM1'!$AH$10:$AH$250,MATCH(B15,'NOTES CE2-CM1'!$B$10:$B$250,0)))),""))</f>
        <v>6</v>
      </c>
      <c r="L15" s="82" t="n">
        <f aca="false">IF(OR(J15="",K15=""),"",ROUND((J15+2*K15)/3,2))</f>
        <v>6.25</v>
      </c>
      <c r="M15" s="83" t="n">
        <f aca="false">IF(E15="","",IFERROR(INDEX(PARAMETRES!$D$18:$D$23,MATCH(E15,PARAMETRES!$B$18:$B$23,0)),""))</f>
        <v>10</v>
      </c>
      <c r="N15" s="81" t="n">
        <f aca="false">IF(E15="","",IFERROR(INDEX(PARAMETRES!$C$18:$C$23,MATCH(E15,PARAMETRES!$B$18:$B$23,0)),""))</f>
        <v>5</v>
      </c>
      <c r="O15" s="45" t="str">
        <f aca="false">IF(B15="","",IF(F15="ABANDON","ABANDON",IF(F15="TRANSFERE","TRANSFERE",IF(L15="","",IF(L15&gt;=N15,"ADMIS","REDOUBLE")))))</f>
        <v>ADMIS</v>
      </c>
      <c r="P15" s="73" t="n">
        <f aca="false">IF(OR(L15="",F15&lt;&gt;"PRESENT"),"",COUNTIFS($E$10:$E$250,E15,$F$10:$F$250,"PRESENT",$L$10:$L$250,"&gt;"&amp;L15)+1)</f>
        <v>5</v>
      </c>
      <c r="Q15" s="74" t="str">
        <f aca="false">IF(O15="ADMIS",IF(L15/M15*10&gt;=8,"Très bien",IF(L15/M15*10&gt;=7,"Bien",IF(L15/M15*10&gt;=6,"Assez bien","Passable"))),IF(O15="REDOUBLE","Insuffisant",""))</f>
        <v>Assez bien</v>
      </c>
      <c r="R15" s="51" t="n">
        <f aca="false">IFERROR(MATCH("P-6",'REGISTRE ELEVES'!$AH$10:$AH$250,0),"")</f>
        <v>6</v>
      </c>
    </row>
    <row r="16" customFormat="false" ht="15" hidden="false" customHeight="false" outlineLevel="0" collapsed="false">
      <c r="A16" s="45" t="n">
        <f aca="false">IF(B16="","",7)</f>
        <v>7</v>
      </c>
      <c r="B16" s="45" t="str">
        <f aca="false">IF($R16="","",INDEX('REGISTRE ELEVES'!$B$10:$B$250,$R16))</f>
        <v>CP1-007-26</v>
      </c>
      <c r="C16" s="74" t="str">
        <f aca="false">IF($R16="","",INDEX('REGISTRE ELEVES'!$D$10:$D$250,$R16))</f>
        <v>LOBA Amenan Affoué</v>
      </c>
      <c r="D16" s="45" t="str">
        <f aca="false">IF($R16="","",INDEX('REGISTRE ELEVES'!$E$10:$E$250,$R16))</f>
        <v>F</v>
      </c>
      <c r="E16" s="45" t="str">
        <f aca="false">IF($R16="","",INDEX('REGISTRE ELEVES'!$F$10:$F$250,$R16))</f>
        <v>CP1</v>
      </c>
      <c r="F16" s="45" t="str">
        <f aca="false">IF($R16="","",INDEX('REGISTRE ELEVES'!$AE$10:$AE$250,$R16))</f>
        <v>PRESENT</v>
      </c>
      <c r="G16" s="80" t="n">
        <f aca="false">IF(B16="","",IFERROR(IF(LEFT(E16,2)="CP",INDEX('NOTES CP'!$P$10:$P$250,MATCH(B16,'NOTES CP'!$B$10:$B$250,0)),IF(E16="CE1",INDEX('NOTES CE1'!$M$10:$M$250,MATCH(B16,'NOTES CE1'!$B$10:$B$250,0)),INDEX('NOTES CE2-CM1'!$M$10:$M$250,MATCH(B16,'NOTES CE2-CM1'!$B$10:$B$250,0)))),""))</f>
        <v>6.25</v>
      </c>
      <c r="H16" s="80" t="n">
        <f aca="false">IF(B16="","",IFERROR(IF(LEFT(E16,2)="CP",INDEX('NOTES CP'!$Z$10:$Z$250,MATCH(B16,'NOTES CP'!$B$10:$B$250,0)),IF(E16="CE1",INDEX('NOTES CE1'!$T$10:$T$250,MATCH(B16,'NOTES CE1'!$B$10:$B$250,0)),INDEX('NOTES CE2-CM1'!$T$10:$T$250,MATCH(B16,'NOTES CE2-CM1'!$B$10:$B$250,0)))),""))</f>
        <v>6.44</v>
      </c>
      <c r="I16" s="80" t="n">
        <f aca="false">IF(B16="","",IFERROR(IF(LEFT(E16,2)="CP",INDEX('NOTES CP'!$AJ$10:$AJ$250,MATCH(B16,'NOTES CP'!$B$10:$B$250,0)),IF(E16="CE1",INDEX('NOTES CE1'!$AA$10:$AA$250,MATCH(B16,'NOTES CE1'!$B$10:$B$250,0)),INDEX('NOTES CE2-CM1'!$AA$10:$AA$250,MATCH(B16,'NOTES CE2-CM1'!$B$10:$B$250,0)))),""))</f>
        <v>6.94</v>
      </c>
      <c r="J16" s="81" t="n">
        <f aca="false">IF(COUNT(G16:I16)=0,"",ROUND(AVERAGE(G16:I16),2))</f>
        <v>6.54</v>
      </c>
      <c r="K16" s="80" t="n">
        <f aca="false">IF(B16="","",IFERROR(IF(LEFT(E16,2)="CP",INDEX('NOTES CP'!$AT$10:$AT$250,MATCH(B16,'NOTES CP'!$B$10:$B$250,0)),IF(E16="CE1",INDEX('NOTES CE1'!$AH$10:$AH$250,MATCH(B16,'NOTES CE1'!$B$10:$B$250,0)),INDEX('NOTES CE2-CM1'!$AH$10:$AH$250,MATCH(B16,'NOTES CE2-CM1'!$B$10:$B$250,0)))),""))</f>
        <v>0</v>
      </c>
      <c r="L16" s="82" t="n">
        <f aca="false">IF(OR(J16="",K16=""),"",ROUND((J16+2*K16)/3,2))</f>
        <v>2.18</v>
      </c>
      <c r="M16" s="83" t="n">
        <f aca="false">IF(E16="","",IFERROR(INDEX(PARAMETRES!$D$18:$D$23,MATCH(E16,PARAMETRES!$B$18:$B$23,0)),""))</f>
        <v>10</v>
      </c>
      <c r="N16" s="81" t="n">
        <f aca="false">IF(E16="","",IFERROR(INDEX(PARAMETRES!$C$18:$C$23,MATCH(E16,PARAMETRES!$B$18:$B$23,0)),""))</f>
        <v>5</v>
      </c>
      <c r="O16" s="45" t="str">
        <f aca="false">IF(B16="","",IF(F16="ABANDON","ABANDON",IF(F16="TRANSFERE","TRANSFERE",IF(L16="","",IF(L16&gt;=N16,"ADMIS","REDOUBLE")))))</f>
        <v>REDOUBLE</v>
      </c>
      <c r="P16" s="73" t="n">
        <f aca="false">IF(OR(L16="",F16&lt;&gt;"PRESENT"),"",COUNTIFS($E$10:$E$250,E16,$F$10:$F$250,"PRESENT",$L$10:$L$250,"&gt;"&amp;L16)+1)</f>
        <v>11</v>
      </c>
      <c r="Q16" s="74" t="str">
        <f aca="false">IF(O16="ADMIS",IF(L16/M16*10&gt;=8,"Très bien",IF(L16/M16*10&gt;=7,"Bien",IF(L16/M16*10&gt;=6,"Assez bien","Passable"))),IF(O16="REDOUBLE","Insuffisant",""))</f>
        <v>Insuffisant</v>
      </c>
      <c r="R16" s="51" t="n">
        <f aca="false">IFERROR(MATCH("P-7",'REGISTRE ELEVES'!$AH$10:$AH$250,0),"")</f>
        <v>7</v>
      </c>
    </row>
    <row r="17" customFormat="false" ht="15" hidden="false" customHeight="false" outlineLevel="0" collapsed="false">
      <c r="A17" s="45" t="n">
        <f aca="false">IF(B17="","",8)</f>
        <v>8</v>
      </c>
      <c r="B17" s="45" t="str">
        <f aca="false">IF($R17="","",INDEX('REGISTRE ELEVES'!$B$10:$B$250,$R17))</f>
        <v>CP1-008-26</v>
      </c>
      <c r="C17" s="74" t="str">
        <f aca="false">IF($R17="","",INDEX('REGISTRE ELEVES'!$D$10:$D$250,$R17))</f>
        <v>TANOH Kouadio Konan</v>
      </c>
      <c r="D17" s="45" t="str">
        <f aca="false">IF($R17="","",INDEX('REGISTRE ELEVES'!$E$10:$E$250,$R17))</f>
        <v>M</v>
      </c>
      <c r="E17" s="45" t="str">
        <f aca="false">IF($R17="","",INDEX('REGISTRE ELEVES'!$F$10:$F$250,$R17))</f>
        <v>CP1</v>
      </c>
      <c r="F17" s="45" t="str">
        <f aca="false">IF($R17="","",INDEX('REGISTRE ELEVES'!$AE$10:$AE$250,$R17))</f>
        <v>PRESENT</v>
      </c>
      <c r="G17" s="80" t="n">
        <f aca="false">IF(B17="","",IFERROR(IF(LEFT(E17,2)="CP",INDEX('NOTES CP'!$P$10:$P$250,MATCH(B17,'NOTES CP'!$B$10:$B$250,0)),IF(E17="CE1",INDEX('NOTES CE1'!$M$10:$M$250,MATCH(B17,'NOTES CE1'!$B$10:$B$250,0)),INDEX('NOTES CE2-CM1'!$M$10:$M$250,MATCH(B17,'NOTES CE2-CM1'!$B$10:$B$250,0)))),""))</f>
        <v>4.19</v>
      </c>
      <c r="H17" s="80" t="n">
        <f aca="false">IF(B17="","",IFERROR(IF(LEFT(E17,2)="CP",INDEX('NOTES CP'!$Z$10:$Z$250,MATCH(B17,'NOTES CP'!$B$10:$B$250,0)),IF(E17="CE1",INDEX('NOTES CE1'!$T$10:$T$250,MATCH(B17,'NOTES CE1'!$B$10:$B$250,0)),INDEX('NOTES CE2-CM1'!$T$10:$T$250,MATCH(B17,'NOTES CE2-CM1'!$B$10:$B$250,0)))),""))</f>
        <v>4.5</v>
      </c>
      <c r="I17" s="80" t="n">
        <f aca="false">IF(B17="","",IFERROR(IF(LEFT(E17,2)="CP",INDEX('NOTES CP'!$AJ$10:$AJ$250,MATCH(B17,'NOTES CP'!$B$10:$B$250,0)),IF(E17="CE1",INDEX('NOTES CE1'!$AA$10:$AA$250,MATCH(B17,'NOTES CE1'!$B$10:$B$250,0)),INDEX('NOTES CE2-CM1'!$AA$10:$AA$250,MATCH(B17,'NOTES CE2-CM1'!$B$10:$B$250,0)))),""))</f>
        <v>3.88</v>
      </c>
      <c r="J17" s="81" t="n">
        <f aca="false">IF(COUNT(G17:I17)=0,"",ROUND(AVERAGE(G17:I17),2))</f>
        <v>4.19</v>
      </c>
      <c r="K17" s="80" t="n">
        <f aca="false">IF(B17="","",IFERROR(IF(LEFT(E17,2)="CP",INDEX('NOTES CP'!$AT$10:$AT$250,MATCH(B17,'NOTES CP'!$B$10:$B$250,0)),IF(E17="CE1",INDEX('NOTES CE1'!$AH$10:$AH$250,MATCH(B17,'NOTES CE1'!$B$10:$B$250,0)),INDEX('NOTES CE2-CM1'!$AH$10:$AH$250,MATCH(B17,'NOTES CE2-CM1'!$B$10:$B$250,0)))),""))</f>
        <v>4.75</v>
      </c>
      <c r="L17" s="82" t="n">
        <f aca="false">IF(OR(J17="",K17=""),"",ROUND((J17+2*K17)/3,2))</f>
        <v>4.56</v>
      </c>
      <c r="M17" s="83" t="n">
        <f aca="false">IF(E17="","",IFERROR(INDEX(PARAMETRES!$D$18:$D$23,MATCH(E17,PARAMETRES!$B$18:$B$23,0)),""))</f>
        <v>10</v>
      </c>
      <c r="N17" s="81" t="n">
        <f aca="false">IF(E17="","",IFERROR(INDEX(PARAMETRES!$C$18:$C$23,MATCH(E17,PARAMETRES!$B$18:$B$23,0)),""))</f>
        <v>5</v>
      </c>
      <c r="O17" s="45" t="str">
        <f aca="false">IF(B17="","",IF(F17="ABANDON","ABANDON",IF(F17="TRANSFERE","TRANSFERE",IF(L17="","",IF(L17&gt;=N17,"ADMIS","REDOUBLE")))))</f>
        <v>REDOUBLE</v>
      </c>
      <c r="P17" s="73" t="n">
        <f aca="false">IF(OR(L17="",F17&lt;&gt;"PRESENT"),"",COUNTIFS($E$10:$E$250,E17,$F$10:$F$250,"PRESENT",$L$10:$L$250,"&gt;"&amp;L17)+1)</f>
        <v>8</v>
      </c>
      <c r="Q17" s="74" t="str">
        <f aca="false">IF(O17="ADMIS",IF(L17/M17*10&gt;=8,"Très bien",IF(L17/M17*10&gt;=7,"Bien",IF(L17/M17*10&gt;=6,"Assez bien","Passable"))),IF(O17="REDOUBLE","Insuffisant",""))</f>
        <v>Insuffisant</v>
      </c>
      <c r="R17" s="51" t="n">
        <f aca="false">IFERROR(MATCH("P-8",'REGISTRE ELEVES'!$AH$10:$AH$250,0),"")</f>
        <v>8</v>
      </c>
    </row>
    <row r="18" customFormat="false" ht="15" hidden="false" customHeight="false" outlineLevel="0" collapsed="false">
      <c r="A18" s="45" t="n">
        <f aca="false">IF(B18="","",9)</f>
        <v>9</v>
      </c>
      <c r="B18" s="45" t="str">
        <f aca="false">IF($R18="","",INDEX('REGISTRE ELEVES'!$B$10:$B$250,$R18))</f>
        <v>CP1-009-26</v>
      </c>
      <c r="C18" s="74" t="str">
        <f aca="false">IF($R18="","",INDEX('REGISTRE ELEVES'!$D$10:$D$250,$R18))</f>
        <v>BAMBA Cédric Abdoulaye</v>
      </c>
      <c r="D18" s="45" t="str">
        <f aca="false">IF($R18="","",INDEX('REGISTRE ELEVES'!$E$10:$E$250,$R18))</f>
        <v>M</v>
      </c>
      <c r="E18" s="45" t="str">
        <f aca="false">IF($R18="","",INDEX('REGISTRE ELEVES'!$F$10:$F$250,$R18))</f>
        <v>CP1</v>
      </c>
      <c r="F18" s="45" t="str">
        <f aca="false">IF($R18="","",INDEX('REGISTRE ELEVES'!$AE$10:$AE$250,$R18))</f>
        <v>PRESENT</v>
      </c>
      <c r="G18" s="80" t="n">
        <f aca="false">IF(B18="","",IFERROR(IF(LEFT(E18,2)="CP",INDEX('NOTES CP'!$P$10:$P$250,MATCH(B18,'NOTES CP'!$B$10:$B$250,0)),IF(E18="CE1",INDEX('NOTES CE1'!$M$10:$M$250,MATCH(B18,'NOTES CE1'!$B$10:$B$250,0)),INDEX('NOTES CE2-CM1'!$M$10:$M$250,MATCH(B18,'NOTES CE2-CM1'!$B$10:$B$250,0)))),""))</f>
        <v>3.81</v>
      </c>
      <c r="H18" s="80" t="n">
        <f aca="false">IF(B18="","",IFERROR(IF(LEFT(E18,2)="CP",INDEX('NOTES CP'!$Z$10:$Z$250,MATCH(B18,'NOTES CP'!$B$10:$B$250,0)),IF(E18="CE1",INDEX('NOTES CE1'!$T$10:$T$250,MATCH(B18,'NOTES CE1'!$B$10:$B$250,0)),INDEX('NOTES CE2-CM1'!$T$10:$T$250,MATCH(B18,'NOTES CE2-CM1'!$B$10:$B$250,0)))),""))</f>
        <v>3.19</v>
      </c>
      <c r="I18" s="80" t="n">
        <f aca="false">IF(B18="","",IFERROR(IF(LEFT(E18,2)="CP",INDEX('NOTES CP'!$AJ$10:$AJ$250,MATCH(B18,'NOTES CP'!$B$10:$B$250,0)),IF(E18="CE1",INDEX('NOTES CE1'!$AA$10:$AA$250,MATCH(B18,'NOTES CE1'!$B$10:$B$250,0)),INDEX('NOTES CE2-CM1'!$AA$10:$AA$250,MATCH(B18,'NOTES CE2-CM1'!$B$10:$B$250,0)))),""))</f>
        <v>0</v>
      </c>
      <c r="J18" s="81" t="n">
        <f aca="false">IF(COUNT(G18:I18)=0,"",ROUND(AVERAGE(G18:I18),2))</f>
        <v>2.33</v>
      </c>
      <c r="K18" s="80" t="n">
        <f aca="false">IF(B18="","",IFERROR(IF(LEFT(E18,2)="CP",INDEX('NOTES CP'!$AT$10:$AT$250,MATCH(B18,'NOTES CP'!$B$10:$B$250,0)),IF(E18="CE1",INDEX('NOTES CE1'!$AH$10:$AH$250,MATCH(B18,'NOTES CE1'!$B$10:$B$250,0)),INDEX('NOTES CE2-CM1'!$AH$10:$AH$250,MATCH(B18,'NOTES CE2-CM1'!$B$10:$B$250,0)))),""))</f>
        <v>4.19</v>
      </c>
      <c r="L18" s="82" t="n">
        <f aca="false">IF(OR(J18="",K18=""),"",ROUND((J18+2*K18)/3,2))</f>
        <v>3.57</v>
      </c>
      <c r="M18" s="83" t="n">
        <f aca="false">IF(E18="","",IFERROR(INDEX(PARAMETRES!$D$18:$D$23,MATCH(E18,PARAMETRES!$B$18:$B$23,0)),""))</f>
        <v>10</v>
      </c>
      <c r="N18" s="81" t="n">
        <f aca="false">IF(E18="","",IFERROR(INDEX(PARAMETRES!$C$18:$C$23,MATCH(E18,PARAMETRES!$B$18:$B$23,0)),""))</f>
        <v>5</v>
      </c>
      <c r="O18" s="45" t="str">
        <f aca="false">IF(B18="","",IF(F18="ABANDON","ABANDON",IF(F18="TRANSFERE","TRANSFERE",IF(L18="","",IF(L18&gt;=N18,"ADMIS","REDOUBLE")))))</f>
        <v>REDOUBLE</v>
      </c>
      <c r="P18" s="73" t="n">
        <f aca="false">IF(OR(L18="",F18&lt;&gt;"PRESENT"),"",COUNTIFS($E$10:$E$250,E18,$F$10:$F$250,"PRESENT",$L$10:$L$250,"&gt;"&amp;L18)+1)</f>
        <v>9</v>
      </c>
      <c r="Q18" s="74" t="str">
        <f aca="false">IF(O18="ADMIS",IF(L18/M18*10&gt;=8,"Très bien",IF(L18/M18*10&gt;=7,"Bien",IF(L18/M18*10&gt;=6,"Assez bien","Passable"))),IF(O18="REDOUBLE","Insuffisant",""))</f>
        <v>Insuffisant</v>
      </c>
      <c r="R18" s="51" t="n">
        <f aca="false">IFERROR(MATCH("P-9",'REGISTRE ELEVES'!$AH$10:$AH$250,0),"")</f>
        <v>9</v>
      </c>
    </row>
    <row r="19" customFormat="false" ht="15" hidden="false" customHeight="false" outlineLevel="0" collapsed="false">
      <c r="A19" s="45" t="n">
        <f aca="false">IF(B19="","",10)</f>
        <v>10</v>
      </c>
      <c r="B19" s="45" t="str">
        <f aca="false">IF($R19="","",INDEX('REGISTRE ELEVES'!$B$10:$B$250,$R19))</f>
        <v>CP1-010-26</v>
      </c>
      <c r="C19" s="74" t="str">
        <f aca="false">IF($R19="","",INDEX('REGISTRE ELEVES'!$D$10:$D$250,$R19))</f>
        <v>AKA Ismaël Jean-Marc</v>
      </c>
      <c r="D19" s="45" t="str">
        <f aca="false">IF($R19="","",INDEX('REGISTRE ELEVES'!$E$10:$E$250,$R19))</f>
        <v>M</v>
      </c>
      <c r="E19" s="45" t="str">
        <f aca="false">IF($R19="","",INDEX('REGISTRE ELEVES'!$F$10:$F$250,$R19))</f>
        <v>CP1</v>
      </c>
      <c r="F19" s="45" t="str">
        <f aca="false">IF($R19="","",INDEX('REGISTRE ELEVES'!$AE$10:$AE$250,$R19))</f>
        <v>PRESENT</v>
      </c>
      <c r="G19" s="80" t="n">
        <f aca="false">IF(B19="","",IFERROR(IF(LEFT(E19,2)="CP",INDEX('NOTES CP'!$P$10:$P$250,MATCH(B19,'NOTES CP'!$B$10:$B$250,0)),IF(E19="CE1",INDEX('NOTES CE1'!$M$10:$M$250,MATCH(B19,'NOTES CE1'!$B$10:$B$250,0)),INDEX('NOTES CE2-CM1'!$M$10:$M$250,MATCH(B19,'NOTES CE2-CM1'!$B$10:$B$250,0)))),""))</f>
        <v>7.69</v>
      </c>
      <c r="H19" s="80" t="n">
        <f aca="false">IF(B19="","",IFERROR(IF(LEFT(E19,2)="CP",INDEX('NOTES CP'!$Z$10:$Z$250,MATCH(B19,'NOTES CP'!$B$10:$B$250,0)),IF(E19="CE1",INDEX('NOTES CE1'!$T$10:$T$250,MATCH(B19,'NOTES CE1'!$B$10:$B$250,0)),INDEX('NOTES CE2-CM1'!$T$10:$T$250,MATCH(B19,'NOTES CE2-CM1'!$B$10:$B$250,0)))),""))</f>
        <v>7.75</v>
      </c>
      <c r="I19" s="80" t="n">
        <f aca="false">IF(B19="","",IFERROR(IF(LEFT(E19,2)="CP",INDEX('NOTES CP'!$AJ$10:$AJ$250,MATCH(B19,'NOTES CP'!$B$10:$B$250,0)),IF(E19="CE1",INDEX('NOTES CE1'!$AA$10:$AA$250,MATCH(B19,'NOTES CE1'!$B$10:$B$250,0)),INDEX('NOTES CE2-CM1'!$AA$10:$AA$250,MATCH(B19,'NOTES CE2-CM1'!$B$10:$B$250,0)))),""))</f>
        <v>8</v>
      </c>
      <c r="J19" s="81" t="n">
        <f aca="false">IF(COUNT(G19:I19)=0,"",ROUND(AVERAGE(G19:I19),2))</f>
        <v>7.81</v>
      </c>
      <c r="K19" s="80" t="n">
        <f aca="false">IF(B19="","",IFERROR(IF(LEFT(E19,2)="CP",INDEX('NOTES CP'!$AT$10:$AT$250,MATCH(B19,'NOTES CP'!$B$10:$B$250,0)),IF(E19="CE1",INDEX('NOTES CE1'!$AH$10:$AH$250,MATCH(B19,'NOTES CE1'!$B$10:$B$250,0)),INDEX('NOTES CE2-CM1'!$AH$10:$AH$250,MATCH(B19,'NOTES CE2-CM1'!$B$10:$B$250,0)))),""))</f>
        <v>7.94</v>
      </c>
      <c r="L19" s="82" t="n">
        <f aca="false">IF(OR(J19="",K19=""),"",ROUND((J19+2*K19)/3,2))</f>
        <v>7.9</v>
      </c>
      <c r="M19" s="83" t="n">
        <f aca="false">IF(E19="","",IFERROR(INDEX(PARAMETRES!$D$18:$D$23,MATCH(E19,PARAMETRES!$B$18:$B$23,0)),""))</f>
        <v>10</v>
      </c>
      <c r="N19" s="81" t="n">
        <f aca="false">IF(E19="","",IFERROR(INDEX(PARAMETRES!$C$18:$C$23,MATCH(E19,PARAMETRES!$B$18:$B$23,0)),""))</f>
        <v>5</v>
      </c>
      <c r="O19" s="45" t="str">
        <f aca="false">IF(B19="","",IF(F19="ABANDON","ABANDON",IF(F19="TRANSFERE","TRANSFERE",IF(L19="","",IF(L19&gt;=N19,"ADMIS","REDOUBLE")))))</f>
        <v>ADMIS</v>
      </c>
      <c r="P19" s="73" t="n">
        <f aca="false">IF(OR(L19="",F19&lt;&gt;"PRESENT"),"",COUNTIFS($E$10:$E$250,E19,$F$10:$F$250,"PRESENT",$L$10:$L$250,"&gt;"&amp;L19)+1)</f>
        <v>2</v>
      </c>
      <c r="Q19" s="74" t="str">
        <f aca="false">IF(O19="ADMIS",IF(L19/M19*10&gt;=8,"Très bien",IF(L19/M19*10&gt;=7,"Bien",IF(L19/M19*10&gt;=6,"Assez bien","Passable"))),IF(O19="REDOUBLE","Insuffisant",""))</f>
        <v>Bien</v>
      </c>
      <c r="R19" s="51" t="n">
        <f aca="false">IFERROR(MATCH("P-10",'REGISTRE ELEVES'!$AH$10:$AH$250,0),"")</f>
        <v>10</v>
      </c>
    </row>
    <row r="20" customFormat="false" ht="15" hidden="false" customHeight="false" outlineLevel="0" collapsed="false">
      <c r="A20" s="45" t="n">
        <f aca="false">IF(B20="","",11)</f>
        <v>11</v>
      </c>
      <c r="B20" s="45" t="str">
        <f aca="false">IF($R20="","",INDEX('REGISTRE ELEVES'!$B$10:$B$250,$R20))</f>
        <v>CP1-011-26</v>
      </c>
      <c r="C20" s="74" t="str">
        <f aca="false">IF($R20="","",INDEX('REGISTRE ELEVES'!$D$10:$D$250,$R20))</f>
        <v>SORO Adjoua Estelle</v>
      </c>
      <c r="D20" s="45" t="str">
        <f aca="false">IF($R20="","",INDEX('REGISTRE ELEVES'!$E$10:$E$250,$R20))</f>
        <v>F</v>
      </c>
      <c r="E20" s="45" t="str">
        <f aca="false">IF($R20="","",INDEX('REGISTRE ELEVES'!$F$10:$F$250,$R20))</f>
        <v>CP1</v>
      </c>
      <c r="F20" s="45" t="str">
        <f aca="false">IF($R20="","",INDEX('REGISTRE ELEVES'!$AE$10:$AE$250,$R20))</f>
        <v>PRESENT</v>
      </c>
      <c r="G20" s="80" t="n">
        <f aca="false">IF(B20="","",IFERROR(IF(LEFT(E20,2)="CP",INDEX('NOTES CP'!$P$10:$P$250,MATCH(B20,'NOTES CP'!$B$10:$B$250,0)),IF(E20="CE1",INDEX('NOTES CE1'!$M$10:$M$250,MATCH(B20,'NOTES CE1'!$B$10:$B$250,0)),INDEX('NOTES CE2-CM1'!$M$10:$M$250,MATCH(B20,'NOTES CE2-CM1'!$B$10:$B$250,0)))),""))</f>
        <v>8.5</v>
      </c>
      <c r="H20" s="80" t="n">
        <f aca="false">IF(B20="","",IFERROR(IF(LEFT(E20,2)="CP",INDEX('NOTES CP'!$Z$10:$Z$250,MATCH(B20,'NOTES CP'!$B$10:$B$250,0)),IF(E20="CE1",INDEX('NOTES CE1'!$T$10:$T$250,MATCH(B20,'NOTES CE1'!$B$10:$B$250,0)),INDEX('NOTES CE2-CM1'!$T$10:$T$250,MATCH(B20,'NOTES CE2-CM1'!$B$10:$B$250,0)))),""))</f>
        <v>8.19</v>
      </c>
      <c r="I20" s="80" t="n">
        <f aca="false">IF(B20="","",IFERROR(IF(LEFT(E20,2)="CP",INDEX('NOTES CP'!$AJ$10:$AJ$250,MATCH(B20,'NOTES CP'!$B$10:$B$250,0)),IF(E20="CE1",INDEX('NOTES CE1'!$AA$10:$AA$250,MATCH(B20,'NOTES CE1'!$B$10:$B$250,0)),INDEX('NOTES CE2-CM1'!$AA$10:$AA$250,MATCH(B20,'NOTES CE2-CM1'!$B$10:$B$250,0)))),""))</f>
        <v>8</v>
      </c>
      <c r="J20" s="81" t="n">
        <f aca="false">IF(COUNT(G20:I20)=0,"",ROUND(AVERAGE(G20:I20),2))</f>
        <v>8.23</v>
      </c>
      <c r="K20" s="80" t="n">
        <f aca="false">IF(B20="","",IFERROR(IF(LEFT(E20,2)="CP",INDEX('NOTES CP'!$AT$10:$AT$250,MATCH(B20,'NOTES CP'!$B$10:$B$250,0)),IF(E20="CE1",INDEX('NOTES CE1'!$AH$10:$AH$250,MATCH(B20,'NOTES CE1'!$B$10:$B$250,0)),INDEX('NOTES CE2-CM1'!$AH$10:$AH$250,MATCH(B20,'NOTES CE2-CM1'!$B$10:$B$250,0)))),""))</f>
        <v>8.38</v>
      </c>
      <c r="L20" s="82" t="n">
        <f aca="false">IF(OR(J20="",K20=""),"",ROUND((J20+2*K20)/3,2))</f>
        <v>8.33</v>
      </c>
      <c r="M20" s="83" t="n">
        <f aca="false">IF(E20="","",IFERROR(INDEX(PARAMETRES!$D$18:$D$23,MATCH(E20,PARAMETRES!$B$18:$B$23,0)),""))</f>
        <v>10</v>
      </c>
      <c r="N20" s="81" t="n">
        <f aca="false">IF(E20="","",IFERROR(INDEX(PARAMETRES!$C$18:$C$23,MATCH(E20,PARAMETRES!$B$18:$B$23,0)),""))</f>
        <v>5</v>
      </c>
      <c r="O20" s="45" t="str">
        <f aca="false">IF(B20="","",IF(F20="ABANDON","ABANDON",IF(F20="TRANSFERE","TRANSFERE",IF(L20="","",IF(L20&gt;=N20,"ADMIS","REDOUBLE")))))</f>
        <v>ADMIS</v>
      </c>
      <c r="P20" s="73" t="n">
        <f aca="false">IF(OR(L20="",F20&lt;&gt;"PRESENT"),"",COUNTIFS($E$10:$E$250,E20,$F$10:$F$250,"PRESENT",$L$10:$L$250,"&gt;"&amp;L20)+1)</f>
        <v>1</v>
      </c>
      <c r="Q20" s="74" t="str">
        <f aca="false">IF(O20="ADMIS",IF(L20/M20*10&gt;=8,"Très bien",IF(L20/M20*10&gt;=7,"Bien",IF(L20/M20*10&gt;=6,"Assez bien","Passable"))),IF(O20="REDOUBLE","Insuffisant",""))</f>
        <v>Très bien</v>
      </c>
      <c r="R20" s="51" t="n">
        <f aca="false">IFERROR(MATCH("P-11",'REGISTRE ELEVES'!$AH$10:$AH$250,0),"")</f>
        <v>11</v>
      </c>
    </row>
    <row r="21" customFormat="false" ht="15" hidden="false" customHeight="false" outlineLevel="0" collapsed="false">
      <c r="A21" s="45" t="n">
        <f aca="false">IF(B21="","",12)</f>
        <v>12</v>
      </c>
      <c r="B21" s="45" t="str">
        <f aca="false">IF($R21="","",INDEX('REGISTRE ELEVES'!$B$10:$B$250,$R21))</f>
        <v>CP2-001-26</v>
      </c>
      <c r="C21" s="74" t="str">
        <f aca="false">IF($R21="","",INDEX('REGISTRE ELEVES'!$D$10:$D$250,$R21))</f>
        <v>GBOGOU Koffi Franck</v>
      </c>
      <c r="D21" s="45" t="str">
        <f aca="false">IF($R21="","",INDEX('REGISTRE ELEVES'!$E$10:$E$250,$R21))</f>
        <v>M</v>
      </c>
      <c r="E21" s="45" t="str">
        <f aca="false">IF($R21="","",INDEX('REGISTRE ELEVES'!$F$10:$F$250,$R21))</f>
        <v>CP2</v>
      </c>
      <c r="F21" s="45" t="str">
        <f aca="false">IF($R21="","",INDEX('REGISTRE ELEVES'!$AE$10:$AE$250,$R21))</f>
        <v>PRESENT</v>
      </c>
      <c r="G21" s="80" t="n">
        <f aca="false">IF(B21="","",IFERROR(IF(LEFT(E21,2)="CP",INDEX('NOTES CP'!$P$10:$P$250,MATCH(B21,'NOTES CP'!$B$10:$B$250,0)),IF(E21="CE1",INDEX('NOTES CE1'!$M$10:$M$250,MATCH(B21,'NOTES CE1'!$B$10:$B$250,0)),INDEX('NOTES CE2-CM1'!$M$10:$M$250,MATCH(B21,'NOTES CE2-CM1'!$B$10:$B$250,0)))),""))</f>
        <v>7.5</v>
      </c>
      <c r="H21" s="80" t="n">
        <f aca="false">IF(B21="","",IFERROR(IF(LEFT(E21,2)="CP",INDEX('NOTES CP'!$Z$10:$Z$250,MATCH(B21,'NOTES CP'!$B$10:$B$250,0)),IF(E21="CE1",INDEX('NOTES CE1'!$T$10:$T$250,MATCH(B21,'NOTES CE1'!$B$10:$B$250,0)),INDEX('NOTES CE2-CM1'!$T$10:$T$250,MATCH(B21,'NOTES CE2-CM1'!$B$10:$B$250,0)))),""))</f>
        <v>7.19</v>
      </c>
      <c r="I21" s="80" t="n">
        <f aca="false">IF(B21="","",IFERROR(IF(LEFT(E21,2)="CP",INDEX('NOTES CP'!$AJ$10:$AJ$250,MATCH(B21,'NOTES CP'!$B$10:$B$250,0)),IF(E21="CE1",INDEX('NOTES CE1'!$AA$10:$AA$250,MATCH(B21,'NOTES CE1'!$B$10:$B$250,0)),INDEX('NOTES CE2-CM1'!$AA$10:$AA$250,MATCH(B21,'NOTES CE2-CM1'!$B$10:$B$250,0)))),""))</f>
        <v>7.44</v>
      </c>
      <c r="J21" s="81" t="n">
        <f aca="false">IF(COUNT(G21:I21)=0,"",ROUND(AVERAGE(G21:I21),2))</f>
        <v>7.38</v>
      </c>
      <c r="K21" s="80" t="n">
        <f aca="false">IF(B21="","",IFERROR(IF(LEFT(E21,2)="CP",INDEX('NOTES CP'!$AT$10:$AT$250,MATCH(B21,'NOTES CP'!$B$10:$B$250,0)),IF(E21="CE1",INDEX('NOTES CE1'!$AH$10:$AH$250,MATCH(B21,'NOTES CE1'!$B$10:$B$250,0)),INDEX('NOTES CE2-CM1'!$AH$10:$AH$250,MATCH(B21,'NOTES CE2-CM1'!$B$10:$B$250,0)))),""))</f>
        <v>7.75</v>
      </c>
      <c r="L21" s="82" t="n">
        <f aca="false">IF(OR(J21="",K21=""),"",ROUND((J21+2*K21)/3,2))</f>
        <v>7.63</v>
      </c>
      <c r="M21" s="83" t="n">
        <f aca="false">IF(E21="","",IFERROR(INDEX(PARAMETRES!$D$18:$D$23,MATCH(E21,PARAMETRES!$B$18:$B$23,0)),""))</f>
        <v>10</v>
      </c>
      <c r="N21" s="81" t="n">
        <f aca="false">IF(E21="","",IFERROR(INDEX(PARAMETRES!$C$18:$C$23,MATCH(E21,PARAMETRES!$B$18:$B$23,0)),""))</f>
        <v>5</v>
      </c>
      <c r="O21" s="45" t="str">
        <f aca="false">IF(B21="","",IF(F21="ABANDON","ABANDON",IF(F21="TRANSFERE","TRANSFERE",IF(L21="","",IF(L21&gt;=N21,"ADMIS","REDOUBLE")))))</f>
        <v>ADMIS</v>
      </c>
      <c r="P21" s="73" t="n">
        <f aca="false">IF(OR(L21="",F21&lt;&gt;"PRESENT"),"",COUNTIFS($E$10:$E$250,E21,$F$10:$F$250,"PRESENT",$L$10:$L$250,"&gt;"&amp;L21)+1)</f>
        <v>3</v>
      </c>
      <c r="Q21" s="74" t="str">
        <f aca="false">IF(O21="ADMIS",IF(L21/M21*10&gt;=8,"Très bien",IF(L21/M21*10&gt;=7,"Bien",IF(L21/M21*10&gt;=6,"Assez bien","Passable"))),IF(O21="REDOUBLE","Insuffisant",""))</f>
        <v>Bien</v>
      </c>
      <c r="R21" s="51" t="n">
        <f aca="false">IFERROR(MATCH("P-12",'REGISTRE ELEVES'!$AH$10:$AH$250,0),"")</f>
        <v>12</v>
      </c>
    </row>
    <row r="22" customFormat="false" ht="15" hidden="false" customHeight="false" outlineLevel="0" collapsed="false">
      <c r="A22" s="45" t="n">
        <f aca="false">IF(B22="","",13)</f>
        <v>13</v>
      </c>
      <c r="B22" s="45" t="str">
        <f aca="false">IF($R22="","",INDEX('REGISTRE ELEVES'!$B$10:$B$250,$R22))</f>
        <v>CP2-002-26</v>
      </c>
      <c r="C22" s="74" t="str">
        <f aca="false">IF($R22="","",INDEX('REGISTRE ELEVES'!$D$10:$D$250,$R22))</f>
        <v>GBOGOU Amenan Rebecca</v>
      </c>
      <c r="D22" s="45" t="str">
        <f aca="false">IF($R22="","",INDEX('REGISTRE ELEVES'!$E$10:$E$250,$R22))</f>
        <v>F</v>
      </c>
      <c r="E22" s="45" t="str">
        <f aca="false">IF($R22="","",INDEX('REGISTRE ELEVES'!$F$10:$F$250,$R22))</f>
        <v>CP2</v>
      </c>
      <c r="F22" s="45" t="str">
        <f aca="false">IF($R22="","",INDEX('REGISTRE ELEVES'!$AE$10:$AE$250,$R22))</f>
        <v>PRESENT</v>
      </c>
      <c r="G22" s="80" t="n">
        <f aca="false">IF(B22="","",IFERROR(IF(LEFT(E22,2)="CP",INDEX('NOTES CP'!$P$10:$P$250,MATCH(B22,'NOTES CP'!$B$10:$B$250,0)),IF(E22="CE1",INDEX('NOTES CE1'!$M$10:$M$250,MATCH(B22,'NOTES CE1'!$B$10:$B$250,0)),INDEX('NOTES CE2-CM1'!$M$10:$M$250,MATCH(B22,'NOTES CE2-CM1'!$B$10:$B$250,0)))),""))</f>
        <v>5.5</v>
      </c>
      <c r="H22" s="80" t="n">
        <f aca="false">IF(B22="","",IFERROR(IF(LEFT(E22,2)="CP",INDEX('NOTES CP'!$Z$10:$Z$250,MATCH(B22,'NOTES CP'!$B$10:$B$250,0)),IF(E22="CE1",INDEX('NOTES CE1'!$T$10:$T$250,MATCH(B22,'NOTES CE1'!$B$10:$B$250,0)),INDEX('NOTES CE2-CM1'!$T$10:$T$250,MATCH(B22,'NOTES CE2-CM1'!$B$10:$B$250,0)))),""))</f>
        <v>5.94</v>
      </c>
      <c r="I22" s="80" t="n">
        <f aca="false">IF(B22="","",IFERROR(IF(LEFT(E22,2)="CP",INDEX('NOTES CP'!$AJ$10:$AJ$250,MATCH(B22,'NOTES CP'!$B$10:$B$250,0)),IF(E22="CE1",INDEX('NOTES CE1'!$AA$10:$AA$250,MATCH(B22,'NOTES CE1'!$B$10:$B$250,0)),INDEX('NOTES CE2-CM1'!$AA$10:$AA$250,MATCH(B22,'NOTES CE2-CM1'!$B$10:$B$250,0)))),""))</f>
        <v>5.5</v>
      </c>
      <c r="J22" s="81" t="n">
        <f aca="false">IF(COUNT(G22:I22)=0,"",ROUND(AVERAGE(G22:I22),2))</f>
        <v>5.65</v>
      </c>
      <c r="K22" s="80" t="n">
        <f aca="false">IF(B22="","",IFERROR(IF(LEFT(E22,2)="CP",INDEX('NOTES CP'!$AT$10:$AT$250,MATCH(B22,'NOTES CP'!$B$10:$B$250,0)),IF(E22="CE1",INDEX('NOTES CE1'!$AH$10:$AH$250,MATCH(B22,'NOTES CE1'!$B$10:$B$250,0)),INDEX('NOTES CE2-CM1'!$AH$10:$AH$250,MATCH(B22,'NOTES CE2-CM1'!$B$10:$B$250,0)))),""))</f>
        <v>6.63</v>
      </c>
      <c r="L22" s="82" t="n">
        <f aca="false">IF(OR(J22="",K22=""),"",ROUND((J22+2*K22)/3,2))</f>
        <v>6.3</v>
      </c>
      <c r="M22" s="83" t="n">
        <f aca="false">IF(E22="","",IFERROR(INDEX(PARAMETRES!$D$18:$D$23,MATCH(E22,PARAMETRES!$B$18:$B$23,0)),""))</f>
        <v>10</v>
      </c>
      <c r="N22" s="81" t="n">
        <f aca="false">IF(E22="","",IFERROR(INDEX(PARAMETRES!$C$18:$C$23,MATCH(E22,PARAMETRES!$B$18:$B$23,0)),""))</f>
        <v>5</v>
      </c>
      <c r="O22" s="45" t="str">
        <f aca="false">IF(B22="","",IF(F22="ABANDON","ABANDON",IF(F22="TRANSFERE","TRANSFERE",IF(L22="","",IF(L22&gt;=N22,"ADMIS","REDOUBLE")))))</f>
        <v>ADMIS</v>
      </c>
      <c r="P22" s="73" t="n">
        <f aca="false">IF(OR(L22="",F22&lt;&gt;"PRESENT"),"",COUNTIFS($E$10:$E$250,E22,$F$10:$F$250,"PRESENT",$L$10:$L$250,"&gt;"&amp;L22)+1)</f>
        <v>5</v>
      </c>
      <c r="Q22" s="74" t="str">
        <f aca="false">IF(O22="ADMIS",IF(L22/M22*10&gt;=8,"Très bien",IF(L22/M22*10&gt;=7,"Bien",IF(L22/M22*10&gt;=6,"Assez bien","Passable"))),IF(O22="REDOUBLE","Insuffisant",""))</f>
        <v>Assez bien</v>
      </c>
      <c r="R22" s="51" t="n">
        <f aca="false">IFERROR(MATCH("P-13",'REGISTRE ELEVES'!$AH$10:$AH$250,0),"")</f>
        <v>13</v>
      </c>
    </row>
    <row r="23" customFormat="false" ht="15" hidden="false" customHeight="false" outlineLevel="0" collapsed="false">
      <c r="A23" s="45" t="n">
        <f aca="false">IF(B23="","",14)</f>
        <v>14</v>
      </c>
      <c r="B23" s="45" t="str">
        <f aca="false">IF($R23="","",INDEX('REGISTRE ELEVES'!$B$10:$B$250,$R23))</f>
        <v>CP2-003-26</v>
      </c>
      <c r="C23" s="74" t="str">
        <f aca="false">IF($R23="","",INDEX('REGISTRE ELEVES'!$D$10:$D$250,$R23))</f>
        <v>KOFFI Junior Ismaël</v>
      </c>
      <c r="D23" s="45" t="str">
        <f aca="false">IF($R23="","",INDEX('REGISTRE ELEVES'!$E$10:$E$250,$R23))</f>
        <v>M</v>
      </c>
      <c r="E23" s="45" t="str">
        <f aca="false">IF($R23="","",INDEX('REGISTRE ELEVES'!$F$10:$F$250,$R23))</f>
        <v>CP2</v>
      </c>
      <c r="F23" s="45" t="str">
        <f aca="false">IF($R23="","",INDEX('REGISTRE ELEVES'!$AE$10:$AE$250,$R23))</f>
        <v>PRESENT</v>
      </c>
      <c r="G23" s="80" t="n">
        <f aca="false">IF(B23="","",IFERROR(IF(LEFT(E23,2)="CP",INDEX('NOTES CP'!$P$10:$P$250,MATCH(B23,'NOTES CP'!$B$10:$B$250,0)),IF(E23="CE1",INDEX('NOTES CE1'!$M$10:$M$250,MATCH(B23,'NOTES CE1'!$B$10:$B$250,0)),INDEX('NOTES CE2-CM1'!$M$10:$M$250,MATCH(B23,'NOTES CE2-CM1'!$B$10:$B$250,0)))),""))</f>
        <v>5.5</v>
      </c>
      <c r="H23" s="80" t="n">
        <f aca="false">IF(B23="","",IFERROR(IF(LEFT(E23,2)="CP",INDEX('NOTES CP'!$Z$10:$Z$250,MATCH(B23,'NOTES CP'!$B$10:$B$250,0)),IF(E23="CE1",INDEX('NOTES CE1'!$T$10:$T$250,MATCH(B23,'NOTES CE1'!$B$10:$B$250,0)),INDEX('NOTES CE2-CM1'!$T$10:$T$250,MATCH(B23,'NOTES CE2-CM1'!$B$10:$B$250,0)))),""))</f>
        <v>6.25</v>
      </c>
      <c r="I23" s="80" t="n">
        <f aca="false">IF(B23="","",IFERROR(IF(LEFT(E23,2)="CP",INDEX('NOTES CP'!$AJ$10:$AJ$250,MATCH(B23,'NOTES CP'!$B$10:$B$250,0)),IF(E23="CE1",INDEX('NOTES CE1'!$AA$10:$AA$250,MATCH(B23,'NOTES CE1'!$B$10:$B$250,0)),INDEX('NOTES CE2-CM1'!$AA$10:$AA$250,MATCH(B23,'NOTES CE2-CM1'!$B$10:$B$250,0)))),""))</f>
        <v>5</v>
      </c>
      <c r="J23" s="81" t="n">
        <f aca="false">IF(COUNT(G23:I23)=0,"",ROUND(AVERAGE(G23:I23),2))</f>
        <v>5.58</v>
      </c>
      <c r="K23" s="80" t="n">
        <f aca="false">IF(B23="","",IFERROR(IF(LEFT(E23,2)="CP",INDEX('NOTES CP'!$AT$10:$AT$250,MATCH(B23,'NOTES CP'!$B$10:$B$250,0)),IF(E23="CE1",INDEX('NOTES CE1'!$AH$10:$AH$250,MATCH(B23,'NOTES CE1'!$B$10:$B$250,0)),INDEX('NOTES CE2-CM1'!$AH$10:$AH$250,MATCH(B23,'NOTES CE2-CM1'!$B$10:$B$250,0)))),""))</f>
        <v>0</v>
      </c>
      <c r="L23" s="82" t="n">
        <f aca="false">IF(OR(J23="",K23=""),"",ROUND((J23+2*K23)/3,2))</f>
        <v>1.86</v>
      </c>
      <c r="M23" s="83" t="n">
        <f aca="false">IF(E23="","",IFERROR(INDEX(PARAMETRES!$D$18:$D$23,MATCH(E23,PARAMETRES!$B$18:$B$23,0)),""))</f>
        <v>10</v>
      </c>
      <c r="N23" s="81" t="n">
        <f aca="false">IF(E23="","",IFERROR(INDEX(PARAMETRES!$C$18:$C$23,MATCH(E23,PARAMETRES!$B$18:$B$23,0)),""))</f>
        <v>5</v>
      </c>
      <c r="O23" s="45" t="str">
        <f aca="false">IF(B23="","",IF(F23="ABANDON","ABANDON",IF(F23="TRANSFERE","TRANSFERE",IF(L23="","",IF(L23&gt;=N23,"ADMIS","REDOUBLE")))))</f>
        <v>REDOUBLE</v>
      </c>
      <c r="P23" s="73" t="n">
        <f aca="false">IF(OR(L23="",F23&lt;&gt;"PRESENT"),"",COUNTIFS($E$10:$E$250,E23,$F$10:$F$250,"PRESENT",$L$10:$L$250,"&gt;"&amp;L23)+1)</f>
        <v>11</v>
      </c>
      <c r="Q23" s="74" t="str">
        <f aca="false">IF(O23="ADMIS",IF(L23/M23*10&gt;=8,"Très bien",IF(L23/M23*10&gt;=7,"Bien",IF(L23/M23*10&gt;=6,"Assez bien","Passable"))),IF(O23="REDOUBLE","Insuffisant",""))</f>
        <v>Insuffisant</v>
      </c>
      <c r="R23" s="51" t="n">
        <f aca="false">IFERROR(MATCH("P-14",'REGISTRE ELEVES'!$AH$10:$AH$250,0),"")</f>
        <v>14</v>
      </c>
    </row>
    <row r="24" customFormat="false" ht="15" hidden="false" customHeight="false" outlineLevel="0" collapsed="false">
      <c r="A24" s="45" t="n">
        <f aca="false">IF(B24="","",15)</f>
        <v>15</v>
      </c>
      <c r="B24" s="45" t="str">
        <f aca="false">IF($R24="","",INDEX('REGISTRE ELEVES'!$B$10:$B$250,$R24))</f>
        <v>CP2-004-26</v>
      </c>
      <c r="C24" s="74" t="str">
        <f aca="false">IF($R24="","",INDEX('REGISTRE ELEVES'!$D$10:$D$250,$R24))</f>
        <v>BOHOUSSOU Awa Amenan</v>
      </c>
      <c r="D24" s="45" t="str">
        <f aca="false">IF($R24="","",INDEX('REGISTRE ELEVES'!$E$10:$E$250,$R24))</f>
        <v>F</v>
      </c>
      <c r="E24" s="45" t="str">
        <f aca="false">IF($R24="","",INDEX('REGISTRE ELEVES'!$F$10:$F$250,$R24))</f>
        <v>CP2</v>
      </c>
      <c r="F24" s="45" t="str">
        <f aca="false">IF($R24="","",INDEX('REGISTRE ELEVES'!$AE$10:$AE$250,$R24))</f>
        <v>ABANDON</v>
      </c>
      <c r="G24" s="80" t="n">
        <f aca="false">IF(B24="","",IFERROR(IF(LEFT(E24,2)="CP",INDEX('NOTES CP'!$P$10:$P$250,MATCH(B24,'NOTES CP'!$B$10:$B$250,0)),IF(E24="CE1",INDEX('NOTES CE1'!$M$10:$M$250,MATCH(B24,'NOTES CE1'!$B$10:$B$250,0)),INDEX('NOTES CE2-CM1'!$M$10:$M$250,MATCH(B24,'NOTES CE2-CM1'!$B$10:$B$250,0)))),""))</f>
        <v>4.69</v>
      </c>
      <c r="H24" s="80" t="n">
        <f aca="false">IF(B24="","",IFERROR(IF(LEFT(E24,2)="CP",INDEX('NOTES CP'!$Z$10:$Z$250,MATCH(B24,'NOTES CP'!$B$10:$B$250,0)),IF(E24="CE1",INDEX('NOTES CE1'!$T$10:$T$250,MATCH(B24,'NOTES CE1'!$B$10:$B$250,0)),INDEX('NOTES CE2-CM1'!$T$10:$T$250,MATCH(B24,'NOTES CE2-CM1'!$B$10:$B$250,0)))),""))</f>
        <v>4</v>
      </c>
      <c r="I24" s="80" t="n">
        <f aca="false">IF(B24="","",IFERROR(IF(LEFT(E24,2)="CP",INDEX('NOTES CP'!$AJ$10:$AJ$250,MATCH(B24,'NOTES CP'!$B$10:$B$250,0)),IF(E24="CE1",INDEX('NOTES CE1'!$AA$10:$AA$250,MATCH(B24,'NOTES CE1'!$B$10:$B$250,0)),INDEX('NOTES CE2-CM1'!$AA$10:$AA$250,MATCH(B24,'NOTES CE2-CM1'!$B$10:$B$250,0)))),""))</f>
        <v>0</v>
      </c>
      <c r="J24" s="81" t="n">
        <f aca="false">IF(COUNT(G24:I24)=0,"",ROUND(AVERAGE(G24:I24),2))</f>
        <v>2.9</v>
      </c>
      <c r="K24" s="80" t="n">
        <f aca="false">IF(B24="","",IFERROR(IF(LEFT(E24,2)="CP",INDEX('NOTES CP'!$AT$10:$AT$250,MATCH(B24,'NOTES CP'!$B$10:$B$250,0)),IF(E24="CE1",INDEX('NOTES CE1'!$AH$10:$AH$250,MATCH(B24,'NOTES CE1'!$B$10:$B$250,0)),INDEX('NOTES CE2-CM1'!$AH$10:$AH$250,MATCH(B24,'NOTES CE2-CM1'!$B$10:$B$250,0)))),""))</f>
        <v>0</v>
      </c>
      <c r="L24" s="82" t="n">
        <f aca="false">IF(OR(J24="",K24=""),"",ROUND((J24+2*K24)/3,2))</f>
        <v>0.97</v>
      </c>
      <c r="M24" s="83" t="n">
        <f aca="false">IF(E24="","",IFERROR(INDEX(PARAMETRES!$D$18:$D$23,MATCH(E24,PARAMETRES!$B$18:$B$23,0)),""))</f>
        <v>10</v>
      </c>
      <c r="N24" s="81" t="n">
        <f aca="false">IF(E24="","",IFERROR(INDEX(PARAMETRES!$C$18:$C$23,MATCH(E24,PARAMETRES!$B$18:$B$23,0)),""))</f>
        <v>5</v>
      </c>
      <c r="O24" s="45" t="str">
        <f aca="false">IF(B24="","",IF(F24="ABANDON","ABANDON",IF(F24="TRANSFERE","TRANSFERE",IF(L24="","",IF(L24&gt;=N24,"ADMIS","REDOUBLE")))))</f>
        <v>ABANDON</v>
      </c>
      <c r="P24" s="73" t="str">
        <f aca="false">IF(OR(L24="",F24&lt;&gt;"PRESENT"),"",COUNTIFS($E$10:$E$250,E24,$F$10:$F$250,"PRESENT",$L$10:$L$250,"&gt;"&amp;L24)+1)</f>
        <v/>
      </c>
      <c r="Q24" s="74" t="str">
        <f aca="false">IF(O24="ADMIS",IF(L24/M24*10&gt;=8,"Très bien",IF(L24/M24*10&gt;=7,"Bien",IF(L24/M24*10&gt;=6,"Assez bien","Passable"))),IF(O24="REDOUBLE","Insuffisant",""))</f>
        <v/>
      </c>
      <c r="R24" s="51" t="n">
        <f aca="false">IFERROR(MATCH("P-15",'REGISTRE ELEVES'!$AH$10:$AH$250,0),"")</f>
        <v>15</v>
      </c>
    </row>
    <row r="25" customFormat="false" ht="15" hidden="false" customHeight="false" outlineLevel="0" collapsed="false">
      <c r="A25" s="45" t="n">
        <f aca="false">IF(B25="","",16)</f>
        <v>16</v>
      </c>
      <c r="B25" s="45" t="str">
        <f aca="false">IF($R25="","",INDEX('REGISTRE ELEVES'!$B$10:$B$250,$R25))</f>
        <v>CP2-005-26</v>
      </c>
      <c r="C25" s="74" t="str">
        <f aca="false">IF($R25="","",INDEX('REGISTRE ELEVES'!$D$10:$D$250,$R25))</f>
        <v>KONE Kouadio Ismaël</v>
      </c>
      <c r="D25" s="45" t="str">
        <f aca="false">IF($R25="","",INDEX('REGISTRE ELEVES'!$E$10:$E$250,$R25))</f>
        <v>M</v>
      </c>
      <c r="E25" s="45" t="str">
        <f aca="false">IF($R25="","",INDEX('REGISTRE ELEVES'!$F$10:$F$250,$R25))</f>
        <v>CP2</v>
      </c>
      <c r="F25" s="45" t="str">
        <f aca="false">IF($R25="","",INDEX('REGISTRE ELEVES'!$AE$10:$AE$250,$R25))</f>
        <v>PRESENT</v>
      </c>
      <c r="G25" s="80" t="n">
        <f aca="false">IF(B25="","",IFERROR(IF(LEFT(E25,2)="CP",INDEX('NOTES CP'!$P$10:$P$250,MATCH(B25,'NOTES CP'!$B$10:$B$250,0)),IF(E25="CE1",INDEX('NOTES CE1'!$M$10:$M$250,MATCH(B25,'NOTES CE1'!$B$10:$B$250,0)),INDEX('NOTES CE2-CM1'!$M$10:$M$250,MATCH(B25,'NOTES CE2-CM1'!$B$10:$B$250,0)))),""))</f>
        <v>8.63</v>
      </c>
      <c r="H25" s="80" t="n">
        <f aca="false">IF(B25="","",IFERROR(IF(LEFT(E25,2)="CP",INDEX('NOTES CP'!$Z$10:$Z$250,MATCH(B25,'NOTES CP'!$B$10:$B$250,0)),IF(E25="CE1",INDEX('NOTES CE1'!$T$10:$T$250,MATCH(B25,'NOTES CE1'!$B$10:$B$250,0)),INDEX('NOTES CE2-CM1'!$T$10:$T$250,MATCH(B25,'NOTES CE2-CM1'!$B$10:$B$250,0)))),""))</f>
        <v>7.56</v>
      </c>
      <c r="I25" s="80" t="n">
        <f aca="false">IF(B25="","",IFERROR(IF(LEFT(E25,2)="CP",INDEX('NOTES CP'!$AJ$10:$AJ$250,MATCH(B25,'NOTES CP'!$B$10:$B$250,0)),IF(E25="CE1",INDEX('NOTES CE1'!$AA$10:$AA$250,MATCH(B25,'NOTES CE1'!$B$10:$B$250,0)),INDEX('NOTES CE2-CM1'!$AA$10:$AA$250,MATCH(B25,'NOTES CE2-CM1'!$B$10:$B$250,0)))),""))</f>
        <v>9</v>
      </c>
      <c r="J25" s="81" t="n">
        <f aca="false">IF(COUNT(G25:I25)=0,"",ROUND(AVERAGE(G25:I25),2))</f>
        <v>8.4</v>
      </c>
      <c r="K25" s="80" t="n">
        <f aca="false">IF(B25="","",IFERROR(IF(LEFT(E25,2)="CP",INDEX('NOTES CP'!$AT$10:$AT$250,MATCH(B25,'NOTES CP'!$B$10:$B$250,0)),IF(E25="CE1",INDEX('NOTES CE1'!$AH$10:$AH$250,MATCH(B25,'NOTES CE1'!$B$10:$B$250,0)),INDEX('NOTES CE2-CM1'!$AH$10:$AH$250,MATCH(B25,'NOTES CE2-CM1'!$B$10:$B$250,0)))),""))</f>
        <v>8.06</v>
      </c>
      <c r="L25" s="82" t="n">
        <f aca="false">IF(OR(J25="",K25=""),"",ROUND((J25+2*K25)/3,2))</f>
        <v>8.17</v>
      </c>
      <c r="M25" s="83" t="n">
        <f aca="false">IF(E25="","",IFERROR(INDEX(PARAMETRES!$D$18:$D$23,MATCH(E25,PARAMETRES!$B$18:$B$23,0)),""))</f>
        <v>10</v>
      </c>
      <c r="N25" s="81" t="n">
        <f aca="false">IF(E25="","",IFERROR(INDEX(PARAMETRES!$C$18:$C$23,MATCH(E25,PARAMETRES!$B$18:$B$23,0)),""))</f>
        <v>5</v>
      </c>
      <c r="O25" s="45" t="str">
        <f aca="false">IF(B25="","",IF(F25="ABANDON","ABANDON",IF(F25="TRANSFERE","TRANSFERE",IF(L25="","",IF(L25&gt;=N25,"ADMIS","REDOUBLE")))))</f>
        <v>ADMIS</v>
      </c>
      <c r="P25" s="73" t="n">
        <f aca="false">IF(OR(L25="",F25&lt;&gt;"PRESENT"),"",COUNTIFS($E$10:$E$250,E25,$F$10:$F$250,"PRESENT",$L$10:$L$250,"&gt;"&amp;L25)+1)</f>
        <v>2</v>
      </c>
      <c r="Q25" s="74" t="str">
        <f aca="false">IF(O25="ADMIS",IF(L25/M25*10&gt;=8,"Très bien",IF(L25/M25*10&gt;=7,"Bien",IF(L25/M25*10&gt;=6,"Assez bien","Passable"))),IF(O25="REDOUBLE","Insuffisant",""))</f>
        <v>Très bien</v>
      </c>
      <c r="R25" s="51" t="n">
        <f aca="false">IFERROR(MATCH("P-16",'REGISTRE ELEVES'!$AH$10:$AH$250,0),"")</f>
        <v>16</v>
      </c>
    </row>
    <row r="26" customFormat="false" ht="15" hidden="false" customHeight="false" outlineLevel="0" collapsed="false">
      <c r="A26" s="45" t="n">
        <f aca="false">IF(B26="","",17)</f>
        <v>17</v>
      </c>
      <c r="B26" s="45" t="str">
        <f aca="false">IF($R26="","",INDEX('REGISTRE ELEVES'!$B$10:$B$250,$R26))</f>
        <v>CP2-006-26</v>
      </c>
      <c r="C26" s="74" t="str">
        <f aca="false">IF($R26="","",INDEX('REGISTRE ELEVES'!$D$10:$D$250,$R26))</f>
        <v>DIABATE Moussa Franck</v>
      </c>
      <c r="D26" s="45" t="str">
        <f aca="false">IF($R26="","",INDEX('REGISTRE ELEVES'!$E$10:$E$250,$R26))</f>
        <v>M</v>
      </c>
      <c r="E26" s="45" t="str">
        <f aca="false">IF($R26="","",INDEX('REGISTRE ELEVES'!$F$10:$F$250,$R26))</f>
        <v>CP2</v>
      </c>
      <c r="F26" s="45" t="str">
        <f aca="false">IF($R26="","",INDEX('REGISTRE ELEVES'!$AE$10:$AE$250,$R26))</f>
        <v>PRESENT</v>
      </c>
      <c r="G26" s="80" t="n">
        <f aca="false">IF(B26="","",IFERROR(IF(LEFT(E26,2)="CP",INDEX('NOTES CP'!$P$10:$P$250,MATCH(B26,'NOTES CP'!$B$10:$B$250,0)),IF(E26="CE1",INDEX('NOTES CE1'!$M$10:$M$250,MATCH(B26,'NOTES CE1'!$B$10:$B$250,0)),INDEX('NOTES CE2-CM1'!$M$10:$M$250,MATCH(B26,'NOTES CE2-CM1'!$B$10:$B$250,0)))),""))</f>
        <v>5.06</v>
      </c>
      <c r="H26" s="80" t="n">
        <f aca="false">IF(B26="","",IFERROR(IF(LEFT(E26,2)="CP",INDEX('NOTES CP'!$Z$10:$Z$250,MATCH(B26,'NOTES CP'!$B$10:$B$250,0)),IF(E26="CE1",INDEX('NOTES CE1'!$T$10:$T$250,MATCH(B26,'NOTES CE1'!$B$10:$B$250,0)),INDEX('NOTES CE2-CM1'!$T$10:$T$250,MATCH(B26,'NOTES CE2-CM1'!$B$10:$B$250,0)))),""))</f>
        <v>4.75</v>
      </c>
      <c r="I26" s="80" t="n">
        <f aca="false">IF(B26="","",IFERROR(IF(LEFT(E26,2)="CP",INDEX('NOTES CP'!$AJ$10:$AJ$250,MATCH(B26,'NOTES CP'!$B$10:$B$250,0)),IF(E26="CE1",INDEX('NOTES CE1'!$AA$10:$AA$250,MATCH(B26,'NOTES CE1'!$B$10:$B$250,0)),INDEX('NOTES CE2-CM1'!$AA$10:$AA$250,MATCH(B26,'NOTES CE2-CM1'!$B$10:$B$250,0)))),""))</f>
        <v>5.38</v>
      </c>
      <c r="J26" s="81" t="n">
        <f aca="false">IF(COUNT(G26:I26)=0,"",ROUND(AVERAGE(G26:I26),2))</f>
        <v>5.06</v>
      </c>
      <c r="K26" s="80" t="n">
        <f aca="false">IF(B26="","",IFERROR(IF(LEFT(E26,2)="CP",INDEX('NOTES CP'!$AT$10:$AT$250,MATCH(B26,'NOTES CP'!$B$10:$B$250,0)),IF(E26="CE1",INDEX('NOTES CE1'!$AH$10:$AH$250,MATCH(B26,'NOTES CE1'!$B$10:$B$250,0)),INDEX('NOTES CE2-CM1'!$AH$10:$AH$250,MATCH(B26,'NOTES CE2-CM1'!$B$10:$B$250,0)))),""))</f>
        <v>5.75</v>
      </c>
      <c r="L26" s="82" t="n">
        <f aca="false">IF(OR(J26="",K26=""),"",ROUND((J26+2*K26)/3,2))</f>
        <v>5.52</v>
      </c>
      <c r="M26" s="83" t="n">
        <f aca="false">IF(E26="","",IFERROR(INDEX(PARAMETRES!$D$18:$D$23,MATCH(E26,PARAMETRES!$B$18:$B$23,0)),""))</f>
        <v>10</v>
      </c>
      <c r="N26" s="81" t="n">
        <f aca="false">IF(E26="","",IFERROR(INDEX(PARAMETRES!$C$18:$C$23,MATCH(E26,PARAMETRES!$B$18:$B$23,0)),""))</f>
        <v>5</v>
      </c>
      <c r="O26" s="45" t="str">
        <f aca="false">IF(B26="","",IF(F26="ABANDON","ABANDON",IF(F26="TRANSFERE","TRANSFERE",IF(L26="","",IF(L26&gt;=N26,"ADMIS","REDOUBLE")))))</f>
        <v>ADMIS</v>
      </c>
      <c r="P26" s="73" t="n">
        <f aca="false">IF(OR(L26="",F26&lt;&gt;"PRESENT"),"",COUNTIFS($E$10:$E$250,E26,$F$10:$F$250,"PRESENT",$L$10:$L$250,"&gt;"&amp;L26)+1)</f>
        <v>6</v>
      </c>
      <c r="Q26" s="74" t="str">
        <f aca="false">IF(O26="ADMIS",IF(L26/M26*10&gt;=8,"Très bien",IF(L26/M26*10&gt;=7,"Bien",IF(L26/M26*10&gt;=6,"Assez bien","Passable"))),IF(O26="REDOUBLE","Insuffisant",""))</f>
        <v>Passable</v>
      </c>
      <c r="R26" s="51" t="n">
        <f aca="false">IFERROR(MATCH("P-17",'REGISTRE ELEVES'!$AH$10:$AH$250,0),"")</f>
        <v>17</v>
      </c>
    </row>
    <row r="27" customFormat="false" ht="15" hidden="false" customHeight="false" outlineLevel="0" collapsed="false">
      <c r="A27" s="45" t="n">
        <f aca="false">IF(B27="","",18)</f>
        <v>18</v>
      </c>
      <c r="B27" s="45" t="str">
        <f aca="false">IF($R27="","",INDEX('REGISTRE ELEVES'!$B$10:$B$250,$R27))</f>
        <v>CP2-007-26</v>
      </c>
      <c r="C27" s="74" t="str">
        <f aca="false">IF($R27="","",INDEX('REGISTRE ELEVES'!$D$10:$D$250,$R27))</f>
        <v>TRAORE Clarisse Awa</v>
      </c>
      <c r="D27" s="45" t="str">
        <f aca="false">IF($R27="","",INDEX('REGISTRE ELEVES'!$E$10:$E$250,$R27))</f>
        <v>F</v>
      </c>
      <c r="E27" s="45" t="str">
        <f aca="false">IF($R27="","",INDEX('REGISTRE ELEVES'!$F$10:$F$250,$R27))</f>
        <v>CP2</v>
      </c>
      <c r="F27" s="45" t="str">
        <f aca="false">IF($R27="","",INDEX('REGISTRE ELEVES'!$AE$10:$AE$250,$R27))</f>
        <v>PRESENT</v>
      </c>
      <c r="G27" s="80" t="n">
        <f aca="false">IF(B27="","",IFERROR(IF(LEFT(E27,2)="CP",INDEX('NOTES CP'!$P$10:$P$250,MATCH(B27,'NOTES CP'!$B$10:$B$250,0)),IF(E27="CE1",INDEX('NOTES CE1'!$M$10:$M$250,MATCH(B27,'NOTES CE1'!$B$10:$B$250,0)),INDEX('NOTES CE2-CM1'!$M$10:$M$250,MATCH(B27,'NOTES CE2-CM1'!$B$10:$B$250,0)))),""))</f>
        <v>0</v>
      </c>
      <c r="H27" s="80" t="n">
        <f aca="false">IF(B27="","",IFERROR(IF(LEFT(E27,2)="CP",INDEX('NOTES CP'!$Z$10:$Z$250,MATCH(B27,'NOTES CP'!$B$10:$B$250,0)),IF(E27="CE1",INDEX('NOTES CE1'!$T$10:$T$250,MATCH(B27,'NOTES CE1'!$B$10:$B$250,0)),INDEX('NOTES CE2-CM1'!$T$10:$T$250,MATCH(B27,'NOTES CE2-CM1'!$B$10:$B$250,0)))),""))</f>
        <v>8.81</v>
      </c>
      <c r="I27" s="80" t="n">
        <f aca="false">IF(B27="","",IFERROR(IF(LEFT(E27,2)="CP",INDEX('NOTES CP'!$AJ$10:$AJ$250,MATCH(B27,'NOTES CP'!$B$10:$B$250,0)),IF(E27="CE1",INDEX('NOTES CE1'!$AA$10:$AA$250,MATCH(B27,'NOTES CE1'!$B$10:$B$250,0)),INDEX('NOTES CE2-CM1'!$AA$10:$AA$250,MATCH(B27,'NOTES CE2-CM1'!$B$10:$B$250,0)))),""))</f>
        <v>8.06</v>
      </c>
      <c r="J27" s="81" t="n">
        <f aca="false">IF(COUNT(G27:I27)=0,"",ROUND(AVERAGE(G27:I27),2))</f>
        <v>5.62</v>
      </c>
      <c r="K27" s="80" t="n">
        <f aca="false">IF(B27="","",IFERROR(IF(LEFT(E27,2)="CP",INDEX('NOTES CP'!$AT$10:$AT$250,MATCH(B27,'NOTES CP'!$B$10:$B$250,0)),IF(E27="CE1",INDEX('NOTES CE1'!$AH$10:$AH$250,MATCH(B27,'NOTES CE1'!$B$10:$B$250,0)),INDEX('NOTES CE2-CM1'!$AH$10:$AH$250,MATCH(B27,'NOTES CE2-CM1'!$B$10:$B$250,0)))),""))</f>
        <v>8</v>
      </c>
      <c r="L27" s="82" t="n">
        <f aca="false">IF(OR(J27="",K27=""),"",ROUND((J27+2*K27)/3,2))</f>
        <v>7.21</v>
      </c>
      <c r="M27" s="83" t="n">
        <f aca="false">IF(E27="","",IFERROR(INDEX(PARAMETRES!$D$18:$D$23,MATCH(E27,PARAMETRES!$B$18:$B$23,0)),""))</f>
        <v>10</v>
      </c>
      <c r="N27" s="81" t="n">
        <f aca="false">IF(E27="","",IFERROR(INDEX(PARAMETRES!$C$18:$C$23,MATCH(E27,PARAMETRES!$B$18:$B$23,0)),""))</f>
        <v>5</v>
      </c>
      <c r="O27" s="45" t="str">
        <f aca="false">IF(B27="","",IF(F27="ABANDON","ABANDON",IF(F27="TRANSFERE","TRANSFERE",IF(L27="","",IF(L27&gt;=N27,"ADMIS","REDOUBLE")))))</f>
        <v>ADMIS</v>
      </c>
      <c r="P27" s="73" t="n">
        <f aca="false">IF(OR(L27="",F27&lt;&gt;"PRESENT"),"",COUNTIFS($E$10:$E$250,E27,$F$10:$F$250,"PRESENT",$L$10:$L$250,"&gt;"&amp;L27)+1)</f>
        <v>4</v>
      </c>
      <c r="Q27" s="74" t="str">
        <f aca="false">IF(O27="ADMIS",IF(L27/M27*10&gt;=8,"Très bien",IF(L27/M27*10&gt;=7,"Bien",IF(L27/M27*10&gt;=6,"Assez bien","Passable"))),IF(O27="REDOUBLE","Insuffisant",""))</f>
        <v>Bien</v>
      </c>
      <c r="R27" s="51" t="n">
        <f aca="false">IFERROR(MATCH("P-18",'REGISTRE ELEVES'!$AH$10:$AH$250,0),"")</f>
        <v>18</v>
      </c>
    </row>
    <row r="28" customFormat="false" ht="15" hidden="false" customHeight="false" outlineLevel="0" collapsed="false">
      <c r="A28" s="45" t="n">
        <f aca="false">IF(B28="","",19)</f>
        <v>19</v>
      </c>
      <c r="B28" s="45" t="str">
        <f aca="false">IF($R28="","",INDEX('REGISTRE ELEVES'!$B$10:$B$250,$R28))</f>
        <v>CP2-008-26</v>
      </c>
      <c r="C28" s="74" t="str">
        <f aca="false">IF($R28="","",INDEX('REGISTRE ELEVES'!$D$10:$D$250,$R28))</f>
        <v>KOUASSI Aya Marie-Ange</v>
      </c>
      <c r="D28" s="45" t="str">
        <f aca="false">IF($R28="","",INDEX('REGISTRE ELEVES'!$E$10:$E$250,$R28))</f>
        <v>F</v>
      </c>
      <c r="E28" s="45" t="str">
        <f aca="false">IF($R28="","",INDEX('REGISTRE ELEVES'!$F$10:$F$250,$R28))</f>
        <v>CP2</v>
      </c>
      <c r="F28" s="45" t="str">
        <f aca="false">IF($R28="","",INDEX('REGISTRE ELEVES'!$AE$10:$AE$250,$R28))</f>
        <v>PRESENT</v>
      </c>
      <c r="G28" s="80" t="n">
        <f aca="false">IF(B28="","",IFERROR(IF(LEFT(E28,2)="CP",INDEX('NOTES CP'!$P$10:$P$250,MATCH(B28,'NOTES CP'!$B$10:$B$250,0)),IF(E28="CE1",INDEX('NOTES CE1'!$M$10:$M$250,MATCH(B28,'NOTES CE1'!$B$10:$B$250,0)),INDEX('NOTES CE2-CM1'!$M$10:$M$250,MATCH(B28,'NOTES CE2-CM1'!$B$10:$B$250,0)))),""))</f>
        <v>3.81</v>
      </c>
      <c r="H28" s="80" t="n">
        <f aca="false">IF(B28="","",IFERROR(IF(LEFT(E28,2)="CP",INDEX('NOTES CP'!$Z$10:$Z$250,MATCH(B28,'NOTES CP'!$B$10:$B$250,0)),IF(E28="CE1",INDEX('NOTES CE1'!$T$10:$T$250,MATCH(B28,'NOTES CE1'!$B$10:$B$250,0)),INDEX('NOTES CE2-CM1'!$T$10:$T$250,MATCH(B28,'NOTES CE2-CM1'!$B$10:$B$250,0)))),""))</f>
        <v>4.13</v>
      </c>
      <c r="I28" s="80" t="n">
        <f aca="false">IF(B28="","",IFERROR(IF(LEFT(E28,2)="CP",INDEX('NOTES CP'!$AJ$10:$AJ$250,MATCH(B28,'NOTES CP'!$B$10:$B$250,0)),IF(E28="CE1",INDEX('NOTES CE1'!$AA$10:$AA$250,MATCH(B28,'NOTES CE1'!$B$10:$B$250,0)),INDEX('NOTES CE2-CM1'!$AA$10:$AA$250,MATCH(B28,'NOTES CE2-CM1'!$B$10:$B$250,0)))),""))</f>
        <v>3.5</v>
      </c>
      <c r="J28" s="81" t="n">
        <f aca="false">IF(COUNT(G28:I28)=0,"",ROUND(AVERAGE(G28:I28),2))</f>
        <v>3.81</v>
      </c>
      <c r="K28" s="80" t="n">
        <f aca="false">IF(B28="","",IFERROR(IF(LEFT(E28,2)="CP",INDEX('NOTES CP'!$AT$10:$AT$250,MATCH(B28,'NOTES CP'!$B$10:$B$250,0)),IF(E28="CE1",INDEX('NOTES CE1'!$AH$10:$AH$250,MATCH(B28,'NOTES CE1'!$B$10:$B$250,0)),INDEX('NOTES CE2-CM1'!$AH$10:$AH$250,MATCH(B28,'NOTES CE2-CM1'!$B$10:$B$250,0)))),""))</f>
        <v>4.06</v>
      </c>
      <c r="L28" s="82" t="n">
        <f aca="false">IF(OR(J28="",K28=""),"",ROUND((J28+2*K28)/3,2))</f>
        <v>3.98</v>
      </c>
      <c r="M28" s="83" t="n">
        <f aca="false">IF(E28="","",IFERROR(INDEX(PARAMETRES!$D$18:$D$23,MATCH(E28,PARAMETRES!$B$18:$B$23,0)),""))</f>
        <v>10</v>
      </c>
      <c r="N28" s="81" t="n">
        <f aca="false">IF(E28="","",IFERROR(INDEX(PARAMETRES!$C$18:$C$23,MATCH(E28,PARAMETRES!$B$18:$B$23,0)),""))</f>
        <v>5</v>
      </c>
      <c r="O28" s="45" t="str">
        <f aca="false">IF(B28="","",IF(F28="ABANDON","ABANDON",IF(F28="TRANSFERE","TRANSFERE",IF(L28="","",IF(L28&gt;=N28,"ADMIS","REDOUBLE")))))</f>
        <v>REDOUBLE</v>
      </c>
      <c r="P28" s="73" t="n">
        <f aca="false">IF(OR(L28="",F28&lt;&gt;"PRESENT"),"",COUNTIFS($E$10:$E$250,E28,$F$10:$F$250,"PRESENT",$L$10:$L$250,"&gt;"&amp;L28)+1)</f>
        <v>10</v>
      </c>
      <c r="Q28" s="74" t="str">
        <f aca="false">IF(O28="ADMIS",IF(L28/M28*10&gt;=8,"Très bien",IF(L28/M28*10&gt;=7,"Bien",IF(L28/M28*10&gt;=6,"Assez bien","Passable"))),IF(O28="REDOUBLE","Insuffisant",""))</f>
        <v>Insuffisant</v>
      </c>
      <c r="R28" s="51" t="n">
        <f aca="false">IFERROR(MATCH("P-19",'REGISTRE ELEVES'!$AH$10:$AH$250,0),"")</f>
        <v>19</v>
      </c>
    </row>
    <row r="29" customFormat="false" ht="15" hidden="false" customHeight="false" outlineLevel="0" collapsed="false">
      <c r="A29" s="45" t="n">
        <f aca="false">IF(B29="","",20)</f>
        <v>20</v>
      </c>
      <c r="B29" s="45" t="str">
        <f aca="false">IF($R29="","",INDEX('REGISTRE ELEVES'!$B$10:$B$250,$R29))</f>
        <v>CP2-009-26</v>
      </c>
      <c r="C29" s="74" t="str">
        <f aca="false">IF($R29="","",INDEX('REGISTRE ELEVES'!$D$10:$D$250,$R29))</f>
        <v>DIGBEU Kouadio Kouakou</v>
      </c>
      <c r="D29" s="45" t="str">
        <f aca="false">IF($R29="","",INDEX('REGISTRE ELEVES'!$E$10:$E$250,$R29))</f>
        <v>M</v>
      </c>
      <c r="E29" s="45" t="str">
        <f aca="false">IF($R29="","",INDEX('REGISTRE ELEVES'!$F$10:$F$250,$R29))</f>
        <v>CP2</v>
      </c>
      <c r="F29" s="45" t="str">
        <f aca="false">IF($R29="","",INDEX('REGISTRE ELEVES'!$AE$10:$AE$250,$R29))</f>
        <v>PRESENT</v>
      </c>
      <c r="G29" s="80" t="n">
        <f aca="false">IF(B29="","",IFERROR(IF(LEFT(E29,2)="CP",INDEX('NOTES CP'!$P$10:$P$250,MATCH(B29,'NOTES CP'!$B$10:$B$250,0)),IF(E29="CE1",INDEX('NOTES CE1'!$M$10:$M$250,MATCH(B29,'NOTES CE1'!$B$10:$B$250,0)),INDEX('NOTES CE2-CM1'!$M$10:$M$250,MATCH(B29,'NOTES CE2-CM1'!$B$10:$B$250,0)))),""))</f>
        <v>8.88</v>
      </c>
      <c r="H29" s="80" t="n">
        <f aca="false">IF(B29="","",IFERROR(IF(LEFT(E29,2)="CP",INDEX('NOTES CP'!$Z$10:$Z$250,MATCH(B29,'NOTES CP'!$B$10:$B$250,0)),IF(E29="CE1",INDEX('NOTES CE1'!$T$10:$T$250,MATCH(B29,'NOTES CE1'!$B$10:$B$250,0)),INDEX('NOTES CE2-CM1'!$T$10:$T$250,MATCH(B29,'NOTES CE2-CM1'!$B$10:$B$250,0)))),""))</f>
        <v>9.06</v>
      </c>
      <c r="I29" s="80" t="n">
        <f aca="false">IF(B29="","",IFERROR(IF(LEFT(E29,2)="CP",INDEX('NOTES CP'!$AJ$10:$AJ$250,MATCH(B29,'NOTES CP'!$B$10:$B$250,0)),IF(E29="CE1",INDEX('NOTES CE1'!$AA$10:$AA$250,MATCH(B29,'NOTES CE1'!$B$10:$B$250,0)),INDEX('NOTES CE2-CM1'!$AA$10:$AA$250,MATCH(B29,'NOTES CE2-CM1'!$B$10:$B$250,0)))),""))</f>
        <v>8.63</v>
      </c>
      <c r="J29" s="81" t="n">
        <f aca="false">IF(COUNT(G29:I29)=0,"",ROUND(AVERAGE(G29:I29),2))</f>
        <v>8.86</v>
      </c>
      <c r="K29" s="80" t="n">
        <f aca="false">IF(B29="","",IFERROR(IF(LEFT(E29,2)="CP",INDEX('NOTES CP'!$AT$10:$AT$250,MATCH(B29,'NOTES CP'!$B$10:$B$250,0)),IF(E29="CE1",INDEX('NOTES CE1'!$AH$10:$AH$250,MATCH(B29,'NOTES CE1'!$B$10:$B$250,0)),INDEX('NOTES CE2-CM1'!$AH$10:$AH$250,MATCH(B29,'NOTES CE2-CM1'!$B$10:$B$250,0)))),""))</f>
        <v>8.94</v>
      </c>
      <c r="L29" s="82" t="n">
        <f aca="false">IF(OR(J29="",K29=""),"",ROUND((J29+2*K29)/3,2))</f>
        <v>8.91</v>
      </c>
      <c r="M29" s="83" t="n">
        <f aca="false">IF(E29="","",IFERROR(INDEX(PARAMETRES!$D$18:$D$23,MATCH(E29,PARAMETRES!$B$18:$B$23,0)),""))</f>
        <v>10</v>
      </c>
      <c r="N29" s="81" t="n">
        <f aca="false">IF(E29="","",IFERROR(INDEX(PARAMETRES!$C$18:$C$23,MATCH(E29,PARAMETRES!$B$18:$B$23,0)),""))</f>
        <v>5</v>
      </c>
      <c r="O29" s="45" t="str">
        <f aca="false">IF(B29="","",IF(F29="ABANDON","ABANDON",IF(F29="TRANSFERE","TRANSFERE",IF(L29="","",IF(L29&gt;=N29,"ADMIS","REDOUBLE")))))</f>
        <v>ADMIS</v>
      </c>
      <c r="P29" s="73" t="n">
        <f aca="false">IF(OR(L29="",F29&lt;&gt;"PRESENT"),"",COUNTIFS($E$10:$E$250,E29,$F$10:$F$250,"PRESENT",$L$10:$L$250,"&gt;"&amp;L29)+1)</f>
        <v>1</v>
      </c>
      <c r="Q29" s="74" t="str">
        <f aca="false">IF(O29="ADMIS",IF(L29/M29*10&gt;=8,"Très bien",IF(L29/M29*10&gt;=7,"Bien",IF(L29/M29*10&gt;=6,"Assez bien","Passable"))),IF(O29="REDOUBLE","Insuffisant",""))</f>
        <v>Très bien</v>
      </c>
      <c r="R29" s="51" t="n">
        <f aca="false">IFERROR(MATCH("P-20",'REGISTRE ELEVES'!$AH$10:$AH$250,0),"")</f>
        <v>20</v>
      </c>
    </row>
    <row r="30" customFormat="false" ht="15" hidden="false" customHeight="false" outlineLevel="0" collapsed="false">
      <c r="A30" s="45" t="n">
        <f aca="false">IF(B30="","",21)</f>
        <v>21</v>
      </c>
      <c r="B30" s="45" t="str">
        <f aca="false">IF($R30="","",INDEX('REGISTRE ELEVES'!$B$10:$B$250,$R30))</f>
        <v>CP2-010-26</v>
      </c>
      <c r="C30" s="74" t="str">
        <f aca="false">IF($R30="","",INDEX('REGISTRE ELEVES'!$D$10:$D$250,$R30))</f>
        <v>YAO Kouadio Cédric</v>
      </c>
      <c r="D30" s="45" t="str">
        <f aca="false">IF($R30="","",INDEX('REGISTRE ELEVES'!$E$10:$E$250,$R30))</f>
        <v>M</v>
      </c>
      <c r="E30" s="45" t="str">
        <f aca="false">IF($R30="","",INDEX('REGISTRE ELEVES'!$F$10:$F$250,$R30))</f>
        <v>CP2</v>
      </c>
      <c r="F30" s="45" t="str">
        <f aca="false">IF($R30="","",INDEX('REGISTRE ELEVES'!$AE$10:$AE$250,$R30))</f>
        <v>PRESENT</v>
      </c>
      <c r="G30" s="80" t="n">
        <f aca="false">IF(B30="","",IFERROR(IF(LEFT(E30,2)="CP",INDEX('NOTES CP'!$P$10:$P$250,MATCH(B30,'NOTES CP'!$B$10:$B$250,0)),IF(E30="CE1",INDEX('NOTES CE1'!$M$10:$M$250,MATCH(B30,'NOTES CE1'!$B$10:$B$250,0)),INDEX('NOTES CE2-CM1'!$M$10:$M$250,MATCH(B30,'NOTES CE2-CM1'!$B$10:$B$250,0)))),""))</f>
        <v>4.25</v>
      </c>
      <c r="H30" s="80" t="n">
        <f aca="false">IF(B30="","",IFERROR(IF(LEFT(E30,2)="CP",INDEX('NOTES CP'!$Z$10:$Z$250,MATCH(B30,'NOTES CP'!$B$10:$B$250,0)),IF(E30="CE1",INDEX('NOTES CE1'!$T$10:$T$250,MATCH(B30,'NOTES CE1'!$B$10:$B$250,0)),INDEX('NOTES CE2-CM1'!$T$10:$T$250,MATCH(B30,'NOTES CE2-CM1'!$B$10:$B$250,0)))),""))</f>
        <v>4.13</v>
      </c>
      <c r="I30" s="80" t="n">
        <f aca="false">IF(B30="","",IFERROR(IF(LEFT(E30,2)="CP",INDEX('NOTES CP'!$AJ$10:$AJ$250,MATCH(B30,'NOTES CP'!$B$10:$B$250,0)),IF(E30="CE1",INDEX('NOTES CE1'!$AA$10:$AA$250,MATCH(B30,'NOTES CE1'!$B$10:$B$250,0)),INDEX('NOTES CE2-CM1'!$AA$10:$AA$250,MATCH(B30,'NOTES CE2-CM1'!$B$10:$B$250,0)))),""))</f>
        <v>3.5</v>
      </c>
      <c r="J30" s="81" t="n">
        <f aca="false">IF(COUNT(G30:I30)=0,"",ROUND(AVERAGE(G30:I30),2))</f>
        <v>3.96</v>
      </c>
      <c r="K30" s="80" t="n">
        <f aca="false">IF(B30="","",IFERROR(IF(LEFT(E30,2)="CP",INDEX('NOTES CP'!$AT$10:$AT$250,MATCH(B30,'NOTES CP'!$B$10:$B$250,0)),IF(E30="CE1",INDEX('NOTES CE1'!$AH$10:$AH$250,MATCH(B30,'NOTES CE1'!$B$10:$B$250,0)),INDEX('NOTES CE2-CM1'!$AH$10:$AH$250,MATCH(B30,'NOTES CE2-CM1'!$B$10:$B$250,0)))),""))</f>
        <v>4.25</v>
      </c>
      <c r="L30" s="82" t="n">
        <f aca="false">IF(OR(J30="",K30=""),"",ROUND((J30+2*K30)/3,2))</f>
        <v>4.15</v>
      </c>
      <c r="M30" s="83" t="n">
        <f aca="false">IF(E30="","",IFERROR(INDEX(PARAMETRES!$D$18:$D$23,MATCH(E30,PARAMETRES!$B$18:$B$23,0)),""))</f>
        <v>10</v>
      </c>
      <c r="N30" s="81" t="n">
        <f aca="false">IF(E30="","",IFERROR(INDEX(PARAMETRES!$C$18:$C$23,MATCH(E30,PARAMETRES!$B$18:$B$23,0)),""))</f>
        <v>5</v>
      </c>
      <c r="O30" s="45" t="str">
        <f aca="false">IF(B30="","",IF(F30="ABANDON","ABANDON",IF(F30="TRANSFERE","TRANSFERE",IF(L30="","",IF(L30&gt;=N30,"ADMIS","REDOUBLE")))))</f>
        <v>REDOUBLE</v>
      </c>
      <c r="P30" s="73" t="n">
        <f aca="false">IF(OR(L30="",F30&lt;&gt;"PRESENT"),"",COUNTIFS($E$10:$E$250,E30,$F$10:$F$250,"PRESENT",$L$10:$L$250,"&gt;"&amp;L30)+1)</f>
        <v>9</v>
      </c>
      <c r="Q30" s="74" t="str">
        <f aca="false">IF(O30="ADMIS",IF(L30/M30*10&gt;=8,"Très bien",IF(L30/M30*10&gt;=7,"Bien",IF(L30/M30*10&gt;=6,"Assez bien","Passable"))),IF(O30="REDOUBLE","Insuffisant",""))</f>
        <v>Insuffisant</v>
      </c>
      <c r="R30" s="51" t="n">
        <f aca="false">IFERROR(MATCH("P-21",'REGISTRE ELEVES'!$AH$10:$AH$250,0),"")</f>
        <v>21</v>
      </c>
    </row>
    <row r="31" customFormat="false" ht="15" hidden="false" customHeight="false" outlineLevel="0" collapsed="false">
      <c r="A31" s="45" t="n">
        <f aca="false">IF(B31="","",22)</f>
        <v>22</v>
      </c>
      <c r="B31" s="45" t="str">
        <f aca="false">IF($R31="","",INDEX('REGISTRE ELEVES'!$B$10:$B$250,$R31))</f>
        <v>CP2-011-26</v>
      </c>
      <c r="C31" s="74" t="str">
        <f aca="false">IF($R31="","",INDEX('REGISTRE ELEVES'!$D$10:$D$250,$R31))</f>
        <v>SORO Moussa Cédric</v>
      </c>
      <c r="D31" s="45" t="str">
        <f aca="false">IF($R31="","",INDEX('REGISTRE ELEVES'!$E$10:$E$250,$R31))</f>
        <v>M</v>
      </c>
      <c r="E31" s="45" t="str">
        <f aca="false">IF($R31="","",INDEX('REGISTRE ELEVES'!$F$10:$F$250,$R31))</f>
        <v>CP2</v>
      </c>
      <c r="F31" s="45" t="str">
        <f aca="false">IF($R31="","",INDEX('REGISTRE ELEVES'!$AE$10:$AE$250,$R31))</f>
        <v>PRESENT</v>
      </c>
      <c r="G31" s="80" t="n">
        <f aca="false">IF(B31="","",IFERROR(IF(LEFT(E31,2)="CP",INDEX('NOTES CP'!$P$10:$P$250,MATCH(B31,'NOTES CP'!$B$10:$B$250,0)),IF(E31="CE1",INDEX('NOTES CE1'!$M$10:$M$250,MATCH(B31,'NOTES CE1'!$B$10:$B$250,0)),INDEX('NOTES CE2-CM1'!$M$10:$M$250,MATCH(B31,'NOTES CE2-CM1'!$B$10:$B$250,0)))),""))</f>
        <v>5.88</v>
      </c>
      <c r="H31" s="80" t="n">
        <f aca="false">IF(B31="","",IFERROR(IF(LEFT(E31,2)="CP",INDEX('NOTES CP'!$Z$10:$Z$250,MATCH(B31,'NOTES CP'!$B$10:$B$250,0)),IF(E31="CE1",INDEX('NOTES CE1'!$T$10:$T$250,MATCH(B31,'NOTES CE1'!$B$10:$B$250,0)),INDEX('NOTES CE2-CM1'!$T$10:$T$250,MATCH(B31,'NOTES CE2-CM1'!$B$10:$B$250,0)))),""))</f>
        <v>5.75</v>
      </c>
      <c r="I31" s="80" t="n">
        <f aca="false">IF(B31="","",IFERROR(IF(LEFT(E31,2)="CP",INDEX('NOTES CP'!$AJ$10:$AJ$250,MATCH(B31,'NOTES CP'!$B$10:$B$250,0)),IF(E31="CE1",INDEX('NOTES CE1'!$AA$10:$AA$250,MATCH(B31,'NOTES CE1'!$B$10:$B$250,0)),INDEX('NOTES CE2-CM1'!$AA$10:$AA$250,MATCH(B31,'NOTES CE2-CM1'!$B$10:$B$250,0)))),""))</f>
        <v>5.44</v>
      </c>
      <c r="J31" s="81" t="n">
        <f aca="false">IF(COUNT(G31:I31)=0,"",ROUND(AVERAGE(G31:I31),2))</f>
        <v>5.69</v>
      </c>
      <c r="K31" s="80" t="n">
        <f aca="false">IF(B31="","",IFERROR(IF(LEFT(E31,2)="CP",INDEX('NOTES CP'!$AT$10:$AT$250,MATCH(B31,'NOTES CP'!$B$10:$B$250,0)),IF(E31="CE1",INDEX('NOTES CE1'!$AH$10:$AH$250,MATCH(B31,'NOTES CE1'!$B$10:$B$250,0)),INDEX('NOTES CE2-CM1'!$AH$10:$AH$250,MATCH(B31,'NOTES CE2-CM1'!$B$10:$B$250,0)))),""))</f>
        <v>5.06</v>
      </c>
      <c r="L31" s="82" t="n">
        <f aca="false">IF(OR(J31="",K31=""),"",ROUND((J31+2*K31)/3,2))</f>
        <v>5.27</v>
      </c>
      <c r="M31" s="83" t="n">
        <f aca="false">IF(E31="","",IFERROR(INDEX(PARAMETRES!$D$18:$D$23,MATCH(E31,PARAMETRES!$B$18:$B$23,0)),""))</f>
        <v>10</v>
      </c>
      <c r="N31" s="81" t="n">
        <f aca="false">IF(E31="","",IFERROR(INDEX(PARAMETRES!$C$18:$C$23,MATCH(E31,PARAMETRES!$B$18:$B$23,0)),""))</f>
        <v>5</v>
      </c>
      <c r="O31" s="45" t="str">
        <f aca="false">IF(B31="","",IF(F31="ABANDON","ABANDON",IF(F31="TRANSFERE","TRANSFERE",IF(L31="","",IF(L31&gt;=N31,"ADMIS","REDOUBLE")))))</f>
        <v>ADMIS</v>
      </c>
      <c r="P31" s="73" t="n">
        <f aca="false">IF(OR(L31="",F31&lt;&gt;"PRESENT"),"",COUNTIFS($E$10:$E$250,E31,$F$10:$F$250,"PRESENT",$L$10:$L$250,"&gt;"&amp;L31)+1)</f>
        <v>7</v>
      </c>
      <c r="Q31" s="74" t="str">
        <f aca="false">IF(O31="ADMIS",IF(L31/M31*10&gt;=8,"Très bien",IF(L31/M31*10&gt;=7,"Bien",IF(L31/M31*10&gt;=6,"Assez bien","Passable"))),IF(O31="REDOUBLE","Insuffisant",""))</f>
        <v>Passable</v>
      </c>
      <c r="R31" s="51" t="n">
        <f aca="false">IFERROR(MATCH("P-22",'REGISTRE ELEVES'!$AH$10:$AH$250,0),"")</f>
        <v>22</v>
      </c>
    </row>
    <row r="32" customFormat="false" ht="15" hidden="false" customHeight="false" outlineLevel="0" collapsed="false">
      <c r="A32" s="45" t="n">
        <f aca="false">IF(B32="","",23)</f>
        <v>23</v>
      </c>
      <c r="B32" s="45" t="str">
        <f aca="false">IF($R32="","",INDEX('REGISTRE ELEVES'!$B$10:$B$250,$R32))</f>
        <v>CP2-012-26</v>
      </c>
      <c r="C32" s="74" t="str">
        <f aca="false">IF($R32="","",INDEX('REGISTRE ELEVES'!$D$10:$D$250,$R32))</f>
        <v>BOHOUSSOU Rebecca Affoué</v>
      </c>
      <c r="D32" s="45" t="str">
        <f aca="false">IF($R32="","",INDEX('REGISTRE ELEVES'!$E$10:$E$250,$R32))</f>
        <v>F</v>
      </c>
      <c r="E32" s="45" t="str">
        <f aca="false">IF($R32="","",INDEX('REGISTRE ELEVES'!$F$10:$F$250,$R32))</f>
        <v>CP2</v>
      </c>
      <c r="F32" s="45" t="str">
        <f aca="false">IF($R32="","",INDEX('REGISTRE ELEVES'!$AE$10:$AE$250,$R32))</f>
        <v>PRESENT</v>
      </c>
      <c r="G32" s="80" t="n">
        <f aca="false">IF(B32="","",IFERROR(IF(LEFT(E32,2)="CP",INDEX('NOTES CP'!$P$10:$P$250,MATCH(B32,'NOTES CP'!$B$10:$B$250,0)),IF(E32="CE1",INDEX('NOTES CE1'!$M$10:$M$250,MATCH(B32,'NOTES CE1'!$B$10:$B$250,0)),INDEX('NOTES CE2-CM1'!$M$10:$M$250,MATCH(B32,'NOTES CE2-CM1'!$B$10:$B$250,0)))),""))</f>
        <v>3.75</v>
      </c>
      <c r="H32" s="80" t="n">
        <f aca="false">IF(B32="","",IFERROR(IF(LEFT(E32,2)="CP",INDEX('NOTES CP'!$Z$10:$Z$250,MATCH(B32,'NOTES CP'!$B$10:$B$250,0)),IF(E32="CE1",INDEX('NOTES CE1'!$T$10:$T$250,MATCH(B32,'NOTES CE1'!$B$10:$B$250,0)),INDEX('NOTES CE2-CM1'!$T$10:$T$250,MATCH(B32,'NOTES CE2-CM1'!$B$10:$B$250,0)))),""))</f>
        <v>4.63</v>
      </c>
      <c r="I32" s="80" t="n">
        <f aca="false">IF(B32="","",IFERROR(IF(LEFT(E32,2)="CP",INDEX('NOTES CP'!$AJ$10:$AJ$250,MATCH(B32,'NOTES CP'!$B$10:$B$250,0)),IF(E32="CE1",INDEX('NOTES CE1'!$AA$10:$AA$250,MATCH(B32,'NOTES CE1'!$B$10:$B$250,0)),INDEX('NOTES CE2-CM1'!$AA$10:$AA$250,MATCH(B32,'NOTES CE2-CM1'!$B$10:$B$250,0)))),""))</f>
        <v>4.69</v>
      </c>
      <c r="J32" s="81" t="n">
        <f aca="false">IF(COUNT(G32:I32)=0,"",ROUND(AVERAGE(G32:I32),2))</f>
        <v>4.36</v>
      </c>
      <c r="K32" s="80" t="n">
        <f aca="false">IF(B32="","",IFERROR(IF(LEFT(E32,2)="CP",INDEX('NOTES CP'!$AT$10:$AT$250,MATCH(B32,'NOTES CP'!$B$10:$B$250,0)),IF(E32="CE1",INDEX('NOTES CE1'!$AH$10:$AH$250,MATCH(B32,'NOTES CE1'!$B$10:$B$250,0)),INDEX('NOTES CE2-CM1'!$AH$10:$AH$250,MATCH(B32,'NOTES CE2-CM1'!$B$10:$B$250,0)))),""))</f>
        <v>4.5</v>
      </c>
      <c r="L32" s="82" t="n">
        <f aca="false">IF(OR(J32="",K32=""),"",ROUND((J32+2*K32)/3,2))</f>
        <v>4.45</v>
      </c>
      <c r="M32" s="83" t="n">
        <f aca="false">IF(E32="","",IFERROR(INDEX(PARAMETRES!$D$18:$D$23,MATCH(E32,PARAMETRES!$B$18:$B$23,0)),""))</f>
        <v>10</v>
      </c>
      <c r="N32" s="81" t="n">
        <f aca="false">IF(E32="","",IFERROR(INDEX(PARAMETRES!$C$18:$C$23,MATCH(E32,PARAMETRES!$B$18:$B$23,0)),""))</f>
        <v>5</v>
      </c>
      <c r="O32" s="45" t="str">
        <f aca="false">IF(B32="","",IF(F32="ABANDON","ABANDON",IF(F32="TRANSFERE","TRANSFERE",IF(L32="","",IF(L32&gt;=N32,"ADMIS","REDOUBLE")))))</f>
        <v>REDOUBLE</v>
      </c>
      <c r="P32" s="73" t="n">
        <f aca="false">IF(OR(L32="",F32&lt;&gt;"PRESENT"),"",COUNTIFS($E$10:$E$250,E32,$F$10:$F$250,"PRESENT",$L$10:$L$250,"&gt;"&amp;L32)+1)</f>
        <v>8</v>
      </c>
      <c r="Q32" s="74" t="str">
        <f aca="false">IF(O32="ADMIS",IF(L32/M32*10&gt;=8,"Très bien",IF(L32/M32*10&gt;=7,"Bien",IF(L32/M32*10&gt;=6,"Assez bien","Passable"))),IF(O32="REDOUBLE","Insuffisant",""))</f>
        <v>Insuffisant</v>
      </c>
      <c r="R32" s="51" t="n">
        <f aca="false">IFERROR(MATCH("P-23",'REGISTRE ELEVES'!$AH$10:$AH$250,0),"")</f>
        <v>23</v>
      </c>
    </row>
    <row r="33" customFormat="false" ht="15" hidden="false" customHeight="false" outlineLevel="0" collapsed="false">
      <c r="A33" s="45" t="n">
        <f aca="false">IF(B33="","",24)</f>
        <v>24</v>
      </c>
      <c r="B33" s="45" t="str">
        <f aca="false">IF($R33="","",INDEX('REGISTRE ELEVES'!$B$10:$B$250,$R33))</f>
        <v>CE1-001-26</v>
      </c>
      <c r="C33" s="74" t="str">
        <f aca="false">IF($R33="","",INDEX('REGISTRE ELEVES'!$D$10:$D$250,$R33))</f>
        <v>KOUASSI Moussa Ismaël</v>
      </c>
      <c r="D33" s="45" t="str">
        <f aca="false">IF($R33="","",INDEX('REGISTRE ELEVES'!$E$10:$E$250,$R33))</f>
        <v>M</v>
      </c>
      <c r="E33" s="45" t="str">
        <f aca="false">IF($R33="","",INDEX('REGISTRE ELEVES'!$F$10:$F$250,$R33))</f>
        <v>CE1</v>
      </c>
      <c r="F33" s="45" t="str">
        <f aca="false">IF($R33="","",INDEX('REGISTRE ELEVES'!$AE$10:$AE$250,$R33))</f>
        <v>PRESENT</v>
      </c>
      <c r="G33" s="80" t="n">
        <f aca="false">IF(B33="","",IFERROR(IF(LEFT(E33,2)="CP",INDEX('NOTES CP'!$P$10:$P$250,MATCH(B33,'NOTES CP'!$B$10:$B$250,0)),IF(E33="CE1",INDEX('NOTES CE1'!$M$10:$M$250,MATCH(B33,'NOTES CE1'!$B$10:$B$250,0)),INDEX('NOTES CE2-CM1'!$M$10:$M$250,MATCH(B33,'NOTES CE2-CM1'!$B$10:$B$250,0)))),""))</f>
        <v>5.96</v>
      </c>
      <c r="H33" s="80" t="n">
        <f aca="false">IF(B33="","",IFERROR(IF(LEFT(E33,2)="CP",INDEX('NOTES CP'!$Z$10:$Z$250,MATCH(B33,'NOTES CP'!$B$10:$B$250,0)),IF(E33="CE1",INDEX('NOTES CE1'!$T$10:$T$250,MATCH(B33,'NOTES CE1'!$B$10:$B$250,0)),INDEX('NOTES CE2-CM1'!$T$10:$T$250,MATCH(B33,'NOTES CE2-CM1'!$B$10:$B$250,0)))),""))</f>
        <v>5.11</v>
      </c>
      <c r="I33" s="80" t="n">
        <f aca="false">IF(B33="","",IFERROR(IF(LEFT(E33,2)="CP",INDEX('NOTES CP'!$AJ$10:$AJ$250,MATCH(B33,'NOTES CP'!$B$10:$B$250,0)),IF(E33="CE1",INDEX('NOTES CE1'!$AA$10:$AA$250,MATCH(B33,'NOTES CE1'!$B$10:$B$250,0)),INDEX('NOTES CE2-CM1'!$AA$10:$AA$250,MATCH(B33,'NOTES CE2-CM1'!$B$10:$B$250,0)))),""))</f>
        <v>5.61</v>
      </c>
      <c r="J33" s="81" t="n">
        <f aca="false">IF(COUNT(G33:I33)=0,"",ROUND(AVERAGE(G33:I33),2))</f>
        <v>5.56</v>
      </c>
      <c r="K33" s="80" t="n">
        <f aca="false">IF(B33="","",IFERROR(IF(LEFT(E33,2)="CP",INDEX('NOTES CP'!$AT$10:$AT$250,MATCH(B33,'NOTES CP'!$B$10:$B$250,0)),IF(E33="CE1",INDEX('NOTES CE1'!$AH$10:$AH$250,MATCH(B33,'NOTES CE1'!$B$10:$B$250,0)),INDEX('NOTES CE2-CM1'!$AH$10:$AH$250,MATCH(B33,'NOTES CE2-CM1'!$B$10:$B$250,0)))),""))</f>
        <v>5.32</v>
      </c>
      <c r="L33" s="82" t="n">
        <f aca="false">IF(OR(J33="",K33=""),"",ROUND((J33+2*K33)/3,2))</f>
        <v>5.4</v>
      </c>
      <c r="M33" s="83" t="n">
        <f aca="false">IF(E33="","",IFERROR(INDEX(PARAMETRES!$D$18:$D$23,MATCH(E33,PARAMETRES!$B$18:$B$23,0)),""))</f>
        <v>10</v>
      </c>
      <c r="N33" s="81" t="n">
        <f aca="false">IF(E33="","",IFERROR(INDEX(PARAMETRES!$C$18:$C$23,MATCH(E33,PARAMETRES!$B$18:$B$23,0)),""))</f>
        <v>5</v>
      </c>
      <c r="O33" s="45" t="str">
        <f aca="false">IF(B33="","",IF(F33="ABANDON","ABANDON",IF(F33="TRANSFERE","TRANSFERE",IF(L33="","",IF(L33&gt;=N33,"ADMIS","REDOUBLE")))))</f>
        <v>ADMIS</v>
      </c>
      <c r="P33" s="73" t="n">
        <f aca="false">IF(OR(L33="",F33&lt;&gt;"PRESENT"),"",COUNTIFS($E$10:$E$250,E33,$F$10:$F$250,"PRESENT",$L$10:$L$250,"&gt;"&amp;L33)+1)</f>
        <v>6</v>
      </c>
      <c r="Q33" s="74" t="str">
        <f aca="false">IF(O33="ADMIS",IF(L33/M33*10&gt;=8,"Très bien",IF(L33/M33*10&gt;=7,"Bien",IF(L33/M33*10&gt;=6,"Assez bien","Passable"))),IF(O33="REDOUBLE","Insuffisant",""))</f>
        <v>Passable</v>
      </c>
      <c r="R33" s="51" t="n">
        <f aca="false">IFERROR(MATCH("P-24",'REGISTRE ELEVES'!$AH$10:$AH$250,0),"")</f>
        <v>24</v>
      </c>
    </row>
    <row r="34" customFormat="false" ht="15" hidden="false" customHeight="false" outlineLevel="0" collapsed="false">
      <c r="A34" s="45" t="n">
        <f aca="false">IF(B34="","",25)</f>
        <v>25</v>
      </c>
      <c r="B34" s="45" t="str">
        <f aca="false">IF($R34="","",INDEX('REGISTRE ELEVES'!$B$10:$B$250,$R34))</f>
        <v>CE1-002-26</v>
      </c>
      <c r="C34" s="74" t="str">
        <f aca="false">IF($R34="","",INDEX('REGISTRE ELEVES'!$D$10:$D$250,$R34))</f>
        <v>KONE Clarisse Amenan</v>
      </c>
      <c r="D34" s="45" t="str">
        <f aca="false">IF($R34="","",INDEX('REGISTRE ELEVES'!$E$10:$E$250,$R34))</f>
        <v>F</v>
      </c>
      <c r="E34" s="45" t="str">
        <f aca="false">IF($R34="","",INDEX('REGISTRE ELEVES'!$F$10:$F$250,$R34))</f>
        <v>CE1</v>
      </c>
      <c r="F34" s="45" t="str">
        <f aca="false">IF($R34="","",INDEX('REGISTRE ELEVES'!$AE$10:$AE$250,$R34))</f>
        <v>ABANDON</v>
      </c>
      <c r="G34" s="80" t="n">
        <f aca="false">IF(B34="","",IFERROR(IF(LEFT(E34,2)="CP",INDEX('NOTES CP'!$P$10:$P$250,MATCH(B34,'NOTES CP'!$B$10:$B$250,0)),IF(E34="CE1",INDEX('NOTES CE1'!$M$10:$M$250,MATCH(B34,'NOTES CE1'!$B$10:$B$250,0)),INDEX('NOTES CE2-CM1'!$M$10:$M$250,MATCH(B34,'NOTES CE2-CM1'!$B$10:$B$250,0)))),""))</f>
        <v>4.43</v>
      </c>
      <c r="H34" s="80" t="n">
        <f aca="false">IF(B34="","",IFERROR(IF(LEFT(E34,2)="CP",INDEX('NOTES CP'!$Z$10:$Z$250,MATCH(B34,'NOTES CP'!$B$10:$B$250,0)),IF(E34="CE1",INDEX('NOTES CE1'!$T$10:$T$250,MATCH(B34,'NOTES CE1'!$B$10:$B$250,0)),INDEX('NOTES CE2-CM1'!$T$10:$T$250,MATCH(B34,'NOTES CE2-CM1'!$B$10:$B$250,0)))),""))</f>
        <v>4.82</v>
      </c>
      <c r="I34" s="80" t="n">
        <f aca="false">IF(B34="","",IFERROR(IF(LEFT(E34,2)="CP",INDEX('NOTES CP'!$AJ$10:$AJ$250,MATCH(B34,'NOTES CP'!$B$10:$B$250,0)),IF(E34="CE1",INDEX('NOTES CE1'!$AA$10:$AA$250,MATCH(B34,'NOTES CE1'!$B$10:$B$250,0)),INDEX('NOTES CE2-CM1'!$AA$10:$AA$250,MATCH(B34,'NOTES CE2-CM1'!$B$10:$B$250,0)))),""))</f>
        <v>0</v>
      </c>
      <c r="J34" s="81" t="n">
        <f aca="false">IF(COUNT(G34:I34)=0,"",ROUND(AVERAGE(G34:I34),2))</f>
        <v>3.08</v>
      </c>
      <c r="K34" s="80" t="n">
        <f aca="false">IF(B34="","",IFERROR(IF(LEFT(E34,2)="CP",INDEX('NOTES CP'!$AT$10:$AT$250,MATCH(B34,'NOTES CP'!$B$10:$B$250,0)),IF(E34="CE1",INDEX('NOTES CE1'!$AH$10:$AH$250,MATCH(B34,'NOTES CE1'!$B$10:$B$250,0)),INDEX('NOTES CE2-CM1'!$AH$10:$AH$250,MATCH(B34,'NOTES CE2-CM1'!$B$10:$B$250,0)))),""))</f>
        <v>0</v>
      </c>
      <c r="L34" s="82" t="n">
        <f aca="false">IF(OR(J34="",K34=""),"",ROUND((J34+2*K34)/3,2))</f>
        <v>1.03</v>
      </c>
      <c r="M34" s="83" t="n">
        <f aca="false">IF(E34="","",IFERROR(INDEX(PARAMETRES!$D$18:$D$23,MATCH(E34,PARAMETRES!$B$18:$B$23,0)),""))</f>
        <v>10</v>
      </c>
      <c r="N34" s="81" t="n">
        <f aca="false">IF(E34="","",IFERROR(INDEX(PARAMETRES!$C$18:$C$23,MATCH(E34,PARAMETRES!$B$18:$B$23,0)),""))</f>
        <v>5</v>
      </c>
      <c r="O34" s="45" t="str">
        <f aca="false">IF(B34="","",IF(F34="ABANDON","ABANDON",IF(F34="TRANSFERE","TRANSFERE",IF(L34="","",IF(L34&gt;=N34,"ADMIS","REDOUBLE")))))</f>
        <v>ABANDON</v>
      </c>
      <c r="P34" s="73" t="str">
        <f aca="false">IF(OR(L34="",F34&lt;&gt;"PRESENT"),"",COUNTIFS($E$10:$E$250,E34,$F$10:$F$250,"PRESENT",$L$10:$L$250,"&gt;"&amp;L34)+1)</f>
        <v/>
      </c>
      <c r="Q34" s="74" t="str">
        <f aca="false">IF(O34="ADMIS",IF(L34/M34*10&gt;=8,"Très bien",IF(L34/M34*10&gt;=7,"Bien",IF(L34/M34*10&gt;=6,"Assez bien","Passable"))),IF(O34="REDOUBLE","Insuffisant",""))</f>
        <v/>
      </c>
      <c r="R34" s="51" t="n">
        <f aca="false">IFERROR(MATCH("P-25",'REGISTRE ELEVES'!$AH$10:$AH$250,0),"")</f>
        <v>25</v>
      </c>
    </row>
    <row r="35" customFormat="false" ht="15" hidden="false" customHeight="false" outlineLevel="0" collapsed="false">
      <c r="A35" s="45" t="n">
        <f aca="false">IF(B35="","",26)</f>
        <v>26</v>
      </c>
      <c r="B35" s="45" t="str">
        <f aca="false">IF($R35="","",INDEX('REGISTRE ELEVES'!$B$10:$B$250,$R35))</f>
        <v>CE1-003-26</v>
      </c>
      <c r="C35" s="74" t="str">
        <f aca="false">IF($R35="","",INDEX('REGISTRE ELEVES'!$D$10:$D$250,$R35))</f>
        <v>AKA Abdoulaye Jean-Marc</v>
      </c>
      <c r="D35" s="45" t="str">
        <f aca="false">IF($R35="","",INDEX('REGISTRE ELEVES'!$E$10:$E$250,$R35))</f>
        <v>M</v>
      </c>
      <c r="E35" s="45" t="str">
        <f aca="false">IF($R35="","",INDEX('REGISTRE ELEVES'!$F$10:$F$250,$R35))</f>
        <v>CE1</v>
      </c>
      <c r="F35" s="45" t="str">
        <f aca="false">IF($R35="","",INDEX('REGISTRE ELEVES'!$AE$10:$AE$250,$R35))</f>
        <v>PRESENT</v>
      </c>
      <c r="G35" s="80" t="n">
        <f aca="false">IF(B35="","",IFERROR(IF(LEFT(E35,2)="CP",INDEX('NOTES CP'!$P$10:$P$250,MATCH(B35,'NOTES CP'!$B$10:$B$250,0)),IF(E35="CE1",INDEX('NOTES CE1'!$M$10:$M$250,MATCH(B35,'NOTES CE1'!$B$10:$B$250,0)),INDEX('NOTES CE2-CM1'!$M$10:$M$250,MATCH(B35,'NOTES CE2-CM1'!$B$10:$B$250,0)))),""))</f>
        <v>3.21</v>
      </c>
      <c r="H35" s="80" t="n">
        <f aca="false">IF(B35="","",IFERROR(IF(LEFT(E35,2)="CP",INDEX('NOTES CP'!$Z$10:$Z$250,MATCH(B35,'NOTES CP'!$B$10:$B$250,0)),IF(E35="CE1",INDEX('NOTES CE1'!$T$10:$T$250,MATCH(B35,'NOTES CE1'!$B$10:$B$250,0)),INDEX('NOTES CE2-CM1'!$T$10:$T$250,MATCH(B35,'NOTES CE2-CM1'!$B$10:$B$250,0)))),""))</f>
        <v>3.11</v>
      </c>
      <c r="I35" s="80" t="n">
        <f aca="false">IF(B35="","",IFERROR(IF(LEFT(E35,2)="CP",INDEX('NOTES CP'!$AJ$10:$AJ$250,MATCH(B35,'NOTES CP'!$B$10:$B$250,0)),IF(E35="CE1",INDEX('NOTES CE1'!$AA$10:$AA$250,MATCH(B35,'NOTES CE1'!$B$10:$B$250,0)),INDEX('NOTES CE2-CM1'!$AA$10:$AA$250,MATCH(B35,'NOTES CE2-CM1'!$B$10:$B$250,0)))),""))</f>
        <v>3.43</v>
      </c>
      <c r="J35" s="81" t="n">
        <f aca="false">IF(COUNT(G35:I35)=0,"",ROUND(AVERAGE(G35:I35),2))</f>
        <v>3.25</v>
      </c>
      <c r="K35" s="80" t="n">
        <f aca="false">IF(B35="","",IFERROR(IF(LEFT(E35,2)="CP",INDEX('NOTES CP'!$AT$10:$AT$250,MATCH(B35,'NOTES CP'!$B$10:$B$250,0)),IF(E35="CE1",INDEX('NOTES CE1'!$AH$10:$AH$250,MATCH(B35,'NOTES CE1'!$B$10:$B$250,0)),INDEX('NOTES CE2-CM1'!$AH$10:$AH$250,MATCH(B35,'NOTES CE2-CM1'!$B$10:$B$250,0)))),""))</f>
        <v>1.75</v>
      </c>
      <c r="L35" s="82" t="n">
        <f aca="false">IF(OR(J35="",K35=""),"",ROUND((J35+2*K35)/3,2))</f>
        <v>2.25</v>
      </c>
      <c r="M35" s="83" t="n">
        <f aca="false">IF(E35="","",IFERROR(INDEX(PARAMETRES!$D$18:$D$23,MATCH(E35,PARAMETRES!$B$18:$B$23,0)),""))</f>
        <v>10</v>
      </c>
      <c r="N35" s="81" t="n">
        <f aca="false">IF(E35="","",IFERROR(INDEX(PARAMETRES!$C$18:$C$23,MATCH(E35,PARAMETRES!$B$18:$B$23,0)),""))</f>
        <v>5</v>
      </c>
      <c r="O35" s="45" t="str">
        <f aca="false">IF(B35="","",IF(F35="ABANDON","ABANDON",IF(F35="TRANSFERE","TRANSFERE",IF(L35="","",IF(L35&gt;=N35,"ADMIS","REDOUBLE")))))</f>
        <v>REDOUBLE</v>
      </c>
      <c r="P35" s="73" t="n">
        <f aca="false">IF(OR(L35="",F35&lt;&gt;"PRESENT"),"",COUNTIFS($E$10:$E$250,E35,$F$10:$F$250,"PRESENT",$L$10:$L$250,"&gt;"&amp;L35)+1)</f>
        <v>7</v>
      </c>
      <c r="Q35" s="74" t="str">
        <f aca="false">IF(O35="ADMIS",IF(L35/M35*10&gt;=8,"Très bien",IF(L35/M35*10&gt;=7,"Bien",IF(L35/M35*10&gt;=6,"Assez bien","Passable"))),IF(O35="REDOUBLE","Insuffisant",""))</f>
        <v>Insuffisant</v>
      </c>
      <c r="R35" s="51" t="n">
        <f aca="false">IFERROR(MATCH("P-26",'REGISTRE ELEVES'!$AH$10:$AH$250,0),"")</f>
        <v>26</v>
      </c>
    </row>
    <row r="36" customFormat="false" ht="15" hidden="false" customHeight="false" outlineLevel="0" collapsed="false">
      <c r="A36" s="45" t="n">
        <f aca="false">IF(B36="","",27)</f>
        <v>27</v>
      </c>
      <c r="B36" s="45" t="str">
        <f aca="false">IF($R36="","",INDEX('REGISTRE ELEVES'!$B$10:$B$250,$R36))</f>
        <v>CE1-004-26</v>
      </c>
      <c r="C36" s="74" t="str">
        <f aca="false">IF($R36="","",INDEX('REGISTRE ELEVES'!$D$10:$D$250,$R36))</f>
        <v>KOFFI Grâce Akissi</v>
      </c>
      <c r="D36" s="45" t="str">
        <f aca="false">IF($R36="","",INDEX('REGISTRE ELEVES'!$E$10:$E$250,$R36))</f>
        <v>F</v>
      </c>
      <c r="E36" s="45" t="str">
        <f aca="false">IF($R36="","",INDEX('REGISTRE ELEVES'!$F$10:$F$250,$R36))</f>
        <v>CE1</v>
      </c>
      <c r="F36" s="45" t="str">
        <f aca="false">IF($R36="","",INDEX('REGISTRE ELEVES'!$AE$10:$AE$250,$R36))</f>
        <v>PRESENT</v>
      </c>
      <c r="G36" s="80" t="n">
        <f aca="false">IF(B36="","",IFERROR(IF(LEFT(E36,2)="CP",INDEX('NOTES CP'!$P$10:$P$250,MATCH(B36,'NOTES CP'!$B$10:$B$250,0)),IF(E36="CE1",INDEX('NOTES CE1'!$M$10:$M$250,MATCH(B36,'NOTES CE1'!$B$10:$B$250,0)),INDEX('NOTES CE2-CM1'!$M$10:$M$250,MATCH(B36,'NOTES CE2-CM1'!$B$10:$B$250,0)))),""))</f>
        <v>0</v>
      </c>
      <c r="H36" s="80" t="n">
        <f aca="false">IF(B36="","",IFERROR(IF(LEFT(E36,2)="CP",INDEX('NOTES CP'!$Z$10:$Z$250,MATCH(B36,'NOTES CP'!$B$10:$B$250,0)),IF(E36="CE1",INDEX('NOTES CE1'!$T$10:$T$250,MATCH(B36,'NOTES CE1'!$B$10:$B$250,0)),INDEX('NOTES CE2-CM1'!$T$10:$T$250,MATCH(B36,'NOTES CE2-CM1'!$B$10:$B$250,0)))),""))</f>
        <v>5.5</v>
      </c>
      <c r="I36" s="80" t="n">
        <f aca="false">IF(B36="","",IFERROR(IF(LEFT(E36,2)="CP",INDEX('NOTES CP'!$AJ$10:$AJ$250,MATCH(B36,'NOTES CP'!$B$10:$B$250,0)),IF(E36="CE1",INDEX('NOTES CE1'!$AA$10:$AA$250,MATCH(B36,'NOTES CE1'!$B$10:$B$250,0)),INDEX('NOTES CE2-CM1'!$AA$10:$AA$250,MATCH(B36,'NOTES CE2-CM1'!$B$10:$B$250,0)))),""))</f>
        <v>5</v>
      </c>
      <c r="J36" s="81" t="n">
        <f aca="false">IF(COUNT(G36:I36)=0,"",ROUND(AVERAGE(G36:I36),2))</f>
        <v>3.5</v>
      </c>
      <c r="K36" s="80" t="n">
        <f aca="false">IF(B36="","",IFERROR(IF(LEFT(E36,2)="CP",INDEX('NOTES CP'!$AT$10:$AT$250,MATCH(B36,'NOTES CP'!$B$10:$B$250,0)),IF(E36="CE1",INDEX('NOTES CE1'!$AH$10:$AH$250,MATCH(B36,'NOTES CE1'!$B$10:$B$250,0)),INDEX('NOTES CE2-CM1'!$AH$10:$AH$250,MATCH(B36,'NOTES CE2-CM1'!$B$10:$B$250,0)))),""))</f>
        <v>0</v>
      </c>
      <c r="L36" s="82" t="n">
        <f aca="false">IF(OR(J36="",K36=""),"",ROUND((J36+2*K36)/3,2))</f>
        <v>1.17</v>
      </c>
      <c r="M36" s="83" t="n">
        <f aca="false">IF(E36="","",IFERROR(INDEX(PARAMETRES!$D$18:$D$23,MATCH(E36,PARAMETRES!$B$18:$B$23,0)),""))</f>
        <v>10</v>
      </c>
      <c r="N36" s="81" t="n">
        <f aca="false">IF(E36="","",IFERROR(INDEX(PARAMETRES!$C$18:$C$23,MATCH(E36,PARAMETRES!$B$18:$B$23,0)),""))</f>
        <v>5</v>
      </c>
      <c r="O36" s="45" t="str">
        <f aca="false">IF(B36="","",IF(F36="ABANDON","ABANDON",IF(F36="TRANSFERE","TRANSFERE",IF(L36="","",IF(L36&gt;=N36,"ADMIS","REDOUBLE")))))</f>
        <v>REDOUBLE</v>
      </c>
      <c r="P36" s="73" t="n">
        <f aca="false">IF(OR(L36="",F36&lt;&gt;"PRESENT"),"",COUNTIFS($E$10:$E$250,E36,$F$10:$F$250,"PRESENT",$L$10:$L$250,"&gt;"&amp;L36)+1)</f>
        <v>8</v>
      </c>
      <c r="Q36" s="74" t="str">
        <f aca="false">IF(O36="ADMIS",IF(L36/M36*10&gt;=8,"Très bien",IF(L36/M36*10&gt;=7,"Bien",IF(L36/M36*10&gt;=6,"Assez bien","Passable"))),IF(O36="REDOUBLE","Insuffisant",""))</f>
        <v>Insuffisant</v>
      </c>
      <c r="R36" s="51" t="n">
        <f aca="false">IFERROR(MATCH("P-27",'REGISTRE ELEVES'!$AH$10:$AH$250,0),"")</f>
        <v>27</v>
      </c>
    </row>
    <row r="37" customFormat="false" ht="15" hidden="false" customHeight="false" outlineLevel="0" collapsed="false">
      <c r="A37" s="45" t="n">
        <f aca="false">IF(B37="","",28)</f>
        <v>28</v>
      </c>
      <c r="B37" s="45" t="str">
        <f aca="false">IF($R37="","",INDEX('REGISTRE ELEVES'!$B$10:$B$250,$R37))</f>
        <v>CE1-005-26</v>
      </c>
      <c r="C37" s="74" t="str">
        <f aca="false">IF($R37="","",INDEX('REGISTRE ELEVES'!$D$10:$D$250,$R37))</f>
        <v>YAO Kouakou Konan</v>
      </c>
      <c r="D37" s="45" t="str">
        <f aca="false">IF($R37="","",INDEX('REGISTRE ELEVES'!$E$10:$E$250,$R37))</f>
        <v>M</v>
      </c>
      <c r="E37" s="45" t="str">
        <f aca="false">IF($R37="","",INDEX('REGISTRE ELEVES'!$F$10:$F$250,$R37))</f>
        <v>CE1</v>
      </c>
      <c r="F37" s="45" t="str">
        <f aca="false">IF($R37="","",INDEX('REGISTRE ELEVES'!$AE$10:$AE$250,$R37))</f>
        <v>PRESENT</v>
      </c>
      <c r="G37" s="80" t="n">
        <f aca="false">IF(B37="","",IFERROR(IF(LEFT(E37,2)="CP",INDEX('NOTES CP'!$P$10:$P$250,MATCH(B37,'NOTES CP'!$B$10:$B$250,0)),IF(E37="CE1",INDEX('NOTES CE1'!$M$10:$M$250,MATCH(B37,'NOTES CE1'!$B$10:$B$250,0)),INDEX('NOTES CE2-CM1'!$M$10:$M$250,MATCH(B37,'NOTES CE2-CM1'!$B$10:$B$250,0)))),""))</f>
        <v>7.61</v>
      </c>
      <c r="H37" s="80" t="n">
        <f aca="false">IF(B37="","",IFERROR(IF(LEFT(E37,2)="CP",INDEX('NOTES CP'!$Z$10:$Z$250,MATCH(B37,'NOTES CP'!$B$10:$B$250,0)),IF(E37="CE1",INDEX('NOTES CE1'!$T$10:$T$250,MATCH(B37,'NOTES CE1'!$B$10:$B$250,0)),INDEX('NOTES CE2-CM1'!$T$10:$T$250,MATCH(B37,'NOTES CE2-CM1'!$B$10:$B$250,0)))),""))</f>
        <v>7.46</v>
      </c>
      <c r="I37" s="80" t="n">
        <f aca="false">IF(B37="","",IFERROR(IF(LEFT(E37,2)="CP",INDEX('NOTES CP'!$AJ$10:$AJ$250,MATCH(B37,'NOTES CP'!$B$10:$B$250,0)),IF(E37="CE1",INDEX('NOTES CE1'!$AA$10:$AA$250,MATCH(B37,'NOTES CE1'!$B$10:$B$250,0)),INDEX('NOTES CE2-CM1'!$AA$10:$AA$250,MATCH(B37,'NOTES CE2-CM1'!$B$10:$B$250,0)))),""))</f>
        <v>8.07</v>
      </c>
      <c r="J37" s="81" t="n">
        <f aca="false">IF(COUNT(G37:I37)=0,"",ROUND(AVERAGE(G37:I37),2))</f>
        <v>7.71</v>
      </c>
      <c r="K37" s="80" t="n">
        <f aca="false">IF(B37="","",IFERROR(IF(LEFT(E37,2)="CP",INDEX('NOTES CP'!$AT$10:$AT$250,MATCH(B37,'NOTES CP'!$B$10:$B$250,0)),IF(E37="CE1",INDEX('NOTES CE1'!$AH$10:$AH$250,MATCH(B37,'NOTES CE1'!$B$10:$B$250,0)),INDEX('NOTES CE2-CM1'!$AH$10:$AH$250,MATCH(B37,'NOTES CE2-CM1'!$B$10:$B$250,0)))),""))</f>
        <v>7.89</v>
      </c>
      <c r="L37" s="82" t="n">
        <f aca="false">IF(OR(J37="",K37=""),"",ROUND((J37+2*K37)/3,2))</f>
        <v>7.83</v>
      </c>
      <c r="M37" s="83" t="n">
        <f aca="false">IF(E37="","",IFERROR(INDEX(PARAMETRES!$D$18:$D$23,MATCH(E37,PARAMETRES!$B$18:$B$23,0)),""))</f>
        <v>10</v>
      </c>
      <c r="N37" s="81" t="n">
        <f aca="false">IF(E37="","",IFERROR(INDEX(PARAMETRES!$C$18:$C$23,MATCH(E37,PARAMETRES!$B$18:$B$23,0)),""))</f>
        <v>5</v>
      </c>
      <c r="O37" s="45" t="str">
        <f aca="false">IF(B37="","",IF(F37="ABANDON","ABANDON",IF(F37="TRANSFERE","TRANSFERE",IF(L37="","",IF(L37&gt;=N37,"ADMIS","REDOUBLE")))))</f>
        <v>ADMIS</v>
      </c>
      <c r="P37" s="73" t="n">
        <f aca="false">IF(OR(L37="",F37&lt;&gt;"PRESENT"),"",COUNTIFS($E$10:$E$250,E37,$F$10:$F$250,"PRESENT",$L$10:$L$250,"&gt;"&amp;L37)+1)</f>
        <v>1</v>
      </c>
      <c r="Q37" s="74" t="str">
        <f aca="false">IF(O37="ADMIS",IF(L37/M37*10&gt;=8,"Très bien",IF(L37/M37*10&gt;=7,"Bien",IF(L37/M37*10&gt;=6,"Assez bien","Passable"))),IF(O37="REDOUBLE","Insuffisant",""))</f>
        <v>Bien</v>
      </c>
      <c r="R37" s="51" t="n">
        <f aca="false">IFERROR(MATCH("P-28",'REGISTRE ELEVES'!$AH$10:$AH$250,0),"")</f>
        <v>28</v>
      </c>
    </row>
    <row r="38" customFormat="false" ht="15" hidden="false" customHeight="false" outlineLevel="0" collapsed="false">
      <c r="A38" s="45" t="n">
        <f aca="false">IF(B38="","",29)</f>
        <v>29</v>
      </c>
      <c r="B38" s="45" t="str">
        <f aca="false">IF($R38="","",INDEX('REGISTRE ELEVES'!$B$10:$B$250,$R38))</f>
        <v>CE1-006-26</v>
      </c>
      <c r="C38" s="74" t="str">
        <f aca="false">IF($R38="","",INDEX('REGISTRE ELEVES'!$D$10:$D$250,$R38))</f>
        <v>SORO Cédric Emmanuel</v>
      </c>
      <c r="D38" s="45" t="str">
        <f aca="false">IF($R38="","",INDEX('REGISTRE ELEVES'!$E$10:$E$250,$R38))</f>
        <v>M</v>
      </c>
      <c r="E38" s="45" t="str">
        <f aca="false">IF($R38="","",INDEX('REGISTRE ELEVES'!$F$10:$F$250,$R38))</f>
        <v>CE1</v>
      </c>
      <c r="F38" s="45" t="str">
        <f aca="false">IF($R38="","",INDEX('REGISTRE ELEVES'!$AE$10:$AE$250,$R38))</f>
        <v>PRESENT</v>
      </c>
      <c r="G38" s="80" t="n">
        <f aca="false">IF(B38="","",IFERROR(IF(LEFT(E38,2)="CP",INDEX('NOTES CP'!$P$10:$P$250,MATCH(B38,'NOTES CP'!$B$10:$B$250,0)),IF(E38="CE1",INDEX('NOTES CE1'!$M$10:$M$250,MATCH(B38,'NOTES CE1'!$B$10:$B$250,0)),INDEX('NOTES CE2-CM1'!$M$10:$M$250,MATCH(B38,'NOTES CE2-CM1'!$B$10:$B$250,0)))),""))</f>
        <v>6.5</v>
      </c>
      <c r="H38" s="80" t="n">
        <f aca="false">IF(B38="","",IFERROR(IF(LEFT(E38,2)="CP",INDEX('NOTES CP'!$Z$10:$Z$250,MATCH(B38,'NOTES CP'!$B$10:$B$250,0)),IF(E38="CE1",INDEX('NOTES CE1'!$T$10:$T$250,MATCH(B38,'NOTES CE1'!$B$10:$B$250,0)),INDEX('NOTES CE2-CM1'!$T$10:$T$250,MATCH(B38,'NOTES CE2-CM1'!$B$10:$B$250,0)))),""))</f>
        <v>5.07</v>
      </c>
      <c r="I38" s="80" t="n">
        <f aca="false">IF(B38="","",IFERROR(IF(LEFT(E38,2)="CP",INDEX('NOTES CP'!$AJ$10:$AJ$250,MATCH(B38,'NOTES CP'!$B$10:$B$250,0)),IF(E38="CE1",INDEX('NOTES CE1'!$AA$10:$AA$250,MATCH(B38,'NOTES CE1'!$B$10:$B$250,0)),INDEX('NOTES CE2-CM1'!$AA$10:$AA$250,MATCH(B38,'NOTES CE2-CM1'!$B$10:$B$250,0)))),""))</f>
        <v>4.89</v>
      </c>
      <c r="J38" s="81" t="n">
        <f aca="false">IF(COUNT(G38:I38)=0,"",ROUND(AVERAGE(G38:I38),2))</f>
        <v>5.49</v>
      </c>
      <c r="K38" s="80" t="n">
        <f aca="false">IF(B38="","",IFERROR(IF(LEFT(E38,2)="CP",INDEX('NOTES CP'!$AT$10:$AT$250,MATCH(B38,'NOTES CP'!$B$10:$B$250,0)),IF(E38="CE1",INDEX('NOTES CE1'!$AH$10:$AH$250,MATCH(B38,'NOTES CE1'!$B$10:$B$250,0)),INDEX('NOTES CE2-CM1'!$AH$10:$AH$250,MATCH(B38,'NOTES CE2-CM1'!$B$10:$B$250,0)))),""))</f>
        <v>5.82</v>
      </c>
      <c r="L38" s="82" t="n">
        <f aca="false">IF(OR(J38="",K38=""),"",ROUND((J38+2*K38)/3,2))</f>
        <v>5.71</v>
      </c>
      <c r="M38" s="83" t="n">
        <f aca="false">IF(E38="","",IFERROR(INDEX(PARAMETRES!$D$18:$D$23,MATCH(E38,PARAMETRES!$B$18:$B$23,0)),""))</f>
        <v>10</v>
      </c>
      <c r="N38" s="81" t="n">
        <f aca="false">IF(E38="","",IFERROR(INDEX(PARAMETRES!$C$18:$C$23,MATCH(E38,PARAMETRES!$B$18:$B$23,0)),""))</f>
        <v>5</v>
      </c>
      <c r="O38" s="45" t="str">
        <f aca="false">IF(B38="","",IF(F38="ABANDON","ABANDON",IF(F38="TRANSFERE","TRANSFERE",IF(L38="","",IF(L38&gt;=N38,"ADMIS","REDOUBLE")))))</f>
        <v>ADMIS</v>
      </c>
      <c r="P38" s="73" t="n">
        <f aca="false">IF(OR(L38="",F38&lt;&gt;"PRESENT"),"",COUNTIFS($E$10:$E$250,E38,$F$10:$F$250,"PRESENT",$L$10:$L$250,"&gt;"&amp;L38)+1)</f>
        <v>5</v>
      </c>
      <c r="Q38" s="74" t="str">
        <f aca="false">IF(O38="ADMIS",IF(L38/M38*10&gt;=8,"Très bien",IF(L38/M38*10&gt;=7,"Bien",IF(L38/M38*10&gt;=6,"Assez bien","Passable"))),IF(O38="REDOUBLE","Insuffisant",""))</f>
        <v>Passable</v>
      </c>
      <c r="R38" s="51" t="n">
        <f aca="false">IFERROR(MATCH("P-29",'REGISTRE ELEVES'!$AH$10:$AH$250,0),"")</f>
        <v>29</v>
      </c>
    </row>
    <row r="39" customFormat="false" ht="15" hidden="false" customHeight="false" outlineLevel="0" collapsed="false">
      <c r="A39" s="45" t="n">
        <f aca="false">IF(B39="","",30)</f>
        <v>30</v>
      </c>
      <c r="B39" s="45" t="str">
        <f aca="false">IF($R39="","",INDEX('REGISTRE ELEVES'!$B$10:$B$250,$R39))</f>
        <v>CE1-007-26</v>
      </c>
      <c r="C39" s="74" t="str">
        <f aca="false">IF($R39="","",INDEX('REGISTRE ELEVES'!$D$10:$D$250,$R39))</f>
        <v>KOUASSI Franck Kouakou</v>
      </c>
      <c r="D39" s="45" t="str">
        <f aca="false">IF($R39="","",INDEX('REGISTRE ELEVES'!$E$10:$E$250,$R39))</f>
        <v>M</v>
      </c>
      <c r="E39" s="45" t="str">
        <f aca="false">IF($R39="","",INDEX('REGISTRE ELEVES'!$F$10:$F$250,$R39))</f>
        <v>CE1</v>
      </c>
      <c r="F39" s="45" t="str">
        <f aca="false">IF($R39="","",INDEX('REGISTRE ELEVES'!$AE$10:$AE$250,$R39))</f>
        <v>PRESENT</v>
      </c>
      <c r="G39" s="80" t="n">
        <f aca="false">IF(B39="","",IFERROR(IF(LEFT(E39,2)="CP",INDEX('NOTES CP'!$P$10:$P$250,MATCH(B39,'NOTES CP'!$B$10:$B$250,0)),IF(E39="CE1",INDEX('NOTES CE1'!$M$10:$M$250,MATCH(B39,'NOTES CE1'!$B$10:$B$250,0)),INDEX('NOTES CE2-CM1'!$M$10:$M$250,MATCH(B39,'NOTES CE2-CM1'!$B$10:$B$250,0)))),""))</f>
        <v>5.29</v>
      </c>
      <c r="H39" s="80" t="n">
        <f aca="false">IF(B39="","",IFERROR(IF(LEFT(E39,2)="CP",INDEX('NOTES CP'!$Z$10:$Z$250,MATCH(B39,'NOTES CP'!$B$10:$B$250,0)),IF(E39="CE1",INDEX('NOTES CE1'!$T$10:$T$250,MATCH(B39,'NOTES CE1'!$B$10:$B$250,0)),INDEX('NOTES CE2-CM1'!$T$10:$T$250,MATCH(B39,'NOTES CE2-CM1'!$B$10:$B$250,0)))),""))</f>
        <v>6.11</v>
      </c>
      <c r="I39" s="80" t="n">
        <f aca="false">IF(B39="","",IFERROR(IF(LEFT(E39,2)="CP",INDEX('NOTES CP'!$AJ$10:$AJ$250,MATCH(B39,'NOTES CP'!$B$10:$B$250,0)),IF(E39="CE1",INDEX('NOTES CE1'!$AA$10:$AA$250,MATCH(B39,'NOTES CE1'!$B$10:$B$250,0)),INDEX('NOTES CE2-CM1'!$AA$10:$AA$250,MATCH(B39,'NOTES CE2-CM1'!$B$10:$B$250,0)))),""))</f>
        <v>6.64</v>
      </c>
      <c r="J39" s="81" t="n">
        <f aca="false">IF(COUNT(G39:I39)=0,"",ROUND(AVERAGE(G39:I39),2))</f>
        <v>6.01</v>
      </c>
      <c r="K39" s="80" t="n">
        <f aca="false">IF(B39="","",IFERROR(IF(LEFT(E39,2)="CP",INDEX('NOTES CP'!$AT$10:$AT$250,MATCH(B39,'NOTES CP'!$B$10:$B$250,0)),IF(E39="CE1",INDEX('NOTES CE1'!$AH$10:$AH$250,MATCH(B39,'NOTES CE1'!$B$10:$B$250,0)),INDEX('NOTES CE2-CM1'!$AH$10:$AH$250,MATCH(B39,'NOTES CE2-CM1'!$B$10:$B$250,0)))),""))</f>
        <v>6.43</v>
      </c>
      <c r="L39" s="82" t="n">
        <f aca="false">IF(OR(J39="",K39=""),"",ROUND((J39+2*K39)/3,2))</f>
        <v>6.29</v>
      </c>
      <c r="M39" s="83" t="n">
        <f aca="false">IF(E39="","",IFERROR(INDEX(PARAMETRES!$D$18:$D$23,MATCH(E39,PARAMETRES!$B$18:$B$23,0)),""))</f>
        <v>10</v>
      </c>
      <c r="N39" s="81" t="n">
        <f aca="false">IF(E39="","",IFERROR(INDEX(PARAMETRES!$C$18:$C$23,MATCH(E39,PARAMETRES!$B$18:$B$23,0)),""))</f>
        <v>5</v>
      </c>
      <c r="O39" s="45" t="str">
        <f aca="false">IF(B39="","",IF(F39="ABANDON","ABANDON",IF(F39="TRANSFERE","TRANSFERE",IF(L39="","",IF(L39&gt;=N39,"ADMIS","REDOUBLE")))))</f>
        <v>ADMIS</v>
      </c>
      <c r="P39" s="73" t="n">
        <f aca="false">IF(OR(L39="",F39&lt;&gt;"PRESENT"),"",COUNTIFS($E$10:$E$250,E39,$F$10:$F$250,"PRESENT",$L$10:$L$250,"&gt;"&amp;L39)+1)</f>
        <v>3</v>
      </c>
      <c r="Q39" s="74" t="str">
        <f aca="false">IF(O39="ADMIS",IF(L39/M39*10&gt;=8,"Très bien",IF(L39/M39*10&gt;=7,"Bien",IF(L39/M39*10&gt;=6,"Assez bien","Passable"))),IF(O39="REDOUBLE","Insuffisant",""))</f>
        <v>Assez bien</v>
      </c>
      <c r="R39" s="51" t="n">
        <f aca="false">IFERROR(MATCH("P-30",'REGISTRE ELEVES'!$AH$10:$AH$250,0),"")</f>
        <v>30</v>
      </c>
    </row>
    <row r="40" customFormat="false" ht="15" hidden="false" customHeight="false" outlineLevel="0" collapsed="false">
      <c r="A40" s="45" t="n">
        <f aca="false">IF(B40="","",31)</f>
        <v>31</v>
      </c>
      <c r="B40" s="45" t="str">
        <f aca="false">IF($R40="","",INDEX('REGISTRE ELEVES'!$B$10:$B$250,$R40))</f>
        <v>CE1-008-26</v>
      </c>
      <c r="C40" s="74" t="str">
        <f aca="false">IF($R40="","",INDEX('REGISTRE ELEVES'!$D$10:$D$250,$R40))</f>
        <v>BAMBA Mariam Amenan</v>
      </c>
      <c r="D40" s="45" t="str">
        <f aca="false">IF($R40="","",INDEX('REGISTRE ELEVES'!$E$10:$E$250,$R40))</f>
        <v>F</v>
      </c>
      <c r="E40" s="45" t="str">
        <f aca="false">IF($R40="","",INDEX('REGISTRE ELEVES'!$F$10:$F$250,$R40))</f>
        <v>CE1</v>
      </c>
      <c r="F40" s="45" t="str">
        <f aca="false">IF($R40="","",INDEX('REGISTRE ELEVES'!$AE$10:$AE$250,$R40))</f>
        <v>PRESENT</v>
      </c>
      <c r="G40" s="80" t="n">
        <f aca="false">IF(B40="","",IFERROR(IF(LEFT(E40,2)="CP",INDEX('NOTES CP'!$P$10:$P$250,MATCH(B40,'NOTES CP'!$B$10:$B$250,0)),IF(E40="CE1",INDEX('NOTES CE1'!$M$10:$M$250,MATCH(B40,'NOTES CE1'!$B$10:$B$250,0)),INDEX('NOTES CE2-CM1'!$M$10:$M$250,MATCH(B40,'NOTES CE2-CM1'!$B$10:$B$250,0)))),""))</f>
        <v>8.11</v>
      </c>
      <c r="H40" s="80" t="n">
        <f aca="false">IF(B40="","",IFERROR(IF(LEFT(E40,2)="CP",INDEX('NOTES CP'!$Z$10:$Z$250,MATCH(B40,'NOTES CP'!$B$10:$B$250,0)),IF(E40="CE1",INDEX('NOTES CE1'!$T$10:$T$250,MATCH(B40,'NOTES CE1'!$B$10:$B$250,0)),INDEX('NOTES CE2-CM1'!$T$10:$T$250,MATCH(B40,'NOTES CE2-CM1'!$B$10:$B$250,0)))),""))</f>
        <v>8.18</v>
      </c>
      <c r="I40" s="80" t="n">
        <f aca="false">IF(B40="","",IFERROR(IF(LEFT(E40,2)="CP",INDEX('NOTES CP'!$AJ$10:$AJ$250,MATCH(B40,'NOTES CP'!$B$10:$B$250,0)),IF(E40="CE1",INDEX('NOTES CE1'!$AA$10:$AA$250,MATCH(B40,'NOTES CE1'!$B$10:$B$250,0)),INDEX('NOTES CE2-CM1'!$AA$10:$AA$250,MATCH(B40,'NOTES CE2-CM1'!$B$10:$B$250,0)))),""))</f>
        <v>6.61</v>
      </c>
      <c r="J40" s="81" t="n">
        <f aca="false">IF(COUNT(G40:I40)=0,"",ROUND(AVERAGE(G40:I40),2))</f>
        <v>7.63</v>
      </c>
      <c r="K40" s="80" t="n">
        <f aca="false">IF(B40="","",IFERROR(IF(LEFT(E40,2)="CP",INDEX('NOTES CP'!$AT$10:$AT$250,MATCH(B40,'NOTES CP'!$B$10:$B$250,0)),IF(E40="CE1",INDEX('NOTES CE1'!$AH$10:$AH$250,MATCH(B40,'NOTES CE1'!$B$10:$B$250,0)),INDEX('NOTES CE2-CM1'!$AH$10:$AH$250,MATCH(B40,'NOTES CE2-CM1'!$B$10:$B$250,0)))),""))</f>
        <v>7.21</v>
      </c>
      <c r="L40" s="82" t="n">
        <f aca="false">IF(OR(J40="",K40=""),"",ROUND((J40+2*K40)/3,2))</f>
        <v>7.35</v>
      </c>
      <c r="M40" s="83" t="n">
        <f aca="false">IF(E40="","",IFERROR(INDEX(PARAMETRES!$D$18:$D$23,MATCH(E40,PARAMETRES!$B$18:$B$23,0)),""))</f>
        <v>10</v>
      </c>
      <c r="N40" s="81" t="n">
        <f aca="false">IF(E40="","",IFERROR(INDEX(PARAMETRES!$C$18:$C$23,MATCH(E40,PARAMETRES!$B$18:$B$23,0)),""))</f>
        <v>5</v>
      </c>
      <c r="O40" s="45" t="str">
        <f aca="false">IF(B40="","",IF(F40="ABANDON","ABANDON",IF(F40="TRANSFERE","TRANSFERE",IF(L40="","",IF(L40&gt;=N40,"ADMIS","REDOUBLE")))))</f>
        <v>ADMIS</v>
      </c>
      <c r="P40" s="73" t="n">
        <f aca="false">IF(OR(L40="",F40&lt;&gt;"PRESENT"),"",COUNTIFS($E$10:$E$250,E40,$F$10:$F$250,"PRESENT",$L$10:$L$250,"&gt;"&amp;L40)+1)</f>
        <v>2</v>
      </c>
      <c r="Q40" s="74" t="str">
        <f aca="false">IF(O40="ADMIS",IF(L40/M40*10&gt;=8,"Très bien",IF(L40/M40*10&gt;=7,"Bien",IF(L40/M40*10&gt;=6,"Assez bien","Passable"))),IF(O40="REDOUBLE","Insuffisant",""))</f>
        <v>Bien</v>
      </c>
      <c r="R40" s="51" t="n">
        <f aca="false">IFERROR(MATCH("P-31",'REGISTRE ELEVES'!$AH$10:$AH$250,0),"")</f>
        <v>31</v>
      </c>
    </row>
    <row r="41" customFormat="false" ht="15" hidden="false" customHeight="false" outlineLevel="0" collapsed="false">
      <c r="A41" s="45" t="n">
        <f aca="false">IF(B41="","",32)</f>
        <v>32</v>
      </c>
      <c r="B41" s="45" t="str">
        <f aca="false">IF($R41="","",INDEX('REGISTRE ELEVES'!$B$10:$B$250,$R41))</f>
        <v>CE1-009-26</v>
      </c>
      <c r="C41" s="74" t="str">
        <f aca="false">IF($R41="","",INDEX('REGISTRE ELEVES'!$D$10:$D$250,$R41))</f>
        <v>DIGBEU Kouadio Konan</v>
      </c>
      <c r="D41" s="45" t="str">
        <f aca="false">IF($R41="","",INDEX('REGISTRE ELEVES'!$E$10:$E$250,$R41))</f>
        <v>M</v>
      </c>
      <c r="E41" s="45" t="str">
        <f aca="false">IF($R41="","",INDEX('REGISTRE ELEVES'!$F$10:$F$250,$R41))</f>
        <v>CE1</v>
      </c>
      <c r="F41" s="45" t="str">
        <f aca="false">IF($R41="","",INDEX('REGISTRE ELEVES'!$AE$10:$AE$250,$R41))</f>
        <v>PRESENT</v>
      </c>
      <c r="G41" s="80" t="n">
        <f aca="false">IF(B41="","",IFERROR(IF(LEFT(E41,2)="CP",INDEX('NOTES CP'!$P$10:$P$250,MATCH(B41,'NOTES CP'!$B$10:$B$250,0)),IF(E41="CE1",INDEX('NOTES CE1'!$M$10:$M$250,MATCH(B41,'NOTES CE1'!$B$10:$B$250,0)),INDEX('NOTES CE2-CM1'!$M$10:$M$250,MATCH(B41,'NOTES CE2-CM1'!$B$10:$B$250,0)))),""))</f>
        <v>4.64</v>
      </c>
      <c r="H41" s="80" t="n">
        <f aca="false">IF(B41="","",IFERROR(IF(LEFT(E41,2)="CP",INDEX('NOTES CP'!$Z$10:$Z$250,MATCH(B41,'NOTES CP'!$B$10:$B$250,0)),IF(E41="CE1",INDEX('NOTES CE1'!$T$10:$T$250,MATCH(B41,'NOTES CE1'!$B$10:$B$250,0)),INDEX('NOTES CE2-CM1'!$T$10:$T$250,MATCH(B41,'NOTES CE2-CM1'!$B$10:$B$250,0)))),""))</f>
        <v>5.96</v>
      </c>
      <c r="I41" s="80" t="n">
        <f aca="false">IF(B41="","",IFERROR(IF(LEFT(E41,2)="CP",INDEX('NOTES CP'!$AJ$10:$AJ$250,MATCH(B41,'NOTES CP'!$B$10:$B$250,0)),IF(E41="CE1",INDEX('NOTES CE1'!$AA$10:$AA$250,MATCH(B41,'NOTES CE1'!$B$10:$B$250,0)),INDEX('NOTES CE2-CM1'!$AA$10:$AA$250,MATCH(B41,'NOTES CE2-CM1'!$B$10:$B$250,0)))),""))</f>
        <v>4.61</v>
      </c>
      <c r="J41" s="81" t="n">
        <f aca="false">IF(COUNT(G41:I41)=0,"",ROUND(AVERAGE(G41:I41),2))</f>
        <v>5.07</v>
      </c>
      <c r="K41" s="80" t="n">
        <f aca="false">IF(B41="","",IFERROR(IF(LEFT(E41,2)="CP",INDEX('NOTES CP'!$AT$10:$AT$250,MATCH(B41,'NOTES CP'!$B$10:$B$250,0)),IF(E41="CE1",INDEX('NOTES CE1'!$AH$10:$AH$250,MATCH(B41,'NOTES CE1'!$B$10:$B$250,0)),INDEX('NOTES CE2-CM1'!$AH$10:$AH$250,MATCH(B41,'NOTES CE2-CM1'!$B$10:$B$250,0)))),""))</f>
        <v>6.11</v>
      </c>
      <c r="L41" s="82" t="n">
        <f aca="false">IF(OR(J41="",K41=""),"",ROUND((J41+2*K41)/3,2))</f>
        <v>5.76</v>
      </c>
      <c r="M41" s="83" t="n">
        <f aca="false">IF(E41="","",IFERROR(INDEX(PARAMETRES!$D$18:$D$23,MATCH(E41,PARAMETRES!$B$18:$B$23,0)),""))</f>
        <v>10</v>
      </c>
      <c r="N41" s="81" t="n">
        <f aca="false">IF(E41="","",IFERROR(INDEX(PARAMETRES!$C$18:$C$23,MATCH(E41,PARAMETRES!$B$18:$B$23,0)),""))</f>
        <v>5</v>
      </c>
      <c r="O41" s="45" t="str">
        <f aca="false">IF(B41="","",IF(F41="ABANDON","ABANDON",IF(F41="TRANSFERE","TRANSFERE",IF(L41="","",IF(L41&gt;=N41,"ADMIS","REDOUBLE")))))</f>
        <v>ADMIS</v>
      </c>
      <c r="P41" s="73" t="n">
        <f aca="false">IF(OR(L41="",F41&lt;&gt;"PRESENT"),"",COUNTIFS($E$10:$E$250,E41,$F$10:$F$250,"PRESENT",$L$10:$L$250,"&gt;"&amp;L41)+1)</f>
        <v>4</v>
      </c>
      <c r="Q41" s="74" t="str">
        <f aca="false">IF(O41="ADMIS",IF(L41/M41*10&gt;=8,"Très bien",IF(L41/M41*10&gt;=7,"Bien",IF(L41/M41*10&gt;=6,"Assez bien","Passable"))),IF(O41="REDOUBLE","Insuffisant",""))</f>
        <v>Passable</v>
      </c>
      <c r="R41" s="51" t="n">
        <f aca="false">IFERROR(MATCH("P-32",'REGISTRE ELEVES'!$AH$10:$AH$250,0),"")</f>
        <v>32</v>
      </c>
    </row>
    <row r="42" customFormat="false" ht="15" hidden="false" customHeight="false" outlineLevel="0" collapsed="false">
      <c r="A42" s="45" t="n">
        <f aca="false">IF(B42="","",33)</f>
        <v>33</v>
      </c>
      <c r="B42" s="45" t="str">
        <f aca="false">IF($R42="","",INDEX('REGISTRE ELEVES'!$B$10:$B$250,$R42))</f>
        <v>CE2-001-26</v>
      </c>
      <c r="C42" s="74" t="str">
        <f aca="false">IF($R42="","",INDEX('REGISTRE ELEVES'!$D$10:$D$250,$R42))</f>
        <v>GBOGOU Emmanuel Konan</v>
      </c>
      <c r="D42" s="45" t="str">
        <f aca="false">IF($R42="","",INDEX('REGISTRE ELEVES'!$E$10:$E$250,$R42))</f>
        <v>M</v>
      </c>
      <c r="E42" s="45" t="str">
        <f aca="false">IF($R42="","",INDEX('REGISTRE ELEVES'!$F$10:$F$250,$R42))</f>
        <v>CE2</v>
      </c>
      <c r="F42" s="45" t="str">
        <f aca="false">IF($R42="","",INDEX('REGISTRE ELEVES'!$AE$10:$AE$250,$R42))</f>
        <v>PRESENT</v>
      </c>
      <c r="G42" s="80" t="n">
        <f aca="false">IF(B42="","",IFERROR(IF(LEFT(E42,2)="CP",INDEX('NOTES CP'!$P$10:$P$250,MATCH(B42,'NOTES CP'!$B$10:$B$250,0)),IF(E42="CE1",INDEX('NOTES CE1'!$M$10:$M$250,MATCH(B42,'NOTES CE1'!$B$10:$B$250,0)),INDEX('NOTES CE2-CM1'!$M$10:$M$250,MATCH(B42,'NOTES CE2-CM1'!$B$10:$B$250,0)))),""))</f>
        <v>4</v>
      </c>
      <c r="H42" s="80" t="n">
        <f aca="false">IF(B42="","",IFERROR(IF(LEFT(E42,2)="CP",INDEX('NOTES CP'!$Z$10:$Z$250,MATCH(B42,'NOTES CP'!$B$10:$B$250,0)),IF(E42="CE1",INDEX('NOTES CE1'!$T$10:$T$250,MATCH(B42,'NOTES CE1'!$B$10:$B$250,0)),INDEX('NOTES CE2-CM1'!$T$10:$T$250,MATCH(B42,'NOTES CE2-CM1'!$B$10:$B$250,0)))),""))</f>
        <v>4.94</v>
      </c>
      <c r="I42" s="80" t="n">
        <f aca="false">IF(B42="","",IFERROR(IF(LEFT(E42,2)="CP",INDEX('NOTES CP'!$AJ$10:$AJ$250,MATCH(B42,'NOTES CP'!$B$10:$B$250,0)),IF(E42="CE1",INDEX('NOTES CE1'!$AA$10:$AA$250,MATCH(B42,'NOTES CE1'!$B$10:$B$250,0)),INDEX('NOTES CE2-CM1'!$AA$10:$AA$250,MATCH(B42,'NOTES CE2-CM1'!$B$10:$B$250,0)))),""))</f>
        <v>5.41</v>
      </c>
      <c r="J42" s="81" t="n">
        <f aca="false">IF(COUNT(G42:I42)=0,"",ROUND(AVERAGE(G42:I42),2))</f>
        <v>4.78</v>
      </c>
      <c r="K42" s="80" t="n">
        <f aca="false">IF(B42="","",IFERROR(IF(LEFT(E42,2)="CP",INDEX('NOTES CP'!$AT$10:$AT$250,MATCH(B42,'NOTES CP'!$B$10:$B$250,0)),IF(E42="CE1",INDEX('NOTES CE1'!$AH$10:$AH$250,MATCH(B42,'NOTES CE1'!$B$10:$B$250,0)),INDEX('NOTES CE2-CM1'!$AH$10:$AH$250,MATCH(B42,'NOTES CE2-CM1'!$B$10:$B$250,0)))),""))</f>
        <v>4.56</v>
      </c>
      <c r="L42" s="82" t="n">
        <f aca="false">IF(OR(J42="",K42=""),"",ROUND((J42+2*K42)/3,2))</f>
        <v>4.63</v>
      </c>
      <c r="M42" s="83" t="n">
        <f aca="false">IF(E42="","",IFERROR(INDEX(PARAMETRES!$D$18:$D$23,MATCH(E42,PARAMETRES!$B$18:$B$23,0)),""))</f>
        <v>10</v>
      </c>
      <c r="N42" s="81" t="n">
        <f aca="false">IF(E42="","",IFERROR(INDEX(PARAMETRES!$C$18:$C$23,MATCH(E42,PARAMETRES!$B$18:$B$23,0)),""))</f>
        <v>5</v>
      </c>
      <c r="O42" s="45" t="str">
        <f aca="false">IF(B42="","",IF(F42="ABANDON","ABANDON",IF(F42="TRANSFERE","TRANSFERE",IF(L42="","",IF(L42&gt;=N42,"ADMIS","REDOUBLE")))))</f>
        <v>REDOUBLE</v>
      </c>
      <c r="P42" s="73" t="n">
        <f aca="false">IF(OR(L42="",F42&lt;&gt;"PRESENT"),"",COUNTIFS($E$10:$E$250,E42,$F$10:$F$250,"PRESENT",$L$10:$L$250,"&gt;"&amp;L42)+1)</f>
        <v>6</v>
      </c>
      <c r="Q42" s="74" t="str">
        <f aca="false">IF(O42="ADMIS",IF(L42/M42*10&gt;=8,"Très bien",IF(L42/M42*10&gt;=7,"Bien",IF(L42/M42*10&gt;=6,"Assez bien","Passable"))),IF(O42="REDOUBLE","Insuffisant",""))</f>
        <v>Insuffisant</v>
      </c>
      <c r="R42" s="51" t="n">
        <f aca="false">IFERROR(MATCH("P-33",'REGISTRE ELEVES'!$AH$10:$AH$250,0),"")</f>
        <v>33</v>
      </c>
    </row>
    <row r="43" customFormat="false" ht="15" hidden="false" customHeight="false" outlineLevel="0" collapsed="false">
      <c r="A43" s="45" t="n">
        <f aca="false">IF(B43="","",34)</f>
        <v>34</v>
      </c>
      <c r="B43" s="45" t="str">
        <f aca="false">IF($R43="","",INDEX('REGISTRE ELEVES'!$B$10:$B$250,$R43))</f>
        <v>CE2-002-26</v>
      </c>
      <c r="C43" s="74" t="str">
        <f aca="false">IF($R43="","",INDEX('REGISTRE ELEVES'!$D$10:$D$250,$R43))</f>
        <v>GNAGNE Estelle Amenan</v>
      </c>
      <c r="D43" s="45" t="str">
        <f aca="false">IF($R43="","",INDEX('REGISTRE ELEVES'!$E$10:$E$250,$R43))</f>
        <v>F</v>
      </c>
      <c r="E43" s="45" t="str">
        <f aca="false">IF($R43="","",INDEX('REGISTRE ELEVES'!$F$10:$F$250,$R43))</f>
        <v>CE2</v>
      </c>
      <c r="F43" s="45" t="str">
        <f aca="false">IF($R43="","",INDEX('REGISTRE ELEVES'!$AE$10:$AE$250,$R43))</f>
        <v>PRESENT</v>
      </c>
      <c r="G43" s="80" t="n">
        <f aca="false">IF(B43="","",IFERROR(IF(LEFT(E43,2)="CP",INDEX('NOTES CP'!$P$10:$P$250,MATCH(B43,'NOTES CP'!$B$10:$B$250,0)),IF(E43="CE1",INDEX('NOTES CE1'!$M$10:$M$250,MATCH(B43,'NOTES CE1'!$B$10:$B$250,0)),INDEX('NOTES CE2-CM1'!$M$10:$M$250,MATCH(B43,'NOTES CE2-CM1'!$B$10:$B$250,0)))),""))</f>
        <v>4.53</v>
      </c>
      <c r="H43" s="80" t="n">
        <f aca="false">IF(B43="","",IFERROR(IF(LEFT(E43,2)="CP",INDEX('NOTES CP'!$Z$10:$Z$250,MATCH(B43,'NOTES CP'!$B$10:$B$250,0)),IF(E43="CE1",INDEX('NOTES CE1'!$T$10:$T$250,MATCH(B43,'NOTES CE1'!$B$10:$B$250,0)),INDEX('NOTES CE2-CM1'!$T$10:$T$250,MATCH(B43,'NOTES CE2-CM1'!$B$10:$B$250,0)))),""))</f>
        <v>6.44</v>
      </c>
      <c r="I43" s="80" t="n">
        <f aca="false">IF(B43="","",IFERROR(IF(LEFT(E43,2)="CP",INDEX('NOTES CP'!$AJ$10:$AJ$250,MATCH(B43,'NOTES CP'!$B$10:$B$250,0)),IF(E43="CE1",INDEX('NOTES CE1'!$AA$10:$AA$250,MATCH(B43,'NOTES CE1'!$B$10:$B$250,0)),INDEX('NOTES CE2-CM1'!$AA$10:$AA$250,MATCH(B43,'NOTES CE2-CM1'!$B$10:$B$250,0)))),""))</f>
        <v>4.44</v>
      </c>
      <c r="J43" s="81" t="n">
        <f aca="false">IF(COUNT(G43:I43)=0,"",ROUND(AVERAGE(G43:I43),2))</f>
        <v>5.14</v>
      </c>
      <c r="K43" s="80" t="n">
        <f aca="false">IF(B43="","",IFERROR(IF(LEFT(E43,2)="CP",INDEX('NOTES CP'!$AT$10:$AT$250,MATCH(B43,'NOTES CP'!$B$10:$B$250,0)),IF(E43="CE1",INDEX('NOTES CE1'!$AH$10:$AH$250,MATCH(B43,'NOTES CE1'!$B$10:$B$250,0)),INDEX('NOTES CE2-CM1'!$AH$10:$AH$250,MATCH(B43,'NOTES CE2-CM1'!$B$10:$B$250,0)))),""))</f>
        <v>5.12</v>
      </c>
      <c r="L43" s="82" t="n">
        <f aca="false">IF(OR(J43="",K43=""),"",ROUND((J43+2*K43)/3,2))</f>
        <v>5.13</v>
      </c>
      <c r="M43" s="83" t="n">
        <f aca="false">IF(E43="","",IFERROR(INDEX(PARAMETRES!$D$18:$D$23,MATCH(E43,PARAMETRES!$B$18:$B$23,0)),""))</f>
        <v>10</v>
      </c>
      <c r="N43" s="81" t="n">
        <f aca="false">IF(E43="","",IFERROR(INDEX(PARAMETRES!$C$18:$C$23,MATCH(E43,PARAMETRES!$B$18:$B$23,0)),""))</f>
        <v>5</v>
      </c>
      <c r="O43" s="45" t="str">
        <f aca="false">IF(B43="","",IF(F43="ABANDON","ABANDON",IF(F43="TRANSFERE","TRANSFERE",IF(L43="","",IF(L43&gt;=N43,"ADMIS","REDOUBLE")))))</f>
        <v>ADMIS</v>
      </c>
      <c r="P43" s="73" t="n">
        <f aca="false">IF(OR(L43="",F43&lt;&gt;"PRESENT"),"",COUNTIFS($E$10:$E$250,E43,$F$10:$F$250,"PRESENT",$L$10:$L$250,"&gt;"&amp;L43)+1)</f>
        <v>4</v>
      </c>
      <c r="Q43" s="74" t="str">
        <f aca="false">IF(O43="ADMIS",IF(L43/M43*10&gt;=8,"Très bien",IF(L43/M43*10&gt;=7,"Bien",IF(L43/M43*10&gt;=6,"Assez bien","Passable"))),IF(O43="REDOUBLE","Insuffisant",""))</f>
        <v>Passable</v>
      </c>
      <c r="R43" s="51" t="n">
        <f aca="false">IFERROR(MATCH("P-34",'REGISTRE ELEVES'!$AH$10:$AH$250,0),"")</f>
        <v>34</v>
      </c>
    </row>
    <row r="44" customFormat="false" ht="15" hidden="false" customHeight="false" outlineLevel="0" collapsed="false">
      <c r="A44" s="45" t="n">
        <f aca="false">IF(B44="","",35)</f>
        <v>35</v>
      </c>
      <c r="B44" s="45" t="str">
        <f aca="false">IF($R44="","",INDEX('REGISTRE ELEVES'!$B$10:$B$250,$R44))</f>
        <v>CE2-003-26</v>
      </c>
      <c r="C44" s="74" t="str">
        <f aca="false">IF($R44="","",INDEX('REGISTRE ELEVES'!$D$10:$D$250,$R44))</f>
        <v>KOFFI Estelle Akissi</v>
      </c>
      <c r="D44" s="45" t="str">
        <f aca="false">IF($R44="","",INDEX('REGISTRE ELEVES'!$E$10:$E$250,$R44))</f>
        <v>F</v>
      </c>
      <c r="E44" s="45" t="str">
        <f aca="false">IF($R44="","",INDEX('REGISTRE ELEVES'!$F$10:$F$250,$R44))</f>
        <v>CE2</v>
      </c>
      <c r="F44" s="45" t="str">
        <f aca="false">IF($R44="","",INDEX('REGISTRE ELEVES'!$AE$10:$AE$250,$R44))</f>
        <v>PRESENT</v>
      </c>
      <c r="G44" s="80" t="n">
        <f aca="false">IF(B44="","",IFERROR(IF(LEFT(E44,2)="CP",INDEX('NOTES CP'!$P$10:$P$250,MATCH(B44,'NOTES CP'!$B$10:$B$250,0)),IF(E44="CE1",INDEX('NOTES CE1'!$M$10:$M$250,MATCH(B44,'NOTES CE1'!$B$10:$B$250,0)),INDEX('NOTES CE2-CM1'!$M$10:$M$250,MATCH(B44,'NOTES CE2-CM1'!$B$10:$B$250,0)))),""))</f>
        <v>2.71</v>
      </c>
      <c r="H44" s="80" t="n">
        <f aca="false">IF(B44="","",IFERROR(IF(LEFT(E44,2)="CP",INDEX('NOTES CP'!$Z$10:$Z$250,MATCH(B44,'NOTES CP'!$B$10:$B$250,0)),IF(E44="CE1",INDEX('NOTES CE1'!$T$10:$T$250,MATCH(B44,'NOTES CE1'!$B$10:$B$250,0)),INDEX('NOTES CE2-CM1'!$T$10:$T$250,MATCH(B44,'NOTES CE2-CM1'!$B$10:$B$250,0)))),""))</f>
        <v>3.32</v>
      </c>
      <c r="I44" s="80" t="n">
        <f aca="false">IF(B44="","",IFERROR(IF(LEFT(E44,2)="CP",INDEX('NOTES CP'!$AJ$10:$AJ$250,MATCH(B44,'NOTES CP'!$B$10:$B$250,0)),IF(E44="CE1",INDEX('NOTES CE1'!$AA$10:$AA$250,MATCH(B44,'NOTES CE1'!$B$10:$B$250,0)),INDEX('NOTES CE2-CM1'!$AA$10:$AA$250,MATCH(B44,'NOTES CE2-CM1'!$B$10:$B$250,0)))),""))</f>
        <v>2.97</v>
      </c>
      <c r="J44" s="81" t="n">
        <f aca="false">IF(COUNT(G44:I44)=0,"",ROUND(AVERAGE(G44:I44),2))</f>
        <v>3</v>
      </c>
      <c r="K44" s="80" t="n">
        <f aca="false">IF(B44="","",IFERROR(IF(LEFT(E44,2)="CP",INDEX('NOTES CP'!$AT$10:$AT$250,MATCH(B44,'NOTES CP'!$B$10:$B$250,0)),IF(E44="CE1",INDEX('NOTES CE1'!$AH$10:$AH$250,MATCH(B44,'NOTES CE1'!$B$10:$B$250,0)),INDEX('NOTES CE2-CM1'!$AH$10:$AH$250,MATCH(B44,'NOTES CE2-CM1'!$B$10:$B$250,0)))),""))</f>
        <v>3.06</v>
      </c>
      <c r="L44" s="82" t="n">
        <f aca="false">IF(OR(J44="",K44=""),"",ROUND((J44+2*K44)/3,2))</f>
        <v>3.04</v>
      </c>
      <c r="M44" s="83" t="n">
        <f aca="false">IF(E44="","",IFERROR(INDEX(PARAMETRES!$D$18:$D$23,MATCH(E44,PARAMETRES!$B$18:$B$23,0)),""))</f>
        <v>10</v>
      </c>
      <c r="N44" s="81" t="n">
        <f aca="false">IF(E44="","",IFERROR(INDEX(PARAMETRES!$C$18:$C$23,MATCH(E44,PARAMETRES!$B$18:$B$23,0)),""))</f>
        <v>5</v>
      </c>
      <c r="O44" s="45" t="str">
        <f aca="false">IF(B44="","",IF(F44="ABANDON","ABANDON",IF(F44="TRANSFERE","TRANSFERE",IF(L44="","",IF(L44&gt;=N44,"ADMIS","REDOUBLE")))))</f>
        <v>REDOUBLE</v>
      </c>
      <c r="P44" s="73" t="n">
        <f aca="false">IF(OR(L44="",F44&lt;&gt;"PRESENT"),"",COUNTIFS($E$10:$E$250,E44,$F$10:$F$250,"PRESENT",$L$10:$L$250,"&gt;"&amp;L44)+1)</f>
        <v>10</v>
      </c>
      <c r="Q44" s="74" t="str">
        <f aca="false">IF(O44="ADMIS",IF(L44/M44*10&gt;=8,"Très bien",IF(L44/M44*10&gt;=7,"Bien",IF(L44/M44*10&gt;=6,"Assez bien","Passable"))),IF(O44="REDOUBLE","Insuffisant",""))</f>
        <v>Insuffisant</v>
      </c>
      <c r="R44" s="51" t="n">
        <f aca="false">IFERROR(MATCH("P-35",'REGISTRE ELEVES'!$AH$10:$AH$250,0),"")</f>
        <v>35</v>
      </c>
    </row>
    <row r="45" customFormat="false" ht="15" hidden="false" customHeight="false" outlineLevel="0" collapsed="false">
      <c r="A45" s="45" t="n">
        <f aca="false">IF(B45="","",36)</f>
        <v>36</v>
      </c>
      <c r="B45" s="45" t="str">
        <f aca="false">IF($R45="","",INDEX('REGISTRE ELEVES'!$B$10:$B$250,$R45))</f>
        <v>CE2-004-26</v>
      </c>
      <c r="C45" s="74" t="str">
        <f aca="false">IF($R45="","",INDEX('REGISTRE ELEVES'!$D$10:$D$250,$R45))</f>
        <v>BOHOUSSOU Adjoua Akissi</v>
      </c>
      <c r="D45" s="45" t="str">
        <f aca="false">IF($R45="","",INDEX('REGISTRE ELEVES'!$E$10:$E$250,$R45))</f>
        <v>F</v>
      </c>
      <c r="E45" s="45" t="str">
        <f aca="false">IF($R45="","",INDEX('REGISTRE ELEVES'!$F$10:$F$250,$R45))</f>
        <v>CE2</v>
      </c>
      <c r="F45" s="45" t="str">
        <f aca="false">IF($R45="","",INDEX('REGISTRE ELEVES'!$AE$10:$AE$250,$R45))</f>
        <v>PRESENT</v>
      </c>
      <c r="G45" s="80" t="n">
        <f aca="false">IF(B45="","",IFERROR(IF(LEFT(E45,2)="CP",INDEX('NOTES CP'!$P$10:$P$250,MATCH(B45,'NOTES CP'!$B$10:$B$250,0)),IF(E45="CE1",INDEX('NOTES CE1'!$M$10:$M$250,MATCH(B45,'NOTES CE1'!$B$10:$B$250,0)),INDEX('NOTES CE2-CM1'!$M$10:$M$250,MATCH(B45,'NOTES CE2-CM1'!$B$10:$B$250,0)))),""))</f>
        <v>5.32</v>
      </c>
      <c r="H45" s="80" t="n">
        <f aca="false">IF(B45="","",IFERROR(IF(LEFT(E45,2)="CP",INDEX('NOTES CP'!$Z$10:$Z$250,MATCH(B45,'NOTES CP'!$B$10:$B$250,0)),IF(E45="CE1",INDEX('NOTES CE1'!$T$10:$T$250,MATCH(B45,'NOTES CE1'!$B$10:$B$250,0)),INDEX('NOTES CE2-CM1'!$T$10:$T$250,MATCH(B45,'NOTES CE2-CM1'!$B$10:$B$250,0)))),""))</f>
        <v>8.06</v>
      </c>
      <c r="I45" s="80" t="n">
        <f aca="false">IF(B45="","",IFERROR(IF(LEFT(E45,2)="CP",INDEX('NOTES CP'!$AJ$10:$AJ$250,MATCH(B45,'NOTES CP'!$B$10:$B$250,0)),IF(E45="CE1",INDEX('NOTES CE1'!$AA$10:$AA$250,MATCH(B45,'NOTES CE1'!$B$10:$B$250,0)),INDEX('NOTES CE2-CM1'!$AA$10:$AA$250,MATCH(B45,'NOTES CE2-CM1'!$B$10:$B$250,0)))),""))</f>
        <v>6.47</v>
      </c>
      <c r="J45" s="81" t="n">
        <f aca="false">IF(COUNT(G45:I45)=0,"",ROUND(AVERAGE(G45:I45),2))</f>
        <v>6.62</v>
      </c>
      <c r="K45" s="80" t="n">
        <f aca="false">IF(B45="","",IFERROR(IF(LEFT(E45,2)="CP",INDEX('NOTES CP'!$AT$10:$AT$250,MATCH(B45,'NOTES CP'!$B$10:$B$250,0)),IF(E45="CE1",INDEX('NOTES CE1'!$AH$10:$AH$250,MATCH(B45,'NOTES CE1'!$B$10:$B$250,0)),INDEX('NOTES CE2-CM1'!$AH$10:$AH$250,MATCH(B45,'NOTES CE2-CM1'!$B$10:$B$250,0)))),""))</f>
        <v>7.06</v>
      </c>
      <c r="L45" s="82" t="n">
        <f aca="false">IF(OR(J45="",K45=""),"",ROUND((J45+2*K45)/3,2))</f>
        <v>6.91</v>
      </c>
      <c r="M45" s="83" t="n">
        <f aca="false">IF(E45="","",IFERROR(INDEX(PARAMETRES!$D$18:$D$23,MATCH(E45,PARAMETRES!$B$18:$B$23,0)),""))</f>
        <v>10</v>
      </c>
      <c r="N45" s="81" t="n">
        <f aca="false">IF(E45="","",IFERROR(INDEX(PARAMETRES!$C$18:$C$23,MATCH(E45,PARAMETRES!$B$18:$B$23,0)),""))</f>
        <v>5</v>
      </c>
      <c r="O45" s="45" t="str">
        <f aca="false">IF(B45="","",IF(F45="ABANDON","ABANDON",IF(F45="TRANSFERE","TRANSFERE",IF(L45="","",IF(L45&gt;=N45,"ADMIS","REDOUBLE")))))</f>
        <v>ADMIS</v>
      </c>
      <c r="P45" s="73" t="n">
        <f aca="false">IF(OR(L45="",F45&lt;&gt;"PRESENT"),"",COUNTIFS($E$10:$E$250,E45,$F$10:$F$250,"PRESENT",$L$10:$L$250,"&gt;"&amp;L45)+1)</f>
        <v>1</v>
      </c>
      <c r="Q45" s="74" t="str">
        <f aca="false">IF(O45="ADMIS",IF(L45/M45*10&gt;=8,"Très bien",IF(L45/M45*10&gt;=7,"Bien",IF(L45/M45*10&gt;=6,"Assez bien","Passable"))),IF(O45="REDOUBLE","Insuffisant",""))</f>
        <v>Assez bien</v>
      </c>
      <c r="R45" s="51" t="n">
        <f aca="false">IFERROR(MATCH("P-36",'REGISTRE ELEVES'!$AH$10:$AH$250,0),"")</f>
        <v>36</v>
      </c>
    </row>
    <row r="46" customFormat="false" ht="15" hidden="false" customHeight="false" outlineLevel="0" collapsed="false">
      <c r="A46" s="45" t="n">
        <f aca="false">IF(B46="","",37)</f>
        <v>37</v>
      </c>
      <c r="B46" s="45" t="str">
        <f aca="false">IF($R46="","",INDEX('REGISTRE ELEVES'!$B$10:$B$250,$R46))</f>
        <v>CE2-005-26</v>
      </c>
      <c r="C46" s="74" t="str">
        <f aca="false">IF($R46="","",INDEX('REGISTRE ELEVES'!$D$10:$D$250,$R46))</f>
        <v>GNAGNE Yao Abdoulaye</v>
      </c>
      <c r="D46" s="45" t="str">
        <f aca="false">IF($R46="","",INDEX('REGISTRE ELEVES'!$E$10:$E$250,$R46))</f>
        <v>M</v>
      </c>
      <c r="E46" s="45" t="str">
        <f aca="false">IF($R46="","",INDEX('REGISTRE ELEVES'!$F$10:$F$250,$R46))</f>
        <v>CE2</v>
      </c>
      <c r="F46" s="45" t="str">
        <f aca="false">IF($R46="","",INDEX('REGISTRE ELEVES'!$AE$10:$AE$250,$R46))</f>
        <v>ABANDON</v>
      </c>
      <c r="G46" s="80" t="n">
        <f aca="false">IF(B46="","",IFERROR(IF(LEFT(E46,2)="CP",INDEX('NOTES CP'!$P$10:$P$250,MATCH(B46,'NOTES CP'!$B$10:$B$250,0)),IF(E46="CE1",INDEX('NOTES CE1'!$M$10:$M$250,MATCH(B46,'NOTES CE1'!$B$10:$B$250,0)),INDEX('NOTES CE2-CM1'!$M$10:$M$250,MATCH(B46,'NOTES CE2-CM1'!$B$10:$B$250,0)))),""))</f>
        <v>4.41</v>
      </c>
      <c r="H46" s="80" t="n">
        <f aca="false">IF(B46="","",IFERROR(IF(LEFT(E46,2)="CP",INDEX('NOTES CP'!$Z$10:$Z$250,MATCH(B46,'NOTES CP'!$B$10:$B$250,0)),IF(E46="CE1",INDEX('NOTES CE1'!$T$10:$T$250,MATCH(B46,'NOTES CE1'!$B$10:$B$250,0)),INDEX('NOTES CE2-CM1'!$T$10:$T$250,MATCH(B46,'NOTES CE2-CM1'!$B$10:$B$250,0)))),""))</f>
        <v>4.35</v>
      </c>
      <c r="I46" s="80" t="n">
        <f aca="false">IF(B46="","",IFERROR(IF(LEFT(E46,2)="CP",INDEX('NOTES CP'!$AJ$10:$AJ$250,MATCH(B46,'NOTES CP'!$B$10:$B$250,0)),IF(E46="CE1",INDEX('NOTES CE1'!$AA$10:$AA$250,MATCH(B46,'NOTES CE1'!$B$10:$B$250,0)),INDEX('NOTES CE2-CM1'!$AA$10:$AA$250,MATCH(B46,'NOTES CE2-CM1'!$B$10:$B$250,0)))),""))</f>
        <v>0</v>
      </c>
      <c r="J46" s="81" t="n">
        <f aca="false">IF(COUNT(G46:I46)=0,"",ROUND(AVERAGE(G46:I46),2))</f>
        <v>2.92</v>
      </c>
      <c r="K46" s="80" t="n">
        <f aca="false">IF(B46="","",IFERROR(IF(LEFT(E46,2)="CP",INDEX('NOTES CP'!$AT$10:$AT$250,MATCH(B46,'NOTES CP'!$B$10:$B$250,0)),IF(E46="CE1",INDEX('NOTES CE1'!$AH$10:$AH$250,MATCH(B46,'NOTES CE1'!$B$10:$B$250,0)),INDEX('NOTES CE2-CM1'!$AH$10:$AH$250,MATCH(B46,'NOTES CE2-CM1'!$B$10:$B$250,0)))),""))</f>
        <v>0</v>
      </c>
      <c r="L46" s="82" t="n">
        <f aca="false">IF(OR(J46="",K46=""),"",ROUND((J46+2*K46)/3,2))</f>
        <v>0.97</v>
      </c>
      <c r="M46" s="83" t="n">
        <f aca="false">IF(E46="","",IFERROR(INDEX(PARAMETRES!$D$18:$D$23,MATCH(E46,PARAMETRES!$B$18:$B$23,0)),""))</f>
        <v>10</v>
      </c>
      <c r="N46" s="81" t="n">
        <f aca="false">IF(E46="","",IFERROR(INDEX(PARAMETRES!$C$18:$C$23,MATCH(E46,PARAMETRES!$B$18:$B$23,0)),""))</f>
        <v>5</v>
      </c>
      <c r="O46" s="45" t="str">
        <f aca="false">IF(B46="","",IF(F46="ABANDON","ABANDON",IF(F46="TRANSFERE","TRANSFERE",IF(L46="","",IF(L46&gt;=N46,"ADMIS","REDOUBLE")))))</f>
        <v>ABANDON</v>
      </c>
      <c r="P46" s="73" t="str">
        <f aca="false">IF(OR(L46="",F46&lt;&gt;"PRESENT"),"",COUNTIFS($E$10:$E$250,E46,$F$10:$F$250,"PRESENT",$L$10:$L$250,"&gt;"&amp;L46)+1)</f>
        <v/>
      </c>
      <c r="Q46" s="74" t="str">
        <f aca="false">IF(O46="ADMIS",IF(L46/M46*10&gt;=8,"Très bien",IF(L46/M46*10&gt;=7,"Bien",IF(L46/M46*10&gt;=6,"Assez bien","Passable"))),IF(O46="REDOUBLE","Insuffisant",""))</f>
        <v/>
      </c>
      <c r="R46" s="51" t="n">
        <f aca="false">IFERROR(MATCH("P-37",'REGISTRE ELEVES'!$AH$10:$AH$250,0),"")</f>
        <v>37</v>
      </c>
    </row>
    <row r="47" customFormat="false" ht="15" hidden="false" customHeight="false" outlineLevel="0" collapsed="false">
      <c r="A47" s="45" t="n">
        <f aca="false">IF(B47="","",38)</f>
        <v>38</v>
      </c>
      <c r="B47" s="45" t="str">
        <f aca="false">IF($R47="","",INDEX('REGISTRE ELEVES'!$B$10:$B$250,$R47))</f>
        <v>CE2-006-26</v>
      </c>
      <c r="C47" s="74" t="str">
        <f aca="false">IF($R47="","",INDEX('REGISTRE ELEVES'!$D$10:$D$250,$R47))</f>
        <v>LOBA Aya Rebecca</v>
      </c>
      <c r="D47" s="45" t="str">
        <f aca="false">IF($R47="","",INDEX('REGISTRE ELEVES'!$E$10:$E$250,$R47))</f>
        <v>F</v>
      </c>
      <c r="E47" s="45" t="str">
        <f aca="false">IF($R47="","",INDEX('REGISTRE ELEVES'!$F$10:$F$250,$R47))</f>
        <v>CE2</v>
      </c>
      <c r="F47" s="45" t="str">
        <f aca="false">IF($R47="","",INDEX('REGISTRE ELEVES'!$AE$10:$AE$250,$R47))</f>
        <v>PRESENT</v>
      </c>
      <c r="G47" s="80" t="n">
        <f aca="false">IF(B47="","",IFERROR(IF(LEFT(E47,2)="CP",INDEX('NOTES CP'!$P$10:$P$250,MATCH(B47,'NOTES CP'!$B$10:$B$250,0)),IF(E47="CE1",INDEX('NOTES CE1'!$M$10:$M$250,MATCH(B47,'NOTES CE1'!$B$10:$B$250,0)),INDEX('NOTES CE2-CM1'!$M$10:$M$250,MATCH(B47,'NOTES CE2-CM1'!$B$10:$B$250,0)))),""))</f>
        <v>4.88</v>
      </c>
      <c r="H47" s="80" t="n">
        <f aca="false">IF(B47="","",IFERROR(IF(LEFT(E47,2)="CP",INDEX('NOTES CP'!$Z$10:$Z$250,MATCH(B47,'NOTES CP'!$B$10:$B$250,0)),IF(E47="CE1",INDEX('NOTES CE1'!$T$10:$T$250,MATCH(B47,'NOTES CE1'!$B$10:$B$250,0)),INDEX('NOTES CE2-CM1'!$T$10:$T$250,MATCH(B47,'NOTES CE2-CM1'!$B$10:$B$250,0)))),""))</f>
        <v>5.38</v>
      </c>
      <c r="I47" s="80" t="n">
        <f aca="false">IF(B47="","",IFERROR(IF(LEFT(E47,2)="CP",INDEX('NOTES CP'!$AJ$10:$AJ$250,MATCH(B47,'NOTES CP'!$B$10:$B$250,0)),IF(E47="CE1",INDEX('NOTES CE1'!$AA$10:$AA$250,MATCH(B47,'NOTES CE1'!$B$10:$B$250,0)),INDEX('NOTES CE2-CM1'!$AA$10:$AA$250,MATCH(B47,'NOTES CE2-CM1'!$B$10:$B$250,0)))),""))</f>
        <v>5.26</v>
      </c>
      <c r="J47" s="81" t="n">
        <f aca="false">IF(COUNT(G47:I47)=0,"",ROUND(AVERAGE(G47:I47),2))</f>
        <v>5.17</v>
      </c>
      <c r="K47" s="80" t="n">
        <f aca="false">IF(B47="","",IFERROR(IF(LEFT(E47,2)="CP",INDEX('NOTES CP'!$AT$10:$AT$250,MATCH(B47,'NOTES CP'!$B$10:$B$250,0)),IF(E47="CE1",INDEX('NOTES CE1'!$AH$10:$AH$250,MATCH(B47,'NOTES CE1'!$B$10:$B$250,0)),INDEX('NOTES CE2-CM1'!$AH$10:$AH$250,MATCH(B47,'NOTES CE2-CM1'!$B$10:$B$250,0)))),""))</f>
        <v>5.21</v>
      </c>
      <c r="L47" s="82" t="n">
        <f aca="false">IF(OR(J47="",K47=""),"",ROUND((J47+2*K47)/3,2))</f>
        <v>5.2</v>
      </c>
      <c r="M47" s="83" t="n">
        <f aca="false">IF(E47="","",IFERROR(INDEX(PARAMETRES!$D$18:$D$23,MATCH(E47,PARAMETRES!$B$18:$B$23,0)),""))</f>
        <v>10</v>
      </c>
      <c r="N47" s="81" t="n">
        <f aca="false">IF(E47="","",IFERROR(INDEX(PARAMETRES!$C$18:$C$23,MATCH(E47,PARAMETRES!$B$18:$B$23,0)),""))</f>
        <v>5</v>
      </c>
      <c r="O47" s="45" t="str">
        <f aca="false">IF(B47="","",IF(F47="ABANDON","ABANDON",IF(F47="TRANSFERE","TRANSFERE",IF(L47="","",IF(L47&gt;=N47,"ADMIS","REDOUBLE")))))</f>
        <v>ADMIS</v>
      </c>
      <c r="P47" s="73" t="n">
        <f aca="false">IF(OR(L47="",F47&lt;&gt;"PRESENT"),"",COUNTIFS($E$10:$E$250,E47,$F$10:$F$250,"PRESENT",$L$10:$L$250,"&gt;"&amp;L47)+1)</f>
        <v>3</v>
      </c>
      <c r="Q47" s="74" t="str">
        <f aca="false">IF(O47="ADMIS",IF(L47/M47*10&gt;=8,"Très bien",IF(L47/M47*10&gt;=7,"Bien",IF(L47/M47*10&gt;=6,"Assez bien","Passable"))),IF(O47="REDOUBLE","Insuffisant",""))</f>
        <v>Passable</v>
      </c>
      <c r="R47" s="51" t="n">
        <f aca="false">IFERROR(MATCH("P-38",'REGISTRE ELEVES'!$AH$10:$AH$250,0),"")</f>
        <v>38</v>
      </c>
    </row>
    <row r="48" customFormat="false" ht="15" hidden="false" customHeight="false" outlineLevel="0" collapsed="false">
      <c r="A48" s="45" t="n">
        <f aca="false">IF(B48="","",39)</f>
        <v>39</v>
      </c>
      <c r="B48" s="45" t="str">
        <f aca="false">IF($R48="","",INDEX('REGISTRE ELEVES'!$B$10:$B$250,$R48))</f>
        <v>CE2-007-26</v>
      </c>
      <c r="C48" s="74" t="str">
        <f aca="false">IF($R48="","",INDEX('REGISTRE ELEVES'!$D$10:$D$250,$R48))</f>
        <v>AKA Franck Moussa</v>
      </c>
      <c r="D48" s="45" t="str">
        <f aca="false">IF($R48="","",INDEX('REGISTRE ELEVES'!$E$10:$E$250,$R48))</f>
        <v>M</v>
      </c>
      <c r="E48" s="45" t="str">
        <f aca="false">IF($R48="","",INDEX('REGISTRE ELEVES'!$F$10:$F$250,$R48))</f>
        <v>CE2</v>
      </c>
      <c r="F48" s="45" t="str">
        <f aca="false">IF($R48="","",INDEX('REGISTRE ELEVES'!$AE$10:$AE$250,$R48))</f>
        <v>PRESENT</v>
      </c>
      <c r="G48" s="80" t="n">
        <f aca="false">IF(B48="","",IFERROR(IF(LEFT(E48,2)="CP",INDEX('NOTES CP'!$P$10:$P$250,MATCH(B48,'NOTES CP'!$B$10:$B$250,0)),IF(E48="CE1",INDEX('NOTES CE1'!$M$10:$M$250,MATCH(B48,'NOTES CE1'!$B$10:$B$250,0)),INDEX('NOTES CE2-CM1'!$M$10:$M$250,MATCH(B48,'NOTES CE2-CM1'!$B$10:$B$250,0)))),""))</f>
        <v>3.35</v>
      </c>
      <c r="H48" s="80" t="n">
        <f aca="false">IF(B48="","",IFERROR(IF(LEFT(E48,2)="CP",INDEX('NOTES CP'!$Z$10:$Z$250,MATCH(B48,'NOTES CP'!$B$10:$B$250,0)),IF(E48="CE1",INDEX('NOTES CE1'!$T$10:$T$250,MATCH(B48,'NOTES CE1'!$B$10:$B$250,0)),INDEX('NOTES CE2-CM1'!$T$10:$T$250,MATCH(B48,'NOTES CE2-CM1'!$B$10:$B$250,0)))),""))</f>
        <v>3.97</v>
      </c>
      <c r="I48" s="80" t="n">
        <f aca="false">IF(B48="","",IFERROR(IF(LEFT(E48,2)="CP",INDEX('NOTES CP'!$AJ$10:$AJ$250,MATCH(B48,'NOTES CP'!$B$10:$B$250,0)),IF(E48="CE1",INDEX('NOTES CE1'!$AA$10:$AA$250,MATCH(B48,'NOTES CE1'!$B$10:$B$250,0)),INDEX('NOTES CE2-CM1'!$AA$10:$AA$250,MATCH(B48,'NOTES CE2-CM1'!$B$10:$B$250,0)))),""))</f>
        <v>3.56</v>
      </c>
      <c r="J48" s="81" t="n">
        <f aca="false">IF(COUNT(G48:I48)=0,"",ROUND(AVERAGE(G48:I48),2))</f>
        <v>3.63</v>
      </c>
      <c r="K48" s="80" t="n">
        <f aca="false">IF(B48="","",IFERROR(IF(LEFT(E48,2)="CP",INDEX('NOTES CP'!$AT$10:$AT$250,MATCH(B48,'NOTES CP'!$B$10:$B$250,0)),IF(E48="CE1",INDEX('NOTES CE1'!$AH$10:$AH$250,MATCH(B48,'NOTES CE1'!$B$10:$B$250,0)),INDEX('NOTES CE2-CM1'!$AH$10:$AH$250,MATCH(B48,'NOTES CE2-CM1'!$B$10:$B$250,0)))),""))</f>
        <v>3.5</v>
      </c>
      <c r="L48" s="82" t="n">
        <f aca="false">IF(OR(J48="",K48=""),"",ROUND((J48+2*K48)/3,2))</f>
        <v>3.54</v>
      </c>
      <c r="M48" s="83" t="n">
        <f aca="false">IF(E48="","",IFERROR(INDEX(PARAMETRES!$D$18:$D$23,MATCH(E48,PARAMETRES!$B$18:$B$23,0)),""))</f>
        <v>10</v>
      </c>
      <c r="N48" s="81" t="n">
        <f aca="false">IF(E48="","",IFERROR(INDEX(PARAMETRES!$C$18:$C$23,MATCH(E48,PARAMETRES!$B$18:$B$23,0)),""))</f>
        <v>5</v>
      </c>
      <c r="O48" s="45" t="str">
        <f aca="false">IF(B48="","",IF(F48="ABANDON","ABANDON",IF(F48="TRANSFERE","TRANSFERE",IF(L48="","",IF(L48&gt;=N48,"ADMIS","REDOUBLE")))))</f>
        <v>REDOUBLE</v>
      </c>
      <c r="P48" s="73" t="n">
        <f aca="false">IF(OR(L48="",F48&lt;&gt;"PRESENT"),"",COUNTIFS($E$10:$E$250,E48,$F$10:$F$250,"PRESENT",$L$10:$L$250,"&gt;"&amp;L48)+1)</f>
        <v>9</v>
      </c>
      <c r="Q48" s="74" t="str">
        <f aca="false">IF(O48="ADMIS",IF(L48/M48*10&gt;=8,"Très bien",IF(L48/M48*10&gt;=7,"Bien",IF(L48/M48*10&gt;=6,"Assez bien","Passable"))),IF(O48="REDOUBLE","Insuffisant",""))</f>
        <v>Insuffisant</v>
      </c>
      <c r="R48" s="51" t="n">
        <f aca="false">IFERROR(MATCH("P-39",'REGISTRE ELEVES'!$AH$10:$AH$250,0),"")</f>
        <v>39</v>
      </c>
    </row>
    <row r="49" customFormat="false" ht="15" hidden="false" customHeight="false" outlineLevel="0" collapsed="false">
      <c r="A49" s="45" t="n">
        <f aca="false">IF(B49="","",40)</f>
        <v>40</v>
      </c>
      <c r="B49" s="45" t="str">
        <f aca="false">IF($R49="","",INDEX('REGISTRE ELEVES'!$B$10:$B$250,$R49))</f>
        <v>CE2-008-26</v>
      </c>
      <c r="C49" s="74" t="str">
        <f aca="false">IF($R49="","",INDEX('REGISTRE ELEVES'!$D$10:$D$250,$R49))</f>
        <v>N'GUESSAN Clarisse Affoué</v>
      </c>
      <c r="D49" s="45" t="str">
        <f aca="false">IF($R49="","",INDEX('REGISTRE ELEVES'!$E$10:$E$250,$R49))</f>
        <v>F</v>
      </c>
      <c r="E49" s="45" t="str">
        <f aca="false">IF($R49="","",INDEX('REGISTRE ELEVES'!$F$10:$F$250,$R49))</f>
        <v>CE2</v>
      </c>
      <c r="F49" s="45" t="str">
        <f aca="false">IF($R49="","",INDEX('REGISTRE ELEVES'!$AE$10:$AE$250,$R49))</f>
        <v>PRESENT</v>
      </c>
      <c r="G49" s="80" t="n">
        <f aca="false">IF(B49="","",IFERROR(IF(LEFT(E49,2)="CP",INDEX('NOTES CP'!$P$10:$P$250,MATCH(B49,'NOTES CP'!$B$10:$B$250,0)),IF(E49="CE1",INDEX('NOTES CE1'!$M$10:$M$250,MATCH(B49,'NOTES CE1'!$B$10:$B$250,0)),INDEX('NOTES CE2-CM1'!$M$10:$M$250,MATCH(B49,'NOTES CE2-CM1'!$B$10:$B$250,0)))),""))</f>
        <v>3.53</v>
      </c>
      <c r="H49" s="80" t="n">
        <f aca="false">IF(B49="","",IFERROR(IF(LEFT(E49,2)="CP",INDEX('NOTES CP'!$Z$10:$Z$250,MATCH(B49,'NOTES CP'!$B$10:$B$250,0)),IF(E49="CE1",INDEX('NOTES CE1'!$T$10:$T$250,MATCH(B49,'NOTES CE1'!$B$10:$B$250,0)),INDEX('NOTES CE2-CM1'!$T$10:$T$250,MATCH(B49,'NOTES CE2-CM1'!$B$10:$B$250,0)))),""))</f>
        <v>5.12</v>
      </c>
      <c r="I49" s="80" t="n">
        <f aca="false">IF(B49="","",IFERROR(IF(LEFT(E49,2)="CP",INDEX('NOTES CP'!$AJ$10:$AJ$250,MATCH(B49,'NOTES CP'!$B$10:$B$250,0)),IF(E49="CE1",INDEX('NOTES CE1'!$AA$10:$AA$250,MATCH(B49,'NOTES CE1'!$B$10:$B$250,0)),INDEX('NOTES CE2-CM1'!$AA$10:$AA$250,MATCH(B49,'NOTES CE2-CM1'!$B$10:$B$250,0)))),""))</f>
        <v>5.09</v>
      </c>
      <c r="J49" s="81" t="n">
        <f aca="false">IF(COUNT(G49:I49)=0,"",ROUND(AVERAGE(G49:I49),2))</f>
        <v>4.58</v>
      </c>
      <c r="K49" s="80" t="n">
        <f aca="false">IF(B49="","",IFERROR(IF(LEFT(E49,2)="CP",INDEX('NOTES CP'!$AT$10:$AT$250,MATCH(B49,'NOTES CP'!$B$10:$B$250,0)),IF(E49="CE1",INDEX('NOTES CE1'!$AH$10:$AH$250,MATCH(B49,'NOTES CE1'!$B$10:$B$250,0)),INDEX('NOTES CE2-CM1'!$AH$10:$AH$250,MATCH(B49,'NOTES CE2-CM1'!$B$10:$B$250,0)))),""))</f>
        <v>5.15</v>
      </c>
      <c r="L49" s="82" t="n">
        <f aca="false">IF(OR(J49="",K49=""),"",ROUND((J49+2*K49)/3,2))</f>
        <v>4.96</v>
      </c>
      <c r="M49" s="83" t="n">
        <f aca="false">IF(E49="","",IFERROR(INDEX(PARAMETRES!$D$18:$D$23,MATCH(E49,PARAMETRES!$B$18:$B$23,0)),""))</f>
        <v>10</v>
      </c>
      <c r="N49" s="81" t="n">
        <f aca="false">IF(E49="","",IFERROR(INDEX(PARAMETRES!$C$18:$C$23,MATCH(E49,PARAMETRES!$B$18:$B$23,0)),""))</f>
        <v>5</v>
      </c>
      <c r="O49" s="45" t="str">
        <f aca="false">IF(B49="","",IF(F49="ABANDON","ABANDON",IF(F49="TRANSFERE","TRANSFERE",IF(L49="","",IF(L49&gt;=N49,"ADMIS","REDOUBLE")))))</f>
        <v>REDOUBLE</v>
      </c>
      <c r="P49" s="73" t="n">
        <f aca="false">IF(OR(L49="",F49&lt;&gt;"PRESENT"),"",COUNTIFS($E$10:$E$250,E49,$F$10:$F$250,"PRESENT",$L$10:$L$250,"&gt;"&amp;L49)+1)</f>
        <v>5</v>
      </c>
      <c r="Q49" s="74" t="str">
        <f aca="false">IF(O49="ADMIS",IF(L49/M49*10&gt;=8,"Très bien",IF(L49/M49*10&gt;=7,"Bien",IF(L49/M49*10&gt;=6,"Assez bien","Passable"))),IF(O49="REDOUBLE","Insuffisant",""))</f>
        <v>Insuffisant</v>
      </c>
      <c r="R49" s="51" t="n">
        <f aca="false">IFERROR(MATCH("P-40",'REGISTRE ELEVES'!$AH$10:$AH$250,0),"")</f>
        <v>40</v>
      </c>
    </row>
    <row r="50" customFormat="false" ht="15" hidden="false" customHeight="false" outlineLevel="0" collapsed="false">
      <c r="A50" s="45" t="n">
        <f aca="false">IF(B50="","",41)</f>
        <v>41</v>
      </c>
      <c r="B50" s="45" t="str">
        <f aca="false">IF($R50="","",INDEX('REGISTRE ELEVES'!$B$10:$B$250,$R50))</f>
        <v>CE2-009-26</v>
      </c>
      <c r="C50" s="74" t="str">
        <f aca="false">IF($R50="","",INDEX('REGISTRE ELEVES'!$D$10:$D$250,$R50))</f>
        <v>YAO Awa Estelle</v>
      </c>
      <c r="D50" s="45" t="str">
        <f aca="false">IF($R50="","",INDEX('REGISTRE ELEVES'!$E$10:$E$250,$R50))</f>
        <v>F</v>
      </c>
      <c r="E50" s="45" t="str">
        <f aca="false">IF($R50="","",INDEX('REGISTRE ELEVES'!$F$10:$F$250,$R50))</f>
        <v>CE2</v>
      </c>
      <c r="F50" s="45" t="str">
        <f aca="false">IF($R50="","",INDEX('REGISTRE ELEVES'!$AE$10:$AE$250,$R50))</f>
        <v>PRESENT</v>
      </c>
      <c r="G50" s="80" t="n">
        <f aca="false">IF(B50="","",IFERROR(IF(LEFT(E50,2)="CP",INDEX('NOTES CP'!$P$10:$P$250,MATCH(B50,'NOTES CP'!$B$10:$B$250,0)),IF(E50="CE1",INDEX('NOTES CE1'!$M$10:$M$250,MATCH(B50,'NOTES CE1'!$B$10:$B$250,0)),INDEX('NOTES CE2-CM1'!$M$10:$M$250,MATCH(B50,'NOTES CE2-CM1'!$B$10:$B$250,0)))),""))</f>
        <v>5.53</v>
      </c>
      <c r="H50" s="80" t="n">
        <f aca="false">IF(B50="","",IFERROR(IF(LEFT(E50,2)="CP",INDEX('NOTES CP'!$Z$10:$Z$250,MATCH(B50,'NOTES CP'!$B$10:$B$250,0)),IF(E50="CE1",INDEX('NOTES CE1'!$T$10:$T$250,MATCH(B50,'NOTES CE1'!$B$10:$B$250,0)),INDEX('NOTES CE2-CM1'!$T$10:$T$250,MATCH(B50,'NOTES CE2-CM1'!$B$10:$B$250,0)))),""))</f>
        <v>5.41</v>
      </c>
      <c r="I50" s="80" t="n">
        <f aca="false">IF(B50="","",IFERROR(IF(LEFT(E50,2)="CP",INDEX('NOTES CP'!$AJ$10:$AJ$250,MATCH(B50,'NOTES CP'!$B$10:$B$250,0)),IF(E50="CE1",INDEX('NOTES CE1'!$AA$10:$AA$250,MATCH(B50,'NOTES CE1'!$B$10:$B$250,0)),INDEX('NOTES CE2-CM1'!$AA$10:$AA$250,MATCH(B50,'NOTES CE2-CM1'!$B$10:$B$250,0)))),""))</f>
        <v>4.68</v>
      </c>
      <c r="J50" s="81" t="n">
        <f aca="false">IF(COUNT(G50:I50)=0,"",ROUND(AVERAGE(G50:I50),2))</f>
        <v>5.21</v>
      </c>
      <c r="K50" s="80" t="n">
        <f aca="false">IF(B50="","",IFERROR(IF(LEFT(E50,2)="CP",INDEX('NOTES CP'!$AT$10:$AT$250,MATCH(B50,'NOTES CP'!$B$10:$B$250,0)),IF(E50="CE1",INDEX('NOTES CE1'!$AH$10:$AH$250,MATCH(B50,'NOTES CE1'!$B$10:$B$250,0)),INDEX('NOTES CE2-CM1'!$AH$10:$AH$250,MATCH(B50,'NOTES CE2-CM1'!$B$10:$B$250,0)))),""))</f>
        <v>3.91</v>
      </c>
      <c r="L50" s="82" t="n">
        <f aca="false">IF(OR(J50="",K50=""),"",ROUND((J50+2*K50)/3,2))</f>
        <v>4.34</v>
      </c>
      <c r="M50" s="83" t="n">
        <f aca="false">IF(E50="","",IFERROR(INDEX(PARAMETRES!$D$18:$D$23,MATCH(E50,PARAMETRES!$B$18:$B$23,0)),""))</f>
        <v>10</v>
      </c>
      <c r="N50" s="81" t="n">
        <f aca="false">IF(E50="","",IFERROR(INDEX(PARAMETRES!$C$18:$C$23,MATCH(E50,PARAMETRES!$B$18:$B$23,0)),""))</f>
        <v>5</v>
      </c>
      <c r="O50" s="45" t="str">
        <f aca="false">IF(B50="","",IF(F50="ABANDON","ABANDON",IF(F50="TRANSFERE","TRANSFERE",IF(L50="","",IF(L50&gt;=N50,"ADMIS","REDOUBLE")))))</f>
        <v>REDOUBLE</v>
      </c>
      <c r="P50" s="73" t="n">
        <f aca="false">IF(OR(L50="",F50&lt;&gt;"PRESENT"),"",COUNTIFS($E$10:$E$250,E50,$F$10:$F$250,"PRESENT",$L$10:$L$250,"&gt;"&amp;L50)+1)</f>
        <v>7</v>
      </c>
      <c r="Q50" s="74" t="str">
        <f aca="false">IF(O50="ADMIS",IF(L50/M50*10&gt;=8,"Très bien",IF(L50/M50*10&gt;=7,"Bien",IF(L50/M50*10&gt;=6,"Assez bien","Passable"))),IF(O50="REDOUBLE","Insuffisant",""))</f>
        <v>Insuffisant</v>
      </c>
      <c r="R50" s="51" t="n">
        <f aca="false">IFERROR(MATCH("P-41",'REGISTRE ELEVES'!$AH$10:$AH$250,0),"")</f>
        <v>41</v>
      </c>
    </row>
    <row r="51" customFormat="false" ht="15" hidden="false" customHeight="false" outlineLevel="0" collapsed="false">
      <c r="A51" s="45" t="n">
        <f aca="false">IF(B51="","",42)</f>
        <v>42</v>
      </c>
      <c r="B51" s="45" t="str">
        <f aca="false">IF($R51="","",INDEX('REGISTRE ELEVES'!$B$10:$B$250,$R51))</f>
        <v>CE2-010-26</v>
      </c>
      <c r="C51" s="74" t="str">
        <f aca="false">IF($R51="","",INDEX('REGISTRE ELEVES'!$D$10:$D$250,$R51))</f>
        <v>COULIBALY Cédric Jean-Marc</v>
      </c>
      <c r="D51" s="45" t="str">
        <f aca="false">IF($R51="","",INDEX('REGISTRE ELEVES'!$E$10:$E$250,$R51))</f>
        <v>M</v>
      </c>
      <c r="E51" s="45" t="str">
        <f aca="false">IF($R51="","",INDEX('REGISTRE ELEVES'!$F$10:$F$250,$R51))</f>
        <v>CE2</v>
      </c>
      <c r="F51" s="45" t="str">
        <f aca="false">IF($R51="","",INDEX('REGISTRE ELEVES'!$AE$10:$AE$250,$R51))</f>
        <v>PRESENT</v>
      </c>
      <c r="G51" s="80" t="n">
        <f aca="false">IF(B51="","",IFERROR(IF(LEFT(E51,2)="CP",INDEX('NOTES CP'!$P$10:$P$250,MATCH(B51,'NOTES CP'!$B$10:$B$250,0)),IF(E51="CE1",INDEX('NOTES CE1'!$M$10:$M$250,MATCH(B51,'NOTES CE1'!$B$10:$B$250,0)),INDEX('NOTES CE2-CM1'!$M$10:$M$250,MATCH(B51,'NOTES CE2-CM1'!$B$10:$B$250,0)))),""))</f>
        <v>3.79</v>
      </c>
      <c r="H51" s="80" t="n">
        <f aca="false">IF(B51="","",IFERROR(IF(LEFT(E51,2)="CP",INDEX('NOTES CP'!$Z$10:$Z$250,MATCH(B51,'NOTES CP'!$B$10:$B$250,0)),IF(E51="CE1",INDEX('NOTES CE1'!$T$10:$T$250,MATCH(B51,'NOTES CE1'!$B$10:$B$250,0)),INDEX('NOTES CE2-CM1'!$T$10:$T$250,MATCH(B51,'NOTES CE2-CM1'!$B$10:$B$250,0)))),""))</f>
        <v>4.97</v>
      </c>
      <c r="I51" s="80" t="n">
        <f aca="false">IF(B51="","",IFERROR(IF(LEFT(E51,2)="CP",INDEX('NOTES CP'!$AJ$10:$AJ$250,MATCH(B51,'NOTES CP'!$B$10:$B$250,0)),IF(E51="CE1",INDEX('NOTES CE1'!$AA$10:$AA$250,MATCH(B51,'NOTES CE1'!$B$10:$B$250,0)),INDEX('NOTES CE2-CM1'!$AA$10:$AA$250,MATCH(B51,'NOTES CE2-CM1'!$B$10:$B$250,0)))),""))</f>
        <v>0</v>
      </c>
      <c r="J51" s="81" t="n">
        <f aca="false">IF(COUNT(G51:I51)=0,"",ROUND(AVERAGE(G51:I51),2))</f>
        <v>2.92</v>
      </c>
      <c r="K51" s="80" t="n">
        <f aca="false">IF(B51="","",IFERROR(IF(LEFT(E51,2)="CP",INDEX('NOTES CP'!$AT$10:$AT$250,MATCH(B51,'NOTES CP'!$B$10:$B$250,0)),IF(E51="CE1",INDEX('NOTES CE1'!$AH$10:$AH$250,MATCH(B51,'NOTES CE1'!$B$10:$B$250,0)),INDEX('NOTES CE2-CM1'!$AH$10:$AH$250,MATCH(B51,'NOTES CE2-CM1'!$B$10:$B$250,0)))),""))</f>
        <v>4.26</v>
      </c>
      <c r="L51" s="82" t="n">
        <f aca="false">IF(OR(J51="",K51=""),"",ROUND((J51+2*K51)/3,2))</f>
        <v>3.81</v>
      </c>
      <c r="M51" s="83" t="n">
        <f aca="false">IF(E51="","",IFERROR(INDEX(PARAMETRES!$D$18:$D$23,MATCH(E51,PARAMETRES!$B$18:$B$23,0)),""))</f>
        <v>10</v>
      </c>
      <c r="N51" s="81" t="n">
        <f aca="false">IF(E51="","",IFERROR(INDEX(PARAMETRES!$C$18:$C$23,MATCH(E51,PARAMETRES!$B$18:$B$23,0)),""))</f>
        <v>5</v>
      </c>
      <c r="O51" s="45" t="str">
        <f aca="false">IF(B51="","",IF(F51="ABANDON","ABANDON",IF(F51="TRANSFERE","TRANSFERE",IF(L51="","",IF(L51&gt;=N51,"ADMIS","REDOUBLE")))))</f>
        <v>REDOUBLE</v>
      </c>
      <c r="P51" s="73" t="n">
        <f aca="false">IF(OR(L51="",F51&lt;&gt;"PRESENT"),"",COUNTIFS($E$10:$E$250,E51,$F$10:$F$250,"PRESENT",$L$10:$L$250,"&gt;"&amp;L51)+1)</f>
        <v>8</v>
      </c>
      <c r="Q51" s="74" t="str">
        <f aca="false">IF(O51="ADMIS",IF(L51/M51*10&gt;=8,"Très bien",IF(L51/M51*10&gt;=7,"Bien",IF(L51/M51*10&gt;=6,"Assez bien","Passable"))),IF(O51="REDOUBLE","Insuffisant",""))</f>
        <v>Insuffisant</v>
      </c>
      <c r="R51" s="51" t="n">
        <f aca="false">IFERROR(MATCH("P-42",'REGISTRE ELEVES'!$AH$10:$AH$250,0),"")</f>
        <v>42</v>
      </c>
    </row>
    <row r="52" customFormat="false" ht="15" hidden="false" customHeight="false" outlineLevel="0" collapsed="false">
      <c r="A52" s="45" t="n">
        <f aca="false">IF(B52="","",43)</f>
        <v>43</v>
      </c>
      <c r="B52" s="45" t="str">
        <f aca="false">IF($R52="","",INDEX('REGISTRE ELEVES'!$B$10:$B$250,$R52))</f>
        <v>CE2-011-26</v>
      </c>
      <c r="C52" s="74" t="str">
        <f aca="false">IF($R52="","",INDEX('REGISTRE ELEVES'!$D$10:$D$250,$R52))</f>
        <v>AKA Abdoulaye Yao</v>
      </c>
      <c r="D52" s="45" t="str">
        <f aca="false">IF($R52="","",INDEX('REGISTRE ELEVES'!$E$10:$E$250,$R52))</f>
        <v>M</v>
      </c>
      <c r="E52" s="45" t="str">
        <f aca="false">IF($R52="","",INDEX('REGISTRE ELEVES'!$F$10:$F$250,$R52))</f>
        <v>CE2</v>
      </c>
      <c r="F52" s="45" t="str">
        <f aca="false">IF($R52="","",INDEX('REGISTRE ELEVES'!$AE$10:$AE$250,$R52))</f>
        <v>PRESENT</v>
      </c>
      <c r="G52" s="80" t="n">
        <f aca="false">IF(B52="","",IFERROR(IF(LEFT(E52,2)="CP",INDEX('NOTES CP'!$P$10:$P$250,MATCH(B52,'NOTES CP'!$B$10:$B$250,0)),IF(E52="CE1",INDEX('NOTES CE1'!$M$10:$M$250,MATCH(B52,'NOTES CE1'!$B$10:$B$250,0)),INDEX('NOTES CE2-CM1'!$M$10:$M$250,MATCH(B52,'NOTES CE2-CM1'!$B$10:$B$250,0)))),""))</f>
        <v>3.65</v>
      </c>
      <c r="H52" s="80" t="n">
        <f aca="false">IF(B52="","",IFERROR(IF(LEFT(E52,2)="CP",INDEX('NOTES CP'!$Z$10:$Z$250,MATCH(B52,'NOTES CP'!$B$10:$B$250,0)),IF(E52="CE1",INDEX('NOTES CE1'!$T$10:$T$250,MATCH(B52,'NOTES CE1'!$B$10:$B$250,0)),INDEX('NOTES CE2-CM1'!$T$10:$T$250,MATCH(B52,'NOTES CE2-CM1'!$B$10:$B$250,0)))),""))</f>
        <v>4</v>
      </c>
      <c r="I52" s="80" t="n">
        <f aca="false">IF(B52="","",IFERROR(IF(LEFT(E52,2)="CP",INDEX('NOTES CP'!$AJ$10:$AJ$250,MATCH(B52,'NOTES CP'!$B$10:$B$250,0)),IF(E52="CE1",INDEX('NOTES CE1'!$AA$10:$AA$250,MATCH(B52,'NOTES CE1'!$B$10:$B$250,0)),INDEX('NOTES CE2-CM1'!$AA$10:$AA$250,MATCH(B52,'NOTES CE2-CM1'!$B$10:$B$250,0)))),""))</f>
        <v>3.18</v>
      </c>
      <c r="J52" s="81" t="n">
        <f aca="false">IF(COUNT(G52:I52)=0,"",ROUND(AVERAGE(G52:I52),2))</f>
        <v>3.61</v>
      </c>
      <c r="K52" s="80" t="n">
        <f aca="false">IF(B52="","",IFERROR(IF(LEFT(E52,2)="CP",INDEX('NOTES CP'!$AT$10:$AT$250,MATCH(B52,'NOTES CP'!$B$10:$B$250,0)),IF(E52="CE1",INDEX('NOTES CE1'!$AH$10:$AH$250,MATCH(B52,'NOTES CE1'!$B$10:$B$250,0)),INDEX('NOTES CE2-CM1'!$AH$10:$AH$250,MATCH(B52,'NOTES CE2-CM1'!$B$10:$B$250,0)))),""))</f>
        <v>2.68</v>
      </c>
      <c r="L52" s="82" t="n">
        <f aca="false">IF(OR(J52="",K52=""),"",ROUND((J52+2*K52)/3,2))</f>
        <v>2.99</v>
      </c>
      <c r="M52" s="83" t="n">
        <f aca="false">IF(E52="","",IFERROR(INDEX(PARAMETRES!$D$18:$D$23,MATCH(E52,PARAMETRES!$B$18:$B$23,0)),""))</f>
        <v>10</v>
      </c>
      <c r="N52" s="81" t="n">
        <f aca="false">IF(E52="","",IFERROR(INDEX(PARAMETRES!$C$18:$C$23,MATCH(E52,PARAMETRES!$B$18:$B$23,0)),""))</f>
        <v>5</v>
      </c>
      <c r="O52" s="45" t="str">
        <f aca="false">IF(B52="","",IF(F52="ABANDON","ABANDON",IF(F52="TRANSFERE","TRANSFERE",IF(L52="","",IF(L52&gt;=N52,"ADMIS","REDOUBLE")))))</f>
        <v>REDOUBLE</v>
      </c>
      <c r="P52" s="73" t="n">
        <f aca="false">IF(OR(L52="",F52&lt;&gt;"PRESENT"),"",COUNTIFS($E$10:$E$250,E52,$F$10:$F$250,"PRESENT",$L$10:$L$250,"&gt;"&amp;L52)+1)</f>
        <v>11</v>
      </c>
      <c r="Q52" s="74" t="str">
        <f aca="false">IF(O52="ADMIS",IF(L52/M52*10&gt;=8,"Très bien",IF(L52/M52*10&gt;=7,"Bien",IF(L52/M52*10&gt;=6,"Assez bien","Passable"))),IF(O52="REDOUBLE","Insuffisant",""))</f>
        <v>Insuffisant</v>
      </c>
      <c r="R52" s="51" t="n">
        <f aca="false">IFERROR(MATCH("P-43",'REGISTRE ELEVES'!$AH$10:$AH$250,0),"")</f>
        <v>43</v>
      </c>
    </row>
    <row r="53" customFormat="false" ht="15" hidden="false" customHeight="false" outlineLevel="0" collapsed="false">
      <c r="A53" s="45" t="n">
        <f aca="false">IF(B53="","",44)</f>
        <v>44</v>
      </c>
      <c r="B53" s="45" t="str">
        <f aca="false">IF($R53="","",INDEX('REGISTRE ELEVES'!$B$10:$B$250,$R53))</f>
        <v>CE2-012-26</v>
      </c>
      <c r="C53" s="74" t="str">
        <f aca="false">IF($R53="","",INDEX('REGISTRE ELEVES'!$D$10:$D$250,$R53))</f>
        <v>TRAORE Koffi Moussa</v>
      </c>
      <c r="D53" s="45" t="str">
        <f aca="false">IF($R53="","",INDEX('REGISTRE ELEVES'!$E$10:$E$250,$R53))</f>
        <v>M</v>
      </c>
      <c r="E53" s="45" t="str">
        <f aca="false">IF($R53="","",INDEX('REGISTRE ELEVES'!$F$10:$F$250,$R53))</f>
        <v>CE2</v>
      </c>
      <c r="F53" s="45" t="str">
        <f aca="false">IF($R53="","",INDEX('REGISTRE ELEVES'!$AE$10:$AE$250,$R53))</f>
        <v>PRESENT</v>
      </c>
      <c r="G53" s="80" t="n">
        <f aca="false">IF(B53="","",IFERROR(IF(LEFT(E53,2)="CP",INDEX('NOTES CP'!$P$10:$P$250,MATCH(B53,'NOTES CP'!$B$10:$B$250,0)),IF(E53="CE1",INDEX('NOTES CE1'!$M$10:$M$250,MATCH(B53,'NOTES CE1'!$B$10:$B$250,0)),INDEX('NOTES CE2-CM1'!$M$10:$M$250,MATCH(B53,'NOTES CE2-CM1'!$B$10:$B$250,0)))),""))</f>
        <v>4.44</v>
      </c>
      <c r="H53" s="80" t="n">
        <f aca="false">IF(B53="","",IFERROR(IF(LEFT(E53,2)="CP",INDEX('NOTES CP'!$Z$10:$Z$250,MATCH(B53,'NOTES CP'!$B$10:$B$250,0)),IF(E53="CE1",INDEX('NOTES CE1'!$T$10:$T$250,MATCH(B53,'NOTES CE1'!$B$10:$B$250,0)),INDEX('NOTES CE2-CM1'!$T$10:$T$250,MATCH(B53,'NOTES CE2-CM1'!$B$10:$B$250,0)))),""))</f>
        <v>5.03</v>
      </c>
      <c r="I53" s="80" t="n">
        <f aca="false">IF(B53="","",IFERROR(IF(LEFT(E53,2)="CP",INDEX('NOTES CP'!$AJ$10:$AJ$250,MATCH(B53,'NOTES CP'!$B$10:$B$250,0)),IF(E53="CE1",INDEX('NOTES CE1'!$AA$10:$AA$250,MATCH(B53,'NOTES CE1'!$B$10:$B$250,0)),INDEX('NOTES CE2-CM1'!$AA$10:$AA$250,MATCH(B53,'NOTES CE2-CM1'!$B$10:$B$250,0)))),""))</f>
        <v>4.79</v>
      </c>
      <c r="J53" s="81" t="n">
        <f aca="false">IF(COUNT(G53:I53)=0,"",ROUND(AVERAGE(G53:I53),2))</f>
        <v>4.75</v>
      </c>
      <c r="K53" s="80" t="n">
        <f aca="false">IF(B53="","",IFERROR(IF(LEFT(E53,2)="CP",INDEX('NOTES CP'!$AT$10:$AT$250,MATCH(B53,'NOTES CP'!$B$10:$B$250,0)),IF(E53="CE1",INDEX('NOTES CE1'!$AH$10:$AH$250,MATCH(B53,'NOTES CE1'!$B$10:$B$250,0)),INDEX('NOTES CE2-CM1'!$AH$10:$AH$250,MATCH(B53,'NOTES CE2-CM1'!$B$10:$B$250,0)))),""))</f>
        <v>5.94</v>
      </c>
      <c r="L53" s="82" t="n">
        <f aca="false">IF(OR(J53="",K53=""),"",ROUND((J53+2*K53)/3,2))</f>
        <v>5.54</v>
      </c>
      <c r="M53" s="83" t="n">
        <f aca="false">IF(E53="","",IFERROR(INDEX(PARAMETRES!$D$18:$D$23,MATCH(E53,PARAMETRES!$B$18:$B$23,0)),""))</f>
        <v>10</v>
      </c>
      <c r="N53" s="81" t="n">
        <f aca="false">IF(E53="","",IFERROR(INDEX(PARAMETRES!$C$18:$C$23,MATCH(E53,PARAMETRES!$B$18:$B$23,0)),""))</f>
        <v>5</v>
      </c>
      <c r="O53" s="45" t="str">
        <f aca="false">IF(B53="","",IF(F53="ABANDON","ABANDON",IF(F53="TRANSFERE","TRANSFERE",IF(L53="","",IF(L53&gt;=N53,"ADMIS","REDOUBLE")))))</f>
        <v>ADMIS</v>
      </c>
      <c r="P53" s="73" t="n">
        <f aca="false">IF(OR(L53="",F53&lt;&gt;"PRESENT"),"",COUNTIFS($E$10:$E$250,E53,$F$10:$F$250,"PRESENT",$L$10:$L$250,"&gt;"&amp;L53)+1)</f>
        <v>2</v>
      </c>
      <c r="Q53" s="74" t="str">
        <f aca="false">IF(O53="ADMIS",IF(L53/M53*10&gt;=8,"Très bien",IF(L53/M53*10&gt;=7,"Bien",IF(L53/M53*10&gt;=6,"Assez bien","Passable"))),IF(O53="REDOUBLE","Insuffisant",""))</f>
        <v>Passable</v>
      </c>
      <c r="R53" s="51" t="n">
        <f aca="false">IFERROR(MATCH("P-44",'REGISTRE ELEVES'!$AH$10:$AH$250,0),"")</f>
        <v>44</v>
      </c>
    </row>
    <row r="54" customFormat="false" ht="15" hidden="false" customHeight="false" outlineLevel="0" collapsed="false">
      <c r="A54" s="45" t="n">
        <f aca="false">IF(B54="","",45)</f>
        <v>45</v>
      </c>
      <c r="B54" s="45" t="str">
        <f aca="false">IF($R54="","",INDEX('REGISTRE ELEVES'!$B$10:$B$250,$R54))</f>
        <v>CM1-001-26</v>
      </c>
      <c r="C54" s="74" t="str">
        <f aca="false">IF($R54="","",INDEX('REGISTRE ELEVES'!$D$10:$D$250,$R54))</f>
        <v>TRAORE Koffi Abdoulaye</v>
      </c>
      <c r="D54" s="45" t="str">
        <f aca="false">IF($R54="","",INDEX('REGISTRE ELEVES'!$E$10:$E$250,$R54))</f>
        <v>M</v>
      </c>
      <c r="E54" s="45" t="str">
        <f aca="false">IF($R54="","",INDEX('REGISTRE ELEVES'!$F$10:$F$250,$R54))</f>
        <v>CM1</v>
      </c>
      <c r="F54" s="45" t="str">
        <f aca="false">IF($R54="","",INDEX('REGISTRE ELEVES'!$AE$10:$AE$250,$R54))</f>
        <v>PRESENT</v>
      </c>
      <c r="G54" s="80" t="n">
        <f aca="false">IF(B54="","",IFERROR(IF(LEFT(E54,2)="CP",INDEX('NOTES CP'!$P$10:$P$250,MATCH(B54,'NOTES CP'!$B$10:$B$250,0)),IF(E54="CE1",INDEX('NOTES CE1'!$M$10:$M$250,MATCH(B54,'NOTES CE1'!$B$10:$B$250,0)),INDEX('NOTES CE2-CM1'!$M$10:$M$250,MATCH(B54,'NOTES CE2-CM1'!$B$10:$B$250,0)))),""))</f>
        <v>8.21</v>
      </c>
      <c r="H54" s="80" t="n">
        <f aca="false">IF(B54="","",IFERROR(IF(LEFT(E54,2)="CP",INDEX('NOTES CP'!$Z$10:$Z$250,MATCH(B54,'NOTES CP'!$B$10:$B$250,0)),IF(E54="CE1",INDEX('NOTES CE1'!$T$10:$T$250,MATCH(B54,'NOTES CE1'!$B$10:$B$250,0)),INDEX('NOTES CE2-CM1'!$T$10:$T$250,MATCH(B54,'NOTES CE2-CM1'!$B$10:$B$250,0)))),""))</f>
        <v>9</v>
      </c>
      <c r="I54" s="80" t="n">
        <f aca="false">IF(B54="","",IFERROR(IF(LEFT(E54,2)="CP",INDEX('NOTES CP'!$AJ$10:$AJ$250,MATCH(B54,'NOTES CP'!$B$10:$B$250,0)),IF(E54="CE1",INDEX('NOTES CE1'!$AA$10:$AA$250,MATCH(B54,'NOTES CE1'!$B$10:$B$250,0)),INDEX('NOTES CE2-CM1'!$AA$10:$AA$250,MATCH(B54,'NOTES CE2-CM1'!$B$10:$B$250,0)))),""))</f>
        <v>8.32</v>
      </c>
      <c r="J54" s="81" t="n">
        <f aca="false">IF(COUNT(G54:I54)=0,"",ROUND(AVERAGE(G54:I54),2))</f>
        <v>8.51</v>
      </c>
      <c r="K54" s="80" t="n">
        <f aca="false">IF(B54="","",IFERROR(IF(LEFT(E54,2)="CP",INDEX('NOTES CP'!$AT$10:$AT$250,MATCH(B54,'NOTES CP'!$B$10:$B$250,0)),IF(E54="CE1",INDEX('NOTES CE1'!$AH$10:$AH$250,MATCH(B54,'NOTES CE1'!$B$10:$B$250,0)),INDEX('NOTES CE2-CM1'!$AH$10:$AH$250,MATCH(B54,'NOTES CE2-CM1'!$B$10:$B$250,0)))),""))</f>
        <v>6.97</v>
      </c>
      <c r="L54" s="82" t="n">
        <f aca="false">IF(OR(J54="",K54=""),"",ROUND((J54+2*K54)/3,2))</f>
        <v>7.48</v>
      </c>
      <c r="M54" s="83" t="n">
        <f aca="false">IF(E54="","",IFERROR(INDEX(PARAMETRES!$D$18:$D$23,MATCH(E54,PARAMETRES!$B$18:$B$23,0)),""))</f>
        <v>10</v>
      </c>
      <c r="N54" s="81" t="n">
        <f aca="false">IF(E54="","",IFERROR(INDEX(PARAMETRES!$C$18:$C$23,MATCH(E54,PARAMETRES!$B$18:$B$23,0)),""))</f>
        <v>5</v>
      </c>
      <c r="O54" s="45" t="str">
        <f aca="false">IF(B54="","",IF(F54="ABANDON","ABANDON",IF(F54="TRANSFERE","TRANSFERE",IF(L54="","",IF(L54&gt;=N54,"ADMIS","REDOUBLE")))))</f>
        <v>ADMIS</v>
      </c>
      <c r="P54" s="73" t="n">
        <f aca="false">IF(OR(L54="",F54&lt;&gt;"PRESENT"),"",COUNTIFS($E$10:$E$250,E54,$F$10:$F$250,"PRESENT",$L$10:$L$250,"&gt;"&amp;L54)+1)</f>
        <v>2</v>
      </c>
      <c r="Q54" s="74" t="str">
        <f aca="false">IF(O54="ADMIS",IF(L54/M54*10&gt;=8,"Très bien",IF(L54/M54*10&gt;=7,"Bien",IF(L54/M54*10&gt;=6,"Assez bien","Passable"))),IF(O54="REDOUBLE","Insuffisant",""))</f>
        <v>Bien</v>
      </c>
      <c r="R54" s="51" t="n">
        <f aca="false">IFERROR(MATCH("P-45",'REGISTRE ELEVES'!$AH$10:$AH$250,0),"")</f>
        <v>45</v>
      </c>
    </row>
    <row r="55" customFormat="false" ht="15" hidden="false" customHeight="false" outlineLevel="0" collapsed="false">
      <c r="A55" s="45" t="n">
        <f aca="false">IF(B55="","",46)</f>
        <v>46</v>
      </c>
      <c r="B55" s="45" t="str">
        <f aca="false">IF($R55="","",INDEX('REGISTRE ELEVES'!$B$10:$B$250,$R55))</f>
        <v>CM1-002-26</v>
      </c>
      <c r="C55" s="74" t="str">
        <f aca="false">IF($R55="","",INDEX('REGISTRE ELEVES'!$D$10:$D$250,$R55))</f>
        <v>KONE Fatoumata Marie-Ange</v>
      </c>
      <c r="D55" s="45" t="str">
        <f aca="false">IF($R55="","",INDEX('REGISTRE ELEVES'!$E$10:$E$250,$R55))</f>
        <v>F</v>
      </c>
      <c r="E55" s="45" t="str">
        <f aca="false">IF($R55="","",INDEX('REGISTRE ELEVES'!$F$10:$F$250,$R55))</f>
        <v>CM1</v>
      </c>
      <c r="F55" s="45" t="str">
        <f aca="false">IF($R55="","",INDEX('REGISTRE ELEVES'!$AE$10:$AE$250,$R55))</f>
        <v>PRESENT</v>
      </c>
      <c r="G55" s="80" t="n">
        <f aca="false">IF(B55="","",IFERROR(IF(LEFT(E55,2)="CP",INDEX('NOTES CP'!$P$10:$P$250,MATCH(B55,'NOTES CP'!$B$10:$B$250,0)),IF(E55="CE1",INDEX('NOTES CE1'!$M$10:$M$250,MATCH(B55,'NOTES CE1'!$B$10:$B$250,0)),INDEX('NOTES CE2-CM1'!$M$10:$M$250,MATCH(B55,'NOTES CE2-CM1'!$B$10:$B$250,0)))),""))</f>
        <v>4.35</v>
      </c>
      <c r="H55" s="80" t="n">
        <f aca="false">IF(B55="","",IFERROR(IF(LEFT(E55,2)="CP",INDEX('NOTES CP'!$Z$10:$Z$250,MATCH(B55,'NOTES CP'!$B$10:$B$250,0)),IF(E55="CE1",INDEX('NOTES CE1'!$T$10:$T$250,MATCH(B55,'NOTES CE1'!$B$10:$B$250,0)),INDEX('NOTES CE2-CM1'!$T$10:$T$250,MATCH(B55,'NOTES CE2-CM1'!$B$10:$B$250,0)))),""))</f>
        <v>4.35</v>
      </c>
      <c r="I55" s="80" t="n">
        <f aca="false">IF(B55="","",IFERROR(IF(LEFT(E55,2)="CP",INDEX('NOTES CP'!$AJ$10:$AJ$250,MATCH(B55,'NOTES CP'!$B$10:$B$250,0)),IF(E55="CE1",INDEX('NOTES CE1'!$AA$10:$AA$250,MATCH(B55,'NOTES CE1'!$B$10:$B$250,0)),INDEX('NOTES CE2-CM1'!$AA$10:$AA$250,MATCH(B55,'NOTES CE2-CM1'!$B$10:$B$250,0)))),""))</f>
        <v>4.18</v>
      </c>
      <c r="J55" s="81" t="n">
        <f aca="false">IF(COUNT(G55:I55)=0,"",ROUND(AVERAGE(G55:I55),2))</f>
        <v>4.29</v>
      </c>
      <c r="K55" s="80" t="n">
        <f aca="false">IF(B55="","",IFERROR(IF(LEFT(E55,2)="CP",INDEX('NOTES CP'!$AT$10:$AT$250,MATCH(B55,'NOTES CP'!$B$10:$B$250,0)),IF(E55="CE1",INDEX('NOTES CE1'!$AH$10:$AH$250,MATCH(B55,'NOTES CE1'!$B$10:$B$250,0)),INDEX('NOTES CE2-CM1'!$AH$10:$AH$250,MATCH(B55,'NOTES CE2-CM1'!$B$10:$B$250,0)))),""))</f>
        <v>5.24</v>
      </c>
      <c r="L55" s="82" t="n">
        <f aca="false">IF(OR(J55="",K55=""),"",ROUND((J55+2*K55)/3,2))</f>
        <v>4.92</v>
      </c>
      <c r="M55" s="83" t="n">
        <f aca="false">IF(E55="","",IFERROR(INDEX(PARAMETRES!$D$18:$D$23,MATCH(E55,PARAMETRES!$B$18:$B$23,0)),""))</f>
        <v>10</v>
      </c>
      <c r="N55" s="81" t="n">
        <f aca="false">IF(E55="","",IFERROR(INDEX(PARAMETRES!$C$18:$C$23,MATCH(E55,PARAMETRES!$B$18:$B$23,0)),""))</f>
        <v>5</v>
      </c>
      <c r="O55" s="45" t="str">
        <f aca="false">IF(B55="","",IF(F55="ABANDON","ABANDON",IF(F55="TRANSFERE","TRANSFERE",IF(L55="","",IF(L55&gt;=N55,"ADMIS","REDOUBLE")))))</f>
        <v>REDOUBLE</v>
      </c>
      <c r="P55" s="73" t="n">
        <f aca="false">IF(OR(L55="",F55&lt;&gt;"PRESENT"),"",COUNTIFS($E$10:$E$250,E55,$F$10:$F$250,"PRESENT",$L$10:$L$250,"&gt;"&amp;L55)+1)</f>
        <v>6</v>
      </c>
      <c r="Q55" s="74" t="str">
        <f aca="false">IF(O55="ADMIS",IF(L55/M55*10&gt;=8,"Très bien",IF(L55/M55*10&gt;=7,"Bien",IF(L55/M55*10&gt;=6,"Assez bien","Passable"))),IF(O55="REDOUBLE","Insuffisant",""))</f>
        <v>Insuffisant</v>
      </c>
      <c r="R55" s="51" t="n">
        <f aca="false">IFERROR(MATCH("P-46",'REGISTRE ELEVES'!$AH$10:$AH$250,0),"")</f>
        <v>46</v>
      </c>
    </row>
    <row r="56" customFormat="false" ht="15" hidden="false" customHeight="false" outlineLevel="0" collapsed="false">
      <c r="A56" s="45" t="n">
        <f aca="false">IF(B56="","",47)</f>
        <v>47</v>
      </c>
      <c r="B56" s="45" t="str">
        <f aca="false">IF($R56="","",INDEX('REGISTRE ELEVES'!$B$10:$B$250,$R56))</f>
        <v>CM1-003-26</v>
      </c>
      <c r="C56" s="74" t="str">
        <f aca="false">IF($R56="","",INDEX('REGISTRE ELEVES'!$D$10:$D$250,$R56))</f>
        <v>KONAN Adjoua Mariam</v>
      </c>
      <c r="D56" s="45" t="str">
        <f aca="false">IF($R56="","",INDEX('REGISTRE ELEVES'!$E$10:$E$250,$R56))</f>
        <v>F</v>
      </c>
      <c r="E56" s="45" t="str">
        <f aca="false">IF($R56="","",INDEX('REGISTRE ELEVES'!$F$10:$F$250,$R56))</f>
        <v>CM1</v>
      </c>
      <c r="F56" s="45" t="str">
        <f aca="false">IF($R56="","",INDEX('REGISTRE ELEVES'!$AE$10:$AE$250,$R56))</f>
        <v>PRESENT</v>
      </c>
      <c r="G56" s="80" t="n">
        <f aca="false">IF(B56="","",IFERROR(IF(LEFT(E56,2)="CP",INDEX('NOTES CP'!$P$10:$P$250,MATCH(B56,'NOTES CP'!$B$10:$B$250,0)),IF(E56="CE1",INDEX('NOTES CE1'!$M$10:$M$250,MATCH(B56,'NOTES CE1'!$B$10:$B$250,0)),INDEX('NOTES CE2-CM1'!$M$10:$M$250,MATCH(B56,'NOTES CE2-CM1'!$B$10:$B$250,0)))),""))</f>
        <v>4.32</v>
      </c>
      <c r="H56" s="80" t="n">
        <f aca="false">IF(B56="","",IFERROR(IF(LEFT(E56,2)="CP",INDEX('NOTES CP'!$Z$10:$Z$250,MATCH(B56,'NOTES CP'!$B$10:$B$250,0)),IF(E56="CE1",INDEX('NOTES CE1'!$T$10:$T$250,MATCH(B56,'NOTES CE1'!$B$10:$B$250,0)),INDEX('NOTES CE2-CM1'!$T$10:$T$250,MATCH(B56,'NOTES CE2-CM1'!$B$10:$B$250,0)))),""))</f>
        <v>5.29</v>
      </c>
      <c r="I56" s="80" t="n">
        <f aca="false">IF(B56="","",IFERROR(IF(LEFT(E56,2)="CP",INDEX('NOTES CP'!$AJ$10:$AJ$250,MATCH(B56,'NOTES CP'!$B$10:$B$250,0)),IF(E56="CE1",INDEX('NOTES CE1'!$AA$10:$AA$250,MATCH(B56,'NOTES CE1'!$B$10:$B$250,0)),INDEX('NOTES CE2-CM1'!$AA$10:$AA$250,MATCH(B56,'NOTES CE2-CM1'!$B$10:$B$250,0)))),""))</f>
        <v>5.09</v>
      </c>
      <c r="J56" s="81" t="n">
        <f aca="false">IF(COUNT(G56:I56)=0,"",ROUND(AVERAGE(G56:I56),2))</f>
        <v>4.9</v>
      </c>
      <c r="K56" s="80" t="n">
        <f aca="false">IF(B56="","",IFERROR(IF(LEFT(E56,2)="CP",INDEX('NOTES CP'!$AT$10:$AT$250,MATCH(B56,'NOTES CP'!$B$10:$B$250,0)),IF(E56="CE1",INDEX('NOTES CE1'!$AH$10:$AH$250,MATCH(B56,'NOTES CE1'!$B$10:$B$250,0)),INDEX('NOTES CE2-CM1'!$AH$10:$AH$250,MATCH(B56,'NOTES CE2-CM1'!$B$10:$B$250,0)))),""))</f>
        <v>0</v>
      </c>
      <c r="L56" s="82" t="n">
        <f aca="false">IF(OR(J56="",K56=""),"",ROUND((J56+2*K56)/3,2))</f>
        <v>1.63</v>
      </c>
      <c r="M56" s="83" t="n">
        <f aca="false">IF(E56="","",IFERROR(INDEX(PARAMETRES!$D$18:$D$23,MATCH(E56,PARAMETRES!$B$18:$B$23,0)),""))</f>
        <v>10</v>
      </c>
      <c r="N56" s="81" t="n">
        <f aca="false">IF(E56="","",IFERROR(INDEX(PARAMETRES!$C$18:$C$23,MATCH(E56,PARAMETRES!$B$18:$B$23,0)),""))</f>
        <v>5</v>
      </c>
      <c r="O56" s="45" t="str">
        <f aca="false">IF(B56="","",IF(F56="ABANDON","ABANDON",IF(F56="TRANSFERE","TRANSFERE",IF(L56="","",IF(L56&gt;=N56,"ADMIS","REDOUBLE")))))</f>
        <v>REDOUBLE</v>
      </c>
      <c r="P56" s="73" t="n">
        <f aca="false">IF(OR(L56="",F56&lt;&gt;"PRESENT"),"",COUNTIFS($E$10:$E$250,E56,$F$10:$F$250,"PRESENT",$L$10:$L$250,"&gt;"&amp;L56)+1)</f>
        <v>11</v>
      </c>
      <c r="Q56" s="74" t="str">
        <f aca="false">IF(O56="ADMIS",IF(L56/M56*10&gt;=8,"Très bien",IF(L56/M56*10&gt;=7,"Bien",IF(L56/M56*10&gt;=6,"Assez bien","Passable"))),IF(O56="REDOUBLE","Insuffisant",""))</f>
        <v>Insuffisant</v>
      </c>
      <c r="R56" s="51" t="n">
        <f aca="false">IFERROR(MATCH("P-47",'REGISTRE ELEVES'!$AH$10:$AH$250,0),"")</f>
        <v>47</v>
      </c>
    </row>
    <row r="57" customFormat="false" ht="15" hidden="false" customHeight="false" outlineLevel="0" collapsed="false">
      <c r="A57" s="45" t="n">
        <f aca="false">IF(B57="","",48)</f>
        <v>48</v>
      </c>
      <c r="B57" s="45" t="str">
        <f aca="false">IF($R57="","",INDEX('REGISTRE ELEVES'!$B$10:$B$250,$R57))</f>
        <v>CM1-004-26</v>
      </c>
      <c r="C57" s="74" t="str">
        <f aca="false">IF($R57="","",INDEX('REGISTRE ELEVES'!$D$10:$D$250,$R57))</f>
        <v>SORO Koffi Ismaël</v>
      </c>
      <c r="D57" s="45" t="str">
        <f aca="false">IF($R57="","",INDEX('REGISTRE ELEVES'!$E$10:$E$250,$R57))</f>
        <v>M</v>
      </c>
      <c r="E57" s="45" t="str">
        <f aca="false">IF($R57="","",INDEX('REGISTRE ELEVES'!$F$10:$F$250,$R57))</f>
        <v>CM1</v>
      </c>
      <c r="F57" s="45" t="str">
        <f aca="false">IF($R57="","",INDEX('REGISTRE ELEVES'!$AE$10:$AE$250,$R57))</f>
        <v>PRESENT</v>
      </c>
      <c r="G57" s="80" t="n">
        <f aca="false">IF(B57="","",IFERROR(IF(LEFT(E57,2)="CP",INDEX('NOTES CP'!$P$10:$P$250,MATCH(B57,'NOTES CP'!$B$10:$B$250,0)),IF(E57="CE1",INDEX('NOTES CE1'!$M$10:$M$250,MATCH(B57,'NOTES CE1'!$B$10:$B$250,0)),INDEX('NOTES CE2-CM1'!$M$10:$M$250,MATCH(B57,'NOTES CE2-CM1'!$B$10:$B$250,0)))),""))</f>
        <v>3.65</v>
      </c>
      <c r="H57" s="80" t="n">
        <f aca="false">IF(B57="","",IFERROR(IF(LEFT(E57,2)="CP",INDEX('NOTES CP'!$Z$10:$Z$250,MATCH(B57,'NOTES CP'!$B$10:$B$250,0)),IF(E57="CE1",INDEX('NOTES CE1'!$T$10:$T$250,MATCH(B57,'NOTES CE1'!$B$10:$B$250,0)),INDEX('NOTES CE2-CM1'!$T$10:$T$250,MATCH(B57,'NOTES CE2-CM1'!$B$10:$B$250,0)))),""))</f>
        <v>4.35</v>
      </c>
      <c r="I57" s="80" t="n">
        <f aca="false">IF(B57="","",IFERROR(IF(LEFT(E57,2)="CP",INDEX('NOTES CP'!$AJ$10:$AJ$250,MATCH(B57,'NOTES CP'!$B$10:$B$250,0)),IF(E57="CE1",INDEX('NOTES CE1'!$AA$10:$AA$250,MATCH(B57,'NOTES CE1'!$B$10:$B$250,0)),INDEX('NOTES CE2-CM1'!$AA$10:$AA$250,MATCH(B57,'NOTES CE2-CM1'!$B$10:$B$250,0)))),""))</f>
        <v>4.15</v>
      </c>
      <c r="J57" s="81" t="n">
        <f aca="false">IF(COUNT(G57:I57)=0,"",ROUND(AVERAGE(G57:I57),2))</f>
        <v>4.05</v>
      </c>
      <c r="K57" s="80" t="n">
        <f aca="false">IF(B57="","",IFERROR(IF(LEFT(E57,2)="CP",INDEX('NOTES CP'!$AT$10:$AT$250,MATCH(B57,'NOTES CP'!$B$10:$B$250,0)),IF(E57="CE1",INDEX('NOTES CE1'!$AH$10:$AH$250,MATCH(B57,'NOTES CE1'!$B$10:$B$250,0)),INDEX('NOTES CE2-CM1'!$AH$10:$AH$250,MATCH(B57,'NOTES CE2-CM1'!$B$10:$B$250,0)))),""))</f>
        <v>3.38</v>
      </c>
      <c r="L57" s="82" t="n">
        <f aca="false">IF(OR(J57="",K57=""),"",ROUND((J57+2*K57)/3,2))</f>
        <v>3.6</v>
      </c>
      <c r="M57" s="83" t="n">
        <f aca="false">IF(E57="","",IFERROR(INDEX(PARAMETRES!$D$18:$D$23,MATCH(E57,PARAMETRES!$B$18:$B$23,0)),""))</f>
        <v>10</v>
      </c>
      <c r="N57" s="81" t="n">
        <f aca="false">IF(E57="","",IFERROR(INDEX(PARAMETRES!$C$18:$C$23,MATCH(E57,PARAMETRES!$B$18:$B$23,0)),""))</f>
        <v>5</v>
      </c>
      <c r="O57" s="45" t="str">
        <f aca="false">IF(B57="","",IF(F57="ABANDON","ABANDON",IF(F57="TRANSFERE","TRANSFERE",IF(L57="","",IF(L57&gt;=N57,"ADMIS","REDOUBLE")))))</f>
        <v>REDOUBLE</v>
      </c>
      <c r="P57" s="73" t="n">
        <f aca="false">IF(OR(L57="",F57&lt;&gt;"PRESENT"),"",COUNTIFS($E$10:$E$250,E57,$F$10:$F$250,"PRESENT",$L$10:$L$250,"&gt;"&amp;L57)+1)</f>
        <v>9</v>
      </c>
      <c r="Q57" s="74" t="str">
        <f aca="false">IF(O57="ADMIS",IF(L57/M57*10&gt;=8,"Très bien",IF(L57/M57*10&gt;=7,"Bien",IF(L57/M57*10&gt;=6,"Assez bien","Passable"))),IF(O57="REDOUBLE","Insuffisant",""))</f>
        <v>Insuffisant</v>
      </c>
      <c r="R57" s="51" t="n">
        <f aca="false">IFERROR(MATCH("P-48",'REGISTRE ELEVES'!$AH$10:$AH$250,0),"")</f>
        <v>48</v>
      </c>
    </row>
    <row r="58" customFormat="false" ht="15" hidden="false" customHeight="false" outlineLevel="0" collapsed="false">
      <c r="A58" s="45" t="n">
        <f aca="false">IF(B58="","",49)</f>
        <v>49</v>
      </c>
      <c r="B58" s="45" t="str">
        <f aca="false">IF($R58="","",INDEX('REGISTRE ELEVES'!$B$10:$B$250,$R58))</f>
        <v>CM1-005-26</v>
      </c>
      <c r="C58" s="74" t="str">
        <f aca="false">IF($R58="","",INDEX('REGISTRE ELEVES'!$D$10:$D$250,$R58))</f>
        <v>SERI Konan Franck</v>
      </c>
      <c r="D58" s="45" t="str">
        <f aca="false">IF($R58="","",INDEX('REGISTRE ELEVES'!$E$10:$E$250,$R58))</f>
        <v>M</v>
      </c>
      <c r="E58" s="45" t="str">
        <f aca="false">IF($R58="","",INDEX('REGISTRE ELEVES'!$F$10:$F$250,$R58))</f>
        <v>CM1</v>
      </c>
      <c r="F58" s="45" t="str">
        <f aca="false">IF($R58="","",INDEX('REGISTRE ELEVES'!$AE$10:$AE$250,$R58))</f>
        <v>PRESENT</v>
      </c>
      <c r="G58" s="80" t="n">
        <f aca="false">IF(B58="","",IFERROR(IF(LEFT(E58,2)="CP",INDEX('NOTES CP'!$P$10:$P$250,MATCH(B58,'NOTES CP'!$B$10:$B$250,0)),IF(E58="CE1",INDEX('NOTES CE1'!$M$10:$M$250,MATCH(B58,'NOTES CE1'!$B$10:$B$250,0)),INDEX('NOTES CE2-CM1'!$M$10:$M$250,MATCH(B58,'NOTES CE2-CM1'!$B$10:$B$250,0)))),""))</f>
        <v>6.65</v>
      </c>
      <c r="H58" s="80" t="n">
        <f aca="false">IF(B58="","",IFERROR(IF(LEFT(E58,2)="CP",INDEX('NOTES CP'!$Z$10:$Z$250,MATCH(B58,'NOTES CP'!$B$10:$B$250,0)),IF(E58="CE1",INDEX('NOTES CE1'!$T$10:$T$250,MATCH(B58,'NOTES CE1'!$B$10:$B$250,0)),INDEX('NOTES CE2-CM1'!$T$10:$T$250,MATCH(B58,'NOTES CE2-CM1'!$B$10:$B$250,0)))),""))</f>
        <v>6.32</v>
      </c>
      <c r="I58" s="80" t="n">
        <f aca="false">IF(B58="","",IFERROR(IF(LEFT(E58,2)="CP",INDEX('NOTES CP'!$AJ$10:$AJ$250,MATCH(B58,'NOTES CP'!$B$10:$B$250,0)),IF(E58="CE1",INDEX('NOTES CE1'!$AA$10:$AA$250,MATCH(B58,'NOTES CE1'!$B$10:$B$250,0)),INDEX('NOTES CE2-CM1'!$AA$10:$AA$250,MATCH(B58,'NOTES CE2-CM1'!$B$10:$B$250,0)))),""))</f>
        <v>6.82</v>
      </c>
      <c r="J58" s="81" t="n">
        <f aca="false">IF(COUNT(G58:I58)=0,"",ROUND(AVERAGE(G58:I58),2))</f>
        <v>6.6</v>
      </c>
      <c r="K58" s="80" t="n">
        <f aca="false">IF(B58="","",IFERROR(IF(LEFT(E58,2)="CP",INDEX('NOTES CP'!$AT$10:$AT$250,MATCH(B58,'NOTES CP'!$B$10:$B$250,0)),IF(E58="CE1",INDEX('NOTES CE1'!$AH$10:$AH$250,MATCH(B58,'NOTES CE1'!$B$10:$B$250,0)),INDEX('NOTES CE2-CM1'!$AH$10:$AH$250,MATCH(B58,'NOTES CE2-CM1'!$B$10:$B$250,0)))),""))</f>
        <v>6.74</v>
      </c>
      <c r="L58" s="82" t="n">
        <f aca="false">IF(OR(J58="",K58=""),"",ROUND((J58+2*K58)/3,2))</f>
        <v>6.69</v>
      </c>
      <c r="M58" s="83" t="n">
        <f aca="false">IF(E58="","",IFERROR(INDEX(PARAMETRES!$D$18:$D$23,MATCH(E58,PARAMETRES!$B$18:$B$23,0)),""))</f>
        <v>10</v>
      </c>
      <c r="N58" s="81" t="n">
        <f aca="false">IF(E58="","",IFERROR(INDEX(PARAMETRES!$C$18:$C$23,MATCH(E58,PARAMETRES!$B$18:$B$23,0)),""))</f>
        <v>5</v>
      </c>
      <c r="O58" s="45" t="str">
        <f aca="false">IF(B58="","",IF(F58="ABANDON","ABANDON",IF(F58="TRANSFERE","TRANSFERE",IF(L58="","",IF(L58&gt;=N58,"ADMIS","REDOUBLE")))))</f>
        <v>ADMIS</v>
      </c>
      <c r="P58" s="73" t="n">
        <f aca="false">IF(OR(L58="",F58&lt;&gt;"PRESENT"),"",COUNTIFS($E$10:$E$250,E58,$F$10:$F$250,"PRESENT",$L$10:$L$250,"&gt;"&amp;L58)+1)</f>
        <v>4</v>
      </c>
      <c r="Q58" s="74" t="str">
        <f aca="false">IF(O58="ADMIS",IF(L58/M58*10&gt;=8,"Très bien",IF(L58/M58*10&gt;=7,"Bien",IF(L58/M58*10&gt;=6,"Assez bien","Passable"))),IF(O58="REDOUBLE","Insuffisant",""))</f>
        <v>Assez bien</v>
      </c>
      <c r="R58" s="51" t="n">
        <f aca="false">IFERROR(MATCH("P-49",'REGISTRE ELEVES'!$AH$10:$AH$250,0),"")</f>
        <v>49</v>
      </c>
    </row>
    <row r="59" customFormat="false" ht="15" hidden="false" customHeight="false" outlineLevel="0" collapsed="false">
      <c r="A59" s="45" t="n">
        <f aca="false">IF(B59="","",50)</f>
        <v>50</v>
      </c>
      <c r="B59" s="45" t="str">
        <f aca="false">IF($R59="","",INDEX('REGISTRE ELEVES'!$B$10:$B$250,$R59))</f>
        <v>CM1-006-26</v>
      </c>
      <c r="C59" s="74" t="str">
        <f aca="false">IF($R59="","",INDEX('REGISTRE ELEVES'!$D$10:$D$250,$R59))</f>
        <v>N'GUESSAN Jean-Marc Junior</v>
      </c>
      <c r="D59" s="45" t="str">
        <f aca="false">IF($R59="","",INDEX('REGISTRE ELEVES'!$E$10:$E$250,$R59))</f>
        <v>M</v>
      </c>
      <c r="E59" s="45" t="str">
        <f aca="false">IF($R59="","",INDEX('REGISTRE ELEVES'!$F$10:$F$250,$R59))</f>
        <v>CM1</v>
      </c>
      <c r="F59" s="45" t="str">
        <f aca="false">IF($R59="","",INDEX('REGISTRE ELEVES'!$AE$10:$AE$250,$R59))</f>
        <v>PRESENT</v>
      </c>
      <c r="G59" s="80" t="n">
        <f aca="false">IF(B59="","",IFERROR(IF(LEFT(E59,2)="CP",INDEX('NOTES CP'!$P$10:$P$250,MATCH(B59,'NOTES CP'!$B$10:$B$250,0)),IF(E59="CE1",INDEX('NOTES CE1'!$M$10:$M$250,MATCH(B59,'NOTES CE1'!$B$10:$B$250,0)),INDEX('NOTES CE2-CM1'!$M$10:$M$250,MATCH(B59,'NOTES CE2-CM1'!$B$10:$B$250,0)))),""))</f>
        <v>8.91</v>
      </c>
      <c r="H59" s="80" t="n">
        <f aca="false">IF(B59="","",IFERROR(IF(LEFT(E59,2)="CP",INDEX('NOTES CP'!$Z$10:$Z$250,MATCH(B59,'NOTES CP'!$B$10:$B$250,0)),IF(E59="CE1",INDEX('NOTES CE1'!$T$10:$T$250,MATCH(B59,'NOTES CE1'!$B$10:$B$250,0)),INDEX('NOTES CE2-CM1'!$T$10:$T$250,MATCH(B59,'NOTES CE2-CM1'!$B$10:$B$250,0)))),""))</f>
        <v>8.47</v>
      </c>
      <c r="I59" s="80" t="n">
        <f aca="false">IF(B59="","",IFERROR(IF(LEFT(E59,2)="CP",INDEX('NOTES CP'!$AJ$10:$AJ$250,MATCH(B59,'NOTES CP'!$B$10:$B$250,0)),IF(E59="CE1",INDEX('NOTES CE1'!$AA$10:$AA$250,MATCH(B59,'NOTES CE1'!$B$10:$B$250,0)),INDEX('NOTES CE2-CM1'!$AA$10:$AA$250,MATCH(B59,'NOTES CE2-CM1'!$B$10:$B$250,0)))),""))</f>
        <v>9.21</v>
      </c>
      <c r="J59" s="81" t="n">
        <f aca="false">IF(COUNT(G59:I59)=0,"",ROUND(AVERAGE(G59:I59),2))</f>
        <v>8.86</v>
      </c>
      <c r="K59" s="80" t="n">
        <f aca="false">IF(B59="","",IFERROR(IF(LEFT(E59,2)="CP",INDEX('NOTES CP'!$AT$10:$AT$250,MATCH(B59,'NOTES CP'!$B$10:$B$250,0)),IF(E59="CE1",INDEX('NOTES CE1'!$AH$10:$AH$250,MATCH(B59,'NOTES CE1'!$B$10:$B$250,0)),INDEX('NOTES CE2-CM1'!$AH$10:$AH$250,MATCH(B59,'NOTES CE2-CM1'!$B$10:$B$250,0)))),""))</f>
        <v>8.82</v>
      </c>
      <c r="L59" s="82" t="n">
        <f aca="false">IF(OR(J59="",K59=""),"",ROUND((J59+2*K59)/3,2))</f>
        <v>8.83</v>
      </c>
      <c r="M59" s="83" t="n">
        <f aca="false">IF(E59="","",IFERROR(INDEX(PARAMETRES!$D$18:$D$23,MATCH(E59,PARAMETRES!$B$18:$B$23,0)),""))</f>
        <v>10</v>
      </c>
      <c r="N59" s="81" t="n">
        <f aca="false">IF(E59="","",IFERROR(INDEX(PARAMETRES!$C$18:$C$23,MATCH(E59,PARAMETRES!$B$18:$B$23,0)),""))</f>
        <v>5</v>
      </c>
      <c r="O59" s="45" t="str">
        <f aca="false">IF(B59="","",IF(F59="ABANDON","ABANDON",IF(F59="TRANSFERE","TRANSFERE",IF(L59="","",IF(L59&gt;=N59,"ADMIS","REDOUBLE")))))</f>
        <v>ADMIS</v>
      </c>
      <c r="P59" s="73" t="n">
        <f aca="false">IF(OR(L59="",F59&lt;&gt;"PRESENT"),"",COUNTIFS($E$10:$E$250,E59,$F$10:$F$250,"PRESENT",$L$10:$L$250,"&gt;"&amp;L59)+1)</f>
        <v>1</v>
      </c>
      <c r="Q59" s="74" t="str">
        <f aca="false">IF(O59="ADMIS",IF(L59/M59*10&gt;=8,"Très bien",IF(L59/M59*10&gt;=7,"Bien",IF(L59/M59*10&gt;=6,"Assez bien","Passable"))),IF(O59="REDOUBLE","Insuffisant",""))</f>
        <v>Très bien</v>
      </c>
      <c r="R59" s="51" t="n">
        <f aca="false">IFERROR(MATCH("P-50",'REGISTRE ELEVES'!$AH$10:$AH$250,0),"")</f>
        <v>50</v>
      </c>
    </row>
    <row r="60" customFormat="false" ht="15" hidden="false" customHeight="false" outlineLevel="0" collapsed="false">
      <c r="A60" s="45" t="n">
        <f aca="false">IF(B60="","",51)</f>
        <v>51</v>
      </c>
      <c r="B60" s="45" t="str">
        <f aca="false">IF($R60="","",INDEX('REGISTRE ELEVES'!$B$10:$B$250,$R60))</f>
        <v>CM1-007-26</v>
      </c>
      <c r="C60" s="74" t="str">
        <f aca="false">IF($R60="","",INDEX('REGISTRE ELEVES'!$D$10:$D$250,$R60))</f>
        <v>DIGBEU Cédric Ismaël</v>
      </c>
      <c r="D60" s="45" t="str">
        <f aca="false">IF($R60="","",INDEX('REGISTRE ELEVES'!$E$10:$E$250,$R60))</f>
        <v>M</v>
      </c>
      <c r="E60" s="45" t="str">
        <f aca="false">IF($R60="","",INDEX('REGISTRE ELEVES'!$F$10:$F$250,$R60))</f>
        <v>CM1</v>
      </c>
      <c r="F60" s="45" t="str">
        <f aca="false">IF($R60="","",INDEX('REGISTRE ELEVES'!$AE$10:$AE$250,$R60))</f>
        <v>PRESENT</v>
      </c>
      <c r="G60" s="80" t="n">
        <f aca="false">IF(B60="","",IFERROR(IF(LEFT(E60,2)="CP",INDEX('NOTES CP'!$P$10:$P$250,MATCH(B60,'NOTES CP'!$B$10:$B$250,0)),IF(E60="CE1",INDEX('NOTES CE1'!$M$10:$M$250,MATCH(B60,'NOTES CE1'!$B$10:$B$250,0)),INDEX('NOTES CE2-CM1'!$M$10:$M$250,MATCH(B60,'NOTES CE2-CM1'!$B$10:$B$250,0)))),""))</f>
        <v>8.24</v>
      </c>
      <c r="H60" s="80" t="n">
        <f aca="false">IF(B60="","",IFERROR(IF(LEFT(E60,2)="CP",INDEX('NOTES CP'!$Z$10:$Z$250,MATCH(B60,'NOTES CP'!$B$10:$B$250,0)),IF(E60="CE1",INDEX('NOTES CE1'!$T$10:$T$250,MATCH(B60,'NOTES CE1'!$B$10:$B$250,0)),INDEX('NOTES CE2-CM1'!$T$10:$T$250,MATCH(B60,'NOTES CE2-CM1'!$B$10:$B$250,0)))),""))</f>
        <v>7.44</v>
      </c>
      <c r="I60" s="80" t="n">
        <f aca="false">IF(B60="","",IFERROR(IF(LEFT(E60,2)="CP",INDEX('NOTES CP'!$AJ$10:$AJ$250,MATCH(B60,'NOTES CP'!$B$10:$B$250,0)),IF(E60="CE1",INDEX('NOTES CE1'!$AA$10:$AA$250,MATCH(B60,'NOTES CE1'!$B$10:$B$250,0)),INDEX('NOTES CE2-CM1'!$AA$10:$AA$250,MATCH(B60,'NOTES CE2-CM1'!$B$10:$B$250,0)))),""))</f>
        <v>8.15</v>
      </c>
      <c r="J60" s="81" t="n">
        <f aca="false">IF(COUNT(G60:I60)=0,"",ROUND(AVERAGE(G60:I60),2))</f>
        <v>7.94</v>
      </c>
      <c r="K60" s="80" t="n">
        <f aca="false">IF(B60="","",IFERROR(IF(LEFT(E60,2)="CP",INDEX('NOTES CP'!$AT$10:$AT$250,MATCH(B60,'NOTES CP'!$B$10:$B$250,0)),IF(E60="CE1",INDEX('NOTES CE1'!$AH$10:$AH$250,MATCH(B60,'NOTES CE1'!$B$10:$B$250,0)),INDEX('NOTES CE2-CM1'!$AH$10:$AH$250,MATCH(B60,'NOTES CE2-CM1'!$B$10:$B$250,0)))),""))</f>
        <v>6.65</v>
      </c>
      <c r="L60" s="82" t="n">
        <f aca="false">IF(OR(J60="",K60=""),"",ROUND((J60+2*K60)/3,2))</f>
        <v>7.08</v>
      </c>
      <c r="M60" s="83" t="n">
        <f aca="false">IF(E60="","",IFERROR(INDEX(PARAMETRES!$D$18:$D$23,MATCH(E60,PARAMETRES!$B$18:$B$23,0)),""))</f>
        <v>10</v>
      </c>
      <c r="N60" s="81" t="n">
        <f aca="false">IF(E60="","",IFERROR(INDEX(PARAMETRES!$C$18:$C$23,MATCH(E60,PARAMETRES!$B$18:$B$23,0)),""))</f>
        <v>5</v>
      </c>
      <c r="O60" s="45" t="str">
        <f aca="false">IF(B60="","",IF(F60="ABANDON","ABANDON",IF(F60="TRANSFERE","TRANSFERE",IF(L60="","",IF(L60&gt;=N60,"ADMIS","REDOUBLE")))))</f>
        <v>ADMIS</v>
      </c>
      <c r="P60" s="73" t="n">
        <f aca="false">IF(OR(L60="",F60&lt;&gt;"PRESENT"),"",COUNTIFS($E$10:$E$250,E60,$F$10:$F$250,"PRESENT",$L$10:$L$250,"&gt;"&amp;L60)+1)</f>
        <v>3</v>
      </c>
      <c r="Q60" s="74" t="str">
        <f aca="false">IF(O60="ADMIS",IF(L60/M60*10&gt;=8,"Très bien",IF(L60/M60*10&gt;=7,"Bien",IF(L60/M60*10&gt;=6,"Assez bien","Passable"))),IF(O60="REDOUBLE","Insuffisant",""))</f>
        <v>Bien</v>
      </c>
      <c r="R60" s="51" t="n">
        <f aca="false">IFERROR(MATCH("P-51",'REGISTRE ELEVES'!$AH$10:$AH$250,0),"")</f>
        <v>51</v>
      </c>
    </row>
    <row r="61" customFormat="false" ht="15" hidden="false" customHeight="false" outlineLevel="0" collapsed="false">
      <c r="A61" s="45" t="n">
        <f aca="false">IF(B61="","",52)</f>
        <v>52</v>
      </c>
      <c r="B61" s="45" t="str">
        <f aca="false">IF($R61="","",INDEX('REGISTRE ELEVES'!$B$10:$B$250,$R61))</f>
        <v>CM1-008-26</v>
      </c>
      <c r="C61" s="74" t="str">
        <f aca="false">IF($R61="","",INDEX('REGISTRE ELEVES'!$D$10:$D$250,$R61))</f>
        <v>KOFFI Awa Amenan</v>
      </c>
      <c r="D61" s="45" t="str">
        <f aca="false">IF($R61="","",INDEX('REGISTRE ELEVES'!$E$10:$E$250,$R61))</f>
        <v>F</v>
      </c>
      <c r="E61" s="45" t="str">
        <f aca="false">IF($R61="","",INDEX('REGISTRE ELEVES'!$F$10:$F$250,$R61))</f>
        <v>CM1</v>
      </c>
      <c r="F61" s="45" t="str">
        <f aca="false">IF($R61="","",INDEX('REGISTRE ELEVES'!$AE$10:$AE$250,$R61))</f>
        <v>PRESENT</v>
      </c>
      <c r="G61" s="80" t="n">
        <f aca="false">IF(B61="","",IFERROR(IF(LEFT(E61,2)="CP",INDEX('NOTES CP'!$P$10:$P$250,MATCH(B61,'NOTES CP'!$B$10:$B$250,0)),IF(E61="CE1",INDEX('NOTES CE1'!$M$10:$M$250,MATCH(B61,'NOTES CE1'!$B$10:$B$250,0)),INDEX('NOTES CE2-CM1'!$M$10:$M$250,MATCH(B61,'NOTES CE2-CM1'!$B$10:$B$250,0)))),""))</f>
        <v>3.5</v>
      </c>
      <c r="H61" s="80" t="n">
        <f aca="false">IF(B61="","",IFERROR(IF(LEFT(E61,2)="CP",INDEX('NOTES CP'!$Z$10:$Z$250,MATCH(B61,'NOTES CP'!$B$10:$B$250,0)),IF(E61="CE1",INDEX('NOTES CE1'!$T$10:$T$250,MATCH(B61,'NOTES CE1'!$B$10:$B$250,0)),INDEX('NOTES CE2-CM1'!$T$10:$T$250,MATCH(B61,'NOTES CE2-CM1'!$B$10:$B$250,0)))),""))</f>
        <v>3.59</v>
      </c>
      <c r="I61" s="80" t="n">
        <f aca="false">IF(B61="","",IFERROR(IF(LEFT(E61,2)="CP",INDEX('NOTES CP'!$AJ$10:$AJ$250,MATCH(B61,'NOTES CP'!$B$10:$B$250,0)),IF(E61="CE1",INDEX('NOTES CE1'!$AA$10:$AA$250,MATCH(B61,'NOTES CE1'!$B$10:$B$250,0)),INDEX('NOTES CE2-CM1'!$AA$10:$AA$250,MATCH(B61,'NOTES CE2-CM1'!$B$10:$B$250,0)))),""))</f>
        <v>0</v>
      </c>
      <c r="J61" s="81" t="n">
        <f aca="false">IF(COUNT(G61:I61)=0,"",ROUND(AVERAGE(G61:I61),2))</f>
        <v>2.36</v>
      </c>
      <c r="K61" s="80" t="n">
        <f aca="false">IF(B61="","",IFERROR(IF(LEFT(E61,2)="CP",INDEX('NOTES CP'!$AT$10:$AT$250,MATCH(B61,'NOTES CP'!$B$10:$B$250,0)),IF(E61="CE1",INDEX('NOTES CE1'!$AH$10:$AH$250,MATCH(B61,'NOTES CE1'!$B$10:$B$250,0)),INDEX('NOTES CE2-CM1'!$AH$10:$AH$250,MATCH(B61,'NOTES CE2-CM1'!$B$10:$B$250,0)))),""))</f>
        <v>3.71</v>
      </c>
      <c r="L61" s="82" t="n">
        <f aca="false">IF(OR(J61="",K61=""),"",ROUND((J61+2*K61)/3,2))</f>
        <v>3.26</v>
      </c>
      <c r="M61" s="83" t="n">
        <f aca="false">IF(E61="","",IFERROR(INDEX(PARAMETRES!$D$18:$D$23,MATCH(E61,PARAMETRES!$B$18:$B$23,0)),""))</f>
        <v>10</v>
      </c>
      <c r="N61" s="81" t="n">
        <f aca="false">IF(E61="","",IFERROR(INDEX(PARAMETRES!$C$18:$C$23,MATCH(E61,PARAMETRES!$B$18:$B$23,0)),""))</f>
        <v>5</v>
      </c>
      <c r="O61" s="45" t="str">
        <f aca="false">IF(B61="","",IF(F61="ABANDON","ABANDON",IF(F61="TRANSFERE","TRANSFERE",IF(L61="","",IF(L61&gt;=N61,"ADMIS","REDOUBLE")))))</f>
        <v>REDOUBLE</v>
      </c>
      <c r="P61" s="73" t="n">
        <f aca="false">IF(OR(L61="",F61&lt;&gt;"PRESENT"),"",COUNTIFS($E$10:$E$250,E61,$F$10:$F$250,"PRESENT",$L$10:$L$250,"&gt;"&amp;L61)+1)</f>
        <v>10</v>
      </c>
      <c r="Q61" s="74" t="str">
        <f aca="false">IF(O61="ADMIS",IF(L61/M61*10&gt;=8,"Très bien",IF(L61/M61*10&gt;=7,"Bien",IF(L61/M61*10&gt;=6,"Assez bien","Passable"))),IF(O61="REDOUBLE","Insuffisant",""))</f>
        <v>Insuffisant</v>
      </c>
      <c r="R61" s="51" t="n">
        <f aca="false">IFERROR(MATCH("P-52",'REGISTRE ELEVES'!$AH$10:$AH$250,0),"")</f>
        <v>52</v>
      </c>
    </row>
    <row r="62" customFormat="false" ht="15" hidden="false" customHeight="false" outlineLevel="0" collapsed="false">
      <c r="A62" s="45" t="n">
        <f aca="false">IF(B62="","",53)</f>
        <v>53</v>
      </c>
      <c r="B62" s="45" t="str">
        <f aca="false">IF($R62="","",INDEX('REGISTRE ELEVES'!$B$10:$B$250,$R62))</f>
        <v>CM1-009-26</v>
      </c>
      <c r="C62" s="74" t="str">
        <f aca="false">IF($R62="","",INDEX('REGISTRE ELEVES'!$D$10:$D$250,$R62))</f>
        <v>DIABATE Jean-Marc Cédric</v>
      </c>
      <c r="D62" s="45" t="str">
        <f aca="false">IF($R62="","",INDEX('REGISTRE ELEVES'!$E$10:$E$250,$R62))</f>
        <v>M</v>
      </c>
      <c r="E62" s="45" t="str">
        <f aca="false">IF($R62="","",INDEX('REGISTRE ELEVES'!$F$10:$F$250,$R62))</f>
        <v>CM1</v>
      </c>
      <c r="F62" s="45" t="str">
        <f aca="false">IF($R62="","",INDEX('REGISTRE ELEVES'!$AE$10:$AE$250,$R62))</f>
        <v>PRESENT</v>
      </c>
      <c r="G62" s="80" t="n">
        <f aca="false">IF(B62="","",IFERROR(IF(LEFT(E62,2)="CP",INDEX('NOTES CP'!$P$10:$P$250,MATCH(B62,'NOTES CP'!$B$10:$B$250,0)),IF(E62="CE1",INDEX('NOTES CE1'!$M$10:$M$250,MATCH(B62,'NOTES CE1'!$B$10:$B$250,0)),INDEX('NOTES CE2-CM1'!$M$10:$M$250,MATCH(B62,'NOTES CE2-CM1'!$B$10:$B$250,0)))),""))</f>
        <v>5.12</v>
      </c>
      <c r="H62" s="80" t="n">
        <f aca="false">IF(B62="","",IFERROR(IF(LEFT(E62,2)="CP",INDEX('NOTES CP'!$Z$10:$Z$250,MATCH(B62,'NOTES CP'!$B$10:$B$250,0)),IF(E62="CE1",INDEX('NOTES CE1'!$T$10:$T$250,MATCH(B62,'NOTES CE1'!$B$10:$B$250,0)),INDEX('NOTES CE2-CM1'!$T$10:$T$250,MATCH(B62,'NOTES CE2-CM1'!$B$10:$B$250,0)))),""))</f>
        <v>4.76</v>
      </c>
      <c r="I62" s="80" t="n">
        <f aca="false">IF(B62="","",IFERROR(IF(LEFT(E62,2)="CP",INDEX('NOTES CP'!$AJ$10:$AJ$250,MATCH(B62,'NOTES CP'!$B$10:$B$250,0)),IF(E62="CE1",INDEX('NOTES CE1'!$AA$10:$AA$250,MATCH(B62,'NOTES CE1'!$B$10:$B$250,0)),INDEX('NOTES CE2-CM1'!$AA$10:$AA$250,MATCH(B62,'NOTES CE2-CM1'!$B$10:$B$250,0)))),""))</f>
        <v>5.71</v>
      </c>
      <c r="J62" s="81" t="n">
        <f aca="false">IF(COUNT(G62:I62)=0,"",ROUND(AVERAGE(G62:I62),2))</f>
        <v>5.2</v>
      </c>
      <c r="K62" s="80" t="n">
        <f aca="false">IF(B62="","",IFERROR(IF(LEFT(E62,2)="CP",INDEX('NOTES CP'!$AT$10:$AT$250,MATCH(B62,'NOTES CP'!$B$10:$B$250,0)),IF(E62="CE1",INDEX('NOTES CE1'!$AH$10:$AH$250,MATCH(B62,'NOTES CE1'!$B$10:$B$250,0)),INDEX('NOTES CE2-CM1'!$AH$10:$AH$250,MATCH(B62,'NOTES CE2-CM1'!$B$10:$B$250,0)))),""))</f>
        <v>4.15</v>
      </c>
      <c r="L62" s="82" t="n">
        <f aca="false">IF(OR(J62="",K62=""),"",ROUND((J62+2*K62)/3,2))</f>
        <v>4.5</v>
      </c>
      <c r="M62" s="83" t="n">
        <f aca="false">IF(E62="","",IFERROR(INDEX(PARAMETRES!$D$18:$D$23,MATCH(E62,PARAMETRES!$B$18:$B$23,0)),""))</f>
        <v>10</v>
      </c>
      <c r="N62" s="81" t="n">
        <f aca="false">IF(E62="","",IFERROR(INDEX(PARAMETRES!$C$18:$C$23,MATCH(E62,PARAMETRES!$B$18:$B$23,0)),""))</f>
        <v>5</v>
      </c>
      <c r="O62" s="45" t="str">
        <f aca="false">IF(B62="","",IF(F62="ABANDON","ABANDON",IF(F62="TRANSFERE","TRANSFERE",IF(L62="","",IF(L62&gt;=N62,"ADMIS","REDOUBLE")))))</f>
        <v>REDOUBLE</v>
      </c>
      <c r="P62" s="73" t="n">
        <f aca="false">IF(OR(L62="",F62&lt;&gt;"PRESENT"),"",COUNTIFS($E$10:$E$250,E62,$F$10:$F$250,"PRESENT",$L$10:$L$250,"&gt;"&amp;L62)+1)</f>
        <v>8</v>
      </c>
      <c r="Q62" s="74" t="str">
        <f aca="false">IF(O62="ADMIS",IF(L62/M62*10&gt;=8,"Très bien",IF(L62/M62*10&gt;=7,"Bien",IF(L62/M62*10&gt;=6,"Assez bien","Passable"))),IF(O62="REDOUBLE","Insuffisant",""))</f>
        <v>Insuffisant</v>
      </c>
      <c r="R62" s="51" t="n">
        <f aca="false">IFERROR(MATCH("P-53",'REGISTRE ELEVES'!$AH$10:$AH$250,0),"")</f>
        <v>53</v>
      </c>
    </row>
    <row r="63" customFormat="false" ht="15" hidden="false" customHeight="false" outlineLevel="0" collapsed="false">
      <c r="A63" s="45" t="n">
        <f aca="false">IF(B63="","",54)</f>
        <v>54</v>
      </c>
      <c r="B63" s="45" t="str">
        <f aca="false">IF($R63="","",INDEX('REGISTRE ELEVES'!$B$10:$B$250,$R63))</f>
        <v>CM1-010-26</v>
      </c>
      <c r="C63" s="74" t="str">
        <f aca="false">IF($R63="","",INDEX('REGISTRE ELEVES'!$D$10:$D$250,$R63))</f>
        <v>YAO Sylvain Kouakou</v>
      </c>
      <c r="D63" s="45" t="str">
        <f aca="false">IF($R63="","",INDEX('REGISTRE ELEVES'!$E$10:$E$250,$R63))</f>
        <v>M</v>
      </c>
      <c r="E63" s="45" t="str">
        <f aca="false">IF($R63="","",INDEX('REGISTRE ELEVES'!$F$10:$F$250,$R63))</f>
        <v>CM1</v>
      </c>
      <c r="F63" s="45" t="str">
        <f aca="false">IF($R63="","",INDEX('REGISTRE ELEVES'!$AE$10:$AE$250,$R63))</f>
        <v>PRESENT</v>
      </c>
      <c r="G63" s="80" t="n">
        <f aca="false">IF(B63="","",IFERROR(IF(LEFT(E63,2)="CP",INDEX('NOTES CP'!$P$10:$P$250,MATCH(B63,'NOTES CP'!$B$10:$B$250,0)),IF(E63="CE1",INDEX('NOTES CE1'!$M$10:$M$250,MATCH(B63,'NOTES CE1'!$B$10:$B$250,0)),INDEX('NOTES CE2-CM1'!$M$10:$M$250,MATCH(B63,'NOTES CE2-CM1'!$B$10:$B$250,0)))),""))</f>
        <v>4.85</v>
      </c>
      <c r="H63" s="80" t="n">
        <f aca="false">IF(B63="","",IFERROR(IF(LEFT(E63,2)="CP",INDEX('NOTES CP'!$Z$10:$Z$250,MATCH(B63,'NOTES CP'!$B$10:$B$250,0)),IF(E63="CE1",INDEX('NOTES CE1'!$T$10:$T$250,MATCH(B63,'NOTES CE1'!$B$10:$B$250,0)),INDEX('NOTES CE2-CM1'!$T$10:$T$250,MATCH(B63,'NOTES CE2-CM1'!$B$10:$B$250,0)))),""))</f>
        <v>4.65</v>
      </c>
      <c r="I63" s="80" t="n">
        <f aca="false">IF(B63="","",IFERROR(IF(LEFT(E63,2)="CP",INDEX('NOTES CP'!$AJ$10:$AJ$250,MATCH(B63,'NOTES CP'!$B$10:$B$250,0)),IF(E63="CE1",INDEX('NOTES CE1'!$AA$10:$AA$250,MATCH(B63,'NOTES CE1'!$B$10:$B$250,0)),INDEX('NOTES CE2-CM1'!$AA$10:$AA$250,MATCH(B63,'NOTES CE2-CM1'!$B$10:$B$250,0)))),""))</f>
        <v>4.74</v>
      </c>
      <c r="J63" s="81" t="n">
        <f aca="false">IF(COUNT(G63:I63)=0,"",ROUND(AVERAGE(G63:I63),2))</f>
        <v>4.75</v>
      </c>
      <c r="K63" s="80" t="n">
        <f aca="false">IF(B63="","",IFERROR(IF(LEFT(E63,2)="CP",INDEX('NOTES CP'!$AT$10:$AT$250,MATCH(B63,'NOTES CP'!$B$10:$B$250,0)),IF(E63="CE1",INDEX('NOTES CE1'!$AH$10:$AH$250,MATCH(B63,'NOTES CE1'!$B$10:$B$250,0)),INDEX('NOTES CE2-CM1'!$AH$10:$AH$250,MATCH(B63,'NOTES CE2-CM1'!$B$10:$B$250,0)))),""))</f>
        <v>4.71</v>
      </c>
      <c r="L63" s="82" t="n">
        <f aca="false">IF(OR(J63="",K63=""),"",ROUND((J63+2*K63)/3,2))</f>
        <v>4.72</v>
      </c>
      <c r="M63" s="83" t="n">
        <f aca="false">IF(E63="","",IFERROR(INDEX(PARAMETRES!$D$18:$D$23,MATCH(E63,PARAMETRES!$B$18:$B$23,0)),""))</f>
        <v>10</v>
      </c>
      <c r="N63" s="81" t="n">
        <f aca="false">IF(E63="","",IFERROR(INDEX(PARAMETRES!$C$18:$C$23,MATCH(E63,PARAMETRES!$B$18:$B$23,0)),""))</f>
        <v>5</v>
      </c>
      <c r="O63" s="45" t="str">
        <f aca="false">IF(B63="","",IF(F63="ABANDON","ABANDON",IF(F63="TRANSFERE","TRANSFERE",IF(L63="","",IF(L63&gt;=N63,"ADMIS","REDOUBLE")))))</f>
        <v>REDOUBLE</v>
      </c>
      <c r="P63" s="73" t="n">
        <f aca="false">IF(OR(L63="",F63&lt;&gt;"PRESENT"),"",COUNTIFS($E$10:$E$250,E63,$F$10:$F$250,"PRESENT",$L$10:$L$250,"&gt;"&amp;L63)+1)</f>
        <v>7</v>
      </c>
      <c r="Q63" s="74" t="str">
        <f aca="false">IF(O63="ADMIS",IF(L63/M63*10&gt;=8,"Très bien",IF(L63/M63*10&gt;=7,"Bien",IF(L63/M63*10&gt;=6,"Assez bien","Passable"))),IF(O63="REDOUBLE","Insuffisant",""))</f>
        <v>Insuffisant</v>
      </c>
      <c r="R63" s="51" t="n">
        <f aca="false">IFERROR(MATCH("P-54",'REGISTRE ELEVES'!$AH$10:$AH$250,0),"")</f>
        <v>54</v>
      </c>
    </row>
    <row r="64" customFormat="false" ht="15" hidden="false" customHeight="false" outlineLevel="0" collapsed="false">
      <c r="A64" s="45" t="n">
        <f aca="false">IF(B64="","",55)</f>
        <v>55</v>
      </c>
      <c r="B64" s="45" t="str">
        <f aca="false">IF($R64="","",INDEX('REGISTRE ELEVES'!$B$10:$B$250,$R64))</f>
        <v>CM1-011-26</v>
      </c>
      <c r="C64" s="74" t="str">
        <f aca="false">IF($R64="","",INDEX('REGISTRE ELEVES'!$D$10:$D$250,$R64))</f>
        <v>AKA Emmanuel Junior</v>
      </c>
      <c r="D64" s="45" t="str">
        <f aca="false">IF($R64="","",INDEX('REGISTRE ELEVES'!$E$10:$E$250,$R64))</f>
        <v>M</v>
      </c>
      <c r="E64" s="45" t="str">
        <f aca="false">IF($R64="","",INDEX('REGISTRE ELEVES'!$F$10:$F$250,$R64))</f>
        <v>CM1</v>
      </c>
      <c r="F64" s="45" t="str">
        <f aca="false">IF($R64="","",INDEX('REGISTRE ELEVES'!$AE$10:$AE$250,$R64))</f>
        <v>PRESENT</v>
      </c>
      <c r="G64" s="80" t="n">
        <f aca="false">IF(B64="","",IFERROR(IF(LEFT(E64,2)="CP",INDEX('NOTES CP'!$P$10:$P$250,MATCH(B64,'NOTES CP'!$B$10:$B$250,0)),IF(E64="CE1",INDEX('NOTES CE1'!$M$10:$M$250,MATCH(B64,'NOTES CE1'!$B$10:$B$250,0)),INDEX('NOTES CE2-CM1'!$M$10:$M$250,MATCH(B64,'NOTES CE2-CM1'!$B$10:$B$250,0)))),""))</f>
        <v>6.24</v>
      </c>
      <c r="H64" s="80" t="n">
        <f aca="false">IF(B64="","",IFERROR(IF(LEFT(E64,2)="CP",INDEX('NOTES CP'!$Z$10:$Z$250,MATCH(B64,'NOTES CP'!$B$10:$B$250,0)),IF(E64="CE1",INDEX('NOTES CE1'!$T$10:$T$250,MATCH(B64,'NOTES CE1'!$B$10:$B$250,0)),INDEX('NOTES CE2-CM1'!$T$10:$T$250,MATCH(B64,'NOTES CE2-CM1'!$B$10:$B$250,0)))),""))</f>
        <v>6.44</v>
      </c>
      <c r="I64" s="80" t="n">
        <f aca="false">IF(B64="","",IFERROR(IF(LEFT(E64,2)="CP",INDEX('NOTES CP'!$AJ$10:$AJ$250,MATCH(B64,'NOTES CP'!$B$10:$B$250,0)),IF(E64="CE1",INDEX('NOTES CE1'!$AA$10:$AA$250,MATCH(B64,'NOTES CE1'!$B$10:$B$250,0)),INDEX('NOTES CE2-CM1'!$AA$10:$AA$250,MATCH(B64,'NOTES CE2-CM1'!$B$10:$B$250,0)))),""))</f>
        <v>5.03</v>
      </c>
      <c r="J64" s="81" t="n">
        <f aca="false">IF(COUNT(G64:I64)=0,"",ROUND(AVERAGE(G64:I64),2))</f>
        <v>5.9</v>
      </c>
      <c r="K64" s="80" t="n">
        <f aca="false">IF(B64="","",IFERROR(IF(LEFT(E64,2)="CP",INDEX('NOTES CP'!$AT$10:$AT$250,MATCH(B64,'NOTES CP'!$B$10:$B$250,0)),IF(E64="CE1",INDEX('NOTES CE1'!$AH$10:$AH$250,MATCH(B64,'NOTES CE1'!$B$10:$B$250,0)),INDEX('NOTES CE2-CM1'!$AH$10:$AH$250,MATCH(B64,'NOTES CE2-CM1'!$B$10:$B$250,0)))),""))</f>
        <v>4.97</v>
      </c>
      <c r="L64" s="82" t="n">
        <f aca="false">IF(OR(J64="",K64=""),"",ROUND((J64+2*K64)/3,2))</f>
        <v>5.28</v>
      </c>
      <c r="M64" s="83" t="n">
        <f aca="false">IF(E64="","",IFERROR(INDEX(PARAMETRES!$D$18:$D$23,MATCH(E64,PARAMETRES!$B$18:$B$23,0)),""))</f>
        <v>10</v>
      </c>
      <c r="N64" s="81" t="n">
        <f aca="false">IF(E64="","",IFERROR(INDEX(PARAMETRES!$C$18:$C$23,MATCH(E64,PARAMETRES!$B$18:$B$23,0)),""))</f>
        <v>5</v>
      </c>
      <c r="O64" s="45" t="str">
        <f aca="false">IF(B64="","",IF(F64="ABANDON","ABANDON",IF(F64="TRANSFERE","TRANSFERE",IF(L64="","",IF(L64&gt;=N64,"ADMIS","REDOUBLE")))))</f>
        <v>ADMIS</v>
      </c>
      <c r="P64" s="73" t="n">
        <f aca="false">IF(OR(L64="",F64&lt;&gt;"PRESENT"),"",COUNTIFS($E$10:$E$250,E64,$F$10:$F$250,"PRESENT",$L$10:$L$250,"&gt;"&amp;L64)+1)</f>
        <v>5</v>
      </c>
      <c r="Q64" s="74" t="str">
        <f aca="false">IF(O64="ADMIS",IF(L64/M64*10&gt;=8,"Très bien",IF(L64/M64*10&gt;=7,"Bien",IF(L64/M64*10&gt;=6,"Assez bien","Passable"))),IF(O64="REDOUBLE","Insuffisant",""))</f>
        <v>Passable</v>
      </c>
      <c r="R64" s="51" t="n">
        <f aca="false">IFERROR(MATCH("P-55",'REGISTRE ELEVES'!$AH$10:$AH$250,0),"")</f>
        <v>55</v>
      </c>
    </row>
    <row r="65" customFormat="false" ht="15" hidden="false" customHeight="false" outlineLevel="0" collapsed="false">
      <c r="A65" s="45" t="str">
        <f aca="false">IF(B65="","",56)</f>
        <v/>
      </c>
      <c r="B65" s="45" t="str">
        <f aca="false">IF($R65="","",INDEX('REGISTRE ELEVES'!$B$10:$B$250,$R65))</f>
        <v/>
      </c>
      <c r="C65" s="74" t="str">
        <f aca="false">IF($R65="","",INDEX('REGISTRE ELEVES'!$D$10:$D$250,$R65))</f>
        <v/>
      </c>
      <c r="D65" s="45" t="str">
        <f aca="false">IF($R65="","",INDEX('REGISTRE ELEVES'!$E$10:$E$250,$R65))</f>
        <v/>
      </c>
      <c r="E65" s="45" t="str">
        <f aca="false">IF($R65="","",INDEX('REGISTRE ELEVES'!$F$10:$F$250,$R65))</f>
        <v/>
      </c>
      <c r="F65" s="45" t="str">
        <f aca="false">IF($R65="","",INDEX('REGISTRE ELEVES'!$AE$10:$AE$250,$R65))</f>
        <v/>
      </c>
      <c r="G65" s="80" t="str">
        <f aca="false">IF(B65="","",IFERROR(IF(LEFT(E65,2)="CP",INDEX('NOTES CP'!$P$10:$P$250,MATCH(B65,'NOTES CP'!$B$10:$B$250,0)),IF(E65="CE1",INDEX('NOTES CE1'!$M$10:$M$250,MATCH(B65,'NOTES CE1'!$B$10:$B$250,0)),INDEX('NOTES CE2-CM1'!$M$10:$M$250,MATCH(B65,'NOTES CE2-CM1'!$B$10:$B$250,0)))),""))</f>
        <v/>
      </c>
      <c r="H65" s="80" t="str">
        <f aca="false">IF(B65="","",IFERROR(IF(LEFT(E65,2)="CP",INDEX('NOTES CP'!$Z$10:$Z$250,MATCH(B65,'NOTES CP'!$B$10:$B$250,0)),IF(E65="CE1",INDEX('NOTES CE1'!$T$10:$T$250,MATCH(B65,'NOTES CE1'!$B$10:$B$250,0)),INDEX('NOTES CE2-CM1'!$T$10:$T$250,MATCH(B65,'NOTES CE2-CM1'!$B$10:$B$250,0)))),""))</f>
        <v/>
      </c>
      <c r="I65" s="80" t="str">
        <f aca="false">IF(B65="","",IFERROR(IF(LEFT(E65,2)="CP",INDEX('NOTES CP'!$AJ$10:$AJ$250,MATCH(B65,'NOTES CP'!$B$10:$B$250,0)),IF(E65="CE1",INDEX('NOTES CE1'!$AA$10:$AA$250,MATCH(B65,'NOTES CE1'!$B$10:$B$250,0)),INDEX('NOTES CE2-CM1'!$AA$10:$AA$250,MATCH(B65,'NOTES CE2-CM1'!$B$10:$B$250,0)))),""))</f>
        <v/>
      </c>
      <c r="J65" s="81" t="str">
        <f aca="false">IF(COUNT(G65:I65)=0,"",ROUND(AVERAGE(G65:I65),2))</f>
        <v/>
      </c>
      <c r="K65" s="80" t="str">
        <f aca="false">IF(B65="","",IFERROR(IF(LEFT(E65,2)="CP",INDEX('NOTES CP'!$AT$10:$AT$250,MATCH(B65,'NOTES CP'!$B$10:$B$250,0)),IF(E65="CE1",INDEX('NOTES CE1'!$AH$10:$AH$250,MATCH(B65,'NOTES CE1'!$B$10:$B$250,0)),INDEX('NOTES CE2-CM1'!$AH$10:$AH$250,MATCH(B65,'NOTES CE2-CM1'!$B$10:$B$250,0)))),""))</f>
        <v/>
      </c>
      <c r="L65" s="82" t="str">
        <f aca="false">IF(OR(J65="",K65=""),"",ROUND((J65+2*K65)/3,2))</f>
        <v/>
      </c>
      <c r="M65" s="83" t="str">
        <f aca="false">IF(E65="","",IFERROR(INDEX(PARAMETRES!$D$18:$D$23,MATCH(E65,PARAMETRES!$B$18:$B$23,0)),""))</f>
        <v/>
      </c>
      <c r="N65" s="81" t="str">
        <f aca="false">IF(E65="","",IFERROR(INDEX(PARAMETRES!$C$18:$C$23,MATCH(E65,PARAMETRES!$B$18:$B$23,0)),""))</f>
        <v/>
      </c>
      <c r="O65" s="45" t="str">
        <f aca="false">IF(B65="","",IF(F65="ABANDON","ABANDON",IF(F65="TRANSFERE","TRANSFERE",IF(L65="","",IF(L65&gt;=N65,"ADMIS","REDOUBLE")))))</f>
        <v/>
      </c>
      <c r="P65" s="73" t="str">
        <f aca="false">IF(OR(L65="",F65&lt;&gt;"PRESENT"),"",COUNTIFS($E$10:$E$250,E65,$F$10:$F$250,"PRESENT",$L$10:$L$250,"&gt;"&amp;L65)+1)</f>
        <v/>
      </c>
      <c r="Q65" s="74" t="str">
        <f aca="false">IF(O65="ADMIS",IF(L65/M65*10&gt;=8,"Très bien",IF(L65/M65*10&gt;=7,"Bien",IF(L65/M65*10&gt;=6,"Assez bien","Passable"))),IF(O65="REDOUBLE","Insuffisant",""))</f>
        <v/>
      </c>
      <c r="R65" s="51" t="str">
        <f aca="false">IFERROR(MATCH("P-56",'REGISTRE ELEVES'!$AH$10:$AH$250,0),"")</f>
        <v/>
      </c>
    </row>
    <row r="66" customFormat="false" ht="15" hidden="false" customHeight="false" outlineLevel="0" collapsed="false">
      <c r="A66" s="45" t="str">
        <f aca="false">IF(B66="","",57)</f>
        <v/>
      </c>
      <c r="B66" s="45" t="str">
        <f aca="false">IF($R66="","",INDEX('REGISTRE ELEVES'!$B$10:$B$250,$R66))</f>
        <v/>
      </c>
      <c r="C66" s="74" t="str">
        <f aca="false">IF($R66="","",INDEX('REGISTRE ELEVES'!$D$10:$D$250,$R66))</f>
        <v/>
      </c>
      <c r="D66" s="45" t="str">
        <f aca="false">IF($R66="","",INDEX('REGISTRE ELEVES'!$E$10:$E$250,$R66))</f>
        <v/>
      </c>
      <c r="E66" s="45" t="str">
        <f aca="false">IF($R66="","",INDEX('REGISTRE ELEVES'!$F$10:$F$250,$R66))</f>
        <v/>
      </c>
      <c r="F66" s="45" t="str">
        <f aca="false">IF($R66="","",INDEX('REGISTRE ELEVES'!$AE$10:$AE$250,$R66))</f>
        <v/>
      </c>
      <c r="G66" s="80" t="str">
        <f aca="false">IF(B66="","",IFERROR(IF(LEFT(E66,2)="CP",INDEX('NOTES CP'!$P$10:$P$250,MATCH(B66,'NOTES CP'!$B$10:$B$250,0)),IF(E66="CE1",INDEX('NOTES CE1'!$M$10:$M$250,MATCH(B66,'NOTES CE1'!$B$10:$B$250,0)),INDEX('NOTES CE2-CM1'!$M$10:$M$250,MATCH(B66,'NOTES CE2-CM1'!$B$10:$B$250,0)))),""))</f>
        <v/>
      </c>
      <c r="H66" s="80" t="str">
        <f aca="false">IF(B66="","",IFERROR(IF(LEFT(E66,2)="CP",INDEX('NOTES CP'!$Z$10:$Z$250,MATCH(B66,'NOTES CP'!$B$10:$B$250,0)),IF(E66="CE1",INDEX('NOTES CE1'!$T$10:$T$250,MATCH(B66,'NOTES CE1'!$B$10:$B$250,0)),INDEX('NOTES CE2-CM1'!$T$10:$T$250,MATCH(B66,'NOTES CE2-CM1'!$B$10:$B$250,0)))),""))</f>
        <v/>
      </c>
      <c r="I66" s="80" t="str">
        <f aca="false">IF(B66="","",IFERROR(IF(LEFT(E66,2)="CP",INDEX('NOTES CP'!$AJ$10:$AJ$250,MATCH(B66,'NOTES CP'!$B$10:$B$250,0)),IF(E66="CE1",INDEX('NOTES CE1'!$AA$10:$AA$250,MATCH(B66,'NOTES CE1'!$B$10:$B$250,0)),INDEX('NOTES CE2-CM1'!$AA$10:$AA$250,MATCH(B66,'NOTES CE2-CM1'!$B$10:$B$250,0)))),""))</f>
        <v/>
      </c>
      <c r="J66" s="81" t="str">
        <f aca="false">IF(COUNT(G66:I66)=0,"",ROUND(AVERAGE(G66:I66),2))</f>
        <v/>
      </c>
      <c r="K66" s="80" t="str">
        <f aca="false">IF(B66="","",IFERROR(IF(LEFT(E66,2)="CP",INDEX('NOTES CP'!$AT$10:$AT$250,MATCH(B66,'NOTES CP'!$B$10:$B$250,0)),IF(E66="CE1",INDEX('NOTES CE1'!$AH$10:$AH$250,MATCH(B66,'NOTES CE1'!$B$10:$B$250,0)),INDEX('NOTES CE2-CM1'!$AH$10:$AH$250,MATCH(B66,'NOTES CE2-CM1'!$B$10:$B$250,0)))),""))</f>
        <v/>
      </c>
      <c r="L66" s="82" t="str">
        <f aca="false">IF(OR(J66="",K66=""),"",ROUND((J66+2*K66)/3,2))</f>
        <v/>
      </c>
      <c r="M66" s="83" t="str">
        <f aca="false">IF(E66="","",IFERROR(INDEX(PARAMETRES!$D$18:$D$23,MATCH(E66,PARAMETRES!$B$18:$B$23,0)),""))</f>
        <v/>
      </c>
      <c r="N66" s="81" t="str">
        <f aca="false">IF(E66="","",IFERROR(INDEX(PARAMETRES!$C$18:$C$23,MATCH(E66,PARAMETRES!$B$18:$B$23,0)),""))</f>
        <v/>
      </c>
      <c r="O66" s="45" t="str">
        <f aca="false">IF(B66="","",IF(F66="ABANDON","ABANDON",IF(F66="TRANSFERE","TRANSFERE",IF(L66="","",IF(L66&gt;=N66,"ADMIS","REDOUBLE")))))</f>
        <v/>
      </c>
      <c r="P66" s="73" t="str">
        <f aca="false">IF(OR(L66="",F66&lt;&gt;"PRESENT"),"",COUNTIFS($E$10:$E$250,E66,$F$10:$F$250,"PRESENT",$L$10:$L$250,"&gt;"&amp;L66)+1)</f>
        <v/>
      </c>
      <c r="Q66" s="74" t="str">
        <f aca="false">IF(O66="ADMIS",IF(L66/M66*10&gt;=8,"Très bien",IF(L66/M66*10&gt;=7,"Bien",IF(L66/M66*10&gt;=6,"Assez bien","Passable"))),IF(O66="REDOUBLE","Insuffisant",""))</f>
        <v/>
      </c>
      <c r="R66" s="51" t="str">
        <f aca="false">IFERROR(MATCH("P-57",'REGISTRE ELEVES'!$AH$10:$AH$250,0),"")</f>
        <v/>
      </c>
    </row>
    <row r="67" customFormat="false" ht="15" hidden="false" customHeight="false" outlineLevel="0" collapsed="false">
      <c r="A67" s="45" t="str">
        <f aca="false">IF(B67="","",58)</f>
        <v/>
      </c>
      <c r="B67" s="45" t="str">
        <f aca="false">IF($R67="","",INDEX('REGISTRE ELEVES'!$B$10:$B$250,$R67))</f>
        <v/>
      </c>
      <c r="C67" s="74" t="str">
        <f aca="false">IF($R67="","",INDEX('REGISTRE ELEVES'!$D$10:$D$250,$R67))</f>
        <v/>
      </c>
      <c r="D67" s="45" t="str">
        <f aca="false">IF($R67="","",INDEX('REGISTRE ELEVES'!$E$10:$E$250,$R67))</f>
        <v/>
      </c>
      <c r="E67" s="45" t="str">
        <f aca="false">IF($R67="","",INDEX('REGISTRE ELEVES'!$F$10:$F$250,$R67))</f>
        <v/>
      </c>
      <c r="F67" s="45" t="str">
        <f aca="false">IF($R67="","",INDEX('REGISTRE ELEVES'!$AE$10:$AE$250,$R67))</f>
        <v/>
      </c>
      <c r="G67" s="80" t="str">
        <f aca="false">IF(B67="","",IFERROR(IF(LEFT(E67,2)="CP",INDEX('NOTES CP'!$P$10:$P$250,MATCH(B67,'NOTES CP'!$B$10:$B$250,0)),IF(E67="CE1",INDEX('NOTES CE1'!$M$10:$M$250,MATCH(B67,'NOTES CE1'!$B$10:$B$250,0)),INDEX('NOTES CE2-CM1'!$M$10:$M$250,MATCH(B67,'NOTES CE2-CM1'!$B$10:$B$250,0)))),""))</f>
        <v/>
      </c>
      <c r="H67" s="80" t="str">
        <f aca="false">IF(B67="","",IFERROR(IF(LEFT(E67,2)="CP",INDEX('NOTES CP'!$Z$10:$Z$250,MATCH(B67,'NOTES CP'!$B$10:$B$250,0)),IF(E67="CE1",INDEX('NOTES CE1'!$T$10:$T$250,MATCH(B67,'NOTES CE1'!$B$10:$B$250,0)),INDEX('NOTES CE2-CM1'!$T$10:$T$250,MATCH(B67,'NOTES CE2-CM1'!$B$10:$B$250,0)))),""))</f>
        <v/>
      </c>
      <c r="I67" s="80" t="str">
        <f aca="false">IF(B67="","",IFERROR(IF(LEFT(E67,2)="CP",INDEX('NOTES CP'!$AJ$10:$AJ$250,MATCH(B67,'NOTES CP'!$B$10:$B$250,0)),IF(E67="CE1",INDEX('NOTES CE1'!$AA$10:$AA$250,MATCH(B67,'NOTES CE1'!$B$10:$B$250,0)),INDEX('NOTES CE2-CM1'!$AA$10:$AA$250,MATCH(B67,'NOTES CE2-CM1'!$B$10:$B$250,0)))),""))</f>
        <v/>
      </c>
      <c r="J67" s="81" t="str">
        <f aca="false">IF(COUNT(G67:I67)=0,"",ROUND(AVERAGE(G67:I67),2))</f>
        <v/>
      </c>
      <c r="K67" s="80" t="str">
        <f aca="false">IF(B67="","",IFERROR(IF(LEFT(E67,2)="CP",INDEX('NOTES CP'!$AT$10:$AT$250,MATCH(B67,'NOTES CP'!$B$10:$B$250,0)),IF(E67="CE1",INDEX('NOTES CE1'!$AH$10:$AH$250,MATCH(B67,'NOTES CE1'!$B$10:$B$250,0)),INDEX('NOTES CE2-CM1'!$AH$10:$AH$250,MATCH(B67,'NOTES CE2-CM1'!$B$10:$B$250,0)))),""))</f>
        <v/>
      </c>
      <c r="L67" s="82" t="str">
        <f aca="false">IF(OR(J67="",K67=""),"",ROUND((J67+2*K67)/3,2))</f>
        <v/>
      </c>
      <c r="M67" s="83" t="str">
        <f aca="false">IF(E67="","",IFERROR(INDEX(PARAMETRES!$D$18:$D$23,MATCH(E67,PARAMETRES!$B$18:$B$23,0)),""))</f>
        <v/>
      </c>
      <c r="N67" s="81" t="str">
        <f aca="false">IF(E67="","",IFERROR(INDEX(PARAMETRES!$C$18:$C$23,MATCH(E67,PARAMETRES!$B$18:$B$23,0)),""))</f>
        <v/>
      </c>
      <c r="O67" s="45" t="str">
        <f aca="false">IF(B67="","",IF(F67="ABANDON","ABANDON",IF(F67="TRANSFERE","TRANSFERE",IF(L67="","",IF(L67&gt;=N67,"ADMIS","REDOUBLE")))))</f>
        <v/>
      </c>
      <c r="P67" s="73" t="str">
        <f aca="false">IF(OR(L67="",F67&lt;&gt;"PRESENT"),"",COUNTIFS($E$10:$E$250,E67,$F$10:$F$250,"PRESENT",$L$10:$L$250,"&gt;"&amp;L67)+1)</f>
        <v/>
      </c>
      <c r="Q67" s="74" t="str">
        <f aca="false">IF(O67="ADMIS",IF(L67/M67*10&gt;=8,"Très bien",IF(L67/M67*10&gt;=7,"Bien",IF(L67/M67*10&gt;=6,"Assez bien","Passable"))),IF(O67="REDOUBLE","Insuffisant",""))</f>
        <v/>
      </c>
      <c r="R67" s="51" t="str">
        <f aca="false">IFERROR(MATCH("P-58",'REGISTRE ELEVES'!$AH$10:$AH$250,0),"")</f>
        <v/>
      </c>
    </row>
    <row r="68" customFormat="false" ht="15" hidden="false" customHeight="false" outlineLevel="0" collapsed="false">
      <c r="A68" s="45" t="str">
        <f aca="false">IF(B68="","",59)</f>
        <v/>
      </c>
      <c r="B68" s="45" t="str">
        <f aca="false">IF($R68="","",INDEX('REGISTRE ELEVES'!$B$10:$B$250,$R68))</f>
        <v/>
      </c>
      <c r="C68" s="74" t="str">
        <f aca="false">IF($R68="","",INDEX('REGISTRE ELEVES'!$D$10:$D$250,$R68))</f>
        <v/>
      </c>
      <c r="D68" s="45" t="str">
        <f aca="false">IF($R68="","",INDEX('REGISTRE ELEVES'!$E$10:$E$250,$R68))</f>
        <v/>
      </c>
      <c r="E68" s="45" t="str">
        <f aca="false">IF($R68="","",INDEX('REGISTRE ELEVES'!$F$10:$F$250,$R68))</f>
        <v/>
      </c>
      <c r="F68" s="45" t="str">
        <f aca="false">IF($R68="","",INDEX('REGISTRE ELEVES'!$AE$10:$AE$250,$R68))</f>
        <v/>
      </c>
      <c r="G68" s="80" t="str">
        <f aca="false">IF(B68="","",IFERROR(IF(LEFT(E68,2)="CP",INDEX('NOTES CP'!$P$10:$P$250,MATCH(B68,'NOTES CP'!$B$10:$B$250,0)),IF(E68="CE1",INDEX('NOTES CE1'!$M$10:$M$250,MATCH(B68,'NOTES CE1'!$B$10:$B$250,0)),INDEX('NOTES CE2-CM1'!$M$10:$M$250,MATCH(B68,'NOTES CE2-CM1'!$B$10:$B$250,0)))),""))</f>
        <v/>
      </c>
      <c r="H68" s="80" t="str">
        <f aca="false">IF(B68="","",IFERROR(IF(LEFT(E68,2)="CP",INDEX('NOTES CP'!$Z$10:$Z$250,MATCH(B68,'NOTES CP'!$B$10:$B$250,0)),IF(E68="CE1",INDEX('NOTES CE1'!$T$10:$T$250,MATCH(B68,'NOTES CE1'!$B$10:$B$250,0)),INDEX('NOTES CE2-CM1'!$T$10:$T$250,MATCH(B68,'NOTES CE2-CM1'!$B$10:$B$250,0)))),""))</f>
        <v/>
      </c>
      <c r="I68" s="80" t="str">
        <f aca="false">IF(B68="","",IFERROR(IF(LEFT(E68,2)="CP",INDEX('NOTES CP'!$AJ$10:$AJ$250,MATCH(B68,'NOTES CP'!$B$10:$B$250,0)),IF(E68="CE1",INDEX('NOTES CE1'!$AA$10:$AA$250,MATCH(B68,'NOTES CE1'!$B$10:$B$250,0)),INDEX('NOTES CE2-CM1'!$AA$10:$AA$250,MATCH(B68,'NOTES CE2-CM1'!$B$10:$B$250,0)))),""))</f>
        <v/>
      </c>
      <c r="J68" s="81" t="str">
        <f aca="false">IF(COUNT(G68:I68)=0,"",ROUND(AVERAGE(G68:I68),2))</f>
        <v/>
      </c>
      <c r="K68" s="80" t="str">
        <f aca="false">IF(B68="","",IFERROR(IF(LEFT(E68,2)="CP",INDEX('NOTES CP'!$AT$10:$AT$250,MATCH(B68,'NOTES CP'!$B$10:$B$250,0)),IF(E68="CE1",INDEX('NOTES CE1'!$AH$10:$AH$250,MATCH(B68,'NOTES CE1'!$B$10:$B$250,0)),INDEX('NOTES CE2-CM1'!$AH$10:$AH$250,MATCH(B68,'NOTES CE2-CM1'!$B$10:$B$250,0)))),""))</f>
        <v/>
      </c>
      <c r="L68" s="82" t="str">
        <f aca="false">IF(OR(J68="",K68=""),"",ROUND((J68+2*K68)/3,2))</f>
        <v/>
      </c>
      <c r="M68" s="83" t="str">
        <f aca="false">IF(E68="","",IFERROR(INDEX(PARAMETRES!$D$18:$D$23,MATCH(E68,PARAMETRES!$B$18:$B$23,0)),""))</f>
        <v/>
      </c>
      <c r="N68" s="81" t="str">
        <f aca="false">IF(E68="","",IFERROR(INDEX(PARAMETRES!$C$18:$C$23,MATCH(E68,PARAMETRES!$B$18:$B$23,0)),""))</f>
        <v/>
      </c>
      <c r="O68" s="45" t="str">
        <f aca="false">IF(B68="","",IF(F68="ABANDON","ABANDON",IF(F68="TRANSFERE","TRANSFERE",IF(L68="","",IF(L68&gt;=N68,"ADMIS","REDOUBLE")))))</f>
        <v/>
      </c>
      <c r="P68" s="73" t="str">
        <f aca="false">IF(OR(L68="",F68&lt;&gt;"PRESENT"),"",COUNTIFS($E$10:$E$250,E68,$F$10:$F$250,"PRESENT",$L$10:$L$250,"&gt;"&amp;L68)+1)</f>
        <v/>
      </c>
      <c r="Q68" s="74" t="str">
        <f aca="false">IF(O68="ADMIS",IF(L68/M68*10&gt;=8,"Très bien",IF(L68/M68*10&gt;=7,"Bien",IF(L68/M68*10&gt;=6,"Assez bien","Passable"))),IF(O68="REDOUBLE","Insuffisant",""))</f>
        <v/>
      </c>
      <c r="R68" s="51" t="str">
        <f aca="false">IFERROR(MATCH("P-59",'REGISTRE ELEVES'!$AH$10:$AH$250,0),"")</f>
        <v/>
      </c>
    </row>
    <row r="69" customFormat="false" ht="15" hidden="false" customHeight="false" outlineLevel="0" collapsed="false">
      <c r="A69" s="45" t="str">
        <f aca="false">IF(B69="","",60)</f>
        <v/>
      </c>
      <c r="B69" s="45" t="str">
        <f aca="false">IF($R69="","",INDEX('REGISTRE ELEVES'!$B$10:$B$250,$R69))</f>
        <v/>
      </c>
      <c r="C69" s="74" t="str">
        <f aca="false">IF($R69="","",INDEX('REGISTRE ELEVES'!$D$10:$D$250,$R69))</f>
        <v/>
      </c>
      <c r="D69" s="45" t="str">
        <f aca="false">IF($R69="","",INDEX('REGISTRE ELEVES'!$E$10:$E$250,$R69))</f>
        <v/>
      </c>
      <c r="E69" s="45" t="str">
        <f aca="false">IF($R69="","",INDEX('REGISTRE ELEVES'!$F$10:$F$250,$R69))</f>
        <v/>
      </c>
      <c r="F69" s="45" t="str">
        <f aca="false">IF($R69="","",INDEX('REGISTRE ELEVES'!$AE$10:$AE$250,$R69))</f>
        <v/>
      </c>
      <c r="G69" s="80" t="str">
        <f aca="false">IF(B69="","",IFERROR(IF(LEFT(E69,2)="CP",INDEX('NOTES CP'!$P$10:$P$250,MATCH(B69,'NOTES CP'!$B$10:$B$250,0)),IF(E69="CE1",INDEX('NOTES CE1'!$M$10:$M$250,MATCH(B69,'NOTES CE1'!$B$10:$B$250,0)),INDEX('NOTES CE2-CM1'!$M$10:$M$250,MATCH(B69,'NOTES CE2-CM1'!$B$10:$B$250,0)))),""))</f>
        <v/>
      </c>
      <c r="H69" s="80" t="str">
        <f aca="false">IF(B69="","",IFERROR(IF(LEFT(E69,2)="CP",INDEX('NOTES CP'!$Z$10:$Z$250,MATCH(B69,'NOTES CP'!$B$10:$B$250,0)),IF(E69="CE1",INDEX('NOTES CE1'!$T$10:$T$250,MATCH(B69,'NOTES CE1'!$B$10:$B$250,0)),INDEX('NOTES CE2-CM1'!$T$10:$T$250,MATCH(B69,'NOTES CE2-CM1'!$B$10:$B$250,0)))),""))</f>
        <v/>
      </c>
      <c r="I69" s="80" t="str">
        <f aca="false">IF(B69="","",IFERROR(IF(LEFT(E69,2)="CP",INDEX('NOTES CP'!$AJ$10:$AJ$250,MATCH(B69,'NOTES CP'!$B$10:$B$250,0)),IF(E69="CE1",INDEX('NOTES CE1'!$AA$10:$AA$250,MATCH(B69,'NOTES CE1'!$B$10:$B$250,0)),INDEX('NOTES CE2-CM1'!$AA$10:$AA$250,MATCH(B69,'NOTES CE2-CM1'!$B$10:$B$250,0)))),""))</f>
        <v/>
      </c>
      <c r="J69" s="81" t="str">
        <f aca="false">IF(COUNT(G69:I69)=0,"",ROUND(AVERAGE(G69:I69),2))</f>
        <v/>
      </c>
      <c r="K69" s="80" t="str">
        <f aca="false">IF(B69="","",IFERROR(IF(LEFT(E69,2)="CP",INDEX('NOTES CP'!$AT$10:$AT$250,MATCH(B69,'NOTES CP'!$B$10:$B$250,0)),IF(E69="CE1",INDEX('NOTES CE1'!$AH$10:$AH$250,MATCH(B69,'NOTES CE1'!$B$10:$B$250,0)),INDEX('NOTES CE2-CM1'!$AH$10:$AH$250,MATCH(B69,'NOTES CE2-CM1'!$B$10:$B$250,0)))),""))</f>
        <v/>
      </c>
      <c r="L69" s="82" t="str">
        <f aca="false">IF(OR(J69="",K69=""),"",ROUND((J69+2*K69)/3,2))</f>
        <v/>
      </c>
      <c r="M69" s="83" t="str">
        <f aca="false">IF(E69="","",IFERROR(INDEX(PARAMETRES!$D$18:$D$23,MATCH(E69,PARAMETRES!$B$18:$B$23,0)),""))</f>
        <v/>
      </c>
      <c r="N69" s="81" t="str">
        <f aca="false">IF(E69="","",IFERROR(INDEX(PARAMETRES!$C$18:$C$23,MATCH(E69,PARAMETRES!$B$18:$B$23,0)),""))</f>
        <v/>
      </c>
      <c r="O69" s="45" t="str">
        <f aca="false">IF(B69="","",IF(F69="ABANDON","ABANDON",IF(F69="TRANSFERE","TRANSFERE",IF(L69="","",IF(L69&gt;=N69,"ADMIS","REDOUBLE")))))</f>
        <v/>
      </c>
      <c r="P69" s="73" t="str">
        <f aca="false">IF(OR(L69="",F69&lt;&gt;"PRESENT"),"",COUNTIFS($E$10:$E$250,E69,$F$10:$F$250,"PRESENT",$L$10:$L$250,"&gt;"&amp;L69)+1)</f>
        <v/>
      </c>
      <c r="Q69" s="74" t="str">
        <f aca="false">IF(O69="ADMIS",IF(L69/M69*10&gt;=8,"Très bien",IF(L69/M69*10&gt;=7,"Bien",IF(L69/M69*10&gt;=6,"Assez bien","Passable"))),IF(O69="REDOUBLE","Insuffisant",""))</f>
        <v/>
      </c>
      <c r="R69" s="51" t="str">
        <f aca="false">IFERROR(MATCH("P-60",'REGISTRE ELEVES'!$AH$10:$AH$250,0),"")</f>
        <v/>
      </c>
    </row>
    <row r="70" customFormat="false" ht="15" hidden="false" customHeight="false" outlineLevel="0" collapsed="false">
      <c r="A70" s="45" t="str">
        <f aca="false">IF(B70="","",61)</f>
        <v/>
      </c>
      <c r="B70" s="45" t="str">
        <f aca="false">IF($R70="","",INDEX('REGISTRE ELEVES'!$B$10:$B$250,$R70))</f>
        <v/>
      </c>
      <c r="C70" s="74" t="str">
        <f aca="false">IF($R70="","",INDEX('REGISTRE ELEVES'!$D$10:$D$250,$R70))</f>
        <v/>
      </c>
      <c r="D70" s="45" t="str">
        <f aca="false">IF($R70="","",INDEX('REGISTRE ELEVES'!$E$10:$E$250,$R70))</f>
        <v/>
      </c>
      <c r="E70" s="45" t="str">
        <f aca="false">IF($R70="","",INDEX('REGISTRE ELEVES'!$F$10:$F$250,$R70))</f>
        <v/>
      </c>
      <c r="F70" s="45" t="str">
        <f aca="false">IF($R70="","",INDEX('REGISTRE ELEVES'!$AE$10:$AE$250,$R70))</f>
        <v/>
      </c>
      <c r="G70" s="80" t="str">
        <f aca="false">IF(B70="","",IFERROR(IF(LEFT(E70,2)="CP",INDEX('NOTES CP'!$P$10:$P$250,MATCH(B70,'NOTES CP'!$B$10:$B$250,0)),IF(E70="CE1",INDEX('NOTES CE1'!$M$10:$M$250,MATCH(B70,'NOTES CE1'!$B$10:$B$250,0)),INDEX('NOTES CE2-CM1'!$M$10:$M$250,MATCH(B70,'NOTES CE2-CM1'!$B$10:$B$250,0)))),""))</f>
        <v/>
      </c>
      <c r="H70" s="80" t="str">
        <f aca="false">IF(B70="","",IFERROR(IF(LEFT(E70,2)="CP",INDEX('NOTES CP'!$Z$10:$Z$250,MATCH(B70,'NOTES CP'!$B$10:$B$250,0)),IF(E70="CE1",INDEX('NOTES CE1'!$T$10:$T$250,MATCH(B70,'NOTES CE1'!$B$10:$B$250,0)),INDEX('NOTES CE2-CM1'!$T$10:$T$250,MATCH(B70,'NOTES CE2-CM1'!$B$10:$B$250,0)))),""))</f>
        <v/>
      </c>
      <c r="I70" s="80" t="str">
        <f aca="false">IF(B70="","",IFERROR(IF(LEFT(E70,2)="CP",INDEX('NOTES CP'!$AJ$10:$AJ$250,MATCH(B70,'NOTES CP'!$B$10:$B$250,0)),IF(E70="CE1",INDEX('NOTES CE1'!$AA$10:$AA$250,MATCH(B70,'NOTES CE1'!$B$10:$B$250,0)),INDEX('NOTES CE2-CM1'!$AA$10:$AA$250,MATCH(B70,'NOTES CE2-CM1'!$B$10:$B$250,0)))),""))</f>
        <v/>
      </c>
      <c r="J70" s="81" t="str">
        <f aca="false">IF(COUNT(G70:I70)=0,"",ROUND(AVERAGE(G70:I70),2))</f>
        <v/>
      </c>
      <c r="K70" s="80" t="str">
        <f aca="false">IF(B70="","",IFERROR(IF(LEFT(E70,2)="CP",INDEX('NOTES CP'!$AT$10:$AT$250,MATCH(B70,'NOTES CP'!$B$10:$B$250,0)),IF(E70="CE1",INDEX('NOTES CE1'!$AH$10:$AH$250,MATCH(B70,'NOTES CE1'!$B$10:$B$250,0)),INDEX('NOTES CE2-CM1'!$AH$10:$AH$250,MATCH(B70,'NOTES CE2-CM1'!$B$10:$B$250,0)))),""))</f>
        <v/>
      </c>
      <c r="L70" s="82" t="str">
        <f aca="false">IF(OR(J70="",K70=""),"",ROUND((J70+2*K70)/3,2))</f>
        <v/>
      </c>
      <c r="M70" s="83" t="str">
        <f aca="false">IF(E70="","",IFERROR(INDEX(PARAMETRES!$D$18:$D$23,MATCH(E70,PARAMETRES!$B$18:$B$23,0)),""))</f>
        <v/>
      </c>
      <c r="N70" s="81" t="str">
        <f aca="false">IF(E70="","",IFERROR(INDEX(PARAMETRES!$C$18:$C$23,MATCH(E70,PARAMETRES!$B$18:$B$23,0)),""))</f>
        <v/>
      </c>
      <c r="O70" s="45" t="str">
        <f aca="false">IF(B70="","",IF(F70="ABANDON","ABANDON",IF(F70="TRANSFERE","TRANSFERE",IF(L70="","",IF(L70&gt;=N70,"ADMIS","REDOUBLE")))))</f>
        <v/>
      </c>
      <c r="P70" s="73" t="str">
        <f aca="false">IF(OR(L70="",F70&lt;&gt;"PRESENT"),"",COUNTIFS($E$10:$E$250,E70,$F$10:$F$250,"PRESENT",$L$10:$L$250,"&gt;"&amp;L70)+1)</f>
        <v/>
      </c>
      <c r="Q70" s="74" t="str">
        <f aca="false">IF(O70="ADMIS",IF(L70/M70*10&gt;=8,"Très bien",IF(L70/M70*10&gt;=7,"Bien",IF(L70/M70*10&gt;=6,"Assez bien","Passable"))),IF(O70="REDOUBLE","Insuffisant",""))</f>
        <v/>
      </c>
      <c r="R70" s="51" t="str">
        <f aca="false">IFERROR(MATCH("P-61",'REGISTRE ELEVES'!$AH$10:$AH$250,0),"")</f>
        <v/>
      </c>
    </row>
    <row r="71" customFormat="false" ht="15" hidden="false" customHeight="false" outlineLevel="0" collapsed="false">
      <c r="A71" s="45" t="str">
        <f aca="false">IF(B71="","",62)</f>
        <v/>
      </c>
      <c r="B71" s="45" t="str">
        <f aca="false">IF($R71="","",INDEX('REGISTRE ELEVES'!$B$10:$B$250,$R71))</f>
        <v/>
      </c>
      <c r="C71" s="74" t="str">
        <f aca="false">IF($R71="","",INDEX('REGISTRE ELEVES'!$D$10:$D$250,$R71))</f>
        <v/>
      </c>
      <c r="D71" s="45" t="str">
        <f aca="false">IF($R71="","",INDEX('REGISTRE ELEVES'!$E$10:$E$250,$R71))</f>
        <v/>
      </c>
      <c r="E71" s="45" t="str">
        <f aca="false">IF($R71="","",INDEX('REGISTRE ELEVES'!$F$10:$F$250,$R71))</f>
        <v/>
      </c>
      <c r="F71" s="45" t="str">
        <f aca="false">IF($R71="","",INDEX('REGISTRE ELEVES'!$AE$10:$AE$250,$R71))</f>
        <v/>
      </c>
      <c r="G71" s="80" t="str">
        <f aca="false">IF(B71="","",IFERROR(IF(LEFT(E71,2)="CP",INDEX('NOTES CP'!$P$10:$P$250,MATCH(B71,'NOTES CP'!$B$10:$B$250,0)),IF(E71="CE1",INDEX('NOTES CE1'!$M$10:$M$250,MATCH(B71,'NOTES CE1'!$B$10:$B$250,0)),INDEX('NOTES CE2-CM1'!$M$10:$M$250,MATCH(B71,'NOTES CE2-CM1'!$B$10:$B$250,0)))),""))</f>
        <v/>
      </c>
      <c r="H71" s="80" t="str">
        <f aca="false">IF(B71="","",IFERROR(IF(LEFT(E71,2)="CP",INDEX('NOTES CP'!$Z$10:$Z$250,MATCH(B71,'NOTES CP'!$B$10:$B$250,0)),IF(E71="CE1",INDEX('NOTES CE1'!$T$10:$T$250,MATCH(B71,'NOTES CE1'!$B$10:$B$250,0)),INDEX('NOTES CE2-CM1'!$T$10:$T$250,MATCH(B71,'NOTES CE2-CM1'!$B$10:$B$250,0)))),""))</f>
        <v/>
      </c>
      <c r="I71" s="80" t="str">
        <f aca="false">IF(B71="","",IFERROR(IF(LEFT(E71,2)="CP",INDEX('NOTES CP'!$AJ$10:$AJ$250,MATCH(B71,'NOTES CP'!$B$10:$B$250,0)),IF(E71="CE1",INDEX('NOTES CE1'!$AA$10:$AA$250,MATCH(B71,'NOTES CE1'!$B$10:$B$250,0)),INDEX('NOTES CE2-CM1'!$AA$10:$AA$250,MATCH(B71,'NOTES CE2-CM1'!$B$10:$B$250,0)))),""))</f>
        <v/>
      </c>
      <c r="J71" s="81" t="str">
        <f aca="false">IF(COUNT(G71:I71)=0,"",ROUND(AVERAGE(G71:I71),2))</f>
        <v/>
      </c>
      <c r="K71" s="80" t="str">
        <f aca="false">IF(B71="","",IFERROR(IF(LEFT(E71,2)="CP",INDEX('NOTES CP'!$AT$10:$AT$250,MATCH(B71,'NOTES CP'!$B$10:$B$250,0)),IF(E71="CE1",INDEX('NOTES CE1'!$AH$10:$AH$250,MATCH(B71,'NOTES CE1'!$B$10:$B$250,0)),INDEX('NOTES CE2-CM1'!$AH$10:$AH$250,MATCH(B71,'NOTES CE2-CM1'!$B$10:$B$250,0)))),""))</f>
        <v/>
      </c>
      <c r="L71" s="82" t="str">
        <f aca="false">IF(OR(J71="",K71=""),"",ROUND((J71+2*K71)/3,2))</f>
        <v/>
      </c>
      <c r="M71" s="83" t="str">
        <f aca="false">IF(E71="","",IFERROR(INDEX(PARAMETRES!$D$18:$D$23,MATCH(E71,PARAMETRES!$B$18:$B$23,0)),""))</f>
        <v/>
      </c>
      <c r="N71" s="81" t="str">
        <f aca="false">IF(E71="","",IFERROR(INDEX(PARAMETRES!$C$18:$C$23,MATCH(E71,PARAMETRES!$B$18:$B$23,0)),""))</f>
        <v/>
      </c>
      <c r="O71" s="45" t="str">
        <f aca="false">IF(B71="","",IF(F71="ABANDON","ABANDON",IF(F71="TRANSFERE","TRANSFERE",IF(L71="","",IF(L71&gt;=N71,"ADMIS","REDOUBLE")))))</f>
        <v/>
      </c>
      <c r="P71" s="73" t="str">
        <f aca="false">IF(OR(L71="",F71&lt;&gt;"PRESENT"),"",COUNTIFS($E$10:$E$250,E71,$F$10:$F$250,"PRESENT",$L$10:$L$250,"&gt;"&amp;L71)+1)</f>
        <v/>
      </c>
      <c r="Q71" s="74" t="str">
        <f aca="false">IF(O71="ADMIS",IF(L71/M71*10&gt;=8,"Très bien",IF(L71/M71*10&gt;=7,"Bien",IF(L71/M71*10&gt;=6,"Assez bien","Passable"))),IF(O71="REDOUBLE","Insuffisant",""))</f>
        <v/>
      </c>
      <c r="R71" s="51" t="str">
        <f aca="false">IFERROR(MATCH("P-62",'REGISTRE ELEVES'!$AH$10:$AH$250,0),"")</f>
        <v/>
      </c>
    </row>
    <row r="72" customFormat="false" ht="15" hidden="false" customHeight="false" outlineLevel="0" collapsed="false">
      <c r="A72" s="45" t="str">
        <f aca="false">IF(B72="","",63)</f>
        <v/>
      </c>
      <c r="B72" s="45" t="str">
        <f aca="false">IF($R72="","",INDEX('REGISTRE ELEVES'!$B$10:$B$250,$R72))</f>
        <v/>
      </c>
      <c r="C72" s="74" t="str">
        <f aca="false">IF($R72="","",INDEX('REGISTRE ELEVES'!$D$10:$D$250,$R72))</f>
        <v/>
      </c>
      <c r="D72" s="45" t="str">
        <f aca="false">IF($R72="","",INDEX('REGISTRE ELEVES'!$E$10:$E$250,$R72))</f>
        <v/>
      </c>
      <c r="E72" s="45" t="str">
        <f aca="false">IF($R72="","",INDEX('REGISTRE ELEVES'!$F$10:$F$250,$R72))</f>
        <v/>
      </c>
      <c r="F72" s="45" t="str">
        <f aca="false">IF($R72="","",INDEX('REGISTRE ELEVES'!$AE$10:$AE$250,$R72))</f>
        <v/>
      </c>
      <c r="G72" s="80" t="str">
        <f aca="false">IF(B72="","",IFERROR(IF(LEFT(E72,2)="CP",INDEX('NOTES CP'!$P$10:$P$250,MATCH(B72,'NOTES CP'!$B$10:$B$250,0)),IF(E72="CE1",INDEX('NOTES CE1'!$M$10:$M$250,MATCH(B72,'NOTES CE1'!$B$10:$B$250,0)),INDEX('NOTES CE2-CM1'!$M$10:$M$250,MATCH(B72,'NOTES CE2-CM1'!$B$10:$B$250,0)))),""))</f>
        <v/>
      </c>
      <c r="H72" s="80" t="str">
        <f aca="false">IF(B72="","",IFERROR(IF(LEFT(E72,2)="CP",INDEX('NOTES CP'!$Z$10:$Z$250,MATCH(B72,'NOTES CP'!$B$10:$B$250,0)),IF(E72="CE1",INDEX('NOTES CE1'!$T$10:$T$250,MATCH(B72,'NOTES CE1'!$B$10:$B$250,0)),INDEX('NOTES CE2-CM1'!$T$10:$T$250,MATCH(B72,'NOTES CE2-CM1'!$B$10:$B$250,0)))),""))</f>
        <v/>
      </c>
      <c r="I72" s="80" t="str">
        <f aca="false">IF(B72="","",IFERROR(IF(LEFT(E72,2)="CP",INDEX('NOTES CP'!$AJ$10:$AJ$250,MATCH(B72,'NOTES CP'!$B$10:$B$250,0)),IF(E72="CE1",INDEX('NOTES CE1'!$AA$10:$AA$250,MATCH(B72,'NOTES CE1'!$B$10:$B$250,0)),INDEX('NOTES CE2-CM1'!$AA$10:$AA$250,MATCH(B72,'NOTES CE2-CM1'!$B$10:$B$250,0)))),""))</f>
        <v/>
      </c>
      <c r="J72" s="81" t="str">
        <f aca="false">IF(COUNT(G72:I72)=0,"",ROUND(AVERAGE(G72:I72),2))</f>
        <v/>
      </c>
      <c r="K72" s="80" t="str">
        <f aca="false">IF(B72="","",IFERROR(IF(LEFT(E72,2)="CP",INDEX('NOTES CP'!$AT$10:$AT$250,MATCH(B72,'NOTES CP'!$B$10:$B$250,0)),IF(E72="CE1",INDEX('NOTES CE1'!$AH$10:$AH$250,MATCH(B72,'NOTES CE1'!$B$10:$B$250,0)),INDEX('NOTES CE2-CM1'!$AH$10:$AH$250,MATCH(B72,'NOTES CE2-CM1'!$B$10:$B$250,0)))),""))</f>
        <v/>
      </c>
      <c r="L72" s="82" t="str">
        <f aca="false">IF(OR(J72="",K72=""),"",ROUND((J72+2*K72)/3,2))</f>
        <v/>
      </c>
      <c r="M72" s="83" t="str">
        <f aca="false">IF(E72="","",IFERROR(INDEX(PARAMETRES!$D$18:$D$23,MATCH(E72,PARAMETRES!$B$18:$B$23,0)),""))</f>
        <v/>
      </c>
      <c r="N72" s="81" t="str">
        <f aca="false">IF(E72="","",IFERROR(INDEX(PARAMETRES!$C$18:$C$23,MATCH(E72,PARAMETRES!$B$18:$B$23,0)),""))</f>
        <v/>
      </c>
      <c r="O72" s="45" t="str">
        <f aca="false">IF(B72="","",IF(F72="ABANDON","ABANDON",IF(F72="TRANSFERE","TRANSFERE",IF(L72="","",IF(L72&gt;=N72,"ADMIS","REDOUBLE")))))</f>
        <v/>
      </c>
      <c r="P72" s="73" t="str">
        <f aca="false">IF(OR(L72="",F72&lt;&gt;"PRESENT"),"",COUNTIFS($E$10:$E$250,E72,$F$10:$F$250,"PRESENT",$L$10:$L$250,"&gt;"&amp;L72)+1)</f>
        <v/>
      </c>
      <c r="Q72" s="74" t="str">
        <f aca="false">IF(O72="ADMIS",IF(L72/M72*10&gt;=8,"Très bien",IF(L72/M72*10&gt;=7,"Bien",IF(L72/M72*10&gt;=6,"Assez bien","Passable"))),IF(O72="REDOUBLE","Insuffisant",""))</f>
        <v/>
      </c>
      <c r="R72" s="51" t="str">
        <f aca="false">IFERROR(MATCH("P-63",'REGISTRE ELEVES'!$AH$10:$AH$250,0),"")</f>
        <v/>
      </c>
    </row>
    <row r="73" customFormat="false" ht="15" hidden="false" customHeight="false" outlineLevel="0" collapsed="false">
      <c r="A73" s="45" t="str">
        <f aca="false">IF(B73="","",64)</f>
        <v/>
      </c>
      <c r="B73" s="45" t="str">
        <f aca="false">IF($R73="","",INDEX('REGISTRE ELEVES'!$B$10:$B$250,$R73))</f>
        <v/>
      </c>
      <c r="C73" s="74" t="str">
        <f aca="false">IF($R73="","",INDEX('REGISTRE ELEVES'!$D$10:$D$250,$R73))</f>
        <v/>
      </c>
      <c r="D73" s="45" t="str">
        <f aca="false">IF($R73="","",INDEX('REGISTRE ELEVES'!$E$10:$E$250,$R73))</f>
        <v/>
      </c>
      <c r="E73" s="45" t="str">
        <f aca="false">IF($R73="","",INDEX('REGISTRE ELEVES'!$F$10:$F$250,$R73))</f>
        <v/>
      </c>
      <c r="F73" s="45" t="str">
        <f aca="false">IF($R73="","",INDEX('REGISTRE ELEVES'!$AE$10:$AE$250,$R73))</f>
        <v/>
      </c>
      <c r="G73" s="80" t="str">
        <f aca="false">IF(B73="","",IFERROR(IF(LEFT(E73,2)="CP",INDEX('NOTES CP'!$P$10:$P$250,MATCH(B73,'NOTES CP'!$B$10:$B$250,0)),IF(E73="CE1",INDEX('NOTES CE1'!$M$10:$M$250,MATCH(B73,'NOTES CE1'!$B$10:$B$250,0)),INDEX('NOTES CE2-CM1'!$M$10:$M$250,MATCH(B73,'NOTES CE2-CM1'!$B$10:$B$250,0)))),""))</f>
        <v/>
      </c>
      <c r="H73" s="80" t="str">
        <f aca="false">IF(B73="","",IFERROR(IF(LEFT(E73,2)="CP",INDEX('NOTES CP'!$Z$10:$Z$250,MATCH(B73,'NOTES CP'!$B$10:$B$250,0)),IF(E73="CE1",INDEX('NOTES CE1'!$T$10:$T$250,MATCH(B73,'NOTES CE1'!$B$10:$B$250,0)),INDEX('NOTES CE2-CM1'!$T$10:$T$250,MATCH(B73,'NOTES CE2-CM1'!$B$10:$B$250,0)))),""))</f>
        <v/>
      </c>
      <c r="I73" s="80" t="str">
        <f aca="false">IF(B73="","",IFERROR(IF(LEFT(E73,2)="CP",INDEX('NOTES CP'!$AJ$10:$AJ$250,MATCH(B73,'NOTES CP'!$B$10:$B$250,0)),IF(E73="CE1",INDEX('NOTES CE1'!$AA$10:$AA$250,MATCH(B73,'NOTES CE1'!$B$10:$B$250,0)),INDEX('NOTES CE2-CM1'!$AA$10:$AA$250,MATCH(B73,'NOTES CE2-CM1'!$B$10:$B$250,0)))),""))</f>
        <v/>
      </c>
      <c r="J73" s="81" t="str">
        <f aca="false">IF(COUNT(G73:I73)=0,"",ROUND(AVERAGE(G73:I73),2))</f>
        <v/>
      </c>
      <c r="K73" s="80" t="str">
        <f aca="false">IF(B73="","",IFERROR(IF(LEFT(E73,2)="CP",INDEX('NOTES CP'!$AT$10:$AT$250,MATCH(B73,'NOTES CP'!$B$10:$B$250,0)),IF(E73="CE1",INDEX('NOTES CE1'!$AH$10:$AH$250,MATCH(B73,'NOTES CE1'!$B$10:$B$250,0)),INDEX('NOTES CE2-CM1'!$AH$10:$AH$250,MATCH(B73,'NOTES CE2-CM1'!$B$10:$B$250,0)))),""))</f>
        <v/>
      </c>
      <c r="L73" s="82" t="str">
        <f aca="false">IF(OR(J73="",K73=""),"",ROUND((J73+2*K73)/3,2))</f>
        <v/>
      </c>
      <c r="M73" s="83" t="str">
        <f aca="false">IF(E73="","",IFERROR(INDEX(PARAMETRES!$D$18:$D$23,MATCH(E73,PARAMETRES!$B$18:$B$23,0)),""))</f>
        <v/>
      </c>
      <c r="N73" s="81" t="str">
        <f aca="false">IF(E73="","",IFERROR(INDEX(PARAMETRES!$C$18:$C$23,MATCH(E73,PARAMETRES!$B$18:$B$23,0)),""))</f>
        <v/>
      </c>
      <c r="O73" s="45" t="str">
        <f aca="false">IF(B73="","",IF(F73="ABANDON","ABANDON",IF(F73="TRANSFERE","TRANSFERE",IF(L73="","",IF(L73&gt;=N73,"ADMIS","REDOUBLE")))))</f>
        <v/>
      </c>
      <c r="P73" s="73" t="str">
        <f aca="false">IF(OR(L73="",F73&lt;&gt;"PRESENT"),"",COUNTIFS($E$10:$E$250,E73,$F$10:$F$250,"PRESENT",$L$10:$L$250,"&gt;"&amp;L73)+1)</f>
        <v/>
      </c>
      <c r="Q73" s="74" t="str">
        <f aca="false">IF(O73="ADMIS",IF(L73/M73*10&gt;=8,"Très bien",IF(L73/M73*10&gt;=7,"Bien",IF(L73/M73*10&gt;=6,"Assez bien","Passable"))),IF(O73="REDOUBLE","Insuffisant",""))</f>
        <v/>
      </c>
      <c r="R73" s="51" t="str">
        <f aca="false">IFERROR(MATCH("P-64",'REGISTRE ELEVES'!$AH$10:$AH$250,0),"")</f>
        <v/>
      </c>
    </row>
    <row r="74" customFormat="false" ht="15" hidden="false" customHeight="false" outlineLevel="0" collapsed="false">
      <c r="A74" s="45" t="str">
        <f aca="false">IF(B74="","",65)</f>
        <v/>
      </c>
      <c r="B74" s="45" t="str">
        <f aca="false">IF($R74="","",INDEX('REGISTRE ELEVES'!$B$10:$B$250,$R74))</f>
        <v/>
      </c>
      <c r="C74" s="74" t="str">
        <f aca="false">IF($R74="","",INDEX('REGISTRE ELEVES'!$D$10:$D$250,$R74))</f>
        <v/>
      </c>
      <c r="D74" s="45" t="str">
        <f aca="false">IF($R74="","",INDEX('REGISTRE ELEVES'!$E$10:$E$250,$R74))</f>
        <v/>
      </c>
      <c r="E74" s="45" t="str">
        <f aca="false">IF($R74="","",INDEX('REGISTRE ELEVES'!$F$10:$F$250,$R74))</f>
        <v/>
      </c>
      <c r="F74" s="45" t="str">
        <f aca="false">IF($R74="","",INDEX('REGISTRE ELEVES'!$AE$10:$AE$250,$R74))</f>
        <v/>
      </c>
      <c r="G74" s="80" t="str">
        <f aca="false">IF(B74="","",IFERROR(IF(LEFT(E74,2)="CP",INDEX('NOTES CP'!$P$10:$P$250,MATCH(B74,'NOTES CP'!$B$10:$B$250,0)),IF(E74="CE1",INDEX('NOTES CE1'!$M$10:$M$250,MATCH(B74,'NOTES CE1'!$B$10:$B$250,0)),INDEX('NOTES CE2-CM1'!$M$10:$M$250,MATCH(B74,'NOTES CE2-CM1'!$B$10:$B$250,0)))),""))</f>
        <v/>
      </c>
      <c r="H74" s="80" t="str">
        <f aca="false">IF(B74="","",IFERROR(IF(LEFT(E74,2)="CP",INDEX('NOTES CP'!$Z$10:$Z$250,MATCH(B74,'NOTES CP'!$B$10:$B$250,0)),IF(E74="CE1",INDEX('NOTES CE1'!$T$10:$T$250,MATCH(B74,'NOTES CE1'!$B$10:$B$250,0)),INDEX('NOTES CE2-CM1'!$T$10:$T$250,MATCH(B74,'NOTES CE2-CM1'!$B$10:$B$250,0)))),""))</f>
        <v/>
      </c>
      <c r="I74" s="80" t="str">
        <f aca="false">IF(B74="","",IFERROR(IF(LEFT(E74,2)="CP",INDEX('NOTES CP'!$AJ$10:$AJ$250,MATCH(B74,'NOTES CP'!$B$10:$B$250,0)),IF(E74="CE1",INDEX('NOTES CE1'!$AA$10:$AA$250,MATCH(B74,'NOTES CE1'!$B$10:$B$250,0)),INDEX('NOTES CE2-CM1'!$AA$10:$AA$250,MATCH(B74,'NOTES CE2-CM1'!$B$10:$B$250,0)))),""))</f>
        <v/>
      </c>
      <c r="J74" s="81" t="str">
        <f aca="false">IF(COUNT(G74:I74)=0,"",ROUND(AVERAGE(G74:I74),2))</f>
        <v/>
      </c>
      <c r="K74" s="80" t="str">
        <f aca="false">IF(B74="","",IFERROR(IF(LEFT(E74,2)="CP",INDEX('NOTES CP'!$AT$10:$AT$250,MATCH(B74,'NOTES CP'!$B$10:$B$250,0)),IF(E74="CE1",INDEX('NOTES CE1'!$AH$10:$AH$250,MATCH(B74,'NOTES CE1'!$B$10:$B$250,0)),INDEX('NOTES CE2-CM1'!$AH$10:$AH$250,MATCH(B74,'NOTES CE2-CM1'!$B$10:$B$250,0)))),""))</f>
        <v/>
      </c>
      <c r="L74" s="82" t="str">
        <f aca="false">IF(OR(J74="",K74=""),"",ROUND((J74+2*K74)/3,2))</f>
        <v/>
      </c>
      <c r="M74" s="83" t="str">
        <f aca="false">IF(E74="","",IFERROR(INDEX(PARAMETRES!$D$18:$D$23,MATCH(E74,PARAMETRES!$B$18:$B$23,0)),""))</f>
        <v/>
      </c>
      <c r="N74" s="81" t="str">
        <f aca="false">IF(E74="","",IFERROR(INDEX(PARAMETRES!$C$18:$C$23,MATCH(E74,PARAMETRES!$B$18:$B$23,0)),""))</f>
        <v/>
      </c>
      <c r="O74" s="45" t="str">
        <f aca="false">IF(B74="","",IF(F74="ABANDON","ABANDON",IF(F74="TRANSFERE","TRANSFERE",IF(L74="","",IF(L74&gt;=N74,"ADMIS","REDOUBLE")))))</f>
        <v/>
      </c>
      <c r="P74" s="73" t="str">
        <f aca="false">IF(OR(L74="",F74&lt;&gt;"PRESENT"),"",COUNTIFS($E$10:$E$250,E74,$F$10:$F$250,"PRESENT",$L$10:$L$250,"&gt;"&amp;L74)+1)</f>
        <v/>
      </c>
      <c r="Q74" s="74" t="str">
        <f aca="false">IF(O74="ADMIS",IF(L74/M74*10&gt;=8,"Très bien",IF(L74/M74*10&gt;=7,"Bien",IF(L74/M74*10&gt;=6,"Assez bien","Passable"))),IF(O74="REDOUBLE","Insuffisant",""))</f>
        <v/>
      </c>
      <c r="R74" s="51" t="str">
        <f aca="false">IFERROR(MATCH("P-65",'REGISTRE ELEVES'!$AH$10:$AH$250,0),"")</f>
        <v/>
      </c>
    </row>
    <row r="75" customFormat="false" ht="15" hidden="false" customHeight="false" outlineLevel="0" collapsed="false">
      <c r="A75" s="45" t="str">
        <f aca="false">IF(B75="","",66)</f>
        <v/>
      </c>
      <c r="B75" s="45" t="str">
        <f aca="false">IF($R75="","",INDEX('REGISTRE ELEVES'!$B$10:$B$250,$R75))</f>
        <v/>
      </c>
      <c r="C75" s="74" t="str">
        <f aca="false">IF($R75="","",INDEX('REGISTRE ELEVES'!$D$10:$D$250,$R75))</f>
        <v/>
      </c>
      <c r="D75" s="45" t="str">
        <f aca="false">IF($R75="","",INDEX('REGISTRE ELEVES'!$E$10:$E$250,$R75))</f>
        <v/>
      </c>
      <c r="E75" s="45" t="str">
        <f aca="false">IF($R75="","",INDEX('REGISTRE ELEVES'!$F$10:$F$250,$R75))</f>
        <v/>
      </c>
      <c r="F75" s="45" t="str">
        <f aca="false">IF($R75="","",INDEX('REGISTRE ELEVES'!$AE$10:$AE$250,$R75))</f>
        <v/>
      </c>
      <c r="G75" s="80" t="str">
        <f aca="false">IF(B75="","",IFERROR(IF(LEFT(E75,2)="CP",INDEX('NOTES CP'!$P$10:$P$250,MATCH(B75,'NOTES CP'!$B$10:$B$250,0)),IF(E75="CE1",INDEX('NOTES CE1'!$M$10:$M$250,MATCH(B75,'NOTES CE1'!$B$10:$B$250,0)),INDEX('NOTES CE2-CM1'!$M$10:$M$250,MATCH(B75,'NOTES CE2-CM1'!$B$10:$B$250,0)))),""))</f>
        <v/>
      </c>
      <c r="H75" s="80" t="str">
        <f aca="false">IF(B75="","",IFERROR(IF(LEFT(E75,2)="CP",INDEX('NOTES CP'!$Z$10:$Z$250,MATCH(B75,'NOTES CP'!$B$10:$B$250,0)),IF(E75="CE1",INDEX('NOTES CE1'!$T$10:$T$250,MATCH(B75,'NOTES CE1'!$B$10:$B$250,0)),INDEX('NOTES CE2-CM1'!$T$10:$T$250,MATCH(B75,'NOTES CE2-CM1'!$B$10:$B$250,0)))),""))</f>
        <v/>
      </c>
      <c r="I75" s="80" t="str">
        <f aca="false">IF(B75="","",IFERROR(IF(LEFT(E75,2)="CP",INDEX('NOTES CP'!$AJ$10:$AJ$250,MATCH(B75,'NOTES CP'!$B$10:$B$250,0)),IF(E75="CE1",INDEX('NOTES CE1'!$AA$10:$AA$250,MATCH(B75,'NOTES CE1'!$B$10:$B$250,0)),INDEX('NOTES CE2-CM1'!$AA$10:$AA$250,MATCH(B75,'NOTES CE2-CM1'!$B$10:$B$250,0)))),""))</f>
        <v/>
      </c>
      <c r="J75" s="81" t="str">
        <f aca="false">IF(COUNT(G75:I75)=0,"",ROUND(AVERAGE(G75:I75),2))</f>
        <v/>
      </c>
      <c r="K75" s="80" t="str">
        <f aca="false">IF(B75="","",IFERROR(IF(LEFT(E75,2)="CP",INDEX('NOTES CP'!$AT$10:$AT$250,MATCH(B75,'NOTES CP'!$B$10:$B$250,0)),IF(E75="CE1",INDEX('NOTES CE1'!$AH$10:$AH$250,MATCH(B75,'NOTES CE1'!$B$10:$B$250,0)),INDEX('NOTES CE2-CM1'!$AH$10:$AH$250,MATCH(B75,'NOTES CE2-CM1'!$B$10:$B$250,0)))),""))</f>
        <v/>
      </c>
      <c r="L75" s="82" t="str">
        <f aca="false">IF(OR(J75="",K75=""),"",ROUND((J75+2*K75)/3,2))</f>
        <v/>
      </c>
      <c r="M75" s="83" t="str">
        <f aca="false">IF(E75="","",IFERROR(INDEX(PARAMETRES!$D$18:$D$23,MATCH(E75,PARAMETRES!$B$18:$B$23,0)),""))</f>
        <v/>
      </c>
      <c r="N75" s="81" t="str">
        <f aca="false">IF(E75="","",IFERROR(INDEX(PARAMETRES!$C$18:$C$23,MATCH(E75,PARAMETRES!$B$18:$B$23,0)),""))</f>
        <v/>
      </c>
      <c r="O75" s="45" t="str">
        <f aca="false">IF(B75="","",IF(F75="ABANDON","ABANDON",IF(F75="TRANSFERE","TRANSFERE",IF(L75="","",IF(L75&gt;=N75,"ADMIS","REDOUBLE")))))</f>
        <v/>
      </c>
      <c r="P75" s="73" t="str">
        <f aca="false">IF(OR(L75="",F75&lt;&gt;"PRESENT"),"",COUNTIFS($E$10:$E$250,E75,$F$10:$F$250,"PRESENT",$L$10:$L$250,"&gt;"&amp;L75)+1)</f>
        <v/>
      </c>
      <c r="Q75" s="74" t="str">
        <f aca="false">IF(O75="ADMIS",IF(L75/M75*10&gt;=8,"Très bien",IF(L75/M75*10&gt;=7,"Bien",IF(L75/M75*10&gt;=6,"Assez bien","Passable"))),IF(O75="REDOUBLE","Insuffisant",""))</f>
        <v/>
      </c>
      <c r="R75" s="51" t="str">
        <f aca="false">IFERROR(MATCH("P-66",'REGISTRE ELEVES'!$AH$10:$AH$250,0),"")</f>
        <v/>
      </c>
    </row>
    <row r="76" customFormat="false" ht="15" hidden="false" customHeight="false" outlineLevel="0" collapsed="false">
      <c r="A76" s="45" t="str">
        <f aca="false">IF(B76="","",67)</f>
        <v/>
      </c>
      <c r="B76" s="45" t="str">
        <f aca="false">IF($R76="","",INDEX('REGISTRE ELEVES'!$B$10:$B$250,$R76))</f>
        <v/>
      </c>
      <c r="C76" s="74" t="str">
        <f aca="false">IF($R76="","",INDEX('REGISTRE ELEVES'!$D$10:$D$250,$R76))</f>
        <v/>
      </c>
      <c r="D76" s="45" t="str">
        <f aca="false">IF($R76="","",INDEX('REGISTRE ELEVES'!$E$10:$E$250,$R76))</f>
        <v/>
      </c>
      <c r="E76" s="45" t="str">
        <f aca="false">IF($R76="","",INDEX('REGISTRE ELEVES'!$F$10:$F$250,$R76))</f>
        <v/>
      </c>
      <c r="F76" s="45" t="str">
        <f aca="false">IF($R76="","",INDEX('REGISTRE ELEVES'!$AE$10:$AE$250,$R76))</f>
        <v/>
      </c>
      <c r="G76" s="80" t="str">
        <f aca="false">IF(B76="","",IFERROR(IF(LEFT(E76,2)="CP",INDEX('NOTES CP'!$P$10:$P$250,MATCH(B76,'NOTES CP'!$B$10:$B$250,0)),IF(E76="CE1",INDEX('NOTES CE1'!$M$10:$M$250,MATCH(B76,'NOTES CE1'!$B$10:$B$250,0)),INDEX('NOTES CE2-CM1'!$M$10:$M$250,MATCH(B76,'NOTES CE2-CM1'!$B$10:$B$250,0)))),""))</f>
        <v/>
      </c>
      <c r="H76" s="80" t="str">
        <f aca="false">IF(B76="","",IFERROR(IF(LEFT(E76,2)="CP",INDEX('NOTES CP'!$Z$10:$Z$250,MATCH(B76,'NOTES CP'!$B$10:$B$250,0)),IF(E76="CE1",INDEX('NOTES CE1'!$T$10:$T$250,MATCH(B76,'NOTES CE1'!$B$10:$B$250,0)),INDEX('NOTES CE2-CM1'!$T$10:$T$250,MATCH(B76,'NOTES CE2-CM1'!$B$10:$B$250,0)))),""))</f>
        <v/>
      </c>
      <c r="I76" s="80" t="str">
        <f aca="false">IF(B76="","",IFERROR(IF(LEFT(E76,2)="CP",INDEX('NOTES CP'!$AJ$10:$AJ$250,MATCH(B76,'NOTES CP'!$B$10:$B$250,0)),IF(E76="CE1",INDEX('NOTES CE1'!$AA$10:$AA$250,MATCH(B76,'NOTES CE1'!$B$10:$B$250,0)),INDEX('NOTES CE2-CM1'!$AA$10:$AA$250,MATCH(B76,'NOTES CE2-CM1'!$B$10:$B$250,0)))),""))</f>
        <v/>
      </c>
      <c r="J76" s="81" t="str">
        <f aca="false">IF(COUNT(G76:I76)=0,"",ROUND(AVERAGE(G76:I76),2))</f>
        <v/>
      </c>
      <c r="K76" s="80" t="str">
        <f aca="false">IF(B76="","",IFERROR(IF(LEFT(E76,2)="CP",INDEX('NOTES CP'!$AT$10:$AT$250,MATCH(B76,'NOTES CP'!$B$10:$B$250,0)),IF(E76="CE1",INDEX('NOTES CE1'!$AH$10:$AH$250,MATCH(B76,'NOTES CE1'!$B$10:$B$250,0)),INDEX('NOTES CE2-CM1'!$AH$10:$AH$250,MATCH(B76,'NOTES CE2-CM1'!$B$10:$B$250,0)))),""))</f>
        <v/>
      </c>
      <c r="L76" s="82" t="str">
        <f aca="false">IF(OR(J76="",K76=""),"",ROUND((J76+2*K76)/3,2))</f>
        <v/>
      </c>
      <c r="M76" s="83" t="str">
        <f aca="false">IF(E76="","",IFERROR(INDEX(PARAMETRES!$D$18:$D$23,MATCH(E76,PARAMETRES!$B$18:$B$23,0)),""))</f>
        <v/>
      </c>
      <c r="N76" s="81" t="str">
        <f aca="false">IF(E76="","",IFERROR(INDEX(PARAMETRES!$C$18:$C$23,MATCH(E76,PARAMETRES!$B$18:$B$23,0)),""))</f>
        <v/>
      </c>
      <c r="O76" s="45" t="str">
        <f aca="false">IF(B76="","",IF(F76="ABANDON","ABANDON",IF(F76="TRANSFERE","TRANSFERE",IF(L76="","",IF(L76&gt;=N76,"ADMIS","REDOUBLE")))))</f>
        <v/>
      </c>
      <c r="P76" s="73" t="str">
        <f aca="false">IF(OR(L76="",F76&lt;&gt;"PRESENT"),"",COUNTIFS($E$10:$E$250,E76,$F$10:$F$250,"PRESENT",$L$10:$L$250,"&gt;"&amp;L76)+1)</f>
        <v/>
      </c>
      <c r="Q76" s="74" t="str">
        <f aca="false">IF(O76="ADMIS",IF(L76/M76*10&gt;=8,"Très bien",IF(L76/M76*10&gt;=7,"Bien",IF(L76/M76*10&gt;=6,"Assez bien","Passable"))),IF(O76="REDOUBLE","Insuffisant",""))</f>
        <v/>
      </c>
      <c r="R76" s="51" t="str">
        <f aca="false">IFERROR(MATCH("P-67",'REGISTRE ELEVES'!$AH$10:$AH$250,0),"")</f>
        <v/>
      </c>
    </row>
    <row r="77" customFormat="false" ht="15" hidden="false" customHeight="false" outlineLevel="0" collapsed="false">
      <c r="A77" s="45" t="str">
        <f aca="false">IF(B77="","",68)</f>
        <v/>
      </c>
      <c r="B77" s="45" t="str">
        <f aca="false">IF($R77="","",INDEX('REGISTRE ELEVES'!$B$10:$B$250,$R77))</f>
        <v/>
      </c>
      <c r="C77" s="74" t="str">
        <f aca="false">IF($R77="","",INDEX('REGISTRE ELEVES'!$D$10:$D$250,$R77))</f>
        <v/>
      </c>
      <c r="D77" s="45" t="str">
        <f aca="false">IF($R77="","",INDEX('REGISTRE ELEVES'!$E$10:$E$250,$R77))</f>
        <v/>
      </c>
      <c r="E77" s="45" t="str">
        <f aca="false">IF($R77="","",INDEX('REGISTRE ELEVES'!$F$10:$F$250,$R77))</f>
        <v/>
      </c>
      <c r="F77" s="45" t="str">
        <f aca="false">IF($R77="","",INDEX('REGISTRE ELEVES'!$AE$10:$AE$250,$R77))</f>
        <v/>
      </c>
      <c r="G77" s="80" t="str">
        <f aca="false">IF(B77="","",IFERROR(IF(LEFT(E77,2)="CP",INDEX('NOTES CP'!$P$10:$P$250,MATCH(B77,'NOTES CP'!$B$10:$B$250,0)),IF(E77="CE1",INDEX('NOTES CE1'!$M$10:$M$250,MATCH(B77,'NOTES CE1'!$B$10:$B$250,0)),INDEX('NOTES CE2-CM1'!$M$10:$M$250,MATCH(B77,'NOTES CE2-CM1'!$B$10:$B$250,0)))),""))</f>
        <v/>
      </c>
      <c r="H77" s="80" t="str">
        <f aca="false">IF(B77="","",IFERROR(IF(LEFT(E77,2)="CP",INDEX('NOTES CP'!$Z$10:$Z$250,MATCH(B77,'NOTES CP'!$B$10:$B$250,0)),IF(E77="CE1",INDEX('NOTES CE1'!$T$10:$T$250,MATCH(B77,'NOTES CE1'!$B$10:$B$250,0)),INDEX('NOTES CE2-CM1'!$T$10:$T$250,MATCH(B77,'NOTES CE2-CM1'!$B$10:$B$250,0)))),""))</f>
        <v/>
      </c>
      <c r="I77" s="80" t="str">
        <f aca="false">IF(B77="","",IFERROR(IF(LEFT(E77,2)="CP",INDEX('NOTES CP'!$AJ$10:$AJ$250,MATCH(B77,'NOTES CP'!$B$10:$B$250,0)),IF(E77="CE1",INDEX('NOTES CE1'!$AA$10:$AA$250,MATCH(B77,'NOTES CE1'!$B$10:$B$250,0)),INDEX('NOTES CE2-CM1'!$AA$10:$AA$250,MATCH(B77,'NOTES CE2-CM1'!$B$10:$B$250,0)))),""))</f>
        <v/>
      </c>
      <c r="J77" s="81" t="str">
        <f aca="false">IF(COUNT(G77:I77)=0,"",ROUND(AVERAGE(G77:I77),2))</f>
        <v/>
      </c>
      <c r="K77" s="80" t="str">
        <f aca="false">IF(B77="","",IFERROR(IF(LEFT(E77,2)="CP",INDEX('NOTES CP'!$AT$10:$AT$250,MATCH(B77,'NOTES CP'!$B$10:$B$250,0)),IF(E77="CE1",INDEX('NOTES CE1'!$AH$10:$AH$250,MATCH(B77,'NOTES CE1'!$B$10:$B$250,0)),INDEX('NOTES CE2-CM1'!$AH$10:$AH$250,MATCH(B77,'NOTES CE2-CM1'!$B$10:$B$250,0)))),""))</f>
        <v/>
      </c>
      <c r="L77" s="82" t="str">
        <f aca="false">IF(OR(J77="",K77=""),"",ROUND((J77+2*K77)/3,2))</f>
        <v/>
      </c>
      <c r="M77" s="83" t="str">
        <f aca="false">IF(E77="","",IFERROR(INDEX(PARAMETRES!$D$18:$D$23,MATCH(E77,PARAMETRES!$B$18:$B$23,0)),""))</f>
        <v/>
      </c>
      <c r="N77" s="81" t="str">
        <f aca="false">IF(E77="","",IFERROR(INDEX(PARAMETRES!$C$18:$C$23,MATCH(E77,PARAMETRES!$B$18:$B$23,0)),""))</f>
        <v/>
      </c>
      <c r="O77" s="45" t="str">
        <f aca="false">IF(B77="","",IF(F77="ABANDON","ABANDON",IF(F77="TRANSFERE","TRANSFERE",IF(L77="","",IF(L77&gt;=N77,"ADMIS","REDOUBLE")))))</f>
        <v/>
      </c>
      <c r="P77" s="73" t="str">
        <f aca="false">IF(OR(L77="",F77&lt;&gt;"PRESENT"),"",COUNTIFS($E$10:$E$250,E77,$F$10:$F$250,"PRESENT",$L$10:$L$250,"&gt;"&amp;L77)+1)</f>
        <v/>
      </c>
      <c r="Q77" s="74" t="str">
        <f aca="false">IF(O77="ADMIS",IF(L77/M77*10&gt;=8,"Très bien",IF(L77/M77*10&gt;=7,"Bien",IF(L77/M77*10&gt;=6,"Assez bien","Passable"))),IF(O77="REDOUBLE","Insuffisant",""))</f>
        <v/>
      </c>
      <c r="R77" s="51" t="str">
        <f aca="false">IFERROR(MATCH("P-68",'REGISTRE ELEVES'!$AH$10:$AH$250,0),"")</f>
        <v/>
      </c>
    </row>
    <row r="78" customFormat="false" ht="15" hidden="false" customHeight="false" outlineLevel="0" collapsed="false">
      <c r="A78" s="45" t="str">
        <f aca="false">IF(B78="","",69)</f>
        <v/>
      </c>
      <c r="B78" s="45" t="str">
        <f aca="false">IF($R78="","",INDEX('REGISTRE ELEVES'!$B$10:$B$250,$R78))</f>
        <v/>
      </c>
      <c r="C78" s="74" t="str">
        <f aca="false">IF($R78="","",INDEX('REGISTRE ELEVES'!$D$10:$D$250,$R78))</f>
        <v/>
      </c>
      <c r="D78" s="45" t="str">
        <f aca="false">IF($R78="","",INDEX('REGISTRE ELEVES'!$E$10:$E$250,$R78))</f>
        <v/>
      </c>
      <c r="E78" s="45" t="str">
        <f aca="false">IF($R78="","",INDEX('REGISTRE ELEVES'!$F$10:$F$250,$R78))</f>
        <v/>
      </c>
      <c r="F78" s="45" t="str">
        <f aca="false">IF($R78="","",INDEX('REGISTRE ELEVES'!$AE$10:$AE$250,$R78))</f>
        <v/>
      </c>
      <c r="G78" s="80" t="str">
        <f aca="false">IF(B78="","",IFERROR(IF(LEFT(E78,2)="CP",INDEX('NOTES CP'!$P$10:$P$250,MATCH(B78,'NOTES CP'!$B$10:$B$250,0)),IF(E78="CE1",INDEX('NOTES CE1'!$M$10:$M$250,MATCH(B78,'NOTES CE1'!$B$10:$B$250,0)),INDEX('NOTES CE2-CM1'!$M$10:$M$250,MATCH(B78,'NOTES CE2-CM1'!$B$10:$B$250,0)))),""))</f>
        <v/>
      </c>
      <c r="H78" s="80" t="str">
        <f aca="false">IF(B78="","",IFERROR(IF(LEFT(E78,2)="CP",INDEX('NOTES CP'!$Z$10:$Z$250,MATCH(B78,'NOTES CP'!$B$10:$B$250,0)),IF(E78="CE1",INDEX('NOTES CE1'!$T$10:$T$250,MATCH(B78,'NOTES CE1'!$B$10:$B$250,0)),INDEX('NOTES CE2-CM1'!$T$10:$T$250,MATCH(B78,'NOTES CE2-CM1'!$B$10:$B$250,0)))),""))</f>
        <v/>
      </c>
      <c r="I78" s="80" t="str">
        <f aca="false">IF(B78="","",IFERROR(IF(LEFT(E78,2)="CP",INDEX('NOTES CP'!$AJ$10:$AJ$250,MATCH(B78,'NOTES CP'!$B$10:$B$250,0)),IF(E78="CE1",INDEX('NOTES CE1'!$AA$10:$AA$250,MATCH(B78,'NOTES CE1'!$B$10:$B$250,0)),INDEX('NOTES CE2-CM1'!$AA$10:$AA$250,MATCH(B78,'NOTES CE2-CM1'!$B$10:$B$250,0)))),""))</f>
        <v/>
      </c>
      <c r="J78" s="81" t="str">
        <f aca="false">IF(COUNT(G78:I78)=0,"",ROUND(AVERAGE(G78:I78),2))</f>
        <v/>
      </c>
      <c r="K78" s="80" t="str">
        <f aca="false">IF(B78="","",IFERROR(IF(LEFT(E78,2)="CP",INDEX('NOTES CP'!$AT$10:$AT$250,MATCH(B78,'NOTES CP'!$B$10:$B$250,0)),IF(E78="CE1",INDEX('NOTES CE1'!$AH$10:$AH$250,MATCH(B78,'NOTES CE1'!$B$10:$B$250,0)),INDEX('NOTES CE2-CM1'!$AH$10:$AH$250,MATCH(B78,'NOTES CE2-CM1'!$B$10:$B$250,0)))),""))</f>
        <v/>
      </c>
      <c r="L78" s="82" t="str">
        <f aca="false">IF(OR(J78="",K78=""),"",ROUND((J78+2*K78)/3,2))</f>
        <v/>
      </c>
      <c r="M78" s="83" t="str">
        <f aca="false">IF(E78="","",IFERROR(INDEX(PARAMETRES!$D$18:$D$23,MATCH(E78,PARAMETRES!$B$18:$B$23,0)),""))</f>
        <v/>
      </c>
      <c r="N78" s="81" t="str">
        <f aca="false">IF(E78="","",IFERROR(INDEX(PARAMETRES!$C$18:$C$23,MATCH(E78,PARAMETRES!$B$18:$B$23,0)),""))</f>
        <v/>
      </c>
      <c r="O78" s="45" t="str">
        <f aca="false">IF(B78="","",IF(F78="ABANDON","ABANDON",IF(F78="TRANSFERE","TRANSFERE",IF(L78="","",IF(L78&gt;=N78,"ADMIS","REDOUBLE")))))</f>
        <v/>
      </c>
      <c r="P78" s="73" t="str">
        <f aca="false">IF(OR(L78="",F78&lt;&gt;"PRESENT"),"",COUNTIFS($E$10:$E$250,E78,$F$10:$F$250,"PRESENT",$L$10:$L$250,"&gt;"&amp;L78)+1)</f>
        <v/>
      </c>
      <c r="Q78" s="74" t="str">
        <f aca="false">IF(O78="ADMIS",IF(L78/M78*10&gt;=8,"Très bien",IF(L78/M78*10&gt;=7,"Bien",IF(L78/M78*10&gt;=6,"Assez bien","Passable"))),IF(O78="REDOUBLE","Insuffisant",""))</f>
        <v/>
      </c>
      <c r="R78" s="51" t="str">
        <f aca="false">IFERROR(MATCH("P-69",'REGISTRE ELEVES'!$AH$10:$AH$250,0),"")</f>
        <v/>
      </c>
    </row>
    <row r="79" customFormat="false" ht="15" hidden="false" customHeight="false" outlineLevel="0" collapsed="false">
      <c r="A79" s="45" t="str">
        <f aca="false">IF(B79="","",70)</f>
        <v/>
      </c>
      <c r="B79" s="45" t="str">
        <f aca="false">IF($R79="","",INDEX('REGISTRE ELEVES'!$B$10:$B$250,$R79))</f>
        <v/>
      </c>
      <c r="C79" s="74" t="str">
        <f aca="false">IF($R79="","",INDEX('REGISTRE ELEVES'!$D$10:$D$250,$R79))</f>
        <v/>
      </c>
      <c r="D79" s="45" t="str">
        <f aca="false">IF($R79="","",INDEX('REGISTRE ELEVES'!$E$10:$E$250,$R79))</f>
        <v/>
      </c>
      <c r="E79" s="45" t="str">
        <f aca="false">IF($R79="","",INDEX('REGISTRE ELEVES'!$F$10:$F$250,$R79))</f>
        <v/>
      </c>
      <c r="F79" s="45" t="str">
        <f aca="false">IF($R79="","",INDEX('REGISTRE ELEVES'!$AE$10:$AE$250,$R79))</f>
        <v/>
      </c>
      <c r="G79" s="80" t="str">
        <f aca="false">IF(B79="","",IFERROR(IF(LEFT(E79,2)="CP",INDEX('NOTES CP'!$P$10:$P$250,MATCH(B79,'NOTES CP'!$B$10:$B$250,0)),IF(E79="CE1",INDEX('NOTES CE1'!$M$10:$M$250,MATCH(B79,'NOTES CE1'!$B$10:$B$250,0)),INDEX('NOTES CE2-CM1'!$M$10:$M$250,MATCH(B79,'NOTES CE2-CM1'!$B$10:$B$250,0)))),""))</f>
        <v/>
      </c>
      <c r="H79" s="80" t="str">
        <f aca="false">IF(B79="","",IFERROR(IF(LEFT(E79,2)="CP",INDEX('NOTES CP'!$Z$10:$Z$250,MATCH(B79,'NOTES CP'!$B$10:$B$250,0)),IF(E79="CE1",INDEX('NOTES CE1'!$T$10:$T$250,MATCH(B79,'NOTES CE1'!$B$10:$B$250,0)),INDEX('NOTES CE2-CM1'!$T$10:$T$250,MATCH(B79,'NOTES CE2-CM1'!$B$10:$B$250,0)))),""))</f>
        <v/>
      </c>
      <c r="I79" s="80" t="str">
        <f aca="false">IF(B79="","",IFERROR(IF(LEFT(E79,2)="CP",INDEX('NOTES CP'!$AJ$10:$AJ$250,MATCH(B79,'NOTES CP'!$B$10:$B$250,0)),IF(E79="CE1",INDEX('NOTES CE1'!$AA$10:$AA$250,MATCH(B79,'NOTES CE1'!$B$10:$B$250,0)),INDEX('NOTES CE2-CM1'!$AA$10:$AA$250,MATCH(B79,'NOTES CE2-CM1'!$B$10:$B$250,0)))),""))</f>
        <v/>
      </c>
      <c r="J79" s="81" t="str">
        <f aca="false">IF(COUNT(G79:I79)=0,"",ROUND(AVERAGE(G79:I79),2))</f>
        <v/>
      </c>
      <c r="K79" s="80" t="str">
        <f aca="false">IF(B79="","",IFERROR(IF(LEFT(E79,2)="CP",INDEX('NOTES CP'!$AT$10:$AT$250,MATCH(B79,'NOTES CP'!$B$10:$B$250,0)),IF(E79="CE1",INDEX('NOTES CE1'!$AH$10:$AH$250,MATCH(B79,'NOTES CE1'!$B$10:$B$250,0)),INDEX('NOTES CE2-CM1'!$AH$10:$AH$250,MATCH(B79,'NOTES CE2-CM1'!$B$10:$B$250,0)))),""))</f>
        <v/>
      </c>
      <c r="L79" s="82" t="str">
        <f aca="false">IF(OR(J79="",K79=""),"",ROUND((J79+2*K79)/3,2))</f>
        <v/>
      </c>
      <c r="M79" s="83" t="str">
        <f aca="false">IF(E79="","",IFERROR(INDEX(PARAMETRES!$D$18:$D$23,MATCH(E79,PARAMETRES!$B$18:$B$23,0)),""))</f>
        <v/>
      </c>
      <c r="N79" s="81" t="str">
        <f aca="false">IF(E79="","",IFERROR(INDEX(PARAMETRES!$C$18:$C$23,MATCH(E79,PARAMETRES!$B$18:$B$23,0)),""))</f>
        <v/>
      </c>
      <c r="O79" s="45" t="str">
        <f aca="false">IF(B79="","",IF(F79="ABANDON","ABANDON",IF(F79="TRANSFERE","TRANSFERE",IF(L79="","",IF(L79&gt;=N79,"ADMIS","REDOUBLE")))))</f>
        <v/>
      </c>
      <c r="P79" s="73" t="str">
        <f aca="false">IF(OR(L79="",F79&lt;&gt;"PRESENT"),"",COUNTIFS($E$10:$E$250,E79,$F$10:$F$250,"PRESENT",$L$10:$L$250,"&gt;"&amp;L79)+1)</f>
        <v/>
      </c>
      <c r="Q79" s="74" t="str">
        <f aca="false">IF(O79="ADMIS",IF(L79/M79*10&gt;=8,"Très bien",IF(L79/M79*10&gt;=7,"Bien",IF(L79/M79*10&gt;=6,"Assez bien","Passable"))),IF(O79="REDOUBLE","Insuffisant",""))</f>
        <v/>
      </c>
      <c r="R79" s="51" t="str">
        <f aca="false">IFERROR(MATCH("P-70",'REGISTRE ELEVES'!$AH$10:$AH$250,0),"")</f>
        <v/>
      </c>
    </row>
    <row r="80" customFormat="false" ht="15" hidden="false" customHeight="false" outlineLevel="0" collapsed="false">
      <c r="A80" s="45" t="str">
        <f aca="false">IF(B80="","",71)</f>
        <v/>
      </c>
      <c r="B80" s="45" t="str">
        <f aca="false">IF($R80="","",INDEX('REGISTRE ELEVES'!$B$10:$B$250,$R80))</f>
        <v/>
      </c>
      <c r="C80" s="74" t="str">
        <f aca="false">IF($R80="","",INDEX('REGISTRE ELEVES'!$D$10:$D$250,$R80))</f>
        <v/>
      </c>
      <c r="D80" s="45" t="str">
        <f aca="false">IF($R80="","",INDEX('REGISTRE ELEVES'!$E$10:$E$250,$R80))</f>
        <v/>
      </c>
      <c r="E80" s="45" t="str">
        <f aca="false">IF($R80="","",INDEX('REGISTRE ELEVES'!$F$10:$F$250,$R80))</f>
        <v/>
      </c>
      <c r="F80" s="45" t="str">
        <f aca="false">IF($R80="","",INDEX('REGISTRE ELEVES'!$AE$10:$AE$250,$R80))</f>
        <v/>
      </c>
      <c r="G80" s="80" t="str">
        <f aca="false">IF(B80="","",IFERROR(IF(LEFT(E80,2)="CP",INDEX('NOTES CP'!$P$10:$P$250,MATCH(B80,'NOTES CP'!$B$10:$B$250,0)),IF(E80="CE1",INDEX('NOTES CE1'!$M$10:$M$250,MATCH(B80,'NOTES CE1'!$B$10:$B$250,0)),INDEX('NOTES CE2-CM1'!$M$10:$M$250,MATCH(B80,'NOTES CE2-CM1'!$B$10:$B$250,0)))),""))</f>
        <v/>
      </c>
      <c r="H80" s="80" t="str">
        <f aca="false">IF(B80="","",IFERROR(IF(LEFT(E80,2)="CP",INDEX('NOTES CP'!$Z$10:$Z$250,MATCH(B80,'NOTES CP'!$B$10:$B$250,0)),IF(E80="CE1",INDEX('NOTES CE1'!$T$10:$T$250,MATCH(B80,'NOTES CE1'!$B$10:$B$250,0)),INDEX('NOTES CE2-CM1'!$T$10:$T$250,MATCH(B80,'NOTES CE2-CM1'!$B$10:$B$250,0)))),""))</f>
        <v/>
      </c>
      <c r="I80" s="80" t="str">
        <f aca="false">IF(B80="","",IFERROR(IF(LEFT(E80,2)="CP",INDEX('NOTES CP'!$AJ$10:$AJ$250,MATCH(B80,'NOTES CP'!$B$10:$B$250,0)),IF(E80="CE1",INDEX('NOTES CE1'!$AA$10:$AA$250,MATCH(B80,'NOTES CE1'!$B$10:$B$250,0)),INDEX('NOTES CE2-CM1'!$AA$10:$AA$250,MATCH(B80,'NOTES CE2-CM1'!$B$10:$B$250,0)))),""))</f>
        <v/>
      </c>
      <c r="J80" s="81" t="str">
        <f aca="false">IF(COUNT(G80:I80)=0,"",ROUND(AVERAGE(G80:I80),2))</f>
        <v/>
      </c>
      <c r="K80" s="80" t="str">
        <f aca="false">IF(B80="","",IFERROR(IF(LEFT(E80,2)="CP",INDEX('NOTES CP'!$AT$10:$AT$250,MATCH(B80,'NOTES CP'!$B$10:$B$250,0)),IF(E80="CE1",INDEX('NOTES CE1'!$AH$10:$AH$250,MATCH(B80,'NOTES CE1'!$B$10:$B$250,0)),INDEX('NOTES CE2-CM1'!$AH$10:$AH$250,MATCH(B80,'NOTES CE2-CM1'!$B$10:$B$250,0)))),""))</f>
        <v/>
      </c>
      <c r="L80" s="82" t="str">
        <f aca="false">IF(OR(J80="",K80=""),"",ROUND((J80+2*K80)/3,2))</f>
        <v/>
      </c>
      <c r="M80" s="83" t="str">
        <f aca="false">IF(E80="","",IFERROR(INDEX(PARAMETRES!$D$18:$D$23,MATCH(E80,PARAMETRES!$B$18:$B$23,0)),""))</f>
        <v/>
      </c>
      <c r="N80" s="81" t="str">
        <f aca="false">IF(E80="","",IFERROR(INDEX(PARAMETRES!$C$18:$C$23,MATCH(E80,PARAMETRES!$B$18:$B$23,0)),""))</f>
        <v/>
      </c>
      <c r="O80" s="45" t="str">
        <f aca="false">IF(B80="","",IF(F80="ABANDON","ABANDON",IF(F80="TRANSFERE","TRANSFERE",IF(L80="","",IF(L80&gt;=N80,"ADMIS","REDOUBLE")))))</f>
        <v/>
      </c>
      <c r="P80" s="73" t="str">
        <f aca="false">IF(OR(L80="",F80&lt;&gt;"PRESENT"),"",COUNTIFS($E$10:$E$250,E80,$F$10:$F$250,"PRESENT",$L$10:$L$250,"&gt;"&amp;L80)+1)</f>
        <v/>
      </c>
      <c r="Q80" s="74" t="str">
        <f aca="false">IF(O80="ADMIS",IF(L80/M80*10&gt;=8,"Très bien",IF(L80/M80*10&gt;=7,"Bien",IF(L80/M80*10&gt;=6,"Assez bien","Passable"))),IF(O80="REDOUBLE","Insuffisant",""))</f>
        <v/>
      </c>
      <c r="R80" s="51" t="str">
        <f aca="false">IFERROR(MATCH("P-71",'REGISTRE ELEVES'!$AH$10:$AH$250,0),"")</f>
        <v/>
      </c>
    </row>
    <row r="81" customFormat="false" ht="15" hidden="false" customHeight="false" outlineLevel="0" collapsed="false">
      <c r="A81" s="45" t="str">
        <f aca="false">IF(B81="","",72)</f>
        <v/>
      </c>
      <c r="B81" s="45" t="str">
        <f aca="false">IF($R81="","",INDEX('REGISTRE ELEVES'!$B$10:$B$250,$R81))</f>
        <v/>
      </c>
      <c r="C81" s="74" t="str">
        <f aca="false">IF($R81="","",INDEX('REGISTRE ELEVES'!$D$10:$D$250,$R81))</f>
        <v/>
      </c>
      <c r="D81" s="45" t="str">
        <f aca="false">IF($R81="","",INDEX('REGISTRE ELEVES'!$E$10:$E$250,$R81))</f>
        <v/>
      </c>
      <c r="E81" s="45" t="str">
        <f aca="false">IF($R81="","",INDEX('REGISTRE ELEVES'!$F$10:$F$250,$R81))</f>
        <v/>
      </c>
      <c r="F81" s="45" t="str">
        <f aca="false">IF($R81="","",INDEX('REGISTRE ELEVES'!$AE$10:$AE$250,$R81))</f>
        <v/>
      </c>
      <c r="G81" s="80" t="str">
        <f aca="false">IF(B81="","",IFERROR(IF(LEFT(E81,2)="CP",INDEX('NOTES CP'!$P$10:$P$250,MATCH(B81,'NOTES CP'!$B$10:$B$250,0)),IF(E81="CE1",INDEX('NOTES CE1'!$M$10:$M$250,MATCH(B81,'NOTES CE1'!$B$10:$B$250,0)),INDEX('NOTES CE2-CM1'!$M$10:$M$250,MATCH(B81,'NOTES CE2-CM1'!$B$10:$B$250,0)))),""))</f>
        <v/>
      </c>
      <c r="H81" s="80" t="str">
        <f aca="false">IF(B81="","",IFERROR(IF(LEFT(E81,2)="CP",INDEX('NOTES CP'!$Z$10:$Z$250,MATCH(B81,'NOTES CP'!$B$10:$B$250,0)),IF(E81="CE1",INDEX('NOTES CE1'!$T$10:$T$250,MATCH(B81,'NOTES CE1'!$B$10:$B$250,0)),INDEX('NOTES CE2-CM1'!$T$10:$T$250,MATCH(B81,'NOTES CE2-CM1'!$B$10:$B$250,0)))),""))</f>
        <v/>
      </c>
      <c r="I81" s="80" t="str">
        <f aca="false">IF(B81="","",IFERROR(IF(LEFT(E81,2)="CP",INDEX('NOTES CP'!$AJ$10:$AJ$250,MATCH(B81,'NOTES CP'!$B$10:$B$250,0)),IF(E81="CE1",INDEX('NOTES CE1'!$AA$10:$AA$250,MATCH(B81,'NOTES CE1'!$B$10:$B$250,0)),INDEX('NOTES CE2-CM1'!$AA$10:$AA$250,MATCH(B81,'NOTES CE2-CM1'!$B$10:$B$250,0)))),""))</f>
        <v/>
      </c>
      <c r="J81" s="81" t="str">
        <f aca="false">IF(COUNT(G81:I81)=0,"",ROUND(AVERAGE(G81:I81),2))</f>
        <v/>
      </c>
      <c r="K81" s="80" t="str">
        <f aca="false">IF(B81="","",IFERROR(IF(LEFT(E81,2)="CP",INDEX('NOTES CP'!$AT$10:$AT$250,MATCH(B81,'NOTES CP'!$B$10:$B$250,0)),IF(E81="CE1",INDEX('NOTES CE1'!$AH$10:$AH$250,MATCH(B81,'NOTES CE1'!$B$10:$B$250,0)),INDEX('NOTES CE2-CM1'!$AH$10:$AH$250,MATCH(B81,'NOTES CE2-CM1'!$B$10:$B$250,0)))),""))</f>
        <v/>
      </c>
      <c r="L81" s="82" t="str">
        <f aca="false">IF(OR(J81="",K81=""),"",ROUND((J81+2*K81)/3,2))</f>
        <v/>
      </c>
      <c r="M81" s="83" t="str">
        <f aca="false">IF(E81="","",IFERROR(INDEX(PARAMETRES!$D$18:$D$23,MATCH(E81,PARAMETRES!$B$18:$B$23,0)),""))</f>
        <v/>
      </c>
      <c r="N81" s="81" t="str">
        <f aca="false">IF(E81="","",IFERROR(INDEX(PARAMETRES!$C$18:$C$23,MATCH(E81,PARAMETRES!$B$18:$B$23,0)),""))</f>
        <v/>
      </c>
      <c r="O81" s="45" t="str">
        <f aca="false">IF(B81="","",IF(F81="ABANDON","ABANDON",IF(F81="TRANSFERE","TRANSFERE",IF(L81="","",IF(L81&gt;=N81,"ADMIS","REDOUBLE")))))</f>
        <v/>
      </c>
      <c r="P81" s="73" t="str">
        <f aca="false">IF(OR(L81="",F81&lt;&gt;"PRESENT"),"",COUNTIFS($E$10:$E$250,E81,$F$10:$F$250,"PRESENT",$L$10:$L$250,"&gt;"&amp;L81)+1)</f>
        <v/>
      </c>
      <c r="Q81" s="74" t="str">
        <f aca="false">IF(O81="ADMIS",IF(L81/M81*10&gt;=8,"Très bien",IF(L81/M81*10&gt;=7,"Bien",IF(L81/M81*10&gt;=6,"Assez bien","Passable"))),IF(O81="REDOUBLE","Insuffisant",""))</f>
        <v/>
      </c>
      <c r="R81" s="51" t="str">
        <f aca="false">IFERROR(MATCH("P-72",'REGISTRE ELEVES'!$AH$10:$AH$250,0),"")</f>
        <v/>
      </c>
    </row>
    <row r="82" customFormat="false" ht="15" hidden="false" customHeight="false" outlineLevel="0" collapsed="false">
      <c r="A82" s="45" t="str">
        <f aca="false">IF(B82="","",73)</f>
        <v/>
      </c>
      <c r="B82" s="45" t="str">
        <f aca="false">IF($R82="","",INDEX('REGISTRE ELEVES'!$B$10:$B$250,$R82))</f>
        <v/>
      </c>
      <c r="C82" s="74" t="str">
        <f aca="false">IF($R82="","",INDEX('REGISTRE ELEVES'!$D$10:$D$250,$R82))</f>
        <v/>
      </c>
      <c r="D82" s="45" t="str">
        <f aca="false">IF($R82="","",INDEX('REGISTRE ELEVES'!$E$10:$E$250,$R82))</f>
        <v/>
      </c>
      <c r="E82" s="45" t="str">
        <f aca="false">IF($R82="","",INDEX('REGISTRE ELEVES'!$F$10:$F$250,$R82))</f>
        <v/>
      </c>
      <c r="F82" s="45" t="str">
        <f aca="false">IF($R82="","",INDEX('REGISTRE ELEVES'!$AE$10:$AE$250,$R82))</f>
        <v/>
      </c>
      <c r="G82" s="80" t="str">
        <f aca="false">IF(B82="","",IFERROR(IF(LEFT(E82,2)="CP",INDEX('NOTES CP'!$P$10:$P$250,MATCH(B82,'NOTES CP'!$B$10:$B$250,0)),IF(E82="CE1",INDEX('NOTES CE1'!$M$10:$M$250,MATCH(B82,'NOTES CE1'!$B$10:$B$250,0)),INDEX('NOTES CE2-CM1'!$M$10:$M$250,MATCH(B82,'NOTES CE2-CM1'!$B$10:$B$250,0)))),""))</f>
        <v/>
      </c>
      <c r="H82" s="80" t="str">
        <f aca="false">IF(B82="","",IFERROR(IF(LEFT(E82,2)="CP",INDEX('NOTES CP'!$Z$10:$Z$250,MATCH(B82,'NOTES CP'!$B$10:$B$250,0)),IF(E82="CE1",INDEX('NOTES CE1'!$T$10:$T$250,MATCH(B82,'NOTES CE1'!$B$10:$B$250,0)),INDEX('NOTES CE2-CM1'!$T$10:$T$250,MATCH(B82,'NOTES CE2-CM1'!$B$10:$B$250,0)))),""))</f>
        <v/>
      </c>
      <c r="I82" s="80" t="str">
        <f aca="false">IF(B82="","",IFERROR(IF(LEFT(E82,2)="CP",INDEX('NOTES CP'!$AJ$10:$AJ$250,MATCH(B82,'NOTES CP'!$B$10:$B$250,0)),IF(E82="CE1",INDEX('NOTES CE1'!$AA$10:$AA$250,MATCH(B82,'NOTES CE1'!$B$10:$B$250,0)),INDEX('NOTES CE2-CM1'!$AA$10:$AA$250,MATCH(B82,'NOTES CE2-CM1'!$B$10:$B$250,0)))),""))</f>
        <v/>
      </c>
      <c r="J82" s="81" t="str">
        <f aca="false">IF(COUNT(G82:I82)=0,"",ROUND(AVERAGE(G82:I82),2))</f>
        <v/>
      </c>
      <c r="K82" s="80" t="str">
        <f aca="false">IF(B82="","",IFERROR(IF(LEFT(E82,2)="CP",INDEX('NOTES CP'!$AT$10:$AT$250,MATCH(B82,'NOTES CP'!$B$10:$B$250,0)),IF(E82="CE1",INDEX('NOTES CE1'!$AH$10:$AH$250,MATCH(B82,'NOTES CE1'!$B$10:$B$250,0)),INDEX('NOTES CE2-CM1'!$AH$10:$AH$250,MATCH(B82,'NOTES CE2-CM1'!$B$10:$B$250,0)))),""))</f>
        <v/>
      </c>
      <c r="L82" s="82" t="str">
        <f aca="false">IF(OR(J82="",K82=""),"",ROUND((J82+2*K82)/3,2))</f>
        <v/>
      </c>
      <c r="M82" s="83" t="str">
        <f aca="false">IF(E82="","",IFERROR(INDEX(PARAMETRES!$D$18:$D$23,MATCH(E82,PARAMETRES!$B$18:$B$23,0)),""))</f>
        <v/>
      </c>
      <c r="N82" s="81" t="str">
        <f aca="false">IF(E82="","",IFERROR(INDEX(PARAMETRES!$C$18:$C$23,MATCH(E82,PARAMETRES!$B$18:$B$23,0)),""))</f>
        <v/>
      </c>
      <c r="O82" s="45" t="str">
        <f aca="false">IF(B82="","",IF(F82="ABANDON","ABANDON",IF(F82="TRANSFERE","TRANSFERE",IF(L82="","",IF(L82&gt;=N82,"ADMIS","REDOUBLE")))))</f>
        <v/>
      </c>
      <c r="P82" s="73" t="str">
        <f aca="false">IF(OR(L82="",F82&lt;&gt;"PRESENT"),"",COUNTIFS($E$10:$E$250,E82,$F$10:$F$250,"PRESENT",$L$10:$L$250,"&gt;"&amp;L82)+1)</f>
        <v/>
      </c>
      <c r="Q82" s="74" t="str">
        <f aca="false">IF(O82="ADMIS",IF(L82/M82*10&gt;=8,"Très bien",IF(L82/M82*10&gt;=7,"Bien",IF(L82/M82*10&gt;=6,"Assez bien","Passable"))),IF(O82="REDOUBLE","Insuffisant",""))</f>
        <v/>
      </c>
      <c r="R82" s="51" t="str">
        <f aca="false">IFERROR(MATCH("P-73",'REGISTRE ELEVES'!$AH$10:$AH$250,0),"")</f>
        <v/>
      </c>
    </row>
    <row r="83" customFormat="false" ht="15" hidden="false" customHeight="false" outlineLevel="0" collapsed="false">
      <c r="A83" s="45" t="str">
        <f aca="false">IF(B83="","",74)</f>
        <v/>
      </c>
      <c r="B83" s="45" t="str">
        <f aca="false">IF($R83="","",INDEX('REGISTRE ELEVES'!$B$10:$B$250,$R83))</f>
        <v/>
      </c>
      <c r="C83" s="74" t="str">
        <f aca="false">IF($R83="","",INDEX('REGISTRE ELEVES'!$D$10:$D$250,$R83))</f>
        <v/>
      </c>
      <c r="D83" s="45" t="str">
        <f aca="false">IF($R83="","",INDEX('REGISTRE ELEVES'!$E$10:$E$250,$R83))</f>
        <v/>
      </c>
      <c r="E83" s="45" t="str">
        <f aca="false">IF($R83="","",INDEX('REGISTRE ELEVES'!$F$10:$F$250,$R83))</f>
        <v/>
      </c>
      <c r="F83" s="45" t="str">
        <f aca="false">IF($R83="","",INDEX('REGISTRE ELEVES'!$AE$10:$AE$250,$R83))</f>
        <v/>
      </c>
      <c r="G83" s="80" t="str">
        <f aca="false">IF(B83="","",IFERROR(IF(LEFT(E83,2)="CP",INDEX('NOTES CP'!$P$10:$P$250,MATCH(B83,'NOTES CP'!$B$10:$B$250,0)),IF(E83="CE1",INDEX('NOTES CE1'!$M$10:$M$250,MATCH(B83,'NOTES CE1'!$B$10:$B$250,0)),INDEX('NOTES CE2-CM1'!$M$10:$M$250,MATCH(B83,'NOTES CE2-CM1'!$B$10:$B$250,0)))),""))</f>
        <v/>
      </c>
      <c r="H83" s="80" t="str">
        <f aca="false">IF(B83="","",IFERROR(IF(LEFT(E83,2)="CP",INDEX('NOTES CP'!$Z$10:$Z$250,MATCH(B83,'NOTES CP'!$B$10:$B$250,0)),IF(E83="CE1",INDEX('NOTES CE1'!$T$10:$T$250,MATCH(B83,'NOTES CE1'!$B$10:$B$250,0)),INDEX('NOTES CE2-CM1'!$T$10:$T$250,MATCH(B83,'NOTES CE2-CM1'!$B$10:$B$250,0)))),""))</f>
        <v/>
      </c>
      <c r="I83" s="80" t="str">
        <f aca="false">IF(B83="","",IFERROR(IF(LEFT(E83,2)="CP",INDEX('NOTES CP'!$AJ$10:$AJ$250,MATCH(B83,'NOTES CP'!$B$10:$B$250,0)),IF(E83="CE1",INDEX('NOTES CE1'!$AA$10:$AA$250,MATCH(B83,'NOTES CE1'!$B$10:$B$250,0)),INDEX('NOTES CE2-CM1'!$AA$10:$AA$250,MATCH(B83,'NOTES CE2-CM1'!$B$10:$B$250,0)))),""))</f>
        <v/>
      </c>
      <c r="J83" s="81" t="str">
        <f aca="false">IF(COUNT(G83:I83)=0,"",ROUND(AVERAGE(G83:I83),2))</f>
        <v/>
      </c>
      <c r="K83" s="80" t="str">
        <f aca="false">IF(B83="","",IFERROR(IF(LEFT(E83,2)="CP",INDEX('NOTES CP'!$AT$10:$AT$250,MATCH(B83,'NOTES CP'!$B$10:$B$250,0)),IF(E83="CE1",INDEX('NOTES CE1'!$AH$10:$AH$250,MATCH(B83,'NOTES CE1'!$B$10:$B$250,0)),INDEX('NOTES CE2-CM1'!$AH$10:$AH$250,MATCH(B83,'NOTES CE2-CM1'!$B$10:$B$250,0)))),""))</f>
        <v/>
      </c>
      <c r="L83" s="82" t="str">
        <f aca="false">IF(OR(J83="",K83=""),"",ROUND((J83+2*K83)/3,2))</f>
        <v/>
      </c>
      <c r="M83" s="83" t="str">
        <f aca="false">IF(E83="","",IFERROR(INDEX(PARAMETRES!$D$18:$D$23,MATCH(E83,PARAMETRES!$B$18:$B$23,0)),""))</f>
        <v/>
      </c>
      <c r="N83" s="81" t="str">
        <f aca="false">IF(E83="","",IFERROR(INDEX(PARAMETRES!$C$18:$C$23,MATCH(E83,PARAMETRES!$B$18:$B$23,0)),""))</f>
        <v/>
      </c>
      <c r="O83" s="45" t="str">
        <f aca="false">IF(B83="","",IF(F83="ABANDON","ABANDON",IF(F83="TRANSFERE","TRANSFERE",IF(L83="","",IF(L83&gt;=N83,"ADMIS","REDOUBLE")))))</f>
        <v/>
      </c>
      <c r="P83" s="73" t="str">
        <f aca="false">IF(OR(L83="",F83&lt;&gt;"PRESENT"),"",COUNTIFS($E$10:$E$250,E83,$F$10:$F$250,"PRESENT",$L$10:$L$250,"&gt;"&amp;L83)+1)</f>
        <v/>
      </c>
      <c r="Q83" s="74" t="str">
        <f aca="false">IF(O83="ADMIS",IF(L83/M83*10&gt;=8,"Très bien",IF(L83/M83*10&gt;=7,"Bien",IF(L83/M83*10&gt;=6,"Assez bien","Passable"))),IF(O83="REDOUBLE","Insuffisant",""))</f>
        <v/>
      </c>
      <c r="R83" s="51" t="str">
        <f aca="false">IFERROR(MATCH("P-74",'REGISTRE ELEVES'!$AH$10:$AH$250,0),"")</f>
        <v/>
      </c>
    </row>
    <row r="84" customFormat="false" ht="15" hidden="false" customHeight="false" outlineLevel="0" collapsed="false">
      <c r="A84" s="45" t="str">
        <f aca="false">IF(B84="","",75)</f>
        <v/>
      </c>
      <c r="B84" s="45" t="str">
        <f aca="false">IF($R84="","",INDEX('REGISTRE ELEVES'!$B$10:$B$250,$R84))</f>
        <v/>
      </c>
      <c r="C84" s="74" t="str">
        <f aca="false">IF($R84="","",INDEX('REGISTRE ELEVES'!$D$10:$D$250,$R84))</f>
        <v/>
      </c>
      <c r="D84" s="45" t="str">
        <f aca="false">IF($R84="","",INDEX('REGISTRE ELEVES'!$E$10:$E$250,$R84))</f>
        <v/>
      </c>
      <c r="E84" s="45" t="str">
        <f aca="false">IF($R84="","",INDEX('REGISTRE ELEVES'!$F$10:$F$250,$R84))</f>
        <v/>
      </c>
      <c r="F84" s="45" t="str">
        <f aca="false">IF($R84="","",INDEX('REGISTRE ELEVES'!$AE$10:$AE$250,$R84))</f>
        <v/>
      </c>
      <c r="G84" s="80" t="str">
        <f aca="false">IF(B84="","",IFERROR(IF(LEFT(E84,2)="CP",INDEX('NOTES CP'!$P$10:$P$250,MATCH(B84,'NOTES CP'!$B$10:$B$250,0)),IF(E84="CE1",INDEX('NOTES CE1'!$M$10:$M$250,MATCH(B84,'NOTES CE1'!$B$10:$B$250,0)),INDEX('NOTES CE2-CM1'!$M$10:$M$250,MATCH(B84,'NOTES CE2-CM1'!$B$10:$B$250,0)))),""))</f>
        <v/>
      </c>
      <c r="H84" s="80" t="str">
        <f aca="false">IF(B84="","",IFERROR(IF(LEFT(E84,2)="CP",INDEX('NOTES CP'!$Z$10:$Z$250,MATCH(B84,'NOTES CP'!$B$10:$B$250,0)),IF(E84="CE1",INDEX('NOTES CE1'!$T$10:$T$250,MATCH(B84,'NOTES CE1'!$B$10:$B$250,0)),INDEX('NOTES CE2-CM1'!$T$10:$T$250,MATCH(B84,'NOTES CE2-CM1'!$B$10:$B$250,0)))),""))</f>
        <v/>
      </c>
      <c r="I84" s="80" t="str">
        <f aca="false">IF(B84="","",IFERROR(IF(LEFT(E84,2)="CP",INDEX('NOTES CP'!$AJ$10:$AJ$250,MATCH(B84,'NOTES CP'!$B$10:$B$250,0)),IF(E84="CE1",INDEX('NOTES CE1'!$AA$10:$AA$250,MATCH(B84,'NOTES CE1'!$B$10:$B$250,0)),INDEX('NOTES CE2-CM1'!$AA$10:$AA$250,MATCH(B84,'NOTES CE2-CM1'!$B$10:$B$250,0)))),""))</f>
        <v/>
      </c>
      <c r="J84" s="81" t="str">
        <f aca="false">IF(COUNT(G84:I84)=0,"",ROUND(AVERAGE(G84:I84),2))</f>
        <v/>
      </c>
      <c r="K84" s="80" t="str">
        <f aca="false">IF(B84="","",IFERROR(IF(LEFT(E84,2)="CP",INDEX('NOTES CP'!$AT$10:$AT$250,MATCH(B84,'NOTES CP'!$B$10:$B$250,0)),IF(E84="CE1",INDEX('NOTES CE1'!$AH$10:$AH$250,MATCH(B84,'NOTES CE1'!$B$10:$B$250,0)),INDEX('NOTES CE2-CM1'!$AH$10:$AH$250,MATCH(B84,'NOTES CE2-CM1'!$B$10:$B$250,0)))),""))</f>
        <v/>
      </c>
      <c r="L84" s="82" t="str">
        <f aca="false">IF(OR(J84="",K84=""),"",ROUND((J84+2*K84)/3,2))</f>
        <v/>
      </c>
      <c r="M84" s="83" t="str">
        <f aca="false">IF(E84="","",IFERROR(INDEX(PARAMETRES!$D$18:$D$23,MATCH(E84,PARAMETRES!$B$18:$B$23,0)),""))</f>
        <v/>
      </c>
      <c r="N84" s="81" t="str">
        <f aca="false">IF(E84="","",IFERROR(INDEX(PARAMETRES!$C$18:$C$23,MATCH(E84,PARAMETRES!$B$18:$B$23,0)),""))</f>
        <v/>
      </c>
      <c r="O84" s="45" t="str">
        <f aca="false">IF(B84="","",IF(F84="ABANDON","ABANDON",IF(F84="TRANSFERE","TRANSFERE",IF(L84="","",IF(L84&gt;=N84,"ADMIS","REDOUBLE")))))</f>
        <v/>
      </c>
      <c r="P84" s="73" t="str">
        <f aca="false">IF(OR(L84="",F84&lt;&gt;"PRESENT"),"",COUNTIFS($E$10:$E$250,E84,$F$10:$F$250,"PRESENT",$L$10:$L$250,"&gt;"&amp;L84)+1)</f>
        <v/>
      </c>
      <c r="Q84" s="74" t="str">
        <f aca="false">IF(O84="ADMIS",IF(L84/M84*10&gt;=8,"Très bien",IF(L84/M84*10&gt;=7,"Bien",IF(L84/M84*10&gt;=6,"Assez bien","Passable"))),IF(O84="REDOUBLE","Insuffisant",""))</f>
        <v/>
      </c>
      <c r="R84" s="51" t="str">
        <f aca="false">IFERROR(MATCH("P-75",'REGISTRE ELEVES'!$AH$10:$AH$250,0),"")</f>
        <v/>
      </c>
    </row>
    <row r="85" customFormat="false" ht="15" hidden="false" customHeight="false" outlineLevel="0" collapsed="false">
      <c r="A85" s="45" t="str">
        <f aca="false">IF(B85="","",76)</f>
        <v/>
      </c>
      <c r="B85" s="45" t="str">
        <f aca="false">IF($R85="","",INDEX('REGISTRE ELEVES'!$B$10:$B$250,$R85))</f>
        <v/>
      </c>
      <c r="C85" s="74" t="str">
        <f aca="false">IF($R85="","",INDEX('REGISTRE ELEVES'!$D$10:$D$250,$R85))</f>
        <v/>
      </c>
      <c r="D85" s="45" t="str">
        <f aca="false">IF($R85="","",INDEX('REGISTRE ELEVES'!$E$10:$E$250,$R85))</f>
        <v/>
      </c>
      <c r="E85" s="45" t="str">
        <f aca="false">IF($R85="","",INDEX('REGISTRE ELEVES'!$F$10:$F$250,$R85))</f>
        <v/>
      </c>
      <c r="F85" s="45" t="str">
        <f aca="false">IF($R85="","",INDEX('REGISTRE ELEVES'!$AE$10:$AE$250,$R85))</f>
        <v/>
      </c>
      <c r="G85" s="80" t="str">
        <f aca="false">IF(B85="","",IFERROR(IF(LEFT(E85,2)="CP",INDEX('NOTES CP'!$P$10:$P$250,MATCH(B85,'NOTES CP'!$B$10:$B$250,0)),IF(E85="CE1",INDEX('NOTES CE1'!$M$10:$M$250,MATCH(B85,'NOTES CE1'!$B$10:$B$250,0)),INDEX('NOTES CE2-CM1'!$M$10:$M$250,MATCH(B85,'NOTES CE2-CM1'!$B$10:$B$250,0)))),""))</f>
        <v/>
      </c>
      <c r="H85" s="80" t="str">
        <f aca="false">IF(B85="","",IFERROR(IF(LEFT(E85,2)="CP",INDEX('NOTES CP'!$Z$10:$Z$250,MATCH(B85,'NOTES CP'!$B$10:$B$250,0)),IF(E85="CE1",INDEX('NOTES CE1'!$T$10:$T$250,MATCH(B85,'NOTES CE1'!$B$10:$B$250,0)),INDEX('NOTES CE2-CM1'!$T$10:$T$250,MATCH(B85,'NOTES CE2-CM1'!$B$10:$B$250,0)))),""))</f>
        <v/>
      </c>
      <c r="I85" s="80" t="str">
        <f aca="false">IF(B85="","",IFERROR(IF(LEFT(E85,2)="CP",INDEX('NOTES CP'!$AJ$10:$AJ$250,MATCH(B85,'NOTES CP'!$B$10:$B$250,0)),IF(E85="CE1",INDEX('NOTES CE1'!$AA$10:$AA$250,MATCH(B85,'NOTES CE1'!$B$10:$B$250,0)),INDEX('NOTES CE2-CM1'!$AA$10:$AA$250,MATCH(B85,'NOTES CE2-CM1'!$B$10:$B$250,0)))),""))</f>
        <v/>
      </c>
      <c r="J85" s="81" t="str">
        <f aca="false">IF(COUNT(G85:I85)=0,"",ROUND(AVERAGE(G85:I85),2))</f>
        <v/>
      </c>
      <c r="K85" s="80" t="str">
        <f aca="false">IF(B85="","",IFERROR(IF(LEFT(E85,2)="CP",INDEX('NOTES CP'!$AT$10:$AT$250,MATCH(B85,'NOTES CP'!$B$10:$B$250,0)),IF(E85="CE1",INDEX('NOTES CE1'!$AH$10:$AH$250,MATCH(B85,'NOTES CE1'!$B$10:$B$250,0)),INDEX('NOTES CE2-CM1'!$AH$10:$AH$250,MATCH(B85,'NOTES CE2-CM1'!$B$10:$B$250,0)))),""))</f>
        <v/>
      </c>
      <c r="L85" s="82" t="str">
        <f aca="false">IF(OR(J85="",K85=""),"",ROUND((J85+2*K85)/3,2))</f>
        <v/>
      </c>
      <c r="M85" s="83" t="str">
        <f aca="false">IF(E85="","",IFERROR(INDEX(PARAMETRES!$D$18:$D$23,MATCH(E85,PARAMETRES!$B$18:$B$23,0)),""))</f>
        <v/>
      </c>
      <c r="N85" s="81" t="str">
        <f aca="false">IF(E85="","",IFERROR(INDEX(PARAMETRES!$C$18:$C$23,MATCH(E85,PARAMETRES!$B$18:$B$23,0)),""))</f>
        <v/>
      </c>
      <c r="O85" s="45" t="str">
        <f aca="false">IF(B85="","",IF(F85="ABANDON","ABANDON",IF(F85="TRANSFERE","TRANSFERE",IF(L85="","",IF(L85&gt;=N85,"ADMIS","REDOUBLE")))))</f>
        <v/>
      </c>
      <c r="P85" s="73" t="str">
        <f aca="false">IF(OR(L85="",F85&lt;&gt;"PRESENT"),"",COUNTIFS($E$10:$E$250,E85,$F$10:$F$250,"PRESENT",$L$10:$L$250,"&gt;"&amp;L85)+1)</f>
        <v/>
      </c>
      <c r="Q85" s="74" t="str">
        <f aca="false">IF(O85="ADMIS",IF(L85/M85*10&gt;=8,"Très bien",IF(L85/M85*10&gt;=7,"Bien",IF(L85/M85*10&gt;=6,"Assez bien","Passable"))),IF(O85="REDOUBLE","Insuffisant",""))</f>
        <v/>
      </c>
      <c r="R85" s="51" t="str">
        <f aca="false">IFERROR(MATCH("P-76",'REGISTRE ELEVES'!$AH$10:$AH$250,0),"")</f>
        <v/>
      </c>
    </row>
    <row r="86" customFormat="false" ht="15" hidden="false" customHeight="false" outlineLevel="0" collapsed="false">
      <c r="A86" s="45" t="str">
        <f aca="false">IF(B86="","",77)</f>
        <v/>
      </c>
      <c r="B86" s="45" t="str">
        <f aca="false">IF($R86="","",INDEX('REGISTRE ELEVES'!$B$10:$B$250,$R86))</f>
        <v/>
      </c>
      <c r="C86" s="74" t="str">
        <f aca="false">IF($R86="","",INDEX('REGISTRE ELEVES'!$D$10:$D$250,$R86))</f>
        <v/>
      </c>
      <c r="D86" s="45" t="str">
        <f aca="false">IF($R86="","",INDEX('REGISTRE ELEVES'!$E$10:$E$250,$R86))</f>
        <v/>
      </c>
      <c r="E86" s="45" t="str">
        <f aca="false">IF($R86="","",INDEX('REGISTRE ELEVES'!$F$10:$F$250,$R86))</f>
        <v/>
      </c>
      <c r="F86" s="45" t="str">
        <f aca="false">IF($R86="","",INDEX('REGISTRE ELEVES'!$AE$10:$AE$250,$R86))</f>
        <v/>
      </c>
      <c r="G86" s="80" t="str">
        <f aca="false">IF(B86="","",IFERROR(IF(LEFT(E86,2)="CP",INDEX('NOTES CP'!$P$10:$P$250,MATCH(B86,'NOTES CP'!$B$10:$B$250,0)),IF(E86="CE1",INDEX('NOTES CE1'!$M$10:$M$250,MATCH(B86,'NOTES CE1'!$B$10:$B$250,0)),INDEX('NOTES CE2-CM1'!$M$10:$M$250,MATCH(B86,'NOTES CE2-CM1'!$B$10:$B$250,0)))),""))</f>
        <v/>
      </c>
      <c r="H86" s="80" t="str">
        <f aca="false">IF(B86="","",IFERROR(IF(LEFT(E86,2)="CP",INDEX('NOTES CP'!$Z$10:$Z$250,MATCH(B86,'NOTES CP'!$B$10:$B$250,0)),IF(E86="CE1",INDEX('NOTES CE1'!$T$10:$T$250,MATCH(B86,'NOTES CE1'!$B$10:$B$250,0)),INDEX('NOTES CE2-CM1'!$T$10:$T$250,MATCH(B86,'NOTES CE2-CM1'!$B$10:$B$250,0)))),""))</f>
        <v/>
      </c>
      <c r="I86" s="80" t="str">
        <f aca="false">IF(B86="","",IFERROR(IF(LEFT(E86,2)="CP",INDEX('NOTES CP'!$AJ$10:$AJ$250,MATCH(B86,'NOTES CP'!$B$10:$B$250,0)),IF(E86="CE1",INDEX('NOTES CE1'!$AA$10:$AA$250,MATCH(B86,'NOTES CE1'!$B$10:$B$250,0)),INDEX('NOTES CE2-CM1'!$AA$10:$AA$250,MATCH(B86,'NOTES CE2-CM1'!$B$10:$B$250,0)))),""))</f>
        <v/>
      </c>
      <c r="J86" s="81" t="str">
        <f aca="false">IF(COUNT(G86:I86)=0,"",ROUND(AVERAGE(G86:I86),2))</f>
        <v/>
      </c>
      <c r="K86" s="80" t="str">
        <f aca="false">IF(B86="","",IFERROR(IF(LEFT(E86,2)="CP",INDEX('NOTES CP'!$AT$10:$AT$250,MATCH(B86,'NOTES CP'!$B$10:$B$250,0)),IF(E86="CE1",INDEX('NOTES CE1'!$AH$10:$AH$250,MATCH(B86,'NOTES CE1'!$B$10:$B$250,0)),INDEX('NOTES CE2-CM1'!$AH$10:$AH$250,MATCH(B86,'NOTES CE2-CM1'!$B$10:$B$250,0)))),""))</f>
        <v/>
      </c>
      <c r="L86" s="82" t="str">
        <f aca="false">IF(OR(J86="",K86=""),"",ROUND((J86+2*K86)/3,2))</f>
        <v/>
      </c>
      <c r="M86" s="83" t="str">
        <f aca="false">IF(E86="","",IFERROR(INDEX(PARAMETRES!$D$18:$D$23,MATCH(E86,PARAMETRES!$B$18:$B$23,0)),""))</f>
        <v/>
      </c>
      <c r="N86" s="81" t="str">
        <f aca="false">IF(E86="","",IFERROR(INDEX(PARAMETRES!$C$18:$C$23,MATCH(E86,PARAMETRES!$B$18:$B$23,0)),""))</f>
        <v/>
      </c>
      <c r="O86" s="45" t="str">
        <f aca="false">IF(B86="","",IF(F86="ABANDON","ABANDON",IF(F86="TRANSFERE","TRANSFERE",IF(L86="","",IF(L86&gt;=N86,"ADMIS","REDOUBLE")))))</f>
        <v/>
      </c>
      <c r="P86" s="73" t="str">
        <f aca="false">IF(OR(L86="",F86&lt;&gt;"PRESENT"),"",COUNTIFS($E$10:$E$250,E86,$F$10:$F$250,"PRESENT",$L$10:$L$250,"&gt;"&amp;L86)+1)</f>
        <v/>
      </c>
      <c r="Q86" s="74" t="str">
        <f aca="false">IF(O86="ADMIS",IF(L86/M86*10&gt;=8,"Très bien",IF(L86/M86*10&gt;=7,"Bien",IF(L86/M86*10&gt;=6,"Assez bien","Passable"))),IF(O86="REDOUBLE","Insuffisant",""))</f>
        <v/>
      </c>
      <c r="R86" s="51" t="str">
        <f aca="false">IFERROR(MATCH("P-77",'REGISTRE ELEVES'!$AH$10:$AH$250,0),"")</f>
        <v/>
      </c>
    </row>
    <row r="87" customFormat="false" ht="15" hidden="false" customHeight="false" outlineLevel="0" collapsed="false">
      <c r="A87" s="45" t="str">
        <f aca="false">IF(B87="","",78)</f>
        <v/>
      </c>
      <c r="B87" s="45" t="str">
        <f aca="false">IF($R87="","",INDEX('REGISTRE ELEVES'!$B$10:$B$250,$R87))</f>
        <v/>
      </c>
      <c r="C87" s="74" t="str">
        <f aca="false">IF($R87="","",INDEX('REGISTRE ELEVES'!$D$10:$D$250,$R87))</f>
        <v/>
      </c>
      <c r="D87" s="45" t="str">
        <f aca="false">IF($R87="","",INDEX('REGISTRE ELEVES'!$E$10:$E$250,$R87))</f>
        <v/>
      </c>
      <c r="E87" s="45" t="str">
        <f aca="false">IF($R87="","",INDEX('REGISTRE ELEVES'!$F$10:$F$250,$R87))</f>
        <v/>
      </c>
      <c r="F87" s="45" t="str">
        <f aca="false">IF($R87="","",INDEX('REGISTRE ELEVES'!$AE$10:$AE$250,$R87))</f>
        <v/>
      </c>
      <c r="G87" s="80" t="str">
        <f aca="false">IF(B87="","",IFERROR(IF(LEFT(E87,2)="CP",INDEX('NOTES CP'!$P$10:$P$250,MATCH(B87,'NOTES CP'!$B$10:$B$250,0)),IF(E87="CE1",INDEX('NOTES CE1'!$M$10:$M$250,MATCH(B87,'NOTES CE1'!$B$10:$B$250,0)),INDEX('NOTES CE2-CM1'!$M$10:$M$250,MATCH(B87,'NOTES CE2-CM1'!$B$10:$B$250,0)))),""))</f>
        <v/>
      </c>
      <c r="H87" s="80" t="str">
        <f aca="false">IF(B87="","",IFERROR(IF(LEFT(E87,2)="CP",INDEX('NOTES CP'!$Z$10:$Z$250,MATCH(B87,'NOTES CP'!$B$10:$B$250,0)),IF(E87="CE1",INDEX('NOTES CE1'!$T$10:$T$250,MATCH(B87,'NOTES CE1'!$B$10:$B$250,0)),INDEX('NOTES CE2-CM1'!$T$10:$T$250,MATCH(B87,'NOTES CE2-CM1'!$B$10:$B$250,0)))),""))</f>
        <v/>
      </c>
      <c r="I87" s="80" t="str">
        <f aca="false">IF(B87="","",IFERROR(IF(LEFT(E87,2)="CP",INDEX('NOTES CP'!$AJ$10:$AJ$250,MATCH(B87,'NOTES CP'!$B$10:$B$250,0)),IF(E87="CE1",INDEX('NOTES CE1'!$AA$10:$AA$250,MATCH(B87,'NOTES CE1'!$B$10:$B$250,0)),INDEX('NOTES CE2-CM1'!$AA$10:$AA$250,MATCH(B87,'NOTES CE2-CM1'!$B$10:$B$250,0)))),""))</f>
        <v/>
      </c>
      <c r="J87" s="81" t="str">
        <f aca="false">IF(COUNT(G87:I87)=0,"",ROUND(AVERAGE(G87:I87),2))</f>
        <v/>
      </c>
      <c r="K87" s="80" t="str">
        <f aca="false">IF(B87="","",IFERROR(IF(LEFT(E87,2)="CP",INDEX('NOTES CP'!$AT$10:$AT$250,MATCH(B87,'NOTES CP'!$B$10:$B$250,0)),IF(E87="CE1",INDEX('NOTES CE1'!$AH$10:$AH$250,MATCH(B87,'NOTES CE1'!$B$10:$B$250,0)),INDEX('NOTES CE2-CM1'!$AH$10:$AH$250,MATCH(B87,'NOTES CE2-CM1'!$B$10:$B$250,0)))),""))</f>
        <v/>
      </c>
      <c r="L87" s="82" t="str">
        <f aca="false">IF(OR(J87="",K87=""),"",ROUND((J87+2*K87)/3,2))</f>
        <v/>
      </c>
      <c r="M87" s="83" t="str">
        <f aca="false">IF(E87="","",IFERROR(INDEX(PARAMETRES!$D$18:$D$23,MATCH(E87,PARAMETRES!$B$18:$B$23,0)),""))</f>
        <v/>
      </c>
      <c r="N87" s="81" t="str">
        <f aca="false">IF(E87="","",IFERROR(INDEX(PARAMETRES!$C$18:$C$23,MATCH(E87,PARAMETRES!$B$18:$B$23,0)),""))</f>
        <v/>
      </c>
      <c r="O87" s="45" t="str">
        <f aca="false">IF(B87="","",IF(F87="ABANDON","ABANDON",IF(F87="TRANSFERE","TRANSFERE",IF(L87="","",IF(L87&gt;=N87,"ADMIS","REDOUBLE")))))</f>
        <v/>
      </c>
      <c r="P87" s="73" t="str">
        <f aca="false">IF(OR(L87="",F87&lt;&gt;"PRESENT"),"",COUNTIFS($E$10:$E$250,E87,$F$10:$F$250,"PRESENT",$L$10:$L$250,"&gt;"&amp;L87)+1)</f>
        <v/>
      </c>
      <c r="Q87" s="74" t="str">
        <f aca="false">IF(O87="ADMIS",IF(L87/M87*10&gt;=8,"Très bien",IF(L87/M87*10&gt;=7,"Bien",IF(L87/M87*10&gt;=6,"Assez bien","Passable"))),IF(O87="REDOUBLE","Insuffisant",""))</f>
        <v/>
      </c>
      <c r="R87" s="51" t="str">
        <f aca="false">IFERROR(MATCH("P-78",'REGISTRE ELEVES'!$AH$10:$AH$250,0),"")</f>
        <v/>
      </c>
    </row>
    <row r="88" customFormat="false" ht="15" hidden="false" customHeight="false" outlineLevel="0" collapsed="false">
      <c r="A88" s="45" t="str">
        <f aca="false">IF(B88="","",79)</f>
        <v/>
      </c>
      <c r="B88" s="45" t="str">
        <f aca="false">IF($R88="","",INDEX('REGISTRE ELEVES'!$B$10:$B$250,$R88))</f>
        <v/>
      </c>
      <c r="C88" s="74" t="str">
        <f aca="false">IF($R88="","",INDEX('REGISTRE ELEVES'!$D$10:$D$250,$R88))</f>
        <v/>
      </c>
      <c r="D88" s="45" t="str">
        <f aca="false">IF($R88="","",INDEX('REGISTRE ELEVES'!$E$10:$E$250,$R88))</f>
        <v/>
      </c>
      <c r="E88" s="45" t="str">
        <f aca="false">IF($R88="","",INDEX('REGISTRE ELEVES'!$F$10:$F$250,$R88))</f>
        <v/>
      </c>
      <c r="F88" s="45" t="str">
        <f aca="false">IF($R88="","",INDEX('REGISTRE ELEVES'!$AE$10:$AE$250,$R88))</f>
        <v/>
      </c>
      <c r="G88" s="80" t="str">
        <f aca="false">IF(B88="","",IFERROR(IF(LEFT(E88,2)="CP",INDEX('NOTES CP'!$P$10:$P$250,MATCH(B88,'NOTES CP'!$B$10:$B$250,0)),IF(E88="CE1",INDEX('NOTES CE1'!$M$10:$M$250,MATCH(B88,'NOTES CE1'!$B$10:$B$250,0)),INDEX('NOTES CE2-CM1'!$M$10:$M$250,MATCH(B88,'NOTES CE2-CM1'!$B$10:$B$250,0)))),""))</f>
        <v/>
      </c>
      <c r="H88" s="80" t="str">
        <f aca="false">IF(B88="","",IFERROR(IF(LEFT(E88,2)="CP",INDEX('NOTES CP'!$Z$10:$Z$250,MATCH(B88,'NOTES CP'!$B$10:$B$250,0)),IF(E88="CE1",INDEX('NOTES CE1'!$T$10:$T$250,MATCH(B88,'NOTES CE1'!$B$10:$B$250,0)),INDEX('NOTES CE2-CM1'!$T$10:$T$250,MATCH(B88,'NOTES CE2-CM1'!$B$10:$B$250,0)))),""))</f>
        <v/>
      </c>
      <c r="I88" s="80" t="str">
        <f aca="false">IF(B88="","",IFERROR(IF(LEFT(E88,2)="CP",INDEX('NOTES CP'!$AJ$10:$AJ$250,MATCH(B88,'NOTES CP'!$B$10:$B$250,0)),IF(E88="CE1",INDEX('NOTES CE1'!$AA$10:$AA$250,MATCH(B88,'NOTES CE1'!$B$10:$B$250,0)),INDEX('NOTES CE2-CM1'!$AA$10:$AA$250,MATCH(B88,'NOTES CE2-CM1'!$B$10:$B$250,0)))),""))</f>
        <v/>
      </c>
      <c r="J88" s="81" t="str">
        <f aca="false">IF(COUNT(G88:I88)=0,"",ROUND(AVERAGE(G88:I88),2))</f>
        <v/>
      </c>
      <c r="K88" s="80" t="str">
        <f aca="false">IF(B88="","",IFERROR(IF(LEFT(E88,2)="CP",INDEX('NOTES CP'!$AT$10:$AT$250,MATCH(B88,'NOTES CP'!$B$10:$B$250,0)),IF(E88="CE1",INDEX('NOTES CE1'!$AH$10:$AH$250,MATCH(B88,'NOTES CE1'!$B$10:$B$250,0)),INDEX('NOTES CE2-CM1'!$AH$10:$AH$250,MATCH(B88,'NOTES CE2-CM1'!$B$10:$B$250,0)))),""))</f>
        <v/>
      </c>
      <c r="L88" s="82" t="str">
        <f aca="false">IF(OR(J88="",K88=""),"",ROUND((J88+2*K88)/3,2))</f>
        <v/>
      </c>
      <c r="M88" s="83" t="str">
        <f aca="false">IF(E88="","",IFERROR(INDEX(PARAMETRES!$D$18:$D$23,MATCH(E88,PARAMETRES!$B$18:$B$23,0)),""))</f>
        <v/>
      </c>
      <c r="N88" s="81" t="str">
        <f aca="false">IF(E88="","",IFERROR(INDEX(PARAMETRES!$C$18:$C$23,MATCH(E88,PARAMETRES!$B$18:$B$23,0)),""))</f>
        <v/>
      </c>
      <c r="O88" s="45" t="str">
        <f aca="false">IF(B88="","",IF(F88="ABANDON","ABANDON",IF(F88="TRANSFERE","TRANSFERE",IF(L88="","",IF(L88&gt;=N88,"ADMIS","REDOUBLE")))))</f>
        <v/>
      </c>
      <c r="P88" s="73" t="str">
        <f aca="false">IF(OR(L88="",F88&lt;&gt;"PRESENT"),"",COUNTIFS($E$10:$E$250,E88,$F$10:$F$250,"PRESENT",$L$10:$L$250,"&gt;"&amp;L88)+1)</f>
        <v/>
      </c>
      <c r="Q88" s="74" t="str">
        <f aca="false">IF(O88="ADMIS",IF(L88/M88*10&gt;=8,"Très bien",IF(L88/M88*10&gt;=7,"Bien",IF(L88/M88*10&gt;=6,"Assez bien","Passable"))),IF(O88="REDOUBLE","Insuffisant",""))</f>
        <v/>
      </c>
      <c r="R88" s="51" t="str">
        <f aca="false">IFERROR(MATCH("P-79",'REGISTRE ELEVES'!$AH$10:$AH$250,0),"")</f>
        <v/>
      </c>
    </row>
    <row r="89" customFormat="false" ht="15" hidden="false" customHeight="false" outlineLevel="0" collapsed="false">
      <c r="A89" s="45" t="str">
        <f aca="false">IF(B89="","",80)</f>
        <v/>
      </c>
      <c r="B89" s="45" t="str">
        <f aca="false">IF($R89="","",INDEX('REGISTRE ELEVES'!$B$10:$B$250,$R89))</f>
        <v/>
      </c>
      <c r="C89" s="74" t="str">
        <f aca="false">IF($R89="","",INDEX('REGISTRE ELEVES'!$D$10:$D$250,$R89))</f>
        <v/>
      </c>
      <c r="D89" s="45" t="str">
        <f aca="false">IF($R89="","",INDEX('REGISTRE ELEVES'!$E$10:$E$250,$R89))</f>
        <v/>
      </c>
      <c r="E89" s="45" t="str">
        <f aca="false">IF($R89="","",INDEX('REGISTRE ELEVES'!$F$10:$F$250,$R89))</f>
        <v/>
      </c>
      <c r="F89" s="45" t="str">
        <f aca="false">IF($R89="","",INDEX('REGISTRE ELEVES'!$AE$10:$AE$250,$R89))</f>
        <v/>
      </c>
      <c r="G89" s="80" t="str">
        <f aca="false">IF(B89="","",IFERROR(IF(LEFT(E89,2)="CP",INDEX('NOTES CP'!$P$10:$P$250,MATCH(B89,'NOTES CP'!$B$10:$B$250,0)),IF(E89="CE1",INDEX('NOTES CE1'!$M$10:$M$250,MATCH(B89,'NOTES CE1'!$B$10:$B$250,0)),INDEX('NOTES CE2-CM1'!$M$10:$M$250,MATCH(B89,'NOTES CE2-CM1'!$B$10:$B$250,0)))),""))</f>
        <v/>
      </c>
      <c r="H89" s="80" t="str">
        <f aca="false">IF(B89="","",IFERROR(IF(LEFT(E89,2)="CP",INDEX('NOTES CP'!$Z$10:$Z$250,MATCH(B89,'NOTES CP'!$B$10:$B$250,0)),IF(E89="CE1",INDEX('NOTES CE1'!$T$10:$T$250,MATCH(B89,'NOTES CE1'!$B$10:$B$250,0)),INDEX('NOTES CE2-CM1'!$T$10:$T$250,MATCH(B89,'NOTES CE2-CM1'!$B$10:$B$250,0)))),""))</f>
        <v/>
      </c>
      <c r="I89" s="80" t="str">
        <f aca="false">IF(B89="","",IFERROR(IF(LEFT(E89,2)="CP",INDEX('NOTES CP'!$AJ$10:$AJ$250,MATCH(B89,'NOTES CP'!$B$10:$B$250,0)),IF(E89="CE1",INDEX('NOTES CE1'!$AA$10:$AA$250,MATCH(B89,'NOTES CE1'!$B$10:$B$250,0)),INDEX('NOTES CE2-CM1'!$AA$10:$AA$250,MATCH(B89,'NOTES CE2-CM1'!$B$10:$B$250,0)))),""))</f>
        <v/>
      </c>
      <c r="J89" s="81" t="str">
        <f aca="false">IF(COUNT(G89:I89)=0,"",ROUND(AVERAGE(G89:I89),2))</f>
        <v/>
      </c>
      <c r="K89" s="80" t="str">
        <f aca="false">IF(B89="","",IFERROR(IF(LEFT(E89,2)="CP",INDEX('NOTES CP'!$AT$10:$AT$250,MATCH(B89,'NOTES CP'!$B$10:$B$250,0)),IF(E89="CE1",INDEX('NOTES CE1'!$AH$10:$AH$250,MATCH(B89,'NOTES CE1'!$B$10:$B$250,0)),INDEX('NOTES CE2-CM1'!$AH$10:$AH$250,MATCH(B89,'NOTES CE2-CM1'!$B$10:$B$250,0)))),""))</f>
        <v/>
      </c>
      <c r="L89" s="82" t="str">
        <f aca="false">IF(OR(J89="",K89=""),"",ROUND((J89+2*K89)/3,2))</f>
        <v/>
      </c>
      <c r="M89" s="83" t="str">
        <f aca="false">IF(E89="","",IFERROR(INDEX(PARAMETRES!$D$18:$D$23,MATCH(E89,PARAMETRES!$B$18:$B$23,0)),""))</f>
        <v/>
      </c>
      <c r="N89" s="81" t="str">
        <f aca="false">IF(E89="","",IFERROR(INDEX(PARAMETRES!$C$18:$C$23,MATCH(E89,PARAMETRES!$B$18:$B$23,0)),""))</f>
        <v/>
      </c>
      <c r="O89" s="45" t="str">
        <f aca="false">IF(B89="","",IF(F89="ABANDON","ABANDON",IF(F89="TRANSFERE","TRANSFERE",IF(L89="","",IF(L89&gt;=N89,"ADMIS","REDOUBLE")))))</f>
        <v/>
      </c>
      <c r="P89" s="73" t="str">
        <f aca="false">IF(OR(L89="",F89&lt;&gt;"PRESENT"),"",COUNTIFS($E$10:$E$250,E89,$F$10:$F$250,"PRESENT",$L$10:$L$250,"&gt;"&amp;L89)+1)</f>
        <v/>
      </c>
      <c r="Q89" s="74" t="str">
        <f aca="false">IF(O89="ADMIS",IF(L89/M89*10&gt;=8,"Très bien",IF(L89/M89*10&gt;=7,"Bien",IF(L89/M89*10&gt;=6,"Assez bien","Passable"))),IF(O89="REDOUBLE","Insuffisant",""))</f>
        <v/>
      </c>
      <c r="R89" s="51" t="str">
        <f aca="false">IFERROR(MATCH("P-80",'REGISTRE ELEVES'!$AH$10:$AH$250,0),"")</f>
        <v/>
      </c>
    </row>
    <row r="90" customFormat="false" ht="15" hidden="false" customHeight="false" outlineLevel="0" collapsed="false">
      <c r="A90" s="45" t="str">
        <f aca="false">IF(B90="","",81)</f>
        <v/>
      </c>
      <c r="B90" s="45" t="str">
        <f aca="false">IF($R90="","",INDEX('REGISTRE ELEVES'!$B$10:$B$250,$R90))</f>
        <v/>
      </c>
      <c r="C90" s="74" t="str">
        <f aca="false">IF($R90="","",INDEX('REGISTRE ELEVES'!$D$10:$D$250,$R90))</f>
        <v/>
      </c>
      <c r="D90" s="45" t="str">
        <f aca="false">IF($R90="","",INDEX('REGISTRE ELEVES'!$E$10:$E$250,$R90))</f>
        <v/>
      </c>
      <c r="E90" s="45" t="str">
        <f aca="false">IF($R90="","",INDEX('REGISTRE ELEVES'!$F$10:$F$250,$R90))</f>
        <v/>
      </c>
      <c r="F90" s="45" t="str">
        <f aca="false">IF($R90="","",INDEX('REGISTRE ELEVES'!$AE$10:$AE$250,$R90))</f>
        <v/>
      </c>
      <c r="G90" s="80" t="str">
        <f aca="false">IF(B90="","",IFERROR(IF(LEFT(E90,2)="CP",INDEX('NOTES CP'!$P$10:$P$250,MATCH(B90,'NOTES CP'!$B$10:$B$250,0)),IF(E90="CE1",INDEX('NOTES CE1'!$M$10:$M$250,MATCH(B90,'NOTES CE1'!$B$10:$B$250,0)),INDEX('NOTES CE2-CM1'!$M$10:$M$250,MATCH(B90,'NOTES CE2-CM1'!$B$10:$B$250,0)))),""))</f>
        <v/>
      </c>
      <c r="H90" s="80" t="str">
        <f aca="false">IF(B90="","",IFERROR(IF(LEFT(E90,2)="CP",INDEX('NOTES CP'!$Z$10:$Z$250,MATCH(B90,'NOTES CP'!$B$10:$B$250,0)),IF(E90="CE1",INDEX('NOTES CE1'!$T$10:$T$250,MATCH(B90,'NOTES CE1'!$B$10:$B$250,0)),INDEX('NOTES CE2-CM1'!$T$10:$T$250,MATCH(B90,'NOTES CE2-CM1'!$B$10:$B$250,0)))),""))</f>
        <v/>
      </c>
      <c r="I90" s="80" t="str">
        <f aca="false">IF(B90="","",IFERROR(IF(LEFT(E90,2)="CP",INDEX('NOTES CP'!$AJ$10:$AJ$250,MATCH(B90,'NOTES CP'!$B$10:$B$250,0)),IF(E90="CE1",INDEX('NOTES CE1'!$AA$10:$AA$250,MATCH(B90,'NOTES CE1'!$B$10:$B$250,0)),INDEX('NOTES CE2-CM1'!$AA$10:$AA$250,MATCH(B90,'NOTES CE2-CM1'!$B$10:$B$250,0)))),""))</f>
        <v/>
      </c>
      <c r="J90" s="81" t="str">
        <f aca="false">IF(COUNT(G90:I90)=0,"",ROUND(AVERAGE(G90:I90),2))</f>
        <v/>
      </c>
      <c r="K90" s="80" t="str">
        <f aca="false">IF(B90="","",IFERROR(IF(LEFT(E90,2)="CP",INDEX('NOTES CP'!$AT$10:$AT$250,MATCH(B90,'NOTES CP'!$B$10:$B$250,0)),IF(E90="CE1",INDEX('NOTES CE1'!$AH$10:$AH$250,MATCH(B90,'NOTES CE1'!$B$10:$B$250,0)),INDEX('NOTES CE2-CM1'!$AH$10:$AH$250,MATCH(B90,'NOTES CE2-CM1'!$B$10:$B$250,0)))),""))</f>
        <v/>
      </c>
      <c r="L90" s="82" t="str">
        <f aca="false">IF(OR(J90="",K90=""),"",ROUND((J90+2*K90)/3,2))</f>
        <v/>
      </c>
      <c r="M90" s="83" t="str">
        <f aca="false">IF(E90="","",IFERROR(INDEX(PARAMETRES!$D$18:$D$23,MATCH(E90,PARAMETRES!$B$18:$B$23,0)),""))</f>
        <v/>
      </c>
      <c r="N90" s="81" t="str">
        <f aca="false">IF(E90="","",IFERROR(INDEX(PARAMETRES!$C$18:$C$23,MATCH(E90,PARAMETRES!$B$18:$B$23,0)),""))</f>
        <v/>
      </c>
      <c r="O90" s="45" t="str">
        <f aca="false">IF(B90="","",IF(F90="ABANDON","ABANDON",IF(F90="TRANSFERE","TRANSFERE",IF(L90="","",IF(L90&gt;=N90,"ADMIS","REDOUBLE")))))</f>
        <v/>
      </c>
      <c r="P90" s="73" t="str">
        <f aca="false">IF(OR(L90="",F90&lt;&gt;"PRESENT"),"",COUNTIFS($E$10:$E$250,E90,$F$10:$F$250,"PRESENT",$L$10:$L$250,"&gt;"&amp;L90)+1)</f>
        <v/>
      </c>
      <c r="Q90" s="74" t="str">
        <f aca="false">IF(O90="ADMIS",IF(L90/M90*10&gt;=8,"Très bien",IF(L90/M90*10&gt;=7,"Bien",IF(L90/M90*10&gt;=6,"Assez bien","Passable"))),IF(O90="REDOUBLE","Insuffisant",""))</f>
        <v/>
      </c>
      <c r="R90" s="51" t="str">
        <f aca="false">IFERROR(MATCH("P-81",'REGISTRE ELEVES'!$AH$10:$AH$250,0),"")</f>
        <v/>
      </c>
    </row>
    <row r="91" customFormat="false" ht="15" hidden="false" customHeight="false" outlineLevel="0" collapsed="false">
      <c r="A91" s="45" t="str">
        <f aca="false">IF(B91="","",82)</f>
        <v/>
      </c>
      <c r="B91" s="45" t="str">
        <f aca="false">IF($R91="","",INDEX('REGISTRE ELEVES'!$B$10:$B$250,$R91))</f>
        <v/>
      </c>
      <c r="C91" s="74" t="str">
        <f aca="false">IF($R91="","",INDEX('REGISTRE ELEVES'!$D$10:$D$250,$R91))</f>
        <v/>
      </c>
      <c r="D91" s="45" t="str">
        <f aca="false">IF($R91="","",INDEX('REGISTRE ELEVES'!$E$10:$E$250,$R91))</f>
        <v/>
      </c>
      <c r="E91" s="45" t="str">
        <f aca="false">IF($R91="","",INDEX('REGISTRE ELEVES'!$F$10:$F$250,$R91))</f>
        <v/>
      </c>
      <c r="F91" s="45" t="str">
        <f aca="false">IF($R91="","",INDEX('REGISTRE ELEVES'!$AE$10:$AE$250,$R91))</f>
        <v/>
      </c>
      <c r="G91" s="80" t="str">
        <f aca="false">IF(B91="","",IFERROR(IF(LEFT(E91,2)="CP",INDEX('NOTES CP'!$P$10:$P$250,MATCH(B91,'NOTES CP'!$B$10:$B$250,0)),IF(E91="CE1",INDEX('NOTES CE1'!$M$10:$M$250,MATCH(B91,'NOTES CE1'!$B$10:$B$250,0)),INDEX('NOTES CE2-CM1'!$M$10:$M$250,MATCH(B91,'NOTES CE2-CM1'!$B$10:$B$250,0)))),""))</f>
        <v/>
      </c>
      <c r="H91" s="80" t="str">
        <f aca="false">IF(B91="","",IFERROR(IF(LEFT(E91,2)="CP",INDEX('NOTES CP'!$Z$10:$Z$250,MATCH(B91,'NOTES CP'!$B$10:$B$250,0)),IF(E91="CE1",INDEX('NOTES CE1'!$T$10:$T$250,MATCH(B91,'NOTES CE1'!$B$10:$B$250,0)),INDEX('NOTES CE2-CM1'!$T$10:$T$250,MATCH(B91,'NOTES CE2-CM1'!$B$10:$B$250,0)))),""))</f>
        <v/>
      </c>
      <c r="I91" s="80" t="str">
        <f aca="false">IF(B91="","",IFERROR(IF(LEFT(E91,2)="CP",INDEX('NOTES CP'!$AJ$10:$AJ$250,MATCH(B91,'NOTES CP'!$B$10:$B$250,0)),IF(E91="CE1",INDEX('NOTES CE1'!$AA$10:$AA$250,MATCH(B91,'NOTES CE1'!$B$10:$B$250,0)),INDEX('NOTES CE2-CM1'!$AA$10:$AA$250,MATCH(B91,'NOTES CE2-CM1'!$B$10:$B$250,0)))),""))</f>
        <v/>
      </c>
      <c r="J91" s="81" t="str">
        <f aca="false">IF(COUNT(G91:I91)=0,"",ROUND(AVERAGE(G91:I91),2))</f>
        <v/>
      </c>
      <c r="K91" s="80" t="str">
        <f aca="false">IF(B91="","",IFERROR(IF(LEFT(E91,2)="CP",INDEX('NOTES CP'!$AT$10:$AT$250,MATCH(B91,'NOTES CP'!$B$10:$B$250,0)),IF(E91="CE1",INDEX('NOTES CE1'!$AH$10:$AH$250,MATCH(B91,'NOTES CE1'!$B$10:$B$250,0)),INDEX('NOTES CE2-CM1'!$AH$10:$AH$250,MATCH(B91,'NOTES CE2-CM1'!$B$10:$B$250,0)))),""))</f>
        <v/>
      </c>
      <c r="L91" s="82" t="str">
        <f aca="false">IF(OR(J91="",K91=""),"",ROUND((J91+2*K91)/3,2))</f>
        <v/>
      </c>
      <c r="M91" s="83" t="str">
        <f aca="false">IF(E91="","",IFERROR(INDEX(PARAMETRES!$D$18:$D$23,MATCH(E91,PARAMETRES!$B$18:$B$23,0)),""))</f>
        <v/>
      </c>
      <c r="N91" s="81" t="str">
        <f aca="false">IF(E91="","",IFERROR(INDEX(PARAMETRES!$C$18:$C$23,MATCH(E91,PARAMETRES!$B$18:$B$23,0)),""))</f>
        <v/>
      </c>
      <c r="O91" s="45" t="str">
        <f aca="false">IF(B91="","",IF(F91="ABANDON","ABANDON",IF(F91="TRANSFERE","TRANSFERE",IF(L91="","",IF(L91&gt;=N91,"ADMIS","REDOUBLE")))))</f>
        <v/>
      </c>
      <c r="P91" s="73" t="str">
        <f aca="false">IF(OR(L91="",F91&lt;&gt;"PRESENT"),"",COUNTIFS($E$10:$E$250,E91,$F$10:$F$250,"PRESENT",$L$10:$L$250,"&gt;"&amp;L91)+1)</f>
        <v/>
      </c>
      <c r="Q91" s="74" t="str">
        <f aca="false">IF(O91="ADMIS",IF(L91/M91*10&gt;=8,"Très bien",IF(L91/M91*10&gt;=7,"Bien",IF(L91/M91*10&gt;=6,"Assez bien","Passable"))),IF(O91="REDOUBLE","Insuffisant",""))</f>
        <v/>
      </c>
      <c r="R91" s="51" t="str">
        <f aca="false">IFERROR(MATCH("P-82",'REGISTRE ELEVES'!$AH$10:$AH$250,0),"")</f>
        <v/>
      </c>
    </row>
    <row r="92" customFormat="false" ht="15" hidden="false" customHeight="false" outlineLevel="0" collapsed="false">
      <c r="A92" s="45" t="str">
        <f aca="false">IF(B92="","",83)</f>
        <v/>
      </c>
      <c r="B92" s="45" t="str">
        <f aca="false">IF($R92="","",INDEX('REGISTRE ELEVES'!$B$10:$B$250,$R92))</f>
        <v/>
      </c>
      <c r="C92" s="74" t="str">
        <f aca="false">IF($R92="","",INDEX('REGISTRE ELEVES'!$D$10:$D$250,$R92))</f>
        <v/>
      </c>
      <c r="D92" s="45" t="str">
        <f aca="false">IF($R92="","",INDEX('REGISTRE ELEVES'!$E$10:$E$250,$R92))</f>
        <v/>
      </c>
      <c r="E92" s="45" t="str">
        <f aca="false">IF($R92="","",INDEX('REGISTRE ELEVES'!$F$10:$F$250,$R92))</f>
        <v/>
      </c>
      <c r="F92" s="45" t="str">
        <f aca="false">IF($R92="","",INDEX('REGISTRE ELEVES'!$AE$10:$AE$250,$R92))</f>
        <v/>
      </c>
      <c r="G92" s="80" t="str">
        <f aca="false">IF(B92="","",IFERROR(IF(LEFT(E92,2)="CP",INDEX('NOTES CP'!$P$10:$P$250,MATCH(B92,'NOTES CP'!$B$10:$B$250,0)),IF(E92="CE1",INDEX('NOTES CE1'!$M$10:$M$250,MATCH(B92,'NOTES CE1'!$B$10:$B$250,0)),INDEX('NOTES CE2-CM1'!$M$10:$M$250,MATCH(B92,'NOTES CE2-CM1'!$B$10:$B$250,0)))),""))</f>
        <v/>
      </c>
      <c r="H92" s="80" t="str">
        <f aca="false">IF(B92="","",IFERROR(IF(LEFT(E92,2)="CP",INDEX('NOTES CP'!$Z$10:$Z$250,MATCH(B92,'NOTES CP'!$B$10:$B$250,0)),IF(E92="CE1",INDEX('NOTES CE1'!$T$10:$T$250,MATCH(B92,'NOTES CE1'!$B$10:$B$250,0)),INDEX('NOTES CE2-CM1'!$T$10:$T$250,MATCH(B92,'NOTES CE2-CM1'!$B$10:$B$250,0)))),""))</f>
        <v/>
      </c>
      <c r="I92" s="80" t="str">
        <f aca="false">IF(B92="","",IFERROR(IF(LEFT(E92,2)="CP",INDEX('NOTES CP'!$AJ$10:$AJ$250,MATCH(B92,'NOTES CP'!$B$10:$B$250,0)),IF(E92="CE1",INDEX('NOTES CE1'!$AA$10:$AA$250,MATCH(B92,'NOTES CE1'!$B$10:$B$250,0)),INDEX('NOTES CE2-CM1'!$AA$10:$AA$250,MATCH(B92,'NOTES CE2-CM1'!$B$10:$B$250,0)))),""))</f>
        <v/>
      </c>
      <c r="J92" s="81" t="str">
        <f aca="false">IF(COUNT(G92:I92)=0,"",ROUND(AVERAGE(G92:I92),2))</f>
        <v/>
      </c>
      <c r="K92" s="80" t="str">
        <f aca="false">IF(B92="","",IFERROR(IF(LEFT(E92,2)="CP",INDEX('NOTES CP'!$AT$10:$AT$250,MATCH(B92,'NOTES CP'!$B$10:$B$250,0)),IF(E92="CE1",INDEX('NOTES CE1'!$AH$10:$AH$250,MATCH(B92,'NOTES CE1'!$B$10:$B$250,0)),INDEX('NOTES CE2-CM1'!$AH$10:$AH$250,MATCH(B92,'NOTES CE2-CM1'!$B$10:$B$250,0)))),""))</f>
        <v/>
      </c>
      <c r="L92" s="82" t="str">
        <f aca="false">IF(OR(J92="",K92=""),"",ROUND((J92+2*K92)/3,2))</f>
        <v/>
      </c>
      <c r="M92" s="83" t="str">
        <f aca="false">IF(E92="","",IFERROR(INDEX(PARAMETRES!$D$18:$D$23,MATCH(E92,PARAMETRES!$B$18:$B$23,0)),""))</f>
        <v/>
      </c>
      <c r="N92" s="81" t="str">
        <f aca="false">IF(E92="","",IFERROR(INDEX(PARAMETRES!$C$18:$C$23,MATCH(E92,PARAMETRES!$B$18:$B$23,0)),""))</f>
        <v/>
      </c>
      <c r="O92" s="45" t="str">
        <f aca="false">IF(B92="","",IF(F92="ABANDON","ABANDON",IF(F92="TRANSFERE","TRANSFERE",IF(L92="","",IF(L92&gt;=N92,"ADMIS","REDOUBLE")))))</f>
        <v/>
      </c>
      <c r="P92" s="73" t="str">
        <f aca="false">IF(OR(L92="",F92&lt;&gt;"PRESENT"),"",COUNTIFS($E$10:$E$250,E92,$F$10:$F$250,"PRESENT",$L$10:$L$250,"&gt;"&amp;L92)+1)</f>
        <v/>
      </c>
      <c r="Q92" s="74" t="str">
        <f aca="false">IF(O92="ADMIS",IF(L92/M92*10&gt;=8,"Très bien",IF(L92/M92*10&gt;=7,"Bien",IF(L92/M92*10&gt;=6,"Assez bien","Passable"))),IF(O92="REDOUBLE","Insuffisant",""))</f>
        <v/>
      </c>
      <c r="R92" s="51" t="str">
        <f aca="false">IFERROR(MATCH("P-83",'REGISTRE ELEVES'!$AH$10:$AH$250,0),"")</f>
        <v/>
      </c>
    </row>
    <row r="93" customFormat="false" ht="15" hidden="false" customHeight="false" outlineLevel="0" collapsed="false">
      <c r="A93" s="45" t="str">
        <f aca="false">IF(B93="","",84)</f>
        <v/>
      </c>
      <c r="B93" s="45" t="str">
        <f aca="false">IF($R93="","",INDEX('REGISTRE ELEVES'!$B$10:$B$250,$R93))</f>
        <v/>
      </c>
      <c r="C93" s="74" t="str">
        <f aca="false">IF($R93="","",INDEX('REGISTRE ELEVES'!$D$10:$D$250,$R93))</f>
        <v/>
      </c>
      <c r="D93" s="45" t="str">
        <f aca="false">IF($R93="","",INDEX('REGISTRE ELEVES'!$E$10:$E$250,$R93))</f>
        <v/>
      </c>
      <c r="E93" s="45" t="str">
        <f aca="false">IF($R93="","",INDEX('REGISTRE ELEVES'!$F$10:$F$250,$R93))</f>
        <v/>
      </c>
      <c r="F93" s="45" t="str">
        <f aca="false">IF($R93="","",INDEX('REGISTRE ELEVES'!$AE$10:$AE$250,$R93))</f>
        <v/>
      </c>
      <c r="G93" s="80" t="str">
        <f aca="false">IF(B93="","",IFERROR(IF(LEFT(E93,2)="CP",INDEX('NOTES CP'!$P$10:$P$250,MATCH(B93,'NOTES CP'!$B$10:$B$250,0)),IF(E93="CE1",INDEX('NOTES CE1'!$M$10:$M$250,MATCH(B93,'NOTES CE1'!$B$10:$B$250,0)),INDEX('NOTES CE2-CM1'!$M$10:$M$250,MATCH(B93,'NOTES CE2-CM1'!$B$10:$B$250,0)))),""))</f>
        <v/>
      </c>
      <c r="H93" s="80" t="str">
        <f aca="false">IF(B93="","",IFERROR(IF(LEFT(E93,2)="CP",INDEX('NOTES CP'!$Z$10:$Z$250,MATCH(B93,'NOTES CP'!$B$10:$B$250,0)),IF(E93="CE1",INDEX('NOTES CE1'!$T$10:$T$250,MATCH(B93,'NOTES CE1'!$B$10:$B$250,0)),INDEX('NOTES CE2-CM1'!$T$10:$T$250,MATCH(B93,'NOTES CE2-CM1'!$B$10:$B$250,0)))),""))</f>
        <v/>
      </c>
      <c r="I93" s="80" t="str">
        <f aca="false">IF(B93="","",IFERROR(IF(LEFT(E93,2)="CP",INDEX('NOTES CP'!$AJ$10:$AJ$250,MATCH(B93,'NOTES CP'!$B$10:$B$250,0)),IF(E93="CE1",INDEX('NOTES CE1'!$AA$10:$AA$250,MATCH(B93,'NOTES CE1'!$B$10:$B$250,0)),INDEX('NOTES CE2-CM1'!$AA$10:$AA$250,MATCH(B93,'NOTES CE2-CM1'!$B$10:$B$250,0)))),""))</f>
        <v/>
      </c>
      <c r="J93" s="81" t="str">
        <f aca="false">IF(COUNT(G93:I93)=0,"",ROUND(AVERAGE(G93:I93),2))</f>
        <v/>
      </c>
      <c r="K93" s="80" t="str">
        <f aca="false">IF(B93="","",IFERROR(IF(LEFT(E93,2)="CP",INDEX('NOTES CP'!$AT$10:$AT$250,MATCH(B93,'NOTES CP'!$B$10:$B$250,0)),IF(E93="CE1",INDEX('NOTES CE1'!$AH$10:$AH$250,MATCH(B93,'NOTES CE1'!$B$10:$B$250,0)),INDEX('NOTES CE2-CM1'!$AH$10:$AH$250,MATCH(B93,'NOTES CE2-CM1'!$B$10:$B$250,0)))),""))</f>
        <v/>
      </c>
      <c r="L93" s="82" t="str">
        <f aca="false">IF(OR(J93="",K93=""),"",ROUND((J93+2*K93)/3,2))</f>
        <v/>
      </c>
      <c r="M93" s="83" t="str">
        <f aca="false">IF(E93="","",IFERROR(INDEX(PARAMETRES!$D$18:$D$23,MATCH(E93,PARAMETRES!$B$18:$B$23,0)),""))</f>
        <v/>
      </c>
      <c r="N93" s="81" t="str">
        <f aca="false">IF(E93="","",IFERROR(INDEX(PARAMETRES!$C$18:$C$23,MATCH(E93,PARAMETRES!$B$18:$B$23,0)),""))</f>
        <v/>
      </c>
      <c r="O93" s="45" t="str">
        <f aca="false">IF(B93="","",IF(F93="ABANDON","ABANDON",IF(F93="TRANSFERE","TRANSFERE",IF(L93="","",IF(L93&gt;=N93,"ADMIS","REDOUBLE")))))</f>
        <v/>
      </c>
      <c r="P93" s="73" t="str">
        <f aca="false">IF(OR(L93="",F93&lt;&gt;"PRESENT"),"",COUNTIFS($E$10:$E$250,E93,$F$10:$F$250,"PRESENT",$L$10:$L$250,"&gt;"&amp;L93)+1)</f>
        <v/>
      </c>
      <c r="Q93" s="74" t="str">
        <f aca="false">IF(O93="ADMIS",IF(L93/M93*10&gt;=8,"Très bien",IF(L93/M93*10&gt;=7,"Bien",IF(L93/M93*10&gt;=6,"Assez bien","Passable"))),IF(O93="REDOUBLE","Insuffisant",""))</f>
        <v/>
      </c>
      <c r="R93" s="51" t="str">
        <f aca="false">IFERROR(MATCH("P-84",'REGISTRE ELEVES'!$AH$10:$AH$250,0),"")</f>
        <v/>
      </c>
    </row>
    <row r="94" customFormat="false" ht="15" hidden="false" customHeight="false" outlineLevel="0" collapsed="false">
      <c r="A94" s="45" t="str">
        <f aca="false">IF(B94="","",85)</f>
        <v/>
      </c>
      <c r="B94" s="45" t="str">
        <f aca="false">IF($R94="","",INDEX('REGISTRE ELEVES'!$B$10:$B$250,$R94))</f>
        <v/>
      </c>
      <c r="C94" s="74" t="str">
        <f aca="false">IF($R94="","",INDEX('REGISTRE ELEVES'!$D$10:$D$250,$R94))</f>
        <v/>
      </c>
      <c r="D94" s="45" t="str">
        <f aca="false">IF($R94="","",INDEX('REGISTRE ELEVES'!$E$10:$E$250,$R94))</f>
        <v/>
      </c>
      <c r="E94" s="45" t="str">
        <f aca="false">IF($R94="","",INDEX('REGISTRE ELEVES'!$F$10:$F$250,$R94))</f>
        <v/>
      </c>
      <c r="F94" s="45" t="str">
        <f aca="false">IF($R94="","",INDEX('REGISTRE ELEVES'!$AE$10:$AE$250,$R94))</f>
        <v/>
      </c>
      <c r="G94" s="80" t="str">
        <f aca="false">IF(B94="","",IFERROR(IF(LEFT(E94,2)="CP",INDEX('NOTES CP'!$P$10:$P$250,MATCH(B94,'NOTES CP'!$B$10:$B$250,0)),IF(E94="CE1",INDEX('NOTES CE1'!$M$10:$M$250,MATCH(B94,'NOTES CE1'!$B$10:$B$250,0)),INDEX('NOTES CE2-CM1'!$M$10:$M$250,MATCH(B94,'NOTES CE2-CM1'!$B$10:$B$250,0)))),""))</f>
        <v/>
      </c>
      <c r="H94" s="80" t="str">
        <f aca="false">IF(B94="","",IFERROR(IF(LEFT(E94,2)="CP",INDEX('NOTES CP'!$Z$10:$Z$250,MATCH(B94,'NOTES CP'!$B$10:$B$250,0)),IF(E94="CE1",INDEX('NOTES CE1'!$T$10:$T$250,MATCH(B94,'NOTES CE1'!$B$10:$B$250,0)),INDEX('NOTES CE2-CM1'!$T$10:$T$250,MATCH(B94,'NOTES CE2-CM1'!$B$10:$B$250,0)))),""))</f>
        <v/>
      </c>
      <c r="I94" s="80" t="str">
        <f aca="false">IF(B94="","",IFERROR(IF(LEFT(E94,2)="CP",INDEX('NOTES CP'!$AJ$10:$AJ$250,MATCH(B94,'NOTES CP'!$B$10:$B$250,0)),IF(E94="CE1",INDEX('NOTES CE1'!$AA$10:$AA$250,MATCH(B94,'NOTES CE1'!$B$10:$B$250,0)),INDEX('NOTES CE2-CM1'!$AA$10:$AA$250,MATCH(B94,'NOTES CE2-CM1'!$B$10:$B$250,0)))),""))</f>
        <v/>
      </c>
      <c r="J94" s="81" t="str">
        <f aca="false">IF(COUNT(G94:I94)=0,"",ROUND(AVERAGE(G94:I94),2))</f>
        <v/>
      </c>
      <c r="K94" s="80" t="str">
        <f aca="false">IF(B94="","",IFERROR(IF(LEFT(E94,2)="CP",INDEX('NOTES CP'!$AT$10:$AT$250,MATCH(B94,'NOTES CP'!$B$10:$B$250,0)),IF(E94="CE1",INDEX('NOTES CE1'!$AH$10:$AH$250,MATCH(B94,'NOTES CE1'!$B$10:$B$250,0)),INDEX('NOTES CE2-CM1'!$AH$10:$AH$250,MATCH(B94,'NOTES CE2-CM1'!$B$10:$B$250,0)))),""))</f>
        <v/>
      </c>
      <c r="L94" s="82" t="str">
        <f aca="false">IF(OR(J94="",K94=""),"",ROUND((J94+2*K94)/3,2))</f>
        <v/>
      </c>
      <c r="M94" s="83" t="str">
        <f aca="false">IF(E94="","",IFERROR(INDEX(PARAMETRES!$D$18:$D$23,MATCH(E94,PARAMETRES!$B$18:$B$23,0)),""))</f>
        <v/>
      </c>
      <c r="N94" s="81" t="str">
        <f aca="false">IF(E94="","",IFERROR(INDEX(PARAMETRES!$C$18:$C$23,MATCH(E94,PARAMETRES!$B$18:$B$23,0)),""))</f>
        <v/>
      </c>
      <c r="O94" s="45" t="str">
        <f aca="false">IF(B94="","",IF(F94="ABANDON","ABANDON",IF(F94="TRANSFERE","TRANSFERE",IF(L94="","",IF(L94&gt;=N94,"ADMIS","REDOUBLE")))))</f>
        <v/>
      </c>
      <c r="P94" s="73" t="str">
        <f aca="false">IF(OR(L94="",F94&lt;&gt;"PRESENT"),"",COUNTIFS($E$10:$E$250,E94,$F$10:$F$250,"PRESENT",$L$10:$L$250,"&gt;"&amp;L94)+1)</f>
        <v/>
      </c>
      <c r="Q94" s="74" t="str">
        <f aca="false">IF(O94="ADMIS",IF(L94/M94*10&gt;=8,"Très bien",IF(L94/M94*10&gt;=7,"Bien",IF(L94/M94*10&gt;=6,"Assez bien","Passable"))),IF(O94="REDOUBLE","Insuffisant",""))</f>
        <v/>
      </c>
      <c r="R94" s="51" t="str">
        <f aca="false">IFERROR(MATCH("P-85",'REGISTRE ELEVES'!$AH$10:$AH$250,0),"")</f>
        <v/>
      </c>
    </row>
    <row r="95" customFormat="false" ht="15" hidden="false" customHeight="false" outlineLevel="0" collapsed="false">
      <c r="A95" s="45" t="str">
        <f aca="false">IF(B95="","",86)</f>
        <v/>
      </c>
      <c r="B95" s="45" t="str">
        <f aca="false">IF($R95="","",INDEX('REGISTRE ELEVES'!$B$10:$B$250,$R95))</f>
        <v/>
      </c>
      <c r="C95" s="74" t="str">
        <f aca="false">IF($R95="","",INDEX('REGISTRE ELEVES'!$D$10:$D$250,$R95))</f>
        <v/>
      </c>
      <c r="D95" s="45" t="str">
        <f aca="false">IF($R95="","",INDEX('REGISTRE ELEVES'!$E$10:$E$250,$R95))</f>
        <v/>
      </c>
      <c r="E95" s="45" t="str">
        <f aca="false">IF($R95="","",INDEX('REGISTRE ELEVES'!$F$10:$F$250,$R95))</f>
        <v/>
      </c>
      <c r="F95" s="45" t="str">
        <f aca="false">IF($R95="","",INDEX('REGISTRE ELEVES'!$AE$10:$AE$250,$R95))</f>
        <v/>
      </c>
      <c r="G95" s="80" t="str">
        <f aca="false">IF(B95="","",IFERROR(IF(LEFT(E95,2)="CP",INDEX('NOTES CP'!$P$10:$P$250,MATCH(B95,'NOTES CP'!$B$10:$B$250,0)),IF(E95="CE1",INDEX('NOTES CE1'!$M$10:$M$250,MATCH(B95,'NOTES CE1'!$B$10:$B$250,0)),INDEX('NOTES CE2-CM1'!$M$10:$M$250,MATCH(B95,'NOTES CE2-CM1'!$B$10:$B$250,0)))),""))</f>
        <v/>
      </c>
      <c r="H95" s="80" t="str">
        <f aca="false">IF(B95="","",IFERROR(IF(LEFT(E95,2)="CP",INDEX('NOTES CP'!$Z$10:$Z$250,MATCH(B95,'NOTES CP'!$B$10:$B$250,0)),IF(E95="CE1",INDEX('NOTES CE1'!$T$10:$T$250,MATCH(B95,'NOTES CE1'!$B$10:$B$250,0)),INDEX('NOTES CE2-CM1'!$T$10:$T$250,MATCH(B95,'NOTES CE2-CM1'!$B$10:$B$250,0)))),""))</f>
        <v/>
      </c>
      <c r="I95" s="80" t="str">
        <f aca="false">IF(B95="","",IFERROR(IF(LEFT(E95,2)="CP",INDEX('NOTES CP'!$AJ$10:$AJ$250,MATCH(B95,'NOTES CP'!$B$10:$B$250,0)),IF(E95="CE1",INDEX('NOTES CE1'!$AA$10:$AA$250,MATCH(B95,'NOTES CE1'!$B$10:$B$250,0)),INDEX('NOTES CE2-CM1'!$AA$10:$AA$250,MATCH(B95,'NOTES CE2-CM1'!$B$10:$B$250,0)))),""))</f>
        <v/>
      </c>
      <c r="J95" s="81" t="str">
        <f aca="false">IF(COUNT(G95:I95)=0,"",ROUND(AVERAGE(G95:I95),2))</f>
        <v/>
      </c>
      <c r="K95" s="80" t="str">
        <f aca="false">IF(B95="","",IFERROR(IF(LEFT(E95,2)="CP",INDEX('NOTES CP'!$AT$10:$AT$250,MATCH(B95,'NOTES CP'!$B$10:$B$250,0)),IF(E95="CE1",INDEX('NOTES CE1'!$AH$10:$AH$250,MATCH(B95,'NOTES CE1'!$B$10:$B$250,0)),INDEX('NOTES CE2-CM1'!$AH$10:$AH$250,MATCH(B95,'NOTES CE2-CM1'!$B$10:$B$250,0)))),""))</f>
        <v/>
      </c>
      <c r="L95" s="82" t="str">
        <f aca="false">IF(OR(J95="",K95=""),"",ROUND((J95+2*K95)/3,2))</f>
        <v/>
      </c>
      <c r="M95" s="83" t="str">
        <f aca="false">IF(E95="","",IFERROR(INDEX(PARAMETRES!$D$18:$D$23,MATCH(E95,PARAMETRES!$B$18:$B$23,0)),""))</f>
        <v/>
      </c>
      <c r="N95" s="81" t="str">
        <f aca="false">IF(E95="","",IFERROR(INDEX(PARAMETRES!$C$18:$C$23,MATCH(E95,PARAMETRES!$B$18:$B$23,0)),""))</f>
        <v/>
      </c>
      <c r="O95" s="45" t="str">
        <f aca="false">IF(B95="","",IF(F95="ABANDON","ABANDON",IF(F95="TRANSFERE","TRANSFERE",IF(L95="","",IF(L95&gt;=N95,"ADMIS","REDOUBLE")))))</f>
        <v/>
      </c>
      <c r="P95" s="73" t="str">
        <f aca="false">IF(OR(L95="",F95&lt;&gt;"PRESENT"),"",COUNTIFS($E$10:$E$250,E95,$F$10:$F$250,"PRESENT",$L$10:$L$250,"&gt;"&amp;L95)+1)</f>
        <v/>
      </c>
      <c r="Q95" s="74" t="str">
        <f aca="false">IF(O95="ADMIS",IF(L95/M95*10&gt;=8,"Très bien",IF(L95/M95*10&gt;=7,"Bien",IF(L95/M95*10&gt;=6,"Assez bien","Passable"))),IF(O95="REDOUBLE","Insuffisant",""))</f>
        <v/>
      </c>
      <c r="R95" s="51" t="str">
        <f aca="false">IFERROR(MATCH("P-86",'REGISTRE ELEVES'!$AH$10:$AH$250,0),"")</f>
        <v/>
      </c>
    </row>
    <row r="96" customFormat="false" ht="15" hidden="false" customHeight="false" outlineLevel="0" collapsed="false">
      <c r="A96" s="45" t="str">
        <f aca="false">IF(B96="","",87)</f>
        <v/>
      </c>
      <c r="B96" s="45" t="str">
        <f aca="false">IF($R96="","",INDEX('REGISTRE ELEVES'!$B$10:$B$250,$R96))</f>
        <v/>
      </c>
      <c r="C96" s="74" t="str">
        <f aca="false">IF($R96="","",INDEX('REGISTRE ELEVES'!$D$10:$D$250,$R96))</f>
        <v/>
      </c>
      <c r="D96" s="45" t="str">
        <f aca="false">IF($R96="","",INDEX('REGISTRE ELEVES'!$E$10:$E$250,$R96))</f>
        <v/>
      </c>
      <c r="E96" s="45" t="str">
        <f aca="false">IF($R96="","",INDEX('REGISTRE ELEVES'!$F$10:$F$250,$R96))</f>
        <v/>
      </c>
      <c r="F96" s="45" t="str">
        <f aca="false">IF($R96="","",INDEX('REGISTRE ELEVES'!$AE$10:$AE$250,$R96))</f>
        <v/>
      </c>
      <c r="G96" s="80" t="str">
        <f aca="false">IF(B96="","",IFERROR(IF(LEFT(E96,2)="CP",INDEX('NOTES CP'!$P$10:$P$250,MATCH(B96,'NOTES CP'!$B$10:$B$250,0)),IF(E96="CE1",INDEX('NOTES CE1'!$M$10:$M$250,MATCH(B96,'NOTES CE1'!$B$10:$B$250,0)),INDEX('NOTES CE2-CM1'!$M$10:$M$250,MATCH(B96,'NOTES CE2-CM1'!$B$10:$B$250,0)))),""))</f>
        <v/>
      </c>
      <c r="H96" s="80" t="str">
        <f aca="false">IF(B96="","",IFERROR(IF(LEFT(E96,2)="CP",INDEX('NOTES CP'!$Z$10:$Z$250,MATCH(B96,'NOTES CP'!$B$10:$B$250,0)),IF(E96="CE1",INDEX('NOTES CE1'!$T$10:$T$250,MATCH(B96,'NOTES CE1'!$B$10:$B$250,0)),INDEX('NOTES CE2-CM1'!$T$10:$T$250,MATCH(B96,'NOTES CE2-CM1'!$B$10:$B$250,0)))),""))</f>
        <v/>
      </c>
      <c r="I96" s="80" t="str">
        <f aca="false">IF(B96="","",IFERROR(IF(LEFT(E96,2)="CP",INDEX('NOTES CP'!$AJ$10:$AJ$250,MATCH(B96,'NOTES CP'!$B$10:$B$250,0)),IF(E96="CE1",INDEX('NOTES CE1'!$AA$10:$AA$250,MATCH(B96,'NOTES CE1'!$B$10:$B$250,0)),INDEX('NOTES CE2-CM1'!$AA$10:$AA$250,MATCH(B96,'NOTES CE2-CM1'!$B$10:$B$250,0)))),""))</f>
        <v/>
      </c>
      <c r="J96" s="81" t="str">
        <f aca="false">IF(COUNT(G96:I96)=0,"",ROUND(AVERAGE(G96:I96),2))</f>
        <v/>
      </c>
      <c r="K96" s="80" t="str">
        <f aca="false">IF(B96="","",IFERROR(IF(LEFT(E96,2)="CP",INDEX('NOTES CP'!$AT$10:$AT$250,MATCH(B96,'NOTES CP'!$B$10:$B$250,0)),IF(E96="CE1",INDEX('NOTES CE1'!$AH$10:$AH$250,MATCH(B96,'NOTES CE1'!$B$10:$B$250,0)),INDEX('NOTES CE2-CM1'!$AH$10:$AH$250,MATCH(B96,'NOTES CE2-CM1'!$B$10:$B$250,0)))),""))</f>
        <v/>
      </c>
      <c r="L96" s="82" t="str">
        <f aca="false">IF(OR(J96="",K96=""),"",ROUND((J96+2*K96)/3,2))</f>
        <v/>
      </c>
      <c r="M96" s="83" t="str">
        <f aca="false">IF(E96="","",IFERROR(INDEX(PARAMETRES!$D$18:$D$23,MATCH(E96,PARAMETRES!$B$18:$B$23,0)),""))</f>
        <v/>
      </c>
      <c r="N96" s="81" t="str">
        <f aca="false">IF(E96="","",IFERROR(INDEX(PARAMETRES!$C$18:$C$23,MATCH(E96,PARAMETRES!$B$18:$B$23,0)),""))</f>
        <v/>
      </c>
      <c r="O96" s="45" t="str">
        <f aca="false">IF(B96="","",IF(F96="ABANDON","ABANDON",IF(F96="TRANSFERE","TRANSFERE",IF(L96="","",IF(L96&gt;=N96,"ADMIS","REDOUBLE")))))</f>
        <v/>
      </c>
      <c r="P96" s="73" t="str">
        <f aca="false">IF(OR(L96="",F96&lt;&gt;"PRESENT"),"",COUNTIFS($E$10:$E$250,E96,$F$10:$F$250,"PRESENT",$L$10:$L$250,"&gt;"&amp;L96)+1)</f>
        <v/>
      </c>
      <c r="Q96" s="74" t="str">
        <f aca="false">IF(O96="ADMIS",IF(L96/M96*10&gt;=8,"Très bien",IF(L96/M96*10&gt;=7,"Bien",IF(L96/M96*10&gt;=6,"Assez bien","Passable"))),IF(O96="REDOUBLE","Insuffisant",""))</f>
        <v/>
      </c>
      <c r="R96" s="51" t="str">
        <f aca="false">IFERROR(MATCH("P-87",'REGISTRE ELEVES'!$AH$10:$AH$250,0),"")</f>
        <v/>
      </c>
    </row>
    <row r="97" customFormat="false" ht="15" hidden="false" customHeight="false" outlineLevel="0" collapsed="false">
      <c r="A97" s="45" t="str">
        <f aca="false">IF(B97="","",88)</f>
        <v/>
      </c>
      <c r="B97" s="45" t="str">
        <f aca="false">IF($R97="","",INDEX('REGISTRE ELEVES'!$B$10:$B$250,$R97))</f>
        <v/>
      </c>
      <c r="C97" s="74" t="str">
        <f aca="false">IF($R97="","",INDEX('REGISTRE ELEVES'!$D$10:$D$250,$R97))</f>
        <v/>
      </c>
      <c r="D97" s="45" t="str">
        <f aca="false">IF($R97="","",INDEX('REGISTRE ELEVES'!$E$10:$E$250,$R97))</f>
        <v/>
      </c>
      <c r="E97" s="45" t="str">
        <f aca="false">IF($R97="","",INDEX('REGISTRE ELEVES'!$F$10:$F$250,$R97))</f>
        <v/>
      </c>
      <c r="F97" s="45" t="str">
        <f aca="false">IF($R97="","",INDEX('REGISTRE ELEVES'!$AE$10:$AE$250,$R97))</f>
        <v/>
      </c>
      <c r="G97" s="80" t="str">
        <f aca="false">IF(B97="","",IFERROR(IF(LEFT(E97,2)="CP",INDEX('NOTES CP'!$P$10:$P$250,MATCH(B97,'NOTES CP'!$B$10:$B$250,0)),IF(E97="CE1",INDEX('NOTES CE1'!$M$10:$M$250,MATCH(B97,'NOTES CE1'!$B$10:$B$250,0)),INDEX('NOTES CE2-CM1'!$M$10:$M$250,MATCH(B97,'NOTES CE2-CM1'!$B$10:$B$250,0)))),""))</f>
        <v/>
      </c>
      <c r="H97" s="80" t="str">
        <f aca="false">IF(B97="","",IFERROR(IF(LEFT(E97,2)="CP",INDEX('NOTES CP'!$Z$10:$Z$250,MATCH(B97,'NOTES CP'!$B$10:$B$250,0)),IF(E97="CE1",INDEX('NOTES CE1'!$T$10:$T$250,MATCH(B97,'NOTES CE1'!$B$10:$B$250,0)),INDEX('NOTES CE2-CM1'!$T$10:$T$250,MATCH(B97,'NOTES CE2-CM1'!$B$10:$B$250,0)))),""))</f>
        <v/>
      </c>
      <c r="I97" s="80" t="str">
        <f aca="false">IF(B97="","",IFERROR(IF(LEFT(E97,2)="CP",INDEX('NOTES CP'!$AJ$10:$AJ$250,MATCH(B97,'NOTES CP'!$B$10:$B$250,0)),IF(E97="CE1",INDEX('NOTES CE1'!$AA$10:$AA$250,MATCH(B97,'NOTES CE1'!$B$10:$B$250,0)),INDEX('NOTES CE2-CM1'!$AA$10:$AA$250,MATCH(B97,'NOTES CE2-CM1'!$B$10:$B$250,0)))),""))</f>
        <v/>
      </c>
      <c r="J97" s="81" t="str">
        <f aca="false">IF(COUNT(G97:I97)=0,"",ROUND(AVERAGE(G97:I97),2))</f>
        <v/>
      </c>
      <c r="K97" s="80" t="str">
        <f aca="false">IF(B97="","",IFERROR(IF(LEFT(E97,2)="CP",INDEX('NOTES CP'!$AT$10:$AT$250,MATCH(B97,'NOTES CP'!$B$10:$B$250,0)),IF(E97="CE1",INDEX('NOTES CE1'!$AH$10:$AH$250,MATCH(B97,'NOTES CE1'!$B$10:$B$250,0)),INDEX('NOTES CE2-CM1'!$AH$10:$AH$250,MATCH(B97,'NOTES CE2-CM1'!$B$10:$B$250,0)))),""))</f>
        <v/>
      </c>
      <c r="L97" s="82" t="str">
        <f aca="false">IF(OR(J97="",K97=""),"",ROUND((J97+2*K97)/3,2))</f>
        <v/>
      </c>
      <c r="M97" s="83" t="str">
        <f aca="false">IF(E97="","",IFERROR(INDEX(PARAMETRES!$D$18:$D$23,MATCH(E97,PARAMETRES!$B$18:$B$23,0)),""))</f>
        <v/>
      </c>
      <c r="N97" s="81" t="str">
        <f aca="false">IF(E97="","",IFERROR(INDEX(PARAMETRES!$C$18:$C$23,MATCH(E97,PARAMETRES!$B$18:$B$23,0)),""))</f>
        <v/>
      </c>
      <c r="O97" s="45" t="str">
        <f aca="false">IF(B97="","",IF(F97="ABANDON","ABANDON",IF(F97="TRANSFERE","TRANSFERE",IF(L97="","",IF(L97&gt;=N97,"ADMIS","REDOUBLE")))))</f>
        <v/>
      </c>
      <c r="P97" s="73" t="str">
        <f aca="false">IF(OR(L97="",F97&lt;&gt;"PRESENT"),"",COUNTIFS($E$10:$E$250,E97,$F$10:$F$250,"PRESENT",$L$10:$L$250,"&gt;"&amp;L97)+1)</f>
        <v/>
      </c>
      <c r="Q97" s="74" t="str">
        <f aca="false">IF(O97="ADMIS",IF(L97/M97*10&gt;=8,"Très bien",IF(L97/M97*10&gt;=7,"Bien",IF(L97/M97*10&gt;=6,"Assez bien","Passable"))),IF(O97="REDOUBLE","Insuffisant",""))</f>
        <v/>
      </c>
      <c r="R97" s="51" t="str">
        <f aca="false">IFERROR(MATCH("P-88",'REGISTRE ELEVES'!$AH$10:$AH$250,0),"")</f>
        <v/>
      </c>
    </row>
    <row r="98" customFormat="false" ht="15" hidden="false" customHeight="false" outlineLevel="0" collapsed="false">
      <c r="A98" s="45" t="str">
        <f aca="false">IF(B98="","",89)</f>
        <v/>
      </c>
      <c r="B98" s="45" t="str">
        <f aca="false">IF($R98="","",INDEX('REGISTRE ELEVES'!$B$10:$B$250,$R98))</f>
        <v/>
      </c>
      <c r="C98" s="74" t="str">
        <f aca="false">IF($R98="","",INDEX('REGISTRE ELEVES'!$D$10:$D$250,$R98))</f>
        <v/>
      </c>
      <c r="D98" s="45" t="str">
        <f aca="false">IF($R98="","",INDEX('REGISTRE ELEVES'!$E$10:$E$250,$R98))</f>
        <v/>
      </c>
      <c r="E98" s="45" t="str">
        <f aca="false">IF($R98="","",INDEX('REGISTRE ELEVES'!$F$10:$F$250,$R98))</f>
        <v/>
      </c>
      <c r="F98" s="45" t="str">
        <f aca="false">IF($R98="","",INDEX('REGISTRE ELEVES'!$AE$10:$AE$250,$R98))</f>
        <v/>
      </c>
      <c r="G98" s="80" t="str">
        <f aca="false">IF(B98="","",IFERROR(IF(LEFT(E98,2)="CP",INDEX('NOTES CP'!$P$10:$P$250,MATCH(B98,'NOTES CP'!$B$10:$B$250,0)),IF(E98="CE1",INDEX('NOTES CE1'!$M$10:$M$250,MATCH(B98,'NOTES CE1'!$B$10:$B$250,0)),INDEX('NOTES CE2-CM1'!$M$10:$M$250,MATCH(B98,'NOTES CE2-CM1'!$B$10:$B$250,0)))),""))</f>
        <v/>
      </c>
      <c r="H98" s="80" t="str">
        <f aca="false">IF(B98="","",IFERROR(IF(LEFT(E98,2)="CP",INDEX('NOTES CP'!$Z$10:$Z$250,MATCH(B98,'NOTES CP'!$B$10:$B$250,0)),IF(E98="CE1",INDEX('NOTES CE1'!$T$10:$T$250,MATCH(B98,'NOTES CE1'!$B$10:$B$250,0)),INDEX('NOTES CE2-CM1'!$T$10:$T$250,MATCH(B98,'NOTES CE2-CM1'!$B$10:$B$250,0)))),""))</f>
        <v/>
      </c>
      <c r="I98" s="80" t="str">
        <f aca="false">IF(B98="","",IFERROR(IF(LEFT(E98,2)="CP",INDEX('NOTES CP'!$AJ$10:$AJ$250,MATCH(B98,'NOTES CP'!$B$10:$B$250,0)),IF(E98="CE1",INDEX('NOTES CE1'!$AA$10:$AA$250,MATCH(B98,'NOTES CE1'!$B$10:$B$250,0)),INDEX('NOTES CE2-CM1'!$AA$10:$AA$250,MATCH(B98,'NOTES CE2-CM1'!$B$10:$B$250,0)))),""))</f>
        <v/>
      </c>
      <c r="J98" s="81" t="str">
        <f aca="false">IF(COUNT(G98:I98)=0,"",ROUND(AVERAGE(G98:I98),2))</f>
        <v/>
      </c>
      <c r="K98" s="80" t="str">
        <f aca="false">IF(B98="","",IFERROR(IF(LEFT(E98,2)="CP",INDEX('NOTES CP'!$AT$10:$AT$250,MATCH(B98,'NOTES CP'!$B$10:$B$250,0)),IF(E98="CE1",INDEX('NOTES CE1'!$AH$10:$AH$250,MATCH(B98,'NOTES CE1'!$B$10:$B$250,0)),INDEX('NOTES CE2-CM1'!$AH$10:$AH$250,MATCH(B98,'NOTES CE2-CM1'!$B$10:$B$250,0)))),""))</f>
        <v/>
      </c>
      <c r="L98" s="82" t="str">
        <f aca="false">IF(OR(J98="",K98=""),"",ROUND((J98+2*K98)/3,2))</f>
        <v/>
      </c>
      <c r="M98" s="83" t="str">
        <f aca="false">IF(E98="","",IFERROR(INDEX(PARAMETRES!$D$18:$D$23,MATCH(E98,PARAMETRES!$B$18:$B$23,0)),""))</f>
        <v/>
      </c>
      <c r="N98" s="81" t="str">
        <f aca="false">IF(E98="","",IFERROR(INDEX(PARAMETRES!$C$18:$C$23,MATCH(E98,PARAMETRES!$B$18:$B$23,0)),""))</f>
        <v/>
      </c>
      <c r="O98" s="45" t="str">
        <f aca="false">IF(B98="","",IF(F98="ABANDON","ABANDON",IF(F98="TRANSFERE","TRANSFERE",IF(L98="","",IF(L98&gt;=N98,"ADMIS","REDOUBLE")))))</f>
        <v/>
      </c>
      <c r="P98" s="73" t="str">
        <f aca="false">IF(OR(L98="",F98&lt;&gt;"PRESENT"),"",COUNTIFS($E$10:$E$250,E98,$F$10:$F$250,"PRESENT",$L$10:$L$250,"&gt;"&amp;L98)+1)</f>
        <v/>
      </c>
      <c r="Q98" s="74" t="str">
        <f aca="false">IF(O98="ADMIS",IF(L98/M98*10&gt;=8,"Très bien",IF(L98/M98*10&gt;=7,"Bien",IF(L98/M98*10&gt;=6,"Assez bien","Passable"))),IF(O98="REDOUBLE","Insuffisant",""))</f>
        <v/>
      </c>
      <c r="R98" s="51" t="str">
        <f aca="false">IFERROR(MATCH("P-89",'REGISTRE ELEVES'!$AH$10:$AH$250,0),"")</f>
        <v/>
      </c>
    </row>
    <row r="99" customFormat="false" ht="15" hidden="false" customHeight="false" outlineLevel="0" collapsed="false">
      <c r="A99" s="45" t="str">
        <f aca="false">IF(B99="","",90)</f>
        <v/>
      </c>
      <c r="B99" s="45" t="str">
        <f aca="false">IF($R99="","",INDEX('REGISTRE ELEVES'!$B$10:$B$250,$R99))</f>
        <v/>
      </c>
      <c r="C99" s="74" t="str">
        <f aca="false">IF($R99="","",INDEX('REGISTRE ELEVES'!$D$10:$D$250,$R99))</f>
        <v/>
      </c>
      <c r="D99" s="45" t="str">
        <f aca="false">IF($R99="","",INDEX('REGISTRE ELEVES'!$E$10:$E$250,$R99))</f>
        <v/>
      </c>
      <c r="E99" s="45" t="str">
        <f aca="false">IF($R99="","",INDEX('REGISTRE ELEVES'!$F$10:$F$250,$R99))</f>
        <v/>
      </c>
      <c r="F99" s="45" t="str">
        <f aca="false">IF($R99="","",INDEX('REGISTRE ELEVES'!$AE$10:$AE$250,$R99))</f>
        <v/>
      </c>
      <c r="G99" s="80" t="str">
        <f aca="false">IF(B99="","",IFERROR(IF(LEFT(E99,2)="CP",INDEX('NOTES CP'!$P$10:$P$250,MATCH(B99,'NOTES CP'!$B$10:$B$250,0)),IF(E99="CE1",INDEX('NOTES CE1'!$M$10:$M$250,MATCH(B99,'NOTES CE1'!$B$10:$B$250,0)),INDEX('NOTES CE2-CM1'!$M$10:$M$250,MATCH(B99,'NOTES CE2-CM1'!$B$10:$B$250,0)))),""))</f>
        <v/>
      </c>
      <c r="H99" s="80" t="str">
        <f aca="false">IF(B99="","",IFERROR(IF(LEFT(E99,2)="CP",INDEX('NOTES CP'!$Z$10:$Z$250,MATCH(B99,'NOTES CP'!$B$10:$B$250,0)),IF(E99="CE1",INDEX('NOTES CE1'!$T$10:$T$250,MATCH(B99,'NOTES CE1'!$B$10:$B$250,0)),INDEX('NOTES CE2-CM1'!$T$10:$T$250,MATCH(B99,'NOTES CE2-CM1'!$B$10:$B$250,0)))),""))</f>
        <v/>
      </c>
      <c r="I99" s="80" t="str">
        <f aca="false">IF(B99="","",IFERROR(IF(LEFT(E99,2)="CP",INDEX('NOTES CP'!$AJ$10:$AJ$250,MATCH(B99,'NOTES CP'!$B$10:$B$250,0)),IF(E99="CE1",INDEX('NOTES CE1'!$AA$10:$AA$250,MATCH(B99,'NOTES CE1'!$B$10:$B$250,0)),INDEX('NOTES CE2-CM1'!$AA$10:$AA$250,MATCH(B99,'NOTES CE2-CM1'!$B$10:$B$250,0)))),""))</f>
        <v/>
      </c>
      <c r="J99" s="81" t="str">
        <f aca="false">IF(COUNT(G99:I99)=0,"",ROUND(AVERAGE(G99:I99),2))</f>
        <v/>
      </c>
      <c r="K99" s="80" t="str">
        <f aca="false">IF(B99="","",IFERROR(IF(LEFT(E99,2)="CP",INDEX('NOTES CP'!$AT$10:$AT$250,MATCH(B99,'NOTES CP'!$B$10:$B$250,0)),IF(E99="CE1",INDEX('NOTES CE1'!$AH$10:$AH$250,MATCH(B99,'NOTES CE1'!$B$10:$B$250,0)),INDEX('NOTES CE2-CM1'!$AH$10:$AH$250,MATCH(B99,'NOTES CE2-CM1'!$B$10:$B$250,0)))),""))</f>
        <v/>
      </c>
      <c r="L99" s="82" t="str">
        <f aca="false">IF(OR(J99="",K99=""),"",ROUND((J99+2*K99)/3,2))</f>
        <v/>
      </c>
      <c r="M99" s="83" t="str">
        <f aca="false">IF(E99="","",IFERROR(INDEX(PARAMETRES!$D$18:$D$23,MATCH(E99,PARAMETRES!$B$18:$B$23,0)),""))</f>
        <v/>
      </c>
      <c r="N99" s="81" t="str">
        <f aca="false">IF(E99="","",IFERROR(INDEX(PARAMETRES!$C$18:$C$23,MATCH(E99,PARAMETRES!$B$18:$B$23,0)),""))</f>
        <v/>
      </c>
      <c r="O99" s="45" t="str">
        <f aca="false">IF(B99="","",IF(F99="ABANDON","ABANDON",IF(F99="TRANSFERE","TRANSFERE",IF(L99="","",IF(L99&gt;=N99,"ADMIS","REDOUBLE")))))</f>
        <v/>
      </c>
      <c r="P99" s="73" t="str">
        <f aca="false">IF(OR(L99="",F99&lt;&gt;"PRESENT"),"",COUNTIFS($E$10:$E$250,E99,$F$10:$F$250,"PRESENT",$L$10:$L$250,"&gt;"&amp;L99)+1)</f>
        <v/>
      </c>
      <c r="Q99" s="74" t="str">
        <f aca="false">IF(O99="ADMIS",IF(L99/M99*10&gt;=8,"Très bien",IF(L99/M99*10&gt;=7,"Bien",IF(L99/M99*10&gt;=6,"Assez bien","Passable"))),IF(O99="REDOUBLE","Insuffisant",""))</f>
        <v/>
      </c>
      <c r="R99" s="51" t="str">
        <f aca="false">IFERROR(MATCH("P-90",'REGISTRE ELEVES'!$AH$10:$AH$250,0),"")</f>
        <v/>
      </c>
    </row>
    <row r="100" customFormat="false" ht="15" hidden="false" customHeight="false" outlineLevel="0" collapsed="false">
      <c r="A100" s="45" t="str">
        <f aca="false">IF(B100="","",91)</f>
        <v/>
      </c>
      <c r="B100" s="45" t="str">
        <f aca="false">IF($R100="","",INDEX('REGISTRE ELEVES'!$B$10:$B$250,$R100))</f>
        <v/>
      </c>
      <c r="C100" s="74" t="str">
        <f aca="false">IF($R100="","",INDEX('REGISTRE ELEVES'!$D$10:$D$250,$R100))</f>
        <v/>
      </c>
      <c r="D100" s="45" t="str">
        <f aca="false">IF($R100="","",INDEX('REGISTRE ELEVES'!$E$10:$E$250,$R100))</f>
        <v/>
      </c>
      <c r="E100" s="45" t="str">
        <f aca="false">IF($R100="","",INDEX('REGISTRE ELEVES'!$F$10:$F$250,$R100))</f>
        <v/>
      </c>
      <c r="F100" s="45" t="str">
        <f aca="false">IF($R100="","",INDEX('REGISTRE ELEVES'!$AE$10:$AE$250,$R100))</f>
        <v/>
      </c>
      <c r="G100" s="80" t="str">
        <f aca="false">IF(B100="","",IFERROR(IF(LEFT(E100,2)="CP",INDEX('NOTES CP'!$P$10:$P$250,MATCH(B100,'NOTES CP'!$B$10:$B$250,0)),IF(E100="CE1",INDEX('NOTES CE1'!$M$10:$M$250,MATCH(B100,'NOTES CE1'!$B$10:$B$250,0)),INDEX('NOTES CE2-CM1'!$M$10:$M$250,MATCH(B100,'NOTES CE2-CM1'!$B$10:$B$250,0)))),""))</f>
        <v/>
      </c>
      <c r="H100" s="80" t="str">
        <f aca="false">IF(B100="","",IFERROR(IF(LEFT(E100,2)="CP",INDEX('NOTES CP'!$Z$10:$Z$250,MATCH(B100,'NOTES CP'!$B$10:$B$250,0)),IF(E100="CE1",INDEX('NOTES CE1'!$T$10:$T$250,MATCH(B100,'NOTES CE1'!$B$10:$B$250,0)),INDEX('NOTES CE2-CM1'!$T$10:$T$250,MATCH(B100,'NOTES CE2-CM1'!$B$10:$B$250,0)))),""))</f>
        <v/>
      </c>
      <c r="I100" s="80" t="str">
        <f aca="false">IF(B100="","",IFERROR(IF(LEFT(E100,2)="CP",INDEX('NOTES CP'!$AJ$10:$AJ$250,MATCH(B100,'NOTES CP'!$B$10:$B$250,0)),IF(E100="CE1",INDEX('NOTES CE1'!$AA$10:$AA$250,MATCH(B100,'NOTES CE1'!$B$10:$B$250,0)),INDEX('NOTES CE2-CM1'!$AA$10:$AA$250,MATCH(B100,'NOTES CE2-CM1'!$B$10:$B$250,0)))),""))</f>
        <v/>
      </c>
      <c r="J100" s="81" t="str">
        <f aca="false">IF(COUNT(G100:I100)=0,"",ROUND(AVERAGE(G100:I100),2))</f>
        <v/>
      </c>
      <c r="K100" s="80" t="str">
        <f aca="false">IF(B100="","",IFERROR(IF(LEFT(E100,2)="CP",INDEX('NOTES CP'!$AT$10:$AT$250,MATCH(B100,'NOTES CP'!$B$10:$B$250,0)),IF(E100="CE1",INDEX('NOTES CE1'!$AH$10:$AH$250,MATCH(B100,'NOTES CE1'!$B$10:$B$250,0)),INDEX('NOTES CE2-CM1'!$AH$10:$AH$250,MATCH(B100,'NOTES CE2-CM1'!$B$10:$B$250,0)))),""))</f>
        <v/>
      </c>
      <c r="L100" s="82" t="str">
        <f aca="false">IF(OR(J100="",K100=""),"",ROUND((J100+2*K100)/3,2))</f>
        <v/>
      </c>
      <c r="M100" s="83" t="str">
        <f aca="false">IF(E100="","",IFERROR(INDEX(PARAMETRES!$D$18:$D$23,MATCH(E100,PARAMETRES!$B$18:$B$23,0)),""))</f>
        <v/>
      </c>
      <c r="N100" s="81" t="str">
        <f aca="false">IF(E100="","",IFERROR(INDEX(PARAMETRES!$C$18:$C$23,MATCH(E100,PARAMETRES!$B$18:$B$23,0)),""))</f>
        <v/>
      </c>
      <c r="O100" s="45" t="str">
        <f aca="false">IF(B100="","",IF(F100="ABANDON","ABANDON",IF(F100="TRANSFERE","TRANSFERE",IF(L100="","",IF(L100&gt;=N100,"ADMIS","REDOUBLE")))))</f>
        <v/>
      </c>
      <c r="P100" s="73" t="str">
        <f aca="false">IF(OR(L100="",F100&lt;&gt;"PRESENT"),"",COUNTIFS($E$10:$E$250,E100,$F$10:$F$250,"PRESENT",$L$10:$L$250,"&gt;"&amp;L100)+1)</f>
        <v/>
      </c>
      <c r="Q100" s="74" t="str">
        <f aca="false">IF(O100="ADMIS",IF(L100/M100*10&gt;=8,"Très bien",IF(L100/M100*10&gt;=7,"Bien",IF(L100/M100*10&gt;=6,"Assez bien","Passable"))),IF(O100="REDOUBLE","Insuffisant",""))</f>
        <v/>
      </c>
      <c r="R100" s="51" t="str">
        <f aca="false">IFERROR(MATCH("P-91",'REGISTRE ELEVES'!$AH$10:$AH$250,0),"")</f>
        <v/>
      </c>
    </row>
    <row r="101" customFormat="false" ht="15" hidden="false" customHeight="false" outlineLevel="0" collapsed="false">
      <c r="A101" s="45" t="str">
        <f aca="false">IF(B101="","",92)</f>
        <v/>
      </c>
      <c r="B101" s="45" t="str">
        <f aca="false">IF($R101="","",INDEX('REGISTRE ELEVES'!$B$10:$B$250,$R101))</f>
        <v/>
      </c>
      <c r="C101" s="74" t="str">
        <f aca="false">IF($R101="","",INDEX('REGISTRE ELEVES'!$D$10:$D$250,$R101))</f>
        <v/>
      </c>
      <c r="D101" s="45" t="str">
        <f aca="false">IF($R101="","",INDEX('REGISTRE ELEVES'!$E$10:$E$250,$R101))</f>
        <v/>
      </c>
      <c r="E101" s="45" t="str">
        <f aca="false">IF($R101="","",INDEX('REGISTRE ELEVES'!$F$10:$F$250,$R101))</f>
        <v/>
      </c>
      <c r="F101" s="45" t="str">
        <f aca="false">IF($R101="","",INDEX('REGISTRE ELEVES'!$AE$10:$AE$250,$R101))</f>
        <v/>
      </c>
      <c r="G101" s="80" t="str">
        <f aca="false">IF(B101="","",IFERROR(IF(LEFT(E101,2)="CP",INDEX('NOTES CP'!$P$10:$P$250,MATCH(B101,'NOTES CP'!$B$10:$B$250,0)),IF(E101="CE1",INDEX('NOTES CE1'!$M$10:$M$250,MATCH(B101,'NOTES CE1'!$B$10:$B$250,0)),INDEX('NOTES CE2-CM1'!$M$10:$M$250,MATCH(B101,'NOTES CE2-CM1'!$B$10:$B$250,0)))),""))</f>
        <v/>
      </c>
      <c r="H101" s="80" t="str">
        <f aca="false">IF(B101="","",IFERROR(IF(LEFT(E101,2)="CP",INDEX('NOTES CP'!$Z$10:$Z$250,MATCH(B101,'NOTES CP'!$B$10:$B$250,0)),IF(E101="CE1",INDEX('NOTES CE1'!$T$10:$T$250,MATCH(B101,'NOTES CE1'!$B$10:$B$250,0)),INDEX('NOTES CE2-CM1'!$T$10:$T$250,MATCH(B101,'NOTES CE2-CM1'!$B$10:$B$250,0)))),""))</f>
        <v/>
      </c>
      <c r="I101" s="80" t="str">
        <f aca="false">IF(B101="","",IFERROR(IF(LEFT(E101,2)="CP",INDEX('NOTES CP'!$AJ$10:$AJ$250,MATCH(B101,'NOTES CP'!$B$10:$B$250,0)),IF(E101="CE1",INDEX('NOTES CE1'!$AA$10:$AA$250,MATCH(B101,'NOTES CE1'!$B$10:$B$250,0)),INDEX('NOTES CE2-CM1'!$AA$10:$AA$250,MATCH(B101,'NOTES CE2-CM1'!$B$10:$B$250,0)))),""))</f>
        <v/>
      </c>
      <c r="J101" s="81" t="str">
        <f aca="false">IF(COUNT(G101:I101)=0,"",ROUND(AVERAGE(G101:I101),2))</f>
        <v/>
      </c>
      <c r="K101" s="80" t="str">
        <f aca="false">IF(B101="","",IFERROR(IF(LEFT(E101,2)="CP",INDEX('NOTES CP'!$AT$10:$AT$250,MATCH(B101,'NOTES CP'!$B$10:$B$250,0)),IF(E101="CE1",INDEX('NOTES CE1'!$AH$10:$AH$250,MATCH(B101,'NOTES CE1'!$B$10:$B$250,0)),INDEX('NOTES CE2-CM1'!$AH$10:$AH$250,MATCH(B101,'NOTES CE2-CM1'!$B$10:$B$250,0)))),""))</f>
        <v/>
      </c>
      <c r="L101" s="82" t="str">
        <f aca="false">IF(OR(J101="",K101=""),"",ROUND((J101+2*K101)/3,2))</f>
        <v/>
      </c>
      <c r="M101" s="83" t="str">
        <f aca="false">IF(E101="","",IFERROR(INDEX(PARAMETRES!$D$18:$D$23,MATCH(E101,PARAMETRES!$B$18:$B$23,0)),""))</f>
        <v/>
      </c>
      <c r="N101" s="81" t="str">
        <f aca="false">IF(E101="","",IFERROR(INDEX(PARAMETRES!$C$18:$C$23,MATCH(E101,PARAMETRES!$B$18:$B$23,0)),""))</f>
        <v/>
      </c>
      <c r="O101" s="45" t="str">
        <f aca="false">IF(B101="","",IF(F101="ABANDON","ABANDON",IF(F101="TRANSFERE","TRANSFERE",IF(L101="","",IF(L101&gt;=N101,"ADMIS","REDOUBLE")))))</f>
        <v/>
      </c>
      <c r="P101" s="73" t="str">
        <f aca="false">IF(OR(L101="",F101&lt;&gt;"PRESENT"),"",COUNTIFS($E$10:$E$250,E101,$F$10:$F$250,"PRESENT",$L$10:$L$250,"&gt;"&amp;L101)+1)</f>
        <v/>
      </c>
      <c r="Q101" s="74" t="str">
        <f aca="false">IF(O101="ADMIS",IF(L101/M101*10&gt;=8,"Très bien",IF(L101/M101*10&gt;=7,"Bien",IF(L101/M101*10&gt;=6,"Assez bien","Passable"))),IF(O101="REDOUBLE","Insuffisant",""))</f>
        <v/>
      </c>
      <c r="R101" s="51" t="str">
        <f aca="false">IFERROR(MATCH("P-92",'REGISTRE ELEVES'!$AH$10:$AH$250,0),"")</f>
        <v/>
      </c>
    </row>
    <row r="102" customFormat="false" ht="15" hidden="false" customHeight="false" outlineLevel="0" collapsed="false">
      <c r="A102" s="45" t="str">
        <f aca="false">IF(B102="","",93)</f>
        <v/>
      </c>
      <c r="B102" s="45" t="str">
        <f aca="false">IF($R102="","",INDEX('REGISTRE ELEVES'!$B$10:$B$250,$R102))</f>
        <v/>
      </c>
      <c r="C102" s="74" t="str">
        <f aca="false">IF($R102="","",INDEX('REGISTRE ELEVES'!$D$10:$D$250,$R102))</f>
        <v/>
      </c>
      <c r="D102" s="45" t="str">
        <f aca="false">IF($R102="","",INDEX('REGISTRE ELEVES'!$E$10:$E$250,$R102))</f>
        <v/>
      </c>
      <c r="E102" s="45" t="str">
        <f aca="false">IF($R102="","",INDEX('REGISTRE ELEVES'!$F$10:$F$250,$R102))</f>
        <v/>
      </c>
      <c r="F102" s="45" t="str">
        <f aca="false">IF($R102="","",INDEX('REGISTRE ELEVES'!$AE$10:$AE$250,$R102))</f>
        <v/>
      </c>
      <c r="G102" s="80" t="str">
        <f aca="false">IF(B102="","",IFERROR(IF(LEFT(E102,2)="CP",INDEX('NOTES CP'!$P$10:$P$250,MATCH(B102,'NOTES CP'!$B$10:$B$250,0)),IF(E102="CE1",INDEX('NOTES CE1'!$M$10:$M$250,MATCH(B102,'NOTES CE1'!$B$10:$B$250,0)),INDEX('NOTES CE2-CM1'!$M$10:$M$250,MATCH(B102,'NOTES CE2-CM1'!$B$10:$B$250,0)))),""))</f>
        <v/>
      </c>
      <c r="H102" s="80" t="str">
        <f aca="false">IF(B102="","",IFERROR(IF(LEFT(E102,2)="CP",INDEX('NOTES CP'!$Z$10:$Z$250,MATCH(B102,'NOTES CP'!$B$10:$B$250,0)),IF(E102="CE1",INDEX('NOTES CE1'!$T$10:$T$250,MATCH(B102,'NOTES CE1'!$B$10:$B$250,0)),INDEX('NOTES CE2-CM1'!$T$10:$T$250,MATCH(B102,'NOTES CE2-CM1'!$B$10:$B$250,0)))),""))</f>
        <v/>
      </c>
      <c r="I102" s="80" t="str">
        <f aca="false">IF(B102="","",IFERROR(IF(LEFT(E102,2)="CP",INDEX('NOTES CP'!$AJ$10:$AJ$250,MATCH(B102,'NOTES CP'!$B$10:$B$250,0)),IF(E102="CE1",INDEX('NOTES CE1'!$AA$10:$AA$250,MATCH(B102,'NOTES CE1'!$B$10:$B$250,0)),INDEX('NOTES CE2-CM1'!$AA$10:$AA$250,MATCH(B102,'NOTES CE2-CM1'!$B$10:$B$250,0)))),""))</f>
        <v/>
      </c>
      <c r="J102" s="81" t="str">
        <f aca="false">IF(COUNT(G102:I102)=0,"",ROUND(AVERAGE(G102:I102),2))</f>
        <v/>
      </c>
      <c r="K102" s="80" t="str">
        <f aca="false">IF(B102="","",IFERROR(IF(LEFT(E102,2)="CP",INDEX('NOTES CP'!$AT$10:$AT$250,MATCH(B102,'NOTES CP'!$B$10:$B$250,0)),IF(E102="CE1",INDEX('NOTES CE1'!$AH$10:$AH$250,MATCH(B102,'NOTES CE1'!$B$10:$B$250,0)),INDEX('NOTES CE2-CM1'!$AH$10:$AH$250,MATCH(B102,'NOTES CE2-CM1'!$B$10:$B$250,0)))),""))</f>
        <v/>
      </c>
      <c r="L102" s="82" t="str">
        <f aca="false">IF(OR(J102="",K102=""),"",ROUND((J102+2*K102)/3,2))</f>
        <v/>
      </c>
      <c r="M102" s="83" t="str">
        <f aca="false">IF(E102="","",IFERROR(INDEX(PARAMETRES!$D$18:$D$23,MATCH(E102,PARAMETRES!$B$18:$B$23,0)),""))</f>
        <v/>
      </c>
      <c r="N102" s="81" t="str">
        <f aca="false">IF(E102="","",IFERROR(INDEX(PARAMETRES!$C$18:$C$23,MATCH(E102,PARAMETRES!$B$18:$B$23,0)),""))</f>
        <v/>
      </c>
      <c r="O102" s="45" t="str">
        <f aca="false">IF(B102="","",IF(F102="ABANDON","ABANDON",IF(F102="TRANSFERE","TRANSFERE",IF(L102="","",IF(L102&gt;=N102,"ADMIS","REDOUBLE")))))</f>
        <v/>
      </c>
      <c r="P102" s="73" t="str">
        <f aca="false">IF(OR(L102="",F102&lt;&gt;"PRESENT"),"",COUNTIFS($E$10:$E$250,E102,$F$10:$F$250,"PRESENT",$L$10:$L$250,"&gt;"&amp;L102)+1)</f>
        <v/>
      </c>
      <c r="Q102" s="74" t="str">
        <f aca="false">IF(O102="ADMIS",IF(L102/M102*10&gt;=8,"Très bien",IF(L102/M102*10&gt;=7,"Bien",IF(L102/M102*10&gt;=6,"Assez bien","Passable"))),IF(O102="REDOUBLE","Insuffisant",""))</f>
        <v/>
      </c>
      <c r="R102" s="51" t="str">
        <f aca="false">IFERROR(MATCH("P-93",'REGISTRE ELEVES'!$AH$10:$AH$250,0),"")</f>
        <v/>
      </c>
    </row>
    <row r="103" customFormat="false" ht="15" hidden="false" customHeight="false" outlineLevel="0" collapsed="false">
      <c r="A103" s="45" t="str">
        <f aca="false">IF(B103="","",94)</f>
        <v/>
      </c>
      <c r="B103" s="45" t="str">
        <f aca="false">IF($R103="","",INDEX('REGISTRE ELEVES'!$B$10:$B$250,$R103))</f>
        <v/>
      </c>
      <c r="C103" s="74" t="str">
        <f aca="false">IF($R103="","",INDEX('REGISTRE ELEVES'!$D$10:$D$250,$R103))</f>
        <v/>
      </c>
      <c r="D103" s="45" t="str">
        <f aca="false">IF($R103="","",INDEX('REGISTRE ELEVES'!$E$10:$E$250,$R103))</f>
        <v/>
      </c>
      <c r="E103" s="45" t="str">
        <f aca="false">IF($R103="","",INDEX('REGISTRE ELEVES'!$F$10:$F$250,$R103))</f>
        <v/>
      </c>
      <c r="F103" s="45" t="str">
        <f aca="false">IF($R103="","",INDEX('REGISTRE ELEVES'!$AE$10:$AE$250,$R103))</f>
        <v/>
      </c>
      <c r="G103" s="80" t="str">
        <f aca="false">IF(B103="","",IFERROR(IF(LEFT(E103,2)="CP",INDEX('NOTES CP'!$P$10:$P$250,MATCH(B103,'NOTES CP'!$B$10:$B$250,0)),IF(E103="CE1",INDEX('NOTES CE1'!$M$10:$M$250,MATCH(B103,'NOTES CE1'!$B$10:$B$250,0)),INDEX('NOTES CE2-CM1'!$M$10:$M$250,MATCH(B103,'NOTES CE2-CM1'!$B$10:$B$250,0)))),""))</f>
        <v/>
      </c>
      <c r="H103" s="80" t="str">
        <f aca="false">IF(B103="","",IFERROR(IF(LEFT(E103,2)="CP",INDEX('NOTES CP'!$Z$10:$Z$250,MATCH(B103,'NOTES CP'!$B$10:$B$250,0)),IF(E103="CE1",INDEX('NOTES CE1'!$T$10:$T$250,MATCH(B103,'NOTES CE1'!$B$10:$B$250,0)),INDEX('NOTES CE2-CM1'!$T$10:$T$250,MATCH(B103,'NOTES CE2-CM1'!$B$10:$B$250,0)))),""))</f>
        <v/>
      </c>
      <c r="I103" s="80" t="str">
        <f aca="false">IF(B103="","",IFERROR(IF(LEFT(E103,2)="CP",INDEX('NOTES CP'!$AJ$10:$AJ$250,MATCH(B103,'NOTES CP'!$B$10:$B$250,0)),IF(E103="CE1",INDEX('NOTES CE1'!$AA$10:$AA$250,MATCH(B103,'NOTES CE1'!$B$10:$B$250,0)),INDEX('NOTES CE2-CM1'!$AA$10:$AA$250,MATCH(B103,'NOTES CE2-CM1'!$B$10:$B$250,0)))),""))</f>
        <v/>
      </c>
      <c r="J103" s="81" t="str">
        <f aca="false">IF(COUNT(G103:I103)=0,"",ROUND(AVERAGE(G103:I103),2))</f>
        <v/>
      </c>
      <c r="K103" s="80" t="str">
        <f aca="false">IF(B103="","",IFERROR(IF(LEFT(E103,2)="CP",INDEX('NOTES CP'!$AT$10:$AT$250,MATCH(B103,'NOTES CP'!$B$10:$B$250,0)),IF(E103="CE1",INDEX('NOTES CE1'!$AH$10:$AH$250,MATCH(B103,'NOTES CE1'!$B$10:$B$250,0)),INDEX('NOTES CE2-CM1'!$AH$10:$AH$250,MATCH(B103,'NOTES CE2-CM1'!$B$10:$B$250,0)))),""))</f>
        <v/>
      </c>
      <c r="L103" s="82" t="str">
        <f aca="false">IF(OR(J103="",K103=""),"",ROUND((J103+2*K103)/3,2))</f>
        <v/>
      </c>
      <c r="M103" s="83" t="str">
        <f aca="false">IF(E103="","",IFERROR(INDEX(PARAMETRES!$D$18:$D$23,MATCH(E103,PARAMETRES!$B$18:$B$23,0)),""))</f>
        <v/>
      </c>
      <c r="N103" s="81" t="str">
        <f aca="false">IF(E103="","",IFERROR(INDEX(PARAMETRES!$C$18:$C$23,MATCH(E103,PARAMETRES!$B$18:$B$23,0)),""))</f>
        <v/>
      </c>
      <c r="O103" s="45" t="str">
        <f aca="false">IF(B103="","",IF(F103="ABANDON","ABANDON",IF(F103="TRANSFERE","TRANSFERE",IF(L103="","",IF(L103&gt;=N103,"ADMIS","REDOUBLE")))))</f>
        <v/>
      </c>
      <c r="P103" s="73" t="str">
        <f aca="false">IF(OR(L103="",F103&lt;&gt;"PRESENT"),"",COUNTIFS($E$10:$E$250,E103,$F$10:$F$250,"PRESENT",$L$10:$L$250,"&gt;"&amp;L103)+1)</f>
        <v/>
      </c>
      <c r="Q103" s="74" t="str">
        <f aca="false">IF(O103="ADMIS",IF(L103/M103*10&gt;=8,"Très bien",IF(L103/M103*10&gt;=7,"Bien",IF(L103/M103*10&gt;=6,"Assez bien","Passable"))),IF(O103="REDOUBLE","Insuffisant",""))</f>
        <v/>
      </c>
      <c r="R103" s="51" t="str">
        <f aca="false">IFERROR(MATCH("P-94",'REGISTRE ELEVES'!$AH$10:$AH$250,0),"")</f>
        <v/>
      </c>
    </row>
    <row r="104" customFormat="false" ht="15" hidden="false" customHeight="false" outlineLevel="0" collapsed="false">
      <c r="A104" s="45" t="str">
        <f aca="false">IF(B104="","",95)</f>
        <v/>
      </c>
      <c r="B104" s="45" t="str">
        <f aca="false">IF($R104="","",INDEX('REGISTRE ELEVES'!$B$10:$B$250,$R104))</f>
        <v/>
      </c>
      <c r="C104" s="74" t="str">
        <f aca="false">IF($R104="","",INDEX('REGISTRE ELEVES'!$D$10:$D$250,$R104))</f>
        <v/>
      </c>
      <c r="D104" s="45" t="str">
        <f aca="false">IF($R104="","",INDEX('REGISTRE ELEVES'!$E$10:$E$250,$R104))</f>
        <v/>
      </c>
      <c r="E104" s="45" t="str">
        <f aca="false">IF($R104="","",INDEX('REGISTRE ELEVES'!$F$10:$F$250,$R104))</f>
        <v/>
      </c>
      <c r="F104" s="45" t="str">
        <f aca="false">IF($R104="","",INDEX('REGISTRE ELEVES'!$AE$10:$AE$250,$R104))</f>
        <v/>
      </c>
      <c r="G104" s="80" t="str">
        <f aca="false">IF(B104="","",IFERROR(IF(LEFT(E104,2)="CP",INDEX('NOTES CP'!$P$10:$P$250,MATCH(B104,'NOTES CP'!$B$10:$B$250,0)),IF(E104="CE1",INDEX('NOTES CE1'!$M$10:$M$250,MATCH(B104,'NOTES CE1'!$B$10:$B$250,0)),INDEX('NOTES CE2-CM1'!$M$10:$M$250,MATCH(B104,'NOTES CE2-CM1'!$B$10:$B$250,0)))),""))</f>
        <v/>
      </c>
      <c r="H104" s="80" t="str">
        <f aca="false">IF(B104="","",IFERROR(IF(LEFT(E104,2)="CP",INDEX('NOTES CP'!$Z$10:$Z$250,MATCH(B104,'NOTES CP'!$B$10:$B$250,0)),IF(E104="CE1",INDEX('NOTES CE1'!$T$10:$T$250,MATCH(B104,'NOTES CE1'!$B$10:$B$250,0)),INDEX('NOTES CE2-CM1'!$T$10:$T$250,MATCH(B104,'NOTES CE2-CM1'!$B$10:$B$250,0)))),""))</f>
        <v/>
      </c>
      <c r="I104" s="80" t="str">
        <f aca="false">IF(B104="","",IFERROR(IF(LEFT(E104,2)="CP",INDEX('NOTES CP'!$AJ$10:$AJ$250,MATCH(B104,'NOTES CP'!$B$10:$B$250,0)),IF(E104="CE1",INDEX('NOTES CE1'!$AA$10:$AA$250,MATCH(B104,'NOTES CE1'!$B$10:$B$250,0)),INDEX('NOTES CE2-CM1'!$AA$10:$AA$250,MATCH(B104,'NOTES CE2-CM1'!$B$10:$B$250,0)))),""))</f>
        <v/>
      </c>
      <c r="J104" s="81" t="str">
        <f aca="false">IF(COUNT(G104:I104)=0,"",ROUND(AVERAGE(G104:I104),2))</f>
        <v/>
      </c>
      <c r="K104" s="80" t="str">
        <f aca="false">IF(B104="","",IFERROR(IF(LEFT(E104,2)="CP",INDEX('NOTES CP'!$AT$10:$AT$250,MATCH(B104,'NOTES CP'!$B$10:$B$250,0)),IF(E104="CE1",INDEX('NOTES CE1'!$AH$10:$AH$250,MATCH(B104,'NOTES CE1'!$B$10:$B$250,0)),INDEX('NOTES CE2-CM1'!$AH$10:$AH$250,MATCH(B104,'NOTES CE2-CM1'!$B$10:$B$250,0)))),""))</f>
        <v/>
      </c>
      <c r="L104" s="82" t="str">
        <f aca="false">IF(OR(J104="",K104=""),"",ROUND((J104+2*K104)/3,2))</f>
        <v/>
      </c>
      <c r="M104" s="83" t="str">
        <f aca="false">IF(E104="","",IFERROR(INDEX(PARAMETRES!$D$18:$D$23,MATCH(E104,PARAMETRES!$B$18:$B$23,0)),""))</f>
        <v/>
      </c>
      <c r="N104" s="81" t="str">
        <f aca="false">IF(E104="","",IFERROR(INDEX(PARAMETRES!$C$18:$C$23,MATCH(E104,PARAMETRES!$B$18:$B$23,0)),""))</f>
        <v/>
      </c>
      <c r="O104" s="45" t="str">
        <f aca="false">IF(B104="","",IF(F104="ABANDON","ABANDON",IF(F104="TRANSFERE","TRANSFERE",IF(L104="","",IF(L104&gt;=N104,"ADMIS","REDOUBLE")))))</f>
        <v/>
      </c>
      <c r="P104" s="73" t="str">
        <f aca="false">IF(OR(L104="",F104&lt;&gt;"PRESENT"),"",COUNTIFS($E$10:$E$250,E104,$F$10:$F$250,"PRESENT",$L$10:$L$250,"&gt;"&amp;L104)+1)</f>
        <v/>
      </c>
      <c r="Q104" s="74" t="str">
        <f aca="false">IF(O104="ADMIS",IF(L104/M104*10&gt;=8,"Très bien",IF(L104/M104*10&gt;=7,"Bien",IF(L104/M104*10&gt;=6,"Assez bien","Passable"))),IF(O104="REDOUBLE","Insuffisant",""))</f>
        <v/>
      </c>
      <c r="R104" s="51" t="str">
        <f aca="false">IFERROR(MATCH("P-95",'REGISTRE ELEVES'!$AH$10:$AH$250,0),"")</f>
        <v/>
      </c>
    </row>
    <row r="105" customFormat="false" ht="15" hidden="false" customHeight="false" outlineLevel="0" collapsed="false">
      <c r="A105" s="45" t="str">
        <f aca="false">IF(B105="","",96)</f>
        <v/>
      </c>
      <c r="B105" s="45" t="str">
        <f aca="false">IF($R105="","",INDEX('REGISTRE ELEVES'!$B$10:$B$250,$R105))</f>
        <v/>
      </c>
      <c r="C105" s="74" t="str">
        <f aca="false">IF($R105="","",INDEX('REGISTRE ELEVES'!$D$10:$D$250,$R105))</f>
        <v/>
      </c>
      <c r="D105" s="45" t="str">
        <f aca="false">IF($R105="","",INDEX('REGISTRE ELEVES'!$E$10:$E$250,$R105))</f>
        <v/>
      </c>
      <c r="E105" s="45" t="str">
        <f aca="false">IF($R105="","",INDEX('REGISTRE ELEVES'!$F$10:$F$250,$R105))</f>
        <v/>
      </c>
      <c r="F105" s="45" t="str">
        <f aca="false">IF($R105="","",INDEX('REGISTRE ELEVES'!$AE$10:$AE$250,$R105))</f>
        <v/>
      </c>
      <c r="G105" s="80" t="str">
        <f aca="false">IF(B105="","",IFERROR(IF(LEFT(E105,2)="CP",INDEX('NOTES CP'!$P$10:$P$250,MATCH(B105,'NOTES CP'!$B$10:$B$250,0)),IF(E105="CE1",INDEX('NOTES CE1'!$M$10:$M$250,MATCH(B105,'NOTES CE1'!$B$10:$B$250,0)),INDEX('NOTES CE2-CM1'!$M$10:$M$250,MATCH(B105,'NOTES CE2-CM1'!$B$10:$B$250,0)))),""))</f>
        <v/>
      </c>
      <c r="H105" s="80" t="str">
        <f aca="false">IF(B105="","",IFERROR(IF(LEFT(E105,2)="CP",INDEX('NOTES CP'!$Z$10:$Z$250,MATCH(B105,'NOTES CP'!$B$10:$B$250,0)),IF(E105="CE1",INDEX('NOTES CE1'!$T$10:$T$250,MATCH(B105,'NOTES CE1'!$B$10:$B$250,0)),INDEX('NOTES CE2-CM1'!$T$10:$T$250,MATCH(B105,'NOTES CE2-CM1'!$B$10:$B$250,0)))),""))</f>
        <v/>
      </c>
      <c r="I105" s="80" t="str">
        <f aca="false">IF(B105="","",IFERROR(IF(LEFT(E105,2)="CP",INDEX('NOTES CP'!$AJ$10:$AJ$250,MATCH(B105,'NOTES CP'!$B$10:$B$250,0)),IF(E105="CE1",INDEX('NOTES CE1'!$AA$10:$AA$250,MATCH(B105,'NOTES CE1'!$B$10:$B$250,0)),INDEX('NOTES CE2-CM1'!$AA$10:$AA$250,MATCH(B105,'NOTES CE2-CM1'!$B$10:$B$250,0)))),""))</f>
        <v/>
      </c>
      <c r="J105" s="81" t="str">
        <f aca="false">IF(COUNT(G105:I105)=0,"",ROUND(AVERAGE(G105:I105),2))</f>
        <v/>
      </c>
      <c r="K105" s="80" t="str">
        <f aca="false">IF(B105="","",IFERROR(IF(LEFT(E105,2)="CP",INDEX('NOTES CP'!$AT$10:$AT$250,MATCH(B105,'NOTES CP'!$B$10:$B$250,0)),IF(E105="CE1",INDEX('NOTES CE1'!$AH$10:$AH$250,MATCH(B105,'NOTES CE1'!$B$10:$B$250,0)),INDEX('NOTES CE2-CM1'!$AH$10:$AH$250,MATCH(B105,'NOTES CE2-CM1'!$B$10:$B$250,0)))),""))</f>
        <v/>
      </c>
      <c r="L105" s="82" t="str">
        <f aca="false">IF(OR(J105="",K105=""),"",ROUND((J105+2*K105)/3,2))</f>
        <v/>
      </c>
      <c r="M105" s="83" t="str">
        <f aca="false">IF(E105="","",IFERROR(INDEX(PARAMETRES!$D$18:$D$23,MATCH(E105,PARAMETRES!$B$18:$B$23,0)),""))</f>
        <v/>
      </c>
      <c r="N105" s="81" t="str">
        <f aca="false">IF(E105="","",IFERROR(INDEX(PARAMETRES!$C$18:$C$23,MATCH(E105,PARAMETRES!$B$18:$B$23,0)),""))</f>
        <v/>
      </c>
      <c r="O105" s="45" t="str">
        <f aca="false">IF(B105="","",IF(F105="ABANDON","ABANDON",IF(F105="TRANSFERE","TRANSFERE",IF(L105="","",IF(L105&gt;=N105,"ADMIS","REDOUBLE")))))</f>
        <v/>
      </c>
      <c r="P105" s="73" t="str">
        <f aca="false">IF(OR(L105="",F105&lt;&gt;"PRESENT"),"",COUNTIFS($E$10:$E$250,E105,$F$10:$F$250,"PRESENT",$L$10:$L$250,"&gt;"&amp;L105)+1)</f>
        <v/>
      </c>
      <c r="Q105" s="74" t="str">
        <f aca="false">IF(O105="ADMIS",IF(L105/M105*10&gt;=8,"Très bien",IF(L105/M105*10&gt;=7,"Bien",IF(L105/M105*10&gt;=6,"Assez bien","Passable"))),IF(O105="REDOUBLE","Insuffisant",""))</f>
        <v/>
      </c>
      <c r="R105" s="51" t="str">
        <f aca="false">IFERROR(MATCH("P-96",'REGISTRE ELEVES'!$AH$10:$AH$250,0),"")</f>
        <v/>
      </c>
    </row>
    <row r="106" customFormat="false" ht="15" hidden="false" customHeight="false" outlineLevel="0" collapsed="false">
      <c r="A106" s="45" t="str">
        <f aca="false">IF(B106="","",97)</f>
        <v/>
      </c>
      <c r="B106" s="45" t="str">
        <f aca="false">IF($R106="","",INDEX('REGISTRE ELEVES'!$B$10:$B$250,$R106))</f>
        <v/>
      </c>
      <c r="C106" s="74" t="str">
        <f aca="false">IF($R106="","",INDEX('REGISTRE ELEVES'!$D$10:$D$250,$R106))</f>
        <v/>
      </c>
      <c r="D106" s="45" t="str">
        <f aca="false">IF($R106="","",INDEX('REGISTRE ELEVES'!$E$10:$E$250,$R106))</f>
        <v/>
      </c>
      <c r="E106" s="45" t="str">
        <f aca="false">IF($R106="","",INDEX('REGISTRE ELEVES'!$F$10:$F$250,$R106))</f>
        <v/>
      </c>
      <c r="F106" s="45" t="str">
        <f aca="false">IF($R106="","",INDEX('REGISTRE ELEVES'!$AE$10:$AE$250,$R106))</f>
        <v/>
      </c>
      <c r="G106" s="80" t="str">
        <f aca="false">IF(B106="","",IFERROR(IF(LEFT(E106,2)="CP",INDEX('NOTES CP'!$P$10:$P$250,MATCH(B106,'NOTES CP'!$B$10:$B$250,0)),IF(E106="CE1",INDEX('NOTES CE1'!$M$10:$M$250,MATCH(B106,'NOTES CE1'!$B$10:$B$250,0)),INDEX('NOTES CE2-CM1'!$M$10:$M$250,MATCH(B106,'NOTES CE2-CM1'!$B$10:$B$250,0)))),""))</f>
        <v/>
      </c>
      <c r="H106" s="80" t="str">
        <f aca="false">IF(B106="","",IFERROR(IF(LEFT(E106,2)="CP",INDEX('NOTES CP'!$Z$10:$Z$250,MATCH(B106,'NOTES CP'!$B$10:$B$250,0)),IF(E106="CE1",INDEX('NOTES CE1'!$T$10:$T$250,MATCH(B106,'NOTES CE1'!$B$10:$B$250,0)),INDEX('NOTES CE2-CM1'!$T$10:$T$250,MATCH(B106,'NOTES CE2-CM1'!$B$10:$B$250,0)))),""))</f>
        <v/>
      </c>
      <c r="I106" s="80" t="str">
        <f aca="false">IF(B106="","",IFERROR(IF(LEFT(E106,2)="CP",INDEX('NOTES CP'!$AJ$10:$AJ$250,MATCH(B106,'NOTES CP'!$B$10:$B$250,0)),IF(E106="CE1",INDEX('NOTES CE1'!$AA$10:$AA$250,MATCH(B106,'NOTES CE1'!$B$10:$B$250,0)),INDEX('NOTES CE2-CM1'!$AA$10:$AA$250,MATCH(B106,'NOTES CE2-CM1'!$B$10:$B$250,0)))),""))</f>
        <v/>
      </c>
      <c r="J106" s="81" t="str">
        <f aca="false">IF(COUNT(G106:I106)=0,"",ROUND(AVERAGE(G106:I106),2))</f>
        <v/>
      </c>
      <c r="K106" s="80" t="str">
        <f aca="false">IF(B106="","",IFERROR(IF(LEFT(E106,2)="CP",INDEX('NOTES CP'!$AT$10:$AT$250,MATCH(B106,'NOTES CP'!$B$10:$B$250,0)),IF(E106="CE1",INDEX('NOTES CE1'!$AH$10:$AH$250,MATCH(B106,'NOTES CE1'!$B$10:$B$250,0)),INDEX('NOTES CE2-CM1'!$AH$10:$AH$250,MATCH(B106,'NOTES CE2-CM1'!$B$10:$B$250,0)))),""))</f>
        <v/>
      </c>
      <c r="L106" s="82" t="str">
        <f aca="false">IF(OR(J106="",K106=""),"",ROUND((J106+2*K106)/3,2))</f>
        <v/>
      </c>
      <c r="M106" s="83" t="str">
        <f aca="false">IF(E106="","",IFERROR(INDEX(PARAMETRES!$D$18:$D$23,MATCH(E106,PARAMETRES!$B$18:$B$23,0)),""))</f>
        <v/>
      </c>
      <c r="N106" s="81" t="str">
        <f aca="false">IF(E106="","",IFERROR(INDEX(PARAMETRES!$C$18:$C$23,MATCH(E106,PARAMETRES!$B$18:$B$23,0)),""))</f>
        <v/>
      </c>
      <c r="O106" s="45" t="str">
        <f aca="false">IF(B106="","",IF(F106="ABANDON","ABANDON",IF(F106="TRANSFERE","TRANSFERE",IF(L106="","",IF(L106&gt;=N106,"ADMIS","REDOUBLE")))))</f>
        <v/>
      </c>
      <c r="P106" s="73" t="str">
        <f aca="false">IF(OR(L106="",F106&lt;&gt;"PRESENT"),"",COUNTIFS($E$10:$E$250,E106,$F$10:$F$250,"PRESENT",$L$10:$L$250,"&gt;"&amp;L106)+1)</f>
        <v/>
      </c>
      <c r="Q106" s="74" t="str">
        <f aca="false">IF(O106="ADMIS",IF(L106/M106*10&gt;=8,"Très bien",IF(L106/M106*10&gt;=7,"Bien",IF(L106/M106*10&gt;=6,"Assez bien","Passable"))),IF(O106="REDOUBLE","Insuffisant",""))</f>
        <v/>
      </c>
      <c r="R106" s="51" t="str">
        <f aca="false">IFERROR(MATCH("P-97",'REGISTRE ELEVES'!$AH$10:$AH$250,0),"")</f>
        <v/>
      </c>
    </row>
    <row r="107" customFormat="false" ht="15" hidden="false" customHeight="false" outlineLevel="0" collapsed="false">
      <c r="A107" s="45" t="str">
        <f aca="false">IF(B107="","",98)</f>
        <v/>
      </c>
      <c r="B107" s="45" t="str">
        <f aca="false">IF($R107="","",INDEX('REGISTRE ELEVES'!$B$10:$B$250,$R107))</f>
        <v/>
      </c>
      <c r="C107" s="74" t="str">
        <f aca="false">IF($R107="","",INDEX('REGISTRE ELEVES'!$D$10:$D$250,$R107))</f>
        <v/>
      </c>
      <c r="D107" s="45" t="str">
        <f aca="false">IF($R107="","",INDEX('REGISTRE ELEVES'!$E$10:$E$250,$R107))</f>
        <v/>
      </c>
      <c r="E107" s="45" t="str">
        <f aca="false">IF($R107="","",INDEX('REGISTRE ELEVES'!$F$10:$F$250,$R107))</f>
        <v/>
      </c>
      <c r="F107" s="45" t="str">
        <f aca="false">IF($R107="","",INDEX('REGISTRE ELEVES'!$AE$10:$AE$250,$R107))</f>
        <v/>
      </c>
      <c r="G107" s="80" t="str">
        <f aca="false">IF(B107="","",IFERROR(IF(LEFT(E107,2)="CP",INDEX('NOTES CP'!$P$10:$P$250,MATCH(B107,'NOTES CP'!$B$10:$B$250,0)),IF(E107="CE1",INDEX('NOTES CE1'!$M$10:$M$250,MATCH(B107,'NOTES CE1'!$B$10:$B$250,0)),INDEX('NOTES CE2-CM1'!$M$10:$M$250,MATCH(B107,'NOTES CE2-CM1'!$B$10:$B$250,0)))),""))</f>
        <v/>
      </c>
      <c r="H107" s="80" t="str">
        <f aca="false">IF(B107="","",IFERROR(IF(LEFT(E107,2)="CP",INDEX('NOTES CP'!$Z$10:$Z$250,MATCH(B107,'NOTES CP'!$B$10:$B$250,0)),IF(E107="CE1",INDEX('NOTES CE1'!$T$10:$T$250,MATCH(B107,'NOTES CE1'!$B$10:$B$250,0)),INDEX('NOTES CE2-CM1'!$T$10:$T$250,MATCH(B107,'NOTES CE2-CM1'!$B$10:$B$250,0)))),""))</f>
        <v/>
      </c>
      <c r="I107" s="80" t="str">
        <f aca="false">IF(B107="","",IFERROR(IF(LEFT(E107,2)="CP",INDEX('NOTES CP'!$AJ$10:$AJ$250,MATCH(B107,'NOTES CP'!$B$10:$B$250,0)),IF(E107="CE1",INDEX('NOTES CE1'!$AA$10:$AA$250,MATCH(B107,'NOTES CE1'!$B$10:$B$250,0)),INDEX('NOTES CE2-CM1'!$AA$10:$AA$250,MATCH(B107,'NOTES CE2-CM1'!$B$10:$B$250,0)))),""))</f>
        <v/>
      </c>
      <c r="J107" s="81" t="str">
        <f aca="false">IF(COUNT(G107:I107)=0,"",ROUND(AVERAGE(G107:I107),2))</f>
        <v/>
      </c>
      <c r="K107" s="80" t="str">
        <f aca="false">IF(B107="","",IFERROR(IF(LEFT(E107,2)="CP",INDEX('NOTES CP'!$AT$10:$AT$250,MATCH(B107,'NOTES CP'!$B$10:$B$250,0)),IF(E107="CE1",INDEX('NOTES CE1'!$AH$10:$AH$250,MATCH(B107,'NOTES CE1'!$B$10:$B$250,0)),INDEX('NOTES CE2-CM1'!$AH$10:$AH$250,MATCH(B107,'NOTES CE2-CM1'!$B$10:$B$250,0)))),""))</f>
        <v/>
      </c>
      <c r="L107" s="82" t="str">
        <f aca="false">IF(OR(J107="",K107=""),"",ROUND((J107+2*K107)/3,2))</f>
        <v/>
      </c>
      <c r="M107" s="83" t="str">
        <f aca="false">IF(E107="","",IFERROR(INDEX(PARAMETRES!$D$18:$D$23,MATCH(E107,PARAMETRES!$B$18:$B$23,0)),""))</f>
        <v/>
      </c>
      <c r="N107" s="81" t="str">
        <f aca="false">IF(E107="","",IFERROR(INDEX(PARAMETRES!$C$18:$C$23,MATCH(E107,PARAMETRES!$B$18:$B$23,0)),""))</f>
        <v/>
      </c>
      <c r="O107" s="45" t="str">
        <f aca="false">IF(B107="","",IF(F107="ABANDON","ABANDON",IF(F107="TRANSFERE","TRANSFERE",IF(L107="","",IF(L107&gt;=N107,"ADMIS","REDOUBLE")))))</f>
        <v/>
      </c>
      <c r="P107" s="73" t="str">
        <f aca="false">IF(OR(L107="",F107&lt;&gt;"PRESENT"),"",COUNTIFS($E$10:$E$250,E107,$F$10:$F$250,"PRESENT",$L$10:$L$250,"&gt;"&amp;L107)+1)</f>
        <v/>
      </c>
      <c r="Q107" s="74" t="str">
        <f aca="false">IF(O107="ADMIS",IF(L107/M107*10&gt;=8,"Très bien",IF(L107/M107*10&gt;=7,"Bien",IF(L107/M107*10&gt;=6,"Assez bien","Passable"))),IF(O107="REDOUBLE","Insuffisant",""))</f>
        <v/>
      </c>
      <c r="R107" s="51" t="str">
        <f aca="false">IFERROR(MATCH("P-98",'REGISTRE ELEVES'!$AH$10:$AH$250,0),"")</f>
        <v/>
      </c>
    </row>
    <row r="108" customFormat="false" ht="15" hidden="false" customHeight="false" outlineLevel="0" collapsed="false">
      <c r="A108" s="45" t="str">
        <f aca="false">IF(B108="","",99)</f>
        <v/>
      </c>
      <c r="B108" s="45" t="str">
        <f aca="false">IF($R108="","",INDEX('REGISTRE ELEVES'!$B$10:$B$250,$R108))</f>
        <v/>
      </c>
      <c r="C108" s="74" t="str">
        <f aca="false">IF($R108="","",INDEX('REGISTRE ELEVES'!$D$10:$D$250,$R108))</f>
        <v/>
      </c>
      <c r="D108" s="45" t="str">
        <f aca="false">IF($R108="","",INDEX('REGISTRE ELEVES'!$E$10:$E$250,$R108))</f>
        <v/>
      </c>
      <c r="E108" s="45" t="str">
        <f aca="false">IF($R108="","",INDEX('REGISTRE ELEVES'!$F$10:$F$250,$R108))</f>
        <v/>
      </c>
      <c r="F108" s="45" t="str">
        <f aca="false">IF($R108="","",INDEX('REGISTRE ELEVES'!$AE$10:$AE$250,$R108))</f>
        <v/>
      </c>
      <c r="G108" s="80" t="str">
        <f aca="false">IF(B108="","",IFERROR(IF(LEFT(E108,2)="CP",INDEX('NOTES CP'!$P$10:$P$250,MATCH(B108,'NOTES CP'!$B$10:$B$250,0)),IF(E108="CE1",INDEX('NOTES CE1'!$M$10:$M$250,MATCH(B108,'NOTES CE1'!$B$10:$B$250,0)),INDEX('NOTES CE2-CM1'!$M$10:$M$250,MATCH(B108,'NOTES CE2-CM1'!$B$10:$B$250,0)))),""))</f>
        <v/>
      </c>
      <c r="H108" s="80" t="str">
        <f aca="false">IF(B108="","",IFERROR(IF(LEFT(E108,2)="CP",INDEX('NOTES CP'!$Z$10:$Z$250,MATCH(B108,'NOTES CP'!$B$10:$B$250,0)),IF(E108="CE1",INDEX('NOTES CE1'!$T$10:$T$250,MATCH(B108,'NOTES CE1'!$B$10:$B$250,0)),INDEX('NOTES CE2-CM1'!$T$10:$T$250,MATCH(B108,'NOTES CE2-CM1'!$B$10:$B$250,0)))),""))</f>
        <v/>
      </c>
      <c r="I108" s="80" t="str">
        <f aca="false">IF(B108="","",IFERROR(IF(LEFT(E108,2)="CP",INDEX('NOTES CP'!$AJ$10:$AJ$250,MATCH(B108,'NOTES CP'!$B$10:$B$250,0)),IF(E108="CE1",INDEX('NOTES CE1'!$AA$10:$AA$250,MATCH(B108,'NOTES CE1'!$B$10:$B$250,0)),INDEX('NOTES CE2-CM1'!$AA$10:$AA$250,MATCH(B108,'NOTES CE2-CM1'!$B$10:$B$250,0)))),""))</f>
        <v/>
      </c>
      <c r="J108" s="81" t="str">
        <f aca="false">IF(COUNT(G108:I108)=0,"",ROUND(AVERAGE(G108:I108),2))</f>
        <v/>
      </c>
      <c r="K108" s="80" t="str">
        <f aca="false">IF(B108="","",IFERROR(IF(LEFT(E108,2)="CP",INDEX('NOTES CP'!$AT$10:$AT$250,MATCH(B108,'NOTES CP'!$B$10:$B$250,0)),IF(E108="CE1",INDEX('NOTES CE1'!$AH$10:$AH$250,MATCH(B108,'NOTES CE1'!$B$10:$B$250,0)),INDEX('NOTES CE2-CM1'!$AH$10:$AH$250,MATCH(B108,'NOTES CE2-CM1'!$B$10:$B$250,0)))),""))</f>
        <v/>
      </c>
      <c r="L108" s="82" t="str">
        <f aca="false">IF(OR(J108="",K108=""),"",ROUND((J108+2*K108)/3,2))</f>
        <v/>
      </c>
      <c r="M108" s="83" t="str">
        <f aca="false">IF(E108="","",IFERROR(INDEX(PARAMETRES!$D$18:$D$23,MATCH(E108,PARAMETRES!$B$18:$B$23,0)),""))</f>
        <v/>
      </c>
      <c r="N108" s="81" t="str">
        <f aca="false">IF(E108="","",IFERROR(INDEX(PARAMETRES!$C$18:$C$23,MATCH(E108,PARAMETRES!$B$18:$B$23,0)),""))</f>
        <v/>
      </c>
      <c r="O108" s="45" t="str">
        <f aca="false">IF(B108="","",IF(F108="ABANDON","ABANDON",IF(F108="TRANSFERE","TRANSFERE",IF(L108="","",IF(L108&gt;=N108,"ADMIS","REDOUBLE")))))</f>
        <v/>
      </c>
      <c r="P108" s="73" t="str">
        <f aca="false">IF(OR(L108="",F108&lt;&gt;"PRESENT"),"",COUNTIFS($E$10:$E$250,E108,$F$10:$F$250,"PRESENT",$L$10:$L$250,"&gt;"&amp;L108)+1)</f>
        <v/>
      </c>
      <c r="Q108" s="74" t="str">
        <f aca="false">IF(O108="ADMIS",IF(L108/M108*10&gt;=8,"Très bien",IF(L108/M108*10&gt;=7,"Bien",IF(L108/M108*10&gt;=6,"Assez bien","Passable"))),IF(O108="REDOUBLE","Insuffisant",""))</f>
        <v/>
      </c>
      <c r="R108" s="51" t="str">
        <f aca="false">IFERROR(MATCH("P-99",'REGISTRE ELEVES'!$AH$10:$AH$250,0),"")</f>
        <v/>
      </c>
    </row>
    <row r="109" customFormat="false" ht="15" hidden="false" customHeight="false" outlineLevel="0" collapsed="false">
      <c r="A109" s="45" t="str">
        <f aca="false">IF(B109="","",100)</f>
        <v/>
      </c>
      <c r="B109" s="45" t="str">
        <f aca="false">IF($R109="","",INDEX('REGISTRE ELEVES'!$B$10:$B$250,$R109))</f>
        <v/>
      </c>
      <c r="C109" s="74" t="str">
        <f aca="false">IF($R109="","",INDEX('REGISTRE ELEVES'!$D$10:$D$250,$R109))</f>
        <v/>
      </c>
      <c r="D109" s="45" t="str">
        <f aca="false">IF($R109="","",INDEX('REGISTRE ELEVES'!$E$10:$E$250,$R109))</f>
        <v/>
      </c>
      <c r="E109" s="45" t="str">
        <f aca="false">IF($R109="","",INDEX('REGISTRE ELEVES'!$F$10:$F$250,$R109))</f>
        <v/>
      </c>
      <c r="F109" s="45" t="str">
        <f aca="false">IF($R109="","",INDEX('REGISTRE ELEVES'!$AE$10:$AE$250,$R109))</f>
        <v/>
      </c>
      <c r="G109" s="80" t="str">
        <f aca="false">IF(B109="","",IFERROR(IF(LEFT(E109,2)="CP",INDEX('NOTES CP'!$P$10:$P$250,MATCH(B109,'NOTES CP'!$B$10:$B$250,0)),IF(E109="CE1",INDEX('NOTES CE1'!$M$10:$M$250,MATCH(B109,'NOTES CE1'!$B$10:$B$250,0)),INDEX('NOTES CE2-CM1'!$M$10:$M$250,MATCH(B109,'NOTES CE2-CM1'!$B$10:$B$250,0)))),""))</f>
        <v/>
      </c>
      <c r="H109" s="80" t="str">
        <f aca="false">IF(B109="","",IFERROR(IF(LEFT(E109,2)="CP",INDEX('NOTES CP'!$Z$10:$Z$250,MATCH(B109,'NOTES CP'!$B$10:$B$250,0)),IF(E109="CE1",INDEX('NOTES CE1'!$T$10:$T$250,MATCH(B109,'NOTES CE1'!$B$10:$B$250,0)),INDEX('NOTES CE2-CM1'!$T$10:$T$250,MATCH(B109,'NOTES CE2-CM1'!$B$10:$B$250,0)))),""))</f>
        <v/>
      </c>
      <c r="I109" s="80" t="str">
        <f aca="false">IF(B109="","",IFERROR(IF(LEFT(E109,2)="CP",INDEX('NOTES CP'!$AJ$10:$AJ$250,MATCH(B109,'NOTES CP'!$B$10:$B$250,0)),IF(E109="CE1",INDEX('NOTES CE1'!$AA$10:$AA$250,MATCH(B109,'NOTES CE1'!$B$10:$B$250,0)),INDEX('NOTES CE2-CM1'!$AA$10:$AA$250,MATCH(B109,'NOTES CE2-CM1'!$B$10:$B$250,0)))),""))</f>
        <v/>
      </c>
      <c r="J109" s="81" t="str">
        <f aca="false">IF(COUNT(G109:I109)=0,"",ROUND(AVERAGE(G109:I109),2))</f>
        <v/>
      </c>
      <c r="K109" s="80" t="str">
        <f aca="false">IF(B109="","",IFERROR(IF(LEFT(E109,2)="CP",INDEX('NOTES CP'!$AT$10:$AT$250,MATCH(B109,'NOTES CP'!$B$10:$B$250,0)),IF(E109="CE1",INDEX('NOTES CE1'!$AH$10:$AH$250,MATCH(B109,'NOTES CE1'!$B$10:$B$250,0)),INDEX('NOTES CE2-CM1'!$AH$10:$AH$250,MATCH(B109,'NOTES CE2-CM1'!$B$10:$B$250,0)))),""))</f>
        <v/>
      </c>
      <c r="L109" s="82" t="str">
        <f aca="false">IF(OR(J109="",K109=""),"",ROUND((J109+2*K109)/3,2))</f>
        <v/>
      </c>
      <c r="M109" s="83" t="str">
        <f aca="false">IF(E109="","",IFERROR(INDEX(PARAMETRES!$D$18:$D$23,MATCH(E109,PARAMETRES!$B$18:$B$23,0)),""))</f>
        <v/>
      </c>
      <c r="N109" s="81" t="str">
        <f aca="false">IF(E109="","",IFERROR(INDEX(PARAMETRES!$C$18:$C$23,MATCH(E109,PARAMETRES!$B$18:$B$23,0)),""))</f>
        <v/>
      </c>
      <c r="O109" s="45" t="str">
        <f aca="false">IF(B109="","",IF(F109="ABANDON","ABANDON",IF(F109="TRANSFERE","TRANSFERE",IF(L109="","",IF(L109&gt;=N109,"ADMIS","REDOUBLE")))))</f>
        <v/>
      </c>
      <c r="P109" s="73" t="str">
        <f aca="false">IF(OR(L109="",F109&lt;&gt;"PRESENT"),"",COUNTIFS($E$10:$E$250,E109,$F$10:$F$250,"PRESENT",$L$10:$L$250,"&gt;"&amp;L109)+1)</f>
        <v/>
      </c>
      <c r="Q109" s="74" t="str">
        <f aca="false">IF(O109="ADMIS",IF(L109/M109*10&gt;=8,"Très bien",IF(L109/M109*10&gt;=7,"Bien",IF(L109/M109*10&gt;=6,"Assez bien","Passable"))),IF(O109="REDOUBLE","Insuffisant",""))</f>
        <v/>
      </c>
      <c r="R109" s="51" t="str">
        <f aca="false">IFERROR(MATCH("P-100",'REGISTRE ELEVES'!$AH$10:$AH$250,0),"")</f>
        <v/>
      </c>
    </row>
    <row r="110" customFormat="false" ht="15" hidden="false" customHeight="false" outlineLevel="0" collapsed="false">
      <c r="A110" s="45" t="str">
        <f aca="false">IF(B110="","",101)</f>
        <v/>
      </c>
      <c r="B110" s="45" t="str">
        <f aca="false">IF($R110="","",INDEX('REGISTRE ELEVES'!$B$10:$B$250,$R110))</f>
        <v/>
      </c>
      <c r="C110" s="74" t="str">
        <f aca="false">IF($R110="","",INDEX('REGISTRE ELEVES'!$D$10:$D$250,$R110))</f>
        <v/>
      </c>
      <c r="D110" s="45" t="str">
        <f aca="false">IF($R110="","",INDEX('REGISTRE ELEVES'!$E$10:$E$250,$R110))</f>
        <v/>
      </c>
      <c r="E110" s="45" t="str">
        <f aca="false">IF($R110="","",INDEX('REGISTRE ELEVES'!$F$10:$F$250,$R110))</f>
        <v/>
      </c>
      <c r="F110" s="45" t="str">
        <f aca="false">IF($R110="","",INDEX('REGISTRE ELEVES'!$AE$10:$AE$250,$R110))</f>
        <v/>
      </c>
      <c r="G110" s="80" t="str">
        <f aca="false">IF(B110="","",IFERROR(IF(LEFT(E110,2)="CP",INDEX('NOTES CP'!$P$10:$P$250,MATCH(B110,'NOTES CP'!$B$10:$B$250,0)),IF(E110="CE1",INDEX('NOTES CE1'!$M$10:$M$250,MATCH(B110,'NOTES CE1'!$B$10:$B$250,0)),INDEX('NOTES CE2-CM1'!$M$10:$M$250,MATCH(B110,'NOTES CE2-CM1'!$B$10:$B$250,0)))),""))</f>
        <v/>
      </c>
      <c r="H110" s="80" t="str">
        <f aca="false">IF(B110="","",IFERROR(IF(LEFT(E110,2)="CP",INDEX('NOTES CP'!$Z$10:$Z$250,MATCH(B110,'NOTES CP'!$B$10:$B$250,0)),IF(E110="CE1",INDEX('NOTES CE1'!$T$10:$T$250,MATCH(B110,'NOTES CE1'!$B$10:$B$250,0)),INDEX('NOTES CE2-CM1'!$T$10:$T$250,MATCH(B110,'NOTES CE2-CM1'!$B$10:$B$250,0)))),""))</f>
        <v/>
      </c>
      <c r="I110" s="80" t="str">
        <f aca="false">IF(B110="","",IFERROR(IF(LEFT(E110,2)="CP",INDEX('NOTES CP'!$AJ$10:$AJ$250,MATCH(B110,'NOTES CP'!$B$10:$B$250,0)),IF(E110="CE1",INDEX('NOTES CE1'!$AA$10:$AA$250,MATCH(B110,'NOTES CE1'!$B$10:$B$250,0)),INDEX('NOTES CE2-CM1'!$AA$10:$AA$250,MATCH(B110,'NOTES CE2-CM1'!$B$10:$B$250,0)))),""))</f>
        <v/>
      </c>
      <c r="J110" s="81" t="str">
        <f aca="false">IF(COUNT(G110:I110)=0,"",ROUND(AVERAGE(G110:I110),2))</f>
        <v/>
      </c>
      <c r="K110" s="80" t="str">
        <f aca="false">IF(B110="","",IFERROR(IF(LEFT(E110,2)="CP",INDEX('NOTES CP'!$AT$10:$AT$250,MATCH(B110,'NOTES CP'!$B$10:$B$250,0)),IF(E110="CE1",INDEX('NOTES CE1'!$AH$10:$AH$250,MATCH(B110,'NOTES CE1'!$B$10:$B$250,0)),INDEX('NOTES CE2-CM1'!$AH$10:$AH$250,MATCH(B110,'NOTES CE2-CM1'!$B$10:$B$250,0)))),""))</f>
        <v/>
      </c>
      <c r="L110" s="82" t="str">
        <f aca="false">IF(OR(J110="",K110=""),"",ROUND((J110+2*K110)/3,2))</f>
        <v/>
      </c>
      <c r="M110" s="83" t="str">
        <f aca="false">IF(E110="","",IFERROR(INDEX(PARAMETRES!$D$18:$D$23,MATCH(E110,PARAMETRES!$B$18:$B$23,0)),""))</f>
        <v/>
      </c>
      <c r="N110" s="81" t="str">
        <f aca="false">IF(E110="","",IFERROR(INDEX(PARAMETRES!$C$18:$C$23,MATCH(E110,PARAMETRES!$B$18:$B$23,0)),""))</f>
        <v/>
      </c>
      <c r="O110" s="45" t="str">
        <f aca="false">IF(B110="","",IF(F110="ABANDON","ABANDON",IF(F110="TRANSFERE","TRANSFERE",IF(L110="","",IF(L110&gt;=N110,"ADMIS","REDOUBLE")))))</f>
        <v/>
      </c>
      <c r="P110" s="73" t="str">
        <f aca="false">IF(OR(L110="",F110&lt;&gt;"PRESENT"),"",COUNTIFS($E$10:$E$250,E110,$F$10:$F$250,"PRESENT",$L$10:$L$250,"&gt;"&amp;L110)+1)</f>
        <v/>
      </c>
      <c r="Q110" s="74" t="str">
        <f aca="false">IF(O110="ADMIS",IF(L110/M110*10&gt;=8,"Très bien",IF(L110/M110*10&gt;=7,"Bien",IF(L110/M110*10&gt;=6,"Assez bien","Passable"))),IF(O110="REDOUBLE","Insuffisant",""))</f>
        <v/>
      </c>
      <c r="R110" s="51" t="str">
        <f aca="false">IFERROR(MATCH("P-101",'REGISTRE ELEVES'!$AH$10:$AH$250,0),"")</f>
        <v/>
      </c>
    </row>
    <row r="111" customFormat="false" ht="15" hidden="false" customHeight="false" outlineLevel="0" collapsed="false">
      <c r="A111" s="45" t="str">
        <f aca="false">IF(B111="","",102)</f>
        <v/>
      </c>
      <c r="B111" s="45" t="str">
        <f aca="false">IF($R111="","",INDEX('REGISTRE ELEVES'!$B$10:$B$250,$R111))</f>
        <v/>
      </c>
      <c r="C111" s="74" t="str">
        <f aca="false">IF($R111="","",INDEX('REGISTRE ELEVES'!$D$10:$D$250,$R111))</f>
        <v/>
      </c>
      <c r="D111" s="45" t="str">
        <f aca="false">IF($R111="","",INDEX('REGISTRE ELEVES'!$E$10:$E$250,$R111))</f>
        <v/>
      </c>
      <c r="E111" s="45" t="str">
        <f aca="false">IF($R111="","",INDEX('REGISTRE ELEVES'!$F$10:$F$250,$R111))</f>
        <v/>
      </c>
      <c r="F111" s="45" t="str">
        <f aca="false">IF($R111="","",INDEX('REGISTRE ELEVES'!$AE$10:$AE$250,$R111))</f>
        <v/>
      </c>
      <c r="G111" s="80" t="str">
        <f aca="false">IF(B111="","",IFERROR(IF(LEFT(E111,2)="CP",INDEX('NOTES CP'!$P$10:$P$250,MATCH(B111,'NOTES CP'!$B$10:$B$250,0)),IF(E111="CE1",INDEX('NOTES CE1'!$M$10:$M$250,MATCH(B111,'NOTES CE1'!$B$10:$B$250,0)),INDEX('NOTES CE2-CM1'!$M$10:$M$250,MATCH(B111,'NOTES CE2-CM1'!$B$10:$B$250,0)))),""))</f>
        <v/>
      </c>
      <c r="H111" s="80" t="str">
        <f aca="false">IF(B111="","",IFERROR(IF(LEFT(E111,2)="CP",INDEX('NOTES CP'!$Z$10:$Z$250,MATCH(B111,'NOTES CP'!$B$10:$B$250,0)),IF(E111="CE1",INDEX('NOTES CE1'!$T$10:$T$250,MATCH(B111,'NOTES CE1'!$B$10:$B$250,0)),INDEX('NOTES CE2-CM1'!$T$10:$T$250,MATCH(B111,'NOTES CE2-CM1'!$B$10:$B$250,0)))),""))</f>
        <v/>
      </c>
      <c r="I111" s="80" t="str">
        <f aca="false">IF(B111="","",IFERROR(IF(LEFT(E111,2)="CP",INDEX('NOTES CP'!$AJ$10:$AJ$250,MATCH(B111,'NOTES CP'!$B$10:$B$250,0)),IF(E111="CE1",INDEX('NOTES CE1'!$AA$10:$AA$250,MATCH(B111,'NOTES CE1'!$B$10:$B$250,0)),INDEX('NOTES CE2-CM1'!$AA$10:$AA$250,MATCH(B111,'NOTES CE2-CM1'!$B$10:$B$250,0)))),""))</f>
        <v/>
      </c>
      <c r="J111" s="81" t="str">
        <f aca="false">IF(COUNT(G111:I111)=0,"",ROUND(AVERAGE(G111:I111),2))</f>
        <v/>
      </c>
      <c r="K111" s="80" t="str">
        <f aca="false">IF(B111="","",IFERROR(IF(LEFT(E111,2)="CP",INDEX('NOTES CP'!$AT$10:$AT$250,MATCH(B111,'NOTES CP'!$B$10:$B$250,0)),IF(E111="CE1",INDEX('NOTES CE1'!$AH$10:$AH$250,MATCH(B111,'NOTES CE1'!$B$10:$B$250,0)),INDEX('NOTES CE2-CM1'!$AH$10:$AH$250,MATCH(B111,'NOTES CE2-CM1'!$B$10:$B$250,0)))),""))</f>
        <v/>
      </c>
      <c r="L111" s="82" t="str">
        <f aca="false">IF(OR(J111="",K111=""),"",ROUND((J111+2*K111)/3,2))</f>
        <v/>
      </c>
      <c r="M111" s="83" t="str">
        <f aca="false">IF(E111="","",IFERROR(INDEX(PARAMETRES!$D$18:$D$23,MATCH(E111,PARAMETRES!$B$18:$B$23,0)),""))</f>
        <v/>
      </c>
      <c r="N111" s="81" t="str">
        <f aca="false">IF(E111="","",IFERROR(INDEX(PARAMETRES!$C$18:$C$23,MATCH(E111,PARAMETRES!$B$18:$B$23,0)),""))</f>
        <v/>
      </c>
      <c r="O111" s="45" t="str">
        <f aca="false">IF(B111="","",IF(F111="ABANDON","ABANDON",IF(F111="TRANSFERE","TRANSFERE",IF(L111="","",IF(L111&gt;=N111,"ADMIS","REDOUBLE")))))</f>
        <v/>
      </c>
      <c r="P111" s="73" t="str">
        <f aca="false">IF(OR(L111="",F111&lt;&gt;"PRESENT"),"",COUNTIFS($E$10:$E$250,E111,$F$10:$F$250,"PRESENT",$L$10:$L$250,"&gt;"&amp;L111)+1)</f>
        <v/>
      </c>
      <c r="Q111" s="74" t="str">
        <f aca="false">IF(O111="ADMIS",IF(L111/M111*10&gt;=8,"Très bien",IF(L111/M111*10&gt;=7,"Bien",IF(L111/M111*10&gt;=6,"Assez bien","Passable"))),IF(O111="REDOUBLE","Insuffisant",""))</f>
        <v/>
      </c>
      <c r="R111" s="51" t="str">
        <f aca="false">IFERROR(MATCH("P-102",'REGISTRE ELEVES'!$AH$10:$AH$250,0),"")</f>
        <v/>
      </c>
    </row>
    <row r="112" customFormat="false" ht="15" hidden="false" customHeight="false" outlineLevel="0" collapsed="false">
      <c r="A112" s="45" t="str">
        <f aca="false">IF(B112="","",103)</f>
        <v/>
      </c>
      <c r="B112" s="45" t="str">
        <f aca="false">IF($R112="","",INDEX('REGISTRE ELEVES'!$B$10:$B$250,$R112))</f>
        <v/>
      </c>
      <c r="C112" s="74" t="str">
        <f aca="false">IF($R112="","",INDEX('REGISTRE ELEVES'!$D$10:$D$250,$R112))</f>
        <v/>
      </c>
      <c r="D112" s="45" t="str">
        <f aca="false">IF($R112="","",INDEX('REGISTRE ELEVES'!$E$10:$E$250,$R112))</f>
        <v/>
      </c>
      <c r="E112" s="45" t="str">
        <f aca="false">IF($R112="","",INDEX('REGISTRE ELEVES'!$F$10:$F$250,$R112))</f>
        <v/>
      </c>
      <c r="F112" s="45" t="str">
        <f aca="false">IF($R112="","",INDEX('REGISTRE ELEVES'!$AE$10:$AE$250,$R112))</f>
        <v/>
      </c>
      <c r="G112" s="80" t="str">
        <f aca="false">IF(B112="","",IFERROR(IF(LEFT(E112,2)="CP",INDEX('NOTES CP'!$P$10:$P$250,MATCH(B112,'NOTES CP'!$B$10:$B$250,0)),IF(E112="CE1",INDEX('NOTES CE1'!$M$10:$M$250,MATCH(B112,'NOTES CE1'!$B$10:$B$250,0)),INDEX('NOTES CE2-CM1'!$M$10:$M$250,MATCH(B112,'NOTES CE2-CM1'!$B$10:$B$250,0)))),""))</f>
        <v/>
      </c>
      <c r="H112" s="80" t="str">
        <f aca="false">IF(B112="","",IFERROR(IF(LEFT(E112,2)="CP",INDEX('NOTES CP'!$Z$10:$Z$250,MATCH(B112,'NOTES CP'!$B$10:$B$250,0)),IF(E112="CE1",INDEX('NOTES CE1'!$T$10:$T$250,MATCH(B112,'NOTES CE1'!$B$10:$B$250,0)),INDEX('NOTES CE2-CM1'!$T$10:$T$250,MATCH(B112,'NOTES CE2-CM1'!$B$10:$B$250,0)))),""))</f>
        <v/>
      </c>
      <c r="I112" s="80" t="str">
        <f aca="false">IF(B112="","",IFERROR(IF(LEFT(E112,2)="CP",INDEX('NOTES CP'!$AJ$10:$AJ$250,MATCH(B112,'NOTES CP'!$B$10:$B$250,0)),IF(E112="CE1",INDEX('NOTES CE1'!$AA$10:$AA$250,MATCH(B112,'NOTES CE1'!$B$10:$B$250,0)),INDEX('NOTES CE2-CM1'!$AA$10:$AA$250,MATCH(B112,'NOTES CE2-CM1'!$B$10:$B$250,0)))),""))</f>
        <v/>
      </c>
      <c r="J112" s="81" t="str">
        <f aca="false">IF(COUNT(G112:I112)=0,"",ROUND(AVERAGE(G112:I112),2))</f>
        <v/>
      </c>
      <c r="K112" s="80" t="str">
        <f aca="false">IF(B112="","",IFERROR(IF(LEFT(E112,2)="CP",INDEX('NOTES CP'!$AT$10:$AT$250,MATCH(B112,'NOTES CP'!$B$10:$B$250,0)),IF(E112="CE1",INDEX('NOTES CE1'!$AH$10:$AH$250,MATCH(B112,'NOTES CE1'!$B$10:$B$250,0)),INDEX('NOTES CE2-CM1'!$AH$10:$AH$250,MATCH(B112,'NOTES CE2-CM1'!$B$10:$B$250,0)))),""))</f>
        <v/>
      </c>
      <c r="L112" s="82" t="str">
        <f aca="false">IF(OR(J112="",K112=""),"",ROUND((J112+2*K112)/3,2))</f>
        <v/>
      </c>
      <c r="M112" s="83" t="str">
        <f aca="false">IF(E112="","",IFERROR(INDEX(PARAMETRES!$D$18:$D$23,MATCH(E112,PARAMETRES!$B$18:$B$23,0)),""))</f>
        <v/>
      </c>
      <c r="N112" s="81" t="str">
        <f aca="false">IF(E112="","",IFERROR(INDEX(PARAMETRES!$C$18:$C$23,MATCH(E112,PARAMETRES!$B$18:$B$23,0)),""))</f>
        <v/>
      </c>
      <c r="O112" s="45" t="str">
        <f aca="false">IF(B112="","",IF(F112="ABANDON","ABANDON",IF(F112="TRANSFERE","TRANSFERE",IF(L112="","",IF(L112&gt;=N112,"ADMIS","REDOUBLE")))))</f>
        <v/>
      </c>
      <c r="P112" s="73" t="str">
        <f aca="false">IF(OR(L112="",F112&lt;&gt;"PRESENT"),"",COUNTIFS($E$10:$E$250,E112,$F$10:$F$250,"PRESENT",$L$10:$L$250,"&gt;"&amp;L112)+1)</f>
        <v/>
      </c>
      <c r="Q112" s="74" t="str">
        <f aca="false">IF(O112="ADMIS",IF(L112/M112*10&gt;=8,"Très bien",IF(L112/M112*10&gt;=7,"Bien",IF(L112/M112*10&gt;=6,"Assez bien","Passable"))),IF(O112="REDOUBLE","Insuffisant",""))</f>
        <v/>
      </c>
      <c r="R112" s="51" t="str">
        <f aca="false">IFERROR(MATCH("P-103",'REGISTRE ELEVES'!$AH$10:$AH$250,0),"")</f>
        <v/>
      </c>
    </row>
    <row r="113" customFormat="false" ht="15" hidden="false" customHeight="false" outlineLevel="0" collapsed="false">
      <c r="A113" s="45" t="str">
        <f aca="false">IF(B113="","",104)</f>
        <v/>
      </c>
      <c r="B113" s="45" t="str">
        <f aca="false">IF($R113="","",INDEX('REGISTRE ELEVES'!$B$10:$B$250,$R113))</f>
        <v/>
      </c>
      <c r="C113" s="74" t="str">
        <f aca="false">IF($R113="","",INDEX('REGISTRE ELEVES'!$D$10:$D$250,$R113))</f>
        <v/>
      </c>
      <c r="D113" s="45" t="str">
        <f aca="false">IF($R113="","",INDEX('REGISTRE ELEVES'!$E$10:$E$250,$R113))</f>
        <v/>
      </c>
      <c r="E113" s="45" t="str">
        <f aca="false">IF($R113="","",INDEX('REGISTRE ELEVES'!$F$10:$F$250,$R113))</f>
        <v/>
      </c>
      <c r="F113" s="45" t="str">
        <f aca="false">IF($R113="","",INDEX('REGISTRE ELEVES'!$AE$10:$AE$250,$R113))</f>
        <v/>
      </c>
      <c r="G113" s="80" t="str">
        <f aca="false">IF(B113="","",IFERROR(IF(LEFT(E113,2)="CP",INDEX('NOTES CP'!$P$10:$P$250,MATCH(B113,'NOTES CP'!$B$10:$B$250,0)),IF(E113="CE1",INDEX('NOTES CE1'!$M$10:$M$250,MATCH(B113,'NOTES CE1'!$B$10:$B$250,0)),INDEX('NOTES CE2-CM1'!$M$10:$M$250,MATCH(B113,'NOTES CE2-CM1'!$B$10:$B$250,0)))),""))</f>
        <v/>
      </c>
      <c r="H113" s="80" t="str">
        <f aca="false">IF(B113="","",IFERROR(IF(LEFT(E113,2)="CP",INDEX('NOTES CP'!$Z$10:$Z$250,MATCH(B113,'NOTES CP'!$B$10:$B$250,0)),IF(E113="CE1",INDEX('NOTES CE1'!$T$10:$T$250,MATCH(B113,'NOTES CE1'!$B$10:$B$250,0)),INDEX('NOTES CE2-CM1'!$T$10:$T$250,MATCH(B113,'NOTES CE2-CM1'!$B$10:$B$250,0)))),""))</f>
        <v/>
      </c>
      <c r="I113" s="80" t="str">
        <f aca="false">IF(B113="","",IFERROR(IF(LEFT(E113,2)="CP",INDEX('NOTES CP'!$AJ$10:$AJ$250,MATCH(B113,'NOTES CP'!$B$10:$B$250,0)),IF(E113="CE1",INDEX('NOTES CE1'!$AA$10:$AA$250,MATCH(B113,'NOTES CE1'!$B$10:$B$250,0)),INDEX('NOTES CE2-CM1'!$AA$10:$AA$250,MATCH(B113,'NOTES CE2-CM1'!$B$10:$B$250,0)))),""))</f>
        <v/>
      </c>
      <c r="J113" s="81" t="str">
        <f aca="false">IF(COUNT(G113:I113)=0,"",ROUND(AVERAGE(G113:I113),2))</f>
        <v/>
      </c>
      <c r="K113" s="80" t="str">
        <f aca="false">IF(B113="","",IFERROR(IF(LEFT(E113,2)="CP",INDEX('NOTES CP'!$AT$10:$AT$250,MATCH(B113,'NOTES CP'!$B$10:$B$250,0)),IF(E113="CE1",INDEX('NOTES CE1'!$AH$10:$AH$250,MATCH(B113,'NOTES CE1'!$B$10:$B$250,0)),INDEX('NOTES CE2-CM1'!$AH$10:$AH$250,MATCH(B113,'NOTES CE2-CM1'!$B$10:$B$250,0)))),""))</f>
        <v/>
      </c>
      <c r="L113" s="82" t="str">
        <f aca="false">IF(OR(J113="",K113=""),"",ROUND((J113+2*K113)/3,2))</f>
        <v/>
      </c>
      <c r="M113" s="83" t="str">
        <f aca="false">IF(E113="","",IFERROR(INDEX(PARAMETRES!$D$18:$D$23,MATCH(E113,PARAMETRES!$B$18:$B$23,0)),""))</f>
        <v/>
      </c>
      <c r="N113" s="81" t="str">
        <f aca="false">IF(E113="","",IFERROR(INDEX(PARAMETRES!$C$18:$C$23,MATCH(E113,PARAMETRES!$B$18:$B$23,0)),""))</f>
        <v/>
      </c>
      <c r="O113" s="45" t="str">
        <f aca="false">IF(B113="","",IF(F113="ABANDON","ABANDON",IF(F113="TRANSFERE","TRANSFERE",IF(L113="","",IF(L113&gt;=N113,"ADMIS","REDOUBLE")))))</f>
        <v/>
      </c>
      <c r="P113" s="73" t="str">
        <f aca="false">IF(OR(L113="",F113&lt;&gt;"PRESENT"),"",COUNTIFS($E$10:$E$250,E113,$F$10:$F$250,"PRESENT",$L$10:$L$250,"&gt;"&amp;L113)+1)</f>
        <v/>
      </c>
      <c r="Q113" s="74" t="str">
        <f aca="false">IF(O113="ADMIS",IF(L113/M113*10&gt;=8,"Très bien",IF(L113/M113*10&gt;=7,"Bien",IF(L113/M113*10&gt;=6,"Assez bien","Passable"))),IF(O113="REDOUBLE","Insuffisant",""))</f>
        <v/>
      </c>
      <c r="R113" s="51" t="str">
        <f aca="false">IFERROR(MATCH("P-104",'REGISTRE ELEVES'!$AH$10:$AH$250,0),"")</f>
        <v/>
      </c>
    </row>
    <row r="114" customFormat="false" ht="15" hidden="false" customHeight="false" outlineLevel="0" collapsed="false">
      <c r="A114" s="45" t="str">
        <f aca="false">IF(B114="","",105)</f>
        <v/>
      </c>
      <c r="B114" s="45" t="str">
        <f aca="false">IF($R114="","",INDEX('REGISTRE ELEVES'!$B$10:$B$250,$R114))</f>
        <v/>
      </c>
      <c r="C114" s="74" t="str">
        <f aca="false">IF($R114="","",INDEX('REGISTRE ELEVES'!$D$10:$D$250,$R114))</f>
        <v/>
      </c>
      <c r="D114" s="45" t="str">
        <f aca="false">IF($R114="","",INDEX('REGISTRE ELEVES'!$E$10:$E$250,$R114))</f>
        <v/>
      </c>
      <c r="E114" s="45" t="str">
        <f aca="false">IF($R114="","",INDEX('REGISTRE ELEVES'!$F$10:$F$250,$R114))</f>
        <v/>
      </c>
      <c r="F114" s="45" t="str">
        <f aca="false">IF($R114="","",INDEX('REGISTRE ELEVES'!$AE$10:$AE$250,$R114))</f>
        <v/>
      </c>
      <c r="G114" s="80" t="str">
        <f aca="false">IF(B114="","",IFERROR(IF(LEFT(E114,2)="CP",INDEX('NOTES CP'!$P$10:$P$250,MATCH(B114,'NOTES CP'!$B$10:$B$250,0)),IF(E114="CE1",INDEX('NOTES CE1'!$M$10:$M$250,MATCH(B114,'NOTES CE1'!$B$10:$B$250,0)),INDEX('NOTES CE2-CM1'!$M$10:$M$250,MATCH(B114,'NOTES CE2-CM1'!$B$10:$B$250,0)))),""))</f>
        <v/>
      </c>
      <c r="H114" s="80" t="str">
        <f aca="false">IF(B114="","",IFERROR(IF(LEFT(E114,2)="CP",INDEX('NOTES CP'!$Z$10:$Z$250,MATCH(B114,'NOTES CP'!$B$10:$B$250,0)),IF(E114="CE1",INDEX('NOTES CE1'!$T$10:$T$250,MATCH(B114,'NOTES CE1'!$B$10:$B$250,0)),INDEX('NOTES CE2-CM1'!$T$10:$T$250,MATCH(B114,'NOTES CE2-CM1'!$B$10:$B$250,0)))),""))</f>
        <v/>
      </c>
      <c r="I114" s="80" t="str">
        <f aca="false">IF(B114="","",IFERROR(IF(LEFT(E114,2)="CP",INDEX('NOTES CP'!$AJ$10:$AJ$250,MATCH(B114,'NOTES CP'!$B$10:$B$250,0)),IF(E114="CE1",INDEX('NOTES CE1'!$AA$10:$AA$250,MATCH(B114,'NOTES CE1'!$B$10:$B$250,0)),INDEX('NOTES CE2-CM1'!$AA$10:$AA$250,MATCH(B114,'NOTES CE2-CM1'!$B$10:$B$250,0)))),""))</f>
        <v/>
      </c>
      <c r="J114" s="81" t="str">
        <f aca="false">IF(COUNT(G114:I114)=0,"",ROUND(AVERAGE(G114:I114),2))</f>
        <v/>
      </c>
      <c r="K114" s="80" t="str">
        <f aca="false">IF(B114="","",IFERROR(IF(LEFT(E114,2)="CP",INDEX('NOTES CP'!$AT$10:$AT$250,MATCH(B114,'NOTES CP'!$B$10:$B$250,0)),IF(E114="CE1",INDEX('NOTES CE1'!$AH$10:$AH$250,MATCH(B114,'NOTES CE1'!$B$10:$B$250,0)),INDEX('NOTES CE2-CM1'!$AH$10:$AH$250,MATCH(B114,'NOTES CE2-CM1'!$B$10:$B$250,0)))),""))</f>
        <v/>
      </c>
      <c r="L114" s="82" t="str">
        <f aca="false">IF(OR(J114="",K114=""),"",ROUND((J114+2*K114)/3,2))</f>
        <v/>
      </c>
      <c r="M114" s="83" t="str">
        <f aca="false">IF(E114="","",IFERROR(INDEX(PARAMETRES!$D$18:$D$23,MATCH(E114,PARAMETRES!$B$18:$B$23,0)),""))</f>
        <v/>
      </c>
      <c r="N114" s="81" t="str">
        <f aca="false">IF(E114="","",IFERROR(INDEX(PARAMETRES!$C$18:$C$23,MATCH(E114,PARAMETRES!$B$18:$B$23,0)),""))</f>
        <v/>
      </c>
      <c r="O114" s="45" t="str">
        <f aca="false">IF(B114="","",IF(F114="ABANDON","ABANDON",IF(F114="TRANSFERE","TRANSFERE",IF(L114="","",IF(L114&gt;=N114,"ADMIS","REDOUBLE")))))</f>
        <v/>
      </c>
      <c r="P114" s="73" t="str">
        <f aca="false">IF(OR(L114="",F114&lt;&gt;"PRESENT"),"",COUNTIFS($E$10:$E$250,E114,$F$10:$F$250,"PRESENT",$L$10:$L$250,"&gt;"&amp;L114)+1)</f>
        <v/>
      </c>
      <c r="Q114" s="74" t="str">
        <f aca="false">IF(O114="ADMIS",IF(L114/M114*10&gt;=8,"Très bien",IF(L114/M114*10&gt;=7,"Bien",IF(L114/M114*10&gt;=6,"Assez bien","Passable"))),IF(O114="REDOUBLE","Insuffisant",""))</f>
        <v/>
      </c>
      <c r="R114" s="51" t="str">
        <f aca="false">IFERROR(MATCH("P-105",'REGISTRE ELEVES'!$AH$10:$AH$250,0),"")</f>
        <v/>
      </c>
    </row>
    <row r="115" customFormat="false" ht="15" hidden="false" customHeight="false" outlineLevel="0" collapsed="false">
      <c r="A115" s="45" t="str">
        <f aca="false">IF(B115="","",106)</f>
        <v/>
      </c>
      <c r="B115" s="45" t="str">
        <f aca="false">IF($R115="","",INDEX('REGISTRE ELEVES'!$B$10:$B$250,$R115))</f>
        <v/>
      </c>
      <c r="C115" s="74" t="str">
        <f aca="false">IF($R115="","",INDEX('REGISTRE ELEVES'!$D$10:$D$250,$R115))</f>
        <v/>
      </c>
      <c r="D115" s="45" t="str">
        <f aca="false">IF($R115="","",INDEX('REGISTRE ELEVES'!$E$10:$E$250,$R115))</f>
        <v/>
      </c>
      <c r="E115" s="45" t="str">
        <f aca="false">IF($R115="","",INDEX('REGISTRE ELEVES'!$F$10:$F$250,$R115))</f>
        <v/>
      </c>
      <c r="F115" s="45" t="str">
        <f aca="false">IF($R115="","",INDEX('REGISTRE ELEVES'!$AE$10:$AE$250,$R115))</f>
        <v/>
      </c>
      <c r="G115" s="80" t="str">
        <f aca="false">IF(B115="","",IFERROR(IF(LEFT(E115,2)="CP",INDEX('NOTES CP'!$P$10:$P$250,MATCH(B115,'NOTES CP'!$B$10:$B$250,0)),IF(E115="CE1",INDEX('NOTES CE1'!$M$10:$M$250,MATCH(B115,'NOTES CE1'!$B$10:$B$250,0)),INDEX('NOTES CE2-CM1'!$M$10:$M$250,MATCH(B115,'NOTES CE2-CM1'!$B$10:$B$250,0)))),""))</f>
        <v/>
      </c>
      <c r="H115" s="80" t="str">
        <f aca="false">IF(B115="","",IFERROR(IF(LEFT(E115,2)="CP",INDEX('NOTES CP'!$Z$10:$Z$250,MATCH(B115,'NOTES CP'!$B$10:$B$250,0)),IF(E115="CE1",INDEX('NOTES CE1'!$T$10:$T$250,MATCH(B115,'NOTES CE1'!$B$10:$B$250,0)),INDEX('NOTES CE2-CM1'!$T$10:$T$250,MATCH(B115,'NOTES CE2-CM1'!$B$10:$B$250,0)))),""))</f>
        <v/>
      </c>
      <c r="I115" s="80" t="str">
        <f aca="false">IF(B115="","",IFERROR(IF(LEFT(E115,2)="CP",INDEX('NOTES CP'!$AJ$10:$AJ$250,MATCH(B115,'NOTES CP'!$B$10:$B$250,0)),IF(E115="CE1",INDEX('NOTES CE1'!$AA$10:$AA$250,MATCH(B115,'NOTES CE1'!$B$10:$B$250,0)),INDEX('NOTES CE2-CM1'!$AA$10:$AA$250,MATCH(B115,'NOTES CE2-CM1'!$B$10:$B$250,0)))),""))</f>
        <v/>
      </c>
      <c r="J115" s="81" t="str">
        <f aca="false">IF(COUNT(G115:I115)=0,"",ROUND(AVERAGE(G115:I115),2))</f>
        <v/>
      </c>
      <c r="K115" s="80" t="str">
        <f aca="false">IF(B115="","",IFERROR(IF(LEFT(E115,2)="CP",INDEX('NOTES CP'!$AT$10:$AT$250,MATCH(B115,'NOTES CP'!$B$10:$B$250,0)),IF(E115="CE1",INDEX('NOTES CE1'!$AH$10:$AH$250,MATCH(B115,'NOTES CE1'!$B$10:$B$250,0)),INDEX('NOTES CE2-CM1'!$AH$10:$AH$250,MATCH(B115,'NOTES CE2-CM1'!$B$10:$B$250,0)))),""))</f>
        <v/>
      </c>
      <c r="L115" s="82" t="str">
        <f aca="false">IF(OR(J115="",K115=""),"",ROUND((J115+2*K115)/3,2))</f>
        <v/>
      </c>
      <c r="M115" s="83" t="str">
        <f aca="false">IF(E115="","",IFERROR(INDEX(PARAMETRES!$D$18:$D$23,MATCH(E115,PARAMETRES!$B$18:$B$23,0)),""))</f>
        <v/>
      </c>
      <c r="N115" s="81" t="str">
        <f aca="false">IF(E115="","",IFERROR(INDEX(PARAMETRES!$C$18:$C$23,MATCH(E115,PARAMETRES!$B$18:$B$23,0)),""))</f>
        <v/>
      </c>
      <c r="O115" s="45" t="str">
        <f aca="false">IF(B115="","",IF(F115="ABANDON","ABANDON",IF(F115="TRANSFERE","TRANSFERE",IF(L115="","",IF(L115&gt;=N115,"ADMIS","REDOUBLE")))))</f>
        <v/>
      </c>
      <c r="P115" s="73" t="str">
        <f aca="false">IF(OR(L115="",F115&lt;&gt;"PRESENT"),"",COUNTIFS($E$10:$E$250,E115,$F$10:$F$250,"PRESENT",$L$10:$L$250,"&gt;"&amp;L115)+1)</f>
        <v/>
      </c>
      <c r="Q115" s="74" t="str">
        <f aca="false">IF(O115="ADMIS",IF(L115/M115*10&gt;=8,"Très bien",IF(L115/M115*10&gt;=7,"Bien",IF(L115/M115*10&gt;=6,"Assez bien","Passable"))),IF(O115="REDOUBLE","Insuffisant",""))</f>
        <v/>
      </c>
      <c r="R115" s="51" t="str">
        <f aca="false">IFERROR(MATCH("P-106",'REGISTRE ELEVES'!$AH$10:$AH$250,0),"")</f>
        <v/>
      </c>
    </row>
    <row r="116" customFormat="false" ht="15" hidden="false" customHeight="false" outlineLevel="0" collapsed="false">
      <c r="A116" s="45" t="str">
        <f aca="false">IF(B116="","",107)</f>
        <v/>
      </c>
      <c r="B116" s="45" t="str">
        <f aca="false">IF($R116="","",INDEX('REGISTRE ELEVES'!$B$10:$B$250,$R116))</f>
        <v/>
      </c>
      <c r="C116" s="74" t="str">
        <f aca="false">IF($R116="","",INDEX('REGISTRE ELEVES'!$D$10:$D$250,$R116))</f>
        <v/>
      </c>
      <c r="D116" s="45" t="str">
        <f aca="false">IF($R116="","",INDEX('REGISTRE ELEVES'!$E$10:$E$250,$R116))</f>
        <v/>
      </c>
      <c r="E116" s="45" t="str">
        <f aca="false">IF($R116="","",INDEX('REGISTRE ELEVES'!$F$10:$F$250,$R116))</f>
        <v/>
      </c>
      <c r="F116" s="45" t="str">
        <f aca="false">IF($R116="","",INDEX('REGISTRE ELEVES'!$AE$10:$AE$250,$R116))</f>
        <v/>
      </c>
      <c r="G116" s="80" t="str">
        <f aca="false">IF(B116="","",IFERROR(IF(LEFT(E116,2)="CP",INDEX('NOTES CP'!$P$10:$P$250,MATCH(B116,'NOTES CP'!$B$10:$B$250,0)),IF(E116="CE1",INDEX('NOTES CE1'!$M$10:$M$250,MATCH(B116,'NOTES CE1'!$B$10:$B$250,0)),INDEX('NOTES CE2-CM1'!$M$10:$M$250,MATCH(B116,'NOTES CE2-CM1'!$B$10:$B$250,0)))),""))</f>
        <v/>
      </c>
      <c r="H116" s="80" t="str">
        <f aca="false">IF(B116="","",IFERROR(IF(LEFT(E116,2)="CP",INDEX('NOTES CP'!$Z$10:$Z$250,MATCH(B116,'NOTES CP'!$B$10:$B$250,0)),IF(E116="CE1",INDEX('NOTES CE1'!$T$10:$T$250,MATCH(B116,'NOTES CE1'!$B$10:$B$250,0)),INDEX('NOTES CE2-CM1'!$T$10:$T$250,MATCH(B116,'NOTES CE2-CM1'!$B$10:$B$250,0)))),""))</f>
        <v/>
      </c>
      <c r="I116" s="80" t="str">
        <f aca="false">IF(B116="","",IFERROR(IF(LEFT(E116,2)="CP",INDEX('NOTES CP'!$AJ$10:$AJ$250,MATCH(B116,'NOTES CP'!$B$10:$B$250,0)),IF(E116="CE1",INDEX('NOTES CE1'!$AA$10:$AA$250,MATCH(B116,'NOTES CE1'!$B$10:$B$250,0)),INDEX('NOTES CE2-CM1'!$AA$10:$AA$250,MATCH(B116,'NOTES CE2-CM1'!$B$10:$B$250,0)))),""))</f>
        <v/>
      </c>
      <c r="J116" s="81" t="str">
        <f aca="false">IF(COUNT(G116:I116)=0,"",ROUND(AVERAGE(G116:I116),2))</f>
        <v/>
      </c>
      <c r="K116" s="80" t="str">
        <f aca="false">IF(B116="","",IFERROR(IF(LEFT(E116,2)="CP",INDEX('NOTES CP'!$AT$10:$AT$250,MATCH(B116,'NOTES CP'!$B$10:$B$250,0)),IF(E116="CE1",INDEX('NOTES CE1'!$AH$10:$AH$250,MATCH(B116,'NOTES CE1'!$B$10:$B$250,0)),INDEX('NOTES CE2-CM1'!$AH$10:$AH$250,MATCH(B116,'NOTES CE2-CM1'!$B$10:$B$250,0)))),""))</f>
        <v/>
      </c>
      <c r="L116" s="82" t="str">
        <f aca="false">IF(OR(J116="",K116=""),"",ROUND((J116+2*K116)/3,2))</f>
        <v/>
      </c>
      <c r="M116" s="83" t="str">
        <f aca="false">IF(E116="","",IFERROR(INDEX(PARAMETRES!$D$18:$D$23,MATCH(E116,PARAMETRES!$B$18:$B$23,0)),""))</f>
        <v/>
      </c>
      <c r="N116" s="81" t="str">
        <f aca="false">IF(E116="","",IFERROR(INDEX(PARAMETRES!$C$18:$C$23,MATCH(E116,PARAMETRES!$B$18:$B$23,0)),""))</f>
        <v/>
      </c>
      <c r="O116" s="45" t="str">
        <f aca="false">IF(B116="","",IF(F116="ABANDON","ABANDON",IF(F116="TRANSFERE","TRANSFERE",IF(L116="","",IF(L116&gt;=N116,"ADMIS","REDOUBLE")))))</f>
        <v/>
      </c>
      <c r="P116" s="73" t="str">
        <f aca="false">IF(OR(L116="",F116&lt;&gt;"PRESENT"),"",COUNTIFS($E$10:$E$250,E116,$F$10:$F$250,"PRESENT",$L$10:$L$250,"&gt;"&amp;L116)+1)</f>
        <v/>
      </c>
      <c r="Q116" s="74" t="str">
        <f aca="false">IF(O116="ADMIS",IF(L116/M116*10&gt;=8,"Très bien",IF(L116/M116*10&gt;=7,"Bien",IF(L116/M116*10&gt;=6,"Assez bien","Passable"))),IF(O116="REDOUBLE","Insuffisant",""))</f>
        <v/>
      </c>
      <c r="R116" s="51" t="str">
        <f aca="false">IFERROR(MATCH("P-107",'REGISTRE ELEVES'!$AH$10:$AH$250,0),"")</f>
        <v/>
      </c>
    </row>
    <row r="117" customFormat="false" ht="15" hidden="false" customHeight="false" outlineLevel="0" collapsed="false">
      <c r="A117" s="45" t="str">
        <f aca="false">IF(B117="","",108)</f>
        <v/>
      </c>
      <c r="B117" s="45" t="str">
        <f aca="false">IF($R117="","",INDEX('REGISTRE ELEVES'!$B$10:$B$250,$R117))</f>
        <v/>
      </c>
      <c r="C117" s="74" t="str">
        <f aca="false">IF($R117="","",INDEX('REGISTRE ELEVES'!$D$10:$D$250,$R117))</f>
        <v/>
      </c>
      <c r="D117" s="45" t="str">
        <f aca="false">IF($R117="","",INDEX('REGISTRE ELEVES'!$E$10:$E$250,$R117))</f>
        <v/>
      </c>
      <c r="E117" s="45" t="str">
        <f aca="false">IF($R117="","",INDEX('REGISTRE ELEVES'!$F$10:$F$250,$R117))</f>
        <v/>
      </c>
      <c r="F117" s="45" t="str">
        <f aca="false">IF($R117="","",INDEX('REGISTRE ELEVES'!$AE$10:$AE$250,$R117))</f>
        <v/>
      </c>
      <c r="G117" s="80" t="str">
        <f aca="false">IF(B117="","",IFERROR(IF(LEFT(E117,2)="CP",INDEX('NOTES CP'!$P$10:$P$250,MATCH(B117,'NOTES CP'!$B$10:$B$250,0)),IF(E117="CE1",INDEX('NOTES CE1'!$M$10:$M$250,MATCH(B117,'NOTES CE1'!$B$10:$B$250,0)),INDEX('NOTES CE2-CM1'!$M$10:$M$250,MATCH(B117,'NOTES CE2-CM1'!$B$10:$B$250,0)))),""))</f>
        <v/>
      </c>
      <c r="H117" s="80" t="str">
        <f aca="false">IF(B117="","",IFERROR(IF(LEFT(E117,2)="CP",INDEX('NOTES CP'!$Z$10:$Z$250,MATCH(B117,'NOTES CP'!$B$10:$B$250,0)),IF(E117="CE1",INDEX('NOTES CE1'!$T$10:$T$250,MATCH(B117,'NOTES CE1'!$B$10:$B$250,0)),INDEX('NOTES CE2-CM1'!$T$10:$T$250,MATCH(B117,'NOTES CE2-CM1'!$B$10:$B$250,0)))),""))</f>
        <v/>
      </c>
      <c r="I117" s="80" t="str">
        <f aca="false">IF(B117="","",IFERROR(IF(LEFT(E117,2)="CP",INDEX('NOTES CP'!$AJ$10:$AJ$250,MATCH(B117,'NOTES CP'!$B$10:$B$250,0)),IF(E117="CE1",INDEX('NOTES CE1'!$AA$10:$AA$250,MATCH(B117,'NOTES CE1'!$B$10:$B$250,0)),INDEX('NOTES CE2-CM1'!$AA$10:$AA$250,MATCH(B117,'NOTES CE2-CM1'!$B$10:$B$250,0)))),""))</f>
        <v/>
      </c>
      <c r="J117" s="81" t="str">
        <f aca="false">IF(COUNT(G117:I117)=0,"",ROUND(AVERAGE(G117:I117),2))</f>
        <v/>
      </c>
      <c r="K117" s="80" t="str">
        <f aca="false">IF(B117="","",IFERROR(IF(LEFT(E117,2)="CP",INDEX('NOTES CP'!$AT$10:$AT$250,MATCH(B117,'NOTES CP'!$B$10:$B$250,0)),IF(E117="CE1",INDEX('NOTES CE1'!$AH$10:$AH$250,MATCH(B117,'NOTES CE1'!$B$10:$B$250,0)),INDEX('NOTES CE2-CM1'!$AH$10:$AH$250,MATCH(B117,'NOTES CE2-CM1'!$B$10:$B$250,0)))),""))</f>
        <v/>
      </c>
      <c r="L117" s="82" t="str">
        <f aca="false">IF(OR(J117="",K117=""),"",ROUND((J117+2*K117)/3,2))</f>
        <v/>
      </c>
      <c r="M117" s="83" t="str">
        <f aca="false">IF(E117="","",IFERROR(INDEX(PARAMETRES!$D$18:$D$23,MATCH(E117,PARAMETRES!$B$18:$B$23,0)),""))</f>
        <v/>
      </c>
      <c r="N117" s="81" t="str">
        <f aca="false">IF(E117="","",IFERROR(INDEX(PARAMETRES!$C$18:$C$23,MATCH(E117,PARAMETRES!$B$18:$B$23,0)),""))</f>
        <v/>
      </c>
      <c r="O117" s="45" t="str">
        <f aca="false">IF(B117="","",IF(F117="ABANDON","ABANDON",IF(F117="TRANSFERE","TRANSFERE",IF(L117="","",IF(L117&gt;=N117,"ADMIS","REDOUBLE")))))</f>
        <v/>
      </c>
      <c r="P117" s="73" t="str">
        <f aca="false">IF(OR(L117="",F117&lt;&gt;"PRESENT"),"",COUNTIFS($E$10:$E$250,E117,$F$10:$F$250,"PRESENT",$L$10:$L$250,"&gt;"&amp;L117)+1)</f>
        <v/>
      </c>
      <c r="Q117" s="74" t="str">
        <f aca="false">IF(O117="ADMIS",IF(L117/M117*10&gt;=8,"Très bien",IF(L117/M117*10&gt;=7,"Bien",IF(L117/M117*10&gt;=6,"Assez bien","Passable"))),IF(O117="REDOUBLE","Insuffisant",""))</f>
        <v/>
      </c>
      <c r="R117" s="51" t="str">
        <f aca="false">IFERROR(MATCH("P-108",'REGISTRE ELEVES'!$AH$10:$AH$250,0),"")</f>
        <v/>
      </c>
    </row>
    <row r="118" customFormat="false" ht="15" hidden="false" customHeight="false" outlineLevel="0" collapsed="false">
      <c r="A118" s="45" t="str">
        <f aca="false">IF(B118="","",109)</f>
        <v/>
      </c>
      <c r="B118" s="45" t="str">
        <f aca="false">IF($R118="","",INDEX('REGISTRE ELEVES'!$B$10:$B$250,$R118))</f>
        <v/>
      </c>
      <c r="C118" s="74" t="str">
        <f aca="false">IF($R118="","",INDEX('REGISTRE ELEVES'!$D$10:$D$250,$R118))</f>
        <v/>
      </c>
      <c r="D118" s="45" t="str">
        <f aca="false">IF($R118="","",INDEX('REGISTRE ELEVES'!$E$10:$E$250,$R118))</f>
        <v/>
      </c>
      <c r="E118" s="45" t="str">
        <f aca="false">IF($R118="","",INDEX('REGISTRE ELEVES'!$F$10:$F$250,$R118))</f>
        <v/>
      </c>
      <c r="F118" s="45" t="str">
        <f aca="false">IF($R118="","",INDEX('REGISTRE ELEVES'!$AE$10:$AE$250,$R118))</f>
        <v/>
      </c>
      <c r="G118" s="80" t="str">
        <f aca="false">IF(B118="","",IFERROR(IF(LEFT(E118,2)="CP",INDEX('NOTES CP'!$P$10:$P$250,MATCH(B118,'NOTES CP'!$B$10:$B$250,0)),IF(E118="CE1",INDEX('NOTES CE1'!$M$10:$M$250,MATCH(B118,'NOTES CE1'!$B$10:$B$250,0)),INDEX('NOTES CE2-CM1'!$M$10:$M$250,MATCH(B118,'NOTES CE2-CM1'!$B$10:$B$250,0)))),""))</f>
        <v/>
      </c>
      <c r="H118" s="80" t="str">
        <f aca="false">IF(B118="","",IFERROR(IF(LEFT(E118,2)="CP",INDEX('NOTES CP'!$Z$10:$Z$250,MATCH(B118,'NOTES CP'!$B$10:$B$250,0)),IF(E118="CE1",INDEX('NOTES CE1'!$T$10:$T$250,MATCH(B118,'NOTES CE1'!$B$10:$B$250,0)),INDEX('NOTES CE2-CM1'!$T$10:$T$250,MATCH(B118,'NOTES CE2-CM1'!$B$10:$B$250,0)))),""))</f>
        <v/>
      </c>
      <c r="I118" s="80" t="str">
        <f aca="false">IF(B118="","",IFERROR(IF(LEFT(E118,2)="CP",INDEX('NOTES CP'!$AJ$10:$AJ$250,MATCH(B118,'NOTES CP'!$B$10:$B$250,0)),IF(E118="CE1",INDEX('NOTES CE1'!$AA$10:$AA$250,MATCH(B118,'NOTES CE1'!$B$10:$B$250,0)),INDEX('NOTES CE2-CM1'!$AA$10:$AA$250,MATCH(B118,'NOTES CE2-CM1'!$B$10:$B$250,0)))),""))</f>
        <v/>
      </c>
      <c r="J118" s="81" t="str">
        <f aca="false">IF(COUNT(G118:I118)=0,"",ROUND(AVERAGE(G118:I118),2))</f>
        <v/>
      </c>
      <c r="K118" s="80" t="str">
        <f aca="false">IF(B118="","",IFERROR(IF(LEFT(E118,2)="CP",INDEX('NOTES CP'!$AT$10:$AT$250,MATCH(B118,'NOTES CP'!$B$10:$B$250,0)),IF(E118="CE1",INDEX('NOTES CE1'!$AH$10:$AH$250,MATCH(B118,'NOTES CE1'!$B$10:$B$250,0)),INDEX('NOTES CE2-CM1'!$AH$10:$AH$250,MATCH(B118,'NOTES CE2-CM1'!$B$10:$B$250,0)))),""))</f>
        <v/>
      </c>
      <c r="L118" s="82" t="str">
        <f aca="false">IF(OR(J118="",K118=""),"",ROUND((J118+2*K118)/3,2))</f>
        <v/>
      </c>
      <c r="M118" s="83" t="str">
        <f aca="false">IF(E118="","",IFERROR(INDEX(PARAMETRES!$D$18:$D$23,MATCH(E118,PARAMETRES!$B$18:$B$23,0)),""))</f>
        <v/>
      </c>
      <c r="N118" s="81" t="str">
        <f aca="false">IF(E118="","",IFERROR(INDEX(PARAMETRES!$C$18:$C$23,MATCH(E118,PARAMETRES!$B$18:$B$23,0)),""))</f>
        <v/>
      </c>
      <c r="O118" s="45" t="str">
        <f aca="false">IF(B118="","",IF(F118="ABANDON","ABANDON",IF(F118="TRANSFERE","TRANSFERE",IF(L118="","",IF(L118&gt;=N118,"ADMIS","REDOUBLE")))))</f>
        <v/>
      </c>
      <c r="P118" s="73" t="str">
        <f aca="false">IF(OR(L118="",F118&lt;&gt;"PRESENT"),"",COUNTIFS($E$10:$E$250,E118,$F$10:$F$250,"PRESENT",$L$10:$L$250,"&gt;"&amp;L118)+1)</f>
        <v/>
      </c>
      <c r="Q118" s="74" t="str">
        <f aca="false">IF(O118="ADMIS",IF(L118/M118*10&gt;=8,"Très bien",IF(L118/M118*10&gt;=7,"Bien",IF(L118/M118*10&gt;=6,"Assez bien","Passable"))),IF(O118="REDOUBLE","Insuffisant",""))</f>
        <v/>
      </c>
      <c r="R118" s="51" t="str">
        <f aca="false">IFERROR(MATCH("P-109",'REGISTRE ELEVES'!$AH$10:$AH$250,0),"")</f>
        <v/>
      </c>
    </row>
    <row r="119" customFormat="false" ht="15" hidden="false" customHeight="false" outlineLevel="0" collapsed="false">
      <c r="A119" s="45" t="str">
        <f aca="false">IF(B119="","",110)</f>
        <v/>
      </c>
      <c r="B119" s="45" t="str">
        <f aca="false">IF($R119="","",INDEX('REGISTRE ELEVES'!$B$10:$B$250,$R119))</f>
        <v/>
      </c>
      <c r="C119" s="74" t="str">
        <f aca="false">IF($R119="","",INDEX('REGISTRE ELEVES'!$D$10:$D$250,$R119))</f>
        <v/>
      </c>
      <c r="D119" s="45" t="str">
        <f aca="false">IF($R119="","",INDEX('REGISTRE ELEVES'!$E$10:$E$250,$R119))</f>
        <v/>
      </c>
      <c r="E119" s="45" t="str">
        <f aca="false">IF($R119="","",INDEX('REGISTRE ELEVES'!$F$10:$F$250,$R119))</f>
        <v/>
      </c>
      <c r="F119" s="45" t="str">
        <f aca="false">IF($R119="","",INDEX('REGISTRE ELEVES'!$AE$10:$AE$250,$R119))</f>
        <v/>
      </c>
      <c r="G119" s="80" t="str">
        <f aca="false">IF(B119="","",IFERROR(IF(LEFT(E119,2)="CP",INDEX('NOTES CP'!$P$10:$P$250,MATCH(B119,'NOTES CP'!$B$10:$B$250,0)),IF(E119="CE1",INDEX('NOTES CE1'!$M$10:$M$250,MATCH(B119,'NOTES CE1'!$B$10:$B$250,0)),INDEX('NOTES CE2-CM1'!$M$10:$M$250,MATCH(B119,'NOTES CE2-CM1'!$B$10:$B$250,0)))),""))</f>
        <v/>
      </c>
      <c r="H119" s="80" t="str">
        <f aca="false">IF(B119="","",IFERROR(IF(LEFT(E119,2)="CP",INDEX('NOTES CP'!$Z$10:$Z$250,MATCH(B119,'NOTES CP'!$B$10:$B$250,0)),IF(E119="CE1",INDEX('NOTES CE1'!$T$10:$T$250,MATCH(B119,'NOTES CE1'!$B$10:$B$250,0)),INDEX('NOTES CE2-CM1'!$T$10:$T$250,MATCH(B119,'NOTES CE2-CM1'!$B$10:$B$250,0)))),""))</f>
        <v/>
      </c>
      <c r="I119" s="80" t="str">
        <f aca="false">IF(B119="","",IFERROR(IF(LEFT(E119,2)="CP",INDEX('NOTES CP'!$AJ$10:$AJ$250,MATCH(B119,'NOTES CP'!$B$10:$B$250,0)),IF(E119="CE1",INDEX('NOTES CE1'!$AA$10:$AA$250,MATCH(B119,'NOTES CE1'!$B$10:$B$250,0)),INDEX('NOTES CE2-CM1'!$AA$10:$AA$250,MATCH(B119,'NOTES CE2-CM1'!$B$10:$B$250,0)))),""))</f>
        <v/>
      </c>
      <c r="J119" s="81" t="str">
        <f aca="false">IF(COUNT(G119:I119)=0,"",ROUND(AVERAGE(G119:I119),2))</f>
        <v/>
      </c>
      <c r="K119" s="80" t="str">
        <f aca="false">IF(B119="","",IFERROR(IF(LEFT(E119,2)="CP",INDEX('NOTES CP'!$AT$10:$AT$250,MATCH(B119,'NOTES CP'!$B$10:$B$250,0)),IF(E119="CE1",INDEX('NOTES CE1'!$AH$10:$AH$250,MATCH(B119,'NOTES CE1'!$B$10:$B$250,0)),INDEX('NOTES CE2-CM1'!$AH$10:$AH$250,MATCH(B119,'NOTES CE2-CM1'!$B$10:$B$250,0)))),""))</f>
        <v/>
      </c>
      <c r="L119" s="82" t="str">
        <f aca="false">IF(OR(J119="",K119=""),"",ROUND((J119+2*K119)/3,2))</f>
        <v/>
      </c>
      <c r="M119" s="83" t="str">
        <f aca="false">IF(E119="","",IFERROR(INDEX(PARAMETRES!$D$18:$D$23,MATCH(E119,PARAMETRES!$B$18:$B$23,0)),""))</f>
        <v/>
      </c>
      <c r="N119" s="81" t="str">
        <f aca="false">IF(E119="","",IFERROR(INDEX(PARAMETRES!$C$18:$C$23,MATCH(E119,PARAMETRES!$B$18:$B$23,0)),""))</f>
        <v/>
      </c>
      <c r="O119" s="45" t="str">
        <f aca="false">IF(B119="","",IF(F119="ABANDON","ABANDON",IF(F119="TRANSFERE","TRANSFERE",IF(L119="","",IF(L119&gt;=N119,"ADMIS","REDOUBLE")))))</f>
        <v/>
      </c>
      <c r="P119" s="73" t="str">
        <f aca="false">IF(OR(L119="",F119&lt;&gt;"PRESENT"),"",COUNTIFS($E$10:$E$250,E119,$F$10:$F$250,"PRESENT",$L$10:$L$250,"&gt;"&amp;L119)+1)</f>
        <v/>
      </c>
      <c r="Q119" s="74" t="str">
        <f aca="false">IF(O119="ADMIS",IF(L119/M119*10&gt;=8,"Très bien",IF(L119/M119*10&gt;=7,"Bien",IF(L119/M119*10&gt;=6,"Assez bien","Passable"))),IF(O119="REDOUBLE","Insuffisant",""))</f>
        <v/>
      </c>
      <c r="R119" s="51" t="str">
        <f aca="false">IFERROR(MATCH("P-110",'REGISTRE ELEVES'!$AH$10:$AH$250,0),"")</f>
        <v/>
      </c>
    </row>
    <row r="120" customFormat="false" ht="15" hidden="false" customHeight="false" outlineLevel="0" collapsed="false">
      <c r="A120" s="45" t="str">
        <f aca="false">IF(B120="","",111)</f>
        <v/>
      </c>
      <c r="B120" s="45" t="str">
        <f aca="false">IF($R120="","",INDEX('REGISTRE ELEVES'!$B$10:$B$250,$R120))</f>
        <v/>
      </c>
      <c r="C120" s="74" t="str">
        <f aca="false">IF($R120="","",INDEX('REGISTRE ELEVES'!$D$10:$D$250,$R120))</f>
        <v/>
      </c>
      <c r="D120" s="45" t="str">
        <f aca="false">IF($R120="","",INDEX('REGISTRE ELEVES'!$E$10:$E$250,$R120))</f>
        <v/>
      </c>
      <c r="E120" s="45" t="str">
        <f aca="false">IF($R120="","",INDEX('REGISTRE ELEVES'!$F$10:$F$250,$R120))</f>
        <v/>
      </c>
      <c r="F120" s="45" t="str">
        <f aca="false">IF($R120="","",INDEX('REGISTRE ELEVES'!$AE$10:$AE$250,$R120))</f>
        <v/>
      </c>
      <c r="G120" s="80" t="str">
        <f aca="false">IF(B120="","",IFERROR(IF(LEFT(E120,2)="CP",INDEX('NOTES CP'!$P$10:$P$250,MATCH(B120,'NOTES CP'!$B$10:$B$250,0)),IF(E120="CE1",INDEX('NOTES CE1'!$M$10:$M$250,MATCH(B120,'NOTES CE1'!$B$10:$B$250,0)),INDEX('NOTES CE2-CM1'!$M$10:$M$250,MATCH(B120,'NOTES CE2-CM1'!$B$10:$B$250,0)))),""))</f>
        <v/>
      </c>
      <c r="H120" s="80" t="str">
        <f aca="false">IF(B120="","",IFERROR(IF(LEFT(E120,2)="CP",INDEX('NOTES CP'!$Z$10:$Z$250,MATCH(B120,'NOTES CP'!$B$10:$B$250,0)),IF(E120="CE1",INDEX('NOTES CE1'!$T$10:$T$250,MATCH(B120,'NOTES CE1'!$B$10:$B$250,0)),INDEX('NOTES CE2-CM1'!$T$10:$T$250,MATCH(B120,'NOTES CE2-CM1'!$B$10:$B$250,0)))),""))</f>
        <v/>
      </c>
      <c r="I120" s="80" t="str">
        <f aca="false">IF(B120="","",IFERROR(IF(LEFT(E120,2)="CP",INDEX('NOTES CP'!$AJ$10:$AJ$250,MATCH(B120,'NOTES CP'!$B$10:$B$250,0)),IF(E120="CE1",INDEX('NOTES CE1'!$AA$10:$AA$250,MATCH(B120,'NOTES CE1'!$B$10:$B$250,0)),INDEX('NOTES CE2-CM1'!$AA$10:$AA$250,MATCH(B120,'NOTES CE2-CM1'!$B$10:$B$250,0)))),""))</f>
        <v/>
      </c>
      <c r="J120" s="81" t="str">
        <f aca="false">IF(COUNT(G120:I120)=0,"",ROUND(AVERAGE(G120:I120),2))</f>
        <v/>
      </c>
      <c r="K120" s="80" t="str">
        <f aca="false">IF(B120="","",IFERROR(IF(LEFT(E120,2)="CP",INDEX('NOTES CP'!$AT$10:$AT$250,MATCH(B120,'NOTES CP'!$B$10:$B$250,0)),IF(E120="CE1",INDEX('NOTES CE1'!$AH$10:$AH$250,MATCH(B120,'NOTES CE1'!$B$10:$B$250,0)),INDEX('NOTES CE2-CM1'!$AH$10:$AH$250,MATCH(B120,'NOTES CE2-CM1'!$B$10:$B$250,0)))),""))</f>
        <v/>
      </c>
      <c r="L120" s="82" t="str">
        <f aca="false">IF(OR(J120="",K120=""),"",ROUND((J120+2*K120)/3,2))</f>
        <v/>
      </c>
      <c r="M120" s="83" t="str">
        <f aca="false">IF(E120="","",IFERROR(INDEX(PARAMETRES!$D$18:$D$23,MATCH(E120,PARAMETRES!$B$18:$B$23,0)),""))</f>
        <v/>
      </c>
      <c r="N120" s="81" t="str">
        <f aca="false">IF(E120="","",IFERROR(INDEX(PARAMETRES!$C$18:$C$23,MATCH(E120,PARAMETRES!$B$18:$B$23,0)),""))</f>
        <v/>
      </c>
      <c r="O120" s="45" t="str">
        <f aca="false">IF(B120="","",IF(F120="ABANDON","ABANDON",IF(F120="TRANSFERE","TRANSFERE",IF(L120="","",IF(L120&gt;=N120,"ADMIS","REDOUBLE")))))</f>
        <v/>
      </c>
      <c r="P120" s="73" t="str">
        <f aca="false">IF(OR(L120="",F120&lt;&gt;"PRESENT"),"",COUNTIFS($E$10:$E$250,E120,$F$10:$F$250,"PRESENT",$L$10:$L$250,"&gt;"&amp;L120)+1)</f>
        <v/>
      </c>
      <c r="Q120" s="74" t="str">
        <f aca="false">IF(O120="ADMIS",IF(L120/M120*10&gt;=8,"Très bien",IF(L120/M120*10&gt;=7,"Bien",IF(L120/M120*10&gt;=6,"Assez bien","Passable"))),IF(O120="REDOUBLE","Insuffisant",""))</f>
        <v/>
      </c>
      <c r="R120" s="51" t="str">
        <f aca="false">IFERROR(MATCH("P-111",'REGISTRE ELEVES'!$AH$10:$AH$250,0),"")</f>
        <v/>
      </c>
    </row>
    <row r="121" customFormat="false" ht="15" hidden="false" customHeight="false" outlineLevel="0" collapsed="false">
      <c r="A121" s="45" t="str">
        <f aca="false">IF(B121="","",112)</f>
        <v/>
      </c>
      <c r="B121" s="45" t="str">
        <f aca="false">IF($R121="","",INDEX('REGISTRE ELEVES'!$B$10:$B$250,$R121))</f>
        <v/>
      </c>
      <c r="C121" s="74" t="str">
        <f aca="false">IF($R121="","",INDEX('REGISTRE ELEVES'!$D$10:$D$250,$R121))</f>
        <v/>
      </c>
      <c r="D121" s="45" t="str">
        <f aca="false">IF($R121="","",INDEX('REGISTRE ELEVES'!$E$10:$E$250,$R121))</f>
        <v/>
      </c>
      <c r="E121" s="45" t="str">
        <f aca="false">IF($R121="","",INDEX('REGISTRE ELEVES'!$F$10:$F$250,$R121))</f>
        <v/>
      </c>
      <c r="F121" s="45" t="str">
        <f aca="false">IF($R121="","",INDEX('REGISTRE ELEVES'!$AE$10:$AE$250,$R121))</f>
        <v/>
      </c>
      <c r="G121" s="80" t="str">
        <f aca="false">IF(B121="","",IFERROR(IF(LEFT(E121,2)="CP",INDEX('NOTES CP'!$P$10:$P$250,MATCH(B121,'NOTES CP'!$B$10:$B$250,0)),IF(E121="CE1",INDEX('NOTES CE1'!$M$10:$M$250,MATCH(B121,'NOTES CE1'!$B$10:$B$250,0)),INDEX('NOTES CE2-CM1'!$M$10:$M$250,MATCH(B121,'NOTES CE2-CM1'!$B$10:$B$250,0)))),""))</f>
        <v/>
      </c>
      <c r="H121" s="80" t="str">
        <f aca="false">IF(B121="","",IFERROR(IF(LEFT(E121,2)="CP",INDEX('NOTES CP'!$Z$10:$Z$250,MATCH(B121,'NOTES CP'!$B$10:$B$250,0)),IF(E121="CE1",INDEX('NOTES CE1'!$T$10:$T$250,MATCH(B121,'NOTES CE1'!$B$10:$B$250,0)),INDEX('NOTES CE2-CM1'!$T$10:$T$250,MATCH(B121,'NOTES CE2-CM1'!$B$10:$B$250,0)))),""))</f>
        <v/>
      </c>
      <c r="I121" s="80" t="str">
        <f aca="false">IF(B121="","",IFERROR(IF(LEFT(E121,2)="CP",INDEX('NOTES CP'!$AJ$10:$AJ$250,MATCH(B121,'NOTES CP'!$B$10:$B$250,0)),IF(E121="CE1",INDEX('NOTES CE1'!$AA$10:$AA$250,MATCH(B121,'NOTES CE1'!$B$10:$B$250,0)),INDEX('NOTES CE2-CM1'!$AA$10:$AA$250,MATCH(B121,'NOTES CE2-CM1'!$B$10:$B$250,0)))),""))</f>
        <v/>
      </c>
      <c r="J121" s="81" t="str">
        <f aca="false">IF(COUNT(G121:I121)=0,"",ROUND(AVERAGE(G121:I121),2))</f>
        <v/>
      </c>
      <c r="K121" s="80" t="str">
        <f aca="false">IF(B121="","",IFERROR(IF(LEFT(E121,2)="CP",INDEX('NOTES CP'!$AT$10:$AT$250,MATCH(B121,'NOTES CP'!$B$10:$B$250,0)),IF(E121="CE1",INDEX('NOTES CE1'!$AH$10:$AH$250,MATCH(B121,'NOTES CE1'!$B$10:$B$250,0)),INDEX('NOTES CE2-CM1'!$AH$10:$AH$250,MATCH(B121,'NOTES CE2-CM1'!$B$10:$B$250,0)))),""))</f>
        <v/>
      </c>
      <c r="L121" s="82" t="str">
        <f aca="false">IF(OR(J121="",K121=""),"",ROUND((J121+2*K121)/3,2))</f>
        <v/>
      </c>
      <c r="M121" s="83" t="str">
        <f aca="false">IF(E121="","",IFERROR(INDEX(PARAMETRES!$D$18:$D$23,MATCH(E121,PARAMETRES!$B$18:$B$23,0)),""))</f>
        <v/>
      </c>
      <c r="N121" s="81" t="str">
        <f aca="false">IF(E121="","",IFERROR(INDEX(PARAMETRES!$C$18:$C$23,MATCH(E121,PARAMETRES!$B$18:$B$23,0)),""))</f>
        <v/>
      </c>
      <c r="O121" s="45" t="str">
        <f aca="false">IF(B121="","",IF(F121="ABANDON","ABANDON",IF(F121="TRANSFERE","TRANSFERE",IF(L121="","",IF(L121&gt;=N121,"ADMIS","REDOUBLE")))))</f>
        <v/>
      </c>
      <c r="P121" s="73" t="str">
        <f aca="false">IF(OR(L121="",F121&lt;&gt;"PRESENT"),"",COUNTIFS($E$10:$E$250,E121,$F$10:$F$250,"PRESENT",$L$10:$L$250,"&gt;"&amp;L121)+1)</f>
        <v/>
      </c>
      <c r="Q121" s="74" t="str">
        <f aca="false">IF(O121="ADMIS",IF(L121/M121*10&gt;=8,"Très bien",IF(L121/M121*10&gt;=7,"Bien",IF(L121/M121*10&gt;=6,"Assez bien","Passable"))),IF(O121="REDOUBLE","Insuffisant",""))</f>
        <v/>
      </c>
      <c r="R121" s="51" t="str">
        <f aca="false">IFERROR(MATCH("P-112",'REGISTRE ELEVES'!$AH$10:$AH$250,0),"")</f>
        <v/>
      </c>
    </row>
    <row r="122" customFormat="false" ht="15" hidden="false" customHeight="false" outlineLevel="0" collapsed="false">
      <c r="A122" s="45" t="str">
        <f aca="false">IF(B122="","",113)</f>
        <v/>
      </c>
      <c r="B122" s="45" t="str">
        <f aca="false">IF($R122="","",INDEX('REGISTRE ELEVES'!$B$10:$B$250,$R122))</f>
        <v/>
      </c>
      <c r="C122" s="74" t="str">
        <f aca="false">IF($R122="","",INDEX('REGISTRE ELEVES'!$D$10:$D$250,$R122))</f>
        <v/>
      </c>
      <c r="D122" s="45" t="str">
        <f aca="false">IF($R122="","",INDEX('REGISTRE ELEVES'!$E$10:$E$250,$R122))</f>
        <v/>
      </c>
      <c r="E122" s="45" t="str">
        <f aca="false">IF($R122="","",INDEX('REGISTRE ELEVES'!$F$10:$F$250,$R122))</f>
        <v/>
      </c>
      <c r="F122" s="45" t="str">
        <f aca="false">IF($R122="","",INDEX('REGISTRE ELEVES'!$AE$10:$AE$250,$R122))</f>
        <v/>
      </c>
      <c r="G122" s="80" t="str">
        <f aca="false">IF(B122="","",IFERROR(IF(LEFT(E122,2)="CP",INDEX('NOTES CP'!$P$10:$P$250,MATCH(B122,'NOTES CP'!$B$10:$B$250,0)),IF(E122="CE1",INDEX('NOTES CE1'!$M$10:$M$250,MATCH(B122,'NOTES CE1'!$B$10:$B$250,0)),INDEX('NOTES CE2-CM1'!$M$10:$M$250,MATCH(B122,'NOTES CE2-CM1'!$B$10:$B$250,0)))),""))</f>
        <v/>
      </c>
      <c r="H122" s="80" t="str">
        <f aca="false">IF(B122="","",IFERROR(IF(LEFT(E122,2)="CP",INDEX('NOTES CP'!$Z$10:$Z$250,MATCH(B122,'NOTES CP'!$B$10:$B$250,0)),IF(E122="CE1",INDEX('NOTES CE1'!$T$10:$T$250,MATCH(B122,'NOTES CE1'!$B$10:$B$250,0)),INDEX('NOTES CE2-CM1'!$T$10:$T$250,MATCH(B122,'NOTES CE2-CM1'!$B$10:$B$250,0)))),""))</f>
        <v/>
      </c>
      <c r="I122" s="80" t="str">
        <f aca="false">IF(B122="","",IFERROR(IF(LEFT(E122,2)="CP",INDEX('NOTES CP'!$AJ$10:$AJ$250,MATCH(B122,'NOTES CP'!$B$10:$B$250,0)),IF(E122="CE1",INDEX('NOTES CE1'!$AA$10:$AA$250,MATCH(B122,'NOTES CE1'!$B$10:$B$250,0)),INDEX('NOTES CE2-CM1'!$AA$10:$AA$250,MATCH(B122,'NOTES CE2-CM1'!$B$10:$B$250,0)))),""))</f>
        <v/>
      </c>
      <c r="J122" s="81" t="str">
        <f aca="false">IF(COUNT(G122:I122)=0,"",ROUND(AVERAGE(G122:I122),2))</f>
        <v/>
      </c>
      <c r="K122" s="80" t="str">
        <f aca="false">IF(B122="","",IFERROR(IF(LEFT(E122,2)="CP",INDEX('NOTES CP'!$AT$10:$AT$250,MATCH(B122,'NOTES CP'!$B$10:$B$250,0)),IF(E122="CE1",INDEX('NOTES CE1'!$AH$10:$AH$250,MATCH(B122,'NOTES CE1'!$B$10:$B$250,0)),INDEX('NOTES CE2-CM1'!$AH$10:$AH$250,MATCH(B122,'NOTES CE2-CM1'!$B$10:$B$250,0)))),""))</f>
        <v/>
      </c>
      <c r="L122" s="82" t="str">
        <f aca="false">IF(OR(J122="",K122=""),"",ROUND((J122+2*K122)/3,2))</f>
        <v/>
      </c>
      <c r="M122" s="83" t="str">
        <f aca="false">IF(E122="","",IFERROR(INDEX(PARAMETRES!$D$18:$D$23,MATCH(E122,PARAMETRES!$B$18:$B$23,0)),""))</f>
        <v/>
      </c>
      <c r="N122" s="81" t="str">
        <f aca="false">IF(E122="","",IFERROR(INDEX(PARAMETRES!$C$18:$C$23,MATCH(E122,PARAMETRES!$B$18:$B$23,0)),""))</f>
        <v/>
      </c>
      <c r="O122" s="45" t="str">
        <f aca="false">IF(B122="","",IF(F122="ABANDON","ABANDON",IF(F122="TRANSFERE","TRANSFERE",IF(L122="","",IF(L122&gt;=N122,"ADMIS","REDOUBLE")))))</f>
        <v/>
      </c>
      <c r="P122" s="73" t="str">
        <f aca="false">IF(OR(L122="",F122&lt;&gt;"PRESENT"),"",COUNTIFS($E$10:$E$250,E122,$F$10:$F$250,"PRESENT",$L$10:$L$250,"&gt;"&amp;L122)+1)</f>
        <v/>
      </c>
      <c r="Q122" s="74" t="str">
        <f aca="false">IF(O122="ADMIS",IF(L122/M122*10&gt;=8,"Très bien",IF(L122/M122*10&gt;=7,"Bien",IF(L122/M122*10&gt;=6,"Assez bien","Passable"))),IF(O122="REDOUBLE","Insuffisant",""))</f>
        <v/>
      </c>
      <c r="R122" s="51" t="str">
        <f aca="false">IFERROR(MATCH("P-113",'REGISTRE ELEVES'!$AH$10:$AH$250,0),"")</f>
        <v/>
      </c>
    </row>
    <row r="123" customFormat="false" ht="15" hidden="false" customHeight="false" outlineLevel="0" collapsed="false">
      <c r="A123" s="45" t="str">
        <f aca="false">IF(B123="","",114)</f>
        <v/>
      </c>
      <c r="B123" s="45" t="str">
        <f aca="false">IF($R123="","",INDEX('REGISTRE ELEVES'!$B$10:$B$250,$R123))</f>
        <v/>
      </c>
      <c r="C123" s="74" t="str">
        <f aca="false">IF($R123="","",INDEX('REGISTRE ELEVES'!$D$10:$D$250,$R123))</f>
        <v/>
      </c>
      <c r="D123" s="45" t="str">
        <f aca="false">IF($R123="","",INDEX('REGISTRE ELEVES'!$E$10:$E$250,$R123))</f>
        <v/>
      </c>
      <c r="E123" s="45" t="str">
        <f aca="false">IF($R123="","",INDEX('REGISTRE ELEVES'!$F$10:$F$250,$R123))</f>
        <v/>
      </c>
      <c r="F123" s="45" t="str">
        <f aca="false">IF($R123="","",INDEX('REGISTRE ELEVES'!$AE$10:$AE$250,$R123))</f>
        <v/>
      </c>
      <c r="G123" s="80" t="str">
        <f aca="false">IF(B123="","",IFERROR(IF(LEFT(E123,2)="CP",INDEX('NOTES CP'!$P$10:$P$250,MATCH(B123,'NOTES CP'!$B$10:$B$250,0)),IF(E123="CE1",INDEX('NOTES CE1'!$M$10:$M$250,MATCH(B123,'NOTES CE1'!$B$10:$B$250,0)),INDEX('NOTES CE2-CM1'!$M$10:$M$250,MATCH(B123,'NOTES CE2-CM1'!$B$10:$B$250,0)))),""))</f>
        <v/>
      </c>
      <c r="H123" s="80" t="str">
        <f aca="false">IF(B123="","",IFERROR(IF(LEFT(E123,2)="CP",INDEX('NOTES CP'!$Z$10:$Z$250,MATCH(B123,'NOTES CP'!$B$10:$B$250,0)),IF(E123="CE1",INDEX('NOTES CE1'!$T$10:$T$250,MATCH(B123,'NOTES CE1'!$B$10:$B$250,0)),INDEX('NOTES CE2-CM1'!$T$10:$T$250,MATCH(B123,'NOTES CE2-CM1'!$B$10:$B$250,0)))),""))</f>
        <v/>
      </c>
      <c r="I123" s="80" t="str">
        <f aca="false">IF(B123="","",IFERROR(IF(LEFT(E123,2)="CP",INDEX('NOTES CP'!$AJ$10:$AJ$250,MATCH(B123,'NOTES CP'!$B$10:$B$250,0)),IF(E123="CE1",INDEX('NOTES CE1'!$AA$10:$AA$250,MATCH(B123,'NOTES CE1'!$B$10:$B$250,0)),INDEX('NOTES CE2-CM1'!$AA$10:$AA$250,MATCH(B123,'NOTES CE2-CM1'!$B$10:$B$250,0)))),""))</f>
        <v/>
      </c>
      <c r="J123" s="81" t="str">
        <f aca="false">IF(COUNT(G123:I123)=0,"",ROUND(AVERAGE(G123:I123),2))</f>
        <v/>
      </c>
      <c r="K123" s="80" t="str">
        <f aca="false">IF(B123="","",IFERROR(IF(LEFT(E123,2)="CP",INDEX('NOTES CP'!$AT$10:$AT$250,MATCH(B123,'NOTES CP'!$B$10:$B$250,0)),IF(E123="CE1",INDEX('NOTES CE1'!$AH$10:$AH$250,MATCH(B123,'NOTES CE1'!$B$10:$B$250,0)),INDEX('NOTES CE2-CM1'!$AH$10:$AH$250,MATCH(B123,'NOTES CE2-CM1'!$B$10:$B$250,0)))),""))</f>
        <v/>
      </c>
      <c r="L123" s="82" t="str">
        <f aca="false">IF(OR(J123="",K123=""),"",ROUND((J123+2*K123)/3,2))</f>
        <v/>
      </c>
      <c r="M123" s="83" t="str">
        <f aca="false">IF(E123="","",IFERROR(INDEX(PARAMETRES!$D$18:$D$23,MATCH(E123,PARAMETRES!$B$18:$B$23,0)),""))</f>
        <v/>
      </c>
      <c r="N123" s="81" t="str">
        <f aca="false">IF(E123="","",IFERROR(INDEX(PARAMETRES!$C$18:$C$23,MATCH(E123,PARAMETRES!$B$18:$B$23,0)),""))</f>
        <v/>
      </c>
      <c r="O123" s="45" t="str">
        <f aca="false">IF(B123="","",IF(F123="ABANDON","ABANDON",IF(F123="TRANSFERE","TRANSFERE",IF(L123="","",IF(L123&gt;=N123,"ADMIS","REDOUBLE")))))</f>
        <v/>
      </c>
      <c r="P123" s="73" t="str">
        <f aca="false">IF(OR(L123="",F123&lt;&gt;"PRESENT"),"",COUNTIFS($E$10:$E$250,E123,$F$10:$F$250,"PRESENT",$L$10:$L$250,"&gt;"&amp;L123)+1)</f>
        <v/>
      </c>
      <c r="Q123" s="74" t="str">
        <f aca="false">IF(O123="ADMIS",IF(L123/M123*10&gt;=8,"Très bien",IF(L123/M123*10&gt;=7,"Bien",IF(L123/M123*10&gt;=6,"Assez bien","Passable"))),IF(O123="REDOUBLE","Insuffisant",""))</f>
        <v/>
      </c>
      <c r="R123" s="51" t="str">
        <f aca="false">IFERROR(MATCH("P-114",'REGISTRE ELEVES'!$AH$10:$AH$250,0),"")</f>
        <v/>
      </c>
    </row>
    <row r="124" customFormat="false" ht="15" hidden="false" customHeight="false" outlineLevel="0" collapsed="false">
      <c r="A124" s="45" t="str">
        <f aca="false">IF(B124="","",115)</f>
        <v/>
      </c>
      <c r="B124" s="45" t="str">
        <f aca="false">IF($R124="","",INDEX('REGISTRE ELEVES'!$B$10:$B$250,$R124))</f>
        <v/>
      </c>
      <c r="C124" s="74" t="str">
        <f aca="false">IF($R124="","",INDEX('REGISTRE ELEVES'!$D$10:$D$250,$R124))</f>
        <v/>
      </c>
      <c r="D124" s="45" t="str">
        <f aca="false">IF($R124="","",INDEX('REGISTRE ELEVES'!$E$10:$E$250,$R124))</f>
        <v/>
      </c>
      <c r="E124" s="45" t="str">
        <f aca="false">IF($R124="","",INDEX('REGISTRE ELEVES'!$F$10:$F$250,$R124))</f>
        <v/>
      </c>
      <c r="F124" s="45" t="str">
        <f aca="false">IF($R124="","",INDEX('REGISTRE ELEVES'!$AE$10:$AE$250,$R124))</f>
        <v/>
      </c>
      <c r="G124" s="80" t="str">
        <f aca="false">IF(B124="","",IFERROR(IF(LEFT(E124,2)="CP",INDEX('NOTES CP'!$P$10:$P$250,MATCH(B124,'NOTES CP'!$B$10:$B$250,0)),IF(E124="CE1",INDEX('NOTES CE1'!$M$10:$M$250,MATCH(B124,'NOTES CE1'!$B$10:$B$250,0)),INDEX('NOTES CE2-CM1'!$M$10:$M$250,MATCH(B124,'NOTES CE2-CM1'!$B$10:$B$250,0)))),""))</f>
        <v/>
      </c>
      <c r="H124" s="80" t="str">
        <f aca="false">IF(B124="","",IFERROR(IF(LEFT(E124,2)="CP",INDEX('NOTES CP'!$Z$10:$Z$250,MATCH(B124,'NOTES CP'!$B$10:$B$250,0)),IF(E124="CE1",INDEX('NOTES CE1'!$T$10:$T$250,MATCH(B124,'NOTES CE1'!$B$10:$B$250,0)),INDEX('NOTES CE2-CM1'!$T$10:$T$250,MATCH(B124,'NOTES CE2-CM1'!$B$10:$B$250,0)))),""))</f>
        <v/>
      </c>
      <c r="I124" s="80" t="str">
        <f aca="false">IF(B124="","",IFERROR(IF(LEFT(E124,2)="CP",INDEX('NOTES CP'!$AJ$10:$AJ$250,MATCH(B124,'NOTES CP'!$B$10:$B$250,0)),IF(E124="CE1",INDEX('NOTES CE1'!$AA$10:$AA$250,MATCH(B124,'NOTES CE1'!$B$10:$B$250,0)),INDEX('NOTES CE2-CM1'!$AA$10:$AA$250,MATCH(B124,'NOTES CE2-CM1'!$B$10:$B$250,0)))),""))</f>
        <v/>
      </c>
      <c r="J124" s="81" t="str">
        <f aca="false">IF(COUNT(G124:I124)=0,"",ROUND(AVERAGE(G124:I124),2))</f>
        <v/>
      </c>
      <c r="K124" s="80" t="str">
        <f aca="false">IF(B124="","",IFERROR(IF(LEFT(E124,2)="CP",INDEX('NOTES CP'!$AT$10:$AT$250,MATCH(B124,'NOTES CP'!$B$10:$B$250,0)),IF(E124="CE1",INDEX('NOTES CE1'!$AH$10:$AH$250,MATCH(B124,'NOTES CE1'!$B$10:$B$250,0)),INDEX('NOTES CE2-CM1'!$AH$10:$AH$250,MATCH(B124,'NOTES CE2-CM1'!$B$10:$B$250,0)))),""))</f>
        <v/>
      </c>
      <c r="L124" s="82" t="str">
        <f aca="false">IF(OR(J124="",K124=""),"",ROUND((J124+2*K124)/3,2))</f>
        <v/>
      </c>
      <c r="M124" s="83" t="str">
        <f aca="false">IF(E124="","",IFERROR(INDEX(PARAMETRES!$D$18:$D$23,MATCH(E124,PARAMETRES!$B$18:$B$23,0)),""))</f>
        <v/>
      </c>
      <c r="N124" s="81" t="str">
        <f aca="false">IF(E124="","",IFERROR(INDEX(PARAMETRES!$C$18:$C$23,MATCH(E124,PARAMETRES!$B$18:$B$23,0)),""))</f>
        <v/>
      </c>
      <c r="O124" s="45" t="str">
        <f aca="false">IF(B124="","",IF(F124="ABANDON","ABANDON",IF(F124="TRANSFERE","TRANSFERE",IF(L124="","",IF(L124&gt;=N124,"ADMIS","REDOUBLE")))))</f>
        <v/>
      </c>
      <c r="P124" s="73" t="str">
        <f aca="false">IF(OR(L124="",F124&lt;&gt;"PRESENT"),"",COUNTIFS($E$10:$E$250,E124,$F$10:$F$250,"PRESENT",$L$10:$L$250,"&gt;"&amp;L124)+1)</f>
        <v/>
      </c>
      <c r="Q124" s="74" t="str">
        <f aca="false">IF(O124="ADMIS",IF(L124/M124*10&gt;=8,"Très bien",IF(L124/M124*10&gt;=7,"Bien",IF(L124/M124*10&gt;=6,"Assez bien","Passable"))),IF(O124="REDOUBLE","Insuffisant",""))</f>
        <v/>
      </c>
      <c r="R124" s="51" t="str">
        <f aca="false">IFERROR(MATCH("P-115",'REGISTRE ELEVES'!$AH$10:$AH$250,0),"")</f>
        <v/>
      </c>
    </row>
    <row r="125" customFormat="false" ht="15" hidden="false" customHeight="false" outlineLevel="0" collapsed="false">
      <c r="A125" s="45" t="str">
        <f aca="false">IF(B125="","",116)</f>
        <v/>
      </c>
      <c r="B125" s="45" t="str">
        <f aca="false">IF($R125="","",INDEX('REGISTRE ELEVES'!$B$10:$B$250,$R125))</f>
        <v/>
      </c>
      <c r="C125" s="74" t="str">
        <f aca="false">IF($R125="","",INDEX('REGISTRE ELEVES'!$D$10:$D$250,$R125))</f>
        <v/>
      </c>
      <c r="D125" s="45" t="str">
        <f aca="false">IF($R125="","",INDEX('REGISTRE ELEVES'!$E$10:$E$250,$R125))</f>
        <v/>
      </c>
      <c r="E125" s="45" t="str">
        <f aca="false">IF($R125="","",INDEX('REGISTRE ELEVES'!$F$10:$F$250,$R125))</f>
        <v/>
      </c>
      <c r="F125" s="45" t="str">
        <f aca="false">IF($R125="","",INDEX('REGISTRE ELEVES'!$AE$10:$AE$250,$R125))</f>
        <v/>
      </c>
      <c r="G125" s="80" t="str">
        <f aca="false">IF(B125="","",IFERROR(IF(LEFT(E125,2)="CP",INDEX('NOTES CP'!$P$10:$P$250,MATCH(B125,'NOTES CP'!$B$10:$B$250,0)),IF(E125="CE1",INDEX('NOTES CE1'!$M$10:$M$250,MATCH(B125,'NOTES CE1'!$B$10:$B$250,0)),INDEX('NOTES CE2-CM1'!$M$10:$M$250,MATCH(B125,'NOTES CE2-CM1'!$B$10:$B$250,0)))),""))</f>
        <v/>
      </c>
      <c r="H125" s="80" t="str">
        <f aca="false">IF(B125="","",IFERROR(IF(LEFT(E125,2)="CP",INDEX('NOTES CP'!$Z$10:$Z$250,MATCH(B125,'NOTES CP'!$B$10:$B$250,0)),IF(E125="CE1",INDEX('NOTES CE1'!$T$10:$T$250,MATCH(B125,'NOTES CE1'!$B$10:$B$250,0)),INDEX('NOTES CE2-CM1'!$T$10:$T$250,MATCH(B125,'NOTES CE2-CM1'!$B$10:$B$250,0)))),""))</f>
        <v/>
      </c>
      <c r="I125" s="80" t="str">
        <f aca="false">IF(B125="","",IFERROR(IF(LEFT(E125,2)="CP",INDEX('NOTES CP'!$AJ$10:$AJ$250,MATCH(B125,'NOTES CP'!$B$10:$B$250,0)),IF(E125="CE1",INDEX('NOTES CE1'!$AA$10:$AA$250,MATCH(B125,'NOTES CE1'!$B$10:$B$250,0)),INDEX('NOTES CE2-CM1'!$AA$10:$AA$250,MATCH(B125,'NOTES CE2-CM1'!$B$10:$B$250,0)))),""))</f>
        <v/>
      </c>
      <c r="J125" s="81" t="str">
        <f aca="false">IF(COUNT(G125:I125)=0,"",ROUND(AVERAGE(G125:I125),2))</f>
        <v/>
      </c>
      <c r="K125" s="80" t="str">
        <f aca="false">IF(B125="","",IFERROR(IF(LEFT(E125,2)="CP",INDEX('NOTES CP'!$AT$10:$AT$250,MATCH(B125,'NOTES CP'!$B$10:$B$250,0)),IF(E125="CE1",INDEX('NOTES CE1'!$AH$10:$AH$250,MATCH(B125,'NOTES CE1'!$B$10:$B$250,0)),INDEX('NOTES CE2-CM1'!$AH$10:$AH$250,MATCH(B125,'NOTES CE2-CM1'!$B$10:$B$250,0)))),""))</f>
        <v/>
      </c>
      <c r="L125" s="82" t="str">
        <f aca="false">IF(OR(J125="",K125=""),"",ROUND((J125+2*K125)/3,2))</f>
        <v/>
      </c>
      <c r="M125" s="83" t="str">
        <f aca="false">IF(E125="","",IFERROR(INDEX(PARAMETRES!$D$18:$D$23,MATCH(E125,PARAMETRES!$B$18:$B$23,0)),""))</f>
        <v/>
      </c>
      <c r="N125" s="81" t="str">
        <f aca="false">IF(E125="","",IFERROR(INDEX(PARAMETRES!$C$18:$C$23,MATCH(E125,PARAMETRES!$B$18:$B$23,0)),""))</f>
        <v/>
      </c>
      <c r="O125" s="45" t="str">
        <f aca="false">IF(B125="","",IF(F125="ABANDON","ABANDON",IF(F125="TRANSFERE","TRANSFERE",IF(L125="","",IF(L125&gt;=N125,"ADMIS","REDOUBLE")))))</f>
        <v/>
      </c>
      <c r="P125" s="73" t="str">
        <f aca="false">IF(OR(L125="",F125&lt;&gt;"PRESENT"),"",COUNTIFS($E$10:$E$250,E125,$F$10:$F$250,"PRESENT",$L$10:$L$250,"&gt;"&amp;L125)+1)</f>
        <v/>
      </c>
      <c r="Q125" s="74" t="str">
        <f aca="false">IF(O125="ADMIS",IF(L125/M125*10&gt;=8,"Très bien",IF(L125/M125*10&gt;=7,"Bien",IF(L125/M125*10&gt;=6,"Assez bien","Passable"))),IF(O125="REDOUBLE","Insuffisant",""))</f>
        <v/>
      </c>
      <c r="R125" s="51" t="str">
        <f aca="false">IFERROR(MATCH("P-116",'REGISTRE ELEVES'!$AH$10:$AH$250,0),"")</f>
        <v/>
      </c>
    </row>
    <row r="126" customFormat="false" ht="15" hidden="false" customHeight="false" outlineLevel="0" collapsed="false">
      <c r="A126" s="45" t="str">
        <f aca="false">IF(B126="","",117)</f>
        <v/>
      </c>
      <c r="B126" s="45" t="str">
        <f aca="false">IF($R126="","",INDEX('REGISTRE ELEVES'!$B$10:$B$250,$R126))</f>
        <v/>
      </c>
      <c r="C126" s="74" t="str">
        <f aca="false">IF($R126="","",INDEX('REGISTRE ELEVES'!$D$10:$D$250,$R126))</f>
        <v/>
      </c>
      <c r="D126" s="45" t="str">
        <f aca="false">IF($R126="","",INDEX('REGISTRE ELEVES'!$E$10:$E$250,$R126))</f>
        <v/>
      </c>
      <c r="E126" s="45" t="str">
        <f aca="false">IF($R126="","",INDEX('REGISTRE ELEVES'!$F$10:$F$250,$R126))</f>
        <v/>
      </c>
      <c r="F126" s="45" t="str">
        <f aca="false">IF($R126="","",INDEX('REGISTRE ELEVES'!$AE$10:$AE$250,$R126))</f>
        <v/>
      </c>
      <c r="G126" s="80" t="str">
        <f aca="false">IF(B126="","",IFERROR(IF(LEFT(E126,2)="CP",INDEX('NOTES CP'!$P$10:$P$250,MATCH(B126,'NOTES CP'!$B$10:$B$250,0)),IF(E126="CE1",INDEX('NOTES CE1'!$M$10:$M$250,MATCH(B126,'NOTES CE1'!$B$10:$B$250,0)),INDEX('NOTES CE2-CM1'!$M$10:$M$250,MATCH(B126,'NOTES CE2-CM1'!$B$10:$B$250,0)))),""))</f>
        <v/>
      </c>
      <c r="H126" s="80" t="str">
        <f aca="false">IF(B126="","",IFERROR(IF(LEFT(E126,2)="CP",INDEX('NOTES CP'!$Z$10:$Z$250,MATCH(B126,'NOTES CP'!$B$10:$B$250,0)),IF(E126="CE1",INDEX('NOTES CE1'!$T$10:$T$250,MATCH(B126,'NOTES CE1'!$B$10:$B$250,0)),INDEX('NOTES CE2-CM1'!$T$10:$T$250,MATCH(B126,'NOTES CE2-CM1'!$B$10:$B$250,0)))),""))</f>
        <v/>
      </c>
      <c r="I126" s="80" t="str">
        <f aca="false">IF(B126="","",IFERROR(IF(LEFT(E126,2)="CP",INDEX('NOTES CP'!$AJ$10:$AJ$250,MATCH(B126,'NOTES CP'!$B$10:$B$250,0)),IF(E126="CE1",INDEX('NOTES CE1'!$AA$10:$AA$250,MATCH(B126,'NOTES CE1'!$B$10:$B$250,0)),INDEX('NOTES CE2-CM1'!$AA$10:$AA$250,MATCH(B126,'NOTES CE2-CM1'!$B$10:$B$250,0)))),""))</f>
        <v/>
      </c>
      <c r="J126" s="81" t="str">
        <f aca="false">IF(COUNT(G126:I126)=0,"",ROUND(AVERAGE(G126:I126),2))</f>
        <v/>
      </c>
      <c r="K126" s="80" t="str">
        <f aca="false">IF(B126="","",IFERROR(IF(LEFT(E126,2)="CP",INDEX('NOTES CP'!$AT$10:$AT$250,MATCH(B126,'NOTES CP'!$B$10:$B$250,0)),IF(E126="CE1",INDEX('NOTES CE1'!$AH$10:$AH$250,MATCH(B126,'NOTES CE1'!$B$10:$B$250,0)),INDEX('NOTES CE2-CM1'!$AH$10:$AH$250,MATCH(B126,'NOTES CE2-CM1'!$B$10:$B$250,0)))),""))</f>
        <v/>
      </c>
      <c r="L126" s="82" t="str">
        <f aca="false">IF(OR(J126="",K126=""),"",ROUND((J126+2*K126)/3,2))</f>
        <v/>
      </c>
      <c r="M126" s="83" t="str">
        <f aca="false">IF(E126="","",IFERROR(INDEX(PARAMETRES!$D$18:$D$23,MATCH(E126,PARAMETRES!$B$18:$B$23,0)),""))</f>
        <v/>
      </c>
      <c r="N126" s="81" t="str">
        <f aca="false">IF(E126="","",IFERROR(INDEX(PARAMETRES!$C$18:$C$23,MATCH(E126,PARAMETRES!$B$18:$B$23,0)),""))</f>
        <v/>
      </c>
      <c r="O126" s="45" t="str">
        <f aca="false">IF(B126="","",IF(F126="ABANDON","ABANDON",IF(F126="TRANSFERE","TRANSFERE",IF(L126="","",IF(L126&gt;=N126,"ADMIS","REDOUBLE")))))</f>
        <v/>
      </c>
      <c r="P126" s="73" t="str">
        <f aca="false">IF(OR(L126="",F126&lt;&gt;"PRESENT"),"",COUNTIFS($E$10:$E$250,E126,$F$10:$F$250,"PRESENT",$L$10:$L$250,"&gt;"&amp;L126)+1)</f>
        <v/>
      </c>
      <c r="Q126" s="74" t="str">
        <f aca="false">IF(O126="ADMIS",IF(L126/M126*10&gt;=8,"Très bien",IF(L126/M126*10&gt;=7,"Bien",IF(L126/M126*10&gt;=6,"Assez bien","Passable"))),IF(O126="REDOUBLE","Insuffisant",""))</f>
        <v/>
      </c>
      <c r="R126" s="51" t="str">
        <f aca="false">IFERROR(MATCH("P-117",'REGISTRE ELEVES'!$AH$10:$AH$250,0),"")</f>
        <v/>
      </c>
    </row>
    <row r="127" customFormat="false" ht="15" hidden="false" customHeight="false" outlineLevel="0" collapsed="false">
      <c r="A127" s="45" t="str">
        <f aca="false">IF(B127="","",118)</f>
        <v/>
      </c>
      <c r="B127" s="45" t="str">
        <f aca="false">IF($R127="","",INDEX('REGISTRE ELEVES'!$B$10:$B$250,$R127))</f>
        <v/>
      </c>
      <c r="C127" s="74" t="str">
        <f aca="false">IF($R127="","",INDEX('REGISTRE ELEVES'!$D$10:$D$250,$R127))</f>
        <v/>
      </c>
      <c r="D127" s="45" t="str">
        <f aca="false">IF($R127="","",INDEX('REGISTRE ELEVES'!$E$10:$E$250,$R127))</f>
        <v/>
      </c>
      <c r="E127" s="45" t="str">
        <f aca="false">IF($R127="","",INDEX('REGISTRE ELEVES'!$F$10:$F$250,$R127))</f>
        <v/>
      </c>
      <c r="F127" s="45" t="str">
        <f aca="false">IF($R127="","",INDEX('REGISTRE ELEVES'!$AE$10:$AE$250,$R127))</f>
        <v/>
      </c>
      <c r="G127" s="80" t="str">
        <f aca="false">IF(B127="","",IFERROR(IF(LEFT(E127,2)="CP",INDEX('NOTES CP'!$P$10:$P$250,MATCH(B127,'NOTES CP'!$B$10:$B$250,0)),IF(E127="CE1",INDEX('NOTES CE1'!$M$10:$M$250,MATCH(B127,'NOTES CE1'!$B$10:$B$250,0)),INDEX('NOTES CE2-CM1'!$M$10:$M$250,MATCH(B127,'NOTES CE2-CM1'!$B$10:$B$250,0)))),""))</f>
        <v/>
      </c>
      <c r="H127" s="80" t="str">
        <f aca="false">IF(B127="","",IFERROR(IF(LEFT(E127,2)="CP",INDEX('NOTES CP'!$Z$10:$Z$250,MATCH(B127,'NOTES CP'!$B$10:$B$250,0)),IF(E127="CE1",INDEX('NOTES CE1'!$T$10:$T$250,MATCH(B127,'NOTES CE1'!$B$10:$B$250,0)),INDEX('NOTES CE2-CM1'!$T$10:$T$250,MATCH(B127,'NOTES CE2-CM1'!$B$10:$B$250,0)))),""))</f>
        <v/>
      </c>
      <c r="I127" s="80" t="str">
        <f aca="false">IF(B127="","",IFERROR(IF(LEFT(E127,2)="CP",INDEX('NOTES CP'!$AJ$10:$AJ$250,MATCH(B127,'NOTES CP'!$B$10:$B$250,0)),IF(E127="CE1",INDEX('NOTES CE1'!$AA$10:$AA$250,MATCH(B127,'NOTES CE1'!$B$10:$B$250,0)),INDEX('NOTES CE2-CM1'!$AA$10:$AA$250,MATCH(B127,'NOTES CE2-CM1'!$B$10:$B$250,0)))),""))</f>
        <v/>
      </c>
      <c r="J127" s="81" t="str">
        <f aca="false">IF(COUNT(G127:I127)=0,"",ROUND(AVERAGE(G127:I127),2))</f>
        <v/>
      </c>
      <c r="K127" s="80" t="str">
        <f aca="false">IF(B127="","",IFERROR(IF(LEFT(E127,2)="CP",INDEX('NOTES CP'!$AT$10:$AT$250,MATCH(B127,'NOTES CP'!$B$10:$B$250,0)),IF(E127="CE1",INDEX('NOTES CE1'!$AH$10:$AH$250,MATCH(B127,'NOTES CE1'!$B$10:$B$250,0)),INDEX('NOTES CE2-CM1'!$AH$10:$AH$250,MATCH(B127,'NOTES CE2-CM1'!$B$10:$B$250,0)))),""))</f>
        <v/>
      </c>
      <c r="L127" s="82" t="str">
        <f aca="false">IF(OR(J127="",K127=""),"",ROUND((J127+2*K127)/3,2))</f>
        <v/>
      </c>
      <c r="M127" s="83" t="str">
        <f aca="false">IF(E127="","",IFERROR(INDEX(PARAMETRES!$D$18:$D$23,MATCH(E127,PARAMETRES!$B$18:$B$23,0)),""))</f>
        <v/>
      </c>
      <c r="N127" s="81" t="str">
        <f aca="false">IF(E127="","",IFERROR(INDEX(PARAMETRES!$C$18:$C$23,MATCH(E127,PARAMETRES!$B$18:$B$23,0)),""))</f>
        <v/>
      </c>
      <c r="O127" s="45" t="str">
        <f aca="false">IF(B127="","",IF(F127="ABANDON","ABANDON",IF(F127="TRANSFERE","TRANSFERE",IF(L127="","",IF(L127&gt;=N127,"ADMIS","REDOUBLE")))))</f>
        <v/>
      </c>
      <c r="P127" s="73" t="str">
        <f aca="false">IF(OR(L127="",F127&lt;&gt;"PRESENT"),"",COUNTIFS($E$10:$E$250,E127,$F$10:$F$250,"PRESENT",$L$10:$L$250,"&gt;"&amp;L127)+1)</f>
        <v/>
      </c>
      <c r="Q127" s="74" t="str">
        <f aca="false">IF(O127="ADMIS",IF(L127/M127*10&gt;=8,"Très bien",IF(L127/M127*10&gt;=7,"Bien",IF(L127/M127*10&gt;=6,"Assez bien","Passable"))),IF(O127="REDOUBLE","Insuffisant",""))</f>
        <v/>
      </c>
      <c r="R127" s="51" t="str">
        <f aca="false">IFERROR(MATCH("P-118",'REGISTRE ELEVES'!$AH$10:$AH$250,0),"")</f>
        <v/>
      </c>
    </row>
    <row r="128" customFormat="false" ht="15" hidden="false" customHeight="false" outlineLevel="0" collapsed="false">
      <c r="A128" s="45" t="str">
        <f aca="false">IF(B128="","",119)</f>
        <v/>
      </c>
      <c r="B128" s="45" t="str">
        <f aca="false">IF($R128="","",INDEX('REGISTRE ELEVES'!$B$10:$B$250,$R128))</f>
        <v/>
      </c>
      <c r="C128" s="74" t="str">
        <f aca="false">IF($R128="","",INDEX('REGISTRE ELEVES'!$D$10:$D$250,$R128))</f>
        <v/>
      </c>
      <c r="D128" s="45" t="str">
        <f aca="false">IF($R128="","",INDEX('REGISTRE ELEVES'!$E$10:$E$250,$R128))</f>
        <v/>
      </c>
      <c r="E128" s="45" t="str">
        <f aca="false">IF($R128="","",INDEX('REGISTRE ELEVES'!$F$10:$F$250,$R128))</f>
        <v/>
      </c>
      <c r="F128" s="45" t="str">
        <f aca="false">IF($R128="","",INDEX('REGISTRE ELEVES'!$AE$10:$AE$250,$R128))</f>
        <v/>
      </c>
      <c r="G128" s="80" t="str">
        <f aca="false">IF(B128="","",IFERROR(IF(LEFT(E128,2)="CP",INDEX('NOTES CP'!$P$10:$P$250,MATCH(B128,'NOTES CP'!$B$10:$B$250,0)),IF(E128="CE1",INDEX('NOTES CE1'!$M$10:$M$250,MATCH(B128,'NOTES CE1'!$B$10:$B$250,0)),INDEX('NOTES CE2-CM1'!$M$10:$M$250,MATCH(B128,'NOTES CE2-CM1'!$B$10:$B$250,0)))),""))</f>
        <v/>
      </c>
      <c r="H128" s="80" t="str">
        <f aca="false">IF(B128="","",IFERROR(IF(LEFT(E128,2)="CP",INDEX('NOTES CP'!$Z$10:$Z$250,MATCH(B128,'NOTES CP'!$B$10:$B$250,0)),IF(E128="CE1",INDEX('NOTES CE1'!$T$10:$T$250,MATCH(B128,'NOTES CE1'!$B$10:$B$250,0)),INDEX('NOTES CE2-CM1'!$T$10:$T$250,MATCH(B128,'NOTES CE2-CM1'!$B$10:$B$250,0)))),""))</f>
        <v/>
      </c>
      <c r="I128" s="80" t="str">
        <f aca="false">IF(B128="","",IFERROR(IF(LEFT(E128,2)="CP",INDEX('NOTES CP'!$AJ$10:$AJ$250,MATCH(B128,'NOTES CP'!$B$10:$B$250,0)),IF(E128="CE1",INDEX('NOTES CE1'!$AA$10:$AA$250,MATCH(B128,'NOTES CE1'!$B$10:$B$250,0)),INDEX('NOTES CE2-CM1'!$AA$10:$AA$250,MATCH(B128,'NOTES CE2-CM1'!$B$10:$B$250,0)))),""))</f>
        <v/>
      </c>
      <c r="J128" s="81" t="str">
        <f aca="false">IF(COUNT(G128:I128)=0,"",ROUND(AVERAGE(G128:I128),2))</f>
        <v/>
      </c>
      <c r="K128" s="80" t="str">
        <f aca="false">IF(B128="","",IFERROR(IF(LEFT(E128,2)="CP",INDEX('NOTES CP'!$AT$10:$AT$250,MATCH(B128,'NOTES CP'!$B$10:$B$250,0)),IF(E128="CE1",INDEX('NOTES CE1'!$AH$10:$AH$250,MATCH(B128,'NOTES CE1'!$B$10:$B$250,0)),INDEX('NOTES CE2-CM1'!$AH$10:$AH$250,MATCH(B128,'NOTES CE2-CM1'!$B$10:$B$250,0)))),""))</f>
        <v/>
      </c>
      <c r="L128" s="82" t="str">
        <f aca="false">IF(OR(J128="",K128=""),"",ROUND((J128+2*K128)/3,2))</f>
        <v/>
      </c>
      <c r="M128" s="83" t="str">
        <f aca="false">IF(E128="","",IFERROR(INDEX(PARAMETRES!$D$18:$D$23,MATCH(E128,PARAMETRES!$B$18:$B$23,0)),""))</f>
        <v/>
      </c>
      <c r="N128" s="81" t="str">
        <f aca="false">IF(E128="","",IFERROR(INDEX(PARAMETRES!$C$18:$C$23,MATCH(E128,PARAMETRES!$B$18:$B$23,0)),""))</f>
        <v/>
      </c>
      <c r="O128" s="45" t="str">
        <f aca="false">IF(B128="","",IF(F128="ABANDON","ABANDON",IF(F128="TRANSFERE","TRANSFERE",IF(L128="","",IF(L128&gt;=N128,"ADMIS","REDOUBLE")))))</f>
        <v/>
      </c>
      <c r="P128" s="73" t="str">
        <f aca="false">IF(OR(L128="",F128&lt;&gt;"PRESENT"),"",COUNTIFS($E$10:$E$250,E128,$F$10:$F$250,"PRESENT",$L$10:$L$250,"&gt;"&amp;L128)+1)</f>
        <v/>
      </c>
      <c r="Q128" s="74" t="str">
        <f aca="false">IF(O128="ADMIS",IF(L128/M128*10&gt;=8,"Très bien",IF(L128/M128*10&gt;=7,"Bien",IF(L128/M128*10&gt;=6,"Assez bien","Passable"))),IF(O128="REDOUBLE","Insuffisant",""))</f>
        <v/>
      </c>
      <c r="R128" s="51" t="str">
        <f aca="false">IFERROR(MATCH("P-119",'REGISTRE ELEVES'!$AH$10:$AH$250,0),"")</f>
        <v/>
      </c>
    </row>
    <row r="129" customFormat="false" ht="15" hidden="false" customHeight="false" outlineLevel="0" collapsed="false">
      <c r="A129" s="45" t="str">
        <f aca="false">IF(B129="","",120)</f>
        <v/>
      </c>
      <c r="B129" s="45" t="str">
        <f aca="false">IF($R129="","",INDEX('REGISTRE ELEVES'!$B$10:$B$250,$R129))</f>
        <v/>
      </c>
      <c r="C129" s="74" t="str">
        <f aca="false">IF($R129="","",INDEX('REGISTRE ELEVES'!$D$10:$D$250,$R129))</f>
        <v/>
      </c>
      <c r="D129" s="45" t="str">
        <f aca="false">IF($R129="","",INDEX('REGISTRE ELEVES'!$E$10:$E$250,$R129))</f>
        <v/>
      </c>
      <c r="E129" s="45" t="str">
        <f aca="false">IF($R129="","",INDEX('REGISTRE ELEVES'!$F$10:$F$250,$R129))</f>
        <v/>
      </c>
      <c r="F129" s="45" t="str">
        <f aca="false">IF($R129="","",INDEX('REGISTRE ELEVES'!$AE$10:$AE$250,$R129))</f>
        <v/>
      </c>
      <c r="G129" s="80" t="str">
        <f aca="false">IF(B129="","",IFERROR(IF(LEFT(E129,2)="CP",INDEX('NOTES CP'!$P$10:$P$250,MATCH(B129,'NOTES CP'!$B$10:$B$250,0)),IF(E129="CE1",INDEX('NOTES CE1'!$M$10:$M$250,MATCH(B129,'NOTES CE1'!$B$10:$B$250,0)),INDEX('NOTES CE2-CM1'!$M$10:$M$250,MATCH(B129,'NOTES CE2-CM1'!$B$10:$B$250,0)))),""))</f>
        <v/>
      </c>
      <c r="H129" s="80" t="str">
        <f aca="false">IF(B129="","",IFERROR(IF(LEFT(E129,2)="CP",INDEX('NOTES CP'!$Z$10:$Z$250,MATCH(B129,'NOTES CP'!$B$10:$B$250,0)),IF(E129="CE1",INDEX('NOTES CE1'!$T$10:$T$250,MATCH(B129,'NOTES CE1'!$B$10:$B$250,0)),INDEX('NOTES CE2-CM1'!$T$10:$T$250,MATCH(B129,'NOTES CE2-CM1'!$B$10:$B$250,0)))),""))</f>
        <v/>
      </c>
      <c r="I129" s="80" t="str">
        <f aca="false">IF(B129="","",IFERROR(IF(LEFT(E129,2)="CP",INDEX('NOTES CP'!$AJ$10:$AJ$250,MATCH(B129,'NOTES CP'!$B$10:$B$250,0)),IF(E129="CE1",INDEX('NOTES CE1'!$AA$10:$AA$250,MATCH(B129,'NOTES CE1'!$B$10:$B$250,0)),INDEX('NOTES CE2-CM1'!$AA$10:$AA$250,MATCH(B129,'NOTES CE2-CM1'!$B$10:$B$250,0)))),""))</f>
        <v/>
      </c>
      <c r="J129" s="81" t="str">
        <f aca="false">IF(COUNT(G129:I129)=0,"",ROUND(AVERAGE(G129:I129),2))</f>
        <v/>
      </c>
      <c r="K129" s="80" t="str">
        <f aca="false">IF(B129="","",IFERROR(IF(LEFT(E129,2)="CP",INDEX('NOTES CP'!$AT$10:$AT$250,MATCH(B129,'NOTES CP'!$B$10:$B$250,0)),IF(E129="CE1",INDEX('NOTES CE1'!$AH$10:$AH$250,MATCH(B129,'NOTES CE1'!$B$10:$B$250,0)),INDEX('NOTES CE2-CM1'!$AH$10:$AH$250,MATCH(B129,'NOTES CE2-CM1'!$B$10:$B$250,0)))),""))</f>
        <v/>
      </c>
      <c r="L129" s="82" t="str">
        <f aca="false">IF(OR(J129="",K129=""),"",ROUND((J129+2*K129)/3,2))</f>
        <v/>
      </c>
      <c r="M129" s="83" t="str">
        <f aca="false">IF(E129="","",IFERROR(INDEX(PARAMETRES!$D$18:$D$23,MATCH(E129,PARAMETRES!$B$18:$B$23,0)),""))</f>
        <v/>
      </c>
      <c r="N129" s="81" t="str">
        <f aca="false">IF(E129="","",IFERROR(INDEX(PARAMETRES!$C$18:$C$23,MATCH(E129,PARAMETRES!$B$18:$B$23,0)),""))</f>
        <v/>
      </c>
      <c r="O129" s="45" t="str">
        <f aca="false">IF(B129="","",IF(F129="ABANDON","ABANDON",IF(F129="TRANSFERE","TRANSFERE",IF(L129="","",IF(L129&gt;=N129,"ADMIS","REDOUBLE")))))</f>
        <v/>
      </c>
      <c r="P129" s="73" t="str">
        <f aca="false">IF(OR(L129="",F129&lt;&gt;"PRESENT"),"",COUNTIFS($E$10:$E$250,E129,$F$10:$F$250,"PRESENT",$L$10:$L$250,"&gt;"&amp;L129)+1)</f>
        <v/>
      </c>
      <c r="Q129" s="74" t="str">
        <f aca="false">IF(O129="ADMIS",IF(L129/M129*10&gt;=8,"Très bien",IF(L129/M129*10&gt;=7,"Bien",IF(L129/M129*10&gt;=6,"Assez bien","Passable"))),IF(O129="REDOUBLE","Insuffisant",""))</f>
        <v/>
      </c>
      <c r="R129" s="51" t="str">
        <f aca="false">IFERROR(MATCH("P-120",'REGISTRE ELEVES'!$AH$10:$AH$250,0),"")</f>
        <v/>
      </c>
    </row>
    <row r="130" customFormat="false" ht="15" hidden="false" customHeight="false" outlineLevel="0" collapsed="false">
      <c r="A130" s="45" t="str">
        <f aca="false">IF(B130="","",121)</f>
        <v/>
      </c>
      <c r="B130" s="45" t="str">
        <f aca="false">IF($R130="","",INDEX('REGISTRE ELEVES'!$B$10:$B$250,$R130))</f>
        <v/>
      </c>
      <c r="C130" s="74" t="str">
        <f aca="false">IF($R130="","",INDEX('REGISTRE ELEVES'!$D$10:$D$250,$R130))</f>
        <v/>
      </c>
      <c r="D130" s="45" t="str">
        <f aca="false">IF($R130="","",INDEX('REGISTRE ELEVES'!$E$10:$E$250,$R130))</f>
        <v/>
      </c>
      <c r="E130" s="45" t="str">
        <f aca="false">IF($R130="","",INDEX('REGISTRE ELEVES'!$F$10:$F$250,$R130))</f>
        <v/>
      </c>
      <c r="F130" s="45" t="str">
        <f aca="false">IF($R130="","",INDEX('REGISTRE ELEVES'!$AE$10:$AE$250,$R130))</f>
        <v/>
      </c>
      <c r="G130" s="80" t="str">
        <f aca="false">IF(B130="","",IFERROR(IF(LEFT(E130,2)="CP",INDEX('NOTES CP'!$P$10:$P$250,MATCH(B130,'NOTES CP'!$B$10:$B$250,0)),IF(E130="CE1",INDEX('NOTES CE1'!$M$10:$M$250,MATCH(B130,'NOTES CE1'!$B$10:$B$250,0)),INDEX('NOTES CE2-CM1'!$M$10:$M$250,MATCH(B130,'NOTES CE2-CM1'!$B$10:$B$250,0)))),""))</f>
        <v/>
      </c>
      <c r="H130" s="80" t="str">
        <f aca="false">IF(B130="","",IFERROR(IF(LEFT(E130,2)="CP",INDEX('NOTES CP'!$Z$10:$Z$250,MATCH(B130,'NOTES CP'!$B$10:$B$250,0)),IF(E130="CE1",INDEX('NOTES CE1'!$T$10:$T$250,MATCH(B130,'NOTES CE1'!$B$10:$B$250,0)),INDEX('NOTES CE2-CM1'!$T$10:$T$250,MATCH(B130,'NOTES CE2-CM1'!$B$10:$B$250,0)))),""))</f>
        <v/>
      </c>
      <c r="I130" s="80" t="str">
        <f aca="false">IF(B130="","",IFERROR(IF(LEFT(E130,2)="CP",INDEX('NOTES CP'!$AJ$10:$AJ$250,MATCH(B130,'NOTES CP'!$B$10:$B$250,0)),IF(E130="CE1",INDEX('NOTES CE1'!$AA$10:$AA$250,MATCH(B130,'NOTES CE1'!$B$10:$B$250,0)),INDEX('NOTES CE2-CM1'!$AA$10:$AA$250,MATCH(B130,'NOTES CE2-CM1'!$B$10:$B$250,0)))),""))</f>
        <v/>
      </c>
      <c r="J130" s="81" t="str">
        <f aca="false">IF(COUNT(G130:I130)=0,"",ROUND(AVERAGE(G130:I130),2))</f>
        <v/>
      </c>
      <c r="K130" s="80" t="str">
        <f aca="false">IF(B130="","",IFERROR(IF(LEFT(E130,2)="CP",INDEX('NOTES CP'!$AT$10:$AT$250,MATCH(B130,'NOTES CP'!$B$10:$B$250,0)),IF(E130="CE1",INDEX('NOTES CE1'!$AH$10:$AH$250,MATCH(B130,'NOTES CE1'!$B$10:$B$250,0)),INDEX('NOTES CE2-CM1'!$AH$10:$AH$250,MATCH(B130,'NOTES CE2-CM1'!$B$10:$B$250,0)))),""))</f>
        <v/>
      </c>
      <c r="L130" s="82" t="str">
        <f aca="false">IF(OR(J130="",K130=""),"",ROUND((J130+2*K130)/3,2))</f>
        <v/>
      </c>
      <c r="M130" s="83" t="str">
        <f aca="false">IF(E130="","",IFERROR(INDEX(PARAMETRES!$D$18:$D$23,MATCH(E130,PARAMETRES!$B$18:$B$23,0)),""))</f>
        <v/>
      </c>
      <c r="N130" s="81" t="str">
        <f aca="false">IF(E130="","",IFERROR(INDEX(PARAMETRES!$C$18:$C$23,MATCH(E130,PARAMETRES!$B$18:$B$23,0)),""))</f>
        <v/>
      </c>
      <c r="O130" s="45" t="str">
        <f aca="false">IF(B130="","",IF(F130="ABANDON","ABANDON",IF(F130="TRANSFERE","TRANSFERE",IF(L130="","",IF(L130&gt;=N130,"ADMIS","REDOUBLE")))))</f>
        <v/>
      </c>
      <c r="P130" s="73" t="str">
        <f aca="false">IF(OR(L130="",F130&lt;&gt;"PRESENT"),"",COUNTIFS($E$10:$E$250,E130,$F$10:$F$250,"PRESENT",$L$10:$L$250,"&gt;"&amp;L130)+1)</f>
        <v/>
      </c>
      <c r="Q130" s="74" t="str">
        <f aca="false">IF(O130="ADMIS",IF(L130/M130*10&gt;=8,"Très bien",IF(L130/M130*10&gt;=7,"Bien",IF(L130/M130*10&gt;=6,"Assez bien","Passable"))),IF(O130="REDOUBLE","Insuffisant",""))</f>
        <v/>
      </c>
      <c r="R130" s="51" t="str">
        <f aca="false">IFERROR(MATCH("P-121",'REGISTRE ELEVES'!$AH$10:$AH$250,0),"")</f>
        <v/>
      </c>
    </row>
    <row r="131" customFormat="false" ht="15" hidden="false" customHeight="false" outlineLevel="0" collapsed="false">
      <c r="A131" s="45" t="str">
        <f aca="false">IF(B131="","",122)</f>
        <v/>
      </c>
      <c r="B131" s="45" t="str">
        <f aca="false">IF($R131="","",INDEX('REGISTRE ELEVES'!$B$10:$B$250,$R131))</f>
        <v/>
      </c>
      <c r="C131" s="74" t="str">
        <f aca="false">IF($R131="","",INDEX('REGISTRE ELEVES'!$D$10:$D$250,$R131))</f>
        <v/>
      </c>
      <c r="D131" s="45" t="str">
        <f aca="false">IF($R131="","",INDEX('REGISTRE ELEVES'!$E$10:$E$250,$R131))</f>
        <v/>
      </c>
      <c r="E131" s="45" t="str">
        <f aca="false">IF($R131="","",INDEX('REGISTRE ELEVES'!$F$10:$F$250,$R131))</f>
        <v/>
      </c>
      <c r="F131" s="45" t="str">
        <f aca="false">IF($R131="","",INDEX('REGISTRE ELEVES'!$AE$10:$AE$250,$R131))</f>
        <v/>
      </c>
      <c r="G131" s="80" t="str">
        <f aca="false">IF(B131="","",IFERROR(IF(LEFT(E131,2)="CP",INDEX('NOTES CP'!$P$10:$P$250,MATCH(B131,'NOTES CP'!$B$10:$B$250,0)),IF(E131="CE1",INDEX('NOTES CE1'!$M$10:$M$250,MATCH(B131,'NOTES CE1'!$B$10:$B$250,0)),INDEX('NOTES CE2-CM1'!$M$10:$M$250,MATCH(B131,'NOTES CE2-CM1'!$B$10:$B$250,0)))),""))</f>
        <v/>
      </c>
      <c r="H131" s="80" t="str">
        <f aca="false">IF(B131="","",IFERROR(IF(LEFT(E131,2)="CP",INDEX('NOTES CP'!$Z$10:$Z$250,MATCH(B131,'NOTES CP'!$B$10:$B$250,0)),IF(E131="CE1",INDEX('NOTES CE1'!$T$10:$T$250,MATCH(B131,'NOTES CE1'!$B$10:$B$250,0)),INDEX('NOTES CE2-CM1'!$T$10:$T$250,MATCH(B131,'NOTES CE2-CM1'!$B$10:$B$250,0)))),""))</f>
        <v/>
      </c>
      <c r="I131" s="80" t="str">
        <f aca="false">IF(B131="","",IFERROR(IF(LEFT(E131,2)="CP",INDEX('NOTES CP'!$AJ$10:$AJ$250,MATCH(B131,'NOTES CP'!$B$10:$B$250,0)),IF(E131="CE1",INDEX('NOTES CE1'!$AA$10:$AA$250,MATCH(B131,'NOTES CE1'!$B$10:$B$250,0)),INDEX('NOTES CE2-CM1'!$AA$10:$AA$250,MATCH(B131,'NOTES CE2-CM1'!$B$10:$B$250,0)))),""))</f>
        <v/>
      </c>
      <c r="J131" s="81" t="str">
        <f aca="false">IF(COUNT(G131:I131)=0,"",ROUND(AVERAGE(G131:I131),2))</f>
        <v/>
      </c>
      <c r="K131" s="80" t="str">
        <f aca="false">IF(B131="","",IFERROR(IF(LEFT(E131,2)="CP",INDEX('NOTES CP'!$AT$10:$AT$250,MATCH(B131,'NOTES CP'!$B$10:$B$250,0)),IF(E131="CE1",INDEX('NOTES CE1'!$AH$10:$AH$250,MATCH(B131,'NOTES CE1'!$B$10:$B$250,0)),INDEX('NOTES CE2-CM1'!$AH$10:$AH$250,MATCH(B131,'NOTES CE2-CM1'!$B$10:$B$250,0)))),""))</f>
        <v/>
      </c>
      <c r="L131" s="82" t="str">
        <f aca="false">IF(OR(J131="",K131=""),"",ROUND((J131+2*K131)/3,2))</f>
        <v/>
      </c>
      <c r="M131" s="83" t="str">
        <f aca="false">IF(E131="","",IFERROR(INDEX(PARAMETRES!$D$18:$D$23,MATCH(E131,PARAMETRES!$B$18:$B$23,0)),""))</f>
        <v/>
      </c>
      <c r="N131" s="81" t="str">
        <f aca="false">IF(E131="","",IFERROR(INDEX(PARAMETRES!$C$18:$C$23,MATCH(E131,PARAMETRES!$B$18:$B$23,0)),""))</f>
        <v/>
      </c>
      <c r="O131" s="45" t="str">
        <f aca="false">IF(B131="","",IF(F131="ABANDON","ABANDON",IF(F131="TRANSFERE","TRANSFERE",IF(L131="","",IF(L131&gt;=N131,"ADMIS","REDOUBLE")))))</f>
        <v/>
      </c>
      <c r="P131" s="73" t="str">
        <f aca="false">IF(OR(L131="",F131&lt;&gt;"PRESENT"),"",COUNTIFS($E$10:$E$250,E131,$F$10:$F$250,"PRESENT",$L$10:$L$250,"&gt;"&amp;L131)+1)</f>
        <v/>
      </c>
      <c r="Q131" s="74" t="str">
        <f aca="false">IF(O131="ADMIS",IF(L131/M131*10&gt;=8,"Très bien",IF(L131/M131*10&gt;=7,"Bien",IF(L131/M131*10&gt;=6,"Assez bien","Passable"))),IF(O131="REDOUBLE","Insuffisant",""))</f>
        <v/>
      </c>
      <c r="R131" s="51" t="str">
        <f aca="false">IFERROR(MATCH("P-122",'REGISTRE ELEVES'!$AH$10:$AH$250,0),"")</f>
        <v/>
      </c>
    </row>
    <row r="132" customFormat="false" ht="15" hidden="false" customHeight="false" outlineLevel="0" collapsed="false">
      <c r="A132" s="45" t="str">
        <f aca="false">IF(B132="","",123)</f>
        <v/>
      </c>
      <c r="B132" s="45" t="str">
        <f aca="false">IF($R132="","",INDEX('REGISTRE ELEVES'!$B$10:$B$250,$R132))</f>
        <v/>
      </c>
      <c r="C132" s="74" t="str">
        <f aca="false">IF($R132="","",INDEX('REGISTRE ELEVES'!$D$10:$D$250,$R132))</f>
        <v/>
      </c>
      <c r="D132" s="45" t="str">
        <f aca="false">IF($R132="","",INDEX('REGISTRE ELEVES'!$E$10:$E$250,$R132))</f>
        <v/>
      </c>
      <c r="E132" s="45" t="str">
        <f aca="false">IF($R132="","",INDEX('REGISTRE ELEVES'!$F$10:$F$250,$R132))</f>
        <v/>
      </c>
      <c r="F132" s="45" t="str">
        <f aca="false">IF($R132="","",INDEX('REGISTRE ELEVES'!$AE$10:$AE$250,$R132))</f>
        <v/>
      </c>
      <c r="G132" s="80" t="str">
        <f aca="false">IF(B132="","",IFERROR(IF(LEFT(E132,2)="CP",INDEX('NOTES CP'!$P$10:$P$250,MATCH(B132,'NOTES CP'!$B$10:$B$250,0)),IF(E132="CE1",INDEX('NOTES CE1'!$M$10:$M$250,MATCH(B132,'NOTES CE1'!$B$10:$B$250,0)),INDEX('NOTES CE2-CM1'!$M$10:$M$250,MATCH(B132,'NOTES CE2-CM1'!$B$10:$B$250,0)))),""))</f>
        <v/>
      </c>
      <c r="H132" s="80" t="str">
        <f aca="false">IF(B132="","",IFERROR(IF(LEFT(E132,2)="CP",INDEX('NOTES CP'!$Z$10:$Z$250,MATCH(B132,'NOTES CP'!$B$10:$B$250,0)),IF(E132="CE1",INDEX('NOTES CE1'!$T$10:$T$250,MATCH(B132,'NOTES CE1'!$B$10:$B$250,0)),INDEX('NOTES CE2-CM1'!$T$10:$T$250,MATCH(B132,'NOTES CE2-CM1'!$B$10:$B$250,0)))),""))</f>
        <v/>
      </c>
      <c r="I132" s="80" t="str">
        <f aca="false">IF(B132="","",IFERROR(IF(LEFT(E132,2)="CP",INDEX('NOTES CP'!$AJ$10:$AJ$250,MATCH(B132,'NOTES CP'!$B$10:$B$250,0)),IF(E132="CE1",INDEX('NOTES CE1'!$AA$10:$AA$250,MATCH(B132,'NOTES CE1'!$B$10:$B$250,0)),INDEX('NOTES CE2-CM1'!$AA$10:$AA$250,MATCH(B132,'NOTES CE2-CM1'!$B$10:$B$250,0)))),""))</f>
        <v/>
      </c>
      <c r="J132" s="81" t="str">
        <f aca="false">IF(COUNT(G132:I132)=0,"",ROUND(AVERAGE(G132:I132),2))</f>
        <v/>
      </c>
      <c r="K132" s="80" t="str">
        <f aca="false">IF(B132="","",IFERROR(IF(LEFT(E132,2)="CP",INDEX('NOTES CP'!$AT$10:$AT$250,MATCH(B132,'NOTES CP'!$B$10:$B$250,0)),IF(E132="CE1",INDEX('NOTES CE1'!$AH$10:$AH$250,MATCH(B132,'NOTES CE1'!$B$10:$B$250,0)),INDEX('NOTES CE2-CM1'!$AH$10:$AH$250,MATCH(B132,'NOTES CE2-CM1'!$B$10:$B$250,0)))),""))</f>
        <v/>
      </c>
      <c r="L132" s="82" t="str">
        <f aca="false">IF(OR(J132="",K132=""),"",ROUND((J132+2*K132)/3,2))</f>
        <v/>
      </c>
      <c r="M132" s="83" t="str">
        <f aca="false">IF(E132="","",IFERROR(INDEX(PARAMETRES!$D$18:$D$23,MATCH(E132,PARAMETRES!$B$18:$B$23,0)),""))</f>
        <v/>
      </c>
      <c r="N132" s="81" t="str">
        <f aca="false">IF(E132="","",IFERROR(INDEX(PARAMETRES!$C$18:$C$23,MATCH(E132,PARAMETRES!$B$18:$B$23,0)),""))</f>
        <v/>
      </c>
      <c r="O132" s="45" t="str">
        <f aca="false">IF(B132="","",IF(F132="ABANDON","ABANDON",IF(F132="TRANSFERE","TRANSFERE",IF(L132="","",IF(L132&gt;=N132,"ADMIS","REDOUBLE")))))</f>
        <v/>
      </c>
      <c r="P132" s="73" t="str">
        <f aca="false">IF(OR(L132="",F132&lt;&gt;"PRESENT"),"",COUNTIFS($E$10:$E$250,E132,$F$10:$F$250,"PRESENT",$L$10:$L$250,"&gt;"&amp;L132)+1)</f>
        <v/>
      </c>
      <c r="Q132" s="74" t="str">
        <f aca="false">IF(O132="ADMIS",IF(L132/M132*10&gt;=8,"Très bien",IF(L132/M132*10&gt;=7,"Bien",IF(L132/M132*10&gt;=6,"Assez bien","Passable"))),IF(O132="REDOUBLE","Insuffisant",""))</f>
        <v/>
      </c>
      <c r="R132" s="51" t="str">
        <f aca="false">IFERROR(MATCH("P-123",'REGISTRE ELEVES'!$AH$10:$AH$250,0),"")</f>
        <v/>
      </c>
    </row>
    <row r="133" customFormat="false" ht="15" hidden="false" customHeight="false" outlineLevel="0" collapsed="false">
      <c r="A133" s="45" t="str">
        <f aca="false">IF(B133="","",124)</f>
        <v/>
      </c>
      <c r="B133" s="45" t="str">
        <f aca="false">IF($R133="","",INDEX('REGISTRE ELEVES'!$B$10:$B$250,$R133))</f>
        <v/>
      </c>
      <c r="C133" s="74" t="str">
        <f aca="false">IF($R133="","",INDEX('REGISTRE ELEVES'!$D$10:$D$250,$R133))</f>
        <v/>
      </c>
      <c r="D133" s="45" t="str">
        <f aca="false">IF($R133="","",INDEX('REGISTRE ELEVES'!$E$10:$E$250,$R133))</f>
        <v/>
      </c>
      <c r="E133" s="45" t="str">
        <f aca="false">IF($R133="","",INDEX('REGISTRE ELEVES'!$F$10:$F$250,$R133))</f>
        <v/>
      </c>
      <c r="F133" s="45" t="str">
        <f aca="false">IF($R133="","",INDEX('REGISTRE ELEVES'!$AE$10:$AE$250,$R133))</f>
        <v/>
      </c>
      <c r="G133" s="80" t="str">
        <f aca="false">IF(B133="","",IFERROR(IF(LEFT(E133,2)="CP",INDEX('NOTES CP'!$P$10:$P$250,MATCH(B133,'NOTES CP'!$B$10:$B$250,0)),IF(E133="CE1",INDEX('NOTES CE1'!$M$10:$M$250,MATCH(B133,'NOTES CE1'!$B$10:$B$250,0)),INDEX('NOTES CE2-CM1'!$M$10:$M$250,MATCH(B133,'NOTES CE2-CM1'!$B$10:$B$250,0)))),""))</f>
        <v/>
      </c>
      <c r="H133" s="80" t="str">
        <f aca="false">IF(B133="","",IFERROR(IF(LEFT(E133,2)="CP",INDEX('NOTES CP'!$Z$10:$Z$250,MATCH(B133,'NOTES CP'!$B$10:$B$250,0)),IF(E133="CE1",INDEX('NOTES CE1'!$T$10:$T$250,MATCH(B133,'NOTES CE1'!$B$10:$B$250,0)),INDEX('NOTES CE2-CM1'!$T$10:$T$250,MATCH(B133,'NOTES CE2-CM1'!$B$10:$B$250,0)))),""))</f>
        <v/>
      </c>
      <c r="I133" s="80" t="str">
        <f aca="false">IF(B133="","",IFERROR(IF(LEFT(E133,2)="CP",INDEX('NOTES CP'!$AJ$10:$AJ$250,MATCH(B133,'NOTES CP'!$B$10:$B$250,0)),IF(E133="CE1",INDEX('NOTES CE1'!$AA$10:$AA$250,MATCH(B133,'NOTES CE1'!$B$10:$B$250,0)),INDEX('NOTES CE2-CM1'!$AA$10:$AA$250,MATCH(B133,'NOTES CE2-CM1'!$B$10:$B$250,0)))),""))</f>
        <v/>
      </c>
      <c r="J133" s="81" t="str">
        <f aca="false">IF(COUNT(G133:I133)=0,"",ROUND(AVERAGE(G133:I133),2))</f>
        <v/>
      </c>
      <c r="K133" s="80" t="str">
        <f aca="false">IF(B133="","",IFERROR(IF(LEFT(E133,2)="CP",INDEX('NOTES CP'!$AT$10:$AT$250,MATCH(B133,'NOTES CP'!$B$10:$B$250,0)),IF(E133="CE1",INDEX('NOTES CE1'!$AH$10:$AH$250,MATCH(B133,'NOTES CE1'!$B$10:$B$250,0)),INDEX('NOTES CE2-CM1'!$AH$10:$AH$250,MATCH(B133,'NOTES CE2-CM1'!$B$10:$B$250,0)))),""))</f>
        <v/>
      </c>
      <c r="L133" s="82" t="str">
        <f aca="false">IF(OR(J133="",K133=""),"",ROUND((J133+2*K133)/3,2))</f>
        <v/>
      </c>
      <c r="M133" s="83" t="str">
        <f aca="false">IF(E133="","",IFERROR(INDEX(PARAMETRES!$D$18:$D$23,MATCH(E133,PARAMETRES!$B$18:$B$23,0)),""))</f>
        <v/>
      </c>
      <c r="N133" s="81" t="str">
        <f aca="false">IF(E133="","",IFERROR(INDEX(PARAMETRES!$C$18:$C$23,MATCH(E133,PARAMETRES!$B$18:$B$23,0)),""))</f>
        <v/>
      </c>
      <c r="O133" s="45" t="str">
        <f aca="false">IF(B133="","",IF(F133="ABANDON","ABANDON",IF(F133="TRANSFERE","TRANSFERE",IF(L133="","",IF(L133&gt;=N133,"ADMIS","REDOUBLE")))))</f>
        <v/>
      </c>
      <c r="P133" s="73" t="str">
        <f aca="false">IF(OR(L133="",F133&lt;&gt;"PRESENT"),"",COUNTIFS($E$10:$E$250,E133,$F$10:$F$250,"PRESENT",$L$10:$L$250,"&gt;"&amp;L133)+1)</f>
        <v/>
      </c>
      <c r="Q133" s="74" t="str">
        <f aca="false">IF(O133="ADMIS",IF(L133/M133*10&gt;=8,"Très bien",IF(L133/M133*10&gt;=7,"Bien",IF(L133/M133*10&gt;=6,"Assez bien","Passable"))),IF(O133="REDOUBLE","Insuffisant",""))</f>
        <v/>
      </c>
      <c r="R133" s="51" t="str">
        <f aca="false">IFERROR(MATCH("P-124",'REGISTRE ELEVES'!$AH$10:$AH$250,0),"")</f>
        <v/>
      </c>
    </row>
    <row r="134" customFormat="false" ht="15" hidden="false" customHeight="false" outlineLevel="0" collapsed="false">
      <c r="A134" s="45" t="str">
        <f aca="false">IF(B134="","",125)</f>
        <v/>
      </c>
      <c r="B134" s="45" t="str">
        <f aca="false">IF($R134="","",INDEX('REGISTRE ELEVES'!$B$10:$B$250,$R134))</f>
        <v/>
      </c>
      <c r="C134" s="74" t="str">
        <f aca="false">IF($R134="","",INDEX('REGISTRE ELEVES'!$D$10:$D$250,$R134))</f>
        <v/>
      </c>
      <c r="D134" s="45" t="str">
        <f aca="false">IF($R134="","",INDEX('REGISTRE ELEVES'!$E$10:$E$250,$R134))</f>
        <v/>
      </c>
      <c r="E134" s="45" t="str">
        <f aca="false">IF($R134="","",INDEX('REGISTRE ELEVES'!$F$10:$F$250,$R134))</f>
        <v/>
      </c>
      <c r="F134" s="45" t="str">
        <f aca="false">IF($R134="","",INDEX('REGISTRE ELEVES'!$AE$10:$AE$250,$R134))</f>
        <v/>
      </c>
      <c r="G134" s="80" t="str">
        <f aca="false">IF(B134="","",IFERROR(IF(LEFT(E134,2)="CP",INDEX('NOTES CP'!$P$10:$P$250,MATCH(B134,'NOTES CP'!$B$10:$B$250,0)),IF(E134="CE1",INDEX('NOTES CE1'!$M$10:$M$250,MATCH(B134,'NOTES CE1'!$B$10:$B$250,0)),INDEX('NOTES CE2-CM1'!$M$10:$M$250,MATCH(B134,'NOTES CE2-CM1'!$B$10:$B$250,0)))),""))</f>
        <v/>
      </c>
      <c r="H134" s="80" t="str">
        <f aca="false">IF(B134="","",IFERROR(IF(LEFT(E134,2)="CP",INDEX('NOTES CP'!$Z$10:$Z$250,MATCH(B134,'NOTES CP'!$B$10:$B$250,0)),IF(E134="CE1",INDEX('NOTES CE1'!$T$10:$T$250,MATCH(B134,'NOTES CE1'!$B$10:$B$250,0)),INDEX('NOTES CE2-CM1'!$T$10:$T$250,MATCH(B134,'NOTES CE2-CM1'!$B$10:$B$250,0)))),""))</f>
        <v/>
      </c>
      <c r="I134" s="80" t="str">
        <f aca="false">IF(B134="","",IFERROR(IF(LEFT(E134,2)="CP",INDEX('NOTES CP'!$AJ$10:$AJ$250,MATCH(B134,'NOTES CP'!$B$10:$B$250,0)),IF(E134="CE1",INDEX('NOTES CE1'!$AA$10:$AA$250,MATCH(B134,'NOTES CE1'!$B$10:$B$250,0)),INDEX('NOTES CE2-CM1'!$AA$10:$AA$250,MATCH(B134,'NOTES CE2-CM1'!$B$10:$B$250,0)))),""))</f>
        <v/>
      </c>
      <c r="J134" s="81" t="str">
        <f aca="false">IF(COUNT(G134:I134)=0,"",ROUND(AVERAGE(G134:I134),2))</f>
        <v/>
      </c>
      <c r="K134" s="80" t="str">
        <f aca="false">IF(B134="","",IFERROR(IF(LEFT(E134,2)="CP",INDEX('NOTES CP'!$AT$10:$AT$250,MATCH(B134,'NOTES CP'!$B$10:$B$250,0)),IF(E134="CE1",INDEX('NOTES CE1'!$AH$10:$AH$250,MATCH(B134,'NOTES CE1'!$B$10:$B$250,0)),INDEX('NOTES CE2-CM1'!$AH$10:$AH$250,MATCH(B134,'NOTES CE2-CM1'!$B$10:$B$250,0)))),""))</f>
        <v/>
      </c>
      <c r="L134" s="82" t="str">
        <f aca="false">IF(OR(J134="",K134=""),"",ROUND((J134+2*K134)/3,2))</f>
        <v/>
      </c>
      <c r="M134" s="83" t="str">
        <f aca="false">IF(E134="","",IFERROR(INDEX(PARAMETRES!$D$18:$D$23,MATCH(E134,PARAMETRES!$B$18:$B$23,0)),""))</f>
        <v/>
      </c>
      <c r="N134" s="81" t="str">
        <f aca="false">IF(E134="","",IFERROR(INDEX(PARAMETRES!$C$18:$C$23,MATCH(E134,PARAMETRES!$B$18:$B$23,0)),""))</f>
        <v/>
      </c>
      <c r="O134" s="45" t="str">
        <f aca="false">IF(B134="","",IF(F134="ABANDON","ABANDON",IF(F134="TRANSFERE","TRANSFERE",IF(L134="","",IF(L134&gt;=N134,"ADMIS","REDOUBLE")))))</f>
        <v/>
      </c>
      <c r="P134" s="73" t="str">
        <f aca="false">IF(OR(L134="",F134&lt;&gt;"PRESENT"),"",COUNTIFS($E$10:$E$250,E134,$F$10:$F$250,"PRESENT",$L$10:$L$250,"&gt;"&amp;L134)+1)</f>
        <v/>
      </c>
      <c r="Q134" s="74" t="str">
        <f aca="false">IF(O134="ADMIS",IF(L134/M134*10&gt;=8,"Très bien",IF(L134/M134*10&gt;=7,"Bien",IF(L134/M134*10&gt;=6,"Assez bien","Passable"))),IF(O134="REDOUBLE","Insuffisant",""))</f>
        <v/>
      </c>
      <c r="R134" s="51" t="str">
        <f aca="false">IFERROR(MATCH("P-125",'REGISTRE ELEVES'!$AH$10:$AH$250,0),"")</f>
        <v/>
      </c>
    </row>
    <row r="135" customFormat="false" ht="15" hidden="false" customHeight="false" outlineLevel="0" collapsed="false">
      <c r="A135" s="45" t="str">
        <f aca="false">IF(B135="","",126)</f>
        <v/>
      </c>
      <c r="B135" s="45" t="str">
        <f aca="false">IF($R135="","",INDEX('REGISTRE ELEVES'!$B$10:$B$250,$R135))</f>
        <v/>
      </c>
      <c r="C135" s="74" t="str">
        <f aca="false">IF($R135="","",INDEX('REGISTRE ELEVES'!$D$10:$D$250,$R135))</f>
        <v/>
      </c>
      <c r="D135" s="45" t="str">
        <f aca="false">IF($R135="","",INDEX('REGISTRE ELEVES'!$E$10:$E$250,$R135))</f>
        <v/>
      </c>
      <c r="E135" s="45" t="str">
        <f aca="false">IF($R135="","",INDEX('REGISTRE ELEVES'!$F$10:$F$250,$R135))</f>
        <v/>
      </c>
      <c r="F135" s="45" t="str">
        <f aca="false">IF($R135="","",INDEX('REGISTRE ELEVES'!$AE$10:$AE$250,$R135))</f>
        <v/>
      </c>
      <c r="G135" s="80" t="str">
        <f aca="false">IF(B135="","",IFERROR(IF(LEFT(E135,2)="CP",INDEX('NOTES CP'!$P$10:$P$250,MATCH(B135,'NOTES CP'!$B$10:$B$250,0)),IF(E135="CE1",INDEX('NOTES CE1'!$M$10:$M$250,MATCH(B135,'NOTES CE1'!$B$10:$B$250,0)),INDEX('NOTES CE2-CM1'!$M$10:$M$250,MATCH(B135,'NOTES CE2-CM1'!$B$10:$B$250,0)))),""))</f>
        <v/>
      </c>
      <c r="H135" s="80" t="str">
        <f aca="false">IF(B135="","",IFERROR(IF(LEFT(E135,2)="CP",INDEX('NOTES CP'!$Z$10:$Z$250,MATCH(B135,'NOTES CP'!$B$10:$B$250,0)),IF(E135="CE1",INDEX('NOTES CE1'!$T$10:$T$250,MATCH(B135,'NOTES CE1'!$B$10:$B$250,0)),INDEX('NOTES CE2-CM1'!$T$10:$T$250,MATCH(B135,'NOTES CE2-CM1'!$B$10:$B$250,0)))),""))</f>
        <v/>
      </c>
      <c r="I135" s="80" t="str">
        <f aca="false">IF(B135="","",IFERROR(IF(LEFT(E135,2)="CP",INDEX('NOTES CP'!$AJ$10:$AJ$250,MATCH(B135,'NOTES CP'!$B$10:$B$250,0)),IF(E135="CE1",INDEX('NOTES CE1'!$AA$10:$AA$250,MATCH(B135,'NOTES CE1'!$B$10:$B$250,0)),INDEX('NOTES CE2-CM1'!$AA$10:$AA$250,MATCH(B135,'NOTES CE2-CM1'!$B$10:$B$250,0)))),""))</f>
        <v/>
      </c>
      <c r="J135" s="81" t="str">
        <f aca="false">IF(COUNT(G135:I135)=0,"",ROUND(AVERAGE(G135:I135),2))</f>
        <v/>
      </c>
      <c r="K135" s="80" t="str">
        <f aca="false">IF(B135="","",IFERROR(IF(LEFT(E135,2)="CP",INDEX('NOTES CP'!$AT$10:$AT$250,MATCH(B135,'NOTES CP'!$B$10:$B$250,0)),IF(E135="CE1",INDEX('NOTES CE1'!$AH$10:$AH$250,MATCH(B135,'NOTES CE1'!$B$10:$B$250,0)),INDEX('NOTES CE2-CM1'!$AH$10:$AH$250,MATCH(B135,'NOTES CE2-CM1'!$B$10:$B$250,0)))),""))</f>
        <v/>
      </c>
      <c r="L135" s="82" t="str">
        <f aca="false">IF(OR(J135="",K135=""),"",ROUND((J135+2*K135)/3,2))</f>
        <v/>
      </c>
      <c r="M135" s="83" t="str">
        <f aca="false">IF(E135="","",IFERROR(INDEX(PARAMETRES!$D$18:$D$23,MATCH(E135,PARAMETRES!$B$18:$B$23,0)),""))</f>
        <v/>
      </c>
      <c r="N135" s="81" t="str">
        <f aca="false">IF(E135="","",IFERROR(INDEX(PARAMETRES!$C$18:$C$23,MATCH(E135,PARAMETRES!$B$18:$B$23,0)),""))</f>
        <v/>
      </c>
      <c r="O135" s="45" t="str">
        <f aca="false">IF(B135="","",IF(F135="ABANDON","ABANDON",IF(F135="TRANSFERE","TRANSFERE",IF(L135="","",IF(L135&gt;=N135,"ADMIS","REDOUBLE")))))</f>
        <v/>
      </c>
      <c r="P135" s="73" t="str">
        <f aca="false">IF(OR(L135="",F135&lt;&gt;"PRESENT"),"",COUNTIFS($E$10:$E$250,E135,$F$10:$F$250,"PRESENT",$L$10:$L$250,"&gt;"&amp;L135)+1)</f>
        <v/>
      </c>
      <c r="Q135" s="74" t="str">
        <f aca="false">IF(O135="ADMIS",IF(L135/M135*10&gt;=8,"Très bien",IF(L135/M135*10&gt;=7,"Bien",IF(L135/M135*10&gt;=6,"Assez bien","Passable"))),IF(O135="REDOUBLE","Insuffisant",""))</f>
        <v/>
      </c>
      <c r="R135" s="51" t="str">
        <f aca="false">IFERROR(MATCH("P-126",'REGISTRE ELEVES'!$AH$10:$AH$250,0),"")</f>
        <v/>
      </c>
    </row>
    <row r="136" customFormat="false" ht="15" hidden="false" customHeight="false" outlineLevel="0" collapsed="false">
      <c r="A136" s="45" t="str">
        <f aca="false">IF(B136="","",127)</f>
        <v/>
      </c>
      <c r="B136" s="45" t="str">
        <f aca="false">IF($R136="","",INDEX('REGISTRE ELEVES'!$B$10:$B$250,$R136))</f>
        <v/>
      </c>
      <c r="C136" s="74" t="str">
        <f aca="false">IF($R136="","",INDEX('REGISTRE ELEVES'!$D$10:$D$250,$R136))</f>
        <v/>
      </c>
      <c r="D136" s="45" t="str">
        <f aca="false">IF($R136="","",INDEX('REGISTRE ELEVES'!$E$10:$E$250,$R136))</f>
        <v/>
      </c>
      <c r="E136" s="45" t="str">
        <f aca="false">IF($R136="","",INDEX('REGISTRE ELEVES'!$F$10:$F$250,$R136))</f>
        <v/>
      </c>
      <c r="F136" s="45" t="str">
        <f aca="false">IF($R136="","",INDEX('REGISTRE ELEVES'!$AE$10:$AE$250,$R136))</f>
        <v/>
      </c>
      <c r="G136" s="80" t="str">
        <f aca="false">IF(B136="","",IFERROR(IF(LEFT(E136,2)="CP",INDEX('NOTES CP'!$P$10:$P$250,MATCH(B136,'NOTES CP'!$B$10:$B$250,0)),IF(E136="CE1",INDEX('NOTES CE1'!$M$10:$M$250,MATCH(B136,'NOTES CE1'!$B$10:$B$250,0)),INDEX('NOTES CE2-CM1'!$M$10:$M$250,MATCH(B136,'NOTES CE2-CM1'!$B$10:$B$250,0)))),""))</f>
        <v/>
      </c>
      <c r="H136" s="80" t="str">
        <f aca="false">IF(B136="","",IFERROR(IF(LEFT(E136,2)="CP",INDEX('NOTES CP'!$Z$10:$Z$250,MATCH(B136,'NOTES CP'!$B$10:$B$250,0)),IF(E136="CE1",INDEX('NOTES CE1'!$T$10:$T$250,MATCH(B136,'NOTES CE1'!$B$10:$B$250,0)),INDEX('NOTES CE2-CM1'!$T$10:$T$250,MATCH(B136,'NOTES CE2-CM1'!$B$10:$B$250,0)))),""))</f>
        <v/>
      </c>
      <c r="I136" s="80" t="str">
        <f aca="false">IF(B136="","",IFERROR(IF(LEFT(E136,2)="CP",INDEX('NOTES CP'!$AJ$10:$AJ$250,MATCH(B136,'NOTES CP'!$B$10:$B$250,0)),IF(E136="CE1",INDEX('NOTES CE1'!$AA$10:$AA$250,MATCH(B136,'NOTES CE1'!$B$10:$B$250,0)),INDEX('NOTES CE2-CM1'!$AA$10:$AA$250,MATCH(B136,'NOTES CE2-CM1'!$B$10:$B$250,0)))),""))</f>
        <v/>
      </c>
      <c r="J136" s="81" t="str">
        <f aca="false">IF(COUNT(G136:I136)=0,"",ROUND(AVERAGE(G136:I136),2))</f>
        <v/>
      </c>
      <c r="K136" s="80" t="str">
        <f aca="false">IF(B136="","",IFERROR(IF(LEFT(E136,2)="CP",INDEX('NOTES CP'!$AT$10:$AT$250,MATCH(B136,'NOTES CP'!$B$10:$B$250,0)),IF(E136="CE1",INDEX('NOTES CE1'!$AH$10:$AH$250,MATCH(B136,'NOTES CE1'!$B$10:$B$250,0)),INDEX('NOTES CE2-CM1'!$AH$10:$AH$250,MATCH(B136,'NOTES CE2-CM1'!$B$10:$B$250,0)))),""))</f>
        <v/>
      </c>
      <c r="L136" s="82" t="str">
        <f aca="false">IF(OR(J136="",K136=""),"",ROUND((J136+2*K136)/3,2))</f>
        <v/>
      </c>
      <c r="M136" s="83" t="str">
        <f aca="false">IF(E136="","",IFERROR(INDEX(PARAMETRES!$D$18:$D$23,MATCH(E136,PARAMETRES!$B$18:$B$23,0)),""))</f>
        <v/>
      </c>
      <c r="N136" s="81" t="str">
        <f aca="false">IF(E136="","",IFERROR(INDEX(PARAMETRES!$C$18:$C$23,MATCH(E136,PARAMETRES!$B$18:$B$23,0)),""))</f>
        <v/>
      </c>
      <c r="O136" s="45" t="str">
        <f aca="false">IF(B136="","",IF(F136="ABANDON","ABANDON",IF(F136="TRANSFERE","TRANSFERE",IF(L136="","",IF(L136&gt;=N136,"ADMIS","REDOUBLE")))))</f>
        <v/>
      </c>
      <c r="P136" s="73" t="str">
        <f aca="false">IF(OR(L136="",F136&lt;&gt;"PRESENT"),"",COUNTIFS($E$10:$E$250,E136,$F$10:$F$250,"PRESENT",$L$10:$L$250,"&gt;"&amp;L136)+1)</f>
        <v/>
      </c>
      <c r="Q136" s="74" t="str">
        <f aca="false">IF(O136="ADMIS",IF(L136/M136*10&gt;=8,"Très bien",IF(L136/M136*10&gt;=7,"Bien",IF(L136/M136*10&gt;=6,"Assez bien","Passable"))),IF(O136="REDOUBLE","Insuffisant",""))</f>
        <v/>
      </c>
      <c r="R136" s="51" t="str">
        <f aca="false">IFERROR(MATCH("P-127",'REGISTRE ELEVES'!$AH$10:$AH$250,0),"")</f>
        <v/>
      </c>
    </row>
    <row r="137" customFormat="false" ht="15" hidden="false" customHeight="false" outlineLevel="0" collapsed="false">
      <c r="A137" s="45" t="str">
        <f aca="false">IF(B137="","",128)</f>
        <v/>
      </c>
      <c r="B137" s="45" t="str">
        <f aca="false">IF($R137="","",INDEX('REGISTRE ELEVES'!$B$10:$B$250,$R137))</f>
        <v/>
      </c>
      <c r="C137" s="74" t="str">
        <f aca="false">IF($R137="","",INDEX('REGISTRE ELEVES'!$D$10:$D$250,$R137))</f>
        <v/>
      </c>
      <c r="D137" s="45" t="str">
        <f aca="false">IF($R137="","",INDEX('REGISTRE ELEVES'!$E$10:$E$250,$R137))</f>
        <v/>
      </c>
      <c r="E137" s="45" t="str">
        <f aca="false">IF($R137="","",INDEX('REGISTRE ELEVES'!$F$10:$F$250,$R137))</f>
        <v/>
      </c>
      <c r="F137" s="45" t="str">
        <f aca="false">IF($R137="","",INDEX('REGISTRE ELEVES'!$AE$10:$AE$250,$R137))</f>
        <v/>
      </c>
      <c r="G137" s="80" t="str">
        <f aca="false">IF(B137="","",IFERROR(IF(LEFT(E137,2)="CP",INDEX('NOTES CP'!$P$10:$P$250,MATCH(B137,'NOTES CP'!$B$10:$B$250,0)),IF(E137="CE1",INDEX('NOTES CE1'!$M$10:$M$250,MATCH(B137,'NOTES CE1'!$B$10:$B$250,0)),INDEX('NOTES CE2-CM1'!$M$10:$M$250,MATCH(B137,'NOTES CE2-CM1'!$B$10:$B$250,0)))),""))</f>
        <v/>
      </c>
      <c r="H137" s="80" t="str">
        <f aca="false">IF(B137="","",IFERROR(IF(LEFT(E137,2)="CP",INDEX('NOTES CP'!$Z$10:$Z$250,MATCH(B137,'NOTES CP'!$B$10:$B$250,0)),IF(E137="CE1",INDEX('NOTES CE1'!$T$10:$T$250,MATCH(B137,'NOTES CE1'!$B$10:$B$250,0)),INDEX('NOTES CE2-CM1'!$T$10:$T$250,MATCH(B137,'NOTES CE2-CM1'!$B$10:$B$250,0)))),""))</f>
        <v/>
      </c>
      <c r="I137" s="80" t="str">
        <f aca="false">IF(B137="","",IFERROR(IF(LEFT(E137,2)="CP",INDEX('NOTES CP'!$AJ$10:$AJ$250,MATCH(B137,'NOTES CP'!$B$10:$B$250,0)),IF(E137="CE1",INDEX('NOTES CE1'!$AA$10:$AA$250,MATCH(B137,'NOTES CE1'!$B$10:$B$250,0)),INDEX('NOTES CE2-CM1'!$AA$10:$AA$250,MATCH(B137,'NOTES CE2-CM1'!$B$10:$B$250,0)))),""))</f>
        <v/>
      </c>
      <c r="J137" s="81" t="str">
        <f aca="false">IF(COUNT(G137:I137)=0,"",ROUND(AVERAGE(G137:I137),2))</f>
        <v/>
      </c>
      <c r="K137" s="80" t="str">
        <f aca="false">IF(B137="","",IFERROR(IF(LEFT(E137,2)="CP",INDEX('NOTES CP'!$AT$10:$AT$250,MATCH(B137,'NOTES CP'!$B$10:$B$250,0)),IF(E137="CE1",INDEX('NOTES CE1'!$AH$10:$AH$250,MATCH(B137,'NOTES CE1'!$B$10:$B$250,0)),INDEX('NOTES CE2-CM1'!$AH$10:$AH$250,MATCH(B137,'NOTES CE2-CM1'!$B$10:$B$250,0)))),""))</f>
        <v/>
      </c>
      <c r="L137" s="82" t="str">
        <f aca="false">IF(OR(J137="",K137=""),"",ROUND((J137+2*K137)/3,2))</f>
        <v/>
      </c>
      <c r="M137" s="83" t="str">
        <f aca="false">IF(E137="","",IFERROR(INDEX(PARAMETRES!$D$18:$D$23,MATCH(E137,PARAMETRES!$B$18:$B$23,0)),""))</f>
        <v/>
      </c>
      <c r="N137" s="81" t="str">
        <f aca="false">IF(E137="","",IFERROR(INDEX(PARAMETRES!$C$18:$C$23,MATCH(E137,PARAMETRES!$B$18:$B$23,0)),""))</f>
        <v/>
      </c>
      <c r="O137" s="45" t="str">
        <f aca="false">IF(B137="","",IF(F137="ABANDON","ABANDON",IF(F137="TRANSFERE","TRANSFERE",IF(L137="","",IF(L137&gt;=N137,"ADMIS","REDOUBLE")))))</f>
        <v/>
      </c>
      <c r="P137" s="73" t="str">
        <f aca="false">IF(OR(L137="",F137&lt;&gt;"PRESENT"),"",COUNTIFS($E$10:$E$250,E137,$F$10:$F$250,"PRESENT",$L$10:$L$250,"&gt;"&amp;L137)+1)</f>
        <v/>
      </c>
      <c r="Q137" s="74" t="str">
        <f aca="false">IF(O137="ADMIS",IF(L137/M137*10&gt;=8,"Très bien",IF(L137/M137*10&gt;=7,"Bien",IF(L137/M137*10&gt;=6,"Assez bien","Passable"))),IF(O137="REDOUBLE","Insuffisant",""))</f>
        <v/>
      </c>
      <c r="R137" s="51" t="str">
        <f aca="false">IFERROR(MATCH("P-128",'REGISTRE ELEVES'!$AH$10:$AH$250,0),"")</f>
        <v/>
      </c>
    </row>
    <row r="138" customFormat="false" ht="15" hidden="false" customHeight="false" outlineLevel="0" collapsed="false">
      <c r="A138" s="45" t="str">
        <f aca="false">IF(B138="","",129)</f>
        <v/>
      </c>
      <c r="B138" s="45" t="str">
        <f aca="false">IF($R138="","",INDEX('REGISTRE ELEVES'!$B$10:$B$250,$R138))</f>
        <v/>
      </c>
      <c r="C138" s="74" t="str">
        <f aca="false">IF($R138="","",INDEX('REGISTRE ELEVES'!$D$10:$D$250,$R138))</f>
        <v/>
      </c>
      <c r="D138" s="45" t="str">
        <f aca="false">IF($R138="","",INDEX('REGISTRE ELEVES'!$E$10:$E$250,$R138))</f>
        <v/>
      </c>
      <c r="E138" s="45" t="str">
        <f aca="false">IF($R138="","",INDEX('REGISTRE ELEVES'!$F$10:$F$250,$R138))</f>
        <v/>
      </c>
      <c r="F138" s="45" t="str">
        <f aca="false">IF($R138="","",INDEX('REGISTRE ELEVES'!$AE$10:$AE$250,$R138))</f>
        <v/>
      </c>
      <c r="G138" s="80" t="str">
        <f aca="false">IF(B138="","",IFERROR(IF(LEFT(E138,2)="CP",INDEX('NOTES CP'!$P$10:$P$250,MATCH(B138,'NOTES CP'!$B$10:$B$250,0)),IF(E138="CE1",INDEX('NOTES CE1'!$M$10:$M$250,MATCH(B138,'NOTES CE1'!$B$10:$B$250,0)),INDEX('NOTES CE2-CM1'!$M$10:$M$250,MATCH(B138,'NOTES CE2-CM1'!$B$10:$B$250,0)))),""))</f>
        <v/>
      </c>
      <c r="H138" s="80" t="str">
        <f aca="false">IF(B138="","",IFERROR(IF(LEFT(E138,2)="CP",INDEX('NOTES CP'!$Z$10:$Z$250,MATCH(B138,'NOTES CP'!$B$10:$B$250,0)),IF(E138="CE1",INDEX('NOTES CE1'!$T$10:$T$250,MATCH(B138,'NOTES CE1'!$B$10:$B$250,0)),INDEX('NOTES CE2-CM1'!$T$10:$T$250,MATCH(B138,'NOTES CE2-CM1'!$B$10:$B$250,0)))),""))</f>
        <v/>
      </c>
      <c r="I138" s="80" t="str">
        <f aca="false">IF(B138="","",IFERROR(IF(LEFT(E138,2)="CP",INDEX('NOTES CP'!$AJ$10:$AJ$250,MATCH(B138,'NOTES CP'!$B$10:$B$250,0)),IF(E138="CE1",INDEX('NOTES CE1'!$AA$10:$AA$250,MATCH(B138,'NOTES CE1'!$B$10:$B$250,0)),INDEX('NOTES CE2-CM1'!$AA$10:$AA$250,MATCH(B138,'NOTES CE2-CM1'!$B$10:$B$250,0)))),""))</f>
        <v/>
      </c>
      <c r="J138" s="81" t="str">
        <f aca="false">IF(COUNT(G138:I138)=0,"",ROUND(AVERAGE(G138:I138),2))</f>
        <v/>
      </c>
      <c r="K138" s="80" t="str">
        <f aca="false">IF(B138="","",IFERROR(IF(LEFT(E138,2)="CP",INDEX('NOTES CP'!$AT$10:$AT$250,MATCH(B138,'NOTES CP'!$B$10:$B$250,0)),IF(E138="CE1",INDEX('NOTES CE1'!$AH$10:$AH$250,MATCH(B138,'NOTES CE1'!$B$10:$B$250,0)),INDEX('NOTES CE2-CM1'!$AH$10:$AH$250,MATCH(B138,'NOTES CE2-CM1'!$B$10:$B$250,0)))),""))</f>
        <v/>
      </c>
      <c r="L138" s="82" t="str">
        <f aca="false">IF(OR(J138="",K138=""),"",ROUND((J138+2*K138)/3,2))</f>
        <v/>
      </c>
      <c r="M138" s="83" t="str">
        <f aca="false">IF(E138="","",IFERROR(INDEX(PARAMETRES!$D$18:$D$23,MATCH(E138,PARAMETRES!$B$18:$B$23,0)),""))</f>
        <v/>
      </c>
      <c r="N138" s="81" t="str">
        <f aca="false">IF(E138="","",IFERROR(INDEX(PARAMETRES!$C$18:$C$23,MATCH(E138,PARAMETRES!$B$18:$B$23,0)),""))</f>
        <v/>
      </c>
      <c r="O138" s="45" t="str">
        <f aca="false">IF(B138="","",IF(F138="ABANDON","ABANDON",IF(F138="TRANSFERE","TRANSFERE",IF(L138="","",IF(L138&gt;=N138,"ADMIS","REDOUBLE")))))</f>
        <v/>
      </c>
      <c r="P138" s="73" t="str">
        <f aca="false">IF(OR(L138="",F138&lt;&gt;"PRESENT"),"",COUNTIFS($E$10:$E$250,E138,$F$10:$F$250,"PRESENT",$L$10:$L$250,"&gt;"&amp;L138)+1)</f>
        <v/>
      </c>
      <c r="Q138" s="74" t="str">
        <f aca="false">IF(O138="ADMIS",IF(L138/M138*10&gt;=8,"Très bien",IF(L138/M138*10&gt;=7,"Bien",IF(L138/M138*10&gt;=6,"Assez bien","Passable"))),IF(O138="REDOUBLE","Insuffisant",""))</f>
        <v/>
      </c>
      <c r="R138" s="51" t="str">
        <f aca="false">IFERROR(MATCH("P-129",'REGISTRE ELEVES'!$AH$10:$AH$250,0),"")</f>
        <v/>
      </c>
    </row>
    <row r="139" customFormat="false" ht="15" hidden="false" customHeight="false" outlineLevel="0" collapsed="false">
      <c r="A139" s="45" t="str">
        <f aca="false">IF(B139="","",130)</f>
        <v/>
      </c>
      <c r="B139" s="45" t="str">
        <f aca="false">IF($R139="","",INDEX('REGISTRE ELEVES'!$B$10:$B$250,$R139))</f>
        <v/>
      </c>
      <c r="C139" s="74" t="str">
        <f aca="false">IF($R139="","",INDEX('REGISTRE ELEVES'!$D$10:$D$250,$R139))</f>
        <v/>
      </c>
      <c r="D139" s="45" t="str">
        <f aca="false">IF($R139="","",INDEX('REGISTRE ELEVES'!$E$10:$E$250,$R139))</f>
        <v/>
      </c>
      <c r="E139" s="45" t="str">
        <f aca="false">IF($R139="","",INDEX('REGISTRE ELEVES'!$F$10:$F$250,$R139))</f>
        <v/>
      </c>
      <c r="F139" s="45" t="str">
        <f aca="false">IF($R139="","",INDEX('REGISTRE ELEVES'!$AE$10:$AE$250,$R139))</f>
        <v/>
      </c>
      <c r="G139" s="80" t="str">
        <f aca="false">IF(B139="","",IFERROR(IF(LEFT(E139,2)="CP",INDEX('NOTES CP'!$P$10:$P$250,MATCH(B139,'NOTES CP'!$B$10:$B$250,0)),IF(E139="CE1",INDEX('NOTES CE1'!$M$10:$M$250,MATCH(B139,'NOTES CE1'!$B$10:$B$250,0)),INDEX('NOTES CE2-CM1'!$M$10:$M$250,MATCH(B139,'NOTES CE2-CM1'!$B$10:$B$250,0)))),""))</f>
        <v/>
      </c>
      <c r="H139" s="80" t="str">
        <f aca="false">IF(B139="","",IFERROR(IF(LEFT(E139,2)="CP",INDEX('NOTES CP'!$Z$10:$Z$250,MATCH(B139,'NOTES CP'!$B$10:$B$250,0)),IF(E139="CE1",INDEX('NOTES CE1'!$T$10:$T$250,MATCH(B139,'NOTES CE1'!$B$10:$B$250,0)),INDEX('NOTES CE2-CM1'!$T$10:$T$250,MATCH(B139,'NOTES CE2-CM1'!$B$10:$B$250,0)))),""))</f>
        <v/>
      </c>
      <c r="I139" s="80" t="str">
        <f aca="false">IF(B139="","",IFERROR(IF(LEFT(E139,2)="CP",INDEX('NOTES CP'!$AJ$10:$AJ$250,MATCH(B139,'NOTES CP'!$B$10:$B$250,0)),IF(E139="CE1",INDEX('NOTES CE1'!$AA$10:$AA$250,MATCH(B139,'NOTES CE1'!$B$10:$B$250,0)),INDEX('NOTES CE2-CM1'!$AA$10:$AA$250,MATCH(B139,'NOTES CE2-CM1'!$B$10:$B$250,0)))),""))</f>
        <v/>
      </c>
      <c r="J139" s="81" t="str">
        <f aca="false">IF(COUNT(G139:I139)=0,"",ROUND(AVERAGE(G139:I139),2))</f>
        <v/>
      </c>
      <c r="K139" s="80" t="str">
        <f aca="false">IF(B139="","",IFERROR(IF(LEFT(E139,2)="CP",INDEX('NOTES CP'!$AT$10:$AT$250,MATCH(B139,'NOTES CP'!$B$10:$B$250,0)),IF(E139="CE1",INDEX('NOTES CE1'!$AH$10:$AH$250,MATCH(B139,'NOTES CE1'!$B$10:$B$250,0)),INDEX('NOTES CE2-CM1'!$AH$10:$AH$250,MATCH(B139,'NOTES CE2-CM1'!$B$10:$B$250,0)))),""))</f>
        <v/>
      </c>
      <c r="L139" s="82" t="str">
        <f aca="false">IF(OR(J139="",K139=""),"",ROUND((J139+2*K139)/3,2))</f>
        <v/>
      </c>
      <c r="M139" s="83" t="str">
        <f aca="false">IF(E139="","",IFERROR(INDEX(PARAMETRES!$D$18:$D$23,MATCH(E139,PARAMETRES!$B$18:$B$23,0)),""))</f>
        <v/>
      </c>
      <c r="N139" s="81" t="str">
        <f aca="false">IF(E139="","",IFERROR(INDEX(PARAMETRES!$C$18:$C$23,MATCH(E139,PARAMETRES!$B$18:$B$23,0)),""))</f>
        <v/>
      </c>
      <c r="O139" s="45" t="str">
        <f aca="false">IF(B139="","",IF(F139="ABANDON","ABANDON",IF(F139="TRANSFERE","TRANSFERE",IF(L139="","",IF(L139&gt;=N139,"ADMIS","REDOUBLE")))))</f>
        <v/>
      </c>
      <c r="P139" s="73" t="str">
        <f aca="false">IF(OR(L139="",F139&lt;&gt;"PRESENT"),"",COUNTIFS($E$10:$E$250,E139,$F$10:$F$250,"PRESENT",$L$10:$L$250,"&gt;"&amp;L139)+1)</f>
        <v/>
      </c>
      <c r="Q139" s="74" t="str">
        <f aca="false">IF(O139="ADMIS",IF(L139/M139*10&gt;=8,"Très bien",IF(L139/M139*10&gt;=7,"Bien",IF(L139/M139*10&gt;=6,"Assez bien","Passable"))),IF(O139="REDOUBLE","Insuffisant",""))</f>
        <v/>
      </c>
      <c r="R139" s="51" t="str">
        <f aca="false">IFERROR(MATCH("P-130",'REGISTRE ELEVES'!$AH$10:$AH$250,0),"")</f>
        <v/>
      </c>
    </row>
    <row r="140" customFormat="false" ht="15" hidden="false" customHeight="false" outlineLevel="0" collapsed="false">
      <c r="A140" s="45" t="str">
        <f aca="false">IF(B140="","",131)</f>
        <v/>
      </c>
      <c r="B140" s="45" t="str">
        <f aca="false">IF($R140="","",INDEX('REGISTRE ELEVES'!$B$10:$B$250,$R140))</f>
        <v/>
      </c>
      <c r="C140" s="74" t="str">
        <f aca="false">IF($R140="","",INDEX('REGISTRE ELEVES'!$D$10:$D$250,$R140))</f>
        <v/>
      </c>
      <c r="D140" s="45" t="str">
        <f aca="false">IF($R140="","",INDEX('REGISTRE ELEVES'!$E$10:$E$250,$R140))</f>
        <v/>
      </c>
      <c r="E140" s="45" t="str">
        <f aca="false">IF($R140="","",INDEX('REGISTRE ELEVES'!$F$10:$F$250,$R140))</f>
        <v/>
      </c>
      <c r="F140" s="45" t="str">
        <f aca="false">IF($R140="","",INDEX('REGISTRE ELEVES'!$AE$10:$AE$250,$R140))</f>
        <v/>
      </c>
      <c r="G140" s="80" t="str">
        <f aca="false">IF(B140="","",IFERROR(IF(LEFT(E140,2)="CP",INDEX('NOTES CP'!$P$10:$P$250,MATCH(B140,'NOTES CP'!$B$10:$B$250,0)),IF(E140="CE1",INDEX('NOTES CE1'!$M$10:$M$250,MATCH(B140,'NOTES CE1'!$B$10:$B$250,0)),INDEX('NOTES CE2-CM1'!$M$10:$M$250,MATCH(B140,'NOTES CE2-CM1'!$B$10:$B$250,0)))),""))</f>
        <v/>
      </c>
      <c r="H140" s="80" t="str">
        <f aca="false">IF(B140="","",IFERROR(IF(LEFT(E140,2)="CP",INDEX('NOTES CP'!$Z$10:$Z$250,MATCH(B140,'NOTES CP'!$B$10:$B$250,0)),IF(E140="CE1",INDEX('NOTES CE1'!$T$10:$T$250,MATCH(B140,'NOTES CE1'!$B$10:$B$250,0)),INDEX('NOTES CE2-CM1'!$T$10:$T$250,MATCH(B140,'NOTES CE2-CM1'!$B$10:$B$250,0)))),""))</f>
        <v/>
      </c>
      <c r="I140" s="80" t="str">
        <f aca="false">IF(B140="","",IFERROR(IF(LEFT(E140,2)="CP",INDEX('NOTES CP'!$AJ$10:$AJ$250,MATCH(B140,'NOTES CP'!$B$10:$B$250,0)),IF(E140="CE1",INDEX('NOTES CE1'!$AA$10:$AA$250,MATCH(B140,'NOTES CE1'!$B$10:$B$250,0)),INDEX('NOTES CE2-CM1'!$AA$10:$AA$250,MATCH(B140,'NOTES CE2-CM1'!$B$10:$B$250,0)))),""))</f>
        <v/>
      </c>
      <c r="J140" s="81" t="str">
        <f aca="false">IF(COUNT(G140:I140)=0,"",ROUND(AVERAGE(G140:I140),2))</f>
        <v/>
      </c>
      <c r="K140" s="80" t="str">
        <f aca="false">IF(B140="","",IFERROR(IF(LEFT(E140,2)="CP",INDEX('NOTES CP'!$AT$10:$AT$250,MATCH(B140,'NOTES CP'!$B$10:$B$250,0)),IF(E140="CE1",INDEX('NOTES CE1'!$AH$10:$AH$250,MATCH(B140,'NOTES CE1'!$B$10:$B$250,0)),INDEX('NOTES CE2-CM1'!$AH$10:$AH$250,MATCH(B140,'NOTES CE2-CM1'!$B$10:$B$250,0)))),""))</f>
        <v/>
      </c>
      <c r="L140" s="82" t="str">
        <f aca="false">IF(OR(J140="",K140=""),"",ROUND((J140+2*K140)/3,2))</f>
        <v/>
      </c>
      <c r="M140" s="83" t="str">
        <f aca="false">IF(E140="","",IFERROR(INDEX(PARAMETRES!$D$18:$D$23,MATCH(E140,PARAMETRES!$B$18:$B$23,0)),""))</f>
        <v/>
      </c>
      <c r="N140" s="81" t="str">
        <f aca="false">IF(E140="","",IFERROR(INDEX(PARAMETRES!$C$18:$C$23,MATCH(E140,PARAMETRES!$B$18:$B$23,0)),""))</f>
        <v/>
      </c>
      <c r="O140" s="45" t="str">
        <f aca="false">IF(B140="","",IF(F140="ABANDON","ABANDON",IF(F140="TRANSFERE","TRANSFERE",IF(L140="","",IF(L140&gt;=N140,"ADMIS","REDOUBLE")))))</f>
        <v/>
      </c>
      <c r="P140" s="73" t="str">
        <f aca="false">IF(OR(L140="",F140&lt;&gt;"PRESENT"),"",COUNTIFS($E$10:$E$250,E140,$F$10:$F$250,"PRESENT",$L$10:$L$250,"&gt;"&amp;L140)+1)</f>
        <v/>
      </c>
      <c r="Q140" s="74" t="str">
        <f aca="false">IF(O140="ADMIS",IF(L140/M140*10&gt;=8,"Très bien",IF(L140/M140*10&gt;=7,"Bien",IF(L140/M140*10&gt;=6,"Assez bien","Passable"))),IF(O140="REDOUBLE","Insuffisant",""))</f>
        <v/>
      </c>
      <c r="R140" s="51" t="str">
        <f aca="false">IFERROR(MATCH("P-131",'REGISTRE ELEVES'!$AH$10:$AH$250,0),"")</f>
        <v/>
      </c>
    </row>
    <row r="141" customFormat="false" ht="15" hidden="false" customHeight="false" outlineLevel="0" collapsed="false">
      <c r="A141" s="45" t="str">
        <f aca="false">IF(B141="","",132)</f>
        <v/>
      </c>
      <c r="B141" s="45" t="str">
        <f aca="false">IF($R141="","",INDEX('REGISTRE ELEVES'!$B$10:$B$250,$R141))</f>
        <v/>
      </c>
      <c r="C141" s="74" t="str">
        <f aca="false">IF($R141="","",INDEX('REGISTRE ELEVES'!$D$10:$D$250,$R141))</f>
        <v/>
      </c>
      <c r="D141" s="45" t="str">
        <f aca="false">IF($R141="","",INDEX('REGISTRE ELEVES'!$E$10:$E$250,$R141))</f>
        <v/>
      </c>
      <c r="E141" s="45" t="str">
        <f aca="false">IF($R141="","",INDEX('REGISTRE ELEVES'!$F$10:$F$250,$R141))</f>
        <v/>
      </c>
      <c r="F141" s="45" t="str">
        <f aca="false">IF($R141="","",INDEX('REGISTRE ELEVES'!$AE$10:$AE$250,$R141))</f>
        <v/>
      </c>
      <c r="G141" s="80" t="str">
        <f aca="false">IF(B141="","",IFERROR(IF(LEFT(E141,2)="CP",INDEX('NOTES CP'!$P$10:$P$250,MATCH(B141,'NOTES CP'!$B$10:$B$250,0)),IF(E141="CE1",INDEX('NOTES CE1'!$M$10:$M$250,MATCH(B141,'NOTES CE1'!$B$10:$B$250,0)),INDEX('NOTES CE2-CM1'!$M$10:$M$250,MATCH(B141,'NOTES CE2-CM1'!$B$10:$B$250,0)))),""))</f>
        <v/>
      </c>
      <c r="H141" s="80" t="str">
        <f aca="false">IF(B141="","",IFERROR(IF(LEFT(E141,2)="CP",INDEX('NOTES CP'!$Z$10:$Z$250,MATCH(B141,'NOTES CP'!$B$10:$B$250,0)),IF(E141="CE1",INDEX('NOTES CE1'!$T$10:$T$250,MATCH(B141,'NOTES CE1'!$B$10:$B$250,0)),INDEX('NOTES CE2-CM1'!$T$10:$T$250,MATCH(B141,'NOTES CE2-CM1'!$B$10:$B$250,0)))),""))</f>
        <v/>
      </c>
      <c r="I141" s="80" t="str">
        <f aca="false">IF(B141="","",IFERROR(IF(LEFT(E141,2)="CP",INDEX('NOTES CP'!$AJ$10:$AJ$250,MATCH(B141,'NOTES CP'!$B$10:$B$250,0)),IF(E141="CE1",INDEX('NOTES CE1'!$AA$10:$AA$250,MATCH(B141,'NOTES CE1'!$B$10:$B$250,0)),INDEX('NOTES CE2-CM1'!$AA$10:$AA$250,MATCH(B141,'NOTES CE2-CM1'!$B$10:$B$250,0)))),""))</f>
        <v/>
      </c>
      <c r="J141" s="81" t="str">
        <f aca="false">IF(COUNT(G141:I141)=0,"",ROUND(AVERAGE(G141:I141),2))</f>
        <v/>
      </c>
      <c r="K141" s="80" t="str">
        <f aca="false">IF(B141="","",IFERROR(IF(LEFT(E141,2)="CP",INDEX('NOTES CP'!$AT$10:$AT$250,MATCH(B141,'NOTES CP'!$B$10:$B$250,0)),IF(E141="CE1",INDEX('NOTES CE1'!$AH$10:$AH$250,MATCH(B141,'NOTES CE1'!$B$10:$B$250,0)),INDEX('NOTES CE2-CM1'!$AH$10:$AH$250,MATCH(B141,'NOTES CE2-CM1'!$B$10:$B$250,0)))),""))</f>
        <v/>
      </c>
      <c r="L141" s="82" t="str">
        <f aca="false">IF(OR(J141="",K141=""),"",ROUND((J141+2*K141)/3,2))</f>
        <v/>
      </c>
      <c r="M141" s="83" t="str">
        <f aca="false">IF(E141="","",IFERROR(INDEX(PARAMETRES!$D$18:$D$23,MATCH(E141,PARAMETRES!$B$18:$B$23,0)),""))</f>
        <v/>
      </c>
      <c r="N141" s="81" t="str">
        <f aca="false">IF(E141="","",IFERROR(INDEX(PARAMETRES!$C$18:$C$23,MATCH(E141,PARAMETRES!$B$18:$B$23,0)),""))</f>
        <v/>
      </c>
      <c r="O141" s="45" t="str">
        <f aca="false">IF(B141="","",IF(F141="ABANDON","ABANDON",IF(F141="TRANSFERE","TRANSFERE",IF(L141="","",IF(L141&gt;=N141,"ADMIS","REDOUBLE")))))</f>
        <v/>
      </c>
      <c r="P141" s="73" t="str">
        <f aca="false">IF(OR(L141="",F141&lt;&gt;"PRESENT"),"",COUNTIFS($E$10:$E$250,E141,$F$10:$F$250,"PRESENT",$L$10:$L$250,"&gt;"&amp;L141)+1)</f>
        <v/>
      </c>
      <c r="Q141" s="74" t="str">
        <f aca="false">IF(O141="ADMIS",IF(L141/M141*10&gt;=8,"Très bien",IF(L141/M141*10&gt;=7,"Bien",IF(L141/M141*10&gt;=6,"Assez bien","Passable"))),IF(O141="REDOUBLE","Insuffisant",""))</f>
        <v/>
      </c>
      <c r="R141" s="51" t="str">
        <f aca="false">IFERROR(MATCH("P-132",'REGISTRE ELEVES'!$AH$10:$AH$250,0),"")</f>
        <v/>
      </c>
    </row>
    <row r="142" customFormat="false" ht="15" hidden="false" customHeight="false" outlineLevel="0" collapsed="false">
      <c r="A142" s="45" t="str">
        <f aca="false">IF(B142="","",133)</f>
        <v/>
      </c>
      <c r="B142" s="45" t="str">
        <f aca="false">IF($R142="","",INDEX('REGISTRE ELEVES'!$B$10:$B$250,$R142))</f>
        <v/>
      </c>
      <c r="C142" s="74" t="str">
        <f aca="false">IF($R142="","",INDEX('REGISTRE ELEVES'!$D$10:$D$250,$R142))</f>
        <v/>
      </c>
      <c r="D142" s="45" t="str">
        <f aca="false">IF($R142="","",INDEX('REGISTRE ELEVES'!$E$10:$E$250,$R142))</f>
        <v/>
      </c>
      <c r="E142" s="45" t="str">
        <f aca="false">IF($R142="","",INDEX('REGISTRE ELEVES'!$F$10:$F$250,$R142))</f>
        <v/>
      </c>
      <c r="F142" s="45" t="str">
        <f aca="false">IF($R142="","",INDEX('REGISTRE ELEVES'!$AE$10:$AE$250,$R142))</f>
        <v/>
      </c>
      <c r="G142" s="80" t="str">
        <f aca="false">IF(B142="","",IFERROR(IF(LEFT(E142,2)="CP",INDEX('NOTES CP'!$P$10:$P$250,MATCH(B142,'NOTES CP'!$B$10:$B$250,0)),IF(E142="CE1",INDEX('NOTES CE1'!$M$10:$M$250,MATCH(B142,'NOTES CE1'!$B$10:$B$250,0)),INDEX('NOTES CE2-CM1'!$M$10:$M$250,MATCH(B142,'NOTES CE2-CM1'!$B$10:$B$250,0)))),""))</f>
        <v/>
      </c>
      <c r="H142" s="80" t="str">
        <f aca="false">IF(B142="","",IFERROR(IF(LEFT(E142,2)="CP",INDEX('NOTES CP'!$Z$10:$Z$250,MATCH(B142,'NOTES CP'!$B$10:$B$250,0)),IF(E142="CE1",INDEX('NOTES CE1'!$T$10:$T$250,MATCH(B142,'NOTES CE1'!$B$10:$B$250,0)),INDEX('NOTES CE2-CM1'!$T$10:$T$250,MATCH(B142,'NOTES CE2-CM1'!$B$10:$B$250,0)))),""))</f>
        <v/>
      </c>
      <c r="I142" s="80" t="str">
        <f aca="false">IF(B142="","",IFERROR(IF(LEFT(E142,2)="CP",INDEX('NOTES CP'!$AJ$10:$AJ$250,MATCH(B142,'NOTES CP'!$B$10:$B$250,0)),IF(E142="CE1",INDEX('NOTES CE1'!$AA$10:$AA$250,MATCH(B142,'NOTES CE1'!$B$10:$B$250,0)),INDEX('NOTES CE2-CM1'!$AA$10:$AA$250,MATCH(B142,'NOTES CE2-CM1'!$B$10:$B$250,0)))),""))</f>
        <v/>
      </c>
      <c r="J142" s="81" t="str">
        <f aca="false">IF(COUNT(G142:I142)=0,"",ROUND(AVERAGE(G142:I142),2))</f>
        <v/>
      </c>
      <c r="K142" s="80" t="str">
        <f aca="false">IF(B142="","",IFERROR(IF(LEFT(E142,2)="CP",INDEX('NOTES CP'!$AT$10:$AT$250,MATCH(B142,'NOTES CP'!$B$10:$B$250,0)),IF(E142="CE1",INDEX('NOTES CE1'!$AH$10:$AH$250,MATCH(B142,'NOTES CE1'!$B$10:$B$250,0)),INDEX('NOTES CE2-CM1'!$AH$10:$AH$250,MATCH(B142,'NOTES CE2-CM1'!$B$10:$B$250,0)))),""))</f>
        <v/>
      </c>
      <c r="L142" s="82" t="str">
        <f aca="false">IF(OR(J142="",K142=""),"",ROUND((J142+2*K142)/3,2))</f>
        <v/>
      </c>
      <c r="M142" s="83" t="str">
        <f aca="false">IF(E142="","",IFERROR(INDEX(PARAMETRES!$D$18:$D$23,MATCH(E142,PARAMETRES!$B$18:$B$23,0)),""))</f>
        <v/>
      </c>
      <c r="N142" s="81" t="str">
        <f aca="false">IF(E142="","",IFERROR(INDEX(PARAMETRES!$C$18:$C$23,MATCH(E142,PARAMETRES!$B$18:$B$23,0)),""))</f>
        <v/>
      </c>
      <c r="O142" s="45" t="str">
        <f aca="false">IF(B142="","",IF(F142="ABANDON","ABANDON",IF(F142="TRANSFERE","TRANSFERE",IF(L142="","",IF(L142&gt;=N142,"ADMIS","REDOUBLE")))))</f>
        <v/>
      </c>
      <c r="P142" s="73" t="str">
        <f aca="false">IF(OR(L142="",F142&lt;&gt;"PRESENT"),"",COUNTIFS($E$10:$E$250,E142,$F$10:$F$250,"PRESENT",$L$10:$L$250,"&gt;"&amp;L142)+1)</f>
        <v/>
      </c>
      <c r="Q142" s="74" t="str">
        <f aca="false">IF(O142="ADMIS",IF(L142/M142*10&gt;=8,"Très bien",IF(L142/M142*10&gt;=7,"Bien",IF(L142/M142*10&gt;=6,"Assez bien","Passable"))),IF(O142="REDOUBLE","Insuffisant",""))</f>
        <v/>
      </c>
      <c r="R142" s="51" t="str">
        <f aca="false">IFERROR(MATCH("P-133",'REGISTRE ELEVES'!$AH$10:$AH$250,0),"")</f>
        <v/>
      </c>
    </row>
    <row r="143" customFormat="false" ht="15" hidden="false" customHeight="false" outlineLevel="0" collapsed="false">
      <c r="A143" s="45" t="str">
        <f aca="false">IF(B143="","",134)</f>
        <v/>
      </c>
      <c r="B143" s="45" t="str">
        <f aca="false">IF($R143="","",INDEX('REGISTRE ELEVES'!$B$10:$B$250,$R143))</f>
        <v/>
      </c>
      <c r="C143" s="74" t="str">
        <f aca="false">IF($R143="","",INDEX('REGISTRE ELEVES'!$D$10:$D$250,$R143))</f>
        <v/>
      </c>
      <c r="D143" s="45" t="str">
        <f aca="false">IF($R143="","",INDEX('REGISTRE ELEVES'!$E$10:$E$250,$R143))</f>
        <v/>
      </c>
      <c r="E143" s="45" t="str">
        <f aca="false">IF($R143="","",INDEX('REGISTRE ELEVES'!$F$10:$F$250,$R143))</f>
        <v/>
      </c>
      <c r="F143" s="45" t="str">
        <f aca="false">IF($R143="","",INDEX('REGISTRE ELEVES'!$AE$10:$AE$250,$R143))</f>
        <v/>
      </c>
      <c r="G143" s="80" t="str">
        <f aca="false">IF(B143="","",IFERROR(IF(LEFT(E143,2)="CP",INDEX('NOTES CP'!$P$10:$P$250,MATCH(B143,'NOTES CP'!$B$10:$B$250,0)),IF(E143="CE1",INDEX('NOTES CE1'!$M$10:$M$250,MATCH(B143,'NOTES CE1'!$B$10:$B$250,0)),INDEX('NOTES CE2-CM1'!$M$10:$M$250,MATCH(B143,'NOTES CE2-CM1'!$B$10:$B$250,0)))),""))</f>
        <v/>
      </c>
      <c r="H143" s="80" t="str">
        <f aca="false">IF(B143="","",IFERROR(IF(LEFT(E143,2)="CP",INDEX('NOTES CP'!$Z$10:$Z$250,MATCH(B143,'NOTES CP'!$B$10:$B$250,0)),IF(E143="CE1",INDEX('NOTES CE1'!$T$10:$T$250,MATCH(B143,'NOTES CE1'!$B$10:$B$250,0)),INDEX('NOTES CE2-CM1'!$T$10:$T$250,MATCH(B143,'NOTES CE2-CM1'!$B$10:$B$250,0)))),""))</f>
        <v/>
      </c>
      <c r="I143" s="80" t="str">
        <f aca="false">IF(B143="","",IFERROR(IF(LEFT(E143,2)="CP",INDEX('NOTES CP'!$AJ$10:$AJ$250,MATCH(B143,'NOTES CP'!$B$10:$B$250,0)),IF(E143="CE1",INDEX('NOTES CE1'!$AA$10:$AA$250,MATCH(B143,'NOTES CE1'!$B$10:$B$250,0)),INDEX('NOTES CE2-CM1'!$AA$10:$AA$250,MATCH(B143,'NOTES CE2-CM1'!$B$10:$B$250,0)))),""))</f>
        <v/>
      </c>
      <c r="J143" s="81" t="str">
        <f aca="false">IF(COUNT(G143:I143)=0,"",ROUND(AVERAGE(G143:I143),2))</f>
        <v/>
      </c>
      <c r="K143" s="80" t="str">
        <f aca="false">IF(B143="","",IFERROR(IF(LEFT(E143,2)="CP",INDEX('NOTES CP'!$AT$10:$AT$250,MATCH(B143,'NOTES CP'!$B$10:$B$250,0)),IF(E143="CE1",INDEX('NOTES CE1'!$AH$10:$AH$250,MATCH(B143,'NOTES CE1'!$B$10:$B$250,0)),INDEX('NOTES CE2-CM1'!$AH$10:$AH$250,MATCH(B143,'NOTES CE2-CM1'!$B$10:$B$250,0)))),""))</f>
        <v/>
      </c>
      <c r="L143" s="82" t="str">
        <f aca="false">IF(OR(J143="",K143=""),"",ROUND((J143+2*K143)/3,2))</f>
        <v/>
      </c>
      <c r="M143" s="83" t="str">
        <f aca="false">IF(E143="","",IFERROR(INDEX(PARAMETRES!$D$18:$D$23,MATCH(E143,PARAMETRES!$B$18:$B$23,0)),""))</f>
        <v/>
      </c>
      <c r="N143" s="81" t="str">
        <f aca="false">IF(E143="","",IFERROR(INDEX(PARAMETRES!$C$18:$C$23,MATCH(E143,PARAMETRES!$B$18:$B$23,0)),""))</f>
        <v/>
      </c>
      <c r="O143" s="45" t="str">
        <f aca="false">IF(B143="","",IF(F143="ABANDON","ABANDON",IF(F143="TRANSFERE","TRANSFERE",IF(L143="","",IF(L143&gt;=N143,"ADMIS","REDOUBLE")))))</f>
        <v/>
      </c>
      <c r="P143" s="73" t="str">
        <f aca="false">IF(OR(L143="",F143&lt;&gt;"PRESENT"),"",COUNTIFS($E$10:$E$250,E143,$F$10:$F$250,"PRESENT",$L$10:$L$250,"&gt;"&amp;L143)+1)</f>
        <v/>
      </c>
      <c r="Q143" s="74" t="str">
        <f aca="false">IF(O143="ADMIS",IF(L143/M143*10&gt;=8,"Très bien",IF(L143/M143*10&gt;=7,"Bien",IF(L143/M143*10&gt;=6,"Assez bien","Passable"))),IF(O143="REDOUBLE","Insuffisant",""))</f>
        <v/>
      </c>
      <c r="R143" s="51" t="str">
        <f aca="false">IFERROR(MATCH("P-134",'REGISTRE ELEVES'!$AH$10:$AH$250,0),"")</f>
        <v/>
      </c>
    </row>
    <row r="144" customFormat="false" ht="15" hidden="false" customHeight="false" outlineLevel="0" collapsed="false">
      <c r="A144" s="45" t="str">
        <f aca="false">IF(B144="","",135)</f>
        <v/>
      </c>
      <c r="B144" s="45" t="str">
        <f aca="false">IF($R144="","",INDEX('REGISTRE ELEVES'!$B$10:$B$250,$R144))</f>
        <v/>
      </c>
      <c r="C144" s="74" t="str">
        <f aca="false">IF($R144="","",INDEX('REGISTRE ELEVES'!$D$10:$D$250,$R144))</f>
        <v/>
      </c>
      <c r="D144" s="45" t="str">
        <f aca="false">IF($R144="","",INDEX('REGISTRE ELEVES'!$E$10:$E$250,$R144))</f>
        <v/>
      </c>
      <c r="E144" s="45" t="str">
        <f aca="false">IF($R144="","",INDEX('REGISTRE ELEVES'!$F$10:$F$250,$R144))</f>
        <v/>
      </c>
      <c r="F144" s="45" t="str">
        <f aca="false">IF($R144="","",INDEX('REGISTRE ELEVES'!$AE$10:$AE$250,$R144))</f>
        <v/>
      </c>
      <c r="G144" s="80" t="str">
        <f aca="false">IF(B144="","",IFERROR(IF(LEFT(E144,2)="CP",INDEX('NOTES CP'!$P$10:$P$250,MATCH(B144,'NOTES CP'!$B$10:$B$250,0)),IF(E144="CE1",INDEX('NOTES CE1'!$M$10:$M$250,MATCH(B144,'NOTES CE1'!$B$10:$B$250,0)),INDEX('NOTES CE2-CM1'!$M$10:$M$250,MATCH(B144,'NOTES CE2-CM1'!$B$10:$B$250,0)))),""))</f>
        <v/>
      </c>
      <c r="H144" s="80" t="str">
        <f aca="false">IF(B144="","",IFERROR(IF(LEFT(E144,2)="CP",INDEX('NOTES CP'!$Z$10:$Z$250,MATCH(B144,'NOTES CP'!$B$10:$B$250,0)),IF(E144="CE1",INDEX('NOTES CE1'!$T$10:$T$250,MATCH(B144,'NOTES CE1'!$B$10:$B$250,0)),INDEX('NOTES CE2-CM1'!$T$10:$T$250,MATCH(B144,'NOTES CE2-CM1'!$B$10:$B$250,0)))),""))</f>
        <v/>
      </c>
      <c r="I144" s="80" t="str">
        <f aca="false">IF(B144="","",IFERROR(IF(LEFT(E144,2)="CP",INDEX('NOTES CP'!$AJ$10:$AJ$250,MATCH(B144,'NOTES CP'!$B$10:$B$250,0)),IF(E144="CE1",INDEX('NOTES CE1'!$AA$10:$AA$250,MATCH(B144,'NOTES CE1'!$B$10:$B$250,0)),INDEX('NOTES CE2-CM1'!$AA$10:$AA$250,MATCH(B144,'NOTES CE2-CM1'!$B$10:$B$250,0)))),""))</f>
        <v/>
      </c>
      <c r="J144" s="81" t="str">
        <f aca="false">IF(COUNT(G144:I144)=0,"",ROUND(AVERAGE(G144:I144),2))</f>
        <v/>
      </c>
      <c r="K144" s="80" t="str">
        <f aca="false">IF(B144="","",IFERROR(IF(LEFT(E144,2)="CP",INDEX('NOTES CP'!$AT$10:$AT$250,MATCH(B144,'NOTES CP'!$B$10:$B$250,0)),IF(E144="CE1",INDEX('NOTES CE1'!$AH$10:$AH$250,MATCH(B144,'NOTES CE1'!$B$10:$B$250,0)),INDEX('NOTES CE2-CM1'!$AH$10:$AH$250,MATCH(B144,'NOTES CE2-CM1'!$B$10:$B$250,0)))),""))</f>
        <v/>
      </c>
      <c r="L144" s="82" t="str">
        <f aca="false">IF(OR(J144="",K144=""),"",ROUND((J144+2*K144)/3,2))</f>
        <v/>
      </c>
      <c r="M144" s="83" t="str">
        <f aca="false">IF(E144="","",IFERROR(INDEX(PARAMETRES!$D$18:$D$23,MATCH(E144,PARAMETRES!$B$18:$B$23,0)),""))</f>
        <v/>
      </c>
      <c r="N144" s="81" t="str">
        <f aca="false">IF(E144="","",IFERROR(INDEX(PARAMETRES!$C$18:$C$23,MATCH(E144,PARAMETRES!$B$18:$B$23,0)),""))</f>
        <v/>
      </c>
      <c r="O144" s="45" t="str">
        <f aca="false">IF(B144="","",IF(F144="ABANDON","ABANDON",IF(F144="TRANSFERE","TRANSFERE",IF(L144="","",IF(L144&gt;=N144,"ADMIS","REDOUBLE")))))</f>
        <v/>
      </c>
      <c r="P144" s="73" t="str">
        <f aca="false">IF(OR(L144="",F144&lt;&gt;"PRESENT"),"",COUNTIFS($E$10:$E$250,E144,$F$10:$F$250,"PRESENT",$L$10:$L$250,"&gt;"&amp;L144)+1)</f>
        <v/>
      </c>
      <c r="Q144" s="74" t="str">
        <f aca="false">IF(O144="ADMIS",IF(L144/M144*10&gt;=8,"Très bien",IF(L144/M144*10&gt;=7,"Bien",IF(L144/M144*10&gt;=6,"Assez bien","Passable"))),IF(O144="REDOUBLE","Insuffisant",""))</f>
        <v/>
      </c>
      <c r="R144" s="51" t="str">
        <f aca="false">IFERROR(MATCH("P-135",'REGISTRE ELEVES'!$AH$10:$AH$250,0),"")</f>
        <v/>
      </c>
    </row>
    <row r="145" customFormat="false" ht="15" hidden="false" customHeight="false" outlineLevel="0" collapsed="false">
      <c r="A145" s="45" t="str">
        <f aca="false">IF(B145="","",136)</f>
        <v/>
      </c>
      <c r="B145" s="45" t="str">
        <f aca="false">IF($R145="","",INDEX('REGISTRE ELEVES'!$B$10:$B$250,$R145))</f>
        <v/>
      </c>
      <c r="C145" s="74" t="str">
        <f aca="false">IF($R145="","",INDEX('REGISTRE ELEVES'!$D$10:$D$250,$R145))</f>
        <v/>
      </c>
      <c r="D145" s="45" t="str">
        <f aca="false">IF($R145="","",INDEX('REGISTRE ELEVES'!$E$10:$E$250,$R145))</f>
        <v/>
      </c>
      <c r="E145" s="45" t="str">
        <f aca="false">IF($R145="","",INDEX('REGISTRE ELEVES'!$F$10:$F$250,$R145))</f>
        <v/>
      </c>
      <c r="F145" s="45" t="str">
        <f aca="false">IF($R145="","",INDEX('REGISTRE ELEVES'!$AE$10:$AE$250,$R145))</f>
        <v/>
      </c>
      <c r="G145" s="80" t="str">
        <f aca="false">IF(B145="","",IFERROR(IF(LEFT(E145,2)="CP",INDEX('NOTES CP'!$P$10:$P$250,MATCH(B145,'NOTES CP'!$B$10:$B$250,0)),IF(E145="CE1",INDEX('NOTES CE1'!$M$10:$M$250,MATCH(B145,'NOTES CE1'!$B$10:$B$250,0)),INDEX('NOTES CE2-CM1'!$M$10:$M$250,MATCH(B145,'NOTES CE2-CM1'!$B$10:$B$250,0)))),""))</f>
        <v/>
      </c>
      <c r="H145" s="80" t="str">
        <f aca="false">IF(B145="","",IFERROR(IF(LEFT(E145,2)="CP",INDEX('NOTES CP'!$Z$10:$Z$250,MATCH(B145,'NOTES CP'!$B$10:$B$250,0)),IF(E145="CE1",INDEX('NOTES CE1'!$T$10:$T$250,MATCH(B145,'NOTES CE1'!$B$10:$B$250,0)),INDEX('NOTES CE2-CM1'!$T$10:$T$250,MATCH(B145,'NOTES CE2-CM1'!$B$10:$B$250,0)))),""))</f>
        <v/>
      </c>
      <c r="I145" s="80" t="str">
        <f aca="false">IF(B145="","",IFERROR(IF(LEFT(E145,2)="CP",INDEX('NOTES CP'!$AJ$10:$AJ$250,MATCH(B145,'NOTES CP'!$B$10:$B$250,0)),IF(E145="CE1",INDEX('NOTES CE1'!$AA$10:$AA$250,MATCH(B145,'NOTES CE1'!$B$10:$B$250,0)),INDEX('NOTES CE2-CM1'!$AA$10:$AA$250,MATCH(B145,'NOTES CE2-CM1'!$B$10:$B$250,0)))),""))</f>
        <v/>
      </c>
      <c r="J145" s="81" t="str">
        <f aca="false">IF(COUNT(G145:I145)=0,"",ROUND(AVERAGE(G145:I145),2))</f>
        <v/>
      </c>
      <c r="K145" s="80" t="str">
        <f aca="false">IF(B145="","",IFERROR(IF(LEFT(E145,2)="CP",INDEX('NOTES CP'!$AT$10:$AT$250,MATCH(B145,'NOTES CP'!$B$10:$B$250,0)),IF(E145="CE1",INDEX('NOTES CE1'!$AH$10:$AH$250,MATCH(B145,'NOTES CE1'!$B$10:$B$250,0)),INDEX('NOTES CE2-CM1'!$AH$10:$AH$250,MATCH(B145,'NOTES CE2-CM1'!$B$10:$B$250,0)))),""))</f>
        <v/>
      </c>
      <c r="L145" s="82" t="str">
        <f aca="false">IF(OR(J145="",K145=""),"",ROUND((J145+2*K145)/3,2))</f>
        <v/>
      </c>
      <c r="M145" s="83" t="str">
        <f aca="false">IF(E145="","",IFERROR(INDEX(PARAMETRES!$D$18:$D$23,MATCH(E145,PARAMETRES!$B$18:$B$23,0)),""))</f>
        <v/>
      </c>
      <c r="N145" s="81" t="str">
        <f aca="false">IF(E145="","",IFERROR(INDEX(PARAMETRES!$C$18:$C$23,MATCH(E145,PARAMETRES!$B$18:$B$23,0)),""))</f>
        <v/>
      </c>
      <c r="O145" s="45" t="str">
        <f aca="false">IF(B145="","",IF(F145="ABANDON","ABANDON",IF(F145="TRANSFERE","TRANSFERE",IF(L145="","",IF(L145&gt;=N145,"ADMIS","REDOUBLE")))))</f>
        <v/>
      </c>
      <c r="P145" s="73" t="str">
        <f aca="false">IF(OR(L145="",F145&lt;&gt;"PRESENT"),"",COUNTIFS($E$10:$E$250,E145,$F$10:$F$250,"PRESENT",$L$10:$L$250,"&gt;"&amp;L145)+1)</f>
        <v/>
      </c>
      <c r="Q145" s="74" t="str">
        <f aca="false">IF(O145="ADMIS",IF(L145/M145*10&gt;=8,"Très bien",IF(L145/M145*10&gt;=7,"Bien",IF(L145/M145*10&gt;=6,"Assez bien","Passable"))),IF(O145="REDOUBLE","Insuffisant",""))</f>
        <v/>
      </c>
      <c r="R145" s="51" t="str">
        <f aca="false">IFERROR(MATCH("P-136",'REGISTRE ELEVES'!$AH$10:$AH$250,0),"")</f>
        <v/>
      </c>
    </row>
    <row r="146" customFormat="false" ht="15" hidden="false" customHeight="false" outlineLevel="0" collapsed="false">
      <c r="A146" s="45" t="str">
        <f aca="false">IF(B146="","",137)</f>
        <v/>
      </c>
      <c r="B146" s="45" t="str">
        <f aca="false">IF($R146="","",INDEX('REGISTRE ELEVES'!$B$10:$B$250,$R146))</f>
        <v/>
      </c>
      <c r="C146" s="74" t="str">
        <f aca="false">IF($R146="","",INDEX('REGISTRE ELEVES'!$D$10:$D$250,$R146))</f>
        <v/>
      </c>
      <c r="D146" s="45" t="str">
        <f aca="false">IF($R146="","",INDEX('REGISTRE ELEVES'!$E$10:$E$250,$R146))</f>
        <v/>
      </c>
      <c r="E146" s="45" t="str">
        <f aca="false">IF($R146="","",INDEX('REGISTRE ELEVES'!$F$10:$F$250,$R146))</f>
        <v/>
      </c>
      <c r="F146" s="45" t="str">
        <f aca="false">IF($R146="","",INDEX('REGISTRE ELEVES'!$AE$10:$AE$250,$R146))</f>
        <v/>
      </c>
      <c r="G146" s="80" t="str">
        <f aca="false">IF(B146="","",IFERROR(IF(LEFT(E146,2)="CP",INDEX('NOTES CP'!$P$10:$P$250,MATCH(B146,'NOTES CP'!$B$10:$B$250,0)),IF(E146="CE1",INDEX('NOTES CE1'!$M$10:$M$250,MATCH(B146,'NOTES CE1'!$B$10:$B$250,0)),INDEX('NOTES CE2-CM1'!$M$10:$M$250,MATCH(B146,'NOTES CE2-CM1'!$B$10:$B$250,0)))),""))</f>
        <v/>
      </c>
      <c r="H146" s="80" t="str">
        <f aca="false">IF(B146="","",IFERROR(IF(LEFT(E146,2)="CP",INDEX('NOTES CP'!$Z$10:$Z$250,MATCH(B146,'NOTES CP'!$B$10:$B$250,0)),IF(E146="CE1",INDEX('NOTES CE1'!$T$10:$T$250,MATCH(B146,'NOTES CE1'!$B$10:$B$250,0)),INDEX('NOTES CE2-CM1'!$T$10:$T$250,MATCH(B146,'NOTES CE2-CM1'!$B$10:$B$250,0)))),""))</f>
        <v/>
      </c>
      <c r="I146" s="80" t="str">
        <f aca="false">IF(B146="","",IFERROR(IF(LEFT(E146,2)="CP",INDEX('NOTES CP'!$AJ$10:$AJ$250,MATCH(B146,'NOTES CP'!$B$10:$B$250,0)),IF(E146="CE1",INDEX('NOTES CE1'!$AA$10:$AA$250,MATCH(B146,'NOTES CE1'!$B$10:$B$250,0)),INDEX('NOTES CE2-CM1'!$AA$10:$AA$250,MATCH(B146,'NOTES CE2-CM1'!$B$10:$B$250,0)))),""))</f>
        <v/>
      </c>
      <c r="J146" s="81" t="str">
        <f aca="false">IF(COUNT(G146:I146)=0,"",ROUND(AVERAGE(G146:I146),2))</f>
        <v/>
      </c>
      <c r="K146" s="80" t="str">
        <f aca="false">IF(B146="","",IFERROR(IF(LEFT(E146,2)="CP",INDEX('NOTES CP'!$AT$10:$AT$250,MATCH(B146,'NOTES CP'!$B$10:$B$250,0)),IF(E146="CE1",INDEX('NOTES CE1'!$AH$10:$AH$250,MATCH(B146,'NOTES CE1'!$B$10:$B$250,0)),INDEX('NOTES CE2-CM1'!$AH$10:$AH$250,MATCH(B146,'NOTES CE2-CM1'!$B$10:$B$250,0)))),""))</f>
        <v/>
      </c>
      <c r="L146" s="82" t="str">
        <f aca="false">IF(OR(J146="",K146=""),"",ROUND((J146+2*K146)/3,2))</f>
        <v/>
      </c>
      <c r="M146" s="83" t="str">
        <f aca="false">IF(E146="","",IFERROR(INDEX(PARAMETRES!$D$18:$D$23,MATCH(E146,PARAMETRES!$B$18:$B$23,0)),""))</f>
        <v/>
      </c>
      <c r="N146" s="81" t="str">
        <f aca="false">IF(E146="","",IFERROR(INDEX(PARAMETRES!$C$18:$C$23,MATCH(E146,PARAMETRES!$B$18:$B$23,0)),""))</f>
        <v/>
      </c>
      <c r="O146" s="45" t="str">
        <f aca="false">IF(B146="","",IF(F146="ABANDON","ABANDON",IF(F146="TRANSFERE","TRANSFERE",IF(L146="","",IF(L146&gt;=N146,"ADMIS","REDOUBLE")))))</f>
        <v/>
      </c>
      <c r="P146" s="73" t="str">
        <f aca="false">IF(OR(L146="",F146&lt;&gt;"PRESENT"),"",COUNTIFS($E$10:$E$250,E146,$F$10:$F$250,"PRESENT",$L$10:$L$250,"&gt;"&amp;L146)+1)</f>
        <v/>
      </c>
      <c r="Q146" s="74" t="str">
        <f aca="false">IF(O146="ADMIS",IF(L146/M146*10&gt;=8,"Très bien",IF(L146/M146*10&gt;=7,"Bien",IF(L146/M146*10&gt;=6,"Assez bien","Passable"))),IF(O146="REDOUBLE","Insuffisant",""))</f>
        <v/>
      </c>
      <c r="R146" s="51" t="str">
        <f aca="false">IFERROR(MATCH("P-137",'REGISTRE ELEVES'!$AH$10:$AH$250,0),"")</f>
        <v/>
      </c>
    </row>
    <row r="147" customFormat="false" ht="15" hidden="false" customHeight="false" outlineLevel="0" collapsed="false">
      <c r="A147" s="45" t="str">
        <f aca="false">IF(B147="","",138)</f>
        <v/>
      </c>
      <c r="B147" s="45" t="str">
        <f aca="false">IF($R147="","",INDEX('REGISTRE ELEVES'!$B$10:$B$250,$R147))</f>
        <v/>
      </c>
      <c r="C147" s="74" t="str">
        <f aca="false">IF($R147="","",INDEX('REGISTRE ELEVES'!$D$10:$D$250,$R147))</f>
        <v/>
      </c>
      <c r="D147" s="45" t="str">
        <f aca="false">IF($R147="","",INDEX('REGISTRE ELEVES'!$E$10:$E$250,$R147))</f>
        <v/>
      </c>
      <c r="E147" s="45" t="str">
        <f aca="false">IF($R147="","",INDEX('REGISTRE ELEVES'!$F$10:$F$250,$R147))</f>
        <v/>
      </c>
      <c r="F147" s="45" t="str">
        <f aca="false">IF($R147="","",INDEX('REGISTRE ELEVES'!$AE$10:$AE$250,$R147))</f>
        <v/>
      </c>
      <c r="G147" s="80" t="str">
        <f aca="false">IF(B147="","",IFERROR(IF(LEFT(E147,2)="CP",INDEX('NOTES CP'!$P$10:$P$250,MATCH(B147,'NOTES CP'!$B$10:$B$250,0)),IF(E147="CE1",INDEX('NOTES CE1'!$M$10:$M$250,MATCH(B147,'NOTES CE1'!$B$10:$B$250,0)),INDEX('NOTES CE2-CM1'!$M$10:$M$250,MATCH(B147,'NOTES CE2-CM1'!$B$10:$B$250,0)))),""))</f>
        <v/>
      </c>
      <c r="H147" s="80" t="str">
        <f aca="false">IF(B147="","",IFERROR(IF(LEFT(E147,2)="CP",INDEX('NOTES CP'!$Z$10:$Z$250,MATCH(B147,'NOTES CP'!$B$10:$B$250,0)),IF(E147="CE1",INDEX('NOTES CE1'!$T$10:$T$250,MATCH(B147,'NOTES CE1'!$B$10:$B$250,0)),INDEX('NOTES CE2-CM1'!$T$10:$T$250,MATCH(B147,'NOTES CE2-CM1'!$B$10:$B$250,0)))),""))</f>
        <v/>
      </c>
      <c r="I147" s="80" t="str">
        <f aca="false">IF(B147="","",IFERROR(IF(LEFT(E147,2)="CP",INDEX('NOTES CP'!$AJ$10:$AJ$250,MATCH(B147,'NOTES CP'!$B$10:$B$250,0)),IF(E147="CE1",INDEX('NOTES CE1'!$AA$10:$AA$250,MATCH(B147,'NOTES CE1'!$B$10:$B$250,0)),INDEX('NOTES CE2-CM1'!$AA$10:$AA$250,MATCH(B147,'NOTES CE2-CM1'!$B$10:$B$250,0)))),""))</f>
        <v/>
      </c>
      <c r="J147" s="81" t="str">
        <f aca="false">IF(COUNT(G147:I147)=0,"",ROUND(AVERAGE(G147:I147),2))</f>
        <v/>
      </c>
      <c r="K147" s="80" t="str">
        <f aca="false">IF(B147="","",IFERROR(IF(LEFT(E147,2)="CP",INDEX('NOTES CP'!$AT$10:$AT$250,MATCH(B147,'NOTES CP'!$B$10:$B$250,0)),IF(E147="CE1",INDEX('NOTES CE1'!$AH$10:$AH$250,MATCH(B147,'NOTES CE1'!$B$10:$B$250,0)),INDEX('NOTES CE2-CM1'!$AH$10:$AH$250,MATCH(B147,'NOTES CE2-CM1'!$B$10:$B$250,0)))),""))</f>
        <v/>
      </c>
      <c r="L147" s="82" t="str">
        <f aca="false">IF(OR(J147="",K147=""),"",ROUND((J147+2*K147)/3,2))</f>
        <v/>
      </c>
      <c r="M147" s="83" t="str">
        <f aca="false">IF(E147="","",IFERROR(INDEX(PARAMETRES!$D$18:$D$23,MATCH(E147,PARAMETRES!$B$18:$B$23,0)),""))</f>
        <v/>
      </c>
      <c r="N147" s="81" t="str">
        <f aca="false">IF(E147="","",IFERROR(INDEX(PARAMETRES!$C$18:$C$23,MATCH(E147,PARAMETRES!$B$18:$B$23,0)),""))</f>
        <v/>
      </c>
      <c r="O147" s="45" t="str">
        <f aca="false">IF(B147="","",IF(F147="ABANDON","ABANDON",IF(F147="TRANSFERE","TRANSFERE",IF(L147="","",IF(L147&gt;=N147,"ADMIS","REDOUBLE")))))</f>
        <v/>
      </c>
      <c r="P147" s="73" t="str">
        <f aca="false">IF(OR(L147="",F147&lt;&gt;"PRESENT"),"",COUNTIFS($E$10:$E$250,E147,$F$10:$F$250,"PRESENT",$L$10:$L$250,"&gt;"&amp;L147)+1)</f>
        <v/>
      </c>
      <c r="Q147" s="74" t="str">
        <f aca="false">IF(O147="ADMIS",IF(L147/M147*10&gt;=8,"Très bien",IF(L147/M147*10&gt;=7,"Bien",IF(L147/M147*10&gt;=6,"Assez bien","Passable"))),IF(O147="REDOUBLE","Insuffisant",""))</f>
        <v/>
      </c>
      <c r="R147" s="51" t="str">
        <f aca="false">IFERROR(MATCH("P-138",'REGISTRE ELEVES'!$AH$10:$AH$250,0),"")</f>
        <v/>
      </c>
    </row>
    <row r="148" customFormat="false" ht="15" hidden="false" customHeight="false" outlineLevel="0" collapsed="false">
      <c r="A148" s="45" t="str">
        <f aca="false">IF(B148="","",139)</f>
        <v/>
      </c>
      <c r="B148" s="45" t="str">
        <f aca="false">IF($R148="","",INDEX('REGISTRE ELEVES'!$B$10:$B$250,$R148))</f>
        <v/>
      </c>
      <c r="C148" s="74" t="str">
        <f aca="false">IF($R148="","",INDEX('REGISTRE ELEVES'!$D$10:$D$250,$R148))</f>
        <v/>
      </c>
      <c r="D148" s="45" t="str">
        <f aca="false">IF($R148="","",INDEX('REGISTRE ELEVES'!$E$10:$E$250,$R148))</f>
        <v/>
      </c>
      <c r="E148" s="45" t="str">
        <f aca="false">IF($R148="","",INDEX('REGISTRE ELEVES'!$F$10:$F$250,$R148))</f>
        <v/>
      </c>
      <c r="F148" s="45" t="str">
        <f aca="false">IF($R148="","",INDEX('REGISTRE ELEVES'!$AE$10:$AE$250,$R148))</f>
        <v/>
      </c>
      <c r="G148" s="80" t="str">
        <f aca="false">IF(B148="","",IFERROR(IF(LEFT(E148,2)="CP",INDEX('NOTES CP'!$P$10:$P$250,MATCH(B148,'NOTES CP'!$B$10:$B$250,0)),IF(E148="CE1",INDEX('NOTES CE1'!$M$10:$M$250,MATCH(B148,'NOTES CE1'!$B$10:$B$250,0)),INDEX('NOTES CE2-CM1'!$M$10:$M$250,MATCH(B148,'NOTES CE2-CM1'!$B$10:$B$250,0)))),""))</f>
        <v/>
      </c>
      <c r="H148" s="80" t="str">
        <f aca="false">IF(B148="","",IFERROR(IF(LEFT(E148,2)="CP",INDEX('NOTES CP'!$Z$10:$Z$250,MATCH(B148,'NOTES CP'!$B$10:$B$250,0)),IF(E148="CE1",INDEX('NOTES CE1'!$T$10:$T$250,MATCH(B148,'NOTES CE1'!$B$10:$B$250,0)),INDEX('NOTES CE2-CM1'!$T$10:$T$250,MATCH(B148,'NOTES CE2-CM1'!$B$10:$B$250,0)))),""))</f>
        <v/>
      </c>
      <c r="I148" s="80" t="str">
        <f aca="false">IF(B148="","",IFERROR(IF(LEFT(E148,2)="CP",INDEX('NOTES CP'!$AJ$10:$AJ$250,MATCH(B148,'NOTES CP'!$B$10:$B$250,0)),IF(E148="CE1",INDEX('NOTES CE1'!$AA$10:$AA$250,MATCH(B148,'NOTES CE1'!$B$10:$B$250,0)),INDEX('NOTES CE2-CM1'!$AA$10:$AA$250,MATCH(B148,'NOTES CE2-CM1'!$B$10:$B$250,0)))),""))</f>
        <v/>
      </c>
      <c r="J148" s="81" t="str">
        <f aca="false">IF(COUNT(G148:I148)=0,"",ROUND(AVERAGE(G148:I148),2))</f>
        <v/>
      </c>
      <c r="K148" s="80" t="str">
        <f aca="false">IF(B148="","",IFERROR(IF(LEFT(E148,2)="CP",INDEX('NOTES CP'!$AT$10:$AT$250,MATCH(B148,'NOTES CP'!$B$10:$B$250,0)),IF(E148="CE1",INDEX('NOTES CE1'!$AH$10:$AH$250,MATCH(B148,'NOTES CE1'!$B$10:$B$250,0)),INDEX('NOTES CE2-CM1'!$AH$10:$AH$250,MATCH(B148,'NOTES CE2-CM1'!$B$10:$B$250,0)))),""))</f>
        <v/>
      </c>
      <c r="L148" s="82" t="str">
        <f aca="false">IF(OR(J148="",K148=""),"",ROUND((J148+2*K148)/3,2))</f>
        <v/>
      </c>
      <c r="M148" s="83" t="str">
        <f aca="false">IF(E148="","",IFERROR(INDEX(PARAMETRES!$D$18:$D$23,MATCH(E148,PARAMETRES!$B$18:$B$23,0)),""))</f>
        <v/>
      </c>
      <c r="N148" s="81" t="str">
        <f aca="false">IF(E148="","",IFERROR(INDEX(PARAMETRES!$C$18:$C$23,MATCH(E148,PARAMETRES!$B$18:$B$23,0)),""))</f>
        <v/>
      </c>
      <c r="O148" s="45" t="str">
        <f aca="false">IF(B148="","",IF(F148="ABANDON","ABANDON",IF(F148="TRANSFERE","TRANSFERE",IF(L148="","",IF(L148&gt;=N148,"ADMIS","REDOUBLE")))))</f>
        <v/>
      </c>
      <c r="P148" s="73" t="str">
        <f aca="false">IF(OR(L148="",F148&lt;&gt;"PRESENT"),"",COUNTIFS($E$10:$E$250,E148,$F$10:$F$250,"PRESENT",$L$10:$L$250,"&gt;"&amp;L148)+1)</f>
        <v/>
      </c>
      <c r="Q148" s="74" t="str">
        <f aca="false">IF(O148="ADMIS",IF(L148/M148*10&gt;=8,"Très bien",IF(L148/M148*10&gt;=7,"Bien",IF(L148/M148*10&gt;=6,"Assez bien","Passable"))),IF(O148="REDOUBLE","Insuffisant",""))</f>
        <v/>
      </c>
      <c r="R148" s="51" t="str">
        <f aca="false">IFERROR(MATCH("P-139",'REGISTRE ELEVES'!$AH$10:$AH$250,0),"")</f>
        <v/>
      </c>
    </row>
    <row r="149" customFormat="false" ht="15" hidden="false" customHeight="false" outlineLevel="0" collapsed="false">
      <c r="A149" s="45" t="str">
        <f aca="false">IF(B149="","",140)</f>
        <v/>
      </c>
      <c r="B149" s="45" t="str">
        <f aca="false">IF($R149="","",INDEX('REGISTRE ELEVES'!$B$10:$B$250,$R149))</f>
        <v/>
      </c>
      <c r="C149" s="74" t="str">
        <f aca="false">IF($R149="","",INDEX('REGISTRE ELEVES'!$D$10:$D$250,$R149))</f>
        <v/>
      </c>
      <c r="D149" s="45" t="str">
        <f aca="false">IF($R149="","",INDEX('REGISTRE ELEVES'!$E$10:$E$250,$R149))</f>
        <v/>
      </c>
      <c r="E149" s="45" t="str">
        <f aca="false">IF($R149="","",INDEX('REGISTRE ELEVES'!$F$10:$F$250,$R149))</f>
        <v/>
      </c>
      <c r="F149" s="45" t="str">
        <f aca="false">IF($R149="","",INDEX('REGISTRE ELEVES'!$AE$10:$AE$250,$R149))</f>
        <v/>
      </c>
      <c r="G149" s="80" t="str">
        <f aca="false">IF(B149="","",IFERROR(IF(LEFT(E149,2)="CP",INDEX('NOTES CP'!$P$10:$P$250,MATCH(B149,'NOTES CP'!$B$10:$B$250,0)),IF(E149="CE1",INDEX('NOTES CE1'!$M$10:$M$250,MATCH(B149,'NOTES CE1'!$B$10:$B$250,0)),INDEX('NOTES CE2-CM1'!$M$10:$M$250,MATCH(B149,'NOTES CE2-CM1'!$B$10:$B$250,0)))),""))</f>
        <v/>
      </c>
      <c r="H149" s="80" t="str">
        <f aca="false">IF(B149="","",IFERROR(IF(LEFT(E149,2)="CP",INDEX('NOTES CP'!$Z$10:$Z$250,MATCH(B149,'NOTES CP'!$B$10:$B$250,0)),IF(E149="CE1",INDEX('NOTES CE1'!$T$10:$T$250,MATCH(B149,'NOTES CE1'!$B$10:$B$250,0)),INDEX('NOTES CE2-CM1'!$T$10:$T$250,MATCH(B149,'NOTES CE2-CM1'!$B$10:$B$250,0)))),""))</f>
        <v/>
      </c>
      <c r="I149" s="80" t="str">
        <f aca="false">IF(B149="","",IFERROR(IF(LEFT(E149,2)="CP",INDEX('NOTES CP'!$AJ$10:$AJ$250,MATCH(B149,'NOTES CP'!$B$10:$B$250,0)),IF(E149="CE1",INDEX('NOTES CE1'!$AA$10:$AA$250,MATCH(B149,'NOTES CE1'!$B$10:$B$250,0)),INDEX('NOTES CE2-CM1'!$AA$10:$AA$250,MATCH(B149,'NOTES CE2-CM1'!$B$10:$B$250,0)))),""))</f>
        <v/>
      </c>
      <c r="J149" s="81" t="str">
        <f aca="false">IF(COUNT(G149:I149)=0,"",ROUND(AVERAGE(G149:I149),2))</f>
        <v/>
      </c>
      <c r="K149" s="80" t="str">
        <f aca="false">IF(B149="","",IFERROR(IF(LEFT(E149,2)="CP",INDEX('NOTES CP'!$AT$10:$AT$250,MATCH(B149,'NOTES CP'!$B$10:$B$250,0)),IF(E149="CE1",INDEX('NOTES CE1'!$AH$10:$AH$250,MATCH(B149,'NOTES CE1'!$B$10:$B$250,0)),INDEX('NOTES CE2-CM1'!$AH$10:$AH$250,MATCH(B149,'NOTES CE2-CM1'!$B$10:$B$250,0)))),""))</f>
        <v/>
      </c>
      <c r="L149" s="82" t="str">
        <f aca="false">IF(OR(J149="",K149=""),"",ROUND((J149+2*K149)/3,2))</f>
        <v/>
      </c>
      <c r="M149" s="83" t="str">
        <f aca="false">IF(E149="","",IFERROR(INDEX(PARAMETRES!$D$18:$D$23,MATCH(E149,PARAMETRES!$B$18:$B$23,0)),""))</f>
        <v/>
      </c>
      <c r="N149" s="81" t="str">
        <f aca="false">IF(E149="","",IFERROR(INDEX(PARAMETRES!$C$18:$C$23,MATCH(E149,PARAMETRES!$B$18:$B$23,0)),""))</f>
        <v/>
      </c>
      <c r="O149" s="45" t="str">
        <f aca="false">IF(B149="","",IF(F149="ABANDON","ABANDON",IF(F149="TRANSFERE","TRANSFERE",IF(L149="","",IF(L149&gt;=N149,"ADMIS","REDOUBLE")))))</f>
        <v/>
      </c>
      <c r="P149" s="73" t="str">
        <f aca="false">IF(OR(L149="",F149&lt;&gt;"PRESENT"),"",COUNTIFS($E$10:$E$250,E149,$F$10:$F$250,"PRESENT",$L$10:$L$250,"&gt;"&amp;L149)+1)</f>
        <v/>
      </c>
      <c r="Q149" s="74" t="str">
        <f aca="false">IF(O149="ADMIS",IF(L149/M149*10&gt;=8,"Très bien",IF(L149/M149*10&gt;=7,"Bien",IF(L149/M149*10&gt;=6,"Assez bien","Passable"))),IF(O149="REDOUBLE","Insuffisant",""))</f>
        <v/>
      </c>
      <c r="R149" s="51" t="str">
        <f aca="false">IFERROR(MATCH("P-140",'REGISTRE ELEVES'!$AH$10:$AH$250,0),"")</f>
        <v/>
      </c>
    </row>
    <row r="150" customFormat="false" ht="15" hidden="false" customHeight="false" outlineLevel="0" collapsed="false">
      <c r="A150" s="45" t="str">
        <f aca="false">IF(B150="","",141)</f>
        <v/>
      </c>
      <c r="B150" s="45" t="str">
        <f aca="false">IF($R150="","",INDEX('REGISTRE ELEVES'!$B$10:$B$250,$R150))</f>
        <v/>
      </c>
      <c r="C150" s="74" t="str">
        <f aca="false">IF($R150="","",INDEX('REGISTRE ELEVES'!$D$10:$D$250,$R150))</f>
        <v/>
      </c>
      <c r="D150" s="45" t="str">
        <f aca="false">IF($R150="","",INDEX('REGISTRE ELEVES'!$E$10:$E$250,$R150))</f>
        <v/>
      </c>
      <c r="E150" s="45" t="str">
        <f aca="false">IF($R150="","",INDEX('REGISTRE ELEVES'!$F$10:$F$250,$R150))</f>
        <v/>
      </c>
      <c r="F150" s="45" t="str">
        <f aca="false">IF($R150="","",INDEX('REGISTRE ELEVES'!$AE$10:$AE$250,$R150))</f>
        <v/>
      </c>
      <c r="G150" s="80" t="str">
        <f aca="false">IF(B150="","",IFERROR(IF(LEFT(E150,2)="CP",INDEX('NOTES CP'!$P$10:$P$250,MATCH(B150,'NOTES CP'!$B$10:$B$250,0)),IF(E150="CE1",INDEX('NOTES CE1'!$M$10:$M$250,MATCH(B150,'NOTES CE1'!$B$10:$B$250,0)),INDEX('NOTES CE2-CM1'!$M$10:$M$250,MATCH(B150,'NOTES CE2-CM1'!$B$10:$B$250,0)))),""))</f>
        <v/>
      </c>
      <c r="H150" s="80" t="str">
        <f aca="false">IF(B150="","",IFERROR(IF(LEFT(E150,2)="CP",INDEX('NOTES CP'!$Z$10:$Z$250,MATCH(B150,'NOTES CP'!$B$10:$B$250,0)),IF(E150="CE1",INDEX('NOTES CE1'!$T$10:$T$250,MATCH(B150,'NOTES CE1'!$B$10:$B$250,0)),INDEX('NOTES CE2-CM1'!$T$10:$T$250,MATCH(B150,'NOTES CE2-CM1'!$B$10:$B$250,0)))),""))</f>
        <v/>
      </c>
      <c r="I150" s="80" t="str">
        <f aca="false">IF(B150="","",IFERROR(IF(LEFT(E150,2)="CP",INDEX('NOTES CP'!$AJ$10:$AJ$250,MATCH(B150,'NOTES CP'!$B$10:$B$250,0)),IF(E150="CE1",INDEX('NOTES CE1'!$AA$10:$AA$250,MATCH(B150,'NOTES CE1'!$B$10:$B$250,0)),INDEX('NOTES CE2-CM1'!$AA$10:$AA$250,MATCH(B150,'NOTES CE2-CM1'!$B$10:$B$250,0)))),""))</f>
        <v/>
      </c>
      <c r="J150" s="81" t="str">
        <f aca="false">IF(COUNT(G150:I150)=0,"",ROUND(AVERAGE(G150:I150),2))</f>
        <v/>
      </c>
      <c r="K150" s="80" t="str">
        <f aca="false">IF(B150="","",IFERROR(IF(LEFT(E150,2)="CP",INDEX('NOTES CP'!$AT$10:$AT$250,MATCH(B150,'NOTES CP'!$B$10:$B$250,0)),IF(E150="CE1",INDEX('NOTES CE1'!$AH$10:$AH$250,MATCH(B150,'NOTES CE1'!$B$10:$B$250,0)),INDEX('NOTES CE2-CM1'!$AH$10:$AH$250,MATCH(B150,'NOTES CE2-CM1'!$B$10:$B$250,0)))),""))</f>
        <v/>
      </c>
      <c r="L150" s="82" t="str">
        <f aca="false">IF(OR(J150="",K150=""),"",ROUND((J150+2*K150)/3,2))</f>
        <v/>
      </c>
      <c r="M150" s="83" t="str">
        <f aca="false">IF(E150="","",IFERROR(INDEX(PARAMETRES!$D$18:$D$23,MATCH(E150,PARAMETRES!$B$18:$B$23,0)),""))</f>
        <v/>
      </c>
      <c r="N150" s="81" t="str">
        <f aca="false">IF(E150="","",IFERROR(INDEX(PARAMETRES!$C$18:$C$23,MATCH(E150,PARAMETRES!$B$18:$B$23,0)),""))</f>
        <v/>
      </c>
      <c r="O150" s="45" t="str">
        <f aca="false">IF(B150="","",IF(F150="ABANDON","ABANDON",IF(F150="TRANSFERE","TRANSFERE",IF(L150="","",IF(L150&gt;=N150,"ADMIS","REDOUBLE")))))</f>
        <v/>
      </c>
      <c r="P150" s="73" t="str">
        <f aca="false">IF(OR(L150="",F150&lt;&gt;"PRESENT"),"",COUNTIFS($E$10:$E$250,E150,$F$10:$F$250,"PRESENT",$L$10:$L$250,"&gt;"&amp;L150)+1)</f>
        <v/>
      </c>
      <c r="Q150" s="74" t="str">
        <f aca="false">IF(O150="ADMIS",IF(L150/M150*10&gt;=8,"Très bien",IF(L150/M150*10&gt;=7,"Bien",IF(L150/M150*10&gt;=6,"Assez bien","Passable"))),IF(O150="REDOUBLE","Insuffisant",""))</f>
        <v/>
      </c>
      <c r="R150" s="51" t="str">
        <f aca="false">IFERROR(MATCH("P-141",'REGISTRE ELEVES'!$AH$10:$AH$250,0),"")</f>
        <v/>
      </c>
    </row>
    <row r="151" customFormat="false" ht="15" hidden="false" customHeight="false" outlineLevel="0" collapsed="false">
      <c r="A151" s="45" t="str">
        <f aca="false">IF(B151="","",142)</f>
        <v/>
      </c>
      <c r="B151" s="45" t="str">
        <f aca="false">IF($R151="","",INDEX('REGISTRE ELEVES'!$B$10:$B$250,$R151))</f>
        <v/>
      </c>
      <c r="C151" s="74" t="str">
        <f aca="false">IF($R151="","",INDEX('REGISTRE ELEVES'!$D$10:$D$250,$R151))</f>
        <v/>
      </c>
      <c r="D151" s="45" t="str">
        <f aca="false">IF($R151="","",INDEX('REGISTRE ELEVES'!$E$10:$E$250,$R151))</f>
        <v/>
      </c>
      <c r="E151" s="45" t="str">
        <f aca="false">IF($R151="","",INDEX('REGISTRE ELEVES'!$F$10:$F$250,$R151))</f>
        <v/>
      </c>
      <c r="F151" s="45" t="str">
        <f aca="false">IF($R151="","",INDEX('REGISTRE ELEVES'!$AE$10:$AE$250,$R151))</f>
        <v/>
      </c>
      <c r="G151" s="80" t="str">
        <f aca="false">IF(B151="","",IFERROR(IF(LEFT(E151,2)="CP",INDEX('NOTES CP'!$P$10:$P$250,MATCH(B151,'NOTES CP'!$B$10:$B$250,0)),IF(E151="CE1",INDEX('NOTES CE1'!$M$10:$M$250,MATCH(B151,'NOTES CE1'!$B$10:$B$250,0)),INDEX('NOTES CE2-CM1'!$M$10:$M$250,MATCH(B151,'NOTES CE2-CM1'!$B$10:$B$250,0)))),""))</f>
        <v/>
      </c>
      <c r="H151" s="80" t="str">
        <f aca="false">IF(B151="","",IFERROR(IF(LEFT(E151,2)="CP",INDEX('NOTES CP'!$Z$10:$Z$250,MATCH(B151,'NOTES CP'!$B$10:$B$250,0)),IF(E151="CE1",INDEX('NOTES CE1'!$T$10:$T$250,MATCH(B151,'NOTES CE1'!$B$10:$B$250,0)),INDEX('NOTES CE2-CM1'!$T$10:$T$250,MATCH(B151,'NOTES CE2-CM1'!$B$10:$B$250,0)))),""))</f>
        <v/>
      </c>
      <c r="I151" s="80" t="str">
        <f aca="false">IF(B151="","",IFERROR(IF(LEFT(E151,2)="CP",INDEX('NOTES CP'!$AJ$10:$AJ$250,MATCH(B151,'NOTES CP'!$B$10:$B$250,0)),IF(E151="CE1",INDEX('NOTES CE1'!$AA$10:$AA$250,MATCH(B151,'NOTES CE1'!$B$10:$B$250,0)),INDEX('NOTES CE2-CM1'!$AA$10:$AA$250,MATCH(B151,'NOTES CE2-CM1'!$B$10:$B$250,0)))),""))</f>
        <v/>
      </c>
      <c r="J151" s="81" t="str">
        <f aca="false">IF(COUNT(G151:I151)=0,"",ROUND(AVERAGE(G151:I151),2))</f>
        <v/>
      </c>
      <c r="K151" s="80" t="str">
        <f aca="false">IF(B151="","",IFERROR(IF(LEFT(E151,2)="CP",INDEX('NOTES CP'!$AT$10:$AT$250,MATCH(B151,'NOTES CP'!$B$10:$B$250,0)),IF(E151="CE1",INDEX('NOTES CE1'!$AH$10:$AH$250,MATCH(B151,'NOTES CE1'!$B$10:$B$250,0)),INDEX('NOTES CE2-CM1'!$AH$10:$AH$250,MATCH(B151,'NOTES CE2-CM1'!$B$10:$B$250,0)))),""))</f>
        <v/>
      </c>
      <c r="L151" s="82" t="str">
        <f aca="false">IF(OR(J151="",K151=""),"",ROUND((J151+2*K151)/3,2))</f>
        <v/>
      </c>
      <c r="M151" s="83" t="str">
        <f aca="false">IF(E151="","",IFERROR(INDEX(PARAMETRES!$D$18:$D$23,MATCH(E151,PARAMETRES!$B$18:$B$23,0)),""))</f>
        <v/>
      </c>
      <c r="N151" s="81" t="str">
        <f aca="false">IF(E151="","",IFERROR(INDEX(PARAMETRES!$C$18:$C$23,MATCH(E151,PARAMETRES!$B$18:$B$23,0)),""))</f>
        <v/>
      </c>
      <c r="O151" s="45" t="str">
        <f aca="false">IF(B151="","",IF(F151="ABANDON","ABANDON",IF(F151="TRANSFERE","TRANSFERE",IF(L151="","",IF(L151&gt;=N151,"ADMIS","REDOUBLE")))))</f>
        <v/>
      </c>
      <c r="P151" s="73" t="str">
        <f aca="false">IF(OR(L151="",F151&lt;&gt;"PRESENT"),"",COUNTIFS($E$10:$E$250,E151,$F$10:$F$250,"PRESENT",$L$10:$L$250,"&gt;"&amp;L151)+1)</f>
        <v/>
      </c>
      <c r="Q151" s="74" t="str">
        <f aca="false">IF(O151="ADMIS",IF(L151/M151*10&gt;=8,"Très bien",IF(L151/M151*10&gt;=7,"Bien",IF(L151/M151*10&gt;=6,"Assez bien","Passable"))),IF(O151="REDOUBLE","Insuffisant",""))</f>
        <v/>
      </c>
      <c r="R151" s="51" t="str">
        <f aca="false">IFERROR(MATCH("P-142",'REGISTRE ELEVES'!$AH$10:$AH$250,0),"")</f>
        <v/>
      </c>
    </row>
    <row r="152" customFormat="false" ht="15" hidden="false" customHeight="false" outlineLevel="0" collapsed="false">
      <c r="A152" s="45" t="str">
        <f aca="false">IF(B152="","",143)</f>
        <v/>
      </c>
      <c r="B152" s="45" t="str">
        <f aca="false">IF($R152="","",INDEX('REGISTRE ELEVES'!$B$10:$B$250,$R152))</f>
        <v/>
      </c>
      <c r="C152" s="74" t="str">
        <f aca="false">IF($R152="","",INDEX('REGISTRE ELEVES'!$D$10:$D$250,$R152))</f>
        <v/>
      </c>
      <c r="D152" s="45" t="str">
        <f aca="false">IF($R152="","",INDEX('REGISTRE ELEVES'!$E$10:$E$250,$R152))</f>
        <v/>
      </c>
      <c r="E152" s="45" t="str">
        <f aca="false">IF($R152="","",INDEX('REGISTRE ELEVES'!$F$10:$F$250,$R152))</f>
        <v/>
      </c>
      <c r="F152" s="45" t="str">
        <f aca="false">IF($R152="","",INDEX('REGISTRE ELEVES'!$AE$10:$AE$250,$R152))</f>
        <v/>
      </c>
      <c r="G152" s="80" t="str">
        <f aca="false">IF(B152="","",IFERROR(IF(LEFT(E152,2)="CP",INDEX('NOTES CP'!$P$10:$P$250,MATCH(B152,'NOTES CP'!$B$10:$B$250,0)),IF(E152="CE1",INDEX('NOTES CE1'!$M$10:$M$250,MATCH(B152,'NOTES CE1'!$B$10:$B$250,0)),INDEX('NOTES CE2-CM1'!$M$10:$M$250,MATCH(B152,'NOTES CE2-CM1'!$B$10:$B$250,0)))),""))</f>
        <v/>
      </c>
      <c r="H152" s="80" t="str">
        <f aca="false">IF(B152="","",IFERROR(IF(LEFT(E152,2)="CP",INDEX('NOTES CP'!$Z$10:$Z$250,MATCH(B152,'NOTES CP'!$B$10:$B$250,0)),IF(E152="CE1",INDEX('NOTES CE1'!$T$10:$T$250,MATCH(B152,'NOTES CE1'!$B$10:$B$250,0)),INDEX('NOTES CE2-CM1'!$T$10:$T$250,MATCH(B152,'NOTES CE2-CM1'!$B$10:$B$250,0)))),""))</f>
        <v/>
      </c>
      <c r="I152" s="80" t="str">
        <f aca="false">IF(B152="","",IFERROR(IF(LEFT(E152,2)="CP",INDEX('NOTES CP'!$AJ$10:$AJ$250,MATCH(B152,'NOTES CP'!$B$10:$B$250,0)),IF(E152="CE1",INDEX('NOTES CE1'!$AA$10:$AA$250,MATCH(B152,'NOTES CE1'!$B$10:$B$250,0)),INDEX('NOTES CE2-CM1'!$AA$10:$AA$250,MATCH(B152,'NOTES CE2-CM1'!$B$10:$B$250,0)))),""))</f>
        <v/>
      </c>
      <c r="J152" s="81" t="str">
        <f aca="false">IF(COUNT(G152:I152)=0,"",ROUND(AVERAGE(G152:I152),2))</f>
        <v/>
      </c>
      <c r="K152" s="80" t="str">
        <f aca="false">IF(B152="","",IFERROR(IF(LEFT(E152,2)="CP",INDEX('NOTES CP'!$AT$10:$AT$250,MATCH(B152,'NOTES CP'!$B$10:$B$250,0)),IF(E152="CE1",INDEX('NOTES CE1'!$AH$10:$AH$250,MATCH(B152,'NOTES CE1'!$B$10:$B$250,0)),INDEX('NOTES CE2-CM1'!$AH$10:$AH$250,MATCH(B152,'NOTES CE2-CM1'!$B$10:$B$250,0)))),""))</f>
        <v/>
      </c>
      <c r="L152" s="82" t="str">
        <f aca="false">IF(OR(J152="",K152=""),"",ROUND((J152+2*K152)/3,2))</f>
        <v/>
      </c>
      <c r="M152" s="83" t="str">
        <f aca="false">IF(E152="","",IFERROR(INDEX(PARAMETRES!$D$18:$D$23,MATCH(E152,PARAMETRES!$B$18:$B$23,0)),""))</f>
        <v/>
      </c>
      <c r="N152" s="81" t="str">
        <f aca="false">IF(E152="","",IFERROR(INDEX(PARAMETRES!$C$18:$C$23,MATCH(E152,PARAMETRES!$B$18:$B$23,0)),""))</f>
        <v/>
      </c>
      <c r="O152" s="45" t="str">
        <f aca="false">IF(B152="","",IF(F152="ABANDON","ABANDON",IF(F152="TRANSFERE","TRANSFERE",IF(L152="","",IF(L152&gt;=N152,"ADMIS","REDOUBLE")))))</f>
        <v/>
      </c>
      <c r="P152" s="73" t="str">
        <f aca="false">IF(OR(L152="",F152&lt;&gt;"PRESENT"),"",COUNTIFS($E$10:$E$250,E152,$F$10:$F$250,"PRESENT",$L$10:$L$250,"&gt;"&amp;L152)+1)</f>
        <v/>
      </c>
      <c r="Q152" s="74" t="str">
        <f aca="false">IF(O152="ADMIS",IF(L152/M152*10&gt;=8,"Très bien",IF(L152/M152*10&gt;=7,"Bien",IF(L152/M152*10&gt;=6,"Assez bien","Passable"))),IF(O152="REDOUBLE","Insuffisant",""))</f>
        <v/>
      </c>
      <c r="R152" s="51" t="str">
        <f aca="false">IFERROR(MATCH("P-143",'REGISTRE ELEVES'!$AH$10:$AH$250,0),"")</f>
        <v/>
      </c>
    </row>
    <row r="153" customFormat="false" ht="15" hidden="false" customHeight="false" outlineLevel="0" collapsed="false">
      <c r="A153" s="45" t="str">
        <f aca="false">IF(B153="","",144)</f>
        <v/>
      </c>
      <c r="B153" s="45" t="str">
        <f aca="false">IF($R153="","",INDEX('REGISTRE ELEVES'!$B$10:$B$250,$R153))</f>
        <v/>
      </c>
      <c r="C153" s="74" t="str">
        <f aca="false">IF($R153="","",INDEX('REGISTRE ELEVES'!$D$10:$D$250,$R153))</f>
        <v/>
      </c>
      <c r="D153" s="45" t="str">
        <f aca="false">IF($R153="","",INDEX('REGISTRE ELEVES'!$E$10:$E$250,$R153))</f>
        <v/>
      </c>
      <c r="E153" s="45" t="str">
        <f aca="false">IF($R153="","",INDEX('REGISTRE ELEVES'!$F$10:$F$250,$R153))</f>
        <v/>
      </c>
      <c r="F153" s="45" t="str">
        <f aca="false">IF($R153="","",INDEX('REGISTRE ELEVES'!$AE$10:$AE$250,$R153))</f>
        <v/>
      </c>
      <c r="G153" s="80" t="str">
        <f aca="false">IF(B153="","",IFERROR(IF(LEFT(E153,2)="CP",INDEX('NOTES CP'!$P$10:$P$250,MATCH(B153,'NOTES CP'!$B$10:$B$250,0)),IF(E153="CE1",INDEX('NOTES CE1'!$M$10:$M$250,MATCH(B153,'NOTES CE1'!$B$10:$B$250,0)),INDEX('NOTES CE2-CM1'!$M$10:$M$250,MATCH(B153,'NOTES CE2-CM1'!$B$10:$B$250,0)))),""))</f>
        <v/>
      </c>
      <c r="H153" s="80" t="str">
        <f aca="false">IF(B153="","",IFERROR(IF(LEFT(E153,2)="CP",INDEX('NOTES CP'!$Z$10:$Z$250,MATCH(B153,'NOTES CP'!$B$10:$B$250,0)),IF(E153="CE1",INDEX('NOTES CE1'!$T$10:$T$250,MATCH(B153,'NOTES CE1'!$B$10:$B$250,0)),INDEX('NOTES CE2-CM1'!$T$10:$T$250,MATCH(B153,'NOTES CE2-CM1'!$B$10:$B$250,0)))),""))</f>
        <v/>
      </c>
      <c r="I153" s="80" t="str">
        <f aca="false">IF(B153="","",IFERROR(IF(LEFT(E153,2)="CP",INDEX('NOTES CP'!$AJ$10:$AJ$250,MATCH(B153,'NOTES CP'!$B$10:$B$250,0)),IF(E153="CE1",INDEX('NOTES CE1'!$AA$10:$AA$250,MATCH(B153,'NOTES CE1'!$B$10:$B$250,0)),INDEX('NOTES CE2-CM1'!$AA$10:$AA$250,MATCH(B153,'NOTES CE2-CM1'!$B$10:$B$250,0)))),""))</f>
        <v/>
      </c>
      <c r="J153" s="81" t="str">
        <f aca="false">IF(COUNT(G153:I153)=0,"",ROUND(AVERAGE(G153:I153),2))</f>
        <v/>
      </c>
      <c r="K153" s="80" t="str">
        <f aca="false">IF(B153="","",IFERROR(IF(LEFT(E153,2)="CP",INDEX('NOTES CP'!$AT$10:$AT$250,MATCH(B153,'NOTES CP'!$B$10:$B$250,0)),IF(E153="CE1",INDEX('NOTES CE1'!$AH$10:$AH$250,MATCH(B153,'NOTES CE1'!$B$10:$B$250,0)),INDEX('NOTES CE2-CM1'!$AH$10:$AH$250,MATCH(B153,'NOTES CE2-CM1'!$B$10:$B$250,0)))),""))</f>
        <v/>
      </c>
      <c r="L153" s="82" t="str">
        <f aca="false">IF(OR(J153="",K153=""),"",ROUND((J153+2*K153)/3,2))</f>
        <v/>
      </c>
      <c r="M153" s="83" t="str">
        <f aca="false">IF(E153="","",IFERROR(INDEX(PARAMETRES!$D$18:$D$23,MATCH(E153,PARAMETRES!$B$18:$B$23,0)),""))</f>
        <v/>
      </c>
      <c r="N153" s="81" t="str">
        <f aca="false">IF(E153="","",IFERROR(INDEX(PARAMETRES!$C$18:$C$23,MATCH(E153,PARAMETRES!$B$18:$B$23,0)),""))</f>
        <v/>
      </c>
      <c r="O153" s="45" t="str">
        <f aca="false">IF(B153="","",IF(F153="ABANDON","ABANDON",IF(F153="TRANSFERE","TRANSFERE",IF(L153="","",IF(L153&gt;=N153,"ADMIS","REDOUBLE")))))</f>
        <v/>
      </c>
      <c r="P153" s="73" t="str">
        <f aca="false">IF(OR(L153="",F153&lt;&gt;"PRESENT"),"",COUNTIFS($E$10:$E$250,E153,$F$10:$F$250,"PRESENT",$L$10:$L$250,"&gt;"&amp;L153)+1)</f>
        <v/>
      </c>
      <c r="Q153" s="74" t="str">
        <f aca="false">IF(O153="ADMIS",IF(L153/M153*10&gt;=8,"Très bien",IF(L153/M153*10&gt;=7,"Bien",IF(L153/M153*10&gt;=6,"Assez bien","Passable"))),IF(O153="REDOUBLE","Insuffisant",""))</f>
        <v/>
      </c>
      <c r="R153" s="51" t="str">
        <f aca="false">IFERROR(MATCH("P-144",'REGISTRE ELEVES'!$AH$10:$AH$250,0),"")</f>
        <v/>
      </c>
    </row>
    <row r="154" customFormat="false" ht="15" hidden="false" customHeight="false" outlineLevel="0" collapsed="false">
      <c r="A154" s="45" t="str">
        <f aca="false">IF(B154="","",145)</f>
        <v/>
      </c>
      <c r="B154" s="45" t="str">
        <f aca="false">IF($R154="","",INDEX('REGISTRE ELEVES'!$B$10:$B$250,$R154))</f>
        <v/>
      </c>
      <c r="C154" s="74" t="str">
        <f aca="false">IF($R154="","",INDEX('REGISTRE ELEVES'!$D$10:$D$250,$R154))</f>
        <v/>
      </c>
      <c r="D154" s="45" t="str">
        <f aca="false">IF($R154="","",INDEX('REGISTRE ELEVES'!$E$10:$E$250,$R154))</f>
        <v/>
      </c>
      <c r="E154" s="45" t="str">
        <f aca="false">IF($R154="","",INDEX('REGISTRE ELEVES'!$F$10:$F$250,$R154))</f>
        <v/>
      </c>
      <c r="F154" s="45" t="str">
        <f aca="false">IF($R154="","",INDEX('REGISTRE ELEVES'!$AE$10:$AE$250,$R154))</f>
        <v/>
      </c>
      <c r="G154" s="80" t="str">
        <f aca="false">IF(B154="","",IFERROR(IF(LEFT(E154,2)="CP",INDEX('NOTES CP'!$P$10:$P$250,MATCH(B154,'NOTES CP'!$B$10:$B$250,0)),IF(E154="CE1",INDEX('NOTES CE1'!$M$10:$M$250,MATCH(B154,'NOTES CE1'!$B$10:$B$250,0)),INDEX('NOTES CE2-CM1'!$M$10:$M$250,MATCH(B154,'NOTES CE2-CM1'!$B$10:$B$250,0)))),""))</f>
        <v/>
      </c>
      <c r="H154" s="80" t="str">
        <f aca="false">IF(B154="","",IFERROR(IF(LEFT(E154,2)="CP",INDEX('NOTES CP'!$Z$10:$Z$250,MATCH(B154,'NOTES CP'!$B$10:$B$250,0)),IF(E154="CE1",INDEX('NOTES CE1'!$T$10:$T$250,MATCH(B154,'NOTES CE1'!$B$10:$B$250,0)),INDEX('NOTES CE2-CM1'!$T$10:$T$250,MATCH(B154,'NOTES CE2-CM1'!$B$10:$B$250,0)))),""))</f>
        <v/>
      </c>
      <c r="I154" s="80" t="str">
        <f aca="false">IF(B154="","",IFERROR(IF(LEFT(E154,2)="CP",INDEX('NOTES CP'!$AJ$10:$AJ$250,MATCH(B154,'NOTES CP'!$B$10:$B$250,0)),IF(E154="CE1",INDEX('NOTES CE1'!$AA$10:$AA$250,MATCH(B154,'NOTES CE1'!$B$10:$B$250,0)),INDEX('NOTES CE2-CM1'!$AA$10:$AA$250,MATCH(B154,'NOTES CE2-CM1'!$B$10:$B$250,0)))),""))</f>
        <v/>
      </c>
      <c r="J154" s="81" t="str">
        <f aca="false">IF(COUNT(G154:I154)=0,"",ROUND(AVERAGE(G154:I154),2))</f>
        <v/>
      </c>
      <c r="K154" s="80" t="str">
        <f aca="false">IF(B154="","",IFERROR(IF(LEFT(E154,2)="CP",INDEX('NOTES CP'!$AT$10:$AT$250,MATCH(B154,'NOTES CP'!$B$10:$B$250,0)),IF(E154="CE1",INDEX('NOTES CE1'!$AH$10:$AH$250,MATCH(B154,'NOTES CE1'!$B$10:$B$250,0)),INDEX('NOTES CE2-CM1'!$AH$10:$AH$250,MATCH(B154,'NOTES CE2-CM1'!$B$10:$B$250,0)))),""))</f>
        <v/>
      </c>
      <c r="L154" s="82" t="str">
        <f aca="false">IF(OR(J154="",K154=""),"",ROUND((J154+2*K154)/3,2))</f>
        <v/>
      </c>
      <c r="M154" s="83" t="str">
        <f aca="false">IF(E154="","",IFERROR(INDEX(PARAMETRES!$D$18:$D$23,MATCH(E154,PARAMETRES!$B$18:$B$23,0)),""))</f>
        <v/>
      </c>
      <c r="N154" s="81" t="str">
        <f aca="false">IF(E154="","",IFERROR(INDEX(PARAMETRES!$C$18:$C$23,MATCH(E154,PARAMETRES!$B$18:$B$23,0)),""))</f>
        <v/>
      </c>
      <c r="O154" s="45" t="str">
        <f aca="false">IF(B154="","",IF(F154="ABANDON","ABANDON",IF(F154="TRANSFERE","TRANSFERE",IF(L154="","",IF(L154&gt;=N154,"ADMIS","REDOUBLE")))))</f>
        <v/>
      </c>
      <c r="P154" s="73" t="str">
        <f aca="false">IF(OR(L154="",F154&lt;&gt;"PRESENT"),"",COUNTIFS($E$10:$E$250,E154,$F$10:$F$250,"PRESENT",$L$10:$L$250,"&gt;"&amp;L154)+1)</f>
        <v/>
      </c>
      <c r="Q154" s="74" t="str">
        <f aca="false">IF(O154="ADMIS",IF(L154/M154*10&gt;=8,"Très bien",IF(L154/M154*10&gt;=7,"Bien",IF(L154/M154*10&gt;=6,"Assez bien","Passable"))),IF(O154="REDOUBLE","Insuffisant",""))</f>
        <v/>
      </c>
      <c r="R154" s="51" t="str">
        <f aca="false">IFERROR(MATCH("P-145",'REGISTRE ELEVES'!$AH$10:$AH$250,0),"")</f>
        <v/>
      </c>
    </row>
    <row r="155" customFormat="false" ht="15" hidden="false" customHeight="false" outlineLevel="0" collapsed="false">
      <c r="A155" s="45" t="str">
        <f aca="false">IF(B155="","",146)</f>
        <v/>
      </c>
      <c r="B155" s="45" t="str">
        <f aca="false">IF($R155="","",INDEX('REGISTRE ELEVES'!$B$10:$B$250,$R155))</f>
        <v/>
      </c>
      <c r="C155" s="74" t="str">
        <f aca="false">IF($R155="","",INDEX('REGISTRE ELEVES'!$D$10:$D$250,$R155))</f>
        <v/>
      </c>
      <c r="D155" s="45" t="str">
        <f aca="false">IF($R155="","",INDEX('REGISTRE ELEVES'!$E$10:$E$250,$R155))</f>
        <v/>
      </c>
      <c r="E155" s="45" t="str">
        <f aca="false">IF($R155="","",INDEX('REGISTRE ELEVES'!$F$10:$F$250,$R155))</f>
        <v/>
      </c>
      <c r="F155" s="45" t="str">
        <f aca="false">IF($R155="","",INDEX('REGISTRE ELEVES'!$AE$10:$AE$250,$R155))</f>
        <v/>
      </c>
      <c r="G155" s="80" t="str">
        <f aca="false">IF(B155="","",IFERROR(IF(LEFT(E155,2)="CP",INDEX('NOTES CP'!$P$10:$P$250,MATCH(B155,'NOTES CP'!$B$10:$B$250,0)),IF(E155="CE1",INDEX('NOTES CE1'!$M$10:$M$250,MATCH(B155,'NOTES CE1'!$B$10:$B$250,0)),INDEX('NOTES CE2-CM1'!$M$10:$M$250,MATCH(B155,'NOTES CE2-CM1'!$B$10:$B$250,0)))),""))</f>
        <v/>
      </c>
      <c r="H155" s="80" t="str">
        <f aca="false">IF(B155="","",IFERROR(IF(LEFT(E155,2)="CP",INDEX('NOTES CP'!$Z$10:$Z$250,MATCH(B155,'NOTES CP'!$B$10:$B$250,0)),IF(E155="CE1",INDEX('NOTES CE1'!$T$10:$T$250,MATCH(B155,'NOTES CE1'!$B$10:$B$250,0)),INDEX('NOTES CE2-CM1'!$T$10:$T$250,MATCH(B155,'NOTES CE2-CM1'!$B$10:$B$250,0)))),""))</f>
        <v/>
      </c>
      <c r="I155" s="80" t="str">
        <f aca="false">IF(B155="","",IFERROR(IF(LEFT(E155,2)="CP",INDEX('NOTES CP'!$AJ$10:$AJ$250,MATCH(B155,'NOTES CP'!$B$10:$B$250,0)),IF(E155="CE1",INDEX('NOTES CE1'!$AA$10:$AA$250,MATCH(B155,'NOTES CE1'!$B$10:$B$250,0)),INDEX('NOTES CE2-CM1'!$AA$10:$AA$250,MATCH(B155,'NOTES CE2-CM1'!$B$10:$B$250,0)))),""))</f>
        <v/>
      </c>
      <c r="J155" s="81" t="str">
        <f aca="false">IF(COUNT(G155:I155)=0,"",ROUND(AVERAGE(G155:I155),2))</f>
        <v/>
      </c>
      <c r="K155" s="80" t="str">
        <f aca="false">IF(B155="","",IFERROR(IF(LEFT(E155,2)="CP",INDEX('NOTES CP'!$AT$10:$AT$250,MATCH(B155,'NOTES CP'!$B$10:$B$250,0)),IF(E155="CE1",INDEX('NOTES CE1'!$AH$10:$AH$250,MATCH(B155,'NOTES CE1'!$B$10:$B$250,0)),INDEX('NOTES CE2-CM1'!$AH$10:$AH$250,MATCH(B155,'NOTES CE2-CM1'!$B$10:$B$250,0)))),""))</f>
        <v/>
      </c>
      <c r="L155" s="82" t="str">
        <f aca="false">IF(OR(J155="",K155=""),"",ROUND((J155+2*K155)/3,2))</f>
        <v/>
      </c>
      <c r="M155" s="83" t="str">
        <f aca="false">IF(E155="","",IFERROR(INDEX(PARAMETRES!$D$18:$D$23,MATCH(E155,PARAMETRES!$B$18:$B$23,0)),""))</f>
        <v/>
      </c>
      <c r="N155" s="81" t="str">
        <f aca="false">IF(E155="","",IFERROR(INDEX(PARAMETRES!$C$18:$C$23,MATCH(E155,PARAMETRES!$B$18:$B$23,0)),""))</f>
        <v/>
      </c>
      <c r="O155" s="45" t="str">
        <f aca="false">IF(B155="","",IF(F155="ABANDON","ABANDON",IF(F155="TRANSFERE","TRANSFERE",IF(L155="","",IF(L155&gt;=N155,"ADMIS","REDOUBLE")))))</f>
        <v/>
      </c>
      <c r="P155" s="73" t="str">
        <f aca="false">IF(OR(L155="",F155&lt;&gt;"PRESENT"),"",COUNTIFS($E$10:$E$250,E155,$F$10:$F$250,"PRESENT",$L$10:$L$250,"&gt;"&amp;L155)+1)</f>
        <v/>
      </c>
      <c r="Q155" s="74" t="str">
        <f aca="false">IF(O155="ADMIS",IF(L155/M155*10&gt;=8,"Très bien",IF(L155/M155*10&gt;=7,"Bien",IF(L155/M155*10&gt;=6,"Assez bien","Passable"))),IF(O155="REDOUBLE","Insuffisant",""))</f>
        <v/>
      </c>
      <c r="R155" s="51" t="str">
        <f aca="false">IFERROR(MATCH("P-146",'REGISTRE ELEVES'!$AH$10:$AH$250,0),"")</f>
        <v/>
      </c>
    </row>
    <row r="156" customFormat="false" ht="15" hidden="false" customHeight="false" outlineLevel="0" collapsed="false">
      <c r="A156" s="45" t="str">
        <f aca="false">IF(B156="","",147)</f>
        <v/>
      </c>
      <c r="B156" s="45" t="str">
        <f aca="false">IF($R156="","",INDEX('REGISTRE ELEVES'!$B$10:$B$250,$R156))</f>
        <v/>
      </c>
      <c r="C156" s="74" t="str">
        <f aca="false">IF($R156="","",INDEX('REGISTRE ELEVES'!$D$10:$D$250,$R156))</f>
        <v/>
      </c>
      <c r="D156" s="45" t="str">
        <f aca="false">IF($R156="","",INDEX('REGISTRE ELEVES'!$E$10:$E$250,$R156))</f>
        <v/>
      </c>
      <c r="E156" s="45" t="str">
        <f aca="false">IF($R156="","",INDEX('REGISTRE ELEVES'!$F$10:$F$250,$R156))</f>
        <v/>
      </c>
      <c r="F156" s="45" t="str">
        <f aca="false">IF($R156="","",INDEX('REGISTRE ELEVES'!$AE$10:$AE$250,$R156))</f>
        <v/>
      </c>
      <c r="G156" s="80" t="str">
        <f aca="false">IF(B156="","",IFERROR(IF(LEFT(E156,2)="CP",INDEX('NOTES CP'!$P$10:$P$250,MATCH(B156,'NOTES CP'!$B$10:$B$250,0)),IF(E156="CE1",INDEX('NOTES CE1'!$M$10:$M$250,MATCH(B156,'NOTES CE1'!$B$10:$B$250,0)),INDEX('NOTES CE2-CM1'!$M$10:$M$250,MATCH(B156,'NOTES CE2-CM1'!$B$10:$B$250,0)))),""))</f>
        <v/>
      </c>
      <c r="H156" s="80" t="str">
        <f aca="false">IF(B156="","",IFERROR(IF(LEFT(E156,2)="CP",INDEX('NOTES CP'!$Z$10:$Z$250,MATCH(B156,'NOTES CP'!$B$10:$B$250,0)),IF(E156="CE1",INDEX('NOTES CE1'!$T$10:$T$250,MATCH(B156,'NOTES CE1'!$B$10:$B$250,0)),INDEX('NOTES CE2-CM1'!$T$10:$T$250,MATCH(B156,'NOTES CE2-CM1'!$B$10:$B$250,0)))),""))</f>
        <v/>
      </c>
      <c r="I156" s="80" t="str">
        <f aca="false">IF(B156="","",IFERROR(IF(LEFT(E156,2)="CP",INDEX('NOTES CP'!$AJ$10:$AJ$250,MATCH(B156,'NOTES CP'!$B$10:$B$250,0)),IF(E156="CE1",INDEX('NOTES CE1'!$AA$10:$AA$250,MATCH(B156,'NOTES CE1'!$B$10:$B$250,0)),INDEX('NOTES CE2-CM1'!$AA$10:$AA$250,MATCH(B156,'NOTES CE2-CM1'!$B$10:$B$250,0)))),""))</f>
        <v/>
      </c>
      <c r="J156" s="81" t="str">
        <f aca="false">IF(COUNT(G156:I156)=0,"",ROUND(AVERAGE(G156:I156),2))</f>
        <v/>
      </c>
      <c r="K156" s="80" t="str">
        <f aca="false">IF(B156="","",IFERROR(IF(LEFT(E156,2)="CP",INDEX('NOTES CP'!$AT$10:$AT$250,MATCH(B156,'NOTES CP'!$B$10:$B$250,0)),IF(E156="CE1",INDEX('NOTES CE1'!$AH$10:$AH$250,MATCH(B156,'NOTES CE1'!$B$10:$B$250,0)),INDEX('NOTES CE2-CM1'!$AH$10:$AH$250,MATCH(B156,'NOTES CE2-CM1'!$B$10:$B$250,0)))),""))</f>
        <v/>
      </c>
      <c r="L156" s="82" t="str">
        <f aca="false">IF(OR(J156="",K156=""),"",ROUND((J156+2*K156)/3,2))</f>
        <v/>
      </c>
      <c r="M156" s="83" t="str">
        <f aca="false">IF(E156="","",IFERROR(INDEX(PARAMETRES!$D$18:$D$23,MATCH(E156,PARAMETRES!$B$18:$B$23,0)),""))</f>
        <v/>
      </c>
      <c r="N156" s="81" t="str">
        <f aca="false">IF(E156="","",IFERROR(INDEX(PARAMETRES!$C$18:$C$23,MATCH(E156,PARAMETRES!$B$18:$B$23,0)),""))</f>
        <v/>
      </c>
      <c r="O156" s="45" t="str">
        <f aca="false">IF(B156="","",IF(F156="ABANDON","ABANDON",IF(F156="TRANSFERE","TRANSFERE",IF(L156="","",IF(L156&gt;=N156,"ADMIS","REDOUBLE")))))</f>
        <v/>
      </c>
      <c r="P156" s="73" t="str">
        <f aca="false">IF(OR(L156="",F156&lt;&gt;"PRESENT"),"",COUNTIFS($E$10:$E$250,E156,$F$10:$F$250,"PRESENT",$L$10:$L$250,"&gt;"&amp;L156)+1)</f>
        <v/>
      </c>
      <c r="Q156" s="74" t="str">
        <f aca="false">IF(O156="ADMIS",IF(L156/M156*10&gt;=8,"Très bien",IF(L156/M156*10&gt;=7,"Bien",IF(L156/M156*10&gt;=6,"Assez bien","Passable"))),IF(O156="REDOUBLE","Insuffisant",""))</f>
        <v/>
      </c>
      <c r="R156" s="51" t="str">
        <f aca="false">IFERROR(MATCH("P-147",'REGISTRE ELEVES'!$AH$10:$AH$250,0),"")</f>
        <v/>
      </c>
    </row>
    <row r="157" customFormat="false" ht="15" hidden="false" customHeight="false" outlineLevel="0" collapsed="false">
      <c r="A157" s="45" t="str">
        <f aca="false">IF(B157="","",148)</f>
        <v/>
      </c>
      <c r="B157" s="45" t="str">
        <f aca="false">IF($R157="","",INDEX('REGISTRE ELEVES'!$B$10:$B$250,$R157))</f>
        <v/>
      </c>
      <c r="C157" s="74" t="str">
        <f aca="false">IF($R157="","",INDEX('REGISTRE ELEVES'!$D$10:$D$250,$R157))</f>
        <v/>
      </c>
      <c r="D157" s="45" t="str">
        <f aca="false">IF($R157="","",INDEX('REGISTRE ELEVES'!$E$10:$E$250,$R157))</f>
        <v/>
      </c>
      <c r="E157" s="45" t="str">
        <f aca="false">IF($R157="","",INDEX('REGISTRE ELEVES'!$F$10:$F$250,$R157))</f>
        <v/>
      </c>
      <c r="F157" s="45" t="str">
        <f aca="false">IF($R157="","",INDEX('REGISTRE ELEVES'!$AE$10:$AE$250,$R157))</f>
        <v/>
      </c>
      <c r="G157" s="80" t="str">
        <f aca="false">IF(B157="","",IFERROR(IF(LEFT(E157,2)="CP",INDEX('NOTES CP'!$P$10:$P$250,MATCH(B157,'NOTES CP'!$B$10:$B$250,0)),IF(E157="CE1",INDEX('NOTES CE1'!$M$10:$M$250,MATCH(B157,'NOTES CE1'!$B$10:$B$250,0)),INDEX('NOTES CE2-CM1'!$M$10:$M$250,MATCH(B157,'NOTES CE2-CM1'!$B$10:$B$250,0)))),""))</f>
        <v/>
      </c>
      <c r="H157" s="80" t="str">
        <f aca="false">IF(B157="","",IFERROR(IF(LEFT(E157,2)="CP",INDEX('NOTES CP'!$Z$10:$Z$250,MATCH(B157,'NOTES CP'!$B$10:$B$250,0)),IF(E157="CE1",INDEX('NOTES CE1'!$T$10:$T$250,MATCH(B157,'NOTES CE1'!$B$10:$B$250,0)),INDEX('NOTES CE2-CM1'!$T$10:$T$250,MATCH(B157,'NOTES CE2-CM1'!$B$10:$B$250,0)))),""))</f>
        <v/>
      </c>
      <c r="I157" s="80" t="str">
        <f aca="false">IF(B157="","",IFERROR(IF(LEFT(E157,2)="CP",INDEX('NOTES CP'!$AJ$10:$AJ$250,MATCH(B157,'NOTES CP'!$B$10:$B$250,0)),IF(E157="CE1",INDEX('NOTES CE1'!$AA$10:$AA$250,MATCH(B157,'NOTES CE1'!$B$10:$B$250,0)),INDEX('NOTES CE2-CM1'!$AA$10:$AA$250,MATCH(B157,'NOTES CE2-CM1'!$B$10:$B$250,0)))),""))</f>
        <v/>
      </c>
      <c r="J157" s="81" t="str">
        <f aca="false">IF(COUNT(G157:I157)=0,"",ROUND(AVERAGE(G157:I157),2))</f>
        <v/>
      </c>
      <c r="K157" s="80" t="str">
        <f aca="false">IF(B157="","",IFERROR(IF(LEFT(E157,2)="CP",INDEX('NOTES CP'!$AT$10:$AT$250,MATCH(B157,'NOTES CP'!$B$10:$B$250,0)),IF(E157="CE1",INDEX('NOTES CE1'!$AH$10:$AH$250,MATCH(B157,'NOTES CE1'!$B$10:$B$250,0)),INDEX('NOTES CE2-CM1'!$AH$10:$AH$250,MATCH(B157,'NOTES CE2-CM1'!$B$10:$B$250,0)))),""))</f>
        <v/>
      </c>
      <c r="L157" s="82" t="str">
        <f aca="false">IF(OR(J157="",K157=""),"",ROUND((J157+2*K157)/3,2))</f>
        <v/>
      </c>
      <c r="M157" s="83" t="str">
        <f aca="false">IF(E157="","",IFERROR(INDEX(PARAMETRES!$D$18:$D$23,MATCH(E157,PARAMETRES!$B$18:$B$23,0)),""))</f>
        <v/>
      </c>
      <c r="N157" s="81" t="str">
        <f aca="false">IF(E157="","",IFERROR(INDEX(PARAMETRES!$C$18:$C$23,MATCH(E157,PARAMETRES!$B$18:$B$23,0)),""))</f>
        <v/>
      </c>
      <c r="O157" s="45" t="str">
        <f aca="false">IF(B157="","",IF(F157="ABANDON","ABANDON",IF(F157="TRANSFERE","TRANSFERE",IF(L157="","",IF(L157&gt;=N157,"ADMIS","REDOUBLE")))))</f>
        <v/>
      </c>
      <c r="P157" s="73" t="str">
        <f aca="false">IF(OR(L157="",F157&lt;&gt;"PRESENT"),"",COUNTIFS($E$10:$E$250,E157,$F$10:$F$250,"PRESENT",$L$10:$L$250,"&gt;"&amp;L157)+1)</f>
        <v/>
      </c>
      <c r="Q157" s="74" t="str">
        <f aca="false">IF(O157="ADMIS",IF(L157/M157*10&gt;=8,"Très bien",IF(L157/M157*10&gt;=7,"Bien",IF(L157/M157*10&gt;=6,"Assez bien","Passable"))),IF(O157="REDOUBLE","Insuffisant",""))</f>
        <v/>
      </c>
      <c r="R157" s="51" t="str">
        <f aca="false">IFERROR(MATCH("P-148",'REGISTRE ELEVES'!$AH$10:$AH$250,0),"")</f>
        <v/>
      </c>
    </row>
    <row r="158" customFormat="false" ht="15" hidden="false" customHeight="false" outlineLevel="0" collapsed="false">
      <c r="A158" s="45" t="str">
        <f aca="false">IF(B158="","",149)</f>
        <v/>
      </c>
      <c r="B158" s="45" t="str">
        <f aca="false">IF($R158="","",INDEX('REGISTRE ELEVES'!$B$10:$B$250,$R158))</f>
        <v/>
      </c>
      <c r="C158" s="74" t="str">
        <f aca="false">IF($R158="","",INDEX('REGISTRE ELEVES'!$D$10:$D$250,$R158))</f>
        <v/>
      </c>
      <c r="D158" s="45" t="str">
        <f aca="false">IF($R158="","",INDEX('REGISTRE ELEVES'!$E$10:$E$250,$R158))</f>
        <v/>
      </c>
      <c r="E158" s="45" t="str">
        <f aca="false">IF($R158="","",INDEX('REGISTRE ELEVES'!$F$10:$F$250,$R158))</f>
        <v/>
      </c>
      <c r="F158" s="45" t="str">
        <f aca="false">IF($R158="","",INDEX('REGISTRE ELEVES'!$AE$10:$AE$250,$R158))</f>
        <v/>
      </c>
      <c r="G158" s="80" t="str">
        <f aca="false">IF(B158="","",IFERROR(IF(LEFT(E158,2)="CP",INDEX('NOTES CP'!$P$10:$P$250,MATCH(B158,'NOTES CP'!$B$10:$B$250,0)),IF(E158="CE1",INDEX('NOTES CE1'!$M$10:$M$250,MATCH(B158,'NOTES CE1'!$B$10:$B$250,0)),INDEX('NOTES CE2-CM1'!$M$10:$M$250,MATCH(B158,'NOTES CE2-CM1'!$B$10:$B$250,0)))),""))</f>
        <v/>
      </c>
      <c r="H158" s="80" t="str">
        <f aca="false">IF(B158="","",IFERROR(IF(LEFT(E158,2)="CP",INDEX('NOTES CP'!$Z$10:$Z$250,MATCH(B158,'NOTES CP'!$B$10:$B$250,0)),IF(E158="CE1",INDEX('NOTES CE1'!$T$10:$T$250,MATCH(B158,'NOTES CE1'!$B$10:$B$250,0)),INDEX('NOTES CE2-CM1'!$T$10:$T$250,MATCH(B158,'NOTES CE2-CM1'!$B$10:$B$250,0)))),""))</f>
        <v/>
      </c>
      <c r="I158" s="80" t="str">
        <f aca="false">IF(B158="","",IFERROR(IF(LEFT(E158,2)="CP",INDEX('NOTES CP'!$AJ$10:$AJ$250,MATCH(B158,'NOTES CP'!$B$10:$B$250,0)),IF(E158="CE1",INDEX('NOTES CE1'!$AA$10:$AA$250,MATCH(B158,'NOTES CE1'!$B$10:$B$250,0)),INDEX('NOTES CE2-CM1'!$AA$10:$AA$250,MATCH(B158,'NOTES CE2-CM1'!$B$10:$B$250,0)))),""))</f>
        <v/>
      </c>
      <c r="J158" s="81" t="str">
        <f aca="false">IF(COUNT(G158:I158)=0,"",ROUND(AVERAGE(G158:I158),2))</f>
        <v/>
      </c>
      <c r="K158" s="80" t="str">
        <f aca="false">IF(B158="","",IFERROR(IF(LEFT(E158,2)="CP",INDEX('NOTES CP'!$AT$10:$AT$250,MATCH(B158,'NOTES CP'!$B$10:$B$250,0)),IF(E158="CE1",INDEX('NOTES CE1'!$AH$10:$AH$250,MATCH(B158,'NOTES CE1'!$B$10:$B$250,0)),INDEX('NOTES CE2-CM1'!$AH$10:$AH$250,MATCH(B158,'NOTES CE2-CM1'!$B$10:$B$250,0)))),""))</f>
        <v/>
      </c>
      <c r="L158" s="82" t="str">
        <f aca="false">IF(OR(J158="",K158=""),"",ROUND((J158+2*K158)/3,2))</f>
        <v/>
      </c>
      <c r="M158" s="83" t="str">
        <f aca="false">IF(E158="","",IFERROR(INDEX(PARAMETRES!$D$18:$D$23,MATCH(E158,PARAMETRES!$B$18:$B$23,0)),""))</f>
        <v/>
      </c>
      <c r="N158" s="81" t="str">
        <f aca="false">IF(E158="","",IFERROR(INDEX(PARAMETRES!$C$18:$C$23,MATCH(E158,PARAMETRES!$B$18:$B$23,0)),""))</f>
        <v/>
      </c>
      <c r="O158" s="45" t="str">
        <f aca="false">IF(B158="","",IF(F158="ABANDON","ABANDON",IF(F158="TRANSFERE","TRANSFERE",IF(L158="","",IF(L158&gt;=N158,"ADMIS","REDOUBLE")))))</f>
        <v/>
      </c>
      <c r="P158" s="73" t="str">
        <f aca="false">IF(OR(L158="",F158&lt;&gt;"PRESENT"),"",COUNTIFS($E$10:$E$250,E158,$F$10:$F$250,"PRESENT",$L$10:$L$250,"&gt;"&amp;L158)+1)</f>
        <v/>
      </c>
      <c r="Q158" s="74" t="str">
        <f aca="false">IF(O158="ADMIS",IF(L158/M158*10&gt;=8,"Très bien",IF(L158/M158*10&gt;=7,"Bien",IF(L158/M158*10&gt;=6,"Assez bien","Passable"))),IF(O158="REDOUBLE","Insuffisant",""))</f>
        <v/>
      </c>
      <c r="R158" s="51" t="str">
        <f aca="false">IFERROR(MATCH("P-149",'REGISTRE ELEVES'!$AH$10:$AH$250,0),"")</f>
        <v/>
      </c>
    </row>
    <row r="159" customFormat="false" ht="15" hidden="false" customHeight="false" outlineLevel="0" collapsed="false">
      <c r="A159" s="45" t="str">
        <f aca="false">IF(B159="","",150)</f>
        <v/>
      </c>
      <c r="B159" s="45" t="str">
        <f aca="false">IF($R159="","",INDEX('REGISTRE ELEVES'!$B$10:$B$250,$R159))</f>
        <v/>
      </c>
      <c r="C159" s="74" t="str">
        <f aca="false">IF($R159="","",INDEX('REGISTRE ELEVES'!$D$10:$D$250,$R159))</f>
        <v/>
      </c>
      <c r="D159" s="45" t="str">
        <f aca="false">IF($R159="","",INDEX('REGISTRE ELEVES'!$E$10:$E$250,$R159))</f>
        <v/>
      </c>
      <c r="E159" s="45" t="str">
        <f aca="false">IF($R159="","",INDEX('REGISTRE ELEVES'!$F$10:$F$250,$R159))</f>
        <v/>
      </c>
      <c r="F159" s="45" t="str">
        <f aca="false">IF($R159="","",INDEX('REGISTRE ELEVES'!$AE$10:$AE$250,$R159))</f>
        <v/>
      </c>
      <c r="G159" s="80" t="str">
        <f aca="false">IF(B159="","",IFERROR(IF(LEFT(E159,2)="CP",INDEX('NOTES CP'!$P$10:$P$250,MATCH(B159,'NOTES CP'!$B$10:$B$250,0)),IF(E159="CE1",INDEX('NOTES CE1'!$M$10:$M$250,MATCH(B159,'NOTES CE1'!$B$10:$B$250,0)),INDEX('NOTES CE2-CM1'!$M$10:$M$250,MATCH(B159,'NOTES CE2-CM1'!$B$10:$B$250,0)))),""))</f>
        <v/>
      </c>
      <c r="H159" s="80" t="str">
        <f aca="false">IF(B159="","",IFERROR(IF(LEFT(E159,2)="CP",INDEX('NOTES CP'!$Z$10:$Z$250,MATCH(B159,'NOTES CP'!$B$10:$B$250,0)),IF(E159="CE1",INDEX('NOTES CE1'!$T$10:$T$250,MATCH(B159,'NOTES CE1'!$B$10:$B$250,0)),INDEX('NOTES CE2-CM1'!$T$10:$T$250,MATCH(B159,'NOTES CE2-CM1'!$B$10:$B$250,0)))),""))</f>
        <v/>
      </c>
      <c r="I159" s="80" t="str">
        <f aca="false">IF(B159="","",IFERROR(IF(LEFT(E159,2)="CP",INDEX('NOTES CP'!$AJ$10:$AJ$250,MATCH(B159,'NOTES CP'!$B$10:$B$250,0)),IF(E159="CE1",INDEX('NOTES CE1'!$AA$10:$AA$250,MATCH(B159,'NOTES CE1'!$B$10:$B$250,0)),INDEX('NOTES CE2-CM1'!$AA$10:$AA$250,MATCH(B159,'NOTES CE2-CM1'!$B$10:$B$250,0)))),""))</f>
        <v/>
      </c>
      <c r="J159" s="81" t="str">
        <f aca="false">IF(COUNT(G159:I159)=0,"",ROUND(AVERAGE(G159:I159),2))</f>
        <v/>
      </c>
      <c r="K159" s="80" t="str">
        <f aca="false">IF(B159="","",IFERROR(IF(LEFT(E159,2)="CP",INDEX('NOTES CP'!$AT$10:$AT$250,MATCH(B159,'NOTES CP'!$B$10:$B$250,0)),IF(E159="CE1",INDEX('NOTES CE1'!$AH$10:$AH$250,MATCH(B159,'NOTES CE1'!$B$10:$B$250,0)),INDEX('NOTES CE2-CM1'!$AH$10:$AH$250,MATCH(B159,'NOTES CE2-CM1'!$B$10:$B$250,0)))),""))</f>
        <v/>
      </c>
      <c r="L159" s="82" t="str">
        <f aca="false">IF(OR(J159="",K159=""),"",ROUND((J159+2*K159)/3,2))</f>
        <v/>
      </c>
      <c r="M159" s="83" t="str">
        <f aca="false">IF(E159="","",IFERROR(INDEX(PARAMETRES!$D$18:$D$23,MATCH(E159,PARAMETRES!$B$18:$B$23,0)),""))</f>
        <v/>
      </c>
      <c r="N159" s="81" t="str">
        <f aca="false">IF(E159="","",IFERROR(INDEX(PARAMETRES!$C$18:$C$23,MATCH(E159,PARAMETRES!$B$18:$B$23,0)),""))</f>
        <v/>
      </c>
      <c r="O159" s="45" t="str">
        <f aca="false">IF(B159="","",IF(F159="ABANDON","ABANDON",IF(F159="TRANSFERE","TRANSFERE",IF(L159="","",IF(L159&gt;=N159,"ADMIS","REDOUBLE")))))</f>
        <v/>
      </c>
      <c r="P159" s="73" t="str">
        <f aca="false">IF(OR(L159="",F159&lt;&gt;"PRESENT"),"",COUNTIFS($E$10:$E$250,E159,$F$10:$F$250,"PRESENT",$L$10:$L$250,"&gt;"&amp;L159)+1)</f>
        <v/>
      </c>
      <c r="Q159" s="74" t="str">
        <f aca="false">IF(O159="ADMIS",IF(L159/M159*10&gt;=8,"Très bien",IF(L159/M159*10&gt;=7,"Bien",IF(L159/M159*10&gt;=6,"Assez bien","Passable"))),IF(O159="REDOUBLE","Insuffisant",""))</f>
        <v/>
      </c>
      <c r="R159" s="51" t="str">
        <f aca="false">IFERROR(MATCH("P-150",'REGISTRE ELEVES'!$AH$10:$AH$250,0),"")</f>
        <v/>
      </c>
    </row>
    <row r="160" customFormat="false" ht="15" hidden="false" customHeight="false" outlineLevel="0" collapsed="false">
      <c r="A160" s="45" t="str">
        <f aca="false">IF(B160="","",151)</f>
        <v/>
      </c>
      <c r="B160" s="45" t="str">
        <f aca="false">IF($R160="","",INDEX('REGISTRE ELEVES'!$B$10:$B$250,$R160))</f>
        <v/>
      </c>
      <c r="C160" s="74" t="str">
        <f aca="false">IF($R160="","",INDEX('REGISTRE ELEVES'!$D$10:$D$250,$R160))</f>
        <v/>
      </c>
      <c r="D160" s="45" t="str">
        <f aca="false">IF($R160="","",INDEX('REGISTRE ELEVES'!$E$10:$E$250,$R160))</f>
        <v/>
      </c>
      <c r="E160" s="45" t="str">
        <f aca="false">IF($R160="","",INDEX('REGISTRE ELEVES'!$F$10:$F$250,$R160))</f>
        <v/>
      </c>
      <c r="F160" s="45" t="str">
        <f aca="false">IF($R160="","",INDEX('REGISTRE ELEVES'!$AE$10:$AE$250,$R160))</f>
        <v/>
      </c>
      <c r="G160" s="80" t="str">
        <f aca="false">IF(B160="","",IFERROR(IF(LEFT(E160,2)="CP",INDEX('NOTES CP'!$P$10:$P$250,MATCH(B160,'NOTES CP'!$B$10:$B$250,0)),IF(E160="CE1",INDEX('NOTES CE1'!$M$10:$M$250,MATCH(B160,'NOTES CE1'!$B$10:$B$250,0)),INDEX('NOTES CE2-CM1'!$M$10:$M$250,MATCH(B160,'NOTES CE2-CM1'!$B$10:$B$250,0)))),""))</f>
        <v/>
      </c>
      <c r="H160" s="80" t="str">
        <f aca="false">IF(B160="","",IFERROR(IF(LEFT(E160,2)="CP",INDEX('NOTES CP'!$Z$10:$Z$250,MATCH(B160,'NOTES CP'!$B$10:$B$250,0)),IF(E160="CE1",INDEX('NOTES CE1'!$T$10:$T$250,MATCH(B160,'NOTES CE1'!$B$10:$B$250,0)),INDEX('NOTES CE2-CM1'!$T$10:$T$250,MATCH(B160,'NOTES CE2-CM1'!$B$10:$B$250,0)))),""))</f>
        <v/>
      </c>
      <c r="I160" s="80" t="str">
        <f aca="false">IF(B160="","",IFERROR(IF(LEFT(E160,2)="CP",INDEX('NOTES CP'!$AJ$10:$AJ$250,MATCH(B160,'NOTES CP'!$B$10:$B$250,0)),IF(E160="CE1",INDEX('NOTES CE1'!$AA$10:$AA$250,MATCH(B160,'NOTES CE1'!$B$10:$B$250,0)),INDEX('NOTES CE2-CM1'!$AA$10:$AA$250,MATCH(B160,'NOTES CE2-CM1'!$B$10:$B$250,0)))),""))</f>
        <v/>
      </c>
      <c r="J160" s="81" t="str">
        <f aca="false">IF(COUNT(G160:I160)=0,"",ROUND(AVERAGE(G160:I160),2))</f>
        <v/>
      </c>
      <c r="K160" s="80" t="str">
        <f aca="false">IF(B160="","",IFERROR(IF(LEFT(E160,2)="CP",INDEX('NOTES CP'!$AT$10:$AT$250,MATCH(B160,'NOTES CP'!$B$10:$B$250,0)),IF(E160="CE1",INDEX('NOTES CE1'!$AH$10:$AH$250,MATCH(B160,'NOTES CE1'!$B$10:$B$250,0)),INDEX('NOTES CE2-CM1'!$AH$10:$AH$250,MATCH(B160,'NOTES CE2-CM1'!$B$10:$B$250,0)))),""))</f>
        <v/>
      </c>
      <c r="L160" s="82" t="str">
        <f aca="false">IF(OR(J160="",K160=""),"",ROUND((J160+2*K160)/3,2))</f>
        <v/>
      </c>
      <c r="M160" s="83" t="str">
        <f aca="false">IF(E160="","",IFERROR(INDEX(PARAMETRES!$D$18:$D$23,MATCH(E160,PARAMETRES!$B$18:$B$23,0)),""))</f>
        <v/>
      </c>
      <c r="N160" s="81" t="str">
        <f aca="false">IF(E160="","",IFERROR(INDEX(PARAMETRES!$C$18:$C$23,MATCH(E160,PARAMETRES!$B$18:$B$23,0)),""))</f>
        <v/>
      </c>
      <c r="O160" s="45" t="str">
        <f aca="false">IF(B160="","",IF(F160="ABANDON","ABANDON",IF(F160="TRANSFERE","TRANSFERE",IF(L160="","",IF(L160&gt;=N160,"ADMIS","REDOUBLE")))))</f>
        <v/>
      </c>
      <c r="P160" s="73" t="str">
        <f aca="false">IF(OR(L160="",F160&lt;&gt;"PRESENT"),"",COUNTIFS($E$10:$E$250,E160,$F$10:$F$250,"PRESENT",$L$10:$L$250,"&gt;"&amp;L160)+1)</f>
        <v/>
      </c>
      <c r="Q160" s="74" t="str">
        <f aca="false">IF(O160="ADMIS",IF(L160/M160*10&gt;=8,"Très bien",IF(L160/M160*10&gt;=7,"Bien",IF(L160/M160*10&gt;=6,"Assez bien","Passable"))),IF(O160="REDOUBLE","Insuffisant",""))</f>
        <v/>
      </c>
      <c r="R160" s="51" t="str">
        <f aca="false">IFERROR(MATCH("P-151",'REGISTRE ELEVES'!$AH$10:$AH$250,0),"")</f>
        <v/>
      </c>
    </row>
    <row r="161" customFormat="false" ht="15" hidden="false" customHeight="false" outlineLevel="0" collapsed="false">
      <c r="A161" s="45" t="str">
        <f aca="false">IF(B161="","",152)</f>
        <v/>
      </c>
      <c r="B161" s="45" t="str">
        <f aca="false">IF($R161="","",INDEX('REGISTRE ELEVES'!$B$10:$B$250,$R161))</f>
        <v/>
      </c>
      <c r="C161" s="74" t="str">
        <f aca="false">IF($R161="","",INDEX('REGISTRE ELEVES'!$D$10:$D$250,$R161))</f>
        <v/>
      </c>
      <c r="D161" s="45" t="str">
        <f aca="false">IF($R161="","",INDEX('REGISTRE ELEVES'!$E$10:$E$250,$R161))</f>
        <v/>
      </c>
      <c r="E161" s="45" t="str">
        <f aca="false">IF($R161="","",INDEX('REGISTRE ELEVES'!$F$10:$F$250,$R161))</f>
        <v/>
      </c>
      <c r="F161" s="45" t="str">
        <f aca="false">IF($R161="","",INDEX('REGISTRE ELEVES'!$AE$10:$AE$250,$R161))</f>
        <v/>
      </c>
      <c r="G161" s="80" t="str">
        <f aca="false">IF(B161="","",IFERROR(IF(LEFT(E161,2)="CP",INDEX('NOTES CP'!$P$10:$P$250,MATCH(B161,'NOTES CP'!$B$10:$B$250,0)),IF(E161="CE1",INDEX('NOTES CE1'!$M$10:$M$250,MATCH(B161,'NOTES CE1'!$B$10:$B$250,0)),INDEX('NOTES CE2-CM1'!$M$10:$M$250,MATCH(B161,'NOTES CE2-CM1'!$B$10:$B$250,0)))),""))</f>
        <v/>
      </c>
      <c r="H161" s="80" t="str">
        <f aca="false">IF(B161="","",IFERROR(IF(LEFT(E161,2)="CP",INDEX('NOTES CP'!$Z$10:$Z$250,MATCH(B161,'NOTES CP'!$B$10:$B$250,0)),IF(E161="CE1",INDEX('NOTES CE1'!$T$10:$T$250,MATCH(B161,'NOTES CE1'!$B$10:$B$250,0)),INDEX('NOTES CE2-CM1'!$T$10:$T$250,MATCH(B161,'NOTES CE2-CM1'!$B$10:$B$250,0)))),""))</f>
        <v/>
      </c>
      <c r="I161" s="80" t="str">
        <f aca="false">IF(B161="","",IFERROR(IF(LEFT(E161,2)="CP",INDEX('NOTES CP'!$AJ$10:$AJ$250,MATCH(B161,'NOTES CP'!$B$10:$B$250,0)),IF(E161="CE1",INDEX('NOTES CE1'!$AA$10:$AA$250,MATCH(B161,'NOTES CE1'!$B$10:$B$250,0)),INDEX('NOTES CE2-CM1'!$AA$10:$AA$250,MATCH(B161,'NOTES CE2-CM1'!$B$10:$B$250,0)))),""))</f>
        <v/>
      </c>
      <c r="J161" s="81" t="str">
        <f aca="false">IF(COUNT(G161:I161)=0,"",ROUND(AVERAGE(G161:I161),2))</f>
        <v/>
      </c>
      <c r="K161" s="80" t="str">
        <f aca="false">IF(B161="","",IFERROR(IF(LEFT(E161,2)="CP",INDEX('NOTES CP'!$AT$10:$AT$250,MATCH(B161,'NOTES CP'!$B$10:$B$250,0)),IF(E161="CE1",INDEX('NOTES CE1'!$AH$10:$AH$250,MATCH(B161,'NOTES CE1'!$B$10:$B$250,0)),INDEX('NOTES CE2-CM1'!$AH$10:$AH$250,MATCH(B161,'NOTES CE2-CM1'!$B$10:$B$250,0)))),""))</f>
        <v/>
      </c>
      <c r="L161" s="82" t="str">
        <f aca="false">IF(OR(J161="",K161=""),"",ROUND((J161+2*K161)/3,2))</f>
        <v/>
      </c>
      <c r="M161" s="83" t="str">
        <f aca="false">IF(E161="","",IFERROR(INDEX(PARAMETRES!$D$18:$D$23,MATCH(E161,PARAMETRES!$B$18:$B$23,0)),""))</f>
        <v/>
      </c>
      <c r="N161" s="81" t="str">
        <f aca="false">IF(E161="","",IFERROR(INDEX(PARAMETRES!$C$18:$C$23,MATCH(E161,PARAMETRES!$B$18:$B$23,0)),""))</f>
        <v/>
      </c>
      <c r="O161" s="45" t="str">
        <f aca="false">IF(B161="","",IF(F161="ABANDON","ABANDON",IF(F161="TRANSFERE","TRANSFERE",IF(L161="","",IF(L161&gt;=N161,"ADMIS","REDOUBLE")))))</f>
        <v/>
      </c>
      <c r="P161" s="73" t="str">
        <f aca="false">IF(OR(L161="",F161&lt;&gt;"PRESENT"),"",COUNTIFS($E$10:$E$250,E161,$F$10:$F$250,"PRESENT",$L$10:$L$250,"&gt;"&amp;L161)+1)</f>
        <v/>
      </c>
      <c r="Q161" s="74" t="str">
        <f aca="false">IF(O161="ADMIS",IF(L161/M161*10&gt;=8,"Très bien",IF(L161/M161*10&gt;=7,"Bien",IF(L161/M161*10&gt;=6,"Assez bien","Passable"))),IF(O161="REDOUBLE","Insuffisant",""))</f>
        <v/>
      </c>
      <c r="R161" s="51" t="str">
        <f aca="false">IFERROR(MATCH("P-152",'REGISTRE ELEVES'!$AH$10:$AH$250,0),"")</f>
        <v/>
      </c>
    </row>
    <row r="162" customFormat="false" ht="15" hidden="false" customHeight="false" outlineLevel="0" collapsed="false">
      <c r="A162" s="45" t="str">
        <f aca="false">IF(B162="","",153)</f>
        <v/>
      </c>
      <c r="B162" s="45" t="str">
        <f aca="false">IF($R162="","",INDEX('REGISTRE ELEVES'!$B$10:$B$250,$R162))</f>
        <v/>
      </c>
      <c r="C162" s="74" t="str">
        <f aca="false">IF($R162="","",INDEX('REGISTRE ELEVES'!$D$10:$D$250,$R162))</f>
        <v/>
      </c>
      <c r="D162" s="45" t="str">
        <f aca="false">IF($R162="","",INDEX('REGISTRE ELEVES'!$E$10:$E$250,$R162))</f>
        <v/>
      </c>
      <c r="E162" s="45" t="str">
        <f aca="false">IF($R162="","",INDEX('REGISTRE ELEVES'!$F$10:$F$250,$R162))</f>
        <v/>
      </c>
      <c r="F162" s="45" t="str">
        <f aca="false">IF($R162="","",INDEX('REGISTRE ELEVES'!$AE$10:$AE$250,$R162))</f>
        <v/>
      </c>
      <c r="G162" s="80" t="str">
        <f aca="false">IF(B162="","",IFERROR(IF(LEFT(E162,2)="CP",INDEX('NOTES CP'!$P$10:$P$250,MATCH(B162,'NOTES CP'!$B$10:$B$250,0)),IF(E162="CE1",INDEX('NOTES CE1'!$M$10:$M$250,MATCH(B162,'NOTES CE1'!$B$10:$B$250,0)),INDEX('NOTES CE2-CM1'!$M$10:$M$250,MATCH(B162,'NOTES CE2-CM1'!$B$10:$B$250,0)))),""))</f>
        <v/>
      </c>
      <c r="H162" s="80" t="str">
        <f aca="false">IF(B162="","",IFERROR(IF(LEFT(E162,2)="CP",INDEX('NOTES CP'!$Z$10:$Z$250,MATCH(B162,'NOTES CP'!$B$10:$B$250,0)),IF(E162="CE1",INDEX('NOTES CE1'!$T$10:$T$250,MATCH(B162,'NOTES CE1'!$B$10:$B$250,0)),INDEX('NOTES CE2-CM1'!$T$10:$T$250,MATCH(B162,'NOTES CE2-CM1'!$B$10:$B$250,0)))),""))</f>
        <v/>
      </c>
      <c r="I162" s="80" t="str">
        <f aca="false">IF(B162="","",IFERROR(IF(LEFT(E162,2)="CP",INDEX('NOTES CP'!$AJ$10:$AJ$250,MATCH(B162,'NOTES CP'!$B$10:$B$250,0)),IF(E162="CE1",INDEX('NOTES CE1'!$AA$10:$AA$250,MATCH(B162,'NOTES CE1'!$B$10:$B$250,0)),INDEX('NOTES CE2-CM1'!$AA$10:$AA$250,MATCH(B162,'NOTES CE2-CM1'!$B$10:$B$250,0)))),""))</f>
        <v/>
      </c>
      <c r="J162" s="81" t="str">
        <f aca="false">IF(COUNT(G162:I162)=0,"",ROUND(AVERAGE(G162:I162),2))</f>
        <v/>
      </c>
      <c r="K162" s="80" t="str">
        <f aca="false">IF(B162="","",IFERROR(IF(LEFT(E162,2)="CP",INDEX('NOTES CP'!$AT$10:$AT$250,MATCH(B162,'NOTES CP'!$B$10:$B$250,0)),IF(E162="CE1",INDEX('NOTES CE1'!$AH$10:$AH$250,MATCH(B162,'NOTES CE1'!$B$10:$B$250,0)),INDEX('NOTES CE2-CM1'!$AH$10:$AH$250,MATCH(B162,'NOTES CE2-CM1'!$B$10:$B$250,0)))),""))</f>
        <v/>
      </c>
      <c r="L162" s="82" t="str">
        <f aca="false">IF(OR(J162="",K162=""),"",ROUND((J162+2*K162)/3,2))</f>
        <v/>
      </c>
      <c r="M162" s="83" t="str">
        <f aca="false">IF(E162="","",IFERROR(INDEX(PARAMETRES!$D$18:$D$23,MATCH(E162,PARAMETRES!$B$18:$B$23,0)),""))</f>
        <v/>
      </c>
      <c r="N162" s="81" t="str">
        <f aca="false">IF(E162="","",IFERROR(INDEX(PARAMETRES!$C$18:$C$23,MATCH(E162,PARAMETRES!$B$18:$B$23,0)),""))</f>
        <v/>
      </c>
      <c r="O162" s="45" t="str">
        <f aca="false">IF(B162="","",IF(F162="ABANDON","ABANDON",IF(F162="TRANSFERE","TRANSFERE",IF(L162="","",IF(L162&gt;=N162,"ADMIS","REDOUBLE")))))</f>
        <v/>
      </c>
      <c r="P162" s="73" t="str">
        <f aca="false">IF(OR(L162="",F162&lt;&gt;"PRESENT"),"",COUNTIFS($E$10:$E$250,E162,$F$10:$F$250,"PRESENT",$L$10:$L$250,"&gt;"&amp;L162)+1)</f>
        <v/>
      </c>
      <c r="Q162" s="74" t="str">
        <f aca="false">IF(O162="ADMIS",IF(L162/M162*10&gt;=8,"Très bien",IF(L162/M162*10&gt;=7,"Bien",IF(L162/M162*10&gt;=6,"Assez bien","Passable"))),IF(O162="REDOUBLE","Insuffisant",""))</f>
        <v/>
      </c>
      <c r="R162" s="51" t="str">
        <f aca="false">IFERROR(MATCH("P-153",'REGISTRE ELEVES'!$AH$10:$AH$250,0),"")</f>
        <v/>
      </c>
    </row>
    <row r="163" customFormat="false" ht="15" hidden="false" customHeight="false" outlineLevel="0" collapsed="false">
      <c r="A163" s="45" t="str">
        <f aca="false">IF(B163="","",154)</f>
        <v/>
      </c>
      <c r="B163" s="45" t="str">
        <f aca="false">IF($R163="","",INDEX('REGISTRE ELEVES'!$B$10:$B$250,$R163))</f>
        <v/>
      </c>
      <c r="C163" s="74" t="str">
        <f aca="false">IF($R163="","",INDEX('REGISTRE ELEVES'!$D$10:$D$250,$R163))</f>
        <v/>
      </c>
      <c r="D163" s="45" t="str">
        <f aca="false">IF($R163="","",INDEX('REGISTRE ELEVES'!$E$10:$E$250,$R163))</f>
        <v/>
      </c>
      <c r="E163" s="45" t="str">
        <f aca="false">IF($R163="","",INDEX('REGISTRE ELEVES'!$F$10:$F$250,$R163))</f>
        <v/>
      </c>
      <c r="F163" s="45" t="str">
        <f aca="false">IF($R163="","",INDEX('REGISTRE ELEVES'!$AE$10:$AE$250,$R163))</f>
        <v/>
      </c>
      <c r="G163" s="80" t="str">
        <f aca="false">IF(B163="","",IFERROR(IF(LEFT(E163,2)="CP",INDEX('NOTES CP'!$P$10:$P$250,MATCH(B163,'NOTES CP'!$B$10:$B$250,0)),IF(E163="CE1",INDEX('NOTES CE1'!$M$10:$M$250,MATCH(B163,'NOTES CE1'!$B$10:$B$250,0)),INDEX('NOTES CE2-CM1'!$M$10:$M$250,MATCH(B163,'NOTES CE2-CM1'!$B$10:$B$250,0)))),""))</f>
        <v/>
      </c>
      <c r="H163" s="80" t="str">
        <f aca="false">IF(B163="","",IFERROR(IF(LEFT(E163,2)="CP",INDEX('NOTES CP'!$Z$10:$Z$250,MATCH(B163,'NOTES CP'!$B$10:$B$250,0)),IF(E163="CE1",INDEX('NOTES CE1'!$T$10:$T$250,MATCH(B163,'NOTES CE1'!$B$10:$B$250,0)),INDEX('NOTES CE2-CM1'!$T$10:$T$250,MATCH(B163,'NOTES CE2-CM1'!$B$10:$B$250,0)))),""))</f>
        <v/>
      </c>
      <c r="I163" s="80" t="str">
        <f aca="false">IF(B163="","",IFERROR(IF(LEFT(E163,2)="CP",INDEX('NOTES CP'!$AJ$10:$AJ$250,MATCH(B163,'NOTES CP'!$B$10:$B$250,0)),IF(E163="CE1",INDEX('NOTES CE1'!$AA$10:$AA$250,MATCH(B163,'NOTES CE1'!$B$10:$B$250,0)),INDEX('NOTES CE2-CM1'!$AA$10:$AA$250,MATCH(B163,'NOTES CE2-CM1'!$B$10:$B$250,0)))),""))</f>
        <v/>
      </c>
      <c r="J163" s="81" t="str">
        <f aca="false">IF(COUNT(G163:I163)=0,"",ROUND(AVERAGE(G163:I163),2))</f>
        <v/>
      </c>
      <c r="K163" s="80" t="str">
        <f aca="false">IF(B163="","",IFERROR(IF(LEFT(E163,2)="CP",INDEX('NOTES CP'!$AT$10:$AT$250,MATCH(B163,'NOTES CP'!$B$10:$B$250,0)),IF(E163="CE1",INDEX('NOTES CE1'!$AH$10:$AH$250,MATCH(B163,'NOTES CE1'!$B$10:$B$250,0)),INDEX('NOTES CE2-CM1'!$AH$10:$AH$250,MATCH(B163,'NOTES CE2-CM1'!$B$10:$B$250,0)))),""))</f>
        <v/>
      </c>
      <c r="L163" s="82" t="str">
        <f aca="false">IF(OR(J163="",K163=""),"",ROUND((J163+2*K163)/3,2))</f>
        <v/>
      </c>
      <c r="M163" s="83" t="str">
        <f aca="false">IF(E163="","",IFERROR(INDEX(PARAMETRES!$D$18:$D$23,MATCH(E163,PARAMETRES!$B$18:$B$23,0)),""))</f>
        <v/>
      </c>
      <c r="N163" s="81" t="str">
        <f aca="false">IF(E163="","",IFERROR(INDEX(PARAMETRES!$C$18:$C$23,MATCH(E163,PARAMETRES!$B$18:$B$23,0)),""))</f>
        <v/>
      </c>
      <c r="O163" s="45" t="str">
        <f aca="false">IF(B163="","",IF(F163="ABANDON","ABANDON",IF(F163="TRANSFERE","TRANSFERE",IF(L163="","",IF(L163&gt;=N163,"ADMIS","REDOUBLE")))))</f>
        <v/>
      </c>
      <c r="P163" s="73" t="str">
        <f aca="false">IF(OR(L163="",F163&lt;&gt;"PRESENT"),"",COUNTIFS($E$10:$E$250,E163,$F$10:$F$250,"PRESENT",$L$10:$L$250,"&gt;"&amp;L163)+1)</f>
        <v/>
      </c>
      <c r="Q163" s="74" t="str">
        <f aca="false">IF(O163="ADMIS",IF(L163/M163*10&gt;=8,"Très bien",IF(L163/M163*10&gt;=7,"Bien",IF(L163/M163*10&gt;=6,"Assez bien","Passable"))),IF(O163="REDOUBLE","Insuffisant",""))</f>
        <v/>
      </c>
      <c r="R163" s="51" t="str">
        <f aca="false">IFERROR(MATCH("P-154",'REGISTRE ELEVES'!$AH$10:$AH$250,0),"")</f>
        <v/>
      </c>
    </row>
    <row r="164" customFormat="false" ht="15" hidden="false" customHeight="false" outlineLevel="0" collapsed="false">
      <c r="A164" s="45" t="str">
        <f aca="false">IF(B164="","",155)</f>
        <v/>
      </c>
      <c r="B164" s="45" t="str">
        <f aca="false">IF($R164="","",INDEX('REGISTRE ELEVES'!$B$10:$B$250,$R164))</f>
        <v/>
      </c>
      <c r="C164" s="74" t="str">
        <f aca="false">IF($R164="","",INDEX('REGISTRE ELEVES'!$D$10:$D$250,$R164))</f>
        <v/>
      </c>
      <c r="D164" s="45" t="str">
        <f aca="false">IF($R164="","",INDEX('REGISTRE ELEVES'!$E$10:$E$250,$R164))</f>
        <v/>
      </c>
      <c r="E164" s="45" t="str">
        <f aca="false">IF($R164="","",INDEX('REGISTRE ELEVES'!$F$10:$F$250,$R164))</f>
        <v/>
      </c>
      <c r="F164" s="45" t="str">
        <f aca="false">IF($R164="","",INDEX('REGISTRE ELEVES'!$AE$10:$AE$250,$R164))</f>
        <v/>
      </c>
      <c r="G164" s="80" t="str">
        <f aca="false">IF(B164="","",IFERROR(IF(LEFT(E164,2)="CP",INDEX('NOTES CP'!$P$10:$P$250,MATCH(B164,'NOTES CP'!$B$10:$B$250,0)),IF(E164="CE1",INDEX('NOTES CE1'!$M$10:$M$250,MATCH(B164,'NOTES CE1'!$B$10:$B$250,0)),INDEX('NOTES CE2-CM1'!$M$10:$M$250,MATCH(B164,'NOTES CE2-CM1'!$B$10:$B$250,0)))),""))</f>
        <v/>
      </c>
      <c r="H164" s="80" t="str">
        <f aca="false">IF(B164="","",IFERROR(IF(LEFT(E164,2)="CP",INDEX('NOTES CP'!$Z$10:$Z$250,MATCH(B164,'NOTES CP'!$B$10:$B$250,0)),IF(E164="CE1",INDEX('NOTES CE1'!$T$10:$T$250,MATCH(B164,'NOTES CE1'!$B$10:$B$250,0)),INDEX('NOTES CE2-CM1'!$T$10:$T$250,MATCH(B164,'NOTES CE2-CM1'!$B$10:$B$250,0)))),""))</f>
        <v/>
      </c>
      <c r="I164" s="80" t="str">
        <f aca="false">IF(B164="","",IFERROR(IF(LEFT(E164,2)="CP",INDEX('NOTES CP'!$AJ$10:$AJ$250,MATCH(B164,'NOTES CP'!$B$10:$B$250,0)),IF(E164="CE1",INDEX('NOTES CE1'!$AA$10:$AA$250,MATCH(B164,'NOTES CE1'!$B$10:$B$250,0)),INDEX('NOTES CE2-CM1'!$AA$10:$AA$250,MATCH(B164,'NOTES CE2-CM1'!$B$10:$B$250,0)))),""))</f>
        <v/>
      </c>
      <c r="J164" s="81" t="str">
        <f aca="false">IF(COUNT(G164:I164)=0,"",ROUND(AVERAGE(G164:I164),2))</f>
        <v/>
      </c>
      <c r="K164" s="80" t="str">
        <f aca="false">IF(B164="","",IFERROR(IF(LEFT(E164,2)="CP",INDEX('NOTES CP'!$AT$10:$AT$250,MATCH(B164,'NOTES CP'!$B$10:$B$250,0)),IF(E164="CE1",INDEX('NOTES CE1'!$AH$10:$AH$250,MATCH(B164,'NOTES CE1'!$B$10:$B$250,0)),INDEX('NOTES CE2-CM1'!$AH$10:$AH$250,MATCH(B164,'NOTES CE2-CM1'!$B$10:$B$250,0)))),""))</f>
        <v/>
      </c>
      <c r="L164" s="82" t="str">
        <f aca="false">IF(OR(J164="",K164=""),"",ROUND((J164+2*K164)/3,2))</f>
        <v/>
      </c>
      <c r="M164" s="83" t="str">
        <f aca="false">IF(E164="","",IFERROR(INDEX(PARAMETRES!$D$18:$D$23,MATCH(E164,PARAMETRES!$B$18:$B$23,0)),""))</f>
        <v/>
      </c>
      <c r="N164" s="81" t="str">
        <f aca="false">IF(E164="","",IFERROR(INDEX(PARAMETRES!$C$18:$C$23,MATCH(E164,PARAMETRES!$B$18:$B$23,0)),""))</f>
        <v/>
      </c>
      <c r="O164" s="45" t="str">
        <f aca="false">IF(B164="","",IF(F164="ABANDON","ABANDON",IF(F164="TRANSFERE","TRANSFERE",IF(L164="","",IF(L164&gt;=N164,"ADMIS","REDOUBLE")))))</f>
        <v/>
      </c>
      <c r="P164" s="73" t="str">
        <f aca="false">IF(OR(L164="",F164&lt;&gt;"PRESENT"),"",COUNTIFS($E$10:$E$250,E164,$F$10:$F$250,"PRESENT",$L$10:$L$250,"&gt;"&amp;L164)+1)</f>
        <v/>
      </c>
      <c r="Q164" s="74" t="str">
        <f aca="false">IF(O164="ADMIS",IF(L164/M164*10&gt;=8,"Très bien",IF(L164/M164*10&gt;=7,"Bien",IF(L164/M164*10&gt;=6,"Assez bien","Passable"))),IF(O164="REDOUBLE","Insuffisant",""))</f>
        <v/>
      </c>
      <c r="R164" s="51" t="str">
        <f aca="false">IFERROR(MATCH("P-155",'REGISTRE ELEVES'!$AH$10:$AH$250,0),"")</f>
        <v/>
      </c>
    </row>
    <row r="165" customFormat="false" ht="15" hidden="false" customHeight="false" outlineLevel="0" collapsed="false">
      <c r="A165" s="45" t="str">
        <f aca="false">IF(B165="","",156)</f>
        <v/>
      </c>
      <c r="B165" s="45" t="str">
        <f aca="false">IF($R165="","",INDEX('REGISTRE ELEVES'!$B$10:$B$250,$R165))</f>
        <v/>
      </c>
      <c r="C165" s="74" t="str">
        <f aca="false">IF($R165="","",INDEX('REGISTRE ELEVES'!$D$10:$D$250,$R165))</f>
        <v/>
      </c>
      <c r="D165" s="45" t="str">
        <f aca="false">IF($R165="","",INDEX('REGISTRE ELEVES'!$E$10:$E$250,$R165))</f>
        <v/>
      </c>
      <c r="E165" s="45" t="str">
        <f aca="false">IF($R165="","",INDEX('REGISTRE ELEVES'!$F$10:$F$250,$R165))</f>
        <v/>
      </c>
      <c r="F165" s="45" t="str">
        <f aca="false">IF($R165="","",INDEX('REGISTRE ELEVES'!$AE$10:$AE$250,$R165))</f>
        <v/>
      </c>
      <c r="G165" s="80" t="str">
        <f aca="false">IF(B165="","",IFERROR(IF(LEFT(E165,2)="CP",INDEX('NOTES CP'!$P$10:$P$250,MATCH(B165,'NOTES CP'!$B$10:$B$250,0)),IF(E165="CE1",INDEX('NOTES CE1'!$M$10:$M$250,MATCH(B165,'NOTES CE1'!$B$10:$B$250,0)),INDEX('NOTES CE2-CM1'!$M$10:$M$250,MATCH(B165,'NOTES CE2-CM1'!$B$10:$B$250,0)))),""))</f>
        <v/>
      </c>
      <c r="H165" s="80" t="str">
        <f aca="false">IF(B165="","",IFERROR(IF(LEFT(E165,2)="CP",INDEX('NOTES CP'!$Z$10:$Z$250,MATCH(B165,'NOTES CP'!$B$10:$B$250,0)),IF(E165="CE1",INDEX('NOTES CE1'!$T$10:$T$250,MATCH(B165,'NOTES CE1'!$B$10:$B$250,0)),INDEX('NOTES CE2-CM1'!$T$10:$T$250,MATCH(B165,'NOTES CE2-CM1'!$B$10:$B$250,0)))),""))</f>
        <v/>
      </c>
      <c r="I165" s="80" t="str">
        <f aca="false">IF(B165="","",IFERROR(IF(LEFT(E165,2)="CP",INDEX('NOTES CP'!$AJ$10:$AJ$250,MATCH(B165,'NOTES CP'!$B$10:$B$250,0)),IF(E165="CE1",INDEX('NOTES CE1'!$AA$10:$AA$250,MATCH(B165,'NOTES CE1'!$B$10:$B$250,0)),INDEX('NOTES CE2-CM1'!$AA$10:$AA$250,MATCH(B165,'NOTES CE2-CM1'!$B$10:$B$250,0)))),""))</f>
        <v/>
      </c>
      <c r="J165" s="81" t="str">
        <f aca="false">IF(COUNT(G165:I165)=0,"",ROUND(AVERAGE(G165:I165),2))</f>
        <v/>
      </c>
      <c r="K165" s="80" t="str">
        <f aca="false">IF(B165="","",IFERROR(IF(LEFT(E165,2)="CP",INDEX('NOTES CP'!$AT$10:$AT$250,MATCH(B165,'NOTES CP'!$B$10:$B$250,0)),IF(E165="CE1",INDEX('NOTES CE1'!$AH$10:$AH$250,MATCH(B165,'NOTES CE1'!$B$10:$B$250,0)),INDEX('NOTES CE2-CM1'!$AH$10:$AH$250,MATCH(B165,'NOTES CE2-CM1'!$B$10:$B$250,0)))),""))</f>
        <v/>
      </c>
      <c r="L165" s="82" t="str">
        <f aca="false">IF(OR(J165="",K165=""),"",ROUND((J165+2*K165)/3,2))</f>
        <v/>
      </c>
      <c r="M165" s="83" t="str">
        <f aca="false">IF(E165="","",IFERROR(INDEX(PARAMETRES!$D$18:$D$23,MATCH(E165,PARAMETRES!$B$18:$B$23,0)),""))</f>
        <v/>
      </c>
      <c r="N165" s="81" t="str">
        <f aca="false">IF(E165="","",IFERROR(INDEX(PARAMETRES!$C$18:$C$23,MATCH(E165,PARAMETRES!$B$18:$B$23,0)),""))</f>
        <v/>
      </c>
      <c r="O165" s="45" t="str">
        <f aca="false">IF(B165="","",IF(F165="ABANDON","ABANDON",IF(F165="TRANSFERE","TRANSFERE",IF(L165="","",IF(L165&gt;=N165,"ADMIS","REDOUBLE")))))</f>
        <v/>
      </c>
      <c r="P165" s="73" t="str">
        <f aca="false">IF(OR(L165="",F165&lt;&gt;"PRESENT"),"",COUNTIFS($E$10:$E$250,E165,$F$10:$F$250,"PRESENT",$L$10:$L$250,"&gt;"&amp;L165)+1)</f>
        <v/>
      </c>
      <c r="Q165" s="74" t="str">
        <f aca="false">IF(O165="ADMIS",IF(L165/M165*10&gt;=8,"Très bien",IF(L165/M165*10&gt;=7,"Bien",IF(L165/M165*10&gt;=6,"Assez bien","Passable"))),IF(O165="REDOUBLE","Insuffisant",""))</f>
        <v/>
      </c>
      <c r="R165" s="51" t="str">
        <f aca="false">IFERROR(MATCH("P-156",'REGISTRE ELEVES'!$AH$10:$AH$250,0),"")</f>
        <v/>
      </c>
    </row>
    <row r="166" customFormat="false" ht="15" hidden="false" customHeight="false" outlineLevel="0" collapsed="false">
      <c r="A166" s="45" t="str">
        <f aca="false">IF(B166="","",157)</f>
        <v/>
      </c>
      <c r="B166" s="45" t="str">
        <f aca="false">IF($R166="","",INDEX('REGISTRE ELEVES'!$B$10:$B$250,$R166))</f>
        <v/>
      </c>
      <c r="C166" s="74" t="str">
        <f aca="false">IF($R166="","",INDEX('REGISTRE ELEVES'!$D$10:$D$250,$R166))</f>
        <v/>
      </c>
      <c r="D166" s="45" t="str">
        <f aca="false">IF($R166="","",INDEX('REGISTRE ELEVES'!$E$10:$E$250,$R166))</f>
        <v/>
      </c>
      <c r="E166" s="45" t="str">
        <f aca="false">IF($R166="","",INDEX('REGISTRE ELEVES'!$F$10:$F$250,$R166))</f>
        <v/>
      </c>
      <c r="F166" s="45" t="str">
        <f aca="false">IF($R166="","",INDEX('REGISTRE ELEVES'!$AE$10:$AE$250,$R166))</f>
        <v/>
      </c>
      <c r="G166" s="80" t="str">
        <f aca="false">IF(B166="","",IFERROR(IF(LEFT(E166,2)="CP",INDEX('NOTES CP'!$P$10:$P$250,MATCH(B166,'NOTES CP'!$B$10:$B$250,0)),IF(E166="CE1",INDEX('NOTES CE1'!$M$10:$M$250,MATCH(B166,'NOTES CE1'!$B$10:$B$250,0)),INDEX('NOTES CE2-CM1'!$M$10:$M$250,MATCH(B166,'NOTES CE2-CM1'!$B$10:$B$250,0)))),""))</f>
        <v/>
      </c>
      <c r="H166" s="80" t="str">
        <f aca="false">IF(B166="","",IFERROR(IF(LEFT(E166,2)="CP",INDEX('NOTES CP'!$Z$10:$Z$250,MATCH(B166,'NOTES CP'!$B$10:$B$250,0)),IF(E166="CE1",INDEX('NOTES CE1'!$T$10:$T$250,MATCH(B166,'NOTES CE1'!$B$10:$B$250,0)),INDEX('NOTES CE2-CM1'!$T$10:$T$250,MATCH(B166,'NOTES CE2-CM1'!$B$10:$B$250,0)))),""))</f>
        <v/>
      </c>
      <c r="I166" s="80" t="str">
        <f aca="false">IF(B166="","",IFERROR(IF(LEFT(E166,2)="CP",INDEX('NOTES CP'!$AJ$10:$AJ$250,MATCH(B166,'NOTES CP'!$B$10:$B$250,0)),IF(E166="CE1",INDEX('NOTES CE1'!$AA$10:$AA$250,MATCH(B166,'NOTES CE1'!$B$10:$B$250,0)),INDEX('NOTES CE2-CM1'!$AA$10:$AA$250,MATCH(B166,'NOTES CE2-CM1'!$B$10:$B$250,0)))),""))</f>
        <v/>
      </c>
      <c r="J166" s="81" t="str">
        <f aca="false">IF(COUNT(G166:I166)=0,"",ROUND(AVERAGE(G166:I166),2))</f>
        <v/>
      </c>
      <c r="K166" s="80" t="str">
        <f aca="false">IF(B166="","",IFERROR(IF(LEFT(E166,2)="CP",INDEX('NOTES CP'!$AT$10:$AT$250,MATCH(B166,'NOTES CP'!$B$10:$B$250,0)),IF(E166="CE1",INDEX('NOTES CE1'!$AH$10:$AH$250,MATCH(B166,'NOTES CE1'!$B$10:$B$250,0)),INDEX('NOTES CE2-CM1'!$AH$10:$AH$250,MATCH(B166,'NOTES CE2-CM1'!$B$10:$B$250,0)))),""))</f>
        <v/>
      </c>
      <c r="L166" s="82" t="str">
        <f aca="false">IF(OR(J166="",K166=""),"",ROUND((J166+2*K166)/3,2))</f>
        <v/>
      </c>
      <c r="M166" s="83" t="str">
        <f aca="false">IF(E166="","",IFERROR(INDEX(PARAMETRES!$D$18:$D$23,MATCH(E166,PARAMETRES!$B$18:$B$23,0)),""))</f>
        <v/>
      </c>
      <c r="N166" s="81" t="str">
        <f aca="false">IF(E166="","",IFERROR(INDEX(PARAMETRES!$C$18:$C$23,MATCH(E166,PARAMETRES!$B$18:$B$23,0)),""))</f>
        <v/>
      </c>
      <c r="O166" s="45" t="str">
        <f aca="false">IF(B166="","",IF(F166="ABANDON","ABANDON",IF(F166="TRANSFERE","TRANSFERE",IF(L166="","",IF(L166&gt;=N166,"ADMIS","REDOUBLE")))))</f>
        <v/>
      </c>
      <c r="P166" s="73" t="str">
        <f aca="false">IF(OR(L166="",F166&lt;&gt;"PRESENT"),"",COUNTIFS($E$10:$E$250,E166,$F$10:$F$250,"PRESENT",$L$10:$L$250,"&gt;"&amp;L166)+1)</f>
        <v/>
      </c>
      <c r="Q166" s="74" t="str">
        <f aca="false">IF(O166="ADMIS",IF(L166/M166*10&gt;=8,"Très bien",IF(L166/M166*10&gt;=7,"Bien",IF(L166/M166*10&gt;=6,"Assez bien","Passable"))),IF(O166="REDOUBLE","Insuffisant",""))</f>
        <v/>
      </c>
      <c r="R166" s="51" t="str">
        <f aca="false">IFERROR(MATCH("P-157",'REGISTRE ELEVES'!$AH$10:$AH$250,0),"")</f>
        <v/>
      </c>
    </row>
    <row r="167" customFormat="false" ht="15" hidden="false" customHeight="false" outlineLevel="0" collapsed="false">
      <c r="A167" s="45" t="str">
        <f aca="false">IF(B167="","",158)</f>
        <v/>
      </c>
      <c r="B167" s="45" t="str">
        <f aca="false">IF($R167="","",INDEX('REGISTRE ELEVES'!$B$10:$B$250,$R167))</f>
        <v/>
      </c>
      <c r="C167" s="74" t="str">
        <f aca="false">IF($R167="","",INDEX('REGISTRE ELEVES'!$D$10:$D$250,$R167))</f>
        <v/>
      </c>
      <c r="D167" s="45" t="str">
        <f aca="false">IF($R167="","",INDEX('REGISTRE ELEVES'!$E$10:$E$250,$R167))</f>
        <v/>
      </c>
      <c r="E167" s="45" t="str">
        <f aca="false">IF($R167="","",INDEX('REGISTRE ELEVES'!$F$10:$F$250,$R167))</f>
        <v/>
      </c>
      <c r="F167" s="45" t="str">
        <f aca="false">IF($R167="","",INDEX('REGISTRE ELEVES'!$AE$10:$AE$250,$R167))</f>
        <v/>
      </c>
      <c r="G167" s="80" t="str">
        <f aca="false">IF(B167="","",IFERROR(IF(LEFT(E167,2)="CP",INDEX('NOTES CP'!$P$10:$P$250,MATCH(B167,'NOTES CP'!$B$10:$B$250,0)),IF(E167="CE1",INDEX('NOTES CE1'!$M$10:$M$250,MATCH(B167,'NOTES CE1'!$B$10:$B$250,0)),INDEX('NOTES CE2-CM1'!$M$10:$M$250,MATCH(B167,'NOTES CE2-CM1'!$B$10:$B$250,0)))),""))</f>
        <v/>
      </c>
      <c r="H167" s="80" t="str">
        <f aca="false">IF(B167="","",IFERROR(IF(LEFT(E167,2)="CP",INDEX('NOTES CP'!$Z$10:$Z$250,MATCH(B167,'NOTES CP'!$B$10:$B$250,0)),IF(E167="CE1",INDEX('NOTES CE1'!$T$10:$T$250,MATCH(B167,'NOTES CE1'!$B$10:$B$250,0)),INDEX('NOTES CE2-CM1'!$T$10:$T$250,MATCH(B167,'NOTES CE2-CM1'!$B$10:$B$250,0)))),""))</f>
        <v/>
      </c>
      <c r="I167" s="80" t="str">
        <f aca="false">IF(B167="","",IFERROR(IF(LEFT(E167,2)="CP",INDEX('NOTES CP'!$AJ$10:$AJ$250,MATCH(B167,'NOTES CP'!$B$10:$B$250,0)),IF(E167="CE1",INDEX('NOTES CE1'!$AA$10:$AA$250,MATCH(B167,'NOTES CE1'!$B$10:$B$250,0)),INDEX('NOTES CE2-CM1'!$AA$10:$AA$250,MATCH(B167,'NOTES CE2-CM1'!$B$10:$B$250,0)))),""))</f>
        <v/>
      </c>
      <c r="J167" s="81" t="str">
        <f aca="false">IF(COUNT(G167:I167)=0,"",ROUND(AVERAGE(G167:I167),2))</f>
        <v/>
      </c>
      <c r="K167" s="80" t="str">
        <f aca="false">IF(B167="","",IFERROR(IF(LEFT(E167,2)="CP",INDEX('NOTES CP'!$AT$10:$AT$250,MATCH(B167,'NOTES CP'!$B$10:$B$250,0)),IF(E167="CE1",INDEX('NOTES CE1'!$AH$10:$AH$250,MATCH(B167,'NOTES CE1'!$B$10:$B$250,0)),INDEX('NOTES CE2-CM1'!$AH$10:$AH$250,MATCH(B167,'NOTES CE2-CM1'!$B$10:$B$250,0)))),""))</f>
        <v/>
      </c>
      <c r="L167" s="82" t="str">
        <f aca="false">IF(OR(J167="",K167=""),"",ROUND((J167+2*K167)/3,2))</f>
        <v/>
      </c>
      <c r="M167" s="83" t="str">
        <f aca="false">IF(E167="","",IFERROR(INDEX(PARAMETRES!$D$18:$D$23,MATCH(E167,PARAMETRES!$B$18:$B$23,0)),""))</f>
        <v/>
      </c>
      <c r="N167" s="81" t="str">
        <f aca="false">IF(E167="","",IFERROR(INDEX(PARAMETRES!$C$18:$C$23,MATCH(E167,PARAMETRES!$B$18:$B$23,0)),""))</f>
        <v/>
      </c>
      <c r="O167" s="45" t="str">
        <f aca="false">IF(B167="","",IF(F167="ABANDON","ABANDON",IF(F167="TRANSFERE","TRANSFERE",IF(L167="","",IF(L167&gt;=N167,"ADMIS","REDOUBLE")))))</f>
        <v/>
      </c>
      <c r="P167" s="73" t="str">
        <f aca="false">IF(OR(L167="",F167&lt;&gt;"PRESENT"),"",COUNTIFS($E$10:$E$250,E167,$F$10:$F$250,"PRESENT",$L$10:$L$250,"&gt;"&amp;L167)+1)</f>
        <v/>
      </c>
      <c r="Q167" s="74" t="str">
        <f aca="false">IF(O167="ADMIS",IF(L167/M167*10&gt;=8,"Très bien",IF(L167/M167*10&gt;=7,"Bien",IF(L167/M167*10&gt;=6,"Assez bien","Passable"))),IF(O167="REDOUBLE","Insuffisant",""))</f>
        <v/>
      </c>
      <c r="R167" s="51" t="str">
        <f aca="false">IFERROR(MATCH("P-158",'REGISTRE ELEVES'!$AH$10:$AH$250,0),"")</f>
        <v/>
      </c>
    </row>
    <row r="168" customFormat="false" ht="15" hidden="false" customHeight="false" outlineLevel="0" collapsed="false">
      <c r="A168" s="45" t="str">
        <f aca="false">IF(B168="","",159)</f>
        <v/>
      </c>
      <c r="B168" s="45" t="str">
        <f aca="false">IF($R168="","",INDEX('REGISTRE ELEVES'!$B$10:$B$250,$R168))</f>
        <v/>
      </c>
      <c r="C168" s="74" t="str">
        <f aca="false">IF($R168="","",INDEX('REGISTRE ELEVES'!$D$10:$D$250,$R168))</f>
        <v/>
      </c>
      <c r="D168" s="45" t="str">
        <f aca="false">IF($R168="","",INDEX('REGISTRE ELEVES'!$E$10:$E$250,$R168))</f>
        <v/>
      </c>
      <c r="E168" s="45" t="str">
        <f aca="false">IF($R168="","",INDEX('REGISTRE ELEVES'!$F$10:$F$250,$R168))</f>
        <v/>
      </c>
      <c r="F168" s="45" t="str">
        <f aca="false">IF($R168="","",INDEX('REGISTRE ELEVES'!$AE$10:$AE$250,$R168))</f>
        <v/>
      </c>
      <c r="G168" s="80" t="str">
        <f aca="false">IF(B168="","",IFERROR(IF(LEFT(E168,2)="CP",INDEX('NOTES CP'!$P$10:$P$250,MATCH(B168,'NOTES CP'!$B$10:$B$250,0)),IF(E168="CE1",INDEX('NOTES CE1'!$M$10:$M$250,MATCH(B168,'NOTES CE1'!$B$10:$B$250,0)),INDEX('NOTES CE2-CM1'!$M$10:$M$250,MATCH(B168,'NOTES CE2-CM1'!$B$10:$B$250,0)))),""))</f>
        <v/>
      </c>
      <c r="H168" s="80" t="str">
        <f aca="false">IF(B168="","",IFERROR(IF(LEFT(E168,2)="CP",INDEX('NOTES CP'!$Z$10:$Z$250,MATCH(B168,'NOTES CP'!$B$10:$B$250,0)),IF(E168="CE1",INDEX('NOTES CE1'!$T$10:$T$250,MATCH(B168,'NOTES CE1'!$B$10:$B$250,0)),INDEX('NOTES CE2-CM1'!$T$10:$T$250,MATCH(B168,'NOTES CE2-CM1'!$B$10:$B$250,0)))),""))</f>
        <v/>
      </c>
      <c r="I168" s="80" t="str">
        <f aca="false">IF(B168="","",IFERROR(IF(LEFT(E168,2)="CP",INDEX('NOTES CP'!$AJ$10:$AJ$250,MATCH(B168,'NOTES CP'!$B$10:$B$250,0)),IF(E168="CE1",INDEX('NOTES CE1'!$AA$10:$AA$250,MATCH(B168,'NOTES CE1'!$B$10:$B$250,0)),INDEX('NOTES CE2-CM1'!$AA$10:$AA$250,MATCH(B168,'NOTES CE2-CM1'!$B$10:$B$250,0)))),""))</f>
        <v/>
      </c>
      <c r="J168" s="81" t="str">
        <f aca="false">IF(COUNT(G168:I168)=0,"",ROUND(AVERAGE(G168:I168),2))</f>
        <v/>
      </c>
      <c r="K168" s="80" t="str">
        <f aca="false">IF(B168="","",IFERROR(IF(LEFT(E168,2)="CP",INDEX('NOTES CP'!$AT$10:$AT$250,MATCH(B168,'NOTES CP'!$B$10:$B$250,0)),IF(E168="CE1",INDEX('NOTES CE1'!$AH$10:$AH$250,MATCH(B168,'NOTES CE1'!$B$10:$B$250,0)),INDEX('NOTES CE2-CM1'!$AH$10:$AH$250,MATCH(B168,'NOTES CE2-CM1'!$B$10:$B$250,0)))),""))</f>
        <v/>
      </c>
      <c r="L168" s="82" t="str">
        <f aca="false">IF(OR(J168="",K168=""),"",ROUND((J168+2*K168)/3,2))</f>
        <v/>
      </c>
      <c r="M168" s="83" t="str">
        <f aca="false">IF(E168="","",IFERROR(INDEX(PARAMETRES!$D$18:$D$23,MATCH(E168,PARAMETRES!$B$18:$B$23,0)),""))</f>
        <v/>
      </c>
      <c r="N168" s="81" t="str">
        <f aca="false">IF(E168="","",IFERROR(INDEX(PARAMETRES!$C$18:$C$23,MATCH(E168,PARAMETRES!$B$18:$B$23,0)),""))</f>
        <v/>
      </c>
      <c r="O168" s="45" t="str">
        <f aca="false">IF(B168="","",IF(F168="ABANDON","ABANDON",IF(F168="TRANSFERE","TRANSFERE",IF(L168="","",IF(L168&gt;=N168,"ADMIS","REDOUBLE")))))</f>
        <v/>
      </c>
      <c r="P168" s="73" t="str">
        <f aca="false">IF(OR(L168="",F168&lt;&gt;"PRESENT"),"",COUNTIFS($E$10:$E$250,E168,$F$10:$F$250,"PRESENT",$L$10:$L$250,"&gt;"&amp;L168)+1)</f>
        <v/>
      </c>
      <c r="Q168" s="74" t="str">
        <f aca="false">IF(O168="ADMIS",IF(L168/M168*10&gt;=8,"Très bien",IF(L168/M168*10&gt;=7,"Bien",IF(L168/M168*10&gt;=6,"Assez bien","Passable"))),IF(O168="REDOUBLE","Insuffisant",""))</f>
        <v/>
      </c>
      <c r="R168" s="51" t="str">
        <f aca="false">IFERROR(MATCH("P-159",'REGISTRE ELEVES'!$AH$10:$AH$250,0),"")</f>
        <v/>
      </c>
    </row>
    <row r="169" customFormat="false" ht="15" hidden="false" customHeight="false" outlineLevel="0" collapsed="false">
      <c r="A169" s="45" t="str">
        <f aca="false">IF(B169="","",160)</f>
        <v/>
      </c>
      <c r="B169" s="45" t="str">
        <f aca="false">IF($R169="","",INDEX('REGISTRE ELEVES'!$B$10:$B$250,$R169))</f>
        <v/>
      </c>
      <c r="C169" s="74" t="str">
        <f aca="false">IF($R169="","",INDEX('REGISTRE ELEVES'!$D$10:$D$250,$R169))</f>
        <v/>
      </c>
      <c r="D169" s="45" t="str">
        <f aca="false">IF($R169="","",INDEX('REGISTRE ELEVES'!$E$10:$E$250,$R169))</f>
        <v/>
      </c>
      <c r="E169" s="45" t="str">
        <f aca="false">IF($R169="","",INDEX('REGISTRE ELEVES'!$F$10:$F$250,$R169))</f>
        <v/>
      </c>
      <c r="F169" s="45" t="str">
        <f aca="false">IF($R169="","",INDEX('REGISTRE ELEVES'!$AE$10:$AE$250,$R169))</f>
        <v/>
      </c>
      <c r="G169" s="80" t="str">
        <f aca="false">IF(B169="","",IFERROR(IF(LEFT(E169,2)="CP",INDEX('NOTES CP'!$P$10:$P$250,MATCH(B169,'NOTES CP'!$B$10:$B$250,0)),IF(E169="CE1",INDEX('NOTES CE1'!$M$10:$M$250,MATCH(B169,'NOTES CE1'!$B$10:$B$250,0)),INDEX('NOTES CE2-CM1'!$M$10:$M$250,MATCH(B169,'NOTES CE2-CM1'!$B$10:$B$250,0)))),""))</f>
        <v/>
      </c>
      <c r="H169" s="80" t="str">
        <f aca="false">IF(B169="","",IFERROR(IF(LEFT(E169,2)="CP",INDEX('NOTES CP'!$Z$10:$Z$250,MATCH(B169,'NOTES CP'!$B$10:$B$250,0)),IF(E169="CE1",INDEX('NOTES CE1'!$T$10:$T$250,MATCH(B169,'NOTES CE1'!$B$10:$B$250,0)),INDEX('NOTES CE2-CM1'!$T$10:$T$250,MATCH(B169,'NOTES CE2-CM1'!$B$10:$B$250,0)))),""))</f>
        <v/>
      </c>
      <c r="I169" s="80" t="str">
        <f aca="false">IF(B169="","",IFERROR(IF(LEFT(E169,2)="CP",INDEX('NOTES CP'!$AJ$10:$AJ$250,MATCH(B169,'NOTES CP'!$B$10:$B$250,0)),IF(E169="CE1",INDEX('NOTES CE1'!$AA$10:$AA$250,MATCH(B169,'NOTES CE1'!$B$10:$B$250,0)),INDEX('NOTES CE2-CM1'!$AA$10:$AA$250,MATCH(B169,'NOTES CE2-CM1'!$B$10:$B$250,0)))),""))</f>
        <v/>
      </c>
      <c r="J169" s="81" t="str">
        <f aca="false">IF(COUNT(G169:I169)=0,"",ROUND(AVERAGE(G169:I169),2))</f>
        <v/>
      </c>
      <c r="K169" s="80" t="str">
        <f aca="false">IF(B169="","",IFERROR(IF(LEFT(E169,2)="CP",INDEX('NOTES CP'!$AT$10:$AT$250,MATCH(B169,'NOTES CP'!$B$10:$B$250,0)),IF(E169="CE1",INDEX('NOTES CE1'!$AH$10:$AH$250,MATCH(B169,'NOTES CE1'!$B$10:$B$250,0)),INDEX('NOTES CE2-CM1'!$AH$10:$AH$250,MATCH(B169,'NOTES CE2-CM1'!$B$10:$B$250,0)))),""))</f>
        <v/>
      </c>
      <c r="L169" s="82" t="str">
        <f aca="false">IF(OR(J169="",K169=""),"",ROUND((J169+2*K169)/3,2))</f>
        <v/>
      </c>
      <c r="M169" s="83" t="str">
        <f aca="false">IF(E169="","",IFERROR(INDEX(PARAMETRES!$D$18:$D$23,MATCH(E169,PARAMETRES!$B$18:$B$23,0)),""))</f>
        <v/>
      </c>
      <c r="N169" s="81" t="str">
        <f aca="false">IF(E169="","",IFERROR(INDEX(PARAMETRES!$C$18:$C$23,MATCH(E169,PARAMETRES!$B$18:$B$23,0)),""))</f>
        <v/>
      </c>
      <c r="O169" s="45" t="str">
        <f aca="false">IF(B169="","",IF(F169="ABANDON","ABANDON",IF(F169="TRANSFERE","TRANSFERE",IF(L169="","",IF(L169&gt;=N169,"ADMIS","REDOUBLE")))))</f>
        <v/>
      </c>
      <c r="P169" s="73" t="str">
        <f aca="false">IF(OR(L169="",F169&lt;&gt;"PRESENT"),"",COUNTIFS($E$10:$E$250,E169,$F$10:$F$250,"PRESENT",$L$10:$L$250,"&gt;"&amp;L169)+1)</f>
        <v/>
      </c>
      <c r="Q169" s="74" t="str">
        <f aca="false">IF(O169="ADMIS",IF(L169/M169*10&gt;=8,"Très bien",IF(L169/M169*10&gt;=7,"Bien",IF(L169/M169*10&gt;=6,"Assez bien","Passable"))),IF(O169="REDOUBLE","Insuffisant",""))</f>
        <v/>
      </c>
      <c r="R169" s="51" t="str">
        <f aca="false">IFERROR(MATCH("P-160",'REGISTRE ELEVES'!$AH$10:$AH$250,0),"")</f>
        <v/>
      </c>
    </row>
    <row r="170" customFormat="false" ht="15" hidden="false" customHeight="false" outlineLevel="0" collapsed="false">
      <c r="A170" s="45" t="str">
        <f aca="false">IF(B170="","",161)</f>
        <v/>
      </c>
      <c r="B170" s="45" t="str">
        <f aca="false">IF($R170="","",INDEX('REGISTRE ELEVES'!$B$10:$B$250,$R170))</f>
        <v/>
      </c>
      <c r="C170" s="74" t="str">
        <f aca="false">IF($R170="","",INDEX('REGISTRE ELEVES'!$D$10:$D$250,$R170))</f>
        <v/>
      </c>
      <c r="D170" s="45" t="str">
        <f aca="false">IF($R170="","",INDEX('REGISTRE ELEVES'!$E$10:$E$250,$R170))</f>
        <v/>
      </c>
      <c r="E170" s="45" t="str">
        <f aca="false">IF($R170="","",INDEX('REGISTRE ELEVES'!$F$10:$F$250,$R170))</f>
        <v/>
      </c>
      <c r="F170" s="45" t="str">
        <f aca="false">IF($R170="","",INDEX('REGISTRE ELEVES'!$AE$10:$AE$250,$R170))</f>
        <v/>
      </c>
      <c r="G170" s="80" t="str">
        <f aca="false">IF(B170="","",IFERROR(IF(LEFT(E170,2)="CP",INDEX('NOTES CP'!$P$10:$P$250,MATCH(B170,'NOTES CP'!$B$10:$B$250,0)),IF(E170="CE1",INDEX('NOTES CE1'!$M$10:$M$250,MATCH(B170,'NOTES CE1'!$B$10:$B$250,0)),INDEX('NOTES CE2-CM1'!$M$10:$M$250,MATCH(B170,'NOTES CE2-CM1'!$B$10:$B$250,0)))),""))</f>
        <v/>
      </c>
      <c r="H170" s="80" t="str">
        <f aca="false">IF(B170="","",IFERROR(IF(LEFT(E170,2)="CP",INDEX('NOTES CP'!$Z$10:$Z$250,MATCH(B170,'NOTES CP'!$B$10:$B$250,0)),IF(E170="CE1",INDEX('NOTES CE1'!$T$10:$T$250,MATCH(B170,'NOTES CE1'!$B$10:$B$250,0)),INDEX('NOTES CE2-CM1'!$T$10:$T$250,MATCH(B170,'NOTES CE2-CM1'!$B$10:$B$250,0)))),""))</f>
        <v/>
      </c>
      <c r="I170" s="80" t="str">
        <f aca="false">IF(B170="","",IFERROR(IF(LEFT(E170,2)="CP",INDEX('NOTES CP'!$AJ$10:$AJ$250,MATCH(B170,'NOTES CP'!$B$10:$B$250,0)),IF(E170="CE1",INDEX('NOTES CE1'!$AA$10:$AA$250,MATCH(B170,'NOTES CE1'!$B$10:$B$250,0)),INDEX('NOTES CE2-CM1'!$AA$10:$AA$250,MATCH(B170,'NOTES CE2-CM1'!$B$10:$B$250,0)))),""))</f>
        <v/>
      </c>
      <c r="J170" s="81" t="str">
        <f aca="false">IF(COUNT(G170:I170)=0,"",ROUND(AVERAGE(G170:I170),2))</f>
        <v/>
      </c>
      <c r="K170" s="80" t="str">
        <f aca="false">IF(B170="","",IFERROR(IF(LEFT(E170,2)="CP",INDEX('NOTES CP'!$AT$10:$AT$250,MATCH(B170,'NOTES CP'!$B$10:$B$250,0)),IF(E170="CE1",INDEX('NOTES CE1'!$AH$10:$AH$250,MATCH(B170,'NOTES CE1'!$B$10:$B$250,0)),INDEX('NOTES CE2-CM1'!$AH$10:$AH$250,MATCH(B170,'NOTES CE2-CM1'!$B$10:$B$250,0)))),""))</f>
        <v/>
      </c>
      <c r="L170" s="82" t="str">
        <f aca="false">IF(OR(J170="",K170=""),"",ROUND((J170+2*K170)/3,2))</f>
        <v/>
      </c>
      <c r="M170" s="83" t="str">
        <f aca="false">IF(E170="","",IFERROR(INDEX(PARAMETRES!$D$18:$D$23,MATCH(E170,PARAMETRES!$B$18:$B$23,0)),""))</f>
        <v/>
      </c>
      <c r="N170" s="81" t="str">
        <f aca="false">IF(E170="","",IFERROR(INDEX(PARAMETRES!$C$18:$C$23,MATCH(E170,PARAMETRES!$B$18:$B$23,0)),""))</f>
        <v/>
      </c>
      <c r="O170" s="45" t="str">
        <f aca="false">IF(B170="","",IF(F170="ABANDON","ABANDON",IF(F170="TRANSFERE","TRANSFERE",IF(L170="","",IF(L170&gt;=N170,"ADMIS","REDOUBLE")))))</f>
        <v/>
      </c>
      <c r="P170" s="73" t="str">
        <f aca="false">IF(OR(L170="",F170&lt;&gt;"PRESENT"),"",COUNTIFS($E$10:$E$250,E170,$F$10:$F$250,"PRESENT",$L$10:$L$250,"&gt;"&amp;L170)+1)</f>
        <v/>
      </c>
      <c r="Q170" s="74" t="str">
        <f aca="false">IF(O170="ADMIS",IF(L170/M170*10&gt;=8,"Très bien",IF(L170/M170*10&gt;=7,"Bien",IF(L170/M170*10&gt;=6,"Assez bien","Passable"))),IF(O170="REDOUBLE","Insuffisant",""))</f>
        <v/>
      </c>
      <c r="R170" s="51" t="str">
        <f aca="false">IFERROR(MATCH("P-161",'REGISTRE ELEVES'!$AH$10:$AH$250,0),"")</f>
        <v/>
      </c>
    </row>
    <row r="171" customFormat="false" ht="15" hidden="false" customHeight="false" outlineLevel="0" collapsed="false">
      <c r="A171" s="45" t="str">
        <f aca="false">IF(B171="","",162)</f>
        <v/>
      </c>
      <c r="B171" s="45" t="str">
        <f aca="false">IF($R171="","",INDEX('REGISTRE ELEVES'!$B$10:$B$250,$R171))</f>
        <v/>
      </c>
      <c r="C171" s="74" t="str">
        <f aca="false">IF($R171="","",INDEX('REGISTRE ELEVES'!$D$10:$D$250,$R171))</f>
        <v/>
      </c>
      <c r="D171" s="45" t="str">
        <f aca="false">IF($R171="","",INDEX('REGISTRE ELEVES'!$E$10:$E$250,$R171))</f>
        <v/>
      </c>
      <c r="E171" s="45" t="str">
        <f aca="false">IF($R171="","",INDEX('REGISTRE ELEVES'!$F$10:$F$250,$R171))</f>
        <v/>
      </c>
      <c r="F171" s="45" t="str">
        <f aca="false">IF($R171="","",INDEX('REGISTRE ELEVES'!$AE$10:$AE$250,$R171))</f>
        <v/>
      </c>
      <c r="G171" s="80" t="str">
        <f aca="false">IF(B171="","",IFERROR(IF(LEFT(E171,2)="CP",INDEX('NOTES CP'!$P$10:$P$250,MATCH(B171,'NOTES CP'!$B$10:$B$250,0)),IF(E171="CE1",INDEX('NOTES CE1'!$M$10:$M$250,MATCH(B171,'NOTES CE1'!$B$10:$B$250,0)),INDEX('NOTES CE2-CM1'!$M$10:$M$250,MATCH(B171,'NOTES CE2-CM1'!$B$10:$B$250,0)))),""))</f>
        <v/>
      </c>
      <c r="H171" s="80" t="str">
        <f aca="false">IF(B171="","",IFERROR(IF(LEFT(E171,2)="CP",INDEX('NOTES CP'!$Z$10:$Z$250,MATCH(B171,'NOTES CP'!$B$10:$B$250,0)),IF(E171="CE1",INDEX('NOTES CE1'!$T$10:$T$250,MATCH(B171,'NOTES CE1'!$B$10:$B$250,0)),INDEX('NOTES CE2-CM1'!$T$10:$T$250,MATCH(B171,'NOTES CE2-CM1'!$B$10:$B$250,0)))),""))</f>
        <v/>
      </c>
      <c r="I171" s="80" t="str">
        <f aca="false">IF(B171="","",IFERROR(IF(LEFT(E171,2)="CP",INDEX('NOTES CP'!$AJ$10:$AJ$250,MATCH(B171,'NOTES CP'!$B$10:$B$250,0)),IF(E171="CE1",INDEX('NOTES CE1'!$AA$10:$AA$250,MATCH(B171,'NOTES CE1'!$B$10:$B$250,0)),INDEX('NOTES CE2-CM1'!$AA$10:$AA$250,MATCH(B171,'NOTES CE2-CM1'!$B$10:$B$250,0)))),""))</f>
        <v/>
      </c>
      <c r="J171" s="81" t="str">
        <f aca="false">IF(COUNT(G171:I171)=0,"",ROUND(AVERAGE(G171:I171),2))</f>
        <v/>
      </c>
      <c r="K171" s="80" t="str">
        <f aca="false">IF(B171="","",IFERROR(IF(LEFT(E171,2)="CP",INDEX('NOTES CP'!$AT$10:$AT$250,MATCH(B171,'NOTES CP'!$B$10:$B$250,0)),IF(E171="CE1",INDEX('NOTES CE1'!$AH$10:$AH$250,MATCH(B171,'NOTES CE1'!$B$10:$B$250,0)),INDEX('NOTES CE2-CM1'!$AH$10:$AH$250,MATCH(B171,'NOTES CE2-CM1'!$B$10:$B$250,0)))),""))</f>
        <v/>
      </c>
      <c r="L171" s="82" t="str">
        <f aca="false">IF(OR(J171="",K171=""),"",ROUND((J171+2*K171)/3,2))</f>
        <v/>
      </c>
      <c r="M171" s="83" t="str">
        <f aca="false">IF(E171="","",IFERROR(INDEX(PARAMETRES!$D$18:$D$23,MATCH(E171,PARAMETRES!$B$18:$B$23,0)),""))</f>
        <v/>
      </c>
      <c r="N171" s="81" t="str">
        <f aca="false">IF(E171="","",IFERROR(INDEX(PARAMETRES!$C$18:$C$23,MATCH(E171,PARAMETRES!$B$18:$B$23,0)),""))</f>
        <v/>
      </c>
      <c r="O171" s="45" t="str">
        <f aca="false">IF(B171="","",IF(F171="ABANDON","ABANDON",IF(F171="TRANSFERE","TRANSFERE",IF(L171="","",IF(L171&gt;=N171,"ADMIS","REDOUBLE")))))</f>
        <v/>
      </c>
      <c r="P171" s="73" t="str">
        <f aca="false">IF(OR(L171="",F171&lt;&gt;"PRESENT"),"",COUNTIFS($E$10:$E$250,E171,$F$10:$F$250,"PRESENT",$L$10:$L$250,"&gt;"&amp;L171)+1)</f>
        <v/>
      </c>
      <c r="Q171" s="74" t="str">
        <f aca="false">IF(O171="ADMIS",IF(L171/M171*10&gt;=8,"Très bien",IF(L171/M171*10&gt;=7,"Bien",IF(L171/M171*10&gt;=6,"Assez bien","Passable"))),IF(O171="REDOUBLE","Insuffisant",""))</f>
        <v/>
      </c>
      <c r="R171" s="51" t="str">
        <f aca="false">IFERROR(MATCH("P-162",'REGISTRE ELEVES'!$AH$10:$AH$250,0),"")</f>
        <v/>
      </c>
    </row>
    <row r="172" customFormat="false" ht="15" hidden="false" customHeight="false" outlineLevel="0" collapsed="false">
      <c r="A172" s="45" t="str">
        <f aca="false">IF(B172="","",163)</f>
        <v/>
      </c>
      <c r="B172" s="45" t="str">
        <f aca="false">IF($R172="","",INDEX('REGISTRE ELEVES'!$B$10:$B$250,$R172))</f>
        <v/>
      </c>
      <c r="C172" s="74" t="str">
        <f aca="false">IF($R172="","",INDEX('REGISTRE ELEVES'!$D$10:$D$250,$R172))</f>
        <v/>
      </c>
      <c r="D172" s="45" t="str">
        <f aca="false">IF($R172="","",INDEX('REGISTRE ELEVES'!$E$10:$E$250,$R172))</f>
        <v/>
      </c>
      <c r="E172" s="45" t="str">
        <f aca="false">IF($R172="","",INDEX('REGISTRE ELEVES'!$F$10:$F$250,$R172))</f>
        <v/>
      </c>
      <c r="F172" s="45" t="str">
        <f aca="false">IF($R172="","",INDEX('REGISTRE ELEVES'!$AE$10:$AE$250,$R172))</f>
        <v/>
      </c>
      <c r="G172" s="80" t="str">
        <f aca="false">IF(B172="","",IFERROR(IF(LEFT(E172,2)="CP",INDEX('NOTES CP'!$P$10:$P$250,MATCH(B172,'NOTES CP'!$B$10:$B$250,0)),IF(E172="CE1",INDEX('NOTES CE1'!$M$10:$M$250,MATCH(B172,'NOTES CE1'!$B$10:$B$250,0)),INDEX('NOTES CE2-CM1'!$M$10:$M$250,MATCH(B172,'NOTES CE2-CM1'!$B$10:$B$250,0)))),""))</f>
        <v/>
      </c>
      <c r="H172" s="80" t="str">
        <f aca="false">IF(B172="","",IFERROR(IF(LEFT(E172,2)="CP",INDEX('NOTES CP'!$Z$10:$Z$250,MATCH(B172,'NOTES CP'!$B$10:$B$250,0)),IF(E172="CE1",INDEX('NOTES CE1'!$T$10:$T$250,MATCH(B172,'NOTES CE1'!$B$10:$B$250,0)),INDEX('NOTES CE2-CM1'!$T$10:$T$250,MATCH(B172,'NOTES CE2-CM1'!$B$10:$B$250,0)))),""))</f>
        <v/>
      </c>
      <c r="I172" s="80" t="str">
        <f aca="false">IF(B172="","",IFERROR(IF(LEFT(E172,2)="CP",INDEX('NOTES CP'!$AJ$10:$AJ$250,MATCH(B172,'NOTES CP'!$B$10:$B$250,0)),IF(E172="CE1",INDEX('NOTES CE1'!$AA$10:$AA$250,MATCH(B172,'NOTES CE1'!$B$10:$B$250,0)),INDEX('NOTES CE2-CM1'!$AA$10:$AA$250,MATCH(B172,'NOTES CE2-CM1'!$B$10:$B$250,0)))),""))</f>
        <v/>
      </c>
      <c r="J172" s="81" t="str">
        <f aca="false">IF(COUNT(G172:I172)=0,"",ROUND(AVERAGE(G172:I172),2))</f>
        <v/>
      </c>
      <c r="K172" s="80" t="str">
        <f aca="false">IF(B172="","",IFERROR(IF(LEFT(E172,2)="CP",INDEX('NOTES CP'!$AT$10:$AT$250,MATCH(B172,'NOTES CP'!$B$10:$B$250,0)),IF(E172="CE1",INDEX('NOTES CE1'!$AH$10:$AH$250,MATCH(B172,'NOTES CE1'!$B$10:$B$250,0)),INDEX('NOTES CE2-CM1'!$AH$10:$AH$250,MATCH(B172,'NOTES CE2-CM1'!$B$10:$B$250,0)))),""))</f>
        <v/>
      </c>
      <c r="L172" s="82" t="str">
        <f aca="false">IF(OR(J172="",K172=""),"",ROUND((J172+2*K172)/3,2))</f>
        <v/>
      </c>
      <c r="M172" s="83" t="str">
        <f aca="false">IF(E172="","",IFERROR(INDEX(PARAMETRES!$D$18:$D$23,MATCH(E172,PARAMETRES!$B$18:$B$23,0)),""))</f>
        <v/>
      </c>
      <c r="N172" s="81" t="str">
        <f aca="false">IF(E172="","",IFERROR(INDEX(PARAMETRES!$C$18:$C$23,MATCH(E172,PARAMETRES!$B$18:$B$23,0)),""))</f>
        <v/>
      </c>
      <c r="O172" s="45" t="str">
        <f aca="false">IF(B172="","",IF(F172="ABANDON","ABANDON",IF(F172="TRANSFERE","TRANSFERE",IF(L172="","",IF(L172&gt;=N172,"ADMIS","REDOUBLE")))))</f>
        <v/>
      </c>
      <c r="P172" s="73" t="str">
        <f aca="false">IF(OR(L172="",F172&lt;&gt;"PRESENT"),"",COUNTIFS($E$10:$E$250,E172,$F$10:$F$250,"PRESENT",$L$10:$L$250,"&gt;"&amp;L172)+1)</f>
        <v/>
      </c>
      <c r="Q172" s="74" t="str">
        <f aca="false">IF(O172="ADMIS",IF(L172/M172*10&gt;=8,"Très bien",IF(L172/M172*10&gt;=7,"Bien",IF(L172/M172*10&gt;=6,"Assez bien","Passable"))),IF(O172="REDOUBLE","Insuffisant",""))</f>
        <v/>
      </c>
      <c r="R172" s="51" t="str">
        <f aca="false">IFERROR(MATCH("P-163",'REGISTRE ELEVES'!$AH$10:$AH$250,0),"")</f>
        <v/>
      </c>
    </row>
    <row r="173" customFormat="false" ht="15" hidden="false" customHeight="false" outlineLevel="0" collapsed="false">
      <c r="A173" s="45" t="str">
        <f aca="false">IF(B173="","",164)</f>
        <v/>
      </c>
      <c r="B173" s="45" t="str">
        <f aca="false">IF($R173="","",INDEX('REGISTRE ELEVES'!$B$10:$B$250,$R173))</f>
        <v/>
      </c>
      <c r="C173" s="74" t="str">
        <f aca="false">IF($R173="","",INDEX('REGISTRE ELEVES'!$D$10:$D$250,$R173))</f>
        <v/>
      </c>
      <c r="D173" s="45" t="str">
        <f aca="false">IF($R173="","",INDEX('REGISTRE ELEVES'!$E$10:$E$250,$R173))</f>
        <v/>
      </c>
      <c r="E173" s="45" t="str">
        <f aca="false">IF($R173="","",INDEX('REGISTRE ELEVES'!$F$10:$F$250,$R173))</f>
        <v/>
      </c>
      <c r="F173" s="45" t="str">
        <f aca="false">IF($R173="","",INDEX('REGISTRE ELEVES'!$AE$10:$AE$250,$R173))</f>
        <v/>
      </c>
      <c r="G173" s="80" t="str">
        <f aca="false">IF(B173="","",IFERROR(IF(LEFT(E173,2)="CP",INDEX('NOTES CP'!$P$10:$P$250,MATCH(B173,'NOTES CP'!$B$10:$B$250,0)),IF(E173="CE1",INDEX('NOTES CE1'!$M$10:$M$250,MATCH(B173,'NOTES CE1'!$B$10:$B$250,0)),INDEX('NOTES CE2-CM1'!$M$10:$M$250,MATCH(B173,'NOTES CE2-CM1'!$B$10:$B$250,0)))),""))</f>
        <v/>
      </c>
      <c r="H173" s="80" t="str">
        <f aca="false">IF(B173="","",IFERROR(IF(LEFT(E173,2)="CP",INDEX('NOTES CP'!$Z$10:$Z$250,MATCH(B173,'NOTES CP'!$B$10:$B$250,0)),IF(E173="CE1",INDEX('NOTES CE1'!$T$10:$T$250,MATCH(B173,'NOTES CE1'!$B$10:$B$250,0)),INDEX('NOTES CE2-CM1'!$T$10:$T$250,MATCH(B173,'NOTES CE2-CM1'!$B$10:$B$250,0)))),""))</f>
        <v/>
      </c>
      <c r="I173" s="80" t="str">
        <f aca="false">IF(B173="","",IFERROR(IF(LEFT(E173,2)="CP",INDEX('NOTES CP'!$AJ$10:$AJ$250,MATCH(B173,'NOTES CP'!$B$10:$B$250,0)),IF(E173="CE1",INDEX('NOTES CE1'!$AA$10:$AA$250,MATCH(B173,'NOTES CE1'!$B$10:$B$250,0)),INDEX('NOTES CE2-CM1'!$AA$10:$AA$250,MATCH(B173,'NOTES CE2-CM1'!$B$10:$B$250,0)))),""))</f>
        <v/>
      </c>
      <c r="J173" s="81" t="str">
        <f aca="false">IF(COUNT(G173:I173)=0,"",ROUND(AVERAGE(G173:I173),2))</f>
        <v/>
      </c>
      <c r="K173" s="80" t="str">
        <f aca="false">IF(B173="","",IFERROR(IF(LEFT(E173,2)="CP",INDEX('NOTES CP'!$AT$10:$AT$250,MATCH(B173,'NOTES CP'!$B$10:$B$250,0)),IF(E173="CE1",INDEX('NOTES CE1'!$AH$10:$AH$250,MATCH(B173,'NOTES CE1'!$B$10:$B$250,0)),INDEX('NOTES CE2-CM1'!$AH$10:$AH$250,MATCH(B173,'NOTES CE2-CM1'!$B$10:$B$250,0)))),""))</f>
        <v/>
      </c>
      <c r="L173" s="82" t="str">
        <f aca="false">IF(OR(J173="",K173=""),"",ROUND((J173+2*K173)/3,2))</f>
        <v/>
      </c>
      <c r="M173" s="83" t="str">
        <f aca="false">IF(E173="","",IFERROR(INDEX(PARAMETRES!$D$18:$D$23,MATCH(E173,PARAMETRES!$B$18:$B$23,0)),""))</f>
        <v/>
      </c>
      <c r="N173" s="81" t="str">
        <f aca="false">IF(E173="","",IFERROR(INDEX(PARAMETRES!$C$18:$C$23,MATCH(E173,PARAMETRES!$B$18:$B$23,0)),""))</f>
        <v/>
      </c>
      <c r="O173" s="45" t="str">
        <f aca="false">IF(B173="","",IF(F173="ABANDON","ABANDON",IF(F173="TRANSFERE","TRANSFERE",IF(L173="","",IF(L173&gt;=N173,"ADMIS","REDOUBLE")))))</f>
        <v/>
      </c>
      <c r="P173" s="73" t="str">
        <f aca="false">IF(OR(L173="",F173&lt;&gt;"PRESENT"),"",COUNTIFS($E$10:$E$250,E173,$F$10:$F$250,"PRESENT",$L$10:$L$250,"&gt;"&amp;L173)+1)</f>
        <v/>
      </c>
      <c r="Q173" s="74" t="str">
        <f aca="false">IF(O173="ADMIS",IF(L173/M173*10&gt;=8,"Très bien",IF(L173/M173*10&gt;=7,"Bien",IF(L173/M173*10&gt;=6,"Assez bien","Passable"))),IF(O173="REDOUBLE","Insuffisant",""))</f>
        <v/>
      </c>
      <c r="R173" s="51" t="str">
        <f aca="false">IFERROR(MATCH("P-164",'REGISTRE ELEVES'!$AH$10:$AH$250,0),"")</f>
        <v/>
      </c>
    </row>
    <row r="174" customFormat="false" ht="15" hidden="false" customHeight="false" outlineLevel="0" collapsed="false">
      <c r="A174" s="45" t="str">
        <f aca="false">IF(B174="","",165)</f>
        <v/>
      </c>
      <c r="B174" s="45" t="str">
        <f aca="false">IF($R174="","",INDEX('REGISTRE ELEVES'!$B$10:$B$250,$R174))</f>
        <v/>
      </c>
      <c r="C174" s="74" t="str">
        <f aca="false">IF($R174="","",INDEX('REGISTRE ELEVES'!$D$10:$D$250,$R174))</f>
        <v/>
      </c>
      <c r="D174" s="45" t="str">
        <f aca="false">IF($R174="","",INDEX('REGISTRE ELEVES'!$E$10:$E$250,$R174))</f>
        <v/>
      </c>
      <c r="E174" s="45" t="str">
        <f aca="false">IF($R174="","",INDEX('REGISTRE ELEVES'!$F$10:$F$250,$R174))</f>
        <v/>
      </c>
      <c r="F174" s="45" t="str">
        <f aca="false">IF($R174="","",INDEX('REGISTRE ELEVES'!$AE$10:$AE$250,$R174))</f>
        <v/>
      </c>
      <c r="G174" s="80" t="str">
        <f aca="false">IF(B174="","",IFERROR(IF(LEFT(E174,2)="CP",INDEX('NOTES CP'!$P$10:$P$250,MATCH(B174,'NOTES CP'!$B$10:$B$250,0)),IF(E174="CE1",INDEX('NOTES CE1'!$M$10:$M$250,MATCH(B174,'NOTES CE1'!$B$10:$B$250,0)),INDEX('NOTES CE2-CM1'!$M$10:$M$250,MATCH(B174,'NOTES CE2-CM1'!$B$10:$B$250,0)))),""))</f>
        <v/>
      </c>
      <c r="H174" s="80" t="str">
        <f aca="false">IF(B174="","",IFERROR(IF(LEFT(E174,2)="CP",INDEX('NOTES CP'!$Z$10:$Z$250,MATCH(B174,'NOTES CP'!$B$10:$B$250,0)),IF(E174="CE1",INDEX('NOTES CE1'!$T$10:$T$250,MATCH(B174,'NOTES CE1'!$B$10:$B$250,0)),INDEX('NOTES CE2-CM1'!$T$10:$T$250,MATCH(B174,'NOTES CE2-CM1'!$B$10:$B$250,0)))),""))</f>
        <v/>
      </c>
      <c r="I174" s="80" t="str">
        <f aca="false">IF(B174="","",IFERROR(IF(LEFT(E174,2)="CP",INDEX('NOTES CP'!$AJ$10:$AJ$250,MATCH(B174,'NOTES CP'!$B$10:$B$250,0)),IF(E174="CE1",INDEX('NOTES CE1'!$AA$10:$AA$250,MATCH(B174,'NOTES CE1'!$B$10:$B$250,0)),INDEX('NOTES CE2-CM1'!$AA$10:$AA$250,MATCH(B174,'NOTES CE2-CM1'!$B$10:$B$250,0)))),""))</f>
        <v/>
      </c>
      <c r="J174" s="81" t="str">
        <f aca="false">IF(COUNT(G174:I174)=0,"",ROUND(AVERAGE(G174:I174),2))</f>
        <v/>
      </c>
      <c r="K174" s="80" t="str">
        <f aca="false">IF(B174="","",IFERROR(IF(LEFT(E174,2)="CP",INDEX('NOTES CP'!$AT$10:$AT$250,MATCH(B174,'NOTES CP'!$B$10:$B$250,0)),IF(E174="CE1",INDEX('NOTES CE1'!$AH$10:$AH$250,MATCH(B174,'NOTES CE1'!$B$10:$B$250,0)),INDEX('NOTES CE2-CM1'!$AH$10:$AH$250,MATCH(B174,'NOTES CE2-CM1'!$B$10:$B$250,0)))),""))</f>
        <v/>
      </c>
      <c r="L174" s="82" t="str">
        <f aca="false">IF(OR(J174="",K174=""),"",ROUND((J174+2*K174)/3,2))</f>
        <v/>
      </c>
      <c r="M174" s="83" t="str">
        <f aca="false">IF(E174="","",IFERROR(INDEX(PARAMETRES!$D$18:$D$23,MATCH(E174,PARAMETRES!$B$18:$B$23,0)),""))</f>
        <v/>
      </c>
      <c r="N174" s="81" t="str">
        <f aca="false">IF(E174="","",IFERROR(INDEX(PARAMETRES!$C$18:$C$23,MATCH(E174,PARAMETRES!$B$18:$B$23,0)),""))</f>
        <v/>
      </c>
      <c r="O174" s="45" t="str">
        <f aca="false">IF(B174="","",IF(F174="ABANDON","ABANDON",IF(F174="TRANSFERE","TRANSFERE",IF(L174="","",IF(L174&gt;=N174,"ADMIS","REDOUBLE")))))</f>
        <v/>
      </c>
      <c r="P174" s="73" t="str">
        <f aca="false">IF(OR(L174="",F174&lt;&gt;"PRESENT"),"",COUNTIFS($E$10:$E$250,E174,$F$10:$F$250,"PRESENT",$L$10:$L$250,"&gt;"&amp;L174)+1)</f>
        <v/>
      </c>
      <c r="Q174" s="74" t="str">
        <f aca="false">IF(O174="ADMIS",IF(L174/M174*10&gt;=8,"Très bien",IF(L174/M174*10&gt;=7,"Bien",IF(L174/M174*10&gt;=6,"Assez bien","Passable"))),IF(O174="REDOUBLE","Insuffisant",""))</f>
        <v/>
      </c>
      <c r="R174" s="51" t="str">
        <f aca="false">IFERROR(MATCH("P-165",'REGISTRE ELEVES'!$AH$10:$AH$250,0),"")</f>
        <v/>
      </c>
    </row>
    <row r="175" customFormat="false" ht="15" hidden="false" customHeight="false" outlineLevel="0" collapsed="false">
      <c r="A175" s="45" t="str">
        <f aca="false">IF(B175="","",166)</f>
        <v/>
      </c>
      <c r="B175" s="45" t="str">
        <f aca="false">IF($R175="","",INDEX('REGISTRE ELEVES'!$B$10:$B$250,$R175))</f>
        <v/>
      </c>
      <c r="C175" s="74" t="str">
        <f aca="false">IF($R175="","",INDEX('REGISTRE ELEVES'!$D$10:$D$250,$R175))</f>
        <v/>
      </c>
      <c r="D175" s="45" t="str">
        <f aca="false">IF($R175="","",INDEX('REGISTRE ELEVES'!$E$10:$E$250,$R175))</f>
        <v/>
      </c>
      <c r="E175" s="45" t="str">
        <f aca="false">IF($R175="","",INDEX('REGISTRE ELEVES'!$F$10:$F$250,$R175))</f>
        <v/>
      </c>
      <c r="F175" s="45" t="str">
        <f aca="false">IF($R175="","",INDEX('REGISTRE ELEVES'!$AE$10:$AE$250,$R175))</f>
        <v/>
      </c>
      <c r="G175" s="80" t="str">
        <f aca="false">IF(B175="","",IFERROR(IF(LEFT(E175,2)="CP",INDEX('NOTES CP'!$P$10:$P$250,MATCH(B175,'NOTES CP'!$B$10:$B$250,0)),IF(E175="CE1",INDEX('NOTES CE1'!$M$10:$M$250,MATCH(B175,'NOTES CE1'!$B$10:$B$250,0)),INDEX('NOTES CE2-CM1'!$M$10:$M$250,MATCH(B175,'NOTES CE2-CM1'!$B$10:$B$250,0)))),""))</f>
        <v/>
      </c>
      <c r="H175" s="80" t="str">
        <f aca="false">IF(B175="","",IFERROR(IF(LEFT(E175,2)="CP",INDEX('NOTES CP'!$Z$10:$Z$250,MATCH(B175,'NOTES CP'!$B$10:$B$250,0)),IF(E175="CE1",INDEX('NOTES CE1'!$T$10:$T$250,MATCH(B175,'NOTES CE1'!$B$10:$B$250,0)),INDEX('NOTES CE2-CM1'!$T$10:$T$250,MATCH(B175,'NOTES CE2-CM1'!$B$10:$B$250,0)))),""))</f>
        <v/>
      </c>
      <c r="I175" s="80" t="str">
        <f aca="false">IF(B175="","",IFERROR(IF(LEFT(E175,2)="CP",INDEX('NOTES CP'!$AJ$10:$AJ$250,MATCH(B175,'NOTES CP'!$B$10:$B$250,0)),IF(E175="CE1",INDEX('NOTES CE1'!$AA$10:$AA$250,MATCH(B175,'NOTES CE1'!$B$10:$B$250,0)),INDEX('NOTES CE2-CM1'!$AA$10:$AA$250,MATCH(B175,'NOTES CE2-CM1'!$B$10:$B$250,0)))),""))</f>
        <v/>
      </c>
      <c r="J175" s="81" t="str">
        <f aca="false">IF(COUNT(G175:I175)=0,"",ROUND(AVERAGE(G175:I175),2))</f>
        <v/>
      </c>
      <c r="K175" s="80" t="str">
        <f aca="false">IF(B175="","",IFERROR(IF(LEFT(E175,2)="CP",INDEX('NOTES CP'!$AT$10:$AT$250,MATCH(B175,'NOTES CP'!$B$10:$B$250,0)),IF(E175="CE1",INDEX('NOTES CE1'!$AH$10:$AH$250,MATCH(B175,'NOTES CE1'!$B$10:$B$250,0)),INDEX('NOTES CE2-CM1'!$AH$10:$AH$250,MATCH(B175,'NOTES CE2-CM1'!$B$10:$B$250,0)))),""))</f>
        <v/>
      </c>
      <c r="L175" s="82" t="str">
        <f aca="false">IF(OR(J175="",K175=""),"",ROUND((J175+2*K175)/3,2))</f>
        <v/>
      </c>
      <c r="M175" s="83" t="str">
        <f aca="false">IF(E175="","",IFERROR(INDEX(PARAMETRES!$D$18:$D$23,MATCH(E175,PARAMETRES!$B$18:$B$23,0)),""))</f>
        <v/>
      </c>
      <c r="N175" s="81" t="str">
        <f aca="false">IF(E175="","",IFERROR(INDEX(PARAMETRES!$C$18:$C$23,MATCH(E175,PARAMETRES!$B$18:$B$23,0)),""))</f>
        <v/>
      </c>
      <c r="O175" s="45" t="str">
        <f aca="false">IF(B175="","",IF(F175="ABANDON","ABANDON",IF(F175="TRANSFERE","TRANSFERE",IF(L175="","",IF(L175&gt;=N175,"ADMIS","REDOUBLE")))))</f>
        <v/>
      </c>
      <c r="P175" s="73" t="str">
        <f aca="false">IF(OR(L175="",F175&lt;&gt;"PRESENT"),"",COUNTIFS($E$10:$E$250,E175,$F$10:$F$250,"PRESENT",$L$10:$L$250,"&gt;"&amp;L175)+1)</f>
        <v/>
      </c>
      <c r="Q175" s="74" t="str">
        <f aca="false">IF(O175="ADMIS",IF(L175/M175*10&gt;=8,"Très bien",IF(L175/M175*10&gt;=7,"Bien",IF(L175/M175*10&gt;=6,"Assez bien","Passable"))),IF(O175="REDOUBLE","Insuffisant",""))</f>
        <v/>
      </c>
      <c r="R175" s="51" t="str">
        <f aca="false">IFERROR(MATCH("P-166",'REGISTRE ELEVES'!$AH$10:$AH$250,0),"")</f>
        <v/>
      </c>
    </row>
    <row r="176" customFormat="false" ht="15" hidden="false" customHeight="false" outlineLevel="0" collapsed="false">
      <c r="A176" s="45" t="str">
        <f aca="false">IF(B176="","",167)</f>
        <v/>
      </c>
      <c r="B176" s="45" t="str">
        <f aca="false">IF($R176="","",INDEX('REGISTRE ELEVES'!$B$10:$B$250,$R176))</f>
        <v/>
      </c>
      <c r="C176" s="74" t="str">
        <f aca="false">IF($R176="","",INDEX('REGISTRE ELEVES'!$D$10:$D$250,$R176))</f>
        <v/>
      </c>
      <c r="D176" s="45" t="str">
        <f aca="false">IF($R176="","",INDEX('REGISTRE ELEVES'!$E$10:$E$250,$R176))</f>
        <v/>
      </c>
      <c r="E176" s="45" t="str">
        <f aca="false">IF($R176="","",INDEX('REGISTRE ELEVES'!$F$10:$F$250,$R176))</f>
        <v/>
      </c>
      <c r="F176" s="45" t="str">
        <f aca="false">IF($R176="","",INDEX('REGISTRE ELEVES'!$AE$10:$AE$250,$R176))</f>
        <v/>
      </c>
      <c r="G176" s="80" t="str">
        <f aca="false">IF(B176="","",IFERROR(IF(LEFT(E176,2)="CP",INDEX('NOTES CP'!$P$10:$P$250,MATCH(B176,'NOTES CP'!$B$10:$B$250,0)),IF(E176="CE1",INDEX('NOTES CE1'!$M$10:$M$250,MATCH(B176,'NOTES CE1'!$B$10:$B$250,0)),INDEX('NOTES CE2-CM1'!$M$10:$M$250,MATCH(B176,'NOTES CE2-CM1'!$B$10:$B$250,0)))),""))</f>
        <v/>
      </c>
      <c r="H176" s="80" t="str">
        <f aca="false">IF(B176="","",IFERROR(IF(LEFT(E176,2)="CP",INDEX('NOTES CP'!$Z$10:$Z$250,MATCH(B176,'NOTES CP'!$B$10:$B$250,0)),IF(E176="CE1",INDEX('NOTES CE1'!$T$10:$T$250,MATCH(B176,'NOTES CE1'!$B$10:$B$250,0)),INDEX('NOTES CE2-CM1'!$T$10:$T$250,MATCH(B176,'NOTES CE2-CM1'!$B$10:$B$250,0)))),""))</f>
        <v/>
      </c>
      <c r="I176" s="80" t="str">
        <f aca="false">IF(B176="","",IFERROR(IF(LEFT(E176,2)="CP",INDEX('NOTES CP'!$AJ$10:$AJ$250,MATCH(B176,'NOTES CP'!$B$10:$B$250,0)),IF(E176="CE1",INDEX('NOTES CE1'!$AA$10:$AA$250,MATCH(B176,'NOTES CE1'!$B$10:$B$250,0)),INDEX('NOTES CE2-CM1'!$AA$10:$AA$250,MATCH(B176,'NOTES CE2-CM1'!$B$10:$B$250,0)))),""))</f>
        <v/>
      </c>
      <c r="J176" s="81" t="str">
        <f aca="false">IF(COUNT(G176:I176)=0,"",ROUND(AVERAGE(G176:I176),2))</f>
        <v/>
      </c>
      <c r="K176" s="80" t="str">
        <f aca="false">IF(B176="","",IFERROR(IF(LEFT(E176,2)="CP",INDEX('NOTES CP'!$AT$10:$AT$250,MATCH(B176,'NOTES CP'!$B$10:$B$250,0)),IF(E176="CE1",INDEX('NOTES CE1'!$AH$10:$AH$250,MATCH(B176,'NOTES CE1'!$B$10:$B$250,0)),INDEX('NOTES CE2-CM1'!$AH$10:$AH$250,MATCH(B176,'NOTES CE2-CM1'!$B$10:$B$250,0)))),""))</f>
        <v/>
      </c>
      <c r="L176" s="82" t="str">
        <f aca="false">IF(OR(J176="",K176=""),"",ROUND((J176+2*K176)/3,2))</f>
        <v/>
      </c>
      <c r="M176" s="83" t="str">
        <f aca="false">IF(E176="","",IFERROR(INDEX(PARAMETRES!$D$18:$D$23,MATCH(E176,PARAMETRES!$B$18:$B$23,0)),""))</f>
        <v/>
      </c>
      <c r="N176" s="81" t="str">
        <f aca="false">IF(E176="","",IFERROR(INDEX(PARAMETRES!$C$18:$C$23,MATCH(E176,PARAMETRES!$B$18:$B$23,0)),""))</f>
        <v/>
      </c>
      <c r="O176" s="45" t="str">
        <f aca="false">IF(B176="","",IF(F176="ABANDON","ABANDON",IF(F176="TRANSFERE","TRANSFERE",IF(L176="","",IF(L176&gt;=N176,"ADMIS","REDOUBLE")))))</f>
        <v/>
      </c>
      <c r="P176" s="73" t="str">
        <f aca="false">IF(OR(L176="",F176&lt;&gt;"PRESENT"),"",COUNTIFS($E$10:$E$250,E176,$F$10:$F$250,"PRESENT",$L$10:$L$250,"&gt;"&amp;L176)+1)</f>
        <v/>
      </c>
      <c r="Q176" s="74" t="str">
        <f aca="false">IF(O176="ADMIS",IF(L176/M176*10&gt;=8,"Très bien",IF(L176/M176*10&gt;=7,"Bien",IF(L176/M176*10&gt;=6,"Assez bien","Passable"))),IF(O176="REDOUBLE","Insuffisant",""))</f>
        <v/>
      </c>
      <c r="R176" s="51" t="str">
        <f aca="false">IFERROR(MATCH("P-167",'REGISTRE ELEVES'!$AH$10:$AH$250,0),"")</f>
        <v/>
      </c>
    </row>
    <row r="177" customFormat="false" ht="15" hidden="false" customHeight="false" outlineLevel="0" collapsed="false">
      <c r="A177" s="45" t="str">
        <f aca="false">IF(B177="","",168)</f>
        <v/>
      </c>
      <c r="B177" s="45" t="str">
        <f aca="false">IF($R177="","",INDEX('REGISTRE ELEVES'!$B$10:$B$250,$R177))</f>
        <v/>
      </c>
      <c r="C177" s="74" t="str">
        <f aca="false">IF($R177="","",INDEX('REGISTRE ELEVES'!$D$10:$D$250,$R177))</f>
        <v/>
      </c>
      <c r="D177" s="45" t="str">
        <f aca="false">IF($R177="","",INDEX('REGISTRE ELEVES'!$E$10:$E$250,$R177))</f>
        <v/>
      </c>
      <c r="E177" s="45" t="str">
        <f aca="false">IF($R177="","",INDEX('REGISTRE ELEVES'!$F$10:$F$250,$R177))</f>
        <v/>
      </c>
      <c r="F177" s="45" t="str">
        <f aca="false">IF($R177="","",INDEX('REGISTRE ELEVES'!$AE$10:$AE$250,$R177))</f>
        <v/>
      </c>
      <c r="G177" s="80" t="str">
        <f aca="false">IF(B177="","",IFERROR(IF(LEFT(E177,2)="CP",INDEX('NOTES CP'!$P$10:$P$250,MATCH(B177,'NOTES CP'!$B$10:$B$250,0)),IF(E177="CE1",INDEX('NOTES CE1'!$M$10:$M$250,MATCH(B177,'NOTES CE1'!$B$10:$B$250,0)),INDEX('NOTES CE2-CM1'!$M$10:$M$250,MATCH(B177,'NOTES CE2-CM1'!$B$10:$B$250,0)))),""))</f>
        <v/>
      </c>
      <c r="H177" s="80" t="str">
        <f aca="false">IF(B177="","",IFERROR(IF(LEFT(E177,2)="CP",INDEX('NOTES CP'!$Z$10:$Z$250,MATCH(B177,'NOTES CP'!$B$10:$B$250,0)),IF(E177="CE1",INDEX('NOTES CE1'!$T$10:$T$250,MATCH(B177,'NOTES CE1'!$B$10:$B$250,0)),INDEX('NOTES CE2-CM1'!$T$10:$T$250,MATCH(B177,'NOTES CE2-CM1'!$B$10:$B$250,0)))),""))</f>
        <v/>
      </c>
      <c r="I177" s="80" t="str">
        <f aca="false">IF(B177="","",IFERROR(IF(LEFT(E177,2)="CP",INDEX('NOTES CP'!$AJ$10:$AJ$250,MATCH(B177,'NOTES CP'!$B$10:$B$250,0)),IF(E177="CE1",INDEX('NOTES CE1'!$AA$10:$AA$250,MATCH(B177,'NOTES CE1'!$B$10:$B$250,0)),INDEX('NOTES CE2-CM1'!$AA$10:$AA$250,MATCH(B177,'NOTES CE2-CM1'!$B$10:$B$250,0)))),""))</f>
        <v/>
      </c>
      <c r="J177" s="81" t="str">
        <f aca="false">IF(COUNT(G177:I177)=0,"",ROUND(AVERAGE(G177:I177),2))</f>
        <v/>
      </c>
      <c r="K177" s="80" t="str">
        <f aca="false">IF(B177="","",IFERROR(IF(LEFT(E177,2)="CP",INDEX('NOTES CP'!$AT$10:$AT$250,MATCH(B177,'NOTES CP'!$B$10:$B$250,0)),IF(E177="CE1",INDEX('NOTES CE1'!$AH$10:$AH$250,MATCH(B177,'NOTES CE1'!$B$10:$B$250,0)),INDEX('NOTES CE2-CM1'!$AH$10:$AH$250,MATCH(B177,'NOTES CE2-CM1'!$B$10:$B$250,0)))),""))</f>
        <v/>
      </c>
      <c r="L177" s="82" t="str">
        <f aca="false">IF(OR(J177="",K177=""),"",ROUND((J177+2*K177)/3,2))</f>
        <v/>
      </c>
      <c r="M177" s="83" t="str">
        <f aca="false">IF(E177="","",IFERROR(INDEX(PARAMETRES!$D$18:$D$23,MATCH(E177,PARAMETRES!$B$18:$B$23,0)),""))</f>
        <v/>
      </c>
      <c r="N177" s="81" t="str">
        <f aca="false">IF(E177="","",IFERROR(INDEX(PARAMETRES!$C$18:$C$23,MATCH(E177,PARAMETRES!$B$18:$B$23,0)),""))</f>
        <v/>
      </c>
      <c r="O177" s="45" t="str">
        <f aca="false">IF(B177="","",IF(F177="ABANDON","ABANDON",IF(F177="TRANSFERE","TRANSFERE",IF(L177="","",IF(L177&gt;=N177,"ADMIS","REDOUBLE")))))</f>
        <v/>
      </c>
      <c r="P177" s="73" t="str">
        <f aca="false">IF(OR(L177="",F177&lt;&gt;"PRESENT"),"",COUNTIFS($E$10:$E$250,E177,$F$10:$F$250,"PRESENT",$L$10:$L$250,"&gt;"&amp;L177)+1)</f>
        <v/>
      </c>
      <c r="Q177" s="74" t="str">
        <f aca="false">IF(O177="ADMIS",IF(L177/M177*10&gt;=8,"Très bien",IF(L177/M177*10&gt;=7,"Bien",IF(L177/M177*10&gt;=6,"Assez bien","Passable"))),IF(O177="REDOUBLE","Insuffisant",""))</f>
        <v/>
      </c>
      <c r="R177" s="51" t="str">
        <f aca="false">IFERROR(MATCH("P-168",'REGISTRE ELEVES'!$AH$10:$AH$250,0),"")</f>
        <v/>
      </c>
    </row>
    <row r="178" customFormat="false" ht="15" hidden="false" customHeight="false" outlineLevel="0" collapsed="false">
      <c r="A178" s="45" t="str">
        <f aca="false">IF(B178="","",169)</f>
        <v/>
      </c>
      <c r="B178" s="45" t="str">
        <f aca="false">IF($R178="","",INDEX('REGISTRE ELEVES'!$B$10:$B$250,$R178))</f>
        <v/>
      </c>
      <c r="C178" s="74" t="str">
        <f aca="false">IF($R178="","",INDEX('REGISTRE ELEVES'!$D$10:$D$250,$R178))</f>
        <v/>
      </c>
      <c r="D178" s="45" t="str">
        <f aca="false">IF($R178="","",INDEX('REGISTRE ELEVES'!$E$10:$E$250,$R178))</f>
        <v/>
      </c>
      <c r="E178" s="45" t="str">
        <f aca="false">IF($R178="","",INDEX('REGISTRE ELEVES'!$F$10:$F$250,$R178))</f>
        <v/>
      </c>
      <c r="F178" s="45" t="str">
        <f aca="false">IF($R178="","",INDEX('REGISTRE ELEVES'!$AE$10:$AE$250,$R178))</f>
        <v/>
      </c>
      <c r="G178" s="80" t="str">
        <f aca="false">IF(B178="","",IFERROR(IF(LEFT(E178,2)="CP",INDEX('NOTES CP'!$P$10:$P$250,MATCH(B178,'NOTES CP'!$B$10:$B$250,0)),IF(E178="CE1",INDEX('NOTES CE1'!$M$10:$M$250,MATCH(B178,'NOTES CE1'!$B$10:$B$250,0)),INDEX('NOTES CE2-CM1'!$M$10:$M$250,MATCH(B178,'NOTES CE2-CM1'!$B$10:$B$250,0)))),""))</f>
        <v/>
      </c>
      <c r="H178" s="80" t="str">
        <f aca="false">IF(B178="","",IFERROR(IF(LEFT(E178,2)="CP",INDEX('NOTES CP'!$Z$10:$Z$250,MATCH(B178,'NOTES CP'!$B$10:$B$250,0)),IF(E178="CE1",INDEX('NOTES CE1'!$T$10:$T$250,MATCH(B178,'NOTES CE1'!$B$10:$B$250,0)),INDEX('NOTES CE2-CM1'!$T$10:$T$250,MATCH(B178,'NOTES CE2-CM1'!$B$10:$B$250,0)))),""))</f>
        <v/>
      </c>
      <c r="I178" s="80" t="str">
        <f aca="false">IF(B178="","",IFERROR(IF(LEFT(E178,2)="CP",INDEX('NOTES CP'!$AJ$10:$AJ$250,MATCH(B178,'NOTES CP'!$B$10:$B$250,0)),IF(E178="CE1",INDEX('NOTES CE1'!$AA$10:$AA$250,MATCH(B178,'NOTES CE1'!$B$10:$B$250,0)),INDEX('NOTES CE2-CM1'!$AA$10:$AA$250,MATCH(B178,'NOTES CE2-CM1'!$B$10:$B$250,0)))),""))</f>
        <v/>
      </c>
      <c r="J178" s="81" t="str">
        <f aca="false">IF(COUNT(G178:I178)=0,"",ROUND(AVERAGE(G178:I178),2))</f>
        <v/>
      </c>
      <c r="K178" s="80" t="str">
        <f aca="false">IF(B178="","",IFERROR(IF(LEFT(E178,2)="CP",INDEX('NOTES CP'!$AT$10:$AT$250,MATCH(B178,'NOTES CP'!$B$10:$B$250,0)),IF(E178="CE1",INDEX('NOTES CE1'!$AH$10:$AH$250,MATCH(B178,'NOTES CE1'!$B$10:$B$250,0)),INDEX('NOTES CE2-CM1'!$AH$10:$AH$250,MATCH(B178,'NOTES CE2-CM1'!$B$10:$B$250,0)))),""))</f>
        <v/>
      </c>
      <c r="L178" s="82" t="str">
        <f aca="false">IF(OR(J178="",K178=""),"",ROUND((J178+2*K178)/3,2))</f>
        <v/>
      </c>
      <c r="M178" s="83" t="str">
        <f aca="false">IF(E178="","",IFERROR(INDEX(PARAMETRES!$D$18:$D$23,MATCH(E178,PARAMETRES!$B$18:$B$23,0)),""))</f>
        <v/>
      </c>
      <c r="N178" s="81" t="str">
        <f aca="false">IF(E178="","",IFERROR(INDEX(PARAMETRES!$C$18:$C$23,MATCH(E178,PARAMETRES!$B$18:$B$23,0)),""))</f>
        <v/>
      </c>
      <c r="O178" s="45" t="str">
        <f aca="false">IF(B178="","",IF(F178="ABANDON","ABANDON",IF(F178="TRANSFERE","TRANSFERE",IF(L178="","",IF(L178&gt;=N178,"ADMIS","REDOUBLE")))))</f>
        <v/>
      </c>
      <c r="P178" s="73" t="str">
        <f aca="false">IF(OR(L178="",F178&lt;&gt;"PRESENT"),"",COUNTIFS($E$10:$E$250,E178,$F$10:$F$250,"PRESENT",$L$10:$L$250,"&gt;"&amp;L178)+1)</f>
        <v/>
      </c>
      <c r="Q178" s="74" t="str">
        <f aca="false">IF(O178="ADMIS",IF(L178/M178*10&gt;=8,"Très bien",IF(L178/M178*10&gt;=7,"Bien",IF(L178/M178*10&gt;=6,"Assez bien","Passable"))),IF(O178="REDOUBLE","Insuffisant",""))</f>
        <v/>
      </c>
      <c r="R178" s="51" t="str">
        <f aca="false">IFERROR(MATCH("P-169",'REGISTRE ELEVES'!$AH$10:$AH$250,0),"")</f>
        <v/>
      </c>
    </row>
    <row r="179" customFormat="false" ht="15" hidden="false" customHeight="false" outlineLevel="0" collapsed="false">
      <c r="A179" s="45" t="str">
        <f aca="false">IF(B179="","",170)</f>
        <v/>
      </c>
      <c r="B179" s="45" t="str">
        <f aca="false">IF($R179="","",INDEX('REGISTRE ELEVES'!$B$10:$B$250,$R179))</f>
        <v/>
      </c>
      <c r="C179" s="74" t="str">
        <f aca="false">IF($R179="","",INDEX('REGISTRE ELEVES'!$D$10:$D$250,$R179))</f>
        <v/>
      </c>
      <c r="D179" s="45" t="str">
        <f aca="false">IF($R179="","",INDEX('REGISTRE ELEVES'!$E$10:$E$250,$R179))</f>
        <v/>
      </c>
      <c r="E179" s="45" t="str">
        <f aca="false">IF($R179="","",INDEX('REGISTRE ELEVES'!$F$10:$F$250,$R179))</f>
        <v/>
      </c>
      <c r="F179" s="45" t="str">
        <f aca="false">IF($R179="","",INDEX('REGISTRE ELEVES'!$AE$10:$AE$250,$R179))</f>
        <v/>
      </c>
      <c r="G179" s="80" t="str">
        <f aca="false">IF(B179="","",IFERROR(IF(LEFT(E179,2)="CP",INDEX('NOTES CP'!$P$10:$P$250,MATCH(B179,'NOTES CP'!$B$10:$B$250,0)),IF(E179="CE1",INDEX('NOTES CE1'!$M$10:$M$250,MATCH(B179,'NOTES CE1'!$B$10:$B$250,0)),INDEX('NOTES CE2-CM1'!$M$10:$M$250,MATCH(B179,'NOTES CE2-CM1'!$B$10:$B$250,0)))),""))</f>
        <v/>
      </c>
      <c r="H179" s="80" t="str">
        <f aca="false">IF(B179="","",IFERROR(IF(LEFT(E179,2)="CP",INDEX('NOTES CP'!$Z$10:$Z$250,MATCH(B179,'NOTES CP'!$B$10:$B$250,0)),IF(E179="CE1",INDEX('NOTES CE1'!$T$10:$T$250,MATCH(B179,'NOTES CE1'!$B$10:$B$250,0)),INDEX('NOTES CE2-CM1'!$T$10:$T$250,MATCH(B179,'NOTES CE2-CM1'!$B$10:$B$250,0)))),""))</f>
        <v/>
      </c>
      <c r="I179" s="80" t="str">
        <f aca="false">IF(B179="","",IFERROR(IF(LEFT(E179,2)="CP",INDEX('NOTES CP'!$AJ$10:$AJ$250,MATCH(B179,'NOTES CP'!$B$10:$B$250,0)),IF(E179="CE1",INDEX('NOTES CE1'!$AA$10:$AA$250,MATCH(B179,'NOTES CE1'!$B$10:$B$250,0)),INDEX('NOTES CE2-CM1'!$AA$10:$AA$250,MATCH(B179,'NOTES CE2-CM1'!$B$10:$B$250,0)))),""))</f>
        <v/>
      </c>
      <c r="J179" s="81" t="str">
        <f aca="false">IF(COUNT(G179:I179)=0,"",ROUND(AVERAGE(G179:I179),2))</f>
        <v/>
      </c>
      <c r="K179" s="80" t="str">
        <f aca="false">IF(B179="","",IFERROR(IF(LEFT(E179,2)="CP",INDEX('NOTES CP'!$AT$10:$AT$250,MATCH(B179,'NOTES CP'!$B$10:$B$250,0)),IF(E179="CE1",INDEX('NOTES CE1'!$AH$10:$AH$250,MATCH(B179,'NOTES CE1'!$B$10:$B$250,0)),INDEX('NOTES CE2-CM1'!$AH$10:$AH$250,MATCH(B179,'NOTES CE2-CM1'!$B$10:$B$250,0)))),""))</f>
        <v/>
      </c>
      <c r="L179" s="82" t="str">
        <f aca="false">IF(OR(J179="",K179=""),"",ROUND((J179+2*K179)/3,2))</f>
        <v/>
      </c>
      <c r="M179" s="83" t="str">
        <f aca="false">IF(E179="","",IFERROR(INDEX(PARAMETRES!$D$18:$D$23,MATCH(E179,PARAMETRES!$B$18:$B$23,0)),""))</f>
        <v/>
      </c>
      <c r="N179" s="81" t="str">
        <f aca="false">IF(E179="","",IFERROR(INDEX(PARAMETRES!$C$18:$C$23,MATCH(E179,PARAMETRES!$B$18:$B$23,0)),""))</f>
        <v/>
      </c>
      <c r="O179" s="45" t="str">
        <f aca="false">IF(B179="","",IF(F179="ABANDON","ABANDON",IF(F179="TRANSFERE","TRANSFERE",IF(L179="","",IF(L179&gt;=N179,"ADMIS","REDOUBLE")))))</f>
        <v/>
      </c>
      <c r="P179" s="73" t="str">
        <f aca="false">IF(OR(L179="",F179&lt;&gt;"PRESENT"),"",COUNTIFS($E$10:$E$250,E179,$F$10:$F$250,"PRESENT",$L$10:$L$250,"&gt;"&amp;L179)+1)</f>
        <v/>
      </c>
      <c r="Q179" s="74" t="str">
        <f aca="false">IF(O179="ADMIS",IF(L179/M179*10&gt;=8,"Très bien",IF(L179/M179*10&gt;=7,"Bien",IF(L179/M179*10&gt;=6,"Assez bien","Passable"))),IF(O179="REDOUBLE","Insuffisant",""))</f>
        <v/>
      </c>
      <c r="R179" s="51" t="str">
        <f aca="false">IFERROR(MATCH("P-170",'REGISTRE ELEVES'!$AH$10:$AH$250,0),"")</f>
        <v/>
      </c>
    </row>
    <row r="180" customFormat="false" ht="15" hidden="false" customHeight="false" outlineLevel="0" collapsed="false">
      <c r="A180" s="45" t="str">
        <f aca="false">IF(B180="","",171)</f>
        <v/>
      </c>
      <c r="B180" s="45" t="str">
        <f aca="false">IF($R180="","",INDEX('REGISTRE ELEVES'!$B$10:$B$250,$R180))</f>
        <v/>
      </c>
      <c r="C180" s="74" t="str">
        <f aca="false">IF($R180="","",INDEX('REGISTRE ELEVES'!$D$10:$D$250,$R180))</f>
        <v/>
      </c>
      <c r="D180" s="45" t="str">
        <f aca="false">IF($R180="","",INDEX('REGISTRE ELEVES'!$E$10:$E$250,$R180))</f>
        <v/>
      </c>
      <c r="E180" s="45" t="str">
        <f aca="false">IF($R180="","",INDEX('REGISTRE ELEVES'!$F$10:$F$250,$R180))</f>
        <v/>
      </c>
      <c r="F180" s="45" t="str">
        <f aca="false">IF($R180="","",INDEX('REGISTRE ELEVES'!$AE$10:$AE$250,$R180))</f>
        <v/>
      </c>
      <c r="G180" s="80" t="str">
        <f aca="false">IF(B180="","",IFERROR(IF(LEFT(E180,2)="CP",INDEX('NOTES CP'!$P$10:$P$250,MATCH(B180,'NOTES CP'!$B$10:$B$250,0)),IF(E180="CE1",INDEX('NOTES CE1'!$M$10:$M$250,MATCH(B180,'NOTES CE1'!$B$10:$B$250,0)),INDEX('NOTES CE2-CM1'!$M$10:$M$250,MATCH(B180,'NOTES CE2-CM1'!$B$10:$B$250,0)))),""))</f>
        <v/>
      </c>
      <c r="H180" s="80" t="str">
        <f aca="false">IF(B180="","",IFERROR(IF(LEFT(E180,2)="CP",INDEX('NOTES CP'!$Z$10:$Z$250,MATCH(B180,'NOTES CP'!$B$10:$B$250,0)),IF(E180="CE1",INDEX('NOTES CE1'!$T$10:$T$250,MATCH(B180,'NOTES CE1'!$B$10:$B$250,0)),INDEX('NOTES CE2-CM1'!$T$10:$T$250,MATCH(B180,'NOTES CE2-CM1'!$B$10:$B$250,0)))),""))</f>
        <v/>
      </c>
      <c r="I180" s="80" t="str">
        <f aca="false">IF(B180="","",IFERROR(IF(LEFT(E180,2)="CP",INDEX('NOTES CP'!$AJ$10:$AJ$250,MATCH(B180,'NOTES CP'!$B$10:$B$250,0)),IF(E180="CE1",INDEX('NOTES CE1'!$AA$10:$AA$250,MATCH(B180,'NOTES CE1'!$B$10:$B$250,0)),INDEX('NOTES CE2-CM1'!$AA$10:$AA$250,MATCH(B180,'NOTES CE2-CM1'!$B$10:$B$250,0)))),""))</f>
        <v/>
      </c>
      <c r="J180" s="81" t="str">
        <f aca="false">IF(COUNT(G180:I180)=0,"",ROUND(AVERAGE(G180:I180),2))</f>
        <v/>
      </c>
      <c r="K180" s="80" t="str">
        <f aca="false">IF(B180="","",IFERROR(IF(LEFT(E180,2)="CP",INDEX('NOTES CP'!$AT$10:$AT$250,MATCH(B180,'NOTES CP'!$B$10:$B$250,0)),IF(E180="CE1",INDEX('NOTES CE1'!$AH$10:$AH$250,MATCH(B180,'NOTES CE1'!$B$10:$B$250,0)),INDEX('NOTES CE2-CM1'!$AH$10:$AH$250,MATCH(B180,'NOTES CE2-CM1'!$B$10:$B$250,0)))),""))</f>
        <v/>
      </c>
      <c r="L180" s="82" t="str">
        <f aca="false">IF(OR(J180="",K180=""),"",ROUND((J180+2*K180)/3,2))</f>
        <v/>
      </c>
      <c r="M180" s="83" t="str">
        <f aca="false">IF(E180="","",IFERROR(INDEX(PARAMETRES!$D$18:$D$23,MATCH(E180,PARAMETRES!$B$18:$B$23,0)),""))</f>
        <v/>
      </c>
      <c r="N180" s="81" t="str">
        <f aca="false">IF(E180="","",IFERROR(INDEX(PARAMETRES!$C$18:$C$23,MATCH(E180,PARAMETRES!$B$18:$B$23,0)),""))</f>
        <v/>
      </c>
      <c r="O180" s="45" t="str">
        <f aca="false">IF(B180="","",IF(F180="ABANDON","ABANDON",IF(F180="TRANSFERE","TRANSFERE",IF(L180="","",IF(L180&gt;=N180,"ADMIS","REDOUBLE")))))</f>
        <v/>
      </c>
      <c r="P180" s="73" t="str">
        <f aca="false">IF(OR(L180="",F180&lt;&gt;"PRESENT"),"",COUNTIFS($E$10:$E$250,E180,$F$10:$F$250,"PRESENT",$L$10:$L$250,"&gt;"&amp;L180)+1)</f>
        <v/>
      </c>
      <c r="Q180" s="74" t="str">
        <f aca="false">IF(O180="ADMIS",IF(L180/M180*10&gt;=8,"Très bien",IF(L180/M180*10&gt;=7,"Bien",IF(L180/M180*10&gt;=6,"Assez bien","Passable"))),IF(O180="REDOUBLE","Insuffisant",""))</f>
        <v/>
      </c>
      <c r="R180" s="51" t="str">
        <f aca="false">IFERROR(MATCH("P-171",'REGISTRE ELEVES'!$AH$10:$AH$250,0),"")</f>
        <v/>
      </c>
    </row>
    <row r="181" customFormat="false" ht="15" hidden="false" customHeight="false" outlineLevel="0" collapsed="false">
      <c r="A181" s="45" t="str">
        <f aca="false">IF(B181="","",172)</f>
        <v/>
      </c>
      <c r="B181" s="45" t="str">
        <f aca="false">IF($R181="","",INDEX('REGISTRE ELEVES'!$B$10:$B$250,$R181))</f>
        <v/>
      </c>
      <c r="C181" s="74" t="str">
        <f aca="false">IF($R181="","",INDEX('REGISTRE ELEVES'!$D$10:$D$250,$R181))</f>
        <v/>
      </c>
      <c r="D181" s="45" t="str">
        <f aca="false">IF($R181="","",INDEX('REGISTRE ELEVES'!$E$10:$E$250,$R181))</f>
        <v/>
      </c>
      <c r="E181" s="45" t="str">
        <f aca="false">IF($R181="","",INDEX('REGISTRE ELEVES'!$F$10:$F$250,$R181))</f>
        <v/>
      </c>
      <c r="F181" s="45" t="str">
        <f aca="false">IF($R181="","",INDEX('REGISTRE ELEVES'!$AE$10:$AE$250,$R181))</f>
        <v/>
      </c>
      <c r="G181" s="80" t="str">
        <f aca="false">IF(B181="","",IFERROR(IF(LEFT(E181,2)="CP",INDEX('NOTES CP'!$P$10:$P$250,MATCH(B181,'NOTES CP'!$B$10:$B$250,0)),IF(E181="CE1",INDEX('NOTES CE1'!$M$10:$M$250,MATCH(B181,'NOTES CE1'!$B$10:$B$250,0)),INDEX('NOTES CE2-CM1'!$M$10:$M$250,MATCH(B181,'NOTES CE2-CM1'!$B$10:$B$250,0)))),""))</f>
        <v/>
      </c>
      <c r="H181" s="80" t="str">
        <f aca="false">IF(B181="","",IFERROR(IF(LEFT(E181,2)="CP",INDEX('NOTES CP'!$Z$10:$Z$250,MATCH(B181,'NOTES CP'!$B$10:$B$250,0)),IF(E181="CE1",INDEX('NOTES CE1'!$T$10:$T$250,MATCH(B181,'NOTES CE1'!$B$10:$B$250,0)),INDEX('NOTES CE2-CM1'!$T$10:$T$250,MATCH(B181,'NOTES CE2-CM1'!$B$10:$B$250,0)))),""))</f>
        <v/>
      </c>
      <c r="I181" s="80" t="str">
        <f aca="false">IF(B181="","",IFERROR(IF(LEFT(E181,2)="CP",INDEX('NOTES CP'!$AJ$10:$AJ$250,MATCH(B181,'NOTES CP'!$B$10:$B$250,0)),IF(E181="CE1",INDEX('NOTES CE1'!$AA$10:$AA$250,MATCH(B181,'NOTES CE1'!$B$10:$B$250,0)),INDEX('NOTES CE2-CM1'!$AA$10:$AA$250,MATCH(B181,'NOTES CE2-CM1'!$B$10:$B$250,0)))),""))</f>
        <v/>
      </c>
      <c r="J181" s="81" t="str">
        <f aca="false">IF(COUNT(G181:I181)=0,"",ROUND(AVERAGE(G181:I181),2))</f>
        <v/>
      </c>
      <c r="K181" s="80" t="str">
        <f aca="false">IF(B181="","",IFERROR(IF(LEFT(E181,2)="CP",INDEX('NOTES CP'!$AT$10:$AT$250,MATCH(B181,'NOTES CP'!$B$10:$B$250,0)),IF(E181="CE1",INDEX('NOTES CE1'!$AH$10:$AH$250,MATCH(B181,'NOTES CE1'!$B$10:$B$250,0)),INDEX('NOTES CE2-CM1'!$AH$10:$AH$250,MATCH(B181,'NOTES CE2-CM1'!$B$10:$B$250,0)))),""))</f>
        <v/>
      </c>
      <c r="L181" s="82" t="str">
        <f aca="false">IF(OR(J181="",K181=""),"",ROUND((J181+2*K181)/3,2))</f>
        <v/>
      </c>
      <c r="M181" s="83" t="str">
        <f aca="false">IF(E181="","",IFERROR(INDEX(PARAMETRES!$D$18:$D$23,MATCH(E181,PARAMETRES!$B$18:$B$23,0)),""))</f>
        <v/>
      </c>
      <c r="N181" s="81" t="str">
        <f aca="false">IF(E181="","",IFERROR(INDEX(PARAMETRES!$C$18:$C$23,MATCH(E181,PARAMETRES!$B$18:$B$23,0)),""))</f>
        <v/>
      </c>
      <c r="O181" s="45" t="str">
        <f aca="false">IF(B181="","",IF(F181="ABANDON","ABANDON",IF(F181="TRANSFERE","TRANSFERE",IF(L181="","",IF(L181&gt;=N181,"ADMIS","REDOUBLE")))))</f>
        <v/>
      </c>
      <c r="P181" s="73" t="str">
        <f aca="false">IF(OR(L181="",F181&lt;&gt;"PRESENT"),"",COUNTIFS($E$10:$E$250,E181,$F$10:$F$250,"PRESENT",$L$10:$L$250,"&gt;"&amp;L181)+1)</f>
        <v/>
      </c>
      <c r="Q181" s="74" t="str">
        <f aca="false">IF(O181="ADMIS",IF(L181/M181*10&gt;=8,"Très bien",IF(L181/M181*10&gt;=7,"Bien",IF(L181/M181*10&gt;=6,"Assez bien","Passable"))),IF(O181="REDOUBLE","Insuffisant",""))</f>
        <v/>
      </c>
      <c r="R181" s="51" t="str">
        <f aca="false">IFERROR(MATCH("P-172",'REGISTRE ELEVES'!$AH$10:$AH$250,0),"")</f>
        <v/>
      </c>
    </row>
    <row r="182" customFormat="false" ht="15" hidden="false" customHeight="false" outlineLevel="0" collapsed="false">
      <c r="A182" s="45" t="str">
        <f aca="false">IF(B182="","",173)</f>
        <v/>
      </c>
      <c r="B182" s="45" t="str">
        <f aca="false">IF($R182="","",INDEX('REGISTRE ELEVES'!$B$10:$B$250,$R182))</f>
        <v/>
      </c>
      <c r="C182" s="74" t="str">
        <f aca="false">IF($R182="","",INDEX('REGISTRE ELEVES'!$D$10:$D$250,$R182))</f>
        <v/>
      </c>
      <c r="D182" s="45" t="str">
        <f aca="false">IF($R182="","",INDEX('REGISTRE ELEVES'!$E$10:$E$250,$R182))</f>
        <v/>
      </c>
      <c r="E182" s="45" t="str">
        <f aca="false">IF($R182="","",INDEX('REGISTRE ELEVES'!$F$10:$F$250,$R182))</f>
        <v/>
      </c>
      <c r="F182" s="45" t="str">
        <f aca="false">IF($R182="","",INDEX('REGISTRE ELEVES'!$AE$10:$AE$250,$R182))</f>
        <v/>
      </c>
      <c r="G182" s="80" t="str">
        <f aca="false">IF(B182="","",IFERROR(IF(LEFT(E182,2)="CP",INDEX('NOTES CP'!$P$10:$P$250,MATCH(B182,'NOTES CP'!$B$10:$B$250,0)),IF(E182="CE1",INDEX('NOTES CE1'!$M$10:$M$250,MATCH(B182,'NOTES CE1'!$B$10:$B$250,0)),INDEX('NOTES CE2-CM1'!$M$10:$M$250,MATCH(B182,'NOTES CE2-CM1'!$B$10:$B$250,0)))),""))</f>
        <v/>
      </c>
      <c r="H182" s="80" t="str">
        <f aca="false">IF(B182="","",IFERROR(IF(LEFT(E182,2)="CP",INDEX('NOTES CP'!$Z$10:$Z$250,MATCH(B182,'NOTES CP'!$B$10:$B$250,0)),IF(E182="CE1",INDEX('NOTES CE1'!$T$10:$T$250,MATCH(B182,'NOTES CE1'!$B$10:$B$250,0)),INDEX('NOTES CE2-CM1'!$T$10:$T$250,MATCH(B182,'NOTES CE2-CM1'!$B$10:$B$250,0)))),""))</f>
        <v/>
      </c>
      <c r="I182" s="80" t="str">
        <f aca="false">IF(B182="","",IFERROR(IF(LEFT(E182,2)="CP",INDEX('NOTES CP'!$AJ$10:$AJ$250,MATCH(B182,'NOTES CP'!$B$10:$B$250,0)),IF(E182="CE1",INDEX('NOTES CE1'!$AA$10:$AA$250,MATCH(B182,'NOTES CE1'!$B$10:$B$250,0)),INDEX('NOTES CE2-CM1'!$AA$10:$AA$250,MATCH(B182,'NOTES CE2-CM1'!$B$10:$B$250,0)))),""))</f>
        <v/>
      </c>
      <c r="J182" s="81" t="str">
        <f aca="false">IF(COUNT(G182:I182)=0,"",ROUND(AVERAGE(G182:I182),2))</f>
        <v/>
      </c>
      <c r="K182" s="80" t="str">
        <f aca="false">IF(B182="","",IFERROR(IF(LEFT(E182,2)="CP",INDEX('NOTES CP'!$AT$10:$AT$250,MATCH(B182,'NOTES CP'!$B$10:$B$250,0)),IF(E182="CE1",INDEX('NOTES CE1'!$AH$10:$AH$250,MATCH(B182,'NOTES CE1'!$B$10:$B$250,0)),INDEX('NOTES CE2-CM1'!$AH$10:$AH$250,MATCH(B182,'NOTES CE2-CM1'!$B$10:$B$250,0)))),""))</f>
        <v/>
      </c>
      <c r="L182" s="82" t="str">
        <f aca="false">IF(OR(J182="",K182=""),"",ROUND((J182+2*K182)/3,2))</f>
        <v/>
      </c>
      <c r="M182" s="83" t="str">
        <f aca="false">IF(E182="","",IFERROR(INDEX(PARAMETRES!$D$18:$D$23,MATCH(E182,PARAMETRES!$B$18:$B$23,0)),""))</f>
        <v/>
      </c>
      <c r="N182" s="81" t="str">
        <f aca="false">IF(E182="","",IFERROR(INDEX(PARAMETRES!$C$18:$C$23,MATCH(E182,PARAMETRES!$B$18:$B$23,0)),""))</f>
        <v/>
      </c>
      <c r="O182" s="45" t="str">
        <f aca="false">IF(B182="","",IF(F182="ABANDON","ABANDON",IF(F182="TRANSFERE","TRANSFERE",IF(L182="","",IF(L182&gt;=N182,"ADMIS","REDOUBLE")))))</f>
        <v/>
      </c>
      <c r="P182" s="73" t="str">
        <f aca="false">IF(OR(L182="",F182&lt;&gt;"PRESENT"),"",COUNTIFS($E$10:$E$250,E182,$F$10:$F$250,"PRESENT",$L$10:$L$250,"&gt;"&amp;L182)+1)</f>
        <v/>
      </c>
      <c r="Q182" s="74" t="str">
        <f aca="false">IF(O182="ADMIS",IF(L182/M182*10&gt;=8,"Très bien",IF(L182/M182*10&gt;=7,"Bien",IF(L182/M182*10&gt;=6,"Assez bien","Passable"))),IF(O182="REDOUBLE","Insuffisant",""))</f>
        <v/>
      </c>
      <c r="R182" s="51" t="str">
        <f aca="false">IFERROR(MATCH("P-173",'REGISTRE ELEVES'!$AH$10:$AH$250,0),"")</f>
        <v/>
      </c>
    </row>
    <row r="183" customFormat="false" ht="15" hidden="false" customHeight="false" outlineLevel="0" collapsed="false">
      <c r="A183" s="45" t="str">
        <f aca="false">IF(B183="","",174)</f>
        <v/>
      </c>
      <c r="B183" s="45" t="str">
        <f aca="false">IF($R183="","",INDEX('REGISTRE ELEVES'!$B$10:$B$250,$R183))</f>
        <v/>
      </c>
      <c r="C183" s="74" t="str">
        <f aca="false">IF($R183="","",INDEX('REGISTRE ELEVES'!$D$10:$D$250,$R183))</f>
        <v/>
      </c>
      <c r="D183" s="45" t="str">
        <f aca="false">IF($R183="","",INDEX('REGISTRE ELEVES'!$E$10:$E$250,$R183))</f>
        <v/>
      </c>
      <c r="E183" s="45" t="str">
        <f aca="false">IF($R183="","",INDEX('REGISTRE ELEVES'!$F$10:$F$250,$R183))</f>
        <v/>
      </c>
      <c r="F183" s="45" t="str">
        <f aca="false">IF($R183="","",INDEX('REGISTRE ELEVES'!$AE$10:$AE$250,$R183))</f>
        <v/>
      </c>
      <c r="G183" s="80" t="str">
        <f aca="false">IF(B183="","",IFERROR(IF(LEFT(E183,2)="CP",INDEX('NOTES CP'!$P$10:$P$250,MATCH(B183,'NOTES CP'!$B$10:$B$250,0)),IF(E183="CE1",INDEX('NOTES CE1'!$M$10:$M$250,MATCH(B183,'NOTES CE1'!$B$10:$B$250,0)),INDEX('NOTES CE2-CM1'!$M$10:$M$250,MATCH(B183,'NOTES CE2-CM1'!$B$10:$B$250,0)))),""))</f>
        <v/>
      </c>
      <c r="H183" s="80" t="str">
        <f aca="false">IF(B183="","",IFERROR(IF(LEFT(E183,2)="CP",INDEX('NOTES CP'!$Z$10:$Z$250,MATCH(B183,'NOTES CP'!$B$10:$B$250,0)),IF(E183="CE1",INDEX('NOTES CE1'!$T$10:$T$250,MATCH(B183,'NOTES CE1'!$B$10:$B$250,0)),INDEX('NOTES CE2-CM1'!$T$10:$T$250,MATCH(B183,'NOTES CE2-CM1'!$B$10:$B$250,0)))),""))</f>
        <v/>
      </c>
      <c r="I183" s="80" t="str">
        <f aca="false">IF(B183="","",IFERROR(IF(LEFT(E183,2)="CP",INDEX('NOTES CP'!$AJ$10:$AJ$250,MATCH(B183,'NOTES CP'!$B$10:$B$250,0)),IF(E183="CE1",INDEX('NOTES CE1'!$AA$10:$AA$250,MATCH(B183,'NOTES CE1'!$B$10:$B$250,0)),INDEX('NOTES CE2-CM1'!$AA$10:$AA$250,MATCH(B183,'NOTES CE2-CM1'!$B$10:$B$250,0)))),""))</f>
        <v/>
      </c>
      <c r="J183" s="81" t="str">
        <f aca="false">IF(COUNT(G183:I183)=0,"",ROUND(AVERAGE(G183:I183),2))</f>
        <v/>
      </c>
      <c r="K183" s="80" t="str">
        <f aca="false">IF(B183="","",IFERROR(IF(LEFT(E183,2)="CP",INDEX('NOTES CP'!$AT$10:$AT$250,MATCH(B183,'NOTES CP'!$B$10:$B$250,0)),IF(E183="CE1",INDEX('NOTES CE1'!$AH$10:$AH$250,MATCH(B183,'NOTES CE1'!$B$10:$B$250,0)),INDEX('NOTES CE2-CM1'!$AH$10:$AH$250,MATCH(B183,'NOTES CE2-CM1'!$B$10:$B$250,0)))),""))</f>
        <v/>
      </c>
      <c r="L183" s="82" t="str">
        <f aca="false">IF(OR(J183="",K183=""),"",ROUND((J183+2*K183)/3,2))</f>
        <v/>
      </c>
      <c r="M183" s="83" t="str">
        <f aca="false">IF(E183="","",IFERROR(INDEX(PARAMETRES!$D$18:$D$23,MATCH(E183,PARAMETRES!$B$18:$B$23,0)),""))</f>
        <v/>
      </c>
      <c r="N183" s="81" t="str">
        <f aca="false">IF(E183="","",IFERROR(INDEX(PARAMETRES!$C$18:$C$23,MATCH(E183,PARAMETRES!$B$18:$B$23,0)),""))</f>
        <v/>
      </c>
      <c r="O183" s="45" t="str">
        <f aca="false">IF(B183="","",IF(F183="ABANDON","ABANDON",IF(F183="TRANSFERE","TRANSFERE",IF(L183="","",IF(L183&gt;=N183,"ADMIS","REDOUBLE")))))</f>
        <v/>
      </c>
      <c r="P183" s="73" t="str">
        <f aca="false">IF(OR(L183="",F183&lt;&gt;"PRESENT"),"",COUNTIFS($E$10:$E$250,E183,$F$10:$F$250,"PRESENT",$L$10:$L$250,"&gt;"&amp;L183)+1)</f>
        <v/>
      </c>
      <c r="Q183" s="74" t="str">
        <f aca="false">IF(O183="ADMIS",IF(L183/M183*10&gt;=8,"Très bien",IF(L183/M183*10&gt;=7,"Bien",IF(L183/M183*10&gt;=6,"Assez bien","Passable"))),IF(O183="REDOUBLE","Insuffisant",""))</f>
        <v/>
      </c>
      <c r="R183" s="51" t="str">
        <f aca="false">IFERROR(MATCH("P-174",'REGISTRE ELEVES'!$AH$10:$AH$250,0),"")</f>
        <v/>
      </c>
    </row>
    <row r="184" customFormat="false" ht="15" hidden="false" customHeight="false" outlineLevel="0" collapsed="false">
      <c r="A184" s="45" t="str">
        <f aca="false">IF(B184="","",175)</f>
        <v/>
      </c>
      <c r="B184" s="45" t="str">
        <f aca="false">IF($R184="","",INDEX('REGISTRE ELEVES'!$B$10:$B$250,$R184))</f>
        <v/>
      </c>
      <c r="C184" s="74" t="str">
        <f aca="false">IF($R184="","",INDEX('REGISTRE ELEVES'!$D$10:$D$250,$R184))</f>
        <v/>
      </c>
      <c r="D184" s="45" t="str">
        <f aca="false">IF($R184="","",INDEX('REGISTRE ELEVES'!$E$10:$E$250,$R184))</f>
        <v/>
      </c>
      <c r="E184" s="45" t="str">
        <f aca="false">IF($R184="","",INDEX('REGISTRE ELEVES'!$F$10:$F$250,$R184))</f>
        <v/>
      </c>
      <c r="F184" s="45" t="str">
        <f aca="false">IF($R184="","",INDEX('REGISTRE ELEVES'!$AE$10:$AE$250,$R184))</f>
        <v/>
      </c>
      <c r="G184" s="80" t="str">
        <f aca="false">IF(B184="","",IFERROR(IF(LEFT(E184,2)="CP",INDEX('NOTES CP'!$P$10:$P$250,MATCH(B184,'NOTES CP'!$B$10:$B$250,0)),IF(E184="CE1",INDEX('NOTES CE1'!$M$10:$M$250,MATCH(B184,'NOTES CE1'!$B$10:$B$250,0)),INDEX('NOTES CE2-CM1'!$M$10:$M$250,MATCH(B184,'NOTES CE2-CM1'!$B$10:$B$250,0)))),""))</f>
        <v/>
      </c>
      <c r="H184" s="80" t="str">
        <f aca="false">IF(B184="","",IFERROR(IF(LEFT(E184,2)="CP",INDEX('NOTES CP'!$Z$10:$Z$250,MATCH(B184,'NOTES CP'!$B$10:$B$250,0)),IF(E184="CE1",INDEX('NOTES CE1'!$T$10:$T$250,MATCH(B184,'NOTES CE1'!$B$10:$B$250,0)),INDEX('NOTES CE2-CM1'!$T$10:$T$250,MATCH(B184,'NOTES CE2-CM1'!$B$10:$B$250,0)))),""))</f>
        <v/>
      </c>
      <c r="I184" s="80" t="str">
        <f aca="false">IF(B184="","",IFERROR(IF(LEFT(E184,2)="CP",INDEX('NOTES CP'!$AJ$10:$AJ$250,MATCH(B184,'NOTES CP'!$B$10:$B$250,0)),IF(E184="CE1",INDEX('NOTES CE1'!$AA$10:$AA$250,MATCH(B184,'NOTES CE1'!$B$10:$B$250,0)),INDEX('NOTES CE2-CM1'!$AA$10:$AA$250,MATCH(B184,'NOTES CE2-CM1'!$B$10:$B$250,0)))),""))</f>
        <v/>
      </c>
      <c r="J184" s="81" t="str">
        <f aca="false">IF(COUNT(G184:I184)=0,"",ROUND(AVERAGE(G184:I184),2))</f>
        <v/>
      </c>
      <c r="K184" s="80" t="str">
        <f aca="false">IF(B184="","",IFERROR(IF(LEFT(E184,2)="CP",INDEX('NOTES CP'!$AT$10:$AT$250,MATCH(B184,'NOTES CP'!$B$10:$B$250,0)),IF(E184="CE1",INDEX('NOTES CE1'!$AH$10:$AH$250,MATCH(B184,'NOTES CE1'!$B$10:$B$250,0)),INDEX('NOTES CE2-CM1'!$AH$10:$AH$250,MATCH(B184,'NOTES CE2-CM1'!$B$10:$B$250,0)))),""))</f>
        <v/>
      </c>
      <c r="L184" s="82" t="str">
        <f aca="false">IF(OR(J184="",K184=""),"",ROUND((J184+2*K184)/3,2))</f>
        <v/>
      </c>
      <c r="M184" s="83" t="str">
        <f aca="false">IF(E184="","",IFERROR(INDEX(PARAMETRES!$D$18:$D$23,MATCH(E184,PARAMETRES!$B$18:$B$23,0)),""))</f>
        <v/>
      </c>
      <c r="N184" s="81" t="str">
        <f aca="false">IF(E184="","",IFERROR(INDEX(PARAMETRES!$C$18:$C$23,MATCH(E184,PARAMETRES!$B$18:$B$23,0)),""))</f>
        <v/>
      </c>
      <c r="O184" s="45" t="str">
        <f aca="false">IF(B184="","",IF(F184="ABANDON","ABANDON",IF(F184="TRANSFERE","TRANSFERE",IF(L184="","",IF(L184&gt;=N184,"ADMIS","REDOUBLE")))))</f>
        <v/>
      </c>
      <c r="P184" s="73" t="str">
        <f aca="false">IF(OR(L184="",F184&lt;&gt;"PRESENT"),"",COUNTIFS($E$10:$E$250,E184,$F$10:$F$250,"PRESENT",$L$10:$L$250,"&gt;"&amp;L184)+1)</f>
        <v/>
      </c>
      <c r="Q184" s="74" t="str">
        <f aca="false">IF(O184="ADMIS",IF(L184/M184*10&gt;=8,"Très bien",IF(L184/M184*10&gt;=7,"Bien",IF(L184/M184*10&gt;=6,"Assez bien","Passable"))),IF(O184="REDOUBLE","Insuffisant",""))</f>
        <v/>
      </c>
      <c r="R184" s="51" t="str">
        <f aca="false">IFERROR(MATCH("P-175",'REGISTRE ELEVES'!$AH$10:$AH$250,0),"")</f>
        <v/>
      </c>
    </row>
    <row r="185" customFormat="false" ht="15" hidden="false" customHeight="false" outlineLevel="0" collapsed="false">
      <c r="A185" s="45" t="str">
        <f aca="false">IF(B185="","",176)</f>
        <v/>
      </c>
      <c r="B185" s="45" t="str">
        <f aca="false">IF($R185="","",INDEX('REGISTRE ELEVES'!$B$10:$B$250,$R185))</f>
        <v/>
      </c>
      <c r="C185" s="74" t="str">
        <f aca="false">IF($R185="","",INDEX('REGISTRE ELEVES'!$D$10:$D$250,$R185))</f>
        <v/>
      </c>
      <c r="D185" s="45" t="str">
        <f aca="false">IF($R185="","",INDEX('REGISTRE ELEVES'!$E$10:$E$250,$R185))</f>
        <v/>
      </c>
      <c r="E185" s="45" t="str">
        <f aca="false">IF($R185="","",INDEX('REGISTRE ELEVES'!$F$10:$F$250,$R185))</f>
        <v/>
      </c>
      <c r="F185" s="45" t="str">
        <f aca="false">IF($R185="","",INDEX('REGISTRE ELEVES'!$AE$10:$AE$250,$R185))</f>
        <v/>
      </c>
      <c r="G185" s="80" t="str">
        <f aca="false">IF(B185="","",IFERROR(IF(LEFT(E185,2)="CP",INDEX('NOTES CP'!$P$10:$P$250,MATCH(B185,'NOTES CP'!$B$10:$B$250,0)),IF(E185="CE1",INDEX('NOTES CE1'!$M$10:$M$250,MATCH(B185,'NOTES CE1'!$B$10:$B$250,0)),INDEX('NOTES CE2-CM1'!$M$10:$M$250,MATCH(B185,'NOTES CE2-CM1'!$B$10:$B$250,0)))),""))</f>
        <v/>
      </c>
      <c r="H185" s="80" t="str">
        <f aca="false">IF(B185="","",IFERROR(IF(LEFT(E185,2)="CP",INDEX('NOTES CP'!$Z$10:$Z$250,MATCH(B185,'NOTES CP'!$B$10:$B$250,0)),IF(E185="CE1",INDEX('NOTES CE1'!$T$10:$T$250,MATCH(B185,'NOTES CE1'!$B$10:$B$250,0)),INDEX('NOTES CE2-CM1'!$T$10:$T$250,MATCH(B185,'NOTES CE2-CM1'!$B$10:$B$250,0)))),""))</f>
        <v/>
      </c>
      <c r="I185" s="80" t="str">
        <f aca="false">IF(B185="","",IFERROR(IF(LEFT(E185,2)="CP",INDEX('NOTES CP'!$AJ$10:$AJ$250,MATCH(B185,'NOTES CP'!$B$10:$B$250,0)),IF(E185="CE1",INDEX('NOTES CE1'!$AA$10:$AA$250,MATCH(B185,'NOTES CE1'!$B$10:$B$250,0)),INDEX('NOTES CE2-CM1'!$AA$10:$AA$250,MATCH(B185,'NOTES CE2-CM1'!$B$10:$B$250,0)))),""))</f>
        <v/>
      </c>
      <c r="J185" s="81" t="str">
        <f aca="false">IF(COUNT(G185:I185)=0,"",ROUND(AVERAGE(G185:I185),2))</f>
        <v/>
      </c>
      <c r="K185" s="80" t="str">
        <f aca="false">IF(B185="","",IFERROR(IF(LEFT(E185,2)="CP",INDEX('NOTES CP'!$AT$10:$AT$250,MATCH(B185,'NOTES CP'!$B$10:$B$250,0)),IF(E185="CE1",INDEX('NOTES CE1'!$AH$10:$AH$250,MATCH(B185,'NOTES CE1'!$B$10:$B$250,0)),INDEX('NOTES CE2-CM1'!$AH$10:$AH$250,MATCH(B185,'NOTES CE2-CM1'!$B$10:$B$250,0)))),""))</f>
        <v/>
      </c>
      <c r="L185" s="82" t="str">
        <f aca="false">IF(OR(J185="",K185=""),"",ROUND((J185+2*K185)/3,2))</f>
        <v/>
      </c>
      <c r="M185" s="83" t="str">
        <f aca="false">IF(E185="","",IFERROR(INDEX(PARAMETRES!$D$18:$D$23,MATCH(E185,PARAMETRES!$B$18:$B$23,0)),""))</f>
        <v/>
      </c>
      <c r="N185" s="81" t="str">
        <f aca="false">IF(E185="","",IFERROR(INDEX(PARAMETRES!$C$18:$C$23,MATCH(E185,PARAMETRES!$B$18:$B$23,0)),""))</f>
        <v/>
      </c>
      <c r="O185" s="45" t="str">
        <f aca="false">IF(B185="","",IF(F185="ABANDON","ABANDON",IF(F185="TRANSFERE","TRANSFERE",IF(L185="","",IF(L185&gt;=N185,"ADMIS","REDOUBLE")))))</f>
        <v/>
      </c>
      <c r="P185" s="73" t="str">
        <f aca="false">IF(OR(L185="",F185&lt;&gt;"PRESENT"),"",COUNTIFS($E$10:$E$250,E185,$F$10:$F$250,"PRESENT",$L$10:$L$250,"&gt;"&amp;L185)+1)</f>
        <v/>
      </c>
      <c r="Q185" s="74" t="str">
        <f aca="false">IF(O185="ADMIS",IF(L185/M185*10&gt;=8,"Très bien",IF(L185/M185*10&gt;=7,"Bien",IF(L185/M185*10&gt;=6,"Assez bien","Passable"))),IF(O185="REDOUBLE","Insuffisant",""))</f>
        <v/>
      </c>
      <c r="R185" s="51" t="str">
        <f aca="false">IFERROR(MATCH("P-176",'REGISTRE ELEVES'!$AH$10:$AH$250,0),"")</f>
        <v/>
      </c>
    </row>
    <row r="186" customFormat="false" ht="15" hidden="false" customHeight="false" outlineLevel="0" collapsed="false">
      <c r="A186" s="45" t="str">
        <f aca="false">IF(B186="","",177)</f>
        <v/>
      </c>
      <c r="B186" s="45" t="str">
        <f aca="false">IF($R186="","",INDEX('REGISTRE ELEVES'!$B$10:$B$250,$R186))</f>
        <v/>
      </c>
      <c r="C186" s="74" t="str">
        <f aca="false">IF($R186="","",INDEX('REGISTRE ELEVES'!$D$10:$D$250,$R186))</f>
        <v/>
      </c>
      <c r="D186" s="45" t="str">
        <f aca="false">IF($R186="","",INDEX('REGISTRE ELEVES'!$E$10:$E$250,$R186))</f>
        <v/>
      </c>
      <c r="E186" s="45" t="str">
        <f aca="false">IF($R186="","",INDEX('REGISTRE ELEVES'!$F$10:$F$250,$R186))</f>
        <v/>
      </c>
      <c r="F186" s="45" t="str">
        <f aca="false">IF($R186="","",INDEX('REGISTRE ELEVES'!$AE$10:$AE$250,$R186))</f>
        <v/>
      </c>
      <c r="G186" s="80" t="str">
        <f aca="false">IF(B186="","",IFERROR(IF(LEFT(E186,2)="CP",INDEX('NOTES CP'!$P$10:$P$250,MATCH(B186,'NOTES CP'!$B$10:$B$250,0)),IF(E186="CE1",INDEX('NOTES CE1'!$M$10:$M$250,MATCH(B186,'NOTES CE1'!$B$10:$B$250,0)),INDEX('NOTES CE2-CM1'!$M$10:$M$250,MATCH(B186,'NOTES CE2-CM1'!$B$10:$B$250,0)))),""))</f>
        <v/>
      </c>
      <c r="H186" s="80" t="str">
        <f aca="false">IF(B186="","",IFERROR(IF(LEFT(E186,2)="CP",INDEX('NOTES CP'!$Z$10:$Z$250,MATCH(B186,'NOTES CP'!$B$10:$B$250,0)),IF(E186="CE1",INDEX('NOTES CE1'!$T$10:$T$250,MATCH(B186,'NOTES CE1'!$B$10:$B$250,0)),INDEX('NOTES CE2-CM1'!$T$10:$T$250,MATCH(B186,'NOTES CE2-CM1'!$B$10:$B$250,0)))),""))</f>
        <v/>
      </c>
      <c r="I186" s="80" t="str">
        <f aca="false">IF(B186="","",IFERROR(IF(LEFT(E186,2)="CP",INDEX('NOTES CP'!$AJ$10:$AJ$250,MATCH(B186,'NOTES CP'!$B$10:$B$250,0)),IF(E186="CE1",INDEX('NOTES CE1'!$AA$10:$AA$250,MATCH(B186,'NOTES CE1'!$B$10:$B$250,0)),INDEX('NOTES CE2-CM1'!$AA$10:$AA$250,MATCH(B186,'NOTES CE2-CM1'!$B$10:$B$250,0)))),""))</f>
        <v/>
      </c>
      <c r="J186" s="81" t="str">
        <f aca="false">IF(COUNT(G186:I186)=0,"",ROUND(AVERAGE(G186:I186),2))</f>
        <v/>
      </c>
      <c r="K186" s="80" t="str">
        <f aca="false">IF(B186="","",IFERROR(IF(LEFT(E186,2)="CP",INDEX('NOTES CP'!$AT$10:$AT$250,MATCH(B186,'NOTES CP'!$B$10:$B$250,0)),IF(E186="CE1",INDEX('NOTES CE1'!$AH$10:$AH$250,MATCH(B186,'NOTES CE1'!$B$10:$B$250,0)),INDEX('NOTES CE2-CM1'!$AH$10:$AH$250,MATCH(B186,'NOTES CE2-CM1'!$B$10:$B$250,0)))),""))</f>
        <v/>
      </c>
      <c r="L186" s="82" t="str">
        <f aca="false">IF(OR(J186="",K186=""),"",ROUND((J186+2*K186)/3,2))</f>
        <v/>
      </c>
      <c r="M186" s="83" t="str">
        <f aca="false">IF(E186="","",IFERROR(INDEX(PARAMETRES!$D$18:$D$23,MATCH(E186,PARAMETRES!$B$18:$B$23,0)),""))</f>
        <v/>
      </c>
      <c r="N186" s="81" t="str">
        <f aca="false">IF(E186="","",IFERROR(INDEX(PARAMETRES!$C$18:$C$23,MATCH(E186,PARAMETRES!$B$18:$B$23,0)),""))</f>
        <v/>
      </c>
      <c r="O186" s="45" t="str">
        <f aca="false">IF(B186="","",IF(F186="ABANDON","ABANDON",IF(F186="TRANSFERE","TRANSFERE",IF(L186="","",IF(L186&gt;=N186,"ADMIS","REDOUBLE")))))</f>
        <v/>
      </c>
      <c r="P186" s="73" t="str">
        <f aca="false">IF(OR(L186="",F186&lt;&gt;"PRESENT"),"",COUNTIFS($E$10:$E$250,E186,$F$10:$F$250,"PRESENT",$L$10:$L$250,"&gt;"&amp;L186)+1)</f>
        <v/>
      </c>
      <c r="Q186" s="74" t="str">
        <f aca="false">IF(O186="ADMIS",IF(L186/M186*10&gt;=8,"Très bien",IF(L186/M186*10&gt;=7,"Bien",IF(L186/M186*10&gt;=6,"Assez bien","Passable"))),IF(O186="REDOUBLE","Insuffisant",""))</f>
        <v/>
      </c>
      <c r="R186" s="51" t="str">
        <f aca="false">IFERROR(MATCH("P-177",'REGISTRE ELEVES'!$AH$10:$AH$250,0),"")</f>
        <v/>
      </c>
    </row>
    <row r="187" customFormat="false" ht="15" hidden="false" customHeight="false" outlineLevel="0" collapsed="false">
      <c r="A187" s="45" t="str">
        <f aca="false">IF(B187="","",178)</f>
        <v/>
      </c>
      <c r="B187" s="45" t="str">
        <f aca="false">IF($R187="","",INDEX('REGISTRE ELEVES'!$B$10:$B$250,$R187))</f>
        <v/>
      </c>
      <c r="C187" s="74" t="str">
        <f aca="false">IF($R187="","",INDEX('REGISTRE ELEVES'!$D$10:$D$250,$R187))</f>
        <v/>
      </c>
      <c r="D187" s="45" t="str">
        <f aca="false">IF($R187="","",INDEX('REGISTRE ELEVES'!$E$10:$E$250,$R187))</f>
        <v/>
      </c>
      <c r="E187" s="45" t="str">
        <f aca="false">IF($R187="","",INDEX('REGISTRE ELEVES'!$F$10:$F$250,$R187))</f>
        <v/>
      </c>
      <c r="F187" s="45" t="str">
        <f aca="false">IF($R187="","",INDEX('REGISTRE ELEVES'!$AE$10:$AE$250,$R187))</f>
        <v/>
      </c>
      <c r="G187" s="80" t="str">
        <f aca="false">IF(B187="","",IFERROR(IF(LEFT(E187,2)="CP",INDEX('NOTES CP'!$P$10:$P$250,MATCH(B187,'NOTES CP'!$B$10:$B$250,0)),IF(E187="CE1",INDEX('NOTES CE1'!$M$10:$M$250,MATCH(B187,'NOTES CE1'!$B$10:$B$250,0)),INDEX('NOTES CE2-CM1'!$M$10:$M$250,MATCH(B187,'NOTES CE2-CM1'!$B$10:$B$250,0)))),""))</f>
        <v/>
      </c>
      <c r="H187" s="80" t="str">
        <f aca="false">IF(B187="","",IFERROR(IF(LEFT(E187,2)="CP",INDEX('NOTES CP'!$Z$10:$Z$250,MATCH(B187,'NOTES CP'!$B$10:$B$250,0)),IF(E187="CE1",INDEX('NOTES CE1'!$T$10:$T$250,MATCH(B187,'NOTES CE1'!$B$10:$B$250,0)),INDEX('NOTES CE2-CM1'!$T$10:$T$250,MATCH(B187,'NOTES CE2-CM1'!$B$10:$B$250,0)))),""))</f>
        <v/>
      </c>
      <c r="I187" s="80" t="str">
        <f aca="false">IF(B187="","",IFERROR(IF(LEFT(E187,2)="CP",INDEX('NOTES CP'!$AJ$10:$AJ$250,MATCH(B187,'NOTES CP'!$B$10:$B$250,0)),IF(E187="CE1",INDEX('NOTES CE1'!$AA$10:$AA$250,MATCH(B187,'NOTES CE1'!$B$10:$B$250,0)),INDEX('NOTES CE2-CM1'!$AA$10:$AA$250,MATCH(B187,'NOTES CE2-CM1'!$B$10:$B$250,0)))),""))</f>
        <v/>
      </c>
      <c r="J187" s="81" t="str">
        <f aca="false">IF(COUNT(G187:I187)=0,"",ROUND(AVERAGE(G187:I187),2))</f>
        <v/>
      </c>
      <c r="K187" s="80" t="str">
        <f aca="false">IF(B187="","",IFERROR(IF(LEFT(E187,2)="CP",INDEX('NOTES CP'!$AT$10:$AT$250,MATCH(B187,'NOTES CP'!$B$10:$B$250,0)),IF(E187="CE1",INDEX('NOTES CE1'!$AH$10:$AH$250,MATCH(B187,'NOTES CE1'!$B$10:$B$250,0)),INDEX('NOTES CE2-CM1'!$AH$10:$AH$250,MATCH(B187,'NOTES CE2-CM1'!$B$10:$B$250,0)))),""))</f>
        <v/>
      </c>
      <c r="L187" s="82" t="str">
        <f aca="false">IF(OR(J187="",K187=""),"",ROUND((J187+2*K187)/3,2))</f>
        <v/>
      </c>
      <c r="M187" s="83" t="str">
        <f aca="false">IF(E187="","",IFERROR(INDEX(PARAMETRES!$D$18:$D$23,MATCH(E187,PARAMETRES!$B$18:$B$23,0)),""))</f>
        <v/>
      </c>
      <c r="N187" s="81" t="str">
        <f aca="false">IF(E187="","",IFERROR(INDEX(PARAMETRES!$C$18:$C$23,MATCH(E187,PARAMETRES!$B$18:$B$23,0)),""))</f>
        <v/>
      </c>
      <c r="O187" s="45" t="str">
        <f aca="false">IF(B187="","",IF(F187="ABANDON","ABANDON",IF(F187="TRANSFERE","TRANSFERE",IF(L187="","",IF(L187&gt;=N187,"ADMIS","REDOUBLE")))))</f>
        <v/>
      </c>
      <c r="P187" s="73" t="str">
        <f aca="false">IF(OR(L187="",F187&lt;&gt;"PRESENT"),"",COUNTIFS($E$10:$E$250,E187,$F$10:$F$250,"PRESENT",$L$10:$L$250,"&gt;"&amp;L187)+1)</f>
        <v/>
      </c>
      <c r="Q187" s="74" t="str">
        <f aca="false">IF(O187="ADMIS",IF(L187/M187*10&gt;=8,"Très bien",IF(L187/M187*10&gt;=7,"Bien",IF(L187/M187*10&gt;=6,"Assez bien","Passable"))),IF(O187="REDOUBLE","Insuffisant",""))</f>
        <v/>
      </c>
      <c r="R187" s="51" t="str">
        <f aca="false">IFERROR(MATCH("P-178",'REGISTRE ELEVES'!$AH$10:$AH$250,0),"")</f>
        <v/>
      </c>
    </row>
    <row r="188" customFormat="false" ht="15" hidden="false" customHeight="false" outlineLevel="0" collapsed="false">
      <c r="A188" s="45" t="str">
        <f aca="false">IF(B188="","",179)</f>
        <v/>
      </c>
      <c r="B188" s="45" t="str">
        <f aca="false">IF($R188="","",INDEX('REGISTRE ELEVES'!$B$10:$B$250,$R188))</f>
        <v/>
      </c>
      <c r="C188" s="74" t="str">
        <f aca="false">IF($R188="","",INDEX('REGISTRE ELEVES'!$D$10:$D$250,$R188))</f>
        <v/>
      </c>
      <c r="D188" s="45" t="str">
        <f aca="false">IF($R188="","",INDEX('REGISTRE ELEVES'!$E$10:$E$250,$R188))</f>
        <v/>
      </c>
      <c r="E188" s="45" t="str">
        <f aca="false">IF($R188="","",INDEX('REGISTRE ELEVES'!$F$10:$F$250,$R188))</f>
        <v/>
      </c>
      <c r="F188" s="45" t="str">
        <f aca="false">IF($R188="","",INDEX('REGISTRE ELEVES'!$AE$10:$AE$250,$R188))</f>
        <v/>
      </c>
      <c r="G188" s="80" t="str">
        <f aca="false">IF(B188="","",IFERROR(IF(LEFT(E188,2)="CP",INDEX('NOTES CP'!$P$10:$P$250,MATCH(B188,'NOTES CP'!$B$10:$B$250,0)),IF(E188="CE1",INDEX('NOTES CE1'!$M$10:$M$250,MATCH(B188,'NOTES CE1'!$B$10:$B$250,0)),INDEX('NOTES CE2-CM1'!$M$10:$M$250,MATCH(B188,'NOTES CE2-CM1'!$B$10:$B$250,0)))),""))</f>
        <v/>
      </c>
      <c r="H188" s="80" t="str">
        <f aca="false">IF(B188="","",IFERROR(IF(LEFT(E188,2)="CP",INDEX('NOTES CP'!$Z$10:$Z$250,MATCH(B188,'NOTES CP'!$B$10:$B$250,0)),IF(E188="CE1",INDEX('NOTES CE1'!$T$10:$T$250,MATCH(B188,'NOTES CE1'!$B$10:$B$250,0)),INDEX('NOTES CE2-CM1'!$T$10:$T$250,MATCH(B188,'NOTES CE2-CM1'!$B$10:$B$250,0)))),""))</f>
        <v/>
      </c>
      <c r="I188" s="80" t="str">
        <f aca="false">IF(B188="","",IFERROR(IF(LEFT(E188,2)="CP",INDEX('NOTES CP'!$AJ$10:$AJ$250,MATCH(B188,'NOTES CP'!$B$10:$B$250,0)),IF(E188="CE1",INDEX('NOTES CE1'!$AA$10:$AA$250,MATCH(B188,'NOTES CE1'!$B$10:$B$250,0)),INDEX('NOTES CE2-CM1'!$AA$10:$AA$250,MATCH(B188,'NOTES CE2-CM1'!$B$10:$B$250,0)))),""))</f>
        <v/>
      </c>
      <c r="J188" s="81" t="str">
        <f aca="false">IF(COUNT(G188:I188)=0,"",ROUND(AVERAGE(G188:I188),2))</f>
        <v/>
      </c>
      <c r="K188" s="80" t="str">
        <f aca="false">IF(B188="","",IFERROR(IF(LEFT(E188,2)="CP",INDEX('NOTES CP'!$AT$10:$AT$250,MATCH(B188,'NOTES CP'!$B$10:$B$250,0)),IF(E188="CE1",INDEX('NOTES CE1'!$AH$10:$AH$250,MATCH(B188,'NOTES CE1'!$B$10:$B$250,0)),INDEX('NOTES CE2-CM1'!$AH$10:$AH$250,MATCH(B188,'NOTES CE2-CM1'!$B$10:$B$250,0)))),""))</f>
        <v/>
      </c>
      <c r="L188" s="82" t="str">
        <f aca="false">IF(OR(J188="",K188=""),"",ROUND((J188+2*K188)/3,2))</f>
        <v/>
      </c>
      <c r="M188" s="83" t="str">
        <f aca="false">IF(E188="","",IFERROR(INDEX(PARAMETRES!$D$18:$D$23,MATCH(E188,PARAMETRES!$B$18:$B$23,0)),""))</f>
        <v/>
      </c>
      <c r="N188" s="81" t="str">
        <f aca="false">IF(E188="","",IFERROR(INDEX(PARAMETRES!$C$18:$C$23,MATCH(E188,PARAMETRES!$B$18:$B$23,0)),""))</f>
        <v/>
      </c>
      <c r="O188" s="45" t="str">
        <f aca="false">IF(B188="","",IF(F188="ABANDON","ABANDON",IF(F188="TRANSFERE","TRANSFERE",IF(L188="","",IF(L188&gt;=N188,"ADMIS","REDOUBLE")))))</f>
        <v/>
      </c>
      <c r="P188" s="73" t="str">
        <f aca="false">IF(OR(L188="",F188&lt;&gt;"PRESENT"),"",COUNTIFS($E$10:$E$250,E188,$F$10:$F$250,"PRESENT",$L$10:$L$250,"&gt;"&amp;L188)+1)</f>
        <v/>
      </c>
      <c r="Q188" s="74" t="str">
        <f aca="false">IF(O188="ADMIS",IF(L188/M188*10&gt;=8,"Très bien",IF(L188/M188*10&gt;=7,"Bien",IF(L188/M188*10&gt;=6,"Assez bien","Passable"))),IF(O188="REDOUBLE","Insuffisant",""))</f>
        <v/>
      </c>
      <c r="R188" s="51" t="str">
        <f aca="false">IFERROR(MATCH("P-179",'REGISTRE ELEVES'!$AH$10:$AH$250,0),"")</f>
        <v/>
      </c>
    </row>
    <row r="189" customFormat="false" ht="15" hidden="false" customHeight="false" outlineLevel="0" collapsed="false">
      <c r="A189" s="45" t="str">
        <f aca="false">IF(B189="","",180)</f>
        <v/>
      </c>
      <c r="B189" s="45" t="str">
        <f aca="false">IF($R189="","",INDEX('REGISTRE ELEVES'!$B$10:$B$250,$R189))</f>
        <v/>
      </c>
      <c r="C189" s="74" t="str">
        <f aca="false">IF($R189="","",INDEX('REGISTRE ELEVES'!$D$10:$D$250,$R189))</f>
        <v/>
      </c>
      <c r="D189" s="45" t="str">
        <f aca="false">IF($R189="","",INDEX('REGISTRE ELEVES'!$E$10:$E$250,$R189))</f>
        <v/>
      </c>
      <c r="E189" s="45" t="str">
        <f aca="false">IF($R189="","",INDEX('REGISTRE ELEVES'!$F$10:$F$250,$R189))</f>
        <v/>
      </c>
      <c r="F189" s="45" t="str">
        <f aca="false">IF($R189="","",INDEX('REGISTRE ELEVES'!$AE$10:$AE$250,$R189))</f>
        <v/>
      </c>
      <c r="G189" s="80" t="str">
        <f aca="false">IF(B189="","",IFERROR(IF(LEFT(E189,2)="CP",INDEX('NOTES CP'!$P$10:$P$250,MATCH(B189,'NOTES CP'!$B$10:$B$250,0)),IF(E189="CE1",INDEX('NOTES CE1'!$M$10:$M$250,MATCH(B189,'NOTES CE1'!$B$10:$B$250,0)),INDEX('NOTES CE2-CM1'!$M$10:$M$250,MATCH(B189,'NOTES CE2-CM1'!$B$10:$B$250,0)))),""))</f>
        <v/>
      </c>
      <c r="H189" s="80" t="str">
        <f aca="false">IF(B189="","",IFERROR(IF(LEFT(E189,2)="CP",INDEX('NOTES CP'!$Z$10:$Z$250,MATCH(B189,'NOTES CP'!$B$10:$B$250,0)),IF(E189="CE1",INDEX('NOTES CE1'!$T$10:$T$250,MATCH(B189,'NOTES CE1'!$B$10:$B$250,0)),INDEX('NOTES CE2-CM1'!$T$10:$T$250,MATCH(B189,'NOTES CE2-CM1'!$B$10:$B$250,0)))),""))</f>
        <v/>
      </c>
      <c r="I189" s="80" t="str">
        <f aca="false">IF(B189="","",IFERROR(IF(LEFT(E189,2)="CP",INDEX('NOTES CP'!$AJ$10:$AJ$250,MATCH(B189,'NOTES CP'!$B$10:$B$250,0)),IF(E189="CE1",INDEX('NOTES CE1'!$AA$10:$AA$250,MATCH(B189,'NOTES CE1'!$B$10:$B$250,0)),INDEX('NOTES CE2-CM1'!$AA$10:$AA$250,MATCH(B189,'NOTES CE2-CM1'!$B$10:$B$250,0)))),""))</f>
        <v/>
      </c>
      <c r="J189" s="81" t="str">
        <f aca="false">IF(COUNT(G189:I189)=0,"",ROUND(AVERAGE(G189:I189),2))</f>
        <v/>
      </c>
      <c r="K189" s="80" t="str">
        <f aca="false">IF(B189="","",IFERROR(IF(LEFT(E189,2)="CP",INDEX('NOTES CP'!$AT$10:$AT$250,MATCH(B189,'NOTES CP'!$B$10:$B$250,0)),IF(E189="CE1",INDEX('NOTES CE1'!$AH$10:$AH$250,MATCH(B189,'NOTES CE1'!$B$10:$B$250,0)),INDEX('NOTES CE2-CM1'!$AH$10:$AH$250,MATCH(B189,'NOTES CE2-CM1'!$B$10:$B$250,0)))),""))</f>
        <v/>
      </c>
      <c r="L189" s="82" t="str">
        <f aca="false">IF(OR(J189="",K189=""),"",ROUND((J189+2*K189)/3,2))</f>
        <v/>
      </c>
      <c r="M189" s="83" t="str">
        <f aca="false">IF(E189="","",IFERROR(INDEX(PARAMETRES!$D$18:$D$23,MATCH(E189,PARAMETRES!$B$18:$B$23,0)),""))</f>
        <v/>
      </c>
      <c r="N189" s="81" t="str">
        <f aca="false">IF(E189="","",IFERROR(INDEX(PARAMETRES!$C$18:$C$23,MATCH(E189,PARAMETRES!$B$18:$B$23,0)),""))</f>
        <v/>
      </c>
      <c r="O189" s="45" t="str">
        <f aca="false">IF(B189="","",IF(F189="ABANDON","ABANDON",IF(F189="TRANSFERE","TRANSFERE",IF(L189="","",IF(L189&gt;=N189,"ADMIS","REDOUBLE")))))</f>
        <v/>
      </c>
      <c r="P189" s="73" t="str">
        <f aca="false">IF(OR(L189="",F189&lt;&gt;"PRESENT"),"",COUNTIFS($E$10:$E$250,E189,$F$10:$F$250,"PRESENT",$L$10:$L$250,"&gt;"&amp;L189)+1)</f>
        <v/>
      </c>
      <c r="Q189" s="74" t="str">
        <f aca="false">IF(O189="ADMIS",IF(L189/M189*10&gt;=8,"Très bien",IF(L189/M189*10&gt;=7,"Bien",IF(L189/M189*10&gt;=6,"Assez bien","Passable"))),IF(O189="REDOUBLE","Insuffisant",""))</f>
        <v/>
      </c>
      <c r="R189" s="51" t="str">
        <f aca="false">IFERROR(MATCH("P-180",'REGISTRE ELEVES'!$AH$10:$AH$250,0),"")</f>
        <v/>
      </c>
    </row>
    <row r="190" customFormat="false" ht="15" hidden="false" customHeight="false" outlineLevel="0" collapsed="false">
      <c r="A190" s="45" t="str">
        <f aca="false">IF(B190="","",181)</f>
        <v/>
      </c>
      <c r="B190" s="45" t="str">
        <f aca="false">IF($R190="","",INDEX('REGISTRE ELEVES'!$B$10:$B$250,$R190))</f>
        <v/>
      </c>
      <c r="C190" s="74" t="str">
        <f aca="false">IF($R190="","",INDEX('REGISTRE ELEVES'!$D$10:$D$250,$R190))</f>
        <v/>
      </c>
      <c r="D190" s="45" t="str">
        <f aca="false">IF($R190="","",INDEX('REGISTRE ELEVES'!$E$10:$E$250,$R190))</f>
        <v/>
      </c>
      <c r="E190" s="45" t="str">
        <f aca="false">IF($R190="","",INDEX('REGISTRE ELEVES'!$F$10:$F$250,$R190))</f>
        <v/>
      </c>
      <c r="F190" s="45" t="str">
        <f aca="false">IF($R190="","",INDEX('REGISTRE ELEVES'!$AE$10:$AE$250,$R190))</f>
        <v/>
      </c>
      <c r="G190" s="80" t="str">
        <f aca="false">IF(B190="","",IFERROR(IF(LEFT(E190,2)="CP",INDEX('NOTES CP'!$P$10:$P$250,MATCH(B190,'NOTES CP'!$B$10:$B$250,0)),IF(E190="CE1",INDEX('NOTES CE1'!$M$10:$M$250,MATCH(B190,'NOTES CE1'!$B$10:$B$250,0)),INDEX('NOTES CE2-CM1'!$M$10:$M$250,MATCH(B190,'NOTES CE2-CM1'!$B$10:$B$250,0)))),""))</f>
        <v/>
      </c>
      <c r="H190" s="80" t="str">
        <f aca="false">IF(B190="","",IFERROR(IF(LEFT(E190,2)="CP",INDEX('NOTES CP'!$Z$10:$Z$250,MATCH(B190,'NOTES CP'!$B$10:$B$250,0)),IF(E190="CE1",INDEX('NOTES CE1'!$T$10:$T$250,MATCH(B190,'NOTES CE1'!$B$10:$B$250,0)),INDEX('NOTES CE2-CM1'!$T$10:$T$250,MATCH(B190,'NOTES CE2-CM1'!$B$10:$B$250,0)))),""))</f>
        <v/>
      </c>
      <c r="I190" s="80" t="str">
        <f aca="false">IF(B190="","",IFERROR(IF(LEFT(E190,2)="CP",INDEX('NOTES CP'!$AJ$10:$AJ$250,MATCH(B190,'NOTES CP'!$B$10:$B$250,0)),IF(E190="CE1",INDEX('NOTES CE1'!$AA$10:$AA$250,MATCH(B190,'NOTES CE1'!$B$10:$B$250,0)),INDEX('NOTES CE2-CM1'!$AA$10:$AA$250,MATCH(B190,'NOTES CE2-CM1'!$B$10:$B$250,0)))),""))</f>
        <v/>
      </c>
      <c r="J190" s="81" t="str">
        <f aca="false">IF(COUNT(G190:I190)=0,"",ROUND(AVERAGE(G190:I190),2))</f>
        <v/>
      </c>
      <c r="K190" s="80" t="str">
        <f aca="false">IF(B190="","",IFERROR(IF(LEFT(E190,2)="CP",INDEX('NOTES CP'!$AT$10:$AT$250,MATCH(B190,'NOTES CP'!$B$10:$B$250,0)),IF(E190="CE1",INDEX('NOTES CE1'!$AH$10:$AH$250,MATCH(B190,'NOTES CE1'!$B$10:$B$250,0)),INDEX('NOTES CE2-CM1'!$AH$10:$AH$250,MATCH(B190,'NOTES CE2-CM1'!$B$10:$B$250,0)))),""))</f>
        <v/>
      </c>
      <c r="L190" s="82" t="str">
        <f aca="false">IF(OR(J190="",K190=""),"",ROUND((J190+2*K190)/3,2))</f>
        <v/>
      </c>
      <c r="M190" s="83" t="str">
        <f aca="false">IF(E190="","",IFERROR(INDEX(PARAMETRES!$D$18:$D$23,MATCH(E190,PARAMETRES!$B$18:$B$23,0)),""))</f>
        <v/>
      </c>
      <c r="N190" s="81" t="str">
        <f aca="false">IF(E190="","",IFERROR(INDEX(PARAMETRES!$C$18:$C$23,MATCH(E190,PARAMETRES!$B$18:$B$23,0)),""))</f>
        <v/>
      </c>
      <c r="O190" s="45" t="str">
        <f aca="false">IF(B190="","",IF(F190="ABANDON","ABANDON",IF(F190="TRANSFERE","TRANSFERE",IF(L190="","",IF(L190&gt;=N190,"ADMIS","REDOUBLE")))))</f>
        <v/>
      </c>
      <c r="P190" s="73" t="str">
        <f aca="false">IF(OR(L190="",F190&lt;&gt;"PRESENT"),"",COUNTIFS($E$10:$E$250,E190,$F$10:$F$250,"PRESENT",$L$10:$L$250,"&gt;"&amp;L190)+1)</f>
        <v/>
      </c>
      <c r="Q190" s="74" t="str">
        <f aca="false">IF(O190="ADMIS",IF(L190/M190*10&gt;=8,"Très bien",IF(L190/M190*10&gt;=7,"Bien",IF(L190/M190*10&gt;=6,"Assez bien","Passable"))),IF(O190="REDOUBLE","Insuffisant",""))</f>
        <v/>
      </c>
      <c r="R190" s="51" t="str">
        <f aca="false">IFERROR(MATCH("P-181",'REGISTRE ELEVES'!$AH$10:$AH$250,0),"")</f>
        <v/>
      </c>
    </row>
    <row r="191" customFormat="false" ht="15" hidden="false" customHeight="false" outlineLevel="0" collapsed="false">
      <c r="A191" s="45" t="str">
        <f aca="false">IF(B191="","",182)</f>
        <v/>
      </c>
      <c r="B191" s="45" t="str">
        <f aca="false">IF($R191="","",INDEX('REGISTRE ELEVES'!$B$10:$B$250,$R191))</f>
        <v/>
      </c>
      <c r="C191" s="74" t="str">
        <f aca="false">IF($R191="","",INDEX('REGISTRE ELEVES'!$D$10:$D$250,$R191))</f>
        <v/>
      </c>
      <c r="D191" s="45" t="str">
        <f aca="false">IF($R191="","",INDEX('REGISTRE ELEVES'!$E$10:$E$250,$R191))</f>
        <v/>
      </c>
      <c r="E191" s="45" t="str">
        <f aca="false">IF($R191="","",INDEX('REGISTRE ELEVES'!$F$10:$F$250,$R191))</f>
        <v/>
      </c>
      <c r="F191" s="45" t="str">
        <f aca="false">IF($R191="","",INDEX('REGISTRE ELEVES'!$AE$10:$AE$250,$R191))</f>
        <v/>
      </c>
      <c r="G191" s="80" t="str">
        <f aca="false">IF(B191="","",IFERROR(IF(LEFT(E191,2)="CP",INDEX('NOTES CP'!$P$10:$P$250,MATCH(B191,'NOTES CP'!$B$10:$B$250,0)),IF(E191="CE1",INDEX('NOTES CE1'!$M$10:$M$250,MATCH(B191,'NOTES CE1'!$B$10:$B$250,0)),INDEX('NOTES CE2-CM1'!$M$10:$M$250,MATCH(B191,'NOTES CE2-CM1'!$B$10:$B$250,0)))),""))</f>
        <v/>
      </c>
      <c r="H191" s="80" t="str">
        <f aca="false">IF(B191="","",IFERROR(IF(LEFT(E191,2)="CP",INDEX('NOTES CP'!$Z$10:$Z$250,MATCH(B191,'NOTES CP'!$B$10:$B$250,0)),IF(E191="CE1",INDEX('NOTES CE1'!$T$10:$T$250,MATCH(B191,'NOTES CE1'!$B$10:$B$250,0)),INDEX('NOTES CE2-CM1'!$T$10:$T$250,MATCH(B191,'NOTES CE2-CM1'!$B$10:$B$250,0)))),""))</f>
        <v/>
      </c>
      <c r="I191" s="80" t="str">
        <f aca="false">IF(B191="","",IFERROR(IF(LEFT(E191,2)="CP",INDEX('NOTES CP'!$AJ$10:$AJ$250,MATCH(B191,'NOTES CP'!$B$10:$B$250,0)),IF(E191="CE1",INDEX('NOTES CE1'!$AA$10:$AA$250,MATCH(B191,'NOTES CE1'!$B$10:$B$250,0)),INDEX('NOTES CE2-CM1'!$AA$10:$AA$250,MATCH(B191,'NOTES CE2-CM1'!$B$10:$B$250,0)))),""))</f>
        <v/>
      </c>
      <c r="J191" s="81" t="str">
        <f aca="false">IF(COUNT(G191:I191)=0,"",ROUND(AVERAGE(G191:I191),2))</f>
        <v/>
      </c>
      <c r="K191" s="80" t="str">
        <f aca="false">IF(B191="","",IFERROR(IF(LEFT(E191,2)="CP",INDEX('NOTES CP'!$AT$10:$AT$250,MATCH(B191,'NOTES CP'!$B$10:$B$250,0)),IF(E191="CE1",INDEX('NOTES CE1'!$AH$10:$AH$250,MATCH(B191,'NOTES CE1'!$B$10:$B$250,0)),INDEX('NOTES CE2-CM1'!$AH$10:$AH$250,MATCH(B191,'NOTES CE2-CM1'!$B$10:$B$250,0)))),""))</f>
        <v/>
      </c>
      <c r="L191" s="82" t="str">
        <f aca="false">IF(OR(J191="",K191=""),"",ROUND((J191+2*K191)/3,2))</f>
        <v/>
      </c>
      <c r="M191" s="83" t="str">
        <f aca="false">IF(E191="","",IFERROR(INDEX(PARAMETRES!$D$18:$D$23,MATCH(E191,PARAMETRES!$B$18:$B$23,0)),""))</f>
        <v/>
      </c>
      <c r="N191" s="81" t="str">
        <f aca="false">IF(E191="","",IFERROR(INDEX(PARAMETRES!$C$18:$C$23,MATCH(E191,PARAMETRES!$B$18:$B$23,0)),""))</f>
        <v/>
      </c>
      <c r="O191" s="45" t="str">
        <f aca="false">IF(B191="","",IF(F191="ABANDON","ABANDON",IF(F191="TRANSFERE","TRANSFERE",IF(L191="","",IF(L191&gt;=N191,"ADMIS","REDOUBLE")))))</f>
        <v/>
      </c>
      <c r="P191" s="73" t="str">
        <f aca="false">IF(OR(L191="",F191&lt;&gt;"PRESENT"),"",COUNTIFS($E$10:$E$250,E191,$F$10:$F$250,"PRESENT",$L$10:$L$250,"&gt;"&amp;L191)+1)</f>
        <v/>
      </c>
      <c r="Q191" s="74" t="str">
        <f aca="false">IF(O191="ADMIS",IF(L191/M191*10&gt;=8,"Très bien",IF(L191/M191*10&gt;=7,"Bien",IF(L191/M191*10&gt;=6,"Assez bien","Passable"))),IF(O191="REDOUBLE","Insuffisant",""))</f>
        <v/>
      </c>
      <c r="R191" s="51" t="str">
        <f aca="false">IFERROR(MATCH("P-182",'REGISTRE ELEVES'!$AH$10:$AH$250,0),"")</f>
        <v/>
      </c>
    </row>
    <row r="192" customFormat="false" ht="15" hidden="false" customHeight="false" outlineLevel="0" collapsed="false">
      <c r="A192" s="45" t="str">
        <f aca="false">IF(B192="","",183)</f>
        <v/>
      </c>
      <c r="B192" s="45" t="str">
        <f aca="false">IF($R192="","",INDEX('REGISTRE ELEVES'!$B$10:$B$250,$R192))</f>
        <v/>
      </c>
      <c r="C192" s="74" t="str">
        <f aca="false">IF($R192="","",INDEX('REGISTRE ELEVES'!$D$10:$D$250,$R192))</f>
        <v/>
      </c>
      <c r="D192" s="45" t="str">
        <f aca="false">IF($R192="","",INDEX('REGISTRE ELEVES'!$E$10:$E$250,$R192))</f>
        <v/>
      </c>
      <c r="E192" s="45" t="str">
        <f aca="false">IF($R192="","",INDEX('REGISTRE ELEVES'!$F$10:$F$250,$R192))</f>
        <v/>
      </c>
      <c r="F192" s="45" t="str">
        <f aca="false">IF($R192="","",INDEX('REGISTRE ELEVES'!$AE$10:$AE$250,$R192))</f>
        <v/>
      </c>
      <c r="G192" s="80" t="str">
        <f aca="false">IF(B192="","",IFERROR(IF(LEFT(E192,2)="CP",INDEX('NOTES CP'!$P$10:$P$250,MATCH(B192,'NOTES CP'!$B$10:$B$250,0)),IF(E192="CE1",INDEX('NOTES CE1'!$M$10:$M$250,MATCH(B192,'NOTES CE1'!$B$10:$B$250,0)),INDEX('NOTES CE2-CM1'!$M$10:$M$250,MATCH(B192,'NOTES CE2-CM1'!$B$10:$B$250,0)))),""))</f>
        <v/>
      </c>
      <c r="H192" s="80" t="str">
        <f aca="false">IF(B192="","",IFERROR(IF(LEFT(E192,2)="CP",INDEX('NOTES CP'!$Z$10:$Z$250,MATCH(B192,'NOTES CP'!$B$10:$B$250,0)),IF(E192="CE1",INDEX('NOTES CE1'!$T$10:$T$250,MATCH(B192,'NOTES CE1'!$B$10:$B$250,0)),INDEX('NOTES CE2-CM1'!$T$10:$T$250,MATCH(B192,'NOTES CE2-CM1'!$B$10:$B$250,0)))),""))</f>
        <v/>
      </c>
      <c r="I192" s="80" t="str">
        <f aca="false">IF(B192="","",IFERROR(IF(LEFT(E192,2)="CP",INDEX('NOTES CP'!$AJ$10:$AJ$250,MATCH(B192,'NOTES CP'!$B$10:$B$250,0)),IF(E192="CE1",INDEX('NOTES CE1'!$AA$10:$AA$250,MATCH(B192,'NOTES CE1'!$B$10:$B$250,0)),INDEX('NOTES CE2-CM1'!$AA$10:$AA$250,MATCH(B192,'NOTES CE2-CM1'!$B$10:$B$250,0)))),""))</f>
        <v/>
      </c>
      <c r="J192" s="81" t="str">
        <f aca="false">IF(COUNT(G192:I192)=0,"",ROUND(AVERAGE(G192:I192),2))</f>
        <v/>
      </c>
      <c r="K192" s="80" t="str">
        <f aca="false">IF(B192="","",IFERROR(IF(LEFT(E192,2)="CP",INDEX('NOTES CP'!$AT$10:$AT$250,MATCH(B192,'NOTES CP'!$B$10:$B$250,0)),IF(E192="CE1",INDEX('NOTES CE1'!$AH$10:$AH$250,MATCH(B192,'NOTES CE1'!$B$10:$B$250,0)),INDEX('NOTES CE2-CM1'!$AH$10:$AH$250,MATCH(B192,'NOTES CE2-CM1'!$B$10:$B$250,0)))),""))</f>
        <v/>
      </c>
      <c r="L192" s="82" t="str">
        <f aca="false">IF(OR(J192="",K192=""),"",ROUND((J192+2*K192)/3,2))</f>
        <v/>
      </c>
      <c r="M192" s="83" t="str">
        <f aca="false">IF(E192="","",IFERROR(INDEX(PARAMETRES!$D$18:$D$23,MATCH(E192,PARAMETRES!$B$18:$B$23,0)),""))</f>
        <v/>
      </c>
      <c r="N192" s="81" t="str">
        <f aca="false">IF(E192="","",IFERROR(INDEX(PARAMETRES!$C$18:$C$23,MATCH(E192,PARAMETRES!$B$18:$B$23,0)),""))</f>
        <v/>
      </c>
      <c r="O192" s="45" t="str">
        <f aca="false">IF(B192="","",IF(F192="ABANDON","ABANDON",IF(F192="TRANSFERE","TRANSFERE",IF(L192="","",IF(L192&gt;=N192,"ADMIS","REDOUBLE")))))</f>
        <v/>
      </c>
      <c r="P192" s="73" t="str">
        <f aca="false">IF(OR(L192="",F192&lt;&gt;"PRESENT"),"",COUNTIFS($E$10:$E$250,E192,$F$10:$F$250,"PRESENT",$L$10:$L$250,"&gt;"&amp;L192)+1)</f>
        <v/>
      </c>
      <c r="Q192" s="74" t="str">
        <f aca="false">IF(O192="ADMIS",IF(L192/M192*10&gt;=8,"Très bien",IF(L192/M192*10&gt;=7,"Bien",IF(L192/M192*10&gt;=6,"Assez bien","Passable"))),IF(O192="REDOUBLE","Insuffisant",""))</f>
        <v/>
      </c>
      <c r="R192" s="51" t="str">
        <f aca="false">IFERROR(MATCH("P-183",'REGISTRE ELEVES'!$AH$10:$AH$250,0),"")</f>
        <v/>
      </c>
    </row>
    <row r="193" customFormat="false" ht="15" hidden="false" customHeight="false" outlineLevel="0" collapsed="false">
      <c r="A193" s="45" t="str">
        <f aca="false">IF(B193="","",184)</f>
        <v/>
      </c>
      <c r="B193" s="45" t="str">
        <f aca="false">IF($R193="","",INDEX('REGISTRE ELEVES'!$B$10:$B$250,$R193))</f>
        <v/>
      </c>
      <c r="C193" s="74" t="str">
        <f aca="false">IF($R193="","",INDEX('REGISTRE ELEVES'!$D$10:$D$250,$R193))</f>
        <v/>
      </c>
      <c r="D193" s="45" t="str">
        <f aca="false">IF($R193="","",INDEX('REGISTRE ELEVES'!$E$10:$E$250,$R193))</f>
        <v/>
      </c>
      <c r="E193" s="45" t="str">
        <f aca="false">IF($R193="","",INDEX('REGISTRE ELEVES'!$F$10:$F$250,$R193))</f>
        <v/>
      </c>
      <c r="F193" s="45" t="str">
        <f aca="false">IF($R193="","",INDEX('REGISTRE ELEVES'!$AE$10:$AE$250,$R193))</f>
        <v/>
      </c>
      <c r="G193" s="80" t="str">
        <f aca="false">IF(B193="","",IFERROR(IF(LEFT(E193,2)="CP",INDEX('NOTES CP'!$P$10:$P$250,MATCH(B193,'NOTES CP'!$B$10:$B$250,0)),IF(E193="CE1",INDEX('NOTES CE1'!$M$10:$M$250,MATCH(B193,'NOTES CE1'!$B$10:$B$250,0)),INDEX('NOTES CE2-CM1'!$M$10:$M$250,MATCH(B193,'NOTES CE2-CM1'!$B$10:$B$250,0)))),""))</f>
        <v/>
      </c>
      <c r="H193" s="80" t="str">
        <f aca="false">IF(B193="","",IFERROR(IF(LEFT(E193,2)="CP",INDEX('NOTES CP'!$Z$10:$Z$250,MATCH(B193,'NOTES CP'!$B$10:$B$250,0)),IF(E193="CE1",INDEX('NOTES CE1'!$T$10:$T$250,MATCH(B193,'NOTES CE1'!$B$10:$B$250,0)),INDEX('NOTES CE2-CM1'!$T$10:$T$250,MATCH(B193,'NOTES CE2-CM1'!$B$10:$B$250,0)))),""))</f>
        <v/>
      </c>
      <c r="I193" s="80" t="str">
        <f aca="false">IF(B193="","",IFERROR(IF(LEFT(E193,2)="CP",INDEX('NOTES CP'!$AJ$10:$AJ$250,MATCH(B193,'NOTES CP'!$B$10:$B$250,0)),IF(E193="CE1",INDEX('NOTES CE1'!$AA$10:$AA$250,MATCH(B193,'NOTES CE1'!$B$10:$B$250,0)),INDEX('NOTES CE2-CM1'!$AA$10:$AA$250,MATCH(B193,'NOTES CE2-CM1'!$B$10:$B$250,0)))),""))</f>
        <v/>
      </c>
      <c r="J193" s="81" t="str">
        <f aca="false">IF(COUNT(G193:I193)=0,"",ROUND(AVERAGE(G193:I193),2))</f>
        <v/>
      </c>
      <c r="K193" s="80" t="str">
        <f aca="false">IF(B193="","",IFERROR(IF(LEFT(E193,2)="CP",INDEX('NOTES CP'!$AT$10:$AT$250,MATCH(B193,'NOTES CP'!$B$10:$B$250,0)),IF(E193="CE1",INDEX('NOTES CE1'!$AH$10:$AH$250,MATCH(B193,'NOTES CE1'!$B$10:$B$250,0)),INDEX('NOTES CE2-CM1'!$AH$10:$AH$250,MATCH(B193,'NOTES CE2-CM1'!$B$10:$B$250,0)))),""))</f>
        <v/>
      </c>
      <c r="L193" s="82" t="str">
        <f aca="false">IF(OR(J193="",K193=""),"",ROUND((J193+2*K193)/3,2))</f>
        <v/>
      </c>
      <c r="M193" s="83" t="str">
        <f aca="false">IF(E193="","",IFERROR(INDEX(PARAMETRES!$D$18:$D$23,MATCH(E193,PARAMETRES!$B$18:$B$23,0)),""))</f>
        <v/>
      </c>
      <c r="N193" s="81" t="str">
        <f aca="false">IF(E193="","",IFERROR(INDEX(PARAMETRES!$C$18:$C$23,MATCH(E193,PARAMETRES!$B$18:$B$23,0)),""))</f>
        <v/>
      </c>
      <c r="O193" s="45" t="str">
        <f aca="false">IF(B193="","",IF(F193="ABANDON","ABANDON",IF(F193="TRANSFERE","TRANSFERE",IF(L193="","",IF(L193&gt;=N193,"ADMIS","REDOUBLE")))))</f>
        <v/>
      </c>
      <c r="P193" s="73" t="str">
        <f aca="false">IF(OR(L193="",F193&lt;&gt;"PRESENT"),"",COUNTIFS($E$10:$E$250,E193,$F$10:$F$250,"PRESENT",$L$10:$L$250,"&gt;"&amp;L193)+1)</f>
        <v/>
      </c>
      <c r="Q193" s="74" t="str">
        <f aca="false">IF(O193="ADMIS",IF(L193/M193*10&gt;=8,"Très bien",IF(L193/M193*10&gt;=7,"Bien",IF(L193/M193*10&gt;=6,"Assez bien","Passable"))),IF(O193="REDOUBLE","Insuffisant",""))</f>
        <v/>
      </c>
      <c r="R193" s="51" t="str">
        <f aca="false">IFERROR(MATCH("P-184",'REGISTRE ELEVES'!$AH$10:$AH$250,0),"")</f>
        <v/>
      </c>
    </row>
    <row r="194" customFormat="false" ht="15" hidden="false" customHeight="false" outlineLevel="0" collapsed="false">
      <c r="A194" s="45" t="str">
        <f aca="false">IF(B194="","",185)</f>
        <v/>
      </c>
      <c r="B194" s="45" t="str">
        <f aca="false">IF($R194="","",INDEX('REGISTRE ELEVES'!$B$10:$B$250,$R194))</f>
        <v/>
      </c>
      <c r="C194" s="74" t="str">
        <f aca="false">IF($R194="","",INDEX('REGISTRE ELEVES'!$D$10:$D$250,$R194))</f>
        <v/>
      </c>
      <c r="D194" s="45" t="str">
        <f aca="false">IF($R194="","",INDEX('REGISTRE ELEVES'!$E$10:$E$250,$R194))</f>
        <v/>
      </c>
      <c r="E194" s="45" t="str">
        <f aca="false">IF($R194="","",INDEX('REGISTRE ELEVES'!$F$10:$F$250,$R194))</f>
        <v/>
      </c>
      <c r="F194" s="45" t="str">
        <f aca="false">IF($R194="","",INDEX('REGISTRE ELEVES'!$AE$10:$AE$250,$R194))</f>
        <v/>
      </c>
      <c r="G194" s="80" t="str">
        <f aca="false">IF(B194="","",IFERROR(IF(LEFT(E194,2)="CP",INDEX('NOTES CP'!$P$10:$P$250,MATCH(B194,'NOTES CP'!$B$10:$B$250,0)),IF(E194="CE1",INDEX('NOTES CE1'!$M$10:$M$250,MATCH(B194,'NOTES CE1'!$B$10:$B$250,0)),INDEX('NOTES CE2-CM1'!$M$10:$M$250,MATCH(B194,'NOTES CE2-CM1'!$B$10:$B$250,0)))),""))</f>
        <v/>
      </c>
      <c r="H194" s="80" t="str">
        <f aca="false">IF(B194="","",IFERROR(IF(LEFT(E194,2)="CP",INDEX('NOTES CP'!$Z$10:$Z$250,MATCH(B194,'NOTES CP'!$B$10:$B$250,0)),IF(E194="CE1",INDEX('NOTES CE1'!$T$10:$T$250,MATCH(B194,'NOTES CE1'!$B$10:$B$250,0)),INDEX('NOTES CE2-CM1'!$T$10:$T$250,MATCH(B194,'NOTES CE2-CM1'!$B$10:$B$250,0)))),""))</f>
        <v/>
      </c>
      <c r="I194" s="80" t="str">
        <f aca="false">IF(B194="","",IFERROR(IF(LEFT(E194,2)="CP",INDEX('NOTES CP'!$AJ$10:$AJ$250,MATCH(B194,'NOTES CP'!$B$10:$B$250,0)),IF(E194="CE1",INDEX('NOTES CE1'!$AA$10:$AA$250,MATCH(B194,'NOTES CE1'!$B$10:$B$250,0)),INDEX('NOTES CE2-CM1'!$AA$10:$AA$250,MATCH(B194,'NOTES CE2-CM1'!$B$10:$B$250,0)))),""))</f>
        <v/>
      </c>
      <c r="J194" s="81" t="str">
        <f aca="false">IF(COUNT(G194:I194)=0,"",ROUND(AVERAGE(G194:I194),2))</f>
        <v/>
      </c>
      <c r="K194" s="80" t="str">
        <f aca="false">IF(B194="","",IFERROR(IF(LEFT(E194,2)="CP",INDEX('NOTES CP'!$AT$10:$AT$250,MATCH(B194,'NOTES CP'!$B$10:$B$250,0)),IF(E194="CE1",INDEX('NOTES CE1'!$AH$10:$AH$250,MATCH(B194,'NOTES CE1'!$B$10:$B$250,0)),INDEX('NOTES CE2-CM1'!$AH$10:$AH$250,MATCH(B194,'NOTES CE2-CM1'!$B$10:$B$250,0)))),""))</f>
        <v/>
      </c>
      <c r="L194" s="82" t="str">
        <f aca="false">IF(OR(J194="",K194=""),"",ROUND((J194+2*K194)/3,2))</f>
        <v/>
      </c>
      <c r="M194" s="83" t="str">
        <f aca="false">IF(E194="","",IFERROR(INDEX(PARAMETRES!$D$18:$D$23,MATCH(E194,PARAMETRES!$B$18:$B$23,0)),""))</f>
        <v/>
      </c>
      <c r="N194" s="81" t="str">
        <f aca="false">IF(E194="","",IFERROR(INDEX(PARAMETRES!$C$18:$C$23,MATCH(E194,PARAMETRES!$B$18:$B$23,0)),""))</f>
        <v/>
      </c>
      <c r="O194" s="45" t="str">
        <f aca="false">IF(B194="","",IF(F194="ABANDON","ABANDON",IF(F194="TRANSFERE","TRANSFERE",IF(L194="","",IF(L194&gt;=N194,"ADMIS","REDOUBLE")))))</f>
        <v/>
      </c>
      <c r="P194" s="73" t="str">
        <f aca="false">IF(OR(L194="",F194&lt;&gt;"PRESENT"),"",COUNTIFS($E$10:$E$250,E194,$F$10:$F$250,"PRESENT",$L$10:$L$250,"&gt;"&amp;L194)+1)</f>
        <v/>
      </c>
      <c r="Q194" s="74" t="str">
        <f aca="false">IF(O194="ADMIS",IF(L194/M194*10&gt;=8,"Très bien",IF(L194/M194*10&gt;=7,"Bien",IF(L194/M194*10&gt;=6,"Assez bien","Passable"))),IF(O194="REDOUBLE","Insuffisant",""))</f>
        <v/>
      </c>
      <c r="R194" s="51" t="str">
        <f aca="false">IFERROR(MATCH("P-185",'REGISTRE ELEVES'!$AH$10:$AH$250,0),"")</f>
        <v/>
      </c>
    </row>
    <row r="195" customFormat="false" ht="15" hidden="false" customHeight="false" outlineLevel="0" collapsed="false">
      <c r="A195" s="45" t="str">
        <f aca="false">IF(B195="","",186)</f>
        <v/>
      </c>
      <c r="B195" s="45" t="str">
        <f aca="false">IF($R195="","",INDEX('REGISTRE ELEVES'!$B$10:$B$250,$R195))</f>
        <v/>
      </c>
      <c r="C195" s="74" t="str">
        <f aca="false">IF($R195="","",INDEX('REGISTRE ELEVES'!$D$10:$D$250,$R195))</f>
        <v/>
      </c>
      <c r="D195" s="45" t="str">
        <f aca="false">IF($R195="","",INDEX('REGISTRE ELEVES'!$E$10:$E$250,$R195))</f>
        <v/>
      </c>
      <c r="E195" s="45" t="str">
        <f aca="false">IF($R195="","",INDEX('REGISTRE ELEVES'!$F$10:$F$250,$R195))</f>
        <v/>
      </c>
      <c r="F195" s="45" t="str">
        <f aca="false">IF($R195="","",INDEX('REGISTRE ELEVES'!$AE$10:$AE$250,$R195))</f>
        <v/>
      </c>
      <c r="G195" s="80" t="str">
        <f aca="false">IF(B195="","",IFERROR(IF(LEFT(E195,2)="CP",INDEX('NOTES CP'!$P$10:$P$250,MATCH(B195,'NOTES CP'!$B$10:$B$250,0)),IF(E195="CE1",INDEX('NOTES CE1'!$M$10:$M$250,MATCH(B195,'NOTES CE1'!$B$10:$B$250,0)),INDEX('NOTES CE2-CM1'!$M$10:$M$250,MATCH(B195,'NOTES CE2-CM1'!$B$10:$B$250,0)))),""))</f>
        <v/>
      </c>
      <c r="H195" s="80" t="str">
        <f aca="false">IF(B195="","",IFERROR(IF(LEFT(E195,2)="CP",INDEX('NOTES CP'!$Z$10:$Z$250,MATCH(B195,'NOTES CP'!$B$10:$B$250,0)),IF(E195="CE1",INDEX('NOTES CE1'!$T$10:$T$250,MATCH(B195,'NOTES CE1'!$B$10:$B$250,0)),INDEX('NOTES CE2-CM1'!$T$10:$T$250,MATCH(B195,'NOTES CE2-CM1'!$B$10:$B$250,0)))),""))</f>
        <v/>
      </c>
      <c r="I195" s="80" t="str">
        <f aca="false">IF(B195="","",IFERROR(IF(LEFT(E195,2)="CP",INDEX('NOTES CP'!$AJ$10:$AJ$250,MATCH(B195,'NOTES CP'!$B$10:$B$250,0)),IF(E195="CE1",INDEX('NOTES CE1'!$AA$10:$AA$250,MATCH(B195,'NOTES CE1'!$B$10:$B$250,0)),INDEX('NOTES CE2-CM1'!$AA$10:$AA$250,MATCH(B195,'NOTES CE2-CM1'!$B$10:$B$250,0)))),""))</f>
        <v/>
      </c>
      <c r="J195" s="81" t="str">
        <f aca="false">IF(COUNT(G195:I195)=0,"",ROUND(AVERAGE(G195:I195),2))</f>
        <v/>
      </c>
      <c r="K195" s="80" t="str">
        <f aca="false">IF(B195="","",IFERROR(IF(LEFT(E195,2)="CP",INDEX('NOTES CP'!$AT$10:$AT$250,MATCH(B195,'NOTES CP'!$B$10:$B$250,0)),IF(E195="CE1",INDEX('NOTES CE1'!$AH$10:$AH$250,MATCH(B195,'NOTES CE1'!$B$10:$B$250,0)),INDEX('NOTES CE2-CM1'!$AH$10:$AH$250,MATCH(B195,'NOTES CE2-CM1'!$B$10:$B$250,0)))),""))</f>
        <v/>
      </c>
      <c r="L195" s="82" t="str">
        <f aca="false">IF(OR(J195="",K195=""),"",ROUND((J195+2*K195)/3,2))</f>
        <v/>
      </c>
      <c r="M195" s="83" t="str">
        <f aca="false">IF(E195="","",IFERROR(INDEX(PARAMETRES!$D$18:$D$23,MATCH(E195,PARAMETRES!$B$18:$B$23,0)),""))</f>
        <v/>
      </c>
      <c r="N195" s="81" t="str">
        <f aca="false">IF(E195="","",IFERROR(INDEX(PARAMETRES!$C$18:$C$23,MATCH(E195,PARAMETRES!$B$18:$B$23,0)),""))</f>
        <v/>
      </c>
      <c r="O195" s="45" t="str">
        <f aca="false">IF(B195="","",IF(F195="ABANDON","ABANDON",IF(F195="TRANSFERE","TRANSFERE",IF(L195="","",IF(L195&gt;=N195,"ADMIS","REDOUBLE")))))</f>
        <v/>
      </c>
      <c r="P195" s="73" t="str">
        <f aca="false">IF(OR(L195="",F195&lt;&gt;"PRESENT"),"",COUNTIFS($E$10:$E$250,E195,$F$10:$F$250,"PRESENT",$L$10:$L$250,"&gt;"&amp;L195)+1)</f>
        <v/>
      </c>
      <c r="Q195" s="74" t="str">
        <f aca="false">IF(O195="ADMIS",IF(L195/M195*10&gt;=8,"Très bien",IF(L195/M195*10&gt;=7,"Bien",IF(L195/M195*10&gt;=6,"Assez bien","Passable"))),IF(O195="REDOUBLE","Insuffisant",""))</f>
        <v/>
      </c>
      <c r="R195" s="51" t="str">
        <f aca="false">IFERROR(MATCH("P-186",'REGISTRE ELEVES'!$AH$10:$AH$250,0),"")</f>
        <v/>
      </c>
    </row>
    <row r="196" customFormat="false" ht="15" hidden="false" customHeight="false" outlineLevel="0" collapsed="false">
      <c r="A196" s="45" t="str">
        <f aca="false">IF(B196="","",187)</f>
        <v/>
      </c>
      <c r="B196" s="45" t="str">
        <f aca="false">IF($R196="","",INDEX('REGISTRE ELEVES'!$B$10:$B$250,$R196))</f>
        <v/>
      </c>
      <c r="C196" s="74" t="str">
        <f aca="false">IF($R196="","",INDEX('REGISTRE ELEVES'!$D$10:$D$250,$R196))</f>
        <v/>
      </c>
      <c r="D196" s="45" t="str">
        <f aca="false">IF($R196="","",INDEX('REGISTRE ELEVES'!$E$10:$E$250,$R196))</f>
        <v/>
      </c>
      <c r="E196" s="45" t="str">
        <f aca="false">IF($R196="","",INDEX('REGISTRE ELEVES'!$F$10:$F$250,$R196))</f>
        <v/>
      </c>
      <c r="F196" s="45" t="str">
        <f aca="false">IF($R196="","",INDEX('REGISTRE ELEVES'!$AE$10:$AE$250,$R196))</f>
        <v/>
      </c>
      <c r="G196" s="80" t="str">
        <f aca="false">IF(B196="","",IFERROR(IF(LEFT(E196,2)="CP",INDEX('NOTES CP'!$P$10:$P$250,MATCH(B196,'NOTES CP'!$B$10:$B$250,0)),IF(E196="CE1",INDEX('NOTES CE1'!$M$10:$M$250,MATCH(B196,'NOTES CE1'!$B$10:$B$250,0)),INDEX('NOTES CE2-CM1'!$M$10:$M$250,MATCH(B196,'NOTES CE2-CM1'!$B$10:$B$250,0)))),""))</f>
        <v/>
      </c>
      <c r="H196" s="80" t="str">
        <f aca="false">IF(B196="","",IFERROR(IF(LEFT(E196,2)="CP",INDEX('NOTES CP'!$Z$10:$Z$250,MATCH(B196,'NOTES CP'!$B$10:$B$250,0)),IF(E196="CE1",INDEX('NOTES CE1'!$T$10:$T$250,MATCH(B196,'NOTES CE1'!$B$10:$B$250,0)),INDEX('NOTES CE2-CM1'!$T$10:$T$250,MATCH(B196,'NOTES CE2-CM1'!$B$10:$B$250,0)))),""))</f>
        <v/>
      </c>
      <c r="I196" s="80" t="str">
        <f aca="false">IF(B196="","",IFERROR(IF(LEFT(E196,2)="CP",INDEX('NOTES CP'!$AJ$10:$AJ$250,MATCH(B196,'NOTES CP'!$B$10:$B$250,0)),IF(E196="CE1",INDEX('NOTES CE1'!$AA$10:$AA$250,MATCH(B196,'NOTES CE1'!$B$10:$B$250,0)),INDEX('NOTES CE2-CM1'!$AA$10:$AA$250,MATCH(B196,'NOTES CE2-CM1'!$B$10:$B$250,0)))),""))</f>
        <v/>
      </c>
      <c r="J196" s="81" t="str">
        <f aca="false">IF(COUNT(G196:I196)=0,"",ROUND(AVERAGE(G196:I196),2))</f>
        <v/>
      </c>
      <c r="K196" s="80" t="str">
        <f aca="false">IF(B196="","",IFERROR(IF(LEFT(E196,2)="CP",INDEX('NOTES CP'!$AT$10:$AT$250,MATCH(B196,'NOTES CP'!$B$10:$B$250,0)),IF(E196="CE1",INDEX('NOTES CE1'!$AH$10:$AH$250,MATCH(B196,'NOTES CE1'!$B$10:$B$250,0)),INDEX('NOTES CE2-CM1'!$AH$10:$AH$250,MATCH(B196,'NOTES CE2-CM1'!$B$10:$B$250,0)))),""))</f>
        <v/>
      </c>
      <c r="L196" s="82" t="str">
        <f aca="false">IF(OR(J196="",K196=""),"",ROUND((J196+2*K196)/3,2))</f>
        <v/>
      </c>
      <c r="M196" s="83" t="str">
        <f aca="false">IF(E196="","",IFERROR(INDEX(PARAMETRES!$D$18:$D$23,MATCH(E196,PARAMETRES!$B$18:$B$23,0)),""))</f>
        <v/>
      </c>
      <c r="N196" s="81" t="str">
        <f aca="false">IF(E196="","",IFERROR(INDEX(PARAMETRES!$C$18:$C$23,MATCH(E196,PARAMETRES!$B$18:$B$23,0)),""))</f>
        <v/>
      </c>
      <c r="O196" s="45" t="str">
        <f aca="false">IF(B196="","",IF(F196="ABANDON","ABANDON",IF(F196="TRANSFERE","TRANSFERE",IF(L196="","",IF(L196&gt;=N196,"ADMIS","REDOUBLE")))))</f>
        <v/>
      </c>
      <c r="P196" s="73" t="str">
        <f aca="false">IF(OR(L196="",F196&lt;&gt;"PRESENT"),"",COUNTIFS($E$10:$E$250,E196,$F$10:$F$250,"PRESENT",$L$10:$L$250,"&gt;"&amp;L196)+1)</f>
        <v/>
      </c>
      <c r="Q196" s="74" t="str">
        <f aca="false">IF(O196="ADMIS",IF(L196/M196*10&gt;=8,"Très bien",IF(L196/M196*10&gt;=7,"Bien",IF(L196/M196*10&gt;=6,"Assez bien","Passable"))),IF(O196="REDOUBLE","Insuffisant",""))</f>
        <v/>
      </c>
      <c r="R196" s="51" t="str">
        <f aca="false">IFERROR(MATCH("P-187",'REGISTRE ELEVES'!$AH$10:$AH$250,0),"")</f>
        <v/>
      </c>
    </row>
    <row r="197" customFormat="false" ht="15" hidden="false" customHeight="false" outlineLevel="0" collapsed="false">
      <c r="A197" s="45" t="str">
        <f aca="false">IF(B197="","",188)</f>
        <v/>
      </c>
      <c r="B197" s="45" t="str">
        <f aca="false">IF($R197="","",INDEX('REGISTRE ELEVES'!$B$10:$B$250,$R197))</f>
        <v/>
      </c>
      <c r="C197" s="74" t="str">
        <f aca="false">IF($R197="","",INDEX('REGISTRE ELEVES'!$D$10:$D$250,$R197))</f>
        <v/>
      </c>
      <c r="D197" s="45" t="str">
        <f aca="false">IF($R197="","",INDEX('REGISTRE ELEVES'!$E$10:$E$250,$R197))</f>
        <v/>
      </c>
      <c r="E197" s="45" t="str">
        <f aca="false">IF($R197="","",INDEX('REGISTRE ELEVES'!$F$10:$F$250,$R197))</f>
        <v/>
      </c>
      <c r="F197" s="45" t="str">
        <f aca="false">IF($R197="","",INDEX('REGISTRE ELEVES'!$AE$10:$AE$250,$R197))</f>
        <v/>
      </c>
      <c r="G197" s="80" t="str">
        <f aca="false">IF(B197="","",IFERROR(IF(LEFT(E197,2)="CP",INDEX('NOTES CP'!$P$10:$P$250,MATCH(B197,'NOTES CP'!$B$10:$B$250,0)),IF(E197="CE1",INDEX('NOTES CE1'!$M$10:$M$250,MATCH(B197,'NOTES CE1'!$B$10:$B$250,0)),INDEX('NOTES CE2-CM1'!$M$10:$M$250,MATCH(B197,'NOTES CE2-CM1'!$B$10:$B$250,0)))),""))</f>
        <v/>
      </c>
      <c r="H197" s="80" t="str">
        <f aca="false">IF(B197="","",IFERROR(IF(LEFT(E197,2)="CP",INDEX('NOTES CP'!$Z$10:$Z$250,MATCH(B197,'NOTES CP'!$B$10:$B$250,0)),IF(E197="CE1",INDEX('NOTES CE1'!$T$10:$T$250,MATCH(B197,'NOTES CE1'!$B$10:$B$250,0)),INDEX('NOTES CE2-CM1'!$T$10:$T$250,MATCH(B197,'NOTES CE2-CM1'!$B$10:$B$250,0)))),""))</f>
        <v/>
      </c>
      <c r="I197" s="80" t="str">
        <f aca="false">IF(B197="","",IFERROR(IF(LEFT(E197,2)="CP",INDEX('NOTES CP'!$AJ$10:$AJ$250,MATCH(B197,'NOTES CP'!$B$10:$B$250,0)),IF(E197="CE1",INDEX('NOTES CE1'!$AA$10:$AA$250,MATCH(B197,'NOTES CE1'!$B$10:$B$250,0)),INDEX('NOTES CE2-CM1'!$AA$10:$AA$250,MATCH(B197,'NOTES CE2-CM1'!$B$10:$B$250,0)))),""))</f>
        <v/>
      </c>
      <c r="J197" s="81" t="str">
        <f aca="false">IF(COUNT(G197:I197)=0,"",ROUND(AVERAGE(G197:I197),2))</f>
        <v/>
      </c>
      <c r="K197" s="80" t="str">
        <f aca="false">IF(B197="","",IFERROR(IF(LEFT(E197,2)="CP",INDEX('NOTES CP'!$AT$10:$AT$250,MATCH(B197,'NOTES CP'!$B$10:$B$250,0)),IF(E197="CE1",INDEX('NOTES CE1'!$AH$10:$AH$250,MATCH(B197,'NOTES CE1'!$B$10:$B$250,0)),INDEX('NOTES CE2-CM1'!$AH$10:$AH$250,MATCH(B197,'NOTES CE2-CM1'!$B$10:$B$250,0)))),""))</f>
        <v/>
      </c>
      <c r="L197" s="82" t="str">
        <f aca="false">IF(OR(J197="",K197=""),"",ROUND((J197+2*K197)/3,2))</f>
        <v/>
      </c>
      <c r="M197" s="83" t="str">
        <f aca="false">IF(E197="","",IFERROR(INDEX(PARAMETRES!$D$18:$D$23,MATCH(E197,PARAMETRES!$B$18:$B$23,0)),""))</f>
        <v/>
      </c>
      <c r="N197" s="81" t="str">
        <f aca="false">IF(E197="","",IFERROR(INDEX(PARAMETRES!$C$18:$C$23,MATCH(E197,PARAMETRES!$B$18:$B$23,0)),""))</f>
        <v/>
      </c>
      <c r="O197" s="45" t="str">
        <f aca="false">IF(B197="","",IF(F197="ABANDON","ABANDON",IF(F197="TRANSFERE","TRANSFERE",IF(L197="","",IF(L197&gt;=N197,"ADMIS","REDOUBLE")))))</f>
        <v/>
      </c>
      <c r="P197" s="73" t="str">
        <f aca="false">IF(OR(L197="",F197&lt;&gt;"PRESENT"),"",COUNTIFS($E$10:$E$250,E197,$F$10:$F$250,"PRESENT",$L$10:$L$250,"&gt;"&amp;L197)+1)</f>
        <v/>
      </c>
      <c r="Q197" s="74" t="str">
        <f aca="false">IF(O197="ADMIS",IF(L197/M197*10&gt;=8,"Très bien",IF(L197/M197*10&gt;=7,"Bien",IF(L197/M197*10&gt;=6,"Assez bien","Passable"))),IF(O197="REDOUBLE","Insuffisant",""))</f>
        <v/>
      </c>
      <c r="R197" s="51" t="str">
        <f aca="false">IFERROR(MATCH("P-188",'REGISTRE ELEVES'!$AH$10:$AH$250,0),"")</f>
        <v/>
      </c>
    </row>
    <row r="198" customFormat="false" ht="15" hidden="false" customHeight="false" outlineLevel="0" collapsed="false">
      <c r="A198" s="45" t="str">
        <f aca="false">IF(B198="","",189)</f>
        <v/>
      </c>
      <c r="B198" s="45" t="str">
        <f aca="false">IF($R198="","",INDEX('REGISTRE ELEVES'!$B$10:$B$250,$R198))</f>
        <v/>
      </c>
      <c r="C198" s="74" t="str">
        <f aca="false">IF($R198="","",INDEX('REGISTRE ELEVES'!$D$10:$D$250,$R198))</f>
        <v/>
      </c>
      <c r="D198" s="45" t="str">
        <f aca="false">IF($R198="","",INDEX('REGISTRE ELEVES'!$E$10:$E$250,$R198))</f>
        <v/>
      </c>
      <c r="E198" s="45" t="str">
        <f aca="false">IF($R198="","",INDEX('REGISTRE ELEVES'!$F$10:$F$250,$R198))</f>
        <v/>
      </c>
      <c r="F198" s="45" t="str">
        <f aca="false">IF($R198="","",INDEX('REGISTRE ELEVES'!$AE$10:$AE$250,$R198))</f>
        <v/>
      </c>
      <c r="G198" s="80" t="str">
        <f aca="false">IF(B198="","",IFERROR(IF(LEFT(E198,2)="CP",INDEX('NOTES CP'!$P$10:$P$250,MATCH(B198,'NOTES CP'!$B$10:$B$250,0)),IF(E198="CE1",INDEX('NOTES CE1'!$M$10:$M$250,MATCH(B198,'NOTES CE1'!$B$10:$B$250,0)),INDEX('NOTES CE2-CM1'!$M$10:$M$250,MATCH(B198,'NOTES CE2-CM1'!$B$10:$B$250,0)))),""))</f>
        <v/>
      </c>
      <c r="H198" s="80" t="str">
        <f aca="false">IF(B198="","",IFERROR(IF(LEFT(E198,2)="CP",INDEX('NOTES CP'!$Z$10:$Z$250,MATCH(B198,'NOTES CP'!$B$10:$B$250,0)),IF(E198="CE1",INDEX('NOTES CE1'!$T$10:$T$250,MATCH(B198,'NOTES CE1'!$B$10:$B$250,0)),INDEX('NOTES CE2-CM1'!$T$10:$T$250,MATCH(B198,'NOTES CE2-CM1'!$B$10:$B$250,0)))),""))</f>
        <v/>
      </c>
      <c r="I198" s="80" t="str">
        <f aca="false">IF(B198="","",IFERROR(IF(LEFT(E198,2)="CP",INDEX('NOTES CP'!$AJ$10:$AJ$250,MATCH(B198,'NOTES CP'!$B$10:$B$250,0)),IF(E198="CE1",INDEX('NOTES CE1'!$AA$10:$AA$250,MATCH(B198,'NOTES CE1'!$B$10:$B$250,0)),INDEX('NOTES CE2-CM1'!$AA$10:$AA$250,MATCH(B198,'NOTES CE2-CM1'!$B$10:$B$250,0)))),""))</f>
        <v/>
      </c>
      <c r="J198" s="81" t="str">
        <f aca="false">IF(COUNT(G198:I198)=0,"",ROUND(AVERAGE(G198:I198),2))</f>
        <v/>
      </c>
      <c r="K198" s="80" t="str">
        <f aca="false">IF(B198="","",IFERROR(IF(LEFT(E198,2)="CP",INDEX('NOTES CP'!$AT$10:$AT$250,MATCH(B198,'NOTES CP'!$B$10:$B$250,0)),IF(E198="CE1",INDEX('NOTES CE1'!$AH$10:$AH$250,MATCH(B198,'NOTES CE1'!$B$10:$B$250,0)),INDEX('NOTES CE2-CM1'!$AH$10:$AH$250,MATCH(B198,'NOTES CE2-CM1'!$B$10:$B$250,0)))),""))</f>
        <v/>
      </c>
      <c r="L198" s="82" t="str">
        <f aca="false">IF(OR(J198="",K198=""),"",ROUND((J198+2*K198)/3,2))</f>
        <v/>
      </c>
      <c r="M198" s="83" t="str">
        <f aca="false">IF(E198="","",IFERROR(INDEX(PARAMETRES!$D$18:$D$23,MATCH(E198,PARAMETRES!$B$18:$B$23,0)),""))</f>
        <v/>
      </c>
      <c r="N198" s="81" t="str">
        <f aca="false">IF(E198="","",IFERROR(INDEX(PARAMETRES!$C$18:$C$23,MATCH(E198,PARAMETRES!$B$18:$B$23,0)),""))</f>
        <v/>
      </c>
      <c r="O198" s="45" t="str">
        <f aca="false">IF(B198="","",IF(F198="ABANDON","ABANDON",IF(F198="TRANSFERE","TRANSFERE",IF(L198="","",IF(L198&gt;=N198,"ADMIS","REDOUBLE")))))</f>
        <v/>
      </c>
      <c r="P198" s="73" t="str">
        <f aca="false">IF(OR(L198="",F198&lt;&gt;"PRESENT"),"",COUNTIFS($E$10:$E$250,E198,$F$10:$F$250,"PRESENT",$L$10:$L$250,"&gt;"&amp;L198)+1)</f>
        <v/>
      </c>
      <c r="Q198" s="74" t="str">
        <f aca="false">IF(O198="ADMIS",IF(L198/M198*10&gt;=8,"Très bien",IF(L198/M198*10&gt;=7,"Bien",IF(L198/M198*10&gt;=6,"Assez bien","Passable"))),IF(O198="REDOUBLE","Insuffisant",""))</f>
        <v/>
      </c>
      <c r="R198" s="51" t="str">
        <f aca="false">IFERROR(MATCH("P-189",'REGISTRE ELEVES'!$AH$10:$AH$250,0),"")</f>
        <v/>
      </c>
    </row>
    <row r="199" customFormat="false" ht="15" hidden="false" customHeight="false" outlineLevel="0" collapsed="false">
      <c r="A199" s="45" t="str">
        <f aca="false">IF(B199="","",190)</f>
        <v/>
      </c>
      <c r="B199" s="45" t="str">
        <f aca="false">IF($R199="","",INDEX('REGISTRE ELEVES'!$B$10:$B$250,$R199))</f>
        <v/>
      </c>
      <c r="C199" s="74" t="str">
        <f aca="false">IF($R199="","",INDEX('REGISTRE ELEVES'!$D$10:$D$250,$R199))</f>
        <v/>
      </c>
      <c r="D199" s="45" t="str">
        <f aca="false">IF($R199="","",INDEX('REGISTRE ELEVES'!$E$10:$E$250,$R199))</f>
        <v/>
      </c>
      <c r="E199" s="45" t="str">
        <f aca="false">IF($R199="","",INDEX('REGISTRE ELEVES'!$F$10:$F$250,$R199))</f>
        <v/>
      </c>
      <c r="F199" s="45" t="str">
        <f aca="false">IF($R199="","",INDEX('REGISTRE ELEVES'!$AE$10:$AE$250,$R199))</f>
        <v/>
      </c>
      <c r="G199" s="80" t="str">
        <f aca="false">IF(B199="","",IFERROR(IF(LEFT(E199,2)="CP",INDEX('NOTES CP'!$P$10:$P$250,MATCH(B199,'NOTES CP'!$B$10:$B$250,0)),IF(E199="CE1",INDEX('NOTES CE1'!$M$10:$M$250,MATCH(B199,'NOTES CE1'!$B$10:$B$250,0)),INDEX('NOTES CE2-CM1'!$M$10:$M$250,MATCH(B199,'NOTES CE2-CM1'!$B$10:$B$250,0)))),""))</f>
        <v/>
      </c>
      <c r="H199" s="80" t="str">
        <f aca="false">IF(B199="","",IFERROR(IF(LEFT(E199,2)="CP",INDEX('NOTES CP'!$Z$10:$Z$250,MATCH(B199,'NOTES CP'!$B$10:$B$250,0)),IF(E199="CE1",INDEX('NOTES CE1'!$T$10:$T$250,MATCH(B199,'NOTES CE1'!$B$10:$B$250,0)),INDEX('NOTES CE2-CM1'!$T$10:$T$250,MATCH(B199,'NOTES CE2-CM1'!$B$10:$B$250,0)))),""))</f>
        <v/>
      </c>
      <c r="I199" s="80" t="str">
        <f aca="false">IF(B199="","",IFERROR(IF(LEFT(E199,2)="CP",INDEX('NOTES CP'!$AJ$10:$AJ$250,MATCH(B199,'NOTES CP'!$B$10:$B$250,0)),IF(E199="CE1",INDEX('NOTES CE1'!$AA$10:$AA$250,MATCH(B199,'NOTES CE1'!$B$10:$B$250,0)),INDEX('NOTES CE2-CM1'!$AA$10:$AA$250,MATCH(B199,'NOTES CE2-CM1'!$B$10:$B$250,0)))),""))</f>
        <v/>
      </c>
      <c r="J199" s="81" t="str">
        <f aca="false">IF(COUNT(G199:I199)=0,"",ROUND(AVERAGE(G199:I199),2))</f>
        <v/>
      </c>
      <c r="K199" s="80" t="str">
        <f aca="false">IF(B199="","",IFERROR(IF(LEFT(E199,2)="CP",INDEX('NOTES CP'!$AT$10:$AT$250,MATCH(B199,'NOTES CP'!$B$10:$B$250,0)),IF(E199="CE1",INDEX('NOTES CE1'!$AH$10:$AH$250,MATCH(B199,'NOTES CE1'!$B$10:$B$250,0)),INDEX('NOTES CE2-CM1'!$AH$10:$AH$250,MATCH(B199,'NOTES CE2-CM1'!$B$10:$B$250,0)))),""))</f>
        <v/>
      </c>
      <c r="L199" s="82" t="str">
        <f aca="false">IF(OR(J199="",K199=""),"",ROUND((J199+2*K199)/3,2))</f>
        <v/>
      </c>
      <c r="M199" s="83" t="str">
        <f aca="false">IF(E199="","",IFERROR(INDEX(PARAMETRES!$D$18:$D$23,MATCH(E199,PARAMETRES!$B$18:$B$23,0)),""))</f>
        <v/>
      </c>
      <c r="N199" s="81" t="str">
        <f aca="false">IF(E199="","",IFERROR(INDEX(PARAMETRES!$C$18:$C$23,MATCH(E199,PARAMETRES!$B$18:$B$23,0)),""))</f>
        <v/>
      </c>
      <c r="O199" s="45" t="str">
        <f aca="false">IF(B199="","",IF(F199="ABANDON","ABANDON",IF(F199="TRANSFERE","TRANSFERE",IF(L199="","",IF(L199&gt;=N199,"ADMIS","REDOUBLE")))))</f>
        <v/>
      </c>
      <c r="P199" s="73" t="str">
        <f aca="false">IF(OR(L199="",F199&lt;&gt;"PRESENT"),"",COUNTIFS($E$10:$E$250,E199,$F$10:$F$250,"PRESENT",$L$10:$L$250,"&gt;"&amp;L199)+1)</f>
        <v/>
      </c>
      <c r="Q199" s="74" t="str">
        <f aca="false">IF(O199="ADMIS",IF(L199/M199*10&gt;=8,"Très bien",IF(L199/M199*10&gt;=7,"Bien",IF(L199/M199*10&gt;=6,"Assez bien","Passable"))),IF(O199="REDOUBLE","Insuffisant",""))</f>
        <v/>
      </c>
      <c r="R199" s="51" t="str">
        <f aca="false">IFERROR(MATCH("P-190",'REGISTRE ELEVES'!$AH$10:$AH$250,0),"")</f>
        <v/>
      </c>
    </row>
    <row r="200" customFormat="false" ht="15" hidden="false" customHeight="false" outlineLevel="0" collapsed="false">
      <c r="A200" s="45" t="str">
        <f aca="false">IF(B200="","",191)</f>
        <v/>
      </c>
      <c r="B200" s="45" t="str">
        <f aca="false">IF($R200="","",INDEX('REGISTRE ELEVES'!$B$10:$B$250,$R200))</f>
        <v/>
      </c>
      <c r="C200" s="74" t="str">
        <f aca="false">IF($R200="","",INDEX('REGISTRE ELEVES'!$D$10:$D$250,$R200))</f>
        <v/>
      </c>
      <c r="D200" s="45" t="str">
        <f aca="false">IF($R200="","",INDEX('REGISTRE ELEVES'!$E$10:$E$250,$R200))</f>
        <v/>
      </c>
      <c r="E200" s="45" t="str">
        <f aca="false">IF($R200="","",INDEX('REGISTRE ELEVES'!$F$10:$F$250,$R200))</f>
        <v/>
      </c>
      <c r="F200" s="45" t="str">
        <f aca="false">IF($R200="","",INDEX('REGISTRE ELEVES'!$AE$10:$AE$250,$R200))</f>
        <v/>
      </c>
      <c r="G200" s="80" t="str">
        <f aca="false">IF(B200="","",IFERROR(IF(LEFT(E200,2)="CP",INDEX('NOTES CP'!$P$10:$P$250,MATCH(B200,'NOTES CP'!$B$10:$B$250,0)),IF(E200="CE1",INDEX('NOTES CE1'!$M$10:$M$250,MATCH(B200,'NOTES CE1'!$B$10:$B$250,0)),INDEX('NOTES CE2-CM1'!$M$10:$M$250,MATCH(B200,'NOTES CE2-CM1'!$B$10:$B$250,0)))),""))</f>
        <v/>
      </c>
      <c r="H200" s="80" t="str">
        <f aca="false">IF(B200="","",IFERROR(IF(LEFT(E200,2)="CP",INDEX('NOTES CP'!$Z$10:$Z$250,MATCH(B200,'NOTES CP'!$B$10:$B$250,0)),IF(E200="CE1",INDEX('NOTES CE1'!$T$10:$T$250,MATCH(B200,'NOTES CE1'!$B$10:$B$250,0)),INDEX('NOTES CE2-CM1'!$T$10:$T$250,MATCH(B200,'NOTES CE2-CM1'!$B$10:$B$250,0)))),""))</f>
        <v/>
      </c>
      <c r="I200" s="80" t="str">
        <f aca="false">IF(B200="","",IFERROR(IF(LEFT(E200,2)="CP",INDEX('NOTES CP'!$AJ$10:$AJ$250,MATCH(B200,'NOTES CP'!$B$10:$B$250,0)),IF(E200="CE1",INDEX('NOTES CE1'!$AA$10:$AA$250,MATCH(B200,'NOTES CE1'!$B$10:$B$250,0)),INDEX('NOTES CE2-CM1'!$AA$10:$AA$250,MATCH(B200,'NOTES CE2-CM1'!$B$10:$B$250,0)))),""))</f>
        <v/>
      </c>
      <c r="J200" s="81" t="str">
        <f aca="false">IF(COUNT(G200:I200)=0,"",ROUND(AVERAGE(G200:I200),2))</f>
        <v/>
      </c>
      <c r="K200" s="80" t="str">
        <f aca="false">IF(B200="","",IFERROR(IF(LEFT(E200,2)="CP",INDEX('NOTES CP'!$AT$10:$AT$250,MATCH(B200,'NOTES CP'!$B$10:$B$250,0)),IF(E200="CE1",INDEX('NOTES CE1'!$AH$10:$AH$250,MATCH(B200,'NOTES CE1'!$B$10:$B$250,0)),INDEX('NOTES CE2-CM1'!$AH$10:$AH$250,MATCH(B200,'NOTES CE2-CM1'!$B$10:$B$250,0)))),""))</f>
        <v/>
      </c>
      <c r="L200" s="82" t="str">
        <f aca="false">IF(OR(J200="",K200=""),"",ROUND((J200+2*K200)/3,2))</f>
        <v/>
      </c>
      <c r="M200" s="83" t="str">
        <f aca="false">IF(E200="","",IFERROR(INDEX(PARAMETRES!$D$18:$D$23,MATCH(E200,PARAMETRES!$B$18:$B$23,0)),""))</f>
        <v/>
      </c>
      <c r="N200" s="81" t="str">
        <f aca="false">IF(E200="","",IFERROR(INDEX(PARAMETRES!$C$18:$C$23,MATCH(E200,PARAMETRES!$B$18:$B$23,0)),""))</f>
        <v/>
      </c>
      <c r="O200" s="45" t="str">
        <f aca="false">IF(B200="","",IF(F200="ABANDON","ABANDON",IF(F200="TRANSFERE","TRANSFERE",IF(L200="","",IF(L200&gt;=N200,"ADMIS","REDOUBLE")))))</f>
        <v/>
      </c>
      <c r="P200" s="73" t="str">
        <f aca="false">IF(OR(L200="",F200&lt;&gt;"PRESENT"),"",COUNTIFS($E$10:$E$250,E200,$F$10:$F$250,"PRESENT",$L$10:$L$250,"&gt;"&amp;L200)+1)</f>
        <v/>
      </c>
      <c r="Q200" s="74" t="str">
        <f aca="false">IF(O200="ADMIS",IF(L200/M200*10&gt;=8,"Très bien",IF(L200/M200*10&gt;=7,"Bien",IF(L200/M200*10&gt;=6,"Assez bien","Passable"))),IF(O200="REDOUBLE","Insuffisant",""))</f>
        <v/>
      </c>
      <c r="R200" s="51" t="str">
        <f aca="false">IFERROR(MATCH("P-191",'REGISTRE ELEVES'!$AH$10:$AH$250,0),"")</f>
        <v/>
      </c>
    </row>
    <row r="201" customFormat="false" ht="15" hidden="false" customHeight="false" outlineLevel="0" collapsed="false">
      <c r="A201" s="45" t="str">
        <f aca="false">IF(B201="","",192)</f>
        <v/>
      </c>
      <c r="B201" s="45" t="str">
        <f aca="false">IF($R201="","",INDEX('REGISTRE ELEVES'!$B$10:$B$250,$R201))</f>
        <v/>
      </c>
      <c r="C201" s="74" t="str">
        <f aca="false">IF($R201="","",INDEX('REGISTRE ELEVES'!$D$10:$D$250,$R201))</f>
        <v/>
      </c>
      <c r="D201" s="45" t="str">
        <f aca="false">IF($R201="","",INDEX('REGISTRE ELEVES'!$E$10:$E$250,$R201))</f>
        <v/>
      </c>
      <c r="E201" s="45" t="str">
        <f aca="false">IF($R201="","",INDEX('REGISTRE ELEVES'!$F$10:$F$250,$R201))</f>
        <v/>
      </c>
      <c r="F201" s="45" t="str">
        <f aca="false">IF($R201="","",INDEX('REGISTRE ELEVES'!$AE$10:$AE$250,$R201))</f>
        <v/>
      </c>
      <c r="G201" s="80" t="str">
        <f aca="false">IF(B201="","",IFERROR(IF(LEFT(E201,2)="CP",INDEX('NOTES CP'!$P$10:$P$250,MATCH(B201,'NOTES CP'!$B$10:$B$250,0)),IF(E201="CE1",INDEX('NOTES CE1'!$M$10:$M$250,MATCH(B201,'NOTES CE1'!$B$10:$B$250,0)),INDEX('NOTES CE2-CM1'!$M$10:$M$250,MATCH(B201,'NOTES CE2-CM1'!$B$10:$B$250,0)))),""))</f>
        <v/>
      </c>
      <c r="H201" s="80" t="str">
        <f aca="false">IF(B201="","",IFERROR(IF(LEFT(E201,2)="CP",INDEX('NOTES CP'!$Z$10:$Z$250,MATCH(B201,'NOTES CP'!$B$10:$B$250,0)),IF(E201="CE1",INDEX('NOTES CE1'!$T$10:$T$250,MATCH(B201,'NOTES CE1'!$B$10:$B$250,0)),INDEX('NOTES CE2-CM1'!$T$10:$T$250,MATCH(B201,'NOTES CE2-CM1'!$B$10:$B$250,0)))),""))</f>
        <v/>
      </c>
      <c r="I201" s="80" t="str">
        <f aca="false">IF(B201="","",IFERROR(IF(LEFT(E201,2)="CP",INDEX('NOTES CP'!$AJ$10:$AJ$250,MATCH(B201,'NOTES CP'!$B$10:$B$250,0)),IF(E201="CE1",INDEX('NOTES CE1'!$AA$10:$AA$250,MATCH(B201,'NOTES CE1'!$B$10:$B$250,0)),INDEX('NOTES CE2-CM1'!$AA$10:$AA$250,MATCH(B201,'NOTES CE2-CM1'!$B$10:$B$250,0)))),""))</f>
        <v/>
      </c>
      <c r="J201" s="81" t="str">
        <f aca="false">IF(COUNT(G201:I201)=0,"",ROUND(AVERAGE(G201:I201),2))</f>
        <v/>
      </c>
      <c r="K201" s="80" t="str">
        <f aca="false">IF(B201="","",IFERROR(IF(LEFT(E201,2)="CP",INDEX('NOTES CP'!$AT$10:$AT$250,MATCH(B201,'NOTES CP'!$B$10:$B$250,0)),IF(E201="CE1",INDEX('NOTES CE1'!$AH$10:$AH$250,MATCH(B201,'NOTES CE1'!$B$10:$B$250,0)),INDEX('NOTES CE2-CM1'!$AH$10:$AH$250,MATCH(B201,'NOTES CE2-CM1'!$B$10:$B$250,0)))),""))</f>
        <v/>
      </c>
      <c r="L201" s="82" t="str">
        <f aca="false">IF(OR(J201="",K201=""),"",ROUND((J201+2*K201)/3,2))</f>
        <v/>
      </c>
      <c r="M201" s="83" t="str">
        <f aca="false">IF(E201="","",IFERROR(INDEX(PARAMETRES!$D$18:$D$23,MATCH(E201,PARAMETRES!$B$18:$B$23,0)),""))</f>
        <v/>
      </c>
      <c r="N201" s="81" t="str">
        <f aca="false">IF(E201="","",IFERROR(INDEX(PARAMETRES!$C$18:$C$23,MATCH(E201,PARAMETRES!$B$18:$B$23,0)),""))</f>
        <v/>
      </c>
      <c r="O201" s="45" t="str">
        <f aca="false">IF(B201="","",IF(F201="ABANDON","ABANDON",IF(F201="TRANSFERE","TRANSFERE",IF(L201="","",IF(L201&gt;=N201,"ADMIS","REDOUBLE")))))</f>
        <v/>
      </c>
      <c r="P201" s="73" t="str">
        <f aca="false">IF(OR(L201="",F201&lt;&gt;"PRESENT"),"",COUNTIFS($E$10:$E$250,E201,$F$10:$F$250,"PRESENT",$L$10:$L$250,"&gt;"&amp;L201)+1)</f>
        <v/>
      </c>
      <c r="Q201" s="74" t="str">
        <f aca="false">IF(O201="ADMIS",IF(L201/M201*10&gt;=8,"Très bien",IF(L201/M201*10&gt;=7,"Bien",IF(L201/M201*10&gt;=6,"Assez bien","Passable"))),IF(O201="REDOUBLE","Insuffisant",""))</f>
        <v/>
      </c>
      <c r="R201" s="51" t="str">
        <f aca="false">IFERROR(MATCH("P-192",'REGISTRE ELEVES'!$AH$10:$AH$250,0),"")</f>
        <v/>
      </c>
    </row>
    <row r="202" customFormat="false" ht="15" hidden="false" customHeight="false" outlineLevel="0" collapsed="false">
      <c r="A202" s="45" t="str">
        <f aca="false">IF(B202="","",193)</f>
        <v/>
      </c>
      <c r="B202" s="45" t="str">
        <f aca="false">IF($R202="","",INDEX('REGISTRE ELEVES'!$B$10:$B$250,$R202))</f>
        <v/>
      </c>
      <c r="C202" s="74" t="str">
        <f aca="false">IF($R202="","",INDEX('REGISTRE ELEVES'!$D$10:$D$250,$R202))</f>
        <v/>
      </c>
      <c r="D202" s="45" t="str">
        <f aca="false">IF($R202="","",INDEX('REGISTRE ELEVES'!$E$10:$E$250,$R202))</f>
        <v/>
      </c>
      <c r="E202" s="45" t="str">
        <f aca="false">IF($R202="","",INDEX('REGISTRE ELEVES'!$F$10:$F$250,$R202))</f>
        <v/>
      </c>
      <c r="F202" s="45" t="str">
        <f aca="false">IF($R202="","",INDEX('REGISTRE ELEVES'!$AE$10:$AE$250,$R202))</f>
        <v/>
      </c>
      <c r="G202" s="80" t="str">
        <f aca="false">IF(B202="","",IFERROR(IF(LEFT(E202,2)="CP",INDEX('NOTES CP'!$P$10:$P$250,MATCH(B202,'NOTES CP'!$B$10:$B$250,0)),IF(E202="CE1",INDEX('NOTES CE1'!$M$10:$M$250,MATCH(B202,'NOTES CE1'!$B$10:$B$250,0)),INDEX('NOTES CE2-CM1'!$M$10:$M$250,MATCH(B202,'NOTES CE2-CM1'!$B$10:$B$250,0)))),""))</f>
        <v/>
      </c>
      <c r="H202" s="80" t="str">
        <f aca="false">IF(B202="","",IFERROR(IF(LEFT(E202,2)="CP",INDEX('NOTES CP'!$Z$10:$Z$250,MATCH(B202,'NOTES CP'!$B$10:$B$250,0)),IF(E202="CE1",INDEX('NOTES CE1'!$T$10:$T$250,MATCH(B202,'NOTES CE1'!$B$10:$B$250,0)),INDEX('NOTES CE2-CM1'!$T$10:$T$250,MATCH(B202,'NOTES CE2-CM1'!$B$10:$B$250,0)))),""))</f>
        <v/>
      </c>
      <c r="I202" s="80" t="str">
        <f aca="false">IF(B202="","",IFERROR(IF(LEFT(E202,2)="CP",INDEX('NOTES CP'!$AJ$10:$AJ$250,MATCH(B202,'NOTES CP'!$B$10:$B$250,0)),IF(E202="CE1",INDEX('NOTES CE1'!$AA$10:$AA$250,MATCH(B202,'NOTES CE1'!$B$10:$B$250,0)),INDEX('NOTES CE2-CM1'!$AA$10:$AA$250,MATCH(B202,'NOTES CE2-CM1'!$B$10:$B$250,0)))),""))</f>
        <v/>
      </c>
      <c r="J202" s="81" t="str">
        <f aca="false">IF(COUNT(G202:I202)=0,"",ROUND(AVERAGE(G202:I202),2))</f>
        <v/>
      </c>
      <c r="K202" s="80" t="str">
        <f aca="false">IF(B202="","",IFERROR(IF(LEFT(E202,2)="CP",INDEX('NOTES CP'!$AT$10:$AT$250,MATCH(B202,'NOTES CP'!$B$10:$B$250,0)),IF(E202="CE1",INDEX('NOTES CE1'!$AH$10:$AH$250,MATCH(B202,'NOTES CE1'!$B$10:$B$250,0)),INDEX('NOTES CE2-CM1'!$AH$10:$AH$250,MATCH(B202,'NOTES CE2-CM1'!$B$10:$B$250,0)))),""))</f>
        <v/>
      </c>
      <c r="L202" s="82" t="str">
        <f aca="false">IF(OR(J202="",K202=""),"",ROUND((J202+2*K202)/3,2))</f>
        <v/>
      </c>
      <c r="M202" s="83" t="str">
        <f aca="false">IF(E202="","",IFERROR(INDEX(PARAMETRES!$D$18:$D$23,MATCH(E202,PARAMETRES!$B$18:$B$23,0)),""))</f>
        <v/>
      </c>
      <c r="N202" s="81" t="str">
        <f aca="false">IF(E202="","",IFERROR(INDEX(PARAMETRES!$C$18:$C$23,MATCH(E202,PARAMETRES!$B$18:$B$23,0)),""))</f>
        <v/>
      </c>
      <c r="O202" s="45" t="str">
        <f aca="false">IF(B202="","",IF(F202="ABANDON","ABANDON",IF(F202="TRANSFERE","TRANSFERE",IF(L202="","",IF(L202&gt;=N202,"ADMIS","REDOUBLE")))))</f>
        <v/>
      </c>
      <c r="P202" s="73" t="str">
        <f aca="false">IF(OR(L202="",F202&lt;&gt;"PRESENT"),"",COUNTIFS($E$10:$E$250,E202,$F$10:$F$250,"PRESENT",$L$10:$L$250,"&gt;"&amp;L202)+1)</f>
        <v/>
      </c>
      <c r="Q202" s="74" t="str">
        <f aca="false">IF(O202="ADMIS",IF(L202/M202*10&gt;=8,"Très bien",IF(L202/M202*10&gt;=7,"Bien",IF(L202/M202*10&gt;=6,"Assez bien","Passable"))),IF(O202="REDOUBLE","Insuffisant",""))</f>
        <v/>
      </c>
      <c r="R202" s="51" t="str">
        <f aca="false">IFERROR(MATCH("P-193",'REGISTRE ELEVES'!$AH$10:$AH$250,0),"")</f>
        <v/>
      </c>
    </row>
    <row r="203" customFormat="false" ht="15" hidden="false" customHeight="false" outlineLevel="0" collapsed="false">
      <c r="A203" s="45" t="str">
        <f aca="false">IF(B203="","",194)</f>
        <v/>
      </c>
      <c r="B203" s="45" t="str">
        <f aca="false">IF($R203="","",INDEX('REGISTRE ELEVES'!$B$10:$B$250,$R203))</f>
        <v/>
      </c>
      <c r="C203" s="74" t="str">
        <f aca="false">IF($R203="","",INDEX('REGISTRE ELEVES'!$D$10:$D$250,$R203))</f>
        <v/>
      </c>
      <c r="D203" s="45" t="str">
        <f aca="false">IF($R203="","",INDEX('REGISTRE ELEVES'!$E$10:$E$250,$R203))</f>
        <v/>
      </c>
      <c r="E203" s="45" t="str">
        <f aca="false">IF($R203="","",INDEX('REGISTRE ELEVES'!$F$10:$F$250,$R203))</f>
        <v/>
      </c>
      <c r="F203" s="45" t="str">
        <f aca="false">IF($R203="","",INDEX('REGISTRE ELEVES'!$AE$10:$AE$250,$R203))</f>
        <v/>
      </c>
      <c r="G203" s="80" t="str">
        <f aca="false">IF(B203="","",IFERROR(IF(LEFT(E203,2)="CP",INDEX('NOTES CP'!$P$10:$P$250,MATCH(B203,'NOTES CP'!$B$10:$B$250,0)),IF(E203="CE1",INDEX('NOTES CE1'!$M$10:$M$250,MATCH(B203,'NOTES CE1'!$B$10:$B$250,0)),INDEX('NOTES CE2-CM1'!$M$10:$M$250,MATCH(B203,'NOTES CE2-CM1'!$B$10:$B$250,0)))),""))</f>
        <v/>
      </c>
      <c r="H203" s="80" t="str">
        <f aca="false">IF(B203="","",IFERROR(IF(LEFT(E203,2)="CP",INDEX('NOTES CP'!$Z$10:$Z$250,MATCH(B203,'NOTES CP'!$B$10:$B$250,0)),IF(E203="CE1",INDEX('NOTES CE1'!$T$10:$T$250,MATCH(B203,'NOTES CE1'!$B$10:$B$250,0)),INDEX('NOTES CE2-CM1'!$T$10:$T$250,MATCH(B203,'NOTES CE2-CM1'!$B$10:$B$250,0)))),""))</f>
        <v/>
      </c>
      <c r="I203" s="80" t="str">
        <f aca="false">IF(B203="","",IFERROR(IF(LEFT(E203,2)="CP",INDEX('NOTES CP'!$AJ$10:$AJ$250,MATCH(B203,'NOTES CP'!$B$10:$B$250,0)),IF(E203="CE1",INDEX('NOTES CE1'!$AA$10:$AA$250,MATCH(B203,'NOTES CE1'!$B$10:$B$250,0)),INDEX('NOTES CE2-CM1'!$AA$10:$AA$250,MATCH(B203,'NOTES CE2-CM1'!$B$10:$B$250,0)))),""))</f>
        <v/>
      </c>
      <c r="J203" s="81" t="str">
        <f aca="false">IF(COUNT(G203:I203)=0,"",ROUND(AVERAGE(G203:I203),2))</f>
        <v/>
      </c>
      <c r="K203" s="80" t="str">
        <f aca="false">IF(B203="","",IFERROR(IF(LEFT(E203,2)="CP",INDEX('NOTES CP'!$AT$10:$AT$250,MATCH(B203,'NOTES CP'!$B$10:$B$250,0)),IF(E203="CE1",INDEX('NOTES CE1'!$AH$10:$AH$250,MATCH(B203,'NOTES CE1'!$B$10:$B$250,0)),INDEX('NOTES CE2-CM1'!$AH$10:$AH$250,MATCH(B203,'NOTES CE2-CM1'!$B$10:$B$250,0)))),""))</f>
        <v/>
      </c>
      <c r="L203" s="82" t="str">
        <f aca="false">IF(OR(J203="",K203=""),"",ROUND((J203+2*K203)/3,2))</f>
        <v/>
      </c>
      <c r="M203" s="83" t="str">
        <f aca="false">IF(E203="","",IFERROR(INDEX(PARAMETRES!$D$18:$D$23,MATCH(E203,PARAMETRES!$B$18:$B$23,0)),""))</f>
        <v/>
      </c>
      <c r="N203" s="81" t="str">
        <f aca="false">IF(E203="","",IFERROR(INDEX(PARAMETRES!$C$18:$C$23,MATCH(E203,PARAMETRES!$B$18:$B$23,0)),""))</f>
        <v/>
      </c>
      <c r="O203" s="45" t="str">
        <f aca="false">IF(B203="","",IF(F203="ABANDON","ABANDON",IF(F203="TRANSFERE","TRANSFERE",IF(L203="","",IF(L203&gt;=N203,"ADMIS","REDOUBLE")))))</f>
        <v/>
      </c>
      <c r="P203" s="73" t="str">
        <f aca="false">IF(OR(L203="",F203&lt;&gt;"PRESENT"),"",COUNTIFS($E$10:$E$250,E203,$F$10:$F$250,"PRESENT",$L$10:$L$250,"&gt;"&amp;L203)+1)</f>
        <v/>
      </c>
      <c r="Q203" s="74" t="str">
        <f aca="false">IF(O203="ADMIS",IF(L203/M203*10&gt;=8,"Très bien",IF(L203/M203*10&gt;=7,"Bien",IF(L203/M203*10&gt;=6,"Assez bien","Passable"))),IF(O203="REDOUBLE","Insuffisant",""))</f>
        <v/>
      </c>
      <c r="R203" s="51" t="str">
        <f aca="false">IFERROR(MATCH("P-194",'REGISTRE ELEVES'!$AH$10:$AH$250,0),"")</f>
        <v/>
      </c>
    </row>
    <row r="204" customFormat="false" ht="15" hidden="false" customHeight="false" outlineLevel="0" collapsed="false">
      <c r="A204" s="45" t="str">
        <f aca="false">IF(B204="","",195)</f>
        <v/>
      </c>
      <c r="B204" s="45" t="str">
        <f aca="false">IF($R204="","",INDEX('REGISTRE ELEVES'!$B$10:$B$250,$R204))</f>
        <v/>
      </c>
      <c r="C204" s="74" t="str">
        <f aca="false">IF($R204="","",INDEX('REGISTRE ELEVES'!$D$10:$D$250,$R204))</f>
        <v/>
      </c>
      <c r="D204" s="45" t="str">
        <f aca="false">IF($R204="","",INDEX('REGISTRE ELEVES'!$E$10:$E$250,$R204))</f>
        <v/>
      </c>
      <c r="E204" s="45" t="str">
        <f aca="false">IF($R204="","",INDEX('REGISTRE ELEVES'!$F$10:$F$250,$R204))</f>
        <v/>
      </c>
      <c r="F204" s="45" t="str">
        <f aca="false">IF($R204="","",INDEX('REGISTRE ELEVES'!$AE$10:$AE$250,$R204))</f>
        <v/>
      </c>
      <c r="G204" s="80" t="str">
        <f aca="false">IF(B204="","",IFERROR(IF(LEFT(E204,2)="CP",INDEX('NOTES CP'!$P$10:$P$250,MATCH(B204,'NOTES CP'!$B$10:$B$250,0)),IF(E204="CE1",INDEX('NOTES CE1'!$M$10:$M$250,MATCH(B204,'NOTES CE1'!$B$10:$B$250,0)),INDEX('NOTES CE2-CM1'!$M$10:$M$250,MATCH(B204,'NOTES CE2-CM1'!$B$10:$B$250,0)))),""))</f>
        <v/>
      </c>
      <c r="H204" s="80" t="str">
        <f aca="false">IF(B204="","",IFERROR(IF(LEFT(E204,2)="CP",INDEX('NOTES CP'!$Z$10:$Z$250,MATCH(B204,'NOTES CP'!$B$10:$B$250,0)),IF(E204="CE1",INDEX('NOTES CE1'!$T$10:$T$250,MATCH(B204,'NOTES CE1'!$B$10:$B$250,0)),INDEX('NOTES CE2-CM1'!$T$10:$T$250,MATCH(B204,'NOTES CE2-CM1'!$B$10:$B$250,0)))),""))</f>
        <v/>
      </c>
      <c r="I204" s="80" t="str">
        <f aca="false">IF(B204="","",IFERROR(IF(LEFT(E204,2)="CP",INDEX('NOTES CP'!$AJ$10:$AJ$250,MATCH(B204,'NOTES CP'!$B$10:$B$250,0)),IF(E204="CE1",INDEX('NOTES CE1'!$AA$10:$AA$250,MATCH(B204,'NOTES CE1'!$B$10:$B$250,0)),INDEX('NOTES CE2-CM1'!$AA$10:$AA$250,MATCH(B204,'NOTES CE2-CM1'!$B$10:$B$250,0)))),""))</f>
        <v/>
      </c>
      <c r="J204" s="81" t="str">
        <f aca="false">IF(COUNT(G204:I204)=0,"",ROUND(AVERAGE(G204:I204),2))</f>
        <v/>
      </c>
      <c r="K204" s="80" t="str">
        <f aca="false">IF(B204="","",IFERROR(IF(LEFT(E204,2)="CP",INDEX('NOTES CP'!$AT$10:$AT$250,MATCH(B204,'NOTES CP'!$B$10:$B$250,0)),IF(E204="CE1",INDEX('NOTES CE1'!$AH$10:$AH$250,MATCH(B204,'NOTES CE1'!$B$10:$B$250,0)),INDEX('NOTES CE2-CM1'!$AH$10:$AH$250,MATCH(B204,'NOTES CE2-CM1'!$B$10:$B$250,0)))),""))</f>
        <v/>
      </c>
      <c r="L204" s="82" t="str">
        <f aca="false">IF(OR(J204="",K204=""),"",ROUND((J204+2*K204)/3,2))</f>
        <v/>
      </c>
      <c r="M204" s="83" t="str">
        <f aca="false">IF(E204="","",IFERROR(INDEX(PARAMETRES!$D$18:$D$23,MATCH(E204,PARAMETRES!$B$18:$B$23,0)),""))</f>
        <v/>
      </c>
      <c r="N204" s="81" t="str">
        <f aca="false">IF(E204="","",IFERROR(INDEX(PARAMETRES!$C$18:$C$23,MATCH(E204,PARAMETRES!$B$18:$B$23,0)),""))</f>
        <v/>
      </c>
      <c r="O204" s="45" t="str">
        <f aca="false">IF(B204="","",IF(F204="ABANDON","ABANDON",IF(F204="TRANSFERE","TRANSFERE",IF(L204="","",IF(L204&gt;=N204,"ADMIS","REDOUBLE")))))</f>
        <v/>
      </c>
      <c r="P204" s="73" t="str">
        <f aca="false">IF(OR(L204="",F204&lt;&gt;"PRESENT"),"",COUNTIFS($E$10:$E$250,E204,$F$10:$F$250,"PRESENT",$L$10:$L$250,"&gt;"&amp;L204)+1)</f>
        <v/>
      </c>
      <c r="Q204" s="74" t="str">
        <f aca="false">IF(O204="ADMIS",IF(L204/M204*10&gt;=8,"Très bien",IF(L204/M204*10&gt;=7,"Bien",IF(L204/M204*10&gt;=6,"Assez bien","Passable"))),IF(O204="REDOUBLE","Insuffisant",""))</f>
        <v/>
      </c>
      <c r="R204" s="51" t="str">
        <f aca="false">IFERROR(MATCH("P-195",'REGISTRE ELEVES'!$AH$10:$AH$250,0),"")</f>
        <v/>
      </c>
    </row>
    <row r="205" customFormat="false" ht="15" hidden="false" customHeight="false" outlineLevel="0" collapsed="false">
      <c r="A205" s="45" t="str">
        <f aca="false">IF(B205="","",196)</f>
        <v/>
      </c>
      <c r="B205" s="45" t="str">
        <f aca="false">IF($R205="","",INDEX('REGISTRE ELEVES'!$B$10:$B$250,$R205))</f>
        <v/>
      </c>
      <c r="C205" s="74" t="str">
        <f aca="false">IF($R205="","",INDEX('REGISTRE ELEVES'!$D$10:$D$250,$R205))</f>
        <v/>
      </c>
      <c r="D205" s="45" t="str">
        <f aca="false">IF($R205="","",INDEX('REGISTRE ELEVES'!$E$10:$E$250,$R205))</f>
        <v/>
      </c>
      <c r="E205" s="45" t="str">
        <f aca="false">IF($R205="","",INDEX('REGISTRE ELEVES'!$F$10:$F$250,$R205))</f>
        <v/>
      </c>
      <c r="F205" s="45" t="str">
        <f aca="false">IF($R205="","",INDEX('REGISTRE ELEVES'!$AE$10:$AE$250,$R205))</f>
        <v/>
      </c>
      <c r="G205" s="80" t="str">
        <f aca="false">IF(B205="","",IFERROR(IF(LEFT(E205,2)="CP",INDEX('NOTES CP'!$P$10:$P$250,MATCH(B205,'NOTES CP'!$B$10:$B$250,0)),IF(E205="CE1",INDEX('NOTES CE1'!$M$10:$M$250,MATCH(B205,'NOTES CE1'!$B$10:$B$250,0)),INDEX('NOTES CE2-CM1'!$M$10:$M$250,MATCH(B205,'NOTES CE2-CM1'!$B$10:$B$250,0)))),""))</f>
        <v/>
      </c>
      <c r="H205" s="80" t="str">
        <f aca="false">IF(B205="","",IFERROR(IF(LEFT(E205,2)="CP",INDEX('NOTES CP'!$Z$10:$Z$250,MATCH(B205,'NOTES CP'!$B$10:$B$250,0)),IF(E205="CE1",INDEX('NOTES CE1'!$T$10:$T$250,MATCH(B205,'NOTES CE1'!$B$10:$B$250,0)),INDEX('NOTES CE2-CM1'!$T$10:$T$250,MATCH(B205,'NOTES CE2-CM1'!$B$10:$B$250,0)))),""))</f>
        <v/>
      </c>
      <c r="I205" s="80" t="str">
        <f aca="false">IF(B205="","",IFERROR(IF(LEFT(E205,2)="CP",INDEX('NOTES CP'!$AJ$10:$AJ$250,MATCH(B205,'NOTES CP'!$B$10:$B$250,0)),IF(E205="CE1",INDEX('NOTES CE1'!$AA$10:$AA$250,MATCH(B205,'NOTES CE1'!$B$10:$B$250,0)),INDEX('NOTES CE2-CM1'!$AA$10:$AA$250,MATCH(B205,'NOTES CE2-CM1'!$B$10:$B$250,0)))),""))</f>
        <v/>
      </c>
      <c r="J205" s="81" t="str">
        <f aca="false">IF(COUNT(G205:I205)=0,"",ROUND(AVERAGE(G205:I205),2))</f>
        <v/>
      </c>
      <c r="K205" s="80" t="str">
        <f aca="false">IF(B205="","",IFERROR(IF(LEFT(E205,2)="CP",INDEX('NOTES CP'!$AT$10:$AT$250,MATCH(B205,'NOTES CP'!$B$10:$B$250,0)),IF(E205="CE1",INDEX('NOTES CE1'!$AH$10:$AH$250,MATCH(B205,'NOTES CE1'!$B$10:$B$250,0)),INDEX('NOTES CE2-CM1'!$AH$10:$AH$250,MATCH(B205,'NOTES CE2-CM1'!$B$10:$B$250,0)))),""))</f>
        <v/>
      </c>
      <c r="L205" s="82" t="str">
        <f aca="false">IF(OR(J205="",K205=""),"",ROUND((J205+2*K205)/3,2))</f>
        <v/>
      </c>
      <c r="M205" s="83" t="str">
        <f aca="false">IF(E205="","",IFERROR(INDEX(PARAMETRES!$D$18:$D$23,MATCH(E205,PARAMETRES!$B$18:$B$23,0)),""))</f>
        <v/>
      </c>
      <c r="N205" s="81" t="str">
        <f aca="false">IF(E205="","",IFERROR(INDEX(PARAMETRES!$C$18:$C$23,MATCH(E205,PARAMETRES!$B$18:$B$23,0)),""))</f>
        <v/>
      </c>
      <c r="O205" s="45" t="str">
        <f aca="false">IF(B205="","",IF(F205="ABANDON","ABANDON",IF(F205="TRANSFERE","TRANSFERE",IF(L205="","",IF(L205&gt;=N205,"ADMIS","REDOUBLE")))))</f>
        <v/>
      </c>
      <c r="P205" s="73" t="str">
        <f aca="false">IF(OR(L205="",F205&lt;&gt;"PRESENT"),"",COUNTIFS($E$10:$E$250,E205,$F$10:$F$250,"PRESENT",$L$10:$L$250,"&gt;"&amp;L205)+1)</f>
        <v/>
      </c>
      <c r="Q205" s="74" t="str">
        <f aca="false">IF(O205="ADMIS",IF(L205/M205*10&gt;=8,"Très bien",IF(L205/M205*10&gt;=7,"Bien",IF(L205/M205*10&gt;=6,"Assez bien","Passable"))),IF(O205="REDOUBLE","Insuffisant",""))</f>
        <v/>
      </c>
      <c r="R205" s="51" t="str">
        <f aca="false">IFERROR(MATCH("P-196",'REGISTRE ELEVES'!$AH$10:$AH$250,0),"")</f>
        <v/>
      </c>
    </row>
    <row r="206" customFormat="false" ht="15" hidden="false" customHeight="false" outlineLevel="0" collapsed="false">
      <c r="A206" s="45" t="str">
        <f aca="false">IF(B206="","",197)</f>
        <v/>
      </c>
      <c r="B206" s="45" t="str">
        <f aca="false">IF($R206="","",INDEX('REGISTRE ELEVES'!$B$10:$B$250,$R206))</f>
        <v/>
      </c>
      <c r="C206" s="74" t="str">
        <f aca="false">IF($R206="","",INDEX('REGISTRE ELEVES'!$D$10:$D$250,$R206))</f>
        <v/>
      </c>
      <c r="D206" s="45" t="str">
        <f aca="false">IF($R206="","",INDEX('REGISTRE ELEVES'!$E$10:$E$250,$R206))</f>
        <v/>
      </c>
      <c r="E206" s="45" t="str">
        <f aca="false">IF($R206="","",INDEX('REGISTRE ELEVES'!$F$10:$F$250,$R206))</f>
        <v/>
      </c>
      <c r="F206" s="45" t="str">
        <f aca="false">IF($R206="","",INDEX('REGISTRE ELEVES'!$AE$10:$AE$250,$R206))</f>
        <v/>
      </c>
      <c r="G206" s="80" t="str">
        <f aca="false">IF(B206="","",IFERROR(IF(LEFT(E206,2)="CP",INDEX('NOTES CP'!$P$10:$P$250,MATCH(B206,'NOTES CP'!$B$10:$B$250,0)),IF(E206="CE1",INDEX('NOTES CE1'!$M$10:$M$250,MATCH(B206,'NOTES CE1'!$B$10:$B$250,0)),INDEX('NOTES CE2-CM1'!$M$10:$M$250,MATCH(B206,'NOTES CE2-CM1'!$B$10:$B$250,0)))),""))</f>
        <v/>
      </c>
      <c r="H206" s="80" t="str">
        <f aca="false">IF(B206="","",IFERROR(IF(LEFT(E206,2)="CP",INDEX('NOTES CP'!$Z$10:$Z$250,MATCH(B206,'NOTES CP'!$B$10:$B$250,0)),IF(E206="CE1",INDEX('NOTES CE1'!$T$10:$T$250,MATCH(B206,'NOTES CE1'!$B$10:$B$250,0)),INDEX('NOTES CE2-CM1'!$T$10:$T$250,MATCH(B206,'NOTES CE2-CM1'!$B$10:$B$250,0)))),""))</f>
        <v/>
      </c>
      <c r="I206" s="80" t="str">
        <f aca="false">IF(B206="","",IFERROR(IF(LEFT(E206,2)="CP",INDEX('NOTES CP'!$AJ$10:$AJ$250,MATCH(B206,'NOTES CP'!$B$10:$B$250,0)),IF(E206="CE1",INDEX('NOTES CE1'!$AA$10:$AA$250,MATCH(B206,'NOTES CE1'!$B$10:$B$250,0)),INDEX('NOTES CE2-CM1'!$AA$10:$AA$250,MATCH(B206,'NOTES CE2-CM1'!$B$10:$B$250,0)))),""))</f>
        <v/>
      </c>
      <c r="J206" s="81" t="str">
        <f aca="false">IF(COUNT(G206:I206)=0,"",ROUND(AVERAGE(G206:I206),2))</f>
        <v/>
      </c>
      <c r="K206" s="80" t="str">
        <f aca="false">IF(B206="","",IFERROR(IF(LEFT(E206,2)="CP",INDEX('NOTES CP'!$AT$10:$AT$250,MATCH(B206,'NOTES CP'!$B$10:$B$250,0)),IF(E206="CE1",INDEX('NOTES CE1'!$AH$10:$AH$250,MATCH(B206,'NOTES CE1'!$B$10:$B$250,0)),INDEX('NOTES CE2-CM1'!$AH$10:$AH$250,MATCH(B206,'NOTES CE2-CM1'!$B$10:$B$250,0)))),""))</f>
        <v/>
      </c>
      <c r="L206" s="82" t="str">
        <f aca="false">IF(OR(J206="",K206=""),"",ROUND((J206+2*K206)/3,2))</f>
        <v/>
      </c>
      <c r="M206" s="83" t="str">
        <f aca="false">IF(E206="","",IFERROR(INDEX(PARAMETRES!$D$18:$D$23,MATCH(E206,PARAMETRES!$B$18:$B$23,0)),""))</f>
        <v/>
      </c>
      <c r="N206" s="81" t="str">
        <f aca="false">IF(E206="","",IFERROR(INDEX(PARAMETRES!$C$18:$C$23,MATCH(E206,PARAMETRES!$B$18:$B$23,0)),""))</f>
        <v/>
      </c>
      <c r="O206" s="45" t="str">
        <f aca="false">IF(B206="","",IF(F206="ABANDON","ABANDON",IF(F206="TRANSFERE","TRANSFERE",IF(L206="","",IF(L206&gt;=N206,"ADMIS","REDOUBLE")))))</f>
        <v/>
      </c>
      <c r="P206" s="73" t="str">
        <f aca="false">IF(OR(L206="",F206&lt;&gt;"PRESENT"),"",COUNTIFS($E$10:$E$250,E206,$F$10:$F$250,"PRESENT",$L$10:$L$250,"&gt;"&amp;L206)+1)</f>
        <v/>
      </c>
      <c r="Q206" s="74" t="str">
        <f aca="false">IF(O206="ADMIS",IF(L206/M206*10&gt;=8,"Très bien",IF(L206/M206*10&gt;=7,"Bien",IF(L206/M206*10&gt;=6,"Assez bien","Passable"))),IF(O206="REDOUBLE","Insuffisant",""))</f>
        <v/>
      </c>
      <c r="R206" s="51" t="str">
        <f aca="false">IFERROR(MATCH("P-197",'REGISTRE ELEVES'!$AH$10:$AH$250,0),"")</f>
        <v/>
      </c>
    </row>
    <row r="207" customFormat="false" ht="15" hidden="false" customHeight="false" outlineLevel="0" collapsed="false">
      <c r="A207" s="45" t="str">
        <f aca="false">IF(B207="","",198)</f>
        <v/>
      </c>
      <c r="B207" s="45" t="str">
        <f aca="false">IF($R207="","",INDEX('REGISTRE ELEVES'!$B$10:$B$250,$R207))</f>
        <v/>
      </c>
      <c r="C207" s="74" t="str">
        <f aca="false">IF($R207="","",INDEX('REGISTRE ELEVES'!$D$10:$D$250,$R207))</f>
        <v/>
      </c>
      <c r="D207" s="45" t="str">
        <f aca="false">IF($R207="","",INDEX('REGISTRE ELEVES'!$E$10:$E$250,$R207))</f>
        <v/>
      </c>
      <c r="E207" s="45" t="str">
        <f aca="false">IF($R207="","",INDEX('REGISTRE ELEVES'!$F$10:$F$250,$R207))</f>
        <v/>
      </c>
      <c r="F207" s="45" t="str">
        <f aca="false">IF($R207="","",INDEX('REGISTRE ELEVES'!$AE$10:$AE$250,$R207))</f>
        <v/>
      </c>
      <c r="G207" s="80" t="str">
        <f aca="false">IF(B207="","",IFERROR(IF(LEFT(E207,2)="CP",INDEX('NOTES CP'!$P$10:$P$250,MATCH(B207,'NOTES CP'!$B$10:$B$250,0)),IF(E207="CE1",INDEX('NOTES CE1'!$M$10:$M$250,MATCH(B207,'NOTES CE1'!$B$10:$B$250,0)),INDEX('NOTES CE2-CM1'!$M$10:$M$250,MATCH(B207,'NOTES CE2-CM1'!$B$10:$B$250,0)))),""))</f>
        <v/>
      </c>
      <c r="H207" s="80" t="str">
        <f aca="false">IF(B207="","",IFERROR(IF(LEFT(E207,2)="CP",INDEX('NOTES CP'!$Z$10:$Z$250,MATCH(B207,'NOTES CP'!$B$10:$B$250,0)),IF(E207="CE1",INDEX('NOTES CE1'!$T$10:$T$250,MATCH(B207,'NOTES CE1'!$B$10:$B$250,0)),INDEX('NOTES CE2-CM1'!$T$10:$T$250,MATCH(B207,'NOTES CE2-CM1'!$B$10:$B$250,0)))),""))</f>
        <v/>
      </c>
      <c r="I207" s="80" t="str">
        <f aca="false">IF(B207="","",IFERROR(IF(LEFT(E207,2)="CP",INDEX('NOTES CP'!$AJ$10:$AJ$250,MATCH(B207,'NOTES CP'!$B$10:$B$250,0)),IF(E207="CE1",INDEX('NOTES CE1'!$AA$10:$AA$250,MATCH(B207,'NOTES CE1'!$B$10:$B$250,0)),INDEX('NOTES CE2-CM1'!$AA$10:$AA$250,MATCH(B207,'NOTES CE2-CM1'!$B$10:$B$250,0)))),""))</f>
        <v/>
      </c>
      <c r="J207" s="81" t="str">
        <f aca="false">IF(COUNT(G207:I207)=0,"",ROUND(AVERAGE(G207:I207),2))</f>
        <v/>
      </c>
      <c r="K207" s="80" t="str">
        <f aca="false">IF(B207="","",IFERROR(IF(LEFT(E207,2)="CP",INDEX('NOTES CP'!$AT$10:$AT$250,MATCH(B207,'NOTES CP'!$B$10:$B$250,0)),IF(E207="CE1",INDEX('NOTES CE1'!$AH$10:$AH$250,MATCH(B207,'NOTES CE1'!$B$10:$B$250,0)),INDEX('NOTES CE2-CM1'!$AH$10:$AH$250,MATCH(B207,'NOTES CE2-CM1'!$B$10:$B$250,0)))),""))</f>
        <v/>
      </c>
      <c r="L207" s="82" t="str">
        <f aca="false">IF(OR(J207="",K207=""),"",ROUND((J207+2*K207)/3,2))</f>
        <v/>
      </c>
      <c r="M207" s="83" t="str">
        <f aca="false">IF(E207="","",IFERROR(INDEX(PARAMETRES!$D$18:$D$23,MATCH(E207,PARAMETRES!$B$18:$B$23,0)),""))</f>
        <v/>
      </c>
      <c r="N207" s="81" t="str">
        <f aca="false">IF(E207="","",IFERROR(INDEX(PARAMETRES!$C$18:$C$23,MATCH(E207,PARAMETRES!$B$18:$B$23,0)),""))</f>
        <v/>
      </c>
      <c r="O207" s="45" t="str">
        <f aca="false">IF(B207="","",IF(F207="ABANDON","ABANDON",IF(F207="TRANSFERE","TRANSFERE",IF(L207="","",IF(L207&gt;=N207,"ADMIS","REDOUBLE")))))</f>
        <v/>
      </c>
      <c r="P207" s="73" t="str">
        <f aca="false">IF(OR(L207="",F207&lt;&gt;"PRESENT"),"",COUNTIFS($E$10:$E$250,E207,$F$10:$F$250,"PRESENT",$L$10:$L$250,"&gt;"&amp;L207)+1)</f>
        <v/>
      </c>
      <c r="Q207" s="74" t="str">
        <f aca="false">IF(O207="ADMIS",IF(L207/M207*10&gt;=8,"Très bien",IF(L207/M207*10&gt;=7,"Bien",IF(L207/M207*10&gt;=6,"Assez bien","Passable"))),IF(O207="REDOUBLE","Insuffisant",""))</f>
        <v/>
      </c>
      <c r="R207" s="51" t="str">
        <f aca="false">IFERROR(MATCH("P-198",'REGISTRE ELEVES'!$AH$10:$AH$250,0),"")</f>
        <v/>
      </c>
    </row>
    <row r="208" customFormat="false" ht="15" hidden="false" customHeight="false" outlineLevel="0" collapsed="false">
      <c r="A208" s="45" t="str">
        <f aca="false">IF(B208="","",199)</f>
        <v/>
      </c>
      <c r="B208" s="45" t="str">
        <f aca="false">IF($R208="","",INDEX('REGISTRE ELEVES'!$B$10:$B$250,$R208))</f>
        <v/>
      </c>
      <c r="C208" s="74" t="str">
        <f aca="false">IF($R208="","",INDEX('REGISTRE ELEVES'!$D$10:$D$250,$R208))</f>
        <v/>
      </c>
      <c r="D208" s="45" t="str">
        <f aca="false">IF($R208="","",INDEX('REGISTRE ELEVES'!$E$10:$E$250,$R208))</f>
        <v/>
      </c>
      <c r="E208" s="45" t="str">
        <f aca="false">IF($R208="","",INDEX('REGISTRE ELEVES'!$F$10:$F$250,$R208))</f>
        <v/>
      </c>
      <c r="F208" s="45" t="str">
        <f aca="false">IF($R208="","",INDEX('REGISTRE ELEVES'!$AE$10:$AE$250,$R208))</f>
        <v/>
      </c>
      <c r="G208" s="80" t="str">
        <f aca="false">IF(B208="","",IFERROR(IF(LEFT(E208,2)="CP",INDEX('NOTES CP'!$P$10:$P$250,MATCH(B208,'NOTES CP'!$B$10:$B$250,0)),IF(E208="CE1",INDEX('NOTES CE1'!$M$10:$M$250,MATCH(B208,'NOTES CE1'!$B$10:$B$250,0)),INDEX('NOTES CE2-CM1'!$M$10:$M$250,MATCH(B208,'NOTES CE2-CM1'!$B$10:$B$250,0)))),""))</f>
        <v/>
      </c>
      <c r="H208" s="80" t="str">
        <f aca="false">IF(B208="","",IFERROR(IF(LEFT(E208,2)="CP",INDEX('NOTES CP'!$Z$10:$Z$250,MATCH(B208,'NOTES CP'!$B$10:$B$250,0)),IF(E208="CE1",INDEX('NOTES CE1'!$T$10:$T$250,MATCH(B208,'NOTES CE1'!$B$10:$B$250,0)),INDEX('NOTES CE2-CM1'!$T$10:$T$250,MATCH(B208,'NOTES CE2-CM1'!$B$10:$B$250,0)))),""))</f>
        <v/>
      </c>
      <c r="I208" s="80" t="str">
        <f aca="false">IF(B208="","",IFERROR(IF(LEFT(E208,2)="CP",INDEX('NOTES CP'!$AJ$10:$AJ$250,MATCH(B208,'NOTES CP'!$B$10:$B$250,0)),IF(E208="CE1",INDEX('NOTES CE1'!$AA$10:$AA$250,MATCH(B208,'NOTES CE1'!$B$10:$B$250,0)),INDEX('NOTES CE2-CM1'!$AA$10:$AA$250,MATCH(B208,'NOTES CE2-CM1'!$B$10:$B$250,0)))),""))</f>
        <v/>
      </c>
      <c r="J208" s="81" t="str">
        <f aca="false">IF(COUNT(G208:I208)=0,"",ROUND(AVERAGE(G208:I208),2))</f>
        <v/>
      </c>
      <c r="K208" s="80" t="str">
        <f aca="false">IF(B208="","",IFERROR(IF(LEFT(E208,2)="CP",INDEX('NOTES CP'!$AT$10:$AT$250,MATCH(B208,'NOTES CP'!$B$10:$B$250,0)),IF(E208="CE1",INDEX('NOTES CE1'!$AH$10:$AH$250,MATCH(B208,'NOTES CE1'!$B$10:$B$250,0)),INDEX('NOTES CE2-CM1'!$AH$10:$AH$250,MATCH(B208,'NOTES CE2-CM1'!$B$10:$B$250,0)))),""))</f>
        <v/>
      </c>
      <c r="L208" s="82" t="str">
        <f aca="false">IF(OR(J208="",K208=""),"",ROUND((J208+2*K208)/3,2))</f>
        <v/>
      </c>
      <c r="M208" s="83" t="str">
        <f aca="false">IF(E208="","",IFERROR(INDEX(PARAMETRES!$D$18:$D$23,MATCH(E208,PARAMETRES!$B$18:$B$23,0)),""))</f>
        <v/>
      </c>
      <c r="N208" s="81" t="str">
        <f aca="false">IF(E208="","",IFERROR(INDEX(PARAMETRES!$C$18:$C$23,MATCH(E208,PARAMETRES!$B$18:$B$23,0)),""))</f>
        <v/>
      </c>
      <c r="O208" s="45" t="str">
        <f aca="false">IF(B208="","",IF(F208="ABANDON","ABANDON",IF(F208="TRANSFERE","TRANSFERE",IF(L208="","",IF(L208&gt;=N208,"ADMIS","REDOUBLE")))))</f>
        <v/>
      </c>
      <c r="P208" s="73" t="str">
        <f aca="false">IF(OR(L208="",F208&lt;&gt;"PRESENT"),"",COUNTIFS($E$10:$E$250,E208,$F$10:$F$250,"PRESENT",$L$10:$L$250,"&gt;"&amp;L208)+1)</f>
        <v/>
      </c>
      <c r="Q208" s="74" t="str">
        <f aca="false">IF(O208="ADMIS",IF(L208/M208*10&gt;=8,"Très bien",IF(L208/M208*10&gt;=7,"Bien",IF(L208/M208*10&gt;=6,"Assez bien","Passable"))),IF(O208="REDOUBLE","Insuffisant",""))</f>
        <v/>
      </c>
      <c r="R208" s="51" t="str">
        <f aca="false">IFERROR(MATCH("P-199",'REGISTRE ELEVES'!$AH$10:$AH$250,0),"")</f>
        <v/>
      </c>
    </row>
    <row r="209" customFormat="false" ht="15" hidden="false" customHeight="false" outlineLevel="0" collapsed="false">
      <c r="A209" s="45" t="str">
        <f aca="false">IF(B209="","",200)</f>
        <v/>
      </c>
      <c r="B209" s="45" t="str">
        <f aca="false">IF($R209="","",INDEX('REGISTRE ELEVES'!$B$10:$B$250,$R209))</f>
        <v/>
      </c>
      <c r="C209" s="74" t="str">
        <f aca="false">IF($R209="","",INDEX('REGISTRE ELEVES'!$D$10:$D$250,$R209))</f>
        <v/>
      </c>
      <c r="D209" s="45" t="str">
        <f aca="false">IF($R209="","",INDEX('REGISTRE ELEVES'!$E$10:$E$250,$R209))</f>
        <v/>
      </c>
      <c r="E209" s="45" t="str">
        <f aca="false">IF($R209="","",INDEX('REGISTRE ELEVES'!$F$10:$F$250,$R209))</f>
        <v/>
      </c>
      <c r="F209" s="45" t="str">
        <f aca="false">IF($R209="","",INDEX('REGISTRE ELEVES'!$AE$10:$AE$250,$R209))</f>
        <v/>
      </c>
      <c r="G209" s="80" t="str">
        <f aca="false">IF(B209="","",IFERROR(IF(LEFT(E209,2)="CP",INDEX('NOTES CP'!$P$10:$P$250,MATCH(B209,'NOTES CP'!$B$10:$B$250,0)),IF(E209="CE1",INDEX('NOTES CE1'!$M$10:$M$250,MATCH(B209,'NOTES CE1'!$B$10:$B$250,0)),INDEX('NOTES CE2-CM1'!$M$10:$M$250,MATCH(B209,'NOTES CE2-CM1'!$B$10:$B$250,0)))),""))</f>
        <v/>
      </c>
      <c r="H209" s="80" t="str">
        <f aca="false">IF(B209="","",IFERROR(IF(LEFT(E209,2)="CP",INDEX('NOTES CP'!$Z$10:$Z$250,MATCH(B209,'NOTES CP'!$B$10:$B$250,0)),IF(E209="CE1",INDEX('NOTES CE1'!$T$10:$T$250,MATCH(B209,'NOTES CE1'!$B$10:$B$250,0)),INDEX('NOTES CE2-CM1'!$T$10:$T$250,MATCH(B209,'NOTES CE2-CM1'!$B$10:$B$250,0)))),""))</f>
        <v/>
      </c>
      <c r="I209" s="80" t="str">
        <f aca="false">IF(B209="","",IFERROR(IF(LEFT(E209,2)="CP",INDEX('NOTES CP'!$AJ$10:$AJ$250,MATCH(B209,'NOTES CP'!$B$10:$B$250,0)),IF(E209="CE1",INDEX('NOTES CE1'!$AA$10:$AA$250,MATCH(B209,'NOTES CE1'!$B$10:$B$250,0)),INDEX('NOTES CE2-CM1'!$AA$10:$AA$250,MATCH(B209,'NOTES CE2-CM1'!$B$10:$B$250,0)))),""))</f>
        <v/>
      </c>
      <c r="J209" s="81" t="str">
        <f aca="false">IF(COUNT(G209:I209)=0,"",ROUND(AVERAGE(G209:I209),2))</f>
        <v/>
      </c>
      <c r="K209" s="80" t="str">
        <f aca="false">IF(B209="","",IFERROR(IF(LEFT(E209,2)="CP",INDEX('NOTES CP'!$AT$10:$AT$250,MATCH(B209,'NOTES CP'!$B$10:$B$250,0)),IF(E209="CE1",INDEX('NOTES CE1'!$AH$10:$AH$250,MATCH(B209,'NOTES CE1'!$B$10:$B$250,0)),INDEX('NOTES CE2-CM1'!$AH$10:$AH$250,MATCH(B209,'NOTES CE2-CM1'!$B$10:$B$250,0)))),""))</f>
        <v/>
      </c>
      <c r="L209" s="82" t="str">
        <f aca="false">IF(OR(J209="",K209=""),"",ROUND((J209+2*K209)/3,2))</f>
        <v/>
      </c>
      <c r="M209" s="83" t="str">
        <f aca="false">IF(E209="","",IFERROR(INDEX(PARAMETRES!$D$18:$D$23,MATCH(E209,PARAMETRES!$B$18:$B$23,0)),""))</f>
        <v/>
      </c>
      <c r="N209" s="81" t="str">
        <f aca="false">IF(E209="","",IFERROR(INDEX(PARAMETRES!$C$18:$C$23,MATCH(E209,PARAMETRES!$B$18:$B$23,0)),""))</f>
        <v/>
      </c>
      <c r="O209" s="45" t="str">
        <f aca="false">IF(B209="","",IF(F209="ABANDON","ABANDON",IF(F209="TRANSFERE","TRANSFERE",IF(L209="","",IF(L209&gt;=N209,"ADMIS","REDOUBLE")))))</f>
        <v/>
      </c>
      <c r="P209" s="73" t="str">
        <f aca="false">IF(OR(L209="",F209&lt;&gt;"PRESENT"),"",COUNTIFS($E$10:$E$250,E209,$F$10:$F$250,"PRESENT",$L$10:$L$250,"&gt;"&amp;L209)+1)</f>
        <v/>
      </c>
      <c r="Q209" s="74" t="str">
        <f aca="false">IF(O209="ADMIS",IF(L209/M209*10&gt;=8,"Très bien",IF(L209/M209*10&gt;=7,"Bien",IF(L209/M209*10&gt;=6,"Assez bien","Passable"))),IF(O209="REDOUBLE","Insuffisant",""))</f>
        <v/>
      </c>
      <c r="R209" s="51" t="str">
        <f aca="false">IFERROR(MATCH("P-200",'REGISTRE ELEVES'!$AH$10:$AH$250,0),"")</f>
        <v/>
      </c>
    </row>
    <row r="210" customFormat="false" ht="15" hidden="false" customHeight="false" outlineLevel="0" collapsed="false">
      <c r="A210" s="45" t="str">
        <f aca="false">IF(B210="","",201)</f>
        <v/>
      </c>
      <c r="B210" s="45" t="str">
        <f aca="false">IF($R210="","",INDEX('REGISTRE ELEVES'!$B$10:$B$250,$R210))</f>
        <v/>
      </c>
      <c r="C210" s="74" t="str">
        <f aca="false">IF($R210="","",INDEX('REGISTRE ELEVES'!$D$10:$D$250,$R210))</f>
        <v/>
      </c>
      <c r="D210" s="45" t="str">
        <f aca="false">IF($R210="","",INDEX('REGISTRE ELEVES'!$E$10:$E$250,$R210))</f>
        <v/>
      </c>
      <c r="E210" s="45" t="str">
        <f aca="false">IF($R210="","",INDEX('REGISTRE ELEVES'!$F$10:$F$250,$R210))</f>
        <v/>
      </c>
      <c r="F210" s="45" t="str">
        <f aca="false">IF($R210="","",INDEX('REGISTRE ELEVES'!$AE$10:$AE$250,$R210))</f>
        <v/>
      </c>
      <c r="G210" s="80" t="str">
        <f aca="false">IF(B210="","",IFERROR(IF(LEFT(E210,2)="CP",INDEX('NOTES CP'!$P$10:$P$250,MATCH(B210,'NOTES CP'!$B$10:$B$250,0)),IF(E210="CE1",INDEX('NOTES CE1'!$M$10:$M$250,MATCH(B210,'NOTES CE1'!$B$10:$B$250,0)),INDEX('NOTES CE2-CM1'!$M$10:$M$250,MATCH(B210,'NOTES CE2-CM1'!$B$10:$B$250,0)))),""))</f>
        <v/>
      </c>
      <c r="H210" s="80" t="str">
        <f aca="false">IF(B210="","",IFERROR(IF(LEFT(E210,2)="CP",INDEX('NOTES CP'!$Z$10:$Z$250,MATCH(B210,'NOTES CP'!$B$10:$B$250,0)),IF(E210="CE1",INDEX('NOTES CE1'!$T$10:$T$250,MATCH(B210,'NOTES CE1'!$B$10:$B$250,0)),INDEX('NOTES CE2-CM1'!$T$10:$T$250,MATCH(B210,'NOTES CE2-CM1'!$B$10:$B$250,0)))),""))</f>
        <v/>
      </c>
      <c r="I210" s="80" t="str">
        <f aca="false">IF(B210="","",IFERROR(IF(LEFT(E210,2)="CP",INDEX('NOTES CP'!$AJ$10:$AJ$250,MATCH(B210,'NOTES CP'!$B$10:$B$250,0)),IF(E210="CE1",INDEX('NOTES CE1'!$AA$10:$AA$250,MATCH(B210,'NOTES CE1'!$B$10:$B$250,0)),INDEX('NOTES CE2-CM1'!$AA$10:$AA$250,MATCH(B210,'NOTES CE2-CM1'!$B$10:$B$250,0)))),""))</f>
        <v/>
      </c>
      <c r="J210" s="81" t="str">
        <f aca="false">IF(COUNT(G210:I210)=0,"",ROUND(AVERAGE(G210:I210),2))</f>
        <v/>
      </c>
      <c r="K210" s="80" t="str">
        <f aca="false">IF(B210="","",IFERROR(IF(LEFT(E210,2)="CP",INDEX('NOTES CP'!$AT$10:$AT$250,MATCH(B210,'NOTES CP'!$B$10:$B$250,0)),IF(E210="CE1",INDEX('NOTES CE1'!$AH$10:$AH$250,MATCH(B210,'NOTES CE1'!$B$10:$B$250,0)),INDEX('NOTES CE2-CM1'!$AH$10:$AH$250,MATCH(B210,'NOTES CE2-CM1'!$B$10:$B$250,0)))),""))</f>
        <v/>
      </c>
      <c r="L210" s="82" t="str">
        <f aca="false">IF(OR(J210="",K210=""),"",ROUND((J210+2*K210)/3,2))</f>
        <v/>
      </c>
      <c r="M210" s="83" t="str">
        <f aca="false">IF(E210="","",IFERROR(INDEX(PARAMETRES!$D$18:$D$23,MATCH(E210,PARAMETRES!$B$18:$B$23,0)),""))</f>
        <v/>
      </c>
      <c r="N210" s="81" t="str">
        <f aca="false">IF(E210="","",IFERROR(INDEX(PARAMETRES!$C$18:$C$23,MATCH(E210,PARAMETRES!$B$18:$B$23,0)),""))</f>
        <v/>
      </c>
      <c r="O210" s="45" t="str">
        <f aca="false">IF(B210="","",IF(F210="ABANDON","ABANDON",IF(F210="TRANSFERE","TRANSFERE",IF(L210="","",IF(L210&gt;=N210,"ADMIS","REDOUBLE")))))</f>
        <v/>
      </c>
      <c r="P210" s="73" t="str">
        <f aca="false">IF(OR(L210="",F210&lt;&gt;"PRESENT"),"",COUNTIFS($E$10:$E$250,E210,$F$10:$F$250,"PRESENT",$L$10:$L$250,"&gt;"&amp;L210)+1)</f>
        <v/>
      </c>
      <c r="Q210" s="74" t="str">
        <f aca="false">IF(O210="ADMIS",IF(L210/M210*10&gt;=8,"Très bien",IF(L210/M210*10&gt;=7,"Bien",IF(L210/M210*10&gt;=6,"Assez bien","Passable"))),IF(O210="REDOUBLE","Insuffisant",""))</f>
        <v/>
      </c>
      <c r="R210" s="51" t="str">
        <f aca="false">IFERROR(MATCH("P-201",'REGISTRE ELEVES'!$AH$10:$AH$250,0),"")</f>
        <v/>
      </c>
    </row>
    <row r="211" customFormat="false" ht="15" hidden="false" customHeight="false" outlineLevel="0" collapsed="false">
      <c r="A211" s="45" t="str">
        <f aca="false">IF(B211="","",202)</f>
        <v/>
      </c>
      <c r="B211" s="45" t="str">
        <f aca="false">IF($R211="","",INDEX('REGISTRE ELEVES'!$B$10:$B$250,$R211))</f>
        <v/>
      </c>
      <c r="C211" s="74" t="str">
        <f aca="false">IF($R211="","",INDEX('REGISTRE ELEVES'!$D$10:$D$250,$R211))</f>
        <v/>
      </c>
      <c r="D211" s="45" t="str">
        <f aca="false">IF($R211="","",INDEX('REGISTRE ELEVES'!$E$10:$E$250,$R211))</f>
        <v/>
      </c>
      <c r="E211" s="45" t="str">
        <f aca="false">IF($R211="","",INDEX('REGISTRE ELEVES'!$F$10:$F$250,$R211))</f>
        <v/>
      </c>
      <c r="F211" s="45" t="str">
        <f aca="false">IF($R211="","",INDEX('REGISTRE ELEVES'!$AE$10:$AE$250,$R211))</f>
        <v/>
      </c>
      <c r="G211" s="80" t="str">
        <f aca="false">IF(B211="","",IFERROR(IF(LEFT(E211,2)="CP",INDEX('NOTES CP'!$P$10:$P$250,MATCH(B211,'NOTES CP'!$B$10:$B$250,0)),IF(E211="CE1",INDEX('NOTES CE1'!$M$10:$M$250,MATCH(B211,'NOTES CE1'!$B$10:$B$250,0)),INDEX('NOTES CE2-CM1'!$M$10:$M$250,MATCH(B211,'NOTES CE2-CM1'!$B$10:$B$250,0)))),""))</f>
        <v/>
      </c>
      <c r="H211" s="80" t="str">
        <f aca="false">IF(B211="","",IFERROR(IF(LEFT(E211,2)="CP",INDEX('NOTES CP'!$Z$10:$Z$250,MATCH(B211,'NOTES CP'!$B$10:$B$250,0)),IF(E211="CE1",INDEX('NOTES CE1'!$T$10:$T$250,MATCH(B211,'NOTES CE1'!$B$10:$B$250,0)),INDEX('NOTES CE2-CM1'!$T$10:$T$250,MATCH(B211,'NOTES CE2-CM1'!$B$10:$B$250,0)))),""))</f>
        <v/>
      </c>
      <c r="I211" s="80" t="str">
        <f aca="false">IF(B211="","",IFERROR(IF(LEFT(E211,2)="CP",INDEX('NOTES CP'!$AJ$10:$AJ$250,MATCH(B211,'NOTES CP'!$B$10:$B$250,0)),IF(E211="CE1",INDEX('NOTES CE1'!$AA$10:$AA$250,MATCH(B211,'NOTES CE1'!$B$10:$B$250,0)),INDEX('NOTES CE2-CM1'!$AA$10:$AA$250,MATCH(B211,'NOTES CE2-CM1'!$B$10:$B$250,0)))),""))</f>
        <v/>
      </c>
      <c r="J211" s="81" t="str">
        <f aca="false">IF(COUNT(G211:I211)=0,"",ROUND(AVERAGE(G211:I211),2))</f>
        <v/>
      </c>
      <c r="K211" s="80" t="str">
        <f aca="false">IF(B211="","",IFERROR(IF(LEFT(E211,2)="CP",INDEX('NOTES CP'!$AT$10:$AT$250,MATCH(B211,'NOTES CP'!$B$10:$B$250,0)),IF(E211="CE1",INDEX('NOTES CE1'!$AH$10:$AH$250,MATCH(B211,'NOTES CE1'!$B$10:$B$250,0)),INDEX('NOTES CE2-CM1'!$AH$10:$AH$250,MATCH(B211,'NOTES CE2-CM1'!$B$10:$B$250,0)))),""))</f>
        <v/>
      </c>
      <c r="L211" s="82" t="str">
        <f aca="false">IF(OR(J211="",K211=""),"",ROUND((J211+2*K211)/3,2))</f>
        <v/>
      </c>
      <c r="M211" s="83" t="str">
        <f aca="false">IF(E211="","",IFERROR(INDEX(PARAMETRES!$D$18:$D$23,MATCH(E211,PARAMETRES!$B$18:$B$23,0)),""))</f>
        <v/>
      </c>
      <c r="N211" s="81" t="str">
        <f aca="false">IF(E211="","",IFERROR(INDEX(PARAMETRES!$C$18:$C$23,MATCH(E211,PARAMETRES!$B$18:$B$23,0)),""))</f>
        <v/>
      </c>
      <c r="O211" s="45" t="str">
        <f aca="false">IF(B211="","",IF(F211="ABANDON","ABANDON",IF(F211="TRANSFERE","TRANSFERE",IF(L211="","",IF(L211&gt;=N211,"ADMIS","REDOUBLE")))))</f>
        <v/>
      </c>
      <c r="P211" s="73" t="str">
        <f aca="false">IF(OR(L211="",F211&lt;&gt;"PRESENT"),"",COUNTIFS($E$10:$E$250,E211,$F$10:$F$250,"PRESENT",$L$10:$L$250,"&gt;"&amp;L211)+1)</f>
        <v/>
      </c>
      <c r="Q211" s="74" t="str">
        <f aca="false">IF(O211="ADMIS",IF(L211/M211*10&gt;=8,"Très bien",IF(L211/M211*10&gt;=7,"Bien",IF(L211/M211*10&gt;=6,"Assez bien","Passable"))),IF(O211="REDOUBLE","Insuffisant",""))</f>
        <v/>
      </c>
      <c r="R211" s="51" t="str">
        <f aca="false">IFERROR(MATCH("P-202",'REGISTRE ELEVES'!$AH$10:$AH$250,0),"")</f>
        <v/>
      </c>
    </row>
    <row r="212" customFormat="false" ht="15" hidden="false" customHeight="false" outlineLevel="0" collapsed="false">
      <c r="A212" s="45" t="str">
        <f aca="false">IF(B212="","",203)</f>
        <v/>
      </c>
      <c r="B212" s="45" t="str">
        <f aca="false">IF($R212="","",INDEX('REGISTRE ELEVES'!$B$10:$B$250,$R212))</f>
        <v/>
      </c>
      <c r="C212" s="74" t="str">
        <f aca="false">IF($R212="","",INDEX('REGISTRE ELEVES'!$D$10:$D$250,$R212))</f>
        <v/>
      </c>
      <c r="D212" s="45" t="str">
        <f aca="false">IF($R212="","",INDEX('REGISTRE ELEVES'!$E$10:$E$250,$R212))</f>
        <v/>
      </c>
      <c r="E212" s="45" t="str">
        <f aca="false">IF($R212="","",INDEX('REGISTRE ELEVES'!$F$10:$F$250,$R212))</f>
        <v/>
      </c>
      <c r="F212" s="45" t="str">
        <f aca="false">IF($R212="","",INDEX('REGISTRE ELEVES'!$AE$10:$AE$250,$R212))</f>
        <v/>
      </c>
      <c r="G212" s="80" t="str">
        <f aca="false">IF(B212="","",IFERROR(IF(LEFT(E212,2)="CP",INDEX('NOTES CP'!$P$10:$P$250,MATCH(B212,'NOTES CP'!$B$10:$B$250,0)),IF(E212="CE1",INDEX('NOTES CE1'!$M$10:$M$250,MATCH(B212,'NOTES CE1'!$B$10:$B$250,0)),INDEX('NOTES CE2-CM1'!$M$10:$M$250,MATCH(B212,'NOTES CE2-CM1'!$B$10:$B$250,0)))),""))</f>
        <v/>
      </c>
      <c r="H212" s="80" t="str">
        <f aca="false">IF(B212="","",IFERROR(IF(LEFT(E212,2)="CP",INDEX('NOTES CP'!$Z$10:$Z$250,MATCH(B212,'NOTES CP'!$B$10:$B$250,0)),IF(E212="CE1",INDEX('NOTES CE1'!$T$10:$T$250,MATCH(B212,'NOTES CE1'!$B$10:$B$250,0)),INDEX('NOTES CE2-CM1'!$T$10:$T$250,MATCH(B212,'NOTES CE2-CM1'!$B$10:$B$250,0)))),""))</f>
        <v/>
      </c>
      <c r="I212" s="80" t="str">
        <f aca="false">IF(B212="","",IFERROR(IF(LEFT(E212,2)="CP",INDEX('NOTES CP'!$AJ$10:$AJ$250,MATCH(B212,'NOTES CP'!$B$10:$B$250,0)),IF(E212="CE1",INDEX('NOTES CE1'!$AA$10:$AA$250,MATCH(B212,'NOTES CE1'!$B$10:$B$250,0)),INDEX('NOTES CE2-CM1'!$AA$10:$AA$250,MATCH(B212,'NOTES CE2-CM1'!$B$10:$B$250,0)))),""))</f>
        <v/>
      </c>
      <c r="J212" s="81" t="str">
        <f aca="false">IF(COUNT(G212:I212)=0,"",ROUND(AVERAGE(G212:I212),2))</f>
        <v/>
      </c>
      <c r="K212" s="80" t="str">
        <f aca="false">IF(B212="","",IFERROR(IF(LEFT(E212,2)="CP",INDEX('NOTES CP'!$AT$10:$AT$250,MATCH(B212,'NOTES CP'!$B$10:$B$250,0)),IF(E212="CE1",INDEX('NOTES CE1'!$AH$10:$AH$250,MATCH(B212,'NOTES CE1'!$B$10:$B$250,0)),INDEX('NOTES CE2-CM1'!$AH$10:$AH$250,MATCH(B212,'NOTES CE2-CM1'!$B$10:$B$250,0)))),""))</f>
        <v/>
      </c>
      <c r="L212" s="82" t="str">
        <f aca="false">IF(OR(J212="",K212=""),"",ROUND((J212+2*K212)/3,2))</f>
        <v/>
      </c>
      <c r="M212" s="83" t="str">
        <f aca="false">IF(E212="","",IFERROR(INDEX(PARAMETRES!$D$18:$D$23,MATCH(E212,PARAMETRES!$B$18:$B$23,0)),""))</f>
        <v/>
      </c>
      <c r="N212" s="81" t="str">
        <f aca="false">IF(E212="","",IFERROR(INDEX(PARAMETRES!$C$18:$C$23,MATCH(E212,PARAMETRES!$B$18:$B$23,0)),""))</f>
        <v/>
      </c>
      <c r="O212" s="45" t="str">
        <f aca="false">IF(B212="","",IF(F212="ABANDON","ABANDON",IF(F212="TRANSFERE","TRANSFERE",IF(L212="","",IF(L212&gt;=N212,"ADMIS","REDOUBLE")))))</f>
        <v/>
      </c>
      <c r="P212" s="73" t="str">
        <f aca="false">IF(OR(L212="",F212&lt;&gt;"PRESENT"),"",COUNTIFS($E$10:$E$250,E212,$F$10:$F$250,"PRESENT",$L$10:$L$250,"&gt;"&amp;L212)+1)</f>
        <v/>
      </c>
      <c r="Q212" s="74" t="str">
        <f aca="false">IF(O212="ADMIS",IF(L212/M212*10&gt;=8,"Très bien",IF(L212/M212*10&gt;=7,"Bien",IF(L212/M212*10&gt;=6,"Assez bien","Passable"))),IF(O212="REDOUBLE","Insuffisant",""))</f>
        <v/>
      </c>
      <c r="R212" s="51" t="str">
        <f aca="false">IFERROR(MATCH("P-203",'REGISTRE ELEVES'!$AH$10:$AH$250,0),"")</f>
        <v/>
      </c>
    </row>
    <row r="213" customFormat="false" ht="15" hidden="false" customHeight="false" outlineLevel="0" collapsed="false">
      <c r="A213" s="45" t="str">
        <f aca="false">IF(B213="","",204)</f>
        <v/>
      </c>
      <c r="B213" s="45" t="str">
        <f aca="false">IF($R213="","",INDEX('REGISTRE ELEVES'!$B$10:$B$250,$R213))</f>
        <v/>
      </c>
      <c r="C213" s="74" t="str">
        <f aca="false">IF($R213="","",INDEX('REGISTRE ELEVES'!$D$10:$D$250,$R213))</f>
        <v/>
      </c>
      <c r="D213" s="45" t="str">
        <f aca="false">IF($R213="","",INDEX('REGISTRE ELEVES'!$E$10:$E$250,$R213))</f>
        <v/>
      </c>
      <c r="E213" s="45" t="str">
        <f aca="false">IF($R213="","",INDEX('REGISTRE ELEVES'!$F$10:$F$250,$R213))</f>
        <v/>
      </c>
      <c r="F213" s="45" t="str">
        <f aca="false">IF($R213="","",INDEX('REGISTRE ELEVES'!$AE$10:$AE$250,$R213))</f>
        <v/>
      </c>
      <c r="G213" s="80" t="str">
        <f aca="false">IF(B213="","",IFERROR(IF(LEFT(E213,2)="CP",INDEX('NOTES CP'!$P$10:$P$250,MATCH(B213,'NOTES CP'!$B$10:$B$250,0)),IF(E213="CE1",INDEX('NOTES CE1'!$M$10:$M$250,MATCH(B213,'NOTES CE1'!$B$10:$B$250,0)),INDEX('NOTES CE2-CM1'!$M$10:$M$250,MATCH(B213,'NOTES CE2-CM1'!$B$10:$B$250,0)))),""))</f>
        <v/>
      </c>
      <c r="H213" s="80" t="str">
        <f aca="false">IF(B213="","",IFERROR(IF(LEFT(E213,2)="CP",INDEX('NOTES CP'!$Z$10:$Z$250,MATCH(B213,'NOTES CP'!$B$10:$B$250,0)),IF(E213="CE1",INDEX('NOTES CE1'!$T$10:$T$250,MATCH(B213,'NOTES CE1'!$B$10:$B$250,0)),INDEX('NOTES CE2-CM1'!$T$10:$T$250,MATCH(B213,'NOTES CE2-CM1'!$B$10:$B$250,0)))),""))</f>
        <v/>
      </c>
      <c r="I213" s="80" t="str">
        <f aca="false">IF(B213="","",IFERROR(IF(LEFT(E213,2)="CP",INDEX('NOTES CP'!$AJ$10:$AJ$250,MATCH(B213,'NOTES CP'!$B$10:$B$250,0)),IF(E213="CE1",INDEX('NOTES CE1'!$AA$10:$AA$250,MATCH(B213,'NOTES CE1'!$B$10:$B$250,0)),INDEX('NOTES CE2-CM1'!$AA$10:$AA$250,MATCH(B213,'NOTES CE2-CM1'!$B$10:$B$250,0)))),""))</f>
        <v/>
      </c>
      <c r="J213" s="81" t="str">
        <f aca="false">IF(COUNT(G213:I213)=0,"",ROUND(AVERAGE(G213:I213),2))</f>
        <v/>
      </c>
      <c r="K213" s="80" t="str">
        <f aca="false">IF(B213="","",IFERROR(IF(LEFT(E213,2)="CP",INDEX('NOTES CP'!$AT$10:$AT$250,MATCH(B213,'NOTES CP'!$B$10:$B$250,0)),IF(E213="CE1",INDEX('NOTES CE1'!$AH$10:$AH$250,MATCH(B213,'NOTES CE1'!$B$10:$B$250,0)),INDEX('NOTES CE2-CM1'!$AH$10:$AH$250,MATCH(B213,'NOTES CE2-CM1'!$B$10:$B$250,0)))),""))</f>
        <v/>
      </c>
      <c r="L213" s="82" t="str">
        <f aca="false">IF(OR(J213="",K213=""),"",ROUND((J213+2*K213)/3,2))</f>
        <v/>
      </c>
      <c r="M213" s="83" t="str">
        <f aca="false">IF(E213="","",IFERROR(INDEX(PARAMETRES!$D$18:$D$23,MATCH(E213,PARAMETRES!$B$18:$B$23,0)),""))</f>
        <v/>
      </c>
      <c r="N213" s="81" t="str">
        <f aca="false">IF(E213="","",IFERROR(INDEX(PARAMETRES!$C$18:$C$23,MATCH(E213,PARAMETRES!$B$18:$B$23,0)),""))</f>
        <v/>
      </c>
      <c r="O213" s="45" t="str">
        <f aca="false">IF(B213="","",IF(F213="ABANDON","ABANDON",IF(F213="TRANSFERE","TRANSFERE",IF(L213="","",IF(L213&gt;=N213,"ADMIS","REDOUBLE")))))</f>
        <v/>
      </c>
      <c r="P213" s="73" t="str">
        <f aca="false">IF(OR(L213="",F213&lt;&gt;"PRESENT"),"",COUNTIFS($E$10:$E$250,E213,$F$10:$F$250,"PRESENT",$L$10:$L$250,"&gt;"&amp;L213)+1)</f>
        <v/>
      </c>
      <c r="Q213" s="74" t="str">
        <f aca="false">IF(O213="ADMIS",IF(L213/M213*10&gt;=8,"Très bien",IF(L213/M213*10&gt;=7,"Bien",IF(L213/M213*10&gt;=6,"Assez bien","Passable"))),IF(O213="REDOUBLE","Insuffisant",""))</f>
        <v/>
      </c>
      <c r="R213" s="51" t="str">
        <f aca="false">IFERROR(MATCH("P-204",'REGISTRE ELEVES'!$AH$10:$AH$250,0),"")</f>
        <v/>
      </c>
    </row>
    <row r="214" customFormat="false" ht="15" hidden="false" customHeight="false" outlineLevel="0" collapsed="false">
      <c r="A214" s="45" t="str">
        <f aca="false">IF(B214="","",205)</f>
        <v/>
      </c>
      <c r="B214" s="45" t="str">
        <f aca="false">IF($R214="","",INDEX('REGISTRE ELEVES'!$B$10:$B$250,$R214))</f>
        <v/>
      </c>
      <c r="C214" s="74" t="str">
        <f aca="false">IF($R214="","",INDEX('REGISTRE ELEVES'!$D$10:$D$250,$R214))</f>
        <v/>
      </c>
      <c r="D214" s="45" t="str">
        <f aca="false">IF($R214="","",INDEX('REGISTRE ELEVES'!$E$10:$E$250,$R214))</f>
        <v/>
      </c>
      <c r="E214" s="45" t="str">
        <f aca="false">IF($R214="","",INDEX('REGISTRE ELEVES'!$F$10:$F$250,$R214))</f>
        <v/>
      </c>
      <c r="F214" s="45" t="str">
        <f aca="false">IF($R214="","",INDEX('REGISTRE ELEVES'!$AE$10:$AE$250,$R214))</f>
        <v/>
      </c>
      <c r="G214" s="80" t="str">
        <f aca="false">IF(B214="","",IFERROR(IF(LEFT(E214,2)="CP",INDEX('NOTES CP'!$P$10:$P$250,MATCH(B214,'NOTES CP'!$B$10:$B$250,0)),IF(E214="CE1",INDEX('NOTES CE1'!$M$10:$M$250,MATCH(B214,'NOTES CE1'!$B$10:$B$250,0)),INDEX('NOTES CE2-CM1'!$M$10:$M$250,MATCH(B214,'NOTES CE2-CM1'!$B$10:$B$250,0)))),""))</f>
        <v/>
      </c>
      <c r="H214" s="80" t="str">
        <f aca="false">IF(B214="","",IFERROR(IF(LEFT(E214,2)="CP",INDEX('NOTES CP'!$Z$10:$Z$250,MATCH(B214,'NOTES CP'!$B$10:$B$250,0)),IF(E214="CE1",INDEX('NOTES CE1'!$T$10:$T$250,MATCH(B214,'NOTES CE1'!$B$10:$B$250,0)),INDEX('NOTES CE2-CM1'!$T$10:$T$250,MATCH(B214,'NOTES CE2-CM1'!$B$10:$B$250,0)))),""))</f>
        <v/>
      </c>
      <c r="I214" s="80" t="str">
        <f aca="false">IF(B214="","",IFERROR(IF(LEFT(E214,2)="CP",INDEX('NOTES CP'!$AJ$10:$AJ$250,MATCH(B214,'NOTES CP'!$B$10:$B$250,0)),IF(E214="CE1",INDEX('NOTES CE1'!$AA$10:$AA$250,MATCH(B214,'NOTES CE1'!$B$10:$B$250,0)),INDEX('NOTES CE2-CM1'!$AA$10:$AA$250,MATCH(B214,'NOTES CE2-CM1'!$B$10:$B$250,0)))),""))</f>
        <v/>
      </c>
      <c r="J214" s="81" t="str">
        <f aca="false">IF(COUNT(G214:I214)=0,"",ROUND(AVERAGE(G214:I214),2))</f>
        <v/>
      </c>
      <c r="K214" s="80" t="str">
        <f aca="false">IF(B214="","",IFERROR(IF(LEFT(E214,2)="CP",INDEX('NOTES CP'!$AT$10:$AT$250,MATCH(B214,'NOTES CP'!$B$10:$B$250,0)),IF(E214="CE1",INDEX('NOTES CE1'!$AH$10:$AH$250,MATCH(B214,'NOTES CE1'!$B$10:$B$250,0)),INDEX('NOTES CE2-CM1'!$AH$10:$AH$250,MATCH(B214,'NOTES CE2-CM1'!$B$10:$B$250,0)))),""))</f>
        <v/>
      </c>
      <c r="L214" s="82" t="str">
        <f aca="false">IF(OR(J214="",K214=""),"",ROUND((J214+2*K214)/3,2))</f>
        <v/>
      </c>
      <c r="M214" s="83" t="str">
        <f aca="false">IF(E214="","",IFERROR(INDEX(PARAMETRES!$D$18:$D$23,MATCH(E214,PARAMETRES!$B$18:$B$23,0)),""))</f>
        <v/>
      </c>
      <c r="N214" s="81" t="str">
        <f aca="false">IF(E214="","",IFERROR(INDEX(PARAMETRES!$C$18:$C$23,MATCH(E214,PARAMETRES!$B$18:$B$23,0)),""))</f>
        <v/>
      </c>
      <c r="O214" s="45" t="str">
        <f aca="false">IF(B214="","",IF(F214="ABANDON","ABANDON",IF(F214="TRANSFERE","TRANSFERE",IF(L214="","",IF(L214&gt;=N214,"ADMIS","REDOUBLE")))))</f>
        <v/>
      </c>
      <c r="P214" s="73" t="str">
        <f aca="false">IF(OR(L214="",F214&lt;&gt;"PRESENT"),"",COUNTIFS($E$10:$E$250,E214,$F$10:$F$250,"PRESENT",$L$10:$L$250,"&gt;"&amp;L214)+1)</f>
        <v/>
      </c>
      <c r="Q214" s="74" t="str">
        <f aca="false">IF(O214="ADMIS",IF(L214/M214*10&gt;=8,"Très bien",IF(L214/M214*10&gt;=7,"Bien",IF(L214/M214*10&gt;=6,"Assez bien","Passable"))),IF(O214="REDOUBLE","Insuffisant",""))</f>
        <v/>
      </c>
      <c r="R214" s="51" t="str">
        <f aca="false">IFERROR(MATCH("P-205",'REGISTRE ELEVES'!$AH$10:$AH$250,0),"")</f>
        <v/>
      </c>
    </row>
    <row r="215" customFormat="false" ht="15" hidden="false" customHeight="false" outlineLevel="0" collapsed="false">
      <c r="A215" s="45" t="str">
        <f aca="false">IF(B215="","",206)</f>
        <v/>
      </c>
      <c r="B215" s="45" t="str">
        <f aca="false">IF($R215="","",INDEX('REGISTRE ELEVES'!$B$10:$B$250,$R215))</f>
        <v/>
      </c>
      <c r="C215" s="74" t="str">
        <f aca="false">IF($R215="","",INDEX('REGISTRE ELEVES'!$D$10:$D$250,$R215))</f>
        <v/>
      </c>
      <c r="D215" s="45" t="str">
        <f aca="false">IF($R215="","",INDEX('REGISTRE ELEVES'!$E$10:$E$250,$R215))</f>
        <v/>
      </c>
      <c r="E215" s="45" t="str">
        <f aca="false">IF($R215="","",INDEX('REGISTRE ELEVES'!$F$10:$F$250,$R215))</f>
        <v/>
      </c>
      <c r="F215" s="45" t="str">
        <f aca="false">IF($R215="","",INDEX('REGISTRE ELEVES'!$AE$10:$AE$250,$R215))</f>
        <v/>
      </c>
      <c r="G215" s="80" t="str">
        <f aca="false">IF(B215="","",IFERROR(IF(LEFT(E215,2)="CP",INDEX('NOTES CP'!$P$10:$P$250,MATCH(B215,'NOTES CP'!$B$10:$B$250,0)),IF(E215="CE1",INDEX('NOTES CE1'!$M$10:$M$250,MATCH(B215,'NOTES CE1'!$B$10:$B$250,0)),INDEX('NOTES CE2-CM1'!$M$10:$M$250,MATCH(B215,'NOTES CE2-CM1'!$B$10:$B$250,0)))),""))</f>
        <v/>
      </c>
      <c r="H215" s="80" t="str">
        <f aca="false">IF(B215="","",IFERROR(IF(LEFT(E215,2)="CP",INDEX('NOTES CP'!$Z$10:$Z$250,MATCH(B215,'NOTES CP'!$B$10:$B$250,0)),IF(E215="CE1",INDEX('NOTES CE1'!$T$10:$T$250,MATCH(B215,'NOTES CE1'!$B$10:$B$250,0)),INDEX('NOTES CE2-CM1'!$T$10:$T$250,MATCH(B215,'NOTES CE2-CM1'!$B$10:$B$250,0)))),""))</f>
        <v/>
      </c>
      <c r="I215" s="80" t="str">
        <f aca="false">IF(B215="","",IFERROR(IF(LEFT(E215,2)="CP",INDEX('NOTES CP'!$AJ$10:$AJ$250,MATCH(B215,'NOTES CP'!$B$10:$B$250,0)),IF(E215="CE1",INDEX('NOTES CE1'!$AA$10:$AA$250,MATCH(B215,'NOTES CE1'!$B$10:$B$250,0)),INDEX('NOTES CE2-CM1'!$AA$10:$AA$250,MATCH(B215,'NOTES CE2-CM1'!$B$10:$B$250,0)))),""))</f>
        <v/>
      </c>
      <c r="J215" s="81" t="str">
        <f aca="false">IF(COUNT(G215:I215)=0,"",ROUND(AVERAGE(G215:I215),2))</f>
        <v/>
      </c>
      <c r="K215" s="80" t="str">
        <f aca="false">IF(B215="","",IFERROR(IF(LEFT(E215,2)="CP",INDEX('NOTES CP'!$AT$10:$AT$250,MATCH(B215,'NOTES CP'!$B$10:$B$250,0)),IF(E215="CE1",INDEX('NOTES CE1'!$AH$10:$AH$250,MATCH(B215,'NOTES CE1'!$B$10:$B$250,0)),INDEX('NOTES CE2-CM1'!$AH$10:$AH$250,MATCH(B215,'NOTES CE2-CM1'!$B$10:$B$250,0)))),""))</f>
        <v/>
      </c>
      <c r="L215" s="82" t="str">
        <f aca="false">IF(OR(J215="",K215=""),"",ROUND((J215+2*K215)/3,2))</f>
        <v/>
      </c>
      <c r="M215" s="83" t="str">
        <f aca="false">IF(E215="","",IFERROR(INDEX(PARAMETRES!$D$18:$D$23,MATCH(E215,PARAMETRES!$B$18:$B$23,0)),""))</f>
        <v/>
      </c>
      <c r="N215" s="81" t="str">
        <f aca="false">IF(E215="","",IFERROR(INDEX(PARAMETRES!$C$18:$C$23,MATCH(E215,PARAMETRES!$B$18:$B$23,0)),""))</f>
        <v/>
      </c>
      <c r="O215" s="45" t="str">
        <f aca="false">IF(B215="","",IF(F215="ABANDON","ABANDON",IF(F215="TRANSFERE","TRANSFERE",IF(L215="","",IF(L215&gt;=N215,"ADMIS","REDOUBLE")))))</f>
        <v/>
      </c>
      <c r="P215" s="73" t="str">
        <f aca="false">IF(OR(L215="",F215&lt;&gt;"PRESENT"),"",COUNTIFS($E$10:$E$250,E215,$F$10:$F$250,"PRESENT",$L$10:$L$250,"&gt;"&amp;L215)+1)</f>
        <v/>
      </c>
      <c r="Q215" s="74" t="str">
        <f aca="false">IF(O215="ADMIS",IF(L215/M215*10&gt;=8,"Très bien",IF(L215/M215*10&gt;=7,"Bien",IF(L215/M215*10&gt;=6,"Assez bien","Passable"))),IF(O215="REDOUBLE","Insuffisant",""))</f>
        <v/>
      </c>
      <c r="R215" s="51" t="str">
        <f aca="false">IFERROR(MATCH("P-206",'REGISTRE ELEVES'!$AH$10:$AH$250,0),"")</f>
        <v/>
      </c>
    </row>
    <row r="216" customFormat="false" ht="15" hidden="false" customHeight="false" outlineLevel="0" collapsed="false">
      <c r="A216" s="45" t="str">
        <f aca="false">IF(B216="","",207)</f>
        <v/>
      </c>
      <c r="B216" s="45" t="str">
        <f aca="false">IF($R216="","",INDEX('REGISTRE ELEVES'!$B$10:$B$250,$R216))</f>
        <v/>
      </c>
      <c r="C216" s="74" t="str">
        <f aca="false">IF($R216="","",INDEX('REGISTRE ELEVES'!$D$10:$D$250,$R216))</f>
        <v/>
      </c>
      <c r="D216" s="45" t="str">
        <f aca="false">IF($R216="","",INDEX('REGISTRE ELEVES'!$E$10:$E$250,$R216))</f>
        <v/>
      </c>
      <c r="E216" s="45" t="str">
        <f aca="false">IF($R216="","",INDEX('REGISTRE ELEVES'!$F$10:$F$250,$R216))</f>
        <v/>
      </c>
      <c r="F216" s="45" t="str">
        <f aca="false">IF($R216="","",INDEX('REGISTRE ELEVES'!$AE$10:$AE$250,$R216))</f>
        <v/>
      </c>
      <c r="G216" s="80" t="str">
        <f aca="false">IF(B216="","",IFERROR(IF(LEFT(E216,2)="CP",INDEX('NOTES CP'!$P$10:$P$250,MATCH(B216,'NOTES CP'!$B$10:$B$250,0)),IF(E216="CE1",INDEX('NOTES CE1'!$M$10:$M$250,MATCH(B216,'NOTES CE1'!$B$10:$B$250,0)),INDEX('NOTES CE2-CM1'!$M$10:$M$250,MATCH(B216,'NOTES CE2-CM1'!$B$10:$B$250,0)))),""))</f>
        <v/>
      </c>
      <c r="H216" s="80" t="str">
        <f aca="false">IF(B216="","",IFERROR(IF(LEFT(E216,2)="CP",INDEX('NOTES CP'!$Z$10:$Z$250,MATCH(B216,'NOTES CP'!$B$10:$B$250,0)),IF(E216="CE1",INDEX('NOTES CE1'!$T$10:$T$250,MATCH(B216,'NOTES CE1'!$B$10:$B$250,0)),INDEX('NOTES CE2-CM1'!$T$10:$T$250,MATCH(B216,'NOTES CE2-CM1'!$B$10:$B$250,0)))),""))</f>
        <v/>
      </c>
      <c r="I216" s="80" t="str">
        <f aca="false">IF(B216="","",IFERROR(IF(LEFT(E216,2)="CP",INDEX('NOTES CP'!$AJ$10:$AJ$250,MATCH(B216,'NOTES CP'!$B$10:$B$250,0)),IF(E216="CE1",INDEX('NOTES CE1'!$AA$10:$AA$250,MATCH(B216,'NOTES CE1'!$B$10:$B$250,0)),INDEX('NOTES CE2-CM1'!$AA$10:$AA$250,MATCH(B216,'NOTES CE2-CM1'!$B$10:$B$250,0)))),""))</f>
        <v/>
      </c>
      <c r="J216" s="81" t="str">
        <f aca="false">IF(COUNT(G216:I216)=0,"",ROUND(AVERAGE(G216:I216),2))</f>
        <v/>
      </c>
      <c r="K216" s="80" t="str">
        <f aca="false">IF(B216="","",IFERROR(IF(LEFT(E216,2)="CP",INDEX('NOTES CP'!$AT$10:$AT$250,MATCH(B216,'NOTES CP'!$B$10:$B$250,0)),IF(E216="CE1",INDEX('NOTES CE1'!$AH$10:$AH$250,MATCH(B216,'NOTES CE1'!$B$10:$B$250,0)),INDEX('NOTES CE2-CM1'!$AH$10:$AH$250,MATCH(B216,'NOTES CE2-CM1'!$B$10:$B$250,0)))),""))</f>
        <v/>
      </c>
      <c r="L216" s="82" t="str">
        <f aca="false">IF(OR(J216="",K216=""),"",ROUND((J216+2*K216)/3,2))</f>
        <v/>
      </c>
      <c r="M216" s="83" t="str">
        <f aca="false">IF(E216="","",IFERROR(INDEX(PARAMETRES!$D$18:$D$23,MATCH(E216,PARAMETRES!$B$18:$B$23,0)),""))</f>
        <v/>
      </c>
      <c r="N216" s="81" t="str">
        <f aca="false">IF(E216="","",IFERROR(INDEX(PARAMETRES!$C$18:$C$23,MATCH(E216,PARAMETRES!$B$18:$B$23,0)),""))</f>
        <v/>
      </c>
      <c r="O216" s="45" t="str">
        <f aca="false">IF(B216="","",IF(F216="ABANDON","ABANDON",IF(F216="TRANSFERE","TRANSFERE",IF(L216="","",IF(L216&gt;=N216,"ADMIS","REDOUBLE")))))</f>
        <v/>
      </c>
      <c r="P216" s="73" t="str">
        <f aca="false">IF(OR(L216="",F216&lt;&gt;"PRESENT"),"",COUNTIFS($E$10:$E$250,E216,$F$10:$F$250,"PRESENT",$L$10:$L$250,"&gt;"&amp;L216)+1)</f>
        <v/>
      </c>
      <c r="Q216" s="74" t="str">
        <f aca="false">IF(O216="ADMIS",IF(L216/M216*10&gt;=8,"Très bien",IF(L216/M216*10&gt;=7,"Bien",IF(L216/M216*10&gt;=6,"Assez bien","Passable"))),IF(O216="REDOUBLE","Insuffisant",""))</f>
        <v/>
      </c>
      <c r="R216" s="51" t="str">
        <f aca="false">IFERROR(MATCH("P-207",'REGISTRE ELEVES'!$AH$10:$AH$250,0),"")</f>
        <v/>
      </c>
    </row>
    <row r="217" customFormat="false" ht="15" hidden="false" customHeight="false" outlineLevel="0" collapsed="false">
      <c r="A217" s="45" t="str">
        <f aca="false">IF(B217="","",208)</f>
        <v/>
      </c>
      <c r="B217" s="45" t="str">
        <f aca="false">IF($R217="","",INDEX('REGISTRE ELEVES'!$B$10:$B$250,$R217))</f>
        <v/>
      </c>
      <c r="C217" s="74" t="str">
        <f aca="false">IF($R217="","",INDEX('REGISTRE ELEVES'!$D$10:$D$250,$R217))</f>
        <v/>
      </c>
      <c r="D217" s="45" t="str">
        <f aca="false">IF($R217="","",INDEX('REGISTRE ELEVES'!$E$10:$E$250,$R217))</f>
        <v/>
      </c>
      <c r="E217" s="45" t="str">
        <f aca="false">IF($R217="","",INDEX('REGISTRE ELEVES'!$F$10:$F$250,$R217))</f>
        <v/>
      </c>
      <c r="F217" s="45" t="str">
        <f aca="false">IF($R217="","",INDEX('REGISTRE ELEVES'!$AE$10:$AE$250,$R217))</f>
        <v/>
      </c>
      <c r="G217" s="80" t="str">
        <f aca="false">IF(B217="","",IFERROR(IF(LEFT(E217,2)="CP",INDEX('NOTES CP'!$P$10:$P$250,MATCH(B217,'NOTES CP'!$B$10:$B$250,0)),IF(E217="CE1",INDEX('NOTES CE1'!$M$10:$M$250,MATCH(B217,'NOTES CE1'!$B$10:$B$250,0)),INDEX('NOTES CE2-CM1'!$M$10:$M$250,MATCH(B217,'NOTES CE2-CM1'!$B$10:$B$250,0)))),""))</f>
        <v/>
      </c>
      <c r="H217" s="80" t="str">
        <f aca="false">IF(B217="","",IFERROR(IF(LEFT(E217,2)="CP",INDEX('NOTES CP'!$Z$10:$Z$250,MATCH(B217,'NOTES CP'!$B$10:$B$250,0)),IF(E217="CE1",INDEX('NOTES CE1'!$T$10:$T$250,MATCH(B217,'NOTES CE1'!$B$10:$B$250,0)),INDEX('NOTES CE2-CM1'!$T$10:$T$250,MATCH(B217,'NOTES CE2-CM1'!$B$10:$B$250,0)))),""))</f>
        <v/>
      </c>
      <c r="I217" s="80" t="str">
        <f aca="false">IF(B217="","",IFERROR(IF(LEFT(E217,2)="CP",INDEX('NOTES CP'!$AJ$10:$AJ$250,MATCH(B217,'NOTES CP'!$B$10:$B$250,0)),IF(E217="CE1",INDEX('NOTES CE1'!$AA$10:$AA$250,MATCH(B217,'NOTES CE1'!$B$10:$B$250,0)),INDEX('NOTES CE2-CM1'!$AA$10:$AA$250,MATCH(B217,'NOTES CE2-CM1'!$B$10:$B$250,0)))),""))</f>
        <v/>
      </c>
      <c r="J217" s="81" t="str">
        <f aca="false">IF(COUNT(G217:I217)=0,"",ROUND(AVERAGE(G217:I217),2))</f>
        <v/>
      </c>
      <c r="K217" s="80" t="str">
        <f aca="false">IF(B217="","",IFERROR(IF(LEFT(E217,2)="CP",INDEX('NOTES CP'!$AT$10:$AT$250,MATCH(B217,'NOTES CP'!$B$10:$B$250,0)),IF(E217="CE1",INDEX('NOTES CE1'!$AH$10:$AH$250,MATCH(B217,'NOTES CE1'!$B$10:$B$250,0)),INDEX('NOTES CE2-CM1'!$AH$10:$AH$250,MATCH(B217,'NOTES CE2-CM1'!$B$10:$B$250,0)))),""))</f>
        <v/>
      </c>
      <c r="L217" s="82" t="str">
        <f aca="false">IF(OR(J217="",K217=""),"",ROUND((J217+2*K217)/3,2))</f>
        <v/>
      </c>
      <c r="M217" s="83" t="str">
        <f aca="false">IF(E217="","",IFERROR(INDEX(PARAMETRES!$D$18:$D$23,MATCH(E217,PARAMETRES!$B$18:$B$23,0)),""))</f>
        <v/>
      </c>
      <c r="N217" s="81" t="str">
        <f aca="false">IF(E217="","",IFERROR(INDEX(PARAMETRES!$C$18:$C$23,MATCH(E217,PARAMETRES!$B$18:$B$23,0)),""))</f>
        <v/>
      </c>
      <c r="O217" s="45" t="str">
        <f aca="false">IF(B217="","",IF(F217="ABANDON","ABANDON",IF(F217="TRANSFERE","TRANSFERE",IF(L217="","",IF(L217&gt;=N217,"ADMIS","REDOUBLE")))))</f>
        <v/>
      </c>
      <c r="P217" s="73" t="str">
        <f aca="false">IF(OR(L217="",F217&lt;&gt;"PRESENT"),"",COUNTIFS($E$10:$E$250,E217,$F$10:$F$250,"PRESENT",$L$10:$L$250,"&gt;"&amp;L217)+1)</f>
        <v/>
      </c>
      <c r="Q217" s="74" t="str">
        <f aca="false">IF(O217="ADMIS",IF(L217/M217*10&gt;=8,"Très bien",IF(L217/M217*10&gt;=7,"Bien",IF(L217/M217*10&gt;=6,"Assez bien","Passable"))),IF(O217="REDOUBLE","Insuffisant",""))</f>
        <v/>
      </c>
      <c r="R217" s="51" t="str">
        <f aca="false">IFERROR(MATCH("P-208",'REGISTRE ELEVES'!$AH$10:$AH$250,0),"")</f>
        <v/>
      </c>
    </row>
    <row r="218" customFormat="false" ht="15" hidden="false" customHeight="false" outlineLevel="0" collapsed="false">
      <c r="A218" s="45" t="str">
        <f aca="false">IF(B218="","",209)</f>
        <v/>
      </c>
      <c r="B218" s="45" t="str">
        <f aca="false">IF($R218="","",INDEX('REGISTRE ELEVES'!$B$10:$B$250,$R218))</f>
        <v/>
      </c>
      <c r="C218" s="74" t="str">
        <f aca="false">IF($R218="","",INDEX('REGISTRE ELEVES'!$D$10:$D$250,$R218))</f>
        <v/>
      </c>
      <c r="D218" s="45" t="str">
        <f aca="false">IF($R218="","",INDEX('REGISTRE ELEVES'!$E$10:$E$250,$R218))</f>
        <v/>
      </c>
      <c r="E218" s="45" t="str">
        <f aca="false">IF($R218="","",INDEX('REGISTRE ELEVES'!$F$10:$F$250,$R218))</f>
        <v/>
      </c>
      <c r="F218" s="45" t="str">
        <f aca="false">IF($R218="","",INDEX('REGISTRE ELEVES'!$AE$10:$AE$250,$R218))</f>
        <v/>
      </c>
      <c r="G218" s="80" t="str">
        <f aca="false">IF(B218="","",IFERROR(IF(LEFT(E218,2)="CP",INDEX('NOTES CP'!$P$10:$P$250,MATCH(B218,'NOTES CP'!$B$10:$B$250,0)),IF(E218="CE1",INDEX('NOTES CE1'!$M$10:$M$250,MATCH(B218,'NOTES CE1'!$B$10:$B$250,0)),INDEX('NOTES CE2-CM1'!$M$10:$M$250,MATCH(B218,'NOTES CE2-CM1'!$B$10:$B$250,0)))),""))</f>
        <v/>
      </c>
      <c r="H218" s="80" t="str">
        <f aca="false">IF(B218="","",IFERROR(IF(LEFT(E218,2)="CP",INDEX('NOTES CP'!$Z$10:$Z$250,MATCH(B218,'NOTES CP'!$B$10:$B$250,0)),IF(E218="CE1",INDEX('NOTES CE1'!$T$10:$T$250,MATCH(B218,'NOTES CE1'!$B$10:$B$250,0)),INDEX('NOTES CE2-CM1'!$T$10:$T$250,MATCH(B218,'NOTES CE2-CM1'!$B$10:$B$250,0)))),""))</f>
        <v/>
      </c>
      <c r="I218" s="80" t="str">
        <f aca="false">IF(B218="","",IFERROR(IF(LEFT(E218,2)="CP",INDEX('NOTES CP'!$AJ$10:$AJ$250,MATCH(B218,'NOTES CP'!$B$10:$B$250,0)),IF(E218="CE1",INDEX('NOTES CE1'!$AA$10:$AA$250,MATCH(B218,'NOTES CE1'!$B$10:$B$250,0)),INDEX('NOTES CE2-CM1'!$AA$10:$AA$250,MATCH(B218,'NOTES CE2-CM1'!$B$10:$B$250,0)))),""))</f>
        <v/>
      </c>
      <c r="J218" s="81" t="str">
        <f aca="false">IF(COUNT(G218:I218)=0,"",ROUND(AVERAGE(G218:I218),2))</f>
        <v/>
      </c>
      <c r="K218" s="80" t="str">
        <f aca="false">IF(B218="","",IFERROR(IF(LEFT(E218,2)="CP",INDEX('NOTES CP'!$AT$10:$AT$250,MATCH(B218,'NOTES CP'!$B$10:$B$250,0)),IF(E218="CE1",INDEX('NOTES CE1'!$AH$10:$AH$250,MATCH(B218,'NOTES CE1'!$B$10:$B$250,0)),INDEX('NOTES CE2-CM1'!$AH$10:$AH$250,MATCH(B218,'NOTES CE2-CM1'!$B$10:$B$250,0)))),""))</f>
        <v/>
      </c>
      <c r="L218" s="82" t="str">
        <f aca="false">IF(OR(J218="",K218=""),"",ROUND((J218+2*K218)/3,2))</f>
        <v/>
      </c>
      <c r="M218" s="83" t="str">
        <f aca="false">IF(E218="","",IFERROR(INDEX(PARAMETRES!$D$18:$D$23,MATCH(E218,PARAMETRES!$B$18:$B$23,0)),""))</f>
        <v/>
      </c>
      <c r="N218" s="81" t="str">
        <f aca="false">IF(E218="","",IFERROR(INDEX(PARAMETRES!$C$18:$C$23,MATCH(E218,PARAMETRES!$B$18:$B$23,0)),""))</f>
        <v/>
      </c>
      <c r="O218" s="45" t="str">
        <f aca="false">IF(B218="","",IF(F218="ABANDON","ABANDON",IF(F218="TRANSFERE","TRANSFERE",IF(L218="","",IF(L218&gt;=N218,"ADMIS","REDOUBLE")))))</f>
        <v/>
      </c>
      <c r="P218" s="73" t="str">
        <f aca="false">IF(OR(L218="",F218&lt;&gt;"PRESENT"),"",COUNTIFS($E$10:$E$250,E218,$F$10:$F$250,"PRESENT",$L$10:$L$250,"&gt;"&amp;L218)+1)</f>
        <v/>
      </c>
      <c r="Q218" s="74" t="str">
        <f aca="false">IF(O218="ADMIS",IF(L218/M218*10&gt;=8,"Très bien",IF(L218/M218*10&gt;=7,"Bien",IF(L218/M218*10&gt;=6,"Assez bien","Passable"))),IF(O218="REDOUBLE","Insuffisant",""))</f>
        <v/>
      </c>
      <c r="R218" s="51" t="str">
        <f aca="false">IFERROR(MATCH("P-209",'REGISTRE ELEVES'!$AH$10:$AH$250,0),"")</f>
        <v/>
      </c>
    </row>
    <row r="219" customFormat="false" ht="15" hidden="false" customHeight="false" outlineLevel="0" collapsed="false">
      <c r="A219" s="45" t="str">
        <f aca="false">IF(B219="","",210)</f>
        <v/>
      </c>
      <c r="B219" s="45" t="str">
        <f aca="false">IF($R219="","",INDEX('REGISTRE ELEVES'!$B$10:$B$250,$R219))</f>
        <v/>
      </c>
      <c r="C219" s="74" t="str">
        <f aca="false">IF($R219="","",INDEX('REGISTRE ELEVES'!$D$10:$D$250,$R219))</f>
        <v/>
      </c>
      <c r="D219" s="45" t="str">
        <f aca="false">IF($R219="","",INDEX('REGISTRE ELEVES'!$E$10:$E$250,$R219))</f>
        <v/>
      </c>
      <c r="E219" s="45" t="str">
        <f aca="false">IF($R219="","",INDEX('REGISTRE ELEVES'!$F$10:$F$250,$R219))</f>
        <v/>
      </c>
      <c r="F219" s="45" t="str">
        <f aca="false">IF($R219="","",INDEX('REGISTRE ELEVES'!$AE$10:$AE$250,$R219))</f>
        <v/>
      </c>
      <c r="G219" s="80" t="str">
        <f aca="false">IF(B219="","",IFERROR(IF(LEFT(E219,2)="CP",INDEX('NOTES CP'!$P$10:$P$250,MATCH(B219,'NOTES CP'!$B$10:$B$250,0)),IF(E219="CE1",INDEX('NOTES CE1'!$M$10:$M$250,MATCH(B219,'NOTES CE1'!$B$10:$B$250,0)),INDEX('NOTES CE2-CM1'!$M$10:$M$250,MATCH(B219,'NOTES CE2-CM1'!$B$10:$B$250,0)))),""))</f>
        <v/>
      </c>
      <c r="H219" s="80" t="str">
        <f aca="false">IF(B219="","",IFERROR(IF(LEFT(E219,2)="CP",INDEX('NOTES CP'!$Z$10:$Z$250,MATCH(B219,'NOTES CP'!$B$10:$B$250,0)),IF(E219="CE1",INDEX('NOTES CE1'!$T$10:$T$250,MATCH(B219,'NOTES CE1'!$B$10:$B$250,0)),INDEX('NOTES CE2-CM1'!$T$10:$T$250,MATCH(B219,'NOTES CE2-CM1'!$B$10:$B$250,0)))),""))</f>
        <v/>
      </c>
      <c r="I219" s="80" t="str">
        <f aca="false">IF(B219="","",IFERROR(IF(LEFT(E219,2)="CP",INDEX('NOTES CP'!$AJ$10:$AJ$250,MATCH(B219,'NOTES CP'!$B$10:$B$250,0)),IF(E219="CE1",INDEX('NOTES CE1'!$AA$10:$AA$250,MATCH(B219,'NOTES CE1'!$B$10:$B$250,0)),INDEX('NOTES CE2-CM1'!$AA$10:$AA$250,MATCH(B219,'NOTES CE2-CM1'!$B$10:$B$250,0)))),""))</f>
        <v/>
      </c>
      <c r="J219" s="81" t="str">
        <f aca="false">IF(COUNT(G219:I219)=0,"",ROUND(AVERAGE(G219:I219),2))</f>
        <v/>
      </c>
      <c r="K219" s="80" t="str">
        <f aca="false">IF(B219="","",IFERROR(IF(LEFT(E219,2)="CP",INDEX('NOTES CP'!$AT$10:$AT$250,MATCH(B219,'NOTES CP'!$B$10:$B$250,0)),IF(E219="CE1",INDEX('NOTES CE1'!$AH$10:$AH$250,MATCH(B219,'NOTES CE1'!$B$10:$B$250,0)),INDEX('NOTES CE2-CM1'!$AH$10:$AH$250,MATCH(B219,'NOTES CE2-CM1'!$B$10:$B$250,0)))),""))</f>
        <v/>
      </c>
      <c r="L219" s="82" t="str">
        <f aca="false">IF(OR(J219="",K219=""),"",ROUND((J219+2*K219)/3,2))</f>
        <v/>
      </c>
      <c r="M219" s="83" t="str">
        <f aca="false">IF(E219="","",IFERROR(INDEX(PARAMETRES!$D$18:$D$23,MATCH(E219,PARAMETRES!$B$18:$B$23,0)),""))</f>
        <v/>
      </c>
      <c r="N219" s="81" t="str">
        <f aca="false">IF(E219="","",IFERROR(INDEX(PARAMETRES!$C$18:$C$23,MATCH(E219,PARAMETRES!$B$18:$B$23,0)),""))</f>
        <v/>
      </c>
      <c r="O219" s="45" t="str">
        <f aca="false">IF(B219="","",IF(F219="ABANDON","ABANDON",IF(F219="TRANSFERE","TRANSFERE",IF(L219="","",IF(L219&gt;=N219,"ADMIS","REDOUBLE")))))</f>
        <v/>
      </c>
      <c r="P219" s="73" t="str">
        <f aca="false">IF(OR(L219="",F219&lt;&gt;"PRESENT"),"",COUNTIFS($E$10:$E$250,E219,$F$10:$F$250,"PRESENT",$L$10:$L$250,"&gt;"&amp;L219)+1)</f>
        <v/>
      </c>
      <c r="Q219" s="74" t="str">
        <f aca="false">IF(O219="ADMIS",IF(L219/M219*10&gt;=8,"Très bien",IF(L219/M219*10&gt;=7,"Bien",IF(L219/M219*10&gt;=6,"Assez bien","Passable"))),IF(O219="REDOUBLE","Insuffisant",""))</f>
        <v/>
      </c>
      <c r="R219" s="51" t="str">
        <f aca="false">IFERROR(MATCH("P-210",'REGISTRE ELEVES'!$AH$10:$AH$250,0),"")</f>
        <v/>
      </c>
    </row>
    <row r="220" customFormat="false" ht="15" hidden="false" customHeight="false" outlineLevel="0" collapsed="false">
      <c r="A220" s="45" t="str">
        <f aca="false">IF(B220="","",211)</f>
        <v/>
      </c>
      <c r="B220" s="45" t="str">
        <f aca="false">IF($R220="","",INDEX('REGISTRE ELEVES'!$B$10:$B$250,$R220))</f>
        <v/>
      </c>
      <c r="C220" s="74" t="str">
        <f aca="false">IF($R220="","",INDEX('REGISTRE ELEVES'!$D$10:$D$250,$R220))</f>
        <v/>
      </c>
      <c r="D220" s="45" t="str">
        <f aca="false">IF($R220="","",INDEX('REGISTRE ELEVES'!$E$10:$E$250,$R220))</f>
        <v/>
      </c>
      <c r="E220" s="45" t="str">
        <f aca="false">IF($R220="","",INDEX('REGISTRE ELEVES'!$F$10:$F$250,$R220))</f>
        <v/>
      </c>
      <c r="F220" s="45" t="str">
        <f aca="false">IF($R220="","",INDEX('REGISTRE ELEVES'!$AE$10:$AE$250,$R220))</f>
        <v/>
      </c>
      <c r="G220" s="80" t="str">
        <f aca="false">IF(B220="","",IFERROR(IF(LEFT(E220,2)="CP",INDEX('NOTES CP'!$P$10:$P$250,MATCH(B220,'NOTES CP'!$B$10:$B$250,0)),IF(E220="CE1",INDEX('NOTES CE1'!$M$10:$M$250,MATCH(B220,'NOTES CE1'!$B$10:$B$250,0)),INDEX('NOTES CE2-CM1'!$M$10:$M$250,MATCH(B220,'NOTES CE2-CM1'!$B$10:$B$250,0)))),""))</f>
        <v/>
      </c>
      <c r="H220" s="80" t="str">
        <f aca="false">IF(B220="","",IFERROR(IF(LEFT(E220,2)="CP",INDEX('NOTES CP'!$Z$10:$Z$250,MATCH(B220,'NOTES CP'!$B$10:$B$250,0)),IF(E220="CE1",INDEX('NOTES CE1'!$T$10:$T$250,MATCH(B220,'NOTES CE1'!$B$10:$B$250,0)),INDEX('NOTES CE2-CM1'!$T$10:$T$250,MATCH(B220,'NOTES CE2-CM1'!$B$10:$B$250,0)))),""))</f>
        <v/>
      </c>
      <c r="I220" s="80" t="str">
        <f aca="false">IF(B220="","",IFERROR(IF(LEFT(E220,2)="CP",INDEX('NOTES CP'!$AJ$10:$AJ$250,MATCH(B220,'NOTES CP'!$B$10:$B$250,0)),IF(E220="CE1",INDEX('NOTES CE1'!$AA$10:$AA$250,MATCH(B220,'NOTES CE1'!$B$10:$B$250,0)),INDEX('NOTES CE2-CM1'!$AA$10:$AA$250,MATCH(B220,'NOTES CE2-CM1'!$B$10:$B$250,0)))),""))</f>
        <v/>
      </c>
      <c r="J220" s="81" t="str">
        <f aca="false">IF(COUNT(G220:I220)=0,"",ROUND(AVERAGE(G220:I220),2))</f>
        <v/>
      </c>
      <c r="K220" s="80" t="str">
        <f aca="false">IF(B220="","",IFERROR(IF(LEFT(E220,2)="CP",INDEX('NOTES CP'!$AT$10:$AT$250,MATCH(B220,'NOTES CP'!$B$10:$B$250,0)),IF(E220="CE1",INDEX('NOTES CE1'!$AH$10:$AH$250,MATCH(B220,'NOTES CE1'!$B$10:$B$250,0)),INDEX('NOTES CE2-CM1'!$AH$10:$AH$250,MATCH(B220,'NOTES CE2-CM1'!$B$10:$B$250,0)))),""))</f>
        <v/>
      </c>
      <c r="L220" s="82" t="str">
        <f aca="false">IF(OR(J220="",K220=""),"",ROUND((J220+2*K220)/3,2))</f>
        <v/>
      </c>
      <c r="M220" s="83" t="str">
        <f aca="false">IF(E220="","",IFERROR(INDEX(PARAMETRES!$D$18:$D$23,MATCH(E220,PARAMETRES!$B$18:$B$23,0)),""))</f>
        <v/>
      </c>
      <c r="N220" s="81" t="str">
        <f aca="false">IF(E220="","",IFERROR(INDEX(PARAMETRES!$C$18:$C$23,MATCH(E220,PARAMETRES!$B$18:$B$23,0)),""))</f>
        <v/>
      </c>
      <c r="O220" s="45" t="str">
        <f aca="false">IF(B220="","",IF(F220="ABANDON","ABANDON",IF(F220="TRANSFERE","TRANSFERE",IF(L220="","",IF(L220&gt;=N220,"ADMIS","REDOUBLE")))))</f>
        <v/>
      </c>
      <c r="P220" s="73" t="str">
        <f aca="false">IF(OR(L220="",F220&lt;&gt;"PRESENT"),"",COUNTIFS($E$10:$E$250,E220,$F$10:$F$250,"PRESENT",$L$10:$L$250,"&gt;"&amp;L220)+1)</f>
        <v/>
      </c>
      <c r="Q220" s="74" t="str">
        <f aca="false">IF(O220="ADMIS",IF(L220/M220*10&gt;=8,"Très bien",IF(L220/M220*10&gt;=7,"Bien",IF(L220/M220*10&gt;=6,"Assez bien","Passable"))),IF(O220="REDOUBLE","Insuffisant",""))</f>
        <v/>
      </c>
      <c r="R220" s="51" t="str">
        <f aca="false">IFERROR(MATCH("P-211",'REGISTRE ELEVES'!$AH$10:$AH$250,0),"")</f>
        <v/>
      </c>
    </row>
    <row r="221" customFormat="false" ht="15" hidden="false" customHeight="false" outlineLevel="0" collapsed="false">
      <c r="A221" s="45" t="str">
        <f aca="false">IF(B221="","",212)</f>
        <v/>
      </c>
      <c r="B221" s="45" t="str">
        <f aca="false">IF($R221="","",INDEX('REGISTRE ELEVES'!$B$10:$B$250,$R221))</f>
        <v/>
      </c>
      <c r="C221" s="74" t="str">
        <f aca="false">IF($R221="","",INDEX('REGISTRE ELEVES'!$D$10:$D$250,$R221))</f>
        <v/>
      </c>
      <c r="D221" s="45" t="str">
        <f aca="false">IF($R221="","",INDEX('REGISTRE ELEVES'!$E$10:$E$250,$R221))</f>
        <v/>
      </c>
      <c r="E221" s="45" t="str">
        <f aca="false">IF($R221="","",INDEX('REGISTRE ELEVES'!$F$10:$F$250,$R221))</f>
        <v/>
      </c>
      <c r="F221" s="45" t="str">
        <f aca="false">IF($R221="","",INDEX('REGISTRE ELEVES'!$AE$10:$AE$250,$R221))</f>
        <v/>
      </c>
      <c r="G221" s="80" t="str">
        <f aca="false">IF(B221="","",IFERROR(IF(LEFT(E221,2)="CP",INDEX('NOTES CP'!$P$10:$P$250,MATCH(B221,'NOTES CP'!$B$10:$B$250,0)),IF(E221="CE1",INDEX('NOTES CE1'!$M$10:$M$250,MATCH(B221,'NOTES CE1'!$B$10:$B$250,0)),INDEX('NOTES CE2-CM1'!$M$10:$M$250,MATCH(B221,'NOTES CE2-CM1'!$B$10:$B$250,0)))),""))</f>
        <v/>
      </c>
      <c r="H221" s="80" t="str">
        <f aca="false">IF(B221="","",IFERROR(IF(LEFT(E221,2)="CP",INDEX('NOTES CP'!$Z$10:$Z$250,MATCH(B221,'NOTES CP'!$B$10:$B$250,0)),IF(E221="CE1",INDEX('NOTES CE1'!$T$10:$T$250,MATCH(B221,'NOTES CE1'!$B$10:$B$250,0)),INDEX('NOTES CE2-CM1'!$T$10:$T$250,MATCH(B221,'NOTES CE2-CM1'!$B$10:$B$250,0)))),""))</f>
        <v/>
      </c>
      <c r="I221" s="80" t="str">
        <f aca="false">IF(B221="","",IFERROR(IF(LEFT(E221,2)="CP",INDEX('NOTES CP'!$AJ$10:$AJ$250,MATCH(B221,'NOTES CP'!$B$10:$B$250,0)),IF(E221="CE1",INDEX('NOTES CE1'!$AA$10:$AA$250,MATCH(B221,'NOTES CE1'!$B$10:$B$250,0)),INDEX('NOTES CE2-CM1'!$AA$10:$AA$250,MATCH(B221,'NOTES CE2-CM1'!$B$10:$B$250,0)))),""))</f>
        <v/>
      </c>
      <c r="J221" s="81" t="str">
        <f aca="false">IF(COUNT(G221:I221)=0,"",ROUND(AVERAGE(G221:I221),2))</f>
        <v/>
      </c>
      <c r="K221" s="80" t="str">
        <f aca="false">IF(B221="","",IFERROR(IF(LEFT(E221,2)="CP",INDEX('NOTES CP'!$AT$10:$AT$250,MATCH(B221,'NOTES CP'!$B$10:$B$250,0)),IF(E221="CE1",INDEX('NOTES CE1'!$AH$10:$AH$250,MATCH(B221,'NOTES CE1'!$B$10:$B$250,0)),INDEX('NOTES CE2-CM1'!$AH$10:$AH$250,MATCH(B221,'NOTES CE2-CM1'!$B$10:$B$250,0)))),""))</f>
        <v/>
      </c>
      <c r="L221" s="82" t="str">
        <f aca="false">IF(OR(J221="",K221=""),"",ROUND((J221+2*K221)/3,2))</f>
        <v/>
      </c>
      <c r="M221" s="83" t="str">
        <f aca="false">IF(E221="","",IFERROR(INDEX(PARAMETRES!$D$18:$D$23,MATCH(E221,PARAMETRES!$B$18:$B$23,0)),""))</f>
        <v/>
      </c>
      <c r="N221" s="81" t="str">
        <f aca="false">IF(E221="","",IFERROR(INDEX(PARAMETRES!$C$18:$C$23,MATCH(E221,PARAMETRES!$B$18:$B$23,0)),""))</f>
        <v/>
      </c>
      <c r="O221" s="45" t="str">
        <f aca="false">IF(B221="","",IF(F221="ABANDON","ABANDON",IF(F221="TRANSFERE","TRANSFERE",IF(L221="","",IF(L221&gt;=N221,"ADMIS","REDOUBLE")))))</f>
        <v/>
      </c>
      <c r="P221" s="73" t="str">
        <f aca="false">IF(OR(L221="",F221&lt;&gt;"PRESENT"),"",COUNTIFS($E$10:$E$250,E221,$F$10:$F$250,"PRESENT",$L$10:$L$250,"&gt;"&amp;L221)+1)</f>
        <v/>
      </c>
      <c r="Q221" s="74" t="str">
        <f aca="false">IF(O221="ADMIS",IF(L221/M221*10&gt;=8,"Très bien",IF(L221/M221*10&gt;=7,"Bien",IF(L221/M221*10&gt;=6,"Assez bien","Passable"))),IF(O221="REDOUBLE","Insuffisant",""))</f>
        <v/>
      </c>
      <c r="R221" s="51" t="str">
        <f aca="false">IFERROR(MATCH("P-212",'REGISTRE ELEVES'!$AH$10:$AH$250,0),"")</f>
        <v/>
      </c>
    </row>
    <row r="222" customFormat="false" ht="15" hidden="false" customHeight="false" outlineLevel="0" collapsed="false">
      <c r="A222" s="45" t="str">
        <f aca="false">IF(B222="","",213)</f>
        <v/>
      </c>
      <c r="B222" s="45" t="str">
        <f aca="false">IF($R222="","",INDEX('REGISTRE ELEVES'!$B$10:$B$250,$R222))</f>
        <v/>
      </c>
      <c r="C222" s="74" t="str">
        <f aca="false">IF($R222="","",INDEX('REGISTRE ELEVES'!$D$10:$D$250,$R222))</f>
        <v/>
      </c>
      <c r="D222" s="45" t="str">
        <f aca="false">IF($R222="","",INDEX('REGISTRE ELEVES'!$E$10:$E$250,$R222))</f>
        <v/>
      </c>
      <c r="E222" s="45" t="str">
        <f aca="false">IF($R222="","",INDEX('REGISTRE ELEVES'!$F$10:$F$250,$R222))</f>
        <v/>
      </c>
      <c r="F222" s="45" t="str">
        <f aca="false">IF($R222="","",INDEX('REGISTRE ELEVES'!$AE$10:$AE$250,$R222))</f>
        <v/>
      </c>
      <c r="G222" s="80" t="str">
        <f aca="false">IF(B222="","",IFERROR(IF(LEFT(E222,2)="CP",INDEX('NOTES CP'!$P$10:$P$250,MATCH(B222,'NOTES CP'!$B$10:$B$250,0)),IF(E222="CE1",INDEX('NOTES CE1'!$M$10:$M$250,MATCH(B222,'NOTES CE1'!$B$10:$B$250,0)),INDEX('NOTES CE2-CM1'!$M$10:$M$250,MATCH(B222,'NOTES CE2-CM1'!$B$10:$B$250,0)))),""))</f>
        <v/>
      </c>
      <c r="H222" s="80" t="str">
        <f aca="false">IF(B222="","",IFERROR(IF(LEFT(E222,2)="CP",INDEX('NOTES CP'!$Z$10:$Z$250,MATCH(B222,'NOTES CP'!$B$10:$B$250,0)),IF(E222="CE1",INDEX('NOTES CE1'!$T$10:$T$250,MATCH(B222,'NOTES CE1'!$B$10:$B$250,0)),INDEX('NOTES CE2-CM1'!$T$10:$T$250,MATCH(B222,'NOTES CE2-CM1'!$B$10:$B$250,0)))),""))</f>
        <v/>
      </c>
      <c r="I222" s="80" t="str">
        <f aca="false">IF(B222="","",IFERROR(IF(LEFT(E222,2)="CP",INDEX('NOTES CP'!$AJ$10:$AJ$250,MATCH(B222,'NOTES CP'!$B$10:$B$250,0)),IF(E222="CE1",INDEX('NOTES CE1'!$AA$10:$AA$250,MATCH(B222,'NOTES CE1'!$B$10:$B$250,0)),INDEX('NOTES CE2-CM1'!$AA$10:$AA$250,MATCH(B222,'NOTES CE2-CM1'!$B$10:$B$250,0)))),""))</f>
        <v/>
      </c>
      <c r="J222" s="81" t="str">
        <f aca="false">IF(COUNT(G222:I222)=0,"",ROUND(AVERAGE(G222:I222),2))</f>
        <v/>
      </c>
      <c r="K222" s="80" t="str">
        <f aca="false">IF(B222="","",IFERROR(IF(LEFT(E222,2)="CP",INDEX('NOTES CP'!$AT$10:$AT$250,MATCH(B222,'NOTES CP'!$B$10:$B$250,0)),IF(E222="CE1",INDEX('NOTES CE1'!$AH$10:$AH$250,MATCH(B222,'NOTES CE1'!$B$10:$B$250,0)),INDEX('NOTES CE2-CM1'!$AH$10:$AH$250,MATCH(B222,'NOTES CE2-CM1'!$B$10:$B$250,0)))),""))</f>
        <v/>
      </c>
      <c r="L222" s="82" t="str">
        <f aca="false">IF(OR(J222="",K222=""),"",ROUND((J222+2*K222)/3,2))</f>
        <v/>
      </c>
      <c r="M222" s="83" t="str">
        <f aca="false">IF(E222="","",IFERROR(INDEX(PARAMETRES!$D$18:$D$23,MATCH(E222,PARAMETRES!$B$18:$B$23,0)),""))</f>
        <v/>
      </c>
      <c r="N222" s="81" t="str">
        <f aca="false">IF(E222="","",IFERROR(INDEX(PARAMETRES!$C$18:$C$23,MATCH(E222,PARAMETRES!$B$18:$B$23,0)),""))</f>
        <v/>
      </c>
      <c r="O222" s="45" t="str">
        <f aca="false">IF(B222="","",IF(F222="ABANDON","ABANDON",IF(F222="TRANSFERE","TRANSFERE",IF(L222="","",IF(L222&gt;=N222,"ADMIS","REDOUBLE")))))</f>
        <v/>
      </c>
      <c r="P222" s="73" t="str">
        <f aca="false">IF(OR(L222="",F222&lt;&gt;"PRESENT"),"",COUNTIFS($E$10:$E$250,E222,$F$10:$F$250,"PRESENT",$L$10:$L$250,"&gt;"&amp;L222)+1)</f>
        <v/>
      </c>
      <c r="Q222" s="74" t="str">
        <f aca="false">IF(O222="ADMIS",IF(L222/M222*10&gt;=8,"Très bien",IF(L222/M222*10&gt;=7,"Bien",IF(L222/M222*10&gt;=6,"Assez bien","Passable"))),IF(O222="REDOUBLE","Insuffisant",""))</f>
        <v/>
      </c>
      <c r="R222" s="51" t="str">
        <f aca="false">IFERROR(MATCH("P-213",'REGISTRE ELEVES'!$AH$10:$AH$250,0),"")</f>
        <v/>
      </c>
    </row>
    <row r="223" customFormat="false" ht="15" hidden="false" customHeight="false" outlineLevel="0" collapsed="false">
      <c r="A223" s="45" t="str">
        <f aca="false">IF(B223="","",214)</f>
        <v/>
      </c>
      <c r="B223" s="45" t="str">
        <f aca="false">IF($R223="","",INDEX('REGISTRE ELEVES'!$B$10:$B$250,$R223))</f>
        <v/>
      </c>
      <c r="C223" s="74" t="str">
        <f aca="false">IF($R223="","",INDEX('REGISTRE ELEVES'!$D$10:$D$250,$R223))</f>
        <v/>
      </c>
      <c r="D223" s="45" t="str">
        <f aca="false">IF($R223="","",INDEX('REGISTRE ELEVES'!$E$10:$E$250,$R223))</f>
        <v/>
      </c>
      <c r="E223" s="45" t="str">
        <f aca="false">IF($R223="","",INDEX('REGISTRE ELEVES'!$F$10:$F$250,$R223))</f>
        <v/>
      </c>
      <c r="F223" s="45" t="str">
        <f aca="false">IF($R223="","",INDEX('REGISTRE ELEVES'!$AE$10:$AE$250,$R223))</f>
        <v/>
      </c>
      <c r="G223" s="80" t="str">
        <f aca="false">IF(B223="","",IFERROR(IF(LEFT(E223,2)="CP",INDEX('NOTES CP'!$P$10:$P$250,MATCH(B223,'NOTES CP'!$B$10:$B$250,0)),IF(E223="CE1",INDEX('NOTES CE1'!$M$10:$M$250,MATCH(B223,'NOTES CE1'!$B$10:$B$250,0)),INDEX('NOTES CE2-CM1'!$M$10:$M$250,MATCH(B223,'NOTES CE2-CM1'!$B$10:$B$250,0)))),""))</f>
        <v/>
      </c>
      <c r="H223" s="80" t="str">
        <f aca="false">IF(B223="","",IFERROR(IF(LEFT(E223,2)="CP",INDEX('NOTES CP'!$Z$10:$Z$250,MATCH(B223,'NOTES CP'!$B$10:$B$250,0)),IF(E223="CE1",INDEX('NOTES CE1'!$T$10:$T$250,MATCH(B223,'NOTES CE1'!$B$10:$B$250,0)),INDEX('NOTES CE2-CM1'!$T$10:$T$250,MATCH(B223,'NOTES CE2-CM1'!$B$10:$B$250,0)))),""))</f>
        <v/>
      </c>
      <c r="I223" s="80" t="str">
        <f aca="false">IF(B223="","",IFERROR(IF(LEFT(E223,2)="CP",INDEX('NOTES CP'!$AJ$10:$AJ$250,MATCH(B223,'NOTES CP'!$B$10:$B$250,0)),IF(E223="CE1",INDEX('NOTES CE1'!$AA$10:$AA$250,MATCH(B223,'NOTES CE1'!$B$10:$B$250,0)),INDEX('NOTES CE2-CM1'!$AA$10:$AA$250,MATCH(B223,'NOTES CE2-CM1'!$B$10:$B$250,0)))),""))</f>
        <v/>
      </c>
      <c r="J223" s="81" t="str">
        <f aca="false">IF(COUNT(G223:I223)=0,"",ROUND(AVERAGE(G223:I223),2))</f>
        <v/>
      </c>
      <c r="K223" s="80" t="str">
        <f aca="false">IF(B223="","",IFERROR(IF(LEFT(E223,2)="CP",INDEX('NOTES CP'!$AT$10:$AT$250,MATCH(B223,'NOTES CP'!$B$10:$B$250,0)),IF(E223="CE1",INDEX('NOTES CE1'!$AH$10:$AH$250,MATCH(B223,'NOTES CE1'!$B$10:$B$250,0)),INDEX('NOTES CE2-CM1'!$AH$10:$AH$250,MATCH(B223,'NOTES CE2-CM1'!$B$10:$B$250,0)))),""))</f>
        <v/>
      </c>
      <c r="L223" s="82" t="str">
        <f aca="false">IF(OR(J223="",K223=""),"",ROUND((J223+2*K223)/3,2))</f>
        <v/>
      </c>
      <c r="M223" s="83" t="str">
        <f aca="false">IF(E223="","",IFERROR(INDEX(PARAMETRES!$D$18:$D$23,MATCH(E223,PARAMETRES!$B$18:$B$23,0)),""))</f>
        <v/>
      </c>
      <c r="N223" s="81" t="str">
        <f aca="false">IF(E223="","",IFERROR(INDEX(PARAMETRES!$C$18:$C$23,MATCH(E223,PARAMETRES!$B$18:$B$23,0)),""))</f>
        <v/>
      </c>
      <c r="O223" s="45" t="str">
        <f aca="false">IF(B223="","",IF(F223="ABANDON","ABANDON",IF(F223="TRANSFERE","TRANSFERE",IF(L223="","",IF(L223&gt;=N223,"ADMIS","REDOUBLE")))))</f>
        <v/>
      </c>
      <c r="P223" s="73" t="str">
        <f aca="false">IF(OR(L223="",F223&lt;&gt;"PRESENT"),"",COUNTIFS($E$10:$E$250,E223,$F$10:$F$250,"PRESENT",$L$10:$L$250,"&gt;"&amp;L223)+1)</f>
        <v/>
      </c>
      <c r="Q223" s="74" t="str">
        <f aca="false">IF(O223="ADMIS",IF(L223/M223*10&gt;=8,"Très bien",IF(L223/M223*10&gt;=7,"Bien",IF(L223/M223*10&gt;=6,"Assez bien","Passable"))),IF(O223="REDOUBLE","Insuffisant",""))</f>
        <v/>
      </c>
      <c r="R223" s="51" t="str">
        <f aca="false">IFERROR(MATCH("P-214",'REGISTRE ELEVES'!$AH$10:$AH$250,0),"")</f>
        <v/>
      </c>
    </row>
    <row r="224" customFormat="false" ht="15" hidden="false" customHeight="false" outlineLevel="0" collapsed="false">
      <c r="A224" s="45" t="str">
        <f aca="false">IF(B224="","",215)</f>
        <v/>
      </c>
      <c r="B224" s="45" t="str">
        <f aca="false">IF($R224="","",INDEX('REGISTRE ELEVES'!$B$10:$B$250,$R224))</f>
        <v/>
      </c>
      <c r="C224" s="74" t="str">
        <f aca="false">IF($R224="","",INDEX('REGISTRE ELEVES'!$D$10:$D$250,$R224))</f>
        <v/>
      </c>
      <c r="D224" s="45" t="str">
        <f aca="false">IF($R224="","",INDEX('REGISTRE ELEVES'!$E$10:$E$250,$R224))</f>
        <v/>
      </c>
      <c r="E224" s="45" t="str">
        <f aca="false">IF($R224="","",INDEX('REGISTRE ELEVES'!$F$10:$F$250,$R224))</f>
        <v/>
      </c>
      <c r="F224" s="45" t="str">
        <f aca="false">IF($R224="","",INDEX('REGISTRE ELEVES'!$AE$10:$AE$250,$R224))</f>
        <v/>
      </c>
      <c r="G224" s="80" t="str">
        <f aca="false">IF(B224="","",IFERROR(IF(LEFT(E224,2)="CP",INDEX('NOTES CP'!$P$10:$P$250,MATCH(B224,'NOTES CP'!$B$10:$B$250,0)),IF(E224="CE1",INDEX('NOTES CE1'!$M$10:$M$250,MATCH(B224,'NOTES CE1'!$B$10:$B$250,0)),INDEX('NOTES CE2-CM1'!$M$10:$M$250,MATCH(B224,'NOTES CE2-CM1'!$B$10:$B$250,0)))),""))</f>
        <v/>
      </c>
      <c r="H224" s="80" t="str">
        <f aca="false">IF(B224="","",IFERROR(IF(LEFT(E224,2)="CP",INDEX('NOTES CP'!$Z$10:$Z$250,MATCH(B224,'NOTES CP'!$B$10:$B$250,0)),IF(E224="CE1",INDEX('NOTES CE1'!$T$10:$T$250,MATCH(B224,'NOTES CE1'!$B$10:$B$250,0)),INDEX('NOTES CE2-CM1'!$T$10:$T$250,MATCH(B224,'NOTES CE2-CM1'!$B$10:$B$250,0)))),""))</f>
        <v/>
      </c>
      <c r="I224" s="80" t="str">
        <f aca="false">IF(B224="","",IFERROR(IF(LEFT(E224,2)="CP",INDEX('NOTES CP'!$AJ$10:$AJ$250,MATCH(B224,'NOTES CP'!$B$10:$B$250,0)),IF(E224="CE1",INDEX('NOTES CE1'!$AA$10:$AA$250,MATCH(B224,'NOTES CE1'!$B$10:$B$250,0)),INDEX('NOTES CE2-CM1'!$AA$10:$AA$250,MATCH(B224,'NOTES CE2-CM1'!$B$10:$B$250,0)))),""))</f>
        <v/>
      </c>
      <c r="J224" s="81" t="str">
        <f aca="false">IF(COUNT(G224:I224)=0,"",ROUND(AVERAGE(G224:I224),2))</f>
        <v/>
      </c>
      <c r="K224" s="80" t="str">
        <f aca="false">IF(B224="","",IFERROR(IF(LEFT(E224,2)="CP",INDEX('NOTES CP'!$AT$10:$AT$250,MATCH(B224,'NOTES CP'!$B$10:$B$250,0)),IF(E224="CE1",INDEX('NOTES CE1'!$AH$10:$AH$250,MATCH(B224,'NOTES CE1'!$B$10:$B$250,0)),INDEX('NOTES CE2-CM1'!$AH$10:$AH$250,MATCH(B224,'NOTES CE2-CM1'!$B$10:$B$250,0)))),""))</f>
        <v/>
      </c>
      <c r="L224" s="82" t="str">
        <f aca="false">IF(OR(J224="",K224=""),"",ROUND((J224+2*K224)/3,2))</f>
        <v/>
      </c>
      <c r="M224" s="83" t="str">
        <f aca="false">IF(E224="","",IFERROR(INDEX(PARAMETRES!$D$18:$D$23,MATCH(E224,PARAMETRES!$B$18:$B$23,0)),""))</f>
        <v/>
      </c>
      <c r="N224" s="81" t="str">
        <f aca="false">IF(E224="","",IFERROR(INDEX(PARAMETRES!$C$18:$C$23,MATCH(E224,PARAMETRES!$B$18:$B$23,0)),""))</f>
        <v/>
      </c>
      <c r="O224" s="45" t="str">
        <f aca="false">IF(B224="","",IF(F224="ABANDON","ABANDON",IF(F224="TRANSFERE","TRANSFERE",IF(L224="","",IF(L224&gt;=N224,"ADMIS","REDOUBLE")))))</f>
        <v/>
      </c>
      <c r="P224" s="73" t="str">
        <f aca="false">IF(OR(L224="",F224&lt;&gt;"PRESENT"),"",COUNTIFS($E$10:$E$250,E224,$F$10:$F$250,"PRESENT",$L$10:$L$250,"&gt;"&amp;L224)+1)</f>
        <v/>
      </c>
      <c r="Q224" s="74" t="str">
        <f aca="false">IF(O224="ADMIS",IF(L224/M224*10&gt;=8,"Très bien",IF(L224/M224*10&gt;=7,"Bien",IF(L224/M224*10&gt;=6,"Assez bien","Passable"))),IF(O224="REDOUBLE","Insuffisant",""))</f>
        <v/>
      </c>
      <c r="R224" s="51" t="str">
        <f aca="false">IFERROR(MATCH("P-215",'REGISTRE ELEVES'!$AH$10:$AH$250,0),"")</f>
        <v/>
      </c>
    </row>
    <row r="225" customFormat="false" ht="15" hidden="false" customHeight="false" outlineLevel="0" collapsed="false">
      <c r="A225" s="45" t="str">
        <f aca="false">IF(B225="","",216)</f>
        <v/>
      </c>
      <c r="B225" s="45" t="str">
        <f aca="false">IF($R225="","",INDEX('REGISTRE ELEVES'!$B$10:$B$250,$R225))</f>
        <v/>
      </c>
      <c r="C225" s="74" t="str">
        <f aca="false">IF($R225="","",INDEX('REGISTRE ELEVES'!$D$10:$D$250,$R225))</f>
        <v/>
      </c>
      <c r="D225" s="45" t="str">
        <f aca="false">IF($R225="","",INDEX('REGISTRE ELEVES'!$E$10:$E$250,$R225))</f>
        <v/>
      </c>
      <c r="E225" s="45" t="str">
        <f aca="false">IF($R225="","",INDEX('REGISTRE ELEVES'!$F$10:$F$250,$R225))</f>
        <v/>
      </c>
      <c r="F225" s="45" t="str">
        <f aca="false">IF($R225="","",INDEX('REGISTRE ELEVES'!$AE$10:$AE$250,$R225))</f>
        <v/>
      </c>
      <c r="G225" s="80" t="str">
        <f aca="false">IF(B225="","",IFERROR(IF(LEFT(E225,2)="CP",INDEX('NOTES CP'!$P$10:$P$250,MATCH(B225,'NOTES CP'!$B$10:$B$250,0)),IF(E225="CE1",INDEX('NOTES CE1'!$M$10:$M$250,MATCH(B225,'NOTES CE1'!$B$10:$B$250,0)),INDEX('NOTES CE2-CM1'!$M$10:$M$250,MATCH(B225,'NOTES CE2-CM1'!$B$10:$B$250,0)))),""))</f>
        <v/>
      </c>
      <c r="H225" s="80" t="str">
        <f aca="false">IF(B225="","",IFERROR(IF(LEFT(E225,2)="CP",INDEX('NOTES CP'!$Z$10:$Z$250,MATCH(B225,'NOTES CP'!$B$10:$B$250,0)),IF(E225="CE1",INDEX('NOTES CE1'!$T$10:$T$250,MATCH(B225,'NOTES CE1'!$B$10:$B$250,0)),INDEX('NOTES CE2-CM1'!$T$10:$T$250,MATCH(B225,'NOTES CE2-CM1'!$B$10:$B$250,0)))),""))</f>
        <v/>
      </c>
      <c r="I225" s="80" t="str">
        <f aca="false">IF(B225="","",IFERROR(IF(LEFT(E225,2)="CP",INDEX('NOTES CP'!$AJ$10:$AJ$250,MATCH(B225,'NOTES CP'!$B$10:$B$250,0)),IF(E225="CE1",INDEX('NOTES CE1'!$AA$10:$AA$250,MATCH(B225,'NOTES CE1'!$B$10:$B$250,0)),INDEX('NOTES CE2-CM1'!$AA$10:$AA$250,MATCH(B225,'NOTES CE2-CM1'!$B$10:$B$250,0)))),""))</f>
        <v/>
      </c>
      <c r="J225" s="81" t="str">
        <f aca="false">IF(COUNT(G225:I225)=0,"",ROUND(AVERAGE(G225:I225),2))</f>
        <v/>
      </c>
      <c r="K225" s="80" t="str">
        <f aca="false">IF(B225="","",IFERROR(IF(LEFT(E225,2)="CP",INDEX('NOTES CP'!$AT$10:$AT$250,MATCH(B225,'NOTES CP'!$B$10:$B$250,0)),IF(E225="CE1",INDEX('NOTES CE1'!$AH$10:$AH$250,MATCH(B225,'NOTES CE1'!$B$10:$B$250,0)),INDEX('NOTES CE2-CM1'!$AH$10:$AH$250,MATCH(B225,'NOTES CE2-CM1'!$B$10:$B$250,0)))),""))</f>
        <v/>
      </c>
      <c r="L225" s="82" t="str">
        <f aca="false">IF(OR(J225="",K225=""),"",ROUND((J225+2*K225)/3,2))</f>
        <v/>
      </c>
      <c r="M225" s="83" t="str">
        <f aca="false">IF(E225="","",IFERROR(INDEX(PARAMETRES!$D$18:$D$23,MATCH(E225,PARAMETRES!$B$18:$B$23,0)),""))</f>
        <v/>
      </c>
      <c r="N225" s="81" t="str">
        <f aca="false">IF(E225="","",IFERROR(INDEX(PARAMETRES!$C$18:$C$23,MATCH(E225,PARAMETRES!$B$18:$B$23,0)),""))</f>
        <v/>
      </c>
      <c r="O225" s="45" t="str">
        <f aca="false">IF(B225="","",IF(F225="ABANDON","ABANDON",IF(F225="TRANSFERE","TRANSFERE",IF(L225="","",IF(L225&gt;=N225,"ADMIS","REDOUBLE")))))</f>
        <v/>
      </c>
      <c r="P225" s="73" t="str">
        <f aca="false">IF(OR(L225="",F225&lt;&gt;"PRESENT"),"",COUNTIFS($E$10:$E$250,E225,$F$10:$F$250,"PRESENT",$L$10:$L$250,"&gt;"&amp;L225)+1)</f>
        <v/>
      </c>
      <c r="Q225" s="74" t="str">
        <f aca="false">IF(O225="ADMIS",IF(L225/M225*10&gt;=8,"Très bien",IF(L225/M225*10&gt;=7,"Bien",IF(L225/M225*10&gt;=6,"Assez bien","Passable"))),IF(O225="REDOUBLE","Insuffisant",""))</f>
        <v/>
      </c>
      <c r="R225" s="51" t="str">
        <f aca="false">IFERROR(MATCH("P-216",'REGISTRE ELEVES'!$AH$10:$AH$250,0),"")</f>
        <v/>
      </c>
    </row>
    <row r="226" customFormat="false" ht="15" hidden="false" customHeight="false" outlineLevel="0" collapsed="false">
      <c r="A226" s="45" t="str">
        <f aca="false">IF(B226="","",217)</f>
        <v/>
      </c>
      <c r="B226" s="45" t="str">
        <f aca="false">IF($R226="","",INDEX('REGISTRE ELEVES'!$B$10:$B$250,$R226))</f>
        <v/>
      </c>
      <c r="C226" s="74" t="str">
        <f aca="false">IF($R226="","",INDEX('REGISTRE ELEVES'!$D$10:$D$250,$R226))</f>
        <v/>
      </c>
      <c r="D226" s="45" t="str">
        <f aca="false">IF($R226="","",INDEX('REGISTRE ELEVES'!$E$10:$E$250,$R226))</f>
        <v/>
      </c>
      <c r="E226" s="45" t="str">
        <f aca="false">IF($R226="","",INDEX('REGISTRE ELEVES'!$F$10:$F$250,$R226))</f>
        <v/>
      </c>
      <c r="F226" s="45" t="str">
        <f aca="false">IF($R226="","",INDEX('REGISTRE ELEVES'!$AE$10:$AE$250,$R226))</f>
        <v/>
      </c>
      <c r="G226" s="80" t="str">
        <f aca="false">IF(B226="","",IFERROR(IF(LEFT(E226,2)="CP",INDEX('NOTES CP'!$P$10:$P$250,MATCH(B226,'NOTES CP'!$B$10:$B$250,0)),IF(E226="CE1",INDEX('NOTES CE1'!$M$10:$M$250,MATCH(B226,'NOTES CE1'!$B$10:$B$250,0)),INDEX('NOTES CE2-CM1'!$M$10:$M$250,MATCH(B226,'NOTES CE2-CM1'!$B$10:$B$250,0)))),""))</f>
        <v/>
      </c>
      <c r="H226" s="80" t="str">
        <f aca="false">IF(B226="","",IFERROR(IF(LEFT(E226,2)="CP",INDEX('NOTES CP'!$Z$10:$Z$250,MATCH(B226,'NOTES CP'!$B$10:$B$250,0)),IF(E226="CE1",INDEX('NOTES CE1'!$T$10:$T$250,MATCH(B226,'NOTES CE1'!$B$10:$B$250,0)),INDEX('NOTES CE2-CM1'!$T$10:$T$250,MATCH(B226,'NOTES CE2-CM1'!$B$10:$B$250,0)))),""))</f>
        <v/>
      </c>
      <c r="I226" s="80" t="str">
        <f aca="false">IF(B226="","",IFERROR(IF(LEFT(E226,2)="CP",INDEX('NOTES CP'!$AJ$10:$AJ$250,MATCH(B226,'NOTES CP'!$B$10:$B$250,0)),IF(E226="CE1",INDEX('NOTES CE1'!$AA$10:$AA$250,MATCH(B226,'NOTES CE1'!$B$10:$B$250,0)),INDEX('NOTES CE2-CM1'!$AA$10:$AA$250,MATCH(B226,'NOTES CE2-CM1'!$B$10:$B$250,0)))),""))</f>
        <v/>
      </c>
      <c r="J226" s="81" t="str">
        <f aca="false">IF(COUNT(G226:I226)=0,"",ROUND(AVERAGE(G226:I226),2))</f>
        <v/>
      </c>
      <c r="K226" s="80" t="str">
        <f aca="false">IF(B226="","",IFERROR(IF(LEFT(E226,2)="CP",INDEX('NOTES CP'!$AT$10:$AT$250,MATCH(B226,'NOTES CP'!$B$10:$B$250,0)),IF(E226="CE1",INDEX('NOTES CE1'!$AH$10:$AH$250,MATCH(B226,'NOTES CE1'!$B$10:$B$250,0)),INDEX('NOTES CE2-CM1'!$AH$10:$AH$250,MATCH(B226,'NOTES CE2-CM1'!$B$10:$B$250,0)))),""))</f>
        <v/>
      </c>
      <c r="L226" s="82" t="str">
        <f aca="false">IF(OR(J226="",K226=""),"",ROUND((J226+2*K226)/3,2))</f>
        <v/>
      </c>
      <c r="M226" s="83" t="str">
        <f aca="false">IF(E226="","",IFERROR(INDEX(PARAMETRES!$D$18:$D$23,MATCH(E226,PARAMETRES!$B$18:$B$23,0)),""))</f>
        <v/>
      </c>
      <c r="N226" s="81" t="str">
        <f aca="false">IF(E226="","",IFERROR(INDEX(PARAMETRES!$C$18:$C$23,MATCH(E226,PARAMETRES!$B$18:$B$23,0)),""))</f>
        <v/>
      </c>
      <c r="O226" s="45" t="str">
        <f aca="false">IF(B226="","",IF(F226="ABANDON","ABANDON",IF(F226="TRANSFERE","TRANSFERE",IF(L226="","",IF(L226&gt;=N226,"ADMIS","REDOUBLE")))))</f>
        <v/>
      </c>
      <c r="P226" s="73" t="str">
        <f aca="false">IF(OR(L226="",F226&lt;&gt;"PRESENT"),"",COUNTIFS($E$10:$E$250,E226,$F$10:$F$250,"PRESENT",$L$10:$L$250,"&gt;"&amp;L226)+1)</f>
        <v/>
      </c>
      <c r="Q226" s="74" t="str">
        <f aca="false">IF(O226="ADMIS",IF(L226/M226*10&gt;=8,"Très bien",IF(L226/M226*10&gt;=7,"Bien",IF(L226/M226*10&gt;=6,"Assez bien","Passable"))),IF(O226="REDOUBLE","Insuffisant",""))</f>
        <v/>
      </c>
      <c r="R226" s="51" t="str">
        <f aca="false">IFERROR(MATCH("P-217",'REGISTRE ELEVES'!$AH$10:$AH$250,0),"")</f>
        <v/>
      </c>
    </row>
    <row r="227" customFormat="false" ht="15" hidden="false" customHeight="false" outlineLevel="0" collapsed="false">
      <c r="A227" s="45" t="str">
        <f aca="false">IF(B227="","",218)</f>
        <v/>
      </c>
      <c r="B227" s="45" t="str">
        <f aca="false">IF($R227="","",INDEX('REGISTRE ELEVES'!$B$10:$B$250,$R227))</f>
        <v/>
      </c>
      <c r="C227" s="74" t="str">
        <f aca="false">IF($R227="","",INDEX('REGISTRE ELEVES'!$D$10:$D$250,$R227))</f>
        <v/>
      </c>
      <c r="D227" s="45" t="str">
        <f aca="false">IF($R227="","",INDEX('REGISTRE ELEVES'!$E$10:$E$250,$R227))</f>
        <v/>
      </c>
      <c r="E227" s="45" t="str">
        <f aca="false">IF($R227="","",INDEX('REGISTRE ELEVES'!$F$10:$F$250,$R227))</f>
        <v/>
      </c>
      <c r="F227" s="45" t="str">
        <f aca="false">IF($R227="","",INDEX('REGISTRE ELEVES'!$AE$10:$AE$250,$R227))</f>
        <v/>
      </c>
      <c r="G227" s="80" t="str">
        <f aca="false">IF(B227="","",IFERROR(IF(LEFT(E227,2)="CP",INDEX('NOTES CP'!$P$10:$P$250,MATCH(B227,'NOTES CP'!$B$10:$B$250,0)),IF(E227="CE1",INDEX('NOTES CE1'!$M$10:$M$250,MATCH(B227,'NOTES CE1'!$B$10:$B$250,0)),INDEX('NOTES CE2-CM1'!$M$10:$M$250,MATCH(B227,'NOTES CE2-CM1'!$B$10:$B$250,0)))),""))</f>
        <v/>
      </c>
      <c r="H227" s="80" t="str">
        <f aca="false">IF(B227="","",IFERROR(IF(LEFT(E227,2)="CP",INDEX('NOTES CP'!$Z$10:$Z$250,MATCH(B227,'NOTES CP'!$B$10:$B$250,0)),IF(E227="CE1",INDEX('NOTES CE1'!$T$10:$T$250,MATCH(B227,'NOTES CE1'!$B$10:$B$250,0)),INDEX('NOTES CE2-CM1'!$T$10:$T$250,MATCH(B227,'NOTES CE2-CM1'!$B$10:$B$250,0)))),""))</f>
        <v/>
      </c>
      <c r="I227" s="80" t="str">
        <f aca="false">IF(B227="","",IFERROR(IF(LEFT(E227,2)="CP",INDEX('NOTES CP'!$AJ$10:$AJ$250,MATCH(B227,'NOTES CP'!$B$10:$B$250,0)),IF(E227="CE1",INDEX('NOTES CE1'!$AA$10:$AA$250,MATCH(B227,'NOTES CE1'!$B$10:$B$250,0)),INDEX('NOTES CE2-CM1'!$AA$10:$AA$250,MATCH(B227,'NOTES CE2-CM1'!$B$10:$B$250,0)))),""))</f>
        <v/>
      </c>
      <c r="J227" s="81" t="str">
        <f aca="false">IF(COUNT(G227:I227)=0,"",ROUND(AVERAGE(G227:I227),2))</f>
        <v/>
      </c>
      <c r="K227" s="80" t="str">
        <f aca="false">IF(B227="","",IFERROR(IF(LEFT(E227,2)="CP",INDEX('NOTES CP'!$AT$10:$AT$250,MATCH(B227,'NOTES CP'!$B$10:$B$250,0)),IF(E227="CE1",INDEX('NOTES CE1'!$AH$10:$AH$250,MATCH(B227,'NOTES CE1'!$B$10:$B$250,0)),INDEX('NOTES CE2-CM1'!$AH$10:$AH$250,MATCH(B227,'NOTES CE2-CM1'!$B$10:$B$250,0)))),""))</f>
        <v/>
      </c>
      <c r="L227" s="82" t="str">
        <f aca="false">IF(OR(J227="",K227=""),"",ROUND((J227+2*K227)/3,2))</f>
        <v/>
      </c>
      <c r="M227" s="83" t="str">
        <f aca="false">IF(E227="","",IFERROR(INDEX(PARAMETRES!$D$18:$D$23,MATCH(E227,PARAMETRES!$B$18:$B$23,0)),""))</f>
        <v/>
      </c>
      <c r="N227" s="81" t="str">
        <f aca="false">IF(E227="","",IFERROR(INDEX(PARAMETRES!$C$18:$C$23,MATCH(E227,PARAMETRES!$B$18:$B$23,0)),""))</f>
        <v/>
      </c>
      <c r="O227" s="45" t="str">
        <f aca="false">IF(B227="","",IF(F227="ABANDON","ABANDON",IF(F227="TRANSFERE","TRANSFERE",IF(L227="","",IF(L227&gt;=N227,"ADMIS","REDOUBLE")))))</f>
        <v/>
      </c>
      <c r="P227" s="73" t="str">
        <f aca="false">IF(OR(L227="",F227&lt;&gt;"PRESENT"),"",COUNTIFS($E$10:$E$250,E227,$F$10:$F$250,"PRESENT",$L$10:$L$250,"&gt;"&amp;L227)+1)</f>
        <v/>
      </c>
      <c r="Q227" s="74" t="str">
        <f aca="false">IF(O227="ADMIS",IF(L227/M227*10&gt;=8,"Très bien",IF(L227/M227*10&gt;=7,"Bien",IF(L227/M227*10&gt;=6,"Assez bien","Passable"))),IF(O227="REDOUBLE","Insuffisant",""))</f>
        <v/>
      </c>
      <c r="R227" s="51" t="str">
        <f aca="false">IFERROR(MATCH("P-218",'REGISTRE ELEVES'!$AH$10:$AH$250,0),"")</f>
        <v/>
      </c>
    </row>
    <row r="228" customFormat="false" ht="15" hidden="false" customHeight="false" outlineLevel="0" collapsed="false">
      <c r="A228" s="45" t="str">
        <f aca="false">IF(B228="","",219)</f>
        <v/>
      </c>
      <c r="B228" s="45" t="str">
        <f aca="false">IF($R228="","",INDEX('REGISTRE ELEVES'!$B$10:$B$250,$R228))</f>
        <v/>
      </c>
      <c r="C228" s="74" t="str">
        <f aca="false">IF($R228="","",INDEX('REGISTRE ELEVES'!$D$10:$D$250,$R228))</f>
        <v/>
      </c>
      <c r="D228" s="45" t="str">
        <f aca="false">IF($R228="","",INDEX('REGISTRE ELEVES'!$E$10:$E$250,$R228))</f>
        <v/>
      </c>
      <c r="E228" s="45" t="str">
        <f aca="false">IF($R228="","",INDEX('REGISTRE ELEVES'!$F$10:$F$250,$R228))</f>
        <v/>
      </c>
      <c r="F228" s="45" t="str">
        <f aca="false">IF($R228="","",INDEX('REGISTRE ELEVES'!$AE$10:$AE$250,$R228))</f>
        <v/>
      </c>
      <c r="G228" s="80" t="str">
        <f aca="false">IF(B228="","",IFERROR(IF(LEFT(E228,2)="CP",INDEX('NOTES CP'!$P$10:$P$250,MATCH(B228,'NOTES CP'!$B$10:$B$250,0)),IF(E228="CE1",INDEX('NOTES CE1'!$M$10:$M$250,MATCH(B228,'NOTES CE1'!$B$10:$B$250,0)),INDEX('NOTES CE2-CM1'!$M$10:$M$250,MATCH(B228,'NOTES CE2-CM1'!$B$10:$B$250,0)))),""))</f>
        <v/>
      </c>
      <c r="H228" s="80" t="str">
        <f aca="false">IF(B228="","",IFERROR(IF(LEFT(E228,2)="CP",INDEX('NOTES CP'!$Z$10:$Z$250,MATCH(B228,'NOTES CP'!$B$10:$B$250,0)),IF(E228="CE1",INDEX('NOTES CE1'!$T$10:$T$250,MATCH(B228,'NOTES CE1'!$B$10:$B$250,0)),INDEX('NOTES CE2-CM1'!$T$10:$T$250,MATCH(B228,'NOTES CE2-CM1'!$B$10:$B$250,0)))),""))</f>
        <v/>
      </c>
      <c r="I228" s="80" t="str">
        <f aca="false">IF(B228="","",IFERROR(IF(LEFT(E228,2)="CP",INDEX('NOTES CP'!$AJ$10:$AJ$250,MATCH(B228,'NOTES CP'!$B$10:$B$250,0)),IF(E228="CE1",INDEX('NOTES CE1'!$AA$10:$AA$250,MATCH(B228,'NOTES CE1'!$B$10:$B$250,0)),INDEX('NOTES CE2-CM1'!$AA$10:$AA$250,MATCH(B228,'NOTES CE2-CM1'!$B$10:$B$250,0)))),""))</f>
        <v/>
      </c>
      <c r="J228" s="81" t="str">
        <f aca="false">IF(COUNT(G228:I228)=0,"",ROUND(AVERAGE(G228:I228),2))</f>
        <v/>
      </c>
      <c r="K228" s="80" t="str">
        <f aca="false">IF(B228="","",IFERROR(IF(LEFT(E228,2)="CP",INDEX('NOTES CP'!$AT$10:$AT$250,MATCH(B228,'NOTES CP'!$B$10:$B$250,0)),IF(E228="CE1",INDEX('NOTES CE1'!$AH$10:$AH$250,MATCH(B228,'NOTES CE1'!$B$10:$B$250,0)),INDEX('NOTES CE2-CM1'!$AH$10:$AH$250,MATCH(B228,'NOTES CE2-CM1'!$B$10:$B$250,0)))),""))</f>
        <v/>
      </c>
      <c r="L228" s="82" t="str">
        <f aca="false">IF(OR(J228="",K228=""),"",ROUND((J228+2*K228)/3,2))</f>
        <v/>
      </c>
      <c r="M228" s="83" t="str">
        <f aca="false">IF(E228="","",IFERROR(INDEX(PARAMETRES!$D$18:$D$23,MATCH(E228,PARAMETRES!$B$18:$B$23,0)),""))</f>
        <v/>
      </c>
      <c r="N228" s="81" t="str">
        <f aca="false">IF(E228="","",IFERROR(INDEX(PARAMETRES!$C$18:$C$23,MATCH(E228,PARAMETRES!$B$18:$B$23,0)),""))</f>
        <v/>
      </c>
      <c r="O228" s="45" t="str">
        <f aca="false">IF(B228="","",IF(F228="ABANDON","ABANDON",IF(F228="TRANSFERE","TRANSFERE",IF(L228="","",IF(L228&gt;=N228,"ADMIS","REDOUBLE")))))</f>
        <v/>
      </c>
      <c r="P228" s="73" t="str">
        <f aca="false">IF(OR(L228="",F228&lt;&gt;"PRESENT"),"",COUNTIFS($E$10:$E$250,E228,$F$10:$F$250,"PRESENT",$L$10:$L$250,"&gt;"&amp;L228)+1)</f>
        <v/>
      </c>
      <c r="Q228" s="74" t="str">
        <f aca="false">IF(O228="ADMIS",IF(L228/M228*10&gt;=8,"Très bien",IF(L228/M228*10&gt;=7,"Bien",IF(L228/M228*10&gt;=6,"Assez bien","Passable"))),IF(O228="REDOUBLE","Insuffisant",""))</f>
        <v/>
      </c>
      <c r="R228" s="51" t="str">
        <f aca="false">IFERROR(MATCH("P-219",'REGISTRE ELEVES'!$AH$10:$AH$250,0),"")</f>
        <v/>
      </c>
    </row>
    <row r="229" customFormat="false" ht="15" hidden="false" customHeight="false" outlineLevel="0" collapsed="false">
      <c r="A229" s="45" t="str">
        <f aca="false">IF(B229="","",220)</f>
        <v/>
      </c>
      <c r="B229" s="45" t="str">
        <f aca="false">IF($R229="","",INDEX('REGISTRE ELEVES'!$B$10:$B$250,$R229))</f>
        <v/>
      </c>
      <c r="C229" s="74" t="str">
        <f aca="false">IF($R229="","",INDEX('REGISTRE ELEVES'!$D$10:$D$250,$R229))</f>
        <v/>
      </c>
      <c r="D229" s="45" t="str">
        <f aca="false">IF($R229="","",INDEX('REGISTRE ELEVES'!$E$10:$E$250,$R229))</f>
        <v/>
      </c>
      <c r="E229" s="45" t="str">
        <f aca="false">IF($R229="","",INDEX('REGISTRE ELEVES'!$F$10:$F$250,$R229))</f>
        <v/>
      </c>
      <c r="F229" s="45" t="str">
        <f aca="false">IF($R229="","",INDEX('REGISTRE ELEVES'!$AE$10:$AE$250,$R229))</f>
        <v/>
      </c>
      <c r="G229" s="80" t="str">
        <f aca="false">IF(B229="","",IFERROR(IF(LEFT(E229,2)="CP",INDEX('NOTES CP'!$P$10:$P$250,MATCH(B229,'NOTES CP'!$B$10:$B$250,0)),IF(E229="CE1",INDEX('NOTES CE1'!$M$10:$M$250,MATCH(B229,'NOTES CE1'!$B$10:$B$250,0)),INDEX('NOTES CE2-CM1'!$M$10:$M$250,MATCH(B229,'NOTES CE2-CM1'!$B$10:$B$250,0)))),""))</f>
        <v/>
      </c>
      <c r="H229" s="80" t="str">
        <f aca="false">IF(B229="","",IFERROR(IF(LEFT(E229,2)="CP",INDEX('NOTES CP'!$Z$10:$Z$250,MATCH(B229,'NOTES CP'!$B$10:$B$250,0)),IF(E229="CE1",INDEX('NOTES CE1'!$T$10:$T$250,MATCH(B229,'NOTES CE1'!$B$10:$B$250,0)),INDEX('NOTES CE2-CM1'!$T$10:$T$250,MATCH(B229,'NOTES CE2-CM1'!$B$10:$B$250,0)))),""))</f>
        <v/>
      </c>
      <c r="I229" s="80" t="str">
        <f aca="false">IF(B229="","",IFERROR(IF(LEFT(E229,2)="CP",INDEX('NOTES CP'!$AJ$10:$AJ$250,MATCH(B229,'NOTES CP'!$B$10:$B$250,0)),IF(E229="CE1",INDEX('NOTES CE1'!$AA$10:$AA$250,MATCH(B229,'NOTES CE1'!$B$10:$B$250,0)),INDEX('NOTES CE2-CM1'!$AA$10:$AA$250,MATCH(B229,'NOTES CE2-CM1'!$B$10:$B$250,0)))),""))</f>
        <v/>
      </c>
      <c r="J229" s="81" t="str">
        <f aca="false">IF(COUNT(G229:I229)=0,"",ROUND(AVERAGE(G229:I229),2))</f>
        <v/>
      </c>
      <c r="K229" s="80" t="str">
        <f aca="false">IF(B229="","",IFERROR(IF(LEFT(E229,2)="CP",INDEX('NOTES CP'!$AT$10:$AT$250,MATCH(B229,'NOTES CP'!$B$10:$B$250,0)),IF(E229="CE1",INDEX('NOTES CE1'!$AH$10:$AH$250,MATCH(B229,'NOTES CE1'!$B$10:$B$250,0)),INDEX('NOTES CE2-CM1'!$AH$10:$AH$250,MATCH(B229,'NOTES CE2-CM1'!$B$10:$B$250,0)))),""))</f>
        <v/>
      </c>
      <c r="L229" s="82" t="str">
        <f aca="false">IF(OR(J229="",K229=""),"",ROUND((J229+2*K229)/3,2))</f>
        <v/>
      </c>
      <c r="M229" s="83" t="str">
        <f aca="false">IF(E229="","",IFERROR(INDEX(PARAMETRES!$D$18:$D$23,MATCH(E229,PARAMETRES!$B$18:$B$23,0)),""))</f>
        <v/>
      </c>
      <c r="N229" s="81" t="str">
        <f aca="false">IF(E229="","",IFERROR(INDEX(PARAMETRES!$C$18:$C$23,MATCH(E229,PARAMETRES!$B$18:$B$23,0)),""))</f>
        <v/>
      </c>
      <c r="O229" s="45" t="str">
        <f aca="false">IF(B229="","",IF(F229="ABANDON","ABANDON",IF(F229="TRANSFERE","TRANSFERE",IF(L229="","",IF(L229&gt;=N229,"ADMIS","REDOUBLE")))))</f>
        <v/>
      </c>
      <c r="P229" s="73" t="str">
        <f aca="false">IF(OR(L229="",F229&lt;&gt;"PRESENT"),"",COUNTIFS($E$10:$E$250,E229,$F$10:$F$250,"PRESENT",$L$10:$L$250,"&gt;"&amp;L229)+1)</f>
        <v/>
      </c>
      <c r="Q229" s="74" t="str">
        <f aca="false">IF(O229="ADMIS",IF(L229/M229*10&gt;=8,"Très bien",IF(L229/M229*10&gt;=7,"Bien",IF(L229/M229*10&gt;=6,"Assez bien","Passable"))),IF(O229="REDOUBLE","Insuffisant",""))</f>
        <v/>
      </c>
      <c r="R229" s="51" t="str">
        <f aca="false">IFERROR(MATCH("P-220",'REGISTRE ELEVES'!$AH$10:$AH$250,0),"")</f>
        <v/>
      </c>
    </row>
    <row r="230" customFormat="false" ht="15" hidden="false" customHeight="false" outlineLevel="0" collapsed="false">
      <c r="A230" s="45" t="str">
        <f aca="false">IF(B230="","",221)</f>
        <v/>
      </c>
      <c r="B230" s="45" t="str">
        <f aca="false">IF($R230="","",INDEX('REGISTRE ELEVES'!$B$10:$B$250,$R230))</f>
        <v/>
      </c>
      <c r="C230" s="74" t="str">
        <f aca="false">IF($R230="","",INDEX('REGISTRE ELEVES'!$D$10:$D$250,$R230))</f>
        <v/>
      </c>
      <c r="D230" s="45" t="str">
        <f aca="false">IF($R230="","",INDEX('REGISTRE ELEVES'!$E$10:$E$250,$R230))</f>
        <v/>
      </c>
      <c r="E230" s="45" t="str">
        <f aca="false">IF($R230="","",INDEX('REGISTRE ELEVES'!$F$10:$F$250,$R230))</f>
        <v/>
      </c>
      <c r="F230" s="45" t="str">
        <f aca="false">IF($R230="","",INDEX('REGISTRE ELEVES'!$AE$10:$AE$250,$R230))</f>
        <v/>
      </c>
      <c r="G230" s="80" t="str">
        <f aca="false">IF(B230="","",IFERROR(IF(LEFT(E230,2)="CP",INDEX('NOTES CP'!$P$10:$P$250,MATCH(B230,'NOTES CP'!$B$10:$B$250,0)),IF(E230="CE1",INDEX('NOTES CE1'!$M$10:$M$250,MATCH(B230,'NOTES CE1'!$B$10:$B$250,0)),INDEX('NOTES CE2-CM1'!$M$10:$M$250,MATCH(B230,'NOTES CE2-CM1'!$B$10:$B$250,0)))),""))</f>
        <v/>
      </c>
      <c r="H230" s="80" t="str">
        <f aca="false">IF(B230="","",IFERROR(IF(LEFT(E230,2)="CP",INDEX('NOTES CP'!$Z$10:$Z$250,MATCH(B230,'NOTES CP'!$B$10:$B$250,0)),IF(E230="CE1",INDEX('NOTES CE1'!$T$10:$T$250,MATCH(B230,'NOTES CE1'!$B$10:$B$250,0)),INDEX('NOTES CE2-CM1'!$T$10:$T$250,MATCH(B230,'NOTES CE2-CM1'!$B$10:$B$250,0)))),""))</f>
        <v/>
      </c>
      <c r="I230" s="80" t="str">
        <f aca="false">IF(B230="","",IFERROR(IF(LEFT(E230,2)="CP",INDEX('NOTES CP'!$AJ$10:$AJ$250,MATCH(B230,'NOTES CP'!$B$10:$B$250,0)),IF(E230="CE1",INDEX('NOTES CE1'!$AA$10:$AA$250,MATCH(B230,'NOTES CE1'!$B$10:$B$250,0)),INDEX('NOTES CE2-CM1'!$AA$10:$AA$250,MATCH(B230,'NOTES CE2-CM1'!$B$10:$B$250,0)))),""))</f>
        <v/>
      </c>
      <c r="J230" s="81" t="str">
        <f aca="false">IF(COUNT(G230:I230)=0,"",ROUND(AVERAGE(G230:I230),2))</f>
        <v/>
      </c>
      <c r="K230" s="80" t="str">
        <f aca="false">IF(B230="","",IFERROR(IF(LEFT(E230,2)="CP",INDEX('NOTES CP'!$AT$10:$AT$250,MATCH(B230,'NOTES CP'!$B$10:$B$250,0)),IF(E230="CE1",INDEX('NOTES CE1'!$AH$10:$AH$250,MATCH(B230,'NOTES CE1'!$B$10:$B$250,0)),INDEX('NOTES CE2-CM1'!$AH$10:$AH$250,MATCH(B230,'NOTES CE2-CM1'!$B$10:$B$250,0)))),""))</f>
        <v/>
      </c>
      <c r="L230" s="82" t="str">
        <f aca="false">IF(OR(J230="",K230=""),"",ROUND((J230+2*K230)/3,2))</f>
        <v/>
      </c>
      <c r="M230" s="83" t="str">
        <f aca="false">IF(E230="","",IFERROR(INDEX(PARAMETRES!$D$18:$D$23,MATCH(E230,PARAMETRES!$B$18:$B$23,0)),""))</f>
        <v/>
      </c>
      <c r="N230" s="81" t="str">
        <f aca="false">IF(E230="","",IFERROR(INDEX(PARAMETRES!$C$18:$C$23,MATCH(E230,PARAMETRES!$B$18:$B$23,0)),""))</f>
        <v/>
      </c>
      <c r="O230" s="45" t="str">
        <f aca="false">IF(B230="","",IF(F230="ABANDON","ABANDON",IF(F230="TRANSFERE","TRANSFERE",IF(L230="","",IF(L230&gt;=N230,"ADMIS","REDOUBLE")))))</f>
        <v/>
      </c>
      <c r="P230" s="73" t="str">
        <f aca="false">IF(OR(L230="",F230&lt;&gt;"PRESENT"),"",COUNTIFS($E$10:$E$250,E230,$F$10:$F$250,"PRESENT",$L$10:$L$250,"&gt;"&amp;L230)+1)</f>
        <v/>
      </c>
      <c r="Q230" s="74" t="str">
        <f aca="false">IF(O230="ADMIS",IF(L230/M230*10&gt;=8,"Très bien",IF(L230/M230*10&gt;=7,"Bien",IF(L230/M230*10&gt;=6,"Assez bien","Passable"))),IF(O230="REDOUBLE","Insuffisant",""))</f>
        <v/>
      </c>
      <c r="R230" s="51" t="str">
        <f aca="false">IFERROR(MATCH("P-221",'REGISTRE ELEVES'!$AH$10:$AH$250,0),"")</f>
        <v/>
      </c>
    </row>
    <row r="231" customFormat="false" ht="15" hidden="false" customHeight="false" outlineLevel="0" collapsed="false">
      <c r="A231" s="45" t="str">
        <f aca="false">IF(B231="","",222)</f>
        <v/>
      </c>
      <c r="B231" s="45" t="str">
        <f aca="false">IF($R231="","",INDEX('REGISTRE ELEVES'!$B$10:$B$250,$R231))</f>
        <v/>
      </c>
      <c r="C231" s="74" t="str">
        <f aca="false">IF($R231="","",INDEX('REGISTRE ELEVES'!$D$10:$D$250,$R231))</f>
        <v/>
      </c>
      <c r="D231" s="45" t="str">
        <f aca="false">IF($R231="","",INDEX('REGISTRE ELEVES'!$E$10:$E$250,$R231))</f>
        <v/>
      </c>
      <c r="E231" s="45" t="str">
        <f aca="false">IF($R231="","",INDEX('REGISTRE ELEVES'!$F$10:$F$250,$R231))</f>
        <v/>
      </c>
      <c r="F231" s="45" t="str">
        <f aca="false">IF($R231="","",INDEX('REGISTRE ELEVES'!$AE$10:$AE$250,$R231))</f>
        <v/>
      </c>
      <c r="G231" s="80" t="str">
        <f aca="false">IF(B231="","",IFERROR(IF(LEFT(E231,2)="CP",INDEX('NOTES CP'!$P$10:$P$250,MATCH(B231,'NOTES CP'!$B$10:$B$250,0)),IF(E231="CE1",INDEX('NOTES CE1'!$M$10:$M$250,MATCH(B231,'NOTES CE1'!$B$10:$B$250,0)),INDEX('NOTES CE2-CM1'!$M$10:$M$250,MATCH(B231,'NOTES CE2-CM1'!$B$10:$B$250,0)))),""))</f>
        <v/>
      </c>
      <c r="H231" s="80" t="str">
        <f aca="false">IF(B231="","",IFERROR(IF(LEFT(E231,2)="CP",INDEX('NOTES CP'!$Z$10:$Z$250,MATCH(B231,'NOTES CP'!$B$10:$B$250,0)),IF(E231="CE1",INDEX('NOTES CE1'!$T$10:$T$250,MATCH(B231,'NOTES CE1'!$B$10:$B$250,0)),INDEX('NOTES CE2-CM1'!$T$10:$T$250,MATCH(B231,'NOTES CE2-CM1'!$B$10:$B$250,0)))),""))</f>
        <v/>
      </c>
      <c r="I231" s="80" t="str">
        <f aca="false">IF(B231="","",IFERROR(IF(LEFT(E231,2)="CP",INDEX('NOTES CP'!$AJ$10:$AJ$250,MATCH(B231,'NOTES CP'!$B$10:$B$250,0)),IF(E231="CE1",INDEX('NOTES CE1'!$AA$10:$AA$250,MATCH(B231,'NOTES CE1'!$B$10:$B$250,0)),INDEX('NOTES CE2-CM1'!$AA$10:$AA$250,MATCH(B231,'NOTES CE2-CM1'!$B$10:$B$250,0)))),""))</f>
        <v/>
      </c>
      <c r="J231" s="81" t="str">
        <f aca="false">IF(COUNT(G231:I231)=0,"",ROUND(AVERAGE(G231:I231),2))</f>
        <v/>
      </c>
      <c r="K231" s="80" t="str">
        <f aca="false">IF(B231="","",IFERROR(IF(LEFT(E231,2)="CP",INDEX('NOTES CP'!$AT$10:$AT$250,MATCH(B231,'NOTES CP'!$B$10:$B$250,0)),IF(E231="CE1",INDEX('NOTES CE1'!$AH$10:$AH$250,MATCH(B231,'NOTES CE1'!$B$10:$B$250,0)),INDEX('NOTES CE2-CM1'!$AH$10:$AH$250,MATCH(B231,'NOTES CE2-CM1'!$B$10:$B$250,0)))),""))</f>
        <v/>
      </c>
      <c r="L231" s="82" t="str">
        <f aca="false">IF(OR(J231="",K231=""),"",ROUND((J231+2*K231)/3,2))</f>
        <v/>
      </c>
      <c r="M231" s="83" t="str">
        <f aca="false">IF(E231="","",IFERROR(INDEX(PARAMETRES!$D$18:$D$23,MATCH(E231,PARAMETRES!$B$18:$B$23,0)),""))</f>
        <v/>
      </c>
      <c r="N231" s="81" t="str">
        <f aca="false">IF(E231="","",IFERROR(INDEX(PARAMETRES!$C$18:$C$23,MATCH(E231,PARAMETRES!$B$18:$B$23,0)),""))</f>
        <v/>
      </c>
      <c r="O231" s="45" t="str">
        <f aca="false">IF(B231="","",IF(F231="ABANDON","ABANDON",IF(F231="TRANSFERE","TRANSFERE",IF(L231="","",IF(L231&gt;=N231,"ADMIS","REDOUBLE")))))</f>
        <v/>
      </c>
      <c r="P231" s="73" t="str">
        <f aca="false">IF(OR(L231="",F231&lt;&gt;"PRESENT"),"",COUNTIFS($E$10:$E$250,E231,$F$10:$F$250,"PRESENT",$L$10:$L$250,"&gt;"&amp;L231)+1)</f>
        <v/>
      </c>
      <c r="Q231" s="74" t="str">
        <f aca="false">IF(O231="ADMIS",IF(L231/M231*10&gt;=8,"Très bien",IF(L231/M231*10&gt;=7,"Bien",IF(L231/M231*10&gt;=6,"Assez bien","Passable"))),IF(O231="REDOUBLE","Insuffisant",""))</f>
        <v/>
      </c>
      <c r="R231" s="51" t="str">
        <f aca="false">IFERROR(MATCH("P-222",'REGISTRE ELEVES'!$AH$10:$AH$250,0),"")</f>
        <v/>
      </c>
    </row>
    <row r="232" customFormat="false" ht="15" hidden="false" customHeight="false" outlineLevel="0" collapsed="false">
      <c r="A232" s="45" t="str">
        <f aca="false">IF(B232="","",223)</f>
        <v/>
      </c>
      <c r="B232" s="45" t="str">
        <f aca="false">IF($R232="","",INDEX('REGISTRE ELEVES'!$B$10:$B$250,$R232))</f>
        <v/>
      </c>
      <c r="C232" s="74" t="str">
        <f aca="false">IF($R232="","",INDEX('REGISTRE ELEVES'!$D$10:$D$250,$R232))</f>
        <v/>
      </c>
      <c r="D232" s="45" t="str">
        <f aca="false">IF($R232="","",INDEX('REGISTRE ELEVES'!$E$10:$E$250,$R232))</f>
        <v/>
      </c>
      <c r="E232" s="45" t="str">
        <f aca="false">IF($R232="","",INDEX('REGISTRE ELEVES'!$F$10:$F$250,$R232))</f>
        <v/>
      </c>
      <c r="F232" s="45" t="str">
        <f aca="false">IF($R232="","",INDEX('REGISTRE ELEVES'!$AE$10:$AE$250,$R232))</f>
        <v/>
      </c>
      <c r="G232" s="80" t="str">
        <f aca="false">IF(B232="","",IFERROR(IF(LEFT(E232,2)="CP",INDEX('NOTES CP'!$P$10:$P$250,MATCH(B232,'NOTES CP'!$B$10:$B$250,0)),IF(E232="CE1",INDEX('NOTES CE1'!$M$10:$M$250,MATCH(B232,'NOTES CE1'!$B$10:$B$250,0)),INDEX('NOTES CE2-CM1'!$M$10:$M$250,MATCH(B232,'NOTES CE2-CM1'!$B$10:$B$250,0)))),""))</f>
        <v/>
      </c>
      <c r="H232" s="80" t="str">
        <f aca="false">IF(B232="","",IFERROR(IF(LEFT(E232,2)="CP",INDEX('NOTES CP'!$Z$10:$Z$250,MATCH(B232,'NOTES CP'!$B$10:$B$250,0)),IF(E232="CE1",INDEX('NOTES CE1'!$T$10:$T$250,MATCH(B232,'NOTES CE1'!$B$10:$B$250,0)),INDEX('NOTES CE2-CM1'!$T$10:$T$250,MATCH(B232,'NOTES CE2-CM1'!$B$10:$B$250,0)))),""))</f>
        <v/>
      </c>
      <c r="I232" s="80" t="str">
        <f aca="false">IF(B232="","",IFERROR(IF(LEFT(E232,2)="CP",INDEX('NOTES CP'!$AJ$10:$AJ$250,MATCH(B232,'NOTES CP'!$B$10:$B$250,0)),IF(E232="CE1",INDEX('NOTES CE1'!$AA$10:$AA$250,MATCH(B232,'NOTES CE1'!$B$10:$B$250,0)),INDEX('NOTES CE2-CM1'!$AA$10:$AA$250,MATCH(B232,'NOTES CE2-CM1'!$B$10:$B$250,0)))),""))</f>
        <v/>
      </c>
      <c r="J232" s="81" t="str">
        <f aca="false">IF(COUNT(G232:I232)=0,"",ROUND(AVERAGE(G232:I232),2))</f>
        <v/>
      </c>
      <c r="K232" s="80" t="str">
        <f aca="false">IF(B232="","",IFERROR(IF(LEFT(E232,2)="CP",INDEX('NOTES CP'!$AT$10:$AT$250,MATCH(B232,'NOTES CP'!$B$10:$B$250,0)),IF(E232="CE1",INDEX('NOTES CE1'!$AH$10:$AH$250,MATCH(B232,'NOTES CE1'!$B$10:$B$250,0)),INDEX('NOTES CE2-CM1'!$AH$10:$AH$250,MATCH(B232,'NOTES CE2-CM1'!$B$10:$B$250,0)))),""))</f>
        <v/>
      </c>
      <c r="L232" s="82" t="str">
        <f aca="false">IF(OR(J232="",K232=""),"",ROUND((J232+2*K232)/3,2))</f>
        <v/>
      </c>
      <c r="M232" s="83" t="str">
        <f aca="false">IF(E232="","",IFERROR(INDEX(PARAMETRES!$D$18:$D$23,MATCH(E232,PARAMETRES!$B$18:$B$23,0)),""))</f>
        <v/>
      </c>
      <c r="N232" s="81" t="str">
        <f aca="false">IF(E232="","",IFERROR(INDEX(PARAMETRES!$C$18:$C$23,MATCH(E232,PARAMETRES!$B$18:$B$23,0)),""))</f>
        <v/>
      </c>
      <c r="O232" s="45" t="str">
        <f aca="false">IF(B232="","",IF(F232="ABANDON","ABANDON",IF(F232="TRANSFERE","TRANSFERE",IF(L232="","",IF(L232&gt;=N232,"ADMIS","REDOUBLE")))))</f>
        <v/>
      </c>
      <c r="P232" s="73" t="str">
        <f aca="false">IF(OR(L232="",F232&lt;&gt;"PRESENT"),"",COUNTIFS($E$10:$E$250,E232,$F$10:$F$250,"PRESENT",$L$10:$L$250,"&gt;"&amp;L232)+1)</f>
        <v/>
      </c>
      <c r="Q232" s="74" t="str">
        <f aca="false">IF(O232="ADMIS",IF(L232/M232*10&gt;=8,"Très bien",IF(L232/M232*10&gt;=7,"Bien",IF(L232/M232*10&gt;=6,"Assez bien","Passable"))),IF(O232="REDOUBLE","Insuffisant",""))</f>
        <v/>
      </c>
      <c r="R232" s="51" t="str">
        <f aca="false">IFERROR(MATCH("P-223",'REGISTRE ELEVES'!$AH$10:$AH$250,0),"")</f>
        <v/>
      </c>
    </row>
    <row r="233" customFormat="false" ht="15" hidden="false" customHeight="false" outlineLevel="0" collapsed="false">
      <c r="A233" s="45" t="str">
        <f aca="false">IF(B233="","",224)</f>
        <v/>
      </c>
      <c r="B233" s="45" t="str">
        <f aca="false">IF($R233="","",INDEX('REGISTRE ELEVES'!$B$10:$B$250,$R233))</f>
        <v/>
      </c>
      <c r="C233" s="74" t="str">
        <f aca="false">IF($R233="","",INDEX('REGISTRE ELEVES'!$D$10:$D$250,$R233))</f>
        <v/>
      </c>
      <c r="D233" s="45" t="str">
        <f aca="false">IF($R233="","",INDEX('REGISTRE ELEVES'!$E$10:$E$250,$R233))</f>
        <v/>
      </c>
      <c r="E233" s="45" t="str">
        <f aca="false">IF($R233="","",INDEX('REGISTRE ELEVES'!$F$10:$F$250,$R233))</f>
        <v/>
      </c>
      <c r="F233" s="45" t="str">
        <f aca="false">IF($R233="","",INDEX('REGISTRE ELEVES'!$AE$10:$AE$250,$R233))</f>
        <v/>
      </c>
      <c r="G233" s="80" t="str">
        <f aca="false">IF(B233="","",IFERROR(IF(LEFT(E233,2)="CP",INDEX('NOTES CP'!$P$10:$P$250,MATCH(B233,'NOTES CP'!$B$10:$B$250,0)),IF(E233="CE1",INDEX('NOTES CE1'!$M$10:$M$250,MATCH(B233,'NOTES CE1'!$B$10:$B$250,0)),INDEX('NOTES CE2-CM1'!$M$10:$M$250,MATCH(B233,'NOTES CE2-CM1'!$B$10:$B$250,0)))),""))</f>
        <v/>
      </c>
      <c r="H233" s="80" t="str">
        <f aca="false">IF(B233="","",IFERROR(IF(LEFT(E233,2)="CP",INDEX('NOTES CP'!$Z$10:$Z$250,MATCH(B233,'NOTES CP'!$B$10:$B$250,0)),IF(E233="CE1",INDEX('NOTES CE1'!$T$10:$T$250,MATCH(B233,'NOTES CE1'!$B$10:$B$250,0)),INDEX('NOTES CE2-CM1'!$T$10:$T$250,MATCH(B233,'NOTES CE2-CM1'!$B$10:$B$250,0)))),""))</f>
        <v/>
      </c>
      <c r="I233" s="80" t="str">
        <f aca="false">IF(B233="","",IFERROR(IF(LEFT(E233,2)="CP",INDEX('NOTES CP'!$AJ$10:$AJ$250,MATCH(B233,'NOTES CP'!$B$10:$B$250,0)),IF(E233="CE1",INDEX('NOTES CE1'!$AA$10:$AA$250,MATCH(B233,'NOTES CE1'!$B$10:$B$250,0)),INDEX('NOTES CE2-CM1'!$AA$10:$AA$250,MATCH(B233,'NOTES CE2-CM1'!$B$10:$B$250,0)))),""))</f>
        <v/>
      </c>
      <c r="J233" s="81" t="str">
        <f aca="false">IF(COUNT(G233:I233)=0,"",ROUND(AVERAGE(G233:I233),2))</f>
        <v/>
      </c>
      <c r="K233" s="80" t="str">
        <f aca="false">IF(B233="","",IFERROR(IF(LEFT(E233,2)="CP",INDEX('NOTES CP'!$AT$10:$AT$250,MATCH(B233,'NOTES CP'!$B$10:$B$250,0)),IF(E233="CE1",INDEX('NOTES CE1'!$AH$10:$AH$250,MATCH(B233,'NOTES CE1'!$B$10:$B$250,0)),INDEX('NOTES CE2-CM1'!$AH$10:$AH$250,MATCH(B233,'NOTES CE2-CM1'!$B$10:$B$250,0)))),""))</f>
        <v/>
      </c>
      <c r="L233" s="82" t="str">
        <f aca="false">IF(OR(J233="",K233=""),"",ROUND((J233+2*K233)/3,2))</f>
        <v/>
      </c>
      <c r="M233" s="83" t="str">
        <f aca="false">IF(E233="","",IFERROR(INDEX(PARAMETRES!$D$18:$D$23,MATCH(E233,PARAMETRES!$B$18:$B$23,0)),""))</f>
        <v/>
      </c>
      <c r="N233" s="81" t="str">
        <f aca="false">IF(E233="","",IFERROR(INDEX(PARAMETRES!$C$18:$C$23,MATCH(E233,PARAMETRES!$B$18:$B$23,0)),""))</f>
        <v/>
      </c>
      <c r="O233" s="45" t="str">
        <f aca="false">IF(B233="","",IF(F233="ABANDON","ABANDON",IF(F233="TRANSFERE","TRANSFERE",IF(L233="","",IF(L233&gt;=N233,"ADMIS","REDOUBLE")))))</f>
        <v/>
      </c>
      <c r="P233" s="73" t="str">
        <f aca="false">IF(OR(L233="",F233&lt;&gt;"PRESENT"),"",COUNTIFS($E$10:$E$250,E233,$F$10:$F$250,"PRESENT",$L$10:$L$250,"&gt;"&amp;L233)+1)</f>
        <v/>
      </c>
      <c r="Q233" s="74" t="str">
        <f aca="false">IF(O233="ADMIS",IF(L233/M233*10&gt;=8,"Très bien",IF(L233/M233*10&gt;=7,"Bien",IF(L233/M233*10&gt;=6,"Assez bien","Passable"))),IF(O233="REDOUBLE","Insuffisant",""))</f>
        <v/>
      </c>
      <c r="R233" s="51" t="str">
        <f aca="false">IFERROR(MATCH("P-224",'REGISTRE ELEVES'!$AH$10:$AH$250,0),"")</f>
        <v/>
      </c>
    </row>
    <row r="234" customFormat="false" ht="15" hidden="false" customHeight="false" outlineLevel="0" collapsed="false">
      <c r="A234" s="45" t="str">
        <f aca="false">IF(B234="","",225)</f>
        <v/>
      </c>
      <c r="B234" s="45" t="str">
        <f aca="false">IF($R234="","",INDEX('REGISTRE ELEVES'!$B$10:$B$250,$R234))</f>
        <v/>
      </c>
      <c r="C234" s="74" t="str">
        <f aca="false">IF($R234="","",INDEX('REGISTRE ELEVES'!$D$10:$D$250,$R234))</f>
        <v/>
      </c>
      <c r="D234" s="45" t="str">
        <f aca="false">IF($R234="","",INDEX('REGISTRE ELEVES'!$E$10:$E$250,$R234))</f>
        <v/>
      </c>
      <c r="E234" s="45" t="str">
        <f aca="false">IF($R234="","",INDEX('REGISTRE ELEVES'!$F$10:$F$250,$R234))</f>
        <v/>
      </c>
      <c r="F234" s="45" t="str">
        <f aca="false">IF($R234="","",INDEX('REGISTRE ELEVES'!$AE$10:$AE$250,$R234))</f>
        <v/>
      </c>
      <c r="G234" s="80" t="str">
        <f aca="false">IF(B234="","",IFERROR(IF(LEFT(E234,2)="CP",INDEX('NOTES CP'!$P$10:$P$250,MATCH(B234,'NOTES CP'!$B$10:$B$250,0)),IF(E234="CE1",INDEX('NOTES CE1'!$M$10:$M$250,MATCH(B234,'NOTES CE1'!$B$10:$B$250,0)),INDEX('NOTES CE2-CM1'!$M$10:$M$250,MATCH(B234,'NOTES CE2-CM1'!$B$10:$B$250,0)))),""))</f>
        <v/>
      </c>
      <c r="H234" s="80" t="str">
        <f aca="false">IF(B234="","",IFERROR(IF(LEFT(E234,2)="CP",INDEX('NOTES CP'!$Z$10:$Z$250,MATCH(B234,'NOTES CP'!$B$10:$B$250,0)),IF(E234="CE1",INDEX('NOTES CE1'!$T$10:$T$250,MATCH(B234,'NOTES CE1'!$B$10:$B$250,0)),INDEX('NOTES CE2-CM1'!$T$10:$T$250,MATCH(B234,'NOTES CE2-CM1'!$B$10:$B$250,0)))),""))</f>
        <v/>
      </c>
      <c r="I234" s="80" t="str">
        <f aca="false">IF(B234="","",IFERROR(IF(LEFT(E234,2)="CP",INDEX('NOTES CP'!$AJ$10:$AJ$250,MATCH(B234,'NOTES CP'!$B$10:$B$250,0)),IF(E234="CE1",INDEX('NOTES CE1'!$AA$10:$AA$250,MATCH(B234,'NOTES CE1'!$B$10:$B$250,0)),INDEX('NOTES CE2-CM1'!$AA$10:$AA$250,MATCH(B234,'NOTES CE2-CM1'!$B$10:$B$250,0)))),""))</f>
        <v/>
      </c>
      <c r="J234" s="81" t="str">
        <f aca="false">IF(COUNT(G234:I234)=0,"",ROUND(AVERAGE(G234:I234),2))</f>
        <v/>
      </c>
      <c r="K234" s="80" t="str">
        <f aca="false">IF(B234="","",IFERROR(IF(LEFT(E234,2)="CP",INDEX('NOTES CP'!$AT$10:$AT$250,MATCH(B234,'NOTES CP'!$B$10:$B$250,0)),IF(E234="CE1",INDEX('NOTES CE1'!$AH$10:$AH$250,MATCH(B234,'NOTES CE1'!$B$10:$B$250,0)),INDEX('NOTES CE2-CM1'!$AH$10:$AH$250,MATCH(B234,'NOTES CE2-CM1'!$B$10:$B$250,0)))),""))</f>
        <v/>
      </c>
      <c r="L234" s="82" t="str">
        <f aca="false">IF(OR(J234="",K234=""),"",ROUND((J234+2*K234)/3,2))</f>
        <v/>
      </c>
      <c r="M234" s="83" t="str">
        <f aca="false">IF(E234="","",IFERROR(INDEX(PARAMETRES!$D$18:$D$23,MATCH(E234,PARAMETRES!$B$18:$B$23,0)),""))</f>
        <v/>
      </c>
      <c r="N234" s="81" t="str">
        <f aca="false">IF(E234="","",IFERROR(INDEX(PARAMETRES!$C$18:$C$23,MATCH(E234,PARAMETRES!$B$18:$B$23,0)),""))</f>
        <v/>
      </c>
      <c r="O234" s="45" t="str">
        <f aca="false">IF(B234="","",IF(F234="ABANDON","ABANDON",IF(F234="TRANSFERE","TRANSFERE",IF(L234="","",IF(L234&gt;=N234,"ADMIS","REDOUBLE")))))</f>
        <v/>
      </c>
      <c r="P234" s="73" t="str">
        <f aca="false">IF(OR(L234="",F234&lt;&gt;"PRESENT"),"",COUNTIFS($E$10:$E$250,E234,$F$10:$F$250,"PRESENT",$L$10:$L$250,"&gt;"&amp;L234)+1)</f>
        <v/>
      </c>
      <c r="Q234" s="74" t="str">
        <f aca="false">IF(O234="ADMIS",IF(L234/M234*10&gt;=8,"Très bien",IF(L234/M234*10&gt;=7,"Bien",IF(L234/M234*10&gt;=6,"Assez bien","Passable"))),IF(O234="REDOUBLE","Insuffisant",""))</f>
        <v/>
      </c>
      <c r="R234" s="51" t="str">
        <f aca="false">IFERROR(MATCH("P-225",'REGISTRE ELEVES'!$AH$10:$AH$250,0),"")</f>
        <v/>
      </c>
    </row>
    <row r="235" customFormat="false" ht="15" hidden="false" customHeight="false" outlineLevel="0" collapsed="false">
      <c r="A235" s="45" t="str">
        <f aca="false">IF(B235="","",226)</f>
        <v/>
      </c>
      <c r="B235" s="45" t="str">
        <f aca="false">IF($R235="","",INDEX('REGISTRE ELEVES'!$B$10:$B$250,$R235))</f>
        <v/>
      </c>
      <c r="C235" s="74" t="str">
        <f aca="false">IF($R235="","",INDEX('REGISTRE ELEVES'!$D$10:$D$250,$R235))</f>
        <v/>
      </c>
      <c r="D235" s="45" t="str">
        <f aca="false">IF($R235="","",INDEX('REGISTRE ELEVES'!$E$10:$E$250,$R235))</f>
        <v/>
      </c>
      <c r="E235" s="45" t="str">
        <f aca="false">IF($R235="","",INDEX('REGISTRE ELEVES'!$F$10:$F$250,$R235))</f>
        <v/>
      </c>
      <c r="F235" s="45" t="str">
        <f aca="false">IF($R235="","",INDEX('REGISTRE ELEVES'!$AE$10:$AE$250,$R235))</f>
        <v/>
      </c>
      <c r="G235" s="80" t="str">
        <f aca="false">IF(B235="","",IFERROR(IF(LEFT(E235,2)="CP",INDEX('NOTES CP'!$P$10:$P$250,MATCH(B235,'NOTES CP'!$B$10:$B$250,0)),IF(E235="CE1",INDEX('NOTES CE1'!$M$10:$M$250,MATCH(B235,'NOTES CE1'!$B$10:$B$250,0)),INDEX('NOTES CE2-CM1'!$M$10:$M$250,MATCH(B235,'NOTES CE2-CM1'!$B$10:$B$250,0)))),""))</f>
        <v/>
      </c>
      <c r="H235" s="80" t="str">
        <f aca="false">IF(B235="","",IFERROR(IF(LEFT(E235,2)="CP",INDEX('NOTES CP'!$Z$10:$Z$250,MATCH(B235,'NOTES CP'!$B$10:$B$250,0)),IF(E235="CE1",INDEX('NOTES CE1'!$T$10:$T$250,MATCH(B235,'NOTES CE1'!$B$10:$B$250,0)),INDEX('NOTES CE2-CM1'!$T$10:$T$250,MATCH(B235,'NOTES CE2-CM1'!$B$10:$B$250,0)))),""))</f>
        <v/>
      </c>
      <c r="I235" s="80" t="str">
        <f aca="false">IF(B235="","",IFERROR(IF(LEFT(E235,2)="CP",INDEX('NOTES CP'!$AJ$10:$AJ$250,MATCH(B235,'NOTES CP'!$B$10:$B$250,0)),IF(E235="CE1",INDEX('NOTES CE1'!$AA$10:$AA$250,MATCH(B235,'NOTES CE1'!$B$10:$B$250,0)),INDEX('NOTES CE2-CM1'!$AA$10:$AA$250,MATCH(B235,'NOTES CE2-CM1'!$B$10:$B$250,0)))),""))</f>
        <v/>
      </c>
      <c r="J235" s="81" t="str">
        <f aca="false">IF(COUNT(G235:I235)=0,"",ROUND(AVERAGE(G235:I235),2))</f>
        <v/>
      </c>
      <c r="K235" s="80" t="str">
        <f aca="false">IF(B235="","",IFERROR(IF(LEFT(E235,2)="CP",INDEX('NOTES CP'!$AT$10:$AT$250,MATCH(B235,'NOTES CP'!$B$10:$B$250,0)),IF(E235="CE1",INDEX('NOTES CE1'!$AH$10:$AH$250,MATCH(B235,'NOTES CE1'!$B$10:$B$250,0)),INDEX('NOTES CE2-CM1'!$AH$10:$AH$250,MATCH(B235,'NOTES CE2-CM1'!$B$10:$B$250,0)))),""))</f>
        <v/>
      </c>
      <c r="L235" s="82" t="str">
        <f aca="false">IF(OR(J235="",K235=""),"",ROUND((J235+2*K235)/3,2))</f>
        <v/>
      </c>
      <c r="M235" s="83" t="str">
        <f aca="false">IF(E235="","",IFERROR(INDEX(PARAMETRES!$D$18:$D$23,MATCH(E235,PARAMETRES!$B$18:$B$23,0)),""))</f>
        <v/>
      </c>
      <c r="N235" s="81" t="str">
        <f aca="false">IF(E235="","",IFERROR(INDEX(PARAMETRES!$C$18:$C$23,MATCH(E235,PARAMETRES!$B$18:$B$23,0)),""))</f>
        <v/>
      </c>
      <c r="O235" s="45" t="str">
        <f aca="false">IF(B235="","",IF(F235="ABANDON","ABANDON",IF(F235="TRANSFERE","TRANSFERE",IF(L235="","",IF(L235&gt;=N235,"ADMIS","REDOUBLE")))))</f>
        <v/>
      </c>
      <c r="P235" s="73" t="str">
        <f aca="false">IF(OR(L235="",F235&lt;&gt;"PRESENT"),"",COUNTIFS($E$10:$E$250,E235,$F$10:$F$250,"PRESENT",$L$10:$L$250,"&gt;"&amp;L235)+1)</f>
        <v/>
      </c>
      <c r="Q235" s="74" t="str">
        <f aca="false">IF(O235="ADMIS",IF(L235/M235*10&gt;=8,"Très bien",IF(L235/M235*10&gt;=7,"Bien",IF(L235/M235*10&gt;=6,"Assez bien","Passable"))),IF(O235="REDOUBLE","Insuffisant",""))</f>
        <v/>
      </c>
      <c r="R235" s="51" t="str">
        <f aca="false">IFERROR(MATCH("P-226",'REGISTRE ELEVES'!$AH$10:$AH$250,0),"")</f>
        <v/>
      </c>
    </row>
    <row r="236" customFormat="false" ht="15" hidden="false" customHeight="false" outlineLevel="0" collapsed="false">
      <c r="A236" s="45" t="str">
        <f aca="false">IF(B236="","",227)</f>
        <v/>
      </c>
      <c r="B236" s="45" t="str">
        <f aca="false">IF($R236="","",INDEX('REGISTRE ELEVES'!$B$10:$B$250,$R236))</f>
        <v/>
      </c>
      <c r="C236" s="74" t="str">
        <f aca="false">IF($R236="","",INDEX('REGISTRE ELEVES'!$D$10:$D$250,$R236))</f>
        <v/>
      </c>
      <c r="D236" s="45" t="str">
        <f aca="false">IF($R236="","",INDEX('REGISTRE ELEVES'!$E$10:$E$250,$R236))</f>
        <v/>
      </c>
      <c r="E236" s="45" t="str">
        <f aca="false">IF($R236="","",INDEX('REGISTRE ELEVES'!$F$10:$F$250,$R236))</f>
        <v/>
      </c>
      <c r="F236" s="45" t="str">
        <f aca="false">IF($R236="","",INDEX('REGISTRE ELEVES'!$AE$10:$AE$250,$R236))</f>
        <v/>
      </c>
      <c r="G236" s="80" t="str">
        <f aca="false">IF(B236="","",IFERROR(IF(LEFT(E236,2)="CP",INDEX('NOTES CP'!$P$10:$P$250,MATCH(B236,'NOTES CP'!$B$10:$B$250,0)),IF(E236="CE1",INDEX('NOTES CE1'!$M$10:$M$250,MATCH(B236,'NOTES CE1'!$B$10:$B$250,0)),INDEX('NOTES CE2-CM1'!$M$10:$M$250,MATCH(B236,'NOTES CE2-CM1'!$B$10:$B$250,0)))),""))</f>
        <v/>
      </c>
      <c r="H236" s="80" t="str">
        <f aca="false">IF(B236="","",IFERROR(IF(LEFT(E236,2)="CP",INDEX('NOTES CP'!$Z$10:$Z$250,MATCH(B236,'NOTES CP'!$B$10:$B$250,0)),IF(E236="CE1",INDEX('NOTES CE1'!$T$10:$T$250,MATCH(B236,'NOTES CE1'!$B$10:$B$250,0)),INDEX('NOTES CE2-CM1'!$T$10:$T$250,MATCH(B236,'NOTES CE2-CM1'!$B$10:$B$250,0)))),""))</f>
        <v/>
      </c>
      <c r="I236" s="80" t="str">
        <f aca="false">IF(B236="","",IFERROR(IF(LEFT(E236,2)="CP",INDEX('NOTES CP'!$AJ$10:$AJ$250,MATCH(B236,'NOTES CP'!$B$10:$B$250,0)),IF(E236="CE1",INDEX('NOTES CE1'!$AA$10:$AA$250,MATCH(B236,'NOTES CE1'!$B$10:$B$250,0)),INDEX('NOTES CE2-CM1'!$AA$10:$AA$250,MATCH(B236,'NOTES CE2-CM1'!$B$10:$B$250,0)))),""))</f>
        <v/>
      </c>
      <c r="J236" s="81" t="str">
        <f aca="false">IF(COUNT(G236:I236)=0,"",ROUND(AVERAGE(G236:I236),2))</f>
        <v/>
      </c>
      <c r="K236" s="80" t="str">
        <f aca="false">IF(B236="","",IFERROR(IF(LEFT(E236,2)="CP",INDEX('NOTES CP'!$AT$10:$AT$250,MATCH(B236,'NOTES CP'!$B$10:$B$250,0)),IF(E236="CE1",INDEX('NOTES CE1'!$AH$10:$AH$250,MATCH(B236,'NOTES CE1'!$B$10:$B$250,0)),INDEX('NOTES CE2-CM1'!$AH$10:$AH$250,MATCH(B236,'NOTES CE2-CM1'!$B$10:$B$250,0)))),""))</f>
        <v/>
      </c>
      <c r="L236" s="82" t="str">
        <f aca="false">IF(OR(J236="",K236=""),"",ROUND((J236+2*K236)/3,2))</f>
        <v/>
      </c>
      <c r="M236" s="83" t="str">
        <f aca="false">IF(E236="","",IFERROR(INDEX(PARAMETRES!$D$18:$D$23,MATCH(E236,PARAMETRES!$B$18:$B$23,0)),""))</f>
        <v/>
      </c>
      <c r="N236" s="81" t="str">
        <f aca="false">IF(E236="","",IFERROR(INDEX(PARAMETRES!$C$18:$C$23,MATCH(E236,PARAMETRES!$B$18:$B$23,0)),""))</f>
        <v/>
      </c>
      <c r="O236" s="45" t="str">
        <f aca="false">IF(B236="","",IF(F236="ABANDON","ABANDON",IF(F236="TRANSFERE","TRANSFERE",IF(L236="","",IF(L236&gt;=N236,"ADMIS","REDOUBLE")))))</f>
        <v/>
      </c>
      <c r="P236" s="73" t="str">
        <f aca="false">IF(OR(L236="",F236&lt;&gt;"PRESENT"),"",COUNTIFS($E$10:$E$250,E236,$F$10:$F$250,"PRESENT",$L$10:$L$250,"&gt;"&amp;L236)+1)</f>
        <v/>
      </c>
      <c r="Q236" s="74" t="str">
        <f aca="false">IF(O236="ADMIS",IF(L236/M236*10&gt;=8,"Très bien",IF(L236/M236*10&gt;=7,"Bien",IF(L236/M236*10&gt;=6,"Assez bien","Passable"))),IF(O236="REDOUBLE","Insuffisant",""))</f>
        <v/>
      </c>
      <c r="R236" s="51" t="str">
        <f aca="false">IFERROR(MATCH("P-227",'REGISTRE ELEVES'!$AH$10:$AH$250,0),"")</f>
        <v/>
      </c>
    </row>
    <row r="237" customFormat="false" ht="15" hidden="false" customHeight="false" outlineLevel="0" collapsed="false">
      <c r="A237" s="45" t="str">
        <f aca="false">IF(B237="","",228)</f>
        <v/>
      </c>
      <c r="B237" s="45" t="str">
        <f aca="false">IF($R237="","",INDEX('REGISTRE ELEVES'!$B$10:$B$250,$R237))</f>
        <v/>
      </c>
      <c r="C237" s="74" t="str">
        <f aca="false">IF($R237="","",INDEX('REGISTRE ELEVES'!$D$10:$D$250,$R237))</f>
        <v/>
      </c>
      <c r="D237" s="45" t="str">
        <f aca="false">IF($R237="","",INDEX('REGISTRE ELEVES'!$E$10:$E$250,$R237))</f>
        <v/>
      </c>
      <c r="E237" s="45" t="str">
        <f aca="false">IF($R237="","",INDEX('REGISTRE ELEVES'!$F$10:$F$250,$R237))</f>
        <v/>
      </c>
      <c r="F237" s="45" t="str">
        <f aca="false">IF($R237="","",INDEX('REGISTRE ELEVES'!$AE$10:$AE$250,$R237))</f>
        <v/>
      </c>
      <c r="G237" s="80" t="str">
        <f aca="false">IF(B237="","",IFERROR(IF(LEFT(E237,2)="CP",INDEX('NOTES CP'!$P$10:$P$250,MATCH(B237,'NOTES CP'!$B$10:$B$250,0)),IF(E237="CE1",INDEX('NOTES CE1'!$M$10:$M$250,MATCH(B237,'NOTES CE1'!$B$10:$B$250,0)),INDEX('NOTES CE2-CM1'!$M$10:$M$250,MATCH(B237,'NOTES CE2-CM1'!$B$10:$B$250,0)))),""))</f>
        <v/>
      </c>
      <c r="H237" s="80" t="str">
        <f aca="false">IF(B237="","",IFERROR(IF(LEFT(E237,2)="CP",INDEX('NOTES CP'!$Z$10:$Z$250,MATCH(B237,'NOTES CP'!$B$10:$B$250,0)),IF(E237="CE1",INDEX('NOTES CE1'!$T$10:$T$250,MATCH(B237,'NOTES CE1'!$B$10:$B$250,0)),INDEX('NOTES CE2-CM1'!$T$10:$T$250,MATCH(B237,'NOTES CE2-CM1'!$B$10:$B$250,0)))),""))</f>
        <v/>
      </c>
      <c r="I237" s="80" t="str">
        <f aca="false">IF(B237="","",IFERROR(IF(LEFT(E237,2)="CP",INDEX('NOTES CP'!$AJ$10:$AJ$250,MATCH(B237,'NOTES CP'!$B$10:$B$250,0)),IF(E237="CE1",INDEX('NOTES CE1'!$AA$10:$AA$250,MATCH(B237,'NOTES CE1'!$B$10:$B$250,0)),INDEX('NOTES CE2-CM1'!$AA$10:$AA$250,MATCH(B237,'NOTES CE2-CM1'!$B$10:$B$250,0)))),""))</f>
        <v/>
      </c>
      <c r="J237" s="81" t="str">
        <f aca="false">IF(COUNT(G237:I237)=0,"",ROUND(AVERAGE(G237:I237),2))</f>
        <v/>
      </c>
      <c r="K237" s="80" t="str">
        <f aca="false">IF(B237="","",IFERROR(IF(LEFT(E237,2)="CP",INDEX('NOTES CP'!$AT$10:$AT$250,MATCH(B237,'NOTES CP'!$B$10:$B$250,0)),IF(E237="CE1",INDEX('NOTES CE1'!$AH$10:$AH$250,MATCH(B237,'NOTES CE1'!$B$10:$B$250,0)),INDEX('NOTES CE2-CM1'!$AH$10:$AH$250,MATCH(B237,'NOTES CE2-CM1'!$B$10:$B$250,0)))),""))</f>
        <v/>
      </c>
      <c r="L237" s="82" t="str">
        <f aca="false">IF(OR(J237="",K237=""),"",ROUND((J237+2*K237)/3,2))</f>
        <v/>
      </c>
      <c r="M237" s="83" t="str">
        <f aca="false">IF(E237="","",IFERROR(INDEX(PARAMETRES!$D$18:$D$23,MATCH(E237,PARAMETRES!$B$18:$B$23,0)),""))</f>
        <v/>
      </c>
      <c r="N237" s="81" t="str">
        <f aca="false">IF(E237="","",IFERROR(INDEX(PARAMETRES!$C$18:$C$23,MATCH(E237,PARAMETRES!$B$18:$B$23,0)),""))</f>
        <v/>
      </c>
      <c r="O237" s="45" t="str">
        <f aca="false">IF(B237="","",IF(F237="ABANDON","ABANDON",IF(F237="TRANSFERE","TRANSFERE",IF(L237="","",IF(L237&gt;=N237,"ADMIS","REDOUBLE")))))</f>
        <v/>
      </c>
      <c r="P237" s="73" t="str">
        <f aca="false">IF(OR(L237="",F237&lt;&gt;"PRESENT"),"",COUNTIFS($E$10:$E$250,E237,$F$10:$F$250,"PRESENT",$L$10:$L$250,"&gt;"&amp;L237)+1)</f>
        <v/>
      </c>
      <c r="Q237" s="74" t="str">
        <f aca="false">IF(O237="ADMIS",IF(L237/M237*10&gt;=8,"Très bien",IF(L237/M237*10&gt;=7,"Bien",IF(L237/M237*10&gt;=6,"Assez bien","Passable"))),IF(O237="REDOUBLE","Insuffisant",""))</f>
        <v/>
      </c>
      <c r="R237" s="51" t="str">
        <f aca="false">IFERROR(MATCH("P-228",'REGISTRE ELEVES'!$AH$10:$AH$250,0),"")</f>
        <v/>
      </c>
    </row>
    <row r="238" customFormat="false" ht="15" hidden="false" customHeight="false" outlineLevel="0" collapsed="false">
      <c r="A238" s="45" t="str">
        <f aca="false">IF(B238="","",229)</f>
        <v/>
      </c>
      <c r="B238" s="45" t="str">
        <f aca="false">IF($R238="","",INDEX('REGISTRE ELEVES'!$B$10:$B$250,$R238))</f>
        <v/>
      </c>
      <c r="C238" s="74" t="str">
        <f aca="false">IF($R238="","",INDEX('REGISTRE ELEVES'!$D$10:$D$250,$R238))</f>
        <v/>
      </c>
      <c r="D238" s="45" t="str">
        <f aca="false">IF($R238="","",INDEX('REGISTRE ELEVES'!$E$10:$E$250,$R238))</f>
        <v/>
      </c>
      <c r="E238" s="45" t="str">
        <f aca="false">IF($R238="","",INDEX('REGISTRE ELEVES'!$F$10:$F$250,$R238))</f>
        <v/>
      </c>
      <c r="F238" s="45" t="str">
        <f aca="false">IF($R238="","",INDEX('REGISTRE ELEVES'!$AE$10:$AE$250,$R238))</f>
        <v/>
      </c>
      <c r="G238" s="80" t="str">
        <f aca="false">IF(B238="","",IFERROR(IF(LEFT(E238,2)="CP",INDEX('NOTES CP'!$P$10:$P$250,MATCH(B238,'NOTES CP'!$B$10:$B$250,0)),IF(E238="CE1",INDEX('NOTES CE1'!$M$10:$M$250,MATCH(B238,'NOTES CE1'!$B$10:$B$250,0)),INDEX('NOTES CE2-CM1'!$M$10:$M$250,MATCH(B238,'NOTES CE2-CM1'!$B$10:$B$250,0)))),""))</f>
        <v/>
      </c>
      <c r="H238" s="80" t="str">
        <f aca="false">IF(B238="","",IFERROR(IF(LEFT(E238,2)="CP",INDEX('NOTES CP'!$Z$10:$Z$250,MATCH(B238,'NOTES CP'!$B$10:$B$250,0)),IF(E238="CE1",INDEX('NOTES CE1'!$T$10:$T$250,MATCH(B238,'NOTES CE1'!$B$10:$B$250,0)),INDEX('NOTES CE2-CM1'!$T$10:$T$250,MATCH(B238,'NOTES CE2-CM1'!$B$10:$B$250,0)))),""))</f>
        <v/>
      </c>
      <c r="I238" s="80" t="str">
        <f aca="false">IF(B238="","",IFERROR(IF(LEFT(E238,2)="CP",INDEX('NOTES CP'!$AJ$10:$AJ$250,MATCH(B238,'NOTES CP'!$B$10:$B$250,0)),IF(E238="CE1",INDEX('NOTES CE1'!$AA$10:$AA$250,MATCH(B238,'NOTES CE1'!$B$10:$B$250,0)),INDEX('NOTES CE2-CM1'!$AA$10:$AA$250,MATCH(B238,'NOTES CE2-CM1'!$B$10:$B$250,0)))),""))</f>
        <v/>
      </c>
      <c r="J238" s="81" t="str">
        <f aca="false">IF(COUNT(G238:I238)=0,"",ROUND(AVERAGE(G238:I238),2))</f>
        <v/>
      </c>
      <c r="K238" s="80" t="str">
        <f aca="false">IF(B238="","",IFERROR(IF(LEFT(E238,2)="CP",INDEX('NOTES CP'!$AT$10:$AT$250,MATCH(B238,'NOTES CP'!$B$10:$B$250,0)),IF(E238="CE1",INDEX('NOTES CE1'!$AH$10:$AH$250,MATCH(B238,'NOTES CE1'!$B$10:$B$250,0)),INDEX('NOTES CE2-CM1'!$AH$10:$AH$250,MATCH(B238,'NOTES CE2-CM1'!$B$10:$B$250,0)))),""))</f>
        <v/>
      </c>
      <c r="L238" s="82" t="str">
        <f aca="false">IF(OR(J238="",K238=""),"",ROUND((J238+2*K238)/3,2))</f>
        <v/>
      </c>
      <c r="M238" s="83" t="str">
        <f aca="false">IF(E238="","",IFERROR(INDEX(PARAMETRES!$D$18:$D$23,MATCH(E238,PARAMETRES!$B$18:$B$23,0)),""))</f>
        <v/>
      </c>
      <c r="N238" s="81" t="str">
        <f aca="false">IF(E238="","",IFERROR(INDEX(PARAMETRES!$C$18:$C$23,MATCH(E238,PARAMETRES!$B$18:$B$23,0)),""))</f>
        <v/>
      </c>
      <c r="O238" s="45" t="str">
        <f aca="false">IF(B238="","",IF(F238="ABANDON","ABANDON",IF(F238="TRANSFERE","TRANSFERE",IF(L238="","",IF(L238&gt;=N238,"ADMIS","REDOUBLE")))))</f>
        <v/>
      </c>
      <c r="P238" s="73" t="str">
        <f aca="false">IF(OR(L238="",F238&lt;&gt;"PRESENT"),"",COUNTIFS($E$10:$E$250,E238,$F$10:$F$250,"PRESENT",$L$10:$L$250,"&gt;"&amp;L238)+1)</f>
        <v/>
      </c>
      <c r="Q238" s="74" t="str">
        <f aca="false">IF(O238="ADMIS",IF(L238/M238*10&gt;=8,"Très bien",IF(L238/M238*10&gt;=7,"Bien",IF(L238/M238*10&gt;=6,"Assez bien","Passable"))),IF(O238="REDOUBLE","Insuffisant",""))</f>
        <v/>
      </c>
      <c r="R238" s="51" t="str">
        <f aca="false">IFERROR(MATCH("P-229",'REGISTRE ELEVES'!$AH$10:$AH$250,0),"")</f>
        <v/>
      </c>
    </row>
    <row r="239" customFormat="false" ht="15" hidden="false" customHeight="false" outlineLevel="0" collapsed="false">
      <c r="A239" s="45" t="str">
        <f aca="false">IF(B239="","",230)</f>
        <v/>
      </c>
      <c r="B239" s="45" t="str">
        <f aca="false">IF($R239="","",INDEX('REGISTRE ELEVES'!$B$10:$B$250,$R239))</f>
        <v/>
      </c>
      <c r="C239" s="74" t="str">
        <f aca="false">IF($R239="","",INDEX('REGISTRE ELEVES'!$D$10:$D$250,$R239))</f>
        <v/>
      </c>
      <c r="D239" s="45" t="str">
        <f aca="false">IF($R239="","",INDEX('REGISTRE ELEVES'!$E$10:$E$250,$R239))</f>
        <v/>
      </c>
      <c r="E239" s="45" t="str">
        <f aca="false">IF($R239="","",INDEX('REGISTRE ELEVES'!$F$10:$F$250,$R239))</f>
        <v/>
      </c>
      <c r="F239" s="45" t="str">
        <f aca="false">IF($R239="","",INDEX('REGISTRE ELEVES'!$AE$10:$AE$250,$R239))</f>
        <v/>
      </c>
      <c r="G239" s="80" t="str">
        <f aca="false">IF(B239="","",IFERROR(IF(LEFT(E239,2)="CP",INDEX('NOTES CP'!$P$10:$P$250,MATCH(B239,'NOTES CP'!$B$10:$B$250,0)),IF(E239="CE1",INDEX('NOTES CE1'!$M$10:$M$250,MATCH(B239,'NOTES CE1'!$B$10:$B$250,0)),INDEX('NOTES CE2-CM1'!$M$10:$M$250,MATCH(B239,'NOTES CE2-CM1'!$B$10:$B$250,0)))),""))</f>
        <v/>
      </c>
      <c r="H239" s="80" t="str">
        <f aca="false">IF(B239="","",IFERROR(IF(LEFT(E239,2)="CP",INDEX('NOTES CP'!$Z$10:$Z$250,MATCH(B239,'NOTES CP'!$B$10:$B$250,0)),IF(E239="CE1",INDEX('NOTES CE1'!$T$10:$T$250,MATCH(B239,'NOTES CE1'!$B$10:$B$250,0)),INDEX('NOTES CE2-CM1'!$T$10:$T$250,MATCH(B239,'NOTES CE2-CM1'!$B$10:$B$250,0)))),""))</f>
        <v/>
      </c>
      <c r="I239" s="80" t="str">
        <f aca="false">IF(B239="","",IFERROR(IF(LEFT(E239,2)="CP",INDEX('NOTES CP'!$AJ$10:$AJ$250,MATCH(B239,'NOTES CP'!$B$10:$B$250,0)),IF(E239="CE1",INDEX('NOTES CE1'!$AA$10:$AA$250,MATCH(B239,'NOTES CE1'!$B$10:$B$250,0)),INDEX('NOTES CE2-CM1'!$AA$10:$AA$250,MATCH(B239,'NOTES CE2-CM1'!$B$10:$B$250,0)))),""))</f>
        <v/>
      </c>
      <c r="J239" s="81" t="str">
        <f aca="false">IF(COUNT(G239:I239)=0,"",ROUND(AVERAGE(G239:I239),2))</f>
        <v/>
      </c>
      <c r="K239" s="80" t="str">
        <f aca="false">IF(B239="","",IFERROR(IF(LEFT(E239,2)="CP",INDEX('NOTES CP'!$AT$10:$AT$250,MATCH(B239,'NOTES CP'!$B$10:$B$250,0)),IF(E239="CE1",INDEX('NOTES CE1'!$AH$10:$AH$250,MATCH(B239,'NOTES CE1'!$B$10:$B$250,0)),INDEX('NOTES CE2-CM1'!$AH$10:$AH$250,MATCH(B239,'NOTES CE2-CM1'!$B$10:$B$250,0)))),""))</f>
        <v/>
      </c>
      <c r="L239" s="82" t="str">
        <f aca="false">IF(OR(J239="",K239=""),"",ROUND((J239+2*K239)/3,2))</f>
        <v/>
      </c>
      <c r="M239" s="83" t="str">
        <f aca="false">IF(E239="","",IFERROR(INDEX(PARAMETRES!$D$18:$D$23,MATCH(E239,PARAMETRES!$B$18:$B$23,0)),""))</f>
        <v/>
      </c>
      <c r="N239" s="81" t="str">
        <f aca="false">IF(E239="","",IFERROR(INDEX(PARAMETRES!$C$18:$C$23,MATCH(E239,PARAMETRES!$B$18:$B$23,0)),""))</f>
        <v/>
      </c>
      <c r="O239" s="45" t="str">
        <f aca="false">IF(B239="","",IF(F239="ABANDON","ABANDON",IF(F239="TRANSFERE","TRANSFERE",IF(L239="","",IF(L239&gt;=N239,"ADMIS","REDOUBLE")))))</f>
        <v/>
      </c>
      <c r="P239" s="73" t="str">
        <f aca="false">IF(OR(L239="",F239&lt;&gt;"PRESENT"),"",COUNTIFS($E$10:$E$250,E239,$F$10:$F$250,"PRESENT",$L$10:$L$250,"&gt;"&amp;L239)+1)</f>
        <v/>
      </c>
      <c r="Q239" s="74" t="str">
        <f aca="false">IF(O239="ADMIS",IF(L239/M239*10&gt;=8,"Très bien",IF(L239/M239*10&gt;=7,"Bien",IF(L239/M239*10&gt;=6,"Assez bien","Passable"))),IF(O239="REDOUBLE","Insuffisant",""))</f>
        <v/>
      </c>
      <c r="R239" s="51" t="str">
        <f aca="false">IFERROR(MATCH("P-230",'REGISTRE ELEVES'!$AH$10:$AH$250,0),"")</f>
        <v/>
      </c>
    </row>
    <row r="240" customFormat="false" ht="15" hidden="false" customHeight="false" outlineLevel="0" collapsed="false">
      <c r="A240" s="45" t="str">
        <f aca="false">IF(B240="","",231)</f>
        <v/>
      </c>
      <c r="B240" s="45" t="str">
        <f aca="false">IF($R240="","",INDEX('REGISTRE ELEVES'!$B$10:$B$250,$R240))</f>
        <v/>
      </c>
      <c r="C240" s="74" t="str">
        <f aca="false">IF($R240="","",INDEX('REGISTRE ELEVES'!$D$10:$D$250,$R240))</f>
        <v/>
      </c>
      <c r="D240" s="45" t="str">
        <f aca="false">IF($R240="","",INDEX('REGISTRE ELEVES'!$E$10:$E$250,$R240))</f>
        <v/>
      </c>
      <c r="E240" s="45" t="str">
        <f aca="false">IF($R240="","",INDEX('REGISTRE ELEVES'!$F$10:$F$250,$R240))</f>
        <v/>
      </c>
      <c r="F240" s="45" t="str">
        <f aca="false">IF($R240="","",INDEX('REGISTRE ELEVES'!$AE$10:$AE$250,$R240))</f>
        <v/>
      </c>
      <c r="G240" s="80" t="str">
        <f aca="false">IF(B240="","",IFERROR(IF(LEFT(E240,2)="CP",INDEX('NOTES CP'!$P$10:$P$250,MATCH(B240,'NOTES CP'!$B$10:$B$250,0)),IF(E240="CE1",INDEX('NOTES CE1'!$M$10:$M$250,MATCH(B240,'NOTES CE1'!$B$10:$B$250,0)),INDEX('NOTES CE2-CM1'!$M$10:$M$250,MATCH(B240,'NOTES CE2-CM1'!$B$10:$B$250,0)))),""))</f>
        <v/>
      </c>
      <c r="H240" s="80" t="str">
        <f aca="false">IF(B240="","",IFERROR(IF(LEFT(E240,2)="CP",INDEX('NOTES CP'!$Z$10:$Z$250,MATCH(B240,'NOTES CP'!$B$10:$B$250,0)),IF(E240="CE1",INDEX('NOTES CE1'!$T$10:$T$250,MATCH(B240,'NOTES CE1'!$B$10:$B$250,0)),INDEX('NOTES CE2-CM1'!$T$10:$T$250,MATCH(B240,'NOTES CE2-CM1'!$B$10:$B$250,0)))),""))</f>
        <v/>
      </c>
      <c r="I240" s="80" t="str">
        <f aca="false">IF(B240="","",IFERROR(IF(LEFT(E240,2)="CP",INDEX('NOTES CP'!$AJ$10:$AJ$250,MATCH(B240,'NOTES CP'!$B$10:$B$250,0)),IF(E240="CE1",INDEX('NOTES CE1'!$AA$10:$AA$250,MATCH(B240,'NOTES CE1'!$B$10:$B$250,0)),INDEX('NOTES CE2-CM1'!$AA$10:$AA$250,MATCH(B240,'NOTES CE2-CM1'!$B$10:$B$250,0)))),""))</f>
        <v/>
      </c>
      <c r="J240" s="81" t="str">
        <f aca="false">IF(COUNT(G240:I240)=0,"",ROUND(AVERAGE(G240:I240),2))</f>
        <v/>
      </c>
      <c r="K240" s="80" t="str">
        <f aca="false">IF(B240="","",IFERROR(IF(LEFT(E240,2)="CP",INDEX('NOTES CP'!$AT$10:$AT$250,MATCH(B240,'NOTES CP'!$B$10:$B$250,0)),IF(E240="CE1",INDEX('NOTES CE1'!$AH$10:$AH$250,MATCH(B240,'NOTES CE1'!$B$10:$B$250,0)),INDEX('NOTES CE2-CM1'!$AH$10:$AH$250,MATCH(B240,'NOTES CE2-CM1'!$B$10:$B$250,0)))),""))</f>
        <v/>
      </c>
      <c r="L240" s="82" t="str">
        <f aca="false">IF(OR(J240="",K240=""),"",ROUND((J240+2*K240)/3,2))</f>
        <v/>
      </c>
      <c r="M240" s="83" t="str">
        <f aca="false">IF(E240="","",IFERROR(INDEX(PARAMETRES!$D$18:$D$23,MATCH(E240,PARAMETRES!$B$18:$B$23,0)),""))</f>
        <v/>
      </c>
      <c r="N240" s="81" t="str">
        <f aca="false">IF(E240="","",IFERROR(INDEX(PARAMETRES!$C$18:$C$23,MATCH(E240,PARAMETRES!$B$18:$B$23,0)),""))</f>
        <v/>
      </c>
      <c r="O240" s="45" t="str">
        <f aca="false">IF(B240="","",IF(F240="ABANDON","ABANDON",IF(F240="TRANSFERE","TRANSFERE",IF(L240="","",IF(L240&gt;=N240,"ADMIS","REDOUBLE")))))</f>
        <v/>
      </c>
      <c r="P240" s="73" t="str">
        <f aca="false">IF(OR(L240="",F240&lt;&gt;"PRESENT"),"",COUNTIFS($E$10:$E$250,E240,$F$10:$F$250,"PRESENT",$L$10:$L$250,"&gt;"&amp;L240)+1)</f>
        <v/>
      </c>
      <c r="Q240" s="74" t="str">
        <f aca="false">IF(O240="ADMIS",IF(L240/M240*10&gt;=8,"Très bien",IF(L240/M240*10&gt;=7,"Bien",IF(L240/M240*10&gt;=6,"Assez bien","Passable"))),IF(O240="REDOUBLE","Insuffisant",""))</f>
        <v/>
      </c>
      <c r="R240" s="51" t="str">
        <f aca="false">IFERROR(MATCH("P-231",'REGISTRE ELEVES'!$AH$10:$AH$250,0),"")</f>
        <v/>
      </c>
    </row>
    <row r="241" customFormat="false" ht="15" hidden="false" customHeight="false" outlineLevel="0" collapsed="false">
      <c r="A241" s="45" t="str">
        <f aca="false">IF(B241="","",232)</f>
        <v/>
      </c>
      <c r="B241" s="45" t="str">
        <f aca="false">IF($R241="","",INDEX('REGISTRE ELEVES'!$B$10:$B$250,$R241))</f>
        <v/>
      </c>
      <c r="C241" s="74" t="str">
        <f aca="false">IF($R241="","",INDEX('REGISTRE ELEVES'!$D$10:$D$250,$R241))</f>
        <v/>
      </c>
      <c r="D241" s="45" t="str">
        <f aca="false">IF($R241="","",INDEX('REGISTRE ELEVES'!$E$10:$E$250,$R241))</f>
        <v/>
      </c>
      <c r="E241" s="45" t="str">
        <f aca="false">IF($R241="","",INDEX('REGISTRE ELEVES'!$F$10:$F$250,$R241))</f>
        <v/>
      </c>
      <c r="F241" s="45" t="str">
        <f aca="false">IF($R241="","",INDEX('REGISTRE ELEVES'!$AE$10:$AE$250,$R241))</f>
        <v/>
      </c>
      <c r="G241" s="80" t="str">
        <f aca="false">IF(B241="","",IFERROR(IF(LEFT(E241,2)="CP",INDEX('NOTES CP'!$P$10:$P$250,MATCH(B241,'NOTES CP'!$B$10:$B$250,0)),IF(E241="CE1",INDEX('NOTES CE1'!$M$10:$M$250,MATCH(B241,'NOTES CE1'!$B$10:$B$250,0)),INDEX('NOTES CE2-CM1'!$M$10:$M$250,MATCH(B241,'NOTES CE2-CM1'!$B$10:$B$250,0)))),""))</f>
        <v/>
      </c>
      <c r="H241" s="80" t="str">
        <f aca="false">IF(B241="","",IFERROR(IF(LEFT(E241,2)="CP",INDEX('NOTES CP'!$Z$10:$Z$250,MATCH(B241,'NOTES CP'!$B$10:$B$250,0)),IF(E241="CE1",INDEX('NOTES CE1'!$T$10:$T$250,MATCH(B241,'NOTES CE1'!$B$10:$B$250,0)),INDEX('NOTES CE2-CM1'!$T$10:$T$250,MATCH(B241,'NOTES CE2-CM1'!$B$10:$B$250,0)))),""))</f>
        <v/>
      </c>
      <c r="I241" s="80" t="str">
        <f aca="false">IF(B241="","",IFERROR(IF(LEFT(E241,2)="CP",INDEX('NOTES CP'!$AJ$10:$AJ$250,MATCH(B241,'NOTES CP'!$B$10:$B$250,0)),IF(E241="CE1",INDEX('NOTES CE1'!$AA$10:$AA$250,MATCH(B241,'NOTES CE1'!$B$10:$B$250,0)),INDEX('NOTES CE2-CM1'!$AA$10:$AA$250,MATCH(B241,'NOTES CE2-CM1'!$B$10:$B$250,0)))),""))</f>
        <v/>
      </c>
      <c r="J241" s="81" t="str">
        <f aca="false">IF(COUNT(G241:I241)=0,"",ROUND(AVERAGE(G241:I241),2))</f>
        <v/>
      </c>
      <c r="K241" s="80" t="str">
        <f aca="false">IF(B241="","",IFERROR(IF(LEFT(E241,2)="CP",INDEX('NOTES CP'!$AT$10:$AT$250,MATCH(B241,'NOTES CP'!$B$10:$B$250,0)),IF(E241="CE1",INDEX('NOTES CE1'!$AH$10:$AH$250,MATCH(B241,'NOTES CE1'!$B$10:$B$250,0)),INDEX('NOTES CE2-CM1'!$AH$10:$AH$250,MATCH(B241,'NOTES CE2-CM1'!$B$10:$B$250,0)))),""))</f>
        <v/>
      </c>
      <c r="L241" s="82" t="str">
        <f aca="false">IF(OR(J241="",K241=""),"",ROUND((J241+2*K241)/3,2))</f>
        <v/>
      </c>
      <c r="M241" s="83" t="str">
        <f aca="false">IF(E241="","",IFERROR(INDEX(PARAMETRES!$D$18:$D$23,MATCH(E241,PARAMETRES!$B$18:$B$23,0)),""))</f>
        <v/>
      </c>
      <c r="N241" s="81" t="str">
        <f aca="false">IF(E241="","",IFERROR(INDEX(PARAMETRES!$C$18:$C$23,MATCH(E241,PARAMETRES!$B$18:$B$23,0)),""))</f>
        <v/>
      </c>
      <c r="O241" s="45" t="str">
        <f aca="false">IF(B241="","",IF(F241="ABANDON","ABANDON",IF(F241="TRANSFERE","TRANSFERE",IF(L241="","",IF(L241&gt;=N241,"ADMIS","REDOUBLE")))))</f>
        <v/>
      </c>
      <c r="P241" s="73" t="str">
        <f aca="false">IF(OR(L241="",F241&lt;&gt;"PRESENT"),"",COUNTIFS($E$10:$E$250,E241,$F$10:$F$250,"PRESENT",$L$10:$L$250,"&gt;"&amp;L241)+1)</f>
        <v/>
      </c>
      <c r="Q241" s="74" t="str">
        <f aca="false">IF(O241="ADMIS",IF(L241/M241*10&gt;=8,"Très bien",IF(L241/M241*10&gt;=7,"Bien",IF(L241/M241*10&gt;=6,"Assez bien","Passable"))),IF(O241="REDOUBLE","Insuffisant",""))</f>
        <v/>
      </c>
      <c r="R241" s="51" t="str">
        <f aca="false">IFERROR(MATCH("P-232",'REGISTRE ELEVES'!$AH$10:$AH$250,0),"")</f>
        <v/>
      </c>
    </row>
    <row r="242" customFormat="false" ht="15" hidden="false" customHeight="false" outlineLevel="0" collapsed="false">
      <c r="A242" s="45" t="str">
        <f aca="false">IF(B242="","",233)</f>
        <v/>
      </c>
      <c r="B242" s="45" t="str">
        <f aca="false">IF($R242="","",INDEX('REGISTRE ELEVES'!$B$10:$B$250,$R242))</f>
        <v/>
      </c>
      <c r="C242" s="74" t="str">
        <f aca="false">IF($R242="","",INDEX('REGISTRE ELEVES'!$D$10:$D$250,$R242))</f>
        <v/>
      </c>
      <c r="D242" s="45" t="str">
        <f aca="false">IF($R242="","",INDEX('REGISTRE ELEVES'!$E$10:$E$250,$R242))</f>
        <v/>
      </c>
      <c r="E242" s="45" t="str">
        <f aca="false">IF($R242="","",INDEX('REGISTRE ELEVES'!$F$10:$F$250,$R242))</f>
        <v/>
      </c>
      <c r="F242" s="45" t="str">
        <f aca="false">IF($R242="","",INDEX('REGISTRE ELEVES'!$AE$10:$AE$250,$R242))</f>
        <v/>
      </c>
      <c r="G242" s="80" t="str">
        <f aca="false">IF(B242="","",IFERROR(IF(LEFT(E242,2)="CP",INDEX('NOTES CP'!$P$10:$P$250,MATCH(B242,'NOTES CP'!$B$10:$B$250,0)),IF(E242="CE1",INDEX('NOTES CE1'!$M$10:$M$250,MATCH(B242,'NOTES CE1'!$B$10:$B$250,0)),INDEX('NOTES CE2-CM1'!$M$10:$M$250,MATCH(B242,'NOTES CE2-CM1'!$B$10:$B$250,0)))),""))</f>
        <v/>
      </c>
      <c r="H242" s="80" t="str">
        <f aca="false">IF(B242="","",IFERROR(IF(LEFT(E242,2)="CP",INDEX('NOTES CP'!$Z$10:$Z$250,MATCH(B242,'NOTES CP'!$B$10:$B$250,0)),IF(E242="CE1",INDEX('NOTES CE1'!$T$10:$T$250,MATCH(B242,'NOTES CE1'!$B$10:$B$250,0)),INDEX('NOTES CE2-CM1'!$T$10:$T$250,MATCH(B242,'NOTES CE2-CM1'!$B$10:$B$250,0)))),""))</f>
        <v/>
      </c>
      <c r="I242" s="80" t="str">
        <f aca="false">IF(B242="","",IFERROR(IF(LEFT(E242,2)="CP",INDEX('NOTES CP'!$AJ$10:$AJ$250,MATCH(B242,'NOTES CP'!$B$10:$B$250,0)),IF(E242="CE1",INDEX('NOTES CE1'!$AA$10:$AA$250,MATCH(B242,'NOTES CE1'!$B$10:$B$250,0)),INDEX('NOTES CE2-CM1'!$AA$10:$AA$250,MATCH(B242,'NOTES CE2-CM1'!$B$10:$B$250,0)))),""))</f>
        <v/>
      </c>
      <c r="J242" s="81" t="str">
        <f aca="false">IF(COUNT(G242:I242)=0,"",ROUND(AVERAGE(G242:I242),2))</f>
        <v/>
      </c>
      <c r="K242" s="80" t="str">
        <f aca="false">IF(B242="","",IFERROR(IF(LEFT(E242,2)="CP",INDEX('NOTES CP'!$AT$10:$AT$250,MATCH(B242,'NOTES CP'!$B$10:$B$250,0)),IF(E242="CE1",INDEX('NOTES CE1'!$AH$10:$AH$250,MATCH(B242,'NOTES CE1'!$B$10:$B$250,0)),INDEX('NOTES CE2-CM1'!$AH$10:$AH$250,MATCH(B242,'NOTES CE2-CM1'!$B$10:$B$250,0)))),""))</f>
        <v/>
      </c>
      <c r="L242" s="82" t="str">
        <f aca="false">IF(OR(J242="",K242=""),"",ROUND((J242+2*K242)/3,2))</f>
        <v/>
      </c>
      <c r="M242" s="83" t="str">
        <f aca="false">IF(E242="","",IFERROR(INDEX(PARAMETRES!$D$18:$D$23,MATCH(E242,PARAMETRES!$B$18:$B$23,0)),""))</f>
        <v/>
      </c>
      <c r="N242" s="81" t="str">
        <f aca="false">IF(E242="","",IFERROR(INDEX(PARAMETRES!$C$18:$C$23,MATCH(E242,PARAMETRES!$B$18:$B$23,0)),""))</f>
        <v/>
      </c>
      <c r="O242" s="45" t="str">
        <f aca="false">IF(B242="","",IF(F242="ABANDON","ABANDON",IF(F242="TRANSFERE","TRANSFERE",IF(L242="","",IF(L242&gt;=N242,"ADMIS","REDOUBLE")))))</f>
        <v/>
      </c>
      <c r="P242" s="73" t="str">
        <f aca="false">IF(OR(L242="",F242&lt;&gt;"PRESENT"),"",COUNTIFS($E$10:$E$250,E242,$F$10:$F$250,"PRESENT",$L$10:$L$250,"&gt;"&amp;L242)+1)</f>
        <v/>
      </c>
      <c r="Q242" s="74" t="str">
        <f aca="false">IF(O242="ADMIS",IF(L242/M242*10&gt;=8,"Très bien",IF(L242/M242*10&gt;=7,"Bien",IF(L242/M242*10&gt;=6,"Assez bien","Passable"))),IF(O242="REDOUBLE","Insuffisant",""))</f>
        <v/>
      </c>
      <c r="R242" s="51" t="str">
        <f aca="false">IFERROR(MATCH("P-233",'REGISTRE ELEVES'!$AH$10:$AH$250,0),"")</f>
        <v/>
      </c>
    </row>
    <row r="243" customFormat="false" ht="15" hidden="false" customHeight="false" outlineLevel="0" collapsed="false">
      <c r="A243" s="45" t="str">
        <f aca="false">IF(B243="","",234)</f>
        <v/>
      </c>
      <c r="B243" s="45" t="str">
        <f aca="false">IF($R243="","",INDEX('REGISTRE ELEVES'!$B$10:$B$250,$R243))</f>
        <v/>
      </c>
      <c r="C243" s="74" t="str">
        <f aca="false">IF($R243="","",INDEX('REGISTRE ELEVES'!$D$10:$D$250,$R243))</f>
        <v/>
      </c>
      <c r="D243" s="45" t="str">
        <f aca="false">IF($R243="","",INDEX('REGISTRE ELEVES'!$E$10:$E$250,$R243))</f>
        <v/>
      </c>
      <c r="E243" s="45" t="str">
        <f aca="false">IF($R243="","",INDEX('REGISTRE ELEVES'!$F$10:$F$250,$R243))</f>
        <v/>
      </c>
      <c r="F243" s="45" t="str">
        <f aca="false">IF($R243="","",INDEX('REGISTRE ELEVES'!$AE$10:$AE$250,$R243))</f>
        <v/>
      </c>
      <c r="G243" s="80" t="str">
        <f aca="false">IF(B243="","",IFERROR(IF(LEFT(E243,2)="CP",INDEX('NOTES CP'!$P$10:$P$250,MATCH(B243,'NOTES CP'!$B$10:$B$250,0)),IF(E243="CE1",INDEX('NOTES CE1'!$M$10:$M$250,MATCH(B243,'NOTES CE1'!$B$10:$B$250,0)),INDEX('NOTES CE2-CM1'!$M$10:$M$250,MATCH(B243,'NOTES CE2-CM1'!$B$10:$B$250,0)))),""))</f>
        <v/>
      </c>
      <c r="H243" s="80" t="str">
        <f aca="false">IF(B243="","",IFERROR(IF(LEFT(E243,2)="CP",INDEX('NOTES CP'!$Z$10:$Z$250,MATCH(B243,'NOTES CP'!$B$10:$B$250,0)),IF(E243="CE1",INDEX('NOTES CE1'!$T$10:$T$250,MATCH(B243,'NOTES CE1'!$B$10:$B$250,0)),INDEX('NOTES CE2-CM1'!$T$10:$T$250,MATCH(B243,'NOTES CE2-CM1'!$B$10:$B$250,0)))),""))</f>
        <v/>
      </c>
      <c r="I243" s="80" t="str">
        <f aca="false">IF(B243="","",IFERROR(IF(LEFT(E243,2)="CP",INDEX('NOTES CP'!$AJ$10:$AJ$250,MATCH(B243,'NOTES CP'!$B$10:$B$250,0)),IF(E243="CE1",INDEX('NOTES CE1'!$AA$10:$AA$250,MATCH(B243,'NOTES CE1'!$B$10:$B$250,0)),INDEX('NOTES CE2-CM1'!$AA$10:$AA$250,MATCH(B243,'NOTES CE2-CM1'!$B$10:$B$250,0)))),""))</f>
        <v/>
      </c>
      <c r="J243" s="81" t="str">
        <f aca="false">IF(COUNT(G243:I243)=0,"",ROUND(AVERAGE(G243:I243),2))</f>
        <v/>
      </c>
      <c r="K243" s="80" t="str">
        <f aca="false">IF(B243="","",IFERROR(IF(LEFT(E243,2)="CP",INDEX('NOTES CP'!$AT$10:$AT$250,MATCH(B243,'NOTES CP'!$B$10:$B$250,0)),IF(E243="CE1",INDEX('NOTES CE1'!$AH$10:$AH$250,MATCH(B243,'NOTES CE1'!$B$10:$B$250,0)),INDEX('NOTES CE2-CM1'!$AH$10:$AH$250,MATCH(B243,'NOTES CE2-CM1'!$B$10:$B$250,0)))),""))</f>
        <v/>
      </c>
      <c r="L243" s="82" t="str">
        <f aca="false">IF(OR(J243="",K243=""),"",ROUND((J243+2*K243)/3,2))</f>
        <v/>
      </c>
      <c r="M243" s="83" t="str">
        <f aca="false">IF(E243="","",IFERROR(INDEX(PARAMETRES!$D$18:$D$23,MATCH(E243,PARAMETRES!$B$18:$B$23,0)),""))</f>
        <v/>
      </c>
      <c r="N243" s="81" t="str">
        <f aca="false">IF(E243="","",IFERROR(INDEX(PARAMETRES!$C$18:$C$23,MATCH(E243,PARAMETRES!$B$18:$B$23,0)),""))</f>
        <v/>
      </c>
      <c r="O243" s="45" t="str">
        <f aca="false">IF(B243="","",IF(F243="ABANDON","ABANDON",IF(F243="TRANSFERE","TRANSFERE",IF(L243="","",IF(L243&gt;=N243,"ADMIS","REDOUBLE")))))</f>
        <v/>
      </c>
      <c r="P243" s="73" t="str">
        <f aca="false">IF(OR(L243="",F243&lt;&gt;"PRESENT"),"",COUNTIFS($E$10:$E$250,E243,$F$10:$F$250,"PRESENT",$L$10:$L$250,"&gt;"&amp;L243)+1)</f>
        <v/>
      </c>
      <c r="Q243" s="74" t="str">
        <f aca="false">IF(O243="ADMIS",IF(L243/M243*10&gt;=8,"Très bien",IF(L243/M243*10&gt;=7,"Bien",IF(L243/M243*10&gt;=6,"Assez bien","Passable"))),IF(O243="REDOUBLE","Insuffisant",""))</f>
        <v/>
      </c>
      <c r="R243" s="51" t="str">
        <f aca="false">IFERROR(MATCH("P-234",'REGISTRE ELEVES'!$AH$10:$AH$250,0),"")</f>
        <v/>
      </c>
    </row>
    <row r="244" customFormat="false" ht="15" hidden="false" customHeight="false" outlineLevel="0" collapsed="false">
      <c r="A244" s="45" t="str">
        <f aca="false">IF(B244="","",235)</f>
        <v/>
      </c>
      <c r="B244" s="45" t="str">
        <f aca="false">IF($R244="","",INDEX('REGISTRE ELEVES'!$B$10:$B$250,$R244))</f>
        <v/>
      </c>
      <c r="C244" s="74" t="str">
        <f aca="false">IF($R244="","",INDEX('REGISTRE ELEVES'!$D$10:$D$250,$R244))</f>
        <v/>
      </c>
      <c r="D244" s="45" t="str">
        <f aca="false">IF($R244="","",INDEX('REGISTRE ELEVES'!$E$10:$E$250,$R244))</f>
        <v/>
      </c>
      <c r="E244" s="45" t="str">
        <f aca="false">IF($R244="","",INDEX('REGISTRE ELEVES'!$F$10:$F$250,$R244))</f>
        <v/>
      </c>
      <c r="F244" s="45" t="str">
        <f aca="false">IF($R244="","",INDEX('REGISTRE ELEVES'!$AE$10:$AE$250,$R244))</f>
        <v/>
      </c>
      <c r="G244" s="80" t="str">
        <f aca="false">IF(B244="","",IFERROR(IF(LEFT(E244,2)="CP",INDEX('NOTES CP'!$P$10:$P$250,MATCH(B244,'NOTES CP'!$B$10:$B$250,0)),IF(E244="CE1",INDEX('NOTES CE1'!$M$10:$M$250,MATCH(B244,'NOTES CE1'!$B$10:$B$250,0)),INDEX('NOTES CE2-CM1'!$M$10:$M$250,MATCH(B244,'NOTES CE2-CM1'!$B$10:$B$250,0)))),""))</f>
        <v/>
      </c>
      <c r="H244" s="80" t="str">
        <f aca="false">IF(B244="","",IFERROR(IF(LEFT(E244,2)="CP",INDEX('NOTES CP'!$Z$10:$Z$250,MATCH(B244,'NOTES CP'!$B$10:$B$250,0)),IF(E244="CE1",INDEX('NOTES CE1'!$T$10:$T$250,MATCH(B244,'NOTES CE1'!$B$10:$B$250,0)),INDEX('NOTES CE2-CM1'!$T$10:$T$250,MATCH(B244,'NOTES CE2-CM1'!$B$10:$B$250,0)))),""))</f>
        <v/>
      </c>
      <c r="I244" s="80" t="str">
        <f aca="false">IF(B244="","",IFERROR(IF(LEFT(E244,2)="CP",INDEX('NOTES CP'!$AJ$10:$AJ$250,MATCH(B244,'NOTES CP'!$B$10:$B$250,0)),IF(E244="CE1",INDEX('NOTES CE1'!$AA$10:$AA$250,MATCH(B244,'NOTES CE1'!$B$10:$B$250,0)),INDEX('NOTES CE2-CM1'!$AA$10:$AA$250,MATCH(B244,'NOTES CE2-CM1'!$B$10:$B$250,0)))),""))</f>
        <v/>
      </c>
      <c r="J244" s="81" t="str">
        <f aca="false">IF(COUNT(G244:I244)=0,"",ROUND(AVERAGE(G244:I244),2))</f>
        <v/>
      </c>
      <c r="K244" s="80" t="str">
        <f aca="false">IF(B244="","",IFERROR(IF(LEFT(E244,2)="CP",INDEX('NOTES CP'!$AT$10:$AT$250,MATCH(B244,'NOTES CP'!$B$10:$B$250,0)),IF(E244="CE1",INDEX('NOTES CE1'!$AH$10:$AH$250,MATCH(B244,'NOTES CE1'!$B$10:$B$250,0)),INDEX('NOTES CE2-CM1'!$AH$10:$AH$250,MATCH(B244,'NOTES CE2-CM1'!$B$10:$B$250,0)))),""))</f>
        <v/>
      </c>
      <c r="L244" s="82" t="str">
        <f aca="false">IF(OR(J244="",K244=""),"",ROUND((J244+2*K244)/3,2))</f>
        <v/>
      </c>
      <c r="M244" s="83" t="str">
        <f aca="false">IF(E244="","",IFERROR(INDEX(PARAMETRES!$D$18:$D$23,MATCH(E244,PARAMETRES!$B$18:$B$23,0)),""))</f>
        <v/>
      </c>
      <c r="N244" s="81" t="str">
        <f aca="false">IF(E244="","",IFERROR(INDEX(PARAMETRES!$C$18:$C$23,MATCH(E244,PARAMETRES!$B$18:$B$23,0)),""))</f>
        <v/>
      </c>
      <c r="O244" s="45" t="str">
        <f aca="false">IF(B244="","",IF(F244="ABANDON","ABANDON",IF(F244="TRANSFERE","TRANSFERE",IF(L244="","",IF(L244&gt;=N244,"ADMIS","REDOUBLE")))))</f>
        <v/>
      </c>
      <c r="P244" s="73" t="str">
        <f aca="false">IF(OR(L244="",F244&lt;&gt;"PRESENT"),"",COUNTIFS($E$10:$E$250,E244,$F$10:$F$250,"PRESENT",$L$10:$L$250,"&gt;"&amp;L244)+1)</f>
        <v/>
      </c>
      <c r="Q244" s="74" t="str">
        <f aca="false">IF(O244="ADMIS",IF(L244/M244*10&gt;=8,"Très bien",IF(L244/M244*10&gt;=7,"Bien",IF(L244/M244*10&gt;=6,"Assez bien","Passable"))),IF(O244="REDOUBLE","Insuffisant",""))</f>
        <v/>
      </c>
      <c r="R244" s="51" t="str">
        <f aca="false">IFERROR(MATCH("P-235",'REGISTRE ELEVES'!$AH$10:$AH$250,0),"")</f>
        <v/>
      </c>
    </row>
    <row r="245" customFormat="false" ht="15" hidden="false" customHeight="false" outlineLevel="0" collapsed="false">
      <c r="A245" s="45" t="str">
        <f aca="false">IF(B245="","",236)</f>
        <v/>
      </c>
      <c r="B245" s="45" t="str">
        <f aca="false">IF($R245="","",INDEX('REGISTRE ELEVES'!$B$10:$B$250,$R245))</f>
        <v/>
      </c>
      <c r="C245" s="74" t="str">
        <f aca="false">IF($R245="","",INDEX('REGISTRE ELEVES'!$D$10:$D$250,$R245))</f>
        <v/>
      </c>
      <c r="D245" s="45" t="str">
        <f aca="false">IF($R245="","",INDEX('REGISTRE ELEVES'!$E$10:$E$250,$R245))</f>
        <v/>
      </c>
      <c r="E245" s="45" t="str">
        <f aca="false">IF($R245="","",INDEX('REGISTRE ELEVES'!$F$10:$F$250,$R245))</f>
        <v/>
      </c>
      <c r="F245" s="45" t="str">
        <f aca="false">IF($R245="","",INDEX('REGISTRE ELEVES'!$AE$10:$AE$250,$R245))</f>
        <v/>
      </c>
      <c r="G245" s="80" t="str">
        <f aca="false">IF(B245="","",IFERROR(IF(LEFT(E245,2)="CP",INDEX('NOTES CP'!$P$10:$P$250,MATCH(B245,'NOTES CP'!$B$10:$B$250,0)),IF(E245="CE1",INDEX('NOTES CE1'!$M$10:$M$250,MATCH(B245,'NOTES CE1'!$B$10:$B$250,0)),INDEX('NOTES CE2-CM1'!$M$10:$M$250,MATCH(B245,'NOTES CE2-CM1'!$B$10:$B$250,0)))),""))</f>
        <v/>
      </c>
      <c r="H245" s="80" t="str">
        <f aca="false">IF(B245="","",IFERROR(IF(LEFT(E245,2)="CP",INDEX('NOTES CP'!$Z$10:$Z$250,MATCH(B245,'NOTES CP'!$B$10:$B$250,0)),IF(E245="CE1",INDEX('NOTES CE1'!$T$10:$T$250,MATCH(B245,'NOTES CE1'!$B$10:$B$250,0)),INDEX('NOTES CE2-CM1'!$T$10:$T$250,MATCH(B245,'NOTES CE2-CM1'!$B$10:$B$250,0)))),""))</f>
        <v/>
      </c>
      <c r="I245" s="80" t="str">
        <f aca="false">IF(B245="","",IFERROR(IF(LEFT(E245,2)="CP",INDEX('NOTES CP'!$AJ$10:$AJ$250,MATCH(B245,'NOTES CP'!$B$10:$B$250,0)),IF(E245="CE1",INDEX('NOTES CE1'!$AA$10:$AA$250,MATCH(B245,'NOTES CE1'!$B$10:$B$250,0)),INDEX('NOTES CE2-CM1'!$AA$10:$AA$250,MATCH(B245,'NOTES CE2-CM1'!$B$10:$B$250,0)))),""))</f>
        <v/>
      </c>
      <c r="J245" s="81" t="str">
        <f aca="false">IF(COUNT(G245:I245)=0,"",ROUND(AVERAGE(G245:I245),2))</f>
        <v/>
      </c>
      <c r="K245" s="80" t="str">
        <f aca="false">IF(B245="","",IFERROR(IF(LEFT(E245,2)="CP",INDEX('NOTES CP'!$AT$10:$AT$250,MATCH(B245,'NOTES CP'!$B$10:$B$250,0)),IF(E245="CE1",INDEX('NOTES CE1'!$AH$10:$AH$250,MATCH(B245,'NOTES CE1'!$B$10:$B$250,0)),INDEX('NOTES CE2-CM1'!$AH$10:$AH$250,MATCH(B245,'NOTES CE2-CM1'!$B$10:$B$250,0)))),""))</f>
        <v/>
      </c>
      <c r="L245" s="82" t="str">
        <f aca="false">IF(OR(J245="",K245=""),"",ROUND((J245+2*K245)/3,2))</f>
        <v/>
      </c>
      <c r="M245" s="83" t="str">
        <f aca="false">IF(E245="","",IFERROR(INDEX(PARAMETRES!$D$18:$D$23,MATCH(E245,PARAMETRES!$B$18:$B$23,0)),""))</f>
        <v/>
      </c>
      <c r="N245" s="81" t="str">
        <f aca="false">IF(E245="","",IFERROR(INDEX(PARAMETRES!$C$18:$C$23,MATCH(E245,PARAMETRES!$B$18:$B$23,0)),""))</f>
        <v/>
      </c>
      <c r="O245" s="45" t="str">
        <f aca="false">IF(B245="","",IF(F245="ABANDON","ABANDON",IF(F245="TRANSFERE","TRANSFERE",IF(L245="","",IF(L245&gt;=N245,"ADMIS","REDOUBLE")))))</f>
        <v/>
      </c>
      <c r="P245" s="73" t="str">
        <f aca="false">IF(OR(L245="",F245&lt;&gt;"PRESENT"),"",COUNTIFS($E$10:$E$250,E245,$F$10:$F$250,"PRESENT",$L$10:$L$250,"&gt;"&amp;L245)+1)</f>
        <v/>
      </c>
      <c r="Q245" s="74" t="str">
        <f aca="false">IF(O245="ADMIS",IF(L245/M245*10&gt;=8,"Très bien",IF(L245/M245*10&gt;=7,"Bien",IF(L245/M245*10&gt;=6,"Assez bien","Passable"))),IF(O245="REDOUBLE","Insuffisant",""))</f>
        <v/>
      </c>
      <c r="R245" s="51" t="str">
        <f aca="false">IFERROR(MATCH("P-236",'REGISTRE ELEVES'!$AH$10:$AH$250,0),"")</f>
        <v/>
      </c>
    </row>
    <row r="246" customFormat="false" ht="15" hidden="false" customHeight="false" outlineLevel="0" collapsed="false">
      <c r="A246" s="45" t="str">
        <f aca="false">IF(B246="","",237)</f>
        <v/>
      </c>
      <c r="B246" s="45" t="str">
        <f aca="false">IF($R246="","",INDEX('REGISTRE ELEVES'!$B$10:$B$250,$R246))</f>
        <v/>
      </c>
      <c r="C246" s="74" t="str">
        <f aca="false">IF($R246="","",INDEX('REGISTRE ELEVES'!$D$10:$D$250,$R246))</f>
        <v/>
      </c>
      <c r="D246" s="45" t="str">
        <f aca="false">IF($R246="","",INDEX('REGISTRE ELEVES'!$E$10:$E$250,$R246))</f>
        <v/>
      </c>
      <c r="E246" s="45" t="str">
        <f aca="false">IF($R246="","",INDEX('REGISTRE ELEVES'!$F$10:$F$250,$R246))</f>
        <v/>
      </c>
      <c r="F246" s="45" t="str">
        <f aca="false">IF($R246="","",INDEX('REGISTRE ELEVES'!$AE$10:$AE$250,$R246))</f>
        <v/>
      </c>
      <c r="G246" s="80" t="str">
        <f aca="false">IF(B246="","",IFERROR(IF(LEFT(E246,2)="CP",INDEX('NOTES CP'!$P$10:$P$250,MATCH(B246,'NOTES CP'!$B$10:$B$250,0)),IF(E246="CE1",INDEX('NOTES CE1'!$M$10:$M$250,MATCH(B246,'NOTES CE1'!$B$10:$B$250,0)),INDEX('NOTES CE2-CM1'!$M$10:$M$250,MATCH(B246,'NOTES CE2-CM1'!$B$10:$B$250,0)))),""))</f>
        <v/>
      </c>
      <c r="H246" s="80" t="str">
        <f aca="false">IF(B246="","",IFERROR(IF(LEFT(E246,2)="CP",INDEX('NOTES CP'!$Z$10:$Z$250,MATCH(B246,'NOTES CP'!$B$10:$B$250,0)),IF(E246="CE1",INDEX('NOTES CE1'!$T$10:$T$250,MATCH(B246,'NOTES CE1'!$B$10:$B$250,0)),INDEX('NOTES CE2-CM1'!$T$10:$T$250,MATCH(B246,'NOTES CE2-CM1'!$B$10:$B$250,0)))),""))</f>
        <v/>
      </c>
      <c r="I246" s="80" t="str">
        <f aca="false">IF(B246="","",IFERROR(IF(LEFT(E246,2)="CP",INDEX('NOTES CP'!$AJ$10:$AJ$250,MATCH(B246,'NOTES CP'!$B$10:$B$250,0)),IF(E246="CE1",INDEX('NOTES CE1'!$AA$10:$AA$250,MATCH(B246,'NOTES CE1'!$B$10:$B$250,0)),INDEX('NOTES CE2-CM1'!$AA$10:$AA$250,MATCH(B246,'NOTES CE2-CM1'!$B$10:$B$250,0)))),""))</f>
        <v/>
      </c>
      <c r="J246" s="81" t="str">
        <f aca="false">IF(COUNT(G246:I246)=0,"",ROUND(AVERAGE(G246:I246),2))</f>
        <v/>
      </c>
      <c r="K246" s="80" t="str">
        <f aca="false">IF(B246="","",IFERROR(IF(LEFT(E246,2)="CP",INDEX('NOTES CP'!$AT$10:$AT$250,MATCH(B246,'NOTES CP'!$B$10:$B$250,0)),IF(E246="CE1",INDEX('NOTES CE1'!$AH$10:$AH$250,MATCH(B246,'NOTES CE1'!$B$10:$B$250,0)),INDEX('NOTES CE2-CM1'!$AH$10:$AH$250,MATCH(B246,'NOTES CE2-CM1'!$B$10:$B$250,0)))),""))</f>
        <v/>
      </c>
      <c r="L246" s="82" t="str">
        <f aca="false">IF(OR(J246="",K246=""),"",ROUND((J246+2*K246)/3,2))</f>
        <v/>
      </c>
      <c r="M246" s="83" t="str">
        <f aca="false">IF(E246="","",IFERROR(INDEX(PARAMETRES!$D$18:$D$23,MATCH(E246,PARAMETRES!$B$18:$B$23,0)),""))</f>
        <v/>
      </c>
      <c r="N246" s="81" t="str">
        <f aca="false">IF(E246="","",IFERROR(INDEX(PARAMETRES!$C$18:$C$23,MATCH(E246,PARAMETRES!$B$18:$B$23,0)),""))</f>
        <v/>
      </c>
      <c r="O246" s="45" t="str">
        <f aca="false">IF(B246="","",IF(F246="ABANDON","ABANDON",IF(F246="TRANSFERE","TRANSFERE",IF(L246="","",IF(L246&gt;=N246,"ADMIS","REDOUBLE")))))</f>
        <v/>
      </c>
      <c r="P246" s="73" t="str">
        <f aca="false">IF(OR(L246="",F246&lt;&gt;"PRESENT"),"",COUNTIFS($E$10:$E$250,E246,$F$10:$F$250,"PRESENT",$L$10:$L$250,"&gt;"&amp;L246)+1)</f>
        <v/>
      </c>
      <c r="Q246" s="74" t="str">
        <f aca="false">IF(O246="ADMIS",IF(L246/M246*10&gt;=8,"Très bien",IF(L246/M246*10&gt;=7,"Bien",IF(L246/M246*10&gt;=6,"Assez bien","Passable"))),IF(O246="REDOUBLE","Insuffisant",""))</f>
        <v/>
      </c>
      <c r="R246" s="51" t="str">
        <f aca="false">IFERROR(MATCH("P-237",'REGISTRE ELEVES'!$AH$10:$AH$250,0),"")</f>
        <v/>
      </c>
    </row>
    <row r="247" customFormat="false" ht="15" hidden="false" customHeight="false" outlineLevel="0" collapsed="false">
      <c r="A247" s="45" t="str">
        <f aca="false">IF(B247="","",238)</f>
        <v/>
      </c>
      <c r="B247" s="45" t="str">
        <f aca="false">IF($R247="","",INDEX('REGISTRE ELEVES'!$B$10:$B$250,$R247))</f>
        <v/>
      </c>
      <c r="C247" s="74" t="str">
        <f aca="false">IF($R247="","",INDEX('REGISTRE ELEVES'!$D$10:$D$250,$R247))</f>
        <v/>
      </c>
      <c r="D247" s="45" t="str">
        <f aca="false">IF($R247="","",INDEX('REGISTRE ELEVES'!$E$10:$E$250,$R247))</f>
        <v/>
      </c>
      <c r="E247" s="45" t="str">
        <f aca="false">IF($R247="","",INDEX('REGISTRE ELEVES'!$F$10:$F$250,$R247))</f>
        <v/>
      </c>
      <c r="F247" s="45" t="str">
        <f aca="false">IF($R247="","",INDEX('REGISTRE ELEVES'!$AE$10:$AE$250,$R247))</f>
        <v/>
      </c>
      <c r="G247" s="80" t="str">
        <f aca="false">IF(B247="","",IFERROR(IF(LEFT(E247,2)="CP",INDEX('NOTES CP'!$P$10:$P$250,MATCH(B247,'NOTES CP'!$B$10:$B$250,0)),IF(E247="CE1",INDEX('NOTES CE1'!$M$10:$M$250,MATCH(B247,'NOTES CE1'!$B$10:$B$250,0)),INDEX('NOTES CE2-CM1'!$M$10:$M$250,MATCH(B247,'NOTES CE2-CM1'!$B$10:$B$250,0)))),""))</f>
        <v/>
      </c>
      <c r="H247" s="80" t="str">
        <f aca="false">IF(B247="","",IFERROR(IF(LEFT(E247,2)="CP",INDEX('NOTES CP'!$Z$10:$Z$250,MATCH(B247,'NOTES CP'!$B$10:$B$250,0)),IF(E247="CE1",INDEX('NOTES CE1'!$T$10:$T$250,MATCH(B247,'NOTES CE1'!$B$10:$B$250,0)),INDEX('NOTES CE2-CM1'!$T$10:$T$250,MATCH(B247,'NOTES CE2-CM1'!$B$10:$B$250,0)))),""))</f>
        <v/>
      </c>
      <c r="I247" s="80" t="str">
        <f aca="false">IF(B247="","",IFERROR(IF(LEFT(E247,2)="CP",INDEX('NOTES CP'!$AJ$10:$AJ$250,MATCH(B247,'NOTES CP'!$B$10:$B$250,0)),IF(E247="CE1",INDEX('NOTES CE1'!$AA$10:$AA$250,MATCH(B247,'NOTES CE1'!$B$10:$B$250,0)),INDEX('NOTES CE2-CM1'!$AA$10:$AA$250,MATCH(B247,'NOTES CE2-CM1'!$B$10:$B$250,0)))),""))</f>
        <v/>
      </c>
      <c r="J247" s="81" t="str">
        <f aca="false">IF(COUNT(G247:I247)=0,"",ROUND(AVERAGE(G247:I247),2))</f>
        <v/>
      </c>
      <c r="K247" s="80" t="str">
        <f aca="false">IF(B247="","",IFERROR(IF(LEFT(E247,2)="CP",INDEX('NOTES CP'!$AT$10:$AT$250,MATCH(B247,'NOTES CP'!$B$10:$B$250,0)),IF(E247="CE1",INDEX('NOTES CE1'!$AH$10:$AH$250,MATCH(B247,'NOTES CE1'!$B$10:$B$250,0)),INDEX('NOTES CE2-CM1'!$AH$10:$AH$250,MATCH(B247,'NOTES CE2-CM1'!$B$10:$B$250,0)))),""))</f>
        <v/>
      </c>
      <c r="L247" s="82" t="str">
        <f aca="false">IF(OR(J247="",K247=""),"",ROUND((J247+2*K247)/3,2))</f>
        <v/>
      </c>
      <c r="M247" s="83" t="str">
        <f aca="false">IF(E247="","",IFERROR(INDEX(PARAMETRES!$D$18:$D$23,MATCH(E247,PARAMETRES!$B$18:$B$23,0)),""))</f>
        <v/>
      </c>
      <c r="N247" s="81" t="str">
        <f aca="false">IF(E247="","",IFERROR(INDEX(PARAMETRES!$C$18:$C$23,MATCH(E247,PARAMETRES!$B$18:$B$23,0)),""))</f>
        <v/>
      </c>
      <c r="O247" s="45" t="str">
        <f aca="false">IF(B247="","",IF(F247="ABANDON","ABANDON",IF(F247="TRANSFERE","TRANSFERE",IF(L247="","",IF(L247&gt;=N247,"ADMIS","REDOUBLE")))))</f>
        <v/>
      </c>
      <c r="P247" s="73" t="str">
        <f aca="false">IF(OR(L247="",F247&lt;&gt;"PRESENT"),"",COUNTIFS($E$10:$E$250,E247,$F$10:$F$250,"PRESENT",$L$10:$L$250,"&gt;"&amp;L247)+1)</f>
        <v/>
      </c>
      <c r="Q247" s="74" t="str">
        <f aca="false">IF(O247="ADMIS",IF(L247/M247*10&gt;=8,"Très bien",IF(L247/M247*10&gt;=7,"Bien",IF(L247/M247*10&gt;=6,"Assez bien","Passable"))),IF(O247="REDOUBLE","Insuffisant",""))</f>
        <v/>
      </c>
      <c r="R247" s="51" t="str">
        <f aca="false">IFERROR(MATCH("P-238",'REGISTRE ELEVES'!$AH$10:$AH$250,0),"")</f>
        <v/>
      </c>
    </row>
    <row r="248" customFormat="false" ht="15" hidden="false" customHeight="false" outlineLevel="0" collapsed="false">
      <c r="A248" s="45" t="str">
        <f aca="false">IF(B248="","",239)</f>
        <v/>
      </c>
      <c r="B248" s="45" t="str">
        <f aca="false">IF($R248="","",INDEX('REGISTRE ELEVES'!$B$10:$B$250,$R248))</f>
        <v/>
      </c>
      <c r="C248" s="74" t="str">
        <f aca="false">IF($R248="","",INDEX('REGISTRE ELEVES'!$D$10:$D$250,$R248))</f>
        <v/>
      </c>
      <c r="D248" s="45" t="str">
        <f aca="false">IF($R248="","",INDEX('REGISTRE ELEVES'!$E$10:$E$250,$R248))</f>
        <v/>
      </c>
      <c r="E248" s="45" t="str">
        <f aca="false">IF($R248="","",INDEX('REGISTRE ELEVES'!$F$10:$F$250,$R248))</f>
        <v/>
      </c>
      <c r="F248" s="45" t="str">
        <f aca="false">IF($R248="","",INDEX('REGISTRE ELEVES'!$AE$10:$AE$250,$R248))</f>
        <v/>
      </c>
      <c r="G248" s="80" t="str">
        <f aca="false">IF(B248="","",IFERROR(IF(LEFT(E248,2)="CP",INDEX('NOTES CP'!$P$10:$P$250,MATCH(B248,'NOTES CP'!$B$10:$B$250,0)),IF(E248="CE1",INDEX('NOTES CE1'!$M$10:$M$250,MATCH(B248,'NOTES CE1'!$B$10:$B$250,0)),INDEX('NOTES CE2-CM1'!$M$10:$M$250,MATCH(B248,'NOTES CE2-CM1'!$B$10:$B$250,0)))),""))</f>
        <v/>
      </c>
      <c r="H248" s="80" t="str">
        <f aca="false">IF(B248="","",IFERROR(IF(LEFT(E248,2)="CP",INDEX('NOTES CP'!$Z$10:$Z$250,MATCH(B248,'NOTES CP'!$B$10:$B$250,0)),IF(E248="CE1",INDEX('NOTES CE1'!$T$10:$T$250,MATCH(B248,'NOTES CE1'!$B$10:$B$250,0)),INDEX('NOTES CE2-CM1'!$T$10:$T$250,MATCH(B248,'NOTES CE2-CM1'!$B$10:$B$250,0)))),""))</f>
        <v/>
      </c>
      <c r="I248" s="80" t="str">
        <f aca="false">IF(B248="","",IFERROR(IF(LEFT(E248,2)="CP",INDEX('NOTES CP'!$AJ$10:$AJ$250,MATCH(B248,'NOTES CP'!$B$10:$B$250,0)),IF(E248="CE1",INDEX('NOTES CE1'!$AA$10:$AA$250,MATCH(B248,'NOTES CE1'!$B$10:$B$250,0)),INDEX('NOTES CE2-CM1'!$AA$10:$AA$250,MATCH(B248,'NOTES CE2-CM1'!$B$10:$B$250,0)))),""))</f>
        <v/>
      </c>
      <c r="J248" s="81" t="str">
        <f aca="false">IF(COUNT(G248:I248)=0,"",ROUND(AVERAGE(G248:I248),2))</f>
        <v/>
      </c>
      <c r="K248" s="80" t="str">
        <f aca="false">IF(B248="","",IFERROR(IF(LEFT(E248,2)="CP",INDEX('NOTES CP'!$AT$10:$AT$250,MATCH(B248,'NOTES CP'!$B$10:$B$250,0)),IF(E248="CE1",INDEX('NOTES CE1'!$AH$10:$AH$250,MATCH(B248,'NOTES CE1'!$B$10:$B$250,0)),INDEX('NOTES CE2-CM1'!$AH$10:$AH$250,MATCH(B248,'NOTES CE2-CM1'!$B$10:$B$250,0)))),""))</f>
        <v/>
      </c>
      <c r="L248" s="82" t="str">
        <f aca="false">IF(OR(J248="",K248=""),"",ROUND((J248+2*K248)/3,2))</f>
        <v/>
      </c>
      <c r="M248" s="83" t="str">
        <f aca="false">IF(E248="","",IFERROR(INDEX(PARAMETRES!$D$18:$D$23,MATCH(E248,PARAMETRES!$B$18:$B$23,0)),""))</f>
        <v/>
      </c>
      <c r="N248" s="81" t="str">
        <f aca="false">IF(E248="","",IFERROR(INDEX(PARAMETRES!$C$18:$C$23,MATCH(E248,PARAMETRES!$B$18:$B$23,0)),""))</f>
        <v/>
      </c>
      <c r="O248" s="45" t="str">
        <f aca="false">IF(B248="","",IF(F248="ABANDON","ABANDON",IF(F248="TRANSFERE","TRANSFERE",IF(L248="","",IF(L248&gt;=N248,"ADMIS","REDOUBLE")))))</f>
        <v/>
      </c>
      <c r="P248" s="73" t="str">
        <f aca="false">IF(OR(L248="",F248&lt;&gt;"PRESENT"),"",COUNTIFS($E$10:$E$250,E248,$F$10:$F$250,"PRESENT",$L$10:$L$250,"&gt;"&amp;L248)+1)</f>
        <v/>
      </c>
      <c r="Q248" s="74" t="str">
        <f aca="false">IF(O248="ADMIS",IF(L248/M248*10&gt;=8,"Très bien",IF(L248/M248*10&gt;=7,"Bien",IF(L248/M248*10&gt;=6,"Assez bien","Passable"))),IF(O248="REDOUBLE","Insuffisant",""))</f>
        <v/>
      </c>
      <c r="R248" s="51" t="str">
        <f aca="false">IFERROR(MATCH("P-239",'REGISTRE ELEVES'!$AH$10:$AH$250,0),"")</f>
        <v/>
      </c>
    </row>
    <row r="249" customFormat="false" ht="15" hidden="false" customHeight="false" outlineLevel="0" collapsed="false">
      <c r="A249" s="45" t="str">
        <f aca="false">IF(B249="","",240)</f>
        <v/>
      </c>
      <c r="B249" s="45" t="str">
        <f aca="false">IF($R249="","",INDEX('REGISTRE ELEVES'!$B$10:$B$250,$R249))</f>
        <v/>
      </c>
      <c r="C249" s="74" t="str">
        <f aca="false">IF($R249="","",INDEX('REGISTRE ELEVES'!$D$10:$D$250,$R249))</f>
        <v/>
      </c>
      <c r="D249" s="45" t="str">
        <f aca="false">IF($R249="","",INDEX('REGISTRE ELEVES'!$E$10:$E$250,$R249))</f>
        <v/>
      </c>
      <c r="E249" s="45" t="str">
        <f aca="false">IF($R249="","",INDEX('REGISTRE ELEVES'!$F$10:$F$250,$R249))</f>
        <v/>
      </c>
      <c r="F249" s="45" t="str">
        <f aca="false">IF($R249="","",INDEX('REGISTRE ELEVES'!$AE$10:$AE$250,$R249))</f>
        <v/>
      </c>
      <c r="G249" s="80" t="str">
        <f aca="false">IF(B249="","",IFERROR(IF(LEFT(E249,2)="CP",INDEX('NOTES CP'!$P$10:$P$250,MATCH(B249,'NOTES CP'!$B$10:$B$250,0)),IF(E249="CE1",INDEX('NOTES CE1'!$M$10:$M$250,MATCH(B249,'NOTES CE1'!$B$10:$B$250,0)),INDEX('NOTES CE2-CM1'!$M$10:$M$250,MATCH(B249,'NOTES CE2-CM1'!$B$10:$B$250,0)))),""))</f>
        <v/>
      </c>
      <c r="H249" s="80" t="str">
        <f aca="false">IF(B249="","",IFERROR(IF(LEFT(E249,2)="CP",INDEX('NOTES CP'!$Z$10:$Z$250,MATCH(B249,'NOTES CP'!$B$10:$B$250,0)),IF(E249="CE1",INDEX('NOTES CE1'!$T$10:$T$250,MATCH(B249,'NOTES CE1'!$B$10:$B$250,0)),INDEX('NOTES CE2-CM1'!$T$10:$T$250,MATCH(B249,'NOTES CE2-CM1'!$B$10:$B$250,0)))),""))</f>
        <v/>
      </c>
      <c r="I249" s="80" t="str">
        <f aca="false">IF(B249="","",IFERROR(IF(LEFT(E249,2)="CP",INDEX('NOTES CP'!$AJ$10:$AJ$250,MATCH(B249,'NOTES CP'!$B$10:$B$250,0)),IF(E249="CE1",INDEX('NOTES CE1'!$AA$10:$AA$250,MATCH(B249,'NOTES CE1'!$B$10:$B$250,0)),INDEX('NOTES CE2-CM1'!$AA$10:$AA$250,MATCH(B249,'NOTES CE2-CM1'!$B$10:$B$250,0)))),""))</f>
        <v/>
      </c>
      <c r="J249" s="81" t="str">
        <f aca="false">IF(COUNT(G249:I249)=0,"",ROUND(AVERAGE(G249:I249),2))</f>
        <v/>
      </c>
      <c r="K249" s="80" t="str">
        <f aca="false">IF(B249="","",IFERROR(IF(LEFT(E249,2)="CP",INDEX('NOTES CP'!$AT$10:$AT$250,MATCH(B249,'NOTES CP'!$B$10:$B$250,0)),IF(E249="CE1",INDEX('NOTES CE1'!$AH$10:$AH$250,MATCH(B249,'NOTES CE1'!$B$10:$B$250,0)),INDEX('NOTES CE2-CM1'!$AH$10:$AH$250,MATCH(B249,'NOTES CE2-CM1'!$B$10:$B$250,0)))),""))</f>
        <v/>
      </c>
      <c r="L249" s="82" t="str">
        <f aca="false">IF(OR(J249="",K249=""),"",ROUND((J249+2*K249)/3,2))</f>
        <v/>
      </c>
      <c r="M249" s="83" t="str">
        <f aca="false">IF(E249="","",IFERROR(INDEX(PARAMETRES!$D$18:$D$23,MATCH(E249,PARAMETRES!$B$18:$B$23,0)),""))</f>
        <v/>
      </c>
      <c r="N249" s="81" t="str">
        <f aca="false">IF(E249="","",IFERROR(INDEX(PARAMETRES!$C$18:$C$23,MATCH(E249,PARAMETRES!$B$18:$B$23,0)),""))</f>
        <v/>
      </c>
      <c r="O249" s="45" t="str">
        <f aca="false">IF(B249="","",IF(F249="ABANDON","ABANDON",IF(F249="TRANSFERE","TRANSFERE",IF(L249="","",IF(L249&gt;=N249,"ADMIS","REDOUBLE")))))</f>
        <v/>
      </c>
      <c r="P249" s="73" t="str">
        <f aca="false">IF(OR(L249="",F249&lt;&gt;"PRESENT"),"",COUNTIFS($E$10:$E$250,E249,$F$10:$F$250,"PRESENT",$L$10:$L$250,"&gt;"&amp;L249)+1)</f>
        <v/>
      </c>
      <c r="Q249" s="74" t="str">
        <f aca="false">IF(O249="ADMIS",IF(L249/M249*10&gt;=8,"Très bien",IF(L249/M249*10&gt;=7,"Bien",IF(L249/M249*10&gt;=6,"Assez bien","Passable"))),IF(O249="REDOUBLE","Insuffisant",""))</f>
        <v/>
      </c>
      <c r="R249" s="51" t="str">
        <f aca="false">IFERROR(MATCH("P-240",'REGISTRE ELEVES'!$AH$10:$AH$250,0),"")</f>
        <v/>
      </c>
    </row>
    <row r="250" customFormat="false" ht="15" hidden="false" customHeight="false" outlineLevel="0" collapsed="false">
      <c r="A250" s="45" t="str">
        <f aca="false">IF(B250="","",241)</f>
        <v/>
      </c>
      <c r="B250" s="45" t="str">
        <f aca="false">IF($R250="","",INDEX('REGISTRE ELEVES'!$B$10:$B$250,$R250))</f>
        <v/>
      </c>
      <c r="C250" s="74" t="str">
        <f aca="false">IF($R250="","",INDEX('REGISTRE ELEVES'!$D$10:$D$250,$R250))</f>
        <v/>
      </c>
      <c r="D250" s="45" t="str">
        <f aca="false">IF($R250="","",INDEX('REGISTRE ELEVES'!$E$10:$E$250,$R250))</f>
        <v/>
      </c>
      <c r="E250" s="45" t="str">
        <f aca="false">IF($R250="","",INDEX('REGISTRE ELEVES'!$F$10:$F$250,$R250))</f>
        <v/>
      </c>
      <c r="F250" s="45" t="str">
        <f aca="false">IF($R250="","",INDEX('REGISTRE ELEVES'!$AE$10:$AE$250,$R250))</f>
        <v/>
      </c>
      <c r="G250" s="80" t="str">
        <f aca="false">IF(B250="","",IFERROR(IF(LEFT(E250,2)="CP",INDEX('NOTES CP'!$P$10:$P$250,MATCH(B250,'NOTES CP'!$B$10:$B$250,0)),IF(E250="CE1",INDEX('NOTES CE1'!$M$10:$M$250,MATCH(B250,'NOTES CE1'!$B$10:$B$250,0)),INDEX('NOTES CE2-CM1'!$M$10:$M$250,MATCH(B250,'NOTES CE2-CM1'!$B$10:$B$250,0)))),""))</f>
        <v/>
      </c>
      <c r="H250" s="80" t="str">
        <f aca="false">IF(B250="","",IFERROR(IF(LEFT(E250,2)="CP",INDEX('NOTES CP'!$Z$10:$Z$250,MATCH(B250,'NOTES CP'!$B$10:$B$250,0)),IF(E250="CE1",INDEX('NOTES CE1'!$T$10:$T$250,MATCH(B250,'NOTES CE1'!$B$10:$B$250,0)),INDEX('NOTES CE2-CM1'!$T$10:$T$250,MATCH(B250,'NOTES CE2-CM1'!$B$10:$B$250,0)))),""))</f>
        <v/>
      </c>
      <c r="I250" s="80" t="str">
        <f aca="false">IF(B250="","",IFERROR(IF(LEFT(E250,2)="CP",INDEX('NOTES CP'!$AJ$10:$AJ$250,MATCH(B250,'NOTES CP'!$B$10:$B$250,0)),IF(E250="CE1",INDEX('NOTES CE1'!$AA$10:$AA$250,MATCH(B250,'NOTES CE1'!$B$10:$B$250,0)),INDEX('NOTES CE2-CM1'!$AA$10:$AA$250,MATCH(B250,'NOTES CE2-CM1'!$B$10:$B$250,0)))),""))</f>
        <v/>
      </c>
      <c r="J250" s="81" t="str">
        <f aca="false">IF(COUNT(G250:I250)=0,"",ROUND(AVERAGE(G250:I250),2))</f>
        <v/>
      </c>
      <c r="K250" s="80" t="str">
        <f aca="false">IF(B250="","",IFERROR(IF(LEFT(E250,2)="CP",INDEX('NOTES CP'!$AT$10:$AT$250,MATCH(B250,'NOTES CP'!$B$10:$B$250,0)),IF(E250="CE1",INDEX('NOTES CE1'!$AH$10:$AH$250,MATCH(B250,'NOTES CE1'!$B$10:$B$250,0)),INDEX('NOTES CE2-CM1'!$AH$10:$AH$250,MATCH(B250,'NOTES CE2-CM1'!$B$10:$B$250,0)))),""))</f>
        <v/>
      </c>
      <c r="L250" s="82" t="str">
        <f aca="false">IF(OR(J250="",K250=""),"",ROUND((J250+2*K250)/3,2))</f>
        <v/>
      </c>
      <c r="M250" s="83" t="str">
        <f aca="false">IF(E250="","",IFERROR(INDEX(PARAMETRES!$D$18:$D$23,MATCH(E250,PARAMETRES!$B$18:$B$23,0)),""))</f>
        <v/>
      </c>
      <c r="N250" s="81" t="str">
        <f aca="false">IF(E250="","",IFERROR(INDEX(PARAMETRES!$C$18:$C$23,MATCH(E250,PARAMETRES!$B$18:$B$23,0)),""))</f>
        <v/>
      </c>
      <c r="O250" s="45" t="str">
        <f aca="false">IF(B250="","",IF(F250="ABANDON","ABANDON",IF(F250="TRANSFERE","TRANSFERE",IF(L250="","",IF(L250&gt;=N250,"ADMIS","REDOUBLE")))))</f>
        <v/>
      </c>
      <c r="P250" s="73" t="str">
        <f aca="false">IF(OR(L250="",F250&lt;&gt;"PRESENT"),"",COUNTIFS($E$10:$E$250,E250,$F$10:$F$250,"PRESENT",$L$10:$L$250,"&gt;"&amp;L250)+1)</f>
        <v/>
      </c>
      <c r="Q250" s="74" t="str">
        <f aca="false">IF(O250="ADMIS",IF(L250/M250*10&gt;=8,"Très bien",IF(L250/M250*10&gt;=7,"Bien",IF(L250/M250*10&gt;=6,"Assez bien","Passable"))),IF(O250="REDOUBLE","Insuffisant",""))</f>
        <v/>
      </c>
      <c r="R250" s="51" t="str">
        <f aca="false">IFERROR(MATCH("P-241",'REGISTRE ELEVES'!$AH$10:$AH$250,0),"")</f>
        <v/>
      </c>
    </row>
  </sheetData>
  <autoFilter ref="A9:Q250"/>
  <mergeCells count="10">
    <mergeCell ref="A1:H1"/>
    <mergeCell ref="I1:Q1"/>
    <mergeCell ref="A2:H2"/>
    <mergeCell ref="I2:Q2"/>
    <mergeCell ref="A3:H3"/>
    <mergeCell ref="I3:Q3"/>
    <mergeCell ref="A4:H4"/>
    <mergeCell ref="A6:Q6"/>
    <mergeCell ref="A7:Q7"/>
    <mergeCell ref="A8:Q8"/>
  </mergeCells>
  <conditionalFormatting sqref="O10:O250">
    <cfRule type="cellIs" priority="2" operator="equal" aboveAverage="0" equalAverage="0" bottom="0" percent="0" rank="0" text="" dxfId="37">
      <formula>"ADMIS"</formula>
    </cfRule>
    <cfRule type="cellIs" priority="3" operator="equal" aboveAverage="0" equalAverage="0" bottom="0" percent="0" rank="0" text="" dxfId="38">
      <formula>"REDOUBLE"</formula>
    </cfRule>
    <cfRule type="cellIs" priority="4" operator="equal" aboveAverage="0" equalAverage="0" bottom="0" percent="0" rank="0" text="" dxfId="39">
      <formula>"ABANDON"</formula>
    </cfRule>
  </conditionalFormatting>
  <conditionalFormatting sqref="L10:L250">
    <cfRule type="expression" priority="5" aboveAverage="0" equalAverage="0" bottom="0" percent="0" rank="0" text="" dxfId="27">
      <formula>AND(L10&lt;&gt;"",L10&lt;N10)</formula>
    </cfRule>
  </conditionalFormatting>
  <conditionalFormatting sqref="P10:P250">
    <cfRule type="cellIs" priority="6" operator="lessThanOrEqual" aboveAverage="0" equalAverage="0" bottom="0" percent="0" rank="0" text="" dxfId="40">
      <formula>3</formula>
    </cfRule>
  </conditionalFormatting>
  <conditionalFormatting sqref="G10:K250">
    <cfRule type="expression" priority="7" aboveAverage="0" equalAverage="0" bottom="0" percent="0" rank="0" text="" dxfId="29">
      <formula>AND(ISNUMBER(G10),G10&gt;IF($M10="",10,$M10))</formula>
    </cfRule>
  </conditionalFormatting>
  <dataValidations count="1">
    <dataValidation allowBlank="false" error="Moyenne comprise entre 0 et le barème de la classe" errorStyle="stop" errorTitle="Note invalide" operator="between" showDropDown="false" showErrorMessage="true" showInputMessage="false" sqref="G10:I250 K10:K250" type="decimal">
      <formula1>0</formula1>
      <formula2>IF($M10="",10,$M10)</formula2>
    </dataValidation>
  </dataValidations>
  <printOptions headings="false" gridLines="false" gridLinesSet="true" horizontalCentered="true" verticalCentered="false"/>
  <pageMargins left="0.309722222222222" right="0.309722222222222" top="0.470138888888889" bottom="0.470138888888889" header="0.511811023622047" footer="0.511811023622047"/>
  <pageSetup paperSize="9" scale="100" fitToWidth="1" fitToHeight="0" pageOrder="downThenOver" orientation="landscape" blackAndWhite="false" draft="false" cellComments="none" horizontalDpi="300" verticalDpi="300" copies="1"/>
  <headerFooter differentFirst="false" differentOddEven="false">
    <oddHeader/>
    <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Feuil9" filterMode="false">
    <tabColor rgb="FF7030A0"/>
    <pageSetUpPr fitToPage="true"/>
  </sheetPr>
  <dimension ref="A1:P25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3" ySplit="9" topLeftCell="D10" activePane="bottomRight" state="frozen"/>
      <selection pane="topLeft" activeCell="A1" activeCellId="0" sqref="A1"/>
      <selection pane="topRight" activeCell="D1" activeCellId="0" sqref="D1"/>
      <selection pane="bottomLeft" activeCell="A10" activeCellId="0" sqref="A10"/>
      <selection pane="bottomRight" activeCell="A1" activeCellId="0" sqref="A1"/>
    </sheetView>
  </sheetViews>
  <sheetFormatPr defaultColWidth="8.6796875" defaultRowHeight="15" zeroHeight="false" outlineLevelRow="0" outlineLevelCol="0"/>
  <cols>
    <col collapsed="false" customWidth="true" hidden="false" outlineLevel="0" max="1" min="1" style="0" width="5"/>
    <col collapsed="false" customWidth="true" hidden="false" outlineLevel="0" max="2" min="2" style="0" width="13"/>
    <col collapsed="false" customWidth="true" hidden="false" outlineLevel="0" max="3" min="3" style="0" width="30"/>
    <col collapsed="false" customWidth="true" hidden="false" outlineLevel="0" max="4" min="4" style="0" width="6"/>
    <col collapsed="false" customWidth="true" hidden="false" outlineLevel="0" max="7" min="5" style="0" width="11"/>
    <col collapsed="false" customWidth="true" hidden="false" outlineLevel="0" max="9" min="8" style="0" width="12"/>
    <col collapsed="false" customWidth="true" hidden="false" outlineLevel="0" max="10" min="10" style="0" width="10"/>
    <col collapsed="false" customWidth="true" hidden="false" outlineLevel="0" max="12" min="11" style="0" width="8"/>
    <col collapsed="false" customWidth="true" hidden="false" outlineLevel="0" max="13" min="13" style="0" width="12"/>
    <col collapsed="false" customWidth="true" hidden="false" outlineLevel="0" max="14" min="14" style="0" width="9"/>
    <col collapsed="false" customWidth="true" hidden="false" outlineLevel="0" max="15" min="15" style="0" width="22"/>
    <col collapsed="false" customWidth="true" hidden="true" outlineLevel="0" max="16" min="16" style="0" width="13"/>
  </cols>
  <sheetData>
    <row r="1" customFormat="false" ht="15" hidden="false" customHeight="true" outlineLevel="0" collapsed="false">
      <c r="A1" s="47" t="str">
        <f aca="false">PARAMETRES!$C$4</f>
        <v>MINISTERE DE L'EDUCATION NATIONALE ET DE L'ALPHABETISATION</v>
      </c>
      <c r="B1" s="47"/>
      <c r="C1" s="47"/>
      <c r="D1" s="47"/>
      <c r="E1" s="47"/>
      <c r="F1" s="47"/>
      <c r="G1" s="47"/>
      <c r="H1" s="47" t="s">
        <v>115</v>
      </c>
      <c r="I1" s="47"/>
      <c r="J1" s="47"/>
      <c r="K1" s="47"/>
      <c r="L1" s="47"/>
      <c r="M1" s="47"/>
      <c r="N1" s="47"/>
      <c r="O1" s="47"/>
    </row>
    <row r="2" customFormat="false" ht="15" hidden="false" customHeight="true" outlineLevel="0" collapsed="false">
      <c r="A2" s="48" t="str">
        <f aca="false">PARAMETRES!$C$5</f>
        <v>DIRECTION REGIONALE DE L'EDUCATION NATIONALE DE GAGNOA</v>
      </c>
      <c r="B2" s="48"/>
      <c r="C2" s="48"/>
      <c r="D2" s="48"/>
      <c r="E2" s="48"/>
      <c r="F2" s="48"/>
      <c r="G2" s="48"/>
      <c r="H2" s="48" t="s">
        <v>116</v>
      </c>
      <c r="I2" s="48"/>
      <c r="J2" s="48"/>
      <c r="K2" s="48"/>
      <c r="L2" s="48"/>
      <c r="M2" s="48"/>
      <c r="N2" s="48"/>
      <c r="O2" s="48"/>
    </row>
    <row r="3" customFormat="false" ht="15" hidden="false" customHeight="false" outlineLevel="0" collapsed="false">
      <c r="A3" s="47" t="str">
        <f aca="false">PARAMETRES!$C$6</f>
        <v>IEPP GAGNOA 2</v>
      </c>
      <c r="B3" s="47"/>
      <c r="C3" s="47"/>
      <c r="D3" s="47"/>
      <c r="E3" s="47"/>
      <c r="F3" s="47"/>
      <c r="G3" s="47"/>
      <c r="H3" s="47" t="str">
        <f aca="false">"ANNEE SCOLAIRE : "&amp;PARAMETRES!$C$9</f>
        <v>ANNEE SCOLAIRE : 2026-2027</v>
      </c>
      <c r="I3" s="47"/>
      <c r="J3" s="47"/>
      <c r="K3" s="47"/>
      <c r="L3" s="47"/>
      <c r="M3" s="47"/>
      <c r="N3" s="47"/>
      <c r="O3" s="47"/>
    </row>
    <row r="4" customFormat="false" ht="15" hidden="false" customHeight="false" outlineLevel="0" collapsed="false">
      <c r="A4" s="48" t="str">
        <f aca="false">PARAMETRES!$C$7&amp;"  -  Code : "&amp;PARAMETRES!$C$8</f>
        <v>EPP LIGUIYO  -  Code : EPP-GAG-0123</v>
      </c>
      <c r="B4" s="48"/>
      <c r="C4" s="48"/>
      <c r="D4" s="48"/>
      <c r="E4" s="48"/>
      <c r="F4" s="48"/>
      <c r="G4" s="48"/>
      <c r="H4" s="49"/>
    </row>
    <row r="6" customFormat="false" ht="27.75" hidden="false" customHeight="true" outlineLevel="0" collapsed="false">
      <c r="A6" s="30" t="s">
        <v>609</v>
      </c>
      <c r="B6" s="30"/>
      <c r="C6" s="30"/>
      <c r="D6" s="30"/>
      <c r="E6" s="30"/>
      <c r="F6" s="30"/>
      <c r="G6" s="30"/>
      <c r="H6" s="30"/>
      <c r="I6" s="30"/>
      <c r="J6" s="30"/>
      <c r="K6" s="30"/>
      <c r="L6" s="30"/>
      <c r="M6" s="30"/>
      <c r="N6" s="30"/>
      <c r="O6" s="30"/>
    </row>
    <row r="7" customFormat="false" ht="15" hidden="false" customHeight="true" outlineLevel="0" collapsed="false">
      <c r="A7" s="2" t="s">
        <v>610</v>
      </c>
      <c r="B7" s="2"/>
      <c r="C7" s="2"/>
      <c r="D7" s="2"/>
      <c r="E7" s="2"/>
      <c r="F7" s="2"/>
      <c r="G7" s="2"/>
      <c r="H7" s="2"/>
      <c r="I7" s="2"/>
      <c r="J7" s="2"/>
      <c r="K7" s="2"/>
      <c r="L7" s="2"/>
      <c r="M7" s="2"/>
      <c r="N7" s="2"/>
      <c r="O7" s="2"/>
    </row>
    <row r="8" customFormat="false" ht="15" hidden="false" customHeight="true" outlineLevel="0" collapsed="false">
      <c r="A8" s="4" t="s">
        <v>611</v>
      </c>
      <c r="B8" s="4"/>
      <c r="C8" s="4"/>
      <c r="D8" s="4"/>
      <c r="E8" s="4"/>
      <c r="F8" s="4"/>
      <c r="G8" s="4"/>
      <c r="H8" s="4"/>
      <c r="I8" s="4"/>
      <c r="J8" s="4"/>
      <c r="K8" s="4"/>
      <c r="L8" s="4"/>
      <c r="M8" s="4"/>
      <c r="N8" s="4"/>
      <c r="O8" s="4"/>
    </row>
    <row r="9" customFormat="false" ht="43.5" hidden="false" customHeight="true" outlineLevel="0" collapsed="false">
      <c r="A9" s="50" t="s">
        <v>120</v>
      </c>
      <c r="B9" s="50" t="s">
        <v>121</v>
      </c>
      <c r="C9" s="50" t="s">
        <v>123</v>
      </c>
      <c r="D9" s="50" t="s">
        <v>32</v>
      </c>
      <c r="E9" s="50" t="s">
        <v>36</v>
      </c>
      <c r="F9" s="50" t="s">
        <v>612</v>
      </c>
      <c r="G9" s="50" t="s">
        <v>613</v>
      </c>
      <c r="H9" s="50" t="s">
        <v>614</v>
      </c>
      <c r="I9" s="50" t="s">
        <v>615</v>
      </c>
      <c r="J9" s="50" t="s">
        <v>616</v>
      </c>
      <c r="K9" s="50" t="s">
        <v>604</v>
      </c>
      <c r="L9" s="50" t="s">
        <v>605</v>
      </c>
      <c r="M9" s="50" t="s">
        <v>606</v>
      </c>
      <c r="N9" s="50" t="s">
        <v>607</v>
      </c>
      <c r="O9" s="50" t="s">
        <v>608</v>
      </c>
      <c r="P9" s="51" t="s">
        <v>576</v>
      </c>
    </row>
    <row r="10" customFormat="false" ht="15" hidden="false" customHeight="false" outlineLevel="0" collapsed="false">
      <c r="A10" s="45" t="n">
        <f aca="false">IF(B10="","",1)</f>
        <v>1</v>
      </c>
      <c r="B10" s="45" t="str">
        <f aca="false">IF($P10="","",INDEX('REGISTRE ELEVES'!$B$10:$B$250,$P10))</f>
        <v>CM2-001-26</v>
      </c>
      <c r="C10" s="74" t="str">
        <f aca="false">IF($P10="","",INDEX('REGISTRE ELEVES'!$D$10:$D$250,$P10))</f>
        <v>DJEDJE Marie-Ange Grâce</v>
      </c>
      <c r="D10" s="45" t="str">
        <f aca="false">IF($P10="","",INDEX('REGISTRE ELEVES'!$E$10:$E$250,$P10))</f>
        <v>F</v>
      </c>
      <c r="E10" s="45" t="str">
        <f aca="false">IF($P10="","",INDEX('REGISTRE ELEVES'!$AE$10:$AE$250,$P10))</f>
        <v>PRESENT</v>
      </c>
      <c r="F10" s="80" t="n">
        <f aca="false">IF(B10="","",IFERROR(INDEX('NOTES CM2'!$M$10:$M$250,MATCH(B10,'NOTES CM2'!$B$10:$B$250,0)),""))</f>
        <v>15.71</v>
      </c>
      <c r="G10" s="80" t="n">
        <f aca="false">IF(B10="","",IFERROR(INDEX('NOTES CM2'!$T$10:$T$250,MATCH(B10,'NOTES CM2'!$B$10:$B$250,0)),""))</f>
        <v>13.29</v>
      </c>
      <c r="H10" s="80" t="n">
        <f aca="false">IF(B10="","",IFERROR(INDEX('NOTES CM2'!$AB$10:$AB$250,MATCH(B10,'NOTES CM2'!$B$10:$B$250,0)),""))</f>
        <v>0</v>
      </c>
      <c r="I10" s="80" t="n">
        <f aca="false">IF(B10="","",IFERROR(INDEX('NOTES CM2'!$AJ$10:$AJ$250,MATCH(B10,'NOTES CM2'!$B$10:$B$250,0)),""))</f>
        <v>12.63</v>
      </c>
      <c r="J10" s="82" t="n">
        <f aca="false">IF(COUNT(F10:I10)&lt;4,"",ROUND(SUM(F10:I10)/4,2))</f>
        <v>10.41</v>
      </c>
      <c r="K10" s="83" t="n">
        <f aca="false">INDEX(PARAMETRES!$D$18:$D$23,MATCH("CM2",PARAMETRES!$B$18:$B$23,0))</f>
        <v>20</v>
      </c>
      <c r="L10" s="81" t="n">
        <f aca="false">INDEX(PARAMETRES!$C$18:$C$23,MATCH("CM2",PARAMETRES!$B$18:$B$23,0))</f>
        <v>10</v>
      </c>
      <c r="M10" s="45" t="str">
        <f aca="false">IF(B10="","",IF(E10="ABANDON","ABANDON",IF(E10="TRANSFERE","TRANSFERE",IF(J10="","",IF(J10&gt;=L10,"ADMIS","REDOUBLE")))))</f>
        <v>ADMIS</v>
      </c>
      <c r="N10" s="73" t="n">
        <f aca="false">IF(OR(J10="",E10&lt;&gt;"PRESENT"),"",COUNTIFS($E$10:$E$250,"PRESENT",$J$10:$J$250,"&gt;"&amp;J10)+1)</f>
        <v>3</v>
      </c>
      <c r="O10" s="74" t="str">
        <f aca="false">IF(M10="ADMIS",IF(J10/K10*10&gt;=8,"Très bien",IF(J10/K10*10&gt;=7,"Bien",IF(J10/K10*10&gt;=6,"Assez bien","Passable"))),IF(M10="REDOUBLE","Insuffisant",""))</f>
        <v>Passable</v>
      </c>
      <c r="P10" s="51" t="n">
        <f aca="false">IFERROR(MATCH("CM2-1",'REGISTRE ELEVES'!$AH$10:$AH$250,0),"")</f>
        <v>56</v>
      </c>
    </row>
    <row r="11" customFormat="false" ht="15" hidden="false" customHeight="false" outlineLevel="0" collapsed="false">
      <c r="A11" s="45" t="n">
        <f aca="false">IF(B11="","",2)</f>
        <v>2</v>
      </c>
      <c r="B11" s="45" t="str">
        <f aca="false">IF($P11="","",INDEX('REGISTRE ELEVES'!$B$10:$B$250,$P11))</f>
        <v>CM2-002-26</v>
      </c>
      <c r="C11" s="74" t="str">
        <f aca="false">IF($P11="","",INDEX('REGISTRE ELEVES'!$D$10:$D$250,$P11))</f>
        <v>OUATTARA Akissi Marie-Ange</v>
      </c>
      <c r="D11" s="45" t="str">
        <f aca="false">IF($P11="","",INDEX('REGISTRE ELEVES'!$E$10:$E$250,$P11))</f>
        <v>F</v>
      </c>
      <c r="E11" s="45" t="str">
        <f aca="false">IF($P11="","",INDEX('REGISTRE ELEVES'!$AE$10:$AE$250,$P11))</f>
        <v>PRESENT</v>
      </c>
      <c r="F11" s="80" t="n">
        <f aca="false">IF(B11="","",IFERROR(INDEX('NOTES CM2'!$M$10:$M$250,MATCH(B11,'NOTES CM2'!$B$10:$B$250,0)),""))</f>
        <v>7.88</v>
      </c>
      <c r="G11" s="80" t="n">
        <f aca="false">IF(B11="","",IFERROR(INDEX('NOTES CM2'!$T$10:$T$250,MATCH(B11,'NOTES CM2'!$B$10:$B$250,0)),""))</f>
        <v>10</v>
      </c>
      <c r="H11" s="80" t="n">
        <f aca="false">IF(B11="","",IFERROR(INDEX('NOTES CM2'!$AB$10:$AB$250,MATCH(B11,'NOTES CM2'!$B$10:$B$250,0)),""))</f>
        <v>10</v>
      </c>
      <c r="I11" s="80" t="n">
        <f aca="false">IF(B11="","",IFERROR(INDEX('NOTES CM2'!$AJ$10:$AJ$250,MATCH(B11,'NOTES CM2'!$B$10:$B$250,0)),""))</f>
        <v>10.11</v>
      </c>
      <c r="J11" s="82" t="n">
        <f aca="false">IF(COUNT(F11:I11)&lt;4,"",ROUND(SUM(F11:I11)/4,2))</f>
        <v>9.5</v>
      </c>
      <c r="K11" s="83" t="n">
        <f aca="false">INDEX(PARAMETRES!$D$18:$D$23,MATCH("CM2",PARAMETRES!$B$18:$B$23,0))</f>
        <v>20</v>
      </c>
      <c r="L11" s="81" t="n">
        <f aca="false">INDEX(PARAMETRES!$C$18:$C$23,MATCH("CM2",PARAMETRES!$B$18:$B$23,0))</f>
        <v>10</v>
      </c>
      <c r="M11" s="45" t="str">
        <f aca="false">IF(B11="","",IF(E11="ABANDON","ABANDON",IF(E11="TRANSFERE","TRANSFERE",IF(J11="","",IF(J11&gt;=L11,"ADMIS","REDOUBLE")))))</f>
        <v>REDOUBLE</v>
      </c>
      <c r="N11" s="73" t="n">
        <f aca="false">IF(OR(J11="",E11&lt;&gt;"PRESENT"),"",COUNTIFS($E$10:$E$250,"PRESENT",$J$10:$J$250,"&gt;"&amp;J11)+1)</f>
        <v>5</v>
      </c>
      <c r="O11" s="74" t="str">
        <f aca="false">IF(M11="ADMIS",IF(J11/K11*10&gt;=8,"Très bien",IF(J11/K11*10&gt;=7,"Bien",IF(J11/K11*10&gt;=6,"Assez bien","Passable"))),IF(M11="REDOUBLE","Insuffisant",""))</f>
        <v>Insuffisant</v>
      </c>
      <c r="P11" s="51" t="n">
        <f aca="false">IFERROR(MATCH("CM2-2",'REGISTRE ELEVES'!$AH$10:$AH$250,0),"")</f>
        <v>57</v>
      </c>
    </row>
    <row r="12" customFormat="false" ht="15" hidden="false" customHeight="false" outlineLevel="0" collapsed="false">
      <c r="A12" s="45" t="n">
        <f aca="false">IF(B12="","",3)</f>
        <v>3</v>
      </c>
      <c r="B12" s="45" t="str">
        <f aca="false">IF($P12="","",INDEX('REGISTRE ELEVES'!$B$10:$B$250,$P12))</f>
        <v>CM2-003-26</v>
      </c>
      <c r="C12" s="74" t="str">
        <f aca="false">IF($P12="","",INDEX('REGISTRE ELEVES'!$D$10:$D$250,$P12))</f>
        <v>BAMBA Grâce Nadège</v>
      </c>
      <c r="D12" s="45" t="str">
        <f aca="false">IF($P12="","",INDEX('REGISTRE ELEVES'!$E$10:$E$250,$P12))</f>
        <v>F</v>
      </c>
      <c r="E12" s="45" t="str">
        <f aca="false">IF($P12="","",INDEX('REGISTRE ELEVES'!$AE$10:$AE$250,$P12))</f>
        <v>PRESENT</v>
      </c>
      <c r="F12" s="80" t="n">
        <f aca="false">IF(B12="","",IFERROR(INDEX('NOTES CM2'!$M$10:$M$250,MATCH(B12,'NOTES CM2'!$B$10:$B$250,0)),""))</f>
        <v>6.53</v>
      </c>
      <c r="G12" s="80" t="n">
        <f aca="false">IF(B12="","",IFERROR(INDEX('NOTES CM2'!$T$10:$T$250,MATCH(B12,'NOTES CM2'!$B$10:$B$250,0)),""))</f>
        <v>0</v>
      </c>
      <c r="H12" s="80" t="n">
        <f aca="false">IF(B12="","",IFERROR(INDEX('NOTES CM2'!$AB$10:$AB$250,MATCH(B12,'NOTES CM2'!$B$10:$B$250,0)),""))</f>
        <v>7.89</v>
      </c>
      <c r="I12" s="80" t="n">
        <f aca="false">IF(B12="","",IFERROR(INDEX('NOTES CM2'!$AJ$10:$AJ$250,MATCH(B12,'NOTES CM2'!$B$10:$B$250,0)),""))</f>
        <v>7</v>
      </c>
      <c r="J12" s="82" t="n">
        <f aca="false">IF(COUNT(F12:I12)&lt;4,"",ROUND(SUM(F12:I12)/4,2))</f>
        <v>5.36</v>
      </c>
      <c r="K12" s="83" t="n">
        <f aca="false">INDEX(PARAMETRES!$D$18:$D$23,MATCH("CM2",PARAMETRES!$B$18:$B$23,0))</f>
        <v>20</v>
      </c>
      <c r="L12" s="81" t="n">
        <f aca="false">INDEX(PARAMETRES!$C$18:$C$23,MATCH("CM2",PARAMETRES!$B$18:$B$23,0))</f>
        <v>10</v>
      </c>
      <c r="M12" s="45" t="str">
        <f aca="false">IF(B12="","",IF(E12="ABANDON","ABANDON",IF(E12="TRANSFERE","TRANSFERE",IF(J12="","",IF(J12&gt;=L12,"ADMIS","REDOUBLE")))))</f>
        <v>REDOUBLE</v>
      </c>
      <c r="N12" s="73" t="n">
        <f aca="false">IF(OR(J12="",E12&lt;&gt;"PRESENT"),"",COUNTIFS($E$10:$E$250,"PRESENT",$J$10:$J$250,"&gt;"&amp;J12)+1)</f>
        <v>7</v>
      </c>
      <c r="O12" s="74" t="str">
        <f aca="false">IF(M12="ADMIS",IF(J12/K12*10&gt;=8,"Très bien",IF(J12/K12*10&gt;=7,"Bien",IF(J12/K12*10&gt;=6,"Assez bien","Passable"))),IF(M12="REDOUBLE","Insuffisant",""))</f>
        <v>Insuffisant</v>
      </c>
      <c r="P12" s="51" t="n">
        <f aca="false">IFERROR(MATCH("CM2-3",'REGISTRE ELEVES'!$AH$10:$AH$250,0),"")</f>
        <v>58</v>
      </c>
    </row>
    <row r="13" customFormat="false" ht="15" hidden="false" customHeight="false" outlineLevel="0" collapsed="false">
      <c r="A13" s="45" t="n">
        <f aca="false">IF(B13="","",4)</f>
        <v>4</v>
      </c>
      <c r="B13" s="45" t="str">
        <f aca="false">IF($P13="","",INDEX('REGISTRE ELEVES'!$B$10:$B$250,$P13))</f>
        <v>CM2-004-26</v>
      </c>
      <c r="C13" s="74" t="str">
        <f aca="false">IF($P13="","",INDEX('REGISTRE ELEVES'!$D$10:$D$250,$P13))</f>
        <v>KONE Cédric Abdoulaye</v>
      </c>
      <c r="D13" s="45" t="str">
        <f aca="false">IF($P13="","",INDEX('REGISTRE ELEVES'!$E$10:$E$250,$P13))</f>
        <v>M</v>
      </c>
      <c r="E13" s="45" t="str">
        <f aca="false">IF($P13="","",INDEX('REGISTRE ELEVES'!$AE$10:$AE$250,$P13))</f>
        <v>ABANDON</v>
      </c>
      <c r="F13" s="80" t="n">
        <f aca="false">IF(B13="","",IFERROR(INDEX('NOTES CM2'!$M$10:$M$250,MATCH(B13,'NOTES CM2'!$B$10:$B$250,0)),""))</f>
        <v>10.29</v>
      </c>
      <c r="G13" s="80" t="n">
        <f aca="false">IF(B13="","",IFERROR(INDEX('NOTES CM2'!$T$10:$T$250,MATCH(B13,'NOTES CM2'!$B$10:$B$250,0)),""))</f>
        <v>11.18</v>
      </c>
      <c r="H13" s="80" t="n">
        <f aca="false">IF(B13="","",IFERROR(INDEX('NOTES CM2'!$AB$10:$AB$250,MATCH(B13,'NOTES CM2'!$B$10:$B$250,0)),""))</f>
        <v>0</v>
      </c>
      <c r="I13" s="80" t="n">
        <f aca="false">IF(B13="","",IFERROR(INDEX('NOTES CM2'!$AJ$10:$AJ$250,MATCH(B13,'NOTES CM2'!$B$10:$B$250,0)),""))</f>
        <v>0</v>
      </c>
      <c r="J13" s="82" t="n">
        <f aca="false">IF(COUNT(F13:I13)&lt;4,"",ROUND(SUM(F13:I13)/4,2))</f>
        <v>5.37</v>
      </c>
      <c r="K13" s="83" t="n">
        <f aca="false">INDEX(PARAMETRES!$D$18:$D$23,MATCH("CM2",PARAMETRES!$B$18:$B$23,0))</f>
        <v>20</v>
      </c>
      <c r="L13" s="81" t="n">
        <f aca="false">INDEX(PARAMETRES!$C$18:$C$23,MATCH("CM2",PARAMETRES!$B$18:$B$23,0))</f>
        <v>10</v>
      </c>
      <c r="M13" s="45" t="str">
        <f aca="false">IF(B13="","",IF(E13="ABANDON","ABANDON",IF(E13="TRANSFERE","TRANSFERE",IF(J13="","",IF(J13&gt;=L13,"ADMIS","REDOUBLE")))))</f>
        <v>ABANDON</v>
      </c>
      <c r="N13" s="73" t="str">
        <f aca="false">IF(OR(J13="",E13&lt;&gt;"PRESENT"),"",COUNTIFS($E$10:$E$250,"PRESENT",$J$10:$J$250,"&gt;"&amp;J13)+1)</f>
        <v/>
      </c>
      <c r="O13" s="74" t="str">
        <f aca="false">IF(M13="ADMIS",IF(J13/K13*10&gt;=8,"Très bien",IF(J13/K13*10&gt;=7,"Bien",IF(J13/K13*10&gt;=6,"Assez bien","Passable"))),IF(M13="REDOUBLE","Insuffisant",""))</f>
        <v/>
      </c>
      <c r="P13" s="51" t="n">
        <f aca="false">IFERROR(MATCH("CM2-4",'REGISTRE ELEVES'!$AH$10:$AH$250,0),"")</f>
        <v>59</v>
      </c>
    </row>
    <row r="14" customFormat="false" ht="15" hidden="false" customHeight="false" outlineLevel="0" collapsed="false">
      <c r="A14" s="45" t="n">
        <f aca="false">IF(B14="","",5)</f>
        <v>5</v>
      </c>
      <c r="B14" s="45" t="str">
        <f aca="false">IF($P14="","",INDEX('REGISTRE ELEVES'!$B$10:$B$250,$P14))</f>
        <v>CM2-005-26</v>
      </c>
      <c r="C14" s="74" t="str">
        <f aca="false">IF($P14="","",INDEX('REGISTRE ELEVES'!$D$10:$D$250,$P14))</f>
        <v>SERI Awa Mariam</v>
      </c>
      <c r="D14" s="45" t="str">
        <f aca="false">IF($P14="","",INDEX('REGISTRE ELEVES'!$E$10:$E$250,$P14))</f>
        <v>F</v>
      </c>
      <c r="E14" s="45" t="str">
        <f aca="false">IF($P14="","",INDEX('REGISTRE ELEVES'!$AE$10:$AE$250,$P14))</f>
        <v>ABANDON</v>
      </c>
      <c r="F14" s="80" t="n">
        <f aca="false">IF(B14="","",IFERROR(INDEX('NOTES CM2'!$M$10:$M$250,MATCH(B14,'NOTES CM2'!$B$10:$B$250,0)),""))</f>
        <v>9.82</v>
      </c>
      <c r="G14" s="80" t="n">
        <f aca="false">IF(B14="","",IFERROR(INDEX('NOTES CM2'!$T$10:$T$250,MATCH(B14,'NOTES CM2'!$B$10:$B$250,0)),""))</f>
        <v>9.29</v>
      </c>
      <c r="H14" s="80" t="n">
        <f aca="false">IF(B14="","",IFERROR(INDEX('NOTES CM2'!$AB$10:$AB$250,MATCH(B14,'NOTES CM2'!$B$10:$B$250,0)),""))</f>
        <v>0</v>
      </c>
      <c r="I14" s="80" t="n">
        <f aca="false">IF(B14="","",IFERROR(INDEX('NOTES CM2'!$AJ$10:$AJ$250,MATCH(B14,'NOTES CM2'!$B$10:$B$250,0)),""))</f>
        <v>0</v>
      </c>
      <c r="J14" s="82" t="n">
        <f aca="false">IF(COUNT(F14:I14)&lt;4,"",ROUND(SUM(F14:I14)/4,2))</f>
        <v>4.78</v>
      </c>
      <c r="K14" s="83" t="n">
        <f aca="false">INDEX(PARAMETRES!$D$18:$D$23,MATCH("CM2",PARAMETRES!$B$18:$B$23,0))</f>
        <v>20</v>
      </c>
      <c r="L14" s="81" t="n">
        <f aca="false">INDEX(PARAMETRES!$C$18:$C$23,MATCH("CM2",PARAMETRES!$B$18:$B$23,0))</f>
        <v>10</v>
      </c>
      <c r="M14" s="45" t="str">
        <f aca="false">IF(B14="","",IF(E14="ABANDON","ABANDON",IF(E14="TRANSFERE","TRANSFERE",IF(J14="","",IF(J14&gt;=L14,"ADMIS","REDOUBLE")))))</f>
        <v>ABANDON</v>
      </c>
      <c r="N14" s="73" t="str">
        <f aca="false">IF(OR(J14="",E14&lt;&gt;"PRESENT"),"",COUNTIFS($E$10:$E$250,"PRESENT",$J$10:$J$250,"&gt;"&amp;J14)+1)</f>
        <v/>
      </c>
      <c r="O14" s="74" t="str">
        <f aca="false">IF(M14="ADMIS",IF(J14/K14*10&gt;=8,"Très bien",IF(J14/K14*10&gt;=7,"Bien",IF(J14/K14*10&gt;=6,"Assez bien","Passable"))),IF(M14="REDOUBLE","Insuffisant",""))</f>
        <v/>
      </c>
      <c r="P14" s="51" t="n">
        <f aca="false">IFERROR(MATCH("CM2-5",'REGISTRE ELEVES'!$AH$10:$AH$250,0),"")</f>
        <v>60</v>
      </c>
    </row>
    <row r="15" customFormat="false" ht="15" hidden="false" customHeight="false" outlineLevel="0" collapsed="false">
      <c r="A15" s="45" t="n">
        <f aca="false">IF(B15="","",6)</f>
        <v>6</v>
      </c>
      <c r="B15" s="45" t="str">
        <f aca="false">IF($P15="","",INDEX('REGISTRE ELEVES'!$B$10:$B$250,$P15))</f>
        <v>CM2-006-26</v>
      </c>
      <c r="C15" s="74" t="str">
        <f aca="false">IF($P15="","",INDEX('REGISTRE ELEVES'!$D$10:$D$250,$P15))</f>
        <v>TANOH Akissi Rebecca</v>
      </c>
      <c r="D15" s="45" t="str">
        <f aca="false">IF($P15="","",INDEX('REGISTRE ELEVES'!$E$10:$E$250,$P15))</f>
        <v>F</v>
      </c>
      <c r="E15" s="45" t="str">
        <f aca="false">IF($P15="","",INDEX('REGISTRE ELEVES'!$AE$10:$AE$250,$P15))</f>
        <v>PRESENT</v>
      </c>
      <c r="F15" s="80" t="n">
        <f aca="false">IF(B15="","",IFERROR(INDEX('NOTES CM2'!$M$10:$M$250,MATCH(B15,'NOTES CM2'!$B$10:$B$250,0)),""))</f>
        <v>10.06</v>
      </c>
      <c r="G15" s="80" t="n">
        <f aca="false">IF(B15="","",IFERROR(INDEX('NOTES CM2'!$T$10:$T$250,MATCH(B15,'NOTES CM2'!$B$10:$B$250,0)),""))</f>
        <v>10.82</v>
      </c>
      <c r="H15" s="80" t="n">
        <f aca="false">IF(B15="","",IFERROR(INDEX('NOTES CM2'!$AB$10:$AB$250,MATCH(B15,'NOTES CM2'!$B$10:$B$250,0)),""))</f>
        <v>10.26</v>
      </c>
      <c r="I15" s="80" t="n">
        <f aca="false">IF(B15="","",IFERROR(INDEX('NOTES CM2'!$AJ$10:$AJ$250,MATCH(B15,'NOTES CM2'!$B$10:$B$250,0)),""))</f>
        <v>9.47</v>
      </c>
      <c r="J15" s="82" t="n">
        <f aca="false">IF(COUNT(F15:I15)&lt;4,"",ROUND(SUM(F15:I15)/4,2))</f>
        <v>10.15</v>
      </c>
      <c r="K15" s="83" t="n">
        <f aca="false">INDEX(PARAMETRES!$D$18:$D$23,MATCH("CM2",PARAMETRES!$B$18:$B$23,0))</f>
        <v>20</v>
      </c>
      <c r="L15" s="81" t="n">
        <f aca="false">INDEX(PARAMETRES!$C$18:$C$23,MATCH("CM2",PARAMETRES!$B$18:$B$23,0))</f>
        <v>10</v>
      </c>
      <c r="M15" s="45" t="str">
        <f aca="false">IF(B15="","",IF(E15="ABANDON","ABANDON",IF(E15="TRANSFERE","TRANSFERE",IF(J15="","",IF(J15&gt;=L15,"ADMIS","REDOUBLE")))))</f>
        <v>ADMIS</v>
      </c>
      <c r="N15" s="73" t="n">
        <f aca="false">IF(OR(J15="",E15&lt;&gt;"PRESENT"),"",COUNTIFS($E$10:$E$250,"PRESENT",$J$10:$J$250,"&gt;"&amp;J15)+1)</f>
        <v>4</v>
      </c>
      <c r="O15" s="74" t="str">
        <f aca="false">IF(M15="ADMIS",IF(J15/K15*10&gt;=8,"Très bien",IF(J15/K15*10&gt;=7,"Bien",IF(J15/K15*10&gt;=6,"Assez bien","Passable"))),IF(M15="REDOUBLE","Insuffisant",""))</f>
        <v>Passable</v>
      </c>
      <c r="P15" s="51" t="n">
        <f aca="false">IFERROR(MATCH("CM2-6",'REGISTRE ELEVES'!$AH$10:$AH$250,0),"")</f>
        <v>61</v>
      </c>
    </row>
    <row r="16" customFormat="false" ht="15" hidden="false" customHeight="false" outlineLevel="0" collapsed="false">
      <c r="A16" s="45" t="n">
        <f aca="false">IF(B16="","",7)</f>
        <v>7</v>
      </c>
      <c r="B16" s="45" t="str">
        <f aca="false">IF($P16="","",INDEX('REGISTRE ELEVES'!$B$10:$B$250,$P16))</f>
        <v>CM2-007-26</v>
      </c>
      <c r="C16" s="74" t="str">
        <f aca="false">IF($P16="","",INDEX('REGISTRE ELEVES'!$D$10:$D$250,$P16))</f>
        <v>COULIBALY Aya Fatoumata</v>
      </c>
      <c r="D16" s="45" t="str">
        <f aca="false">IF($P16="","",INDEX('REGISTRE ELEVES'!$E$10:$E$250,$P16))</f>
        <v>F</v>
      </c>
      <c r="E16" s="45" t="str">
        <f aca="false">IF($P16="","",INDEX('REGISTRE ELEVES'!$AE$10:$AE$250,$P16))</f>
        <v>PRESENT</v>
      </c>
      <c r="F16" s="80" t="n">
        <f aca="false">IF(B16="","",IFERROR(INDEX('NOTES CM2'!$M$10:$M$250,MATCH(B16,'NOTES CM2'!$B$10:$B$250,0)),""))</f>
        <v>17.12</v>
      </c>
      <c r="G16" s="80" t="n">
        <f aca="false">IF(B16="","",IFERROR(INDEX('NOTES CM2'!$T$10:$T$250,MATCH(B16,'NOTES CM2'!$B$10:$B$250,0)),""))</f>
        <v>17.94</v>
      </c>
      <c r="H16" s="80" t="n">
        <f aca="false">IF(B16="","",IFERROR(INDEX('NOTES CM2'!$AB$10:$AB$250,MATCH(B16,'NOTES CM2'!$B$10:$B$250,0)),""))</f>
        <v>16.37</v>
      </c>
      <c r="I16" s="80" t="n">
        <f aca="false">IF(B16="","",IFERROR(INDEX('NOTES CM2'!$AJ$10:$AJ$250,MATCH(B16,'NOTES CM2'!$B$10:$B$250,0)),""))</f>
        <v>17.68</v>
      </c>
      <c r="J16" s="82" t="n">
        <f aca="false">IF(COUNT(F16:I16)&lt;4,"",ROUND(SUM(F16:I16)/4,2))</f>
        <v>17.28</v>
      </c>
      <c r="K16" s="83" t="n">
        <f aca="false">INDEX(PARAMETRES!$D$18:$D$23,MATCH("CM2",PARAMETRES!$B$18:$B$23,0))</f>
        <v>20</v>
      </c>
      <c r="L16" s="81" t="n">
        <f aca="false">INDEX(PARAMETRES!$C$18:$C$23,MATCH("CM2",PARAMETRES!$B$18:$B$23,0))</f>
        <v>10</v>
      </c>
      <c r="M16" s="45" t="str">
        <f aca="false">IF(B16="","",IF(E16="ABANDON","ABANDON",IF(E16="TRANSFERE","TRANSFERE",IF(J16="","",IF(J16&gt;=L16,"ADMIS","REDOUBLE")))))</f>
        <v>ADMIS</v>
      </c>
      <c r="N16" s="73" t="n">
        <f aca="false">IF(OR(J16="",E16&lt;&gt;"PRESENT"),"",COUNTIFS($E$10:$E$250,"PRESENT",$J$10:$J$250,"&gt;"&amp;J16)+1)</f>
        <v>1</v>
      </c>
      <c r="O16" s="74" t="str">
        <f aca="false">IF(M16="ADMIS",IF(J16/K16*10&gt;=8,"Très bien",IF(J16/K16*10&gt;=7,"Bien",IF(J16/K16*10&gt;=6,"Assez bien","Passable"))),IF(M16="REDOUBLE","Insuffisant",""))</f>
        <v>Très bien</v>
      </c>
      <c r="P16" s="51" t="n">
        <f aca="false">IFERROR(MATCH("CM2-7",'REGISTRE ELEVES'!$AH$10:$AH$250,0),"")</f>
        <v>62</v>
      </c>
    </row>
    <row r="17" customFormat="false" ht="15" hidden="false" customHeight="false" outlineLevel="0" collapsed="false">
      <c r="A17" s="45" t="n">
        <f aca="false">IF(B17="","",8)</f>
        <v>8</v>
      </c>
      <c r="B17" s="45" t="str">
        <f aca="false">IF($P17="","",INDEX('REGISTRE ELEVES'!$B$10:$B$250,$P17))</f>
        <v>CM2-008-26</v>
      </c>
      <c r="C17" s="74" t="str">
        <f aca="false">IF($P17="","",INDEX('REGISTRE ELEVES'!$D$10:$D$250,$P17))</f>
        <v>COULIBALY Kouadio Konan</v>
      </c>
      <c r="D17" s="45" t="str">
        <f aca="false">IF($P17="","",INDEX('REGISTRE ELEVES'!$E$10:$E$250,$P17))</f>
        <v>M</v>
      </c>
      <c r="E17" s="45" t="str">
        <f aca="false">IF($P17="","",INDEX('REGISTRE ELEVES'!$AE$10:$AE$250,$P17))</f>
        <v>PRESENT</v>
      </c>
      <c r="F17" s="80" t="n">
        <f aca="false">IF(B17="","",IFERROR(INDEX('NOTES CM2'!$M$10:$M$250,MATCH(B17,'NOTES CM2'!$B$10:$B$250,0)),""))</f>
        <v>13.29</v>
      </c>
      <c r="G17" s="80" t="n">
        <f aca="false">IF(B17="","",IFERROR(INDEX('NOTES CM2'!$T$10:$T$250,MATCH(B17,'NOTES CM2'!$B$10:$B$250,0)),""))</f>
        <v>14.71</v>
      </c>
      <c r="H17" s="80" t="n">
        <f aca="false">IF(B17="","",IFERROR(INDEX('NOTES CM2'!$AB$10:$AB$250,MATCH(B17,'NOTES CM2'!$B$10:$B$250,0)),""))</f>
        <v>16.53</v>
      </c>
      <c r="I17" s="80" t="n">
        <f aca="false">IF(B17="","",IFERROR(INDEX('NOTES CM2'!$AJ$10:$AJ$250,MATCH(B17,'NOTES CM2'!$B$10:$B$250,0)),""))</f>
        <v>15.63</v>
      </c>
      <c r="J17" s="82" t="n">
        <f aca="false">IF(COUNT(F17:I17)&lt;4,"",ROUND(SUM(F17:I17)/4,2))</f>
        <v>15.04</v>
      </c>
      <c r="K17" s="83" t="n">
        <f aca="false">INDEX(PARAMETRES!$D$18:$D$23,MATCH("CM2",PARAMETRES!$B$18:$B$23,0))</f>
        <v>20</v>
      </c>
      <c r="L17" s="81" t="n">
        <f aca="false">INDEX(PARAMETRES!$C$18:$C$23,MATCH("CM2",PARAMETRES!$B$18:$B$23,0))</f>
        <v>10</v>
      </c>
      <c r="M17" s="45" t="str">
        <f aca="false">IF(B17="","",IF(E17="ABANDON","ABANDON",IF(E17="TRANSFERE","TRANSFERE",IF(J17="","",IF(J17&gt;=L17,"ADMIS","REDOUBLE")))))</f>
        <v>ADMIS</v>
      </c>
      <c r="N17" s="73" t="n">
        <f aca="false">IF(OR(J17="",E17&lt;&gt;"PRESENT"),"",COUNTIFS($E$10:$E$250,"PRESENT",$J$10:$J$250,"&gt;"&amp;J17)+1)</f>
        <v>2</v>
      </c>
      <c r="O17" s="74" t="str">
        <f aca="false">IF(M17="ADMIS",IF(J17/K17*10&gt;=8,"Très bien",IF(J17/K17*10&gt;=7,"Bien",IF(J17/K17*10&gt;=6,"Assez bien","Passable"))),IF(M17="REDOUBLE","Insuffisant",""))</f>
        <v>Bien</v>
      </c>
      <c r="P17" s="51" t="n">
        <f aca="false">IFERROR(MATCH("CM2-8",'REGISTRE ELEVES'!$AH$10:$AH$250,0),"")</f>
        <v>63</v>
      </c>
    </row>
    <row r="18" customFormat="false" ht="15" hidden="false" customHeight="false" outlineLevel="0" collapsed="false">
      <c r="A18" s="45" t="n">
        <f aca="false">IF(B18="","",9)</f>
        <v>9</v>
      </c>
      <c r="B18" s="45" t="str">
        <f aca="false">IF($P18="","",INDEX('REGISTRE ELEVES'!$B$10:$B$250,$P18))</f>
        <v>CM2-009-26</v>
      </c>
      <c r="C18" s="74" t="str">
        <f aca="false">IF($P18="","",INDEX('REGISTRE ELEVES'!$D$10:$D$250,$P18))</f>
        <v>KONE Abdoulaye Konan</v>
      </c>
      <c r="D18" s="45" t="str">
        <f aca="false">IF($P18="","",INDEX('REGISTRE ELEVES'!$E$10:$E$250,$P18))</f>
        <v>M</v>
      </c>
      <c r="E18" s="45" t="str">
        <f aca="false">IF($P18="","",INDEX('REGISTRE ELEVES'!$AE$10:$AE$250,$P18))</f>
        <v>PRESENT</v>
      </c>
      <c r="F18" s="80" t="n">
        <f aca="false">IF(B18="","",IFERROR(INDEX('NOTES CM2'!$M$10:$M$250,MATCH(B18,'NOTES CM2'!$B$10:$B$250,0)),""))</f>
        <v>7.94</v>
      </c>
      <c r="G18" s="80" t="n">
        <f aca="false">IF(B18="","",IFERROR(INDEX('NOTES CM2'!$T$10:$T$250,MATCH(B18,'NOTES CM2'!$B$10:$B$250,0)),""))</f>
        <v>9.35</v>
      </c>
      <c r="H18" s="80" t="n">
        <f aca="false">IF(B18="","",IFERROR(INDEX('NOTES CM2'!$AB$10:$AB$250,MATCH(B18,'NOTES CM2'!$B$10:$B$250,0)),""))</f>
        <v>9.95</v>
      </c>
      <c r="I18" s="80" t="n">
        <f aca="false">IF(B18="","",IFERROR(INDEX('NOTES CM2'!$AJ$10:$AJ$250,MATCH(B18,'NOTES CM2'!$B$10:$B$250,0)),""))</f>
        <v>8.89</v>
      </c>
      <c r="J18" s="82" t="n">
        <f aca="false">IF(COUNT(F18:I18)&lt;4,"",ROUND(SUM(F18:I18)/4,2))</f>
        <v>9.03</v>
      </c>
      <c r="K18" s="83" t="n">
        <f aca="false">INDEX(PARAMETRES!$D$18:$D$23,MATCH("CM2",PARAMETRES!$B$18:$B$23,0))</f>
        <v>20</v>
      </c>
      <c r="L18" s="81" t="n">
        <f aca="false">INDEX(PARAMETRES!$C$18:$C$23,MATCH("CM2",PARAMETRES!$B$18:$B$23,0))</f>
        <v>10</v>
      </c>
      <c r="M18" s="45" t="str">
        <f aca="false">IF(B18="","",IF(E18="ABANDON","ABANDON",IF(E18="TRANSFERE","TRANSFERE",IF(J18="","",IF(J18&gt;=L18,"ADMIS","REDOUBLE")))))</f>
        <v>REDOUBLE</v>
      </c>
      <c r="N18" s="73" t="n">
        <f aca="false">IF(OR(J18="",E18&lt;&gt;"PRESENT"),"",COUNTIFS($E$10:$E$250,"PRESENT",$J$10:$J$250,"&gt;"&amp;J18)+1)</f>
        <v>6</v>
      </c>
      <c r="O18" s="74" t="str">
        <f aca="false">IF(M18="ADMIS",IF(J18/K18*10&gt;=8,"Très bien",IF(J18/K18*10&gt;=7,"Bien",IF(J18/K18*10&gt;=6,"Assez bien","Passable"))),IF(M18="REDOUBLE","Insuffisant",""))</f>
        <v>Insuffisant</v>
      </c>
      <c r="P18" s="51" t="n">
        <f aca="false">IFERROR(MATCH("CM2-9",'REGISTRE ELEVES'!$AH$10:$AH$250,0),"")</f>
        <v>64</v>
      </c>
    </row>
    <row r="19" customFormat="false" ht="15" hidden="false" customHeight="false" outlineLevel="0" collapsed="false">
      <c r="A19" s="45" t="str">
        <f aca="false">IF(B19="","",10)</f>
        <v/>
      </c>
      <c r="B19" s="45" t="str">
        <f aca="false">IF($P19="","",INDEX('REGISTRE ELEVES'!$B$10:$B$250,$P19))</f>
        <v/>
      </c>
      <c r="C19" s="74" t="str">
        <f aca="false">IF($P19="","",INDEX('REGISTRE ELEVES'!$D$10:$D$250,$P19))</f>
        <v/>
      </c>
      <c r="D19" s="45" t="str">
        <f aca="false">IF($P19="","",INDEX('REGISTRE ELEVES'!$E$10:$E$250,$P19))</f>
        <v/>
      </c>
      <c r="E19" s="45" t="str">
        <f aca="false">IF($P19="","",INDEX('REGISTRE ELEVES'!$AE$10:$AE$250,$P19))</f>
        <v/>
      </c>
      <c r="F19" s="80" t="str">
        <f aca="false">IF(B19="","",IFERROR(INDEX('NOTES CM2'!$M$10:$M$250,MATCH(B19,'NOTES CM2'!$B$10:$B$250,0)),""))</f>
        <v/>
      </c>
      <c r="G19" s="80" t="str">
        <f aca="false">IF(B19="","",IFERROR(INDEX('NOTES CM2'!$T$10:$T$250,MATCH(B19,'NOTES CM2'!$B$10:$B$250,0)),""))</f>
        <v/>
      </c>
      <c r="H19" s="80" t="str">
        <f aca="false">IF(B19="","",IFERROR(INDEX('NOTES CM2'!$AB$10:$AB$250,MATCH(B19,'NOTES CM2'!$B$10:$B$250,0)),""))</f>
        <v/>
      </c>
      <c r="I19" s="80" t="str">
        <f aca="false">IF(B19="","",IFERROR(INDEX('NOTES CM2'!$AJ$10:$AJ$250,MATCH(B19,'NOTES CM2'!$B$10:$B$250,0)),""))</f>
        <v/>
      </c>
      <c r="J19" s="82" t="str">
        <f aca="false">IF(COUNT(F19:I19)&lt;4,"",ROUND(SUM(F19:I19)/4,2))</f>
        <v/>
      </c>
      <c r="K19" s="83" t="n">
        <f aca="false">INDEX(PARAMETRES!$D$18:$D$23,MATCH("CM2",PARAMETRES!$B$18:$B$23,0))</f>
        <v>20</v>
      </c>
      <c r="L19" s="81" t="n">
        <f aca="false">INDEX(PARAMETRES!$C$18:$C$23,MATCH("CM2",PARAMETRES!$B$18:$B$23,0))</f>
        <v>10</v>
      </c>
      <c r="M19" s="45" t="str">
        <f aca="false">IF(B19="","",IF(E19="ABANDON","ABANDON",IF(E19="TRANSFERE","TRANSFERE",IF(J19="","",IF(J19&gt;=L19,"ADMIS","REDOUBLE")))))</f>
        <v/>
      </c>
      <c r="N19" s="73" t="str">
        <f aca="false">IF(OR(J19="",E19&lt;&gt;"PRESENT"),"",COUNTIFS($E$10:$E$250,"PRESENT",$J$10:$J$250,"&gt;"&amp;J19)+1)</f>
        <v/>
      </c>
      <c r="O19" s="74" t="str">
        <f aca="false">IF(M19="ADMIS",IF(J19/K19*10&gt;=8,"Très bien",IF(J19/K19*10&gt;=7,"Bien",IF(J19/K19*10&gt;=6,"Assez bien","Passable"))),IF(M19="REDOUBLE","Insuffisant",""))</f>
        <v/>
      </c>
      <c r="P19" s="51" t="str">
        <f aca="false">IFERROR(MATCH("CM2-10",'REGISTRE ELEVES'!$AH$10:$AH$250,0),"")</f>
        <v/>
      </c>
    </row>
    <row r="20" customFormat="false" ht="15" hidden="false" customHeight="false" outlineLevel="0" collapsed="false">
      <c r="A20" s="45" t="str">
        <f aca="false">IF(B20="","",11)</f>
        <v/>
      </c>
      <c r="B20" s="45" t="str">
        <f aca="false">IF($P20="","",INDEX('REGISTRE ELEVES'!$B$10:$B$250,$P20))</f>
        <v/>
      </c>
      <c r="C20" s="74" t="str">
        <f aca="false">IF($P20="","",INDEX('REGISTRE ELEVES'!$D$10:$D$250,$P20))</f>
        <v/>
      </c>
      <c r="D20" s="45" t="str">
        <f aca="false">IF($P20="","",INDEX('REGISTRE ELEVES'!$E$10:$E$250,$P20))</f>
        <v/>
      </c>
      <c r="E20" s="45" t="str">
        <f aca="false">IF($P20="","",INDEX('REGISTRE ELEVES'!$AE$10:$AE$250,$P20))</f>
        <v/>
      </c>
      <c r="F20" s="80" t="str">
        <f aca="false">IF(B20="","",IFERROR(INDEX('NOTES CM2'!$M$10:$M$250,MATCH(B20,'NOTES CM2'!$B$10:$B$250,0)),""))</f>
        <v/>
      </c>
      <c r="G20" s="80" t="str">
        <f aca="false">IF(B20="","",IFERROR(INDEX('NOTES CM2'!$T$10:$T$250,MATCH(B20,'NOTES CM2'!$B$10:$B$250,0)),""))</f>
        <v/>
      </c>
      <c r="H20" s="80" t="str">
        <f aca="false">IF(B20="","",IFERROR(INDEX('NOTES CM2'!$AB$10:$AB$250,MATCH(B20,'NOTES CM2'!$B$10:$B$250,0)),""))</f>
        <v/>
      </c>
      <c r="I20" s="80" t="str">
        <f aca="false">IF(B20="","",IFERROR(INDEX('NOTES CM2'!$AJ$10:$AJ$250,MATCH(B20,'NOTES CM2'!$B$10:$B$250,0)),""))</f>
        <v/>
      </c>
      <c r="J20" s="82" t="str">
        <f aca="false">IF(COUNT(F20:I20)&lt;4,"",ROUND(SUM(F20:I20)/4,2))</f>
        <v/>
      </c>
      <c r="K20" s="83" t="n">
        <f aca="false">INDEX(PARAMETRES!$D$18:$D$23,MATCH("CM2",PARAMETRES!$B$18:$B$23,0))</f>
        <v>20</v>
      </c>
      <c r="L20" s="81" t="n">
        <f aca="false">INDEX(PARAMETRES!$C$18:$C$23,MATCH("CM2",PARAMETRES!$B$18:$B$23,0))</f>
        <v>10</v>
      </c>
      <c r="M20" s="45" t="str">
        <f aca="false">IF(B20="","",IF(E20="ABANDON","ABANDON",IF(E20="TRANSFERE","TRANSFERE",IF(J20="","",IF(J20&gt;=L20,"ADMIS","REDOUBLE")))))</f>
        <v/>
      </c>
      <c r="N20" s="73" t="str">
        <f aca="false">IF(OR(J20="",E20&lt;&gt;"PRESENT"),"",COUNTIFS($E$10:$E$250,"PRESENT",$J$10:$J$250,"&gt;"&amp;J20)+1)</f>
        <v/>
      </c>
      <c r="O20" s="74" t="str">
        <f aca="false">IF(M20="ADMIS",IF(J20/K20*10&gt;=8,"Très bien",IF(J20/K20*10&gt;=7,"Bien",IF(J20/K20*10&gt;=6,"Assez bien","Passable"))),IF(M20="REDOUBLE","Insuffisant",""))</f>
        <v/>
      </c>
      <c r="P20" s="51" t="str">
        <f aca="false">IFERROR(MATCH("CM2-11",'REGISTRE ELEVES'!$AH$10:$AH$250,0),"")</f>
        <v/>
      </c>
    </row>
    <row r="21" customFormat="false" ht="15" hidden="false" customHeight="false" outlineLevel="0" collapsed="false">
      <c r="A21" s="45" t="str">
        <f aca="false">IF(B21="","",12)</f>
        <v/>
      </c>
      <c r="B21" s="45" t="str">
        <f aca="false">IF($P21="","",INDEX('REGISTRE ELEVES'!$B$10:$B$250,$P21))</f>
        <v/>
      </c>
      <c r="C21" s="74" t="str">
        <f aca="false">IF($P21="","",INDEX('REGISTRE ELEVES'!$D$10:$D$250,$P21))</f>
        <v/>
      </c>
      <c r="D21" s="45" t="str">
        <f aca="false">IF($P21="","",INDEX('REGISTRE ELEVES'!$E$10:$E$250,$P21))</f>
        <v/>
      </c>
      <c r="E21" s="45" t="str">
        <f aca="false">IF($P21="","",INDEX('REGISTRE ELEVES'!$AE$10:$AE$250,$P21))</f>
        <v/>
      </c>
      <c r="F21" s="80" t="str">
        <f aca="false">IF(B21="","",IFERROR(INDEX('NOTES CM2'!$M$10:$M$250,MATCH(B21,'NOTES CM2'!$B$10:$B$250,0)),""))</f>
        <v/>
      </c>
      <c r="G21" s="80" t="str">
        <f aca="false">IF(B21="","",IFERROR(INDEX('NOTES CM2'!$T$10:$T$250,MATCH(B21,'NOTES CM2'!$B$10:$B$250,0)),""))</f>
        <v/>
      </c>
      <c r="H21" s="80" t="str">
        <f aca="false">IF(B21="","",IFERROR(INDEX('NOTES CM2'!$AB$10:$AB$250,MATCH(B21,'NOTES CM2'!$B$10:$B$250,0)),""))</f>
        <v/>
      </c>
      <c r="I21" s="80" t="str">
        <f aca="false">IF(B21="","",IFERROR(INDEX('NOTES CM2'!$AJ$10:$AJ$250,MATCH(B21,'NOTES CM2'!$B$10:$B$250,0)),""))</f>
        <v/>
      </c>
      <c r="J21" s="82" t="str">
        <f aca="false">IF(COUNT(F21:I21)&lt;4,"",ROUND(SUM(F21:I21)/4,2))</f>
        <v/>
      </c>
      <c r="K21" s="83" t="n">
        <f aca="false">INDEX(PARAMETRES!$D$18:$D$23,MATCH("CM2",PARAMETRES!$B$18:$B$23,0))</f>
        <v>20</v>
      </c>
      <c r="L21" s="81" t="n">
        <f aca="false">INDEX(PARAMETRES!$C$18:$C$23,MATCH("CM2",PARAMETRES!$B$18:$B$23,0))</f>
        <v>10</v>
      </c>
      <c r="M21" s="45" t="str">
        <f aca="false">IF(B21="","",IF(E21="ABANDON","ABANDON",IF(E21="TRANSFERE","TRANSFERE",IF(J21="","",IF(J21&gt;=L21,"ADMIS","REDOUBLE")))))</f>
        <v/>
      </c>
      <c r="N21" s="73" t="str">
        <f aca="false">IF(OR(J21="",E21&lt;&gt;"PRESENT"),"",COUNTIFS($E$10:$E$250,"PRESENT",$J$10:$J$250,"&gt;"&amp;J21)+1)</f>
        <v/>
      </c>
      <c r="O21" s="74" t="str">
        <f aca="false">IF(M21="ADMIS",IF(J21/K21*10&gt;=8,"Très bien",IF(J21/K21*10&gt;=7,"Bien",IF(J21/K21*10&gt;=6,"Assez bien","Passable"))),IF(M21="REDOUBLE","Insuffisant",""))</f>
        <v/>
      </c>
      <c r="P21" s="51" t="str">
        <f aca="false">IFERROR(MATCH("CM2-12",'REGISTRE ELEVES'!$AH$10:$AH$250,0),"")</f>
        <v/>
      </c>
    </row>
    <row r="22" customFormat="false" ht="15" hidden="false" customHeight="false" outlineLevel="0" collapsed="false">
      <c r="A22" s="45" t="str">
        <f aca="false">IF(B22="","",13)</f>
        <v/>
      </c>
      <c r="B22" s="45" t="str">
        <f aca="false">IF($P22="","",INDEX('REGISTRE ELEVES'!$B$10:$B$250,$P22))</f>
        <v/>
      </c>
      <c r="C22" s="74" t="str">
        <f aca="false">IF($P22="","",INDEX('REGISTRE ELEVES'!$D$10:$D$250,$P22))</f>
        <v/>
      </c>
      <c r="D22" s="45" t="str">
        <f aca="false">IF($P22="","",INDEX('REGISTRE ELEVES'!$E$10:$E$250,$P22))</f>
        <v/>
      </c>
      <c r="E22" s="45" t="str">
        <f aca="false">IF($P22="","",INDEX('REGISTRE ELEVES'!$AE$10:$AE$250,$P22))</f>
        <v/>
      </c>
      <c r="F22" s="80" t="str">
        <f aca="false">IF(B22="","",IFERROR(INDEX('NOTES CM2'!$M$10:$M$250,MATCH(B22,'NOTES CM2'!$B$10:$B$250,0)),""))</f>
        <v/>
      </c>
      <c r="G22" s="80" t="str">
        <f aca="false">IF(B22="","",IFERROR(INDEX('NOTES CM2'!$T$10:$T$250,MATCH(B22,'NOTES CM2'!$B$10:$B$250,0)),""))</f>
        <v/>
      </c>
      <c r="H22" s="80" t="str">
        <f aca="false">IF(B22="","",IFERROR(INDEX('NOTES CM2'!$AB$10:$AB$250,MATCH(B22,'NOTES CM2'!$B$10:$B$250,0)),""))</f>
        <v/>
      </c>
      <c r="I22" s="80" t="str">
        <f aca="false">IF(B22="","",IFERROR(INDEX('NOTES CM2'!$AJ$10:$AJ$250,MATCH(B22,'NOTES CM2'!$B$10:$B$250,0)),""))</f>
        <v/>
      </c>
      <c r="J22" s="82" t="str">
        <f aca="false">IF(COUNT(F22:I22)&lt;4,"",ROUND(SUM(F22:I22)/4,2))</f>
        <v/>
      </c>
      <c r="K22" s="83" t="n">
        <f aca="false">INDEX(PARAMETRES!$D$18:$D$23,MATCH("CM2",PARAMETRES!$B$18:$B$23,0))</f>
        <v>20</v>
      </c>
      <c r="L22" s="81" t="n">
        <f aca="false">INDEX(PARAMETRES!$C$18:$C$23,MATCH("CM2",PARAMETRES!$B$18:$B$23,0))</f>
        <v>10</v>
      </c>
      <c r="M22" s="45" t="str">
        <f aca="false">IF(B22="","",IF(E22="ABANDON","ABANDON",IF(E22="TRANSFERE","TRANSFERE",IF(J22="","",IF(J22&gt;=L22,"ADMIS","REDOUBLE")))))</f>
        <v/>
      </c>
      <c r="N22" s="73" t="str">
        <f aca="false">IF(OR(J22="",E22&lt;&gt;"PRESENT"),"",COUNTIFS($E$10:$E$250,"PRESENT",$J$10:$J$250,"&gt;"&amp;J22)+1)</f>
        <v/>
      </c>
      <c r="O22" s="74" t="str">
        <f aca="false">IF(M22="ADMIS",IF(J22/K22*10&gt;=8,"Très bien",IF(J22/K22*10&gt;=7,"Bien",IF(J22/K22*10&gt;=6,"Assez bien","Passable"))),IF(M22="REDOUBLE","Insuffisant",""))</f>
        <v/>
      </c>
      <c r="P22" s="51" t="str">
        <f aca="false">IFERROR(MATCH("CM2-13",'REGISTRE ELEVES'!$AH$10:$AH$250,0),"")</f>
        <v/>
      </c>
    </row>
    <row r="23" customFormat="false" ht="15" hidden="false" customHeight="false" outlineLevel="0" collapsed="false">
      <c r="A23" s="45" t="str">
        <f aca="false">IF(B23="","",14)</f>
        <v/>
      </c>
      <c r="B23" s="45" t="str">
        <f aca="false">IF($P23="","",INDEX('REGISTRE ELEVES'!$B$10:$B$250,$P23))</f>
        <v/>
      </c>
      <c r="C23" s="74" t="str">
        <f aca="false">IF($P23="","",INDEX('REGISTRE ELEVES'!$D$10:$D$250,$P23))</f>
        <v/>
      </c>
      <c r="D23" s="45" t="str">
        <f aca="false">IF($P23="","",INDEX('REGISTRE ELEVES'!$E$10:$E$250,$P23))</f>
        <v/>
      </c>
      <c r="E23" s="45" t="str">
        <f aca="false">IF($P23="","",INDEX('REGISTRE ELEVES'!$AE$10:$AE$250,$P23))</f>
        <v/>
      </c>
      <c r="F23" s="80" t="str">
        <f aca="false">IF(B23="","",IFERROR(INDEX('NOTES CM2'!$M$10:$M$250,MATCH(B23,'NOTES CM2'!$B$10:$B$250,0)),""))</f>
        <v/>
      </c>
      <c r="G23" s="80" t="str">
        <f aca="false">IF(B23="","",IFERROR(INDEX('NOTES CM2'!$T$10:$T$250,MATCH(B23,'NOTES CM2'!$B$10:$B$250,0)),""))</f>
        <v/>
      </c>
      <c r="H23" s="80" t="str">
        <f aca="false">IF(B23="","",IFERROR(INDEX('NOTES CM2'!$AB$10:$AB$250,MATCH(B23,'NOTES CM2'!$B$10:$B$250,0)),""))</f>
        <v/>
      </c>
      <c r="I23" s="80" t="str">
        <f aca="false">IF(B23="","",IFERROR(INDEX('NOTES CM2'!$AJ$10:$AJ$250,MATCH(B23,'NOTES CM2'!$B$10:$B$250,0)),""))</f>
        <v/>
      </c>
      <c r="J23" s="82" t="str">
        <f aca="false">IF(COUNT(F23:I23)&lt;4,"",ROUND(SUM(F23:I23)/4,2))</f>
        <v/>
      </c>
      <c r="K23" s="83" t="n">
        <f aca="false">INDEX(PARAMETRES!$D$18:$D$23,MATCH("CM2",PARAMETRES!$B$18:$B$23,0))</f>
        <v>20</v>
      </c>
      <c r="L23" s="81" t="n">
        <f aca="false">INDEX(PARAMETRES!$C$18:$C$23,MATCH("CM2",PARAMETRES!$B$18:$B$23,0))</f>
        <v>10</v>
      </c>
      <c r="M23" s="45" t="str">
        <f aca="false">IF(B23="","",IF(E23="ABANDON","ABANDON",IF(E23="TRANSFERE","TRANSFERE",IF(J23="","",IF(J23&gt;=L23,"ADMIS","REDOUBLE")))))</f>
        <v/>
      </c>
      <c r="N23" s="73" t="str">
        <f aca="false">IF(OR(J23="",E23&lt;&gt;"PRESENT"),"",COUNTIFS($E$10:$E$250,"PRESENT",$J$10:$J$250,"&gt;"&amp;J23)+1)</f>
        <v/>
      </c>
      <c r="O23" s="74" t="str">
        <f aca="false">IF(M23="ADMIS",IF(J23/K23*10&gt;=8,"Très bien",IF(J23/K23*10&gt;=7,"Bien",IF(J23/K23*10&gt;=6,"Assez bien","Passable"))),IF(M23="REDOUBLE","Insuffisant",""))</f>
        <v/>
      </c>
      <c r="P23" s="51" t="str">
        <f aca="false">IFERROR(MATCH("CM2-14",'REGISTRE ELEVES'!$AH$10:$AH$250,0),"")</f>
        <v/>
      </c>
    </row>
    <row r="24" customFormat="false" ht="15" hidden="false" customHeight="false" outlineLevel="0" collapsed="false">
      <c r="A24" s="45" t="str">
        <f aca="false">IF(B24="","",15)</f>
        <v/>
      </c>
      <c r="B24" s="45" t="str">
        <f aca="false">IF($P24="","",INDEX('REGISTRE ELEVES'!$B$10:$B$250,$P24))</f>
        <v/>
      </c>
      <c r="C24" s="74" t="str">
        <f aca="false">IF($P24="","",INDEX('REGISTRE ELEVES'!$D$10:$D$250,$P24))</f>
        <v/>
      </c>
      <c r="D24" s="45" t="str">
        <f aca="false">IF($P24="","",INDEX('REGISTRE ELEVES'!$E$10:$E$250,$P24))</f>
        <v/>
      </c>
      <c r="E24" s="45" t="str">
        <f aca="false">IF($P24="","",INDEX('REGISTRE ELEVES'!$AE$10:$AE$250,$P24))</f>
        <v/>
      </c>
      <c r="F24" s="80" t="str">
        <f aca="false">IF(B24="","",IFERROR(INDEX('NOTES CM2'!$M$10:$M$250,MATCH(B24,'NOTES CM2'!$B$10:$B$250,0)),""))</f>
        <v/>
      </c>
      <c r="G24" s="80" t="str">
        <f aca="false">IF(B24="","",IFERROR(INDEX('NOTES CM2'!$T$10:$T$250,MATCH(B24,'NOTES CM2'!$B$10:$B$250,0)),""))</f>
        <v/>
      </c>
      <c r="H24" s="80" t="str">
        <f aca="false">IF(B24="","",IFERROR(INDEX('NOTES CM2'!$AB$10:$AB$250,MATCH(B24,'NOTES CM2'!$B$10:$B$250,0)),""))</f>
        <v/>
      </c>
      <c r="I24" s="80" t="str">
        <f aca="false">IF(B24="","",IFERROR(INDEX('NOTES CM2'!$AJ$10:$AJ$250,MATCH(B24,'NOTES CM2'!$B$10:$B$250,0)),""))</f>
        <v/>
      </c>
      <c r="J24" s="82" t="str">
        <f aca="false">IF(COUNT(F24:I24)&lt;4,"",ROUND(SUM(F24:I24)/4,2))</f>
        <v/>
      </c>
      <c r="K24" s="83" t="n">
        <f aca="false">INDEX(PARAMETRES!$D$18:$D$23,MATCH("CM2",PARAMETRES!$B$18:$B$23,0))</f>
        <v>20</v>
      </c>
      <c r="L24" s="81" t="n">
        <f aca="false">INDEX(PARAMETRES!$C$18:$C$23,MATCH("CM2",PARAMETRES!$B$18:$B$23,0))</f>
        <v>10</v>
      </c>
      <c r="M24" s="45" t="str">
        <f aca="false">IF(B24="","",IF(E24="ABANDON","ABANDON",IF(E24="TRANSFERE","TRANSFERE",IF(J24="","",IF(J24&gt;=L24,"ADMIS","REDOUBLE")))))</f>
        <v/>
      </c>
      <c r="N24" s="73" t="str">
        <f aca="false">IF(OR(J24="",E24&lt;&gt;"PRESENT"),"",COUNTIFS($E$10:$E$250,"PRESENT",$J$10:$J$250,"&gt;"&amp;J24)+1)</f>
        <v/>
      </c>
      <c r="O24" s="74" t="str">
        <f aca="false">IF(M24="ADMIS",IF(J24/K24*10&gt;=8,"Très bien",IF(J24/K24*10&gt;=7,"Bien",IF(J24/K24*10&gt;=6,"Assez bien","Passable"))),IF(M24="REDOUBLE","Insuffisant",""))</f>
        <v/>
      </c>
      <c r="P24" s="51" t="str">
        <f aca="false">IFERROR(MATCH("CM2-15",'REGISTRE ELEVES'!$AH$10:$AH$250,0),"")</f>
        <v/>
      </c>
    </row>
    <row r="25" customFormat="false" ht="15" hidden="false" customHeight="false" outlineLevel="0" collapsed="false">
      <c r="A25" s="45" t="str">
        <f aca="false">IF(B25="","",16)</f>
        <v/>
      </c>
      <c r="B25" s="45" t="str">
        <f aca="false">IF($P25="","",INDEX('REGISTRE ELEVES'!$B$10:$B$250,$P25))</f>
        <v/>
      </c>
      <c r="C25" s="74" t="str">
        <f aca="false">IF($P25="","",INDEX('REGISTRE ELEVES'!$D$10:$D$250,$P25))</f>
        <v/>
      </c>
      <c r="D25" s="45" t="str">
        <f aca="false">IF($P25="","",INDEX('REGISTRE ELEVES'!$E$10:$E$250,$P25))</f>
        <v/>
      </c>
      <c r="E25" s="45" t="str">
        <f aca="false">IF($P25="","",INDEX('REGISTRE ELEVES'!$AE$10:$AE$250,$P25))</f>
        <v/>
      </c>
      <c r="F25" s="80" t="str">
        <f aca="false">IF(B25="","",IFERROR(INDEX('NOTES CM2'!$M$10:$M$250,MATCH(B25,'NOTES CM2'!$B$10:$B$250,0)),""))</f>
        <v/>
      </c>
      <c r="G25" s="80" t="str">
        <f aca="false">IF(B25="","",IFERROR(INDEX('NOTES CM2'!$T$10:$T$250,MATCH(B25,'NOTES CM2'!$B$10:$B$250,0)),""))</f>
        <v/>
      </c>
      <c r="H25" s="80" t="str">
        <f aca="false">IF(B25="","",IFERROR(INDEX('NOTES CM2'!$AB$10:$AB$250,MATCH(B25,'NOTES CM2'!$B$10:$B$250,0)),""))</f>
        <v/>
      </c>
      <c r="I25" s="80" t="str">
        <f aca="false">IF(B25="","",IFERROR(INDEX('NOTES CM2'!$AJ$10:$AJ$250,MATCH(B25,'NOTES CM2'!$B$10:$B$250,0)),""))</f>
        <v/>
      </c>
      <c r="J25" s="82" t="str">
        <f aca="false">IF(COUNT(F25:I25)&lt;4,"",ROUND(SUM(F25:I25)/4,2))</f>
        <v/>
      </c>
      <c r="K25" s="83" t="n">
        <f aca="false">INDEX(PARAMETRES!$D$18:$D$23,MATCH("CM2",PARAMETRES!$B$18:$B$23,0))</f>
        <v>20</v>
      </c>
      <c r="L25" s="81" t="n">
        <f aca="false">INDEX(PARAMETRES!$C$18:$C$23,MATCH("CM2",PARAMETRES!$B$18:$B$23,0))</f>
        <v>10</v>
      </c>
      <c r="M25" s="45" t="str">
        <f aca="false">IF(B25="","",IF(E25="ABANDON","ABANDON",IF(E25="TRANSFERE","TRANSFERE",IF(J25="","",IF(J25&gt;=L25,"ADMIS","REDOUBLE")))))</f>
        <v/>
      </c>
      <c r="N25" s="73" t="str">
        <f aca="false">IF(OR(J25="",E25&lt;&gt;"PRESENT"),"",COUNTIFS($E$10:$E$250,"PRESENT",$J$10:$J$250,"&gt;"&amp;J25)+1)</f>
        <v/>
      </c>
      <c r="O25" s="74" t="str">
        <f aca="false">IF(M25="ADMIS",IF(J25/K25*10&gt;=8,"Très bien",IF(J25/K25*10&gt;=7,"Bien",IF(J25/K25*10&gt;=6,"Assez bien","Passable"))),IF(M25="REDOUBLE","Insuffisant",""))</f>
        <v/>
      </c>
      <c r="P25" s="51" t="str">
        <f aca="false">IFERROR(MATCH("CM2-16",'REGISTRE ELEVES'!$AH$10:$AH$250,0),"")</f>
        <v/>
      </c>
    </row>
    <row r="26" customFormat="false" ht="15" hidden="false" customHeight="false" outlineLevel="0" collapsed="false">
      <c r="A26" s="45" t="str">
        <f aca="false">IF(B26="","",17)</f>
        <v/>
      </c>
      <c r="B26" s="45" t="str">
        <f aca="false">IF($P26="","",INDEX('REGISTRE ELEVES'!$B$10:$B$250,$P26))</f>
        <v/>
      </c>
      <c r="C26" s="74" t="str">
        <f aca="false">IF($P26="","",INDEX('REGISTRE ELEVES'!$D$10:$D$250,$P26))</f>
        <v/>
      </c>
      <c r="D26" s="45" t="str">
        <f aca="false">IF($P26="","",INDEX('REGISTRE ELEVES'!$E$10:$E$250,$P26))</f>
        <v/>
      </c>
      <c r="E26" s="45" t="str">
        <f aca="false">IF($P26="","",INDEX('REGISTRE ELEVES'!$AE$10:$AE$250,$P26))</f>
        <v/>
      </c>
      <c r="F26" s="80" t="str">
        <f aca="false">IF(B26="","",IFERROR(INDEX('NOTES CM2'!$M$10:$M$250,MATCH(B26,'NOTES CM2'!$B$10:$B$250,0)),""))</f>
        <v/>
      </c>
      <c r="G26" s="80" t="str">
        <f aca="false">IF(B26="","",IFERROR(INDEX('NOTES CM2'!$T$10:$T$250,MATCH(B26,'NOTES CM2'!$B$10:$B$250,0)),""))</f>
        <v/>
      </c>
      <c r="H26" s="80" t="str">
        <f aca="false">IF(B26="","",IFERROR(INDEX('NOTES CM2'!$AB$10:$AB$250,MATCH(B26,'NOTES CM2'!$B$10:$B$250,0)),""))</f>
        <v/>
      </c>
      <c r="I26" s="80" t="str">
        <f aca="false">IF(B26="","",IFERROR(INDEX('NOTES CM2'!$AJ$10:$AJ$250,MATCH(B26,'NOTES CM2'!$B$10:$B$250,0)),""))</f>
        <v/>
      </c>
      <c r="J26" s="82" t="str">
        <f aca="false">IF(COUNT(F26:I26)&lt;4,"",ROUND(SUM(F26:I26)/4,2))</f>
        <v/>
      </c>
      <c r="K26" s="83" t="n">
        <f aca="false">INDEX(PARAMETRES!$D$18:$D$23,MATCH("CM2",PARAMETRES!$B$18:$B$23,0))</f>
        <v>20</v>
      </c>
      <c r="L26" s="81" t="n">
        <f aca="false">INDEX(PARAMETRES!$C$18:$C$23,MATCH("CM2",PARAMETRES!$B$18:$B$23,0))</f>
        <v>10</v>
      </c>
      <c r="M26" s="45" t="str">
        <f aca="false">IF(B26="","",IF(E26="ABANDON","ABANDON",IF(E26="TRANSFERE","TRANSFERE",IF(J26="","",IF(J26&gt;=L26,"ADMIS","REDOUBLE")))))</f>
        <v/>
      </c>
      <c r="N26" s="73" t="str">
        <f aca="false">IF(OR(J26="",E26&lt;&gt;"PRESENT"),"",COUNTIFS($E$10:$E$250,"PRESENT",$J$10:$J$250,"&gt;"&amp;J26)+1)</f>
        <v/>
      </c>
      <c r="O26" s="74" t="str">
        <f aca="false">IF(M26="ADMIS",IF(J26/K26*10&gt;=8,"Très bien",IF(J26/K26*10&gt;=7,"Bien",IF(J26/K26*10&gt;=6,"Assez bien","Passable"))),IF(M26="REDOUBLE","Insuffisant",""))</f>
        <v/>
      </c>
      <c r="P26" s="51" t="str">
        <f aca="false">IFERROR(MATCH("CM2-17",'REGISTRE ELEVES'!$AH$10:$AH$250,0),"")</f>
        <v/>
      </c>
    </row>
    <row r="27" customFormat="false" ht="15" hidden="false" customHeight="false" outlineLevel="0" collapsed="false">
      <c r="A27" s="45" t="str">
        <f aca="false">IF(B27="","",18)</f>
        <v/>
      </c>
      <c r="B27" s="45" t="str">
        <f aca="false">IF($P27="","",INDEX('REGISTRE ELEVES'!$B$10:$B$250,$P27))</f>
        <v/>
      </c>
      <c r="C27" s="74" t="str">
        <f aca="false">IF($P27="","",INDEX('REGISTRE ELEVES'!$D$10:$D$250,$P27))</f>
        <v/>
      </c>
      <c r="D27" s="45" t="str">
        <f aca="false">IF($P27="","",INDEX('REGISTRE ELEVES'!$E$10:$E$250,$P27))</f>
        <v/>
      </c>
      <c r="E27" s="45" t="str">
        <f aca="false">IF($P27="","",INDEX('REGISTRE ELEVES'!$AE$10:$AE$250,$P27))</f>
        <v/>
      </c>
      <c r="F27" s="80" t="str">
        <f aca="false">IF(B27="","",IFERROR(INDEX('NOTES CM2'!$M$10:$M$250,MATCH(B27,'NOTES CM2'!$B$10:$B$250,0)),""))</f>
        <v/>
      </c>
      <c r="G27" s="80" t="str">
        <f aca="false">IF(B27="","",IFERROR(INDEX('NOTES CM2'!$T$10:$T$250,MATCH(B27,'NOTES CM2'!$B$10:$B$250,0)),""))</f>
        <v/>
      </c>
      <c r="H27" s="80" t="str">
        <f aca="false">IF(B27="","",IFERROR(INDEX('NOTES CM2'!$AB$10:$AB$250,MATCH(B27,'NOTES CM2'!$B$10:$B$250,0)),""))</f>
        <v/>
      </c>
      <c r="I27" s="80" t="str">
        <f aca="false">IF(B27="","",IFERROR(INDEX('NOTES CM2'!$AJ$10:$AJ$250,MATCH(B27,'NOTES CM2'!$B$10:$B$250,0)),""))</f>
        <v/>
      </c>
      <c r="J27" s="82" t="str">
        <f aca="false">IF(COUNT(F27:I27)&lt;4,"",ROUND(SUM(F27:I27)/4,2))</f>
        <v/>
      </c>
      <c r="K27" s="83" t="n">
        <f aca="false">INDEX(PARAMETRES!$D$18:$D$23,MATCH("CM2",PARAMETRES!$B$18:$B$23,0))</f>
        <v>20</v>
      </c>
      <c r="L27" s="81" t="n">
        <f aca="false">INDEX(PARAMETRES!$C$18:$C$23,MATCH("CM2",PARAMETRES!$B$18:$B$23,0))</f>
        <v>10</v>
      </c>
      <c r="M27" s="45" t="str">
        <f aca="false">IF(B27="","",IF(E27="ABANDON","ABANDON",IF(E27="TRANSFERE","TRANSFERE",IF(J27="","",IF(J27&gt;=L27,"ADMIS","REDOUBLE")))))</f>
        <v/>
      </c>
      <c r="N27" s="73" t="str">
        <f aca="false">IF(OR(J27="",E27&lt;&gt;"PRESENT"),"",COUNTIFS($E$10:$E$250,"PRESENT",$J$10:$J$250,"&gt;"&amp;J27)+1)</f>
        <v/>
      </c>
      <c r="O27" s="74" t="str">
        <f aca="false">IF(M27="ADMIS",IF(J27/K27*10&gt;=8,"Très bien",IF(J27/K27*10&gt;=7,"Bien",IF(J27/K27*10&gt;=6,"Assez bien","Passable"))),IF(M27="REDOUBLE","Insuffisant",""))</f>
        <v/>
      </c>
      <c r="P27" s="51" t="str">
        <f aca="false">IFERROR(MATCH("CM2-18",'REGISTRE ELEVES'!$AH$10:$AH$250,0),"")</f>
        <v/>
      </c>
    </row>
    <row r="28" customFormat="false" ht="15" hidden="false" customHeight="false" outlineLevel="0" collapsed="false">
      <c r="A28" s="45" t="str">
        <f aca="false">IF(B28="","",19)</f>
        <v/>
      </c>
      <c r="B28" s="45" t="str">
        <f aca="false">IF($P28="","",INDEX('REGISTRE ELEVES'!$B$10:$B$250,$P28))</f>
        <v/>
      </c>
      <c r="C28" s="74" t="str">
        <f aca="false">IF($P28="","",INDEX('REGISTRE ELEVES'!$D$10:$D$250,$P28))</f>
        <v/>
      </c>
      <c r="D28" s="45" t="str">
        <f aca="false">IF($P28="","",INDEX('REGISTRE ELEVES'!$E$10:$E$250,$P28))</f>
        <v/>
      </c>
      <c r="E28" s="45" t="str">
        <f aca="false">IF($P28="","",INDEX('REGISTRE ELEVES'!$AE$10:$AE$250,$P28))</f>
        <v/>
      </c>
      <c r="F28" s="80" t="str">
        <f aca="false">IF(B28="","",IFERROR(INDEX('NOTES CM2'!$M$10:$M$250,MATCH(B28,'NOTES CM2'!$B$10:$B$250,0)),""))</f>
        <v/>
      </c>
      <c r="G28" s="80" t="str">
        <f aca="false">IF(B28="","",IFERROR(INDEX('NOTES CM2'!$T$10:$T$250,MATCH(B28,'NOTES CM2'!$B$10:$B$250,0)),""))</f>
        <v/>
      </c>
      <c r="H28" s="80" t="str">
        <f aca="false">IF(B28="","",IFERROR(INDEX('NOTES CM2'!$AB$10:$AB$250,MATCH(B28,'NOTES CM2'!$B$10:$B$250,0)),""))</f>
        <v/>
      </c>
      <c r="I28" s="80" t="str">
        <f aca="false">IF(B28="","",IFERROR(INDEX('NOTES CM2'!$AJ$10:$AJ$250,MATCH(B28,'NOTES CM2'!$B$10:$B$250,0)),""))</f>
        <v/>
      </c>
      <c r="J28" s="82" t="str">
        <f aca="false">IF(COUNT(F28:I28)&lt;4,"",ROUND(SUM(F28:I28)/4,2))</f>
        <v/>
      </c>
      <c r="K28" s="83" t="n">
        <f aca="false">INDEX(PARAMETRES!$D$18:$D$23,MATCH("CM2",PARAMETRES!$B$18:$B$23,0))</f>
        <v>20</v>
      </c>
      <c r="L28" s="81" t="n">
        <f aca="false">INDEX(PARAMETRES!$C$18:$C$23,MATCH("CM2",PARAMETRES!$B$18:$B$23,0))</f>
        <v>10</v>
      </c>
      <c r="M28" s="45" t="str">
        <f aca="false">IF(B28="","",IF(E28="ABANDON","ABANDON",IF(E28="TRANSFERE","TRANSFERE",IF(J28="","",IF(J28&gt;=L28,"ADMIS","REDOUBLE")))))</f>
        <v/>
      </c>
      <c r="N28" s="73" t="str">
        <f aca="false">IF(OR(J28="",E28&lt;&gt;"PRESENT"),"",COUNTIFS($E$10:$E$250,"PRESENT",$J$10:$J$250,"&gt;"&amp;J28)+1)</f>
        <v/>
      </c>
      <c r="O28" s="74" t="str">
        <f aca="false">IF(M28="ADMIS",IF(J28/K28*10&gt;=8,"Très bien",IF(J28/K28*10&gt;=7,"Bien",IF(J28/K28*10&gt;=6,"Assez bien","Passable"))),IF(M28="REDOUBLE","Insuffisant",""))</f>
        <v/>
      </c>
      <c r="P28" s="51" t="str">
        <f aca="false">IFERROR(MATCH("CM2-19",'REGISTRE ELEVES'!$AH$10:$AH$250,0),"")</f>
        <v/>
      </c>
    </row>
    <row r="29" customFormat="false" ht="15" hidden="false" customHeight="false" outlineLevel="0" collapsed="false">
      <c r="A29" s="45" t="str">
        <f aca="false">IF(B29="","",20)</f>
        <v/>
      </c>
      <c r="B29" s="45" t="str">
        <f aca="false">IF($P29="","",INDEX('REGISTRE ELEVES'!$B$10:$B$250,$P29))</f>
        <v/>
      </c>
      <c r="C29" s="74" t="str">
        <f aca="false">IF($P29="","",INDEX('REGISTRE ELEVES'!$D$10:$D$250,$P29))</f>
        <v/>
      </c>
      <c r="D29" s="45" t="str">
        <f aca="false">IF($P29="","",INDEX('REGISTRE ELEVES'!$E$10:$E$250,$P29))</f>
        <v/>
      </c>
      <c r="E29" s="45" t="str">
        <f aca="false">IF($P29="","",INDEX('REGISTRE ELEVES'!$AE$10:$AE$250,$P29))</f>
        <v/>
      </c>
      <c r="F29" s="80" t="str">
        <f aca="false">IF(B29="","",IFERROR(INDEX('NOTES CM2'!$M$10:$M$250,MATCH(B29,'NOTES CM2'!$B$10:$B$250,0)),""))</f>
        <v/>
      </c>
      <c r="G29" s="80" t="str">
        <f aca="false">IF(B29="","",IFERROR(INDEX('NOTES CM2'!$T$10:$T$250,MATCH(B29,'NOTES CM2'!$B$10:$B$250,0)),""))</f>
        <v/>
      </c>
      <c r="H29" s="80" t="str">
        <f aca="false">IF(B29="","",IFERROR(INDEX('NOTES CM2'!$AB$10:$AB$250,MATCH(B29,'NOTES CM2'!$B$10:$B$250,0)),""))</f>
        <v/>
      </c>
      <c r="I29" s="80" t="str">
        <f aca="false">IF(B29="","",IFERROR(INDEX('NOTES CM2'!$AJ$10:$AJ$250,MATCH(B29,'NOTES CM2'!$B$10:$B$250,0)),""))</f>
        <v/>
      </c>
      <c r="J29" s="82" t="str">
        <f aca="false">IF(COUNT(F29:I29)&lt;4,"",ROUND(SUM(F29:I29)/4,2))</f>
        <v/>
      </c>
      <c r="K29" s="83" t="n">
        <f aca="false">INDEX(PARAMETRES!$D$18:$D$23,MATCH("CM2",PARAMETRES!$B$18:$B$23,0))</f>
        <v>20</v>
      </c>
      <c r="L29" s="81" t="n">
        <f aca="false">INDEX(PARAMETRES!$C$18:$C$23,MATCH("CM2",PARAMETRES!$B$18:$B$23,0))</f>
        <v>10</v>
      </c>
      <c r="M29" s="45" t="str">
        <f aca="false">IF(B29="","",IF(E29="ABANDON","ABANDON",IF(E29="TRANSFERE","TRANSFERE",IF(J29="","",IF(J29&gt;=L29,"ADMIS","REDOUBLE")))))</f>
        <v/>
      </c>
      <c r="N29" s="73" t="str">
        <f aca="false">IF(OR(J29="",E29&lt;&gt;"PRESENT"),"",COUNTIFS($E$10:$E$250,"PRESENT",$J$10:$J$250,"&gt;"&amp;J29)+1)</f>
        <v/>
      </c>
      <c r="O29" s="74" t="str">
        <f aca="false">IF(M29="ADMIS",IF(J29/K29*10&gt;=8,"Très bien",IF(J29/K29*10&gt;=7,"Bien",IF(J29/K29*10&gt;=6,"Assez bien","Passable"))),IF(M29="REDOUBLE","Insuffisant",""))</f>
        <v/>
      </c>
      <c r="P29" s="51" t="str">
        <f aca="false">IFERROR(MATCH("CM2-20",'REGISTRE ELEVES'!$AH$10:$AH$250,0),"")</f>
        <v/>
      </c>
    </row>
    <row r="30" customFormat="false" ht="15" hidden="false" customHeight="false" outlineLevel="0" collapsed="false">
      <c r="A30" s="45" t="str">
        <f aca="false">IF(B30="","",21)</f>
        <v/>
      </c>
      <c r="B30" s="45" t="str">
        <f aca="false">IF($P30="","",INDEX('REGISTRE ELEVES'!$B$10:$B$250,$P30))</f>
        <v/>
      </c>
      <c r="C30" s="74" t="str">
        <f aca="false">IF($P30="","",INDEX('REGISTRE ELEVES'!$D$10:$D$250,$P30))</f>
        <v/>
      </c>
      <c r="D30" s="45" t="str">
        <f aca="false">IF($P30="","",INDEX('REGISTRE ELEVES'!$E$10:$E$250,$P30))</f>
        <v/>
      </c>
      <c r="E30" s="45" t="str">
        <f aca="false">IF($P30="","",INDEX('REGISTRE ELEVES'!$AE$10:$AE$250,$P30))</f>
        <v/>
      </c>
      <c r="F30" s="80" t="str">
        <f aca="false">IF(B30="","",IFERROR(INDEX('NOTES CM2'!$M$10:$M$250,MATCH(B30,'NOTES CM2'!$B$10:$B$250,0)),""))</f>
        <v/>
      </c>
      <c r="G30" s="80" t="str">
        <f aca="false">IF(B30="","",IFERROR(INDEX('NOTES CM2'!$T$10:$T$250,MATCH(B30,'NOTES CM2'!$B$10:$B$250,0)),""))</f>
        <v/>
      </c>
      <c r="H30" s="80" t="str">
        <f aca="false">IF(B30="","",IFERROR(INDEX('NOTES CM2'!$AB$10:$AB$250,MATCH(B30,'NOTES CM2'!$B$10:$B$250,0)),""))</f>
        <v/>
      </c>
      <c r="I30" s="80" t="str">
        <f aca="false">IF(B30="","",IFERROR(INDEX('NOTES CM2'!$AJ$10:$AJ$250,MATCH(B30,'NOTES CM2'!$B$10:$B$250,0)),""))</f>
        <v/>
      </c>
      <c r="J30" s="82" t="str">
        <f aca="false">IF(COUNT(F30:I30)&lt;4,"",ROUND(SUM(F30:I30)/4,2))</f>
        <v/>
      </c>
      <c r="K30" s="83" t="n">
        <f aca="false">INDEX(PARAMETRES!$D$18:$D$23,MATCH("CM2",PARAMETRES!$B$18:$B$23,0))</f>
        <v>20</v>
      </c>
      <c r="L30" s="81" t="n">
        <f aca="false">INDEX(PARAMETRES!$C$18:$C$23,MATCH("CM2",PARAMETRES!$B$18:$B$23,0))</f>
        <v>10</v>
      </c>
      <c r="M30" s="45" t="str">
        <f aca="false">IF(B30="","",IF(E30="ABANDON","ABANDON",IF(E30="TRANSFERE","TRANSFERE",IF(J30="","",IF(J30&gt;=L30,"ADMIS","REDOUBLE")))))</f>
        <v/>
      </c>
      <c r="N30" s="73" t="str">
        <f aca="false">IF(OR(J30="",E30&lt;&gt;"PRESENT"),"",COUNTIFS($E$10:$E$250,"PRESENT",$J$10:$J$250,"&gt;"&amp;J30)+1)</f>
        <v/>
      </c>
      <c r="O30" s="74" t="str">
        <f aca="false">IF(M30="ADMIS",IF(J30/K30*10&gt;=8,"Très bien",IF(J30/K30*10&gt;=7,"Bien",IF(J30/K30*10&gt;=6,"Assez bien","Passable"))),IF(M30="REDOUBLE","Insuffisant",""))</f>
        <v/>
      </c>
      <c r="P30" s="51" t="str">
        <f aca="false">IFERROR(MATCH("CM2-21",'REGISTRE ELEVES'!$AH$10:$AH$250,0),"")</f>
        <v/>
      </c>
    </row>
    <row r="31" customFormat="false" ht="15" hidden="false" customHeight="false" outlineLevel="0" collapsed="false">
      <c r="A31" s="45" t="str">
        <f aca="false">IF(B31="","",22)</f>
        <v/>
      </c>
      <c r="B31" s="45" t="str">
        <f aca="false">IF($P31="","",INDEX('REGISTRE ELEVES'!$B$10:$B$250,$P31))</f>
        <v/>
      </c>
      <c r="C31" s="74" t="str">
        <f aca="false">IF($P31="","",INDEX('REGISTRE ELEVES'!$D$10:$D$250,$P31))</f>
        <v/>
      </c>
      <c r="D31" s="45" t="str">
        <f aca="false">IF($P31="","",INDEX('REGISTRE ELEVES'!$E$10:$E$250,$P31))</f>
        <v/>
      </c>
      <c r="E31" s="45" t="str">
        <f aca="false">IF($P31="","",INDEX('REGISTRE ELEVES'!$AE$10:$AE$250,$P31))</f>
        <v/>
      </c>
      <c r="F31" s="80" t="str">
        <f aca="false">IF(B31="","",IFERROR(INDEX('NOTES CM2'!$M$10:$M$250,MATCH(B31,'NOTES CM2'!$B$10:$B$250,0)),""))</f>
        <v/>
      </c>
      <c r="G31" s="80" t="str">
        <f aca="false">IF(B31="","",IFERROR(INDEX('NOTES CM2'!$T$10:$T$250,MATCH(B31,'NOTES CM2'!$B$10:$B$250,0)),""))</f>
        <v/>
      </c>
      <c r="H31" s="80" t="str">
        <f aca="false">IF(B31="","",IFERROR(INDEX('NOTES CM2'!$AB$10:$AB$250,MATCH(B31,'NOTES CM2'!$B$10:$B$250,0)),""))</f>
        <v/>
      </c>
      <c r="I31" s="80" t="str">
        <f aca="false">IF(B31="","",IFERROR(INDEX('NOTES CM2'!$AJ$10:$AJ$250,MATCH(B31,'NOTES CM2'!$B$10:$B$250,0)),""))</f>
        <v/>
      </c>
      <c r="J31" s="82" t="str">
        <f aca="false">IF(COUNT(F31:I31)&lt;4,"",ROUND(SUM(F31:I31)/4,2))</f>
        <v/>
      </c>
      <c r="K31" s="83" t="n">
        <f aca="false">INDEX(PARAMETRES!$D$18:$D$23,MATCH("CM2",PARAMETRES!$B$18:$B$23,0))</f>
        <v>20</v>
      </c>
      <c r="L31" s="81" t="n">
        <f aca="false">INDEX(PARAMETRES!$C$18:$C$23,MATCH("CM2",PARAMETRES!$B$18:$B$23,0))</f>
        <v>10</v>
      </c>
      <c r="M31" s="45" t="str">
        <f aca="false">IF(B31="","",IF(E31="ABANDON","ABANDON",IF(E31="TRANSFERE","TRANSFERE",IF(J31="","",IF(J31&gt;=L31,"ADMIS","REDOUBLE")))))</f>
        <v/>
      </c>
      <c r="N31" s="73" t="str">
        <f aca="false">IF(OR(J31="",E31&lt;&gt;"PRESENT"),"",COUNTIFS($E$10:$E$250,"PRESENT",$J$10:$J$250,"&gt;"&amp;J31)+1)</f>
        <v/>
      </c>
      <c r="O31" s="74" t="str">
        <f aca="false">IF(M31="ADMIS",IF(J31/K31*10&gt;=8,"Très bien",IF(J31/K31*10&gt;=7,"Bien",IF(J31/K31*10&gt;=6,"Assez bien","Passable"))),IF(M31="REDOUBLE","Insuffisant",""))</f>
        <v/>
      </c>
      <c r="P31" s="51" t="str">
        <f aca="false">IFERROR(MATCH("CM2-22",'REGISTRE ELEVES'!$AH$10:$AH$250,0),"")</f>
        <v/>
      </c>
    </row>
    <row r="32" customFormat="false" ht="15" hidden="false" customHeight="false" outlineLevel="0" collapsed="false">
      <c r="A32" s="45" t="str">
        <f aca="false">IF(B32="","",23)</f>
        <v/>
      </c>
      <c r="B32" s="45" t="str">
        <f aca="false">IF($P32="","",INDEX('REGISTRE ELEVES'!$B$10:$B$250,$P32))</f>
        <v/>
      </c>
      <c r="C32" s="74" t="str">
        <f aca="false">IF($P32="","",INDEX('REGISTRE ELEVES'!$D$10:$D$250,$P32))</f>
        <v/>
      </c>
      <c r="D32" s="45" t="str">
        <f aca="false">IF($P32="","",INDEX('REGISTRE ELEVES'!$E$10:$E$250,$P32))</f>
        <v/>
      </c>
      <c r="E32" s="45" t="str">
        <f aca="false">IF($P32="","",INDEX('REGISTRE ELEVES'!$AE$10:$AE$250,$P32))</f>
        <v/>
      </c>
      <c r="F32" s="80" t="str">
        <f aca="false">IF(B32="","",IFERROR(INDEX('NOTES CM2'!$M$10:$M$250,MATCH(B32,'NOTES CM2'!$B$10:$B$250,0)),""))</f>
        <v/>
      </c>
      <c r="G32" s="80" t="str">
        <f aca="false">IF(B32="","",IFERROR(INDEX('NOTES CM2'!$T$10:$T$250,MATCH(B32,'NOTES CM2'!$B$10:$B$250,0)),""))</f>
        <v/>
      </c>
      <c r="H32" s="80" t="str">
        <f aca="false">IF(B32="","",IFERROR(INDEX('NOTES CM2'!$AB$10:$AB$250,MATCH(B32,'NOTES CM2'!$B$10:$B$250,0)),""))</f>
        <v/>
      </c>
      <c r="I32" s="80" t="str">
        <f aca="false">IF(B32="","",IFERROR(INDEX('NOTES CM2'!$AJ$10:$AJ$250,MATCH(B32,'NOTES CM2'!$B$10:$B$250,0)),""))</f>
        <v/>
      </c>
      <c r="J32" s="82" t="str">
        <f aca="false">IF(COUNT(F32:I32)&lt;4,"",ROUND(SUM(F32:I32)/4,2))</f>
        <v/>
      </c>
      <c r="K32" s="83" t="n">
        <f aca="false">INDEX(PARAMETRES!$D$18:$D$23,MATCH("CM2",PARAMETRES!$B$18:$B$23,0))</f>
        <v>20</v>
      </c>
      <c r="L32" s="81" t="n">
        <f aca="false">INDEX(PARAMETRES!$C$18:$C$23,MATCH("CM2",PARAMETRES!$B$18:$B$23,0))</f>
        <v>10</v>
      </c>
      <c r="M32" s="45" t="str">
        <f aca="false">IF(B32="","",IF(E32="ABANDON","ABANDON",IF(E32="TRANSFERE","TRANSFERE",IF(J32="","",IF(J32&gt;=L32,"ADMIS","REDOUBLE")))))</f>
        <v/>
      </c>
      <c r="N32" s="73" t="str">
        <f aca="false">IF(OR(J32="",E32&lt;&gt;"PRESENT"),"",COUNTIFS($E$10:$E$250,"PRESENT",$J$10:$J$250,"&gt;"&amp;J32)+1)</f>
        <v/>
      </c>
      <c r="O32" s="74" t="str">
        <f aca="false">IF(M32="ADMIS",IF(J32/K32*10&gt;=8,"Très bien",IF(J32/K32*10&gt;=7,"Bien",IF(J32/K32*10&gt;=6,"Assez bien","Passable"))),IF(M32="REDOUBLE","Insuffisant",""))</f>
        <v/>
      </c>
      <c r="P32" s="51" t="str">
        <f aca="false">IFERROR(MATCH("CM2-23",'REGISTRE ELEVES'!$AH$10:$AH$250,0),"")</f>
        <v/>
      </c>
    </row>
    <row r="33" customFormat="false" ht="15" hidden="false" customHeight="false" outlineLevel="0" collapsed="false">
      <c r="A33" s="45" t="str">
        <f aca="false">IF(B33="","",24)</f>
        <v/>
      </c>
      <c r="B33" s="45" t="str">
        <f aca="false">IF($P33="","",INDEX('REGISTRE ELEVES'!$B$10:$B$250,$P33))</f>
        <v/>
      </c>
      <c r="C33" s="74" t="str">
        <f aca="false">IF($P33="","",INDEX('REGISTRE ELEVES'!$D$10:$D$250,$P33))</f>
        <v/>
      </c>
      <c r="D33" s="45" t="str">
        <f aca="false">IF($P33="","",INDEX('REGISTRE ELEVES'!$E$10:$E$250,$P33))</f>
        <v/>
      </c>
      <c r="E33" s="45" t="str">
        <f aca="false">IF($P33="","",INDEX('REGISTRE ELEVES'!$AE$10:$AE$250,$P33))</f>
        <v/>
      </c>
      <c r="F33" s="80" t="str">
        <f aca="false">IF(B33="","",IFERROR(INDEX('NOTES CM2'!$M$10:$M$250,MATCH(B33,'NOTES CM2'!$B$10:$B$250,0)),""))</f>
        <v/>
      </c>
      <c r="G33" s="80" t="str">
        <f aca="false">IF(B33="","",IFERROR(INDEX('NOTES CM2'!$T$10:$T$250,MATCH(B33,'NOTES CM2'!$B$10:$B$250,0)),""))</f>
        <v/>
      </c>
      <c r="H33" s="80" t="str">
        <f aca="false">IF(B33="","",IFERROR(INDEX('NOTES CM2'!$AB$10:$AB$250,MATCH(B33,'NOTES CM2'!$B$10:$B$250,0)),""))</f>
        <v/>
      </c>
      <c r="I33" s="80" t="str">
        <f aca="false">IF(B33="","",IFERROR(INDEX('NOTES CM2'!$AJ$10:$AJ$250,MATCH(B33,'NOTES CM2'!$B$10:$B$250,0)),""))</f>
        <v/>
      </c>
      <c r="J33" s="82" t="str">
        <f aca="false">IF(COUNT(F33:I33)&lt;4,"",ROUND(SUM(F33:I33)/4,2))</f>
        <v/>
      </c>
      <c r="K33" s="83" t="n">
        <f aca="false">INDEX(PARAMETRES!$D$18:$D$23,MATCH("CM2",PARAMETRES!$B$18:$B$23,0))</f>
        <v>20</v>
      </c>
      <c r="L33" s="81" t="n">
        <f aca="false">INDEX(PARAMETRES!$C$18:$C$23,MATCH("CM2",PARAMETRES!$B$18:$B$23,0))</f>
        <v>10</v>
      </c>
      <c r="M33" s="45" t="str">
        <f aca="false">IF(B33="","",IF(E33="ABANDON","ABANDON",IF(E33="TRANSFERE","TRANSFERE",IF(J33="","",IF(J33&gt;=L33,"ADMIS","REDOUBLE")))))</f>
        <v/>
      </c>
      <c r="N33" s="73" t="str">
        <f aca="false">IF(OR(J33="",E33&lt;&gt;"PRESENT"),"",COUNTIFS($E$10:$E$250,"PRESENT",$J$10:$J$250,"&gt;"&amp;J33)+1)</f>
        <v/>
      </c>
      <c r="O33" s="74" t="str">
        <f aca="false">IF(M33="ADMIS",IF(J33/K33*10&gt;=8,"Très bien",IF(J33/K33*10&gt;=7,"Bien",IF(J33/K33*10&gt;=6,"Assez bien","Passable"))),IF(M33="REDOUBLE","Insuffisant",""))</f>
        <v/>
      </c>
      <c r="P33" s="51" t="str">
        <f aca="false">IFERROR(MATCH("CM2-24",'REGISTRE ELEVES'!$AH$10:$AH$250,0),"")</f>
        <v/>
      </c>
    </row>
    <row r="34" customFormat="false" ht="15" hidden="false" customHeight="false" outlineLevel="0" collapsed="false">
      <c r="A34" s="45" t="str">
        <f aca="false">IF(B34="","",25)</f>
        <v/>
      </c>
      <c r="B34" s="45" t="str">
        <f aca="false">IF($P34="","",INDEX('REGISTRE ELEVES'!$B$10:$B$250,$P34))</f>
        <v/>
      </c>
      <c r="C34" s="74" t="str">
        <f aca="false">IF($P34="","",INDEX('REGISTRE ELEVES'!$D$10:$D$250,$P34))</f>
        <v/>
      </c>
      <c r="D34" s="45" t="str">
        <f aca="false">IF($P34="","",INDEX('REGISTRE ELEVES'!$E$10:$E$250,$P34))</f>
        <v/>
      </c>
      <c r="E34" s="45" t="str">
        <f aca="false">IF($P34="","",INDEX('REGISTRE ELEVES'!$AE$10:$AE$250,$P34))</f>
        <v/>
      </c>
      <c r="F34" s="80" t="str">
        <f aca="false">IF(B34="","",IFERROR(INDEX('NOTES CM2'!$M$10:$M$250,MATCH(B34,'NOTES CM2'!$B$10:$B$250,0)),""))</f>
        <v/>
      </c>
      <c r="G34" s="80" t="str">
        <f aca="false">IF(B34="","",IFERROR(INDEX('NOTES CM2'!$T$10:$T$250,MATCH(B34,'NOTES CM2'!$B$10:$B$250,0)),""))</f>
        <v/>
      </c>
      <c r="H34" s="80" t="str">
        <f aca="false">IF(B34="","",IFERROR(INDEX('NOTES CM2'!$AB$10:$AB$250,MATCH(B34,'NOTES CM2'!$B$10:$B$250,0)),""))</f>
        <v/>
      </c>
      <c r="I34" s="80" t="str">
        <f aca="false">IF(B34="","",IFERROR(INDEX('NOTES CM2'!$AJ$10:$AJ$250,MATCH(B34,'NOTES CM2'!$B$10:$B$250,0)),""))</f>
        <v/>
      </c>
      <c r="J34" s="82" t="str">
        <f aca="false">IF(COUNT(F34:I34)&lt;4,"",ROUND(SUM(F34:I34)/4,2))</f>
        <v/>
      </c>
      <c r="K34" s="83" t="n">
        <f aca="false">INDEX(PARAMETRES!$D$18:$D$23,MATCH("CM2",PARAMETRES!$B$18:$B$23,0))</f>
        <v>20</v>
      </c>
      <c r="L34" s="81" t="n">
        <f aca="false">INDEX(PARAMETRES!$C$18:$C$23,MATCH("CM2",PARAMETRES!$B$18:$B$23,0))</f>
        <v>10</v>
      </c>
      <c r="M34" s="45" t="str">
        <f aca="false">IF(B34="","",IF(E34="ABANDON","ABANDON",IF(E34="TRANSFERE","TRANSFERE",IF(J34="","",IF(J34&gt;=L34,"ADMIS","REDOUBLE")))))</f>
        <v/>
      </c>
      <c r="N34" s="73" t="str">
        <f aca="false">IF(OR(J34="",E34&lt;&gt;"PRESENT"),"",COUNTIFS($E$10:$E$250,"PRESENT",$J$10:$J$250,"&gt;"&amp;J34)+1)</f>
        <v/>
      </c>
      <c r="O34" s="74" t="str">
        <f aca="false">IF(M34="ADMIS",IF(J34/K34*10&gt;=8,"Très bien",IF(J34/K34*10&gt;=7,"Bien",IF(J34/K34*10&gt;=6,"Assez bien","Passable"))),IF(M34="REDOUBLE","Insuffisant",""))</f>
        <v/>
      </c>
      <c r="P34" s="51" t="str">
        <f aca="false">IFERROR(MATCH("CM2-25",'REGISTRE ELEVES'!$AH$10:$AH$250,0),"")</f>
        <v/>
      </c>
    </row>
    <row r="35" customFormat="false" ht="15" hidden="false" customHeight="false" outlineLevel="0" collapsed="false">
      <c r="A35" s="45" t="str">
        <f aca="false">IF(B35="","",26)</f>
        <v/>
      </c>
      <c r="B35" s="45" t="str">
        <f aca="false">IF($P35="","",INDEX('REGISTRE ELEVES'!$B$10:$B$250,$P35))</f>
        <v/>
      </c>
      <c r="C35" s="74" t="str">
        <f aca="false">IF($P35="","",INDEX('REGISTRE ELEVES'!$D$10:$D$250,$P35))</f>
        <v/>
      </c>
      <c r="D35" s="45" t="str">
        <f aca="false">IF($P35="","",INDEX('REGISTRE ELEVES'!$E$10:$E$250,$P35))</f>
        <v/>
      </c>
      <c r="E35" s="45" t="str">
        <f aca="false">IF($P35="","",INDEX('REGISTRE ELEVES'!$AE$10:$AE$250,$P35))</f>
        <v/>
      </c>
      <c r="F35" s="80" t="str">
        <f aca="false">IF(B35="","",IFERROR(INDEX('NOTES CM2'!$M$10:$M$250,MATCH(B35,'NOTES CM2'!$B$10:$B$250,0)),""))</f>
        <v/>
      </c>
      <c r="G35" s="80" t="str">
        <f aca="false">IF(B35="","",IFERROR(INDEX('NOTES CM2'!$T$10:$T$250,MATCH(B35,'NOTES CM2'!$B$10:$B$250,0)),""))</f>
        <v/>
      </c>
      <c r="H35" s="80" t="str">
        <f aca="false">IF(B35="","",IFERROR(INDEX('NOTES CM2'!$AB$10:$AB$250,MATCH(B35,'NOTES CM2'!$B$10:$B$250,0)),""))</f>
        <v/>
      </c>
      <c r="I35" s="80" t="str">
        <f aca="false">IF(B35="","",IFERROR(INDEX('NOTES CM2'!$AJ$10:$AJ$250,MATCH(B35,'NOTES CM2'!$B$10:$B$250,0)),""))</f>
        <v/>
      </c>
      <c r="J35" s="82" t="str">
        <f aca="false">IF(COUNT(F35:I35)&lt;4,"",ROUND(SUM(F35:I35)/4,2))</f>
        <v/>
      </c>
      <c r="K35" s="83" t="n">
        <f aca="false">INDEX(PARAMETRES!$D$18:$D$23,MATCH("CM2",PARAMETRES!$B$18:$B$23,0))</f>
        <v>20</v>
      </c>
      <c r="L35" s="81" t="n">
        <f aca="false">INDEX(PARAMETRES!$C$18:$C$23,MATCH("CM2",PARAMETRES!$B$18:$B$23,0))</f>
        <v>10</v>
      </c>
      <c r="M35" s="45" t="str">
        <f aca="false">IF(B35="","",IF(E35="ABANDON","ABANDON",IF(E35="TRANSFERE","TRANSFERE",IF(J35="","",IF(J35&gt;=L35,"ADMIS","REDOUBLE")))))</f>
        <v/>
      </c>
      <c r="N35" s="73" t="str">
        <f aca="false">IF(OR(J35="",E35&lt;&gt;"PRESENT"),"",COUNTIFS($E$10:$E$250,"PRESENT",$J$10:$J$250,"&gt;"&amp;J35)+1)</f>
        <v/>
      </c>
      <c r="O35" s="74" t="str">
        <f aca="false">IF(M35="ADMIS",IF(J35/K35*10&gt;=8,"Très bien",IF(J35/K35*10&gt;=7,"Bien",IF(J35/K35*10&gt;=6,"Assez bien","Passable"))),IF(M35="REDOUBLE","Insuffisant",""))</f>
        <v/>
      </c>
      <c r="P35" s="51" t="str">
        <f aca="false">IFERROR(MATCH("CM2-26",'REGISTRE ELEVES'!$AH$10:$AH$250,0),"")</f>
        <v/>
      </c>
    </row>
    <row r="36" customFormat="false" ht="15" hidden="false" customHeight="false" outlineLevel="0" collapsed="false">
      <c r="A36" s="45" t="str">
        <f aca="false">IF(B36="","",27)</f>
        <v/>
      </c>
      <c r="B36" s="45" t="str">
        <f aca="false">IF($P36="","",INDEX('REGISTRE ELEVES'!$B$10:$B$250,$P36))</f>
        <v/>
      </c>
      <c r="C36" s="74" t="str">
        <f aca="false">IF($P36="","",INDEX('REGISTRE ELEVES'!$D$10:$D$250,$P36))</f>
        <v/>
      </c>
      <c r="D36" s="45" t="str">
        <f aca="false">IF($P36="","",INDEX('REGISTRE ELEVES'!$E$10:$E$250,$P36))</f>
        <v/>
      </c>
      <c r="E36" s="45" t="str">
        <f aca="false">IF($P36="","",INDEX('REGISTRE ELEVES'!$AE$10:$AE$250,$P36))</f>
        <v/>
      </c>
      <c r="F36" s="80" t="str">
        <f aca="false">IF(B36="","",IFERROR(INDEX('NOTES CM2'!$M$10:$M$250,MATCH(B36,'NOTES CM2'!$B$10:$B$250,0)),""))</f>
        <v/>
      </c>
      <c r="G36" s="80" t="str">
        <f aca="false">IF(B36="","",IFERROR(INDEX('NOTES CM2'!$T$10:$T$250,MATCH(B36,'NOTES CM2'!$B$10:$B$250,0)),""))</f>
        <v/>
      </c>
      <c r="H36" s="80" t="str">
        <f aca="false">IF(B36="","",IFERROR(INDEX('NOTES CM2'!$AB$10:$AB$250,MATCH(B36,'NOTES CM2'!$B$10:$B$250,0)),""))</f>
        <v/>
      </c>
      <c r="I36" s="80" t="str">
        <f aca="false">IF(B36="","",IFERROR(INDEX('NOTES CM2'!$AJ$10:$AJ$250,MATCH(B36,'NOTES CM2'!$B$10:$B$250,0)),""))</f>
        <v/>
      </c>
      <c r="J36" s="82" t="str">
        <f aca="false">IF(COUNT(F36:I36)&lt;4,"",ROUND(SUM(F36:I36)/4,2))</f>
        <v/>
      </c>
      <c r="K36" s="83" t="n">
        <f aca="false">INDEX(PARAMETRES!$D$18:$D$23,MATCH("CM2",PARAMETRES!$B$18:$B$23,0))</f>
        <v>20</v>
      </c>
      <c r="L36" s="81" t="n">
        <f aca="false">INDEX(PARAMETRES!$C$18:$C$23,MATCH("CM2",PARAMETRES!$B$18:$B$23,0))</f>
        <v>10</v>
      </c>
      <c r="M36" s="45" t="str">
        <f aca="false">IF(B36="","",IF(E36="ABANDON","ABANDON",IF(E36="TRANSFERE","TRANSFERE",IF(J36="","",IF(J36&gt;=L36,"ADMIS","REDOUBLE")))))</f>
        <v/>
      </c>
      <c r="N36" s="73" t="str">
        <f aca="false">IF(OR(J36="",E36&lt;&gt;"PRESENT"),"",COUNTIFS($E$10:$E$250,"PRESENT",$J$10:$J$250,"&gt;"&amp;J36)+1)</f>
        <v/>
      </c>
      <c r="O36" s="74" t="str">
        <f aca="false">IF(M36="ADMIS",IF(J36/K36*10&gt;=8,"Très bien",IF(J36/K36*10&gt;=7,"Bien",IF(J36/K36*10&gt;=6,"Assez bien","Passable"))),IF(M36="REDOUBLE","Insuffisant",""))</f>
        <v/>
      </c>
      <c r="P36" s="51" t="str">
        <f aca="false">IFERROR(MATCH("CM2-27",'REGISTRE ELEVES'!$AH$10:$AH$250,0),"")</f>
        <v/>
      </c>
    </row>
    <row r="37" customFormat="false" ht="15" hidden="false" customHeight="false" outlineLevel="0" collapsed="false">
      <c r="A37" s="45" t="str">
        <f aca="false">IF(B37="","",28)</f>
        <v/>
      </c>
      <c r="B37" s="45" t="str">
        <f aca="false">IF($P37="","",INDEX('REGISTRE ELEVES'!$B$10:$B$250,$P37))</f>
        <v/>
      </c>
      <c r="C37" s="74" t="str">
        <f aca="false">IF($P37="","",INDEX('REGISTRE ELEVES'!$D$10:$D$250,$P37))</f>
        <v/>
      </c>
      <c r="D37" s="45" t="str">
        <f aca="false">IF($P37="","",INDEX('REGISTRE ELEVES'!$E$10:$E$250,$P37))</f>
        <v/>
      </c>
      <c r="E37" s="45" t="str">
        <f aca="false">IF($P37="","",INDEX('REGISTRE ELEVES'!$AE$10:$AE$250,$P37))</f>
        <v/>
      </c>
      <c r="F37" s="80" t="str">
        <f aca="false">IF(B37="","",IFERROR(INDEX('NOTES CM2'!$M$10:$M$250,MATCH(B37,'NOTES CM2'!$B$10:$B$250,0)),""))</f>
        <v/>
      </c>
      <c r="G37" s="80" t="str">
        <f aca="false">IF(B37="","",IFERROR(INDEX('NOTES CM2'!$T$10:$T$250,MATCH(B37,'NOTES CM2'!$B$10:$B$250,0)),""))</f>
        <v/>
      </c>
      <c r="H37" s="80" t="str">
        <f aca="false">IF(B37="","",IFERROR(INDEX('NOTES CM2'!$AB$10:$AB$250,MATCH(B37,'NOTES CM2'!$B$10:$B$250,0)),""))</f>
        <v/>
      </c>
      <c r="I37" s="80" t="str">
        <f aca="false">IF(B37="","",IFERROR(INDEX('NOTES CM2'!$AJ$10:$AJ$250,MATCH(B37,'NOTES CM2'!$B$10:$B$250,0)),""))</f>
        <v/>
      </c>
      <c r="J37" s="82" t="str">
        <f aca="false">IF(COUNT(F37:I37)&lt;4,"",ROUND(SUM(F37:I37)/4,2))</f>
        <v/>
      </c>
      <c r="K37" s="83" t="n">
        <f aca="false">INDEX(PARAMETRES!$D$18:$D$23,MATCH("CM2",PARAMETRES!$B$18:$B$23,0))</f>
        <v>20</v>
      </c>
      <c r="L37" s="81" t="n">
        <f aca="false">INDEX(PARAMETRES!$C$18:$C$23,MATCH("CM2",PARAMETRES!$B$18:$B$23,0))</f>
        <v>10</v>
      </c>
      <c r="M37" s="45" t="str">
        <f aca="false">IF(B37="","",IF(E37="ABANDON","ABANDON",IF(E37="TRANSFERE","TRANSFERE",IF(J37="","",IF(J37&gt;=L37,"ADMIS","REDOUBLE")))))</f>
        <v/>
      </c>
      <c r="N37" s="73" t="str">
        <f aca="false">IF(OR(J37="",E37&lt;&gt;"PRESENT"),"",COUNTIFS($E$10:$E$250,"PRESENT",$J$10:$J$250,"&gt;"&amp;J37)+1)</f>
        <v/>
      </c>
      <c r="O37" s="74" t="str">
        <f aca="false">IF(M37="ADMIS",IF(J37/K37*10&gt;=8,"Très bien",IF(J37/K37*10&gt;=7,"Bien",IF(J37/K37*10&gt;=6,"Assez bien","Passable"))),IF(M37="REDOUBLE","Insuffisant",""))</f>
        <v/>
      </c>
      <c r="P37" s="51" t="str">
        <f aca="false">IFERROR(MATCH("CM2-28",'REGISTRE ELEVES'!$AH$10:$AH$250,0),"")</f>
        <v/>
      </c>
    </row>
    <row r="38" customFormat="false" ht="15" hidden="false" customHeight="false" outlineLevel="0" collapsed="false">
      <c r="A38" s="45" t="str">
        <f aca="false">IF(B38="","",29)</f>
        <v/>
      </c>
      <c r="B38" s="45" t="str">
        <f aca="false">IF($P38="","",INDEX('REGISTRE ELEVES'!$B$10:$B$250,$P38))</f>
        <v/>
      </c>
      <c r="C38" s="74" t="str">
        <f aca="false">IF($P38="","",INDEX('REGISTRE ELEVES'!$D$10:$D$250,$P38))</f>
        <v/>
      </c>
      <c r="D38" s="45" t="str">
        <f aca="false">IF($P38="","",INDEX('REGISTRE ELEVES'!$E$10:$E$250,$P38))</f>
        <v/>
      </c>
      <c r="E38" s="45" t="str">
        <f aca="false">IF($P38="","",INDEX('REGISTRE ELEVES'!$AE$10:$AE$250,$P38))</f>
        <v/>
      </c>
      <c r="F38" s="80" t="str">
        <f aca="false">IF(B38="","",IFERROR(INDEX('NOTES CM2'!$M$10:$M$250,MATCH(B38,'NOTES CM2'!$B$10:$B$250,0)),""))</f>
        <v/>
      </c>
      <c r="G38" s="80" t="str">
        <f aca="false">IF(B38="","",IFERROR(INDEX('NOTES CM2'!$T$10:$T$250,MATCH(B38,'NOTES CM2'!$B$10:$B$250,0)),""))</f>
        <v/>
      </c>
      <c r="H38" s="80" t="str">
        <f aca="false">IF(B38="","",IFERROR(INDEX('NOTES CM2'!$AB$10:$AB$250,MATCH(B38,'NOTES CM2'!$B$10:$B$250,0)),""))</f>
        <v/>
      </c>
      <c r="I38" s="80" t="str">
        <f aca="false">IF(B38="","",IFERROR(INDEX('NOTES CM2'!$AJ$10:$AJ$250,MATCH(B38,'NOTES CM2'!$B$10:$B$250,0)),""))</f>
        <v/>
      </c>
      <c r="J38" s="82" t="str">
        <f aca="false">IF(COUNT(F38:I38)&lt;4,"",ROUND(SUM(F38:I38)/4,2))</f>
        <v/>
      </c>
      <c r="K38" s="83" t="n">
        <f aca="false">INDEX(PARAMETRES!$D$18:$D$23,MATCH("CM2",PARAMETRES!$B$18:$B$23,0))</f>
        <v>20</v>
      </c>
      <c r="L38" s="81" t="n">
        <f aca="false">INDEX(PARAMETRES!$C$18:$C$23,MATCH("CM2",PARAMETRES!$B$18:$B$23,0))</f>
        <v>10</v>
      </c>
      <c r="M38" s="45" t="str">
        <f aca="false">IF(B38="","",IF(E38="ABANDON","ABANDON",IF(E38="TRANSFERE","TRANSFERE",IF(J38="","",IF(J38&gt;=L38,"ADMIS","REDOUBLE")))))</f>
        <v/>
      </c>
      <c r="N38" s="73" t="str">
        <f aca="false">IF(OR(J38="",E38&lt;&gt;"PRESENT"),"",COUNTIFS($E$10:$E$250,"PRESENT",$J$10:$J$250,"&gt;"&amp;J38)+1)</f>
        <v/>
      </c>
      <c r="O38" s="74" t="str">
        <f aca="false">IF(M38="ADMIS",IF(J38/K38*10&gt;=8,"Très bien",IF(J38/K38*10&gt;=7,"Bien",IF(J38/K38*10&gt;=6,"Assez bien","Passable"))),IF(M38="REDOUBLE","Insuffisant",""))</f>
        <v/>
      </c>
      <c r="P38" s="51" t="str">
        <f aca="false">IFERROR(MATCH("CM2-29",'REGISTRE ELEVES'!$AH$10:$AH$250,0),"")</f>
        <v/>
      </c>
    </row>
    <row r="39" customFormat="false" ht="15" hidden="false" customHeight="false" outlineLevel="0" collapsed="false">
      <c r="A39" s="45" t="str">
        <f aca="false">IF(B39="","",30)</f>
        <v/>
      </c>
      <c r="B39" s="45" t="str">
        <f aca="false">IF($P39="","",INDEX('REGISTRE ELEVES'!$B$10:$B$250,$P39))</f>
        <v/>
      </c>
      <c r="C39" s="74" t="str">
        <f aca="false">IF($P39="","",INDEX('REGISTRE ELEVES'!$D$10:$D$250,$P39))</f>
        <v/>
      </c>
      <c r="D39" s="45" t="str">
        <f aca="false">IF($P39="","",INDEX('REGISTRE ELEVES'!$E$10:$E$250,$P39))</f>
        <v/>
      </c>
      <c r="E39" s="45" t="str">
        <f aca="false">IF($P39="","",INDEX('REGISTRE ELEVES'!$AE$10:$AE$250,$P39))</f>
        <v/>
      </c>
      <c r="F39" s="80" t="str">
        <f aca="false">IF(B39="","",IFERROR(INDEX('NOTES CM2'!$M$10:$M$250,MATCH(B39,'NOTES CM2'!$B$10:$B$250,0)),""))</f>
        <v/>
      </c>
      <c r="G39" s="80" t="str">
        <f aca="false">IF(B39="","",IFERROR(INDEX('NOTES CM2'!$T$10:$T$250,MATCH(B39,'NOTES CM2'!$B$10:$B$250,0)),""))</f>
        <v/>
      </c>
      <c r="H39" s="80" t="str">
        <f aca="false">IF(B39="","",IFERROR(INDEX('NOTES CM2'!$AB$10:$AB$250,MATCH(B39,'NOTES CM2'!$B$10:$B$250,0)),""))</f>
        <v/>
      </c>
      <c r="I39" s="80" t="str">
        <f aca="false">IF(B39="","",IFERROR(INDEX('NOTES CM2'!$AJ$10:$AJ$250,MATCH(B39,'NOTES CM2'!$B$10:$B$250,0)),""))</f>
        <v/>
      </c>
      <c r="J39" s="82" t="str">
        <f aca="false">IF(COUNT(F39:I39)&lt;4,"",ROUND(SUM(F39:I39)/4,2))</f>
        <v/>
      </c>
      <c r="K39" s="83" t="n">
        <f aca="false">INDEX(PARAMETRES!$D$18:$D$23,MATCH("CM2",PARAMETRES!$B$18:$B$23,0))</f>
        <v>20</v>
      </c>
      <c r="L39" s="81" t="n">
        <f aca="false">INDEX(PARAMETRES!$C$18:$C$23,MATCH("CM2",PARAMETRES!$B$18:$B$23,0))</f>
        <v>10</v>
      </c>
      <c r="M39" s="45" t="str">
        <f aca="false">IF(B39="","",IF(E39="ABANDON","ABANDON",IF(E39="TRANSFERE","TRANSFERE",IF(J39="","",IF(J39&gt;=L39,"ADMIS","REDOUBLE")))))</f>
        <v/>
      </c>
      <c r="N39" s="73" t="str">
        <f aca="false">IF(OR(J39="",E39&lt;&gt;"PRESENT"),"",COUNTIFS($E$10:$E$250,"PRESENT",$J$10:$J$250,"&gt;"&amp;J39)+1)</f>
        <v/>
      </c>
      <c r="O39" s="74" t="str">
        <f aca="false">IF(M39="ADMIS",IF(J39/K39*10&gt;=8,"Très bien",IF(J39/K39*10&gt;=7,"Bien",IF(J39/K39*10&gt;=6,"Assez bien","Passable"))),IF(M39="REDOUBLE","Insuffisant",""))</f>
        <v/>
      </c>
      <c r="P39" s="51" t="str">
        <f aca="false">IFERROR(MATCH("CM2-30",'REGISTRE ELEVES'!$AH$10:$AH$250,0),"")</f>
        <v/>
      </c>
    </row>
    <row r="40" customFormat="false" ht="15" hidden="false" customHeight="false" outlineLevel="0" collapsed="false">
      <c r="A40" s="45" t="str">
        <f aca="false">IF(B40="","",31)</f>
        <v/>
      </c>
      <c r="B40" s="45" t="str">
        <f aca="false">IF($P40="","",INDEX('REGISTRE ELEVES'!$B$10:$B$250,$P40))</f>
        <v/>
      </c>
      <c r="C40" s="74" t="str">
        <f aca="false">IF($P40="","",INDEX('REGISTRE ELEVES'!$D$10:$D$250,$P40))</f>
        <v/>
      </c>
      <c r="D40" s="45" t="str">
        <f aca="false">IF($P40="","",INDEX('REGISTRE ELEVES'!$E$10:$E$250,$P40))</f>
        <v/>
      </c>
      <c r="E40" s="45" t="str">
        <f aca="false">IF($P40="","",INDEX('REGISTRE ELEVES'!$AE$10:$AE$250,$P40))</f>
        <v/>
      </c>
      <c r="F40" s="80" t="str">
        <f aca="false">IF(B40="","",IFERROR(INDEX('NOTES CM2'!$M$10:$M$250,MATCH(B40,'NOTES CM2'!$B$10:$B$250,0)),""))</f>
        <v/>
      </c>
      <c r="G40" s="80" t="str">
        <f aca="false">IF(B40="","",IFERROR(INDEX('NOTES CM2'!$T$10:$T$250,MATCH(B40,'NOTES CM2'!$B$10:$B$250,0)),""))</f>
        <v/>
      </c>
      <c r="H40" s="80" t="str">
        <f aca="false">IF(B40="","",IFERROR(INDEX('NOTES CM2'!$AB$10:$AB$250,MATCH(B40,'NOTES CM2'!$B$10:$B$250,0)),""))</f>
        <v/>
      </c>
      <c r="I40" s="80" t="str">
        <f aca="false">IF(B40="","",IFERROR(INDEX('NOTES CM2'!$AJ$10:$AJ$250,MATCH(B40,'NOTES CM2'!$B$10:$B$250,0)),""))</f>
        <v/>
      </c>
      <c r="J40" s="82" t="str">
        <f aca="false">IF(COUNT(F40:I40)&lt;4,"",ROUND(SUM(F40:I40)/4,2))</f>
        <v/>
      </c>
      <c r="K40" s="83" t="n">
        <f aca="false">INDEX(PARAMETRES!$D$18:$D$23,MATCH("CM2",PARAMETRES!$B$18:$B$23,0))</f>
        <v>20</v>
      </c>
      <c r="L40" s="81" t="n">
        <f aca="false">INDEX(PARAMETRES!$C$18:$C$23,MATCH("CM2",PARAMETRES!$B$18:$B$23,0))</f>
        <v>10</v>
      </c>
      <c r="M40" s="45" t="str">
        <f aca="false">IF(B40="","",IF(E40="ABANDON","ABANDON",IF(E40="TRANSFERE","TRANSFERE",IF(J40="","",IF(J40&gt;=L40,"ADMIS","REDOUBLE")))))</f>
        <v/>
      </c>
      <c r="N40" s="73" t="str">
        <f aca="false">IF(OR(J40="",E40&lt;&gt;"PRESENT"),"",COUNTIFS($E$10:$E$250,"PRESENT",$J$10:$J$250,"&gt;"&amp;J40)+1)</f>
        <v/>
      </c>
      <c r="O40" s="74" t="str">
        <f aca="false">IF(M40="ADMIS",IF(J40/K40*10&gt;=8,"Très bien",IF(J40/K40*10&gt;=7,"Bien",IF(J40/K40*10&gt;=6,"Assez bien","Passable"))),IF(M40="REDOUBLE","Insuffisant",""))</f>
        <v/>
      </c>
      <c r="P40" s="51" t="str">
        <f aca="false">IFERROR(MATCH("CM2-31",'REGISTRE ELEVES'!$AH$10:$AH$250,0),"")</f>
        <v/>
      </c>
    </row>
    <row r="41" customFormat="false" ht="15" hidden="false" customHeight="false" outlineLevel="0" collapsed="false">
      <c r="A41" s="45" t="str">
        <f aca="false">IF(B41="","",32)</f>
        <v/>
      </c>
      <c r="B41" s="45" t="str">
        <f aca="false">IF($P41="","",INDEX('REGISTRE ELEVES'!$B$10:$B$250,$P41))</f>
        <v/>
      </c>
      <c r="C41" s="74" t="str">
        <f aca="false">IF($P41="","",INDEX('REGISTRE ELEVES'!$D$10:$D$250,$P41))</f>
        <v/>
      </c>
      <c r="D41" s="45" t="str">
        <f aca="false">IF($P41="","",INDEX('REGISTRE ELEVES'!$E$10:$E$250,$P41))</f>
        <v/>
      </c>
      <c r="E41" s="45" t="str">
        <f aca="false">IF($P41="","",INDEX('REGISTRE ELEVES'!$AE$10:$AE$250,$P41))</f>
        <v/>
      </c>
      <c r="F41" s="80" t="str">
        <f aca="false">IF(B41="","",IFERROR(INDEX('NOTES CM2'!$M$10:$M$250,MATCH(B41,'NOTES CM2'!$B$10:$B$250,0)),""))</f>
        <v/>
      </c>
      <c r="G41" s="80" t="str">
        <f aca="false">IF(B41="","",IFERROR(INDEX('NOTES CM2'!$T$10:$T$250,MATCH(B41,'NOTES CM2'!$B$10:$B$250,0)),""))</f>
        <v/>
      </c>
      <c r="H41" s="80" t="str">
        <f aca="false">IF(B41="","",IFERROR(INDEX('NOTES CM2'!$AB$10:$AB$250,MATCH(B41,'NOTES CM2'!$B$10:$B$250,0)),""))</f>
        <v/>
      </c>
      <c r="I41" s="80" t="str">
        <f aca="false">IF(B41="","",IFERROR(INDEX('NOTES CM2'!$AJ$10:$AJ$250,MATCH(B41,'NOTES CM2'!$B$10:$B$250,0)),""))</f>
        <v/>
      </c>
      <c r="J41" s="82" t="str">
        <f aca="false">IF(COUNT(F41:I41)&lt;4,"",ROUND(SUM(F41:I41)/4,2))</f>
        <v/>
      </c>
      <c r="K41" s="83" t="n">
        <f aca="false">INDEX(PARAMETRES!$D$18:$D$23,MATCH("CM2",PARAMETRES!$B$18:$B$23,0))</f>
        <v>20</v>
      </c>
      <c r="L41" s="81" t="n">
        <f aca="false">INDEX(PARAMETRES!$C$18:$C$23,MATCH("CM2",PARAMETRES!$B$18:$B$23,0))</f>
        <v>10</v>
      </c>
      <c r="M41" s="45" t="str">
        <f aca="false">IF(B41="","",IF(E41="ABANDON","ABANDON",IF(E41="TRANSFERE","TRANSFERE",IF(J41="","",IF(J41&gt;=L41,"ADMIS","REDOUBLE")))))</f>
        <v/>
      </c>
      <c r="N41" s="73" t="str">
        <f aca="false">IF(OR(J41="",E41&lt;&gt;"PRESENT"),"",COUNTIFS($E$10:$E$250,"PRESENT",$J$10:$J$250,"&gt;"&amp;J41)+1)</f>
        <v/>
      </c>
      <c r="O41" s="74" t="str">
        <f aca="false">IF(M41="ADMIS",IF(J41/K41*10&gt;=8,"Très bien",IF(J41/K41*10&gt;=7,"Bien",IF(J41/K41*10&gt;=6,"Assez bien","Passable"))),IF(M41="REDOUBLE","Insuffisant",""))</f>
        <v/>
      </c>
      <c r="P41" s="51" t="str">
        <f aca="false">IFERROR(MATCH("CM2-32",'REGISTRE ELEVES'!$AH$10:$AH$250,0),"")</f>
        <v/>
      </c>
    </row>
    <row r="42" customFormat="false" ht="15" hidden="false" customHeight="false" outlineLevel="0" collapsed="false">
      <c r="A42" s="45" t="str">
        <f aca="false">IF(B42="","",33)</f>
        <v/>
      </c>
      <c r="B42" s="45" t="str">
        <f aca="false">IF($P42="","",INDEX('REGISTRE ELEVES'!$B$10:$B$250,$P42))</f>
        <v/>
      </c>
      <c r="C42" s="74" t="str">
        <f aca="false">IF($P42="","",INDEX('REGISTRE ELEVES'!$D$10:$D$250,$P42))</f>
        <v/>
      </c>
      <c r="D42" s="45" t="str">
        <f aca="false">IF($P42="","",INDEX('REGISTRE ELEVES'!$E$10:$E$250,$P42))</f>
        <v/>
      </c>
      <c r="E42" s="45" t="str">
        <f aca="false">IF($P42="","",INDEX('REGISTRE ELEVES'!$AE$10:$AE$250,$P42))</f>
        <v/>
      </c>
      <c r="F42" s="80" t="str">
        <f aca="false">IF(B42="","",IFERROR(INDEX('NOTES CM2'!$M$10:$M$250,MATCH(B42,'NOTES CM2'!$B$10:$B$250,0)),""))</f>
        <v/>
      </c>
      <c r="G42" s="80" t="str">
        <f aca="false">IF(B42="","",IFERROR(INDEX('NOTES CM2'!$T$10:$T$250,MATCH(B42,'NOTES CM2'!$B$10:$B$250,0)),""))</f>
        <v/>
      </c>
      <c r="H42" s="80" t="str">
        <f aca="false">IF(B42="","",IFERROR(INDEX('NOTES CM2'!$AB$10:$AB$250,MATCH(B42,'NOTES CM2'!$B$10:$B$250,0)),""))</f>
        <v/>
      </c>
      <c r="I42" s="80" t="str">
        <f aca="false">IF(B42="","",IFERROR(INDEX('NOTES CM2'!$AJ$10:$AJ$250,MATCH(B42,'NOTES CM2'!$B$10:$B$250,0)),""))</f>
        <v/>
      </c>
      <c r="J42" s="82" t="str">
        <f aca="false">IF(COUNT(F42:I42)&lt;4,"",ROUND(SUM(F42:I42)/4,2))</f>
        <v/>
      </c>
      <c r="K42" s="83" t="n">
        <f aca="false">INDEX(PARAMETRES!$D$18:$D$23,MATCH("CM2",PARAMETRES!$B$18:$B$23,0))</f>
        <v>20</v>
      </c>
      <c r="L42" s="81" t="n">
        <f aca="false">INDEX(PARAMETRES!$C$18:$C$23,MATCH("CM2",PARAMETRES!$B$18:$B$23,0))</f>
        <v>10</v>
      </c>
      <c r="M42" s="45" t="str">
        <f aca="false">IF(B42="","",IF(E42="ABANDON","ABANDON",IF(E42="TRANSFERE","TRANSFERE",IF(J42="","",IF(J42&gt;=L42,"ADMIS","REDOUBLE")))))</f>
        <v/>
      </c>
      <c r="N42" s="73" t="str">
        <f aca="false">IF(OR(J42="",E42&lt;&gt;"PRESENT"),"",COUNTIFS($E$10:$E$250,"PRESENT",$J$10:$J$250,"&gt;"&amp;J42)+1)</f>
        <v/>
      </c>
      <c r="O42" s="74" t="str">
        <f aca="false">IF(M42="ADMIS",IF(J42/K42*10&gt;=8,"Très bien",IF(J42/K42*10&gt;=7,"Bien",IF(J42/K42*10&gt;=6,"Assez bien","Passable"))),IF(M42="REDOUBLE","Insuffisant",""))</f>
        <v/>
      </c>
      <c r="P42" s="51" t="str">
        <f aca="false">IFERROR(MATCH("CM2-33",'REGISTRE ELEVES'!$AH$10:$AH$250,0),"")</f>
        <v/>
      </c>
    </row>
    <row r="43" customFormat="false" ht="15" hidden="false" customHeight="false" outlineLevel="0" collapsed="false">
      <c r="A43" s="45" t="str">
        <f aca="false">IF(B43="","",34)</f>
        <v/>
      </c>
      <c r="B43" s="45" t="str">
        <f aca="false">IF($P43="","",INDEX('REGISTRE ELEVES'!$B$10:$B$250,$P43))</f>
        <v/>
      </c>
      <c r="C43" s="74" t="str">
        <f aca="false">IF($P43="","",INDEX('REGISTRE ELEVES'!$D$10:$D$250,$P43))</f>
        <v/>
      </c>
      <c r="D43" s="45" t="str">
        <f aca="false">IF($P43="","",INDEX('REGISTRE ELEVES'!$E$10:$E$250,$P43))</f>
        <v/>
      </c>
      <c r="E43" s="45" t="str">
        <f aca="false">IF($P43="","",INDEX('REGISTRE ELEVES'!$AE$10:$AE$250,$P43))</f>
        <v/>
      </c>
      <c r="F43" s="80" t="str">
        <f aca="false">IF(B43="","",IFERROR(INDEX('NOTES CM2'!$M$10:$M$250,MATCH(B43,'NOTES CM2'!$B$10:$B$250,0)),""))</f>
        <v/>
      </c>
      <c r="G43" s="80" t="str">
        <f aca="false">IF(B43="","",IFERROR(INDEX('NOTES CM2'!$T$10:$T$250,MATCH(B43,'NOTES CM2'!$B$10:$B$250,0)),""))</f>
        <v/>
      </c>
      <c r="H43" s="80" t="str">
        <f aca="false">IF(B43="","",IFERROR(INDEX('NOTES CM2'!$AB$10:$AB$250,MATCH(B43,'NOTES CM2'!$B$10:$B$250,0)),""))</f>
        <v/>
      </c>
      <c r="I43" s="80" t="str">
        <f aca="false">IF(B43="","",IFERROR(INDEX('NOTES CM2'!$AJ$10:$AJ$250,MATCH(B43,'NOTES CM2'!$B$10:$B$250,0)),""))</f>
        <v/>
      </c>
      <c r="J43" s="82" t="str">
        <f aca="false">IF(COUNT(F43:I43)&lt;4,"",ROUND(SUM(F43:I43)/4,2))</f>
        <v/>
      </c>
      <c r="K43" s="83" t="n">
        <f aca="false">INDEX(PARAMETRES!$D$18:$D$23,MATCH("CM2",PARAMETRES!$B$18:$B$23,0))</f>
        <v>20</v>
      </c>
      <c r="L43" s="81" t="n">
        <f aca="false">INDEX(PARAMETRES!$C$18:$C$23,MATCH("CM2",PARAMETRES!$B$18:$B$23,0))</f>
        <v>10</v>
      </c>
      <c r="M43" s="45" t="str">
        <f aca="false">IF(B43="","",IF(E43="ABANDON","ABANDON",IF(E43="TRANSFERE","TRANSFERE",IF(J43="","",IF(J43&gt;=L43,"ADMIS","REDOUBLE")))))</f>
        <v/>
      </c>
      <c r="N43" s="73" t="str">
        <f aca="false">IF(OR(J43="",E43&lt;&gt;"PRESENT"),"",COUNTIFS($E$10:$E$250,"PRESENT",$J$10:$J$250,"&gt;"&amp;J43)+1)</f>
        <v/>
      </c>
      <c r="O43" s="74" t="str">
        <f aca="false">IF(M43="ADMIS",IF(J43/K43*10&gt;=8,"Très bien",IF(J43/K43*10&gt;=7,"Bien",IF(J43/K43*10&gt;=6,"Assez bien","Passable"))),IF(M43="REDOUBLE","Insuffisant",""))</f>
        <v/>
      </c>
      <c r="P43" s="51" t="str">
        <f aca="false">IFERROR(MATCH("CM2-34",'REGISTRE ELEVES'!$AH$10:$AH$250,0),"")</f>
        <v/>
      </c>
    </row>
    <row r="44" customFormat="false" ht="15" hidden="false" customHeight="false" outlineLevel="0" collapsed="false">
      <c r="A44" s="45" t="str">
        <f aca="false">IF(B44="","",35)</f>
        <v/>
      </c>
      <c r="B44" s="45" t="str">
        <f aca="false">IF($P44="","",INDEX('REGISTRE ELEVES'!$B$10:$B$250,$P44))</f>
        <v/>
      </c>
      <c r="C44" s="74" t="str">
        <f aca="false">IF($P44="","",INDEX('REGISTRE ELEVES'!$D$10:$D$250,$P44))</f>
        <v/>
      </c>
      <c r="D44" s="45" t="str">
        <f aca="false">IF($P44="","",INDEX('REGISTRE ELEVES'!$E$10:$E$250,$P44))</f>
        <v/>
      </c>
      <c r="E44" s="45" t="str">
        <f aca="false">IF($P44="","",INDEX('REGISTRE ELEVES'!$AE$10:$AE$250,$P44))</f>
        <v/>
      </c>
      <c r="F44" s="80" t="str">
        <f aca="false">IF(B44="","",IFERROR(INDEX('NOTES CM2'!$M$10:$M$250,MATCH(B44,'NOTES CM2'!$B$10:$B$250,0)),""))</f>
        <v/>
      </c>
      <c r="G44" s="80" t="str">
        <f aca="false">IF(B44="","",IFERROR(INDEX('NOTES CM2'!$T$10:$T$250,MATCH(B44,'NOTES CM2'!$B$10:$B$250,0)),""))</f>
        <v/>
      </c>
      <c r="H44" s="80" t="str">
        <f aca="false">IF(B44="","",IFERROR(INDEX('NOTES CM2'!$AB$10:$AB$250,MATCH(B44,'NOTES CM2'!$B$10:$B$250,0)),""))</f>
        <v/>
      </c>
      <c r="I44" s="80" t="str">
        <f aca="false">IF(B44="","",IFERROR(INDEX('NOTES CM2'!$AJ$10:$AJ$250,MATCH(B44,'NOTES CM2'!$B$10:$B$250,0)),""))</f>
        <v/>
      </c>
      <c r="J44" s="82" t="str">
        <f aca="false">IF(COUNT(F44:I44)&lt;4,"",ROUND(SUM(F44:I44)/4,2))</f>
        <v/>
      </c>
      <c r="K44" s="83" t="n">
        <f aca="false">INDEX(PARAMETRES!$D$18:$D$23,MATCH("CM2",PARAMETRES!$B$18:$B$23,0))</f>
        <v>20</v>
      </c>
      <c r="L44" s="81" t="n">
        <f aca="false">INDEX(PARAMETRES!$C$18:$C$23,MATCH("CM2",PARAMETRES!$B$18:$B$23,0))</f>
        <v>10</v>
      </c>
      <c r="M44" s="45" t="str">
        <f aca="false">IF(B44="","",IF(E44="ABANDON","ABANDON",IF(E44="TRANSFERE","TRANSFERE",IF(J44="","",IF(J44&gt;=L44,"ADMIS","REDOUBLE")))))</f>
        <v/>
      </c>
      <c r="N44" s="73" t="str">
        <f aca="false">IF(OR(J44="",E44&lt;&gt;"PRESENT"),"",COUNTIFS($E$10:$E$250,"PRESENT",$J$10:$J$250,"&gt;"&amp;J44)+1)</f>
        <v/>
      </c>
      <c r="O44" s="74" t="str">
        <f aca="false">IF(M44="ADMIS",IF(J44/K44*10&gt;=8,"Très bien",IF(J44/K44*10&gt;=7,"Bien",IF(J44/K44*10&gt;=6,"Assez bien","Passable"))),IF(M44="REDOUBLE","Insuffisant",""))</f>
        <v/>
      </c>
      <c r="P44" s="51" t="str">
        <f aca="false">IFERROR(MATCH("CM2-35",'REGISTRE ELEVES'!$AH$10:$AH$250,0),"")</f>
        <v/>
      </c>
    </row>
    <row r="45" customFormat="false" ht="15" hidden="false" customHeight="false" outlineLevel="0" collapsed="false">
      <c r="A45" s="45" t="str">
        <f aca="false">IF(B45="","",36)</f>
        <v/>
      </c>
      <c r="B45" s="45" t="str">
        <f aca="false">IF($P45="","",INDEX('REGISTRE ELEVES'!$B$10:$B$250,$P45))</f>
        <v/>
      </c>
      <c r="C45" s="74" t="str">
        <f aca="false">IF($P45="","",INDEX('REGISTRE ELEVES'!$D$10:$D$250,$P45))</f>
        <v/>
      </c>
      <c r="D45" s="45" t="str">
        <f aca="false">IF($P45="","",INDEX('REGISTRE ELEVES'!$E$10:$E$250,$P45))</f>
        <v/>
      </c>
      <c r="E45" s="45" t="str">
        <f aca="false">IF($P45="","",INDEX('REGISTRE ELEVES'!$AE$10:$AE$250,$P45))</f>
        <v/>
      </c>
      <c r="F45" s="80" t="str">
        <f aca="false">IF(B45="","",IFERROR(INDEX('NOTES CM2'!$M$10:$M$250,MATCH(B45,'NOTES CM2'!$B$10:$B$250,0)),""))</f>
        <v/>
      </c>
      <c r="G45" s="80" t="str">
        <f aca="false">IF(B45="","",IFERROR(INDEX('NOTES CM2'!$T$10:$T$250,MATCH(B45,'NOTES CM2'!$B$10:$B$250,0)),""))</f>
        <v/>
      </c>
      <c r="H45" s="80" t="str">
        <f aca="false">IF(B45="","",IFERROR(INDEX('NOTES CM2'!$AB$10:$AB$250,MATCH(B45,'NOTES CM2'!$B$10:$B$250,0)),""))</f>
        <v/>
      </c>
      <c r="I45" s="80" t="str">
        <f aca="false">IF(B45="","",IFERROR(INDEX('NOTES CM2'!$AJ$10:$AJ$250,MATCH(B45,'NOTES CM2'!$B$10:$B$250,0)),""))</f>
        <v/>
      </c>
      <c r="J45" s="82" t="str">
        <f aca="false">IF(COUNT(F45:I45)&lt;4,"",ROUND(SUM(F45:I45)/4,2))</f>
        <v/>
      </c>
      <c r="K45" s="83" t="n">
        <f aca="false">INDEX(PARAMETRES!$D$18:$D$23,MATCH("CM2",PARAMETRES!$B$18:$B$23,0))</f>
        <v>20</v>
      </c>
      <c r="L45" s="81" t="n">
        <f aca="false">INDEX(PARAMETRES!$C$18:$C$23,MATCH("CM2",PARAMETRES!$B$18:$B$23,0))</f>
        <v>10</v>
      </c>
      <c r="M45" s="45" t="str">
        <f aca="false">IF(B45="","",IF(E45="ABANDON","ABANDON",IF(E45="TRANSFERE","TRANSFERE",IF(J45="","",IF(J45&gt;=L45,"ADMIS","REDOUBLE")))))</f>
        <v/>
      </c>
      <c r="N45" s="73" t="str">
        <f aca="false">IF(OR(J45="",E45&lt;&gt;"PRESENT"),"",COUNTIFS($E$10:$E$250,"PRESENT",$J$10:$J$250,"&gt;"&amp;J45)+1)</f>
        <v/>
      </c>
      <c r="O45" s="74" t="str">
        <f aca="false">IF(M45="ADMIS",IF(J45/K45*10&gt;=8,"Très bien",IF(J45/K45*10&gt;=7,"Bien",IF(J45/K45*10&gt;=6,"Assez bien","Passable"))),IF(M45="REDOUBLE","Insuffisant",""))</f>
        <v/>
      </c>
      <c r="P45" s="51" t="str">
        <f aca="false">IFERROR(MATCH("CM2-36",'REGISTRE ELEVES'!$AH$10:$AH$250,0),"")</f>
        <v/>
      </c>
    </row>
    <row r="46" customFormat="false" ht="15" hidden="false" customHeight="false" outlineLevel="0" collapsed="false">
      <c r="A46" s="45" t="str">
        <f aca="false">IF(B46="","",37)</f>
        <v/>
      </c>
      <c r="B46" s="45" t="str">
        <f aca="false">IF($P46="","",INDEX('REGISTRE ELEVES'!$B$10:$B$250,$P46))</f>
        <v/>
      </c>
      <c r="C46" s="74" t="str">
        <f aca="false">IF($P46="","",INDEX('REGISTRE ELEVES'!$D$10:$D$250,$P46))</f>
        <v/>
      </c>
      <c r="D46" s="45" t="str">
        <f aca="false">IF($P46="","",INDEX('REGISTRE ELEVES'!$E$10:$E$250,$P46))</f>
        <v/>
      </c>
      <c r="E46" s="45" t="str">
        <f aca="false">IF($P46="","",INDEX('REGISTRE ELEVES'!$AE$10:$AE$250,$P46))</f>
        <v/>
      </c>
      <c r="F46" s="80" t="str">
        <f aca="false">IF(B46="","",IFERROR(INDEX('NOTES CM2'!$M$10:$M$250,MATCH(B46,'NOTES CM2'!$B$10:$B$250,0)),""))</f>
        <v/>
      </c>
      <c r="G46" s="80" t="str">
        <f aca="false">IF(B46="","",IFERROR(INDEX('NOTES CM2'!$T$10:$T$250,MATCH(B46,'NOTES CM2'!$B$10:$B$250,0)),""))</f>
        <v/>
      </c>
      <c r="H46" s="80" t="str">
        <f aca="false">IF(B46="","",IFERROR(INDEX('NOTES CM2'!$AB$10:$AB$250,MATCH(B46,'NOTES CM2'!$B$10:$B$250,0)),""))</f>
        <v/>
      </c>
      <c r="I46" s="80" t="str">
        <f aca="false">IF(B46="","",IFERROR(INDEX('NOTES CM2'!$AJ$10:$AJ$250,MATCH(B46,'NOTES CM2'!$B$10:$B$250,0)),""))</f>
        <v/>
      </c>
      <c r="J46" s="82" t="str">
        <f aca="false">IF(COUNT(F46:I46)&lt;4,"",ROUND(SUM(F46:I46)/4,2))</f>
        <v/>
      </c>
      <c r="K46" s="83" t="n">
        <f aca="false">INDEX(PARAMETRES!$D$18:$D$23,MATCH("CM2",PARAMETRES!$B$18:$B$23,0))</f>
        <v>20</v>
      </c>
      <c r="L46" s="81" t="n">
        <f aca="false">INDEX(PARAMETRES!$C$18:$C$23,MATCH("CM2",PARAMETRES!$B$18:$B$23,0))</f>
        <v>10</v>
      </c>
      <c r="M46" s="45" t="str">
        <f aca="false">IF(B46="","",IF(E46="ABANDON","ABANDON",IF(E46="TRANSFERE","TRANSFERE",IF(J46="","",IF(J46&gt;=L46,"ADMIS","REDOUBLE")))))</f>
        <v/>
      </c>
      <c r="N46" s="73" t="str">
        <f aca="false">IF(OR(J46="",E46&lt;&gt;"PRESENT"),"",COUNTIFS($E$10:$E$250,"PRESENT",$J$10:$J$250,"&gt;"&amp;J46)+1)</f>
        <v/>
      </c>
      <c r="O46" s="74" t="str">
        <f aca="false">IF(M46="ADMIS",IF(J46/K46*10&gt;=8,"Très bien",IF(J46/K46*10&gt;=7,"Bien",IF(J46/K46*10&gt;=6,"Assez bien","Passable"))),IF(M46="REDOUBLE","Insuffisant",""))</f>
        <v/>
      </c>
      <c r="P46" s="51" t="str">
        <f aca="false">IFERROR(MATCH("CM2-37",'REGISTRE ELEVES'!$AH$10:$AH$250,0),"")</f>
        <v/>
      </c>
    </row>
    <row r="47" customFormat="false" ht="15" hidden="false" customHeight="false" outlineLevel="0" collapsed="false">
      <c r="A47" s="45" t="str">
        <f aca="false">IF(B47="","",38)</f>
        <v/>
      </c>
      <c r="B47" s="45" t="str">
        <f aca="false">IF($P47="","",INDEX('REGISTRE ELEVES'!$B$10:$B$250,$P47))</f>
        <v/>
      </c>
      <c r="C47" s="74" t="str">
        <f aca="false">IF($P47="","",INDEX('REGISTRE ELEVES'!$D$10:$D$250,$P47))</f>
        <v/>
      </c>
      <c r="D47" s="45" t="str">
        <f aca="false">IF($P47="","",INDEX('REGISTRE ELEVES'!$E$10:$E$250,$P47))</f>
        <v/>
      </c>
      <c r="E47" s="45" t="str">
        <f aca="false">IF($P47="","",INDEX('REGISTRE ELEVES'!$AE$10:$AE$250,$P47))</f>
        <v/>
      </c>
      <c r="F47" s="80" t="str">
        <f aca="false">IF(B47="","",IFERROR(INDEX('NOTES CM2'!$M$10:$M$250,MATCH(B47,'NOTES CM2'!$B$10:$B$250,0)),""))</f>
        <v/>
      </c>
      <c r="G47" s="80" t="str">
        <f aca="false">IF(B47="","",IFERROR(INDEX('NOTES CM2'!$T$10:$T$250,MATCH(B47,'NOTES CM2'!$B$10:$B$250,0)),""))</f>
        <v/>
      </c>
      <c r="H47" s="80" t="str">
        <f aca="false">IF(B47="","",IFERROR(INDEX('NOTES CM2'!$AB$10:$AB$250,MATCH(B47,'NOTES CM2'!$B$10:$B$250,0)),""))</f>
        <v/>
      </c>
      <c r="I47" s="80" t="str">
        <f aca="false">IF(B47="","",IFERROR(INDEX('NOTES CM2'!$AJ$10:$AJ$250,MATCH(B47,'NOTES CM2'!$B$10:$B$250,0)),""))</f>
        <v/>
      </c>
      <c r="J47" s="82" t="str">
        <f aca="false">IF(COUNT(F47:I47)&lt;4,"",ROUND(SUM(F47:I47)/4,2))</f>
        <v/>
      </c>
      <c r="K47" s="83" t="n">
        <f aca="false">INDEX(PARAMETRES!$D$18:$D$23,MATCH("CM2",PARAMETRES!$B$18:$B$23,0))</f>
        <v>20</v>
      </c>
      <c r="L47" s="81" t="n">
        <f aca="false">INDEX(PARAMETRES!$C$18:$C$23,MATCH("CM2",PARAMETRES!$B$18:$B$23,0))</f>
        <v>10</v>
      </c>
      <c r="M47" s="45" t="str">
        <f aca="false">IF(B47="","",IF(E47="ABANDON","ABANDON",IF(E47="TRANSFERE","TRANSFERE",IF(J47="","",IF(J47&gt;=L47,"ADMIS","REDOUBLE")))))</f>
        <v/>
      </c>
      <c r="N47" s="73" t="str">
        <f aca="false">IF(OR(J47="",E47&lt;&gt;"PRESENT"),"",COUNTIFS($E$10:$E$250,"PRESENT",$J$10:$J$250,"&gt;"&amp;J47)+1)</f>
        <v/>
      </c>
      <c r="O47" s="74" t="str">
        <f aca="false">IF(M47="ADMIS",IF(J47/K47*10&gt;=8,"Très bien",IF(J47/K47*10&gt;=7,"Bien",IF(J47/K47*10&gt;=6,"Assez bien","Passable"))),IF(M47="REDOUBLE","Insuffisant",""))</f>
        <v/>
      </c>
      <c r="P47" s="51" t="str">
        <f aca="false">IFERROR(MATCH("CM2-38",'REGISTRE ELEVES'!$AH$10:$AH$250,0),"")</f>
        <v/>
      </c>
    </row>
    <row r="48" customFormat="false" ht="15" hidden="false" customHeight="false" outlineLevel="0" collapsed="false">
      <c r="A48" s="45" t="str">
        <f aca="false">IF(B48="","",39)</f>
        <v/>
      </c>
      <c r="B48" s="45" t="str">
        <f aca="false">IF($P48="","",INDEX('REGISTRE ELEVES'!$B$10:$B$250,$P48))</f>
        <v/>
      </c>
      <c r="C48" s="74" t="str">
        <f aca="false">IF($P48="","",INDEX('REGISTRE ELEVES'!$D$10:$D$250,$P48))</f>
        <v/>
      </c>
      <c r="D48" s="45" t="str">
        <f aca="false">IF($P48="","",INDEX('REGISTRE ELEVES'!$E$10:$E$250,$P48))</f>
        <v/>
      </c>
      <c r="E48" s="45" t="str">
        <f aca="false">IF($P48="","",INDEX('REGISTRE ELEVES'!$AE$10:$AE$250,$P48))</f>
        <v/>
      </c>
      <c r="F48" s="80" t="str">
        <f aca="false">IF(B48="","",IFERROR(INDEX('NOTES CM2'!$M$10:$M$250,MATCH(B48,'NOTES CM2'!$B$10:$B$250,0)),""))</f>
        <v/>
      </c>
      <c r="G48" s="80" t="str">
        <f aca="false">IF(B48="","",IFERROR(INDEX('NOTES CM2'!$T$10:$T$250,MATCH(B48,'NOTES CM2'!$B$10:$B$250,0)),""))</f>
        <v/>
      </c>
      <c r="H48" s="80" t="str">
        <f aca="false">IF(B48="","",IFERROR(INDEX('NOTES CM2'!$AB$10:$AB$250,MATCH(B48,'NOTES CM2'!$B$10:$B$250,0)),""))</f>
        <v/>
      </c>
      <c r="I48" s="80" t="str">
        <f aca="false">IF(B48="","",IFERROR(INDEX('NOTES CM2'!$AJ$10:$AJ$250,MATCH(B48,'NOTES CM2'!$B$10:$B$250,0)),""))</f>
        <v/>
      </c>
      <c r="J48" s="82" t="str">
        <f aca="false">IF(COUNT(F48:I48)&lt;4,"",ROUND(SUM(F48:I48)/4,2))</f>
        <v/>
      </c>
      <c r="K48" s="83" t="n">
        <f aca="false">INDEX(PARAMETRES!$D$18:$D$23,MATCH("CM2",PARAMETRES!$B$18:$B$23,0))</f>
        <v>20</v>
      </c>
      <c r="L48" s="81" t="n">
        <f aca="false">INDEX(PARAMETRES!$C$18:$C$23,MATCH("CM2",PARAMETRES!$B$18:$B$23,0))</f>
        <v>10</v>
      </c>
      <c r="M48" s="45" t="str">
        <f aca="false">IF(B48="","",IF(E48="ABANDON","ABANDON",IF(E48="TRANSFERE","TRANSFERE",IF(J48="","",IF(J48&gt;=L48,"ADMIS","REDOUBLE")))))</f>
        <v/>
      </c>
      <c r="N48" s="73" t="str">
        <f aca="false">IF(OR(J48="",E48&lt;&gt;"PRESENT"),"",COUNTIFS($E$10:$E$250,"PRESENT",$J$10:$J$250,"&gt;"&amp;J48)+1)</f>
        <v/>
      </c>
      <c r="O48" s="74" t="str">
        <f aca="false">IF(M48="ADMIS",IF(J48/K48*10&gt;=8,"Très bien",IF(J48/K48*10&gt;=7,"Bien",IF(J48/K48*10&gt;=6,"Assez bien","Passable"))),IF(M48="REDOUBLE","Insuffisant",""))</f>
        <v/>
      </c>
      <c r="P48" s="51" t="str">
        <f aca="false">IFERROR(MATCH("CM2-39",'REGISTRE ELEVES'!$AH$10:$AH$250,0),"")</f>
        <v/>
      </c>
    </row>
    <row r="49" customFormat="false" ht="15" hidden="false" customHeight="false" outlineLevel="0" collapsed="false">
      <c r="A49" s="45" t="str">
        <f aca="false">IF(B49="","",40)</f>
        <v/>
      </c>
      <c r="B49" s="45" t="str">
        <f aca="false">IF($P49="","",INDEX('REGISTRE ELEVES'!$B$10:$B$250,$P49))</f>
        <v/>
      </c>
      <c r="C49" s="74" t="str">
        <f aca="false">IF($P49="","",INDEX('REGISTRE ELEVES'!$D$10:$D$250,$P49))</f>
        <v/>
      </c>
      <c r="D49" s="45" t="str">
        <f aca="false">IF($P49="","",INDEX('REGISTRE ELEVES'!$E$10:$E$250,$P49))</f>
        <v/>
      </c>
      <c r="E49" s="45" t="str">
        <f aca="false">IF($P49="","",INDEX('REGISTRE ELEVES'!$AE$10:$AE$250,$P49))</f>
        <v/>
      </c>
      <c r="F49" s="80" t="str">
        <f aca="false">IF(B49="","",IFERROR(INDEX('NOTES CM2'!$M$10:$M$250,MATCH(B49,'NOTES CM2'!$B$10:$B$250,0)),""))</f>
        <v/>
      </c>
      <c r="G49" s="80" t="str">
        <f aca="false">IF(B49="","",IFERROR(INDEX('NOTES CM2'!$T$10:$T$250,MATCH(B49,'NOTES CM2'!$B$10:$B$250,0)),""))</f>
        <v/>
      </c>
      <c r="H49" s="80" t="str">
        <f aca="false">IF(B49="","",IFERROR(INDEX('NOTES CM2'!$AB$10:$AB$250,MATCH(B49,'NOTES CM2'!$B$10:$B$250,0)),""))</f>
        <v/>
      </c>
      <c r="I49" s="80" t="str">
        <f aca="false">IF(B49="","",IFERROR(INDEX('NOTES CM2'!$AJ$10:$AJ$250,MATCH(B49,'NOTES CM2'!$B$10:$B$250,0)),""))</f>
        <v/>
      </c>
      <c r="J49" s="82" t="str">
        <f aca="false">IF(COUNT(F49:I49)&lt;4,"",ROUND(SUM(F49:I49)/4,2))</f>
        <v/>
      </c>
      <c r="K49" s="83" t="n">
        <f aca="false">INDEX(PARAMETRES!$D$18:$D$23,MATCH("CM2",PARAMETRES!$B$18:$B$23,0))</f>
        <v>20</v>
      </c>
      <c r="L49" s="81" t="n">
        <f aca="false">INDEX(PARAMETRES!$C$18:$C$23,MATCH("CM2",PARAMETRES!$B$18:$B$23,0))</f>
        <v>10</v>
      </c>
      <c r="M49" s="45" t="str">
        <f aca="false">IF(B49="","",IF(E49="ABANDON","ABANDON",IF(E49="TRANSFERE","TRANSFERE",IF(J49="","",IF(J49&gt;=L49,"ADMIS","REDOUBLE")))))</f>
        <v/>
      </c>
      <c r="N49" s="73" t="str">
        <f aca="false">IF(OR(J49="",E49&lt;&gt;"PRESENT"),"",COUNTIFS($E$10:$E$250,"PRESENT",$J$10:$J$250,"&gt;"&amp;J49)+1)</f>
        <v/>
      </c>
      <c r="O49" s="74" t="str">
        <f aca="false">IF(M49="ADMIS",IF(J49/K49*10&gt;=8,"Très bien",IF(J49/K49*10&gt;=7,"Bien",IF(J49/K49*10&gt;=6,"Assez bien","Passable"))),IF(M49="REDOUBLE","Insuffisant",""))</f>
        <v/>
      </c>
      <c r="P49" s="51" t="str">
        <f aca="false">IFERROR(MATCH("CM2-40",'REGISTRE ELEVES'!$AH$10:$AH$250,0),"")</f>
        <v/>
      </c>
    </row>
    <row r="50" customFormat="false" ht="15" hidden="false" customHeight="false" outlineLevel="0" collapsed="false">
      <c r="A50" s="45" t="str">
        <f aca="false">IF(B50="","",41)</f>
        <v/>
      </c>
      <c r="B50" s="45" t="str">
        <f aca="false">IF($P50="","",INDEX('REGISTRE ELEVES'!$B$10:$B$250,$P50))</f>
        <v/>
      </c>
      <c r="C50" s="74" t="str">
        <f aca="false">IF($P50="","",INDEX('REGISTRE ELEVES'!$D$10:$D$250,$P50))</f>
        <v/>
      </c>
      <c r="D50" s="45" t="str">
        <f aca="false">IF($P50="","",INDEX('REGISTRE ELEVES'!$E$10:$E$250,$P50))</f>
        <v/>
      </c>
      <c r="E50" s="45" t="str">
        <f aca="false">IF($P50="","",INDEX('REGISTRE ELEVES'!$AE$10:$AE$250,$P50))</f>
        <v/>
      </c>
      <c r="F50" s="80" t="str">
        <f aca="false">IF(B50="","",IFERROR(INDEX('NOTES CM2'!$M$10:$M$250,MATCH(B50,'NOTES CM2'!$B$10:$B$250,0)),""))</f>
        <v/>
      </c>
      <c r="G50" s="80" t="str">
        <f aca="false">IF(B50="","",IFERROR(INDEX('NOTES CM2'!$T$10:$T$250,MATCH(B50,'NOTES CM2'!$B$10:$B$250,0)),""))</f>
        <v/>
      </c>
      <c r="H50" s="80" t="str">
        <f aca="false">IF(B50="","",IFERROR(INDEX('NOTES CM2'!$AB$10:$AB$250,MATCH(B50,'NOTES CM2'!$B$10:$B$250,0)),""))</f>
        <v/>
      </c>
      <c r="I50" s="80" t="str">
        <f aca="false">IF(B50="","",IFERROR(INDEX('NOTES CM2'!$AJ$10:$AJ$250,MATCH(B50,'NOTES CM2'!$B$10:$B$250,0)),""))</f>
        <v/>
      </c>
      <c r="J50" s="82" t="str">
        <f aca="false">IF(COUNT(F50:I50)&lt;4,"",ROUND(SUM(F50:I50)/4,2))</f>
        <v/>
      </c>
      <c r="K50" s="83" t="n">
        <f aca="false">INDEX(PARAMETRES!$D$18:$D$23,MATCH("CM2",PARAMETRES!$B$18:$B$23,0))</f>
        <v>20</v>
      </c>
      <c r="L50" s="81" t="n">
        <f aca="false">INDEX(PARAMETRES!$C$18:$C$23,MATCH("CM2",PARAMETRES!$B$18:$B$23,0))</f>
        <v>10</v>
      </c>
      <c r="M50" s="45" t="str">
        <f aca="false">IF(B50="","",IF(E50="ABANDON","ABANDON",IF(E50="TRANSFERE","TRANSFERE",IF(J50="","",IF(J50&gt;=L50,"ADMIS","REDOUBLE")))))</f>
        <v/>
      </c>
      <c r="N50" s="73" t="str">
        <f aca="false">IF(OR(J50="",E50&lt;&gt;"PRESENT"),"",COUNTIFS($E$10:$E$250,"PRESENT",$J$10:$J$250,"&gt;"&amp;J50)+1)</f>
        <v/>
      </c>
      <c r="O50" s="74" t="str">
        <f aca="false">IF(M50="ADMIS",IF(J50/K50*10&gt;=8,"Très bien",IF(J50/K50*10&gt;=7,"Bien",IF(J50/K50*10&gt;=6,"Assez bien","Passable"))),IF(M50="REDOUBLE","Insuffisant",""))</f>
        <v/>
      </c>
      <c r="P50" s="51" t="str">
        <f aca="false">IFERROR(MATCH("CM2-41",'REGISTRE ELEVES'!$AH$10:$AH$250,0),"")</f>
        <v/>
      </c>
    </row>
    <row r="51" customFormat="false" ht="15" hidden="false" customHeight="false" outlineLevel="0" collapsed="false">
      <c r="A51" s="45" t="str">
        <f aca="false">IF(B51="","",42)</f>
        <v/>
      </c>
      <c r="B51" s="45" t="str">
        <f aca="false">IF($P51="","",INDEX('REGISTRE ELEVES'!$B$10:$B$250,$P51))</f>
        <v/>
      </c>
      <c r="C51" s="74" t="str">
        <f aca="false">IF($P51="","",INDEX('REGISTRE ELEVES'!$D$10:$D$250,$P51))</f>
        <v/>
      </c>
      <c r="D51" s="45" t="str">
        <f aca="false">IF($P51="","",INDEX('REGISTRE ELEVES'!$E$10:$E$250,$P51))</f>
        <v/>
      </c>
      <c r="E51" s="45" t="str">
        <f aca="false">IF($P51="","",INDEX('REGISTRE ELEVES'!$AE$10:$AE$250,$P51))</f>
        <v/>
      </c>
      <c r="F51" s="80" t="str">
        <f aca="false">IF(B51="","",IFERROR(INDEX('NOTES CM2'!$M$10:$M$250,MATCH(B51,'NOTES CM2'!$B$10:$B$250,0)),""))</f>
        <v/>
      </c>
      <c r="G51" s="80" t="str">
        <f aca="false">IF(B51="","",IFERROR(INDEX('NOTES CM2'!$T$10:$T$250,MATCH(B51,'NOTES CM2'!$B$10:$B$250,0)),""))</f>
        <v/>
      </c>
      <c r="H51" s="80" t="str">
        <f aca="false">IF(B51="","",IFERROR(INDEX('NOTES CM2'!$AB$10:$AB$250,MATCH(B51,'NOTES CM2'!$B$10:$B$250,0)),""))</f>
        <v/>
      </c>
      <c r="I51" s="80" t="str">
        <f aca="false">IF(B51="","",IFERROR(INDEX('NOTES CM2'!$AJ$10:$AJ$250,MATCH(B51,'NOTES CM2'!$B$10:$B$250,0)),""))</f>
        <v/>
      </c>
      <c r="J51" s="82" t="str">
        <f aca="false">IF(COUNT(F51:I51)&lt;4,"",ROUND(SUM(F51:I51)/4,2))</f>
        <v/>
      </c>
      <c r="K51" s="83" t="n">
        <f aca="false">INDEX(PARAMETRES!$D$18:$D$23,MATCH("CM2",PARAMETRES!$B$18:$B$23,0))</f>
        <v>20</v>
      </c>
      <c r="L51" s="81" t="n">
        <f aca="false">INDEX(PARAMETRES!$C$18:$C$23,MATCH("CM2",PARAMETRES!$B$18:$B$23,0))</f>
        <v>10</v>
      </c>
      <c r="M51" s="45" t="str">
        <f aca="false">IF(B51="","",IF(E51="ABANDON","ABANDON",IF(E51="TRANSFERE","TRANSFERE",IF(J51="","",IF(J51&gt;=L51,"ADMIS","REDOUBLE")))))</f>
        <v/>
      </c>
      <c r="N51" s="73" t="str">
        <f aca="false">IF(OR(J51="",E51&lt;&gt;"PRESENT"),"",COUNTIFS($E$10:$E$250,"PRESENT",$J$10:$J$250,"&gt;"&amp;J51)+1)</f>
        <v/>
      </c>
      <c r="O51" s="74" t="str">
        <f aca="false">IF(M51="ADMIS",IF(J51/K51*10&gt;=8,"Très bien",IF(J51/K51*10&gt;=7,"Bien",IF(J51/K51*10&gt;=6,"Assez bien","Passable"))),IF(M51="REDOUBLE","Insuffisant",""))</f>
        <v/>
      </c>
      <c r="P51" s="51" t="str">
        <f aca="false">IFERROR(MATCH("CM2-42",'REGISTRE ELEVES'!$AH$10:$AH$250,0),"")</f>
        <v/>
      </c>
    </row>
    <row r="52" customFormat="false" ht="15" hidden="false" customHeight="false" outlineLevel="0" collapsed="false">
      <c r="A52" s="45" t="str">
        <f aca="false">IF(B52="","",43)</f>
        <v/>
      </c>
      <c r="B52" s="45" t="str">
        <f aca="false">IF($P52="","",INDEX('REGISTRE ELEVES'!$B$10:$B$250,$P52))</f>
        <v/>
      </c>
      <c r="C52" s="74" t="str">
        <f aca="false">IF($P52="","",INDEX('REGISTRE ELEVES'!$D$10:$D$250,$P52))</f>
        <v/>
      </c>
      <c r="D52" s="45" t="str">
        <f aca="false">IF($P52="","",INDEX('REGISTRE ELEVES'!$E$10:$E$250,$P52))</f>
        <v/>
      </c>
      <c r="E52" s="45" t="str">
        <f aca="false">IF($P52="","",INDEX('REGISTRE ELEVES'!$AE$10:$AE$250,$P52))</f>
        <v/>
      </c>
      <c r="F52" s="80" t="str">
        <f aca="false">IF(B52="","",IFERROR(INDEX('NOTES CM2'!$M$10:$M$250,MATCH(B52,'NOTES CM2'!$B$10:$B$250,0)),""))</f>
        <v/>
      </c>
      <c r="G52" s="80" t="str">
        <f aca="false">IF(B52="","",IFERROR(INDEX('NOTES CM2'!$T$10:$T$250,MATCH(B52,'NOTES CM2'!$B$10:$B$250,0)),""))</f>
        <v/>
      </c>
      <c r="H52" s="80" t="str">
        <f aca="false">IF(B52="","",IFERROR(INDEX('NOTES CM2'!$AB$10:$AB$250,MATCH(B52,'NOTES CM2'!$B$10:$B$250,0)),""))</f>
        <v/>
      </c>
      <c r="I52" s="80" t="str">
        <f aca="false">IF(B52="","",IFERROR(INDEX('NOTES CM2'!$AJ$10:$AJ$250,MATCH(B52,'NOTES CM2'!$B$10:$B$250,0)),""))</f>
        <v/>
      </c>
      <c r="J52" s="82" t="str">
        <f aca="false">IF(COUNT(F52:I52)&lt;4,"",ROUND(SUM(F52:I52)/4,2))</f>
        <v/>
      </c>
      <c r="K52" s="83" t="n">
        <f aca="false">INDEX(PARAMETRES!$D$18:$D$23,MATCH("CM2",PARAMETRES!$B$18:$B$23,0))</f>
        <v>20</v>
      </c>
      <c r="L52" s="81" t="n">
        <f aca="false">INDEX(PARAMETRES!$C$18:$C$23,MATCH("CM2",PARAMETRES!$B$18:$B$23,0))</f>
        <v>10</v>
      </c>
      <c r="M52" s="45" t="str">
        <f aca="false">IF(B52="","",IF(E52="ABANDON","ABANDON",IF(E52="TRANSFERE","TRANSFERE",IF(J52="","",IF(J52&gt;=L52,"ADMIS","REDOUBLE")))))</f>
        <v/>
      </c>
      <c r="N52" s="73" t="str">
        <f aca="false">IF(OR(J52="",E52&lt;&gt;"PRESENT"),"",COUNTIFS($E$10:$E$250,"PRESENT",$J$10:$J$250,"&gt;"&amp;J52)+1)</f>
        <v/>
      </c>
      <c r="O52" s="74" t="str">
        <f aca="false">IF(M52="ADMIS",IF(J52/K52*10&gt;=8,"Très bien",IF(J52/K52*10&gt;=7,"Bien",IF(J52/K52*10&gt;=6,"Assez bien","Passable"))),IF(M52="REDOUBLE","Insuffisant",""))</f>
        <v/>
      </c>
      <c r="P52" s="51" t="str">
        <f aca="false">IFERROR(MATCH("CM2-43",'REGISTRE ELEVES'!$AH$10:$AH$250,0),"")</f>
        <v/>
      </c>
    </row>
    <row r="53" customFormat="false" ht="15" hidden="false" customHeight="false" outlineLevel="0" collapsed="false">
      <c r="A53" s="45" t="str">
        <f aca="false">IF(B53="","",44)</f>
        <v/>
      </c>
      <c r="B53" s="45" t="str">
        <f aca="false">IF($P53="","",INDEX('REGISTRE ELEVES'!$B$10:$B$250,$P53))</f>
        <v/>
      </c>
      <c r="C53" s="74" t="str">
        <f aca="false">IF($P53="","",INDEX('REGISTRE ELEVES'!$D$10:$D$250,$P53))</f>
        <v/>
      </c>
      <c r="D53" s="45" t="str">
        <f aca="false">IF($P53="","",INDEX('REGISTRE ELEVES'!$E$10:$E$250,$P53))</f>
        <v/>
      </c>
      <c r="E53" s="45" t="str">
        <f aca="false">IF($P53="","",INDEX('REGISTRE ELEVES'!$AE$10:$AE$250,$P53))</f>
        <v/>
      </c>
      <c r="F53" s="80" t="str">
        <f aca="false">IF(B53="","",IFERROR(INDEX('NOTES CM2'!$M$10:$M$250,MATCH(B53,'NOTES CM2'!$B$10:$B$250,0)),""))</f>
        <v/>
      </c>
      <c r="G53" s="80" t="str">
        <f aca="false">IF(B53="","",IFERROR(INDEX('NOTES CM2'!$T$10:$T$250,MATCH(B53,'NOTES CM2'!$B$10:$B$250,0)),""))</f>
        <v/>
      </c>
      <c r="H53" s="80" t="str">
        <f aca="false">IF(B53="","",IFERROR(INDEX('NOTES CM2'!$AB$10:$AB$250,MATCH(B53,'NOTES CM2'!$B$10:$B$250,0)),""))</f>
        <v/>
      </c>
      <c r="I53" s="80" t="str">
        <f aca="false">IF(B53="","",IFERROR(INDEX('NOTES CM2'!$AJ$10:$AJ$250,MATCH(B53,'NOTES CM2'!$B$10:$B$250,0)),""))</f>
        <v/>
      </c>
      <c r="J53" s="82" t="str">
        <f aca="false">IF(COUNT(F53:I53)&lt;4,"",ROUND(SUM(F53:I53)/4,2))</f>
        <v/>
      </c>
      <c r="K53" s="83" t="n">
        <f aca="false">INDEX(PARAMETRES!$D$18:$D$23,MATCH("CM2",PARAMETRES!$B$18:$B$23,0))</f>
        <v>20</v>
      </c>
      <c r="L53" s="81" t="n">
        <f aca="false">INDEX(PARAMETRES!$C$18:$C$23,MATCH("CM2",PARAMETRES!$B$18:$B$23,0))</f>
        <v>10</v>
      </c>
      <c r="M53" s="45" t="str">
        <f aca="false">IF(B53="","",IF(E53="ABANDON","ABANDON",IF(E53="TRANSFERE","TRANSFERE",IF(J53="","",IF(J53&gt;=L53,"ADMIS","REDOUBLE")))))</f>
        <v/>
      </c>
      <c r="N53" s="73" t="str">
        <f aca="false">IF(OR(J53="",E53&lt;&gt;"PRESENT"),"",COUNTIFS($E$10:$E$250,"PRESENT",$J$10:$J$250,"&gt;"&amp;J53)+1)</f>
        <v/>
      </c>
      <c r="O53" s="74" t="str">
        <f aca="false">IF(M53="ADMIS",IF(J53/K53*10&gt;=8,"Très bien",IF(J53/K53*10&gt;=7,"Bien",IF(J53/K53*10&gt;=6,"Assez bien","Passable"))),IF(M53="REDOUBLE","Insuffisant",""))</f>
        <v/>
      </c>
      <c r="P53" s="51" t="str">
        <f aca="false">IFERROR(MATCH("CM2-44",'REGISTRE ELEVES'!$AH$10:$AH$250,0),"")</f>
        <v/>
      </c>
    </row>
    <row r="54" customFormat="false" ht="15" hidden="false" customHeight="false" outlineLevel="0" collapsed="false">
      <c r="A54" s="45" t="str">
        <f aca="false">IF(B54="","",45)</f>
        <v/>
      </c>
      <c r="B54" s="45" t="str">
        <f aca="false">IF($P54="","",INDEX('REGISTRE ELEVES'!$B$10:$B$250,$P54))</f>
        <v/>
      </c>
      <c r="C54" s="74" t="str">
        <f aca="false">IF($P54="","",INDEX('REGISTRE ELEVES'!$D$10:$D$250,$P54))</f>
        <v/>
      </c>
      <c r="D54" s="45" t="str">
        <f aca="false">IF($P54="","",INDEX('REGISTRE ELEVES'!$E$10:$E$250,$P54))</f>
        <v/>
      </c>
      <c r="E54" s="45" t="str">
        <f aca="false">IF($P54="","",INDEX('REGISTRE ELEVES'!$AE$10:$AE$250,$P54))</f>
        <v/>
      </c>
      <c r="F54" s="80" t="str">
        <f aca="false">IF(B54="","",IFERROR(INDEX('NOTES CM2'!$M$10:$M$250,MATCH(B54,'NOTES CM2'!$B$10:$B$250,0)),""))</f>
        <v/>
      </c>
      <c r="G54" s="80" t="str">
        <f aca="false">IF(B54="","",IFERROR(INDEX('NOTES CM2'!$T$10:$T$250,MATCH(B54,'NOTES CM2'!$B$10:$B$250,0)),""))</f>
        <v/>
      </c>
      <c r="H54" s="80" t="str">
        <f aca="false">IF(B54="","",IFERROR(INDEX('NOTES CM2'!$AB$10:$AB$250,MATCH(B54,'NOTES CM2'!$B$10:$B$250,0)),""))</f>
        <v/>
      </c>
      <c r="I54" s="80" t="str">
        <f aca="false">IF(B54="","",IFERROR(INDEX('NOTES CM2'!$AJ$10:$AJ$250,MATCH(B54,'NOTES CM2'!$B$10:$B$250,0)),""))</f>
        <v/>
      </c>
      <c r="J54" s="82" t="str">
        <f aca="false">IF(COUNT(F54:I54)&lt;4,"",ROUND(SUM(F54:I54)/4,2))</f>
        <v/>
      </c>
      <c r="K54" s="83" t="n">
        <f aca="false">INDEX(PARAMETRES!$D$18:$D$23,MATCH("CM2",PARAMETRES!$B$18:$B$23,0))</f>
        <v>20</v>
      </c>
      <c r="L54" s="81" t="n">
        <f aca="false">INDEX(PARAMETRES!$C$18:$C$23,MATCH("CM2",PARAMETRES!$B$18:$B$23,0))</f>
        <v>10</v>
      </c>
      <c r="M54" s="45" t="str">
        <f aca="false">IF(B54="","",IF(E54="ABANDON","ABANDON",IF(E54="TRANSFERE","TRANSFERE",IF(J54="","",IF(J54&gt;=L54,"ADMIS","REDOUBLE")))))</f>
        <v/>
      </c>
      <c r="N54" s="73" t="str">
        <f aca="false">IF(OR(J54="",E54&lt;&gt;"PRESENT"),"",COUNTIFS($E$10:$E$250,"PRESENT",$J$10:$J$250,"&gt;"&amp;J54)+1)</f>
        <v/>
      </c>
      <c r="O54" s="74" t="str">
        <f aca="false">IF(M54="ADMIS",IF(J54/K54*10&gt;=8,"Très bien",IF(J54/K54*10&gt;=7,"Bien",IF(J54/K54*10&gt;=6,"Assez bien","Passable"))),IF(M54="REDOUBLE","Insuffisant",""))</f>
        <v/>
      </c>
      <c r="P54" s="51" t="str">
        <f aca="false">IFERROR(MATCH("CM2-45",'REGISTRE ELEVES'!$AH$10:$AH$250,0),"")</f>
        <v/>
      </c>
    </row>
    <row r="55" customFormat="false" ht="15" hidden="false" customHeight="false" outlineLevel="0" collapsed="false">
      <c r="A55" s="45" t="str">
        <f aca="false">IF(B55="","",46)</f>
        <v/>
      </c>
      <c r="B55" s="45" t="str">
        <f aca="false">IF($P55="","",INDEX('REGISTRE ELEVES'!$B$10:$B$250,$P55))</f>
        <v/>
      </c>
      <c r="C55" s="74" t="str">
        <f aca="false">IF($P55="","",INDEX('REGISTRE ELEVES'!$D$10:$D$250,$P55))</f>
        <v/>
      </c>
      <c r="D55" s="45" t="str">
        <f aca="false">IF($P55="","",INDEX('REGISTRE ELEVES'!$E$10:$E$250,$P55))</f>
        <v/>
      </c>
      <c r="E55" s="45" t="str">
        <f aca="false">IF($P55="","",INDEX('REGISTRE ELEVES'!$AE$10:$AE$250,$P55))</f>
        <v/>
      </c>
      <c r="F55" s="80" t="str">
        <f aca="false">IF(B55="","",IFERROR(INDEX('NOTES CM2'!$M$10:$M$250,MATCH(B55,'NOTES CM2'!$B$10:$B$250,0)),""))</f>
        <v/>
      </c>
      <c r="G55" s="80" t="str">
        <f aca="false">IF(B55="","",IFERROR(INDEX('NOTES CM2'!$T$10:$T$250,MATCH(B55,'NOTES CM2'!$B$10:$B$250,0)),""))</f>
        <v/>
      </c>
      <c r="H55" s="80" t="str">
        <f aca="false">IF(B55="","",IFERROR(INDEX('NOTES CM2'!$AB$10:$AB$250,MATCH(B55,'NOTES CM2'!$B$10:$B$250,0)),""))</f>
        <v/>
      </c>
      <c r="I55" s="80" t="str">
        <f aca="false">IF(B55="","",IFERROR(INDEX('NOTES CM2'!$AJ$10:$AJ$250,MATCH(B55,'NOTES CM2'!$B$10:$B$250,0)),""))</f>
        <v/>
      </c>
      <c r="J55" s="82" t="str">
        <f aca="false">IF(COUNT(F55:I55)&lt;4,"",ROUND(SUM(F55:I55)/4,2))</f>
        <v/>
      </c>
      <c r="K55" s="83" t="n">
        <f aca="false">INDEX(PARAMETRES!$D$18:$D$23,MATCH("CM2",PARAMETRES!$B$18:$B$23,0))</f>
        <v>20</v>
      </c>
      <c r="L55" s="81" t="n">
        <f aca="false">INDEX(PARAMETRES!$C$18:$C$23,MATCH("CM2",PARAMETRES!$B$18:$B$23,0))</f>
        <v>10</v>
      </c>
      <c r="M55" s="45" t="str">
        <f aca="false">IF(B55="","",IF(E55="ABANDON","ABANDON",IF(E55="TRANSFERE","TRANSFERE",IF(J55="","",IF(J55&gt;=L55,"ADMIS","REDOUBLE")))))</f>
        <v/>
      </c>
      <c r="N55" s="73" t="str">
        <f aca="false">IF(OR(J55="",E55&lt;&gt;"PRESENT"),"",COUNTIFS($E$10:$E$250,"PRESENT",$J$10:$J$250,"&gt;"&amp;J55)+1)</f>
        <v/>
      </c>
      <c r="O55" s="74" t="str">
        <f aca="false">IF(M55="ADMIS",IF(J55/K55*10&gt;=8,"Très bien",IF(J55/K55*10&gt;=7,"Bien",IF(J55/K55*10&gt;=6,"Assez bien","Passable"))),IF(M55="REDOUBLE","Insuffisant",""))</f>
        <v/>
      </c>
      <c r="P55" s="51" t="str">
        <f aca="false">IFERROR(MATCH("CM2-46",'REGISTRE ELEVES'!$AH$10:$AH$250,0),"")</f>
        <v/>
      </c>
    </row>
    <row r="56" customFormat="false" ht="15" hidden="false" customHeight="false" outlineLevel="0" collapsed="false">
      <c r="A56" s="45" t="str">
        <f aca="false">IF(B56="","",47)</f>
        <v/>
      </c>
      <c r="B56" s="45" t="str">
        <f aca="false">IF($P56="","",INDEX('REGISTRE ELEVES'!$B$10:$B$250,$P56))</f>
        <v/>
      </c>
      <c r="C56" s="74" t="str">
        <f aca="false">IF($P56="","",INDEX('REGISTRE ELEVES'!$D$10:$D$250,$P56))</f>
        <v/>
      </c>
      <c r="D56" s="45" t="str">
        <f aca="false">IF($P56="","",INDEX('REGISTRE ELEVES'!$E$10:$E$250,$P56))</f>
        <v/>
      </c>
      <c r="E56" s="45" t="str">
        <f aca="false">IF($P56="","",INDEX('REGISTRE ELEVES'!$AE$10:$AE$250,$P56))</f>
        <v/>
      </c>
      <c r="F56" s="80" t="str">
        <f aca="false">IF(B56="","",IFERROR(INDEX('NOTES CM2'!$M$10:$M$250,MATCH(B56,'NOTES CM2'!$B$10:$B$250,0)),""))</f>
        <v/>
      </c>
      <c r="G56" s="80" t="str">
        <f aca="false">IF(B56="","",IFERROR(INDEX('NOTES CM2'!$T$10:$T$250,MATCH(B56,'NOTES CM2'!$B$10:$B$250,0)),""))</f>
        <v/>
      </c>
      <c r="H56" s="80" t="str">
        <f aca="false">IF(B56="","",IFERROR(INDEX('NOTES CM2'!$AB$10:$AB$250,MATCH(B56,'NOTES CM2'!$B$10:$B$250,0)),""))</f>
        <v/>
      </c>
      <c r="I56" s="80" t="str">
        <f aca="false">IF(B56="","",IFERROR(INDEX('NOTES CM2'!$AJ$10:$AJ$250,MATCH(B56,'NOTES CM2'!$B$10:$B$250,0)),""))</f>
        <v/>
      </c>
      <c r="J56" s="82" t="str">
        <f aca="false">IF(COUNT(F56:I56)&lt;4,"",ROUND(SUM(F56:I56)/4,2))</f>
        <v/>
      </c>
      <c r="K56" s="83" t="n">
        <f aca="false">INDEX(PARAMETRES!$D$18:$D$23,MATCH("CM2",PARAMETRES!$B$18:$B$23,0))</f>
        <v>20</v>
      </c>
      <c r="L56" s="81" t="n">
        <f aca="false">INDEX(PARAMETRES!$C$18:$C$23,MATCH("CM2",PARAMETRES!$B$18:$B$23,0))</f>
        <v>10</v>
      </c>
      <c r="M56" s="45" t="str">
        <f aca="false">IF(B56="","",IF(E56="ABANDON","ABANDON",IF(E56="TRANSFERE","TRANSFERE",IF(J56="","",IF(J56&gt;=L56,"ADMIS","REDOUBLE")))))</f>
        <v/>
      </c>
      <c r="N56" s="73" t="str">
        <f aca="false">IF(OR(J56="",E56&lt;&gt;"PRESENT"),"",COUNTIFS($E$10:$E$250,"PRESENT",$J$10:$J$250,"&gt;"&amp;J56)+1)</f>
        <v/>
      </c>
      <c r="O56" s="74" t="str">
        <f aca="false">IF(M56="ADMIS",IF(J56/K56*10&gt;=8,"Très bien",IF(J56/K56*10&gt;=7,"Bien",IF(J56/K56*10&gt;=6,"Assez bien","Passable"))),IF(M56="REDOUBLE","Insuffisant",""))</f>
        <v/>
      </c>
      <c r="P56" s="51" t="str">
        <f aca="false">IFERROR(MATCH("CM2-47",'REGISTRE ELEVES'!$AH$10:$AH$250,0),"")</f>
        <v/>
      </c>
    </row>
    <row r="57" customFormat="false" ht="15" hidden="false" customHeight="false" outlineLevel="0" collapsed="false">
      <c r="A57" s="45" t="str">
        <f aca="false">IF(B57="","",48)</f>
        <v/>
      </c>
      <c r="B57" s="45" t="str">
        <f aca="false">IF($P57="","",INDEX('REGISTRE ELEVES'!$B$10:$B$250,$P57))</f>
        <v/>
      </c>
      <c r="C57" s="74" t="str">
        <f aca="false">IF($P57="","",INDEX('REGISTRE ELEVES'!$D$10:$D$250,$P57))</f>
        <v/>
      </c>
      <c r="D57" s="45" t="str">
        <f aca="false">IF($P57="","",INDEX('REGISTRE ELEVES'!$E$10:$E$250,$P57))</f>
        <v/>
      </c>
      <c r="E57" s="45" t="str">
        <f aca="false">IF($P57="","",INDEX('REGISTRE ELEVES'!$AE$10:$AE$250,$P57))</f>
        <v/>
      </c>
      <c r="F57" s="80" t="str">
        <f aca="false">IF(B57="","",IFERROR(INDEX('NOTES CM2'!$M$10:$M$250,MATCH(B57,'NOTES CM2'!$B$10:$B$250,0)),""))</f>
        <v/>
      </c>
      <c r="G57" s="80" t="str">
        <f aca="false">IF(B57="","",IFERROR(INDEX('NOTES CM2'!$T$10:$T$250,MATCH(B57,'NOTES CM2'!$B$10:$B$250,0)),""))</f>
        <v/>
      </c>
      <c r="H57" s="80" t="str">
        <f aca="false">IF(B57="","",IFERROR(INDEX('NOTES CM2'!$AB$10:$AB$250,MATCH(B57,'NOTES CM2'!$B$10:$B$250,0)),""))</f>
        <v/>
      </c>
      <c r="I57" s="80" t="str">
        <f aca="false">IF(B57="","",IFERROR(INDEX('NOTES CM2'!$AJ$10:$AJ$250,MATCH(B57,'NOTES CM2'!$B$10:$B$250,0)),""))</f>
        <v/>
      </c>
      <c r="J57" s="82" t="str">
        <f aca="false">IF(COUNT(F57:I57)&lt;4,"",ROUND(SUM(F57:I57)/4,2))</f>
        <v/>
      </c>
      <c r="K57" s="83" t="n">
        <f aca="false">INDEX(PARAMETRES!$D$18:$D$23,MATCH("CM2",PARAMETRES!$B$18:$B$23,0))</f>
        <v>20</v>
      </c>
      <c r="L57" s="81" t="n">
        <f aca="false">INDEX(PARAMETRES!$C$18:$C$23,MATCH("CM2",PARAMETRES!$B$18:$B$23,0))</f>
        <v>10</v>
      </c>
      <c r="M57" s="45" t="str">
        <f aca="false">IF(B57="","",IF(E57="ABANDON","ABANDON",IF(E57="TRANSFERE","TRANSFERE",IF(J57="","",IF(J57&gt;=L57,"ADMIS","REDOUBLE")))))</f>
        <v/>
      </c>
      <c r="N57" s="73" t="str">
        <f aca="false">IF(OR(J57="",E57&lt;&gt;"PRESENT"),"",COUNTIFS($E$10:$E$250,"PRESENT",$J$10:$J$250,"&gt;"&amp;J57)+1)</f>
        <v/>
      </c>
      <c r="O57" s="74" t="str">
        <f aca="false">IF(M57="ADMIS",IF(J57/K57*10&gt;=8,"Très bien",IF(J57/K57*10&gt;=7,"Bien",IF(J57/K57*10&gt;=6,"Assez bien","Passable"))),IF(M57="REDOUBLE","Insuffisant",""))</f>
        <v/>
      </c>
      <c r="P57" s="51" t="str">
        <f aca="false">IFERROR(MATCH("CM2-48",'REGISTRE ELEVES'!$AH$10:$AH$250,0),"")</f>
        <v/>
      </c>
    </row>
    <row r="58" customFormat="false" ht="15" hidden="false" customHeight="false" outlineLevel="0" collapsed="false">
      <c r="A58" s="45" t="str">
        <f aca="false">IF(B58="","",49)</f>
        <v/>
      </c>
      <c r="B58" s="45" t="str">
        <f aca="false">IF($P58="","",INDEX('REGISTRE ELEVES'!$B$10:$B$250,$P58))</f>
        <v/>
      </c>
      <c r="C58" s="74" t="str">
        <f aca="false">IF($P58="","",INDEX('REGISTRE ELEVES'!$D$10:$D$250,$P58))</f>
        <v/>
      </c>
      <c r="D58" s="45" t="str">
        <f aca="false">IF($P58="","",INDEX('REGISTRE ELEVES'!$E$10:$E$250,$P58))</f>
        <v/>
      </c>
      <c r="E58" s="45" t="str">
        <f aca="false">IF($P58="","",INDEX('REGISTRE ELEVES'!$AE$10:$AE$250,$P58))</f>
        <v/>
      </c>
      <c r="F58" s="80" t="str">
        <f aca="false">IF(B58="","",IFERROR(INDEX('NOTES CM2'!$M$10:$M$250,MATCH(B58,'NOTES CM2'!$B$10:$B$250,0)),""))</f>
        <v/>
      </c>
      <c r="G58" s="80" t="str">
        <f aca="false">IF(B58="","",IFERROR(INDEX('NOTES CM2'!$T$10:$T$250,MATCH(B58,'NOTES CM2'!$B$10:$B$250,0)),""))</f>
        <v/>
      </c>
      <c r="H58" s="80" t="str">
        <f aca="false">IF(B58="","",IFERROR(INDEX('NOTES CM2'!$AB$10:$AB$250,MATCH(B58,'NOTES CM2'!$B$10:$B$250,0)),""))</f>
        <v/>
      </c>
      <c r="I58" s="80" t="str">
        <f aca="false">IF(B58="","",IFERROR(INDEX('NOTES CM2'!$AJ$10:$AJ$250,MATCH(B58,'NOTES CM2'!$B$10:$B$250,0)),""))</f>
        <v/>
      </c>
      <c r="J58" s="82" t="str">
        <f aca="false">IF(COUNT(F58:I58)&lt;4,"",ROUND(SUM(F58:I58)/4,2))</f>
        <v/>
      </c>
      <c r="K58" s="83" t="n">
        <f aca="false">INDEX(PARAMETRES!$D$18:$D$23,MATCH("CM2",PARAMETRES!$B$18:$B$23,0))</f>
        <v>20</v>
      </c>
      <c r="L58" s="81" t="n">
        <f aca="false">INDEX(PARAMETRES!$C$18:$C$23,MATCH("CM2",PARAMETRES!$B$18:$B$23,0))</f>
        <v>10</v>
      </c>
      <c r="M58" s="45" t="str">
        <f aca="false">IF(B58="","",IF(E58="ABANDON","ABANDON",IF(E58="TRANSFERE","TRANSFERE",IF(J58="","",IF(J58&gt;=L58,"ADMIS","REDOUBLE")))))</f>
        <v/>
      </c>
      <c r="N58" s="73" t="str">
        <f aca="false">IF(OR(J58="",E58&lt;&gt;"PRESENT"),"",COUNTIFS($E$10:$E$250,"PRESENT",$J$10:$J$250,"&gt;"&amp;J58)+1)</f>
        <v/>
      </c>
      <c r="O58" s="74" t="str">
        <f aca="false">IF(M58="ADMIS",IF(J58/K58*10&gt;=8,"Très bien",IF(J58/K58*10&gt;=7,"Bien",IF(J58/K58*10&gt;=6,"Assez bien","Passable"))),IF(M58="REDOUBLE","Insuffisant",""))</f>
        <v/>
      </c>
      <c r="P58" s="51" t="str">
        <f aca="false">IFERROR(MATCH("CM2-49",'REGISTRE ELEVES'!$AH$10:$AH$250,0),"")</f>
        <v/>
      </c>
    </row>
    <row r="59" customFormat="false" ht="15" hidden="false" customHeight="false" outlineLevel="0" collapsed="false">
      <c r="A59" s="45" t="str">
        <f aca="false">IF(B59="","",50)</f>
        <v/>
      </c>
      <c r="B59" s="45" t="str">
        <f aca="false">IF($P59="","",INDEX('REGISTRE ELEVES'!$B$10:$B$250,$P59))</f>
        <v/>
      </c>
      <c r="C59" s="74" t="str">
        <f aca="false">IF($P59="","",INDEX('REGISTRE ELEVES'!$D$10:$D$250,$P59))</f>
        <v/>
      </c>
      <c r="D59" s="45" t="str">
        <f aca="false">IF($P59="","",INDEX('REGISTRE ELEVES'!$E$10:$E$250,$P59))</f>
        <v/>
      </c>
      <c r="E59" s="45" t="str">
        <f aca="false">IF($P59="","",INDEX('REGISTRE ELEVES'!$AE$10:$AE$250,$P59))</f>
        <v/>
      </c>
      <c r="F59" s="80" t="str">
        <f aca="false">IF(B59="","",IFERROR(INDEX('NOTES CM2'!$M$10:$M$250,MATCH(B59,'NOTES CM2'!$B$10:$B$250,0)),""))</f>
        <v/>
      </c>
      <c r="G59" s="80" t="str">
        <f aca="false">IF(B59="","",IFERROR(INDEX('NOTES CM2'!$T$10:$T$250,MATCH(B59,'NOTES CM2'!$B$10:$B$250,0)),""))</f>
        <v/>
      </c>
      <c r="H59" s="80" t="str">
        <f aca="false">IF(B59="","",IFERROR(INDEX('NOTES CM2'!$AB$10:$AB$250,MATCH(B59,'NOTES CM2'!$B$10:$B$250,0)),""))</f>
        <v/>
      </c>
      <c r="I59" s="80" t="str">
        <f aca="false">IF(B59="","",IFERROR(INDEX('NOTES CM2'!$AJ$10:$AJ$250,MATCH(B59,'NOTES CM2'!$B$10:$B$250,0)),""))</f>
        <v/>
      </c>
      <c r="J59" s="82" t="str">
        <f aca="false">IF(COUNT(F59:I59)&lt;4,"",ROUND(SUM(F59:I59)/4,2))</f>
        <v/>
      </c>
      <c r="K59" s="83" t="n">
        <f aca="false">INDEX(PARAMETRES!$D$18:$D$23,MATCH("CM2",PARAMETRES!$B$18:$B$23,0))</f>
        <v>20</v>
      </c>
      <c r="L59" s="81" t="n">
        <f aca="false">INDEX(PARAMETRES!$C$18:$C$23,MATCH("CM2",PARAMETRES!$B$18:$B$23,0))</f>
        <v>10</v>
      </c>
      <c r="M59" s="45" t="str">
        <f aca="false">IF(B59="","",IF(E59="ABANDON","ABANDON",IF(E59="TRANSFERE","TRANSFERE",IF(J59="","",IF(J59&gt;=L59,"ADMIS","REDOUBLE")))))</f>
        <v/>
      </c>
      <c r="N59" s="73" t="str">
        <f aca="false">IF(OR(J59="",E59&lt;&gt;"PRESENT"),"",COUNTIFS($E$10:$E$250,"PRESENT",$J$10:$J$250,"&gt;"&amp;J59)+1)</f>
        <v/>
      </c>
      <c r="O59" s="74" t="str">
        <f aca="false">IF(M59="ADMIS",IF(J59/K59*10&gt;=8,"Très bien",IF(J59/K59*10&gt;=7,"Bien",IF(J59/K59*10&gt;=6,"Assez bien","Passable"))),IF(M59="REDOUBLE","Insuffisant",""))</f>
        <v/>
      </c>
      <c r="P59" s="51" t="str">
        <f aca="false">IFERROR(MATCH("CM2-50",'REGISTRE ELEVES'!$AH$10:$AH$250,0),"")</f>
        <v/>
      </c>
    </row>
    <row r="60" customFormat="false" ht="15" hidden="false" customHeight="false" outlineLevel="0" collapsed="false">
      <c r="A60" s="45" t="str">
        <f aca="false">IF(B60="","",51)</f>
        <v/>
      </c>
      <c r="B60" s="45" t="str">
        <f aca="false">IF($P60="","",INDEX('REGISTRE ELEVES'!$B$10:$B$250,$P60))</f>
        <v/>
      </c>
      <c r="C60" s="74" t="str">
        <f aca="false">IF($P60="","",INDEX('REGISTRE ELEVES'!$D$10:$D$250,$P60))</f>
        <v/>
      </c>
      <c r="D60" s="45" t="str">
        <f aca="false">IF($P60="","",INDEX('REGISTRE ELEVES'!$E$10:$E$250,$P60))</f>
        <v/>
      </c>
      <c r="E60" s="45" t="str">
        <f aca="false">IF($P60="","",INDEX('REGISTRE ELEVES'!$AE$10:$AE$250,$P60))</f>
        <v/>
      </c>
      <c r="F60" s="80" t="str">
        <f aca="false">IF(B60="","",IFERROR(INDEX('NOTES CM2'!$M$10:$M$250,MATCH(B60,'NOTES CM2'!$B$10:$B$250,0)),""))</f>
        <v/>
      </c>
      <c r="G60" s="80" t="str">
        <f aca="false">IF(B60="","",IFERROR(INDEX('NOTES CM2'!$T$10:$T$250,MATCH(B60,'NOTES CM2'!$B$10:$B$250,0)),""))</f>
        <v/>
      </c>
      <c r="H60" s="80" t="str">
        <f aca="false">IF(B60="","",IFERROR(INDEX('NOTES CM2'!$AB$10:$AB$250,MATCH(B60,'NOTES CM2'!$B$10:$B$250,0)),""))</f>
        <v/>
      </c>
      <c r="I60" s="80" t="str">
        <f aca="false">IF(B60="","",IFERROR(INDEX('NOTES CM2'!$AJ$10:$AJ$250,MATCH(B60,'NOTES CM2'!$B$10:$B$250,0)),""))</f>
        <v/>
      </c>
      <c r="J60" s="82" t="str">
        <f aca="false">IF(COUNT(F60:I60)&lt;4,"",ROUND(SUM(F60:I60)/4,2))</f>
        <v/>
      </c>
      <c r="K60" s="83" t="n">
        <f aca="false">INDEX(PARAMETRES!$D$18:$D$23,MATCH("CM2",PARAMETRES!$B$18:$B$23,0))</f>
        <v>20</v>
      </c>
      <c r="L60" s="81" t="n">
        <f aca="false">INDEX(PARAMETRES!$C$18:$C$23,MATCH("CM2",PARAMETRES!$B$18:$B$23,0))</f>
        <v>10</v>
      </c>
      <c r="M60" s="45" t="str">
        <f aca="false">IF(B60="","",IF(E60="ABANDON","ABANDON",IF(E60="TRANSFERE","TRANSFERE",IF(J60="","",IF(J60&gt;=L60,"ADMIS","REDOUBLE")))))</f>
        <v/>
      </c>
      <c r="N60" s="73" t="str">
        <f aca="false">IF(OR(J60="",E60&lt;&gt;"PRESENT"),"",COUNTIFS($E$10:$E$250,"PRESENT",$J$10:$J$250,"&gt;"&amp;J60)+1)</f>
        <v/>
      </c>
      <c r="O60" s="74" t="str">
        <f aca="false">IF(M60="ADMIS",IF(J60/K60*10&gt;=8,"Très bien",IF(J60/K60*10&gt;=7,"Bien",IF(J60/K60*10&gt;=6,"Assez bien","Passable"))),IF(M60="REDOUBLE","Insuffisant",""))</f>
        <v/>
      </c>
      <c r="P60" s="51" t="str">
        <f aca="false">IFERROR(MATCH("CM2-51",'REGISTRE ELEVES'!$AH$10:$AH$250,0),"")</f>
        <v/>
      </c>
    </row>
    <row r="61" customFormat="false" ht="15" hidden="false" customHeight="false" outlineLevel="0" collapsed="false">
      <c r="A61" s="45" t="str">
        <f aca="false">IF(B61="","",52)</f>
        <v/>
      </c>
      <c r="B61" s="45" t="str">
        <f aca="false">IF($P61="","",INDEX('REGISTRE ELEVES'!$B$10:$B$250,$P61))</f>
        <v/>
      </c>
      <c r="C61" s="74" t="str">
        <f aca="false">IF($P61="","",INDEX('REGISTRE ELEVES'!$D$10:$D$250,$P61))</f>
        <v/>
      </c>
      <c r="D61" s="45" t="str">
        <f aca="false">IF($P61="","",INDEX('REGISTRE ELEVES'!$E$10:$E$250,$P61))</f>
        <v/>
      </c>
      <c r="E61" s="45" t="str">
        <f aca="false">IF($P61="","",INDEX('REGISTRE ELEVES'!$AE$10:$AE$250,$P61))</f>
        <v/>
      </c>
      <c r="F61" s="80" t="str">
        <f aca="false">IF(B61="","",IFERROR(INDEX('NOTES CM2'!$M$10:$M$250,MATCH(B61,'NOTES CM2'!$B$10:$B$250,0)),""))</f>
        <v/>
      </c>
      <c r="G61" s="80" t="str">
        <f aca="false">IF(B61="","",IFERROR(INDEX('NOTES CM2'!$T$10:$T$250,MATCH(B61,'NOTES CM2'!$B$10:$B$250,0)),""))</f>
        <v/>
      </c>
      <c r="H61" s="80" t="str">
        <f aca="false">IF(B61="","",IFERROR(INDEX('NOTES CM2'!$AB$10:$AB$250,MATCH(B61,'NOTES CM2'!$B$10:$B$250,0)),""))</f>
        <v/>
      </c>
      <c r="I61" s="80" t="str">
        <f aca="false">IF(B61="","",IFERROR(INDEX('NOTES CM2'!$AJ$10:$AJ$250,MATCH(B61,'NOTES CM2'!$B$10:$B$250,0)),""))</f>
        <v/>
      </c>
      <c r="J61" s="82" t="str">
        <f aca="false">IF(COUNT(F61:I61)&lt;4,"",ROUND(SUM(F61:I61)/4,2))</f>
        <v/>
      </c>
      <c r="K61" s="83" t="n">
        <f aca="false">INDEX(PARAMETRES!$D$18:$D$23,MATCH("CM2",PARAMETRES!$B$18:$B$23,0))</f>
        <v>20</v>
      </c>
      <c r="L61" s="81" t="n">
        <f aca="false">INDEX(PARAMETRES!$C$18:$C$23,MATCH("CM2",PARAMETRES!$B$18:$B$23,0))</f>
        <v>10</v>
      </c>
      <c r="M61" s="45" t="str">
        <f aca="false">IF(B61="","",IF(E61="ABANDON","ABANDON",IF(E61="TRANSFERE","TRANSFERE",IF(J61="","",IF(J61&gt;=L61,"ADMIS","REDOUBLE")))))</f>
        <v/>
      </c>
      <c r="N61" s="73" t="str">
        <f aca="false">IF(OR(J61="",E61&lt;&gt;"PRESENT"),"",COUNTIFS($E$10:$E$250,"PRESENT",$J$10:$J$250,"&gt;"&amp;J61)+1)</f>
        <v/>
      </c>
      <c r="O61" s="74" t="str">
        <f aca="false">IF(M61="ADMIS",IF(J61/K61*10&gt;=8,"Très bien",IF(J61/K61*10&gt;=7,"Bien",IF(J61/K61*10&gt;=6,"Assez bien","Passable"))),IF(M61="REDOUBLE","Insuffisant",""))</f>
        <v/>
      </c>
      <c r="P61" s="51" t="str">
        <f aca="false">IFERROR(MATCH("CM2-52",'REGISTRE ELEVES'!$AH$10:$AH$250,0),"")</f>
        <v/>
      </c>
    </row>
    <row r="62" customFormat="false" ht="15" hidden="false" customHeight="false" outlineLevel="0" collapsed="false">
      <c r="A62" s="45" t="str">
        <f aca="false">IF(B62="","",53)</f>
        <v/>
      </c>
      <c r="B62" s="45" t="str">
        <f aca="false">IF($P62="","",INDEX('REGISTRE ELEVES'!$B$10:$B$250,$P62))</f>
        <v/>
      </c>
      <c r="C62" s="74" t="str">
        <f aca="false">IF($P62="","",INDEX('REGISTRE ELEVES'!$D$10:$D$250,$P62))</f>
        <v/>
      </c>
      <c r="D62" s="45" t="str">
        <f aca="false">IF($P62="","",INDEX('REGISTRE ELEVES'!$E$10:$E$250,$P62))</f>
        <v/>
      </c>
      <c r="E62" s="45" t="str">
        <f aca="false">IF($P62="","",INDEX('REGISTRE ELEVES'!$AE$10:$AE$250,$P62))</f>
        <v/>
      </c>
      <c r="F62" s="80" t="str">
        <f aca="false">IF(B62="","",IFERROR(INDEX('NOTES CM2'!$M$10:$M$250,MATCH(B62,'NOTES CM2'!$B$10:$B$250,0)),""))</f>
        <v/>
      </c>
      <c r="G62" s="80" t="str">
        <f aca="false">IF(B62="","",IFERROR(INDEX('NOTES CM2'!$T$10:$T$250,MATCH(B62,'NOTES CM2'!$B$10:$B$250,0)),""))</f>
        <v/>
      </c>
      <c r="H62" s="80" t="str">
        <f aca="false">IF(B62="","",IFERROR(INDEX('NOTES CM2'!$AB$10:$AB$250,MATCH(B62,'NOTES CM2'!$B$10:$B$250,0)),""))</f>
        <v/>
      </c>
      <c r="I62" s="80" t="str">
        <f aca="false">IF(B62="","",IFERROR(INDEX('NOTES CM2'!$AJ$10:$AJ$250,MATCH(B62,'NOTES CM2'!$B$10:$B$250,0)),""))</f>
        <v/>
      </c>
      <c r="J62" s="82" t="str">
        <f aca="false">IF(COUNT(F62:I62)&lt;4,"",ROUND(SUM(F62:I62)/4,2))</f>
        <v/>
      </c>
      <c r="K62" s="83" t="n">
        <f aca="false">INDEX(PARAMETRES!$D$18:$D$23,MATCH("CM2",PARAMETRES!$B$18:$B$23,0))</f>
        <v>20</v>
      </c>
      <c r="L62" s="81" t="n">
        <f aca="false">INDEX(PARAMETRES!$C$18:$C$23,MATCH("CM2",PARAMETRES!$B$18:$B$23,0))</f>
        <v>10</v>
      </c>
      <c r="M62" s="45" t="str">
        <f aca="false">IF(B62="","",IF(E62="ABANDON","ABANDON",IF(E62="TRANSFERE","TRANSFERE",IF(J62="","",IF(J62&gt;=L62,"ADMIS","REDOUBLE")))))</f>
        <v/>
      </c>
      <c r="N62" s="73" t="str">
        <f aca="false">IF(OR(J62="",E62&lt;&gt;"PRESENT"),"",COUNTIFS($E$10:$E$250,"PRESENT",$J$10:$J$250,"&gt;"&amp;J62)+1)</f>
        <v/>
      </c>
      <c r="O62" s="74" t="str">
        <f aca="false">IF(M62="ADMIS",IF(J62/K62*10&gt;=8,"Très bien",IF(J62/K62*10&gt;=7,"Bien",IF(J62/K62*10&gt;=6,"Assez bien","Passable"))),IF(M62="REDOUBLE","Insuffisant",""))</f>
        <v/>
      </c>
      <c r="P62" s="51" t="str">
        <f aca="false">IFERROR(MATCH("CM2-53",'REGISTRE ELEVES'!$AH$10:$AH$250,0),"")</f>
        <v/>
      </c>
    </row>
    <row r="63" customFormat="false" ht="15" hidden="false" customHeight="false" outlineLevel="0" collapsed="false">
      <c r="A63" s="45" t="str">
        <f aca="false">IF(B63="","",54)</f>
        <v/>
      </c>
      <c r="B63" s="45" t="str">
        <f aca="false">IF($P63="","",INDEX('REGISTRE ELEVES'!$B$10:$B$250,$P63))</f>
        <v/>
      </c>
      <c r="C63" s="74" t="str">
        <f aca="false">IF($P63="","",INDEX('REGISTRE ELEVES'!$D$10:$D$250,$P63))</f>
        <v/>
      </c>
      <c r="D63" s="45" t="str">
        <f aca="false">IF($P63="","",INDEX('REGISTRE ELEVES'!$E$10:$E$250,$P63))</f>
        <v/>
      </c>
      <c r="E63" s="45" t="str">
        <f aca="false">IF($P63="","",INDEX('REGISTRE ELEVES'!$AE$10:$AE$250,$P63))</f>
        <v/>
      </c>
      <c r="F63" s="80" t="str">
        <f aca="false">IF(B63="","",IFERROR(INDEX('NOTES CM2'!$M$10:$M$250,MATCH(B63,'NOTES CM2'!$B$10:$B$250,0)),""))</f>
        <v/>
      </c>
      <c r="G63" s="80" t="str">
        <f aca="false">IF(B63="","",IFERROR(INDEX('NOTES CM2'!$T$10:$T$250,MATCH(B63,'NOTES CM2'!$B$10:$B$250,0)),""))</f>
        <v/>
      </c>
      <c r="H63" s="80" t="str">
        <f aca="false">IF(B63="","",IFERROR(INDEX('NOTES CM2'!$AB$10:$AB$250,MATCH(B63,'NOTES CM2'!$B$10:$B$250,0)),""))</f>
        <v/>
      </c>
      <c r="I63" s="80" t="str">
        <f aca="false">IF(B63="","",IFERROR(INDEX('NOTES CM2'!$AJ$10:$AJ$250,MATCH(B63,'NOTES CM2'!$B$10:$B$250,0)),""))</f>
        <v/>
      </c>
      <c r="J63" s="82" t="str">
        <f aca="false">IF(COUNT(F63:I63)&lt;4,"",ROUND(SUM(F63:I63)/4,2))</f>
        <v/>
      </c>
      <c r="K63" s="83" t="n">
        <f aca="false">INDEX(PARAMETRES!$D$18:$D$23,MATCH("CM2",PARAMETRES!$B$18:$B$23,0))</f>
        <v>20</v>
      </c>
      <c r="L63" s="81" t="n">
        <f aca="false">INDEX(PARAMETRES!$C$18:$C$23,MATCH("CM2",PARAMETRES!$B$18:$B$23,0))</f>
        <v>10</v>
      </c>
      <c r="M63" s="45" t="str">
        <f aca="false">IF(B63="","",IF(E63="ABANDON","ABANDON",IF(E63="TRANSFERE","TRANSFERE",IF(J63="","",IF(J63&gt;=L63,"ADMIS","REDOUBLE")))))</f>
        <v/>
      </c>
      <c r="N63" s="73" t="str">
        <f aca="false">IF(OR(J63="",E63&lt;&gt;"PRESENT"),"",COUNTIFS($E$10:$E$250,"PRESENT",$J$10:$J$250,"&gt;"&amp;J63)+1)</f>
        <v/>
      </c>
      <c r="O63" s="74" t="str">
        <f aca="false">IF(M63="ADMIS",IF(J63/K63*10&gt;=8,"Très bien",IF(J63/K63*10&gt;=7,"Bien",IF(J63/K63*10&gt;=6,"Assez bien","Passable"))),IF(M63="REDOUBLE","Insuffisant",""))</f>
        <v/>
      </c>
      <c r="P63" s="51" t="str">
        <f aca="false">IFERROR(MATCH("CM2-54",'REGISTRE ELEVES'!$AH$10:$AH$250,0),"")</f>
        <v/>
      </c>
    </row>
    <row r="64" customFormat="false" ht="15" hidden="false" customHeight="false" outlineLevel="0" collapsed="false">
      <c r="A64" s="45" t="str">
        <f aca="false">IF(B64="","",55)</f>
        <v/>
      </c>
      <c r="B64" s="45" t="str">
        <f aca="false">IF($P64="","",INDEX('REGISTRE ELEVES'!$B$10:$B$250,$P64))</f>
        <v/>
      </c>
      <c r="C64" s="74" t="str">
        <f aca="false">IF($P64="","",INDEX('REGISTRE ELEVES'!$D$10:$D$250,$P64))</f>
        <v/>
      </c>
      <c r="D64" s="45" t="str">
        <f aca="false">IF($P64="","",INDEX('REGISTRE ELEVES'!$E$10:$E$250,$P64))</f>
        <v/>
      </c>
      <c r="E64" s="45" t="str">
        <f aca="false">IF($P64="","",INDEX('REGISTRE ELEVES'!$AE$10:$AE$250,$P64))</f>
        <v/>
      </c>
      <c r="F64" s="80" t="str">
        <f aca="false">IF(B64="","",IFERROR(INDEX('NOTES CM2'!$M$10:$M$250,MATCH(B64,'NOTES CM2'!$B$10:$B$250,0)),""))</f>
        <v/>
      </c>
      <c r="G64" s="80" t="str">
        <f aca="false">IF(B64="","",IFERROR(INDEX('NOTES CM2'!$T$10:$T$250,MATCH(B64,'NOTES CM2'!$B$10:$B$250,0)),""))</f>
        <v/>
      </c>
      <c r="H64" s="80" t="str">
        <f aca="false">IF(B64="","",IFERROR(INDEX('NOTES CM2'!$AB$10:$AB$250,MATCH(B64,'NOTES CM2'!$B$10:$B$250,0)),""))</f>
        <v/>
      </c>
      <c r="I64" s="80" t="str">
        <f aca="false">IF(B64="","",IFERROR(INDEX('NOTES CM2'!$AJ$10:$AJ$250,MATCH(B64,'NOTES CM2'!$B$10:$B$250,0)),""))</f>
        <v/>
      </c>
      <c r="J64" s="82" t="str">
        <f aca="false">IF(COUNT(F64:I64)&lt;4,"",ROUND(SUM(F64:I64)/4,2))</f>
        <v/>
      </c>
      <c r="K64" s="83" t="n">
        <f aca="false">INDEX(PARAMETRES!$D$18:$D$23,MATCH("CM2",PARAMETRES!$B$18:$B$23,0))</f>
        <v>20</v>
      </c>
      <c r="L64" s="81" t="n">
        <f aca="false">INDEX(PARAMETRES!$C$18:$C$23,MATCH("CM2",PARAMETRES!$B$18:$B$23,0))</f>
        <v>10</v>
      </c>
      <c r="M64" s="45" t="str">
        <f aca="false">IF(B64="","",IF(E64="ABANDON","ABANDON",IF(E64="TRANSFERE","TRANSFERE",IF(J64="","",IF(J64&gt;=L64,"ADMIS","REDOUBLE")))))</f>
        <v/>
      </c>
      <c r="N64" s="73" t="str">
        <f aca="false">IF(OR(J64="",E64&lt;&gt;"PRESENT"),"",COUNTIFS($E$10:$E$250,"PRESENT",$J$10:$J$250,"&gt;"&amp;J64)+1)</f>
        <v/>
      </c>
      <c r="O64" s="74" t="str">
        <f aca="false">IF(M64="ADMIS",IF(J64/K64*10&gt;=8,"Très bien",IF(J64/K64*10&gt;=7,"Bien",IF(J64/K64*10&gt;=6,"Assez bien","Passable"))),IF(M64="REDOUBLE","Insuffisant",""))</f>
        <v/>
      </c>
      <c r="P64" s="51" t="str">
        <f aca="false">IFERROR(MATCH("CM2-55",'REGISTRE ELEVES'!$AH$10:$AH$250,0),"")</f>
        <v/>
      </c>
    </row>
    <row r="65" customFormat="false" ht="15" hidden="false" customHeight="false" outlineLevel="0" collapsed="false">
      <c r="A65" s="45" t="str">
        <f aca="false">IF(B65="","",56)</f>
        <v/>
      </c>
      <c r="B65" s="45" t="str">
        <f aca="false">IF($P65="","",INDEX('REGISTRE ELEVES'!$B$10:$B$250,$P65))</f>
        <v/>
      </c>
      <c r="C65" s="74" t="str">
        <f aca="false">IF($P65="","",INDEX('REGISTRE ELEVES'!$D$10:$D$250,$P65))</f>
        <v/>
      </c>
      <c r="D65" s="45" t="str">
        <f aca="false">IF($P65="","",INDEX('REGISTRE ELEVES'!$E$10:$E$250,$P65))</f>
        <v/>
      </c>
      <c r="E65" s="45" t="str">
        <f aca="false">IF($P65="","",INDEX('REGISTRE ELEVES'!$AE$10:$AE$250,$P65))</f>
        <v/>
      </c>
      <c r="F65" s="80" t="str">
        <f aca="false">IF(B65="","",IFERROR(INDEX('NOTES CM2'!$M$10:$M$250,MATCH(B65,'NOTES CM2'!$B$10:$B$250,0)),""))</f>
        <v/>
      </c>
      <c r="G65" s="80" t="str">
        <f aca="false">IF(B65="","",IFERROR(INDEX('NOTES CM2'!$T$10:$T$250,MATCH(B65,'NOTES CM2'!$B$10:$B$250,0)),""))</f>
        <v/>
      </c>
      <c r="H65" s="80" t="str">
        <f aca="false">IF(B65="","",IFERROR(INDEX('NOTES CM2'!$AB$10:$AB$250,MATCH(B65,'NOTES CM2'!$B$10:$B$250,0)),""))</f>
        <v/>
      </c>
      <c r="I65" s="80" t="str">
        <f aca="false">IF(B65="","",IFERROR(INDEX('NOTES CM2'!$AJ$10:$AJ$250,MATCH(B65,'NOTES CM2'!$B$10:$B$250,0)),""))</f>
        <v/>
      </c>
      <c r="J65" s="82" t="str">
        <f aca="false">IF(COUNT(F65:I65)&lt;4,"",ROUND(SUM(F65:I65)/4,2))</f>
        <v/>
      </c>
      <c r="K65" s="83" t="n">
        <f aca="false">INDEX(PARAMETRES!$D$18:$D$23,MATCH("CM2",PARAMETRES!$B$18:$B$23,0))</f>
        <v>20</v>
      </c>
      <c r="L65" s="81" t="n">
        <f aca="false">INDEX(PARAMETRES!$C$18:$C$23,MATCH("CM2",PARAMETRES!$B$18:$B$23,0))</f>
        <v>10</v>
      </c>
      <c r="M65" s="45" t="str">
        <f aca="false">IF(B65="","",IF(E65="ABANDON","ABANDON",IF(E65="TRANSFERE","TRANSFERE",IF(J65="","",IF(J65&gt;=L65,"ADMIS","REDOUBLE")))))</f>
        <v/>
      </c>
      <c r="N65" s="73" t="str">
        <f aca="false">IF(OR(J65="",E65&lt;&gt;"PRESENT"),"",COUNTIFS($E$10:$E$250,"PRESENT",$J$10:$J$250,"&gt;"&amp;J65)+1)</f>
        <v/>
      </c>
      <c r="O65" s="74" t="str">
        <f aca="false">IF(M65="ADMIS",IF(J65/K65*10&gt;=8,"Très bien",IF(J65/K65*10&gt;=7,"Bien",IF(J65/K65*10&gt;=6,"Assez bien","Passable"))),IF(M65="REDOUBLE","Insuffisant",""))</f>
        <v/>
      </c>
      <c r="P65" s="51" t="str">
        <f aca="false">IFERROR(MATCH("CM2-56",'REGISTRE ELEVES'!$AH$10:$AH$250,0),"")</f>
        <v/>
      </c>
    </row>
    <row r="66" customFormat="false" ht="15" hidden="false" customHeight="false" outlineLevel="0" collapsed="false">
      <c r="A66" s="45" t="str">
        <f aca="false">IF(B66="","",57)</f>
        <v/>
      </c>
      <c r="B66" s="45" t="str">
        <f aca="false">IF($P66="","",INDEX('REGISTRE ELEVES'!$B$10:$B$250,$P66))</f>
        <v/>
      </c>
      <c r="C66" s="74" t="str">
        <f aca="false">IF($P66="","",INDEX('REGISTRE ELEVES'!$D$10:$D$250,$P66))</f>
        <v/>
      </c>
      <c r="D66" s="45" t="str">
        <f aca="false">IF($P66="","",INDEX('REGISTRE ELEVES'!$E$10:$E$250,$P66))</f>
        <v/>
      </c>
      <c r="E66" s="45" t="str">
        <f aca="false">IF($P66="","",INDEX('REGISTRE ELEVES'!$AE$10:$AE$250,$P66))</f>
        <v/>
      </c>
      <c r="F66" s="80" t="str">
        <f aca="false">IF(B66="","",IFERROR(INDEX('NOTES CM2'!$M$10:$M$250,MATCH(B66,'NOTES CM2'!$B$10:$B$250,0)),""))</f>
        <v/>
      </c>
      <c r="G66" s="80" t="str">
        <f aca="false">IF(B66="","",IFERROR(INDEX('NOTES CM2'!$T$10:$T$250,MATCH(B66,'NOTES CM2'!$B$10:$B$250,0)),""))</f>
        <v/>
      </c>
      <c r="H66" s="80" t="str">
        <f aca="false">IF(B66="","",IFERROR(INDEX('NOTES CM2'!$AB$10:$AB$250,MATCH(B66,'NOTES CM2'!$B$10:$B$250,0)),""))</f>
        <v/>
      </c>
      <c r="I66" s="80" t="str">
        <f aca="false">IF(B66="","",IFERROR(INDEX('NOTES CM2'!$AJ$10:$AJ$250,MATCH(B66,'NOTES CM2'!$B$10:$B$250,0)),""))</f>
        <v/>
      </c>
      <c r="J66" s="82" t="str">
        <f aca="false">IF(COUNT(F66:I66)&lt;4,"",ROUND(SUM(F66:I66)/4,2))</f>
        <v/>
      </c>
      <c r="K66" s="83" t="n">
        <f aca="false">INDEX(PARAMETRES!$D$18:$D$23,MATCH("CM2",PARAMETRES!$B$18:$B$23,0))</f>
        <v>20</v>
      </c>
      <c r="L66" s="81" t="n">
        <f aca="false">INDEX(PARAMETRES!$C$18:$C$23,MATCH("CM2",PARAMETRES!$B$18:$B$23,0))</f>
        <v>10</v>
      </c>
      <c r="M66" s="45" t="str">
        <f aca="false">IF(B66="","",IF(E66="ABANDON","ABANDON",IF(E66="TRANSFERE","TRANSFERE",IF(J66="","",IF(J66&gt;=L66,"ADMIS","REDOUBLE")))))</f>
        <v/>
      </c>
      <c r="N66" s="73" t="str">
        <f aca="false">IF(OR(J66="",E66&lt;&gt;"PRESENT"),"",COUNTIFS($E$10:$E$250,"PRESENT",$J$10:$J$250,"&gt;"&amp;J66)+1)</f>
        <v/>
      </c>
      <c r="O66" s="74" t="str">
        <f aca="false">IF(M66="ADMIS",IF(J66/K66*10&gt;=8,"Très bien",IF(J66/K66*10&gt;=7,"Bien",IF(J66/K66*10&gt;=6,"Assez bien","Passable"))),IF(M66="REDOUBLE","Insuffisant",""))</f>
        <v/>
      </c>
      <c r="P66" s="51" t="str">
        <f aca="false">IFERROR(MATCH("CM2-57",'REGISTRE ELEVES'!$AH$10:$AH$250,0),"")</f>
        <v/>
      </c>
    </row>
    <row r="67" customFormat="false" ht="15" hidden="false" customHeight="false" outlineLevel="0" collapsed="false">
      <c r="A67" s="45" t="str">
        <f aca="false">IF(B67="","",58)</f>
        <v/>
      </c>
      <c r="B67" s="45" t="str">
        <f aca="false">IF($P67="","",INDEX('REGISTRE ELEVES'!$B$10:$B$250,$P67))</f>
        <v/>
      </c>
      <c r="C67" s="74" t="str">
        <f aca="false">IF($P67="","",INDEX('REGISTRE ELEVES'!$D$10:$D$250,$P67))</f>
        <v/>
      </c>
      <c r="D67" s="45" t="str">
        <f aca="false">IF($P67="","",INDEX('REGISTRE ELEVES'!$E$10:$E$250,$P67))</f>
        <v/>
      </c>
      <c r="E67" s="45" t="str">
        <f aca="false">IF($P67="","",INDEX('REGISTRE ELEVES'!$AE$10:$AE$250,$P67))</f>
        <v/>
      </c>
      <c r="F67" s="80" t="str">
        <f aca="false">IF(B67="","",IFERROR(INDEX('NOTES CM2'!$M$10:$M$250,MATCH(B67,'NOTES CM2'!$B$10:$B$250,0)),""))</f>
        <v/>
      </c>
      <c r="G67" s="80" t="str">
        <f aca="false">IF(B67="","",IFERROR(INDEX('NOTES CM2'!$T$10:$T$250,MATCH(B67,'NOTES CM2'!$B$10:$B$250,0)),""))</f>
        <v/>
      </c>
      <c r="H67" s="80" t="str">
        <f aca="false">IF(B67="","",IFERROR(INDEX('NOTES CM2'!$AB$10:$AB$250,MATCH(B67,'NOTES CM2'!$B$10:$B$250,0)),""))</f>
        <v/>
      </c>
      <c r="I67" s="80" t="str">
        <f aca="false">IF(B67="","",IFERROR(INDEX('NOTES CM2'!$AJ$10:$AJ$250,MATCH(B67,'NOTES CM2'!$B$10:$B$250,0)),""))</f>
        <v/>
      </c>
      <c r="J67" s="82" t="str">
        <f aca="false">IF(COUNT(F67:I67)&lt;4,"",ROUND(SUM(F67:I67)/4,2))</f>
        <v/>
      </c>
      <c r="K67" s="83" t="n">
        <f aca="false">INDEX(PARAMETRES!$D$18:$D$23,MATCH("CM2",PARAMETRES!$B$18:$B$23,0))</f>
        <v>20</v>
      </c>
      <c r="L67" s="81" t="n">
        <f aca="false">INDEX(PARAMETRES!$C$18:$C$23,MATCH("CM2",PARAMETRES!$B$18:$B$23,0))</f>
        <v>10</v>
      </c>
      <c r="M67" s="45" t="str">
        <f aca="false">IF(B67="","",IF(E67="ABANDON","ABANDON",IF(E67="TRANSFERE","TRANSFERE",IF(J67="","",IF(J67&gt;=L67,"ADMIS","REDOUBLE")))))</f>
        <v/>
      </c>
      <c r="N67" s="73" t="str">
        <f aca="false">IF(OR(J67="",E67&lt;&gt;"PRESENT"),"",COUNTIFS($E$10:$E$250,"PRESENT",$J$10:$J$250,"&gt;"&amp;J67)+1)</f>
        <v/>
      </c>
      <c r="O67" s="74" t="str">
        <f aca="false">IF(M67="ADMIS",IF(J67/K67*10&gt;=8,"Très bien",IF(J67/K67*10&gt;=7,"Bien",IF(J67/K67*10&gt;=6,"Assez bien","Passable"))),IF(M67="REDOUBLE","Insuffisant",""))</f>
        <v/>
      </c>
      <c r="P67" s="51" t="str">
        <f aca="false">IFERROR(MATCH("CM2-58",'REGISTRE ELEVES'!$AH$10:$AH$250,0),"")</f>
        <v/>
      </c>
    </row>
    <row r="68" customFormat="false" ht="15" hidden="false" customHeight="false" outlineLevel="0" collapsed="false">
      <c r="A68" s="45" t="str">
        <f aca="false">IF(B68="","",59)</f>
        <v/>
      </c>
      <c r="B68" s="45" t="str">
        <f aca="false">IF($P68="","",INDEX('REGISTRE ELEVES'!$B$10:$B$250,$P68))</f>
        <v/>
      </c>
      <c r="C68" s="74" t="str">
        <f aca="false">IF($P68="","",INDEX('REGISTRE ELEVES'!$D$10:$D$250,$P68))</f>
        <v/>
      </c>
      <c r="D68" s="45" t="str">
        <f aca="false">IF($P68="","",INDEX('REGISTRE ELEVES'!$E$10:$E$250,$P68))</f>
        <v/>
      </c>
      <c r="E68" s="45" t="str">
        <f aca="false">IF($P68="","",INDEX('REGISTRE ELEVES'!$AE$10:$AE$250,$P68))</f>
        <v/>
      </c>
      <c r="F68" s="80" t="str">
        <f aca="false">IF(B68="","",IFERROR(INDEX('NOTES CM2'!$M$10:$M$250,MATCH(B68,'NOTES CM2'!$B$10:$B$250,0)),""))</f>
        <v/>
      </c>
      <c r="G68" s="80" t="str">
        <f aca="false">IF(B68="","",IFERROR(INDEX('NOTES CM2'!$T$10:$T$250,MATCH(B68,'NOTES CM2'!$B$10:$B$250,0)),""))</f>
        <v/>
      </c>
      <c r="H68" s="80" t="str">
        <f aca="false">IF(B68="","",IFERROR(INDEX('NOTES CM2'!$AB$10:$AB$250,MATCH(B68,'NOTES CM2'!$B$10:$B$250,0)),""))</f>
        <v/>
      </c>
      <c r="I68" s="80" t="str">
        <f aca="false">IF(B68="","",IFERROR(INDEX('NOTES CM2'!$AJ$10:$AJ$250,MATCH(B68,'NOTES CM2'!$B$10:$B$250,0)),""))</f>
        <v/>
      </c>
      <c r="J68" s="82" t="str">
        <f aca="false">IF(COUNT(F68:I68)&lt;4,"",ROUND(SUM(F68:I68)/4,2))</f>
        <v/>
      </c>
      <c r="K68" s="83" t="n">
        <f aca="false">INDEX(PARAMETRES!$D$18:$D$23,MATCH("CM2",PARAMETRES!$B$18:$B$23,0))</f>
        <v>20</v>
      </c>
      <c r="L68" s="81" t="n">
        <f aca="false">INDEX(PARAMETRES!$C$18:$C$23,MATCH("CM2",PARAMETRES!$B$18:$B$23,0))</f>
        <v>10</v>
      </c>
      <c r="M68" s="45" t="str">
        <f aca="false">IF(B68="","",IF(E68="ABANDON","ABANDON",IF(E68="TRANSFERE","TRANSFERE",IF(J68="","",IF(J68&gt;=L68,"ADMIS","REDOUBLE")))))</f>
        <v/>
      </c>
      <c r="N68" s="73" t="str">
        <f aca="false">IF(OR(J68="",E68&lt;&gt;"PRESENT"),"",COUNTIFS($E$10:$E$250,"PRESENT",$J$10:$J$250,"&gt;"&amp;J68)+1)</f>
        <v/>
      </c>
      <c r="O68" s="74" t="str">
        <f aca="false">IF(M68="ADMIS",IF(J68/K68*10&gt;=8,"Très bien",IF(J68/K68*10&gt;=7,"Bien",IF(J68/K68*10&gt;=6,"Assez bien","Passable"))),IF(M68="REDOUBLE","Insuffisant",""))</f>
        <v/>
      </c>
      <c r="P68" s="51" t="str">
        <f aca="false">IFERROR(MATCH("CM2-59",'REGISTRE ELEVES'!$AH$10:$AH$250,0),"")</f>
        <v/>
      </c>
    </row>
    <row r="69" customFormat="false" ht="15" hidden="false" customHeight="false" outlineLevel="0" collapsed="false">
      <c r="A69" s="45" t="str">
        <f aca="false">IF(B69="","",60)</f>
        <v/>
      </c>
      <c r="B69" s="45" t="str">
        <f aca="false">IF($P69="","",INDEX('REGISTRE ELEVES'!$B$10:$B$250,$P69))</f>
        <v/>
      </c>
      <c r="C69" s="74" t="str">
        <f aca="false">IF($P69="","",INDEX('REGISTRE ELEVES'!$D$10:$D$250,$P69))</f>
        <v/>
      </c>
      <c r="D69" s="45" t="str">
        <f aca="false">IF($P69="","",INDEX('REGISTRE ELEVES'!$E$10:$E$250,$P69))</f>
        <v/>
      </c>
      <c r="E69" s="45" t="str">
        <f aca="false">IF($P69="","",INDEX('REGISTRE ELEVES'!$AE$10:$AE$250,$P69))</f>
        <v/>
      </c>
      <c r="F69" s="80" t="str">
        <f aca="false">IF(B69="","",IFERROR(INDEX('NOTES CM2'!$M$10:$M$250,MATCH(B69,'NOTES CM2'!$B$10:$B$250,0)),""))</f>
        <v/>
      </c>
      <c r="G69" s="80" t="str">
        <f aca="false">IF(B69="","",IFERROR(INDEX('NOTES CM2'!$T$10:$T$250,MATCH(B69,'NOTES CM2'!$B$10:$B$250,0)),""))</f>
        <v/>
      </c>
      <c r="H69" s="80" t="str">
        <f aca="false">IF(B69="","",IFERROR(INDEX('NOTES CM2'!$AB$10:$AB$250,MATCH(B69,'NOTES CM2'!$B$10:$B$250,0)),""))</f>
        <v/>
      </c>
      <c r="I69" s="80" t="str">
        <f aca="false">IF(B69="","",IFERROR(INDEX('NOTES CM2'!$AJ$10:$AJ$250,MATCH(B69,'NOTES CM2'!$B$10:$B$250,0)),""))</f>
        <v/>
      </c>
      <c r="J69" s="82" t="str">
        <f aca="false">IF(COUNT(F69:I69)&lt;4,"",ROUND(SUM(F69:I69)/4,2))</f>
        <v/>
      </c>
      <c r="K69" s="83" t="n">
        <f aca="false">INDEX(PARAMETRES!$D$18:$D$23,MATCH("CM2",PARAMETRES!$B$18:$B$23,0))</f>
        <v>20</v>
      </c>
      <c r="L69" s="81" t="n">
        <f aca="false">INDEX(PARAMETRES!$C$18:$C$23,MATCH("CM2",PARAMETRES!$B$18:$B$23,0))</f>
        <v>10</v>
      </c>
      <c r="M69" s="45" t="str">
        <f aca="false">IF(B69="","",IF(E69="ABANDON","ABANDON",IF(E69="TRANSFERE","TRANSFERE",IF(J69="","",IF(J69&gt;=L69,"ADMIS","REDOUBLE")))))</f>
        <v/>
      </c>
      <c r="N69" s="73" t="str">
        <f aca="false">IF(OR(J69="",E69&lt;&gt;"PRESENT"),"",COUNTIFS($E$10:$E$250,"PRESENT",$J$10:$J$250,"&gt;"&amp;J69)+1)</f>
        <v/>
      </c>
      <c r="O69" s="74" t="str">
        <f aca="false">IF(M69="ADMIS",IF(J69/K69*10&gt;=8,"Très bien",IF(J69/K69*10&gt;=7,"Bien",IF(J69/K69*10&gt;=6,"Assez bien","Passable"))),IF(M69="REDOUBLE","Insuffisant",""))</f>
        <v/>
      </c>
      <c r="P69" s="51" t="str">
        <f aca="false">IFERROR(MATCH("CM2-60",'REGISTRE ELEVES'!$AH$10:$AH$250,0),"")</f>
        <v/>
      </c>
    </row>
    <row r="70" customFormat="false" ht="15" hidden="false" customHeight="false" outlineLevel="0" collapsed="false">
      <c r="A70" s="45" t="str">
        <f aca="false">IF(B70="","",61)</f>
        <v/>
      </c>
      <c r="B70" s="45" t="str">
        <f aca="false">IF($P70="","",INDEX('REGISTRE ELEVES'!$B$10:$B$250,$P70))</f>
        <v/>
      </c>
      <c r="C70" s="74" t="str">
        <f aca="false">IF($P70="","",INDEX('REGISTRE ELEVES'!$D$10:$D$250,$P70))</f>
        <v/>
      </c>
      <c r="D70" s="45" t="str">
        <f aca="false">IF($P70="","",INDEX('REGISTRE ELEVES'!$E$10:$E$250,$P70))</f>
        <v/>
      </c>
      <c r="E70" s="45" t="str">
        <f aca="false">IF($P70="","",INDEX('REGISTRE ELEVES'!$AE$10:$AE$250,$P70))</f>
        <v/>
      </c>
      <c r="F70" s="80" t="str">
        <f aca="false">IF(B70="","",IFERROR(INDEX('NOTES CM2'!$M$10:$M$250,MATCH(B70,'NOTES CM2'!$B$10:$B$250,0)),""))</f>
        <v/>
      </c>
      <c r="G70" s="80" t="str">
        <f aca="false">IF(B70="","",IFERROR(INDEX('NOTES CM2'!$T$10:$T$250,MATCH(B70,'NOTES CM2'!$B$10:$B$250,0)),""))</f>
        <v/>
      </c>
      <c r="H70" s="80" t="str">
        <f aca="false">IF(B70="","",IFERROR(INDEX('NOTES CM2'!$AB$10:$AB$250,MATCH(B70,'NOTES CM2'!$B$10:$B$250,0)),""))</f>
        <v/>
      </c>
      <c r="I70" s="80" t="str">
        <f aca="false">IF(B70="","",IFERROR(INDEX('NOTES CM2'!$AJ$10:$AJ$250,MATCH(B70,'NOTES CM2'!$B$10:$B$250,0)),""))</f>
        <v/>
      </c>
      <c r="J70" s="82" t="str">
        <f aca="false">IF(COUNT(F70:I70)&lt;4,"",ROUND(SUM(F70:I70)/4,2))</f>
        <v/>
      </c>
      <c r="K70" s="83" t="n">
        <f aca="false">INDEX(PARAMETRES!$D$18:$D$23,MATCH("CM2",PARAMETRES!$B$18:$B$23,0))</f>
        <v>20</v>
      </c>
      <c r="L70" s="81" t="n">
        <f aca="false">INDEX(PARAMETRES!$C$18:$C$23,MATCH("CM2",PARAMETRES!$B$18:$B$23,0))</f>
        <v>10</v>
      </c>
      <c r="M70" s="45" t="str">
        <f aca="false">IF(B70="","",IF(E70="ABANDON","ABANDON",IF(E70="TRANSFERE","TRANSFERE",IF(J70="","",IF(J70&gt;=L70,"ADMIS","REDOUBLE")))))</f>
        <v/>
      </c>
      <c r="N70" s="73" t="str">
        <f aca="false">IF(OR(J70="",E70&lt;&gt;"PRESENT"),"",COUNTIFS($E$10:$E$250,"PRESENT",$J$10:$J$250,"&gt;"&amp;J70)+1)</f>
        <v/>
      </c>
      <c r="O70" s="74" t="str">
        <f aca="false">IF(M70="ADMIS",IF(J70/K70*10&gt;=8,"Très bien",IF(J70/K70*10&gt;=7,"Bien",IF(J70/K70*10&gt;=6,"Assez bien","Passable"))),IF(M70="REDOUBLE","Insuffisant",""))</f>
        <v/>
      </c>
      <c r="P70" s="51" t="str">
        <f aca="false">IFERROR(MATCH("CM2-61",'REGISTRE ELEVES'!$AH$10:$AH$250,0),"")</f>
        <v/>
      </c>
    </row>
    <row r="71" customFormat="false" ht="15" hidden="false" customHeight="false" outlineLevel="0" collapsed="false">
      <c r="A71" s="45" t="str">
        <f aca="false">IF(B71="","",62)</f>
        <v/>
      </c>
      <c r="B71" s="45" t="str">
        <f aca="false">IF($P71="","",INDEX('REGISTRE ELEVES'!$B$10:$B$250,$P71))</f>
        <v/>
      </c>
      <c r="C71" s="74" t="str">
        <f aca="false">IF($P71="","",INDEX('REGISTRE ELEVES'!$D$10:$D$250,$P71))</f>
        <v/>
      </c>
      <c r="D71" s="45" t="str">
        <f aca="false">IF($P71="","",INDEX('REGISTRE ELEVES'!$E$10:$E$250,$P71))</f>
        <v/>
      </c>
      <c r="E71" s="45" t="str">
        <f aca="false">IF($P71="","",INDEX('REGISTRE ELEVES'!$AE$10:$AE$250,$P71))</f>
        <v/>
      </c>
      <c r="F71" s="80" t="str">
        <f aca="false">IF(B71="","",IFERROR(INDEX('NOTES CM2'!$M$10:$M$250,MATCH(B71,'NOTES CM2'!$B$10:$B$250,0)),""))</f>
        <v/>
      </c>
      <c r="G71" s="80" t="str">
        <f aca="false">IF(B71="","",IFERROR(INDEX('NOTES CM2'!$T$10:$T$250,MATCH(B71,'NOTES CM2'!$B$10:$B$250,0)),""))</f>
        <v/>
      </c>
      <c r="H71" s="80" t="str">
        <f aca="false">IF(B71="","",IFERROR(INDEX('NOTES CM2'!$AB$10:$AB$250,MATCH(B71,'NOTES CM2'!$B$10:$B$250,0)),""))</f>
        <v/>
      </c>
      <c r="I71" s="80" t="str">
        <f aca="false">IF(B71="","",IFERROR(INDEX('NOTES CM2'!$AJ$10:$AJ$250,MATCH(B71,'NOTES CM2'!$B$10:$B$250,0)),""))</f>
        <v/>
      </c>
      <c r="J71" s="82" t="str">
        <f aca="false">IF(COUNT(F71:I71)&lt;4,"",ROUND(SUM(F71:I71)/4,2))</f>
        <v/>
      </c>
      <c r="K71" s="83" t="n">
        <f aca="false">INDEX(PARAMETRES!$D$18:$D$23,MATCH("CM2",PARAMETRES!$B$18:$B$23,0))</f>
        <v>20</v>
      </c>
      <c r="L71" s="81" t="n">
        <f aca="false">INDEX(PARAMETRES!$C$18:$C$23,MATCH("CM2",PARAMETRES!$B$18:$B$23,0))</f>
        <v>10</v>
      </c>
      <c r="M71" s="45" t="str">
        <f aca="false">IF(B71="","",IF(E71="ABANDON","ABANDON",IF(E71="TRANSFERE","TRANSFERE",IF(J71="","",IF(J71&gt;=L71,"ADMIS","REDOUBLE")))))</f>
        <v/>
      </c>
      <c r="N71" s="73" t="str">
        <f aca="false">IF(OR(J71="",E71&lt;&gt;"PRESENT"),"",COUNTIFS($E$10:$E$250,"PRESENT",$J$10:$J$250,"&gt;"&amp;J71)+1)</f>
        <v/>
      </c>
      <c r="O71" s="74" t="str">
        <f aca="false">IF(M71="ADMIS",IF(J71/K71*10&gt;=8,"Très bien",IF(J71/K71*10&gt;=7,"Bien",IF(J71/K71*10&gt;=6,"Assez bien","Passable"))),IF(M71="REDOUBLE","Insuffisant",""))</f>
        <v/>
      </c>
      <c r="P71" s="51" t="str">
        <f aca="false">IFERROR(MATCH("CM2-62",'REGISTRE ELEVES'!$AH$10:$AH$250,0),"")</f>
        <v/>
      </c>
    </row>
    <row r="72" customFormat="false" ht="15" hidden="false" customHeight="false" outlineLevel="0" collapsed="false">
      <c r="A72" s="45" t="str">
        <f aca="false">IF(B72="","",63)</f>
        <v/>
      </c>
      <c r="B72" s="45" t="str">
        <f aca="false">IF($P72="","",INDEX('REGISTRE ELEVES'!$B$10:$B$250,$P72))</f>
        <v/>
      </c>
      <c r="C72" s="74" t="str">
        <f aca="false">IF($P72="","",INDEX('REGISTRE ELEVES'!$D$10:$D$250,$P72))</f>
        <v/>
      </c>
      <c r="D72" s="45" t="str">
        <f aca="false">IF($P72="","",INDEX('REGISTRE ELEVES'!$E$10:$E$250,$P72))</f>
        <v/>
      </c>
      <c r="E72" s="45" t="str">
        <f aca="false">IF($P72="","",INDEX('REGISTRE ELEVES'!$AE$10:$AE$250,$P72))</f>
        <v/>
      </c>
      <c r="F72" s="80" t="str">
        <f aca="false">IF(B72="","",IFERROR(INDEX('NOTES CM2'!$M$10:$M$250,MATCH(B72,'NOTES CM2'!$B$10:$B$250,0)),""))</f>
        <v/>
      </c>
      <c r="G72" s="80" t="str">
        <f aca="false">IF(B72="","",IFERROR(INDEX('NOTES CM2'!$T$10:$T$250,MATCH(B72,'NOTES CM2'!$B$10:$B$250,0)),""))</f>
        <v/>
      </c>
      <c r="H72" s="80" t="str">
        <f aca="false">IF(B72="","",IFERROR(INDEX('NOTES CM2'!$AB$10:$AB$250,MATCH(B72,'NOTES CM2'!$B$10:$B$250,0)),""))</f>
        <v/>
      </c>
      <c r="I72" s="80" t="str">
        <f aca="false">IF(B72="","",IFERROR(INDEX('NOTES CM2'!$AJ$10:$AJ$250,MATCH(B72,'NOTES CM2'!$B$10:$B$250,0)),""))</f>
        <v/>
      </c>
      <c r="J72" s="82" t="str">
        <f aca="false">IF(COUNT(F72:I72)&lt;4,"",ROUND(SUM(F72:I72)/4,2))</f>
        <v/>
      </c>
      <c r="K72" s="83" t="n">
        <f aca="false">INDEX(PARAMETRES!$D$18:$D$23,MATCH("CM2",PARAMETRES!$B$18:$B$23,0))</f>
        <v>20</v>
      </c>
      <c r="L72" s="81" t="n">
        <f aca="false">INDEX(PARAMETRES!$C$18:$C$23,MATCH("CM2",PARAMETRES!$B$18:$B$23,0))</f>
        <v>10</v>
      </c>
      <c r="M72" s="45" t="str">
        <f aca="false">IF(B72="","",IF(E72="ABANDON","ABANDON",IF(E72="TRANSFERE","TRANSFERE",IF(J72="","",IF(J72&gt;=L72,"ADMIS","REDOUBLE")))))</f>
        <v/>
      </c>
      <c r="N72" s="73" t="str">
        <f aca="false">IF(OR(J72="",E72&lt;&gt;"PRESENT"),"",COUNTIFS($E$10:$E$250,"PRESENT",$J$10:$J$250,"&gt;"&amp;J72)+1)</f>
        <v/>
      </c>
      <c r="O72" s="74" t="str">
        <f aca="false">IF(M72="ADMIS",IF(J72/K72*10&gt;=8,"Très bien",IF(J72/K72*10&gt;=7,"Bien",IF(J72/K72*10&gt;=6,"Assez bien","Passable"))),IF(M72="REDOUBLE","Insuffisant",""))</f>
        <v/>
      </c>
      <c r="P72" s="51" t="str">
        <f aca="false">IFERROR(MATCH("CM2-63",'REGISTRE ELEVES'!$AH$10:$AH$250,0),"")</f>
        <v/>
      </c>
    </row>
    <row r="73" customFormat="false" ht="15" hidden="false" customHeight="false" outlineLevel="0" collapsed="false">
      <c r="A73" s="45" t="str">
        <f aca="false">IF(B73="","",64)</f>
        <v/>
      </c>
      <c r="B73" s="45" t="str">
        <f aca="false">IF($P73="","",INDEX('REGISTRE ELEVES'!$B$10:$B$250,$P73))</f>
        <v/>
      </c>
      <c r="C73" s="74" t="str">
        <f aca="false">IF($P73="","",INDEX('REGISTRE ELEVES'!$D$10:$D$250,$P73))</f>
        <v/>
      </c>
      <c r="D73" s="45" t="str">
        <f aca="false">IF($P73="","",INDEX('REGISTRE ELEVES'!$E$10:$E$250,$P73))</f>
        <v/>
      </c>
      <c r="E73" s="45" t="str">
        <f aca="false">IF($P73="","",INDEX('REGISTRE ELEVES'!$AE$10:$AE$250,$P73))</f>
        <v/>
      </c>
      <c r="F73" s="80" t="str">
        <f aca="false">IF(B73="","",IFERROR(INDEX('NOTES CM2'!$M$10:$M$250,MATCH(B73,'NOTES CM2'!$B$10:$B$250,0)),""))</f>
        <v/>
      </c>
      <c r="G73" s="80" t="str">
        <f aca="false">IF(B73="","",IFERROR(INDEX('NOTES CM2'!$T$10:$T$250,MATCH(B73,'NOTES CM2'!$B$10:$B$250,0)),""))</f>
        <v/>
      </c>
      <c r="H73" s="80" t="str">
        <f aca="false">IF(B73="","",IFERROR(INDEX('NOTES CM2'!$AB$10:$AB$250,MATCH(B73,'NOTES CM2'!$B$10:$B$250,0)),""))</f>
        <v/>
      </c>
      <c r="I73" s="80" t="str">
        <f aca="false">IF(B73="","",IFERROR(INDEX('NOTES CM2'!$AJ$10:$AJ$250,MATCH(B73,'NOTES CM2'!$B$10:$B$250,0)),""))</f>
        <v/>
      </c>
      <c r="J73" s="82" t="str">
        <f aca="false">IF(COUNT(F73:I73)&lt;4,"",ROUND(SUM(F73:I73)/4,2))</f>
        <v/>
      </c>
      <c r="K73" s="83" t="n">
        <f aca="false">INDEX(PARAMETRES!$D$18:$D$23,MATCH("CM2",PARAMETRES!$B$18:$B$23,0))</f>
        <v>20</v>
      </c>
      <c r="L73" s="81" t="n">
        <f aca="false">INDEX(PARAMETRES!$C$18:$C$23,MATCH("CM2",PARAMETRES!$B$18:$B$23,0))</f>
        <v>10</v>
      </c>
      <c r="M73" s="45" t="str">
        <f aca="false">IF(B73="","",IF(E73="ABANDON","ABANDON",IF(E73="TRANSFERE","TRANSFERE",IF(J73="","",IF(J73&gt;=L73,"ADMIS","REDOUBLE")))))</f>
        <v/>
      </c>
      <c r="N73" s="73" t="str">
        <f aca="false">IF(OR(J73="",E73&lt;&gt;"PRESENT"),"",COUNTIFS($E$10:$E$250,"PRESENT",$J$10:$J$250,"&gt;"&amp;J73)+1)</f>
        <v/>
      </c>
      <c r="O73" s="74" t="str">
        <f aca="false">IF(M73="ADMIS",IF(J73/K73*10&gt;=8,"Très bien",IF(J73/K73*10&gt;=7,"Bien",IF(J73/K73*10&gt;=6,"Assez bien","Passable"))),IF(M73="REDOUBLE","Insuffisant",""))</f>
        <v/>
      </c>
      <c r="P73" s="51" t="str">
        <f aca="false">IFERROR(MATCH("CM2-64",'REGISTRE ELEVES'!$AH$10:$AH$250,0),"")</f>
        <v/>
      </c>
    </row>
    <row r="74" customFormat="false" ht="15" hidden="false" customHeight="false" outlineLevel="0" collapsed="false">
      <c r="A74" s="45" t="str">
        <f aca="false">IF(B74="","",65)</f>
        <v/>
      </c>
      <c r="B74" s="45" t="str">
        <f aca="false">IF($P74="","",INDEX('REGISTRE ELEVES'!$B$10:$B$250,$P74))</f>
        <v/>
      </c>
      <c r="C74" s="74" t="str">
        <f aca="false">IF($P74="","",INDEX('REGISTRE ELEVES'!$D$10:$D$250,$P74))</f>
        <v/>
      </c>
      <c r="D74" s="45" t="str">
        <f aca="false">IF($P74="","",INDEX('REGISTRE ELEVES'!$E$10:$E$250,$P74))</f>
        <v/>
      </c>
      <c r="E74" s="45" t="str">
        <f aca="false">IF($P74="","",INDEX('REGISTRE ELEVES'!$AE$10:$AE$250,$P74))</f>
        <v/>
      </c>
      <c r="F74" s="80" t="str">
        <f aca="false">IF(B74="","",IFERROR(INDEX('NOTES CM2'!$M$10:$M$250,MATCH(B74,'NOTES CM2'!$B$10:$B$250,0)),""))</f>
        <v/>
      </c>
      <c r="G74" s="80" t="str">
        <f aca="false">IF(B74="","",IFERROR(INDEX('NOTES CM2'!$T$10:$T$250,MATCH(B74,'NOTES CM2'!$B$10:$B$250,0)),""))</f>
        <v/>
      </c>
      <c r="H74" s="80" t="str">
        <f aca="false">IF(B74="","",IFERROR(INDEX('NOTES CM2'!$AB$10:$AB$250,MATCH(B74,'NOTES CM2'!$B$10:$B$250,0)),""))</f>
        <v/>
      </c>
      <c r="I74" s="80" t="str">
        <f aca="false">IF(B74="","",IFERROR(INDEX('NOTES CM2'!$AJ$10:$AJ$250,MATCH(B74,'NOTES CM2'!$B$10:$B$250,0)),""))</f>
        <v/>
      </c>
      <c r="J74" s="82" t="str">
        <f aca="false">IF(COUNT(F74:I74)&lt;4,"",ROUND(SUM(F74:I74)/4,2))</f>
        <v/>
      </c>
      <c r="K74" s="83" t="n">
        <f aca="false">INDEX(PARAMETRES!$D$18:$D$23,MATCH("CM2",PARAMETRES!$B$18:$B$23,0))</f>
        <v>20</v>
      </c>
      <c r="L74" s="81" t="n">
        <f aca="false">INDEX(PARAMETRES!$C$18:$C$23,MATCH("CM2",PARAMETRES!$B$18:$B$23,0))</f>
        <v>10</v>
      </c>
      <c r="M74" s="45" t="str">
        <f aca="false">IF(B74="","",IF(E74="ABANDON","ABANDON",IF(E74="TRANSFERE","TRANSFERE",IF(J74="","",IF(J74&gt;=L74,"ADMIS","REDOUBLE")))))</f>
        <v/>
      </c>
      <c r="N74" s="73" t="str">
        <f aca="false">IF(OR(J74="",E74&lt;&gt;"PRESENT"),"",COUNTIFS($E$10:$E$250,"PRESENT",$J$10:$J$250,"&gt;"&amp;J74)+1)</f>
        <v/>
      </c>
      <c r="O74" s="74" t="str">
        <f aca="false">IF(M74="ADMIS",IF(J74/K74*10&gt;=8,"Très bien",IF(J74/K74*10&gt;=7,"Bien",IF(J74/K74*10&gt;=6,"Assez bien","Passable"))),IF(M74="REDOUBLE","Insuffisant",""))</f>
        <v/>
      </c>
      <c r="P74" s="51" t="str">
        <f aca="false">IFERROR(MATCH("CM2-65",'REGISTRE ELEVES'!$AH$10:$AH$250,0),"")</f>
        <v/>
      </c>
    </row>
    <row r="75" customFormat="false" ht="15" hidden="false" customHeight="false" outlineLevel="0" collapsed="false">
      <c r="A75" s="45" t="str">
        <f aca="false">IF(B75="","",66)</f>
        <v/>
      </c>
      <c r="B75" s="45" t="str">
        <f aca="false">IF($P75="","",INDEX('REGISTRE ELEVES'!$B$10:$B$250,$P75))</f>
        <v/>
      </c>
      <c r="C75" s="74" t="str">
        <f aca="false">IF($P75="","",INDEX('REGISTRE ELEVES'!$D$10:$D$250,$P75))</f>
        <v/>
      </c>
      <c r="D75" s="45" t="str">
        <f aca="false">IF($P75="","",INDEX('REGISTRE ELEVES'!$E$10:$E$250,$P75))</f>
        <v/>
      </c>
      <c r="E75" s="45" t="str">
        <f aca="false">IF($P75="","",INDEX('REGISTRE ELEVES'!$AE$10:$AE$250,$P75))</f>
        <v/>
      </c>
      <c r="F75" s="80" t="str">
        <f aca="false">IF(B75="","",IFERROR(INDEX('NOTES CM2'!$M$10:$M$250,MATCH(B75,'NOTES CM2'!$B$10:$B$250,0)),""))</f>
        <v/>
      </c>
      <c r="G75" s="80" t="str">
        <f aca="false">IF(B75="","",IFERROR(INDEX('NOTES CM2'!$T$10:$T$250,MATCH(B75,'NOTES CM2'!$B$10:$B$250,0)),""))</f>
        <v/>
      </c>
      <c r="H75" s="80" t="str">
        <f aca="false">IF(B75="","",IFERROR(INDEX('NOTES CM2'!$AB$10:$AB$250,MATCH(B75,'NOTES CM2'!$B$10:$B$250,0)),""))</f>
        <v/>
      </c>
      <c r="I75" s="80" t="str">
        <f aca="false">IF(B75="","",IFERROR(INDEX('NOTES CM2'!$AJ$10:$AJ$250,MATCH(B75,'NOTES CM2'!$B$10:$B$250,0)),""))</f>
        <v/>
      </c>
      <c r="J75" s="82" t="str">
        <f aca="false">IF(COUNT(F75:I75)&lt;4,"",ROUND(SUM(F75:I75)/4,2))</f>
        <v/>
      </c>
      <c r="K75" s="83" t="n">
        <f aca="false">INDEX(PARAMETRES!$D$18:$D$23,MATCH("CM2",PARAMETRES!$B$18:$B$23,0))</f>
        <v>20</v>
      </c>
      <c r="L75" s="81" t="n">
        <f aca="false">INDEX(PARAMETRES!$C$18:$C$23,MATCH("CM2",PARAMETRES!$B$18:$B$23,0))</f>
        <v>10</v>
      </c>
      <c r="M75" s="45" t="str">
        <f aca="false">IF(B75="","",IF(E75="ABANDON","ABANDON",IF(E75="TRANSFERE","TRANSFERE",IF(J75="","",IF(J75&gt;=L75,"ADMIS","REDOUBLE")))))</f>
        <v/>
      </c>
      <c r="N75" s="73" t="str">
        <f aca="false">IF(OR(J75="",E75&lt;&gt;"PRESENT"),"",COUNTIFS($E$10:$E$250,"PRESENT",$J$10:$J$250,"&gt;"&amp;J75)+1)</f>
        <v/>
      </c>
      <c r="O75" s="74" t="str">
        <f aca="false">IF(M75="ADMIS",IF(J75/K75*10&gt;=8,"Très bien",IF(J75/K75*10&gt;=7,"Bien",IF(J75/K75*10&gt;=6,"Assez bien","Passable"))),IF(M75="REDOUBLE","Insuffisant",""))</f>
        <v/>
      </c>
      <c r="P75" s="51" t="str">
        <f aca="false">IFERROR(MATCH("CM2-66",'REGISTRE ELEVES'!$AH$10:$AH$250,0),"")</f>
        <v/>
      </c>
    </row>
    <row r="76" customFormat="false" ht="15" hidden="false" customHeight="false" outlineLevel="0" collapsed="false">
      <c r="A76" s="45" t="str">
        <f aca="false">IF(B76="","",67)</f>
        <v/>
      </c>
      <c r="B76" s="45" t="str">
        <f aca="false">IF($P76="","",INDEX('REGISTRE ELEVES'!$B$10:$B$250,$P76))</f>
        <v/>
      </c>
      <c r="C76" s="74" t="str">
        <f aca="false">IF($P76="","",INDEX('REGISTRE ELEVES'!$D$10:$D$250,$P76))</f>
        <v/>
      </c>
      <c r="D76" s="45" t="str">
        <f aca="false">IF($P76="","",INDEX('REGISTRE ELEVES'!$E$10:$E$250,$P76))</f>
        <v/>
      </c>
      <c r="E76" s="45" t="str">
        <f aca="false">IF($P76="","",INDEX('REGISTRE ELEVES'!$AE$10:$AE$250,$P76))</f>
        <v/>
      </c>
      <c r="F76" s="80" t="str">
        <f aca="false">IF(B76="","",IFERROR(INDEX('NOTES CM2'!$M$10:$M$250,MATCH(B76,'NOTES CM2'!$B$10:$B$250,0)),""))</f>
        <v/>
      </c>
      <c r="G76" s="80" t="str">
        <f aca="false">IF(B76="","",IFERROR(INDEX('NOTES CM2'!$T$10:$T$250,MATCH(B76,'NOTES CM2'!$B$10:$B$250,0)),""))</f>
        <v/>
      </c>
      <c r="H76" s="80" t="str">
        <f aca="false">IF(B76="","",IFERROR(INDEX('NOTES CM2'!$AB$10:$AB$250,MATCH(B76,'NOTES CM2'!$B$10:$B$250,0)),""))</f>
        <v/>
      </c>
      <c r="I76" s="80" t="str">
        <f aca="false">IF(B76="","",IFERROR(INDEX('NOTES CM2'!$AJ$10:$AJ$250,MATCH(B76,'NOTES CM2'!$B$10:$B$250,0)),""))</f>
        <v/>
      </c>
      <c r="J76" s="82" t="str">
        <f aca="false">IF(COUNT(F76:I76)&lt;4,"",ROUND(SUM(F76:I76)/4,2))</f>
        <v/>
      </c>
      <c r="K76" s="83" t="n">
        <f aca="false">INDEX(PARAMETRES!$D$18:$D$23,MATCH("CM2",PARAMETRES!$B$18:$B$23,0))</f>
        <v>20</v>
      </c>
      <c r="L76" s="81" t="n">
        <f aca="false">INDEX(PARAMETRES!$C$18:$C$23,MATCH("CM2",PARAMETRES!$B$18:$B$23,0))</f>
        <v>10</v>
      </c>
      <c r="M76" s="45" t="str">
        <f aca="false">IF(B76="","",IF(E76="ABANDON","ABANDON",IF(E76="TRANSFERE","TRANSFERE",IF(J76="","",IF(J76&gt;=L76,"ADMIS","REDOUBLE")))))</f>
        <v/>
      </c>
      <c r="N76" s="73" t="str">
        <f aca="false">IF(OR(J76="",E76&lt;&gt;"PRESENT"),"",COUNTIFS($E$10:$E$250,"PRESENT",$J$10:$J$250,"&gt;"&amp;J76)+1)</f>
        <v/>
      </c>
      <c r="O76" s="74" t="str">
        <f aca="false">IF(M76="ADMIS",IF(J76/K76*10&gt;=8,"Très bien",IF(J76/K76*10&gt;=7,"Bien",IF(J76/K76*10&gt;=6,"Assez bien","Passable"))),IF(M76="REDOUBLE","Insuffisant",""))</f>
        <v/>
      </c>
      <c r="P76" s="51" t="str">
        <f aca="false">IFERROR(MATCH("CM2-67",'REGISTRE ELEVES'!$AH$10:$AH$250,0),"")</f>
        <v/>
      </c>
    </row>
    <row r="77" customFormat="false" ht="15" hidden="false" customHeight="false" outlineLevel="0" collapsed="false">
      <c r="A77" s="45" t="str">
        <f aca="false">IF(B77="","",68)</f>
        <v/>
      </c>
      <c r="B77" s="45" t="str">
        <f aca="false">IF($P77="","",INDEX('REGISTRE ELEVES'!$B$10:$B$250,$P77))</f>
        <v/>
      </c>
      <c r="C77" s="74" t="str">
        <f aca="false">IF($P77="","",INDEX('REGISTRE ELEVES'!$D$10:$D$250,$P77))</f>
        <v/>
      </c>
      <c r="D77" s="45" t="str">
        <f aca="false">IF($P77="","",INDEX('REGISTRE ELEVES'!$E$10:$E$250,$P77))</f>
        <v/>
      </c>
      <c r="E77" s="45" t="str">
        <f aca="false">IF($P77="","",INDEX('REGISTRE ELEVES'!$AE$10:$AE$250,$P77))</f>
        <v/>
      </c>
      <c r="F77" s="80" t="str">
        <f aca="false">IF(B77="","",IFERROR(INDEX('NOTES CM2'!$M$10:$M$250,MATCH(B77,'NOTES CM2'!$B$10:$B$250,0)),""))</f>
        <v/>
      </c>
      <c r="G77" s="80" t="str">
        <f aca="false">IF(B77="","",IFERROR(INDEX('NOTES CM2'!$T$10:$T$250,MATCH(B77,'NOTES CM2'!$B$10:$B$250,0)),""))</f>
        <v/>
      </c>
      <c r="H77" s="80" t="str">
        <f aca="false">IF(B77="","",IFERROR(INDEX('NOTES CM2'!$AB$10:$AB$250,MATCH(B77,'NOTES CM2'!$B$10:$B$250,0)),""))</f>
        <v/>
      </c>
      <c r="I77" s="80" t="str">
        <f aca="false">IF(B77="","",IFERROR(INDEX('NOTES CM2'!$AJ$10:$AJ$250,MATCH(B77,'NOTES CM2'!$B$10:$B$250,0)),""))</f>
        <v/>
      </c>
      <c r="J77" s="82" t="str">
        <f aca="false">IF(COUNT(F77:I77)&lt;4,"",ROUND(SUM(F77:I77)/4,2))</f>
        <v/>
      </c>
      <c r="K77" s="83" t="n">
        <f aca="false">INDEX(PARAMETRES!$D$18:$D$23,MATCH("CM2",PARAMETRES!$B$18:$B$23,0))</f>
        <v>20</v>
      </c>
      <c r="L77" s="81" t="n">
        <f aca="false">INDEX(PARAMETRES!$C$18:$C$23,MATCH("CM2",PARAMETRES!$B$18:$B$23,0))</f>
        <v>10</v>
      </c>
      <c r="M77" s="45" t="str">
        <f aca="false">IF(B77="","",IF(E77="ABANDON","ABANDON",IF(E77="TRANSFERE","TRANSFERE",IF(J77="","",IF(J77&gt;=L77,"ADMIS","REDOUBLE")))))</f>
        <v/>
      </c>
      <c r="N77" s="73" t="str">
        <f aca="false">IF(OR(J77="",E77&lt;&gt;"PRESENT"),"",COUNTIFS($E$10:$E$250,"PRESENT",$J$10:$J$250,"&gt;"&amp;J77)+1)</f>
        <v/>
      </c>
      <c r="O77" s="74" t="str">
        <f aca="false">IF(M77="ADMIS",IF(J77/K77*10&gt;=8,"Très bien",IF(J77/K77*10&gt;=7,"Bien",IF(J77/K77*10&gt;=6,"Assez bien","Passable"))),IF(M77="REDOUBLE","Insuffisant",""))</f>
        <v/>
      </c>
      <c r="P77" s="51" t="str">
        <f aca="false">IFERROR(MATCH("CM2-68",'REGISTRE ELEVES'!$AH$10:$AH$250,0),"")</f>
        <v/>
      </c>
    </row>
    <row r="78" customFormat="false" ht="15" hidden="false" customHeight="false" outlineLevel="0" collapsed="false">
      <c r="A78" s="45" t="str">
        <f aca="false">IF(B78="","",69)</f>
        <v/>
      </c>
      <c r="B78" s="45" t="str">
        <f aca="false">IF($P78="","",INDEX('REGISTRE ELEVES'!$B$10:$B$250,$P78))</f>
        <v/>
      </c>
      <c r="C78" s="74" t="str">
        <f aca="false">IF($P78="","",INDEX('REGISTRE ELEVES'!$D$10:$D$250,$P78))</f>
        <v/>
      </c>
      <c r="D78" s="45" t="str">
        <f aca="false">IF($P78="","",INDEX('REGISTRE ELEVES'!$E$10:$E$250,$P78))</f>
        <v/>
      </c>
      <c r="E78" s="45" t="str">
        <f aca="false">IF($P78="","",INDEX('REGISTRE ELEVES'!$AE$10:$AE$250,$P78))</f>
        <v/>
      </c>
      <c r="F78" s="80" t="str">
        <f aca="false">IF(B78="","",IFERROR(INDEX('NOTES CM2'!$M$10:$M$250,MATCH(B78,'NOTES CM2'!$B$10:$B$250,0)),""))</f>
        <v/>
      </c>
      <c r="G78" s="80" t="str">
        <f aca="false">IF(B78="","",IFERROR(INDEX('NOTES CM2'!$T$10:$T$250,MATCH(B78,'NOTES CM2'!$B$10:$B$250,0)),""))</f>
        <v/>
      </c>
      <c r="H78" s="80" t="str">
        <f aca="false">IF(B78="","",IFERROR(INDEX('NOTES CM2'!$AB$10:$AB$250,MATCH(B78,'NOTES CM2'!$B$10:$B$250,0)),""))</f>
        <v/>
      </c>
      <c r="I78" s="80" t="str">
        <f aca="false">IF(B78="","",IFERROR(INDEX('NOTES CM2'!$AJ$10:$AJ$250,MATCH(B78,'NOTES CM2'!$B$10:$B$250,0)),""))</f>
        <v/>
      </c>
      <c r="J78" s="82" t="str">
        <f aca="false">IF(COUNT(F78:I78)&lt;4,"",ROUND(SUM(F78:I78)/4,2))</f>
        <v/>
      </c>
      <c r="K78" s="83" t="n">
        <f aca="false">INDEX(PARAMETRES!$D$18:$D$23,MATCH("CM2",PARAMETRES!$B$18:$B$23,0))</f>
        <v>20</v>
      </c>
      <c r="L78" s="81" t="n">
        <f aca="false">INDEX(PARAMETRES!$C$18:$C$23,MATCH("CM2",PARAMETRES!$B$18:$B$23,0))</f>
        <v>10</v>
      </c>
      <c r="M78" s="45" t="str">
        <f aca="false">IF(B78="","",IF(E78="ABANDON","ABANDON",IF(E78="TRANSFERE","TRANSFERE",IF(J78="","",IF(J78&gt;=L78,"ADMIS","REDOUBLE")))))</f>
        <v/>
      </c>
      <c r="N78" s="73" t="str">
        <f aca="false">IF(OR(J78="",E78&lt;&gt;"PRESENT"),"",COUNTIFS($E$10:$E$250,"PRESENT",$J$10:$J$250,"&gt;"&amp;J78)+1)</f>
        <v/>
      </c>
      <c r="O78" s="74" t="str">
        <f aca="false">IF(M78="ADMIS",IF(J78/K78*10&gt;=8,"Très bien",IF(J78/K78*10&gt;=7,"Bien",IF(J78/K78*10&gt;=6,"Assez bien","Passable"))),IF(M78="REDOUBLE","Insuffisant",""))</f>
        <v/>
      </c>
      <c r="P78" s="51" t="str">
        <f aca="false">IFERROR(MATCH("CM2-69",'REGISTRE ELEVES'!$AH$10:$AH$250,0),"")</f>
        <v/>
      </c>
    </row>
    <row r="79" customFormat="false" ht="15" hidden="false" customHeight="false" outlineLevel="0" collapsed="false">
      <c r="A79" s="45" t="str">
        <f aca="false">IF(B79="","",70)</f>
        <v/>
      </c>
      <c r="B79" s="45" t="str">
        <f aca="false">IF($P79="","",INDEX('REGISTRE ELEVES'!$B$10:$B$250,$P79))</f>
        <v/>
      </c>
      <c r="C79" s="74" t="str">
        <f aca="false">IF($P79="","",INDEX('REGISTRE ELEVES'!$D$10:$D$250,$P79))</f>
        <v/>
      </c>
      <c r="D79" s="45" t="str">
        <f aca="false">IF($P79="","",INDEX('REGISTRE ELEVES'!$E$10:$E$250,$P79))</f>
        <v/>
      </c>
      <c r="E79" s="45" t="str">
        <f aca="false">IF($P79="","",INDEX('REGISTRE ELEVES'!$AE$10:$AE$250,$P79))</f>
        <v/>
      </c>
      <c r="F79" s="80" t="str">
        <f aca="false">IF(B79="","",IFERROR(INDEX('NOTES CM2'!$M$10:$M$250,MATCH(B79,'NOTES CM2'!$B$10:$B$250,0)),""))</f>
        <v/>
      </c>
      <c r="G79" s="80" t="str">
        <f aca="false">IF(B79="","",IFERROR(INDEX('NOTES CM2'!$T$10:$T$250,MATCH(B79,'NOTES CM2'!$B$10:$B$250,0)),""))</f>
        <v/>
      </c>
      <c r="H79" s="80" t="str">
        <f aca="false">IF(B79="","",IFERROR(INDEX('NOTES CM2'!$AB$10:$AB$250,MATCH(B79,'NOTES CM2'!$B$10:$B$250,0)),""))</f>
        <v/>
      </c>
      <c r="I79" s="80" t="str">
        <f aca="false">IF(B79="","",IFERROR(INDEX('NOTES CM2'!$AJ$10:$AJ$250,MATCH(B79,'NOTES CM2'!$B$10:$B$250,0)),""))</f>
        <v/>
      </c>
      <c r="J79" s="82" t="str">
        <f aca="false">IF(COUNT(F79:I79)&lt;4,"",ROUND(SUM(F79:I79)/4,2))</f>
        <v/>
      </c>
      <c r="K79" s="83" t="n">
        <f aca="false">INDEX(PARAMETRES!$D$18:$D$23,MATCH("CM2",PARAMETRES!$B$18:$B$23,0))</f>
        <v>20</v>
      </c>
      <c r="L79" s="81" t="n">
        <f aca="false">INDEX(PARAMETRES!$C$18:$C$23,MATCH("CM2",PARAMETRES!$B$18:$B$23,0))</f>
        <v>10</v>
      </c>
      <c r="M79" s="45" t="str">
        <f aca="false">IF(B79="","",IF(E79="ABANDON","ABANDON",IF(E79="TRANSFERE","TRANSFERE",IF(J79="","",IF(J79&gt;=L79,"ADMIS","REDOUBLE")))))</f>
        <v/>
      </c>
      <c r="N79" s="73" t="str">
        <f aca="false">IF(OR(J79="",E79&lt;&gt;"PRESENT"),"",COUNTIFS($E$10:$E$250,"PRESENT",$J$10:$J$250,"&gt;"&amp;J79)+1)</f>
        <v/>
      </c>
      <c r="O79" s="74" t="str">
        <f aca="false">IF(M79="ADMIS",IF(J79/K79*10&gt;=8,"Très bien",IF(J79/K79*10&gt;=7,"Bien",IF(J79/K79*10&gt;=6,"Assez bien","Passable"))),IF(M79="REDOUBLE","Insuffisant",""))</f>
        <v/>
      </c>
      <c r="P79" s="51" t="str">
        <f aca="false">IFERROR(MATCH("CM2-70",'REGISTRE ELEVES'!$AH$10:$AH$250,0),"")</f>
        <v/>
      </c>
    </row>
    <row r="80" customFormat="false" ht="15" hidden="false" customHeight="false" outlineLevel="0" collapsed="false">
      <c r="A80" s="45" t="str">
        <f aca="false">IF(B80="","",71)</f>
        <v/>
      </c>
      <c r="B80" s="45" t="str">
        <f aca="false">IF($P80="","",INDEX('REGISTRE ELEVES'!$B$10:$B$250,$P80))</f>
        <v/>
      </c>
      <c r="C80" s="74" t="str">
        <f aca="false">IF($P80="","",INDEX('REGISTRE ELEVES'!$D$10:$D$250,$P80))</f>
        <v/>
      </c>
      <c r="D80" s="45" t="str">
        <f aca="false">IF($P80="","",INDEX('REGISTRE ELEVES'!$E$10:$E$250,$P80))</f>
        <v/>
      </c>
      <c r="E80" s="45" t="str">
        <f aca="false">IF($P80="","",INDEX('REGISTRE ELEVES'!$AE$10:$AE$250,$P80))</f>
        <v/>
      </c>
      <c r="F80" s="80" t="str">
        <f aca="false">IF(B80="","",IFERROR(INDEX('NOTES CM2'!$M$10:$M$250,MATCH(B80,'NOTES CM2'!$B$10:$B$250,0)),""))</f>
        <v/>
      </c>
      <c r="G80" s="80" t="str">
        <f aca="false">IF(B80="","",IFERROR(INDEX('NOTES CM2'!$T$10:$T$250,MATCH(B80,'NOTES CM2'!$B$10:$B$250,0)),""))</f>
        <v/>
      </c>
      <c r="H80" s="80" t="str">
        <f aca="false">IF(B80="","",IFERROR(INDEX('NOTES CM2'!$AB$10:$AB$250,MATCH(B80,'NOTES CM2'!$B$10:$B$250,0)),""))</f>
        <v/>
      </c>
      <c r="I80" s="80" t="str">
        <f aca="false">IF(B80="","",IFERROR(INDEX('NOTES CM2'!$AJ$10:$AJ$250,MATCH(B80,'NOTES CM2'!$B$10:$B$250,0)),""))</f>
        <v/>
      </c>
      <c r="J80" s="82" t="str">
        <f aca="false">IF(COUNT(F80:I80)&lt;4,"",ROUND(SUM(F80:I80)/4,2))</f>
        <v/>
      </c>
      <c r="K80" s="83" t="n">
        <f aca="false">INDEX(PARAMETRES!$D$18:$D$23,MATCH("CM2",PARAMETRES!$B$18:$B$23,0))</f>
        <v>20</v>
      </c>
      <c r="L80" s="81" t="n">
        <f aca="false">INDEX(PARAMETRES!$C$18:$C$23,MATCH("CM2",PARAMETRES!$B$18:$B$23,0))</f>
        <v>10</v>
      </c>
      <c r="M80" s="45" t="str">
        <f aca="false">IF(B80="","",IF(E80="ABANDON","ABANDON",IF(E80="TRANSFERE","TRANSFERE",IF(J80="","",IF(J80&gt;=L80,"ADMIS","REDOUBLE")))))</f>
        <v/>
      </c>
      <c r="N80" s="73" t="str">
        <f aca="false">IF(OR(J80="",E80&lt;&gt;"PRESENT"),"",COUNTIFS($E$10:$E$250,"PRESENT",$J$10:$J$250,"&gt;"&amp;J80)+1)</f>
        <v/>
      </c>
      <c r="O80" s="74" t="str">
        <f aca="false">IF(M80="ADMIS",IF(J80/K80*10&gt;=8,"Très bien",IF(J80/K80*10&gt;=7,"Bien",IF(J80/K80*10&gt;=6,"Assez bien","Passable"))),IF(M80="REDOUBLE","Insuffisant",""))</f>
        <v/>
      </c>
      <c r="P80" s="51" t="str">
        <f aca="false">IFERROR(MATCH("CM2-71",'REGISTRE ELEVES'!$AH$10:$AH$250,0),"")</f>
        <v/>
      </c>
    </row>
    <row r="81" customFormat="false" ht="15" hidden="false" customHeight="false" outlineLevel="0" collapsed="false">
      <c r="A81" s="45" t="str">
        <f aca="false">IF(B81="","",72)</f>
        <v/>
      </c>
      <c r="B81" s="45" t="str">
        <f aca="false">IF($P81="","",INDEX('REGISTRE ELEVES'!$B$10:$B$250,$P81))</f>
        <v/>
      </c>
      <c r="C81" s="74" t="str">
        <f aca="false">IF($P81="","",INDEX('REGISTRE ELEVES'!$D$10:$D$250,$P81))</f>
        <v/>
      </c>
      <c r="D81" s="45" t="str">
        <f aca="false">IF($P81="","",INDEX('REGISTRE ELEVES'!$E$10:$E$250,$P81))</f>
        <v/>
      </c>
      <c r="E81" s="45" t="str">
        <f aca="false">IF($P81="","",INDEX('REGISTRE ELEVES'!$AE$10:$AE$250,$P81))</f>
        <v/>
      </c>
      <c r="F81" s="80" t="str">
        <f aca="false">IF(B81="","",IFERROR(INDEX('NOTES CM2'!$M$10:$M$250,MATCH(B81,'NOTES CM2'!$B$10:$B$250,0)),""))</f>
        <v/>
      </c>
      <c r="G81" s="80" t="str">
        <f aca="false">IF(B81="","",IFERROR(INDEX('NOTES CM2'!$T$10:$T$250,MATCH(B81,'NOTES CM2'!$B$10:$B$250,0)),""))</f>
        <v/>
      </c>
      <c r="H81" s="80" t="str">
        <f aca="false">IF(B81="","",IFERROR(INDEX('NOTES CM2'!$AB$10:$AB$250,MATCH(B81,'NOTES CM2'!$B$10:$B$250,0)),""))</f>
        <v/>
      </c>
      <c r="I81" s="80" t="str">
        <f aca="false">IF(B81="","",IFERROR(INDEX('NOTES CM2'!$AJ$10:$AJ$250,MATCH(B81,'NOTES CM2'!$B$10:$B$250,0)),""))</f>
        <v/>
      </c>
      <c r="J81" s="82" t="str">
        <f aca="false">IF(COUNT(F81:I81)&lt;4,"",ROUND(SUM(F81:I81)/4,2))</f>
        <v/>
      </c>
      <c r="K81" s="83" t="n">
        <f aca="false">INDEX(PARAMETRES!$D$18:$D$23,MATCH("CM2",PARAMETRES!$B$18:$B$23,0))</f>
        <v>20</v>
      </c>
      <c r="L81" s="81" t="n">
        <f aca="false">INDEX(PARAMETRES!$C$18:$C$23,MATCH("CM2",PARAMETRES!$B$18:$B$23,0))</f>
        <v>10</v>
      </c>
      <c r="M81" s="45" t="str">
        <f aca="false">IF(B81="","",IF(E81="ABANDON","ABANDON",IF(E81="TRANSFERE","TRANSFERE",IF(J81="","",IF(J81&gt;=L81,"ADMIS","REDOUBLE")))))</f>
        <v/>
      </c>
      <c r="N81" s="73" t="str">
        <f aca="false">IF(OR(J81="",E81&lt;&gt;"PRESENT"),"",COUNTIFS($E$10:$E$250,"PRESENT",$J$10:$J$250,"&gt;"&amp;J81)+1)</f>
        <v/>
      </c>
      <c r="O81" s="74" t="str">
        <f aca="false">IF(M81="ADMIS",IF(J81/K81*10&gt;=8,"Très bien",IF(J81/K81*10&gt;=7,"Bien",IF(J81/K81*10&gt;=6,"Assez bien","Passable"))),IF(M81="REDOUBLE","Insuffisant",""))</f>
        <v/>
      </c>
      <c r="P81" s="51" t="str">
        <f aca="false">IFERROR(MATCH("CM2-72",'REGISTRE ELEVES'!$AH$10:$AH$250,0),"")</f>
        <v/>
      </c>
    </row>
    <row r="82" customFormat="false" ht="15" hidden="false" customHeight="false" outlineLevel="0" collapsed="false">
      <c r="A82" s="45" t="str">
        <f aca="false">IF(B82="","",73)</f>
        <v/>
      </c>
      <c r="B82" s="45" t="str">
        <f aca="false">IF($P82="","",INDEX('REGISTRE ELEVES'!$B$10:$B$250,$P82))</f>
        <v/>
      </c>
      <c r="C82" s="74" t="str">
        <f aca="false">IF($P82="","",INDEX('REGISTRE ELEVES'!$D$10:$D$250,$P82))</f>
        <v/>
      </c>
      <c r="D82" s="45" t="str">
        <f aca="false">IF($P82="","",INDEX('REGISTRE ELEVES'!$E$10:$E$250,$P82))</f>
        <v/>
      </c>
      <c r="E82" s="45" t="str">
        <f aca="false">IF($P82="","",INDEX('REGISTRE ELEVES'!$AE$10:$AE$250,$P82))</f>
        <v/>
      </c>
      <c r="F82" s="80" t="str">
        <f aca="false">IF(B82="","",IFERROR(INDEX('NOTES CM2'!$M$10:$M$250,MATCH(B82,'NOTES CM2'!$B$10:$B$250,0)),""))</f>
        <v/>
      </c>
      <c r="G82" s="80" t="str">
        <f aca="false">IF(B82="","",IFERROR(INDEX('NOTES CM2'!$T$10:$T$250,MATCH(B82,'NOTES CM2'!$B$10:$B$250,0)),""))</f>
        <v/>
      </c>
      <c r="H82" s="80" t="str">
        <f aca="false">IF(B82="","",IFERROR(INDEX('NOTES CM2'!$AB$10:$AB$250,MATCH(B82,'NOTES CM2'!$B$10:$B$250,0)),""))</f>
        <v/>
      </c>
      <c r="I82" s="80" t="str">
        <f aca="false">IF(B82="","",IFERROR(INDEX('NOTES CM2'!$AJ$10:$AJ$250,MATCH(B82,'NOTES CM2'!$B$10:$B$250,0)),""))</f>
        <v/>
      </c>
      <c r="J82" s="82" t="str">
        <f aca="false">IF(COUNT(F82:I82)&lt;4,"",ROUND(SUM(F82:I82)/4,2))</f>
        <v/>
      </c>
      <c r="K82" s="83" t="n">
        <f aca="false">INDEX(PARAMETRES!$D$18:$D$23,MATCH("CM2",PARAMETRES!$B$18:$B$23,0))</f>
        <v>20</v>
      </c>
      <c r="L82" s="81" t="n">
        <f aca="false">INDEX(PARAMETRES!$C$18:$C$23,MATCH("CM2",PARAMETRES!$B$18:$B$23,0))</f>
        <v>10</v>
      </c>
      <c r="M82" s="45" t="str">
        <f aca="false">IF(B82="","",IF(E82="ABANDON","ABANDON",IF(E82="TRANSFERE","TRANSFERE",IF(J82="","",IF(J82&gt;=L82,"ADMIS","REDOUBLE")))))</f>
        <v/>
      </c>
      <c r="N82" s="73" t="str">
        <f aca="false">IF(OR(J82="",E82&lt;&gt;"PRESENT"),"",COUNTIFS($E$10:$E$250,"PRESENT",$J$10:$J$250,"&gt;"&amp;J82)+1)</f>
        <v/>
      </c>
      <c r="O82" s="74" t="str">
        <f aca="false">IF(M82="ADMIS",IF(J82/K82*10&gt;=8,"Très bien",IF(J82/K82*10&gt;=7,"Bien",IF(J82/K82*10&gt;=6,"Assez bien","Passable"))),IF(M82="REDOUBLE","Insuffisant",""))</f>
        <v/>
      </c>
      <c r="P82" s="51" t="str">
        <f aca="false">IFERROR(MATCH("CM2-73",'REGISTRE ELEVES'!$AH$10:$AH$250,0),"")</f>
        <v/>
      </c>
    </row>
    <row r="83" customFormat="false" ht="15" hidden="false" customHeight="false" outlineLevel="0" collapsed="false">
      <c r="A83" s="45" t="str">
        <f aca="false">IF(B83="","",74)</f>
        <v/>
      </c>
      <c r="B83" s="45" t="str">
        <f aca="false">IF($P83="","",INDEX('REGISTRE ELEVES'!$B$10:$B$250,$P83))</f>
        <v/>
      </c>
      <c r="C83" s="74" t="str">
        <f aca="false">IF($P83="","",INDEX('REGISTRE ELEVES'!$D$10:$D$250,$P83))</f>
        <v/>
      </c>
      <c r="D83" s="45" t="str">
        <f aca="false">IF($P83="","",INDEX('REGISTRE ELEVES'!$E$10:$E$250,$P83))</f>
        <v/>
      </c>
      <c r="E83" s="45" t="str">
        <f aca="false">IF($P83="","",INDEX('REGISTRE ELEVES'!$AE$10:$AE$250,$P83))</f>
        <v/>
      </c>
      <c r="F83" s="80" t="str">
        <f aca="false">IF(B83="","",IFERROR(INDEX('NOTES CM2'!$M$10:$M$250,MATCH(B83,'NOTES CM2'!$B$10:$B$250,0)),""))</f>
        <v/>
      </c>
      <c r="G83" s="80" t="str">
        <f aca="false">IF(B83="","",IFERROR(INDEX('NOTES CM2'!$T$10:$T$250,MATCH(B83,'NOTES CM2'!$B$10:$B$250,0)),""))</f>
        <v/>
      </c>
      <c r="H83" s="80" t="str">
        <f aca="false">IF(B83="","",IFERROR(INDEX('NOTES CM2'!$AB$10:$AB$250,MATCH(B83,'NOTES CM2'!$B$10:$B$250,0)),""))</f>
        <v/>
      </c>
      <c r="I83" s="80" t="str">
        <f aca="false">IF(B83="","",IFERROR(INDEX('NOTES CM2'!$AJ$10:$AJ$250,MATCH(B83,'NOTES CM2'!$B$10:$B$250,0)),""))</f>
        <v/>
      </c>
      <c r="J83" s="82" t="str">
        <f aca="false">IF(COUNT(F83:I83)&lt;4,"",ROUND(SUM(F83:I83)/4,2))</f>
        <v/>
      </c>
      <c r="K83" s="83" t="n">
        <f aca="false">INDEX(PARAMETRES!$D$18:$D$23,MATCH("CM2",PARAMETRES!$B$18:$B$23,0))</f>
        <v>20</v>
      </c>
      <c r="L83" s="81" t="n">
        <f aca="false">INDEX(PARAMETRES!$C$18:$C$23,MATCH("CM2",PARAMETRES!$B$18:$B$23,0))</f>
        <v>10</v>
      </c>
      <c r="M83" s="45" t="str">
        <f aca="false">IF(B83="","",IF(E83="ABANDON","ABANDON",IF(E83="TRANSFERE","TRANSFERE",IF(J83="","",IF(J83&gt;=L83,"ADMIS","REDOUBLE")))))</f>
        <v/>
      </c>
      <c r="N83" s="73" t="str">
        <f aca="false">IF(OR(J83="",E83&lt;&gt;"PRESENT"),"",COUNTIFS($E$10:$E$250,"PRESENT",$J$10:$J$250,"&gt;"&amp;J83)+1)</f>
        <v/>
      </c>
      <c r="O83" s="74" t="str">
        <f aca="false">IF(M83="ADMIS",IF(J83/K83*10&gt;=8,"Très bien",IF(J83/K83*10&gt;=7,"Bien",IF(J83/K83*10&gt;=6,"Assez bien","Passable"))),IF(M83="REDOUBLE","Insuffisant",""))</f>
        <v/>
      </c>
      <c r="P83" s="51" t="str">
        <f aca="false">IFERROR(MATCH("CM2-74",'REGISTRE ELEVES'!$AH$10:$AH$250,0),"")</f>
        <v/>
      </c>
    </row>
    <row r="84" customFormat="false" ht="15" hidden="false" customHeight="false" outlineLevel="0" collapsed="false">
      <c r="A84" s="45" t="str">
        <f aca="false">IF(B84="","",75)</f>
        <v/>
      </c>
      <c r="B84" s="45" t="str">
        <f aca="false">IF($P84="","",INDEX('REGISTRE ELEVES'!$B$10:$B$250,$P84))</f>
        <v/>
      </c>
      <c r="C84" s="74" t="str">
        <f aca="false">IF($P84="","",INDEX('REGISTRE ELEVES'!$D$10:$D$250,$P84))</f>
        <v/>
      </c>
      <c r="D84" s="45" t="str">
        <f aca="false">IF($P84="","",INDEX('REGISTRE ELEVES'!$E$10:$E$250,$P84))</f>
        <v/>
      </c>
      <c r="E84" s="45" t="str">
        <f aca="false">IF($P84="","",INDEX('REGISTRE ELEVES'!$AE$10:$AE$250,$P84))</f>
        <v/>
      </c>
      <c r="F84" s="80" t="str">
        <f aca="false">IF(B84="","",IFERROR(INDEX('NOTES CM2'!$M$10:$M$250,MATCH(B84,'NOTES CM2'!$B$10:$B$250,0)),""))</f>
        <v/>
      </c>
      <c r="G84" s="80" t="str">
        <f aca="false">IF(B84="","",IFERROR(INDEX('NOTES CM2'!$T$10:$T$250,MATCH(B84,'NOTES CM2'!$B$10:$B$250,0)),""))</f>
        <v/>
      </c>
      <c r="H84" s="80" t="str">
        <f aca="false">IF(B84="","",IFERROR(INDEX('NOTES CM2'!$AB$10:$AB$250,MATCH(B84,'NOTES CM2'!$B$10:$B$250,0)),""))</f>
        <v/>
      </c>
      <c r="I84" s="80" t="str">
        <f aca="false">IF(B84="","",IFERROR(INDEX('NOTES CM2'!$AJ$10:$AJ$250,MATCH(B84,'NOTES CM2'!$B$10:$B$250,0)),""))</f>
        <v/>
      </c>
      <c r="J84" s="82" t="str">
        <f aca="false">IF(COUNT(F84:I84)&lt;4,"",ROUND(SUM(F84:I84)/4,2))</f>
        <v/>
      </c>
      <c r="K84" s="83" t="n">
        <f aca="false">INDEX(PARAMETRES!$D$18:$D$23,MATCH("CM2",PARAMETRES!$B$18:$B$23,0))</f>
        <v>20</v>
      </c>
      <c r="L84" s="81" t="n">
        <f aca="false">INDEX(PARAMETRES!$C$18:$C$23,MATCH("CM2",PARAMETRES!$B$18:$B$23,0))</f>
        <v>10</v>
      </c>
      <c r="M84" s="45" t="str">
        <f aca="false">IF(B84="","",IF(E84="ABANDON","ABANDON",IF(E84="TRANSFERE","TRANSFERE",IF(J84="","",IF(J84&gt;=L84,"ADMIS","REDOUBLE")))))</f>
        <v/>
      </c>
      <c r="N84" s="73" t="str">
        <f aca="false">IF(OR(J84="",E84&lt;&gt;"PRESENT"),"",COUNTIFS($E$10:$E$250,"PRESENT",$J$10:$J$250,"&gt;"&amp;J84)+1)</f>
        <v/>
      </c>
      <c r="O84" s="74" t="str">
        <f aca="false">IF(M84="ADMIS",IF(J84/K84*10&gt;=8,"Très bien",IF(J84/K84*10&gt;=7,"Bien",IF(J84/K84*10&gt;=6,"Assez bien","Passable"))),IF(M84="REDOUBLE","Insuffisant",""))</f>
        <v/>
      </c>
      <c r="P84" s="51" t="str">
        <f aca="false">IFERROR(MATCH("CM2-75",'REGISTRE ELEVES'!$AH$10:$AH$250,0),"")</f>
        <v/>
      </c>
    </row>
    <row r="85" customFormat="false" ht="15" hidden="false" customHeight="false" outlineLevel="0" collapsed="false">
      <c r="A85" s="45" t="str">
        <f aca="false">IF(B85="","",76)</f>
        <v/>
      </c>
      <c r="B85" s="45" t="str">
        <f aca="false">IF($P85="","",INDEX('REGISTRE ELEVES'!$B$10:$B$250,$P85))</f>
        <v/>
      </c>
      <c r="C85" s="74" t="str">
        <f aca="false">IF($P85="","",INDEX('REGISTRE ELEVES'!$D$10:$D$250,$P85))</f>
        <v/>
      </c>
      <c r="D85" s="45" t="str">
        <f aca="false">IF($P85="","",INDEX('REGISTRE ELEVES'!$E$10:$E$250,$P85))</f>
        <v/>
      </c>
      <c r="E85" s="45" t="str">
        <f aca="false">IF($P85="","",INDEX('REGISTRE ELEVES'!$AE$10:$AE$250,$P85))</f>
        <v/>
      </c>
      <c r="F85" s="80" t="str">
        <f aca="false">IF(B85="","",IFERROR(INDEX('NOTES CM2'!$M$10:$M$250,MATCH(B85,'NOTES CM2'!$B$10:$B$250,0)),""))</f>
        <v/>
      </c>
      <c r="G85" s="80" t="str">
        <f aca="false">IF(B85="","",IFERROR(INDEX('NOTES CM2'!$T$10:$T$250,MATCH(B85,'NOTES CM2'!$B$10:$B$250,0)),""))</f>
        <v/>
      </c>
      <c r="H85" s="80" t="str">
        <f aca="false">IF(B85="","",IFERROR(INDEX('NOTES CM2'!$AB$10:$AB$250,MATCH(B85,'NOTES CM2'!$B$10:$B$250,0)),""))</f>
        <v/>
      </c>
      <c r="I85" s="80" t="str">
        <f aca="false">IF(B85="","",IFERROR(INDEX('NOTES CM2'!$AJ$10:$AJ$250,MATCH(B85,'NOTES CM2'!$B$10:$B$250,0)),""))</f>
        <v/>
      </c>
      <c r="J85" s="82" t="str">
        <f aca="false">IF(COUNT(F85:I85)&lt;4,"",ROUND(SUM(F85:I85)/4,2))</f>
        <v/>
      </c>
      <c r="K85" s="83" t="n">
        <f aca="false">INDEX(PARAMETRES!$D$18:$D$23,MATCH("CM2",PARAMETRES!$B$18:$B$23,0))</f>
        <v>20</v>
      </c>
      <c r="L85" s="81" t="n">
        <f aca="false">INDEX(PARAMETRES!$C$18:$C$23,MATCH("CM2",PARAMETRES!$B$18:$B$23,0))</f>
        <v>10</v>
      </c>
      <c r="M85" s="45" t="str">
        <f aca="false">IF(B85="","",IF(E85="ABANDON","ABANDON",IF(E85="TRANSFERE","TRANSFERE",IF(J85="","",IF(J85&gt;=L85,"ADMIS","REDOUBLE")))))</f>
        <v/>
      </c>
      <c r="N85" s="73" t="str">
        <f aca="false">IF(OR(J85="",E85&lt;&gt;"PRESENT"),"",COUNTIFS($E$10:$E$250,"PRESENT",$J$10:$J$250,"&gt;"&amp;J85)+1)</f>
        <v/>
      </c>
      <c r="O85" s="74" t="str">
        <f aca="false">IF(M85="ADMIS",IF(J85/K85*10&gt;=8,"Très bien",IF(J85/K85*10&gt;=7,"Bien",IF(J85/K85*10&gt;=6,"Assez bien","Passable"))),IF(M85="REDOUBLE","Insuffisant",""))</f>
        <v/>
      </c>
      <c r="P85" s="51" t="str">
        <f aca="false">IFERROR(MATCH("CM2-76",'REGISTRE ELEVES'!$AH$10:$AH$250,0),"")</f>
        <v/>
      </c>
    </row>
    <row r="86" customFormat="false" ht="15" hidden="false" customHeight="false" outlineLevel="0" collapsed="false">
      <c r="A86" s="45" t="str">
        <f aca="false">IF(B86="","",77)</f>
        <v/>
      </c>
      <c r="B86" s="45" t="str">
        <f aca="false">IF($P86="","",INDEX('REGISTRE ELEVES'!$B$10:$B$250,$P86))</f>
        <v/>
      </c>
      <c r="C86" s="74" t="str">
        <f aca="false">IF($P86="","",INDEX('REGISTRE ELEVES'!$D$10:$D$250,$P86))</f>
        <v/>
      </c>
      <c r="D86" s="45" t="str">
        <f aca="false">IF($P86="","",INDEX('REGISTRE ELEVES'!$E$10:$E$250,$P86))</f>
        <v/>
      </c>
      <c r="E86" s="45" t="str">
        <f aca="false">IF($P86="","",INDEX('REGISTRE ELEVES'!$AE$10:$AE$250,$P86))</f>
        <v/>
      </c>
      <c r="F86" s="80" t="str">
        <f aca="false">IF(B86="","",IFERROR(INDEX('NOTES CM2'!$M$10:$M$250,MATCH(B86,'NOTES CM2'!$B$10:$B$250,0)),""))</f>
        <v/>
      </c>
      <c r="G86" s="80" t="str">
        <f aca="false">IF(B86="","",IFERROR(INDEX('NOTES CM2'!$T$10:$T$250,MATCH(B86,'NOTES CM2'!$B$10:$B$250,0)),""))</f>
        <v/>
      </c>
      <c r="H86" s="80" t="str">
        <f aca="false">IF(B86="","",IFERROR(INDEX('NOTES CM2'!$AB$10:$AB$250,MATCH(B86,'NOTES CM2'!$B$10:$B$250,0)),""))</f>
        <v/>
      </c>
      <c r="I86" s="80" t="str">
        <f aca="false">IF(B86="","",IFERROR(INDEX('NOTES CM2'!$AJ$10:$AJ$250,MATCH(B86,'NOTES CM2'!$B$10:$B$250,0)),""))</f>
        <v/>
      </c>
      <c r="J86" s="82" t="str">
        <f aca="false">IF(COUNT(F86:I86)&lt;4,"",ROUND(SUM(F86:I86)/4,2))</f>
        <v/>
      </c>
      <c r="K86" s="83" t="n">
        <f aca="false">INDEX(PARAMETRES!$D$18:$D$23,MATCH("CM2",PARAMETRES!$B$18:$B$23,0))</f>
        <v>20</v>
      </c>
      <c r="L86" s="81" t="n">
        <f aca="false">INDEX(PARAMETRES!$C$18:$C$23,MATCH("CM2",PARAMETRES!$B$18:$B$23,0))</f>
        <v>10</v>
      </c>
      <c r="M86" s="45" t="str">
        <f aca="false">IF(B86="","",IF(E86="ABANDON","ABANDON",IF(E86="TRANSFERE","TRANSFERE",IF(J86="","",IF(J86&gt;=L86,"ADMIS","REDOUBLE")))))</f>
        <v/>
      </c>
      <c r="N86" s="73" t="str">
        <f aca="false">IF(OR(J86="",E86&lt;&gt;"PRESENT"),"",COUNTIFS($E$10:$E$250,"PRESENT",$J$10:$J$250,"&gt;"&amp;J86)+1)</f>
        <v/>
      </c>
      <c r="O86" s="74" t="str">
        <f aca="false">IF(M86="ADMIS",IF(J86/K86*10&gt;=8,"Très bien",IF(J86/K86*10&gt;=7,"Bien",IF(J86/K86*10&gt;=6,"Assez bien","Passable"))),IF(M86="REDOUBLE","Insuffisant",""))</f>
        <v/>
      </c>
      <c r="P86" s="51" t="str">
        <f aca="false">IFERROR(MATCH("CM2-77",'REGISTRE ELEVES'!$AH$10:$AH$250,0),"")</f>
        <v/>
      </c>
    </row>
    <row r="87" customFormat="false" ht="15" hidden="false" customHeight="false" outlineLevel="0" collapsed="false">
      <c r="A87" s="45" t="str">
        <f aca="false">IF(B87="","",78)</f>
        <v/>
      </c>
      <c r="B87" s="45" t="str">
        <f aca="false">IF($P87="","",INDEX('REGISTRE ELEVES'!$B$10:$B$250,$P87))</f>
        <v/>
      </c>
      <c r="C87" s="74" t="str">
        <f aca="false">IF($P87="","",INDEX('REGISTRE ELEVES'!$D$10:$D$250,$P87))</f>
        <v/>
      </c>
      <c r="D87" s="45" t="str">
        <f aca="false">IF($P87="","",INDEX('REGISTRE ELEVES'!$E$10:$E$250,$P87))</f>
        <v/>
      </c>
      <c r="E87" s="45" t="str">
        <f aca="false">IF($P87="","",INDEX('REGISTRE ELEVES'!$AE$10:$AE$250,$P87))</f>
        <v/>
      </c>
      <c r="F87" s="80" t="str">
        <f aca="false">IF(B87="","",IFERROR(INDEX('NOTES CM2'!$M$10:$M$250,MATCH(B87,'NOTES CM2'!$B$10:$B$250,0)),""))</f>
        <v/>
      </c>
      <c r="G87" s="80" t="str">
        <f aca="false">IF(B87="","",IFERROR(INDEX('NOTES CM2'!$T$10:$T$250,MATCH(B87,'NOTES CM2'!$B$10:$B$250,0)),""))</f>
        <v/>
      </c>
      <c r="H87" s="80" t="str">
        <f aca="false">IF(B87="","",IFERROR(INDEX('NOTES CM2'!$AB$10:$AB$250,MATCH(B87,'NOTES CM2'!$B$10:$B$250,0)),""))</f>
        <v/>
      </c>
      <c r="I87" s="80" t="str">
        <f aca="false">IF(B87="","",IFERROR(INDEX('NOTES CM2'!$AJ$10:$AJ$250,MATCH(B87,'NOTES CM2'!$B$10:$B$250,0)),""))</f>
        <v/>
      </c>
      <c r="J87" s="82" t="str">
        <f aca="false">IF(COUNT(F87:I87)&lt;4,"",ROUND(SUM(F87:I87)/4,2))</f>
        <v/>
      </c>
      <c r="K87" s="83" t="n">
        <f aca="false">INDEX(PARAMETRES!$D$18:$D$23,MATCH("CM2",PARAMETRES!$B$18:$B$23,0))</f>
        <v>20</v>
      </c>
      <c r="L87" s="81" t="n">
        <f aca="false">INDEX(PARAMETRES!$C$18:$C$23,MATCH("CM2",PARAMETRES!$B$18:$B$23,0))</f>
        <v>10</v>
      </c>
      <c r="M87" s="45" t="str">
        <f aca="false">IF(B87="","",IF(E87="ABANDON","ABANDON",IF(E87="TRANSFERE","TRANSFERE",IF(J87="","",IF(J87&gt;=L87,"ADMIS","REDOUBLE")))))</f>
        <v/>
      </c>
      <c r="N87" s="73" t="str">
        <f aca="false">IF(OR(J87="",E87&lt;&gt;"PRESENT"),"",COUNTIFS($E$10:$E$250,"PRESENT",$J$10:$J$250,"&gt;"&amp;J87)+1)</f>
        <v/>
      </c>
      <c r="O87" s="74" t="str">
        <f aca="false">IF(M87="ADMIS",IF(J87/K87*10&gt;=8,"Très bien",IF(J87/K87*10&gt;=7,"Bien",IF(J87/K87*10&gt;=6,"Assez bien","Passable"))),IF(M87="REDOUBLE","Insuffisant",""))</f>
        <v/>
      </c>
      <c r="P87" s="51" t="str">
        <f aca="false">IFERROR(MATCH("CM2-78",'REGISTRE ELEVES'!$AH$10:$AH$250,0),"")</f>
        <v/>
      </c>
    </row>
    <row r="88" customFormat="false" ht="15" hidden="false" customHeight="false" outlineLevel="0" collapsed="false">
      <c r="A88" s="45" t="str">
        <f aca="false">IF(B88="","",79)</f>
        <v/>
      </c>
      <c r="B88" s="45" t="str">
        <f aca="false">IF($P88="","",INDEX('REGISTRE ELEVES'!$B$10:$B$250,$P88))</f>
        <v/>
      </c>
      <c r="C88" s="74" t="str">
        <f aca="false">IF($P88="","",INDEX('REGISTRE ELEVES'!$D$10:$D$250,$P88))</f>
        <v/>
      </c>
      <c r="D88" s="45" t="str">
        <f aca="false">IF($P88="","",INDEX('REGISTRE ELEVES'!$E$10:$E$250,$P88))</f>
        <v/>
      </c>
      <c r="E88" s="45" t="str">
        <f aca="false">IF($P88="","",INDEX('REGISTRE ELEVES'!$AE$10:$AE$250,$P88))</f>
        <v/>
      </c>
      <c r="F88" s="80" t="str">
        <f aca="false">IF(B88="","",IFERROR(INDEX('NOTES CM2'!$M$10:$M$250,MATCH(B88,'NOTES CM2'!$B$10:$B$250,0)),""))</f>
        <v/>
      </c>
      <c r="G88" s="80" t="str">
        <f aca="false">IF(B88="","",IFERROR(INDEX('NOTES CM2'!$T$10:$T$250,MATCH(B88,'NOTES CM2'!$B$10:$B$250,0)),""))</f>
        <v/>
      </c>
      <c r="H88" s="80" t="str">
        <f aca="false">IF(B88="","",IFERROR(INDEX('NOTES CM2'!$AB$10:$AB$250,MATCH(B88,'NOTES CM2'!$B$10:$B$250,0)),""))</f>
        <v/>
      </c>
      <c r="I88" s="80" t="str">
        <f aca="false">IF(B88="","",IFERROR(INDEX('NOTES CM2'!$AJ$10:$AJ$250,MATCH(B88,'NOTES CM2'!$B$10:$B$250,0)),""))</f>
        <v/>
      </c>
      <c r="J88" s="82" t="str">
        <f aca="false">IF(COUNT(F88:I88)&lt;4,"",ROUND(SUM(F88:I88)/4,2))</f>
        <v/>
      </c>
      <c r="K88" s="83" t="n">
        <f aca="false">INDEX(PARAMETRES!$D$18:$D$23,MATCH("CM2",PARAMETRES!$B$18:$B$23,0))</f>
        <v>20</v>
      </c>
      <c r="L88" s="81" t="n">
        <f aca="false">INDEX(PARAMETRES!$C$18:$C$23,MATCH("CM2",PARAMETRES!$B$18:$B$23,0))</f>
        <v>10</v>
      </c>
      <c r="M88" s="45" t="str">
        <f aca="false">IF(B88="","",IF(E88="ABANDON","ABANDON",IF(E88="TRANSFERE","TRANSFERE",IF(J88="","",IF(J88&gt;=L88,"ADMIS","REDOUBLE")))))</f>
        <v/>
      </c>
      <c r="N88" s="73" t="str">
        <f aca="false">IF(OR(J88="",E88&lt;&gt;"PRESENT"),"",COUNTIFS($E$10:$E$250,"PRESENT",$J$10:$J$250,"&gt;"&amp;J88)+1)</f>
        <v/>
      </c>
      <c r="O88" s="74" t="str">
        <f aca="false">IF(M88="ADMIS",IF(J88/K88*10&gt;=8,"Très bien",IF(J88/K88*10&gt;=7,"Bien",IF(J88/K88*10&gt;=6,"Assez bien","Passable"))),IF(M88="REDOUBLE","Insuffisant",""))</f>
        <v/>
      </c>
      <c r="P88" s="51" t="str">
        <f aca="false">IFERROR(MATCH("CM2-79",'REGISTRE ELEVES'!$AH$10:$AH$250,0),"")</f>
        <v/>
      </c>
    </row>
    <row r="89" customFormat="false" ht="15" hidden="false" customHeight="false" outlineLevel="0" collapsed="false">
      <c r="A89" s="45" t="str">
        <f aca="false">IF(B89="","",80)</f>
        <v/>
      </c>
      <c r="B89" s="45" t="str">
        <f aca="false">IF($P89="","",INDEX('REGISTRE ELEVES'!$B$10:$B$250,$P89))</f>
        <v/>
      </c>
      <c r="C89" s="74" t="str">
        <f aca="false">IF($P89="","",INDEX('REGISTRE ELEVES'!$D$10:$D$250,$P89))</f>
        <v/>
      </c>
      <c r="D89" s="45" t="str">
        <f aca="false">IF($P89="","",INDEX('REGISTRE ELEVES'!$E$10:$E$250,$P89))</f>
        <v/>
      </c>
      <c r="E89" s="45" t="str">
        <f aca="false">IF($P89="","",INDEX('REGISTRE ELEVES'!$AE$10:$AE$250,$P89))</f>
        <v/>
      </c>
      <c r="F89" s="80" t="str">
        <f aca="false">IF(B89="","",IFERROR(INDEX('NOTES CM2'!$M$10:$M$250,MATCH(B89,'NOTES CM2'!$B$10:$B$250,0)),""))</f>
        <v/>
      </c>
      <c r="G89" s="80" t="str">
        <f aca="false">IF(B89="","",IFERROR(INDEX('NOTES CM2'!$T$10:$T$250,MATCH(B89,'NOTES CM2'!$B$10:$B$250,0)),""))</f>
        <v/>
      </c>
      <c r="H89" s="80" t="str">
        <f aca="false">IF(B89="","",IFERROR(INDEX('NOTES CM2'!$AB$10:$AB$250,MATCH(B89,'NOTES CM2'!$B$10:$B$250,0)),""))</f>
        <v/>
      </c>
      <c r="I89" s="80" t="str">
        <f aca="false">IF(B89="","",IFERROR(INDEX('NOTES CM2'!$AJ$10:$AJ$250,MATCH(B89,'NOTES CM2'!$B$10:$B$250,0)),""))</f>
        <v/>
      </c>
      <c r="J89" s="82" t="str">
        <f aca="false">IF(COUNT(F89:I89)&lt;4,"",ROUND(SUM(F89:I89)/4,2))</f>
        <v/>
      </c>
      <c r="K89" s="83" t="n">
        <f aca="false">INDEX(PARAMETRES!$D$18:$D$23,MATCH("CM2",PARAMETRES!$B$18:$B$23,0))</f>
        <v>20</v>
      </c>
      <c r="L89" s="81" t="n">
        <f aca="false">INDEX(PARAMETRES!$C$18:$C$23,MATCH("CM2",PARAMETRES!$B$18:$B$23,0))</f>
        <v>10</v>
      </c>
      <c r="M89" s="45" t="str">
        <f aca="false">IF(B89="","",IF(E89="ABANDON","ABANDON",IF(E89="TRANSFERE","TRANSFERE",IF(J89="","",IF(J89&gt;=L89,"ADMIS","REDOUBLE")))))</f>
        <v/>
      </c>
      <c r="N89" s="73" t="str">
        <f aca="false">IF(OR(J89="",E89&lt;&gt;"PRESENT"),"",COUNTIFS($E$10:$E$250,"PRESENT",$J$10:$J$250,"&gt;"&amp;J89)+1)</f>
        <v/>
      </c>
      <c r="O89" s="74" t="str">
        <f aca="false">IF(M89="ADMIS",IF(J89/K89*10&gt;=8,"Très bien",IF(J89/K89*10&gt;=7,"Bien",IF(J89/K89*10&gt;=6,"Assez bien","Passable"))),IF(M89="REDOUBLE","Insuffisant",""))</f>
        <v/>
      </c>
      <c r="P89" s="51" t="str">
        <f aca="false">IFERROR(MATCH("CM2-80",'REGISTRE ELEVES'!$AH$10:$AH$250,0),"")</f>
        <v/>
      </c>
    </row>
    <row r="90" customFormat="false" ht="15" hidden="false" customHeight="false" outlineLevel="0" collapsed="false">
      <c r="A90" s="45" t="str">
        <f aca="false">IF(B90="","",81)</f>
        <v/>
      </c>
      <c r="B90" s="45" t="str">
        <f aca="false">IF($P90="","",INDEX('REGISTRE ELEVES'!$B$10:$B$250,$P90))</f>
        <v/>
      </c>
      <c r="C90" s="74" t="str">
        <f aca="false">IF($P90="","",INDEX('REGISTRE ELEVES'!$D$10:$D$250,$P90))</f>
        <v/>
      </c>
      <c r="D90" s="45" t="str">
        <f aca="false">IF($P90="","",INDEX('REGISTRE ELEVES'!$E$10:$E$250,$P90))</f>
        <v/>
      </c>
      <c r="E90" s="45" t="str">
        <f aca="false">IF($P90="","",INDEX('REGISTRE ELEVES'!$AE$10:$AE$250,$P90))</f>
        <v/>
      </c>
      <c r="F90" s="80" t="str">
        <f aca="false">IF(B90="","",IFERROR(INDEX('NOTES CM2'!$M$10:$M$250,MATCH(B90,'NOTES CM2'!$B$10:$B$250,0)),""))</f>
        <v/>
      </c>
      <c r="G90" s="80" t="str">
        <f aca="false">IF(B90="","",IFERROR(INDEX('NOTES CM2'!$T$10:$T$250,MATCH(B90,'NOTES CM2'!$B$10:$B$250,0)),""))</f>
        <v/>
      </c>
      <c r="H90" s="80" t="str">
        <f aca="false">IF(B90="","",IFERROR(INDEX('NOTES CM2'!$AB$10:$AB$250,MATCH(B90,'NOTES CM2'!$B$10:$B$250,0)),""))</f>
        <v/>
      </c>
      <c r="I90" s="80" t="str">
        <f aca="false">IF(B90="","",IFERROR(INDEX('NOTES CM2'!$AJ$10:$AJ$250,MATCH(B90,'NOTES CM2'!$B$10:$B$250,0)),""))</f>
        <v/>
      </c>
      <c r="J90" s="82" t="str">
        <f aca="false">IF(COUNT(F90:I90)&lt;4,"",ROUND(SUM(F90:I90)/4,2))</f>
        <v/>
      </c>
      <c r="K90" s="83" t="n">
        <f aca="false">INDEX(PARAMETRES!$D$18:$D$23,MATCH("CM2",PARAMETRES!$B$18:$B$23,0))</f>
        <v>20</v>
      </c>
      <c r="L90" s="81" t="n">
        <f aca="false">INDEX(PARAMETRES!$C$18:$C$23,MATCH("CM2",PARAMETRES!$B$18:$B$23,0))</f>
        <v>10</v>
      </c>
      <c r="M90" s="45" t="str">
        <f aca="false">IF(B90="","",IF(E90="ABANDON","ABANDON",IF(E90="TRANSFERE","TRANSFERE",IF(J90="","",IF(J90&gt;=L90,"ADMIS","REDOUBLE")))))</f>
        <v/>
      </c>
      <c r="N90" s="73" t="str">
        <f aca="false">IF(OR(J90="",E90&lt;&gt;"PRESENT"),"",COUNTIFS($E$10:$E$250,"PRESENT",$J$10:$J$250,"&gt;"&amp;J90)+1)</f>
        <v/>
      </c>
      <c r="O90" s="74" t="str">
        <f aca="false">IF(M90="ADMIS",IF(J90/K90*10&gt;=8,"Très bien",IF(J90/K90*10&gt;=7,"Bien",IF(J90/K90*10&gt;=6,"Assez bien","Passable"))),IF(M90="REDOUBLE","Insuffisant",""))</f>
        <v/>
      </c>
      <c r="P90" s="51" t="str">
        <f aca="false">IFERROR(MATCH("CM2-81",'REGISTRE ELEVES'!$AH$10:$AH$250,0),"")</f>
        <v/>
      </c>
    </row>
    <row r="91" customFormat="false" ht="15" hidden="false" customHeight="false" outlineLevel="0" collapsed="false">
      <c r="A91" s="45" t="str">
        <f aca="false">IF(B91="","",82)</f>
        <v/>
      </c>
      <c r="B91" s="45" t="str">
        <f aca="false">IF($P91="","",INDEX('REGISTRE ELEVES'!$B$10:$B$250,$P91))</f>
        <v/>
      </c>
      <c r="C91" s="74" t="str">
        <f aca="false">IF($P91="","",INDEX('REGISTRE ELEVES'!$D$10:$D$250,$P91))</f>
        <v/>
      </c>
      <c r="D91" s="45" t="str">
        <f aca="false">IF($P91="","",INDEX('REGISTRE ELEVES'!$E$10:$E$250,$P91))</f>
        <v/>
      </c>
      <c r="E91" s="45" t="str">
        <f aca="false">IF($P91="","",INDEX('REGISTRE ELEVES'!$AE$10:$AE$250,$P91))</f>
        <v/>
      </c>
      <c r="F91" s="80" t="str">
        <f aca="false">IF(B91="","",IFERROR(INDEX('NOTES CM2'!$M$10:$M$250,MATCH(B91,'NOTES CM2'!$B$10:$B$250,0)),""))</f>
        <v/>
      </c>
      <c r="G91" s="80" t="str">
        <f aca="false">IF(B91="","",IFERROR(INDEX('NOTES CM2'!$T$10:$T$250,MATCH(B91,'NOTES CM2'!$B$10:$B$250,0)),""))</f>
        <v/>
      </c>
      <c r="H91" s="80" t="str">
        <f aca="false">IF(B91="","",IFERROR(INDEX('NOTES CM2'!$AB$10:$AB$250,MATCH(B91,'NOTES CM2'!$B$10:$B$250,0)),""))</f>
        <v/>
      </c>
      <c r="I91" s="80" t="str">
        <f aca="false">IF(B91="","",IFERROR(INDEX('NOTES CM2'!$AJ$10:$AJ$250,MATCH(B91,'NOTES CM2'!$B$10:$B$250,0)),""))</f>
        <v/>
      </c>
      <c r="J91" s="82" t="str">
        <f aca="false">IF(COUNT(F91:I91)&lt;4,"",ROUND(SUM(F91:I91)/4,2))</f>
        <v/>
      </c>
      <c r="K91" s="83" t="n">
        <f aca="false">INDEX(PARAMETRES!$D$18:$D$23,MATCH("CM2",PARAMETRES!$B$18:$B$23,0))</f>
        <v>20</v>
      </c>
      <c r="L91" s="81" t="n">
        <f aca="false">INDEX(PARAMETRES!$C$18:$C$23,MATCH("CM2",PARAMETRES!$B$18:$B$23,0))</f>
        <v>10</v>
      </c>
      <c r="M91" s="45" t="str">
        <f aca="false">IF(B91="","",IF(E91="ABANDON","ABANDON",IF(E91="TRANSFERE","TRANSFERE",IF(J91="","",IF(J91&gt;=L91,"ADMIS","REDOUBLE")))))</f>
        <v/>
      </c>
      <c r="N91" s="73" t="str">
        <f aca="false">IF(OR(J91="",E91&lt;&gt;"PRESENT"),"",COUNTIFS($E$10:$E$250,"PRESENT",$J$10:$J$250,"&gt;"&amp;J91)+1)</f>
        <v/>
      </c>
      <c r="O91" s="74" t="str">
        <f aca="false">IF(M91="ADMIS",IF(J91/K91*10&gt;=8,"Très bien",IF(J91/K91*10&gt;=7,"Bien",IF(J91/K91*10&gt;=6,"Assez bien","Passable"))),IF(M91="REDOUBLE","Insuffisant",""))</f>
        <v/>
      </c>
      <c r="P91" s="51" t="str">
        <f aca="false">IFERROR(MATCH("CM2-82",'REGISTRE ELEVES'!$AH$10:$AH$250,0),"")</f>
        <v/>
      </c>
    </row>
    <row r="92" customFormat="false" ht="15" hidden="false" customHeight="false" outlineLevel="0" collapsed="false">
      <c r="A92" s="45" t="str">
        <f aca="false">IF(B92="","",83)</f>
        <v/>
      </c>
      <c r="B92" s="45" t="str">
        <f aca="false">IF($P92="","",INDEX('REGISTRE ELEVES'!$B$10:$B$250,$P92))</f>
        <v/>
      </c>
      <c r="C92" s="74" t="str">
        <f aca="false">IF($P92="","",INDEX('REGISTRE ELEVES'!$D$10:$D$250,$P92))</f>
        <v/>
      </c>
      <c r="D92" s="45" t="str">
        <f aca="false">IF($P92="","",INDEX('REGISTRE ELEVES'!$E$10:$E$250,$P92))</f>
        <v/>
      </c>
      <c r="E92" s="45" t="str">
        <f aca="false">IF($P92="","",INDEX('REGISTRE ELEVES'!$AE$10:$AE$250,$P92))</f>
        <v/>
      </c>
      <c r="F92" s="80" t="str">
        <f aca="false">IF(B92="","",IFERROR(INDEX('NOTES CM2'!$M$10:$M$250,MATCH(B92,'NOTES CM2'!$B$10:$B$250,0)),""))</f>
        <v/>
      </c>
      <c r="G92" s="80" t="str">
        <f aca="false">IF(B92="","",IFERROR(INDEX('NOTES CM2'!$T$10:$T$250,MATCH(B92,'NOTES CM2'!$B$10:$B$250,0)),""))</f>
        <v/>
      </c>
      <c r="H92" s="80" t="str">
        <f aca="false">IF(B92="","",IFERROR(INDEX('NOTES CM2'!$AB$10:$AB$250,MATCH(B92,'NOTES CM2'!$B$10:$B$250,0)),""))</f>
        <v/>
      </c>
      <c r="I92" s="80" t="str">
        <f aca="false">IF(B92="","",IFERROR(INDEX('NOTES CM2'!$AJ$10:$AJ$250,MATCH(B92,'NOTES CM2'!$B$10:$B$250,0)),""))</f>
        <v/>
      </c>
      <c r="J92" s="82" t="str">
        <f aca="false">IF(COUNT(F92:I92)&lt;4,"",ROUND(SUM(F92:I92)/4,2))</f>
        <v/>
      </c>
      <c r="K92" s="83" t="n">
        <f aca="false">INDEX(PARAMETRES!$D$18:$D$23,MATCH("CM2",PARAMETRES!$B$18:$B$23,0))</f>
        <v>20</v>
      </c>
      <c r="L92" s="81" t="n">
        <f aca="false">INDEX(PARAMETRES!$C$18:$C$23,MATCH("CM2",PARAMETRES!$B$18:$B$23,0))</f>
        <v>10</v>
      </c>
      <c r="M92" s="45" t="str">
        <f aca="false">IF(B92="","",IF(E92="ABANDON","ABANDON",IF(E92="TRANSFERE","TRANSFERE",IF(J92="","",IF(J92&gt;=L92,"ADMIS","REDOUBLE")))))</f>
        <v/>
      </c>
      <c r="N92" s="73" t="str">
        <f aca="false">IF(OR(J92="",E92&lt;&gt;"PRESENT"),"",COUNTIFS($E$10:$E$250,"PRESENT",$J$10:$J$250,"&gt;"&amp;J92)+1)</f>
        <v/>
      </c>
      <c r="O92" s="74" t="str">
        <f aca="false">IF(M92="ADMIS",IF(J92/K92*10&gt;=8,"Très bien",IF(J92/K92*10&gt;=7,"Bien",IF(J92/K92*10&gt;=6,"Assez bien","Passable"))),IF(M92="REDOUBLE","Insuffisant",""))</f>
        <v/>
      </c>
      <c r="P92" s="51" t="str">
        <f aca="false">IFERROR(MATCH("CM2-83",'REGISTRE ELEVES'!$AH$10:$AH$250,0),"")</f>
        <v/>
      </c>
    </row>
    <row r="93" customFormat="false" ht="15" hidden="false" customHeight="false" outlineLevel="0" collapsed="false">
      <c r="A93" s="45" t="str">
        <f aca="false">IF(B93="","",84)</f>
        <v/>
      </c>
      <c r="B93" s="45" t="str">
        <f aca="false">IF($P93="","",INDEX('REGISTRE ELEVES'!$B$10:$B$250,$P93))</f>
        <v/>
      </c>
      <c r="C93" s="74" t="str">
        <f aca="false">IF($P93="","",INDEX('REGISTRE ELEVES'!$D$10:$D$250,$P93))</f>
        <v/>
      </c>
      <c r="D93" s="45" t="str">
        <f aca="false">IF($P93="","",INDEX('REGISTRE ELEVES'!$E$10:$E$250,$P93))</f>
        <v/>
      </c>
      <c r="E93" s="45" t="str">
        <f aca="false">IF($P93="","",INDEX('REGISTRE ELEVES'!$AE$10:$AE$250,$P93))</f>
        <v/>
      </c>
      <c r="F93" s="80" t="str">
        <f aca="false">IF(B93="","",IFERROR(INDEX('NOTES CM2'!$M$10:$M$250,MATCH(B93,'NOTES CM2'!$B$10:$B$250,0)),""))</f>
        <v/>
      </c>
      <c r="G93" s="80" t="str">
        <f aca="false">IF(B93="","",IFERROR(INDEX('NOTES CM2'!$T$10:$T$250,MATCH(B93,'NOTES CM2'!$B$10:$B$250,0)),""))</f>
        <v/>
      </c>
      <c r="H93" s="80" t="str">
        <f aca="false">IF(B93="","",IFERROR(INDEX('NOTES CM2'!$AB$10:$AB$250,MATCH(B93,'NOTES CM2'!$B$10:$B$250,0)),""))</f>
        <v/>
      </c>
      <c r="I93" s="80" t="str">
        <f aca="false">IF(B93="","",IFERROR(INDEX('NOTES CM2'!$AJ$10:$AJ$250,MATCH(B93,'NOTES CM2'!$B$10:$B$250,0)),""))</f>
        <v/>
      </c>
      <c r="J93" s="82" t="str">
        <f aca="false">IF(COUNT(F93:I93)&lt;4,"",ROUND(SUM(F93:I93)/4,2))</f>
        <v/>
      </c>
      <c r="K93" s="83" t="n">
        <f aca="false">INDEX(PARAMETRES!$D$18:$D$23,MATCH("CM2",PARAMETRES!$B$18:$B$23,0))</f>
        <v>20</v>
      </c>
      <c r="L93" s="81" t="n">
        <f aca="false">INDEX(PARAMETRES!$C$18:$C$23,MATCH("CM2",PARAMETRES!$B$18:$B$23,0))</f>
        <v>10</v>
      </c>
      <c r="M93" s="45" t="str">
        <f aca="false">IF(B93="","",IF(E93="ABANDON","ABANDON",IF(E93="TRANSFERE","TRANSFERE",IF(J93="","",IF(J93&gt;=L93,"ADMIS","REDOUBLE")))))</f>
        <v/>
      </c>
      <c r="N93" s="73" t="str">
        <f aca="false">IF(OR(J93="",E93&lt;&gt;"PRESENT"),"",COUNTIFS($E$10:$E$250,"PRESENT",$J$10:$J$250,"&gt;"&amp;J93)+1)</f>
        <v/>
      </c>
      <c r="O93" s="74" t="str">
        <f aca="false">IF(M93="ADMIS",IF(J93/K93*10&gt;=8,"Très bien",IF(J93/K93*10&gt;=7,"Bien",IF(J93/K93*10&gt;=6,"Assez bien","Passable"))),IF(M93="REDOUBLE","Insuffisant",""))</f>
        <v/>
      </c>
      <c r="P93" s="51" t="str">
        <f aca="false">IFERROR(MATCH("CM2-84",'REGISTRE ELEVES'!$AH$10:$AH$250,0),"")</f>
        <v/>
      </c>
    </row>
    <row r="94" customFormat="false" ht="15" hidden="false" customHeight="false" outlineLevel="0" collapsed="false">
      <c r="A94" s="45" t="str">
        <f aca="false">IF(B94="","",85)</f>
        <v/>
      </c>
      <c r="B94" s="45" t="str">
        <f aca="false">IF($P94="","",INDEX('REGISTRE ELEVES'!$B$10:$B$250,$P94))</f>
        <v/>
      </c>
      <c r="C94" s="74" t="str">
        <f aca="false">IF($P94="","",INDEX('REGISTRE ELEVES'!$D$10:$D$250,$P94))</f>
        <v/>
      </c>
      <c r="D94" s="45" t="str">
        <f aca="false">IF($P94="","",INDEX('REGISTRE ELEVES'!$E$10:$E$250,$P94))</f>
        <v/>
      </c>
      <c r="E94" s="45" t="str">
        <f aca="false">IF($P94="","",INDEX('REGISTRE ELEVES'!$AE$10:$AE$250,$P94))</f>
        <v/>
      </c>
      <c r="F94" s="80" t="str">
        <f aca="false">IF(B94="","",IFERROR(INDEX('NOTES CM2'!$M$10:$M$250,MATCH(B94,'NOTES CM2'!$B$10:$B$250,0)),""))</f>
        <v/>
      </c>
      <c r="G94" s="80" t="str">
        <f aca="false">IF(B94="","",IFERROR(INDEX('NOTES CM2'!$T$10:$T$250,MATCH(B94,'NOTES CM2'!$B$10:$B$250,0)),""))</f>
        <v/>
      </c>
      <c r="H94" s="80" t="str">
        <f aca="false">IF(B94="","",IFERROR(INDEX('NOTES CM2'!$AB$10:$AB$250,MATCH(B94,'NOTES CM2'!$B$10:$B$250,0)),""))</f>
        <v/>
      </c>
      <c r="I94" s="80" t="str">
        <f aca="false">IF(B94="","",IFERROR(INDEX('NOTES CM2'!$AJ$10:$AJ$250,MATCH(B94,'NOTES CM2'!$B$10:$B$250,0)),""))</f>
        <v/>
      </c>
      <c r="J94" s="82" t="str">
        <f aca="false">IF(COUNT(F94:I94)&lt;4,"",ROUND(SUM(F94:I94)/4,2))</f>
        <v/>
      </c>
      <c r="K94" s="83" t="n">
        <f aca="false">INDEX(PARAMETRES!$D$18:$D$23,MATCH("CM2",PARAMETRES!$B$18:$B$23,0))</f>
        <v>20</v>
      </c>
      <c r="L94" s="81" t="n">
        <f aca="false">INDEX(PARAMETRES!$C$18:$C$23,MATCH("CM2",PARAMETRES!$B$18:$B$23,0))</f>
        <v>10</v>
      </c>
      <c r="M94" s="45" t="str">
        <f aca="false">IF(B94="","",IF(E94="ABANDON","ABANDON",IF(E94="TRANSFERE","TRANSFERE",IF(J94="","",IF(J94&gt;=L94,"ADMIS","REDOUBLE")))))</f>
        <v/>
      </c>
      <c r="N94" s="73" t="str">
        <f aca="false">IF(OR(J94="",E94&lt;&gt;"PRESENT"),"",COUNTIFS($E$10:$E$250,"PRESENT",$J$10:$J$250,"&gt;"&amp;J94)+1)</f>
        <v/>
      </c>
      <c r="O94" s="74" t="str">
        <f aca="false">IF(M94="ADMIS",IF(J94/K94*10&gt;=8,"Très bien",IF(J94/K94*10&gt;=7,"Bien",IF(J94/K94*10&gt;=6,"Assez bien","Passable"))),IF(M94="REDOUBLE","Insuffisant",""))</f>
        <v/>
      </c>
      <c r="P94" s="51" t="str">
        <f aca="false">IFERROR(MATCH("CM2-85",'REGISTRE ELEVES'!$AH$10:$AH$250,0),"")</f>
        <v/>
      </c>
    </row>
    <row r="95" customFormat="false" ht="15" hidden="false" customHeight="false" outlineLevel="0" collapsed="false">
      <c r="A95" s="45" t="str">
        <f aca="false">IF(B95="","",86)</f>
        <v/>
      </c>
      <c r="B95" s="45" t="str">
        <f aca="false">IF($P95="","",INDEX('REGISTRE ELEVES'!$B$10:$B$250,$P95))</f>
        <v/>
      </c>
      <c r="C95" s="74" t="str">
        <f aca="false">IF($P95="","",INDEX('REGISTRE ELEVES'!$D$10:$D$250,$P95))</f>
        <v/>
      </c>
      <c r="D95" s="45" t="str">
        <f aca="false">IF($P95="","",INDEX('REGISTRE ELEVES'!$E$10:$E$250,$P95))</f>
        <v/>
      </c>
      <c r="E95" s="45" t="str">
        <f aca="false">IF($P95="","",INDEX('REGISTRE ELEVES'!$AE$10:$AE$250,$P95))</f>
        <v/>
      </c>
      <c r="F95" s="80" t="str">
        <f aca="false">IF(B95="","",IFERROR(INDEX('NOTES CM2'!$M$10:$M$250,MATCH(B95,'NOTES CM2'!$B$10:$B$250,0)),""))</f>
        <v/>
      </c>
      <c r="G95" s="80" t="str">
        <f aca="false">IF(B95="","",IFERROR(INDEX('NOTES CM2'!$T$10:$T$250,MATCH(B95,'NOTES CM2'!$B$10:$B$250,0)),""))</f>
        <v/>
      </c>
      <c r="H95" s="80" t="str">
        <f aca="false">IF(B95="","",IFERROR(INDEX('NOTES CM2'!$AB$10:$AB$250,MATCH(B95,'NOTES CM2'!$B$10:$B$250,0)),""))</f>
        <v/>
      </c>
      <c r="I95" s="80" t="str">
        <f aca="false">IF(B95="","",IFERROR(INDEX('NOTES CM2'!$AJ$10:$AJ$250,MATCH(B95,'NOTES CM2'!$B$10:$B$250,0)),""))</f>
        <v/>
      </c>
      <c r="J95" s="82" t="str">
        <f aca="false">IF(COUNT(F95:I95)&lt;4,"",ROUND(SUM(F95:I95)/4,2))</f>
        <v/>
      </c>
      <c r="K95" s="83" t="n">
        <f aca="false">INDEX(PARAMETRES!$D$18:$D$23,MATCH("CM2",PARAMETRES!$B$18:$B$23,0))</f>
        <v>20</v>
      </c>
      <c r="L95" s="81" t="n">
        <f aca="false">INDEX(PARAMETRES!$C$18:$C$23,MATCH("CM2",PARAMETRES!$B$18:$B$23,0))</f>
        <v>10</v>
      </c>
      <c r="M95" s="45" t="str">
        <f aca="false">IF(B95="","",IF(E95="ABANDON","ABANDON",IF(E95="TRANSFERE","TRANSFERE",IF(J95="","",IF(J95&gt;=L95,"ADMIS","REDOUBLE")))))</f>
        <v/>
      </c>
      <c r="N95" s="73" t="str">
        <f aca="false">IF(OR(J95="",E95&lt;&gt;"PRESENT"),"",COUNTIFS($E$10:$E$250,"PRESENT",$J$10:$J$250,"&gt;"&amp;J95)+1)</f>
        <v/>
      </c>
      <c r="O95" s="74" t="str">
        <f aca="false">IF(M95="ADMIS",IF(J95/K95*10&gt;=8,"Très bien",IF(J95/K95*10&gt;=7,"Bien",IF(J95/K95*10&gt;=6,"Assez bien","Passable"))),IF(M95="REDOUBLE","Insuffisant",""))</f>
        <v/>
      </c>
      <c r="P95" s="51" t="str">
        <f aca="false">IFERROR(MATCH("CM2-86",'REGISTRE ELEVES'!$AH$10:$AH$250,0),"")</f>
        <v/>
      </c>
    </row>
    <row r="96" customFormat="false" ht="15" hidden="false" customHeight="false" outlineLevel="0" collapsed="false">
      <c r="A96" s="45" t="str">
        <f aca="false">IF(B96="","",87)</f>
        <v/>
      </c>
      <c r="B96" s="45" t="str">
        <f aca="false">IF($P96="","",INDEX('REGISTRE ELEVES'!$B$10:$B$250,$P96))</f>
        <v/>
      </c>
      <c r="C96" s="74" t="str">
        <f aca="false">IF($P96="","",INDEX('REGISTRE ELEVES'!$D$10:$D$250,$P96))</f>
        <v/>
      </c>
      <c r="D96" s="45" t="str">
        <f aca="false">IF($P96="","",INDEX('REGISTRE ELEVES'!$E$10:$E$250,$P96))</f>
        <v/>
      </c>
      <c r="E96" s="45" t="str">
        <f aca="false">IF($P96="","",INDEX('REGISTRE ELEVES'!$AE$10:$AE$250,$P96))</f>
        <v/>
      </c>
      <c r="F96" s="80" t="str">
        <f aca="false">IF(B96="","",IFERROR(INDEX('NOTES CM2'!$M$10:$M$250,MATCH(B96,'NOTES CM2'!$B$10:$B$250,0)),""))</f>
        <v/>
      </c>
      <c r="G96" s="80" t="str">
        <f aca="false">IF(B96="","",IFERROR(INDEX('NOTES CM2'!$T$10:$T$250,MATCH(B96,'NOTES CM2'!$B$10:$B$250,0)),""))</f>
        <v/>
      </c>
      <c r="H96" s="80" t="str">
        <f aca="false">IF(B96="","",IFERROR(INDEX('NOTES CM2'!$AB$10:$AB$250,MATCH(B96,'NOTES CM2'!$B$10:$B$250,0)),""))</f>
        <v/>
      </c>
      <c r="I96" s="80" t="str">
        <f aca="false">IF(B96="","",IFERROR(INDEX('NOTES CM2'!$AJ$10:$AJ$250,MATCH(B96,'NOTES CM2'!$B$10:$B$250,0)),""))</f>
        <v/>
      </c>
      <c r="J96" s="82" t="str">
        <f aca="false">IF(COUNT(F96:I96)&lt;4,"",ROUND(SUM(F96:I96)/4,2))</f>
        <v/>
      </c>
      <c r="K96" s="83" t="n">
        <f aca="false">INDEX(PARAMETRES!$D$18:$D$23,MATCH("CM2",PARAMETRES!$B$18:$B$23,0))</f>
        <v>20</v>
      </c>
      <c r="L96" s="81" t="n">
        <f aca="false">INDEX(PARAMETRES!$C$18:$C$23,MATCH("CM2",PARAMETRES!$B$18:$B$23,0))</f>
        <v>10</v>
      </c>
      <c r="M96" s="45" t="str">
        <f aca="false">IF(B96="","",IF(E96="ABANDON","ABANDON",IF(E96="TRANSFERE","TRANSFERE",IF(J96="","",IF(J96&gt;=L96,"ADMIS","REDOUBLE")))))</f>
        <v/>
      </c>
      <c r="N96" s="73" t="str">
        <f aca="false">IF(OR(J96="",E96&lt;&gt;"PRESENT"),"",COUNTIFS($E$10:$E$250,"PRESENT",$J$10:$J$250,"&gt;"&amp;J96)+1)</f>
        <v/>
      </c>
      <c r="O96" s="74" t="str">
        <f aca="false">IF(M96="ADMIS",IF(J96/K96*10&gt;=8,"Très bien",IF(J96/K96*10&gt;=7,"Bien",IF(J96/K96*10&gt;=6,"Assez bien","Passable"))),IF(M96="REDOUBLE","Insuffisant",""))</f>
        <v/>
      </c>
      <c r="P96" s="51" t="str">
        <f aca="false">IFERROR(MATCH("CM2-87",'REGISTRE ELEVES'!$AH$10:$AH$250,0),"")</f>
        <v/>
      </c>
    </row>
    <row r="97" customFormat="false" ht="15" hidden="false" customHeight="false" outlineLevel="0" collapsed="false">
      <c r="A97" s="45" t="str">
        <f aca="false">IF(B97="","",88)</f>
        <v/>
      </c>
      <c r="B97" s="45" t="str">
        <f aca="false">IF($P97="","",INDEX('REGISTRE ELEVES'!$B$10:$B$250,$P97))</f>
        <v/>
      </c>
      <c r="C97" s="74" t="str">
        <f aca="false">IF($P97="","",INDEX('REGISTRE ELEVES'!$D$10:$D$250,$P97))</f>
        <v/>
      </c>
      <c r="D97" s="45" t="str">
        <f aca="false">IF($P97="","",INDEX('REGISTRE ELEVES'!$E$10:$E$250,$P97))</f>
        <v/>
      </c>
      <c r="E97" s="45" t="str">
        <f aca="false">IF($P97="","",INDEX('REGISTRE ELEVES'!$AE$10:$AE$250,$P97))</f>
        <v/>
      </c>
      <c r="F97" s="80" t="str">
        <f aca="false">IF(B97="","",IFERROR(INDEX('NOTES CM2'!$M$10:$M$250,MATCH(B97,'NOTES CM2'!$B$10:$B$250,0)),""))</f>
        <v/>
      </c>
      <c r="G97" s="80" t="str">
        <f aca="false">IF(B97="","",IFERROR(INDEX('NOTES CM2'!$T$10:$T$250,MATCH(B97,'NOTES CM2'!$B$10:$B$250,0)),""))</f>
        <v/>
      </c>
      <c r="H97" s="80" t="str">
        <f aca="false">IF(B97="","",IFERROR(INDEX('NOTES CM2'!$AB$10:$AB$250,MATCH(B97,'NOTES CM2'!$B$10:$B$250,0)),""))</f>
        <v/>
      </c>
      <c r="I97" s="80" t="str">
        <f aca="false">IF(B97="","",IFERROR(INDEX('NOTES CM2'!$AJ$10:$AJ$250,MATCH(B97,'NOTES CM2'!$B$10:$B$250,0)),""))</f>
        <v/>
      </c>
      <c r="J97" s="82" t="str">
        <f aca="false">IF(COUNT(F97:I97)&lt;4,"",ROUND(SUM(F97:I97)/4,2))</f>
        <v/>
      </c>
      <c r="K97" s="83" t="n">
        <f aca="false">INDEX(PARAMETRES!$D$18:$D$23,MATCH("CM2",PARAMETRES!$B$18:$B$23,0))</f>
        <v>20</v>
      </c>
      <c r="L97" s="81" t="n">
        <f aca="false">INDEX(PARAMETRES!$C$18:$C$23,MATCH("CM2",PARAMETRES!$B$18:$B$23,0))</f>
        <v>10</v>
      </c>
      <c r="M97" s="45" t="str">
        <f aca="false">IF(B97="","",IF(E97="ABANDON","ABANDON",IF(E97="TRANSFERE","TRANSFERE",IF(J97="","",IF(J97&gt;=L97,"ADMIS","REDOUBLE")))))</f>
        <v/>
      </c>
      <c r="N97" s="73" t="str">
        <f aca="false">IF(OR(J97="",E97&lt;&gt;"PRESENT"),"",COUNTIFS($E$10:$E$250,"PRESENT",$J$10:$J$250,"&gt;"&amp;J97)+1)</f>
        <v/>
      </c>
      <c r="O97" s="74" t="str">
        <f aca="false">IF(M97="ADMIS",IF(J97/K97*10&gt;=8,"Très bien",IF(J97/K97*10&gt;=7,"Bien",IF(J97/K97*10&gt;=6,"Assez bien","Passable"))),IF(M97="REDOUBLE","Insuffisant",""))</f>
        <v/>
      </c>
      <c r="P97" s="51" t="str">
        <f aca="false">IFERROR(MATCH("CM2-88",'REGISTRE ELEVES'!$AH$10:$AH$250,0),"")</f>
        <v/>
      </c>
    </row>
    <row r="98" customFormat="false" ht="15" hidden="false" customHeight="false" outlineLevel="0" collapsed="false">
      <c r="A98" s="45" t="str">
        <f aca="false">IF(B98="","",89)</f>
        <v/>
      </c>
      <c r="B98" s="45" t="str">
        <f aca="false">IF($P98="","",INDEX('REGISTRE ELEVES'!$B$10:$B$250,$P98))</f>
        <v/>
      </c>
      <c r="C98" s="74" t="str">
        <f aca="false">IF($P98="","",INDEX('REGISTRE ELEVES'!$D$10:$D$250,$P98))</f>
        <v/>
      </c>
      <c r="D98" s="45" t="str">
        <f aca="false">IF($P98="","",INDEX('REGISTRE ELEVES'!$E$10:$E$250,$P98))</f>
        <v/>
      </c>
      <c r="E98" s="45" t="str">
        <f aca="false">IF($P98="","",INDEX('REGISTRE ELEVES'!$AE$10:$AE$250,$P98))</f>
        <v/>
      </c>
      <c r="F98" s="80" t="str">
        <f aca="false">IF(B98="","",IFERROR(INDEX('NOTES CM2'!$M$10:$M$250,MATCH(B98,'NOTES CM2'!$B$10:$B$250,0)),""))</f>
        <v/>
      </c>
      <c r="G98" s="80" t="str">
        <f aca="false">IF(B98="","",IFERROR(INDEX('NOTES CM2'!$T$10:$T$250,MATCH(B98,'NOTES CM2'!$B$10:$B$250,0)),""))</f>
        <v/>
      </c>
      <c r="H98" s="80" t="str">
        <f aca="false">IF(B98="","",IFERROR(INDEX('NOTES CM2'!$AB$10:$AB$250,MATCH(B98,'NOTES CM2'!$B$10:$B$250,0)),""))</f>
        <v/>
      </c>
      <c r="I98" s="80" t="str">
        <f aca="false">IF(B98="","",IFERROR(INDEX('NOTES CM2'!$AJ$10:$AJ$250,MATCH(B98,'NOTES CM2'!$B$10:$B$250,0)),""))</f>
        <v/>
      </c>
      <c r="J98" s="82" t="str">
        <f aca="false">IF(COUNT(F98:I98)&lt;4,"",ROUND(SUM(F98:I98)/4,2))</f>
        <v/>
      </c>
      <c r="K98" s="83" t="n">
        <f aca="false">INDEX(PARAMETRES!$D$18:$D$23,MATCH("CM2",PARAMETRES!$B$18:$B$23,0))</f>
        <v>20</v>
      </c>
      <c r="L98" s="81" t="n">
        <f aca="false">INDEX(PARAMETRES!$C$18:$C$23,MATCH("CM2",PARAMETRES!$B$18:$B$23,0))</f>
        <v>10</v>
      </c>
      <c r="M98" s="45" t="str">
        <f aca="false">IF(B98="","",IF(E98="ABANDON","ABANDON",IF(E98="TRANSFERE","TRANSFERE",IF(J98="","",IF(J98&gt;=L98,"ADMIS","REDOUBLE")))))</f>
        <v/>
      </c>
      <c r="N98" s="73" t="str">
        <f aca="false">IF(OR(J98="",E98&lt;&gt;"PRESENT"),"",COUNTIFS($E$10:$E$250,"PRESENT",$J$10:$J$250,"&gt;"&amp;J98)+1)</f>
        <v/>
      </c>
      <c r="O98" s="74" t="str">
        <f aca="false">IF(M98="ADMIS",IF(J98/K98*10&gt;=8,"Très bien",IF(J98/K98*10&gt;=7,"Bien",IF(J98/K98*10&gt;=6,"Assez bien","Passable"))),IF(M98="REDOUBLE","Insuffisant",""))</f>
        <v/>
      </c>
      <c r="P98" s="51" t="str">
        <f aca="false">IFERROR(MATCH("CM2-89",'REGISTRE ELEVES'!$AH$10:$AH$250,0),"")</f>
        <v/>
      </c>
    </row>
    <row r="99" customFormat="false" ht="15" hidden="false" customHeight="false" outlineLevel="0" collapsed="false">
      <c r="A99" s="45" t="str">
        <f aca="false">IF(B99="","",90)</f>
        <v/>
      </c>
      <c r="B99" s="45" t="str">
        <f aca="false">IF($P99="","",INDEX('REGISTRE ELEVES'!$B$10:$B$250,$P99))</f>
        <v/>
      </c>
      <c r="C99" s="74" t="str">
        <f aca="false">IF($P99="","",INDEX('REGISTRE ELEVES'!$D$10:$D$250,$P99))</f>
        <v/>
      </c>
      <c r="D99" s="45" t="str">
        <f aca="false">IF($P99="","",INDEX('REGISTRE ELEVES'!$E$10:$E$250,$P99))</f>
        <v/>
      </c>
      <c r="E99" s="45" t="str">
        <f aca="false">IF($P99="","",INDEX('REGISTRE ELEVES'!$AE$10:$AE$250,$P99))</f>
        <v/>
      </c>
      <c r="F99" s="80" t="str">
        <f aca="false">IF(B99="","",IFERROR(INDEX('NOTES CM2'!$M$10:$M$250,MATCH(B99,'NOTES CM2'!$B$10:$B$250,0)),""))</f>
        <v/>
      </c>
      <c r="G99" s="80" t="str">
        <f aca="false">IF(B99="","",IFERROR(INDEX('NOTES CM2'!$T$10:$T$250,MATCH(B99,'NOTES CM2'!$B$10:$B$250,0)),""))</f>
        <v/>
      </c>
      <c r="H99" s="80" t="str">
        <f aca="false">IF(B99="","",IFERROR(INDEX('NOTES CM2'!$AB$10:$AB$250,MATCH(B99,'NOTES CM2'!$B$10:$B$250,0)),""))</f>
        <v/>
      </c>
      <c r="I99" s="80" t="str">
        <f aca="false">IF(B99="","",IFERROR(INDEX('NOTES CM2'!$AJ$10:$AJ$250,MATCH(B99,'NOTES CM2'!$B$10:$B$250,0)),""))</f>
        <v/>
      </c>
      <c r="J99" s="82" t="str">
        <f aca="false">IF(COUNT(F99:I99)&lt;4,"",ROUND(SUM(F99:I99)/4,2))</f>
        <v/>
      </c>
      <c r="K99" s="83" t="n">
        <f aca="false">INDEX(PARAMETRES!$D$18:$D$23,MATCH("CM2",PARAMETRES!$B$18:$B$23,0))</f>
        <v>20</v>
      </c>
      <c r="L99" s="81" t="n">
        <f aca="false">INDEX(PARAMETRES!$C$18:$C$23,MATCH("CM2",PARAMETRES!$B$18:$B$23,0))</f>
        <v>10</v>
      </c>
      <c r="M99" s="45" t="str">
        <f aca="false">IF(B99="","",IF(E99="ABANDON","ABANDON",IF(E99="TRANSFERE","TRANSFERE",IF(J99="","",IF(J99&gt;=L99,"ADMIS","REDOUBLE")))))</f>
        <v/>
      </c>
      <c r="N99" s="73" t="str">
        <f aca="false">IF(OR(J99="",E99&lt;&gt;"PRESENT"),"",COUNTIFS($E$10:$E$250,"PRESENT",$J$10:$J$250,"&gt;"&amp;J99)+1)</f>
        <v/>
      </c>
      <c r="O99" s="74" t="str">
        <f aca="false">IF(M99="ADMIS",IF(J99/K99*10&gt;=8,"Très bien",IF(J99/K99*10&gt;=7,"Bien",IF(J99/K99*10&gt;=6,"Assez bien","Passable"))),IF(M99="REDOUBLE","Insuffisant",""))</f>
        <v/>
      </c>
      <c r="P99" s="51" t="str">
        <f aca="false">IFERROR(MATCH("CM2-90",'REGISTRE ELEVES'!$AH$10:$AH$250,0),"")</f>
        <v/>
      </c>
    </row>
    <row r="100" customFormat="false" ht="15" hidden="false" customHeight="false" outlineLevel="0" collapsed="false">
      <c r="A100" s="45" t="str">
        <f aca="false">IF(B100="","",91)</f>
        <v/>
      </c>
      <c r="B100" s="45" t="str">
        <f aca="false">IF($P100="","",INDEX('REGISTRE ELEVES'!$B$10:$B$250,$P100))</f>
        <v/>
      </c>
      <c r="C100" s="74" t="str">
        <f aca="false">IF($P100="","",INDEX('REGISTRE ELEVES'!$D$10:$D$250,$P100))</f>
        <v/>
      </c>
      <c r="D100" s="45" t="str">
        <f aca="false">IF($P100="","",INDEX('REGISTRE ELEVES'!$E$10:$E$250,$P100))</f>
        <v/>
      </c>
      <c r="E100" s="45" t="str">
        <f aca="false">IF($P100="","",INDEX('REGISTRE ELEVES'!$AE$10:$AE$250,$P100))</f>
        <v/>
      </c>
      <c r="F100" s="80" t="str">
        <f aca="false">IF(B100="","",IFERROR(INDEX('NOTES CM2'!$M$10:$M$250,MATCH(B100,'NOTES CM2'!$B$10:$B$250,0)),""))</f>
        <v/>
      </c>
      <c r="G100" s="80" t="str">
        <f aca="false">IF(B100="","",IFERROR(INDEX('NOTES CM2'!$T$10:$T$250,MATCH(B100,'NOTES CM2'!$B$10:$B$250,0)),""))</f>
        <v/>
      </c>
      <c r="H100" s="80" t="str">
        <f aca="false">IF(B100="","",IFERROR(INDEX('NOTES CM2'!$AB$10:$AB$250,MATCH(B100,'NOTES CM2'!$B$10:$B$250,0)),""))</f>
        <v/>
      </c>
      <c r="I100" s="80" t="str">
        <f aca="false">IF(B100="","",IFERROR(INDEX('NOTES CM2'!$AJ$10:$AJ$250,MATCH(B100,'NOTES CM2'!$B$10:$B$250,0)),""))</f>
        <v/>
      </c>
      <c r="J100" s="82" t="str">
        <f aca="false">IF(COUNT(F100:I100)&lt;4,"",ROUND(SUM(F100:I100)/4,2))</f>
        <v/>
      </c>
      <c r="K100" s="83" t="n">
        <f aca="false">INDEX(PARAMETRES!$D$18:$D$23,MATCH("CM2",PARAMETRES!$B$18:$B$23,0))</f>
        <v>20</v>
      </c>
      <c r="L100" s="81" t="n">
        <f aca="false">INDEX(PARAMETRES!$C$18:$C$23,MATCH("CM2",PARAMETRES!$B$18:$B$23,0))</f>
        <v>10</v>
      </c>
      <c r="M100" s="45" t="str">
        <f aca="false">IF(B100="","",IF(E100="ABANDON","ABANDON",IF(E100="TRANSFERE","TRANSFERE",IF(J100="","",IF(J100&gt;=L100,"ADMIS","REDOUBLE")))))</f>
        <v/>
      </c>
      <c r="N100" s="73" t="str">
        <f aca="false">IF(OR(J100="",E100&lt;&gt;"PRESENT"),"",COUNTIFS($E$10:$E$250,"PRESENT",$J$10:$J$250,"&gt;"&amp;J100)+1)</f>
        <v/>
      </c>
      <c r="O100" s="74" t="str">
        <f aca="false">IF(M100="ADMIS",IF(J100/K100*10&gt;=8,"Très bien",IF(J100/K100*10&gt;=7,"Bien",IF(J100/K100*10&gt;=6,"Assez bien","Passable"))),IF(M100="REDOUBLE","Insuffisant",""))</f>
        <v/>
      </c>
      <c r="P100" s="51" t="str">
        <f aca="false">IFERROR(MATCH("CM2-91",'REGISTRE ELEVES'!$AH$10:$AH$250,0),"")</f>
        <v/>
      </c>
    </row>
    <row r="101" customFormat="false" ht="15" hidden="false" customHeight="false" outlineLevel="0" collapsed="false">
      <c r="A101" s="45" t="str">
        <f aca="false">IF(B101="","",92)</f>
        <v/>
      </c>
      <c r="B101" s="45" t="str">
        <f aca="false">IF($P101="","",INDEX('REGISTRE ELEVES'!$B$10:$B$250,$P101))</f>
        <v/>
      </c>
      <c r="C101" s="74" t="str">
        <f aca="false">IF($P101="","",INDEX('REGISTRE ELEVES'!$D$10:$D$250,$P101))</f>
        <v/>
      </c>
      <c r="D101" s="45" t="str">
        <f aca="false">IF($P101="","",INDEX('REGISTRE ELEVES'!$E$10:$E$250,$P101))</f>
        <v/>
      </c>
      <c r="E101" s="45" t="str">
        <f aca="false">IF($P101="","",INDEX('REGISTRE ELEVES'!$AE$10:$AE$250,$P101))</f>
        <v/>
      </c>
      <c r="F101" s="80" t="str">
        <f aca="false">IF(B101="","",IFERROR(INDEX('NOTES CM2'!$M$10:$M$250,MATCH(B101,'NOTES CM2'!$B$10:$B$250,0)),""))</f>
        <v/>
      </c>
      <c r="G101" s="80" t="str">
        <f aca="false">IF(B101="","",IFERROR(INDEX('NOTES CM2'!$T$10:$T$250,MATCH(B101,'NOTES CM2'!$B$10:$B$250,0)),""))</f>
        <v/>
      </c>
      <c r="H101" s="80" t="str">
        <f aca="false">IF(B101="","",IFERROR(INDEX('NOTES CM2'!$AB$10:$AB$250,MATCH(B101,'NOTES CM2'!$B$10:$B$250,0)),""))</f>
        <v/>
      </c>
      <c r="I101" s="80" t="str">
        <f aca="false">IF(B101="","",IFERROR(INDEX('NOTES CM2'!$AJ$10:$AJ$250,MATCH(B101,'NOTES CM2'!$B$10:$B$250,0)),""))</f>
        <v/>
      </c>
      <c r="J101" s="82" t="str">
        <f aca="false">IF(COUNT(F101:I101)&lt;4,"",ROUND(SUM(F101:I101)/4,2))</f>
        <v/>
      </c>
      <c r="K101" s="83" t="n">
        <f aca="false">INDEX(PARAMETRES!$D$18:$D$23,MATCH("CM2",PARAMETRES!$B$18:$B$23,0))</f>
        <v>20</v>
      </c>
      <c r="L101" s="81" t="n">
        <f aca="false">INDEX(PARAMETRES!$C$18:$C$23,MATCH("CM2",PARAMETRES!$B$18:$B$23,0))</f>
        <v>10</v>
      </c>
      <c r="M101" s="45" t="str">
        <f aca="false">IF(B101="","",IF(E101="ABANDON","ABANDON",IF(E101="TRANSFERE","TRANSFERE",IF(J101="","",IF(J101&gt;=L101,"ADMIS","REDOUBLE")))))</f>
        <v/>
      </c>
      <c r="N101" s="73" t="str">
        <f aca="false">IF(OR(J101="",E101&lt;&gt;"PRESENT"),"",COUNTIFS($E$10:$E$250,"PRESENT",$J$10:$J$250,"&gt;"&amp;J101)+1)</f>
        <v/>
      </c>
      <c r="O101" s="74" t="str">
        <f aca="false">IF(M101="ADMIS",IF(J101/K101*10&gt;=8,"Très bien",IF(J101/K101*10&gt;=7,"Bien",IF(J101/K101*10&gt;=6,"Assez bien","Passable"))),IF(M101="REDOUBLE","Insuffisant",""))</f>
        <v/>
      </c>
      <c r="P101" s="51" t="str">
        <f aca="false">IFERROR(MATCH("CM2-92",'REGISTRE ELEVES'!$AH$10:$AH$250,0),"")</f>
        <v/>
      </c>
    </row>
    <row r="102" customFormat="false" ht="15" hidden="false" customHeight="false" outlineLevel="0" collapsed="false">
      <c r="A102" s="45" t="str">
        <f aca="false">IF(B102="","",93)</f>
        <v/>
      </c>
      <c r="B102" s="45" t="str">
        <f aca="false">IF($P102="","",INDEX('REGISTRE ELEVES'!$B$10:$B$250,$P102))</f>
        <v/>
      </c>
      <c r="C102" s="74" t="str">
        <f aca="false">IF($P102="","",INDEX('REGISTRE ELEVES'!$D$10:$D$250,$P102))</f>
        <v/>
      </c>
      <c r="D102" s="45" t="str">
        <f aca="false">IF($P102="","",INDEX('REGISTRE ELEVES'!$E$10:$E$250,$P102))</f>
        <v/>
      </c>
      <c r="E102" s="45" t="str">
        <f aca="false">IF($P102="","",INDEX('REGISTRE ELEVES'!$AE$10:$AE$250,$P102))</f>
        <v/>
      </c>
      <c r="F102" s="80" t="str">
        <f aca="false">IF(B102="","",IFERROR(INDEX('NOTES CM2'!$M$10:$M$250,MATCH(B102,'NOTES CM2'!$B$10:$B$250,0)),""))</f>
        <v/>
      </c>
      <c r="G102" s="80" t="str">
        <f aca="false">IF(B102="","",IFERROR(INDEX('NOTES CM2'!$T$10:$T$250,MATCH(B102,'NOTES CM2'!$B$10:$B$250,0)),""))</f>
        <v/>
      </c>
      <c r="H102" s="80" t="str">
        <f aca="false">IF(B102="","",IFERROR(INDEX('NOTES CM2'!$AB$10:$AB$250,MATCH(B102,'NOTES CM2'!$B$10:$B$250,0)),""))</f>
        <v/>
      </c>
      <c r="I102" s="80" t="str">
        <f aca="false">IF(B102="","",IFERROR(INDEX('NOTES CM2'!$AJ$10:$AJ$250,MATCH(B102,'NOTES CM2'!$B$10:$B$250,0)),""))</f>
        <v/>
      </c>
      <c r="J102" s="82" t="str">
        <f aca="false">IF(COUNT(F102:I102)&lt;4,"",ROUND(SUM(F102:I102)/4,2))</f>
        <v/>
      </c>
      <c r="K102" s="83" t="n">
        <f aca="false">INDEX(PARAMETRES!$D$18:$D$23,MATCH("CM2",PARAMETRES!$B$18:$B$23,0))</f>
        <v>20</v>
      </c>
      <c r="L102" s="81" t="n">
        <f aca="false">INDEX(PARAMETRES!$C$18:$C$23,MATCH("CM2",PARAMETRES!$B$18:$B$23,0))</f>
        <v>10</v>
      </c>
      <c r="M102" s="45" t="str">
        <f aca="false">IF(B102="","",IF(E102="ABANDON","ABANDON",IF(E102="TRANSFERE","TRANSFERE",IF(J102="","",IF(J102&gt;=L102,"ADMIS","REDOUBLE")))))</f>
        <v/>
      </c>
      <c r="N102" s="73" t="str">
        <f aca="false">IF(OR(J102="",E102&lt;&gt;"PRESENT"),"",COUNTIFS($E$10:$E$250,"PRESENT",$J$10:$J$250,"&gt;"&amp;J102)+1)</f>
        <v/>
      </c>
      <c r="O102" s="74" t="str">
        <f aca="false">IF(M102="ADMIS",IF(J102/K102*10&gt;=8,"Très bien",IF(J102/K102*10&gt;=7,"Bien",IF(J102/K102*10&gt;=6,"Assez bien","Passable"))),IF(M102="REDOUBLE","Insuffisant",""))</f>
        <v/>
      </c>
      <c r="P102" s="51" t="str">
        <f aca="false">IFERROR(MATCH("CM2-93",'REGISTRE ELEVES'!$AH$10:$AH$250,0),"")</f>
        <v/>
      </c>
    </row>
    <row r="103" customFormat="false" ht="15" hidden="false" customHeight="false" outlineLevel="0" collapsed="false">
      <c r="A103" s="45" t="str">
        <f aca="false">IF(B103="","",94)</f>
        <v/>
      </c>
      <c r="B103" s="45" t="str">
        <f aca="false">IF($P103="","",INDEX('REGISTRE ELEVES'!$B$10:$B$250,$P103))</f>
        <v/>
      </c>
      <c r="C103" s="74" t="str">
        <f aca="false">IF($P103="","",INDEX('REGISTRE ELEVES'!$D$10:$D$250,$P103))</f>
        <v/>
      </c>
      <c r="D103" s="45" t="str">
        <f aca="false">IF($P103="","",INDEX('REGISTRE ELEVES'!$E$10:$E$250,$P103))</f>
        <v/>
      </c>
      <c r="E103" s="45" t="str">
        <f aca="false">IF($P103="","",INDEX('REGISTRE ELEVES'!$AE$10:$AE$250,$P103))</f>
        <v/>
      </c>
      <c r="F103" s="80" t="str">
        <f aca="false">IF(B103="","",IFERROR(INDEX('NOTES CM2'!$M$10:$M$250,MATCH(B103,'NOTES CM2'!$B$10:$B$250,0)),""))</f>
        <v/>
      </c>
      <c r="G103" s="80" t="str">
        <f aca="false">IF(B103="","",IFERROR(INDEX('NOTES CM2'!$T$10:$T$250,MATCH(B103,'NOTES CM2'!$B$10:$B$250,0)),""))</f>
        <v/>
      </c>
      <c r="H103" s="80" t="str">
        <f aca="false">IF(B103="","",IFERROR(INDEX('NOTES CM2'!$AB$10:$AB$250,MATCH(B103,'NOTES CM2'!$B$10:$B$250,0)),""))</f>
        <v/>
      </c>
      <c r="I103" s="80" t="str">
        <f aca="false">IF(B103="","",IFERROR(INDEX('NOTES CM2'!$AJ$10:$AJ$250,MATCH(B103,'NOTES CM2'!$B$10:$B$250,0)),""))</f>
        <v/>
      </c>
      <c r="J103" s="82" t="str">
        <f aca="false">IF(COUNT(F103:I103)&lt;4,"",ROUND(SUM(F103:I103)/4,2))</f>
        <v/>
      </c>
      <c r="K103" s="83" t="n">
        <f aca="false">INDEX(PARAMETRES!$D$18:$D$23,MATCH("CM2",PARAMETRES!$B$18:$B$23,0))</f>
        <v>20</v>
      </c>
      <c r="L103" s="81" t="n">
        <f aca="false">INDEX(PARAMETRES!$C$18:$C$23,MATCH("CM2",PARAMETRES!$B$18:$B$23,0))</f>
        <v>10</v>
      </c>
      <c r="M103" s="45" t="str">
        <f aca="false">IF(B103="","",IF(E103="ABANDON","ABANDON",IF(E103="TRANSFERE","TRANSFERE",IF(J103="","",IF(J103&gt;=L103,"ADMIS","REDOUBLE")))))</f>
        <v/>
      </c>
      <c r="N103" s="73" t="str">
        <f aca="false">IF(OR(J103="",E103&lt;&gt;"PRESENT"),"",COUNTIFS($E$10:$E$250,"PRESENT",$J$10:$J$250,"&gt;"&amp;J103)+1)</f>
        <v/>
      </c>
      <c r="O103" s="74" t="str">
        <f aca="false">IF(M103="ADMIS",IF(J103/K103*10&gt;=8,"Très bien",IF(J103/K103*10&gt;=7,"Bien",IF(J103/K103*10&gt;=6,"Assez bien","Passable"))),IF(M103="REDOUBLE","Insuffisant",""))</f>
        <v/>
      </c>
      <c r="P103" s="51" t="str">
        <f aca="false">IFERROR(MATCH("CM2-94",'REGISTRE ELEVES'!$AH$10:$AH$250,0),"")</f>
        <v/>
      </c>
    </row>
    <row r="104" customFormat="false" ht="15" hidden="false" customHeight="false" outlineLevel="0" collapsed="false">
      <c r="A104" s="45" t="str">
        <f aca="false">IF(B104="","",95)</f>
        <v/>
      </c>
      <c r="B104" s="45" t="str">
        <f aca="false">IF($P104="","",INDEX('REGISTRE ELEVES'!$B$10:$B$250,$P104))</f>
        <v/>
      </c>
      <c r="C104" s="74" t="str">
        <f aca="false">IF($P104="","",INDEX('REGISTRE ELEVES'!$D$10:$D$250,$P104))</f>
        <v/>
      </c>
      <c r="D104" s="45" t="str">
        <f aca="false">IF($P104="","",INDEX('REGISTRE ELEVES'!$E$10:$E$250,$P104))</f>
        <v/>
      </c>
      <c r="E104" s="45" t="str">
        <f aca="false">IF($P104="","",INDEX('REGISTRE ELEVES'!$AE$10:$AE$250,$P104))</f>
        <v/>
      </c>
      <c r="F104" s="80" t="str">
        <f aca="false">IF(B104="","",IFERROR(INDEX('NOTES CM2'!$M$10:$M$250,MATCH(B104,'NOTES CM2'!$B$10:$B$250,0)),""))</f>
        <v/>
      </c>
      <c r="G104" s="80" t="str">
        <f aca="false">IF(B104="","",IFERROR(INDEX('NOTES CM2'!$T$10:$T$250,MATCH(B104,'NOTES CM2'!$B$10:$B$250,0)),""))</f>
        <v/>
      </c>
      <c r="H104" s="80" t="str">
        <f aca="false">IF(B104="","",IFERROR(INDEX('NOTES CM2'!$AB$10:$AB$250,MATCH(B104,'NOTES CM2'!$B$10:$B$250,0)),""))</f>
        <v/>
      </c>
      <c r="I104" s="80" t="str">
        <f aca="false">IF(B104="","",IFERROR(INDEX('NOTES CM2'!$AJ$10:$AJ$250,MATCH(B104,'NOTES CM2'!$B$10:$B$250,0)),""))</f>
        <v/>
      </c>
      <c r="J104" s="82" t="str">
        <f aca="false">IF(COUNT(F104:I104)&lt;4,"",ROUND(SUM(F104:I104)/4,2))</f>
        <v/>
      </c>
      <c r="K104" s="83" t="n">
        <f aca="false">INDEX(PARAMETRES!$D$18:$D$23,MATCH("CM2",PARAMETRES!$B$18:$B$23,0))</f>
        <v>20</v>
      </c>
      <c r="L104" s="81" t="n">
        <f aca="false">INDEX(PARAMETRES!$C$18:$C$23,MATCH("CM2",PARAMETRES!$B$18:$B$23,0))</f>
        <v>10</v>
      </c>
      <c r="M104" s="45" t="str">
        <f aca="false">IF(B104="","",IF(E104="ABANDON","ABANDON",IF(E104="TRANSFERE","TRANSFERE",IF(J104="","",IF(J104&gt;=L104,"ADMIS","REDOUBLE")))))</f>
        <v/>
      </c>
      <c r="N104" s="73" t="str">
        <f aca="false">IF(OR(J104="",E104&lt;&gt;"PRESENT"),"",COUNTIFS($E$10:$E$250,"PRESENT",$J$10:$J$250,"&gt;"&amp;J104)+1)</f>
        <v/>
      </c>
      <c r="O104" s="74" t="str">
        <f aca="false">IF(M104="ADMIS",IF(J104/K104*10&gt;=8,"Très bien",IF(J104/K104*10&gt;=7,"Bien",IF(J104/K104*10&gt;=6,"Assez bien","Passable"))),IF(M104="REDOUBLE","Insuffisant",""))</f>
        <v/>
      </c>
      <c r="P104" s="51" t="str">
        <f aca="false">IFERROR(MATCH("CM2-95",'REGISTRE ELEVES'!$AH$10:$AH$250,0),"")</f>
        <v/>
      </c>
    </row>
    <row r="105" customFormat="false" ht="15" hidden="false" customHeight="false" outlineLevel="0" collapsed="false">
      <c r="A105" s="45" t="str">
        <f aca="false">IF(B105="","",96)</f>
        <v/>
      </c>
      <c r="B105" s="45" t="str">
        <f aca="false">IF($P105="","",INDEX('REGISTRE ELEVES'!$B$10:$B$250,$P105))</f>
        <v/>
      </c>
      <c r="C105" s="74" t="str">
        <f aca="false">IF($P105="","",INDEX('REGISTRE ELEVES'!$D$10:$D$250,$P105))</f>
        <v/>
      </c>
      <c r="D105" s="45" t="str">
        <f aca="false">IF($P105="","",INDEX('REGISTRE ELEVES'!$E$10:$E$250,$P105))</f>
        <v/>
      </c>
      <c r="E105" s="45" t="str">
        <f aca="false">IF($P105="","",INDEX('REGISTRE ELEVES'!$AE$10:$AE$250,$P105))</f>
        <v/>
      </c>
      <c r="F105" s="80" t="str">
        <f aca="false">IF(B105="","",IFERROR(INDEX('NOTES CM2'!$M$10:$M$250,MATCH(B105,'NOTES CM2'!$B$10:$B$250,0)),""))</f>
        <v/>
      </c>
      <c r="G105" s="80" t="str">
        <f aca="false">IF(B105="","",IFERROR(INDEX('NOTES CM2'!$T$10:$T$250,MATCH(B105,'NOTES CM2'!$B$10:$B$250,0)),""))</f>
        <v/>
      </c>
      <c r="H105" s="80" t="str">
        <f aca="false">IF(B105="","",IFERROR(INDEX('NOTES CM2'!$AB$10:$AB$250,MATCH(B105,'NOTES CM2'!$B$10:$B$250,0)),""))</f>
        <v/>
      </c>
      <c r="I105" s="80" t="str">
        <f aca="false">IF(B105="","",IFERROR(INDEX('NOTES CM2'!$AJ$10:$AJ$250,MATCH(B105,'NOTES CM2'!$B$10:$B$250,0)),""))</f>
        <v/>
      </c>
      <c r="J105" s="82" t="str">
        <f aca="false">IF(COUNT(F105:I105)&lt;4,"",ROUND(SUM(F105:I105)/4,2))</f>
        <v/>
      </c>
      <c r="K105" s="83" t="n">
        <f aca="false">INDEX(PARAMETRES!$D$18:$D$23,MATCH("CM2",PARAMETRES!$B$18:$B$23,0))</f>
        <v>20</v>
      </c>
      <c r="L105" s="81" t="n">
        <f aca="false">INDEX(PARAMETRES!$C$18:$C$23,MATCH("CM2",PARAMETRES!$B$18:$B$23,0))</f>
        <v>10</v>
      </c>
      <c r="M105" s="45" t="str">
        <f aca="false">IF(B105="","",IF(E105="ABANDON","ABANDON",IF(E105="TRANSFERE","TRANSFERE",IF(J105="","",IF(J105&gt;=L105,"ADMIS","REDOUBLE")))))</f>
        <v/>
      </c>
      <c r="N105" s="73" t="str">
        <f aca="false">IF(OR(J105="",E105&lt;&gt;"PRESENT"),"",COUNTIFS($E$10:$E$250,"PRESENT",$J$10:$J$250,"&gt;"&amp;J105)+1)</f>
        <v/>
      </c>
      <c r="O105" s="74" t="str">
        <f aca="false">IF(M105="ADMIS",IF(J105/K105*10&gt;=8,"Très bien",IF(J105/K105*10&gt;=7,"Bien",IF(J105/K105*10&gt;=6,"Assez bien","Passable"))),IF(M105="REDOUBLE","Insuffisant",""))</f>
        <v/>
      </c>
      <c r="P105" s="51" t="str">
        <f aca="false">IFERROR(MATCH("CM2-96",'REGISTRE ELEVES'!$AH$10:$AH$250,0),"")</f>
        <v/>
      </c>
    </row>
    <row r="106" customFormat="false" ht="15" hidden="false" customHeight="false" outlineLevel="0" collapsed="false">
      <c r="A106" s="45" t="str">
        <f aca="false">IF(B106="","",97)</f>
        <v/>
      </c>
      <c r="B106" s="45" t="str">
        <f aca="false">IF($P106="","",INDEX('REGISTRE ELEVES'!$B$10:$B$250,$P106))</f>
        <v/>
      </c>
      <c r="C106" s="74" t="str">
        <f aca="false">IF($P106="","",INDEX('REGISTRE ELEVES'!$D$10:$D$250,$P106))</f>
        <v/>
      </c>
      <c r="D106" s="45" t="str">
        <f aca="false">IF($P106="","",INDEX('REGISTRE ELEVES'!$E$10:$E$250,$P106))</f>
        <v/>
      </c>
      <c r="E106" s="45" t="str">
        <f aca="false">IF($P106="","",INDEX('REGISTRE ELEVES'!$AE$10:$AE$250,$P106))</f>
        <v/>
      </c>
      <c r="F106" s="80" t="str">
        <f aca="false">IF(B106="","",IFERROR(INDEX('NOTES CM2'!$M$10:$M$250,MATCH(B106,'NOTES CM2'!$B$10:$B$250,0)),""))</f>
        <v/>
      </c>
      <c r="G106" s="80" t="str">
        <f aca="false">IF(B106="","",IFERROR(INDEX('NOTES CM2'!$T$10:$T$250,MATCH(B106,'NOTES CM2'!$B$10:$B$250,0)),""))</f>
        <v/>
      </c>
      <c r="H106" s="80" t="str">
        <f aca="false">IF(B106="","",IFERROR(INDEX('NOTES CM2'!$AB$10:$AB$250,MATCH(B106,'NOTES CM2'!$B$10:$B$250,0)),""))</f>
        <v/>
      </c>
      <c r="I106" s="80" t="str">
        <f aca="false">IF(B106="","",IFERROR(INDEX('NOTES CM2'!$AJ$10:$AJ$250,MATCH(B106,'NOTES CM2'!$B$10:$B$250,0)),""))</f>
        <v/>
      </c>
      <c r="J106" s="82" t="str">
        <f aca="false">IF(COUNT(F106:I106)&lt;4,"",ROUND(SUM(F106:I106)/4,2))</f>
        <v/>
      </c>
      <c r="K106" s="83" t="n">
        <f aca="false">INDEX(PARAMETRES!$D$18:$D$23,MATCH("CM2",PARAMETRES!$B$18:$B$23,0))</f>
        <v>20</v>
      </c>
      <c r="L106" s="81" t="n">
        <f aca="false">INDEX(PARAMETRES!$C$18:$C$23,MATCH("CM2",PARAMETRES!$B$18:$B$23,0))</f>
        <v>10</v>
      </c>
      <c r="M106" s="45" t="str">
        <f aca="false">IF(B106="","",IF(E106="ABANDON","ABANDON",IF(E106="TRANSFERE","TRANSFERE",IF(J106="","",IF(J106&gt;=L106,"ADMIS","REDOUBLE")))))</f>
        <v/>
      </c>
      <c r="N106" s="73" t="str">
        <f aca="false">IF(OR(J106="",E106&lt;&gt;"PRESENT"),"",COUNTIFS($E$10:$E$250,"PRESENT",$J$10:$J$250,"&gt;"&amp;J106)+1)</f>
        <v/>
      </c>
      <c r="O106" s="74" t="str">
        <f aca="false">IF(M106="ADMIS",IF(J106/K106*10&gt;=8,"Très bien",IF(J106/K106*10&gt;=7,"Bien",IF(J106/K106*10&gt;=6,"Assez bien","Passable"))),IF(M106="REDOUBLE","Insuffisant",""))</f>
        <v/>
      </c>
      <c r="P106" s="51" t="str">
        <f aca="false">IFERROR(MATCH("CM2-97",'REGISTRE ELEVES'!$AH$10:$AH$250,0),"")</f>
        <v/>
      </c>
    </row>
    <row r="107" customFormat="false" ht="15" hidden="false" customHeight="false" outlineLevel="0" collapsed="false">
      <c r="A107" s="45" t="str">
        <f aca="false">IF(B107="","",98)</f>
        <v/>
      </c>
      <c r="B107" s="45" t="str">
        <f aca="false">IF($P107="","",INDEX('REGISTRE ELEVES'!$B$10:$B$250,$P107))</f>
        <v/>
      </c>
      <c r="C107" s="74" t="str">
        <f aca="false">IF($P107="","",INDEX('REGISTRE ELEVES'!$D$10:$D$250,$P107))</f>
        <v/>
      </c>
      <c r="D107" s="45" t="str">
        <f aca="false">IF($P107="","",INDEX('REGISTRE ELEVES'!$E$10:$E$250,$P107))</f>
        <v/>
      </c>
      <c r="E107" s="45" t="str">
        <f aca="false">IF($P107="","",INDEX('REGISTRE ELEVES'!$AE$10:$AE$250,$P107))</f>
        <v/>
      </c>
      <c r="F107" s="80" t="str">
        <f aca="false">IF(B107="","",IFERROR(INDEX('NOTES CM2'!$M$10:$M$250,MATCH(B107,'NOTES CM2'!$B$10:$B$250,0)),""))</f>
        <v/>
      </c>
      <c r="G107" s="80" t="str">
        <f aca="false">IF(B107="","",IFERROR(INDEX('NOTES CM2'!$T$10:$T$250,MATCH(B107,'NOTES CM2'!$B$10:$B$250,0)),""))</f>
        <v/>
      </c>
      <c r="H107" s="80" t="str">
        <f aca="false">IF(B107="","",IFERROR(INDEX('NOTES CM2'!$AB$10:$AB$250,MATCH(B107,'NOTES CM2'!$B$10:$B$250,0)),""))</f>
        <v/>
      </c>
      <c r="I107" s="80" t="str">
        <f aca="false">IF(B107="","",IFERROR(INDEX('NOTES CM2'!$AJ$10:$AJ$250,MATCH(B107,'NOTES CM2'!$B$10:$B$250,0)),""))</f>
        <v/>
      </c>
      <c r="J107" s="82" t="str">
        <f aca="false">IF(COUNT(F107:I107)&lt;4,"",ROUND(SUM(F107:I107)/4,2))</f>
        <v/>
      </c>
      <c r="K107" s="83" t="n">
        <f aca="false">INDEX(PARAMETRES!$D$18:$D$23,MATCH("CM2",PARAMETRES!$B$18:$B$23,0))</f>
        <v>20</v>
      </c>
      <c r="L107" s="81" t="n">
        <f aca="false">INDEX(PARAMETRES!$C$18:$C$23,MATCH("CM2",PARAMETRES!$B$18:$B$23,0))</f>
        <v>10</v>
      </c>
      <c r="M107" s="45" t="str">
        <f aca="false">IF(B107="","",IF(E107="ABANDON","ABANDON",IF(E107="TRANSFERE","TRANSFERE",IF(J107="","",IF(J107&gt;=L107,"ADMIS","REDOUBLE")))))</f>
        <v/>
      </c>
      <c r="N107" s="73" t="str">
        <f aca="false">IF(OR(J107="",E107&lt;&gt;"PRESENT"),"",COUNTIFS($E$10:$E$250,"PRESENT",$J$10:$J$250,"&gt;"&amp;J107)+1)</f>
        <v/>
      </c>
      <c r="O107" s="74" t="str">
        <f aca="false">IF(M107="ADMIS",IF(J107/K107*10&gt;=8,"Très bien",IF(J107/K107*10&gt;=7,"Bien",IF(J107/K107*10&gt;=6,"Assez bien","Passable"))),IF(M107="REDOUBLE","Insuffisant",""))</f>
        <v/>
      </c>
      <c r="P107" s="51" t="str">
        <f aca="false">IFERROR(MATCH("CM2-98",'REGISTRE ELEVES'!$AH$10:$AH$250,0),"")</f>
        <v/>
      </c>
    </row>
    <row r="108" customFormat="false" ht="15" hidden="false" customHeight="false" outlineLevel="0" collapsed="false">
      <c r="A108" s="45" t="str">
        <f aca="false">IF(B108="","",99)</f>
        <v/>
      </c>
      <c r="B108" s="45" t="str">
        <f aca="false">IF($P108="","",INDEX('REGISTRE ELEVES'!$B$10:$B$250,$P108))</f>
        <v/>
      </c>
      <c r="C108" s="74" t="str">
        <f aca="false">IF($P108="","",INDEX('REGISTRE ELEVES'!$D$10:$D$250,$P108))</f>
        <v/>
      </c>
      <c r="D108" s="45" t="str">
        <f aca="false">IF($P108="","",INDEX('REGISTRE ELEVES'!$E$10:$E$250,$P108))</f>
        <v/>
      </c>
      <c r="E108" s="45" t="str">
        <f aca="false">IF($P108="","",INDEX('REGISTRE ELEVES'!$AE$10:$AE$250,$P108))</f>
        <v/>
      </c>
      <c r="F108" s="80" t="str">
        <f aca="false">IF(B108="","",IFERROR(INDEX('NOTES CM2'!$M$10:$M$250,MATCH(B108,'NOTES CM2'!$B$10:$B$250,0)),""))</f>
        <v/>
      </c>
      <c r="G108" s="80" t="str">
        <f aca="false">IF(B108="","",IFERROR(INDEX('NOTES CM2'!$T$10:$T$250,MATCH(B108,'NOTES CM2'!$B$10:$B$250,0)),""))</f>
        <v/>
      </c>
      <c r="H108" s="80" t="str">
        <f aca="false">IF(B108="","",IFERROR(INDEX('NOTES CM2'!$AB$10:$AB$250,MATCH(B108,'NOTES CM2'!$B$10:$B$250,0)),""))</f>
        <v/>
      </c>
      <c r="I108" s="80" t="str">
        <f aca="false">IF(B108="","",IFERROR(INDEX('NOTES CM2'!$AJ$10:$AJ$250,MATCH(B108,'NOTES CM2'!$B$10:$B$250,0)),""))</f>
        <v/>
      </c>
      <c r="J108" s="82" t="str">
        <f aca="false">IF(COUNT(F108:I108)&lt;4,"",ROUND(SUM(F108:I108)/4,2))</f>
        <v/>
      </c>
      <c r="K108" s="83" t="n">
        <f aca="false">INDEX(PARAMETRES!$D$18:$D$23,MATCH("CM2",PARAMETRES!$B$18:$B$23,0))</f>
        <v>20</v>
      </c>
      <c r="L108" s="81" t="n">
        <f aca="false">INDEX(PARAMETRES!$C$18:$C$23,MATCH("CM2",PARAMETRES!$B$18:$B$23,0))</f>
        <v>10</v>
      </c>
      <c r="M108" s="45" t="str">
        <f aca="false">IF(B108="","",IF(E108="ABANDON","ABANDON",IF(E108="TRANSFERE","TRANSFERE",IF(J108="","",IF(J108&gt;=L108,"ADMIS","REDOUBLE")))))</f>
        <v/>
      </c>
      <c r="N108" s="73" t="str">
        <f aca="false">IF(OR(J108="",E108&lt;&gt;"PRESENT"),"",COUNTIFS($E$10:$E$250,"PRESENT",$J$10:$J$250,"&gt;"&amp;J108)+1)</f>
        <v/>
      </c>
      <c r="O108" s="74" t="str">
        <f aca="false">IF(M108="ADMIS",IF(J108/K108*10&gt;=8,"Très bien",IF(J108/K108*10&gt;=7,"Bien",IF(J108/K108*10&gt;=6,"Assez bien","Passable"))),IF(M108="REDOUBLE","Insuffisant",""))</f>
        <v/>
      </c>
      <c r="P108" s="51" t="str">
        <f aca="false">IFERROR(MATCH("CM2-99",'REGISTRE ELEVES'!$AH$10:$AH$250,0),"")</f>
        <v/>
      </c>
    </row>
    <row r="109" customFormat="false" ht="15" hidden="false" customHeight="false" outlineLevel="0" collapsed="false">
      <c r="A109" s="45" t="str">
        <f aca="false">IF(B109="","",100)</f>
        <v/>
      </c>
      <c r="B109" s="45" t="str">
        <f aca="false">IF($P109="","",INDEX('REGISTRE ELEVES'!$B$10:$B$250,$P109))</f>
        <v/>
      </c>
      <c r="C109" s="74" t="str">
        <f aca="false">IF($P109="","",INDEX('REGISTRE ELEVES'!$D$10:$D$250,$P109))</f>
        <v/>
      </c>
      <c r="D109" s="45" t="str">
        <f aca="false">IF($P109="","",INDEX('REGISTRE ELEVES'!$E$10:$E$250,$P109))</f>
        <v/>
      </c>
      <c r="E109" s="45" t="str">
        <f aca="false">IF($P109="","",INDEX('REGISTRE ELEVES'!$AE$10:$AE$250,$P109))</f>
        <v/>
      </c>
      <c r="F109" s="80" t="str">
        <f aca="false">IF(B109="","",IFERROR(INDEX('NOTES CM2'!$M$10:$M$250,MATCH(B109,'NOTES CM2'!$B$10:$B$250,0)),""))</f>
        <v/>
      </c>
      <c r="G109" s="80" t="str">
        <f aca="false">IF(B109="","",IFERROR(INDEX('NOTES CM2'!$T$10:$T$250,MATCH(B109,'NOTES CM2'!$B$10:$B$250,0)),""))</f>
        <v/>
      </c>
      <c r="H109" s="80" t="str">
        <f aca="false">IF(B109="","",IFERROR(INDEX('NOTES CM2'!$AB$10:$AB$250,MATCH(B109,'NOTES CM2'!$B$10:$B$250,0)),""))</f>
        <v/>
      </c>
      <c r="I109" s="80" t="str">
        <f aca="false">IF(B109="","",IFERROR(INDEX('NOTES CM2'!$AJ$10:$AJ$250,MATCH(B109,'NOTES CM2'!$B$10:$B$250,0)),""))</f>
        <v/>
      </c>
      <c r="J109" s="82" t="str">
        <f aca="false">IF(COUNT(F109:I109)&lt;4,"",ROUND(SUM(F109:I109)/4,2))</f>
        <v/>
      </c>
      <c r="K109" s="83" t="n">
        <f aca="false">INDEX(PARAMETRES!$D$18:$D$23,MATCH("CM2",PARAMETRES!$B$18:$B$23,0))</f>
        <v>20</v>
      </c>
      <c r="L109" s="81" t="n">
        <f aca="false">INDEX(PARAMETRES!$C$18:$C$23,MATCH("CM2",PARAMETRES!$B$18:$B$23,0))</f>
        <v>10</v>
      </c>
      <c r="M109" s="45" t="str">
        <f aca="false">IF(B109="","",IF(E109="ABANDON","ABANDON",IF(E109="TRANSFERE","TRANSFERE",IF(J109="","",IF(J109&gt;=L109,"ADMIS","REDOUBLE")))))</f>
        <v/>
      </c>
      <c r="N109" s="73" t="str">
        <f aca="false">IF(OR(J109="",E109&lt;&gt;"PRESENT"),"",COUNTIFS($E$10:$E$250,"PRESENT",$J$10:$J$250,"&gt;"&amp;J109)+1)</f>
        <v/>
      </c>
      <c r="O109" s="74" t="str">
        <f aca="false">IF(M109="ADMIS",IF(J109/K109*10&gt;=8,"Très bien",IF(J109/K109*10&gt;=7,"Bien",IF(J109/K109*10&gt;=6,"Assez bien","Passable"))),IF(M109="REDOUBLE","Insuffisant",""))</f>
        <v/>
      </c>
      <c r="P109" s="51" t="str">
        <f aca="false">IFERROR(MATCH("CM2-100",'REGISTRE ELEVES'!$AH$10:$AH$250,0),"")</f>
        <v/>
      </c>
    </row>
    <row r="110" customFormat="false" ht="15" hidden="false" customHeight="false" outlineLevel="0" collapsed="false">
      <c r="A110" s="45" t="str">
        <f aca="false">IF(B110="","",101)</f>
        <v/>
      </c>
      <c r="B110" s="45" t="str">
        <f aca="false">IF($P110="","",INDEX('REGISTRE ELEVES'!$B$10:$B$250,$P110))</f>
        <v/>
      </c>
      <c r="C110" s="74" t="str">
        <f aca="false">IF($P110="","",INDEX('REGISTRE ELEVES'!$D$10:$D$250,$P110))</f>
        <v/>
      </c>
      <c r="D110" s="45" t="str">
        <f aca="false">IF($P110="","",INDEX('REGISTRE ELEVES'!$E$10:$E$250,$P110))</f>
        <v/>
      </c>
      <c r="E110" s="45" t="str">
        <f aca="false">IF($P110="","",INDEX('REGISTRE ELEVES'!$AE$10:$AE$250,$P110))</f>
        <v/>
      </c>
      <c r="F110" s="80" t="str">
        <f aca="false">IF(B110="","",IFERROR(INDEX('NOTES CM2'!$M$10:$M$250,MATCH(B110,'NOTES CM2'!$B$10:$B$250,0)),""))</f>
        <v/>
      </c>
      <c r="G110" s="80" t="str">
        <f aca="false">IF(B110="","",IFERROR(INDEX('NOTES CM2'!$T$10:$T$250,MATCH(B110,'NOTES CM2'!$B$10:$B$250,0)),""))</f>
        <v/>
      </c>
      <c r="H110" s="80" t="str">
        <f aca="false">IF(B110="","",IFERROR(INDEX('NOTES CM2'!$AB$10:$AB$250,MATCH(B110,'NOTES CM2'!$B$10:$B$250,0)),""))</f>
        <v/>
      </c>
      <c r="I110" s="80" t="str">
        <f aca="false">IF(B110="","",IFERROR(INDEX('NOTES CM2'!$AJ$10:$AJ$250,MATCH(B110,'NOTES CM2'!$B$10:$B$250,0)),""))</f>
        <v/>
      </c>
      <c r="J110" s="82" t="str">
        <f aca="false">IF(COUNT(F110:I110)&lt;4,"",ROUND(SUM(F110:I110)/4,2))</f>
        <v/>
      </c>
      <c r="K110" s="83" t="n">
        <f aca="false">INDEX(PARAMETRES!$D$18:$D$23,MATCH("CM2",PARAMETRES!$B$18:$B$23,0))</f>
        <v>20</v>
      </c>
      <c r="L110" s="81" t="n">
        <f aca="false">INDEX(PARAMETRES!$C$18:$C$23,MATCH("CM2",PARAMETRES!$B$18:$B$23,0))</f>
        <v>10</v>
      </c>
      <c r="M110" s="45" t="str">
        <f aca="false">IF(B110="","",IF(E110="ABANDON","ABANDON",IF(E110="TRANSFERE","TRANSFERE",IF(J110="","",IF(J110&gt;=L110,"ADMIS","REDOUBLE")))))</f>
        <v/>
      </c>
      <c r="N110" s="73" t="str">
        <f aca="false">IF(OR(J110="",E110&lt;&gt;"PRESENT"),"",COUNTIFS($E$10:$E$250,"PRESENT",$J$10:$J$250,"&gt;"&amp;J110)+1)</f>
        <v/>
      </c>
      <c r="O110" s="74" t="str">
        <f aca="false">IF(M110="ADMIS",IF(J110/K110*10&gt;=8,"Très bien",IF(J110/K110*10&gt;=7,"Bien",IF(J110/K110*10&gt;=6,"Assez bien","Passable"))),IF(M110="REDOUBLE","Insuffisant",""))</f>
        <v/>
      </c>
      <c r="P110" s="51" t="str">
        <f aca="false">IFERROR(MATCH("CM2-101",'REGISTRE ELEVES'!$AH$10:$AH$250,0),"")</f>
        <v/>
      </c>
    </row>
    <row r="111" customFormat="false" ht="15" hidden="false" customHeight="false" outlineLevel="0" collapsed="false">
      <c r="A111" s="45" t="str">
        <f aca="false">IF(B111="","",102)</f>
        <v/>
      </c>
      <c r="B111" s="45" t="str">
        <f aca="false">IF($P111="","",INDEX('REGISTRE ELEVES'!$B$10:$B$250,$P111))</f>
        <v/>
      </c>
      <c r="C111" s="74" t="str">
        <f aca="false">IF($P111="","",INDEX('REGISTRE ELEVES'!$D$10:$D$250,$P111))</f>
        <v/>
      </c>
      <c r="D111" s="45" t="str">
        <f aca="false">IF($P111="","",INDEX('REGISTRE ELEVES'!$E$10:$E$250,$P111))</f>
        <v/>
      </c>
      <c r="E111" s="45" t="str">
        <f aca="false">IF($P111="","",INDEX('REGISTRE ELEVES'!$AE$10:$AE$250,$P111))</f>
        <v/>
      </c>
      <c r="F111" s="80" t="str">
        <f aca="false">IF(B111="","",IFERROR(INDEX('NOTES CM2'!$M$10:$M$250,MATCH(B111,'NOTES CM2'!$B$10:$B$250,0)),""))</f>
        <v/>
      </c>
      <c r="G111" s="80" t="str">
        <f aca="false">IF(B111="","",IFERROR(INDEX('NOTES CM2'!$T$10:$T$250,MATCH(B111,'NOTES CM2'!$B$10:$B$250,0)),""))</f>
        <v/>
      </c>
      <c r="H111" s="80" t="str">
        <f aca="false">IF(B111="","",IFERROR(INDEX('NOTES CM2'!$AB$10:$AB$250,MATCH(B111,'NOTES CM2'!$B$10:$B$250,0)),""))</f>
        <v/>
      </c>
      <c r="I111" s="80" t="str">
        <f aca="false">IF(B111="","",IFERROR(INDEX('NOTES CM2'!$AJ$10:$AJ$250,MATCH(B111,'NOTES CM2'!$B$10:$B$250,0)),""))</f>
        <v/>
      </c>
      <c r="J111" s="82" t="str">
        <f aca="false">IF(COUNT(F111:I111)&lt;4,"",ROUND(SUM(F111:I111)/4,2))</f>
        <v/>
      </c>
      <c r="K111" s="83" t="n">
        <f aca="false">INDEX(PARAMETRES!$D$18:$D$23,MATCH("CM2",PARAMETRES!$B$18:$B$23,0))</f>
        <v>20</v>
      </c>
      <c r="L111" s="81" t="n">
        <f aca="false">INDEX(PARAMETRES!$C$18:$C$23,MATCH("CM2",PARAMETRES!$B$18:$B$23,0))</f>
        <v>10</v>
      </c>
      <c r="M111" s="45" t="str">
        <f aca="false">IF(B111="","",IF(E111="ABANDON","ABANDON",IF(E111="TRANSFERE","TRANSFERE",IF(J111="","",IF(J111&gt;=L111,"ADMIS","REDOUBLE")))))</f>
        <v/>
      </c>
      <c r="N111" s="73" t="str">
        <f aca="false">IF(OR(J111="",E111&lt;&gt;"PRESENT"),"",COUNTIFS($E$10:$E$250,"PRESENT",$J$10:$J$250,"&gt;"&amp;J111)+1)</f>
        <v/>
      </c>
      <c r="O111" s="74" t="str">
        <f aca="false">IF(M111="ADMIS",IF(J111/K111*10&gt;=8,"Très bien",IF(J111/K111*10&gt;=7,"Bien",IF(J111/K111*10&gt;=6,"Assez bien","Passable"))),IF(M111="REDOUBLE","Insuffisant",""))</f>
        <v/>
      </c>
      <c r="P111" s="51" t="str">
        <f aca="false">IFERROR(MATCH("CM2-102",'REGISTRE ELEVES'!$AH$10:$AH$250,0),"")</f>
        <v/>
      </c>
    </row>
    <row r="112" customFormat="false" ht="15" hidden="false" customHeight="false" outlineLevel="0" collapsed="false">
      <c r="A112" s="45" t="str">
        <f aca="false">IF(B112="","",103)</f>
        <v/>
      </c>
      <c r="B112" s="45" t="str">
        <f aca="false">IF($P112="","",INDEX('REGISTRE ELEVES'!$B$10:$B$250,$P112))</f>
        <v/>
      </c>
      <c r="C112" s="74" t="str">
        <f aca="false">IF($P112="","",INDEX('REGISTRE ELEVES'!$D$10:$D$250,$P112))</f>
        <v/>
      </c>
      <c r="D112" s="45" t="str">
        <f aca="false">IF($P112="","",INDEX('REGISTRE ELEVES'!$E$10:$E$250,$P112))</f>
        <v/>
      </c>
      <c r="E112" s="45" t="str">
        <f aca="false">IF($P112="","",INDEX('REGISTRE ELEVES'!$AE$10:$AE$250,$P112))</f>
        <v/>
      </c>
      <c r="F112" s="80" t="str">
        <f aca="false">IF(B112="","",IFERROR(INDEX('NOTES CM2'!$M$10:$M$250,MATCH(B112,'NOTES CM2'!$B$10:$B$250,0)),""))</f>
        <v/>
      </c>
      <c r="G112" s="80" t="str">
        <f aca="false">IF(B112="","",IFERROR(INDEX('NOTES CM2'!$T$10:$T$250,MATCH(B112,'NOTES CM2'!$B$10:$B$250,0)),""))</f>
        <v/>
      </c>
      <c r="H112" s="80" t="str">
        <f aca="false">IF(B112="","",IFERROR(INDEX('NOTES CM2'!$AB$10:$AB$250,MATCH(B112,'NOTES CM2'!$B$10:$B$250,0)),""))</f>
        <v/>
      </c>
      <c r="I112" s="80" t="str">
        <f aca="false">IF(B112="","",IFERROR(INDEX('NOTES CM2'!$AJ$10:$AJ$250,MATCH(B112,'NOTES CM2'!$B$10:$B$250,0)),""))</f>
        <v/>
      </c>
      <c r="J112" s="82" t="str">
        <f aca="false">IF(COUNT(F112:I112)&lt;4,"",ROUND(SUM(F112:I112)/4,2))</f>
        <v/>
      </c>
      <c r="K112" s="83" t="n">
        <f aca="false">INDEX(PARAMETRES!$D$18:$D$23,MATCH("CM2",PARAMETRES!$B$18:$B$23,0))</f>
        <v>20</v>
      </c>
      <c r="L112" s="81" t="n">
        <f aca="false">INDEX(PARAMETRES!$C$18:$C$23,MATCH("CM2",PARAMETRES!$B$18:$B$23,0))</f>
        <v>10</v>
      </c>
      <c r="M112" s="45" t="str">
        <f aca="false">IF(B112="","",IF(E112="ABANDON","ABANDON",IF(E112="TRANSFERE","TRANSFERE",IF(J112="","",IF(J112&gt;=L112,"ADMIS","REDOUBLE")))))</f>
        <v/>
      </c>
      <c r="N112" s="73" t="str">
        <f aca="false">IF(OR(J112="",E112&lt;&gt;"PRESENT"),"",COUNTIFS($E$10:$E$250,"PRESENT",$J$10:$J$250,"&gt;"&amp;J112)+1)</f>
        <v/>
      </c>
      <c r="O112" s="74" t="str">
        <f aca="false">IF(M112="ADMIS",IF(J112/K112*10&gt;=8,"Très bien",IF(J112/K112*10&gt;=7,"Bien",IF(J112/K112*10&gt;=6,"Assez bien","Passable"))),IF(M112="REDOUBLE","Insuffisant",""))</f>
        <v/>
      </c>
      <c r="P112" s="51" t="str">
        <f aca="false">IFERROR(MATCH("CM2-103",'REGISTRE ELEVES'!$AH$10:$AH$250,0),"")</f>
        <v/>
      </c>
    </row>
    <row r="113" customFormat="false" ht="15" hidden="false" customHeight="false" outlineLevel="0" collapsed="false">
      <c r="A113" s="45" t="str">
        <f aca="false">IF(B113="","",104)</f>
        <v/>
      </c>
      <c r="B113" s="45" t="str">
        <f aca="false">IF($P113="","",INDEX('REGISTRE ELEVES'!$B$10:$B$250,$P113))</f>
        <v/>
      </c>
      <c r="C113" s="74" t="str">
        <f aca="false">IF($P113="","",INDEX('REGISTRE ELEVES'!$D$10:$D$250,$P113))</f>
        <v/>
      </c>
      <c r="D113" s="45" t="str">
        <f aca="false">IF($P113="","",INDEX('REGISTRE ELEVES'!$E$10:$E$250,$P113))</f>
        <v/>
      </c>
      <c r="E113" s="45" t="str">
        <f aca="false">IF($P113="","",INDEX('REGISTRE ELEVES'!$AE$10:$AE$250,$P113))</f>
        <v/>
      </c>
      <c r="F113" s="80" t="str">
        <f aca="false">IF(B113="","",IFERROR(INDEX('NOTES CM2'!$M$10:$M$250,MATCH(B113,'NOTES CM2'!$B$10:$B$250,0)),""))</f>
        <v/>
      </c>
      <c r="G113" s="80" t="str">
        <f aca="false">IF(B113="","",IFERROR(INDEX('NOTES CM2'!$T$10:$T$250,MATCH(B113,'NOTES CM2'!$B$10:$B$250,0)),""))</f>
        <v/>
      </c>
      <c r="H113" s="80" t="str">
        <f aca="false">IF(B113="","",IFERROR(INDEX('NOTES CM2'!$AB$10:$AB$250,MATCH(B113,'NOTES CM2'!$B$10:$B$250,0)),""))</f>
        <v/>
      </c>
      <c r="I113" s="80" t="str">
        <f aca="false">IF(B113="","",IFERROR(INDEX('NOTES CM2'!$AJ$10:$AJ$250,MATCH(B113,'NOTES CM2'!$B$10:$B$250,0)),""))</f>
        <v/>
      </c>
      <c r="J113" s="82" t="str">
        <f aca="false">IF(COUNT(F113:I113)&lt;4,"",ROUND(SUM(F113:I113)/4,2))</f>
        <v/>
      </c>
      <c r="K113" s="83" t="n">
        <f aca="false">INDEX(PARAMETRES!$D$18:$D$23,MATCH("CM2",PARAMETRES!$B$18:$B$23,0))</f>
        <v>20</v>
      </c>
      <c r="L113" s="81" t="n">
        <f aca="false">INDEX(PARAMETRES!$C$18:$C$23,MATCH("CM2",PARAMETRES!$B$18:$B$23,0))</f>
        <v>10</v>
      </c>
      <c r="M113" s="45" t="str">
        <f aca="false">IF(B113="","",IF(E113="ABANDON","ABANDON",IF(E113="TRANSFERE","TRANSFERE",IF(J113="","",IF(J113&gt;=L113,"ADMIS","REDOUBLE")))))</f>
        <v/>
      </c>
      <c r="N113" s="73" t="str">
        <f aca="false">IF(OR(J113="",E113&lt;&gt;"PRESENT"),"",COUNTIFS($E$10:$E$250,"PRESENT",$J$10:$J$250,"&gt;"&amp;J113)+1)</f>
        <v/>
      </c>
      <c r="O113" s="74" t="str">
        <f aca="false">IF(M113="ADMIS",IF(J113/K113*10&gt;=8,"Très bien",IF(J113/K113*10&gt;=7,"Bien",IF(J113/K113*10&gt;=6,"Assez bien","Passable"))),IF(M113="REDOUBLE","Insuffisant",""))</f>
        <v/>
      </c>
      <c r="P113" s="51" t="str">
        <f aca="false">IFERROR(MATCH("CM2-104",'REGISTRE ELEVES'!$AH$10:$AH$250,0),"")</f>
        <v/>
      </c>
    </row>
    <row r="114" customFormat="false" ht="15" hidden="false" customHeight="false" outlineLevel="0" collapsed="false">
      <c r="A114" s="45" t="str">
        <f aca="false">IF(B114="","",105)</f>
        <v/>
      </c>
      <c r="B114" s="45" t="str">
        <f aca="false">IF($P114="","",INDEX('REGISTRE ELEVES'!$B$10:$B$250,$P114))</f>
        <v/>
      </c>
      <c r="C114" s="74" t="str">
        <f aca="false">IF($P114="","",INDEX('REGISTRE ELEVES'!$D$10:$D$250,$P114))</f>
        <v/>
      </c>
      <c r="D114" s="45" t="str">
        <f aca="false">IF($P114="","",INDEX('REGISTRE ELEVES'!$E$10:$E$250,$P114))</f>
        <v/>
      </c>
      <c r="E114" s="45" t="str">
        <f aca="false">IF($P114="","",INDEX('REGISTRE ELEVES'!$AE$10:$AE$250,$P114))</f>
        <v/>
      </c>
      <c r="F114" s="80" t="str">
        <f aca="false">IF(B114="","",IFERROR(INDEX('NOTES CM2'!$M$10:$M$250,MATCH(B114,'NOTES CM2'!$B$10:$B$250,0)),""))</f>
        <v/>
      </c>
      <c r="G114" s="80" t="str">
        <f aca="false">IF(B114="","",IFERROR(INDEX('NOTES CM2'!$T$10:$T$250,MATCH(B114,'NOTES CM2'!$B$10:$B$250,0)),""))</f>
        <v/>
      </c>
      <c r="H114" s="80" t="str">
        <f aca="false">IF(B114="","",IFERROR(INDEX('NOTES CM2'!$AB$10:$AB$250,MATCH(B114,'NOTES CM2'!$B$10:$B$250,0)),""))</f>
        <v/>
      </c>
      <c r="I114" s="80" t="str">
        <f aca="false">IF(B114="","",IFERROR(INDEX('NOTES CM2'!$AJ$10:$AJ$250,MATCH(B114,'NOTES CM2'!$B$10:$B$250,0)),""))</f>
        <v/>
      </c>
      <c r="J114" s="82" t="str">
        <f aca="false">IF(COUNT(F114:I114)&lt;4,"",ROUND(SUM(F114:I114)/4,2))</f>
        <v/>
      </c>
      <c r="K114" s="83" t="n">
        <f aca="false">INDEX(PARAMETRES!$D$18:$D$23,MATCH("CM2",PARAMETRES!$B$18:$B$23,0))</f>
        <v>20</v>
      </c>
      <c r="L114" s="81" t="n">
        <f aca="false">INDEX(PARAMETRES!$C$18:$C$23,MATCH("CM2",PARAMETRES!$B$18:$B$23,0))</f>
        <v>10</v>
      </c>
      <c r="M114" s="45" t="str">
        <f aca="false">IF(B114="","",IF(E114="ABANDON","ABANDON",IF(E114="TRANSFERE","TRANSFERE",IF(J114="","",IF(J114&gt;=L114,"ADMIS","REDOUBLE")))))</f>
        <v/>
      </c>
      <c r="N114" s="73" t="str">
        <f aca="false">IF(OR(J114="",E114&lt;&gt;"PRESENT"),"",COUNTIFS($E$10:$E$250,"PRESENT",$J$10:$J$250,"&gt;"&amp;J114)+1)</f>
        <v/>
      </c>
      <c r="O114" s="74" t="str">
        <f aca="false">IF(M114="ADMIS",IF(J114/K114*10&gt;=8,"Très bien",IF(J114/K114*10&gt;=7,"Bien",IF(J114/K114*10&gt;=6,"Assez bien","Passable"))),IF(M114="REDOUBLE","Insuffisant",""))</f>
        <v/>
      </c>
      <c r="P114" s="51" t="str">
        <f aca="false">IFERROR(MATCH("CM2-105",'REGISTRE ELEVES'!$AH$10:$AH$250,0),"")</f>
        <v/>
      </c>
    </row>
    <row r="115" customFormat="false" ht="15" hidden="false" customHeight="false" outlineLevel="0" collapsed="false">
      <c r="A115" s="45" t="str">
        <f aca="false">IF(B115="","",106)</f>
        <v/>
      </c>
      <c r="B115" s="45" t="str">
        <f aca="false">IF($P115="","",INDEX('REGISTRE ELEVES'!$B$10:$B$250,$P115))</f>
        <v/>
      </c>
      <c r="C115" s="74" t="str">
        <f aca="false">IF($P115="","",INDEX('REGISTRE ELEVES'!$D$10:$D$250,$P115))</f>
        <v/>
      </c>
      <c r="D115" s="45" t="str">
        <f aca="false">IF($P115="","",INDEX('REGISTRE ELEVES'!$E$10:$E$250,$P115))</f>
        <v/>
      </c>
      <c r="E115" s="45" t="str">
        <f aca="false">IF($P115="","",INDEX('REGISTRE ELEVES'!$AE$10:$AE$250,$P115))</f>
        <v/>
      </c>
      <c r="F115" s="80" t="str">
        <f aca="false">IF(B115="","",IFERROR(INDEX('NOTES CM2'!$M$10:$M$250,MATCH(B115,'NOTES CM2'!$B$10:$B$250,0)),""))</f>
        <v/>
      </c>
      <c r="G115" s="80" t="str">
        <f aca="false">IF(B115="","",IFERROR(INDEX('NOTES CM2'!$T$10:$T$250,MATCH(B115,'NOTES CM2'!$B$10:$B$250,0)),""))</f>
        <v/>
      </c>
      <c r="H115" s="80" t="str">
        <f aca="false">IF(B115="","",IFERROR(INDEX('NOTES CM2'!$AB$10:$AB$250,MATCH(B115,'NOTES CM2'!$B$10:$B$250,0)),""))</f>
        <v/>
      </c>
      <c r="I115" s="80" t="str">
        <f aca="false">IF(B115="","",IFERROR(INDEX('NOTES CM2'!$AJ$10:$AJ$250,MATCH(B115,'NOTES CM2'!$B$10:$B$250,0)),""))</f>
        <v/>
      </c>
      <c r="J115" s="82" t="str">
        <f aca="false">IF(COUNT(F115:I115)&lt;4,"",ROUND(SUM(F115:I115)/4,2))</f>
        <v/>
      </c>
      <c r="K115" s="83" t="n">
        <f aca="false">INDEX(PARAMETRES!$D$18:$D$23,MATCH("CM2",PARAMETRES!$B$18:$B$23,0))</f>
        <v>20</v>
      </c>
      <c r="L115" s="81" t="n">
        <f aca="false">INDEX(PARAMETRES!$C$18:$C$23,MATCH("CM2",PARAMETRES!$B$18:$B$23,0))</f>
        <v>10</v>
      </c>
      <c r="M115" s="45" t="str">
        <f aca="false">IF(B115="","",IF(E115="ABANDON","ABANDON",IF(E115="TRANSFERE","TRANSFERE",IF(J115="","",IF(J115&gt;=L115,"ADMIS","REDOUBLE")))))</f>
        <v/>
      </c>
      <c r="N115" s="73" t="str">
        <f aca="false">IF(OR(J115="",E115&lt;&gt;"PRESENT"),"",COUNTIFS($E$10:$E$250,"PRESENT",$J$10:$J$250,"&gt;"&amp;J115)+1)</f>
        <v/>
      </c>
      <c r="O115" s="74" t="str">
        <f aca="false">IF(M115="ADMIS",IF(J115/K115*10&gt;=8,"Très bien",IF(J115/K115*10&gt;=7,"Bien",IF(J115/K115*10&gt;=6,"Assez bien","Passable"))),IF(M115="REDOUBLE","Insuffisant",""))</f>
        <v/>
      </c>
      <c r="P115" s="51" t="str">
        <f aca="false">IFERROR(MATCH("CM2-106",'REGISTRE ELEVES'!$AH$10:$AH$250,0),"")</f>
        <v/>
      </c>
    </row>
    <row r="116" customFormat="false" ht="15" hidden="false" customHeight="false" outlineLevel="0" collapsed="false">
      <c r="A116" s="45" t="str">
        <f aca="false">IF(B116="","",107)</f>
        <v/>
      </c>
      <c r="B116" s="45" t="str">
        <f aca="false">IF($P116="","",INDEX('REGISTRE ELEVES'!$B$10:$B$250,$P116))</f>
        <v/>
      </c>
      <c r="C116" s="74" t="str">
        <f aca="false">IF($P116="","",INDEX('REGISTRE ELEVES'!$D$10:$D$250,$P116))</f>
        <v/>
      </c>
      <c r="D116" s="45" t="str">
        <f aca="false">IF($P116="","",INDEX('REGISTRE ELEVES'!$E$10:$E$250,$P116))</f>
        <v/>
      </c>
      <c r="E116" s="45" t="str">
        <f aca="false">IF($P116="","",INDEX('REGISTRE ELEVES'!$AE$10:$AE$250,$P116))</f>
        <v/>
      </c>
      <c r="F116" s="80" t="str">
        <f aca="false">IF(B116="","",IFERROR(INDEX('NOTES CM2'!$M$10:$M$250,MATCH(B116,'NOTES CM2'!$B$10:$B$250,0)),""))</f>
        <v/>
      </c>
      <c r="G116" s="80" t="str">
        <f aca="false">IF(B116="","",IFERROR(INDEX('NOTES CM2'!$T$10:$T$250,MATCH(B116,'NOTES CM2'!$B$10:$B$250,0)),""))</f>
        <v/>
      </c>
      <c r="H116" s="80" t="str">
        <f aca="false">IF(B116="","",IFERROR(INDEX('NOTES CM2'!$AB$10:$AB$250,MATCH(B116,'NOTES CM2'!$B$10:$B$250,0)),""))</f>
        <v/>
      </c>
      <c r="I116" s="80" t="str">
        <f aca="false">IF(B116="","",IFERROR(INDEX('NOTES CM2'!$AJ$10:$AJ$250,MATCH(B116,'NOTES CM2'!$B$10:$B$250,0)),""))</f>
        <v/>
      </c>
      <c r="J116" s="82" t="str">
        <f aca="false">IF(COUNT(F116:I116)&lt;4,"",ROUND(SUM(F116:I116)/4,2))</f>
        <v/>
      </c>
      <c r="K116" s="83" t="n">
        <f aca="false">INDEX(PARAMETRES!$D$18:$D$23,MATCH("CM2",PARAMETRES!$B$18:$B$23,0))</f>
        <v>20</v>
      </c>
      <c r="L116" s="81" t="n">
        <f aca="false">INDEX(PARAMETRES!$C$18:$C$23,MATCH("CM2",PARAMETRES!$B$18:$B$23,0))</f>
        <v>10</v>
      </c>
      <c r="M116" s="45" t="str">
        <f aca="false">IF(B116="","",IF(E116="ABANDON","ABANDON",IF(E116="TRANSFERE","TRANSFERE",IF(J116="","",IF(J116&gt;=L116,"ADMIS","REDOUBLE")))))</f>
        <v/>
      </c>
      <c r="N116" s="73" t="str">
        <f aca="false">IF(OR(J116="",E116&lt;&gt;"PRESENT"),"",COUNTIFS($E$10:$E$250,"PRESENT",$J$10:$J$250,"&gt;"&amp;J116)+1)</f>
        <v/>
      </c>
      <c r="O116" s="74" t="str">
        <f aca="false">IF(M116="ADMIS",IF(J116/K116*10&gt;=8,"Très bien",IF(J116/K116*10&gt;=7,"Bien",IF(J116/K116*10&gt;=6,"Assez bien","Passable"))),IF(M116="REDOUBLE","Insuffisant",""))</f>
        <v/>
      </c>
      <c r="P116" s="51" t="str">
        <f aca="false">IFERROR(MATCH("CM2-107",'REGISTRE ELEVES'!$AH$10:$AH$250,0),"")</f>
        <v/>
      </c>
    </row>
    <row r="117" customFormat="false" ht="15" hidden="false" customHeight="false" outlineLevel="0" collapsed="false">
      <c r="A117" s="45" t="str">
        <f aca="false">IF(B117="","",108)</f>
        <v/>
      </c>
      <c r="B117" s="45" t="str">
        <f aca="false">IF($P117="","",INDEX('REGISTRE ELEVES'!$B$10:$B$250,$P117))</f>
        <v/>
      </c>
      <c r="C117" s="74" t="str">
        <f aca="false">IF($P117="","",INDEX('REGISTRE ELEVES'!$D$10:$D$250,$P117))</f>
        <v/>
      </c>
      <c r="D117" s="45" t="str">
        <f aca="false">IF($P117="","",INDEX('REGISTRE ELEVES'!$E$10:$E$250,$P117))</f>
        <v/>
      </c>
      <c r="E117" s="45" t="str">
        <f aca="false">IF($P117="","",INDEX('REGISTRE ELEVES'!$AE$10:$AE$250,$P117))</f>
        <v/>
      </c>
      <c r="F117" s="80" t="str">
        <f aca="false">IF(B117="","",IFERROR(INDEX('NOTES CM2'!$M$10:$M$250,MATCH(B117,'NOTES CM2'!$B$10:$B$250,0)),""))</f>
        <v/>
      </c>
      <c r="G117" s="80" t="str">
        <f aca="false">IF(B117="","",IFERROR(INDEX('NOTES CM2'!$T$10:$T$250,MATCH(B117,'NOTES CM2'!$B$10:$B$250,0)),""))</f>
        <v/>
      </c>
      <c r="H117" s="80" t="str">
        <f aca="false">IF(B117="","",IFERROR(INDEX('NOTES CM2'!$AB$10:$AB$250,MATCH(B117,'NOTES CM2'!$B$10:$B$250,0)),""))</f>
        <v/>
      </c>
      <c r="I117" s="80" t="str">
        <f aca="false">IF(B117="","",IFERROR(INDEX('NOTES CM2'!$AJ$10:$AJ$250,MATCH(B117,'NOTES CM2'!$B$10:$B$250,0)),""))</f>
        <v/>
      </c>
      <c r="J117" s="82" t="str">
        <f aca="false">IF(COUNT(F117:I117)&lt;4,"",ROUND(SUM(F117:I117)/4,2))</f>
        <v/>
      </c>
      <c r="K117" s="83" t="n">
        <f aca="false">INDEX(PARAMETRES!$D$18:$D$23,MATCH("CM2",PARAMETRES!$B$18:$B$23,0))</f>
        <v>20</v>
      </c>
      <c r="L117" s="81" t="n">
        <f aca="false">INDEX(PARAMETRES!$C$18:$C$23,MATCH("CM2",PARAMETRES!$B$18:$B$23,0))</f>
        <v>10</v>
      </c>
      <c r="M117" s="45" t="str">
        <f aca="false">IF(B117="","",IF(E117="ABANDON","ABANDON",IF(E117="TRANSFERE","TRANSFERE",IF(J117="","",IF(J117&gt;=L117,"ADMIS","REDOUBLE")))))</f>
        <v/>
      </c>
      <c r="N117" s="73" t="str">
        <f aca="false">IF(OR(J117="",E117&lt;&gt;"PRESENT"),"",COUNTIFS($E$10:$E$250,"PRESENT",$J$10:$J$250,"&gt;"&amp;J117)+1)</f>
        <v/>
      </c>
      <c r="O117" s="74" t="str">
        <f aca="false">IF(M117="ADMIS",IF(J117/K117*10&gt;=8,"Très bien",IF(J117/K117*10&gt;=7,"Bien",IF(J117/K117*10&gt;=6,"Assez bien","Passable"))),IF(M117="REDOUBLE","Insuffisant",""))</f>
        <v/>
      </c>
      <c r="P117" s="51" t="str">
        <f aca="false">IFERROR(MATCH("CM2-108",'REGISTRE ELEVES'!$AH$10:$AH$250,0),"")</f>
        <v/>
      </c>
    </row>
    <row r="118" customFormat="false" ht="15" hidden="false" customHeight="false" outlineLevel="0" collapsed="false">
      <c r="A118" s="45" t="str">
        <f aca="false">IF(B118="","",109)</f>
        <v/>
      </c>
      <c r="B118" s="45" t="str">
        <f aca="false">IF($P118="","",INDEX('REGISTRE ELEVES'!$B$10:$B$250,$P118))</f>
        <v/>
      </c>
      <c r="C118" s="74" t="str">
        <f aca="false">IF($P118="","",INDEX('REGISTRE ELEVES'!$D$10:$D$250,$P118))</f>
        <v/>
      </c>
      <c r="D118" s="45" t="str">
        <f aca="false">IF($P118="","",INDEX('REGISTRE ELEVES'!$E$10:$E$250,$P118))</f>
        <v/>
      </c>
      <c r="E118" s="45" t="str">
        <f aca="false">IF($P118="","",INDEX('REGISTRE ELEVES'!$AE$10:$AE$250,$P118))</f>
        <v/>
      </c>
      <c r="F118" s="80" t="str">
        <f aca="false">IF(B118="","",IFERROR(INDEX('NOTES CM2'!$M$10:$M$250,MATCH(B118,'NOTES CM2'!$B$10:$B$250,0)),""))</f>
        <v/>
      </c>
      <c r="G118" s="80" t="str">
        <f aca="false">IF(B118="","",IFERROR(INDEX('NOTES CM2'!$T$10:$T$250,MATCH(B118,'NOTES CM2'!$B$10:$B$250,0)),""))</f>
        <v/>
      </c>
      <c r="H118" s="80" t="str">
        <f aca="false">IF(B118="","",IFERROR(INDEX('NOTES CM2'!$AB$10:$AB$250,MATCH(B118,'NOTES CM2'!$B$10:$B$250,0)),""))</f>
        <v/>
      </c>
      <c r="I118" s="80" t="str">
        <f aca="false">IF(B118="","",IFERROR(INDEX('NOTES CM2'!$AJ$10:$AJ$250,MATCH(B118,'NOTES CM2'!$B$10:$B$250,0)),""))</f>
        <v/>
      </c>
      <c r="J118" s="82" t="str">
        <f aca="false">IF(COUNT(F118:I118)&lt;4,"",ROUND(SUM(F118:I118)/4,2))</f>
        <v/>
      </c>
      <c r="K118" s="83" t="n">
        <f aca="false">INDEX(PARAMETRES!$D$18:$D$23,MATCH("CM2",PARAMETRES!$B$18:$B$23,0))</f>
        <v>20</v>
      </c>
      <c r="L118" s="81" t="n">
        <f aca="false">INDEX(PARAMETRES!$C$18:$C$23,MATCH("CM2",PARAMETRES!$B$18:$B$23,0))</f>
        <v>10</v>
      </c>
      <c r="M118" s="45" t="str">
        <f aca="false">IF(B118="","",IF(E118="ABANDON","ABANDON",IF(E118="TRANSFERE","TRANSFERE",IF(J118="","",IF(J118&gt;=L118,"ADMIS","REDOUBLE")))))</f>
        <v/>
      </c>
      <c r="N118" s="73" t="str">
        <f aca="false">IF(OR(J118="",E118&lt;&gt;"PRESENT"),"",COUNTIFS($E$10:$E$250,"PRESENT",$J$10:$J$250,"&gt;"&amp;J118)+1)</f>
        <v/>
      </c>
      <c r="O118" s="74" t="str">
        <f aca="false">IF(M118="ADMIS",IF(J118/K118*10&gt;=8,"Très bien",IF(J118/K118*10&gt;=7,"Bien",IF(J118/K118*10&gt;=6,"Assez bien","Passable"))),IF(M118="REDOUBLE","Insuffisant",""))</f>
        <v/>
      </c>
      <c r="P118" s="51" t="str">
        <f aca="false">IFERROR(MATCH("CM2-109",'REGISTRE ELEVES'!$AH$10:$AH$250,0),"")</f>
        <v/>
      </c>
    </row>
    <row r="119" customFormat="false" ht="15" hidden="false" customHeight="false" outlineLevel="0" collapsed="false">
      <c r="A119" s="45" t="str">
        <f aca="false">IF(B119="","",110)</f>
        <v/>
      </c>
      <c r="B119" s="45" t="str">
        <f aca="false">IF($P119="","",INDEX('REGISTRE ELEVES'!$B$10:$B$250,$P119))</f>
        <v/>
      </c>
      <c r="C119" s="74" t="str">
        <f aca="false">IF($P119="","",INDEX('REGISTRE ELEVES'!$D$10:$D$250,$P119))</f>
        <v/>
      </c>
      <c r="D119" s="45" t="str">
        <f aca="false">IF($P119="","",INDEX('REGISTRE ELEVES'!$E$10:$E$250,$P119))</f>
        <v/>
      </c>
      <c r="E119" s="45" t="str">
        <f aca="false">IF($P119="","",INDEX('REGISTRE ELEVES'!$AE$10:$AE$250,$P119))</f>
        <v/>
      </c>
      <c r="F119" s="80" t="str">
        <f aca="false">IF(B119="","",IFERROR(INDEX('NOTES CM2'!$M$10:$M$250,MATCH(B119,'NOTES CM2'!$B$10:$B$250,0)),""))</f>
        <v/>
      </c>
      <c r="G119" s="80" t="str">
        <f aca="false">IF(B119="","",IFERROR(INDEX('NOTES CM2'!$T$10:$T$250,MATCH(B119,'NOTES CM2'!$B$10:$B$250,0)),""))</f>
        <v/>
      </c>
      <c r="H119" s="80" t="str">
        <f aca="false">IF(B119="","",IFERROR(INDEX('NOTES CM2'!$AB$10:$AB$250,MATCH(B119,'NOTES CM2'!$B$10:$B$250,0)),""))</f>
        <v/>
      </c>
      <c r="I119" s="80" t="str">
        <f aca="false">IF(B119="","",IFERROR(INDEX('NOTES CM2'!$AJ$10:$AJ$250,MATCH(B119,'NOTES CM2'!$B$10:$B$250,0)),""))</f>
        <v/>
      </c>
      <c r="J119" s="82" t="str">
        <f aca="false">IF(COUNT(F119:I119)&lt;4,"",ROUND(SUM(F119:I119)/4,2))</f>
        <v/>
      </c>
      <c r="K119" s="83" t="n">
        <f aca="false">INDEX(PARAMETRES!$D$18:$D$23,MATCH("CM2",PARAMETRES!$B$18:$B$23,0))</f>
        <v>20</v>
      </c>
      <c r="L119" s="81" t="n">
        <f aca="false">INDEX(PARAMETRES!$C$18:$C$23,MATCH("CM2",PARAMETRES!$B$18:$B$23,0))</f>
        <v>10</v>
      </c>
      <c r="M119" s="45" t="str">
        <f aca="false">IF(B119="","",IF(E119="ABANDON","ABANDON",IF(E119="TRANSFERE","TRANSFERE",IF(J119="","",IF(J119&gt;=L119,"ADMIS","REDOUBLE")))))</f>
        <v/>
      </c>
      <c r="N119" s="73" t="str">
        <f aca="false">IF(OR(J119="",E119&lt;&gt;"PRESENT"),"",COUNTIFS($E$10:$E$250,"PRESENT",$J$10:$J$250,"&gt;"&amp;J119)+1)</f>
        <v/>
      </c>
      <c r="O119" s="74" t="str">
        <f aca="false">IF(M119="ADMIS",IF(J119/K119*10&gt;=8,"Très bien",IF(J119/K119*10&gt;=7,"Bien",IF(J119/K119*10&gt;=6,"Assez bien","Passable"))),IF(M119="REDOUBLE","Insuffisant",""))</f>
        <v/>
      </c>
      <c r="P119" s="51" t="str">
        <f aca="false">IFERROR(MATCH("CM2-110",'REGISTRE ELEVES'!$AH$10:$AH$250,0),"")</f>
        <v/>
      </c>
    </row>
    <row r="120" customFormat="false" ht="15" hidden="false" customHeight="false" outlineLevel="0" collapsed="false">
      <c r="A120" s="45" t="str">
        <f aca="false">IF(B120="","",111)</f>
        <v/>
      </c>
      <c r="B120" s="45" t="str">
        <f aca="false">IF($P120="","",INDEX('REGISTRE ELEVES'!$B$10:$B$250,$P120))</f>
        <v/>
      </c>
      <c r="C120" s="74" t="str">
        <f aca="false">IF($P120="","",INDEX('REGISTRE ELEVES'!$D$10:$D$250,$P120))</f>
        <v/>
      </c>
      <c r="D120" s="45" t="str">
        <f aca="false">IF($P120="","",INDEX('REGISTRE ELEVES'!$E$10:$E$250,$P120))</f>
        <v/>
      </c>
      <c r="E120" s="45" t="str">
        <f aca="false">IF($P120="","",INDEX('REGISTRE ELEVES'!$AE$10:$AE$250,$P120))</f>
        <v/>
      </c>
      <c r="F120" s="80" t="str">
        <f aca="false">IF(B120="","",IFERROR(INDEX('NOTES CM2'!$M$10:$M$250,MATCH(B120,'NOTES CM2'!$B$10:$B$250,0)),""))</f>
        <v/>
      </c>
      <c r="G120" s="80" t="str">
        <f aca="false">IF(B120="","",IFERROR(INDEX('NOTES CM2'!$T$10:$T$250,MATCH(B120,'NOTES CM2'!$B$10:$B$250,0)),""))</f>
        <v/>
      </c>
      <c r="H120" s="80" t="str">
        <f aca="false">IF(B120="","",IFERROR(INDEX('NOTES CM2'!$AB$10:$AB$250,MATCH(B120,'NOTES CM2'!$B$10:$B$250,0)),""))</f>
        <v/>
      </c>
      <c r="I120" s="80" t="str">
        <f aca="false">IF(B120="","",IFERROR(INDEX('NOTES CM2'!$AJ$10:$AJ$250,MATCH(B120,'NOTES CM2'!$B$10:$B$250,0)),""))</f>
        <v/>
      </c>
      <c r="J120" s="82" t="str">
        <f aca="false">IF(COUNT(F120:I120)&lt;4,"",ROUND(SUM(F120:I120)/4,2))</f>
        <v/>
      </c>
      <c r="K120" s="83" t="n">
        <f aca="false">INDEX(PARAMETRES!$D$18:$D$23,MATCH("CM2",PARAMETRES!$B$18:$B$23,0))</f>
        <v>20</v>
      </c>
      <c r="L120" s="81" t="n">
        <f aca="false">INDEX(PARAMETRES!$C$18:$C$23,MATCH("CM2",PARAMETRES!$B$18:$B$23,0))</f>
        <v>10</v>
      </c>
      <c r="M120" s="45" t="str">
        <f aca="false">IF(B120="","",IF(E120="ABANDON","ABANDON",IF(E120="TRANSFERE","TRANSFERE",IF(J120="","",IF(J120&gt;=L120,"ADMIS","REDOUBLE")))))</f>
        <v/>
      </c>
      <c r="N120" s="73" t="str">
        <f aca="false">IF(OR(J120="",E120&lt;&gt;"PRESENT"),"",COUNTIFS($E$10:$E$250,"PRESENT",$J$10:$J$250,"&gt;"&amp;J120)+1)</f>
        <v/>
      </c>
      <c r="O120" s="74" t="str">
        <f aca="false">IF(M120="ADMIS",IF(J120/K120*10&gt;=8,"Très bien",IF(J120/K120*10&gt;=7,"Bien",IF(J120/K120*10&gt;=6,"Assez bien","Passable"))),IF(M120="REDOUBLE","Insuffisant",""))</f>
        <v/>
      </c>
      <c r="P120" s="51" t="str">
        <f aca="false">IFERROR(MATCH("CM2-111",'REGISTRE ELEVES'!$AH$10:$AH$250,0),"")</f>
        <v/>
      </c>
    </row>
    <row r="121" customFormat="false" ht="15" hidden="false" customHeight="false" outlineLevel="0" collapsed="false">
      <c r="A121" s="45" t="str">
        <f aca="false">IF(B121="","",112)</f>
        <v/>
      </c>
      <c r="B121" s="45" t="str">
        <f aca="false">IF($P121="","",INDEX('REGISTRE ELEVES'!$B$10:$B$250,$P121))</f>
        <v/>
      </c>
      <c r="C121" s="74" t="str">
        <f aca="false">IF($P121="","",INDEX('REGISTRE ELEVES'!$D$10:$D$250,$P121))</f>
        <v/>
      </c>
      <c r="D121" s="45" t="str">
        <f aca="false">IF($P121="","",INDEX('REGISTRE ELEVES'!$E$10:$E$250,$P121))</f>
        <v/>
      </c>
      <c r="E121" s="45" t="str">
        <f aca="false">IF($P121="","",INDEX('REGISTRE ELEVES'!$AE$10:$AE$250,$P121))</f>
        <v/>
      </c>
      <c r="F121" s="80" t="str">
        <f aca="false">IF(B121="","",IFERROR(INDEX('NOTES CM2'!$M$10:$M$250,MATCH(B121,'NOTES CM2'!$B$10:$B$250,0)),""))</f>
        <v/>
      </c>
      <c r="G121" s="80" t="str">
        <f aca="false">IF(B121="","",IFERROR(INDEX('NOTES CM2'!$T$10:$T$250,MATCH(B121,'NOTES CM2'!$B$10:$B$250,0)),""))</f>
        <v/>
      </c>
      <c r="H121" s="80" t="str">
        <f aca="false">IF(B121="","",IFERROR(INDEX('NOTES CM2'!$AB$10:$AB$250,MATCH(B121,'NOTES CM2'!$B$10:$B$250,0)),""))</f>
        <v/>
      </c>
      <c r="I121" s="80" t="str">
        <f aca="false">IF(B121="","",IFERROR(INDEX('NOTES CM2'!$AJ$10:$AJ$250,MATCH(B121,'NOTES CM2'!$B$10:$B$250,0)),""))</f>
        <v/>
      </c>
      <c r="J121" s="82" t="str">
        <f aca="false">IF(COUNT(F121:I121)&lt;4,"",ROUND(SUM(F121:I121)/4,2))</f>
        <v/>
      </c>
      <c r="K121" s="83" t="n">
        <f aca="false">INDEX(PARAMETRES!$D$18:$D$23,MATCH("CM2",PARAMETRES!$B$18:$B$23,0))</f>
        <v>20</v>
      </c>
      <c r="L121" s="81" t="n">
        <f aca="false">INDEX(PARAMETRES!$C$18:$C$23,MATCH("CM2",PARAMETRES!$B$18:$B$23,0))</f>
        <v>10</v>
      </c>
      <c r="M121" s="45" t="str">
        <f aca="false">IF(B121="","",IF(E121="ABANDON","ABANDON",IF(E121="TRANSFERE","TRANSFERE",IF(J121="","",IF(J121&gt;=L121,"ADMIS","REDOUBLE")))))</f>
        <v/>
      </c>
      <c r="N121" s="73" t="str">
        <f aca="false">IF(OR(J121="",E121&lt;&gt;"PRESENT"),"",COUNTIFS($E$10:$E$250,"PRESENT",$J$10:$J$250,"&gt;"&amp;J121)+1)</f>
        <v/>
      </c>
      <c r="O121" s="74" t="str">
        <f aca="false">IF(M121="ADMIS",IF(J121/K121*10&gt;=8,"Très bien",IF(J121/K121*10&gt;=7,"Bien",IF(J121/K121*10&gt;=6,"Assez bien","Passable"))),IF(M121="REDOUBLE","Insuffisant",""))</f>
        <v/>
      </c>
      <c r="P121" s="51" t="str">
        <f aca="false">IFERROR(MATCH("CM2-112",'REGISTRE ELEVES'!$AH$10:$AH$250,0),"")</f>
        <v/>
      </c>
    </row>
    <row r="122" customFormat="false" ht="15" hidden="false" customHeight="false" outlineLevel="0" collapsed="false">
      <c r="A122" s="45" t="str">
        <f aca="false">IF(B122="","",113)</f>
        <v/>
      </c>
      <c r="B122" s="45" t="str">
        <f aca="false">IF($P122="","",INDEX('REGISTRE ELEVES'!$B$10:$B$250,$P122))</f>
        <v/>
      </c>
      <c r="C122" s="74" t="str">
        <f aca="false">IF($P122="","",INDEX('REGISTRE ELEVES'!$D$10:$D$250,$P122))</f>
        <v/>
      </c>
      <c r="D122" s="45" t="str">
        <f aca="false">IF($P122="","",INDEX('REGISTRE ELEVES'!$E$10:$E$250,$P122))</f>
        <v/>
      </c>
      <c r="E122" s="45" t="str">
        <f aca="false">IF($P122="","",INDEX('REGISTRE ELEVES'!$AE$10:$AE$250,$P122))</f>
        <v/>
      </c>
      <c r="F122" s="80" t="str">
        <f aca="false">IF(B122="","",IFERROR(INDEX('NOTES CM2'!$M$10:$M$250,MATCH(B122,'NOTES CM2'!$B$10:$B$250,0)),""))</f>
        <v/>
      </c>
      <c r="G122" s="80" t="str">
        <f aca="false">IF(B122="","",IFERROR(INDEX('NOTES CM2'!$T$10:$T$250,MATCH(B122,'NOTES CM2'!$B$10:$B$250,0)),""))</f>
        <v/>
      </c>
      <c r="H122" s="80" t="str">
        <f aca="false">IF(B122="","",IFERROR(INDEX('NOTES CM2'!$AB$10:$AB$250,MATCH(B122,'NOTES CM2'!$B$10:$B$250,0)),""))</f>
        <v/>
      </c>
      <c r="I122" s="80" t="str">
        <f aca="false">IF(B122="","",IFERROR(INDEX('NOTES CM2'!$AJ$10:$AJ$250,MATCH(B122,'NOTES CM2'!$B$10:$B$250,0)),""))</f>
        <v/>
      </c>
      <c r="J122" s="82" t="str">
        <f aca="false">IF(COUNT(F122:I122)&lt;4,"",ROUND(SUM(F122:I122)/4,2))</f>
        <v/>
      </c>
      <c r="K122" s="83" t="n">
        <f aca="false">INDEX(PARAMETRES!$D$18:$D$23,MATCH("CM2",PARAMETRES!$B$18:$B$23,0))</f>
        <v>20</v>
      </c>
      <c r="L122" s="81" t="n">
        <f aca="false">INDEX(PARAMETRES!$C$18:$C$23,MATCH("CM2",PARAMETRES!$B$18:$B$23,0))</f>
        <v>10</v>
      </c>
      <c r="M122" s="45" t="str">
        <f aca="false">IF(B122="","",IF(E122="ABANDON","ABANDON",IF(E122="TRANSFERE","TRANSFERE",IF(J122="","",IF(J122&gt;=L122,"ADMIS","REDOUBLE")))))</f>
        <v/>
      </c>
      <c r="N122" s="73" t="str">
        <f aca="false">IF(OR(J122="",E122&lt;&gt;"PRESENT"),"",COUNTIFS($E$10:$E$250,"PRESENT",$J$10:$J$250,"&gt;"&amp;J122)+1)</f>
        <v/>
      </c>
      <c r="O122" s="74" t="str">
        <f aca="false">IF(M122="ADMIS",IF(J122/K122*10&gt;=8,"Très bien",IF(J122/K122*10&gt;=7,"Bien",IF(J122/K122*10&gt;=6,"Assez bien","Passable"))),IF(M122="REDOUBLE","Insuffisant",""))</f>
        <v/>
      </c>
      <c r="P122" s="51" t="str">
        <f aca="false">IFERROR(MATCH("CM2-113",'REGISTRE ELEVES'!$AH$10:$AH$250,0),"")</f>
        <v/>
      </c>
    </row>
    <row r="123" customFormat="false" ht="15" hidden="false" customHeight="false" outlineLevel="0" collapsed="false">
      <c r="A123" s="45" t="str">
        <f aca="false">IF(B123="","",114)</f>
        <v/>
      </c>
      <c r="B123" s="45" t="str">
        <f aca="false">IF($P123="","",INDEX('REGISTRE ELEVES'!$B$10:$B$250,$P123))</f>
        <v/>
      </c>
      <c r="C123" s="74" t="str">
        <f aca="false">IF($P123="","",INDEX('REGISTRE ELEVES'!$D$10:$D$250,$P123))</f>
        <v/>
      </c>
      <c r="D123" s="45" t="str">
        <f aca="false">IF($P123="","",INDEX('REGISTRE ELEVES'!$E$10:$E$250,$P123))</f>
        <v/>
      </c>
      <c r="E123" s="45" t="str">
        <f aca="false">IF($P123="","",INDEX('REGISTRE ELEVES'!$AE$10:$AE$250,$P123))</f>
        <v/>
      </c>
      <c r="F123" s="80" t="str">
        <f aca="false">IF(B123="","",IFERROR(INDEX('NOTES CM2'!$M$10:$M$250,MATCH(B123,'NOTES CM2'!$B$10:$B$250,0)),""))</f>
        <v/>
      </c>
      <c r="G123" s="80" t="str">
        <f aca="false">IF(B123="","",IFERROR(INDEX('NOTES CM2'!$T$10:$T$250,MATCH(B123,'NOTES CM2'!$B$10:$B$250,0)),""))</f>
        <v/>
      </c>
      <c r="H123" s="80" t="str">
        <f aca="false">IF(B123="","",IFERROR(INDEX('NOTES CM2'!$AB$10:$AB$250,MATCH(B123,'NOTES CM2'!$B$10:$B$250,0)),""))</f>
        <v/>
      </c>
      <c r="I123" s="80" t="str">
        <f aca="false">IF(B123="","",IFERROR(INDEX('NOTES CM2'!$AJ$10:$AJ$250,MATCH(B123,'NOTES CM2'!$B$10:$B$250,0)),""))</f>
        <v/>
      </c>
      <c r="J123" s="82" t="str">
        <f aca="false">IF(COUNT(F123:I123)&lt;4,"",ROUND(SUM(F123:I123)/4,2))</f>
        <v/>
      </c>
      <c r="K123" s="83" t="n">
        <f aca="false">INDEX(PARAMETRES!$D$18:$D$23,MATCH("CM2",PARAMETRES!$B$18:$B$23,0))</f>
        <v>20</v>
      </c>
      <c r="L123" s="81" t="n">
        <f aca="false">INDEX(PARAMETRES!$C$18:$C$23,MATCH("CM2",PARAMETRES!$B$18:$B$23,0))</f>
        <v>10</v>
      </c>
      <c r="M123" s="45" t="str">
        <f aca="false">IF(B123="","",IF(E123="ABANDON","ABANDON",IF(E123="TRANSFERE","TRANSFERE",IF(J123="","",IF(J123&gt;=L123,"ADMIS","REDOUBLE")))))</f>
        <v/>
      </c>
      <c r="N123" s="73" t="str">
        <f aca="false">IF(OR(J123="",E123&lt;&gt;"PRESENT"),"",COUNTIFS($E$10:$E$250,"PRESENT",$J$10:$J$250,"&gt;"&amp;J123)+1)</f>
        <v/>
      </c>
      <c r="O123" s="74" t="str">
        <f aca="false">IF(M123="ADMIS",IF(J123/K123*10&gt;=8,"Très bien",IF(J123/K123*10&gt;=7,"Bien",IF(J123/K123*10&gt;=6,"Assez bien","Passable"))),IF(M123="REDOUBLE","Insuffisant",""))</f>
        <v/>
      </c>
      <c r="P123" s="51" t="str">
        <f aca="false">IFERROR(MATCH("CM2-114",'REGISTRE ELEVES'!$AH$10:$AH$250,0),"")</f>
        <v/>
      </c>
    </row>
    <row r="124" customFormat="false" ht="15" hidden="false" customHeight="false" outlineLevel="0" collapsed="false">
      <c r="A124" s="45" t="str">
        <f aca="false">IF(B124="","",115)</f>
        <v/>
      </c>
      <c r="B124" s="45" t="str">
        <f aca="false">IF($P124="","",INDEX('REGISTRE ELEVES'!$B$10:$B$250,$P124))</f>
        <v/>
      </c>
      <c r="C124" s="74" t="str">
        <f aca="false">IF($P124="","",INDEX('REGISTRE ELEVES'!$D$10:$D$250,$P124))</f>
        <v/>
      </c>
      <c r="D124" s="45" t="str">
        <f aca="false">IF($P124="","",INDEX('REGISTRE ELEVES'!$E$10:$E$250,$P124))</f>
        <v/>
      </c>
      <c r="E124" s="45" t="str">
        <f aca="false">IF($P124="","",INDEX('REGISTRE ELEVES'!$AE$10:$AE$250,$P124))</f>
        <v/>
      </c>
      <c r="F124" s="80" t="str">
        <f aca="false">IF(B124="","",IFERROR(INDEX('NOTES CM2'!$M$10:$M$250,MATCH(B124,'NOTES CM2'!$B$10:$B$250,0)),""))</f>
        <v/>
      </c>
      <c r="G124" s="80" t="str">
        <f aca="false">IF(B124="","",IFERROR(INDEX('NOTES CM2'!$T$10:$T$250,MATCH(B124,'NOTES CM2'!$B$10:$B$250,0)),""))</f>
        <v/>
      </c>
      <c r="H124" s="80" t="str">
        <f aca="false">IF(B124="","",IFERROR(INDEX('NOTES CM2'!$AB$10:$AB$250,MATCH(B124,'NOTES CM2'!$B$10:$B$250,0)),""))</f>
        <v/>
      </c>
      <c r="I124" s="80" t="str">
        <f aca="false">IF(B124="","",IFERROR(INDEX('NOTES CM2'!$AJ$10:$AJ$250,MATCH(B124,'NOTES CM2'!$B$10:$B$250,0)),""))</f>
        <v/>
      </c>
      <c r="J124" s="82" t="str">
        <f aca="false">IF(COUNT(F124:I124)&lt;4,"",ROUND(SUM(F124:I124)/4,2))</f>
        <v/>
      </c>
      <c r="K124" s="83" t="n">
        <f aca="false">INDEX(PARAMETRES!$D$18:$D$23,MATCH("CM2",PARAMETRES!$B$18:$B$23,0))</f>
        <v>20</v>
      </c>
      <c r="L124" s="81" t="n">
        <f aca="false">INDEX(PARAMETRES!$C$18:$C$23,MATCH("CM2",PARAMETRES!$B$18:$B$23,0))</f>
        <v>10</v>
      </c>
      <c r="M124" s="45" t="str">
        <f aca="false">IF(B124="","",IF(E124="ABANDON","ABANDON",IF(E124="TRANSFERE","TRANSFERE",IF(J124="","",IF(J124&gt;=L124,"ADMIS","REDOUBLE")))))</f>
        <v/>
      </c>
      <c r="N124" s="73" t="str">
        <f aca="false">IF(OR(J124="",E124&lt;&gt;"PRESENT"),"",COUNTIFS($E$10:$E$250,"PRESENT",$J$10:$J$250,"&gt;"&amp;J124)+1)</f>
        <v/>
      </c>
      <c r="O124" s="74" t="str">
        <f aca="false">IF(M124="ADMIS",IF(J124/K124*10&gt;=8,"Très bien",IF(J124/K124*10&gt;=7,"Bien",IF(J124/K124*10&gt;=6,"Assez bien","Passable"))),IF(M124="REDOUBLE","Insuffisant",""))</f>
        <v/>
      </c>
      <c r="P124" s="51" t="str">
        <f aca="false">IFERROR(MATCH("CM2-115",'REGISTRE ELEVES'!$AH$10:$AH$250,0),"")</f>
        <v/>
      </c>
    </row>
    <row r="125" customFormat="false" ht="15" hidden="false" customHeight="false" outlineLevel="0" collapsed="false">
      <c r="A125" s="45" t="str">
        <f aca="false">IF(B125="","",116)</f>
        <v/>
      </c>
      <c r="B125" s="45" t="str">
        <f aca="false">IF($P125="","",INDEX('REGISTRE ELEVES'!$B$10:$B$250,$P125))</f>
        <v/>
      </c>
      <c r="C125" s="74" t="str">
        <f aca="false">IF($P125="","",INDEX('REGISTRE ELEVES'!$D$10:$D$250,$P125))</f>
        <v/>
      </c>
      <c r="D125" s="45" t="str">
        <f aca="false">IF($P125="","",INDEX('REGISTRE ELEVES'!$E$10:$E$250,$P125))</f>
        <v/>
      </c>
      <c r="E125" s="45" t="str">
        <f aca="false">IF($P125="","",INDEX('REGISTRE ELEVES'!$AE$10:$AE$250,$P125))</f>
        <v/>
      </c>
      <c r="F125" s="80" t="str">
        <f aca="false">IF(B125="","",IFERROR(INDEX('NOTES CM2'!$M$10:$M$250,MATCH(B125,'NOTES CM2'!$B$10:$B$250,0)),""))</f>
        <v/>
      </c>
      <c r="G125" s="80" t="str">
        <f aca="false">IF(B125="","",IFERROR(INDEX('NOTES CM2'!$T$10:$T$250,MATCH(B125,'NOTES CM2'!$B$10:$B$250,0)),""))</f>
        <v/>
      </c>
      <c r="H125" s="80" t="str">
        <f aca="false">IF(B125="","",IFERROR(INDEX('NOTES CM2'!$AB$10:$AB$250,MATCH(B125,'NOTES CM2'!$B$10:$B$250,0)),""))</f>
        <v/>
      </c>
      <c r="I125" s="80" t="str">
        <f aca="false">IF(B125="","",IFERROR(INDEX('NOTES CM2'!$AJ$10:$AJ$250,MATCH(B125,'NOTES CM2'!$B$10:$B$250,0)),""))</f>
        <v/>
      </c>
      <c r="J125" s="82" t="str">
        <f aca="false">IF(COUNT(F125:I125)&lt;4,"",ROUND(SUM(F125:I125)/4,2))</f>
        <v/>
      </c>
      <c r="K125" s="83" t="n">
        <f aca="false">INDEX(PARAMETRES!$D$18:$D$23,MATCH("CM2",PARAMETRES!$B$18:$B$23,0))</f>
        <v>20</v>
      </c>
      <c r="L125" s="81" t="n">
        <f aca="false">INDEX(PARAMETRES!$C$18:$C$23,MATCH("CM2",PARAMETRES!$B$18:$B$23,0))</f>
        <v>10</v>
      </c>
      <c r="M125" s="45" t="str">
        <f aca="false">IF(B125="","",IF(E125="ABANDON","ABANDON",IF(E125="TRANSFERE","TRANSFERE",IF(J125="","",IF(J125&gt;=L125,"ADMIS","REDOUBLE")))))</f>
        <v/>
      </c>
      <c r="N125" s="73" t="str">
        <f aca="false">IF(OR(J125="",E125&lt;&gt;"PRESENT"),"",COUNTIFS($E$10:$E$250,"PRESENT",$J$10:$J$250,"&gt;"&amp;J125)+1)</f>
        <v/>
      </c>
      <c r="O125" s="74" t="str">
        <f aca="false">IF(M125="ADMIS",IF(J125/K125*10&gt;=8,"Très bien",IF(J125/K125*10&gt;=7,"Bien",IF(J125/K125*10&gt;=6,"Assez bien","Passable"))),IF(M125="REDOUBLE","Insuffisant",""))</f>
        <v/>
      </c>
      <c r="P125" s="51" t="str">
        <f aca="false">IFERROR(MATCH("CM2-116",'REGISTRE ELEVES'!$AH$10:$AH$250,0),"")</f>
        <v/>
      </c>
    </row>
    <row r="126" customFormat="false" ht="15" hidden="false" customHeight="false" outlineLevel="0" collapsed="false">
      <c r="A126" s="45" t="str">
        <f aca="false">IF(B126="","",117)</f>
        <v/>
      </c>
      <c r="B126" s="45" t="str">
        <f aca="false">IF($P126="","",INDEX('REGISTRE ELEVES'!$B$10:$B$250,$P126))</f>
        <v/>
      </c>
      <c r="C126" s="74" t="str">
        <f aca="false">IF($P126="","",INDEX('REGISTRE ELEVES'!$D$10:$D$250,$P126))</f>
        <v/>
      </c>
      <c r="D126" s="45" t="str">
        <f aca="false">IF($P126="","",INDEX('REGISTRE ELEVES'!$E$10:$E$250,$P126))</f>
        <v/>
      </c>
      <c r="E126" s="45" t="str">
        <f aca="false">IF($P126="","",INDEX('REGISTRE ELEVES'!$AE$10:$AE$250,$P126))</f>
        <v/>
      </c>
      <c r="F126" s="80" t="str">
        <f aca="false">IF(B126="","",IFERROR(INDEX('NOTES CM2'!$M$10:$M$250,MATCH(B126,'NOTES CM2'!$B$10:$B$250,0)),""))</f>
        <v/>
      </c>
      <c r="G126" s="80" t="str">
        <f aca="false">IF(B126="","",IFERROR(INDEX('NOTES CM2'!$T$10:$T$250,MATCH(B126,'NOTES CM2'!$B$10:$B$250,0)),""))</f>
        <v/>
      </c>
      <c r="H126" s="80" t="str">
        <f aca="false">IF(B126="","",IFERROR(INDEX('NOTES CM2'!$AB$10:$AB$250,MATCH(B126,'NOTES CM2'!$B$10:$B$250,0)),""))</f>
        <v/>
      </c>
      <c r="I126" s="80" t="str">
        <f aca="false">IF(B126="","",IFERROR(INDEX('NOTES CM2'!$AJ$10:$AJ$250,MATCH(B126,'NOTES CM2'!$B$10:$B$250,0)),""))</f>
        <v/>
      </c>
      <c r="J126" s="82" t="str">
        <f aca="false">IF(COUNT(F126:I126)&lt;4,"",ROUND(SUM(F126:I126)/4,2))</f>
        <v/>
      </c>
      <c r="K126" s="83" t="n">
        <f aca="false">INDEX(PARAMETRES!$D$18:$D$23,MATCH("CM2",PARAMETRES!$B$18:$B$23,0))</f>
        <v>20</v>
      </c>
      <c r="L126" s="81" t="n">
        <f aca="false">INDEX(PARAMETRES!$C$18:$C$23,MATCH("CM2",PARAMETRES!$B$18:$B$23,0))</f>
        <v>10</v>
      </c>
      <c r="M126" s="45" t="str">
        <f aca="false">IF(B126="","",IF(E126="ABANDON","ABANDON",IF(E126="TRANSFERE","TRANSFERE",IF(J126="","",IF(J126&gt;=L126,"ADMIS","REDOUBLE")))))</f>
        <v/>
      </c>
      <c r="N126" s="73" t="str">
        <f aca="false">IF(OR(J126="",E126&lt;&gt;"PRESENT"),"",COUNTIFS($E$10:$E$250,"PRESENT",$J$10:$J$250,"&gt;"&amp;J126)+1)</f>
        <v/>
      </c>
      <c r="O126" s="74" t="str">
        <f aca="false">IF(M126="ADMIS",IF(J126/K126*10&gt;=8,"Très bien",IF(J126/K126*10&gt;=7,"Bien",IF(J126/K126*10&gt;=6,"Assez bien","Passable"))),IF(M126="REDOUBLE","Insuffisant",""))</f>
        <v/>
      </c>
      <c r="P126" s="51" t="str">
        <f aca="false">IFERROR(MATCH("CM2-117",'REGISTRE ELEVES'!$AH$10:$AH$250,0),"")</f>
        <v/>
      </c>
    </row>
    <row r="127" customFormat="false" ht="15" hidden="false" customHeight="false" outlineLevel="0" collapsed="false">
      <c r="A127" s="45" t="str">
        <f aca="false">IF(B127="","",118)</f>
        <v/>
      </c>
      <c r="B127" s="45" t="str">
        <f aca="false">IF($P127="","",INDEX('REGISTRE ELEVES'!$B$10:$B$250,$P127))</f>
        <v/>
      </c>
      <c r="C127" s="74" t="str">
        <f aca="false">IF($P127="","",INDEX('REGISTRE ELEVES'!$D$10:$D$250,$P127))</f>
        <v/>
      </c>
      <c r="D127" s="45" t="str">
        <f aca="false">IF($P127="","",INDEX('REGISTRE ELEVES'!$E$10:$E$250,$P127))</f>
        <v/>
      </c>
      <c r="E127" s="45" t="str">
        <f aca="false">IF($P127="","",INDEX('REGISTRE ELEVES'!$AE$10:$AE$250,$P127))</f>
        <v/>
      </c>
      <c r="F127" s="80" t="str">
        <f aca="false">IF(B127="","",IFERROR(INDEX('NOTES CM2'!$M$10:$M$250,MATCH(B127,'NOTES CM2'!$B$10:$B$250,0)),""))</f>
        <v/>
      </c>
      <c r="G127" s="80" t="str">
        <f aca="false">IF(B127="","",IFERROR(INDEX('NOTES CM2'!$T$10:$T$250,MATCH(B127,'NOTES CM2'!$B$10:$B$250,0)),""))</f>
        <v/>
      </c>
      <c r="H127" s="80" t="str">
        <f aca="false">IF(B127="","",IFERROR(INDEX('NOTES CM2'!$AB$10:$AB$250,MATCH(B127,'NOTES CM2'!$B$10:$B$250,0)),""))</f>
        <v/>
      </c>
      <c r="I127" s="80" t="str">
        <f aca="false">IF(B127="","",IFERROR(INDEX('NOTES CM2'!$AJ$10:$AJ$250,MATCH(B127,'NOTES CM2'!$B$10:$B$250,0)),""))</f>
        <v/>
      </c>
      <c r="J127" s="82" t="str">
        <f aca="false">IF(COUNT(F127:I127)&lt;4,"",ROUND(SUM(F127:I127)/4,2))</f>
        <v/>
      </c>
      <c r="K127" s="83" t="n">
        <f aca="false">INDEX(PARAMETRES!$D$18:$D$23,MATCH("CM2",PARAMETRES!$B$18:$B$23,0))</f>
        <v>20</v>
      </c>
      <c r="L127" s="81" t="n">
        <f aca="false">INDEX(PARAMETRES!$C$18:$C$23,MATCH("CM2",PARAMETRES!$B$18:$B$23,0))</f>
        <v>10</v>
      </c>
      <c r="M127" s="45" t="str">
        <f aca="false">IF(B127="","",IF(E127="ABANDON","ABANDON",IF(E127="TRANSFERE","TRANSFERE",IF(J127="","",IF(J127&gt;=L127,"ADMIS","REDOUBLE")))))</f>
        <v/>
      </c>
      <c r="N127" s="73" t="str">
        <f aca="false">IF(OR(J127="",E127&lt;&gt;"PRESENT"),"",COUNTIFS($E$10:$E$250,"PRESENT",$J$10:$J$250,"&gt;"&amp;J127)+1)</f>
        <v/>
      </c>
      <c r="O127" s="74" t="str">
        <f aca="false">IF(M127="ADMIS",IF(J127/K127*10&gt;=8,"Très bien",IF(J127/K127*10&gt;=7,"Bien",IF(J127/K127*10&gt;=6,"Assez bien","Passable"))),IF(M127="REDOUBLE","Insuffisant",""))</f>
        <v/>
      </c>
      <c r="P127" s="51" t="str">
        <f aca="false">IFERROR(MATCH("CM2-118",'REGISTRE ELEVES'!$AH$10:$AH$250,0),"")</f>
        <v/>
      </c>
    </row>
    <row r="128" customFormat="false" ht="15" hidden="false" customHeight="false" outlineLevel="0" collapsed="false">
      <c r="A128" s="45" t="str">
        <f aca="false">IF(B128="","",119)</f>
        <v/>
      </c>
      <c r="B128" s="45" t="str">
        <f aca="false">IF($P128="","",INDEX('REGISTRE ELEVES'!$B$10:$B$250,$P128))</f>
        <v/>
      </c>
      <c r="C128" s="74" t="str">
        <f aca="false">IF($P128="","",INDEX('REGISTRE ELEVES'!$D$10:$D$250,$P128))</f>
        <v/>
      </c>
      <c r="D128" s="45" t="str">
        <f aca="false">IF($P128="","",INDEX('REGISTRE ELEVES'!$E$10:$E$250,$P128))</f>
        <v/>
      </c>
      <c r="E128" s="45" t="str">
        <f aca="false">IF($P128="","",INDEX('REGISTRE ELEVES'!$AE$10:$AE$250,$P128))</f>
        <v/>
      </c>
      <c r="F128" s="80" t="str">
        <f aca="false">IF(B128="","",IFERROR(INDEX('NOTES CM2'!$M$10:$M$250,MATCH(B128,'NOTES CM2'!$B$10:$B$250,0)),""))</f>
        <v/>
      </c>
      <c r="G128" s="80" t="str">
        <f aca="false">IF(B128="","",IFERROR(INDEX('NOTES CM2'!$T$10:$T$250,MATCH(B128,'NOTES CM2'!$B$10:$B$250,0)),""))</f>
        <v/>
      </c>
      <c r="H128" s="80" t="str">
        <f aca="false">IF(B128="","",IFERROR(INDEX('NOTES CM2'!$AB$10:$AB$250,MATCH(B128,'NOTES CM2'!$B$10:$B$250,0)),""))</f>
        <v/>
      </c>
      <c r="I128" s="80" t="str">
        <f aca="false">IF(B128="","",IFERROR(INDEX('NOTES CM2'!$AJ$10:$AJ$250,MATCH(B128,'NOTES CM2'!$B$10:$B$250,0)),""))</f>
        <v/>
      </c>
      <c r="J128" s="82" t="str">
        <f aca="false">IF(COUNT(F128:I128)&lt;4,"",ROUND(SUM(F128:I128)/4,2))</f>
        <v/>
      </c>
      <c r="K128" s="83" t="n">
        <f aca="false">INDEX(PARAMETRES!$D$18:$D$23,MATCH("CM2",PARAMETRES!$B$18:$B$23,0))</f>
        <v>20</v>
      </c>
      <c r="L128" s="81" t="n">
        <f aca="false">INDEX(PARAMETRES!$C$18:$C$23,MATCH("CM2",PARAMETRES!$B$18:$B$23,0))</f>
        <v>10</v>
      </c>
      <c r="M128" s="45" t="str">
        <f aca="false">IF(B128="","",IF(E128="ABANDON","ABANDON",IF(E128="TRANSFERE","TRANSFERE",IF(J128="","",IF(J128&gt;=L128,"ADMIS","REDOUBLE")))))</f>
        <v/>
      </c>
      <c r="N128" s="73" t="str">
        <f aca="false">IF(OR(J128="",E128&lt;&gt;"PRESENT"),"",COUNTIFS($E$10:$E$250,"PRESENT",$J$10:$J$250,"&gt;"&amp;J128)+1)</f>
        <v/>
      </c>
      <c r="O128" s="74" t="str">
        <f aca="false">IF(M128="ADMIS",IF(J128/K128*10&gt;=8,"Très bien",IF(J128/K128*10&gt;=7,"Bien",IF(J128/K128*10&gt;=6,"Assez bien","Passable"))),IF(M128="REDOUBLE","Insuffisant",""))</f>
        <v/>
      </c>
      <c r="P128" s="51" t="str">
        <f aca="false">IFERROR(MATCH("CM2-119",'REGISTRE ELEVES'!$AH$10:$AH$250,0),"")</f>
        <v/>
      </c>
    </row>
    <row r="129" customFormat="false" ht="15" hidden="false" customHeight="false" outlineLevel="0" collapsed="false">
      <c r="A129" s="45" t="str">
        <f aca="false">IF(B129="","",120)</f>
        <v/>
      </c>
      <c r="B129" s="45" t="str">
        <f aca="false">IF($P129="","",INDEX('REGISTRE ELEVES'!$B$10:$B$250,$P129))</f>
        <v/>
      </c>
      <c r="C129" s="74" t="str">
        <f aca="false">IF($P129="","",INDEX('REGISTRE ELEVES'!$D$10:$D$250,$P129))</f>
        <v/>
      </c>
      <c r="D129" s="45" t="str">
        <f aca="false">IF($P129="","",INDEX('REGISTRE ELEVES'!$E$10:$E$250,$P129))</f>
        <v/>
      </c>
      <c r="E129" s="45" t="str">
        <f aca="false">IF($P129="","",INDEX('REGISTRE ELEVES'!$AE$10:$AE$250,$P129))</f>
        <v/>
      </c>
      <c r="F129" s="80" t="str">
        <f aca="false">IF(B129="","",IFERROR(INDEX('NOTES CM2'!$M$10:$M$250,MATCH(B129,'NOTES CM2'!$B$10:$B$250,0)),""))</f>
        <v/>
      </c>
      <c r="G129" s="80" t="str">
        <f aca="false">IF(B129="","",IFERROR(INDEX('NOTES CM2'!$T$10:$T$250,MATCH(B129,'NOTES CM2'!$B$10:$B$250,0)),""))</f>
        <v/>
      </c>
      <c r="H129" s="80" t="str">
        <f aca="false">IF(B129="","",IFERROR(INDEX('NOTES CM2'!$AB$10:$AB$250,MATCH(B129,'NOTES CM2'!$B$10:$B$250,0)),""))</f>
        <v/>
      </c>
      <c r="I129" s="80" t="str">
        <f aca="false">IF(B129="","",IFERROR(INDEX('NOTES CM2'!$AJ$10:$AJ$250,MATCH(B129,'NOTES CM2'!$B$10:$B$250,0)),""))</f>
        <v/>
      </c>
      <c r="J129" s="82" t="str">
        <f aca="false">IF(COUNT(F129:I129)&lt;4,"",ROUND(SUM(F129:I129)/4,2))</f>
        <v/>
      </c>
      <c r="K129" s="83" t="n">
        <f aca="false">INDEX(PARAMETRES!$D$18:$D$23,MATCH("CM2",PARAMETRES!$B$18:$B$23,0))</f>
        <v>20</v>
      </c>
      <c r="L129" s="81" t="n">
        <f aca="false">INDEX(PARAMETRES!$C$18:$C$23,MATCH("CM2",PARAMETRES!$B$18:$B$23,0))</f>
        <v>10</v>
      </c>
      <c r="M129" s="45" t="str">
        <f aca="false">IF(B129="","",IF(E129="ABANDON","ABANDON",IF(E129="TRANSFERE","TRANSFERE",IF(J129="","",IF(J129&gt;=L129,"ADMIS","REDOUBLE")))))</f>
        <v/>
      </c>
      <c r="N129" s="73" t="str">
        <f aca="false">IF(OR(J129="",E129&lt;&gt;"PRESENT"),"",COUNTIFS($E$10:$E$250,"PRESENT",$J$10:$J$250,"&gt;"&amp;J129)+1)</f>
        <v/>
      </c>
      <c r="O129" s="74" t="str">
        <f aca="false">IF(M129="ADMIS",IF(J129/K129*10&gt;=8,"Très bien",IF(J129/K129*10&gt;=7,"Bien",IF(J129/K129*10&gt;=6,"Assez bien","Passable"))),IF(M129="REDOUBLE","Insuffisant",""))</f>
        <v/>
      </c>
      <c r="P129" s="51" t="str">
        <f aca="false">IFERROR(MATCH("CM2-120",'REGISTRE ELEVES'!$AH$10:$AH$250,0),"")</f>
        <v/>
      </c>
    </row>
    <row r="130" customFormat="false" ht="15" hidden="false" customHeight="false" outlineLevel="0" collapsed="false">
      <c r="A130" s="45" t="str">
        <f aca="false">IF(B130="","",121)</f>
        <v/>
      </c>
      <c r="B130" s="45" t="str">
        <f aca="false">IF($P130="","",INDEX('REGISTRE ELEVES'!$B$10:$B$250,$P130))</f>
        <v/>
      </c>
      <c r="C130" s="74" t="str">
        <f aca="false">IF($P130="","",INDEX('REGISTRE ELEVES'!$D$10:$D$250,$P130))</f>
        <v/>
      </c>
      <c r="D130" s="45" t="str">
        <f aca="false">IF($P130="","",INDEX('REGISTRE ELEVES'!$E$10:$E$250,$P130))</f>
        <v/>
      </c>
      <c r="E130" s="45" t="str">
        <f aca="false">IF($P130="","",INDEX('REGISTRE ELEVES'!$AE$10:$AE$250,$P130))</f>
        <v/>
      </c>
      <c r="F130" s="80" t="str">
        <f aca="false">IF(B130="","",IFERROR(INDEX('NOTES CM2'!$M$10:$M$250,MATCH(B130,'NOTES CM2'!$B$10:$B$250,0)),""))</f>
        <v/>
      </c>
      <c r="G130" s="80" t="str">
        <f aca="false">IF(B130="","",IFERROR(INDEX('NOTES CM2'!$T$10:$T$250,MATCH(B130,'NOTES CM2'!$B$10:$B$250,0)),""))</f>
        <v/>
      </c>
      <c r="H130" s="80" t="str">
        <f aca="false">IF(B130="","",IFERROR(INDEX('NOTES CM2'!$AB$10:$AB$250,MATCH(B130,'NOTES CM2'!$B$10:$B$250,0)),""))</f>
        <v/>
      </c>
      <c r="I130" s="80" t="str">
        <f aca="false">IF(B130="","",IFERROR(INDEX('NOTES CM2'!$AJ$10:$AJ$250,MATCH(B130,'NOTES CM2'!$B$10:$B$250,0)),""))</f>
        <v/>
      </c>
      <c r="J130" s="82" t="str">
        <f aca="false">IF(COUNT(F130:I130)&lt;4,"",ROUND(SUM(F130:I130)/4,2))</f>
        <v/>
      </c>
      <c r="K130" s="83" t="n">
        <f aca="false">INDEX(PARAMETRES!$D$18:$D$23,MATCH("CM2",PARAMETRES!$B$18:$B$23,0))</f>
        <v>20</v>
      </c>
      <c r="L130" s="81" t="n">
        <f aca="false">INDEX(PARAMETRES!$C$18:$C$23,MATCH("CM2",PARAMETRES!$B$18:$B$23,0))</f>
        <v>10</v>
      </c>
      <c r="M130" s="45" t="str">
        <f aca="false">IF(B130="","",IF(E130="ABANDON","ABANDON",IF(E130="TRANSFERE","TRANSFERE",IF(J130="","",IF(J130&gt;=L130,"ADMIS","REDOUBLE")))))</f>
        <v/>
      </c>
      <c r="N130" s="73" t="str">
        <f aca="false">IF(OR(J130="",E130&lt;&gt;"PRESENT"),"",COUNTIFS($E$10:$E$250,"PRESENT",$J$10:$J$250,"&gt;"&amp;J130)+1)</f>
        <v/>
      </c>
      <c r="O130" s="74" t="str">
        <f aca="false">IF(M130="ADMIS",IF(J130/K130*10&gt;=8,"Très bien",IF(J130/K130*10&gt;=7,"Bien",IF(J130/K130*10&gt;=6,"Assez bien","Passable"))),IF(M130="REDOUBLE","Insuffisant",""))</f>
        <v/>
      </c>
      <c r="P130" s="51" t="str">
        <f aca="false">IFERROR(MATCH("CM2-121",'REGISTRE ELEVES'!$AH$10:$AH$250,0),"")</f>
        <v/>
      </c>
    </row>
    <row r="131" customFormat="false" ht="15" hidden="false" customHeight="false" outlineLevel="0" collapsed="false">
      <c r="A131" s="45" t="str">
        <f aca="false">IF(B131="","",122)</f>
        <v/>
      </c>
      <c r="B131" s="45" t="str">
        <f aca="false">IF($P131="","",INDEX('REGISTRE ELEVES'!$B$10:$B$250,$P131))</f>
        <v/>
      </c>
      <c r="C131" s="74" t="str">
        <f aca="false">IF($P131="","",INDEX('REGISTRE ELEVES'!$D$10:$D$250,$P131))</f>
        <v/>
      </c>
      <c r="D131" s="45" t="str">
        <f aca="false">IF($P131="","",INDEX('REGISTRE ELEVES'!$E$10:$E$250,$P131))</f>
        <v/>
      </c>
      <c r="E131" s="45" t="str">
        <f aca="false">IF($P131="","",INDEX('REGISTRE ELEVES'!$AE$10:$AE$250,$P131))</f>
        <v/>
      </c>
      <c r="F131" s="80" t="str">
        <f aca="false">IF(B131="","",IFERROR(INDEX('NOTES CM2'!$M$10:$M$250,MATCH(B131,'NOTES CM2'!$B$10:$B$250,0)),""))</f>
        <v/>
      </c>
      <c r="G131" s="80" t="str">
        <f aca="false">IF(B131="","",IFERROR(INDEX('NOTES CM2'!$T$10:$T$250,MATCH(B131,'NOTES CM2'!$B$10:$B$250,0)),""))</f>
        <v/>
      </c>
      <c r="H131" s="80" t="str">
        <f aca="false">IF(B131="","",IFERROR(INDEX('NOTES CM2'!$AB$10:$AB$250,MATCH(B131,'NOTES CM2'!$B$10:$B$250,0)),""))</f>
        <v/>
      </c>
      <c r="I131" s="80" t="str">
        <f aca="false">IF(B131="","",IFERROR(INDEX('NOTES CM2'!$AJ$10:$AJ$250,MATCH(B131,'NOTES CM2'!$B$10:$B$250,0)),""))</f>
        <v/>
      </c>
      <c r="J131" s="82" t="str">
        <f aca="false">IF(COUNT(F131:I131)&lt;4,"",ROUND(SUM(F131:I131)/4,2))</f>
        <v/>
      </c>
      <c r="K131" s="83" t="n">
        <f aca="false">INDEX(PARAMETRES!$D$18:$D$23,MATCH("CM2",PARAMETRES!$B$18:$B$23,0))</f>
        <v>20</v>
      </c>
      <c r="L131" s="81" t="n">
        <f aca="false">INDEX(PARAMETRES!$C$18:$C$23,MATCH("CM2",PARAMETRES!$B$18:$B$23,0))</f>
        <v>10</v>
      </c>
      <c r="M131" s="45" t="str">
        <f aca="false">IF(B131="","",IF(E131="ABANDON","ABANDON",IF(E131="TRANSFERE","TRANSFERE",IF(J131="","",IF(J131&gt;=L131,"ADMIS","REDOUBLE")))))</f>
        <v/>
      </c>
      <c r="N131" s="73" t="str">
        <f aca="false">IF(OR(J131="",E131&lt;&gt;"PRESENT"),"",COUNTIFS($E$10:$E$250,"PRESENT",$J$10:$J$250,"&gt;"&amp;J131)+1)</f>
        <v/>
      </c>
      <c r="O131" s="74" t="str">
        <f aca="false">IF(M131="ADMIS",IF(J131/K131*10&gt;=8,"Très bien",IF(J131/K131*10&gt;=7,"Bien",IF(J131/K131*10&gt;=6,"Assez bien","Passable"))),IF(M131="REDOUBLE","Insuffisant",""))</f>
        <v/>
      </c>
      <c r="P131" s="51" t="str">
        <f aca="false">IFERROR(MATCH("CM2-122",'REGISTRE ELEVES'!$AH$10:$AH$250,0),"")</f>
        <v/>
      </c>
    </row>
    <row r="132" customFormat="false" ht="15" hidden="false" customHeight="false" outlineLevel="0" collapsed="false">
      <c r="A132" s="45" t="str">
        <f aca="false">IF(B132="","",123)</f>
        <v/>
      </c>
      <c r="B132" s="45" t="str">
        <f aca="false">IF($P132="","",INDEX('REGISTRE ELEVES'!$B$10:$B$250,$P132))</f>
        <v/>
      </c>
      <c r="C132" s="74" t="str">
        <f aca="false">IF($P132="","",INDEX('REGISTRE ELEVES'!$D$10:$D$250,$P132))</f>
        <v/>
      </c>
      <c r="D132" s="45" t="str">
        <f aca="false">IF($P132="","",INDEX('REGISTRE ELEVES'!$E$10:$E$250,$P132))</f>
        <v/>
      </c>
      <c r="E132" s="45" t="str">
        <f aca="false">IF($P132="","",INDEX('REGISTRE ELEVES'!$AE$10:$AE$250,$P132))</f>
        <v/>
      </c>
      <c r="F132" s="80" t="str">
        <f aca="false">IF(B132="","",IFERROR(INDEX('NOTES CM2'!$M$10:$M$250,MATCH(B132,'NOTES CM2'!$B$10:$B$250,0)),""))</f>
        <v/>
      </c>
      <c r="G132" s="80" t="str">
        <f aca="false">IF(B132="","",IFERROR(INDEX('NOTES CM2'!$T$10:$T$250,MATCH(B132,'NOTES CM2'!$B$10:$B$250,0)),""))</f>
        <v/>
      </c>
      <c r="H132" s="80" t="str">
        <f aca="false">IF(B132="","",IFERROR(INDEX('NOTES CM2'!$AB$10:$AB$250,MATCH(B132,'NOTES CM2'!$B$10:$B$250,0)),""))</f>
        <v/>
      </c>
      <c r="I132" s="80" t="str">
        <f aca="false">IF(B132="","",IFERROR(INDEX('NOTES CM2'!$AJ$10:$AJ$250,MATCH(B132,'NOTES CM2'!$B$10:$B$250,0)),""))</f>
        <v/>
      </c>
      <c r="J132" s="82" t="str">
        <f aca="false">IF(COUNT(F132:I132)&lt;4,"",ROUND(SUM(F132:I132)/4,2))</f>
        <v/>
      </c>
      <c r="K132" s="83" t="n">
        <f aca="false">INDEX(PARAMETRES!$D$18:$D$23,MATCH("CM2",PARAMETRES!$B$18:$B$23,0))</f>
        <v>20</v>
      </c>
      <c r="L132" s="81" t="n">
        <f aca="false">INDEX(PARAMETRES!$C$18:$C$23,MATCH("CM2",PARAMETRES!$B$18:$B$23,0))</f>
        <v>10</v>
      </c>
      <c r="M132" s="45" t="str">
        <f aca="false">IF(B132="","",IF(E132="ABANDON","ABANDON",IF(E132="TRANSFERE","TRANSFERE",IF(J132="","",IF(J132&gt;=L132,"ADMIS","REDOUBLE")))))</f>
        <v/>
      </c>
      <c r="N132" s="73" t="str">
        <f aca="false">IF(OR(J132="",E132&lt;&gt;"PRESENT"),"",COUNTIFS($E$10:$E$250,"PRESENT",$J$10:$J$250,"&gt;"&amp;J132)+1)</f>
        <v/>
      </c>
      <c r="O132" s="74" t="str">
        <f aca="false">IF(M132="ADMIS",IF(J132/K132*10&gt;=8,"Très bien",IF(J132/K132*10&gt;=7,"Bien",IF(J132/K132*10&gt;=6,"Assez bien","Passable"))),IF(M132="REDOUBLE","Insuffisant",""))</f>
        <v/>
      </c>
      <c r="P132" s="51" t="str">
        <f aca="false">IFERROR(MATCH("CM2-123",'REGISTRE ELEVES'!$AH$10:$AH$250,0),"")</f>
        <v/>
      </c>
    </row>
    <row r="133" customFormat="false" ht="15" hidden="false" customHeight="false" outlineLevel="0" collapsed="false">
      <c r="A133" s="45" t="str">
        <f aca="false">IF(B133="","",124)</f>
        <v/>
      </c>
      <c r="B133" s="45" t="str">
        <f aca="false">IF($P133="","",INDEX('REGISTRE ELEVES'!$B$10:$B$250,$P133))</f>
        <v/>
      </c>
      <c r="C133" s="74" t="str">
        <f aca="false">IF($P133="","",INDEX('REGISTRE ELEVES'!$D$10:$D$250,$P133))</f>
        <v/>
      </c>
      <c r="D133" s="45" t="str">
        <f aca="false">IF($P133="","",INDEX('REGISTRE ELEVES'!$E$10:$E$250,$P133))</f>
        <v/>
      </c>
      <c r="E133" s="45" t="str">
        <f aca="false">IF($P133="","",INDEX('REGISTRE ELEVES'!$AE$10:$AE$250,$P133))</f>
        <v/>
      </c>
      <c r="F133" s="80" t="str">
        <f aca="false">IF(B133="","",IFERROR(INDEX('NOTES CM2'!$M$10:$M$250,MATCH(B133,'NOTES CM2'!$B$10:$B$250,0)),""))</f>
        <v/>
      </c>
      <c r="G133" s="80" t="str">
        <f aca="false">IF(B133="","",IFERROR(INDEX('NOTES CM2'!$T$10:$T$250,MATCH(B133,'NOTES CM2'!$B$10:$B$250,0)),""))</f>
        <v/>
      </c>
      <c r="H133" s="80" t="str">
        <f aca="false">IF(B133="","",IFERROR(INDEX('NOTES CM2'!$AB$10:$AB$250,MATCH(B133,'NOTES CM2'!$B$10:$B$250,0)),""))</f>
        <v/>
      </c>
      <c r="I133" s="80" t="str">
        <f aca="false">IF(B133="","",IFERROR(INDEX('NOTES CM2'!$AJ$10:$AJ$250,MATCH(B133,'NOTES CM2'!$B$10:$B$250,0)),""))</f>
        <v/>
      </c>
      <c r="J133" s="82" t="str">
        <f aca="false">IF(COUNT(F133:I133)&lt;4,"",ROUND(SUM(F133:I133)/4,2))</f>
        <v/>
      </c>
      <c r="K133" s="83" t="n">
        <f aca="false">INDEX(PARAMETRES!$D$18:$D$23,MATCH("CM2",PARAMETRES!$B$18:$B$23,0))</f>
        <v>20</v>
      </c>
      <c r="L133" s="81" t="n">
        <f aca="false">INDEX(PARAMETRES!$C$18:$C$23,MATCH("CM2",PARAMETRES!$B$18:$B$23,0))</f>
        <v>10</v>
      </c>
      <c r="M133" s="45" t="str">
        <f aca="false">IF(B133="","",IF(E133="ABANDON","ABANDON",IF(E133="TRANSFERE","TRANSFERE",IF(J133="","",IF(J133&gt;=L133,"ADMIS","REDOUBLE")))))</f>
        <v/>
      </c>
      <c r="N133" s="73" t="str">
        <f aca="false">IF(OR(J133="",E133&lt;&gt;"PRESENT"),"",COUNTIFS($E$10:$E$250,"PRESENT",$J$10:$J$250,"&gt;"&amp;J133)+1)</f>
        <v/>
      </c>
      <c r="O133" s="74" t="str">
        <f aca="false">IF(M133="ADMIS",IF(J133/K133*10&gt;=8,"Très bien",IF(J133/K133*10&gt;=7,"Bien",IF(J133/K133*10&gt;=6,"Assez bien","Passable"))),IF(M133="REDOUBLE","Insuffisant",""))</f>
        <v/>
      </c>
      <c r="P133" s="51" t="str">
        <f aca="false">IFERROR(MATCH("CM2-124",'REGISTRE ELEVES'!$AH$10:$AH$250,0),"")</f>
        <v/>
      </c>
    </row>
    <row r="134" customFormat="false" ht="15" hidden="false" customHeight="false" outlineLevel="0" collapsed="false">
      <c r="A134" s="45" t="str">
        <f aca="false">IF(B134="","",125)</f>
        <v/>
      </c>
      <c r="B134" s="45" t="str">
        <f aca="false">IF($P134="","",INDEX('REGISTRE ELEVES'!$B$10:$B$250,$P134))</f>
        <v/>
      </c>
      <c r="C134" s="74" t="str">
        <f aca="false">IF($P134="","",INDEX('REGISTRE ELEVES'!$D$10:$D$250,$P134))</f>
        <v/>
      </c>
      <c r="D134" s="45" t="str">
        <f aca="false">IF($P134="","",INDEX('REGISTRE ELEVES'!$E$10:$E$250,$P134))</f>
        <v/>
      </c>
      <c r="E134" s="45" t="str">
        <f aca="false">IF($P134="","",INDEX('REGISTRE ELEVES'!$AE$10:$AE$250,$P134))</f>
        <v/>
      </c>
      <c r="F134" s="80" t="str">
        <f aca="false">IF(B134="","",IFERROR(INDEX('NOTES CM2'!$M$10:$M$250,MATCH(B134,'NOTES CM2'!$B$10:$B$250,0)),""))</f>
        <v/>
      </c>
      <c r="G134" s="80" t="str">
        <f aca="false">IF(B134="","",IFERROR(INDEX('NOTES CM2'!$T$10:$T$250,MATCH(B134,'NOTES CM2'!$B$10:$B$250,0)),""))</f>
        <v/>
      </c>
      <c r="H134" s="80" t="str">
        <f aca="false">IF(B134="","",IFERROR(INDEX('NOTES CM2'!$AB$10:$AB$250,MATCH(B134,'NOTES CM2'!$B$10:$B$250,0)),""))</f>
        <v/>
      </c>
      <c r="I134" s="80" t="str">
        <f aca="false">IF(B134="","",IFERROR(INDEX('NOTES CM2'!$AJ$10:$AJ$250,MATCH(B134,'NOTES CM2'!$B$10:$B$250,0)),""))</f>
        <v/>
      </c>
      <c r="J134" s="82" t="str">
        <f aca="false">IF(COUNT(F134:I134)&lt;4,"",ROUND(SUM(F134:I134)/4,2))</f>
        <v/>
      </c>
      <c r="K134" s="83" t="n">
        <f aca="false">INDEX(PARAMETRES!$D$18:$D$23,MATCH("CM2",PARAMETRES!$B$18:$B$23,0))</f>
        <v>20</v>
      </c>
      <c r="L134" s="81" t="n">
        <f aca="false">INDEX(PARAMETRES!$C$18:$C$23,MATCH("CM2",PARAMETRES!$B$18:$B$23,0))</f>
        <v>10</v>
      </c>
      <c r="M134" s="45" t="str">
        <f aca="false">IF(B134="","",IF(E134="ABANDON","ABANDON",IF(E134="TRANSFERE","TRANSFERE",IF(J134="","",IF(J134&gt;=L134,"ADMIS","REDOUBLE")))))</f>
        <v/>
      </c>
      <c r="N134" s="73" t="str">
        <f aca="false">IF(OR(J134="",E134&lt;&gt;"PRESENT"),"",COUNTIFS($E$10:$E$250,"PRESENT",$J$10:$J$250,"&gt;"&amp;J134)+1)</f>
        <v/>
      </c>
      <c r="O134" s="74" t="str">
        <f aca="false">IF(M134="ADMIS",IF(J134/K134*10&gt;=8,"Très bien",IF(J134/K134*10&gt;=7,"Bien",IF(J134/K134*10&gt;=6,"Assez bien","Passable"))),IF(M134="REDOUBLE","Insuffisant",""))</f>
        <v/>
      </c>
      <c r="P134" s="51" t="str">
        <f aca="false">IFERROR(MATCH("CM2-125",'REGISTRE ELEVES'!$AH$10:$AH$250,0),"")</f>
        <v/>
      </c>
    </row>
    <row r="135" customFormat="false" ht="15" hidden="false" customHeight="false" outlineLevel="0" collapsed="false">
      <c r="A135" s="45" t="str">
        <f aca="false">IF(B135="","",126)</f>
        <v/>
      </c>
      <c r="B135" s="45" t="str">
        <f aca="false">IF($P135="","",INDEX('REGISTRE ELEVES'!$B$10:$B$250,$P135))</f>
        <v/>
      </c>
      <c r="C135" s="74" t="str">
        <f aca="false">IF($P135="","",INDEX('REGISTRE ELEVES'!$D$10:$D$250,$P135))</f>
        <v/>
      </c>
      <c r="D135" s="45" t="str">
        <f aca="false">IF($P135="","",INDEX('REGISTRE ELEVES'!$E$10:$E$250,$P135))</f>
        <v/>
      </c>
      <c r="E135" s="45" t="str">
        <f aca="false">IF($P135="","",INDEX('REGISTRE ELEVES'!$AE$10:$AE$250,$P135))</f>
        <v/>
      </c>
      <c r="F135" s="80" t="str">
        <f aca="false">IF(B135="","",IFERROR(INDEX('NOTES CM2'!$M$10:$M$250,MATCH(B135,'NOTES CM2'!$B$10:$B$250,0)),""))</f>
        <v/>
      </c>
      <c r="G135" s="80" t="str">
        <f aca="false">IF(B135="","",IFERROR(INDEX('NOTES CM2'!$T$10:$T$250,MATCH(B135,'NOTES CM2'!$B$10:$B$250,0)),""))</f>
        <v/>
      </c>
      <c r="H135" s="80" t="str">
        <f aca="false">IF(B135="","",IFERROR(INDEX('NOTES CM2'!$AB$10:$AB$250,MATCH(B135,'NOTES CM2'!$B$10:$B$250,0)),""))</f>
        <v/>
      </c>
      <c r="I135" s="80" t="str">
        <f aca="false">IF(B135="","",IFERROR(INDEX('NOTES CM2'!$AJ$10:$AJ$250,MATCH(B135,'NOTES CM2'!$B$10:$B$250,0)),""))</f>
        <v/>
      </c>
      <c r="J135" s="82" t="str">
        <f aca="false">IF(COUNT(F135:I135)&lt;4,"",ROUND(SUM(F135:I135)/4,2))</f>
        <v/>
      </c>
      <c r="K135" s="83" t="n">
        <f aca="false">INDEX(PARAMETRES!$D$18:$D$23,MATCH("CM2",PARAMETRES!$B$18:$B$23,0))</f>
        <v>20</v>
      </c>
      <c r="L135" s="81" t="n">
        <f aca="false">INDEX(PARAMETRES!$C$18:$C$23,MATCH("CM2",PARAMETRES!$B$18:$B$23,0))</f>
        <v>10</v>
      </c>
      <c r="M135" s="45" t="str">
        <f aca="false">IF(B135="","",IF(E135="ABANDON","ABANDON",IF(E135="TRANSFERE","TRANSFERE",IF(J135="","",IF(J135&gt;=L135,"ADMIS","REDOUBLE")))))</f>
        <v/>
      </c>
      <c r="N135" s="73" t="str">
        <f aca="false">IF(OR(J135="",E135&lt;&gt;"PRESENT"),"",COUNTIFS($E$10:$E$250,"PRESENT",$J$10:$J$250,"&gt;"&amp;J135)+1)</f>
        <v/>
      </c>
      <c r="O135" s="74" t="str">
        <f aca="false">IF(M135="ADMIS",IF(J135/K135*10&gt;=8,"Très bien",IF(J135/K135*10&gt;=7,"Bien",IF(J135/K135*10&gt;=6,"Assez bien","Passable"))),IF(M135="REDOUBLE","Insuffisant",""))</f>
        <v/>
      </c>
      <c r="P135" s="51" t="str">
        <f aca="false">IFERROR(MATCH("CM2-126",'REGISTRE ELEVES'!$AH$10:$AH$250,0),"")</f>
        <v/>
      </c>
    </row>
    <row r="136" customFormat="false" ht="15" hidden="false" customHeight="false" outlineLevel="0" collapsed="false">
      <c r="A136" s="45" t="str">
        <f aca="false">IF(B136="","",127)</f>
        <v/>
      </c>
      <c r="B136" s="45" t="str">
        <f aca="false">IF($P136="","",INDEX('REGISTRE ELEVES'!$B$10:$B$250,$P136))</f>
        <v/>
      </c>
      <c r="C136" s="74" t="str">
        <f aca="false">IF($P136="","",INDEX('REGISTRE ELEVES'!$D$10:$D$250,$P136))</f>
        <v/>
      </c>
      <c r="D136" s="45" t="str">
        <f aca="false">IF($P136="","",INDEX('REGISTRE ELEVES'!$E$10:$E$250,$P136))</f>
        <v/>
      </c>
      <c r="E136" s="45" t="str">
        <f aca="false">IF($P136="","",INDEX('REGISTRE ELEVES'!$AE$10:$AE$250,$P136))</f>
        <v/>
      </c>
      <c r="F136" s="80" t="str">
        <f aca="false">IF(B136="","",IFERROR(INDEX('NOTES CM2'!$M$10:$M$250,MATCH(B136,'NOTES CM2'!$B$10:$B$250,0)),""))</f>
        <v/>
      </c>
      <c r="G136" s="80" t="str">
        <f aca="false">IF(B136="","",IFERROR(INDEX('NOTES CM2'!$T$10:$T$250,MATCH(B136,'NOTES CM2'!$B$10:$B$250,0)),""))</f>
        <v/>
      </c>
      <c r="H136" s="80" t="str">
        <f aca="false">IF(B136="","",IFERROR(INDEX('NOTES CM2'!$AB$10:$AB$250,MATCH(B136,'NOTES CM2'!$B$10:$B$250,0)),""))</f>
        <v/>
      </c>
      <c r="I136" s="80" t="str">
        <f aca="false">IF(B136="","",IFERROR(INDEX('NOTES CM2'!$AJ$10:$AJ$250,MATCH(B136,'NOTES CM2'!$B$10:$B$250,0)),""))</f>
        <v/>
      </c>
      <c r="J136" s="82" t="str">
        <f aca="false">IF(COUNT(F136:I136)&lt;4,"",ROUND(SUM(F136:I136)/4,2))</f>
        <v/>
      </c>
      <c r="K136" s="83" t="n">
        <f aca="false">INDEX(PARAMETRES!$D$18:$D$23,MATCH("CM2",PARAMETRES!$B$18:$B$23,0))</f>
        <v>20</v>
      </c>
      <c r="L136" s="81" t="n">
        <f aca="false">INDEX(PARAMETRES!$C$18:$C$23,MATCH("CM2",PARAMETRES!$B$18:$B$23,0))</f>
        <v>10</v>
      </c>
      <c r="M136" s="45" t="str">
        <f aca="false">IF(B136="","",IF(E136="ABANDON","ABANDON",IF(E136="TRANSFERE","TRANSFERE",IF(J136="","",IF(J136&gt;=L136,"ADMIS","REDOUBLE")))))</f>
        <v/>
      </c>
      <c r="N136" s="73" t="str">
        <f aca="false">IF(OR(J136="",E136&lt;&gt;"PRESENT"),"",COUNTIFS($E$10:$E$250,"PRESENT",$J$10:$J$250,"&gt;"&amp;J136)+1)</f>
        <v/>
      </c>
      <c r="O136" s="74" t="str">
        <f aca="false">IF(M136="ADMIS",IF(J136/K136*10&gt;=8,"Très bien",IF(J136/K136*10&gt;=7,"Bien",IF(J136/K136*10&gt;=6,"Assez bien","Passable"))),IF(M136="REDOUBLE","Insuffisant",""))</f>
        <v/>
      </c>
      <c r="P136" s="51" t="str">
        <f aca="false">IFERROR(MATCH("CM2-127",'REGISTRE ELEVES'!$AH$10:$AH$250,0),"")</f>
        <v/>
      </c>
    </row>
    <row r="137" customFormat="false" ht="15" hidden="false" customHeight="false" outlineLevel="0" collapsed="false">
      <c r="A137" s="45" t="str">
        <f aca="false">IF(B137="","",128)</f>
        <v/>
      </c>
      <c r="B137" s="45" t="str">
        <f aca="false">IF($P137="","",INDEX('REGISTRE ELEVES'!$B$10:$B$250,$P137))</f>
        <v/>
      </c>
      <c r="C137" s="74" t="str">
        <f aca="false">IF($P137="","",INDEX('REGISTRE ELEVES'!$D$10:$D$250,$P137))</f>
        <v/>
      </c>
      <c r="D137" s="45" t="str">
        <f aca="false">IF($P137="","",INDEX('REGISTRE ELEVES'!$E$10:$E$250,$P137))</f>
        <v/>
      </c>
      <c r="E137" s="45" t="str">
        <f aca="false">IF($P137="","",INDEX('REGISTRE ELEVES'!$AE$10:$AE$250,$P137))</f>
        <v/>
      </c>
      <c r="F137" s="80" t="str">
        <f aca="false">IF(B137="","",IFERROR(INDEX('NOTES CM2'!$M$10:$M$250,MATCH(B137,'NOTES CM2'!$B$10:$B$250,0)),""))</f>
        <v/>
      </c>
      <c r="G137" s="80" t="str">
        <f aca="false">IF(B137="","",IFERROR(INDEX('NOTES CM2'!$T$10:$T$250,MATCH(B137,'NOTES CM2'!$B$10:$B$250,0)),""))</f>
        <v/>
      </c>
      <c r="H137" s="80" t="str">
        <f aca="false">IF(B137="","",IFERROR(INDEX('NOTES CM2'!$AB$10:$AB$250,MATCH(B137,'NOTES CM2'!$B$10:$B$250,0)),""))</f>
        <v/>
      </c>
      <c r="I137" s="80" t="str">
        <f aca="false">IF(B137="","",IFERROR(INDEX('NOTES CM2'!$AJ$10:$AJ$250,MATCH(B137,'NOTES CM2'!$B$10:$B$250,0)),""))</f>
        <v/>
      </c>
      <c r="J137" s="82" t="str">
        <f aca="false">IF(COUNT(F137:I137)&lt;4,"",ROUND(SUM(F137:I137)/4,2))</f>
        <v/>
      </c>
      <c r="K137" s="83" t="n">
        <f aca="false">INDEX(PARAMETRES!$D$18:$D$23,MATCH("CM2",PARAMETRES!$B$18:$B$23,0))</f>
        <v>20</v>
      </c>
      <c r="L137" s="81" t="n">
        <f aca="false">INDEX(PARAMETRES!$C$18:$C$23,MATCH("CM2",PARAMETRES!$B$18:$B$23,0))</f>
        <v>10</v>
      </c>
      <c r="M137" s="45" t="str">
        <f aca="false">IF(B137="","",IF(E137="ABANDON","ABANDON",IF(E137="TRANSFERE","TRANSFERE",IF(J137="","",IF(J137&gt;=L137,"ADMIS","REDOUBLE")))))</f>
        <v/>
      </c>
      <c r="N137" s="73" t="str">
        <f aca="false">IF(OR(J137="",E137&lt;&gt;"PRESENT"),"",COUNTIFS($E$10:$E$250,"PRESENT",$J$10:$J$250,"&gt;"&amp;J137)+1)</f>
        <v/>
      </c>
      <c r="O137" s="74" t="str">
        <f aca="false">IF(M137="ADMIS",IF(J137/K137*10&gt;=8,"Très bien",IF(J137/K137*10&gt;=7,"Bien",IF(J137/K137*10&gt;=6,"Assez bien","Passable"))),IF(M137="REDOUBLE","Insuffisant",""))</f>
        <v/>
      </c>
      <c r="P137" s="51" t="str">
        <f aca="false">IFERROR(MATCH("CM2-128",'REGISTRE ELEVES'!$AH$10:$AH$250,0),"")</f>
        <v/>
      </c>
    </row>
    <row r="138" customFormat="false" ht="15" hidden="false" customHeight="false" outlineLevel="0" collapsed="false">
      <c r="A138" s="45" t="str">
        <f aca="false">IF(B138="","",129)</f>
        <v/>
      </c>
      <c r="B138" s="45" t="str">
        <f aca="false">IF($P138="","",INDEX('REGISTRE ELEVES'!$B$10:$B$250,$P138))</f>
        <v/>
      </c>
      <c r="C138" s="74" t="str">
        <f aca="false">IF($P138="","",INDEX('REGISTRE ELEVES'!$D$10:$D$250,$P138))</f>
        <v/>
      </c>
      <c r="D138" s="45" t="str">
        <f aca="false">IF($P138="","",INDEX('REGISTRE ELEVES'!$E$10:$E$250,$P138))</f>
        <v/>
      </c>
      <c r="E138" s="45" t="str">
        <f aca="false">IF($P138="","",INDEX('REGISTRE ELEVES'!$AE$10:$AE$250,$P138))</f>
        <v/>
      </c>
      <c r="F138" s="80" t="str">
        <f aca="false">IF(B138="","",IFERROR(INDEX('NOTES CM2'!$M$10:$M$250,MATCH(B138,'NOTES CM2'!$B$10:$B$250,0)),""))</f>
        <v/>
      </c>
      <c r="G138" s="80" t="str">
        <f aca="false">IF(B138="","",IFERROR(INDEX('NOTES CM2'!$T$10:$T$250,MATCH(B138,'NOTES CM2'!$B$10:$B$250,0)),""))</f>
        <v/>
      </c>
      <c r="H138" s="80" t="str">
        <f aca="false">IF(B138="","",IFERROR(INDEX('NOTES CM2'!$AB$10:$AB$250,MATCH(B138,'NOTES CM2'!$B$10:$B$250,0)),""))</f>
        <v/>
      </c>
      <c r="I138" s="80" t="str">
        <f aca="false">IF(B138="","",IFERROR(INDEX('NOTES CM2'!$AJ$10:$AJ$250,MATCH(B138,'NOTES CM2'!$B$10:$B$250,0)),""))</f>
        <v/>
      </c>
      <c r="J138" s="82" t="str">
        <f aca="false">IF(COUNT(F138:I138)&lt;4,"",ROUND(SUM(F138:I138)/4,2))</f>
        <v/>
      </c>
      <c r="K138" s="83" t="n">
        <f aca="false">INDEX(PARAMETRES!$D$18:$D$23,MATCH("CM2",PARAMETRES!$B$18:$B$23,0))</f>
        <v>20</v>
      </c>
      <c r="L138" s="81" t="n">
        <f aca="false">INDEX(PARAMETRES!$C$18:$C$23,MATCH("CM2",PARAMETRES!$B$18:$B$23,0))</f>
        <v>10</v>
      </c>
      <c r="M138" s="45" t="str">
        <f aca="false">IF(B138="","",IF(E138="ABANDON","ABANDON",IF(E138="TRANSFERE","TRANSFERE",IF(J138="","",IF(J138&gt;=L138,"ADMIS","REDOUBLE")))))</f>
        <v/>
      </c>
      <c r="N138" s="73" t="str">
        <f aca="false">IF(OR(J138="",E138&lt;&gt;"PRESENT"),"",COUNTIFS($E$10:$E$250,"PRESENT",$J$10:$J$250,"&gt;"&amp;J138)+1)</f>
        <v/>
      </c>
      <c r="O138" s="74" t="str">
        <f aca="false">IF(M138="ADMIS",IF(J138/K138*10&gt;=8,"Très bien",IF(J138/K138*10&gt;=7,"Bien",IF(J138/K138*10&gt;=6,"Assez bien","Passable"))),IF(M138="REDOUBLE","Insuffisant",""))</f>
        <v/>
      </c>
      <c r="P138" s="51" t="str">
        <f aca="false">IFERROR(MATCH("CM2-129",'REGISTRE ELEVES'!$AH$10:$AH$250,0),"")</f>
        <v/>
      </c>
    </row>
    <row r="139" customFormat="false" ht="15" hidden="false" customHeight="false" outlineLevel="0" collapsed="false">
      <c r="A139" s="45" t="str">
        <f aca="false">IF(B139="","",130)</f>
        <v/>
      </c>
      <c r="B139" s="45" t="str">
        <f aca="false">IF($P139="","",INDEX('REGISTRE ELEVES'!$B$10:$B$250,$P139))</f>
        <v/>
      </c>
      <c r="C139" s="74" t="str">
        <f aca="false">IF($P139="","",INDEX('REGISTRE ELEVES'!$D$10:$D$250,$P139))</f>
        <v/>
      </c>
      <c r="D139" s="45" t="str">
        <f aca="false">IF($P139="","",INDEX('REGISTRE ELEVES'!$E$10:$E$250,$P139))</f>
        <v/>
      </c>
      <c r="E139" s="45" t="str">
        <f aca="false">IF($P139="","",INDEX('REGISTRE ELEVES'!$AE$10:$AE$250,$P139))</f>
        <v/>
      </c>
      <c r="F139" s="80" t="str">
        <f aca="false">IF(B139="","",IFERROR(INDEX('NOTES CM2'!$M$10:$M$250,MATCH(B139,'NOTES CM2'!$B$10:$B$250,0)),""))</f>
        <v/>
      </c>
      <c r="G139" s="80" t="str">
        <f aca="false">IF(B139="","",IFERROR(INDEX('NOTES CM2'!$T$10:$T$250,MATCH(B139,'NOTES CM2'!$B$10:$B$250,0)),""))</f>
        <v/>
      </c>
      <c r="H139" s="80" t="str">
        <f aca="false">IF(B139="","",IFERROR(INDEX('NOTES CM2'!$AB$10:$AB$250,MATCH(B139,'NOTES CM2'!$B$10:$B$250,0)),""))</f>
        <v/>
      </c>
      <c r="I139" s="80" t="str">
        <f aca="false">IF(B139="","",IFERROR(INDEX('NOTES CM2'!$AJ$10:$AJ$250,MATCH(B139,'NOTES CM2'!$B$10:$B$250,0)),""))</f>
        <v/>
      </c>
      <c r="J139" s="82" t="str">
        <f aca="false">IF(COUNT(F139:I139)&lt;4,"",ROUND(SUM(F139:I139)/4,2))</f>
        <v/>
      </c>
      <c r="K139" s="83" t="n">
        <f aca="false">INDEX(PARAMETRES!$D$18:$D$23,MATCH("CM2",PARAMETRES!$B$18:$B$23,0))</f>
        <v>20</v>
      </c>
      <c r="L139" s="81" t="n">
        <f aca="false">INDEX(PARAMETRES!$C$18:$C$23,MATCH("CM2",PARAMETRES!$B$18:$B$23,0))</f>
        <v>10</v>
      </c>
      <c r="M139" s="45" t="str">
        <f aca="false">IF(B139="","",IF(E139="ABANDON","ABANDON",IF(E139="TRANSFERE","TRANSFERE",IF(J139="","",IF(J139&gt;=L139,"ADMIS","REDOUBLE")))))</f>
        <v/>
      </c>
      <c r="N139" s="73" t="str">
        <f aca="false">IF(OR(J139="",E139&lt;&gt;"PRESENT"),"",COUNTIFS($E$10:$E$250,"PRESENT",$J$10:$J$250,"&gt;"&amp;J139)+1)</f>
        <v/>
      </c>
      <c r="O139" s="74" t="str">
        <f aca="false">IF(M139="ADMIS",IF(J139/K139*10&gt;=8,"Très bien",IF(J139/K139*10&gt;=7,"Bien",IF(J139/K139*10&gt;=6,"Assez bien","Passable"))),IF(M139="REDOUBLE","Insuffisant",""))</f>
        <v/>
      </c>
      <c r="P139" s="51" t="str">
        <f aca="false">IFERROR(MATCH("CM2-130",'REGISTRE ELEVES'!$AH$10:$AH$250,0),"")</f>
        <v/>
      </c>
    </row>
    <row r="140" customFormat="false" ht="15" hidden="false" customHeight="false" outlineLevel="0" collapsed="false">
      <c r="A140" s="45" t="str">
        <f aca="false">IF(B140="","",131)</f>
        <v/>
      </c>
      <c r="B140" s="45" t="str">
        <f aca="false">IF($P140="","",INDEX('REGISTRE ELEVES'!$B$10:$B$250,$P140))</f>
        <v/>
      </c>
      <c r="C140" s="74" t="str">
        <f aca="false">IF($P140="","",INDEX('REGISTRE ELEVES'!$D$10:$D$250,$P140))</f>
        <v/>
      </c>
      <c r="D140" s="45" t="str">
        <f aca="false">IF($P140="","",INDEX('REGISTRE ELEVES'!$E$10:$E$250,$P140))</f>
        <v/>
      </c>
      <c r="E140" s="45" t="str">
        <f aca="false">IF($P140="","",INDEX('REGISTRE ELEVES'!$AE$10:$AE$250,$P140))</f>
        <v/>
      </c>
      <c r="F140" s="80" t="str">
        <f aca="false">IF(B140="","",IFERROR(INDEX('NOTES CM2'!$M$10:$M$250,MATCH(B140,'NOTES CM2'!$B$10:$B$250,0)),""))</f>
        <v/>
      </c>
      <c r="G140" s="80" t="str">
        <f aca="false">IF(B140="","",IFERROR(INDEX('NOTES CM2'!$T$10:$T$250,MATCH(B140,'NOTES CM2'!$B$10:$B$250,0)),""))</f>
        <v/>
      </c>
      <c r="H140" s="80" t="str">
        <f aca="false">IF(B140="","",IFERROR(INDEX('NOTES CM2'!$AB$10:$AB$250,MATCH(B140,'NOTES CM2'!$B$10:$B$250,0)),""))</f>
        <v/>
      </c>
      <c r="I140" s="80" t="str">
        <f aca="false">IF(B140="","",IFERROR(INDEX('NOTES CM2'!$AJ$10:$AJ$250,MATCH(B140,'NOTES CM2'!$B$10:$B$250,0)),""))</f>
        <v/>
      </c>
      <c r="J140" s="82" t="str">
        <f aca="false">IF(COUNT(F140:I140)&lt;4,"",ROUND(SUM(F140:I140)/4,2))</f>
        <v/>
      </c>
      <c r="K140" s="83" t="n">
        <f aca="false">INDEX(PARAMETRES!$D$18:$D$23,MATCH("CM2",PARAMETRES!$B$18:$B$23,0))</f>
        <v>20</v>
      </c>
      <c r="L140" s="81" t="n">
        <f aca="false">INDEX(PARAMETRES!$C$18:$C$23,MATCH("CM2",PARAMETRES!$B$18:$B$23,0))</f>
        <v>10</v>
      </c>
      <c r="M140" s="45" t="str">
        <f aca="false">IF(B140="","",IF(E140="ABANDON","ABANDON",IF(E140="TRANSFERE","TRANSFERE",IF(J140="","",IF(J140&gt;=L140,"ADMIS","REDOUBLE")))))</f>
        <v/>
      </c>
      <c r="N140" s="73" t="str">
        <f aca="false">IF(OR(J140="",E140&lt;&gt;"PRESENT"),"",COUNTIFS($E$10:$E$250,"PRESENT",$J$10:$J$250,"&gt;"&amp;J140)+1)</f>
        <v/>
      </c>
      <c r="O140" s="74" t="str">
        <f aca="false">IF(M140="ADMIS",IF(J140/K140*10&gt;=8,"Très bien",IF(J140/K140*10&gt;=7,"Bien",IF(J140/K140*10&gt;=6,"Assez bien","Passable"))),IF(M140="REDOUBLE","Insuffisant",""))</f>
        <v/>
      </c>
      <c r="P140" s="51" t="str">
        <f aca="false">IFERROR(MATCH("CM2-131",'REGISTRE ELEVES'!$AH$10:$AH$250,0),"")</f>
        <v/>
      </c>
    </row>
    <row r="141" customFormat="false" ht="15" hidden="false" customHeight="false" outlineLevel="0" collapsed="false">
      <c r="A141" s="45" t="str">
        <f aca="false">IF(B141="","",132)</f>
        <v/>
      </c>
      <c r="B141" s="45" t="str">
        <f aca="false">IF($P141="","",INDEX('REGISTRE ELEVES'!$B$10:$B$250,$P141))</f>
        <v/>
      </c>
      <c r="C141" s="74" t="str">
        <f aca="false">IF($P141="","",INDEX('REGISTRE ELEVES'!$D$10:$D$250,$P141))</f>
        <v/>
      </c>
      <c r="D141" s="45" t="str">
        <f aca="false">IF($P141="","",INDEX('REGISTRE ELEVES'!$E$10:$E$250,$P141))</f>
        <v/>
      </c>
      <c r="E141" s="45" t="str">
        <f aca="false">IF($P141="","",INDEX('REGISTRE ELEVES'!$AE$10:$AE$250,$P141))</f>
        <v/>
      </c>
      <c r="F141" s="80" t="str">
        <f aca="false">IF(B141="","",IFERROR(INDEX('NOTES CM2'!$M$10:$M$250,MATCH(B141,'NOTES CM2'!$B$10:$B$250,0)),""))</f>
        <v/>
      </c>
      <c r="G141" s="80" t="str">
        <f aca="false">IF(B141="","",IFERROR(INDEX('NOTES CM2'!$T$10:$T$250,MATCH(B141,'NOTES CM2'!$B$10:$B$250,0)),""))</f>
        <v/>
      </c>
      <c r="H141" s="80" t="str">
        <f aca="false">IF(B141="","",IFERROR(INDEX('NOTES CM2'!$AB$10:$AB$250,MATCH(B141,'NOTES CM2'!$B$10:$B$250,0)),""))</f>
        <v/>
      </c>
      <c r="I141" s="80" t="str">
        <f aca="false">IF(B141="","",IFERROR(INDEX('NOTES CM2'!$AJ$10:$AJ$250,MATCH(B141,'NOTES CM2'!$B$10:$B$250,0)),""))</f>
        <v/>
      </c>
      <c r="J141" s="82" t="str">
        <f aca="false">IF(COUNT(F141:I141)&lt;4,"",ROUND(SUM(F141:I141)/4,2))</f>
        <v/>
      </c>
      <c r="K141" s="83" t="n">
        <f aca="false">INDEX(PARAMETRES!$D$18:$D$23,MATCH("CM2",PARAMETRES!$B$18:$B$23,0))</f>
        <v>20</v>
      </c>
      <c r="L141" s="81" t="n">
        <f aca="false">INDEX(PARAMETRES!$C$18:$C$23,MATCH("CM2",PARAMETRES!$B$18:$B$23,0))</f>
        <v>10</v>
      </c>
      <c r="M141" s="45" t="str">
        <f aca="false">IF(B141="","",IF(E141="ABANDON","ABANDON",IF(E141="TRANSFERE","TRANSFERE",IF(J141="","",IF(J141&gt;=L141,"ADMIS","REDOUBLE")))))</f>
        <v/>
      </c>
      <c r="N141" s="73" t="str">
        <f aca="false">IF(OR(J141="",E141&lt;&gt;"PRESENT"),"",COUNTIFS($E$10:$E$250,"PRESENT",$J$10:$J$250,"&gt;"&amp;J141)+1)</f>
        <v/>
      </c>
      <c r="O141" s="74" t="str">
        <f aca="false">IF(M141="ADMIS",IF(J141/K141*10&gt;=8,"Très bien",IF(J141/K141*10&gt;=7,"Bien",IF(J141/K141*10&gt;=6,"Assez bien","Passable"))),IF(M141="REDOUBLE","Insuffisant",""))</f>
        <v/>
      </c>
      <c r="P141" s="51" t="str">
        <f aca="false">IFERROR(MATCH("CM2-132",'REGISTRE ELEVES'!$AH$10:$AH$250,0),"")</f>
        <v/>
      </c>
    </row>
    <row r="142" customFormat="false" ht="15" hidden="false" customHeight="false" outlineLevel="0" collapsed="false">
      <c r="A142" s="45" t="str">
        <f aca="false">IF(B142="","",133)</f>
        <v/>
      </c>
      <c r="B142" s="45" t="str">
        <f aca="false">IF($P142="","",INDEX('REGISTRE ELEVES'!$B$10:$B$250,$P142))</f>
        <v/>
      </c>
      <c r="C142" s="74" t="str">
        <f aca="false">IF($P142="","",INDEX('REGISTRE ELEVES'!$D$10:$D$250,$P142))</f>
        <v/>
      </c>
      <c r="D142" s="45" t="str">
        <f aca="false">IF($P142="","",INDEX('REGISTRE ELEVES'!$E$10:$E$250,$P142))</f>
        <v/>
      </c>
      <c r="E142" s="45" t="str">
        <f aca="false">IF($P142="","",INDEX('REGISTRE ELEVES'!$AE$10:$AE$250,$P142))</f>
        <v/>
      </c>
      <c r="F142" s="80" t="str">
        <f aca="false">IF(B142="","",IFERROR(INDEX('NOTES CM2'!$M$10:$M$250,MATCH(B142,'NOTES CM2'!$B$10:$B$250,0)),""))</f>
        <v/>
      </c>
      <c r="G142" s="80" t="str">
        <f aca="false">IF(B142="","",IFERROR(INDEX('NOTES CM2'!$T$10:$T$250,MATCH(B142,'NOTES CM2'!$B$10:$B$250,0)),""))</f>
        <v/>
      </c>
      <c r="H142" s="80" t="str">
        <f aca="false">IF(B142="","",IFERROR(INDEX('NOTES CM2'!$AB$10:$AB$250,MATCH(B142,'NOTES CM2'!$B$10:$B$250,0)),""))</f>
        <v/>
      </c>
      <c r="I142" s="80" t="str">
        <f aca="false">IF(B142="","",IFERROR(INDEX('NOTES CM2'!$AJ$10:$AJ$250,MATCH(B142,'NOTES CM2'!$B$10:$B$250,0)),""))</f>
        <v/>
      </c>
      <c r="J142" s="82" t="str">
        <f aca="false">IF(COUNT(F142:I142)&lt;4,"",ROUND(SUM(F142:I142)/4,2))</f>
        <v/>
      </c>
      <c r="K142" s="83" t="n">
        <f aca="false">INDEX(PARAMETRES!$D$18:$D$23,MATCH("CM2",PARAMETRES!$B$18:$B$23,0))</f>
        <v>20</v>
      </c>
      <c r="L142" s="81" t="n">
        <f aca="false">INDEX(PARAMETRES!$C$18:$C$23,MATCH("CM2",PARAMETRES!$B$18:$B$23,0))</f>
        <v>10</v>
      </c>
      <c r="M142" s="45" t="str">
        <f aca="false">IF(B142="","",IF(E142="ABANDON","ABANDON",IF(E142="TRANSFERE","TRANSFERE",IF(J142="","",IF(J142&gt;=L142,"ADMIS","REDOUBLE")))))</f>
        <v/>
      </c>
      <c r="N142" s="73" t="str">
        <f aca="false">IF(OR(J142="",E142&lt;&gt;"PRESENT"),"",COUNTIFS($E$10:$E$250,"PRESENT",$J$10:$J$250,"&gt;"&amp;J142)+1)</f>
        <v/>
      </c>
      <c r="O142" s="74" t="str">
        <f aca="false">IF(M142="ADMIS",IF(J142/K142*10&gt;=8,"Très bien",IF(J142/K142*10&gt;=7,"Bien",IF(J142/K142*10&gt;=6,"Assez bien","Passable"))),IF(M142="REDOUBLE","Insuffisant",""))</f>
        <v/>
      </c>
      <c r="P142" s="51" t="str">
        <f aca="false">IFERROR(MATCH("CM2-133",'REGISTRE ELEVES'!$AH$10:$AH$250,0),"")</f>
        <v/>
      </c>
    </row>
    <row r="143" customFormat="false" ht="15" hidden="false" customHeight="false" outlineLevel="0" collapsed="false">
      <c r="A143" s="45" t="str">
        <f aca="false">IF(B143="","",134)</f>
        <v/>
      </c>
      <c r="B143" s="45" t="str">
        <f aca="false">IF($P143="","",INDEX('REGISTRE ELEVES'!$B$10:$B$250,$P143))</f>
        <v/>
      </c>
      <c r="C143" s="74" t="str">
        <f aca="false">IF($P143="","",INDEX('REGISTRE ELEVES'!$D$10:$D$250,$P143))</f>
        <v/>
      </c>
      <c r="D143" s="45" t="str">
        <f aca="false">IF($P143="","",INDEX('REGISTRE ELEVES'!$E$10:$E$250,$P143))</f>
        <v/>
      </c>
      <c r="E143" s="45" t="str">
        <f aca="false">IF($P143="","",INDEX('REGISTRE ELEVES'!$AE$10:$AE$250,$P143))</f>
        <v/>
      </c>
      <c r="F143" s="80" t="str">
        <f aca="false">IF(B143="","",IFERROR(INDEX('NOTES CM2'!$M$10:$M$250,MATCH(B143,'NOTES CM2'!$B$10:$B$250,0)),""))</f>
        <v/>
      </c>
      <c r="G143" s="80" t="str">
        <f aca="false">IF(B143="","",IFERROR(INDEX('NOTES CM2'!$T$10:$T$250,MATCH(B143,'NOTES CM2'!$B$10:$B$250,0)),""))</f>
        <v/>
      </c>
      <c r="H143" s="80" t="str">
        <f aca="false">IF(B143="","",IFERROR(INDEX('NOTES CM2'!$AB$10:$AB$250,MATCH(B143,'NOTES CM2'!$B$10:$B$250,0)),""))</f>
        <v/>
      </c>
      <c r="I143" s="80" t="str">
        <f aca="false">IF(B143="","",IFERROR(INDEX('NOTES CM2'!$AJ$10:$AJ$250,MATCH(B143,'NOTES CM2'!$B$10:$B$250,0)),""))</f>
        <v/>
      </c>
      <c r="J143" s="82" t="str">
        <f aca="false">IF(COUNT(F143:I143)&lt;4,"",ROUND(SUM(F143:I143)/4,2))</f>
        <v/>
      </c>
      <c r="K143" s="83" t="n">
        <f aca="false">INDEX(PARAMETRES!$D$18:$D$23,MATCH("CM2",PARAMETRES!$B$18:$B$23,0))</f>
        <v>20</v>
      </c>
      <c r="L143" s="81" t="n">
        <f aca="false">INDEX(PARAMETRES!$C$18:$C$23,MATCH("CM2",PARAMETRES!$B$18:$B$23,0))</f>
        <v>10</v>
      </c>
      <c r="M143" s="45" t="str">
        <f aca="false">IF(B143="","",IF(E143="ABANDON","ABANDON",IF(E143="TRANSFERE","TRANSFERE",IF(J143="","",IF(J143&gt;=L143,"ADMIS","REDOUBLE")))))</f>
        <v/>
      </c>
      <c r="N143" s="73" t="str">
        <f aca="false">IF(OR(J143="",E143&lt;&gt;"PRESENT"),"",COUNTIFS($E$10:$E$250,"PRESENT",$J$10:$J$250,"&gt;"&amp;J143)+1)</f>
        <v/>
      </c>
      <c r="O143" s="74" t="str">
        <f aca="false">IF(M143="ADMIS",IF(J143/K143*10&gt;=8,"Très bien",IF(J143/K143*10&gt;=7,"Bien",IF(J143/K143*10&gt;=6,"Assez bien","Passable"))),IF(M143="REDOUBLE","Insuffisant",""))</f>
        <v/>
      </c>
      <c r="P143" s="51" t="str">
        <f aca="false">IFERROR(MATCH("CM2-134",'REGISTRE ELEVES'!$AH$10:$AH$250,0),"")</f>
        <v/>
      </c>
    </row>
    <row r="144" customFormat="false" ht="15" hidden="false" customHeight="false" outlineLevel="0" collapsed="false">
      <c r="A144" s="45" t="str">
        <f aca="false">IF(B144="","",135)</f>
        <v/>
      </c>
      <c r="B144" s="45" t="str">
        <f aca="false">IF($P144="","",INDEX('REGISTRE ELEVES'!$B$10:$B$250,$P144))</f>
        <v/>
      </c>
      <c r="C144" s="74" t="str">
        <f aca="false">IF($P144="","",INDEX('REGISTRE ELEVES'!$D$10:$D$250,$P144))</f>
        <v/>
      </c>
      <c r="D144" s="45" t="str">
        <f aca="false">IF($P144="","",INDEX('REGISTRE ELEVES'!$E$10:$E$250,$P144))</f>
        <v/>
      </c>
      <c r="E144" s="45" t="str">
        <f aca="false">IF($P144="","",INDEX('REGISTRE ELEVES'!$AE$10:$AE$250,$P144))</f>
        <v/>
      </c>
      <c r="F144" s="80" t="str">
        <f aca="false">IF(B144="","",IFERROR(INDEX('NOTES CM2'!$M$10:$M$250,MATCH(B144,'NOTES CM2'!$B$10:$B$250,0)),""))</f>
        <v/>
      </c>
      <c r="G144" s="80" t="str">
        <f aca="false">IF(B144="","",IFERROR(INDEX('NOTES CM2'!$T$10:$T$250,MATCH(B144,'NOTES CM2'!$B$10:$B$250,0)),""))</f>
        <v/>
      </c>
      <c r="H144" s="80" t="str">
        <f aca="false">IF(B144="","",IFERROR(INDEX('NOTES CM2'!$AB$10:$AB$250,MATCH(B144,'NOTES CM2'!$B$10:$B$250,0)),""))</f>
        <v/>
      </c>
      <c r="I144" s="80" t="str">
        <f aca="false">IF(B144="","",IFERROR(INDEX('NOTES CM2'!$AJ$10:$AJ$250,MATCH(B144,'NOTES CM2'!$B$10:$B$250,0)),""))</f>
        <v/>
      </c>
      <c r="J144" s="82" t="str">
        <f aca="false">IF(COUNT(F144:I144)&lt;4,"",ROUND(SUM(F144:I144)/4,2))</f>
        <v/>
      </c>
      <c r="K144" s="83" t="n">
        <f aca="false">INDEX(PARAMETRES!$D$18:$D$23,MATCH("CM2",PARAMETRES!$B$18:$B$23,0))</f>
        <v>20</v>
      </c>
      <c r="L144" s="81" t="n">
        <f aca="false">INDEX(PARAMETRES!$C$18:$C$23,MATCH("CM2",PARAMETRES!$B$18:$B$23,0))</f>
        <v>10</v>
      </c>
      <c r="M144" s="45" t="str">
        <f aca="false">IF(B144="","",IF(E144="ABANDON","ABANDON",IF(E144="TRANSFERE","TRANSFERE",IF(J144="","",IF(J144&gt;=L144,"ADMIS","REDOUBLE")))))</f>
        <v/>
      </c>
      <c r="N144" s="73" t="str">
        <f aca="false">IF(OR(J144="",E144&lt;&gt;"PRESENT"),"",COUNTIFS($E$10:$E$250,"PRESENT",$J$10:$J$250,"&gt;"&amp;J144)+1)</f>
        <v/>
      </c>
      <c r="O144" s="74" t="str">
        <f aca="false">IF(M144="ADMIS",IF(J144/K144*10&gt;=8,"Très bien",IF(J144/K144*10&gt;=7,"Bien",IF(J144/K144*10&gt;=6,"Assez bien","Passable"))),IF(M144="REDOUBLE","Insuffisant",""))</f>
        <v/>
      </c>
      <c r="P144" s="51" t="str">
        <f aca="false">IFERROR(MATCH("CM2-135",'REGISTRE ELEVES'!$AH$10:$AH$250,0),"")</f>
        <v/>
      </c>
    </row>
    <row r="145" customFormat="false" ht="15" hidden="false" customHeight="false" outlineLevel="0" collapsed="false">
      <c r="A145" s="45" t="str">
        <f aca="false">IF(B145="","",136)</f>
        <v/>
      </c>
      <c r="B145" s="45" t="str">
        <f aca="false">IF($P145="","",INDEX('REGISTRE ELEVES'!$B$10:$B$250,$P145))</f>
        <v/>
      </c>
      <c r="C145" s="74" t="str">
        <f aca="false">IF($P145="","",INDEX('REGISTRE ELEVES'!$D$10:$D$250,$P145))</f>
        <v/>
      </c>
      <c r="D145" s="45" t="str">
        <f aca="false">IF($P145="","",INDEX('REGISTRE ELEVES'!$E$10:$E$250,$P145))</f>
        <v/>
      </c>
      <c r="E145" s="45" t="str">
        <f aca="false">IF($P145="","",INDEX('REGISTRE ELEVES'!$AE$10:$AE$250,$P145))</f>
        <v/>
      </c>
      <c r="F145" s="80" t="str">
        <f aca="false">IF(B145="","",IFERROR(INDEX('NOTES CM2'!$M$10:$M$250,MATCH(B145,'NOTES CM2'!$B$10:$B$250,0)),""))</f>
        <v/>
      </c>
      <c r="G145" s="80" t="str">
        <f aca="false">IF(B145="","",IFERROR(INDEX('NOTES CM2'!$T$10:$T$250,MATCH(B145,'NOTES CM2'!$B$10:$B$250,0)),""))</f>
        <v/>
      </c>
      <c r="H145" s="80" t="str">
        <f aca="false">IF(B145="","",IFERROR(INDEX('NOTES CM2'!$AB$10:$AB$250,MATCH(B145,'NOTES CM2'!$B$10:$B$250,0)),""))</f>
        <v/>
      </c>
      <c r="I145" s="80" t="str">
        <f aca="false">IF(B145="","",IFERROR(INDEX('NOTES CM2'!$AJ$10:$AJ$250,MATCH(B145,'NOTES CM2'!$B$10:$B$250,0)),""))</f>
        <v/>
      </c>
      <c r="J145" s="82" t="str">
        <f aca="false">IF(COUNT(F145:I145)&lt;4,"",ROUND(SUM(F145:I145)/4,2))</f>
        <v/>
      </c>
      <c r="K145" s="83" t="n">
        <f aca="false">INDEX(PARAMETRES!$D$18:$D$23,MATCH("CM2",PARAMETRES!$B$18:$B$23,0))</f>
        <v>20</v>
      </c>
      <c r="L145" s="81" t="n">
        <f aca="false">INDEX(PARAMETRES!$C$18:$C$23,MATCH("CM2",PARAMETRES!$B$18:$B$23,0))</f>
        <v>10</v>
      </c>
      <c r="M145" s="45" t="str">
        <f aca="false">IF(B145="","",IF(E145="ABANDON","ABANDON",IF(E145="TRANSFERE","TRANSFERE",IF(J145="","",IF(J145&gt;=L145,"ADMIS","REDOUBLE")))))</f>
        <v/>
      </c>
      <c r="N145" s="73" t="str">
        <f aca="false">IF(OR(J145="",E145&lt;&gt;"PRESENT"),"",COUNTIFS($E$10:$E$250,"PRESENT",$J$10:$J$250,"&gt;"&amp;J145)+1)</f>
        <v/>
      </c>
      <c r="O145" s="74" t="str">
        <f aca="false">IF(M145="ADMIS",IF(J145/K145*10&gt;=8,"Très bien",IF(J145/K145*10&gt;=7,"Bien",IF(J145/K145*10&gt;=6,"Assez bien","Passable"))),IF(M145="REDOUBLE","Insuffisant",""))</f>
        <v/>
      </c>
      <c r="P145" s="51" t="str">
        <f aca="false">IFERROR(MATCH("CM2-136",'REGISTRE ELEVES'!$AH$10:$AH$250,0),"")</f>
        <v/>
      </c>
    </row>
    <row r="146" customFormat="false" ht="15" hidden="false" customHeight="false" outlineLevel="0" collapsed="false">
      <c r="A146" s="45" t="str">
        <f aca="false">IF(B146="","",137)</f>
        <v/>
      </c>
      <c r="B146" s="45" t="str">
        <f aca="false">IF($P146="","",INDEX('REGISTRE ELEVES'!$B$10:$B$250,$P146))</f>
        <v/>
      </c>
      <c r="C146" s="74" t="str">
        <f aca="false">IF($P146="","",INDEX('REGISTRE ELEVES'!$D$10:$D$250,$P146))</f>
        <v/>
      </c>
      <c r="D146" s="45" t="str">
        <f aca="false">IF($P146="","",INDEX('REGISTRE ELEVES'!$E$10:$E$250,$P146))</f>
        <v/>
      </c>
      <c r="E146" s="45" t="str">
        <f aca="false">IF($P146="","",INDEX('REGISTRE ELEVES'!$AE$10:$AE$250,$P146))</f>
        <v/>
      </c>
      <c r="F146" s="80" t="str">
        <f aca="false">IF(B146="","",IFERROR(INDEX('NOTES CM2'!$M$10:$M$250,MATCH(B146,'NOTES CM2'!$B$10:$B$250,0)),""))</f>
        <v/>
      </c>
      <c r="G146" s="80" t="str">
        <f aca="false">IF(B146="","",IFERROR(INDEX('NOTES CM2'!$T$10:$T$250,MATCH(B146,'NOTES CM2'!$B$10:$B$250,0)),""))</f>
        <v/>
      </c>
      <c r="H146" s="80" t="str">
        <f aca="false">IF(B146="","",IFERROR(INDEX('NOTES CM2'!$AB$10:$AB$250,MATCH(B146,'NOTES CM2'!$B$10:$B$250,0)),""))</f>
        <v/>
      </c>
      <c r="I146" s="80" t="str">
        <f aca="false">IF(B146="","",IFERROR(INDEX('NOTES CM2'!$AJ$10:$AJ$250,MATCH(B146,'NOTES CM2'!$B$10:$B$250,0)),""))</f>
        <v/>
      </c>
      <c r="J146" s="82" t="str">
        <f aca="false">IF(COUNT(F146:I146)&lt;4,"",ROUND(SUM(F146:I146)/4,2))</f>
        <v/>
      </c>
      <c r="K146" s="83" t="n">
        <f aca="false">INDEX(PARAMETRES!$D$18:$D$23,MATCH("CM2",PARAMETRES!$B$18:$B$23,0))</f>
        <v>20</v>
      </c>
      <c r="L146" s="81" t="n">
        <f aca="false">INDEX(PARAMETRES!$C$18:$C$23,MATCH("CM2",PARAMETRES!$B$18:$B$23,0))</f>
        <v>10</v>
      </c>
      <c r="M146" s="45" t="str">
        <f aca="false">IF(B146="","",IF(E146="ABANDON","ABANDON",IF(E146="TRANSFERE","TRANSFERE",IF(J146="","",IF(J146&gt;=L146,"ADMIS","REDOUBLE")))))</f>
        <v/>
      </c>
      <c r="N146" s="73" t="str">
        <f aca="false">IF(OR(J146="",E146&lt;&gt;"PRESENT"),"",COUNTIFS($E$10:$E$250,"PRESENT",$J$10:$J$250,"&gt;"&amp;J146)+1)</f>
        <v/>
      </c>
      <c r="O146" s="74" t="str">
        <f aca="false">IF(M146="ADMIS",IF(J146/K146*10&gt;=8,"Très bien",IF(J146/K146*10&gt;=7,"Bien",IF(J146/K146*10&gt;=6,"Assez bien","Passable"))),IF(M146="REDOUBLE","Insuffisant",""))</f>
        <v/>
      </c>
      <c r="P146" s="51" t="str">
        <f aca="false">IFERROR(MATCH("CM2-137",'REGISTRE ELEVES'!$AH$10:$AH$250,0),"")</f>
        <v/>
      </c>
    </row>
    <row r="147" customFormat="false" ht="15" hidden="false" customHeight="false" outlineLevel="0" collapsed="false">
      <c r="A147" s="45" t="str">
        <f aca="false">IF(B147="","",138)</f>
        <v/>
      </c>
      <c r="B147" s="45" t="str">
        <f aca="false">IF($P147="","",INDEX('REGISTRE ELEVES'!$B$10:$B$250,$P147))</f>
        <v/>
      </c>
      <c r="C147" s="74" t="str">
        <f aca="false">IF($P147="","",INDEX('REGISTRE ELEVES'!$D$10:$D$250,$P147))</f>
        <v/>
      </c>
      <c r="D147" s="45" t="str">
        <f aca="false">IF($P147="","",INDEX('REGISTRE ELEVES'!$E$10:$E$250,$P147))</f>
        <v/>
      </c>
      <c r="E147" s="45" t="str">
        <f aca="false">IF($P147="","",INDEX('REGISTRE ELEVES'!$AE$10:$AE$250,$P147))</f>
        <v/>
      </c>
      <c r="F147" s="80" t="str">
        <f aca="false">IF(B147="","",IFERROR(INDEX('NOTES CM2'!$M$10:$M$250,MATCH(B147,'NOTES CM2'!$B$10:$B$250,0)),""))</f>
        <v/>
      </c>
      <c r="G147" s="80" t="str">
        <f aca="false">IF(B147="","",IFERROR(INDEX('NOTES CM2'!$T$10:$T$250,MATCH(B147,'NOTES CM2'!$B$10:$B$250,0)),""))</f>
        <v/>
      </c>
      <c r="H147" s="80" t="str">
        <f aca="false">IF(B147="","",IFERROR(INDEX('NOTES CM2'!$AB$10:$AB$250,MATCH(B147,'NOTES CM2'!$B$10:$B$250,0)),""))</f>
        <v/>
      </c>
      <c r="I147" s="80" t="str">
        <f aca="false">IF(B147="","",IFERROR(INDEX('NOTES CM2'!$AJ$10:$AJ$250,MATCH(B147,'NOTES CM2'!$B$10:$B$250,0)),""))</f>
        <v/>
      </c>
      <c r="J147" s="82" t="str">
        <f aca="false">IF(COUNT(F147:I147)&lt;4,"",ROUND(SUM(F147:I147)/4,2))</f>
        <v/>
      </c>
      <c r="K147" s="83" t="n">
        <f aca="false">INDEX(PARAMETRES!$D$18:$D$23,MATCH("CM2",PARAMETRES!$B$18:$B$23,0))</f>
        <v>20</v>
      </c>
      <c r="L147" s="81" t="n">
        <f aca="false">INDEX(PARAMETRES!$C$18:$C$23,MATCH("CM2",PARAMETRES!$B$18:$B$23,0))</f>
        <v>10</v>
      </c>
      <c r="M147" s="45" t="str">
        <f aca="false">IF(B147="","",IF(E147="ABANDON","ABANDON",IF(E147="TRANSFERE","TRANSFERE",IF(J147="","",IF(J147&gt;=L147,"ADMIS","REDOUBLE")))))</f>
        <v/>
      </c>
      <c r="N147" s="73" t="str">
        <f aca="false">IF(OR(J147="",E147&lt;&gt;"PRESENT"),"",COUNTIFS($E$10:$E$250,"PRESENT",$J$10:$J$250,"&gt;"&amp;J147)+1)</f>
        <v/>
      </c>
      <c r="O147" s="74" t="str">
        <f aca="false">IF(M147="ADMIS",IF(J147/K147*10&gt;=8,"Très bien",IF(J147/K147*10&gt;=7,"Bien",IF(J147/K147*10&gt;=6,"Assez bien","Passable"))),IF(M147="REDOUBLE","Insuffisant",""))</f>
        <v/>
      </c>
      <c r="P147" s="51" t="str">
        <f aca="false">IFERROR(MATCH("CM2-138",'REGISTRE ELEVES'!$AH$10:$AH$250,0),"")</f>
        <v/>
      </c>
    </row>
    <row r="148" customFormat="false" ht="15" hidden="false" customHeight="false" outlineLevel="0" collapsed="false">
      <c r="A148" s="45" t="str">
        <f aca="false">IF(B148="","",139)</f>
        <v/>
      </c>
      <c r="B148" s="45" t="str">
        <f aca="false">IF($P148="","",INDEX('REGISTRE ELEVES'!$B$10:$B$250,$P148))</f>
        <v/>
      </c>
      <c r="C148" s="74" t="str">
        <f aca="false">IF($P148="","",INDEX('REGISTRE ELEVES'!$D$10:$D$250,$P148))</f>
        <v/>
      </c>
      <c r="D148" s="45" t="str">
        <f aca="false">IF($P148="","",INDEX('REGISTRE ELEVES'!$E$10:$E$250,$P148))</f>
        <v/>
      </c>
      <c r="E148" s="45" t="str">
        <f aca="false">IF($P148="","",INDEX('REGISTRE ELEVES'!$AE$10:$AE$250,$P148))</f>
        <v/>
      </c>
      <c r="F148" s="80" t="str">
        <f aca="false">IF(B148="","",IFERROR(INDEX('NOTES CM2'!$M$10:$M$250,MATCH(B148,'NOTES CM2'!$B$10:$B$250,0)),""))</f>
        <v/>
      </c>
      <c r="G148" s="80" t="str">
        <f aca="false">IF(B148="","",IFERROR(INDEX('NOTES CM2'!$T$10:$T$250,MATCH(B148,'NOTES CM2'!$B$10:$B$250,0)),""))</f>
        <v/>
      </c>
      <c r="H148" s="80" t="str">
        <f aca="false">IF(B148="","",IFERROR(INDEX('NOTES CM2'!$AB$10:$AB$250,MATCH(B148,'NOTES CM2'!$B$10:$B$250,0)),""))</f>
        <v/>
      </c>
      <c r="I148" s="80" t="str">
        <f aca="false">IF(B148="","",IFERROR(INDEX('NOTES CM2'!$AJ$10:$AJ$250,MATCH(B148,'NOTES CM2'!$B$10:$B$250,0)),""))</f>
        <v/>
      </c>
      <c r="J148" s="82" t="str">
        <f aca="false">IF(COUNT(F148:I148)&lt;4,"",ROUND(SUM(F148:I148)/4,2))</f>
        <v/>
      </c>
      <c r="K148" s="83" t="n">
        <f aca="false">INDEX(PARAMETRES!$D$18:$D$23,MATCH("CM2",PARAMETRES!$B$18:$B$23,0))</f>
        <v>20</v>
      </c>
      <c r="L148" s="81" t="n">
        <f aca="false">INDEX(PARAMETRES!$C$18:$C$23,MATCH("CM2",PARAMETRES!$B$18:$B$23,0))</f>
        <v>10</v>
      </c>
      <c r="M148" s="45" t="str">
        <f aca="false">IF(B148="","",IF(E148="ABANDON","ABANDON",IF(E148="TRANSFERE","TRANSFERE",IF(J148="","",IF(J148&gt;=L148,"ADMIS","REDOUBLE")))))</f>
        <v/>
      </c>
      <c r="N148" s="73" t="str">
        <f aca="false">IF(OR(J148="",E148&lt;&gt;"PRESENT"),"",COUNTIFS($E$10:$E$250,"PRESENT",$J$10:$J$250,"&gt;"&amp;J148)+1)</f>
        <v/>
      </c>
      <c r="O148" s="74" t="str">
        <f aca="false">IF(M148="ADMIS",IF(J148/K148*10&gt;=8,"Très bien",IF(J148/K148*10&gt;=7,"Bien",IF(J148/K148*10&gt;=6,"Assez bien","Passable"))),IF(M148="REDOUBLE","Insuffisant",""))</f>
        <v/>
      </c>
      <c r="P148" s="51" t="str">
        <f aca="false">IFERROR(MATCH("CM2-139",'REGISTRE ELEVES'!$AH$10:$AH$250,0),"")</f>
        <v/>
      </c>
    </row>
    <row r="149" customFormat="false" ht="15" hidden="false" customHeight="false" outlineLevel="0" collapsed="false">
      <c r="A149" s="45" t="str">
        <f aca="false">IF(B149="","",140)</f>
        <v/>
      </c>
      <c r="B149" s="45" t="str">
        <f aca="false">IF($P149="","",INDEX('REGISTRE ELEVES'!$B$10:$B$250,$P149))</f>
        <v/>
      </c>
      <c r="C149" s="74" t="str">
        <f aca="false">IF($P149="","",INDEX('REGISTRE ELEVES'!$D$10:$D$250,$P149))</f>
        <v/>
      </c>
      <c r="D149" s="45" t="str">
        <f aca="false">IF($P149="","",INDEX('REGISTRE ELEVES'!$E$10:$E$250,$P149))</f>
        <v/>
      </c>
      <c r="E149" s="45" t="str">
        <f aca="false">IF($P149="","",INDEX('REGISTRE ELEVES'!$AE$10:$AE$250,$P149))</f>
        <v/>
      </c>
      <c r="F149" s="80" t="str">
        <f aca="false">IF(B149="","",IFERROR(INDEX('NOTES CM2'!$M$10:$M$250,MATCH(B149,'NOTES CM2'!$B$10:$B$250,0)),""))</f>
        <v/>
      </c>
      <c r="G149" s="80" t="str">
        <f aca="false">IF(B149="","",IFERROR(INDEX('NOTES CM2'!$T$10:$T$250,MATCH(B149,'NOTES CM2'!$B$10:$B$250,0)),""))</f>
        <v/>
      </c>
      <c r="H149" s="80" t="str">
        <f aca="false">IF(B149="","",IFERROR(INDEX('NOTES CM2'!$AB$10:$AB$250,MATCH(B149,'NOTES CM2'!$B$10:$B$250,0)),""))</f>
        <v/>
      </c>
      <c r="I149" s="80" t="str">
        <f aca="false">IF(B149="","",IFERROR(INDEX('NOTES CM2'!$AJ$10:$AJ$250,MATCH(B149,'NOTES CM2'!$B$10:$B$250,0)),""))</f>
        <v/>
      </c>
      <c r="J149" s="82" t="str">
        <f aca="false">IF(COUNT(F149:I149)&lt;4,"",ROUND(SUM(F149:I149)/4,2))</f>
        <v/>
      </c>
      <c r="K149" s="83" t="n">
        <f aca="false">INDEX(PARAMETRES!$D$18:$D$23,MATCH("CM2",PARAMETRES!$B$18:$B$23,0))</f>
        <v>20</v>
      </c>
      <c r="L149" s="81" t="n">
        <f aca="false">INDEX(PARAMETRES!$C$18:$C$23,MATCH("CM2",PARAMETRES!$B$18:$B$23,0))</f>
        <v>10</v>
      </c>
      <c r="M149" s="45" t="str">
        <f aca="false">IF(B149="","",IF(E149="ABANDON","ABANDON",IF(E149="TRANSFERE","TRANSFERE",IF(J149="","",IF(J149&gt;=L149,"ADMIS","REDOUBLE")))))</f>
        <v/>
      </c>
      <c r="N149" s="73" t="str">
        <f aca="false">IF(OR(J149="",E149&lt;&gt;"PRESENT"),"",COUNTIFS($E$10:$E$250,"PRESENT",$J$10:$J$250,"&gt;"&amp;J149)+1)</f>
        <v/>
      </c>
      <c r="O149" s="74" t="str">
        <f aca="false">IF(M149="ADMIS",IF(J149/K149*10&gt;=8,"Très bien",IF(J149/K149*10&gt;=7,"Bien",IF(J149/K149*10&gt;=6,"Assez bien","Passable"))),IF(M149="REDOUBLE","Insuffisant",""))</f>
        <v/>
      </c>
      <c r="P149" s="51" t="str">
        <f aca="false">IFERROR(MATCH("CM2-140",'REGISTRE ELEVES'!$AH$10:$AH$250,0),"")</f>
        <v/>
      </c>
    </row>
    <row r="150" customFormat="false" ht="15" hidden="false" customHeight="false" outlineLevel="0" collapsed="false">
      <c r="A150" s="45" t="str">
        <f aca="false">IF(B150="","",141)</f>
        <v/>
      </c>
      <c r="B150" s="45" t="str">
        <f aca="false">IF($P150="","",INDEX('REGISTRE ELEVES'!$B$10:$B$250,$P150))</f>
        <v/>
      </c>
      <c r="C150" s="74" t="str">
        <f aca="false">IF($P150="","",INDEX('REGISTRE ELEVES'!$D$10:$D$250,$P150))</f>
        <v/>
      </c>
      <c r="D150" s="45" t="str">
        <f aca="false">IF($P150="","",INDEX('REGISTRE ELEVES'!$E$10:$E$250,$P150))</f>
        <v/>
      </c>
      <c r="E150" s="45" t="str">
        <f aca="false">IF($P150="","",INDEX('REGISTRE ELEVES'!$AE$10:$AE$250,$P150))</f>
        <v/>
      </c>
      <c r="F150" s="80" t="str">
        <f aca="false">IF(B150="","",IFERROR(INDEX('NOTES CM2'!$M$10:$M$250,MATCH(B150,'NOTES CM2'!$B$10:$B$250,0)),""))</f>
        <v/>
      </c>
      <c r="G150" s="80" t="str">
        <f aca="false">IF(B150="","",IFERROR(INDEX('NOTES CM2'!$T$10:$T$250,MATCH(B150,'NOTES CM2'!$B$10:$B$250,0)),""))</f>
        <v/>
      </c>
      <c r="H150" s="80" t="str">
        <f aca="false">IF(B150="","",IFERROR(INDEX('NOTES CM2'!$AB$10:$AB$250,MATCH(B150,'NOTES CM2'!$B$10:$B$250,0)),""))</f>
        <v/>
      </c>
      <c r="I150" s="80" t="str">
        <f aca="false">IF(B150="","",IFERROR(INDEX('NOTES CM2'!$AJ$10:$AJ$250,MATCH(B150,'NOTES CM2'!$B$10:$B$250,0)),""))</f>
        <v/>
      </c>
      <c r="J150" s="82" t="str">
        <f aca="false">IF(COUNT(F150:I150)&lt;4,"",ROUND(SUM(F150:I150)/4,2))</f>
        <v/>
      </c>
      <c r="K150" s="83" t="n">
        <f aca="false">INDEX(PARAMETRES!$D$18:$D$23,MATCH("CM2",PARAMETRES!$B$18:$B$23,0))</f>
        <v>20</v>
      </c>
      <c r="L150" s="81" t="n">
        <f aca="false">INDEX(PARAMETRES!$C$18:$C$23,MATCH("CM2",PARAMETRES!$B$18:$B$23,0))</f>
        <v>10</v>
      </c>
      <c r="M150" s="45" t="str">
        <f aca="false">IF(B150="","",IF(E150="ABANDON","ABANDON",IF(E150="TRANSFERE","TRANSFERE",IF(J150="","",IF(J150&gt;=L150,"ADMIS","REDOUBLE")))))</f>
        <v/>
      </c>
      <c r="N150" s="73" t="str">
        <f aca="false">IF(OR(J150="",E150&lt;&gt;"PRESENT"),"",COUNTIFS($E$10:$E$250,"PRESENT",$J$10:$J$250,"&gt;"&amp;J150)+1)</f>
        <v/>
      </c>
      <c r="O150" s="74" t="str">
        <f aca="false">IF(M150="ADMIS",IF(J150/K150*10&gt;=8,"Très bien",IF(J150/K150*10&gt;=7,"Bien",IF(J150/K150*10&gt;=6,"Assez bien","Passable"))),IF(M150="REDOUBLE","Insuffisant",""))</f>
        <v/>
      </c>
      <c r="P150" s="51" t="str">
        <f aca="false">IFERROR(MATCH("CM2-141",'REGISTRE ELEVES'!$AH$10:$AH$250,0),"")</f>
        <v/>
      </c>
    </row>
    <row r="151" customFormat="false" ht="15" hidden="false" customHeight="false" outlineLevel="0" collapsed="false">
      <c r="A151" s="45" t="str">
        <f aca="false">IF(B151="","",142)</f>
        <v/>
      </c>
      <c r="B151" s="45" t="str">
        <f aca="false">IF($P151="","",INDEX('REGISTRE ELEVES'!$B$10:$B$250,$P151))</f>
        <v/>
      </c>
      <c r="C151" s="74" t="str">
        <f aca="false">IF($P151="","",INDEX('REGISTRE ELEVES'!$D$10:$D$250,$P151))</f>
        <v/>
      </c>
      <c r="D151" s="45" t="str">
        <f aca="false">IF($P151="","",INDEX('REGISTRE ELEVES'!$E$10:$E$250,$P151))</f>
        <v/>
      </c>
      <c r="E151" s="45" t="str">
        <f aca="false">IF($P151="","",INDEX('REGISTRE ELEVES'!$AE$10:$AE$250,$P151))</f>
        <v/>
      </c>
      <c r="F151" s="80" t="str">
        <f aca="false">IF(B151="","",IFERROR(INDEX('NOTES CM2'!$M$10:$M$250,MATCH(B151,'NOTES CM2'!$B$10:$B$250,0)),""))</f>
        <v/>
      </c>
      <c r="G151" s="80" t="str">
        <f aca="false">IF(B151="","",IFERROR(INDEX('NOTES CM2'!$T$10:$T$250,MATCH(B151,'NOTES CM2'!$B$10:$B$250,0)),""))</f>
        <v/>
      </c>
      <c r="H151" s="80" t="str">
        <f aca="false">IF(B151="","",IFERROR(INDEX('NOTES CM2'!$AB$10:$AB$250,MATCH(B151,'NOTES CM2'!$B$10:$B$250,0)),""))</f>
        <v/>
      </c>
      <c r="I151" s="80" t="str">
        <f aca="false">IF(B151="","",IFERROR(INDEX('NOTES CM2'!$AJ$10:$AJ$250,MATCH(B151,'NOTES CM2'!$B$10:$B$250,0)),""))</f>
        <v/>
      </c>
      <c r="J151" s="82" t="str">
        <f aca="false">IF(COUNT(F151:I151)&lt;4,"",ROUND(SUM(F151:I151)/4,2))</f>
        <v/>
      </c>
      <c r="K151" s="83" t="n">
        <f aca="false">INDEX(PARAMETRES!$D$18:$D$23,MATCH("CM2",PARAMETRES!$B$18:$B$23,0))</f>
        <v>20</v>
      </c>
      <c r="L151" s="81" t="n">
        <f aca="false">INDEX(PARAMETRES!$C$18:$C$23,MATCH("CM2",PARAMETRES!$B$18:$B$23,0))</f>
        <v>10</v>
      </c>
      <c r="M151" s="45" t="str">
        <f aca="false">IF(B151="","",IF(E151="ABANDON","ABANDON",IF(E151="TRANSFERE","TRANSFERE",IF(J151="","",IF(J151&gt;=L151,"ADMIS","REDOUBLE")))))</f>
        <v/>
      </c>
      <c r="N151" s="73" t="str">
        <f aca="false">IF(OR(J151="",E151&lt;&gt;"PRESENT"),"",COUNTIFS($E$10:$E$250,"PRESENT",$J$10:$J$250,"&gt;"&amp;J151)+1)</f>
        <v/>
      </c>
      <c r="O151" s="74" t="str">
        <f aca="false">IF(M151="ADMIS",IF(J151/K151*10&gt;=8,"Très bien",IF(J151/K151*10&gt;=7,"Bien",IF(J151/K151*10&gt;=6,"Assez bien","Passable"))),IF(M151="REDOUBLE","Insuffisant",""))</f>
        <v/>
      </c>
      <c r="P151" s="51" t="str">
        <f aca="false">IFERROR(MATCH("CM2-142",'REGISTRE ELEVES'!$AH$10:$AH$250,0),"")</f>
        <v/>
      </c>
    </row>
    <row r="152" customFormat="false" ht="15" hidden="false" customHeight="false" outlineLevel="0" collapsed="false">
      <c r="A152" s="45" t="str">
        <f aca="false">IF(B152="","",143)</f>
        <v/>
      </c>
      <c r="B152" s="45" t="str">
        <f aca="false">IF($P152="","",INDEX('REGISTRE ELEVES'!$B$10:$B$250,$P152))</f>
        <v/>
      </c>
      <c r="C152" s="74" t="str">
        <f aca="false">IF($P152="","",INDEX('REGISTRE ELEVES'!$D$10:$D$250,$P152))</f>
        <v/>
      </c>
      <c r="D152" s="45" t="str">
        <f aca="false">IF($P152="","",INDEX('REGISTRE ELEVES'!$E$10:$E$250,$P152))</f>
        <v/>
      </c>
      <c r="E152" s="45" t="str">
        <f aca="false">IF($P152="","",INDEX('REGISTRE ELEVES'!$AE$10:$AE$250,$P152))</f>
        <v/>
      </c>
      <c r="F152" s="80" t="str">
        <f aca="false">IF(B152="","",IFERROR(INDEX('NOTES CM2'!$M$10:$M$250,MATCH(B152,'NOTES CM2'!$B$10:$B$250,0)),""))</f>
        <v/>
      </c>
      <c r="G152" s="80" t="str">
        <f aca="false">IF(B152="","",IFERROR(INDEX('NOTES CM2'!$T$10:$T$250,MATCH(B152,'NOTES CM2'!$B$10:$B$250,0)),""))</f>
        <v/>
      </c>
      <c r="H152" s="80" t="str">
        <f aca="false">IF(B152="","",IFERROR(INDEX('NOTES CM2'!$AB$10:$AB$250,MATCH(B152,'NOTES CM2'!$B$10:$B$250,0)),""))</f>
        <v/>
      </c>
      <c r="I152" s="80" t="str">
        <f aca="false">IF(B152="","",IFERROR(INDEX('NOTES CM2'!$AJ$10:$AJ$250,MATCH(B152,'NOTES CM2'!$B$10:$B$250,0)),""))</f>
        <v/>
      </c>
      <c r="J152" s="82" t="str">
        <f aca="false">IF(COUNT(F152:I152)&lt;4,"",ROUND(SUM(F152:I152)/4,2))</f>
        <v/>
      </c>
      <c r="K152" s="83" t="n">
        <f aca="false">INDEX(PARAMETRES!$D$18:$D$23,MATCH("CM2",PARAMETRES!$B$18:$B$23,0))</f>
        <v>20</v>
      </c>
      <c r="L152" s="81" t="n">
        <f aca="false">INDEX(PARAMETRES!$C$18:$C$23,MATCH("CM2",PARAMETRES!$B$18:$B$23,0))</f>
        <v>10</v>
      </c>
      <c r="M152" s="45" t="str">
        <f aca="false">IF(B152="","",IF(E152="ABANDON","ABANDON",IF(E152="TRANSFERE","TRANSFERE",IF(J152="","",IF(J152&gt;=L152,"ADMIS","REDOUBLE")))))</f>
        <v/>
      </c>
      <c r="N152" s="73" t="str">
        <f aca="false">IF(OR(J152="",E152&lt;&gt;"PRESENT"),"",COUNTIFS($E$10:$E$250,"PRESENT",$J$10:$J$250,"&gt;"&amp;J152)+1)</f>
        <v/>
      </c>
      <c r="O152" s="74" t="str">
        <f aca="false">IF(M152="ADMIS",IF(J152/K152*10&gt;=8,"Très bien",IF(J152/K152*10&gt;=7,"Bien",IF(J152/K152*10&gt;=6,"Assez bien","Passable"))),IF(M152="REDOUBLE","Insuffisant",""))</f>
        <v/>
      </c>
      <c r="P152" s="51" t="str">
        <f aca="false">IFERROR(MATCH("CM2-143",'REGISTRE ELEVES'!$AH$10:$AH$250,0),"")</f>
        <v/>
      </c>
    </row>
    <row r="153" customFormat="false" ht="15" hidden="false" customHeight="false" outlineLevel="0" collapsed="false">
      <c r="A153" s="45" t="str">
        <f aca="false">IF(B153="","",144)</f>
        <v/>
      </c>
      <c r="B153" s="45" t="str">
        <f aca="false">IF($P153="","",INDEX('REGISTRE ELEVES'!$B$10:$B$250,$P153))</f>
        <v/>
      </c>
      <c r="C153" s="74" t="str">
        <f aca="false">IF($P153="","",INDEX('REGISTRE ELEVES'!$D$10:$D$250,$P153))</f>
        <v/>
      </c>
      <c r="D153" s="45" t="str">
        <f aca="false">IF($P153="","",INDEX('REGISTRE ELEVES'!$E$10:$E$250,$P153))</f>
        <v/>
      </c>
      <c r="E153" s="45" t="str">
        <f aca="false">IF($P153="","",INDEX('REGISTRE ELEVES'!$AE$10:$AE$250,$P153))</f>
        <v/>
      </c>
      <c r="F153" s="80" t="str">
        <f aca="false">IF(B153="","",IFERROR(INDEX('NOTES CM2'!$M$10:$M$250,MATCH(B153,'NOTES CM2'!$B$10:$B$250,0)),""))</f>
        <v/>
      </c>
      <c r="G153" s="80" t="str">
        <f aca="false">IF(B153="","",IFERROR(INDEX('NOTES CM2'!$T$10:$T$250,MATCH(B153,'NOTES CM2'!$B$10:$B$250,0)),""))</f>
        <v/>
      </c>
      <c r="H153" s="80" t="str">
        <f aca="false">IF(B153="","",IFERROR(INDEX('NOTES CM2'!$AB$10:$AB$250,MATCH(B153,'NOTES CM2'!$B$10:$B$250,0)),""))</f>
        <v/>
      </c>
      <c r="I153" s="80" t="str">
        <f aca="false">IF(B153="","",IFERROR(INDEX('NOTES CM2'!$AJ$10:$AJ$250,MATCH(B153,'NOTES CM2'!$B$10:$B$250,0)),""))</f>
        <v/>
      </c>
      <c r="J153" s="82" t="str">
        <f aca="false">IF(COUNT(F153:I153)&lt;4,"",ROUND(SUM(F153:I153)/4,2))</f>
        <v/>
      </c>
      <c r="K153" s="83" t="n">
        <f aca="false">INDEX(PARAMETRES!$D$18:$D$23,MATCH("CM2",PARAMETRES!$B$18:$B$23,0))</f>
        <v>20</v>
      </c>
      <c r="L153" s="81" t="n">
        <f aca="false">INDEX(PARAMETRES!$C$18:$C$23,MATCH("CM2",PARAMETRES!$B$18:$B$23,0))</f>
        <v>10</v>
      </c>
      <c r="M153" s="45" t="str">
        <f aca="false">IF(B153="","",IF(E153="ABANDON","ABANDON",IF(E153="TRANSFERE","TRANSFERE",IF(J153="","",IF(J153&gt;=L153,"ADMIS","REDOUBLE")))))</f>
        <v/>
      </c>
      <c r="N153" s="73" t="str">
        <f aca="false">IF(OR(J153="",E153&lt;&gt;"PRESENT"),"",COUNTIFS($E$10:$E$250,"PRESENT",$J$10:$J$250,"&gt;"&amp;J153)+1)</f>
        <v/>
      </c>
      <c r="O153" s="74" t="str">
        <f aca="false">IF(M153="ADMIS",IF(J153/K153*10&gt;=8,"Très bien",IF(J153/K153*10&gt;=7,"Bien",IF(J153/K153*10&gt;=6,"Assez bien","Passable"))),IF(M153="REDOUBLE","Insuffisant",""))</f>
        <v/>
      </c>
      <c r="P153" s="51" t="str">
        <f aca="false">IFERROR(MATCH("CM2-144",'REGISTRE ELEVES'!$AH$10:$AH$250,0),"")</f>
        <v/>
      </c>
    </row>
    <row r="154" customFormat="false" ht="15" hidden="false" customHeight="false" outlineLevel="0" collapsed="false">
      <c r="A154" s="45" t="str">
        <f aca="false">IF(B154="","",145)</f>
        <v/>
      </c>
      <c r="B154" s="45" t="str">
        <f aca="false">IF($P154="","",INDEX('REGISTRE ELEVES'!$B$10:$B$250,$P154))</f>
        <v/>
      </c>
      <c r="C154" s="74" t="str">
        <f aca="false">IF($P154="","",INDEX('REGISTRE ELEVES'!$D$10:$D$250,$P154))</f>
        <v/>
      </c>
      <c r="D154" s="45" t="str">
        <f aca="false">IF($P154="","",INDEX('REGISTRE ELEVES'!$E$10:$E$250,$P154))</f>
        <v/>
      </c>
      <c r="E154" s="45" t="str">
        <f aca="false">IF($P154="","",INDEX('REGISTRE ELEVES'!$AE$10:$AE$250,$P154))</f>
        <v/>
      </c>
      <c r="F154" s="80" t="str">
        <f aca="false">IF(B154="","",IFERROR(INDEX('NOTES CM2'!$M$10:$M$250,MATCH(B154,'NOTES CM2'!$B$10:$B$250,0)),""))</f>
        <v/>
      </c>
      <c r="G154" s="80" t="str">
        <f aca="false">IF(B154="","",IFERROR(INDEX('NOTES CM2'!$T$10:$T$250,MATCH(B154,'NOTES CM2'!$B$10:$B$250,0)),""))</f>
        <v/>
      </c>
      <c r="H154" s="80" t="str">
        <f aca="false">IF(B154="","",IFERROR(INDEX('NOTES CM2'!$AB$10:$AB$250,MATCH(B154,'NOTES CM2'!$B$10:$B$250,0)),""))</f>
        <v/>
      </c>
      <c r="I154" s="80" t="str">
        <f aca="false">IF(B154="","",IFERROR(INDEX('NOTES CM2'!$AJ$10:$AJ$250,MATCH(B154,'NOTES CM2'!$B$10:$B$250,0)),""))</f>
        <v/>
      </c>
      <c r="J154" s="82" t="str">
        <f aca="false">IF(COUNT(F154:I154)&lt;4,"",ROUND(SUM(F154:I154)/4,2))</f>
        <v/>
      </c>
      <c r="K154" s="83" t="n">
        <f aca="false">INDEX(PARAMETRES!$D$18:$D$23,MATCH("CM2",PARAMETRES!$B$18:$B$23,0))</f>
        <v>20</v>
      </c>
      <c r="L154" s="81" t="n">
        <f aca="false">INDEX(PARAMETRES!$C$18:$C$23,MATCH("CM2",PARAMETRES!$B$18:$B$23,0))</f>
        <v>10</v>
      </c>
      <c r="M154" s="45" t="str">
        <f aca="false">IF(B154="","",IF(E154="ABANDON","ABANDON",IF(E154="TRANSFERE","TRANSFERE",IF(J154="","",IF(J154&gt;=L154,"ADMIS","REDOUBLE")))))</f>
        <v/>
      </c>
      <c r="N154" s="73" t="str">
        <f aca="false">IF(OR(J154="",E154&lt;&gt;"PRESENT"),"",COUNTIFS($E$10:$E$250,"PRESENT",$J$10:$J$250,"&gt;"&amp;J154)+1)</f>
        <v/>
      </c>
      <c r="O154" s="74" t="str">
        <f aca="false">IF(M154="ADMIS",IF(J154/K154*10&gt;=8,"Très bien",IF(J154/K154*10&gt;=7,"Bien",IF(J154/K154*10&gt;=6,"Assez bien","Passable"))),IF(M154="REDOUBLE","Insuffisant",""))</f>
        <v/>
      </c>
      <c r="P154" s="51" t="str">
        <f aca="false">IFERROR(MATCH("CM2-145",'REGISTRE ELEVES'!$AH$10:$AH$250,0),"")</f>
        <v/>
      </c>
    </row>
    <row r="155" customFormat="false" ht="15" hidden="false" customHeight="false" outlineLevel="0" collapsed="false">
      <c r="A155" s="45" t="str">
        <f aca="false">IF(B155="","",146)</f>
        <v/>
      </c>
      <c r="B155" s="45" t="str">
        <f aca="false">IF($P155="","",INDEX('REGISTRE ELEVES'!$B$10:$B$250,$P155))</f>
        <v/>
      </c>
      <c r="C155" s="74" t="str">
        <f aca="false">IF($P155="","",INDEX('REGISTRE ELEVES'!$D$10:$D$250,$P155))</f>
        <v/>
      </c>
      <c r="D155" s="45" t="str">
        <f aca="false">IF($P155="","",INDEX('REGISTRE ELEVES'!$E$10:$E$250,$P155))</f>
        <v/>
      </c>
      <c r="E155" s="45" t="str">
        <f aca="false">IF($P155="","",INDEX('REGISTRE ELEVES'!$AE$10:$AE$250,$P155))</f>
        <v/>
      </c>
      <c r="F155" s="80" t="str">
        <f aca="false">IF(B155="","",IFERROR(INDEX('NOTES CM2'!$M$10:$M$250,MATCH(B155,'NOTES CM2'!$B$10:$B$250,0)),""))</f>
        <v/>
      </c>
      <c r="G155" s="80" t="str">
        <f aca="false">IF(B155="","",IFERROR(INDEX('NOTES CM2'!$T$10:$T$250,MATCH(B155,'NOTES CM2'!$B$10:$B$250,0)),""))</f>
        <v/>
      </c>
      <c r="H155" s="80" t="str">
        <f aca="false">IF(B155="","",IFERROR(INDEX('NOTES CM2'!$AB$10:$AB$250,MATCH(B155,'NOTES CM2'!$B$10:$B$250,0)),""))</f>
        <v/>
      </c>
      <c r="I155" s="80" t="str">
        <f aca="false">IF(B155="","",IFERROR(INDEX('NOTES CM2'!$AJ$10:$AJ$250,MATCH(B155,'NOTES CM2'!$B$10:$B$250,0)),""))</f>
        <v/>
      </c>
      <c r="J155" s="82" t="str">
        <f aca="false">IF(COUNT(F155:I155)&lt;4,"",ROUND(SUM(F155:I155)/4,2))</f>
        <v/>
      </c>
      <c r="K155" s="83" t="n">
        <f aca="false">INDEX(PARAMETRES!$D$18:$D$23,MATCH("CM2",PARAMETRES!$B$18:$B$23,0))</f>
        <v>20</v>
      </c>
      <c r="L155" s="81" t="n">
        <f aca="false">INDEX(PARAMETRES!$C$18:$C$23,MATCH("CM2",PARAMETRES!$B$18:$B$23,0))</f>
        <v>10</v>
      </c>
      <c r="M155" s="45" t="str">
        <f aca="false">IF(B155="","",IF(E155="ABANDON","ABANDON",IF(E155="TRANSFERE","TRANSFERE",IF(J155="","",IF(J155&gt;=L155,"ADMIS","REDOUBLE")))))</f>
        <v/>
      </c>
      <c r="N155" s="73" t="str">
        <f aca="false">IF(OR(J155="",E155&lt;&gt;"PRESENT"),"",COUNTIFS($E$10:$E$250,"PRESENT",$J$10:$J$250,"&gt;"&amp;J155)+1)</f>
        <v/>
      </c>
      <c r="O155" s="74" t="str">
        <f aca="false">IF(M155="ADMIS",IF(J155/K155*10&gt;=8,"Très bien",IF(J155/K155*10&gt;=7,"Bien",IF(J155/K155*10&gt;=6,"Assez bien","Passable"))),IF(M155="REDOUBLE","Insuffisant",""))</f>
        <v/>
      </c>
      <c r="P155" s="51" t="str">
        <f aca="false">IFERROR(MATCH("CM2-146",'REGISTRE ELEVES'!$AH$10:$AH$250,0),"")</f>
        <v/>
      </c>
    </row>
    <row r="156" customFormat="false" ht="15" hidden="false" customHeight="false" outlineLevel="0" collapsed="false">
      <c r="A156" s="45" t="str">
        <f aca="false">IF(B156="","",147)</f>
        <v/>
      </c>
      <c r="B156" s="45" t="str">
        <f aca="false">IF($P156="","",INDEX('REGISTRE ELEVES'!$B$10:$B$250,$P156))</f>
        <v/>
      </c>
      <c r="C156" s="74" t="str">
        <f aca="false">IF($P156="","",INDEX('REGISTRE ELEVES'!$D$10:$D$250,$P156))</f>
        <v/>
      </c>
      <c r="D156" s="45" t="str">
        <f aca="false">IF($P156="","",INDEX('REGISTRE ELEVES'!$E$10:$E$250,$P156))</f>
        <v/>
      </c>
      <c r="E156" s="45" t="str">
        <f aca="false">IF($P156="","",INDEX('REGISTRE ELEVES'!$AE$10:$AE$250,$P156))</f>
        <v/>
      </c>
      <c r="F156" s="80" t="str">
        <f aca="false">IF(B156="","",IFERROR(INDEX('NOTES CM2'!$M$10:$M$250,MATCH(B156,'NOTES CM2'!$B$10:$B$250,0)),""))</f>
        <v/>
      </c>
      <c r="G156" s="80" t="str">
        <f aca="false">IF(B156="","",IFERROR(INDEX('NOTES CM2'!$T$10:$T$250,MATCH(B156,'NOTES CM2'!$B$10:$B$250,0)),""))</f>
        <v/>
      </c>
      <c r="H156" s="80" t="str">
        <f aca="false">IF(B156="","",IFERROR(INDEX('NOTES CM2'!$AB$10:$AB$250,MATCH(B156,'NOTES CM2'!$B$10:$B$250,0)),""))</f>
        <v/>
      </c>
      <c r="I156" s="80" t="str">
        <f aca="false">IF(B156="","",IFERROR(INDEX('NOTES CM2'!$AJ$10:$AJ$250,MATCH(B156,'NOTES CM2'!$B$10:$B$250,0)),""))</f>
        <v/>
      </c>
      <c r="J156" s="82" t="str">
        <f aca="false">IF(COUNT(F156:I156)&lt;4,"",ROUND(SUM(F156:I156)/4,2))</f>
        <v/>
      </c>
      <c r="K156" s="83" t="n">
        <f aca="false">INDEX(PARAMETRES!$D$18:$D$23,MATCH("CM2",PARAMETRES!$B$18:$B$23,0))</f>
        <v>20</v>
      </c>
      <c r="L156" s="81" t="n">
        <f aca="false">INDEX(PARAMETRES!$C$18:$C$23,MATCH("CM2",PARAMETRES!$B$18:$B$23,0))</f>
        <v>10</v>
      </c>
      <c r="M156" s="45" t="str">
        <f aca="false">IF(B156="","",IF(E156="ABANDON","ABANDON",IF(E156="TRANSFERE","TRANSFERE",IF(J156="","",IF(J156&gt;=L156,"ADMIS","REDOUBLE")))))</f>
        <v/>
      </c>
      <c r="N156" s="73" t="str">
        <f aca="false">IF(OR(J156="",E156&lt;&gt;"PRESENT"),"",COUNTIFS($E$10:$E$250,"PRESENT",$J$10:$J$250,"&gt;"&amp;J156)+1)</f>
        <v/>
      </c>
      <c r="O156" s="74" t="str">
        <f aca="false">IF(M156="ADMIS",IF(J156/K156*10&gt;=8,"Très bien",IF(J156/K156*10&gt;=7,"Bien",IF(J156/K156*10&gt;=6,"Assez bien","Passable"))),IF(M156="REDOUBLE","Insuffisant",""))</f>
        <v/>
      </c>
      <c r="P156" s="51" t="str">
        <f aca="false">IFERROR(MATCH("CM2-147",'REGISTRE ELEVES'!$AH$10:$AH$250,0),"")</f>
        <v/>
      </c>
    </row>
    <row r="157" customFormat="false" ht="15" hidden="false" customHeight="false" outlineLevel="0" collapsed="false">
      <c r="A157" s="45" t="str">
        <f aca="false">IF(B157="","",148)</f>
        <v/>
      </c>
      <c r="B157" s="45" t="str">
        <f aca="false">IF($P157="","",INDEX('REGISTRE ELEVES'!$B$10:$B$250,$P157))</f>
        <v/>
      </c>
      <c r="C157" s="74" t="str">
        <f aca="false">IF($P157="","",INDEX('REGISTRE ELEVES'!$D$10:$D$250,$P157))</f>
        <v/>
      </c>
      <c r="D157" s="45" t="str">
        <f aca="false">IF($P157="","",INDEX('REGISTRE ELEVES'!$E$10:$E$250,$P157))</f>
        <v/>
      </c>
      <c r="E157" s="45" t="str">
        <f aca="false">IF($P157="","",INDEX('REGISTRE ELEVES'!$AE$10:$AE$250,$P157))</f>
        <v/>
      </c>
      <c r="F157" s="80" t="str">
        <f aca="false">IF(B157="","",IFERROR(INDEX('NOTES CM2'!$M$10:$M$250,MATCH(B157,'NOTES CM2'!$B$10:$B$250,0)),""))</f>
        <v/>
      </c>
      <c r="G157" s="80" t="str">
        <f aca="false">IF(B157="","",IFERROR(INDEX('NOTES CM2'!$T$10:$T$250,MATCH(B157,'NOTES CM2'!$B$10:$B$250,0)),""))</f>
        <v/>
      </c>
      <c r="H157" s="80" t="str">
        <f aca="false">IF(B157="","",IFERROR(INDEX('NOTES CM2'!$AB$10:$AB$250,MATCH(B157,'NOTES CM2'!$B$10:$B$250,0)),""))</f>
        <v/>
      </c>
      <c r="I157" s="80" t="str">
        <f aca="false">IF(B157="","",IFERROR(INDEX('NOTES CM2'!$AJ$10:$AJ$250,MATCH(B157,'NOTES CM2'!$B$10:$B$250,0)),""))</f>
        <v/>
      </c>
      <c r="J157" s="82" t="str">
        <f aca="false">IF(COUNT(F157:I157)&lt;4,"",ROUND(SUM(F157:I157)/4,2))</f>
        <v/>
      </c>
      <c r="K157" s="83" t="n">
        <f aca="false">INDEX(PARAMETRES!$D$18:$D$23,MATCH("CM2",PARAMETRES!$B$18:$B$23,0))</f>
        <v>20</v>
      </c>
      <c r="L157" s="81" t="n">
        <f aca="false">INDEX(PARAMETRES!$C$18:$C$23,MATCH("CM2",PARAMETRES!$B$18:$B$23,0))</f>
        <v>10</v>
      </c>
      <c r="M157" s="45" t="str">
        <f aca="false">IF(B157="","",IF(E157="ABANDON","ABANDON",IF(E157="TRANSFERE","TRANSFERE",IF(J157="","",IF(J157&gt;=L157,"ADMIS","REDOUBLE")))))</f>
        <v/>
      </c>
      <c r="N157" s="73" t="str">
        <f aca="false">IF(OR(J157="",E157&lt;&gt;"PRESENT"),"",COUNTIFS($E$10:$E$250,"PRESENT",$J$10:$J$250,"&gt;"&amp;J157)+1)</f>
        <v/>
      </c>
      <c r="O157" s="74" t="str">
        <f aca="false">IF(M157="ADMIS",IF(J157/K157*10&gt;=8,"Très bien",IF(J157/K157*10&gt;=7,"Bien",IF(J157/K157*10&gt;=6,"Assez bien","Passable"))),IF(M157="REDOUBLE","Insuffisant",""))</f>
        <v/>
      </c>
      <c r="P157" s="51" t="str">
        <f aca="false">IFERROR(MATCH("CM2-148",'REGISTRE ELEVES'!$AH$10:$AH$250,0),"")</f>
        <v/>
      </c>
    </row>
    <row r="158" customFormat="false" ht="15" hidden="false" customHeight="false" outlineLevel="0" collapsed="false">
      <c r="A158" s="45" t="str">
        <f aca="false">IF(B158="","",149)</f>
        <v/>
      </c>
      <c r="B158" s="45" t="str">
        <f aca="false">IF($P158="","",INDEX('REGISTRE ELEVES'!$B$10:$B$250,$P158))</f>
        <v/>
      </c>
      <c r="C158" s="74" t="str">
        <f aca="false">IF($P158="","",INDEX('REGISTRE ELEVES'!$D$10:$D$250,$P158))</f>
        <v/>
      </c>
      <c r="D158" s="45" t="str">
        <f aca="false">IF($P158="","",INDEX('REGISTRE ELEVES'!$E$10:$E$250,$P158))</f>
        <v/>
      </c>
      <c r="E158" s="45" t="str">
        <f aca="false">IF($P158="","",INDEX('REGISTRE ELEVES'!$AE$10:$AE$250,$P158))</f>
        <v/>
      </c>
      <c r="F158" s="80" t="str">
        <f aca="false">IF(B158="","",IFERROR(INDEX('NOTES CM2'!$M$10:$M$250,MATCH(B158,'NOTES CM2'!$B$10:$B$250,0)),""))</f>
        <v/>
      </c>
      <c r="G158" s="80" t="str">
        <f aca="false">IF(B158="","",IFERROR(INDEX('NOTES CM2'!$T$10:$T$250,MATCH(B158,'NOTES CM2'!$B$10:$B$250,0)),""))</f>
        <v/>
      </c>
      <c r="H158" s="80" t="str">
        <f aca="false">IF(B158="","",IFERROR(INDEX('NOTES CM2'!$AB$10:$AB$250,MATCH(B158,'NOTES CM2'!$B$10:$B$250,0)),""))</f>
        <v/>
      </c>
      <c r="I158" s="80" t="str">
        <f aca="false">IF(B158="","",IFERROR(INDEX('NOTES CM2'!$AJ$10:$AJ$250,MATCH(B158,'NOTES CM2'!$B$10:$B$250,0)),""))</f>
        <v/>
      </c>
      <c r="J158" s="82" t="str">
        <f aca="false">IF(COUNT(F158:I158)&lt;4,"",ROUND(SUM(F158:I158)/4,2))</f>
        <v/>
      </c>
      <c r="K158" s="83" t="n">
        <f aca="false">INDEX(PARAMETRES!$D$18:$D$23,MATCH("CM2",PARAMETRES!$B$18:$B$23,0))</f>
        <v>20</v>
      </c>
      <c r="L158" s="81" t="n">
        <f aca="false">INDEX(PARAMETRES!$C$18:$C$23,MATCH("CM2",PARAMETRES!$B$18:$B$23,0))</f>
        <v>10</v>
      </c>
      <c r="M158" s="45" t="str">
        <f aca="false">IF(B158="","",IF(E158="ABANDON","ABANDON",IF(E158="TRANSFERE","TRANSFERE",IF(J158="","",IF(J158&gt;=L158,"ADMIS","REDOUBLE")))))</f>
        <v/>
      </c>
      <c r="N158" s="73" t="str">
        <f aca="false">IF(OR(J158="",E158&lt;&gt;"PRESENT"),"",COUNTIFS($E$10:$E$250,"PRESENT",$J$10:$J$250,"&gt;"&amp;J158)+1)</f>
        <v/>
      </c>
      <c r="O158" s="74" t="str">
        <f aca="false">IF(M158="ADMIS",IF(J158/K158*10&gt;=8,"Très bien",IF(J158/K158*10&gt;=7,"Bien",IF(J158/K158*10&gt;=6,"Assez bien","Passable"))),IF(M158="REDOUBLE","Insuffisant",""))</f>
        <v/>
      </c>
      <c r="P158" s="51" t="str">
        <f aca="false">IFERROR(MATCH("CM2-149",'REGISTRE ELEVES'!$AH$10:$AH$250,0),"")</f>
        <v/>
      </c>
    </row>
    <row r="159" customFormat="false" ht="15" hidden="false" customHeight="false" outlineLevel="0" collapsed="false">
      <c r="A159" s="45" t="str">
        <f aca="false">IF(B159="","",150)</f>
        <v/>
      </c>
      <c r="B159" s="45" t="str">
        <f aca="false">IF($P159="","",INDEX('REGISTRE ELEVES'!$B$10:$B$250,$P159))</f>
        <v/>
      </c>
      <c r="C159" s="74" t="str">
        <f aca="false">IF($P159="","",INDEX('REGISTRE ELEVES'!$D$10:$D$250,$P159))</f>
        <v/>
      </c>
      <c r="D159" s="45" t="str">
        <f aca="false">IF($P159="","",INDEX('REGISTRE ELEVES'!$E$10:$E$250,$P159))</f>
        <v/>
      </c>
      <c r="E159" s="45" t="str">
        <f aca="false">IF($P159="","",INDEX('REGISTRE ELEVES'!$AE$10:$AE$250,$P159))</f>
        <v/>
      </c>
      <c r="F159" s="80" t="str">
        <f aca="false">IF(B159="","",IFERROR(INDEX('NOTES CM2'!$M$10:$M$250,MATCH(B159,'NOTES CM2'!$B$10:$B$250,0)),""))</f>
        <v/>
      </c>
      <c r="G159" s="80" t="str">
        <f aca="false">IF(B159="","",IFERROR(INDEX('NOTES CM2'!$T$10:$T$250,MATCH(B159,'NOTES CM2'!$B$10:$B$250,0)),""))</f>
        <v/>
      </c>
      <c r="H159" s="80" t="str">
        <f aca="false">IF(B159="","",IFERROR(INDEX('NOTES CM2'!$AB$10:$AB$250,MATCH(B159,'NOTES CM2'!$B$10:$B$250,0)),""))</f>
        <v/>
      </c>
      <c r="I159" s="80" t="str">
        <f aca="false">IF(B159="","",IFERROR(INDEX('NOTES CM2'!$AJ$10:$AJ$250,MATCH(B159,'NOTES CM2'!$B$10:$B$250,0)),""))</f>
        <v/>
      </c>
      <c r="J159" s="82" t="str">
        <f aca="false">IF(COUNT(F159:I159)&lt;4,"",ROUND(SUM(F159:I159)/4,2))</f>
        <v/>
      </c>
      <c r="K159" s="83" t="n">
        <f aca="false">INDEX(PARAMETRES!$D$18:$D$23,MATCH("CM2",PARAMETRES!$B$18:$B$23,0))</f>
        <v>20</v>
      </c>
      <c r="L159" s="81" t="n">
        <f aca="false">INDEX(PARAMETRES!$C$18:$C$23,MATCH("CM2",PARAMETRES!$B$18:$B$23,0))</f>
        <v>10</v>
      </c>
      <c r="M159" s="45" t="str">
        <f aca="false">IF(B159="","",IF(E159="ABANDON","ABANDON",IF(E159="TRANSFERE","TRANSFERE",IF(J159="","",IF(J159&gt;=L159,"ADMIS","REDOUBLE")))))</f>
        <v/>
      </c>
      <c r="N159" s="73" t="str">
        <f aca="false">IF(OR(J159="",E159&lt;&gt;"PRESENT"),"",COUNTIFS($E$10:$E$250,"PRESENT",$J$10:$J$250,"&gt;"&amp;J159)+1)</f>
        <v/>
      </c>
      <c r="O159" s="74" t="str">
        <f aca="false">IF(M159="ADMIS",IF(J159/K159*10&gt;=8,"Très bien",IF(J159/K159*10&gt;=7,"Bien",IF(J159/K159*10&gt;=6,"Assez bien","Passable"))),IF(M159="REDOUBLE","Insuffisant",""))</f>
        <v/>
      </c>
      <c r="P159" s="51" t="str">
        <f aca="false">IFERROR(MATCH("CM2-150",'REGISTRE ELEVES'!$AH$10:$AH$250,0),"")</f>
        <v/>
      </c>
    </row>
    <row r="160" customFormat="false" ht="15" hidden="false" customHeight="false" outlineLevel="0" collapsed="false">
      <c r="A160" s="45" t="str">
        <f aca="false">IF(B160="","",151)</f>
        <v/>
      </c>
      <c r="B160" s="45" t="str">
        <f aca="false">IF($P160="","",INDEX('REGISTRE ELEVES'!$B$10:$B$250,$P160))</f>
        <v/>
      </c>
      <c r="C160" s="74" t="str">
        <f aca="false">IF($P160="","",INDEX('REGISTRE ELEVES'!$D$10:$D$250,$P160))</f>
        <v/>
      </c>
      <c r="D160" s="45" t="str">
        <f aca="false">IF($P160="","",INDEX('REGISTRE ELEVES'!$E$10:$E$250,$P160))</f>
        <v/>
      </c>
      <c r="E160" s="45" t="str">
        <f aca="false">IF($P160="","",INDEX('REGISTRE ELEVES'!$AE$10:$AE$250,$P160))</f>
        <v/>
      </c>
      <c r="F160" s="80" t="str">
        <f aca="false">IF(B160="","",IFERROR(INDEX('NOTES CM2'!$M$10:$M$250,MATCH(B160,'NOTES CM2'!$B$10:$B$250,0)),""))</f>
        <v/>
      </c>
      <c r="G160" s="80" t="str">
        <f aca="false">IF(B160="","",IFERROR(INDEX('NOTES CM2'!$T$10:$T$250,MATCH(B160,'NOTES CM2'!$B$10:$B$250,0)),""))</f>
        <v/>
      </c>
      <c r="H160" s="80" t="str">
        <f aca="false">IF(B160="","",IFERROR(INDEX('NOTES CM2'!$AB$10:$AB$250,MATCH(B160,'NOTES CM2'!$B$10:$B$250,0)),""))</f>
        <v/>
      </c>
      <c r="I160" s="80" t="str">
        <f aca="false">IF(B160="","",IFERROR(INDEX('NOTES CM2'!$AJ$10:$AJ$250,MATCH(B160,'NOTES CM2'!$B$10:$B$250,0)),""))</f>
        <v/>
      </c>
      <c r="J160" s="82" t="str">
        <f aca="false">IF(COUNT(F160:I160)&lt;4,"",ROUND(SUM(F160:I160)/4,2))</f>
        <v/>
      </c>
      <c r="K160" s="83" t="n">
        <f aca="false">INDEX(PARAMETRES!$D$18:$D$23,MATCH("CM2",PARAMETRES!$B$18:$B$23,0))</f>
        <v>20</v>
      </c>
      <c r="L160" s="81" t="n">
        <f aca="false">INDEX(PARAMETRES!$C$18:$C$23,MATCH("CM2",PARAMETRES!$B$18:$B$23,0))</f>
        <v>10</v>
      </c>
      <c r="M160" s="45" t="str">
        <f aca="false">IF(B160="","",IF(E160="ABANDON","ABANDON",IF(E160="TRANSFERE","TRANSFERE",IF(J160="","",IF(J160&gt;=L160,"ADMIS","REDOUBLE")))))</f>
        <v/>
      </c>
      <c r="N160" s="73" t="str">
        <f aca="false">IF(OR(J160="",E160&lt;&gt;"PRESENT"),"",COUNTIFS($E$10:$E$250,"PRESENT",$J$10:$J$250,"&gt;"&amp;J160)+1)</f>
        <v/>
      </c>
      <c r="O160" s="74" t="str">
        <f aca="false">IF(M160="ADMIS",IF(J160/K160*10&gt;=8,"Très bien",IF(J160/K160*10&gt;=7,"Bien",IF(J160/K160*10&gt;=6,"Assez bien","Passable"))),IF(M160="REDOUBLE","Insuffisant",""))</f>
        <v/>
      </c>
      <c r="P160" s="51" t="str">
        <f aca="false">IFERROR(MATCH("CM2-151",'REGISTRE ELEVES'!$AH$10:$AH$250,0),"")</f>
        <v/>
      </c>
    </row>
    <row r="161" customFormat="false" ht="15" hidden="false" customHeight="false" outlineLevel="0" collapsed="false">
      <c r="A161" s="45" t="str">
        <f aca="false">IF(B161="","",152)</f>
        <v/>
      </c>
      <c r="B161" s="45" t="str">
        <f aca="false">IF($P161="","",INDEX('REGISTRE ELEVES'!$B$10:$B$250,$P161))</f>
        <v/>
      </c>
      <c r="C161" s="74" t="str">
        <f aca="false">IF($P161="","",INDEX('REGISTRE ELEVES'!$D$10:$D$250,$P161))</f>
        <v/>
      </c>
      <c r="D161" s="45" t="str">
        <f aca="false">IF($P161="","",INDEX('REGISTRE ELEVES'!$E$10:$E$250,$P161))</f>
        <v/>
      </c>
      <c r="E161" s="45" t="str">
        <f aca="false">IF($P161="","",INDEX('REGISTRE ELEVES'!$AE$10:$AE$250,$P161))</f>
        <v/>
      </c>
      <c r="F161" s="80" t="str">
        <f aca="false">IF(B161="","",IFERROR(INDEX('NOTES CM2'!$M$10:$M$250,MATCH(B161,'NOTES CM2'!$B$10:$B$250,0)),""))</f>
        <v/>
      </c>
      <c r="G161" s="80" t="str">
        <f aca="false">IF(B161="","",IFERROR(INDEX('NOTES CM2'!$T$10:$T$250,MATCH(B161,'NOTES CM2'!$B$10:$B$250,0)),""))</f>
        <v/>
      </c>
      <c r="H161" s="80" t="str">
        <f aca="false">IF(B161="","",IFERROR(INDEX('NOTES CM2'!$AB$10:$AB$250,MATCH(B161,'NOTES CM2'!$B$10:$B$250,0)),""))</f>
        <v/>
      </c>
      <c r="I161" s="80" t="str">
        <f aca="false">IF(B161="","",IFERROR(INDEX('NOTES CM2'!$AJ$10:$AJ$250,MATCH(B161,'NOTES CM2'!$B$10:$B$250,0)),""))</f>
        <v/>
      </c>
      <c r="J161" s="82" t="str">
        <f aca="false">IF(COUNT(F161:I161)&lt;4,"",ROUND(SUM(F161:I161)/4,2))</f>
        <v/>
      </c>
      <c r="K161" s="83" t="n">
        <f aca="false">INDEX(PARAMETRES!$D$18:$D$23,MATCH("CM2",PARAMETRES!$B$18:$B$23,0))</f>
        <v>20</v>
      </c>
      <c r="L161" s="81" t="n">
        <f aca="false">INDEX(PARAMETRES!$C$18:$C$23,MATCH("CM2",PARAMETRES!$B$18:$B$23,0))</f>
        <v>10</v>
      </c>
      <c r="M161" s="45" t="str">
        <f aca="false">IF(B161="","",IF(E161="ABANDON","ABANDON",IF(E161="TRANSFERE","TRANSFERE",IF(J161="","",IF(J161&gt;=L161,"ADMIS","REDOUBLE")))))</f>
        <v/>
      </c>
      <c r="N161" s="73" t="str">
        <f aca="false">IF(OR(J161="",E161&lt;&gt;"PRESENT"),"",COUNTIFS($E$10:$E$250,"PRESENT",$J$10:$J$250,"&gt;"&amp;J161)+1)</f>
        <v/>
      </c>
      <c r="O161" s="74" t="str">
        <f aca="false">IF(M161="ADMIS",IF(J161/K161*10&gt;=8,"Très bien",IF(J161/K161*10&gt;=7,"Bien",IF(J161/K161*10&gt;=6,"Assez bien","Passable"))),IF(M161="REDOUBLE","Insuffisant",""))</f>
        <v/>
      </c>
      <c r="P161" s="51" t="str">
        <f aca="false">IFERROR(MATCH("CM2-152",'REGISTRE ELEVES'!$AH$10:$AH$250,0),"")</f>
        <v/>
      </c>
    </row>
    <row r="162" customFormat="false" ht="15" hidden="false" customHeight="false" outlineLevel="0" collapsed="false">
      <c r="A162" s="45" t="str">
        <f aca="false">IF(B162="","",153)</f>
        <v/>
      </c>
      <c r="B162" s="45" t="str">
        <f aca="false">IF($P162="","",INDEX('REGISTRE ELEVES'!$B$10:$B$250,$P162))</f>
        <v/>
      </c>
      <c r="C162" s="74" t="str">
        <f aca="false">IF($P162="","",INDEX('REGISTRE ELEVES'!$D$10:$D$250,$P162))</f>
        <v/>
      </c>
      <c r="D162" s="45" t="str">
        <f aca="false">IF($P162="","",INDEX('REGISTRE ELEVES'!$E$10:$E$250,$P162))</f>
        <v/>
      </c>
      <c r="E162" s="45" t="str">
        <f aca="false">IF($P162="","",INDEX('REGISTRE ELEVES'!$AE$10:$AE$250,$P162))</f>
        <v/>
      </c>
      <c r="F162" s="80" t="str">
        <f aca="false">IF(B162="","",IFERROR(INDEX('NOTES CM2'!$M$10:$M$250,MATCH(B162,'NOTES CM2'!$B$10:$B$250,0)),""))</f>
        <v/>
      </c>
      <c r="G162" s="80" t="str">
        <f aca="false">IF(B162="","",IFERROR(INDEX('NOTES CM2'!$T$10:$T$250,MATCH(B162,'NOTES CM2'!$B$10:$B$250,0)),""))</f>
        <v/>
      </c>
      <c r="H162" s="80" t="str">
        <f aca="false">IF(B162="","",IFERROR(INDEX('NOTES CM2'!$AB$10:$AB$250,MATCH(B162,'NOTES CM2'!$B$10:$B$250,0)),""))</f>
        <v/>
      </c>
      <c r="I162" s="80" t="str">
        <f aca="false">IF(B162="","",IFERROR(INDEX('NOTES CM2'!$AJ$10:$AJ$250,MATCH(B162,'NOTES CM2'!$B$10:$B$250,0)),""))</f>
        <v/>
      </c>
      <c r="J162" s="82" t="str">
        <f aca="false">IF(COUNT(F162:I162)&lt;4,"",ROUND(SUM(F162:I162)/4,2))</f>
        <v/>
      </c>
      <c r="K162" s="83" t="n">
        <f aca="false">INDEX(PARAMETRES!$D$18:$D$23,MATCH("CM2",PARAMETRES!$B$18:$B$23,0))</f>
        <v>20</v>
      </c>
      <c r="L162" s="81" t="n">
        <f aca="false">INDEX(PARAMETRES!$C$18:$C$23,MATCH("CM2",PARAMETRES!$B$18:$B$23,0))</f>
        <v>10</v>
      </c>
      <c r="M162" s="45" t="str">
        <f aca="false">IF(B162="","",IF(E162="ABANDON","ABANDON",IF(E162="TRANSFERE","TRANSFERE",IF(J162="","",IF(J162&gt;=L162,"ADMIS","REDOUBLE")))))</f>
        <v/>
      </c>
      <c r="N162" s="73" t="str">
        <f aca="false">IF(OR(J162="",E162&lt;&gt;"PRESENT"),"",COUNTIFS($E$10:$E$250,"PRESENT",$J$10:$J$250,"&gt;"&amp;J162)+1)</f>
        <v/>
      </c>
      <c r="O162" s="74" t="str">
        <f aca="false">IF(M162="ADMIS",IF(J162/K162*10&gt;=8,"Très bien",IF(J162/K162*10&gt;=7,"Bien",IF(J162/K162*10&gt;=6,"Assez bien","Passable"))),IF(M162="REDOUBLE","Insuffisant",""))</f>
        <v/>
      </c>
      <c r="P162" s="51" t="str">
        <f aca="false">IFERROR(MATCH("CM2-153",'REGISTRE ELEVES'!$AH$10:$AH$250,0),"")</f>
        <v/>
      </c>
    </row>
    <row r="163" customFormat="false" ht="15" hidden="false" customHeight="false" outlineLevel="0" collapsed="false">
      <c r="A163" s="45" t="str">
        <f aca="false">IF(B163="","",154)</f>
        <v/>
      </c>
      <c r="B163" s="45" t="str">
        <f aca="false">IF($P163="","",INDEX('REGISTRE ELEVES'!$B$10:$B$250,$P163))</f>
        <v/>
      </c>
      <c r="C163" s="74" t="str">
        <f aca="false">IF($P163="","",INDEX('REGISTRE ELEVES'!$D$10:$D$250,$P163))</f>
        <v/>
      </c>
      <c r="D163" s="45" t="str">
        <f aca="false">IF($P163="","",INDEX('REGISTRE ELEVES'!$E$10:$E$250,$P163))</f>
        <v/>
      </c>
      <c r="E163" s="45" t="str">
        <f aca="false">IF($P163="","",INDEX('REGISTRE ELEVES'!$AE$10:$AE$250,$P163))</f>
        <v/>
      </c>
      <c r="F163" s="80" t="str">
        <f aca="false">IF(B163="","",IFERROR(INDEX('NOTES CM2'!$M$10:$M$250,MATCH(B163,'NOTES CM2'!$B$10:$B$250,0)),""))</f>
        <v/>
      </c>
      <c r="G163" s="80" t="str">
        <f aca="false">IF(B163="","",IFERROR(INDEX('NOTES CM2'!$T$10:$T$250,MATCH(B163,'NOTES CM2'!$B$10:$B$250,0)),""))</f>
        <v/>
      </c>
      <c r="H163" s="80" t="str">
        <f aca="false">IF(B163="","",IFERROR(INDEX('NOTES CM2'!$AB$10:$AB$250,MATCH(B163,'NOTES CM2'!$B$10:$B$250,0)),""))</f>
        <v/>
      </c>
      <c r="I163" s="80" t="str">
        <f aca="false">IF(B163="","",IFERROR(INDEX('NOTES CM2'!$AJ$10:$AJ$250,MATCH(B163,'NOTES CM2'!$B$10:$B$250,0)),""))</f>
        <v/>
      </c>
      <c r="J163" s="82" t="str">
        <f aca="false">IF(COUNT(F163:I163)&lt;4,"",ROUND(SUM(F163:I163)/4,2))</f>
        <v/>
      </c>
      <c r="K163" s="83" t="n">
        <f aca="false">INDEX(PARAMETRES!$D$18:$D$23,MATCH("CM2",PARAMETRES!$B$18:$B$23,0))</f>
        <v>20</v>
      </c>
      <c r="L163" s="81" t="n">
        <f aca="false">INDEX(PARAMETRES!$C$18:$C$23,MATCH("CM2",PARAMETRES!$B$18:$B$23,0))</f>
        <v>10</v>
      </c>
      <c r="M163" s="45" t="str">
        <f aca="false">IF(B163="","",IF(E163="ABANDON","ABANDON",IF(E163="TRANSFERE","TRANSFERE",IF(J163="","",IF(J163&gt;=L163,"ADMIS","REDOUBLE")))))</f>
        <v/>
      </c>
      <c r="N163" s="73" t="str">
        <f aca="false">IF(OR(J163="",E163&lt;&gt;"PRESENT"),"",COUNTIFS($E$10:$E$250,"PRESENT",$J$10:$J$250,"&gt;"&amp;J163)+1)</f>
        <v/>
      </c>
      <c r="O163" s="74" t="str">
        <f aca="false">IF(M163="ADMIS",IF(J163/K163*10&gt;=8,"Très bien",IF(J163/K163*10&gt;=7,"Bien",IF(J163/K163*10&gt;=6,"Assez bien","Passable"))),IF(M163="REDOUBLE","Insuffisant",""))</f>
        <v/>
      </c>
      <c r="P163" s="51" t="str">
        <f aca="false">IFERROR(MATCH("CM2-154",'REGISTRE ELEVES'!$AH$10:$AH$250,0),"")</f>
        <v/>
      </c>
    </row>
    <row r="164" customFormat="false" ht="15" hidden="false" customHeight="false" outlineLevel="0" collapsed="false">
      <c r="A164" s="45" t="str">
        <f aca="false">IF(B164="","",155)</f>
        <v/>
      </c>
      <c r="B164" s="45" t="str">
        <f aca="false">IF($P164="","",INDEX('REGISTRE ELEVES'!$B$10:$B$250,$P164))</f>
        <v/>
      </c>
      <c r="C164" s="74" t="str">
        <f aca="false">IF($P164="","",INDEX('REGISTRE ELEVES'!$D$10:$D$250,$P164))</f>
        <v/>
      </c>
      <c r="D164" s="45" t="str">
        <f aca="false">IF($P164="","",INDEX('REGISTRE ELEVES'!$E$10:$E$250,$P164))</f>
        <v/>
      </c>
      <c r="E164" s="45" t="str">
        <f aca="false">IF($P164="","",INDEX('REGISTRE ELEVES'!$AE$10:$AE$250,$P164))</f>
        <v/>
      </c>
      <c r="F164" s="80" t="str">
        <f aca="false">IF(B164="","",IFERROR(INDEX('NOTES CM2'!$M$10:$M$250,MATCH(B164,'NOTES CM2'!$B$10:$B$250,0)),""))</f>
        <v/>
      </c>
      <c r="G164" s="80" t="str">
        <f aca="false">IF(B164="","",IFERROR(INDEX('NOTES CM2'!$T$10:$T$250,MATCH(B164,'NOTES CM2'!$B$10:$B$250,0)),""))</f>
        <v/>
      </c>
      <c r="H164" s="80" t="str">
        <f aca="false">IF(B164="","",IFERROR(INDEX('NOTES CM2'!$AB$10:$AB$250,MATCH(B164,'NOTES CM2'!$B$10:$B$250,0)),""))</f>
        <v/>
      </c>
      <c r="I164" s="80" t="str">
        <f aca="false">IF(B164="","",IFERROR(INDEX('NOTES CM2'!$AJ$10:$AJ$250,MATCH(B164,'NOTES CM2'!$B$10:$B$250,0)),""))</f>
        <v/>
      </c>
      <c r="J164" s="82" t="str">
        <f aca="false">IF(COUNT(F164:I164)&lt;4,"",ROUND(SUM(F164:I164)/4,2))</f>
        <v/>
      </c>
      <c r="K164" s="83" t="n">
        <f aca="false">INDEX(PARAMETRES!$D$18:$D$23,MATCH("CM2",PARAMETRES!$B$18:$B$23,0))</f>
        <v>20</v>
      </c>
      <c r="L164" s="81" t="n">
        <f aca="false">INDEX(PARAMETRES!$C$18:$C$23,MATCH("CM2",PARAMETRES!$B$18:$B$23,0))</f>
        <v>10</v>
      </c>
      <c r="M164" s="45" t="str">
        <f aca="false">IF(B164="","",IF(E164="ABANDON","ABANDON",IF(E164="TRANSFERE","TRANSFERE",IF(J164="","",IF(J164&gt;=L164,"ADMIS","REDOUBLE")))))</f>
        <v/>
      </c>
      <c r="N164" s="73" t="str">
        <f aca="false">IF(OR(J164="",E164&lt;&gt;"PRESENT"),"",COUNTIFS($E$10:$E$250,"PRESENT",$J$10:$J$250,"&gt;"&amp;J164)+1)</f>
        <v/>
      </c>
      <c r="O164" s="74" t="str">
        <f aca="false">IF(M164="ADMIS",IF(J164/K164*10&gt;=8,"Très bien",IF(J164/K164*10&gt;=7,"Bien",IF(J164/K164*10&gt;=6,"Assez bien","Passable"))),IF(M164="REDOUBLE","Insuffisant",""))</f>
        <v/>
      </c>
      <c r="P164" s="51" t="str">
        <f aca="false">IFERROR(MATCH("CM2-155",'REGISTRE ELEVES'!$AH$10:$AH$250,0),"")</f>
        <v/>
      </c>
    </row>
    <row r="165" customFormat="false" ht="15" hidden="false" customHeight="false" outlineLevel="0" collapsed="false">
      <c r="A165" s="45" t="str">
        <f aca="false">IF(B165="","",156)</f>
        <v/>
      </c>
      <c r="B165" s="45" t="str">
        <f aca="false">IF($P165="","",INDEX('REGISTRE ELEVES'!$B$10:$B$250,$P165))</f>
        <v/>
      </c>
      <c r="C165" s="74" t="str">
        <f aca="false">IF($P165="","",INDEX('REGISTRE ELEVES'!$D$10:$D$250,$P165))</f>
        <v/>
      </c>
      <c r="D165" s="45" t="str">
        <f aca="false">IF($P165="","",INDEX('REGISTRE ELEVES'!$E$10:$E$250,$P165))</f>
        <v/>
      </c>
      <c r="E165" s="45" t="str">
        <f aca="false">IF($P165="","",INDEX('REGISTRE ELEVES'!$AE$10:$AE$250,$P165))</f>
        <v/>
      </c>
      <c r="F165" s="80" t="str">
        <f aca="false">IF(B165="","",IFERROR(INDEX('NOTES CM2'!$M$10:$M$250,MATCH(B165,'NOTES CM2'!$B$10:$B$250,0)),""))</f>
        <v/>
      </c>
      <c r="G165" s="80" t="str">
        <f aca="false">IF(B165="","",IFERROR(INDEX('NOTES CM2'!$T$10:$T$250,MATCH(B165,'NOTES CM2'!$B$10:$B$250,0)),""))</f>
        <v/>
      </c>
      <c r="H165" s="80" t="str">
        <f aca="false">IF(B165="","",IFERROR(INDEX('NOTES CM2'!$AB$10:$AB$250,MATCH(B165,'NOTES CM2'!$B$10:$B$250,0)),""))</f>
        <v/>
      </c>
      <c r="I165" s="80" t="str">
        <f aca="false">IF(B165="","",IFERROR(INDEX('NOTES CM2'!$AJ$10:$AJ$250,MATCH(B165,'NOTES CM2'!$B$10:$B$250,0)),""))</f>
        <v/>
      </c>
      <c r="J165" s="82" t="str">
        <f aca="false">IF(COUNT(F165:I165)&lt;4,"",ROUND(SUM(F165:I165)/4,2))</f>
        <v/>
      </c>
      <c r="K165" s="83" t="n">
        <f aca="false">INDEX(PARAMETRES!$D$18:$D$23,MATCH("CM2",PARAMETRES!$B$18:$B$23,0))</f>
        <v>20</v>
      </c>
      <c r="L165" s="81" t="n">
        <f aca="false">INDEX(PARAMETRES!$C$18:$C$23,MATCH("CM2",PARAMETRES!$B$18:$B$23,0))</f>
        <v>10</v>
      </c>
      <c r="M165" s="45" t="str">
        <f aca="false">IF(B165="","",IF(E165="ABANDON","ABANDON",IF(E165="TRANSFERE","TRANSFERE",IF(J165="","",IF(J165&gt;=L165,"ADMIS","REDOUBLE")))))</f>
        <v/>
      </c>
      <c r="N165" s="73" t="str">
        <f aca="false">IF(OR(J165="",E165&lt;&gt;"PRESENT"),"",COUNTIFS($E$10:$E$250,"PRESENT",$J$10:$J$250,"&gt;"&amp;J165)+1)</f>
        <v/>
      </c>
      <c r="O165" s="74" t="str">
        <f aca="false">IF(M165="ADMIS",IF(J165/K165*10&gt;=8,"Très bien",IF(J165/K165*10&gt;=7,"Bien",IF(J165/K165*10&gt;=6,"Assez bien","Passable"))),IF(M165="REDOUBLE","Insuffisant",""))</f>
        <v/>
      </c>
      <c r="P165" s="51" t="str">
        <f aca="false">IFERROR(MATCH("CM2-156",'REGISTRE ELEVES'!$AH$10:$AH$250,0),"")</f>
        <v/>
      </c>
    </row>
    <row r="166" customFormat="false" ht="15" hidden="false" customHeight="false" outlineLevel="0" collapsed="false">
      <c r="A166" s="45" t="str">
        <f aca="false">IF(B166="","",157)</f>
        <v/>
      </c>
      <c r="B166" s="45" t="str">
        <f aca="false">IF($P166="","",INDEX('REGISTRE ELEVES'!$B$10:$B$250,$P166))</f>
        <v/>
      </c>
      <c r="C166" s="74" t="str">
        <f aca="false">IF($P166="","",INDEX('REGISTRE ELEVES'!$D$10:$D$250,$P166))</f>
        <v/>
      </c>
      <c r="D166" s="45" t="str">
        <f aca="false">IF($P166="","",INDEX('REGISTRE ELEVES'!$E$10:$E$250,$P166))</f>
        <v/>
      </c>
      <c r="E166" s="45" t="str">
        <f aca="false">IF($P166="","",INDEX('REGISTRE ELEVES'!$AE$10:$AE$250,$P166))</f>
        <v/>
      </c>
      <c r="F166" s="80" t="str">
        <f aca="false">IF(B166="","",IFERROR(INDEX('NOTES CM2'!$M$10:$M$250,MATCH(B166,'NOTES CM2'!$B$10:$B$250,0)),""))</f>
        <v/>
      </c>
      <c r="G166" s="80" t="str">
        <f aca="false">IF(B166="","",IFERROR(INDEX('NOTES CM2'!$T$10:$T$250,MATCH(B166,'NOTES CM2'!$B$10:$B$250,0)),""))</f>
        <v/>
      </c>
      <c r="H166" s="80" t="str">
        <f aca="false">IF(B166="","",IFERROR(INDEX('NOTES CM2'!$AB$10:$AB$250,MATCH(B166,'NOTES CM2'!$B$10:$B$250,0)),""))</f>
        <v/>
      </c>
      <c r="I166" s="80" t="str">
        <f aca="false">IF(B166="","",IFERROR(INDEX('NOTES CM2'!$AJ$10:$AJ$250,MATCH(B166,'NOTES CM2'!$B$10:$B$250,0)),""))</f>
        <v/>
      </c>
      <c r="J166" s="82" t="str">
        <f aca="false">IF(COUNT(F166:I166)&lt;4,"",ROUND(SUM(F166:I166)/4,2))</f>
        <v/>
      </c>
      <c r="K166" s="83" t="n">
        <f aca="false">INDEX(PARAMETRES!$D$18:$D$23,MATCH("CM2",PARAMETRES!$B$18:$B$23,0))</f>
        <v>20</v>
      </c>
      <c r="L166" s="81" t="n">
        <f aca="false">INDEX(PARAMETRES!$C$18:$C$23,MATCH("CM2",PARAMETRES!$B$18:$B$23,0))</f>
        <v>10</v>
      </c>
      <c r="M166" s="45" t="str">
        <f aca="false">IF(B166="","",IF(E166="ABANDON","ABANDON",IF(E166="TRANSFERE","TRANSFERE",IF(J166="","",IF(J166&gt;=L166,"ADMIS","REDOUBLE")))))</f>
        <v/>
      </c>
      <c r="N166" s="73" t="str">
        <f aca="false">IF(OR(J166="",E166&lt;&gt;"PRESENT"),"",COUNTIFS($E$10:$E$250,"PRESENT",$J$10:$J$250,"&gt;"&amp;J166)+1)</f>
        <v/>
      </c>
      <c r="O166" s="74" t="str">
        <f aca="false">IF(M166="ADMIS",IF(J166/K166*10&gt;=8,"Très bien",IF(J166/K166*10&gt;=7,"Bien",IF(J166/K166*10&gt;=6,"Assez bien","Passable"))),IF(M166="REDOUBLE","Insuffisant",""))</f>
        <v/>
      </c>
      <c r="P166" s="51" t="str">
        <f aca="false">IFERROR(MATCH("CM2-157",'REGISTRE ELEVES'!$AH$10:$AH$250,0),"")</f>
        <v/>
      </c>
    </row>
    <row r="167" customFormat="false" ht="15" hidden="false" customHeight="false" outlineLevel="0" collapsed="false">
      <c r="A167" s="45" t="str">
        <f aca="false">IF(B167="","",158)</f>
        <v/>
      </c>
      <c r="B167" s="45" t="str">
        <f aca="false">IF($P167="","",INDEX('REGISTRE ELEVES'!$B$10:$B$250,$P167))</f>
        <v/>
      </c>
      <c r="C167" s="74" t="str">
        <f aca="false">IF($P167="","",INDEX('REGISTRE ELEVES'!$D$10:$D$250,$P167))</f>
        <v/>
      </c>
      <c r="D167" s="45" t="str">
        <f aca="false">IF($P167="","",INDEX('REGISTRE ELEVES'!$E$10:$E$250,$P167))</f>
        <v/>
      </c>
      <c r="E167" s="45" t="str">
        <f aca="false">IF($P167="","",INDEX('REGISTRE ELEVES'!$AE$10:$AE$250,$P167))</f>
        <v/>
      </c>
      <c r="F167" s="80" t="str">
        <f aca="false">IF(B167="","",IFERROR(INDEX('NOTES CM2'!$M$10:$M$250,MATCH(B167,'NOTES CM2'!$B$10:$B$250,0)),""))</f>
        <v/>
      </c>
      <c r="G167" s="80" t="str">
        <f aca="false">IF(B167="","",IFERROR(INDEX('NOTES CM2'!$T$10:$T$250,MATCH(B167,'NOTES CM2'!$B$10:$B$250,0)),""))</f>
        <v/>
      </c>
      <c r="H167" s="80" t="str">
        <f aca="false">IF(B167="","",IFERROR(INDEX('NOTES CM2'!$AB$10:$AB$250,MATCH(B167,'NOTES CM2'!$B$10:$B$250,0)),""))</f>
        <v/>
      </c>
      <c r="I167" s="80" t="str">
        <f aca="false">IF(B167="","",IFERROR(INDEX('NOTES CM2'!$AJ$10:$AJ$250,MATCH(B167,'NOTES CM2'!$B$10:$B$250,0)),""))</f>
        <v/>
      </c>
      <c r="J167" s="82" t="str">
        <f aca="false">IF(COUNT(F167:I167)&lt;4,"",ROUND(SUM(F167:I167)/4,2))</f>
        <v/>
      </c>
      <c r="K167" s="83" t="n">
        <f aca="false">INDEX(PARAMETRES!$D$18:$D$23,MATCH("CM2",PARAMETRES!$B$18:$B$23,0))</f>
        <v>20</v>
      </c>
      <c r="L167" s="81" t="n">
        <f aca="false">INDEX(PARAMETRES!$C$18:$C$23,MATCH("CM2",PARAMETRES!$B$18:$B$23,0))</f>
        <v>10</v>
      </c>
      <c r="M167" s="45" t="str">
        <f aca="false">IF(B167="","",IF(E167="ABANDON","ABANDON",IF(E167="TRANSFERE","TRANSFERE",IF(J167="","",IF(J167&gt;=L167,"ADMIS","REDOUBLE")))))</f>
        <v/>
      </c>
      <c r="N167" s="73" t="str">
        <f aca="false">IF(OR(J167="",E167&lt;&gt;"PRESENT"),"",COUNTIFS($E$10:$E$250,"PRESENT",$J$10:$J$250,"&gt;"&amp;J167)+1)</f>
        <v/>
      </c>
      <c r="O167" s="74" t="str">
        <f aca="false">IF(M167="ADMIS",IF(J167/K167*10&gt;=8,"Très bien",IF(J167/K167*10&gt;=7,"Bien",IF(J167/K167*10&gt;=6,"Assez bien","Passable"))),IF(M167="REDOUBLE","Insuffisant",""))</f>
        <v/>
      </c>
      <c r="P167" s="51" t="str">
        <f aca="false">IFERROR(MATCH("CM2-158",'REGISTRE ELEVES'!$AH$10:$AH$250,0),"")</f>
        <v/>
      </c>
    </row>
    <row r="168" customFormat="false" ht="15" hidden="false" customHeight="false" outlineLevel="0" collapsed="false">
      <c r="A168" s="45" t="str">
        <f aca="false">IF(B168="","",159)</f>
        <v/>
      </c>
      <c r="B168" s="45" t="str">
        <f aca="false">IF($P168="","",INDEX('REGISTRE ELEVES'!$B$10:$B$250,$P168))</f>
        <v/>
      </c>
      <c r="C168" s="74" t="str">
        <f aca="false">IF($P168="","",INDEX('REGISTRE ELEVES'!$D$10:$D$250,$P168))</f>
        <v/>
      </c>
      <c r="D168" s="45" t="str">
        <f aca="false">IF($P168="","",INDEX('REGISTRE ELEVES'!$E$10:$E$250,$P168))</f>
        <v/>
      </c>
      <c r="E168" s="45" t="str">
        <f aca="false">IF($P168="","",INDEX('REGISTRE ELEVES'!$AE$10:$AE$250,$P168))</f>
        <v/>
      </c>
      <c r="F168" s="80" t="str">
        <f aca="false">IF(B168="","",IFERROR(INDEX('NOTES CM2'!$M$10:$M$250,MATCH(B168,'NOTES CM2'!$B$10:$B$250,0)),""))</f>
        <v/>
      </c>
      <c r="G168" s="80" t="str">
        <f aca="false">IF(B168="","",IFERROR(INDEX('NOTES CM2'!$T$10:$T$250,MATCH(B168,'NOTES CM2'!$B$10:$B$250,0)),""))</f>
        <v/>
      </c>
      <c r="H168" s="80" t="str">
        <f aca="false">IF(B168="","",IFERROR(INDEX('NOTES CM2'!$AB$10:$AB$250,MATCH(B168,'NOTES CM2'!$B$10:$B$250,0)),""))</f>
        <v/>
      </c>
      <c r="I168" s="80" t="str">
        <f aca="false">IF(B168="","",IFERROR(INDEX('NOTES CM2'!$AJ$10:$AJ$250,MATCH(B168,'NOTES CM2'!$B$10:$B$250,0)),""))</f>
        <v/>
      </c>
      <c r="J168" s="82" t="str">
        <f aca="false">IF(COUNT(F168:I168)&lt;4,"",ROUND(SUM(F168:I168)/4,2))</f>
        <v/>
      </c>
      <c r="K168" s="83" t="n">
        <f aca="false">INDEX(PARAMETRES!$D$18:$D$23,MATCH("CM2",PARAMETRES!$B$18:$B$23,0))</f>
        <v>20</v>
      </c>
      <c r="L168" s="81" t="n">
        <f aca="false">INDEX(PARAMETRES!$C$18:$C$23,MATCH("CM2",PARAMETRES!$B$18:$B$23,0))</f>
        <v>10</v>
      </c>
      <c r="M168" s="45" t="str">
        <f aca="false">IF(B168="","",IF(E168="ABANDON","ABANDON",IF(E168="TRANSFERE","TRANSFERE",IF(J168="","",IF(J168&gt;=L168,"ADMIS","REDOUBLE")))))</f>
        <v/>
      </c>
      <c r="N168" s="73" t="str">
        <f aca="false">IF(OR(J168="",E168&lt;&gt;"PRESENT"),"",COUNTIFS($E$10:$E$250,"PRESENT",$J$10:$J$250,"&gt;"&amp;J168)+1)</f>
        <v/>
      </c>
      <c r="O168" s="74" t="str">
        <f aca="false">IF(M168="ADMIS",IF(J168/K168*10&gt;=8,"Très bien",IF(J168/K168*10&gt;=7,"Bien",IF(J168/K168*10&gt;=6,"Assez bien","Passable"))),IF(M168="REDOUBLE","Insuffisant",""))</f>
        <v/>
      </c>
      <c r="P168" s="51" t="str">
        <f aca="false">IFERROR(MATCH("CM2-159",'REGISTRE ELEVES'!$AH$10:$AH$250,0),"")</f>
        <v/>
      </c>
    </row>
    <row r="169" customFormat="false" ht="15" hidden="false" customHeight="false" outlineLevel="0" collapsed="false">
      <c r="A169" s="45" t="str">
        <f aca="false">IF(B169="","",160)</f>
        <v/>
      </c>
      <c r="B169" s="45" t="str">
        <f aca="false">IF($P169="","",INDEX('REGISTRE ELEVES'!$B$10:$B$250,$P169))</f>
        <v/>
      </c>
      <c r="C169" s="74" t="str">
        <f aca="false">IF($P169="","",INDEX('REGISTRE ELEVES'!$D$10:$D$250,$P169))</f>
        <v/>
      </c>
      <c r="D169" s="45" t="str">
        <f aca="false">IF($P169="","",INDEX('REGISTRE ELEVES'!$E$10:$E$250,$P169))</f>
        <v/>
      </c>
      <c r="E169" s="45" t="str">
        <f aca="false">IF($P169="","",INDEX('REGISTRE ELEVES'!$AE$10:$AE$250,$P169))</f>
        <v/>
      </c>
      <c r="F169" s="80" t="str">
        <f aca="false">IF(B169="","",IFERROR(INDEX('NOTES CM2'!$M$10:$M$250,MATCH(B169,'NOTES CM2'!$B$10:$B$250,0)),""))</f>
        <v/>
      </c>
      <c r="G169" s="80" t="str">
        <f aca="false">IF(B169="","",IFERROR(INDEX('NOTES CM2'!$T$10:$T$250,MATCH(B169,'NOTES CM2'!$B$10:$B$250,0)),""))</f>
        <v/>
      </c>
      <c r="H169" s="80" t="str">
        <f aca="false">IF(B169="","",IFERROR(INDEX('NOTES CM2'!$AB$10:$AB$250,MATCH(B169,'NOTES CM2'!$B$10:$B$250,0)),""))</f>
        <v/>
      </c>
      <c r="I169" s="80" t="str">
        <f aca="false">IF(B169="","",IFERROR(INDEX('NOTES CM2'!$AJ$10:$AJ$250,MATCH(B169,'NOTES CM2'!$B$10:$B$250,0)),""))</f>
        <v/>
      </c>
      <c r="J169" s="82" t="str">
        <f aca="false">IF(COUNT(F169:I169)&lt;4,"",ROUND(SUM(F169:I169)/4,2))</f>
        <v/>
      </c>
      <c r="K169" s="83" t="n">
        <f aca="false">INDEX(PARAMETRES!$D$18:$D$23,MATCH("CM2",PARAMETRES!$B$18:$B$23,0))</f>
        <v>20</v>
      </c>
      <c r="L169" s="81" t="n">
        <f aca="false">INDEX(PARAMETRES!$C$18:$C$23,MATCH("CM2",PARAMETRES!$B$18:$B$23,0))</f>
        <v>10</v>
      </c>
      <c r="M169" s="45" t="str">
        <f aca="false">IF(B169="","",IF(E169="ABANDON","ABANDON",IF(E169="TRANSFERE","TRANSFERE",IF(J169="","",IF(J169&gt;=L169,"ADMIS","REDOUBLE")))))</f>
        <v/>
      </c>
      <c r="N169" s="73" t="str">
        <f aca="false">IF(OR(J169="",E169&lt;&gt;"PRESENT"),"",COUNTIFS($E$10:$E$250,"PRESENT",$J$10:$J$250,"&gt;"&amp;J169)+1)</f>
        <v/>
      </c>
      <c r="O169" s="74" t="str">
        <f aca="false">IF(M169="ADMIS",IF(J169/K169*10&gt;=8,"Très bien",IF(J169/K169*10&gt;=7,"Bien",IF(J169/K169*10&gt;=6,"Assez bien","Passable"))),IF(M169="REDOUBLE","Insuffisant",""))</f>
        <v/>
      </c>
      <c r="P169" s="51" t="str">
        <f aca="false">IFERROR(MATCH("CM2-160",'REGISTRE ELEVES'!$AH$10:$AH$250,0),"")</f>
        <v/>
      </c>
    </row>
    <row r="170" customFormat="false" ht="15" hidden="false" customHeight="false" outlineLevel="0" collapsed="false">
      <c r="A170" s="45" t="str">
        <f aca="false">IF(B170="","",161)</f>
        <v/>
      </c>
      <c r="B170" s="45" t="str">
        <f aca="false">IF($P170="","",INDEX('REGISTRE ELEVES'!$B$10:$B$250,$P170))</f>
        <v/>
      </c>
      <c r="C170" s="74" t="str">
        <f aca="false">IF($P170="","",INDEX('REGISTRE ELEVES'!$D$10:$D$250,$P170))</f>
        <v/>
      </c>
      <c r="D170" s="45" t="str">
        <f aca="false">IF($P170="","",INDEX('REGISTRE ELEVES'!$E$10:$E$250,$P170))</f>
        <v/>
      </c>
      <c r="E170" s="45" t="str">
        <f aca="false">IF($P170="","",INDEX('REGISTRE ELEVES'!$AE$10:$AE$250,$P170))</f>
        <v/>
      </c>
      <c r="F170" s="80" t="str">
        <f aca="false">IF(B170="","",IFERROR(INDEX('NOTES CM2'!$M$10:$M$250,MATCH(B170,'NOTES CM2'!$B$10:$B$250,0)),""))</f>
        <v/>
      </c>
      <c r="G170" s="80" t="str">
        <f aca="false">IF(B170="","",IFERROR(INDEX('NOTES CM2'!$T$10:$T$250,MATCH(B170,'NOTES CM2'!$B$10:$B$250,0)),""))</f>
        <v/>
      </c>
      <c r="H170" s="80" t="str">
        <f aca="false">IF(B170="","",IFERROR(INDEX('NOTES CM2'!$AB$10:$AB$250,MATCH(B170,'NOTES CM2'!$B$10:$B$250,0)),""))</f>
        <v/>
      </c>
      <c r="I170" s="80" t="str">
        <f aca="false">IF(B170="","",IFERROR(INDEX('NOTES CM2'!$AJ$10:$AJ$250,MATCH(B170,'NOTES CM2'!$B$10:$B$250,0)),""))</f>
        <v/>
      </c>
      <c r="J170" s="82" t="str">
        <f aca="false">IF(COUNT(F170:I170)&lt;4,"",ROUND(SUM(F170:I170)/4,2))</f>
        <v/>
      </c>
      <c r="K170" s="83" t="n">
        <f aca="false">INDEX(PARAMETRES!$D$18:$D$23,MATCH("CM2",PARAMETRES!$B$18:$B$23,0))</f>
        <v>20</v>
      </c>
      <c r="L170" s="81" t="n">
        <f aca="false">INDEX(PARAMETRES!$C$18:$C$23,MATCH("CM2",PARAMETRES!$B$18:$B$23,0))</f>
        <v>10</v>
      </c>
      <c r="M170" s="45" t="str">
        <f aca="false">IF(B170="","",IF(E170="ABANDON","ABANDON",IF(E170="TRANSFERE","TRANSFERE",IF(J170="","",IF(J170&gt;=L170,"ADMIS","REDOUBLE")))))</f>
        <v/>
      </c>
      <c r="N170" s="73" t="str">
        <f aca="false">IF(OR(J170="",E170&lt;&gt;"PRESENT"),"",COUNTIFS($E$10:$E$250,"PRESENT",$J$10:$J$250,"&gt;"&amp;J170)+1)</f>
        <v/>
      </c>
      <c r="O170" s="74" t="str">
        <f aca="false">IF(M170="ADMIS",IF(J170/K170*10&gt;=8,"Très bien",IF(J170/K170*10&gt;=7,"Bien",IF(J170/K170*10&gt;=6,"Assez bien","Passable"))),IF(M170="REDOUBLE","Insuffisant",""))</f>
        <v/>
      </c>
      <c r="P170" s="51" t="str">
        <f aca="false">IFERROR(MATCH("CM2-161",'REGISTRE ELEVES'!$AH$10:$AH$250,0),"")</f>
        <v/>
      </c>
    </row>
    <row r="171" customFormat="false" ht="15" hidden="false" customHeight="false" outlineLevel="0" collapsed="false">
      <c r="A171" s="45" t="str">
        <f aca="false">IF(B171="","",162)</f>
        <v/>
      </c>
      <c r="B171" s="45" t="str">
        <f aca="false">IF($P171="","",INDEX('REGISTRE ELEVES'!$B$10:$B$250,$P171))</f>
        <v/>
      </c>
      <c r="C171" s="74" t="str">
        <f aca="false">IF($P171="","",INDEX('REGISTRE ELEVES'!$D$10:$D$250,$P171))</f>
        <v/>
      </c>
      <c r="D171" s="45" t="str">
        <f aca="false">IF($P171="","",INDEX('REGISTRE ELEVES'!$E$10:$E$250,$P171))</f>
        <v/>
      </c>
      <c r="E171" s="45" t="str">
        <f aca="false">IF($P171="","",INDEX('REGISTRE ELEVES'!$AE$10:$AE$250,$P171))</f>
        <v/>
      </c>
      <c r="F171" s="80" t="str">
        <f aca="false">IF(B171="","",IFERROR(INDEX('NOTES CM2'!$M$10:$M$250,MATCH(B171,'NOTES CM2'!$B$10:$B$250,0)),""))</f>
        <v/>
      </c>
      <c r="G171" s="80" t="str">
        <f aca="false">IF(B171="","",IFERROR(INDEX('NOTES CM2'!$T$10:$T$250,MATCH(B171,'NOTES CM2'!$B$10:$B$250,0)),""))</f>
        <v/>
      </c>
      <c r="H171" s="80" t="str">
        <f aca="false">IF(B171="","",IFERROR(INDEX('NOTES CM2'!$AB$10:$AB$250,MATCH(B171,'NOTES CM2'!$B$10:$B$250,0)),""))</f>
        <v/>
      </c>
      <c r="I171" s="80" t="str">
        <f aca="false">IF(B171="","",IFERROR(INDEX('NOTES CM2'!$AJ$10:$AJ$250,MATCH(B171,'NOTES CM2'!$B$10:$B$250,0)),""))</f>
        <v/>
      </c>
      <c r="J171" s="82" t="str">
        <f aca="false">IF(COUNT(F171:I171)&lt;4,"",ROUND(SUM(F171:I171)/4,2))</f>
        <v/>
      </c>
      <c r="K171" s="83" t="n">
        <f aca="false">INDEX(PARAMETRES!$D$18:$D$23,MATCH("CM2",PARAMETRES!$B$18:$B$23,0))</f>
        <v>20</v>
      </c>
      <c r="L171" s="81" t="n">
        <f aca="false">INDEX(PARAMETRES!$C$18:$C$23,MATCH("CM2",PARAMETRES!$B$18:$B$23,0))</f>
        <v>10</v>
      </c>
      <c r="M171" s="45" t="str">
        <f aca="false">IF(B171="","",IF(E171="ABANDON","ABANDON",IF(E171="TRANSFERE","TRANSFERE",IF(J171="","",IF(J171&gt;=L171,"ADMIS","REDOUBLE")))))</f>
        <v/>
      </c>
      <c r="N171" s="73" t="str">
        <f aca="false">IF(OR(J171="",E171&lt;&gt;"PRESENT"),"",COUNTIFS($E$10:$E$250,"PRESENT",$J$10:$J$250,"&gt;"&amp;J171)+1)</f>
        <v/>
      </c>
      <c r="O171" s="74" t="str">
        <f aca="false">IF(M171="ADMIS",IF(J171/K171*10&gt;=8,"Très bien",IF(J171/K171*10&gt;=7,"Bien",IF(J171/K171*10&gt;=6,"Assez bien","Passable"))),IF(M171="REDOUBLE","Insuffisant",""))</f>
        <v/>
      </c>
      <c r="P171" s="51" t="str">
        <f aca="false">IFERROR(MATCH("CM2-162",'REGISTRE ELEVES'!$AH$10:$AH$250,0),"")</f>
        <v/>
      </c>
    </row>
    <row r="172" customFormat="false" ht="15" hidden="false" customHeight="false" outlineLevel="0" collapsed="false">
      <c r="A172" s="45" t="str">
        <f aca="false">IF(B172="","",163)</f>
        <v/>
      </c>
      <c r="B172" s="45" t="str">
        <f aca="false">IF($P172="","",INDEX('REGISTRE ELEVES'!$B$10:$B$250,$P172))</f>
        <v/>
      </c>
      <c r="C172" s="74" t="str">
        <f aca="false">IF($P172="","",INDEX('REGISTRE ELEVES'!$D$10:$D$250,$P172))</f>
        <v/>
      </c>
      <c r="D172" s="45" t="str">
        <f aca="false">IF($P172="","",INDEX('REGISTRE ELEVES'!$E$10:$E$250,$P172))</f>
        <v/>
      </c>
      <c r="E172" s="45" t="str">
        <f aca="false">IF($P172="","",INDEX('REGISTRE ELEVES'!$AE$10:$AE$250,$P172))</f>
        <v/>
      </c>
      <c r="F172" s="80" t="str">
        <f aca="false">IF(B172="","",IFERROR(INDEX('NOTES CM2'!$M$10:$M$250,MATCH(B172,'NOTES CM2'!$B$10:$B$250,0)),""))</f>
        <v/>
      </c>
      <c r="G172" s="80" t="str">
        <f aca="false">IF(B172="","",IFERROR(INDEX('NOTES CM2'!$T$10:$T$250,MATCH(B172,'NOTES CM2'!$B$10:$B$250,0)),""))</f>
        <v/>
      </c>
      <c r="H172" s="80" t="str">
        <f aca="false">IF(B172="","",IFERROR(INDEX('NOTES CM2'!$AB$10:$AB$250,MATCH(B172,'NOTES CM2'!$B$10:$B$250,0)),""))</f>
        <v/>
      </c>
      <c r="I172" s="80" t="str">
        <f aca="false">IF(B172="","",IFERROR(INDEX('NOTES CM2'!$AJ$10:$AJ$250,MATCH(B172,'NOTES CM2'!$B$10:$B$250,0)),""))</f>
        <v/>
      </c>
      <c r="J172" s="82" t="str">
        <f aca="false">IF(COUNT(F172:I172)&lt;4,"",ROUND(SUM(F172:I172)/4,2))</f>
        <v/>
      </c>
      <c r="K172" s="83" t="n">
        <f aca="false">INDEX(PARAMETRES!$D$18:$D$23,MATCH("CM2",PARAMETRES!$B$18:$B$23,0))</f>
        <v>20</v>
      </c>
      <c r="L172" s="81" t="n">
        <f aca="false">INDEX(PARAMETRES!$C$18:$C$23,MATCH("CM2",PARAMETRES!$B$18:$B$23,0))</f>
        <v>10</v>
      </c>
      <c r="M172" s="45" t="str">
        <f aca="false">IF(B172="","",IF(E172="ABANDON","ABANDON",IF(E172="TRANSFERE","TRANSFERE",IF(J172="","",IF(J172&gt;=L172,"ADMIS","REDOUBLE")))))</f>
        <v/>
      </c>
      <c r="N172" s="73" t="str">
        <f aca="false">IF(OR(J172="",E172&lt;&gt;"PRESENT"),"",COUNTIFS($E$10:$E$250,"PRESENT",$J$10:$J$250,"&gt;"&amp;J172)+1)</f>
        <v/>
      </c>
      <c r="O172" s="74" t="str">
        <f aca="false">IF(M172="ADMIS",IF(J172/K172*10&gt;=8,"Très bien",IF(J172/K172*10&gt;=7,"Bien",IF(J172/K172*10&gt;=6,"Assez bien","Passable"))),IF(M172="REDOUBLE","Insuffisant",""))</f>
        <v/>
      </c>
      <c r="P172" s="51" t="str">
        <f aca="false">IFERROR(MATCH("CM2-163",'REGISTRE ELEVES'!$AH$10:$AH$250,0),"")</f>
        <v/>
      </c>
    </row>
    <row r="173" customFormat="false" ht="15" hidden="false" customHeight="false" outlineLevel="0" collapsed="false">
      <c r="A173" s="45" t="str">
        <f aca="false">IF(B173="","",164)</f>
        <v/>
      </c>
      <c r="B173" s="45" t="str">
        <f aca="false">IF($P173="","",INDEX('REGISTRE ELEVES'!$B$10:$B$250,$P173))</f>
        <v/>
      </c>
      <c r="C173" s="74" t="str">
        <f aca="false">IF($P173="","",INDEX('REGISTRE ELEVES'!$D$10:$D$250,$P173))</f>
        <v/>
      </c>
      <c r="D173" s="45" t="str">
        <f aca="false">IF($P173="","",INDEX('REGISTRE ELEVES'!$E$10:$E$250,$P173))</f>
        <v/>
      </c>
      <c r="E173" s="45" t="str">
        <f aca="false">IF($P173="","",INDEX('REGISTRE ELEVES'!$AE$10:$AE$250,$P173))</f>
        <v/>
      </c>
      <c r="F173" s="80" t="str">
        <f aca="false">IF(B173="","",IFERROR(INDEX('NOTES CM2'!$M$10:$M$250,MATCH(B173,'NOTES CM2'!$B$10:$B$250,0)),""))</f>
        <v/>
      </c>
      <c r="G173" s="80" t="str">
        <f aca="false">IF(B173="","",IFERROR(INDEX('NOTES CM2'!$T$10:$T$250,MATCH(B173,'NOTES CM2'!$B$10:$B$250,0)),""))</f>
        <v/>
      </c>
      <c r="H173" s="80" t="str">
        <f aca="false">IF(B173="","",IFERROR(INDEX('NOTES CM2'!$AB$10:$AB$250,MATCH(B173,'NOTES CM2'!$B$10:$B$250,0)),""))</f>
        <v/>
      </c>
      <c r="I173" s="80" t="str">
        <f aca="false">IF(B173="","",IFERROR(INDEX('NOTES CM2'!$AJ$10:$AJ$250,MATCH(B173,'NOTES CM2'!$B$10:$B$250,0)),""))</f>
        <v/>
      </c>
      <c r="J173" s="82" t="str">
        <f aca="false">IF(COUNT(F173:I173)&lt;4,"",ROUND(SUM(F173:I173)/4,2))</f>
        <v/>
      </c>
      <c r="K173" s="83" t="n">
        <f aca="false">INDEX(PARAMETRES!$D$18:$D$23,MATCH("CM2",PARAMETRES!$B$18:$B$23,0))</f>
        <v>20</v>
      </c>
      <c r="L173" s="81" t="n">
        <f aca="false">INDEX(PARAMETRES!$C$18:$C$23,MATCH("CM2",PARAMETRES!$B$18:$B$23,0))</f>
        <v>10</v>
      </c>
      <c r="M173" s="45" t="str">
        <f aca="false">IF(B173="","",IF(E173="ABANDON","ABANDON",IF(E173="TRANSFERE","TRANSFERE",IF(J173="","",IF(J173&gt;=L173,"ADMIS","REDOUBLE")))))</f>
        <v/>
      </c>
      <c r="N173" s="73" t="str">
        <f aca="false">IF(OR(J173="",E173&lt;&gt;"PRESENT"),"",COUNTIFS($E$10:$E$250,"PRESENT",$J$10:$J$250,"&gt;"&amp;J173)+1)</f>
        <v/>
      </c>
      <c r="O173" s="74" t="str">
        <f aca="false">IF(M173="ADMIS",IF(J173/K173*10&gt;=8,"Très bien",IF(J173/K173*10&gt;=7,"Bien",IF(J173/K173*10&gt;=6,"Assez bien","Passable"))),IF(M173="REDOUBLE","Insuffisant",""))</f>
        <v/>
      </c>
      <c r="P173" s="51" t="str">
        <f aca="false">IFERROR(MATCH("CM2-164",'REGISTRE ELEVES'!$AH$10:$AH$250,0),"")</f>
        <v/>
      </c>
    </row>
    <row r="174" customFormat="false" ht="15" hidden="false" customHeight="false" outlineLevel="0" collapsed="false">
      <c r="A174" s="45" t="str">
        <f aca="false">IF(B174="","",165)</f>
        <v/>
      </c>
      <c r="B174" s="45" t="str">
        <f aca="false">IF($P174="","",INDEX('REGISTRE ELEVES'!$B$10:$B$250,$P174))</f>
        <v/>
      </c>
      <c r="C174" s="74" t="str">
        <f aca="false">IF($P174="","",INDEX('REGISTRE ELEVES'!$D$10:$D$250,$P174))</f>
        <v/>
      </c>
      <c r="D174" s="45" t="str">
        <f aca="false">IF($P174="","",INDEX('REGISTRE ELEVES'!$E$10:$E$250,$P174))</f>
        <v/>
      </c>
      <c r="E174" s="45" t="str">
        <f aca="false">IF($P174="","",INDEX('REGISTRE ELEVES'!$AE$10:$AE$250,$P174))</f>
        <v/>
      </c>
      <c r="F174" s="80" t="str">
        <f aca="false">IF(B174="","",IFERROR(INDEX('NOTES CM2'!$M$10:$M$250,MATCH(B174,'NOTES CM2'!$B$10:$B$250,0)),""))</f>
        <v/>
      </c>
      <c r="G174" s="80" t="str">
        <f aca="false">IF(B174="","",IFERROR(INDEX('NOTES CM2'!$T$10:$T$250,MATCH(B174,'NOTES CM2'!$B$10:$B$250,0)),""))</f>
        <v/>
      </c>
      <c r="H174" s="80" t="str">
        <f aca="false">IF(B174="","",IFERROR(INDEX('NOTES CM2'!$AB$10:$AB$250,MATCH(B174,'NOTES CM2'!$B$10:$B$250,0)),""))</f>
        <v/>
      </c>
      <c r="I174" s="80" t="str">
        <f aca="false">IF(B174="","",IFERROR(INDEX('NOTES CM2'!$AJ$10:$AJ$250,MATCH(B174,'NOTES CM2'!$B$10:$B$250,0)),""))</f>
        <v/>
      </c>
      <c r="J174" s="82" t="str">
        <f aca="false">IF(COUNT(F174:I174)&lt;4,"",ROUND(SUM(F174:I174)/4,2))</f>
        <v/>
      </c>
      <c r="K174" s="83" t="n">
        <f aca="false">INDEX(PARAMETRES!$D$18:$D$23,MATCH("CM2",PARAMETRES!$B$18:$B$23,0))</f>
        <v>20</v>
      </c>
      <c r="L174" s="81" t="n">
        <f aca="false">INDEX(PARAMETRES!$C$18:$C$23,MATCH("CM2",PARAMETRES!$B$18:$B$23,0))</f>
        <v>10</v>
      </c>
      <c r="M174" s="45" t="str">
        <f aca="false">IF(B174="","",IF(E174="ABANDON","ABANDON",IF(E174="TRANSFERE","TRANSFERE",IF(J174="","",IF(J174&gt;=L174,"ADMIS","REDOUBLE")))))</f>
        <v/>
      </c>
      <c r="N174" s="73" t="str">
        <f aca="false">IF(OR(J174="",E174&lt;&gt;"PRESENT"),"",COUNTIFS($E$10:$E$250,"PRESENT",$J$10:$J$250,"&gt;"&amp;J174)+1)</f>
        <v/>
      </c>
      <c r="O174" s="74" t="str">
        <f aca="false">IF(M174="ADMIS",IF(J174/K174*10&gt;=8,"Très bien",IF(J174/K174*10&gt;=7,"Bien",IF(J174/K174*10&gt;=6,"Assez bien","Passable"))),IF(M174="REDOUBLE","Insuffisant",""))</f>
        <v/>
      </c>
      <c r="P174" s="51" t="str">
        <f aca="false">IFERROR(MATCH("CM2-165",'REGISTRE ELEVES'!$AH$10:$AH$250,0),"")</f>
        <v/>
      </c>
    </row>
    <row r="175" customFormat="false" ht="15" hidden="false" customHeight="false" outlineLevel="0" collapsed="false">
      <c r="A175" s="45" t="str">
        <f aca="false">IF(B175="","",166)</f>
        <v/>
      </c>
      <c r="B175" s="45" t="str">
        <f aca="false">IF($P175="","",INDEX('REGISTRE ELEVES'!$B$10:$B$250,$P175))</f>
        <v/>
      </c>
      <c r="C175" s="74" t="str">
        <f aca="false">IF($P175="","",INDEX('REGISTRE ELEVES'!$D$10:$D$250,$P175))</f>
        <v/>
      </c>
      <c r="D175" s="45" t="str">
        <f aca="false">IF($P175="","",INDEX('REGISTRE ELEVES'!$E$10:$E$250,$P175))</f>
        <v/>
      </c>
      <c r="E175" s="45" t="str">
        <f aca="false">IF($P175="","",INDEX('REGISTRE ELEVES'!$AE$10:$AE$250,$P175))</f>
        <v/>
      </c>
      <c r="F175" s="80" t="str">
        <f aca="false">IF(B175="","",IFERROR(INDEX('NOTES CM2'!$M$10:$M$250,MATCH(B175,'NOTES CM2'!$B$10:$B$250,0)),""))</f>
        <v/>
      </c>
      <c r="G175" s="80" t="str">
        <f aca="false">IF(B175="","",IFERROR(INDEX('NOTES CM2'!$T$10:$T$250,MATCH(B175,'NOTES CM2'!$B$10:$B$250,0)),""))</f>
        <v/>
      </c>
      <c r="H175" s="80" t="str">
        <f aca="false">IF(B175="","",IFERROR(INDEX('NOTES CM2'!$AB$10:$AB$250,MATCH(B175,'NOTES CM2'!$B$10:$B$250,0)),""))</f>
        <v/>
      </c>
      <c r="I175" s="80" t="str">
        <f aca="false">IF(B175="","",IFERROR(INDEX('NOTES CM2'!$AJ$10:$AJ$250,MATCH(B175,'NOTES CM2'!$B$10:$B$250,0)),""))</f>
        <v/>
      </c>
      <c r="J175" s="82" t="str">
        <f aca="false">IF(COUNT(F175:I175)&lt;4,"",ROUND(SUM(F175:I175)/4,2))</f>
        <v/>
      </c>
      <c r="K175" s="83" t="n">
        <f aca="false">INDEX(PARAMETRES!$D$18:$D$23,MATCH("CM2",PARAMETRES!$B$18:$B$23,0))</f>
        <v>20</v>
      </c>
      <c r="L175" s="81" t="n">
        <f aca="false">INDEX(PARAMETRES!$C$18:$C$23,MATCH("CM2",PARAMETRES!$B$18:$B$23,0))</f>
        <v>10</v>
      </c>
      <c r="M175" s="45" t="str">
        <f aca="false">IF(B175="","",IF(E175="ABANDON","ABANDON",IF(E175="TRANSFERE","TRANSFERE",IF(J175="","",IF(J175&gt;=L175,"ADMIS","REDOUBLE")))))</f>
        <v/>
      </c>
      <c r="N175" s="73" t="str">
        <f aca="false">IF(OR(J175="",E175&lt;&gt;"PRESENT"),"",COUNTIFS($E$10:$E$250,"PRESENT",$J$10:$J$250,"&gt;"&amp;J175)+1)</f>
        <v/>
      </c>
      <c r="O175" s="74" t="str">
        <f aca="false">IF(M175="ADMIS",IF(J175/K175*10&gt;=8,"Très bien",IF(J175/K175*10&gt;=7,"Bien",IF(J175/K175*10&gt;=6,"Assez bien","Passable"))),IF(M175="REDOUBLE","Insuffisant",""))</f>
        <v/>
      </c>
      <c r="P175" s="51" t="str">
        <f aca="false">IFERROR(MATCH("CM2-166",'REGISTRE ELEVES'!$AH$10:$AH$250,0),"")</f>
        <v/>
      </c>
    </row>
    <row r="176" customFormat="false" ht="15" hidden="false" customHeight="false" outlineLevel="0" collapsed="false">
      <c r="A176" s="45" t="str">
        <f aca="false">IF(B176="","",167)</f>
        <v/>
      </c>
      <c r="B176" s="45" t="str">
        <f aca="false">IF($P176="","",INDEX('REGISTRE ELEVES'!$B$10:$B$250,$P176))</f>
        <v/>
      </c>
      <c r="C176" s="74" t="str">
        <f aca="false">IF($P176="","",INDEX('REGISTRE ELEVES'!$D$10:$D$250,$P176))</f>
        <v/>
      </c>
      <c r="D176" s="45" t="str">
        <f aca="false">IF($P176="","",INDEX('REGISTRE ELEVES'!$E$10:$E$250,$P176))</f>
        <v/>
      </c>
      <c r="E176" s="45" t="str">
        <f aca="false">IF($P176="","",INDEX('REGISTRE ELEVES'!$AE$10:$AE$250,$P176))</f>
        <v/>
      </c>
      <c r="F176" s="80" t="str">
        <f aca="false">IF(B176="","",IFERROR(INDEX('NOTES CM2'!$M$10:$M$250,MATCH(B176,'NOTES CM2'!$B$10:$B$250,0)),""))</f>
        <v/>
      </c>
      <c r="G176" s="80" t="str">
        <f aca="false">IF(B176="","",IFERROR(INDEX('NOTES CM2'!$T$10:$T$250,MATCH(B176,'NOTES CM2'!$B$10:$B$250,0)),""))</f>
        <v/>
      </c>
      <c r="H176" s="80" t="str">
        <f aca="false">IF(B176="","",IFERROR(INDEX('NOTES CM2'!$AB$10:$AB$250,MATCH(B176,'NOTES CM2'!$B$10:$B$250,0)),""))</f>
        <v/>
      </c>
      <c r="I176" s="80" t="str">
        <f aca="false">IF(B176="","",IFERROR(INDEX('NOTES CM2'!$AJ$10:$AJ$250,MATCH(B176,'NOTES CM2'!$B$10:$B$250,0)),""))</f>
        <v/>
      </c>
      <c r="J176" s="82" t="str">
        <f aca="false">IF(COUNT(F176:I176)&lt;4,"",ROUND(SUM(F176:I176)/4,2))</f>
        <v/>
      </c>
      <c r="K176" s="83" t="n">
        <f aca="false">INDEX(PARAMETRES!$D$18:$D$23,MATCH("CM2",PARAMETRES!$B$18:$B$23,0))</f>
        <v>20</v>
      </c>
      <c r="L176" s="81" t="n">
        <f aca="false">INDEX(PARAMETRES!$C$18:$C$23,MATCH("CM2",PARAMETRES!$B$18:$B$23,0))</f>
        <v>10</v>
      </c>
      <c r="M176" s="45" t="str">
        <f aca="false">IF(B176="","",IF(E176="ABANDON","ABANDON",IF(E176="TRANSFERE","TRANSFERE",IF(J176="","",IF(J176&gt;=L176,"ADMIS","REDOUBLE")))))</f>
        <v/>
      </c>
      <c r="N176" s="73" t="str">
        <f aca="false">IF(OR(J176="",E176&lt;&gt;"PRESENT"),"",COUNTIFS($E$10:$E$250,"PRESENT",$J$10:$J$250,"&gt;"&amp;J176)+1)</f>
        <v/>
      </c>
      <c r="O176" s="74" t="str">
        <f aca="false">IF(M176="ADMIS",IF(J176/K176*10&gt;=8,"Très bien",IF(J176/K176*10&gt;=7,"Bien",IF(J176/K176*10&gt;=6,"Assez bien","Passable"))),IF(M176="REDOUBLE","Insuffisant",""))</f>
        <v/>
      </c>
      <c r="P176" s="51" t="str">
        <f aca="false">IFERROR(MATCH("CM2-167",'REGISTRE ELEVES'!$AH$10:$AH$250,0),"")</f>
        <v/>
      </c>
    </row>
    <row r="177" customFormat="false" ht="15" hidden="false" customHeight="false" outlineLevel="0" collapsed="false">
      <c r="A177" s="45" t="str">
        <f aca="false">IF(B177="","",168)</f>
        <v/>
      </c>
      <c r="B177" s="45" t="str">
        <f aca="false">IF($P177="","",INDEX('REGISTRE ELEVES'!$B$10:$B$250,$P177))</f>
        <v/>
      </c>
      <c r="C177" s="74" t="str">
        <f aca="false">IF($P177="","",INDEX('REGISTRE ELEVES'!$D$10:$D$250,$P177))</f>
        <v/>
      </c>
      <c r="D177" s="45" t="str">
        <f aca="false">IF($P177="","",INDEX('REGISTRE ELEVES'!$E$10:$E$250,$P177))</f>
        <v/>
      </c>
      <c r="E177" s="45" t="str">
        <f aca="false">IF($P177="","",INDEX('REGISTRE ELEVES'!$AE$10:$AE$250,$P177))</f>
        <v/>
      </c>
      <c r="F177" s="80" t="str">
        <f aca="false">IF(B177="","",IFERROR(INDEX('NOTES CM2'!$M$10:$M$250,MATCH(B177,'NOTES CM2'!$B$10:$B$250,0)),""))</f>
        <v/>
      </c>
      <c r="G177" s="80" t="str">
        <f aca="false">IF(B177="","",IFERROR(INDEX('NOTES CM2'!$T$10:$T$250,MATCH(B177,'NOTES CM2'!$B$10:$B$250,0)),""))</f>
        <v/>
      </c>
      <c r="H177" s="80" t="str">
        <f aca="false">IF(B177="","",IFERROR(INDEX('NOTES CM2'!$AB$10:$AB$250,MATCH(B177,'NOTES CM2'!$B$10:$B$250,0)),""))</f>
        <v/>
      </c>
      <c r="I177" s="80" t="str">
        <f aca="false">IF(B177="","",IFERROR(INDEX('NOTES CM2'!$AJ$10:$AJ$250,MATCH(B177,'NOTES CM2'!$B$10:$B$250,0)),""))</f>
        <v/>
      </c>
      <c r="J177" s="82" t="str">
        <f aca="false">IF(COUNT(F177:I177)&lt;4,"",ROUND(SUM(F177:I177)/4,2))</f>
        <v/>
      </c>
      <c r="K177" s="83" t="n">
        <f aca="false">INDEX(PARAMETRES!$D$18:$D$23,MATCH("CM2",PARAMETRES!$B$18:$B$23,0))</f>
        <v>20</v>
      </c>
      <c r="L177" s="81" t="n">
        <f aca="false">INDEX(PARAMETRES!$C$18:$C$23,MATCH("CM2",PARAMETRES!$B$18:$B$23,0))</f>
        <v>10</v>
      </c>
      <c r="M177" s="45" t="str">
        <f aca="false">IF(B177="","",IF(E177="ABANDON","ABANDON",IF(E177="TRANSFERE","TRANSFERE",IF(J177="","",IF(J177&gt;=L177,"ADMIS","REDOUBLE")))))</f>
        <v/>
      </c>
      <c r="N177" s="73" t="str">
        <f aca="false">IF(OR(J177="",E177&lt;&gt;"PRESENT"),"",COUNTIFS($E$10:$E$250,"PRESENT",$J$10:$J$250,"&gt;"&amp;J177)+1)</f>
        <v/>
      </c>
      <c r="O177" s="74" t="str">
        <f aca="false">IF(M177="ADMIS",IF(J177/K177*10&gt;=8,"Très bien",IF(J177/K177*10&gt;=7,"Bien",IF(J177/K177*10&gt;=6,"Assez bien","Passable"))),IF(M177="REDOUBLE","Insuffisant",""))</f>
        <v/>
      </c>
      <c r="P177" s="51" t="str">
        <f aca="false">IFERROR(MATCH("CM2-168",'REGISTRE ELEVES'!$AH$10:$AH$250,0),"")</f>
        <v/>
      </c>
    </row>
    <row r="178" customFormat="false" ht="15" hidden="false" customHeight="false" outlineLevel="0" collapsed="false">
      <c r="A178" s="45" t="str">
        <f aca="false">IF(B178="","",169)</f>
        <v/>
      </c>
      <c r="B178" s="45" t="str">
        <f aca="false">IF($P178="","",INDEX('REGISTRE ELEVES'!$B$10:$B$250,$P178))</f>
        <v/>
      </c>
      <c r="C178" s="74" t="str">
        <f aca="false">IF($P178="","",INDEX('REGISTRE ELEVES'!$D$10:$D$250,$P178))</f>
        <v/>
      </c>
      <c r="D178" s="45" t="str">
        <f aca="false">IF($P178="","",INDEX('REGISTRE ELEVES'!$E$10:$E$250,$P178))</f>
        <v/>
      </c>
      <c r="E178" s="45" t="str">
        <f aca="false">IF($P178="","",INDEX('REGISTRE ELEVES'!$AE$10:$AE$250,$P178))</f>
        <v/>
      </c>
      <c r="F178" s="80" t="str">
        <f aca="false">IF(B178="","",IFERROR(INDEX('NOTES CM2'!$M$10:$M$250,MATCH(B178,'NOTES CM2'!$B$10:$B$250,0)),""))</f>
        <v/>
      </c>
      <c r="G178" s="80" t="str">
        <f aca="false">IF(B178="","",IFERROR(INDEX('NOTES CM2'!$T$10:$T$250,MATCH(B178,'NOTES CM2'!$B$10:$B$250,0)),""))</f>
        <v/>
      </c>
      <c r="H178" s="80" t="str">
        <f aca="false">IF(B178="","",IFERROR(INDEX('NOTES CM2'!$AB$10:$AB$250,MATCH(B178,'NOTES CM2'!$B$10:$B$250,0)),""))</f>
        <v/>
      </c>
      <c r="I178" s="80" t="str">
        <f aca="false">IF(B178="","",IFERROR(INDEX('NOTES CM2'!$AJ$10:$AJ$250,MATCH(B178,'NOTES CM2'!$B$10:$B$250,0)),""))</f>
        <v/>
      </c>
      <c r="J178" s="82" t="str">
        <f aca="false">IF(COUNT(F178:I178)&lt;4,"",ROUND(SUM(F178:I178)/4,2))</f>
        <v/>
      </c>
      <c r="K178" s="83" t="n">
        <f aca="false">INDEX(PARAMETRES!$D$18:$D$23,MATCH("CM2",PARAMETRES!$B$18:$B$23,0))</f>
        <v>20</v>
      </c>
      <c r="L178" s="81" t="n">
        <f aca="false">INDEX(PARAMETRES!$C$18:$C$23,MATCH("CM2",PARAMETRES!$B$18:$B$23,0))</f>
        <v>10</v>
      </c>
      <c r="M178" s="45" t="str">
        <f aca="false">IF(B178="","",IF(E178="ABANDON","ABANDON",IF(E178="TRANSFERE","TRANSFERE",IF(J178="","",IF(J178&gt;=L178,"ADMIS","REDOUBLE")))))</f>
        <v/>
      </c>
      <c r="N178" s="73" t="str">
        <f aca="false">IF(OR(J178="",E178&lt;&gt;"PRESENT"),"",COUNTIFS($E$10:$E$250,"PRESENT",$J$10:$J$250,"&gt;"&amp;J178)+1)</f>
        <v/>
      </c>
      <c r="O178" s="74" t="str">
        <f aca="false">IF(M178="ADMIS",IF(J178/K178*10&gt;=8,"Très bien",IF(J178/K178*10&gt;=7,"Bien",IF(J178/K178*10&gt;=6,"Assez bien","Passable"))),IF(M178="REDOUBLE","Insuffisant",""))</f>
        <v/>
      </c>
      <c r="P178" s="51" t="str">
        <f aca="false">IFERROR(MATCH("CM2-169",'REGISTRE ELEVES'!$AH$10:$AH$250,0),"")</f>
        <v/>
      </c>
    </row>
    <row r="179" customFormat="false" ht="15" hidden="false" customHeight="false" outlineLevel="0" collapsed="false">
      <c r="A179" s="45" t="str">
        <f aca="false">IF(B179="","",170)</f>
        <v/>
      </c>
      <c r="B179" s="45" t="str">
        <f aca="false">IF($P179="","",INDEX('REGISTRE ELEVES'!$B$10:$B$250,$P179))</f>
        <v/>
      </c>
      <c r="C179" s="74" t="str">
        <f aca="false">IF($P179="","",INDEX('REGISTRE ELEVES'!$D$10:$D$250,$P179))</f>
        <v/>
      </c>
      <c r="D179" s="45" t="str">
        <f aca="false">IF($P179="","",INDEX('REGISTRE ELEVES'!$E$10:$E$250,$P179))</f>
        <v/>
      </c>
      <c r="E179" s="45" t="str">
        <f aca="false">IF($P179="","",INDEX('REGISTRE ELEVES'!$AE$10:$AE$250,$P179))</f>
        <v/>
      </c>
      <c r="F179" s="80" t="str">
        <f aca="false">IF(B179="","",IFERROR(INDEX('NOTES CM2'!$M$10:$M$250,MATCH(B179,'NOTES CM2'!$B$10:$B$250,0)),""))</f>
        <v/>
      </c>
      <c r="G179" s="80" t="str">
        <f aca="false">IF(B179="","",IFERROR(INDEX('NOTES CM2'!$T$10:$T$250,MATCH(B179,'NOTES CM2'!$B$10:$B$250,0)),""))</f>
        <v/>
      </c>
      <c r="H179" s="80" t="str">
        <f aca="false">IF(B179="","",IFERROR(INDEX('NOTES CM2'!$AB$10:$AB$250,MATCH(B179,'NOTES CM2'!$B$10:$B$250,0)),""))</f>
        <v/>
      </c>
      <c r="I179" s="80" t="str">
        <f aca="false">IF(B179="","",IFERROR(INDEX('NOTES CM2'!$AJ$10:$AJ$250,MATCH(B179,'NOTES CM2'!$B$10:$B$250,0)),""))</f>
        <v/>
      </c>
      <c r="J179" s="82" t="str">
        <f aca="false">IF(COUNT(F179:I179)&lt;4,"",ROUND(SUM(F179:I179)/4,2))</f>
        <v/>
      </c>
      <c r="K179" s="83" t="n">
        <f aca="false">INDEX(PARAMETRES!$D$18:$D$23,MATCH("CM2",PARAMETRES!$B$18:$B$23,0))</f>
        <v>20</v>
      </c>
      <c r="L179" s="81" t="n">
        <f aca="false">INDEX(PARAMETRES!$C$18:$C$23,MATCH("CM2",PARAMETRES!$B$18:$B$23,0))</f>
        <v>10</v>
      </c>
      <c r="M179" s="45" t="str">
        <f aca="false">IF(B179="","",IF(E179="ABANDON","ABANDON",IF(E179="TRANSFERE","TRANSFERE",IF(J179="","",IF(J179&gt;=L179,"ADMIS","REDOUBLE")))))</f>
        <v/>
      </c>
      <c r="N179" s="73" t="str">
        <f aca="false">IF(OR(J179="",E179&lt;&gt;"PRESENT"),"",COUNTIFS($E$10:$E$250,"PRESENT",$J$10:$J$250,"&gt;"&amp;J179)+1)</f>
        <v/>
      </c>
      <c r="O179" s="74" t="str">
        <f aca="false">IF(M179="ADMIS",IF(J179/K179*10&gt;=8,"Très bien",IF(J179/K179*10&gt;=7,"Bien",IF(J179/K179*10&gt;=6,"Assez bien","Passable"))),IF(M179="REDOUBLE","Insuffisant",""))</f>
        <v/>
      </c>
      <c r="P179" s="51" t="str">
        <f aca="false">IFERROR(MATCH("CM2-170",'REGISTRE ELEVES'!$AH$10:$AH$250,0),"")</f>
        <v/>
      </c>
    </row>
    <row r="180" customFormat="false" ht="15" hidden="false" customHeight="false" outlineLevel="0" collapsed="false">
      <c r="A180" s="45" t="str">
        <f aca="false">IF(B180="","",171)</f>
        <v/>
      </c>
      <c r="B180" s="45" t="str">
        <f aca="false">IF($P180="","",INDEX('REGISTRE ELEVES'!$B$10:$B$250,$P180))</f>
        <v/>
      </c>
      <c r="C180" s="74" t="str">
        <f aca="false">IF($P180="","",INDEX('REGISTRE ELEVES'!$D$10:$D$250,$P180))</f>
        <v/>
      </c>
      <c r="D180" s="45" t="str">
        <f aca="false">IF($P180="","",INDEX('REGISTRE ELEVES'!$E$10:$E$250,$P180))</f>
        <v/>
      </c>
      <c r="E180" s="45" t="str">
        <f aca="false">IF($P180="","",INDEX('REGISTRE ELEVES'!$AE$10:$AE$250,$P180))</f>
        <v/>
      </c>
      <c r="F180" s="80" t="str">
        <f aca="false">IF(B180="","",IFERROR(INDEX('NOTES CM2'!$M$10:$M$250,MATCH(B180,'NOTES CM2'!$B$10:$B$250,0)),""))</f>
        <v/>
      </c>
      <c r="G180" s="80" t="str">
        <f aca="false">IF(B180="","",IFERROR(INDEX('NOTES CM2'!$T$10:$T$250,MATCH(B180,'NOTES CM2'!$B$10:$B$250,0)),""))</f>
        <v/>
      </c>
      <c r="H180" s="80" t="str">
        <f aca="false">IF(B180="","",IFERROR(INDEX('NOTES CM2'!$AB$10:$AB$250,MATCH(B180,'NOTES CM2'!$B$10:$B$250,0)),""))</f>
        <v/>
      </c>
      <c r="I180" s="80" t="str">
        <f aca="false">IF(B180="","",IFERROR(INDEX('NOTES CM2'!$AJ$10:$AJ$250,MATCH(B180,'NOTES CM2'!$B$10:$B$250,0)),""))</f>
        <v/>
      </c>
      <c r="J180" s="82" t="str">
        <f aca="false">IF(COUNT(F180:I180)&lt;4,"",ROUND(SUM(F180:I180)/4,2))</f>
        <v/>
      </c>
      <c r="K180" s="83" t="n">
        <f aca="false">INDEX(PARAMETRES!$D$18:$D$23,MATCH("CM2",PARAMETRES!$B$18:$B$23,0))</f>
        <v>20</v>
      </c>
      <c r="L180" s="81" t="n">
        <f aca="false">INDEX(PARAMETRES!$C$18:$C$23,MATCH("CM2",PARAMETRES!$B$18:$B$23,0))</f>
        <v>10</v>
      </c>
      <c r="M180" s="45" t="str">
        <f aca="false">IF(B180="","",IF(E180="ABANDON","ABANDON",IF(E180="TRANSFERE","TRANSFERE",IF(J180="","",IF(J180&gt;=L180,"ADMIS","REDOUBLE")))))</f>
        <v/>
      </c>
      <c r="N180" s="73" t="str">
        <f aca="false">IF(OR(J180="",E180&lt;&gt;"PRESENT"),"",COUNTIFS($E$10:$E$250,"PRESENT",$J$10:$J$250,"&gt;"&amp;J180)+1)</f>
        <v/>
      </c>
      <c r="O180" s="74" t="str">
        <f aca="false">IF(M180="ADMIS",IF(J180/K180*10&gt;=8,"Très bien",IF(J180/K180*10&gt;=7,"Bien",IF(J180/K180*10&gt;=6,"Assez bien","Passable"))),IF(M180="REDOUBLE","Insuffisant",""))</f>
        <v/>
      </c>
      <c r="P180" s="51" t="str">
        <f aca="false">IFERROR(MATCH("CM2-171",'REGISTRE ELEVES'!$AH$10:$AH$250,0),"")</f>
        <v/>
      </c>
    </row>
    <row r="181" customFormat="false" ht="15" hidden="false" customHeight="false" outlineLevel="0" collapsed="false">
      <c r="A181" s="45" t="str">
        <f aca="false">IF(B181="","",172)</f>
        <v/>
      </c>
      <c r="B181" s="45" t="str">
        <f aca="false">IF($P181="","",INDEX('REGISTRE ELEVES'!$B$10:$B$250,$P181))</f>
        <v/>
      </c>
      <c r="C181" s="74" t="str">
        <f aca="false">IF($P181="","",INDEX('REGISTRE ELEVES'!$D$10:$D$250,$P181))</f>
        <v/>
      </c>
      <c r="D181" s="45" t="str">
        <f aca="false">IF($P181="","",INDEX('REGISTRE ELEVES'!$E$10:$E$250,$P181))</f>
        <v/>
      </c>
      <c r="E181" s="45" t="str">
        <f aca="false">IF($P181="","",INDEX('REGISTRE ELEVES'!$AE$10:$AE$250,$P181))</f>
        <v/>
      </c>
      <c r="F181" s="80" t="str">
        <f aca="false">IF(B181="","",IFERROR(INDEX('NOTES CM2'!$M$10:$M$250,MATCH(B181,'NOTES CM2'!$B$10:$B$250,0)),""))</f>
        <v/>
      </c>
      <c r="G181" s="80" t="str">
        <f aca="false">IF(B181="","",IFERROR(INDEX('NOTES CM2'!$T$10:$T$250,MATCH(B181,'NOTES CM2'!$B$10:$B$250,0)),""))</f>
        <v/>
      </c>
      <c r="H181" s="80" t="str">
        <f aca="false">IF(B181="","",IFERROR(INDEX('NOTES CM2'!$AB$10:$AB$250,MATCH(B181,'NOTES CM2'!$B$10:$B$250,0)),""))</f>
        <v/>
      </c>
      <c r="I181" s="80" t="str">
        <f aca="false">IF(B181="","",IFERROR(INDEX('NOTES CM2'!$AJ$10:$AJ$250,MATCH(B181,'NOTES CM2'!$B$10:$B$250,0)),""))</f>
        <v/>
      </c>
      <c r="J181" s="82" t="str">
        <f aca="false">IF(COUNT(F181:I181)&lt;4,"",ROUND(SUM(F181:I181)/4,2))</f>
        <v/>
      </c>
      <c r="K181" s="83" t="n">
        <f aca="false">INDEX(PARAMETRES!$D$18:$D$23,MATCH("CM2",PARAMETRES!$B$18:$B$23,0))</f>
        <v>20</v>
      </c>
      <c r="L181" s="81" t="n">
        <f aca="false">INDEX(PARAMETRES!$C$18:$C$23,MATCH("CM2",PARAMETRES!$B$18:$B$23,0))</f>
        <v>10</v>
      </c>
      <c r="M181" s="45" t="str">
        <f aca="false">IF(B181="","",IF(E181="ABANDON","ABANDON",IF(E181="TRANSFERE","TRANSFERE",IF(J181="","",IF(J181&gt;=L181,"ADMIS","REDOUBLE")))))</f>
        <v/>
      </c>
      <c r="N181" s="73" t="str">
        <f aca="false">IF(OR(J181="",E181&lt;&gt;"PRESENT"),"",COUNTIFS($E$10:$E$250,"PRESENT",$J$10:$J$250,"&gt;"&amp;J181)+1)</f>
        <v/>
      </c>
      <c r="O181" s="74" t="str">
        <f aca="false">IF(M181="ADMIS",IF(J181/K181*10&gt;=8,"Très bien",IF(J181/K181*10&gt;=7,"Bien",IF(J181/K181*10&gt;=6,"Assez bien","Passable"))),IF(M181="REDOUBLE","Insuffisant",""))</f>
        <v/>
      </c>
      <c r="P181" s="51" t="str">
        <f aca="false">IFERROR(MATCH("CM2-172",'REGISTRE ELEVES'!$AH$10:$AH$250,0),"")</f>
        <v/>
      </c>
    </row>
    <row r="182" customFormat="false" ht="15" hidden="false" customHeight="false" outlineLevel="0" collapsed="false">
      <c r="A182" s="45" t="str">
        <f aca="false">IF(B182="","",173)</f>
        <v/>
      </c>
      <c r="B182" s="45" t="str">
        <f aca="false">IF($P182="","",INDEX('REGISTRE ELEVES'!$B$10:$B$250,$P182))</f>
        <v/>
      </c>
      <c r="C182" s="74" t="str">
        <f aca="false">IF($P182="","",INDEX('REGISTRE ELEVES'!$D$10:$D$250,$P182))</f>
        <v/>
      </c>
      <c r="D182" s="45" t="str">
        <f aca="false">IF($P182="","",INDEX('REGISTRE ELEVES'!$E$10:$E$250,$P182))</f>
        <v/>
      </c>
      <c r="E182" s="45" t="str">
        <f aca="false">IF($P182="","",INDEX('REGISTRE ELEVES'!$AE$10:$AE$250,$P182))</f>
        <v/>
      </c>
      <c r="F182" s="80" t="str">
        <f aca="false">IF(B182="","",IFERROR(INDEX('NOTES CM2'!$M$10:$M$250,MATCH(B182,'NOTES CM2'!$B$10:$B$250,0)),""))</f>
        <v/>
      </c>
      <c r="G182" s="80" t="str">
        <f aca="false">IF(B182="","",IFERROR(INDEX('NOTES CM2'!$T$10:$T$250,MATCH(B182,'NOTES CM2'!$B$10:$B$250,0)),""))</f>
        <v/>
      </c>
      <c r="H182" s="80" t="str">
        <f aca="false">IF(B182="","",IFERROR(INDEX('NOTES CM2'!$AB$10:$AB$250,MATCH(B182,'NOTES CM2'!$B$10:$B$250,0)),""))</f>
        <v/>
      </c>
      <c r="I182" s="80" t="str">
        <f aca="false">IF(B182="","",IFERROR(INDEX('NOTES CM2'!$AJ$10:$AJ$250,MATCH(B182,'NOTES CM2'!$B$10:$B$250,0)),""))</f>
        <v/>
      </c>
      <c r="J182" s="82" t="str">
        <f aca="false">IF(COUNT(F182:I182)&lt;4,"",ROUND(SUM(F182:I182)/4,2))</f>
        <v/>
      </c>
      <c r="K182" s="83" t="n">
        <f aca="false">INDEX(PARAMETRES!$D$18:$D$23,MATCH("CM2",PARAMETRES!$B$18:$B$23,0))</f>
        <v>20</v>
      </c>
      <c r="L182" s="81" t="n">
        <f aca="false">INDEX(PARAMETRES!$C$18:$C$23,MATCH("CM2",PARAMETRES!$B$18:$B$23,0))</f>
        <v>10</v>
      </c>
      <c r="M182" s="45" t="str">
        <f aca="false">IF(B182="","",IF(E182="ABANDON","ABANDON",IF(E182="TRANSFERE","TRANSFERE",IF(J182="","",IF(J182&gt;=L182,"ADMIS","REDOUBLE")))))</f>
        <v/>
      </c>
      <c r="N182" s="73" t="str">
        <f aca="false">IF(OR(J182="",E182&lt;&gt;"PRESENT"),"",COUNTIFS($E$10:$E$250,"PRESENT",$J$10:$J$250,"&gt;"&amp;J182)+1)</f>
        <v/>
      </c>
      <c r="O182" s="74" t="str">
        <f aca="false">IF(M182="ADMIS",IF(J182/K182*10&gt;=8,"Très bien",IF(J182/K182*10&gt;=7,"Bien",IF(J182/K182*10&gt;=6,"Assez bien","Passable"))),IF(M182="REDOUBLE","Insuffisant",""))</f>
        <v/>
      </c>
      <c r="P182" s="51" t="str">
        <f aca="false">IFERROR(MATCH("CM2-173",'REGISTRE ELEVES'!$AH$10:$AH$250,0),"")</f>
        <v/>
      </c>
    </row>
    <row r="183" customFormat="false" ht="15" hidden="false" customHeight="false" outlineLevel="0" collapsed="false">
      <c r="A183" s="45" t="str">
        <f aca="false">IF(B183="","",174)</f>
        <v/>
      </c>
      <c r="B183" s="45" t="str">
        <f aca="false">IF($P183="","",INDEX('REGISTRE ELEVES'!$B$10:$B$250,$P183))</f>
        <v/>
      </c>
      <c r="C183" s="74" t="str">
        <f aca="false">IF($P183="","",INDEX('REGISTRE ELEVES'!$D$10:$D$250,$P183))</f>
        <v/>
      </c>
      <c r="D183" s="45" t="str">
        <f aca="false">IF($P183="","",INDEX('REGISTRE ELEVES'!$E$10:$E$250,$P183))</f>
        <v/>
      </c>
      <c r="E183" s="45" t="str">
        <f aca="false">IF($P183="","",INDEX('REGISTRE ELEVES'!$AE$10:$AE$250,$P183))</f>
        <v/>
      </c>
      <c r="F183" s="80" t="str">
        <f aca="false">IF(B183="","",IFERROR(INDEX('NOTES CM2'!$M$10:$M$250,MATCH(B183,'NOTES CM2'!$B$10:$B$250,0)),""))</f>
        <v/>
      </c>
      <c r="G183" s="80" t="str">
        <f aca="false">IF(B183="","",IFERROR(INDEX('NOTES CM2'!$T$10:$T$250,MATCH(B183,'NOTES CM2'!$B$10:$B$250,0)),""))</f>
        <v/>
      </c>
      <c r="H183" s="80" t="str">
        <f aca="false">IF(B183="","",IFERROR(INDEX('NOTES CM2'!$AB$10:$AB$250,MATCH(B183,'NOTES CM2'!$B$10:$B$250,0)),""))</f>
        <v/>
      </c>
      <c r="I183" s="80" t="str">
        <f aca="false">IF(B183="","",IFERROR(INDEX('NOTES CM2'!$AJ$10:$AJ$250,MATCH(B183,'NOTES CM2'!$B$10:$B$250,0)),""))</f>
        <v/>
      </c>
      <c r="J183" s="82" t="str">
        <f aca="false">IF(COUNT(F183:I183)&lt;4,"",ROUND(SUM(F183:I183)/4,2))</f>
        <v/>
      </c>
      <c r="K183" s="83" t="n">
        <f aca="false">INDEX(PARAMETRES!$D$18:$D$23,MATCH("CM2",PARAMETRES!$B$18:$B$23,0))</f>
        <v>20</v>
      </c>
      <c r="L183" s="81" t="n">
        <f aca="false">INDEX(PARAMETRES!$C$18:$C$23,MATCH("CM2",PARAMETRES!$B$18:$B$23,0))</f>
        <v>10</v>
      </c>
      <c r="M183" s="45" t="str">
        <f aca="false">IF(B183="","",IF(E183="ABANDON","ABANDON",IF(E183="TRANSFERE","TRANSFERE",IF(J183="","",IF(J183&gt;=L183,"ADMIS","REDOUBLE")))))</f>
        <v/>
      </c>
      <c r="N183" s="73" t="str">
        <f aca="false">IF(OR(J183="",E183&lt;&gt;"PRESENT"),"",COUNTIFS($E$10:$E$250,"PRESENT",$J$10:$J$250,"&gt;"&amp;J183)+1)</f>
        <v/>
      </c>
      <c r="O183" s="74" t="str">
        <f aca="false">IF(M183="ADMIS",IF(J183/K183*10&gt;=8,"Très bien",IF(J183/K183*10&gt;=7,"Bien",IF(J183/K183*10&gt;=6,"Assez bien","Passable"))),IF(M183="REDOUBLE","Insuffisant",""))</f>
        <v/>
      </c>
      <c r="P183" s="51" t="str">
        <f aca="false">IFERROR(MATCH("CM2-174",'REGISTRE ELEVES'!$AH$10:$AH$250,0),"")</f>
        <v/>
      </c>
    </row>
    <row r="184" customFormat="false" ht="15" hidden="false" customHeight="false" outlineLevel="0" collapsed="false">
      <c r="A184" s="45" t="str">
        <f aca="false">IF(B184="","",175)</f>
        <v/>
      </c>
      <c r="B184" s="45" t="str">
        <f aca="false">IF($P184="","",INDEX('REGISTRE ELEVES'!$B$10:$B$250,$P184))</f>
        <v/>
      </c>
      <c r="C184" s="74" t="str">
        <f aca="false">IF($P184="","",INDEX('REGISTRE ELEVES'!$D$10:$D$250,$P184))</f>
        <v/>
      </c>
      <c r="D184" s="45" t="str">
        <f aca="false">IF($P184="","",INDEX('REGISTRE ELEVES'!$E$10:$E$250,$P184))</f>
        <v/>
      </c>
      <c r="E184" s="45" t="str">
        <f aca="false">IF($P184="","",INDEX('REGISTRE ELEVES'!$AE$10:$AE$250,$P184))</f>
        <v/>
      </c>
      <c r="F184" s="80" t="str">
        <f aca="false">IF(B184="","",IFERROR(INDEX('NOTES CM2'!$M$10:$M$250,MATCH(B184,'NOTES CM2'!$B$10:$B$250,0)),""))</f>
        <v/>
      </c>
      <c r="G184" s="80" t="str">
        <f aca="false">IF(B184="","",IFERROR(INDEX('NOTES CM2'!$T$10:$T$250,MATCH(B184,'NOTES CM2'!$B$10:$B$250,0)),""))</f>
        <v/>
      </c>
      <c r="H184" s="80" t="str">
        <f aca="false">IF(B184="","",IFERROR(INDEX('NOTES CM2'!$AB$10:$AB$250,MATCH(B184,'NOTES CM2'!$B$10:$B$250,0)),""))</f>
        <v/>
      </c>
      <c r="I184" s="80" t="str">
        <f aca="false">IF(B184="","",IFERROR(INDEX('NOTES CM2'!$AJ$10:$AJ$250,MATCH(B184,'NOTES CM2'!$B$10:$B$250,0)),""))</f>
        <v/>
      </c>
      <c r="J184" s="82" t="str">
        <f aca="false">IF(COUNT(F184:I184)&lt;4,"",ROUND(SUM(F184:I184)/4,2))</f>
        <v/>
      </c>
      <c r="K184" s="83" t="n">
        <f aca="false">INDEX(PARAMETRES!$D$18:$D$23,MATCH("CM2",PARAMETRES!$B$18:$B$23,0))</f>
        <v>20</v>
      </c>
      <c r="L184" s="81" t="n">
        <f aca="false">INDEX(PARAMETRES!$C$18:$C$23,MATCH("CM2",PARAMETRES!$B$18:$B$23,0))</f>
        <v>10</v>
      </c>
      <c r="M184" s="45" t="str">
        <f aca="false">IF(B184="","",IF(E184="ABANDON","ABANDON",IF(E184="TRANSFERE","TRANSFERE",IF(J184="","",IF(J184&gt;=L184,"ADMIS","REDOUBLE")))))</f>
        <v/>
      </c>
      <c r="N184" s="73" t="str">
        <f aca="false">IF(OR(J184="",E184&lt;&gt;"PRESENT"),"",COUNTIFS($E$10:$E$250,"PRESENT",$J$10:$J$250,"&gt;"&amp;J184)+1)</f>
        <v/>
      </c>
      <c r="O184" s="74" t="str">
        <f aca="false">IF(M184="ADMIS",IF(J184/K184*10&gt;=8,"Très bien",IF(J184/K184*10&gt;=7,"Bien",IF(J184/K184*10&gt;=6,"Assez bien","Passable"))),IF(M184="REDOUBLE","Insuffisant",""))</f>
        <v/>
      </c>
      <c r="P184" s="51" t="str">
        <f aca="false">IFERROR(MATCH("CM2-175",'REGISTRE ELEVES'!$AH$10:$AH$250,0),"")</f>
        <v/>
      </c>
    </row>
    <row r="185" customFormat="false" ht="15" hidden="false" customHeight="false" outlineLevel="0" collapsed="false">
      <c r="A185" s="45" t="str">
        <f aca="false">IF(B185="","",176)</f>
        <v/>
      </c>
      <c r="B185" s="45" t="str">
        <f aca="false">IF($P185="","",INDEX('REGISTRE ELEVES'!$B$10:$B$250,$P185))</f>
        <v/>
      </c>
      <c r="C185" s="74" t="str">
        <f aca="false">IF($P185="","",INDEX('REGISTRE ELEVES'!$D$10:$D$250,$P185))</f>
        <v/>
      </c>
      <c r="D185" s="45" t="str">
        <f aca="false">IF($P185="","",INDEX('REGISTRE ELEVES'!$E$10:$E$250,$P185))</f>
        <v/>
      </c>
      <c r="E185" s="45" t="str">
        <f aca="false">IF($P185="","",INDEX('REGISTRE ELEVES'!$AE$10:$AE$250,$P185))</f>
        <v/>
      </c>
      <c r="F185" s="80" t="str">
        <f aca="false">IF(B185="","",IFERROR(INDEX('NOTES CM2'!$M$10:$M$250,MATCH(B185,'NOTES CM2'!$B$10:$B$250,0)),""))</f>
        <v/>
      </c>
      <c r="G185" s="80" t="str">
        <f aca="false">IF(B185="","",IFERROR(INDEX('NOTES CM2'!$T$10:$T$250,MATCH(B185,'NOTES CM2'!$B$10:$B$250,0)),""))</f>
        <v/>
      </c>
      <c r="H185" s="80" t="str">
        <f aca="false">IF(B185="","",IFERROR(INDEX('NOTES CM2'!$AB$10:$AB$250,MATCH(B185,'NOTES CM2'!$B$10:$B$250,0)),""))</f>
        <v/>
      </c>
      <c r="I185" s="80" t="str">
        <f aca="false">IF(B185="","",IFERROR(INDEX('NOTES CM2'!$AJ$10:$AJ$250,MATCH(B185,'NOTES CM2'!$B$10:$B$250,0)),""))</f>
        <v/>
      </c>
      <c r="J185" s="82" t="str">
        <f aca="false">IF(COUNT(F185:I185)&lt;4,"",ROUND(SUM(F185:I185)/4,2))</f>
        <v/>
      </c>
      <c r="K185" s="83" t="n">
        <f aca="false">INDEX(PARAMETRES!$D$18:$D$23,MATCH("CM2",PARAMETRES!$B$18:$B$23,0))</f>
        <v>20</v>
      </c>
      <c r="L185" s="81" t="n">
        <f aca="false">INDEX(PARAMETRES!$C$18:$C$23,MATCH("CM2",PARAMETRES!$B$18:$B$23,0))</f>
        <v>10</v>
      </c>
      <c r="M185" s="45" t="str">
        <f aca="false">IF(B185="","",IF(E185="ABANDON","ABANDON",IF(E185="TRANSFERE","TRANSFERE",IF(J185="","",IF(J185&gt;=L185,"ADMIS","REDOUBLE")))))</f>
        <v/>
      </c>
      <c r="N185" s="73" t="str">
        <f aca="false">IF(OR(J185="",E185&lt;&gt;"PRESENT"),"",COUNTIFS($E$10:$E$250,"PRESENT",$J$10:$J$250,"&gt;"&amp;J185)+1)</f>
        <v/>
      </c>
      <c r="O185" s="74" t="str">
        <f aca="false">IF(M185="ADMIS",IF(J185/K185*10&gt;=8,"Très bien",IF(J185/K185*10&gt;=7,"Bien",IF(J185/K185*10&gt;=6,"Assez bien","Passable"))),IF(M185="REDOUBLE","Insuffisant",""))</f>
        <v/>
      </c>
      <c r="P185" s="51" t="str">
        <f aca="false">IFERROR(MATCH("CM2-176",'REGISTRE ELEVES'!$AH$10:$AH$250,0),"")</f>
        <v/>
      </c>
    </row>
    <row r="186" customFormat="false" ht="15" hidden="false" customHeight="false" outlineLevel="0" collapsed="false">
      <c r="A186" s="45" t="str">
        <f aca="false">IF(B186="","",177)</f>
        <v/>
      </c>
      <c r="B186" s="45" t="str">
        <f aca="false">IF($P186="","",INDEX('REGISTRE ELEVES'!$B$10:$B$250,$P186))</f>
        <v/>
      </c>
      <c r="C186" s="74" t="str">
        <f aca="false">IF($P186="","",INDEX('REGISTRE ELEVES'!$D$10:$D$250,$P186))</f>
        <v/>
      </c>
      <c r="D186" s="45" t="str">
        <f aca="false">IF($P186="","",INDEX('REGISTRE ELEVES'!$E$10:$E$250,$P186))</f>
        <v/>
      </c>
      <c r="E186" s="45" t="str">
        <f aca="false">IF($P186="","",INDEX('REGISTRE ELEVES'!$AE$10:$AE$250,$P186))</f>
        <v/>
      </c>
      <c r="F186" s="80" t="str">
        <f aca="false">IF(B186="","",IFERROR(INDEX('NOTES CM2'!$M$10:$M$250,MATCH(B186,'NOTES CM2'!$B$10:$B$250,0)),""))</f>
        <v/>
      </c>
      <c r="G186" s="80" t="str">
        <f aca="false">IF(B186="","",IFERROR(INDEX('NOTES CM2'!$T$10:$T$250,MATCH(B186,'NOTES CM2'!$B$10:$B$250,0)),""))</f>
        <v/>
      </c>
      <c r="H186" s="80" t="str">
        <f aca="false">IF(B186="","",IFERROR(INDEX('NOTES CM2'!$AB$10:$AB$250,MATCH(B186,'NOTES CM2'!$B$10:$B$250,0)),""))</f>
        <v/>
      </c>
      <c r="I186" s="80" t="str">
        <f aca="false">IF(B186="","",IFERROR(INDEX('NOTES CM2'!$AJ$10:$AJ$250,MATCH(B186,'NOTES CM2'!$B$10:$B$250,0)),""))</f>
        <v/>
      </c>
      <c r="J186" s="82" t="str">
        <f aca="false">IF(COUNT(F186:I186)&lt;4,"",ROUND(SUM(F186:I186)/4,2))</f>
        <v/>
      </c>
      <c r="K186" s="83" t="n">
        <f aca="false">INDEX(PARAMETRES!$D$18:$D$23,MATCH("CM2",PARAMETRES!$B$18:$B$23,0))</f>
        <v>20</v>
      </c>
      <c r="L186" s="81" t="n">
        <f aca="false">INDEX(PARAMETRES!$C$18:$C$23,MATCH("CM2",PARAMETRES!$B$18:$B$23,0))</f>
        <v>10</v>
      </c>
      <c r="M186" s="45" t="str">
        <f aca="false">IF(B186="","",IF(E186="ABANDON","ABANDON",IF(E186="TRANSFERE","TRANSFERE",IF(J186="","",IF(J186&gt;=L186,"ADMIS","REDOUBLE")))))</f>
        <v/>
      </c>
      <c r="N186" s="73" t="str">
        <f aca="false">IF(OR(J186="",E186&lt;&gt;"PRESENT"),"",COUNTIFS($E$10:$E$250,"PRESENT",$J$10:$J$250,"&gt;"&amp;J186)+1)</f>
        <v/>
      </c>
      <c r="O186" s="74" t="str">
        <f aca="false">IF(M186="ADMIS",IF(J186/K186*10&gt;=8,"Très bien",IF(J186/K186*10&gt;=7,"Bien",IF(J186/K186*10&gt;=6,"Assez bien","Passable"))),IF(M186="REDOUBLE","Insuffisant",""))</f>
        <v/>
      </c>
      <c r="P186" s="51" t="str">
        <f aca="false">IFERROR(MATCH("CM2-177",'REGISTRE ELEVES'!$AH$10:$AH$250,0),"")</f>
        <v/>
      </c>
    </row>
    <row r="187" customFormat="false" ht="15" hidden="false" customHeight="false" outlineLevel="0" collapsed="false">
      <c r="A187" s="45" t="str">
        <f aca="false">IF(B187="","",178)</f>
        <v/>
      </c>
      <c r="B187" s="45" t="str">
        <f aca="false">IF($P187="","",INDEX('REGISTRE ELEVES'!$B$10:$B$250,$P187))</f>
        <v/>
      </c>
      <c r="C187" s="74" t="str">
        <f aca="false">IF($P187="","",INDEX('REGISTRE ELEVES'!$D$10:$D$250,$P187))</f>
        <v/>
      </c>
      <c r="D187" s="45" t="str">
        <f aca="false">IF($P187="","",INDEX('REGISTRE ELEVES'!$E$10:$E$250,$P187))</f>
        <v/>
      </c>
      <c r="E187" s="45" t="str">
        <f aca="false">IF($P187="","",INDEX('REGISTRE ELEVES'!$AE$10:$AE$250,$P187))</f>
        <v/>
      </c>
      <c r="F187" s="80" t="str">
        <f aca="false">IF(B187="","",IFERROR(INDEX('NOTES CM2'!$M$10:$M$250,MATCH(B187,'NOTES CM2'!$B$10:$B$250,0)),""))</f>
        <v/>
      </c>
      <c r="G187" s="80" t="str">
        <f aca="false">IF(B187="","",IFERROR(INDEX('NOTES CM2'!$T$10:$T$250,MATCH(B187,'NOTES CM2'!$B$10:$B$250,0)),""))</f>
        <v/>
      </c>
      <c r="H187" s="80" t="str">
        <f aca="false">IF(B187="","",IFERROR(INDEX('NOTES CM2'!$AB$10:$AB$250,MATCH(B187,'NOTES CM2'!$B$10:$B$250,0)),""))</f>
        <v/>
      </c>
      <c r="I187" s="80" t="str">
        <f aca="false">IF(B187="","",IFERROR(INDEX('NOTES CM2'!$AJ$10:$AJ$250,MATCH(B187,'NOTES CM2'!$B$10:$B$250,0)),""))</f>
        <v/>
      </c>
      <c r="J187" s="82" t="str">
        <f aca="false">IF(COUNT(F187:I187)&lt;4,"",ROUND(SUM(F187:I187)/4,2))</f>
        <v/>
      </c>
      <c r="K187" s="83" t="n">
        <f aca="false">INDEX(PARAMETRES!$D$18:$D$23,MATCH("CM2",PARAMETRES!$B$18:$B$23,0))</f>
        <v>20</v>
      </c>
      <c r="L187" s="81" t="n">
        <f aca="false">INDEX(PARAMETRES!$C$18:$C$23,MATCH("CM2",PARAMETRES!$B$18:$B$23,0))</f>
        <v>10</v>
      </c>
      <c r="M187" s="45" t="str">
        <f aca="false">IF(B187="","",IF(E187="ABANDON","ABANDON",IF(E187="TRANSFERE","TRANSFERE",IF(J187="","",IF(J187&gt;=L187,"ADMIS","REDOUBLE")))))</f>
        <v/>
      </c>
      <c r="N187" s="73" t="str">
        <f aca="false">IF(OR(J187="",E187&lt;&gt;"PRESENT"),"",COUNTIFS($E$10:$E$250,"PRESENT",$J$10:$J$250,"&gt;"&amp;J187)+1)</f>
        <v/>
      </c>
      <c r="O187" s="74" t="str">
        <f aca="false">IF(M187="ADMIS",IF(J187/K187*10&gt;=8,"Très bien",IF(J187/K187*10&gt;=7,"Bien",IF(J187/K187*10&gt;=6,"Assez bien","Passable"))),IF(M187="REDOUBLE","Insuffisant",""))</f>
        <v/>
      </c>
      <c r="P187" s="51" t="str">
        <f aca="false">IFERROR(MATCH("CM2-178",'REGISTRE ELEVES'!$AH$10:$AH$250,0),"")</f>
        <v/>
      </c>
    </row>
    <row r="188" customFormat="false" ht="15" hidden="false" customHeight="false" outlineLevel="0" collapsed="false">
      <c r="A188" s="45" t="str">
        <f aca="false">IF(B188="","",179)</f>
        <v/>
      </c>
      <c r="B188" s="45" t="str">
        <f aca="false">IF($P188="","",INDEX('REGISTRE ELEVES'!$B$10:$B$250,$P188))</f>
        <v/>
      </c>
      <c r="C188" s="74" t="str">
        <f aca="false">IF($P188="","",INDEX('REGISTRE ELEVES'!$D$10:$D$250,$P188))</f>
        <v/>
      </c>
      <c r="D188" s="45" t="str">
        <f aca="false">IF($P188="","",INDEX('REGISTRE ELEVES'!$E$10:$E$250,$P188))</f>
        <v/>
      </c>
      <c r="E188" s="45" t="str">
        <f aca="false">IF($P188="","",INDEX('REGISTRE ELEVES'!$AE$10:$AE$250,$P188))</f>
        <v/>
      </c>
      <c r="F188" s="80" t="str">
        <f aca="false">IF(B188="","",IFERROR(INDEX('NOTES CM2'!$M$10:$M$250,MATCH(B188,'NOTES CM2'!$B$10:$B$250,0)),""))</f>
        <v/>
      </c>
      <c r="G188" s="80" t="str">
        <f aca="false">IF(B188="","",IFERROR(INDEX('NOTES CM2'!$T$10:$T$250,MATCH(B188,'NOTES CM2'!$B$10:$B$250,0)),""))</f>
        <v/>
      </c>
      <c r="H188" s="80" t="str">
        <f aca="false">IF(B188="","",IFERROR(INDEX('NOTES CM2'!$AB$10:$AB$250,MATCH(B188,'NOTES CM2'!$B$10:$B$250,0)),""))</f>
        <v/>
      </c>
      <c r="I188" s="80" t="str">
        <f aca="false">IF(B188="","",IFERROR(INDEX('NOTES CM2'!$AJ$10:$AJ$250,MATCH(B188,'NOTES CM2'!$B$10:$B$250,0)),""))</f>
        <v/>
      </c>
      <c r="J188" s="82" t="str">
        <f aca="false">IF(COUNT(F188:I188)&lt;4,"",ROUND(SUM(F188:I188)/4,2))</f>
        <v/>
      </c>
      <c r="K188" s="83" t="n">
        <f aca="false">INDEX(PARAMETRES!$D$18:$D$23,MATCH("CM2",PARAMETRES!$B$18:$B$23,0))</f>
        <v>20</v>
      </c>
      <c r="L188" s="81" t="n">
        <f aca="false">INDEX(PARAMETRES!$C$18:$C$23,MATCH("CM2",PARAMETRES!$B$18:$B$23,0))</f>
        <v>10</v>
      </c>
      <c r="M188" s="45" t="str">
        <f aca="false">IF(B188="","",IF(E188="ABANDON","ABANDON",IF(E188="TRANSFERE","TRANSFERE",IF(J188="","",IF(J188&gt;=L188,"ADMIS","REDOUBLE")))))</f>
        <v/>
      </c>
      <c r="N188" s="73" t="str">
        <f aca="false">IF(OR(J188="",E188&lt;&gt;"PRESENT"),"",COUNTIFS($E$10:$E$250,"PRESENT",$J$10:$J$250,"&gt;"&amp;J188)+1)</f>
        <v/>
      </c>
      <c r="O188" s="74" t="str">
        <f aca="false">IF(M188="ADMIS",IF(J188/K188*10&gt;=8,"Très bien",IF(J188/K188*10&gt;=7,"Bien",IF(J188/K188*10&gt;=6,"Assez bien","Passable"))),IF(M188="REDOUBLE","Insuffisant",""))</f>
        <v/>
      </c>
      <c r="P188" s="51" t="str">
        <f aca="false">IFERROR(MATCH("CM2-179",'REGISTRE ELEVES'!$AH$10:$AH$250,0),"")</f>
        <v/>
      </c>
    </row>
    <row r="189" customFormat="false" ht="15" hidden="false" customHeight="false" outlineLevel="0" collapsed="false">
      <c r="A189" s="45" t="str">
        <f aca="false">IF(B189="","",180)</f>
        <v/>
      </c>
      <c r="B189" s="45" t="str">
        <f aca="false">IF($P189="","",INDEX('REGISTRE ELEVES'!$B$10:$B$250,$P189))</f>
        <v/>
      </c>
      <c r="C189" s="74" t="str">
        <f aca="false">IF($P189="","",INDEX('REGISTRE ELEVES'!$D$10:$D$250,$P189))</f>
        <v/>
      </c>
      <c r="D189" s="45" t="str">
        <f aca="false">IF($P189="","",INDEX('REGISTRE ELEVES'!$E$10:$E$250,$P189))</f>
        <v/>
      </c>
      <c r="E189" s="45" t="str">
        <f aca="false">IF($P189="","",INDEX('REGISTRE ELEVES'!$AE$10:$AE$250,$P189))</f>
        <v/>
      </c>
      <c r="F189" s="80" t="str">
        <f aca="false">IF(B189="","",IFERROR(INDEX('NOTES CM2'!$M$10:$M$250,MATCH(B189,'NOTES CM2'!$B$10:$B$250,0)),""))</f>
        <v/>
      </c>
      <c r="G189" s="80" t="str">
        <f aca="false">IF(B189="","",IFERROR(INDEX('NOTES CM2'!$T$10:$T$250,MATCH(B189,'NOTES CM2'!$B$10:$B$250,0)),""))</f>
        <v/>
      </c>
      <c r="H189" s="80" t="str">
        <f aca="false">IF(B189="","",IFERROR(INDEX('NOTES CM2'!$AB$10:$AB$250,MATCH(B189,'NOTES CM2'!$B$10:$B$250,0)),""))</f>
        <v/>
      </c>
      <c r="I189" s="80" t="str">
        <f aca="false">IF(B189="","",IFERROR(INDEX('NOTES CM2'!$AJ$10:$AJ$250,MATCH(B189,'NOTES CM2'!$B$10:$B$250,0)),""))</f>
        <v/>
      </c>
      <c r="J189" s="82" t="str">
        <f aca="false">IF(COUNT(F189:I189)&lt;4,"",ROUND(SUM(F189:I189)/4,2))</f>
        <v/>
      </c>
      <c r="K189" s="83" t="n">
        <f aca="false">INDEX(PARAMETRES!$D$18:$D$23,MATCH("CM2",PARAMETRES!$B$18:$B$23,0))</f>
        <v>20</v>
      </c>
      <c r="L189" s="81" t="n">
        <f aca="false">INDEX(PARAMETRES!$C$18:$C$23,MATCH("CM2",PARAMETRES!$B$18:$B$23,0))</f>
        <v>10</v>
      </c>
      <c r="M189" s="45" t="str">
        <f aca="false">IF(B189="","",IF(E189="ABANDON","ABANDON",IF(E189="TRANSFERE","TRANSFERE",IF(J189="","",IF(J189&gt;=L189,"ADMIS","REDOUBLE")))))</f>
        <v/>
      </c>
      <c r="N189" s="73" t="str">
        <f aca="false">IF(OR(J189="",E189&lt;&gt;"PRESENT"),"",COUNTIFS($E$10:$E$250,"PRESENT",$J$10:$J$250,"&gt;"&amp;J189)+1)</f>
        <v/>
      </c>
      <c r="O189" s="74" t="str">
        <f aca="false">IF(M189="ADMIS",IF(J189/K189*10&gt;=8,"Très bien",IF(J189/K189*10&gt;=7,"Bien",IF(J189/K189*10&gt;=6,"Assez bien","Passable"))),IF(M189="REDOUBLE","Insuffisant",""))</f>
        <v/>
      </c>
      <c r="P189" s="51" t="str">
        <f aca="false">IFERROR(MATCH("CM2-180",'REGISTRE ELEVES'!$AH$10:$AH$250,0),"")</f>
        <v/>
      </c>
    </row>
    <row r="190" customFormat="false" ht="15" hidden="false" customHeight="false" outlineLevel="0" collapsed="false">
      <c r="A190" s="45" t="str">
        <f aca="false">IF(B190="","",181)</f>
        <v/>
      </c>
      <c r="B190" s="45" t="str">
        <f aca="false">IF($P190="","",INDEX('REGISTRE ELEVES'!$B$10:$B$250,$P190))</f>
        <v/>
      </c>
      <c r="C190" s="74" t="str">
        <f aca="false">IF($P190="","",INDEX('REGISTRE ELEVES'!$D$10:$D$250,$P190))</f>
        <v/>
      </c>
      <c r="D190" s="45" t="str">
        <f aca="false">IF($P190="","",INDEX('REGISTRE ELEVES'!$E$10:$E$250,$P190))</f>
        <v/>
      </c>
      <c r="E190" s="45" t="str">
        <f aca="false">IF($P190="","",INDEX('REGISTRE ELEVES'!$AE$10:$AE$250,$P190))</f>
        <v/>
      </c>
      <c r="F190" s="80" t="str">
        <f aca="false">IF(B190="","",IFERROR(INDEX('NOTES CM2'!$M$10:$M$250,MATCH(B190,'NOTES CM2'!$B$10:$B$250,0)),""))</f>
        <v/>
      </c>
      <c r="G190" s="80" t="str">
        <f aca="false">IF(B190="","",IFERROR(INDEX('NOTES CM2'!$T$10:$T$250,MATCH(B190,'NOTES CM2'!$B$10:$B$250,0)),""))</f>
        <v/>
      </c>
      <c r="H190" s="80" t="str">
        <f aca="false">IF(B190="","",IFERROR(INDEX('NOTES CM2'!$AB$10:$AB$250,MATCH(B190,'NOTES CM2'!$B$10:$B$250,0)),""))</f>
        <v/>
      </c>
      <c r="I190" s="80" t="str">
        <f aca="false">IF(B190="","",IFERROR(INDEX('NOTES CM2'!$AJ$10:$AJ$250,MATCH(B190,'NOTES CM2'!$B$10:$B$250,0)),""))</f>
        <v/>
      </c>
      <c r="J190" s="82" t="str">
        <f aca="false">IF(COUNT(F190:I190)&lt;4,"",ROUND(SUM(F190:I190)/4,2))</f>
        <v/>
      </c>
      <c r="K190" s="83" t="n">
        <f aca="false">INDEX(PARAMETRES!$D$18:$D$23,MATCH("CM2",PARAMETRES!$B$18:$B$23,0))</f>
        <v>20</v>
      </c>
      <c r="L190" s="81" t="n">
        <f aca="false">INDEX(PARAMETRES!$C$18:$C$23,MATCH("CM2",PARAMETRES!$B$18:$B$23,0))</f>
        <v>10</v>
      </c>
      <c r="M190" s="45" t="str">
        <f aca="false">IF(B190="","",IF(E190="ABANDON","ABANDON",IF(E190="TRANSFERE","TRANSFERE",IF(J190="","",IF(J190&gt;=L190,"ADMIS","REDOUBLE")))))</f>
        <v/>
      </c>
      <c r="N190" s="73" t="str">
        <f aca="false">IF(OR(J190="",E190&lt;&gt;"PRESENT"),"",COUNTIFS($E$10:$E$250,"PRESENT",$J$10:$J$250,"&gt;"&amp;J190)+1)</f>
        <v/>
      </c>
      <c r="O190" s="74" t="str">
        <f aca="false">IF(M190="ADMIS",IF(J190/K190*10&gt;=8,"Très bien",IF(J190/K190*10&gt;=7,"Bien",IF(J190/K190*10&gt;=6,"Assez bien","Passable"))),IF(M190="REDOUBLE","Insuffisant",""))</f>
        <v/>
      </c>
      <c r="P190" s="51" t="str">
        <f aca="false">IFERROR(MATCH("CM2-181",'REGISTRE ELEVES'!$AH$10:$AH$250,0),"")</f>
        <v/>
      </c>
    </row>
    <row r="191" customFormat="false" ht="15" hidden="false" customHeight="false" outlineLevel="0" collapsed="false">
      <c r="A191" s="45" t="str">
        <f aca="false">IF(B191="","",182)</f>
        <v/>
      </c>
      <c r="B191" s="45" t="str">
        <f aca="false">IF($P191="","",INDEX('REGISTRE ELEVES'!$B$10:$B$250,$P191))</f>
        <v/>
      </c>
      <c r="C191" s="74" t="str">
        <f aca="false">IF($P191="","",INDEX('REGISTRE ELEVES'!$D$10:$D$250,$P191))</f>
        <v/>
      </c>
      <c r="D191" s="45" t="str">
        <f aca="false">IF($P191="","",INDEX('REGISTRE ELEVES'!$E$10:$E$250,$P191))</f>
        <v/>
      </c>
      <c r="E191" s="45" t="str">
        <f aca="false">IF($P191="","",INDEX('REGISTRE ELEVES'!$AE$10:$AE$250,$P191))</f>
        <v/>
      </c>
      <c r="F191" s="80" t="str">
        <f aca="false">IF(B191="","",IFERROR(INDEX('NOTES CM2'!$M$10:$M$250,MATCH(B191,'NOTES CM2'!$B$10:$B$250,0)),""))</f>
        <v/>
      </c>
      <c r="G191" s="80" t="str">
        <f aca="false">IF(B191="","",IFERROR(INDEX('NOTES CM2'!$T$10:$T$250,MATCH(B191,'NOTES CM2'!$B$10:$B$250,0)),""))</f>
        <v/>
      </c>
      <c r="H191" s="80" t="str">
        <f aca="false">IF(B191="","",IFERROR(INDEX('NOTES CM2'!$AB$10:$AB$250,MATCH(B191,'NOTES CM2'!$B$10:$B$250,0)),""))</f>
        <v/>
      </c>
      <c r="I191" s="80" t="str">
        <f aca="false">IF(B191="","",IFERROR(INDEX('NOTES CM2'!$AJ$10:$AJ$250,MATCH(B191,'NOTES CM2'!$B$10:$B$250,0)),""))</f>
        <v/>
      </c>
      <c r="J191" s="82" t="str">
        <f aca="false">IF(COUNT(F191:I191)&lt;4,"",ROUND(SUM(F191:I191)/4,2))</f>
        <v/>
      </c>
      <c r="K191" s="83" t="n">
        <f aca="false">INDEX(PARAMETRES!$D$18:$D$23,MATCH("CM2",PARAMETRES!$B$18:$B$23,0))</f>
        <v>20</v>
      </c>
      <c r="L191" s="81" t="n">
        <f aca="false">INDEX(PARAMETRES!$C$18:$C$23,MATCH("CM2",PARAMETRES!$B$18:$B$23,0))</f>
        <v>10</v>
      </c>
      <c r="M191" s="45" t="str">
        <f aca="false">IF(B191="","",IF(E191="ABANDON","ABANDON",IF(E191="TRANSFERE","TRANSFERE",IF(J191="","",IF(J191&gt;=L191,"ADMIS","REDOUBLE")))))</f>
        <v/>
      </c>
      <c r="N191" s="73" t="str">
        <f aca="false">IF(OR(J191="",E191&lt;&gt;"PRESENT"),"",COUNTIFS($E$10:$E$250,"PRESENT",$J$10:$J$250,"&gt;"&amp;J191)+1)</f>
        <v/>
      </c>
      <c r="O191" s="74" t="str">
        <f aca="false">IF(M191="ADMIS",IF(J191/K191*10&gt;=8,"Très bien",IF(J191/K191*10&gt;=7,"Bien",IF(J191/K191*10&gt;=6,"Assez bien","Passable"))),IF(M191="REDOUBLE","Insuffisant",""))</f>
        <v/>
      </c>
      <c r="P191" s="51" t="str">
        <f aca="false">IFERROR(MATCH("CM2-182",'REGISTRE ELEVES'!$AH$10:$AH$250,0),"")</f>
        <v/>
      </c>
    </row>
    <row r="192" customFormat="false" ht="15" hidden="false" customHeight="false" outlineLevel="0" collapsed="false">
      <c r="A192" s="45" t="str">
        <f aca="false">IF(B192="","",183)</f>
        <v/>
      </c>
      <c r="B192" s="45" t="str">
        <f aca="false">IF($P192="","",INDEX('REGISTRE ELEVES'!$B$10:$B$250,$P192))</f>
        <v/>
      </c>
      <c r="C192" s="74" t="str">
        <f aca="false">IF($P192="","",INDEX('REGISTRE ELEVES'!$D$10:$D$250,$P192))</f>
        <v/>
      </c>
      <c r="D192" s="45" t="str">
        <f aca="false">IF($P192="","",INDEX('REGISTRE ELEVES'!$E$10:$E$250,$P192))</f>
        <v/>
      </c>
      <c r="E192" s="45" t="str">
        <f aca="false">IF($P192="","",INDEX('REGISTRE ELEVES'!$AE$10:$AE$250,$P192))</f>
        <v/>
      </c>
      <c r="F192" s="80" t="str">
        <f aca="false">IF(B192="","",IFERROR(INDEX('NOTES CM2'!$M$10:$M$250,MATCH(B192,'NOTES CM2'!$B$10:$B$250,0)),""))</f>
        <v/>
      </c>
      <c r="G192" s="80" t="str">
        <f aca="false">IF(B192="","",IFERROR(INDEX('NOTES CM2'!$T$10:$T$250,MATCH(B192,'NOTES CM2'!$B$10:$B$250,0)),""))</f>
        <v/>
      </c>
      <c r="H192" s="80" t="str">
        <f aca="false">IF(B192="","",IFERROR(INDEX('NOTES CM2'!$AB$10:$AB$250,MATCH(B192,'NOTES CM2'!$B$10:$B$250,0)),""))</f>
        <v/>
      </c>
      <c r="I192" s="80" t="str">
        <f aca="false">IF(B192="","",IFERROR(INDEX('NOTES CM2'!$AJ$10:$AJ$250,MATCH(B192,'NOTES CM2'!$B$10:$B$250,0)),""))</f>
        <v/>
      </c>
      <c r="J192" s="82" t="str">
        <f aca="false">IF(COUNT(F192:I192)&lt;4,"",ROUND(SUM(F192:I192)/4,2))</f>
        <v/>
      </c>
      <c r="K192" s="83" t="n">
        <f aca="false">INDEX(PARAMETRES!$D$18:$D$23,MATCH("CM2",PARAMETRES!$B$18:$B$23,0))</f>
        <v>20</v>
      </c>
      <c r="L192" s="81" t="n">
        <f aca="false">INDEX(PARAMETRES!$C$18:$C$23,MATCH("CM2",PARAMETRES!$B$18:$B$23,0))</f>
        <v>10</v>
      </c>
      <c r="M192" s="45" t="str">
        <f aca="false">IF(B192="","",IF(E192="ABANDON","ABANDON",IF(E192="TRANSFERE","TRANSFERE",IF(J192="","",IF(J192&gt;=L192,"ADMIS","REDOUBLE")))))</f>
        <v/>
      </c>
      <c r="N192" s="73" t="str">
        <f aca="false">IF(OR(J192="",E192&lt;&gt;"PRESENT"),"",COUNTIFS($E$10:$E$250,"PRESENT",$J$10:$J$250,"&gt;"&amp;J192)+1)</f>
        <v/>
      </c>
      <c r="O192" s="74" t="str">
        <f aca="false">IF(M192="ADMIS",IF(J192/K192*10&gt;=8,"Très bien",IF(J192/K192*10&gt;=7,"Bien",IF(J192/K192*10&gt;=6,"Assez bien","Passable"))),IF(M192="REDOUBLE","Insuffisant",""))</f>
        <v/>
      </c>
      <c r="P192" s="51" t="str">
        <f aca="false">IFERROR(MATCH("CM2-183",'REGISTRE ELEVES'!$AH$10:$AH$250,0),"")</f>
        <v/>
      </c>
    </row>
    <row r="193" customFormat="false" ht="15" hidden="false" customHeight="false" outlineLevel="0" collapsed="false">
      <c r="A193" s="45" t="str">
        <f aca="false">IF(B193="","",184)</f>
        <v/>
      </c>
      <c r="B193" s="45" t="str">
        <f aca="false">IF($P193="","",INDEX('REGISTRE ELEVES'!$B$10:$B$250,$P193))</f>
        <v/>
      </c>
      <c r="C193" s="74" t="str">
        <f aca="false">IF($P193="","",INDEX('REGISTRE ELEVES'!$D$10:$D$250,$P193))</f>
        <v/>
      </c>
      <c r="D193" s="45" t="str">
        <f aca="false">IF($P193="","",INDEX('REGISTRE ELEVES'!$E$10:$E$250,$P193))</f>
        <v/>
      </c>
      <c r="E193" s="45" t="str">
        <f aca="false">IF($P193="","",INDEX('REGISTRE ELEVES'!$AE$10:$AE$250,$P193))</f>
        <v/>
      </c>
      <c r="F193" s="80" t="str">
        <f aca="false">IF(B193="","",IFERROR(INDEX('NOTES CM2'!$M$10:$M$250,MATCH(B193,'NOTES CM2'!$B$10:$B$250,0)),""))</f>
        <v/>
      </c>
      <c r="G193" s="80" t="str">
        <f aca="false">IF(B193="","",IFERROR(INDEX('NOTES CM2'!$T$10:$T$250,MATCH(B193,'NOTES CM2'!$B$10:$B$250,0)),""))</f>
        <v/>
      </c>
      <c r="H193" s="80" t="str">
        <f aca="false">IF(B193="","",IFERROR(INDEX('NOTES CM2'!$AB$10:$AB$250,MATCH(B193,'NOTES CM2'!$B$10:$B$250,0)),""))</f>
        <v/>
      </c>
      <c r="I193" s="80" t="str">
        <f aca="false">IF(B193="","",IFERROR(INDEX('NOTES CM2'!$AJ$10:$AJ$250,MATCH(B193,'NOTES CM2'!$B$10:$B$250,0)),""))</f>
        <v/>
      </c>
      <c r="J193" s="82" t="str">
        <f aca="false">IF(COUNT(F193:I193)&lt;4,"",ROUND(SUM(F193:I193)/4,2))</f>
        <v/>
      </c>
      <c r="K193" s="83" t="n">
        <f aca="false">INDEX(PARAMETRES!$D$18:$D$23,MATCH("CM2",PARAMETRES!$B$18:$B$23,0))</f>
        <v>20</v>
      </c>
      <c r="L193" s="81" t="n">
        <f aca="false">INDEX(PARAMETRES!$C$18:$C$23,MATCH("CM2",PARAMETRES!$B$18:$B$23,0))</f>
        <v>10</v>
      </c>
      <c r="M193" s="45" t="str">
        <f aca="false">IF(B193="","",IF(E193="ABANDON","ABANDON",IF(E193="TRANSFERE","TRANSFERE",IF(J193="","",IF(J193&gt;=L193,"ADMIS","REDOUBLE")))))</f>
        <v/>
      </c>
      <c r="N193" s="73" t="str">
        <f aca="false">IF(OR(J193="",E193&lt;&gt;"PRESENT"),"",COUNTIFS($E$10:$E$250,"PRESENT",$J$10:$J$250,"&gt;"&amp;J193)+1)</f>
        <v/>
      </c>
      <c r="O193" s="74" t="str">
        <f aca="false">IF(M193="ADMIS",IF(J193/K193*10&gt;=8,"Très bien",IF(J193/K193*10&gt;=7,"Bien",IF(J193/K193*10&gt;=6,"Assez bien","Passable"))),IF(M193="REDOUBLE","Insuffisant",""))</f>
        <v/>
      </c>
      <c r="P193" s="51" t="str">
        <f aca="false">IFERROR(MATCH("CM2-184",'REGISTRE ELEVES'!$AH$10:$AH$250,0),"")</f>
        <v/>
      </c>
    </row>
    <row r="194" customFormat="false" ht="15" hidden="false" customHeight="false" outlineLevel="0" collapsed="false">
      <c r="A194" s="45" t="str">
        <f aca="false">IF(B194="","",185)</f>
        <v/>
      </c>
      <c r="B194" s="45" t="str">
        <f aca="false">IF($P194="","",INDEX('REGISTRE ELEVES'!$B$10:$B$250,$P194))</f>
        <v/>
      </c>
      <c r="C194" s="74" t="str">
        <f aca="false">IF($P194="","",INDEX('REGISTRE ELEVES'!$D$10:$D$250,$P194))</f>
        <v/>
      </c>
      <c r="D194" s="45" t="str">
        <f aca="false">IF($P194="","",INDEX('REGISTRE ELEVES'!$E$10:$E$250,$P194))</f>
        <v/>
      </c>
      <c r="E194" s="45" t="str">
        <f aca="false">IF($P194="","",INDEX('REGISTRE ELEVES'!$AE$10:$AE$250,$P194))</f>
        <v/>
      </c>
      <c r="F194" s="80" t="str">
        <f aca="false">IF(B194="","",IFERROR(INDEX('NOTES CM2'!$M$10:$M$250,MATCH(B194,'NOTES CM2'!$B$10:$B$250,0)),""))</f>
        <v/>
      </c>
      <c r="G194" s="80" t="str">
        <f aca="false">IF(B194="","",IFERROR(INDEX('NOTES CM2'!$T$10:$T$250,MATCH(B194,'NOTES CM2'!$B$10:$B$250,0)),""))</f>
        <v/>
      </c>
      <c r="H194" s="80" t="str">
        <f aca="false">IF(B194="","",IFERROR(INDEX('NOTES CM2'!$AB$10:$AB$250,MATCH(B194,'NOTES CM2'!$B$10:$B$250,0)),""))</f>
        <v/>
      </c>
      <c r="I194" s="80" t="str">
        <f aca="false">IF(B194="","",IFERROR(INDEX('NOTES CM2'!$AJ$10:$AJ$250,MATCH(B194,'NOTES CM2'!$B$10:$B$250,0)),""))</f>
        <v/>
      </c>
      <c r="J194" s="82" t="str">
        <f aca="false">IF(COUNT(F194:I194)&lt;4,"",ROUND(SUM(F194:I194)/4,2))</f>
        <v/>
      </c>
      <c r="K194" s="83" t="n">
        <f aca="false">INDEX(PARAMETRES!$D$18:$D$23,MATCH("CM2",PARAMETRES!$B$18:$B$23,0))</f>
        <v>20</v>
      </c>
      <c r="L194" s="81" t="n">
        <f aca="false">INDEX(PARAMETRES!$C$18:$C$23,MATCH("CM2",PARAMETRES!$B$18:$B$23,0))</f>
        <v>10</v>
      </c>
      <c r="M194" s="45" t="str">
        <f aca="false">IF(B194="","",IF(E194="ABANDON","ABANDON",IF(E194="TRANSFERE","TRANSFERE",IF(J194="","",IF(J194&gt;=L194,"ADMIS","REDOUBLE")))))</f>
        <v/>
      </c>
      <c r="N194" s="73" t="str">
        <f aca="false">IF(OR(J194="",E194&lt;&gt;"PRESENT"),"",COUNTIFS($E$10:$E$250,"PRESENT",$J$10:$J$250,"&gt;"&amp;J194)+1)</f>
        <v/>
      </c>
      <c r="O194" s="74" t="str">
        <f aca="false">IF(M194="ADMIS",IF(J194/K194*10&gt;=8,"Très bien",IF(J194/K194*10&gt;=7,"Bien",IF(J194/K194*10&gt;=6,"Assez bien","Passable"))),IF(M194="REDOUBLE","Insuffisant",""))</f>
        <v/>
      </c>
      <c r="P194" s="51" t="str">
        <f aca="false">IFERROR(MATCH("CM2-185",'REGISTRE ELEVES'!$AH$10:$AH$250,0),"")</f>
        <v/>
      </c>
    </row>
    <row r="195" customFormat="false" ht="15" hidden="false" customHeight="false" outlineLevel="0" collapsed="false">
      <c r="A195" s="45" t="str">
        <f aca="false">IF(B195="","",186)</f>
        <v/>
      </c>
      <c r="B195" s="45" t="str">
        <f aca="false">IF($P195="","",INDEX('REGISTRE ELEVES'!$B$10:$B$250,$P195))</f>
        <v/>
      </c>
      <c r="C195" s="74" t="str">
        <f aca="false">IF($P195="","",INDEX('REGISTRE ELEVES'!$D$10:$D$250,$P195))</f>
        <v/>
      </c>
      <c r="D195" s="45" t="str">
        <f aca="false">IF($P195="","",INDEX('REGISTRE ELEVES'!$E$10:$E$250,$P195))</f>
        <v/>
      </c>
      <c r="E195" s="45" t="str">
        <f aca="false">IF($P195="","",INDEX('REGISTRE ELEVES'!$AE$10:$AE$250,$P195))</f>
        <v/>
      </c>
      <c r="F195" s="80" t="str">
        <f aca="false">IF(B195="","",IFERROR(INDEX('NOTES CM2'!$M$10:$M$250,MATCH(B195,'NOTES CM2'!$B$10:$B$250,0)),""))</f>
        <v/>
      </c>
      <c r="G195" s="80" t="str">
        <f aca="false">IF(B195="","",IFERROR(INDEX('NOTES CM2'!$T$10:$T$250,MATCH(B195,'NOTES CM2'!$B$10:$B$250,0)),""))</f>
        <v/>
      </c>
      <c r="H195" s="80" t="str">
        <f aca="false">IF(B195="","",IFERROR(INDEX('NOTES CM2'!$AB$10:$AB$250,MATCH(B195,'NOTES CM2'!$B$10:$B$250,0)),""))</f>
        <v/>
      </c>
      <c r="I195" s="80" t="str">
        <f aca="false">IF(B195="","",IFERROR(INDEX('NOTES CM2'!$AJ$10:$AJ$250,MATCH(B195,'NOTES CM2'!$B$10:$B$250,0)),""))</f>
        <v/>
      </c>
      <c r="J195" s="82" t="str">
        <f aca="false">IF(COUNT(F195:I195)&lt;4,"",ROUND(SUM(F195:I195)/4,2))</f>
        <v/>
      </c>
      <c r="K195" s="83" t="n">
        <f aca="false">INDEX(PARAMETRES!$D$18:$D$23,MATCH("CM2",PARAMETRES!$B$18:$B$23,0))</f>
        <v>20</v>
      </c>
      <c r="L195" s="81" t="n">
        <f aca="false">INDEX(PARAMETRES!$C$18:$C$23,MATCH("CM2",PARAMETRES!$B$18:$B$23,0))</f>
        <v>10</v>
      </c>
      <c r="M195" s="45" t="str">
        <f aca="false">IF(B195="","",IF(E195="ABANDON","ABANDON",IF(E195="TRANSFERE","TRANSFERE",IF(J195="","",IF(J195&gt;=L195,"ADMIS","REDOUBLE")))))</f>
        <v/>
      </c>
      <c r="N195" s="73" t="str">
        <f aca="false">IF(OR(J195="",E195&lt;&gt;"PRESENT"),"",COUNTIFS($E$10:$E$250,"PRESENT",$J$10:$J$250,"&gt;"&amp;J195)+1)</f>
        <v/>
      </c>
      <c r="O195" s="74" t="str">
        <f aca="false">IF(M195="ADMIS",IF(J195/K195*10&gt;=8,"Très bien",IF(J195/K195*10&gt;=7,"Bien",IF(J195/K195*10&gt;=6,"Assez bien","Passable"))),IF(M195="REDOUBLE","Insuffisant",""))</f>
        <v/>
      </c>
      <c r="P195" s="51" t="str">
        <f aca="false">IFERROR(MATCH("CM2-186",'REGISTRE ELEVES'!$AH$10:$AH$250,0),"")</f>
        <v/>
      </c>
    </row>
    <row r="196" customFormat="false" ht="15" hidden="false" customHeight="false" outlineLevel="0" collapsed="false">
      <c r="A196" s="45" t="str">
        <f aca="false">IF(B196="","",187)</f>
        <v/>
      </c>
      <c r="B196" s="45" t="str">
        <f aca="false">IF($P196="","",INDEX('REGISTRE ELEVES'!$B$10:$B$250,$P196))</f>
        <v/>
      </c>
      <c r="C196" s="74" t="str">
        <f aca="false">IF($P196="","",INDEX('REGISTRE ELEVES'!$D$10:$D$250,$P196))</f>
        <v/>
      </c>
      <c r="D196" s="45" t="str">
        <f aca="false">IF($P196="","",INDEX('REGISTRE ELEVES'!$E$10:$E$250,$P196))</f>
        <v/>
      </c>
      <c r="E196" s="45" t="str">
        <f aca="false">IF($P196="","",INDEX('REGISTRE ELEVES'!$AE$10:$AE$250,$P196))</f>
        <v/>
      </c>
      <c r="F196" s="80" t="str">
        <f aca="false">IF(B196="","",IFERROR(INDEX('NOTES CM2'!$M$10:$M$250,MATCH(B196,'NOTES CM2'!$B$10:$B$250,0)),""))</f>
        <v/>
      </c>
      <c r="G196" s="80" t="str">
        <f aca="false">IF(B196="","",IFERROR(INDEX('NOTES CM2'!$T$10:$T$250,MATCH(B196,'NOTES CM2'!$B$10:$B$250,0)),""))</f>
        <v/>
      </c>
      <c r="H196" s="80" t="str">
        <f aca="false">IF(B196="","",IFERROR(INDEX('NOTES CM2'!$AB$10:$AB$250,MATCH(B196,'NOTES CM2'!$B$10:$B$250,0)),""))</f>
        <v/>
      </c>
      <c r="I196" s="80" t="str">
        <f aca="false">IF(B196="","",IFERROR(INDEX('NOTES CM2'!$AJ$10:$AJ$250,MATCH(B196,'NOTES CM2'!$B$10:$B$250,0)),""))</f>
        <v/>
      </c>
      <c r="J196" s="82" t="str">
        <f aca="false">IF(COUNT(F196:I196)&lt;4,"",ROUND(SUM(F196:I196)/4,2))</f>
        <v/>
      </c>
      <c r="K196" s="83" t="n">
        <f aca="false">INDEX(PARAMETRES!$D$18:$D$23,MATCH("CM2",PARAMETRES!$B$18:$B$23,0))</f>
        <v>20</v>
      </c>
      <c r="L196" s="81" t="n">
        <f aca="false">INDEX(PARAMETRES!$C$18:$C$23,MATCH("CM2",PARAMETRES!$B$18:$B$23,0))</f>
        <v>10</v>
      </c>
      <c r="M196" s="45" t="str">
        <f aca="false">IF(B196="","",IF(E196="ABANDON","ABANDON",IF(E196="TRANSFERE","TRANSFERE",IF(J196="","",IF(J196&gt;=L196,"ADMIS","REDOUBLE")))))</f>
        <v/>
      </c>
      <c r="N196" s="73" t="str">
        <f aca="false">IF(OR(J196="",E196&lt;&gt;"PRESENT"),"",COUNTIFS($E$10:$E$250,"PRESENT",$J$10:$J$250,"&gt;"&amp;J196)+1)</f>
        <v/>
      </c>
      <c r="O196" s="74" t="str">
        <f aca="false">IF(M196="ADMIS",IF(J196/K196*10&gt;=8,"Très bien",IF(J196/K196*10&gt;=7,"Bien",IF(J196/K196*10&gt;=6,"Assez bien","Passable"))),IF(M196="REDOUBLE","Insuffisant",""))</f>
        <v/>
      </c>
      <c r="P196" s="51" t="str">
        <f aca="false">IFERROR(MATCH("CM2-187",'REGISTRE ELEVES'!$AH$10:$AH$250,0),"")</f>
        <v/>
      </c>
    </row>
    <row r="197" customFormat="false" ht="15" hidden="false" customHeight="false" outlineLevel="0" collapsed="false">
      <c r="A197" s="45" t="str">
        <f aca="false">IF(B197="","",188)</f>
        <v/>
      </c>
      <c r="B197" s="45" t="str">
        <f aca="false">IF($P197="","",INDEX('REGISTRE ELEVES'!$B$10:$B$250,$P197))</f>
        <v/>
      </c>
      <c r="C197" s="74" t="str">
        <f aca="false">IF($P197="","",INDEX('REGISTRE ELEVES'!$D$10:$D$250,$P197))</f>
        <v/>
      </c>
      <c r="D197" s="45" t="str">
        <f aca="false">IF($P197="","",INDEX('REGISTRE ELEVES'!$E$10:$E$250,$P197))</f>
        <v/>
      </c>
      <c r="E197" s="45" t="str">
        <f aca="false">IF($P197="","",INDEX('REGISTRE ELEVES'!$AE$10:$AE$250,$P197))</f>
        <v/>
      </c>
      <c r="F197" s="80" t="str">
        <f aca="false">IF(B197="","",IFERROR(INDEX('NOTES CM2'!$M$10:$M$250,MATCH(B197,'NOTES CM2'!$B$10:$B$250,0)),""))</f>
        <v/>
      </c>
      <c r="G197" s="80" t="str">
        <f aca="false">IF(B197="","",IFERROR(INDEX('NOTES CM2'!$T$10:$T$250,MATCH(B197,'NOTES CM2'!$B$10:$B$250,0)),""))</f>
        <v/>
      </c>
      <c r="H197" s="80" t="str">
        <f aca="false">IF(B197="","",IFERROR(INDEX('NOTES CM2'!$AB$10:$AB$250,MATCH(B197,'NOTES CM2'!$B$10:$B$250,0)),""))</f>
        <v/>
      </c>
      <c r="I197" s="80" t="str">
        <f aca="false">IF(B197="","",IFERROR(INDEX('NOTES CM2'!$AJ$10:$AJ$250,MATCH(B197,'NOTES CM2'!$B$10:$B$250,0)),""))</f>
        <v/>
      </c>
      <c r="J197" s="82" t="str">
        <f aca="false">IF(COUNT(F197:I197)&lt;4,"",ROUND(SUM(F197:I197)/4,2))</f>
        <v/>
      </c>
      <c r="K197" s="83" t="n">
        <f aca="false">INDEX(PARAMETRES!$D$18:$D$23,MATCH("CM2",PARAMETRES!$B$18:$B$23,0))</f>
        <v>20</v>
      </c>
      <c r="L197" s="81" t="n">
        <f aca="false">INDEX(PARAMETRES!$C$18:$C$23,MATCH("CM2",PARAMETRES!$B$18:$B$23,0))</f>
        <v>10</v>
      </c>
      <c r="M197" s="45" t="str">
        <f aca="false">IF(B197="","",IF(E197="ABANDON","ABANDON",IF(E197="TRANSFERE","TRANSFERE",IF(J197="","",IF(J197&gt;=L197,"ADMIS","REDOUBLE")))))</f>
        <v/>
      </c>
      <c r="N197" s="73" t="str">
        <f aca="false">IF(OR(J197="",E197&lt;&gt;"PRESENT"),"",COUNTIFS($E$10:$E$250,"PRESENT",$J$10:$J$250,"&gt;"&amp;J197)+1)</f>
        <v/>
      </c>
      <c r="O197" s="74" t="str">
        <f aca="false">IF(M197="ADMIS",IF(J197/K197*10&gt;=8,"Très bien",IF(J197/K197*10&gt;=7,"Bien",IF(J197/K197*10&gt;=6,"Assez bien","Passable"))),IF(M197="REDOUBLE","Insuffisant",""))</f>
        <v/>
      </c>
      <c r="P197" s="51" t="str">
        <f aca="false">IFERROR(MATCH("CM2-188",'REGISTRE ELEVES'!$AH$10:$AH$250,0),"")</f>
        <v/>
      </c>
    </row>
    <row r="198" customFormat="false" ht="15" hidden="false" customHeight="false" outlineLevel="0" collapsed="false">
      <c r="A198" s="45" t="str">
        <f aca="false">IF(B198="","",189)</f>
        <v/>
      </c>
      <c r="B198" s="45" t="str">
        <f aca="false">IF($P198="","",INDEX('REGISTRE ELEVES'!$B$10:$B$250,$P198))</f>
        <v/>
      </c>
      <c r="C198" s="74" t="str">
        <f aca="false">IF($P198="","",INDEX('REGISTRE ELEVES'!$D$10:$D$250,$P198))</f>
        <v/>
      </c>
      <c r="D198" s="45" t="str">
        <f aca="false">IF($P198="","",INDEX('REGISTRE ELEVES'!$E$10:$E$250,$P198))</f>
        <v/>
      </c>
      <c r="E198" s="45" t="str">
        <f aca="false">IF($P198="","",INDEX('REGISTRE ELEVES'!$AE$10:$AE$250,$P198))</f>
        <v/>
      </c>
      <c r="F198" s="80" t="str">
        <f aca="false">IF(B198="","",IFERROR(INDEX('NOTES CM2'!$M$10:$M$250,MATCH(B198,'NOTES CM2'!$B$10:$B$250,0)),""))</f>
        <v/>
      </c>
      <c r="G198" s="80" t="str">
        <f aca="false">IF(B198="","",IFERROR(INDEX('NOTES CM2'!$T$10:$T$250,MATCH(B198,'NOTES CM2'!$B$10:$B$250,0)),""))</f>
        <v/>
      </c>
      <c r="H198" s="80" t="str">
        <f aca="false">IF(B198="","",IFERROR(INDEX('NOTES CM2'!$AB$10:$AB$250,MATCH(B198,'NOTES CM2'!$B$10:$B$250,0)),""))</f>
        <v/>
      </c>
      <c r="I198" s="80" t="str">
        <f aca="false">IF(B198="","",IFERROR(INDEX('NOTES CM2'!$AJ$10:$AJ$250,MATCH(B198,'NOTES CM2'!$B$10:$B$250,0)),""))</f>
        <v/>
      </c>
      <c r="J198" s="82" t="str">
        <f aca="false">IF(COUNT(F198:I198)&lt;4,"",ROUND(SUM(F198:I198)/4,2))</f>
        <v/>
      </c>
      <c r="K198" s="83" t="n">
        <f aca="false">INDEX(PARAMETRES!$D$18:$D$23,MATCH("CM2",PARAMETRES!$B$18:$B$23,0))</f>
        <v>20</v>
      </c>
      <c r="L198" s="81" t="n">
        <f aca="false">INDEX(PARAMETRES!$C$18:$C$23,MATCH("CM2",PARAMETRES!$B$18:$B$23,0))</f>
        <v>10</v>
      </c>
      <c r="M198" s="45" t="str">
        <f aca="false">IF(B198="","",IF(E198="ABANDON","ABANDON",IF(E198="TRANSFERE","TRANSFERE",IF(J198="","",IF(J198&gt;=L198,"ADMIS","REDOUBLE")))))</f>
        <v/>
      </c>
      <c r="N198" s="73" t="str">
        <f aca="false">IF(OR(J198="",E198&lt;&gt;"PRESENT"),"",COUNTIFS($E$10:$E$250,"PRESENT",$J$10:$J$250,"&gt;"&amp;J198)+1)</f>
        <v/>
      </c>
      <c r="O198" s="74" t="str">
        <f aca="false">IF(M198="ADMIS",IF(J198/K198*10&gt;=8,"Très bien",IF(J198/K198*10&gt;=7,"Bien",IF(J198/K198*10&gt;=6,"Assez bien","Passable"))),IF(M198="REDOUBLE","Insuffisant",""))</f>
        <v/>
      </c>
      <c r="P198" s="51" t="str">
        <f aca="false">IFERROR(MATCH("CM2-189",'REGISTRE ELEVES'!$AH$10:$AH$250,0),"")</f>
        <v/>
      </c>
    </row>
    <row r="199" customFormat="false" ht="15" hidden="false" customHeight="false" outlineLevel="0" collapsed="false">
      <c r="A199" s="45" t="str">
        <f aca="false">IF(B199="","",190)</f>
        <v/>
      </c>
      <c r="B199" s="45" t="str">
        <f aca="false">IF($P199="","",INDEX('REGISTRE ELEVES'!$B$10:$B$250,$P199))</f>
        <v/>
      </c>
      <c r="C199" s="74" t="str">
        <f aca="false">IF($P199="","",INDEX('REGISTRE ELEVES'!$D$10:$D$250,$P199))</f>
        <v/>
      </c>
      <c r="D199" s="45" t="str">
        <f aca="false">IF($P199="","",INDEX('REGISTRE ELEVES'!$E$10:$E$250,$P199))</f>
        <v/>
      </c>
      <c r="E199" s="45" t="str">
        <f aca="false">IF($P199="","",INDEX('REGISTRE ELEVES'!$AE$10:$AE$250,$P199))</f>
        <v/>
      </c>
      <c r="F199" s="80" t="str">
        <f aca="false">IF(B199="","",IFERROR(INDEX('NOTES CM2'!$M$10:$M$250,MATCH(B199,'NOTES CM2'!$B$10:$B$250,0)),""))</f>
        <v/>
      </c>
      <c r="G199" s="80" t="str">
        <f aca="false">IF(B199="","",IFERROR(INDEX('NOTES CM2'!$T$10:$T$250,MATCH(B199,'NOTES CM2'!$B$10:$B$250,0)),""))</f>
        <v/>
      </c>
      <c r="H199" s="80" t="str">
        <f aca="false">IF(B199="","",IFERROR(INDEX('NOTES CM2'!$AB$10:$AB$250,MATCH(B199,'NOTES CM2'!$B$10:$B$250,0)),""))</f>
        <v/>
      </c>
      <c r="I199" s="80" t="str">
        <f aca="false">IF(B199="","",IFERROR(INDEX('NOTES CM2'!$AJ$10:$AJ$250,MATCH(B199,'NOTES CM2'!$B$10:$B$250,0)),""))</f>
        <v/>
      </c>
      <c r="J199" s="82" t="str">
        <f aca="false">IF(COUNT(F199:I199)&lt;4,"",ROUND(SUM(F199:I199)/4,2))</f>
        <v/>
      </c>
      <c r="K199" s="83" t="n">
        <f aca="false">INDEX(PARAMETRES!$D$18:$D$23,MATCH("CM2",PARAMETRES!$B$18:$B$23,0))</f>
        <v>20</v>
      </c>
      <c r="L199" s="81" t="n">
        <f aca="false">INDEX(PARAMETRES!$C$18:$C$23,MATCH("CM2",PARAMETRES!$B$18:$B$23,0))</f>
        <v>10</v>
      </c>
      <c r="M199" s="45" t="str">
        <f aca="false">IF(B199="","",IF(E199="ABANDON","ABANDON",IF(E199="TRANSFERE","TRANSFERE",IF(J199="","",IF(J199&gt;=L199,"ADMIS","REDOUBLE")))))</f>
        <v/>
      </c>
      <c r="N199" s="73" t="str">
        <f aca="false">IF(OR(J199="",E199&lt;&gt;"PRESENT"),"",COUNTIFS($E$10:$E$250,"PRESENT",$J$10:$J$250,"&gt;"&amp;J199)+1)</f>
        <v/>
      </c>
      <c r="O199" s="74" t="str">
        <f aca="false">IF(M199="ADMIS",IF(J199/K199*10&gt;=8,"Très bien",IF(J199/K199*10&gt;=7,"Bien",IF(J199/K199*10&gt;=6,"Assez bien","Passable"))),IF(M199="REDOUBLE","Insuffisant",""))</f>
        <v/>
      </c>
      <c r="P199" s="51" t="str">
        <f aca="false">IFERROR(MATCH("CM2-190",'REGISTRE ELEVES'!$AH$10:$AH$250,0),"")</f>
        <v/>
      </c>
    </row>
    <row r="200" customFormat="false" ht="15" hidden="false" customHeight="false" outlineLevel="0" collapsed="false">
      <c r="A200" s="45" t="str">
        <f aca="false">IF(B200="","",191)</f>
        <v/>
      </c>
      <c r="B200" s="45" t="str">
        <f aca="false">IF($P200="","",INDEX('REGISTRE ELEVES'!$B$10:$B$250,$P200))</f>
        <v/>
      </c>
      <c r="C200" s="74" t="str">
        <f aca="false">IF($P200="","",INDEX('REGISTRE ELEVES'!$D$10:$D$250,$P200))</f>
        <v/>
      </c>
      <c r="D200" s="45" t="str">
        <f aca="false">IF($P200="","",INDEX('REGISTRE ELEVES'!$E$10:$E$250,$P200))</f>
        <v/>
      </c>
      <c r="E200" s="45" t="str">
        <f aca="false">IF($P200="","",INDEX('REGISTRE ELEVES'!$AE$10:$AE$250,$P200))</f>
        <v/>
      </c>
      <c r="F200" s="80" t="str">
        <f aca="false">IF(B200="","",IFERROR(INDEX('NOTES CM2'!$M$10:$M$250,MATCH(B200,'NOTES CM2'!$B$10:$B$250,0)),""))</f>
        <v/>
      </c>
      <c r="G200" s="80" t="str">
        <f aca="false">IF(B200="","",IFERROR(INDEX('NOTES CM2'!$T$10:$T$250,MATCH(B200,'NOTES CM2'!$B$10:$B$250,0)),""))</f>
        <v/>
      </c>
      <c r="H200" s="80" t="str">
        <f aca="false">IF(B200="","",IFERROR(INDEX('NOTES CM2'!$AB$10:$AB$250,MATCH(B200,'NOTES CM2'!$B$10:$B$250,0)),""))</f>
        <v/>
      </c>
      <c r="I200" s="80" t="str">
        <f aca="false">IF(B200="","",IFERROR(INDEX('NOTES CM2'!$AJ$10:$AJ$250,MATCH(B200,'NOTES CM2'!$B$10:$B$250,0)),""))</f>
        <v/>
      </c>
      <c r="J200" s="82" t="str">
        <f aca="false">IF(COUNT(F200:I200)&lt;4,"",ROUND(SUM(F200:I200)/4,2))</f>
        <v/>
      </c>
      <c r="K200" s="83" t="n">
        <f aca="false">INDEX(PARAMETRES!$D$18:$D$23,MATCH("CM2",PARAMETRES!$B$18:$B$23,0))</f>
        <v>20</v>
      </c>
      <c r="L200" s="81" t="n">
        <f aca="false">INDEX(PARAMETRES!$C$18:$C$23,MATCH("CM2",PARAMETRES!$B$18:$B$23,0))</f>
        <v>10</v>
      </c>
      <c r="M200" s="45" t="str">
        <f aca="false">IF(B200="","",IF(E200="ABANDON","ABANDON",IF(E200="TRANSFERE","TRANSFERE",IF(J200="","",IF(J200&gt;=L200,"ADMIS","REDOUBLE")))))</f>
        <v/>
      </c>
      <c r="N200" s="73" t="str">
        <f aca="false">IF(OR(J200="",E200&lt;&gt;"PRESENT"),"",COUNTIFS($E$10:$E$250,"PRESENT",$J$10:$J$250,"&gt;"&amp;J200)+1)</f>
        <v/>
      </c>
      <c r="O200" s="74" t="str">
        <f aca="false">IF(M200="ADMIS",IF(J200/K200*10&gt;=8,"Très bien",IF(J200/K200*10&gt;=7,"Bien",IF(J200/K200*10&gt;=6,"Assez bien","Passable"))),IF(M200="REDOUBLE","Insuffisant",""))</f>
        <v/>
      </c>
      <c r="P200" s="51" t="str">
        <f aca="false">IFERROR(MATCH("CM2-191",'REGISTRE ELEVES'!$AH$10:$AH$250,0),"")</f>
        <v/>
      </c>
    </row>
    <row r="201" customFormat="false" ht="15" hidden="false" customHeight="false" outlineLevel="0" collapsed="false">
      <c r="A201" s="45" t="str">
        <f aca="false">IF(B201="","",192)</f>
        <v/>
      </c>
      <c r="B201" s="45" t="str">
        <f aca="false">IF($P201="","",INDEX('REGISTRE ELEVES'!$B$10:$B$250,$P201))</f>
        <v/>
      </c>
      <c r="C201" s="74" t="str">
        <f aca="false">IF($P201="","",INDEX('REGISTRE ELEVES'!$D$10:$D$250,$P201))</f>
        <v/>
      </c>
      <c r="D201" s="45" t="str">
        <f aca="false">IF($P201="","",INDEX('REGISTRE ELEVES'!$E$10:$E$250,$P201))</f>
        <v/>
      </c>
      <c r="E201" s="45" t="str">
        <f aca="false">IF($P201="","",INDEX('REGISTRE ELEVES'!$AE$10:$AE$250,$P201))</f>
        <v/>
      </c>
      <c r="F201" s="80" t="str">
        <f aca="false">IF(B201="","",IFERROR(INDEX('NOTES CM2'!$M$10:$M$250,MATCH(B201,'NOTES CM2'!$B$10:$B$250,0)),""))</f>
        <v/>
      </c>
      <c r="G201" s="80" t="str">
        <f aca="false">IF(B201="","",IFERROR(INDEX('NOTES CM2'!$T$10:$T$250,MATCH(B201,'NOTES CM2'!$B$10:$B$250,0)),""))</f>
        <v/>
      </c>
      <c r="H201" s="80" t="str">
        <f aca="false">IF(B201="","",IFERROR(INDEX('NOTES CM2'!$AB$10:$AB$250,MATCH(B201,'NOTES CM2'!$B$10:$B$250,0)),""))</f>
        <v/>
      </c>
      <c r="I201" s="80" t="str">
        <f aca="false">IF(B201="","",IFERROR(INDEX('NOTES CM2'!$AJ$10:$AJ$250,MATCH(B201,'NOTES CM2'!$B$10:$B$250,0)),""))</f>
        <v/>
      </c>
      <c r="J201" s="82" t="str">
        <f aca="false">IF(COUNT(F201:I201)&lt;4,"",ROUND(SUM(F201:I201)/4,2))</f>
        <v/>
      </c>
      <c r="K201" s="83" t="n">
        <f aca="false">INDEX(PARAMETRES!$D$18:$D$23,MATCH("CM2",PARAMETRES!$B$18:$B$23,0))</f>
        <v>20</v>
      </c>
      <c r="L201" s="81" t="n">
        <f aca="false">INDEX(PARAMETRES!$C$18:$C$23,MATCH("CM2",PARAMETRES!$B$18:$B$23,0))</f>
        <v>10</v>
      </c>
      <c r="M201" s="45" t="str">
        <f aca="false">IF(B201="","",IF(E201="ABANDON","ABANDON",IF(E201="TRANSFERE","TRANSFERE",IF(J201="","",IF(J201&gt;=L201,"ADMIS","REDOUBLE")))))</f>
        <v/>
      </c>
      <c r="N201" s="73" t="str">
        <f aca="false">IF(OR(J201="",E201&lt;&gt;"PRESENT"),"",COUNTIFS($E$10:$E$250,"PRESENT",$J$10:$J$250,"&gt;"&amp;J201)+1)</f>
        <v/>
      </c>
      <c r="O201" s="74" t="str">
        <f aca="false">IF(M201="ADMIS",IF(J201/K201*10&gt;=8,"Très bien",IF(J201/K201*10&gt;=7,"Bien",IF(J201/K201*10&gt;=6,"Assez bien","Passable"))),IF(M201="REDOUBLE","Insuffisant",""))</f>
        <v/>
      </c>
      <c r="P201" s="51" t="str">
        <f aca="false">IFERROR(MATCH("CM2-192",'REGISTRE ELEVES'!$AH$10:$AH$250,0),"")</f>
        <v/>
      </c>
    </row>
    <row r="202" customFormat="false" ht="15" hidden="false" customHeight="false" outlineLevel="0" collapsed="false">
      <c r="A202" s="45" t="str">
        <f aca="false">IF(B202="","",193)</f>
        <v/>
      </c>
      <c r="B202" s="45" t="str">
        <f aca="false">IF($P202="","",INDEX('REGISTRE ELEVES'!$B$10:$B$250,$P202))</f>
        <v/>
      </c>
      <c r="C202" s="74" t="str">
        <f aca="false">IF($P202="","",INDEX('REGISTRE ELEVES'!$D$10:$D$250,$P202))</f>
        <v/>
      </c>
      <c r="D202" s="45" t="str">
        <f aca="false">IF($P202="","",INDEX('REGISTRE ELEVES'!$E$10:$E$250,$P202))</f>
        <v/>
      </c>
      <c r="E202" s="45" t="str">
        <f aca="false">IF($P202="","",INDEX('REGISTRE ELEVES'!$AE$10:$AE$250,$P202))</f>
        <v/>
      </c>
      <c r="F202" s="80" t="str">
        <f aca="false">IF(B202="","",IFERROR(INDEX('NOTES CM2'!$M$10:$M$250,MATCH(B202,'NOTES CM2'!$B$10:$B$250,0)),""))</f>
        <v/>
      </c>
      <c r="G202" s="80" t="str">
        <f aca="false">IF(B202="","",IFERROR(INDEX('NOTES CM2'!$T$10:$T$250,MATCH(B202,'NOTES CM2'!$B$10:$B$250,0)),""))</f>
        <v/>
      </c>
      <c r="H202" s="80" t="str">
        <f aca="false">IF(B202="","",IFERROR(INDEX('NOTES CM2'!$AB$10:$AB$250,MATCH(B202,'NOTES CM2'!$B$10:$B$250,0)),""))</f>
        <v/>
      </c>
      <c r="I202" s="80" t="str">
        <f aca="false">IF(B202="","",IFERROR(INDEX('NOTES CM2'!$AJ$10:$AJ$250,MATCH(B202,'NOTES CM2'!$B$10:$B$250,0)),""))</f>
        <v/>
      </c>
      <c r="J202" s="82" t="str">
        <f aca="false">IF(COUNT(F202:I202)&lt;4,"",ROUND(SUM(F202:I202)/4,2))</f>
        <v/>
      </c>
      <c r="K202" s="83" t="n">
        <f aca="false">INDEX(PARAMETRES!$D$18:$D$23,MATCH("CM2",PARAMETRES!$B$18:$B$23,0))</f>
        <v>20</v>
      </c>
      <c r="L202" s="81" t="n">
        <f aca="false">INDEX(PARAMETRES!$C$18:$C$23,MATCH("CM2",PARAMETRES!$B$18:$B$23,0))</f>
        <v>10</v>
      </c>
      <c r="M202" s="45" t="str">
        <f aca="false">IF(B202="","",IF(E202="ABANDON","ABANDON",IF(E202="TRANSFERE","TRANSFERE",IF(J202="","",IF(J202&gt;=L202,"ADMIS","REDOUBLE")))))</f>
        <v/>
      </c>
      <c r="N202" s="73" t="str">
        <f aca="false">IF(OR(J202="",E202&lt;&gt;"PRESENT"),"",COUNTIFS($E$10:$E$250,"PRESENT",$J$10:$J$250,"&gt;"&amp;J202)+1)</f>
        <v/>
      </c>
      <c r="O202" s="74" t="str">
        <f aca="false">IF(M202="ADMIS",IF(J202/K202*10&gt;=8,"Très bien",IF(J202/K202*10&gt;=7,"Bien",IF(J202/K202*10&gt;=6,"Assez bien","Passable"))),IF(M202="REDOUBLE","Insuffisant",""))</f>
        <v/>
      </c>
      <c r="P202" s="51" t="str">
        <f aca="false">IFERROR(MATCH("CM2-193",'REGISTRE ELEVES'!$AH$10:$AH$250,0),"")</f>
        <v/>
      </c>
    </row>
    <row r="203" customFormat="false" ht="15" hidden="false" customHeight="false" outlineLevel="0" collapsed="false">
      <c r="A203" s="45" t="str">
        <f aca="false">IF(B203="","",194)</f>
        <v/>
      </c>
      <c r="B203" s="45" t="str">
        <f aca="false">IF($P203="","",INDEX('REGISTRE ELEVES'!$B$10:$B$250,$P203))</f>
        <v/>
      </c>
      <c r="C203" s="74" t="str">
        <f aca="false">IF($P203="","",INDEX('REGISTRE ELEVES'!$D$10:$D$250,$P203))</f>
        <v/>
      </c>
      <c r="D203" s="45" t="str">
        <f aca="false">IF($P203="","",INDEX('REGISTRE ELEVES'!$E$10:$E$250,$P203))</f>
        <v/>
      </c>
      <c r="E203" s="45" t="str">
        <f aca="false">IF($P203="","",INDEX('REGISTRE ELEVES'!$AE$10:$AE$250,$P203))</f>
        <v/>
      </c>
      <c r="F203" s="80" t="str">
        <f aca="false">IF(B203="","",IFERROR(INDEX('NOTES CM2'!$M$10:$M$250,MATCH(B203,'NOTES CM2'!$B$10:$B$250,0)),""))</f>
        <v/>
      </c>
      <c r="G203" s="80" t="str">
        <f aca="false">IF(B203="","",IFERROR(INDEX('NOTES CM2'!$T$10:$T$250,MATCH(B203,'NOTES CM2'!$B$10:$B$250,0)),""))</f>
        <v/>
      </c>
      <c r="H203" s="80" t="str">
        <f aca="false">IF(B203="","",IFERROR(INDEX('NOTES CM2'!$AB$10:$AB$250,MATCH(B203,'NOTES CM2'!$B$10:$B$250,0)),""))</f>
        <v/>
      </c>
      <c r="I203" s="80" t="str">
        <f aca="false">IF(B203="","",IFERROR(INDEX('NOTES CM2'!$AJ$10:$AJ$250,MATCH(B203,'NOTES CM2'!$B$10:$B$250,0)),""))</f>
        <v/>
      </c>
      <c r="J203" s="82" t="str">
        <f aca="false">IF(COUNT(F203:I203)&lt;4,"",ROUND(SUM(F203:I203)/4,2))</f>
        <v/>
      </c>
      <c r="K203" s="83" t="n">
        <f aca="false">INDEX(PARAMETRES!$D$18:$D$23,MATCH("CM2",PARAMETRES!$B$18:$B$23,0))</f>
        <v>20</v>
      </c>
      <c r="L203" s="81" t="n">
        <f aca="false">INDEX(PARAMETRES!$C$18:$C$23,MATCH("CM2",PARAMETRES!$B$18:$B$23,0))</f>
        <v>10</v>
      </c>
      <c r="M203" s="45" t="str">
        <f aca="false">IF(B203="","",IF(E203="ABANDON","ABANDON",IF(E203="TRANSFERE","TRANSFERE",IF(J203="","",IF(J203&gt;=L203,"ADMIS","REDOUBLE")))))</f>
        <v/>
      </c>
      <c r="N203" s="73" t="str">
        <f aca="false">IF(OR(J203="",E203&lt;&gt;"PRESENT"),"",COUNTIFS($E$10:$E$250,"PRESENT",$J$10:$J$250,"&gt;"&amp;J203)+1)</f>
        <v/>
      </c>
      <c r="O203" s="74" t="str">
        <f aca="false">IF(M203="ADMIS",IF(J203/K203*10&gt;=8,"Très bien",IF(J203/K203*10&gt;=7,"Bien",IF(J203/K203*10&gt;=6,"Assez bien","Passable"))),IF(M203="REDOUBLE","Insuffisant",""))</f>
        <v/>
      </c>
      <c r="P203" s="51" t="str">
        <f aca="false">IFERROR(MATCH("CM2-194",'REGISTRE ELEVES'!$AH$10:$AH$250,0),"")</f>
        <v/>
      </c>
    </row>
    <row r="204" customFormat="false" ht="15" hidden="false" customHeight="false" outlineLevel="0" collapsed="false">
      <c r="A204" s="45" t="str">
        <f aca="false">IF(B204="","",195)</f>
        <v/>
      </c>
      <c r="B204" s="45" t="str">
        <f aca="false">IF($P204="","",INDEX('REGISTRE ELEVES'!$B$10:$B$250,$P204))</f>
        <v/>
      </c>
      <c r="C204" s="74" t="str">
        <f aca="false">IF($P204="","",INDEX('REGISTRE ELEVES'!$D$10:$D$250,$P204))</f>
        <v/>
      </c>
      <c r="D204" s="45" t="str">
        <f aca="false">IF($P204="","",INDEX('REGISTRE ELEVES'!$E$10:$E$250,$P204))</f>
        <v/>
      </c>
      <c r="E204" s="45" t="str">
        <f aca="false">IF($P204="","",INDEX('REGISTRE ELEVES'!$AE$10:$AE$250,$P204))</f>
        <v/>
      </c>
      <c r="F204" s="80" t="str">
        <f aca="false">IF(B204="","",IFERROR(INDEX('NOTES CM2'!$M$10:$M$250,MATCH(B204,'NOTES CM2'!$B$10:$B$250,0)),""))</f>
        <v/>
      </c>
      <c r="G204" s="80" t="str">
        <f aca="false">IF(B204="","",IFERROR(INDEX('NOTES CM2'!$T$10:$T$250,MATCH(B204,'NOTES CM2'!$B$10:$B$250,0)),""))</f>
        <v/>
      </c>
      <c r="H204" s="80" t="str">
        <f aca="false">IF(B204="","",IFERROR(INDEX('NOTES CM2'!$AB$10:$AB$250,MATCH(B204,'NOTES CM2'!$B$10:$B$250,0)),""))</f>
        <v/>
      </c>
      <c r="I204" s="80" t="str">
        <f aca="false">IF(B204="","",IFERROR(INDEX('NOTES CM2'!$AJ$10:$AJ$250,MATCH(B204,'NOTES CM2'!$B$10:$B$250,0)),""))</f>
        <v/>
      </c>
      <c r="J204" s="82" t="str">
        <f aca="false">IF(COUNT(F204:I204)&lt;4,"",ROUND(SUM(F204:I204)/4,2))</f>
        <v/>
      </c>
      <c r="K204" s="83" t="n">
        <f aca="false">INDEX(PARAMETRES!$D$18:$D$23,MATCH("CM2",PARAMETRES!$B$18:$B$23,0))</f>
        <v>20</v>
      </c>
      <c r="L204" s="81" t="n">
        <f aca="false">INDEX(PARAMETRES!$C$18:$C$23,MATCH("CM2",PARAMETRES!$B$18:$B$23,0))</f>
        <v>10</v>
      </c>
      <c r="M204" s="45" t="str">
        <f aca="false">IF(B204="","",IF(E204="ABANDON","ABANDON",IF(E204="TRANSFERE","TRANSFERE",IF(J204="","",IF(J204&gt;=L204,"ADMIS","REDOUBLE")))))</f>
        <v/>
      </c>
      <c r="N204" s="73" t="str">
        <f aca="false">IF(OR(J204="",E204&lt;&gt;"PRESENT"),"",COUNTIFS($E$10:$E$250,"PRESENT",$J$10:$J$250,"&gt;"&amp;J204)+1)</f>
        <v/>
      </c>
      <c r="O204" s="74" t="str">
        <f aca="false">IF(M204="ADMIS",IF(J204/K204*10&gt;=8,"Très bien",IF(J204/K204*10&gt;=7,"Bien",IF(J204/K204*10&gt;=6,"Assez bien","Passable"))),IF(M204="REDOUBLE","Insuffisant",""))</f>
        <v/>
      </c>
      <c r="P204" s="51" t="str">
        <f aca="false">IFERROR(MATCH("CM2-195",'REGISTRE ELEVES'!$AH$10:$AH$250,0),"")</f>
        <v/>
      </c>
    </row>
    <row r="205" customFormat="false" ht="15" hidden="false" customHeight="false" outlineLevel="0" collapsed="false">
      <c r="A205" s="45" t="str">
        <f aca="false">IF(B205="","",196)</f>
        <v/>
      </c>
      <c r="B205" s="45" t="str">
        <f aca="false">IF($P205="","",INDEX('REGISTRE ELEVES'!$B$10:$B$250,$P205))</f>
        <v/>
      </c>
      <c r="C205" s="74" t="str">
        <f aca="false">IF($P205="","",INDEX('REGISTRE ELEVES'!$D$10:$D$250,$P205))</f>
        <v/>
      </c>
      <c r="D205" s="45" t="str">
        <f aca="false">IF($P205="","",INDEX('REGISTRE ELEVES'!$E$10:$E$250,$P205))</f>
        <v/>
      </c>
      <c r="E205" s="45" t="str">
        <f aca="false">IF($P205="","",INDEX('REGISTRE ELEVES'!$AE$10:$AE$250,$P205))</f>
        <v/>
      </c>
      <c r="F205" s="80" t="str">
        <f aca="false">IF(B205="","",IFERROR(INDEX('NOTES CM2'!$M$10:$M$250,MATCH(B205,'NOTES CM2'!$B$10:$B$250,0)),""))</f>
        <v/>
      </c>
      <c r="G205" s="80" t="str">
        <f aca="false">IF(B205="","",IFERROR(INDEX('NOTES CM2'!$T$10:$T$250,MATCH(B205,'NOTES CM2'!$B$10:$B$250,0)),""))</f>
        <v/>
      </c>
      <c r="H205" s="80" t="str">
        <f aca="false">IF(B205="","",IFERROR(INDEX('NOTES CM2'!$AB$10:$AB$250,MATCH(B205,'NOTES CM2'!$B$10:$B$250,0)),""))</f>
        <v/>
      </c>
      <c r="I205" s="80" t="str">
        <f aca="false">IF(B205="","",IFERROR(INDEX('NOTES CM2'!$AJ$10:$AJ$250,MATCH(B205,'NOTES CM2'!$B$10:$B$250,0)),""))</f>
        <v/>
      </c>
      <c r="J205" s="82" t="str">
        <f aca="false">IF(COUNT(F205:I205)&lt;4,"",ROUND(SUM(F205:I205)/4,2))</f>
        <v/>
      </c>
      <c r="K205" s="83" t="n">
        <f aca="false">INDEX(PARAMETRES!$D$18:$D$23,MATCH("CM2",PARAMETRES!$B$18:$B$23,0))</f>
        <v>20</v>
      </c>
      <c r="L205" s="81" t="n">
        <f aca="false">INDEX(PARAMETRES!$C$18:$C$23,MATCH("CM2",PARAMETRES!$B$18:$B$23,0))</f>
        <v>10</v>
      </c>
      <c r="M205" s="45" t="str">
        <f aca="false">IF(B205="","",IF(E205="ABANDON","ABANDON",IF(E205="TRANSFERE","TRANSFERE",IF(J205="","",IF(J205&gt;=L205,"ADMIS","REDOUBLE")))))</f>
        <v/>
      </c>
      <c r="N205" s="73" t="str">
        <f aca="false">IF(OR(J205="",E205&lt;&gt;"PRESENT"),"",COUNTIFS($E$10:$E$250,"PRESENT",$J$10:$J$250,"&gt;"&amp;J205)+1)</f>
        <v/>
      </c>
      <c r="O205" s="74" t="str">
        <f aca="false">IF(M205="ADMIS",IF(J205/K205*10&gt;=8,"Très bien",IF(J205/K205*10&gt;=7,"Bien",IF(J205/K205*10&gt;=6,"Assez bien","Passable"))),IF(M205="REDOUBLE","Insuffisant",""))</f>
        <v/>
      </c>
      <c r="P205" s="51" t="str">
        <f aca="false">IFERROR(MATCH("CM2-196",'REGISTRE ELEVES'!$AH$10:$AH$250,0),"")</f>
        <v/>
      </c>
    </row>
    <row r="206" customFormat="false" ht="15" hidden="false" customHeight="false" outlineLevel="0" collapsed="false">
      <c r="A206" s="45" t="str">
        <f aca="false">IF(B206="","",197)</f>
        <v/>
      </c>
      <c r="B206" s="45" t="str">
        <f aca="false">IF($P206="","",INDEX('REGISTRE ELEVES'!$B$10:$B$250,$P206))</f>
        <v/>
      </c>
      <c r="C206" s="74" t="str">
        <f aca="false">IF($P206="","",INDEX('REGISTRE ELEVES'!$D$10:$D$250,$P206))</f>
        <v/>
      </c>
      <c r="D206" s="45" t="str">
        <f aca="false">IF($P206="","",INDEX('REGISTRE ELEVES'!$E$10:$E$250,$P206))</f>
        <v/>
      </c>
      <c r="E206" s="45" t="str">
        <f aca="false">IF($P206="","",INDEX('REGISTRE ELEVES'!$AE$10:$AE$250,$P206))</f>
        <v/>
      </c>
      <c r="F206" s="80" t="str">
        <f aca="false">IF(B206="","",IFERROR(INDEX('NOTES CM2'!$M$10:$M$250,MATCH(B206,'NOTES CM2'!$B$10:$B$250,0)),""))</f>
        <v/>
      </c>
      <c r="G206" s="80" t="str">
        <f aca="false">IF(B206="","",IFERROR(INDEX('NOTES CM2'!$T$10:$T$250,MATCH(B206,'NOTES CM2'!$B$10:$B$250,0)),""))</f>
        <v/>
      </c>
      <c r="H206" s="80" t="str">
        <f aca="false">IF(B206="","",IFERROR(INDEX('NOTES CM2'!$AB$10:$AB$250,MATCH(B206,'NOTES CM2'!$B$10:$B$250,0)),""))</f>
        <v/>
      </c>
      <c r="I206" s="80" t="str">
        <f aca="false">IF(B206="","",IFERROR(INDEX('NOTES CM2'!$AJ$10:$AJ$250,MATCH(B206,'NOTES CM2'!$B$10:$B$250,0)),""))</f>
        <v/>
      </c>
      <c r="J206" s="82" t="str">
        <f aca="false">IF(COUNT(F206:I206)&lt;4,"",ROUND(SUM(F206:I206)/4,2))</f>
        <v/>
      </c>
      <c r="K206" s="83" t="n">
        <f aca="false">INDEX(PARAMETRES!$D$18:$D$23,MATCH("CM2",PARAMETRES!$B$18:$B$23,0))</f>
        <v>20</v>
      </c>
      <c r="L206" s="81" t="n">
        <f aca="false">INDEX(PARAMETRES!$C$18:$C$23,MATCH("CM2",PARAMETRES!$B$18:$B$23,0))</f>
        <v>10</v>
      </c>
      <c r="M206" s="45" t="str">
        <f aca="false">IF(B206="","",IF(E206="ABANDON","ABANDON",IF(E206="TRANSFERE","TRANSFERE",IF(J206="","",IF(J206&gt;=L206,"ADMIS","REDOUBLE")))))</f>
        <v/>
      </c>
      <c r="N206" s="73" t="str">
        <f aca="false">IF(OR(J206="",E206&lt;&gt;"PRESENT"),"",COUNTIFS($E$10:$E$250,"PRESENT",$J$10:$J$250,"&gt;"&amp;J206)+1)</f>
        <v/>
      </c>
      <c r="O206" s="74" t="str">
        <f aca="false">IF(M206="ADMIS",IF(J206/K206*10&gt;=8,"Très bien",IF(J206/K206*10&gt;=7,"Bien",IF(J206/K206*10&gt;=6,"Assez bien","Passable"))),IF(M206="REDOUBLE","Insuffisant",""))</f>
        <v/>
      </c>
      <c r="P206" s="51" t="str">
        <f aca="false">IFERROR(MATCH("CM2-197",'REGISTRE ELEVES'!$AH$10:$AH$250,0),"")</f>
        <v/>
      </c>
    </row>
    <row r="207" customFormat="false" ht="15" hidden="false" customHeight="false" outlineLevel="0" collapsed="false">
      <c r="A207" s="45" t="str">
        <f aca="false">IF(B207="","",198)</f>
        <v/>
      </c>
      <c r="B207" s="45" t="str">
        <f aca="false">IF($P207="","",INDEX('REGISTRE ELEVES'!$B$10:$B$250,$P207))</f>
        <v/>
      </c>
      <c r="C207" s="74" t="str">
        <f aca="false">IF($P207="","",INDEX('REGISTRE ELEVES'!$D$10:$D$250,$P207))</f>
        <v/>
      </c>
      <c r="D207" s="45" t="str">
        <f aca="false">IF($P207="","",INDEX('REGISTRE ELEVES'!$E$10:$E$250,$P207))</f>
        <v/>
      </c>
      <c r="E207" s="45" t="str">
        <f aca="false">IF($P207="","",INDEX('REGISTRE ELEVES'!$AE$10:$AE$250,$P207))</f>
        <v/>
      </c>
      <c r="F207" s="80" t="str">
        <f aca="false">IF(B207="","",IFERROR(INDEX('NOTES CM2'!$M$10:$M$250,MATCH(B207,'NOTES CM2'!$B$10:$B$250,0)),""))</f>
        <v/>
      </c>
      <c r="G207" s="80" t="str">
        <f aca="false">IF(B207="","",IFERROR(INDEX('NOTES CM2'!$T$10:$T$250,MATCH(B207,'NOTES CM2'!$B$10:$B$250,0)),""))</f>
        <v/>
      </c>
      <c r="H207" s="80" t="str">
        <f aca="false">IF(B207="","",IFERROR(INDEX('NOTES CM2'!$AB$10:$AB$250,MATCH(B207,'NOTES CM2'!$B$10:$B$250,0)),""))</f>
        <v/>
      </c>
      <c r="I207" s="80" t="str">
        <f aca="false">IF(B207="","",IFERROR(INDEX('NOTES CM2'!$AJ$10:$AJ$250,MATCH(B207,'NOTES CM2'!$B$10:$B$250,0)),""))</f>
        <v/>
      </c>
      <c r="J207" s="82" t="str">
        <f aca="false">IF(COUNT(F207:I207)&lt;4,"",ROUND(SUM(F207:I207)/4,2))</f>
        <v/>
      </c>
      <c r="K207" s="83" t="n">
        <f aca="false">INDEX(PARAMETRES!$D$18:$D$23,MATCH("CM2",PARAMETRES!$B$18:$B$23,0))</f>
        <v>20</v>
      </c>
      <c r="L207" s="81" t="n">
        <f aca="false">INDEX(PARAMETRES!$C$18:$C$23,MATCH("CM2",PARAMETRES!$B$18:$B$23,0))</f>
        <v>10</v>
      </c>
      <c r="M207" s="45" t="str">
        <f aca="false">IF(B207="","",IF(E207="ABANDON","ABANDON",IF(E207="TRANSFERE","TRANSFERE",IF(J207="","",IF(J207&gt;=L207,"ADMIS","REDOUBLE")))))</f>
        <v/>
      </c>
      <c r="N207" s="73" t="str">
        <f aca="false">IF(OR(J207="",E207&lt;&gt;"PRESENT"),"",COUNTIFS($E$10:$E$250,"PRESENT",$J$10:$J$250,"&gt;"&amp;J207)+1)</f>
        <v/>
      </c>
      <c r="O207" s="74" t="str">
        <f aca="false">IF(M207="ADMIS",IF(J207/K207*10&gt;=8,"Très bien",IF(J207/K207*10&gt;=7,"Bien",IF(J207/K207*10&gt;=6,"Assez bien","Passable"))),IF(M207="REDOUBLE","Insuffisant",""))</f>
        <v/>
      </c>
      <c r="P207" s="51" t="str">
        <f aca="false">IFERROR(MATCH("CM2-198",'REGISTRE ELEVES'!$AH$10:$AH$250,0),"")</f>
        <v/>
      </c>
    </row>
    <row r="208" customFormat="false" ht="15" hidden="false" customHeight="false" outlineLevel="0" collapsed="false">
      <c r="A208" s="45" t="str">
        <f aca="false">IF(B208="","",199)</f>
        <v/>
      </c>
      <c r="B208" s="45" t="str">
        <f aca="false">IF($P208="","",INDEX('REGISTRE ELEVES'!$B$10:$B$250,$P208))</f>
        <v/>
      </c>
      <c r="C208" s="74" t="str">
        <f aca="false">IF($P208="","",INDEX('REGISTRE ELEVES'!$D$10:$D$250,$P208))</f>
        <v/>
      </c>
      <c r="D208" s="45" t="str">
        <f aca="false">IF($P208="","",INDEX('REGISTRE ELEVES'!$E$10:$E$250,$P208))</f>
        <v/>
      </c>
      <c r="E208" s="45" t="str">
        <f aca="false">IF($P208="","",INDEX('REGISTRE ELEVES'!$AE$10:$AE$250,$P208))</f>
        <v/>
      </c>
      <c r="F208" s="80" t="str">
        <f aca="false">IF(B208="","",IFERROR(INDEX('NOTES CM2'!$M$10:$M$250,MATCH(B208,'NOTES CM2'!$B$10:$B$250,0)),""))</f>
        <v/>
      </c>
      <c r="G208" s="80" t="str">
        <f aca="false">IF(B208="","",IFERROR(INDEX('NOTES CM2'!$T$10:$T$250,MATCH(B208,'NOTES CM2'!$B$10:$B$250,0)),""))</f>
        <v/>
      </c>
      <c r="H208" s="80" t="str">
        <f aca="false">IF(B208="","",IFERROR(INDEX('NOTES CM2'!$AB$10:$AB$250,MATCH(B208,'NOTES CM2'!$B$10:$B$250,0)),""))</f>
        <v/>
      </c>
      <c r="I208" s="80" t="str">
        <f aca="false">IF(B208="","",IFERROR(INDEX('NOTES CM2'!$AJ$10:$AJ$250,MATCH(B208,'NOTES CM2'!$B$10:$B$250,0)),""))</f>
        <v/>
      </c>
      <c r="J208" s="82" t="str">
        <f aca="false">IF(COUNT(F208:I208)&lt;4,"",ROUND(SUM(F208:I208)/4,2))</f>
        <v/>
      </c>
      <c r="K208" s="83" t="n">
        <f aca="false">INDEX(PARAMETRES!$D$18:$D$23,MATCH("CM2",PARAMETRES!$B$18:$B$23,0))</f>
        <v>20</v>
      </c>
      <c r="L208" s="81" t="n">
        <f aca="false">INDEX(PARAMETRES!$C$18:$C$23,MATCH("CM2",PARAMETRES!$B$18:$B$23,0))</f>
        <v>10</v>
      </c>
      <c r="M208" s="45" t="str">
        <f aca="false">IF(B208="","",IF(E208="ABANDON","ABANDON",IF(E208="TRANSFERE","TRANSFERE",IF(J208="","",IF(J208&gt;=L208,"ADMIS","REDOUBLE")))))</f>
        <v/>
      </c>
      <c r="N208" s="73" t="str">
        <f aca="false">IF(OR(J208="",E208&lt;&gt;"PRESENT"),"",COUNTIFS($E$10:$E$250,"PRESENT",$J$10:$J$250,"&gt;"&amp;J208)+1)</f>
        <v/>
      </c>
      <c r="O208" s="74" t="str">
        <f aca="false">IF(M208="ADMIS",IF(J208/K208*10&gt;=8,"Très bien",IF(J208/K208*10&gt;=7,"Bien",IF(J208/K208*10&gt;=6,"Assez bien","Passable"))),IF(M208="REDOUBLE","Insuffisant",""))</f>
        <v/>
      </c>
      <c r="P208" s="51" t="str">
        <f aca="false">IFERROR(MATCH("CM2-199",'REGISTRE ELEVES'!$AH$10:$AH$250,0),"")</f>
        <v/>
      </c>
    </row>
    <row r="209" customFormat="false" ht="15" hidden="false" customHeight="false" outlineLevel="0" collapsed="false">
      <c r="A209" s="45" t="str">
        <f aca="false">IF(B209="","",200)</f>
        <v/>
      </c>
      <c r="B209" s="45" t="str">
        <f aca="false">IF($P209="","",INDEX('REGISTRE ELEVES'!$B$10:$B$250,$P209))</f>
        <v/>
      </c>
      <c r="C209" s="74" t="str">
        <f aca="false">IF($P209="","",INDEX('REGISTRE ELEVES'!$D$10:$D$250,$P209))</f>
        <v/>
      </c>
      <c r="D209" s="45" t="str">
        <f aca="false">IF($P209="","",INDEX('REGISTRE ELEVES'!$E$10:$E$250,$P209))</f>
        <v/>
      </c>
      <c r="E209" s="45" t="str">
        <f aca="false">IF($P209="","",INDEX('REGISTRE ELEVES'!$AE$10:$AE$250,$P209))</f>
        <v/>
      </c>
      <c r="F209" s="80" t="str">
        <f aca="false">IF(B209="","",IFERROR(INDEX('NOTES CM2'!$M$10:$M$250,MATCH(B209,'NOTES CM2'!$B$10:$B$250,0)),""))</f>
        <v/>
      </c>
      <c r="G209" s="80" t="str">
        <f aca="false">IF(B209="","",IFERROR(INDEX('NOTES CM2'!$T$10:$T$250,MATCH(B209,'NOTES CM2'!$B$10:$B$250,0)),""))</f>
        <v/>
      </c>
      <c r="H209" s="80" t="str">
        <f aca="false">IF(B209="","",IFERROR(INDEX('NOTES CM2'!$AB$10:$AB$250,MATCH(B209,'NOTES CM2'!$B$10:$B$250,0)),""))</f>
        <v/>
      </c>
      <c r="I209" s="80" t="str">
        <f aca="false">IF(B209="","",IFERROR(INDEX('NOTES CM2'!$AJ$10:$AJ$250,MATCH(B209,'NOTES CM2'!$B$10:$B$250,0)),""))</f>
        <v/>
      </c>
      <c r="J209" s="82" t="str">
        <f aca="false">IF(COUNT(F209:I209)&lt;4,"",ROUND(SUM(F209:I209)/4,2))</f>
        <v/>
      </c>
      <c r="K209" s="83" t="n">
        <f aca="false">INDEX(PARAMETRES!$D$18:$D$23,MATCH("CM2",PARAMETRES!$B$18:$B$23,0))</f>
        <v>20</v>
      </c>
      <c r="L209" s="81" t="n">
        <f aca="false">INDEX(PARAMETRES!$C$18:$C$23,MATCH("CM2",PARAMETRES!$B$18:$B$23,0))</f>
        <v>10</v>
      </c>
      <c r="M209" s="45" t="str">
        <f aca="false">IF(B209="","",IF(E209="ABANDON","ABANDON",IF(E209="TRANSFERE","TRANSFERE",IF(J209="","",IF(J209&gt;=L209,"ADMIS","REDOUBLE")))))</f>
        <v/>
      </c>
      <c r="N209" s="73" t="str">
        <f aca="false">IF(OR(J209="",E209&lt;&gt;"PRESENT"),"",COUNTIFS($E$10:$E$250,"PRESENT",$J$10:$J$250,"&gt;"&amp;J209)+1)</f>
        <v/>
      </c>
      <c r="O209" s="74" t="str">
        <f aca="false">IF(M209="ADMIS",IF(J209/K209*10&gt;=8,"Très bien",IF(J209/K209*10&gt;=7,"Bien",IF(J209/K209*10&gt;=6,"Assez bien","Passable"))),IF(M209="REDOUBLE","Insuffisant",""))</f>
        <v/>
      </c>
      <c r="P209" s="51" t="str">
        <f aca="false">IFERROR(MATCH("CM2-200",'REGISTRE ELEVES'!$AH$10:$AH$250,0),"")</f>
        <v/>
      </c>
    </row>
    <row r="210" customFormat="false" ht="15" hidden="false" customHeight="false" outlineLevel="0" collapsed="false">
      <c r="A210" s="45" t="str">
        <f aca="false">IF(B210="","",201)</f>
        <v/>
      </c>
      <c r="B210" s="45" t="str">
        <f aca="false">IF($P210="","",INDEX('REGISTRE ELEVES'!$B$10:$B$250,$P210))</f>
        <v/>
      </c>
      <c r="C210" s="74" t="str">
        <f aca="false">IF($P210="","",INDEX('REGISTRE ELEVES'!$D$10:$D$250,$P210))</f>
        <v/>
      </c>
      <c r="D210" s="45" t="str">
        <f aca="false">IF($P210="","",INDEX('REGISTRE ELEVES'!$E$10:$E$250,$P210))</f>
        <v/>
      </c>
      <c r="E210" s="45" t="str">
        <f aca="false">IF($P210="","",INDEX('REGISTRE ELEVES'!$AE$10:$AE$250,$P210))</f>
        <v/>
      </c>
      <c r="F210" s="80" t="str">
        <f aca="false">IF(B210="","",IFERROR(INDEX('NOTES CM2'!$M$10:$M$250,MATCH(B210,'NOTES CM2'!$B$10:$B$250,0)),""))</f>
        <v/>
      </c>
      <c r="G210" s="80" t="str">
        <f aca="false">IF(B210="","",IFERROR(INDEX('NOTES CM2'!$T$10:$T$250,MATCH(B210,'NOTES CM2'!$B$10:$B$250,0)),""))</f>
        <v/>
      </c>
      <c r="H210" s="80" t="str">
        <f aca="false">IF(B210="","",IFERROR(INDEX('NOTES CM2'!$AB$10:$AB$250,MATCH(B210,'NOTES CM2'!$B$10:$B$250,0)),""))</f>
        <v/>
      </c>
      <c r="I210" s="80" t="str">
        <f aca="false">IF(B210="","",IFERROR(INDEX('NOTES CM2'!$AJ$10:$AJ$250,MATCH(B210,'NOTES CM2'!$B$10:$B$250,0)),""))</f>
        <v/>
      </c>
      <c r="J210" s="82" t="str">
        <f aca="false">IF(COUNT(F210:I210)&lt;4,"",ROUND(SUM(F210:I210)/4,2))</f>
        <v/>
      </c>
      <c r="K210" s="83" t="n">
        <f aca="false">INDEX(PARAMETRES!$D$18:$D$23,MATCH("CM2",PARAMETRES!$B$18:$B$23,0))</f>
        <v>20</v>
      </c>
      <c r="L210" s="81" t="n">
        <f aca="false">INDEX(PARAMETRES!$C$18:$C$23,MATCH("CM2",PARAMETRES!$B$18:$B$23,0))</f>
        <v>10</v>
      </c>
      <c r="M210" s="45" t="str">
        <f aca="false">IF(B210="","",IF(E210="ABANDON","ABANDON",IF(E210="TRANSFERE","TRANSFERE",IF(J210="","",IF(J210&gt;=L210,"ADMIS","REDOUBLE")))))</f>
        <v/>
      </c>
      <c r="N210" s="73" t="str">
        <f aca="false">IF(OR(J210="",E210&lt;&gt;"PRESENT"),"",COUNTIFS($E$10:$E$250,"PRESENT",$J$10:$J$250,"&gt;"&amp;J210)+1)</f>
        <v/>
      </c>
      <c r="O210" s="74" t="str">
        <f aca="false">IF(M210="ADMIS",IF(J210/K210*10&gt;=8,"Très bien",IF(J210/K210*10&gt;=7,"Bien",IF(J210/K210*10&gt;=6,"Assez bien","Passable"))),IF(M210="REDOUBLE","Insuffisant",""))</f>
        <v/>
      </c>
      <c r="P210" s="51" t="str">
        <f aca="false">IFERROR(MATCH("CM2-201",'REGISTRE ELEVES'!$AH$10:$AH$250,0),"")</f>
        <v/>
      </c>
    </row>
    <row r="211" customFormat="false" ht="15" hidden="false" customHeight="false" outlineLevel="0" collapsed="false">
      <c r="A211" s="45" t="str">
        <f aca="false">IF(B211="","",202)</f>
        <v/>
      </c>
      <c r="B211" s="45" t="str">
        <f aca="false">IF($P211="","",INDEX('REGISTRE ELEVES'!$B$10:$B$250,$P211))</f>
        <v/>
      </c>
      <c r="C211" s="74" t="str">
        <f aca="false">IF($P211="","",INDEX('REGISTRE ELEVES'!$D$10:$D$250,$P211))</f>
        <v/>
      </c>
      <c r="D211" s="45" t="str">
        <f aca="false">IF($P211="","",INDEX('REGISTRE ELEVES'!$E$10:$E$250,$P211))</f>
        <v/>
      </c>
      <c r="E211" s="45" t="str">
        <f aca="false">IF($P211="","",INDEX('REGISTRE ELEVES'!$AE$10:$AE$250,$P211))</f>
        <v/>
      </c>
      <c r="F211" s="80" t="str">
        <f aca="false">IF(B211="","",IFERROR(INDEX('NOTES CM2'!$M$10:$M$250,MATCH(B211,'NOTES CM2'!$B$10:$B$250,0)),""))</f>
        <v/>
      </c>
      <c r="G211" s="80" t="str">
        <f aca="false">IF(B211="","",IFERROR(INDEX('NOTES CM2'!$T$10:$T$250,MATCH(B211,'NOTES CM2'!$B$10:$B$250,0)),""))</f>
        <v/>
      </c>
      <c r="H211" s="80" t="str">
        <f aca="false">IF(B211="","",IFERROR(INDEX('NOTES CM2'!$AB$10:$AB$250,MATCH(B211,'NOTES CM2'!$B$10:$B$250,0)),""))</f>
        <v/>
      </c>
      <c r="I211" s="80" t="str">
        <f aca="false">IF(B211="","",IFERROR(INDEX('NOTES CM2'!$AJ$10:$AJ$250,MATCH(B211,'NOTES CM2'!$B$10:$B$250,0)),""))</f>
        <v/>
      </c>
      <c r="J211" s="82" t="str">
        <f aca="false">IF(COUNT(F211:I211)&lt;4,"",ROUND(SUM(F211:I211)/4,2))</f>
        <v/>
      </c>
      <c r="K211" s="83" t="n">
        <f aca="false">INDEX(PARAMETRES!$D$18:$D$23,MATCH("CM2",PARAMETRES!$B$18:$B$23,0))</f>
        <v>20</v>
      </c>
      <c r="L211" s="81" t="n">
        <f aca="false">INDEX(PARAMETRES!$C$18:$C$23,MATCH("CM2",PARAMETRES!$B$18:$B$23,0))</f>
        <v>10</v>
      </c>
      <c r="M211" s="45" t="str">
        <f aca="false">IF(B211="","",IF(E211="ABANDON","ABANDON",IF(E211="TRANSFERE","TRANSFERE",IF(J211="","",IF(J211&gt;=L211,"ADMIS","REDOUBLE")))))</f>
        <v/>
      </c>
      <c r="N211" s="73" t="str">
        <f aca="false">IF(OR(J211="",E211&lt;&gt;"PRESENT"),"",COUNTIFS($E$10:$E$250,"PRESENT",$J$10:$J$250,"&gt;"&amp;J211)+1)</f>
        <v/>
      </c>
      <c r="O211" s="74" t="str">
        <f aca="false">IF(M211="ADMIS",IF(J211/K211*10&gt;=8,"Très bien",IF(J211/K211*10&gt;=7,"Bien",IF(J211/K211*10&gt;=6,"Assez bien","Passable"))),IF(M211="REDOUBLE","Insuffisant",""))</f>
        <v/>
      </c>
      <c r="P211" s="51" t="str">
        <f aca="false">IFERROR(MATCH("CM2-202",'REGISTRE ELEVES'!$AH$10:$AH$250,0),"")</f>
        <v/>
      </c>
    </row>
    <row r="212" customFormat="false" ht="15" hidden="false" customHeight="false" outlineLevel="0" collapsed="false">
      <c r="A212" s="45" t="str">
        <f aca="false">IF(B212="","",203)</f>
        <v/>
      </c>
      <c r="B212" s="45" t="str">
        <f aca="false">IF($P212="","",INDEX('REGISTRE ELEVES'!$B$10:$B$250,$P212))</f>
        <v/>
      </c>
      <c r="C212" s="74" t="str">
        <f aca="false">IF($P212="","",INDEX('REGISTRE ELEVES'!$D$10:$D$250,$P212))</f>
        <v/>
      </c>
      <c r="D212" s="45" t="str">
        <f aca="false">IF($P212="","",INDEX('REGISTRE ELEVES'!$E$10:$E$250,$P212))</f>
        <v/>
      </c>
      <c r="E212" s="45" t="str">
        <f aca="false">IF($P212="","",INDEX('REGISTRE ELEVES'!$AE$10:$AE$250,$P212))</f>
        <v/>
      </c>
      <c r="F212" s="80" t="str">
        <f aca="false">IF(B212="","",IFERROR(INDEX('NOTES CM2'!$M$10:$M$250,MATCH(B212,'NOTES CM2'!$B$10:$B$250,0)),""))</f>
        <v/>
      </c>
      <c r="G212" s="80" t="str">
        <f aca="false">IF(B212="","",IFERROR(INDEX('NOTES CM2'!$T$10:$T$250,MATCH(B212,'NOTES CM2'!$B$10:$B$250,0)),""))</f>
        <v/>
      </c>
      <c r="H212" s="80" t="str">
        <f aca="false">IF(B212="","",IFERROR(INDEX('NOTES CM2'!$AB$10:$AB$250,MATCH(B212,'NOTES CM2'!$B$10:$B$250,0)),""))</f>
        <v/>
      </c>
      <c r="I212" s="80" t="str">
        <f aca="false">IF(B212="","",IFERROR(INDEX('NOTES CM2'!$AJ$10:$AJ$250,MATCH(B212,'NOTES CM2'!$B$10:$B$250,0)),""))</f>
        <v/>
      </c>
      <c r="J212" s="82" t="str">
        <f aca="false">IF(COUNT(F212:I212)&lt;4,"",ROUND(SUM(F212:I212)/4,2))</f>
        <v/>
      </c>
      <c r="K212" s="83" t="n">
        <f aca="false">INDEX(PARAMETRES!$D$18:$D$23,MATCH("CM2",PARAMETRES!$B$18:$B$23,0))</f>
        <v>20</v>
      </c>
      <c r="L212" s="81" t="n">
        <f aca="false">INDEX(PARAMETRES!$C$18:$C$23,MATCH("CM2",PARAMETRES!$B$18:$B$23,0))</f>
        <v>10</v>
      </c>
      <c r="M212" s="45" t="str">
        <f aca="false">IF(B212="","",IF(E212="ABANDON","ABANDON",IF(E212="TRANSFERE","TRANSFERE",IF(J212="","",IF(J212&gt;=L212,"ADMIS","REDOUBLE")))))</f>
        <v/>
      </c>
      <c r="N212" s="73" t="str">
        <f aca="false">IF(OR(J212="",E212&lt;&gt;"PRESENT"),"",COUNTIFS($E$10:$E$250,"PRESENT",$J$10:$J$250,"&gt;"&amp;J212)+1)</f>
        <v/>
      </c>
      <c r="O212" s="74" t="str">
        <f aca="false">IF(M212="ADMIS",IF(J212/K212*10&gt;=8,"Très bien",IF(J212/K212*10&gt;=7,"Bien",IF(J212/K212*10&gt;=6,"Assez bien","Passable"))),IF(M212="REDOUBLE","Insuffisant",""))</f>
        <v/>
      </c>
      <c r="P212" s="51" t="str">
        <f aca="false">IFERROR(MATCH("CM2-203",'REGISTRE ELEVES'!$AH$10:$AH$250,0),"")</f>
        <v/>
      </c>
    </row>
    <row r="213" customFormat="false" ht="15" hidden="false" customHeight="false" outlineLevel="0" collapsed="false">
      <c r="A213" s="45" t="str">
        <f aca="false">IF(B213="","",204)</f>
        <v/>
      </c>
      <c r="B213" s="45" t="str">
        <f aca="false">IF($P213="","",INDEX('REGISTRE ELEVES'!$B$10:$B$250,$P213))</f>
        <v/>
      </c>
      <c r="C213" s="74" t="str">
        <f aca="false">IF($P213="","",INDEX('REGISTRE ELEVES'!$D$10:$D$250,$P213))</f>
        <v/>
      </c>
      <c r="D213" s="45" t="str">
        <f aca="false">IF($P213="","",INDEX('REGISTRE ELEVES'!$E$10:$E$250,$P213))</f>
        <v/>
      </c>
      <c r="E213" s="45" t="str">
        <f aca="false">IF($P213="","",INDEX('REGISTRE ELEVES'!$AE$10:$AE$250,$P213))</f>
        <v/>
      </c>
      <c r="F213" s="80" t="str">
        <f aca="false">IF(B213="","",IFERROR(INDEX('NOTES CM2'!$M$10:$M$250,MATCH(B213,'NOTES CM2'!$B$10:$B$250,0)),""))</f>
        <v/>
      </c>
      <c r="G213" s="80" t="str">
        <f aca="false">IF(B213="","",IFERROR(INDEX('NOTES CM2'!$T$10:$T$250,MATCH(B213,'NOTES CM2'!$B$10:$B$250,0)),""))</f>
        <v/>
      </c>
      <c r="H213" s="80" t="str">
        <f aca="false">IF(B213="","",IFERROR(INDEX('NOTES CM2'!$AB$10:$AB$250,MATCH(B213,'NOTES CM2'!$B$10:$B$250,0)),""))</f>
        <v/>
      </c>
      <c r="I213" s="80" t="str">
        <f aca="false">IF(B213="","",IFERROR(INDEX('NOTES CM2'!$AJ$10:$AJ$250,MATCH(B213,'NOTES CM2'!$B$10:$B$250,0)),""))</f>
        <v/>
      </c>
      <c r="J213" s="82" t="str">
        <f aca="false">IF(COUNT(F213:I213)&lt;4,"",ROUND(SUM(F213:I213)/4,2))</f>
        <v/>
      </c>
      <c r="K213" s="83" t="n">
        <f aca="false">INDEX(PARAMETRES!$D$18:$D$23,MATCH("CM2",PARAMETRES!$B$18:$B$23,0))</f>
        <v>20</v>
      </c>
      <c r="L213" s="81" t="n">
        <f aca="false">INDEX(PARAMETRES!$C$18:$C$23,MATCH("CM2",PARAMETRES!$B$18:$B$23,0))</f>
        <v>10</v>
      </c>
      <c r="M213" s="45" t="str">
        <f aca="false">IF(B213="","",IF(E213="ABANDON","ABANDON",IF(E213="TRANSFERE","TRANSFERE",IF(J213="","",IF(J213&gt;=L213,"ADMIS","REDOUBLE")))))</f>
        <v/>
      </c>
      <c r="N213" s="73" t="str">
        <f aca="false">IF(OR(J213="",E213&lt;&gt;"PRESENT"),"",COUNTIFS($E$10:$E$250,"PRESENT",$J$10:$J$250,"&gt;"&amp;J213)+1)</f>
        <v/>
      </c>
      <c r="O213" s="74" t="str">
        <f aca="false">IF(M213="ADMIS",IF(J213/K213*10&gt;=8,"Très bien",IF(J213/K213*10&gt;=7,"Bien",IF(J213/K213*10&gt;=6,"Assez bien","Passable"))),IF(M213="REDOUBLE","Insuffisant",""))</f>
        <v/>
      </c>
      <c r="P213" s="51" t="str">
        <f aca="false">IFERROR(MATCH("CM2-204",'REGISTRE ELEVES'!$AH$10:$AH$250,0),"")</f>
        <v/>
      </c>
    </row>
    <row r="214" customFormat="false" ht="15" hidden="false" customHeight="false" outlineLevel="0" collapsed="false">
      <c r="A214" s="45" t="str">
        <f aca="false">IF(B214="","",205)</f>
        <v/>
      </c>
      <c r="B214" s="45" t="str">
        <f aca="false">IF($P214="","",INDEX('REGISTRE ELEVES'!$B$10:$B$250,$P214))</f>
        <v/>
      </c>
      <c r="C214" s="74" t="str">
        <f aca="false">IF($P214="","",INDEX('REGISTRE ELEVES'!$D$10:$D$250,$P214))</f>
        <v/>
      </c>
      <c r="D214" s="45" t="str">
        <f aca="false">IF($P214="","",INDEX('REGISTRE ELEVES'!$E$10:$E$250,$P214))</f>
        <v/>
      </c>
      <c r="E214" s="45" t="str">
        <f aca="false">IF($P214="","",INDEX('REGISTRE ELEVES'!$AE$10:$AE$250,$P214))</f>
        <v/>
      </c>
      <c r="F214" s="80" t="str">
        <f aca="false">IF(B214="","",IFERROR(INDEX('NOTES CM2'!$M$10:$M$250,MATCH(B214,'NOTES CM2'!$B$10:$B$250,0)),""))</f>
        <v/>
      </c>
      <c r="G214" s="80" t="str">
        <f aca="false">IF(B214="","",IFERROR(INDEX('NOTES CM2'!$T$10:$T$250,MATCH(B214,'NOTES CM2'!$B$10:$B$250,0)),""))</f>
        <v/>
      </c>
      <c r="H214" s="80" t="str">
        <f aca="false">IF(B214="","",IFERROR(INDEX('NOTES CM2'!$AB$10:$AB$250,MATCH(B214,'NOTES CM2'!$B$10:$B$250,0)),""))</f>
        <v/>
      </c>
      <c r="I214" s="80" t="str">
        <f aca="false">IF(B214="","",IFERROR(INDEX('NOTES CM2'!$AJ$10:$AJ$250,MATCH(B214,'NOTES CM2'!$B$10:$B$250,0)),""))</f>
        <v/>
      </c>
      <c r="J214" s="82" t="str">
        <f aca="false">IF(COUNT(F214:I214)&lt;4,"",ROUND(SUM(F214:I214)/4,2))</f>
        <v/>
      </c>
      <c r="K214" s="83" t="n">
        <f aca="false">INDEX(PARAMETRES!$D$18:$D$23,MATCH("CM2",PARAMETRES!$B$18:$B$23,0))</f>
        <v>20</v>
      </c>
      <c r="L214" s="81" t="n">
        <f aca="false">INDEX(PARAMETRES!$C$18:$C$23,MATCH("CM2",PARAMETRES!$B$18:$B$23,0))</f>
        <v>10</v>
      </c>
      <c r="M214" s="45" t="str">
        <f aca="false">IF(B214="","",IF(E214="ABANDON","ABANDON",IF(E214="TRANSFERE","TRANSFERE",IF(J214="","",IF(J214&gt;=L214,"ADMIS","REDOUBLE")))))</f>
        <v/>
      </c>
      <c r="N214" s="73" t="str">
        <f aca="false">IF(OR(J214="",E214&lt;&gt;"PRESENT"),"",COUNTIFS($E$10:$E$250,"PRESENT",$J$10:$J$250,"&gt;"&amp;J214)+1)</f>
        <v/>
      </c>
      <c r="O214" s="74" t="str">
        <f aca="false">IF(M214="ADMIS",IF(J214/K214*10&gt;=8,"Très bien",IF(J214/K214*10&gt;=7,"Bien",IF(J214/K214*10&gt;=6,"Assez bien","Passable"))),IF(M214="REDOUBLE","Insuffisant",""))</f>
        <v/>
      </c>
      <c r="P214" s="51" t="str">
        <f aca="false">IFERROR(MATCH("CM2-205",'REGISTRE ELEVES'!$AH$10:$AH$250,0),"")</f>
        <v/>
      </c>
    </row>
    <row r="215" customFormat="false" ht="15" hidden="false" customHeight="false" outlineLevel="0" collapsed="false">
      <c r="A215" s="45" t="str">
        <f aca="false">IF(B215="","",206)</f>
        <v/>
      </c>
      <c r="B215" s="45" t="str">
        <f aca="false">IF($P215="","",INDEX('REGISTRE ELEVES'!$B$10:$B$250,$P215))</f>
        <v/>
      </c>
      <c r="C215" s="74" t="str">
        <f aca="false">IF($P215="","",INDEX('REGISTRE ELEVES'!$D$10:$D$250,$P215))</f>
        <v/>
      </c>
      <c r="D215" s="45" t="str">
        <f aca="false">IF($P215="","",INDEX('REGISTRE ELEVES'!$E$10:$E$250,$P215))</f>
        <v/>
      </c>
      <c r="E215" s="45" t="str">
        <f aca="false">IF($P215="","",INDEX('REGISTRE ELEVES'!$AE$10:$AE$250,$P215))</f>
        <v/>
      </c>
      <c r="F215" s="80" t="str">
        <f aca="false">IF(B215="","",IFERROR(INDEX('NOTES CM2'!$M$10:$M$250,MATCH(B215,'NOTES CM2'!$B$10:$B$250,0)),""))</f>
        <v/>
      </c>
      <c r="G215" s="80" t="str">
        <f aca="false">IF(B215="","",IFERROR(INDEX('NOTES CM2'!$T$10:$T$250,MATCH(B215,'NOTES CM2'!$B$10:$B$250,0)),""))</f>
        <v/>
      </c>
      <c r="H215" s="80" t="str">
        <f aca="false">IF(B215="","",IFERROR(INDEX('NOTES CM2'!$AB$10:$AB$250,MATCH(B215,'NOTES CM2'!$B$10:$B$250,0)),""))</f>
        <v/>
      </c>
      <c r="I215" s="80" t="str">
        <f aca="false">IF(B215="","",IFERROR(INDEX('NOTES CM2'!$AJ$10:$AJ$250,MATCH(B215,'NOTES CM2'!$B$10:$B$250,0)),""))</f>
        <v/>
      </c>
      <c r="J215" s="82" t="str">
        <f aca="false">IF(COUNT(F215:I215)&lt;4,"",ROUND(SUM(F215:I215)/4,2))</f>
        <v/>
      </c>
      <c r="K215" s="83" t="n">
        <f aca="false">INDEX(PARAMETRES!$D$18:$D$23,MATCH("CM2",PARAMETRES!$B$18:$B$23,0))</f>
        <v>20</v>
      </c>
      <c r="L215" s="81" t="n">
        <f aca="false">INDEX(PARAMETRES!$C$18:$C$23,MATCH("CM2",PARAMETRES!$B$18:$B$23,0))</f>
        <v>10</v>
      </c>
      <c r="M215" s="45" t="str">
        <f aca="false">IF(B215="","",IF(E215="ABANDON","ABANDON",IF(E215="TRANSFERE","TRANSFERE",IF(J215="","",IF(J215&gt;=L215,"ADMIS","REDOUBLE")))))</f>
        <v/>
      </c>
      <c r="N215" s="73" t="str">
        <f aca="false">IF(OR(J215="",E215&lt;&gt;"PRESENT"),"",COUNTIFS($E$10:$E$250,"PRESENT",$J$10:$J$250,"&gt;"&amp;J215)+1)</f>
        <v/>
      </c>
      <c r="O215" s="74" t="str">
        <f aca="false">IF(M215="ADMIS",IF(J215/K215*10&gt;=8,"Très bien",IF(J215/K215*10&gt;=7,"Bien",IF(J215/K215*10&gt;=6,"Assez bien","Passable"))),IF(M215="REDOUBLE","Insuffisant",""))</f>
        <v/>
      </c>
      <c r="P215" s="51" t="str">
        <f aca="false">IFERROR(MATCH("CM2-206",'REGISTRE ELEVES'!$AH$10:$AH$250,0),"")</f>
        <v/>
      </c>
    </row>
    <row r="216" customFormat="false" ht="15" hidden="false" customHeight="false" outlineLevel="0" collapsed="false">
      <c r="A216" s="45" t="str">
        <f aca="false">IF(B216="","",207)</f>
        <v/>
      </c>
      <c r="B216" s="45" t="str">
        <f aca="false">IF($P216="","",INDEX('REGISTRE ELEVES'!$B$10:$B$250,$P216))</f>
        <v/>
      </c>
      <c r="C216" s="74" t="str">
        <f aca="false">IF($P216="","",INDEX('REGISTRE ELEVES'!$D$10:$D$250,$P216))</f>
        <v/>
      </c>
      <c r="D216" s="45" t="str">
        <f aca="false">IF($P216="","",INDEX('REGISTRE ELEVES'!$E$10:$E$250,$P216))</f>
        <v/>
      </c>
      <c r="E216" s="45" t="str">
        <f aca="false">IF($P216="","",INDEX('REGISTRE ELEVES'!$AE$10:$AE$250,$P216))</f>
        <v/>
      </c>
      <c r="F216" s="80" t="str">
        <f aca="false">IF(B216="","",IFERROR(INDEX('NOTES CM2'!$M$10:$M$250,MATCH(B216,'NOTES CM2'!$B$10:$B$250,0)),""))</f>
        <v/>
      </c>
      <c r="G216" s="80" t="str">
        <f aca="false">IF(B216="","",IFERROR(INDEX('NOTES CM2'!$T$10:$T$250,MATCH(B216,'NOTES CM2'!$B$10:$B$250,0)),""))</f>
        <v/>
      </c>
      <c r="H216" s="80" t="str">
        <f aca="false">IF(B216="","",IFERROR(INDEX('NOTES CM2'!$AB$10:$AB$250,MATCH(B216,'NOTES CM2'!$B$10:$B$250,0)),""))</f>
        <v/>
      </c>
      <c r="I216" s="80" t="str">
        <f aca="false">IF(B216="","",IFERROR(INDEX('NOTES CM2'!$AJ$10:$AJ$250,MATCH(B216,'NOTES CM2'!$B$10:$B$250,0)),""))</f>
        <v/>
      </c>
      <c r="J216" s="82" t="str">
        <f aca="false">IF(COUNT(F216:I216)&lt;4,"",ROUND(SUM(F216:I216)/4,2))</f>
        <v/>
      </c>
      <c r="K216" s="83" t="n">
        <f aca="false">INDEX(PARAMETRES!$D$18:$D$23,MATCH("CM2",PARAMETRES!$B$18:$B$23,0))</f>
        <v>20</v>
      </c>
      <c r="L216" s="81" t="n">
        <f aca="false">INDEX(PARAMETRES!$C$18:$C$23,MATCH("CM2",PARAMETRES!$B$18:$B$23,0))</f>
        <v>10</v>
      </c>
      <c r="M216" s="45" t="str">
        <f aca="false">IF(B216="","",IF(E216="ABANDON","ABANDON",IF(E216="TRANSFERE","TRANSFERE",IF(J216="","",IF(J216&gt;=L216,"ADMIS","REDOUBLE")))))</f>
        <v/>
      </c>
      <c r="N216" s="73" t="str">
        <f aca="false">IF(OR(J216="",E216&lt;&gt;"PRESENT"),"",COUNTIFS($E$10:$E$250,"PRESENT",$J$10:$J$250,"&gt;"&amp;J216)+1)</f>
        <v/>
      </c>
      <c r="O216" s="74" t="str">
        <f aca="false">IF(M216="ADMIS",IF(J216/K216*10&gt;=8,"Très bien",IF(J216/K216*10&gt;=7,"Bien",IF(J216/K216*10&gt;=6,"Assez bien","Passable"))),IF(M216="REDOUBLE","Insuffisant",""))</f>
        <v/>
      </c>
      <c r="P216" s="51" t="str">
        <f aca="false">IFERROR(MATCH("CM2-207",'REGISTRE ELEVES'!$AH$10:$AH$250,0),"")</f>
        <v/>
      </c>
    </row>
    <row r="217" customFormat="false" ht="15" hidden="false" customHeight="false" outlineLevel="0" collapsed="false">
      <c r="A217" s="45" t="str">
        <f aca="false">IF(B217="","",208)</f>
        <v/>
      </c>
      <c r="B217" s="45" t="str">
        <f aca="false">IF($P217="","",INDEX('REGISTRE ELEVES'!$B$10:$B$250,$P217))</f>
        <v/>
      </c>
      <c r="C217" s="74" t="str">
        <f aca="false">IF($P217="","",INDEX('REGISTRE ELEVES'!$D$10:$D$250,$P217))</f>
        <v/>
      </c>
      <c r="D217" s="45" t="str">
        <f aca="false">IF($P217="","",INDEX('REGISTRE ELEVES'!$E$10:$E$250,$P217))</f>
        <v/>
      </c>
      <c r="E217" s="45" t="str">
        <f aca="false">IF($P217="","",INDEX('REGISTRE ELEVES'!$AE$10:$AE$250,$P217))</f>
        <v/>
      </c>
      <c r="F217" s="80" t="str">
        <f aca="false">IF(B217="","",IFERROR(INDEX('NOTES CM2'!$M$10:$M$250,MATCH(B217,'NOTES CM2'!$B$10:$B$250,0)),""))</f>
        <v/>
      </c>
      <c r="G217" s="80" t="str">
        <f aca="false">IF(B217="","",IFERROR(INDEX('NOTES CM2'!$T$10:$T$250,MATCH(B217,'NOTES CM2'!$B$10:$B$250,0)),""))</f>
        <v/>
      </c>
      <c r="H217" s="80" t="str">
        <f aca="false">IF(B217="","",IFERROR(INDEX('NOTES CM2'!$AB$10:$AB$250,MATCH(B217,'NOTES CM2'!$B$10:$B$250,0)),""))</f>
        <v/>
      </c>
      <c r="I217" s="80" t="str">
        <f aca="false">IF(B217="","",IFERROR(INDEX('NOTES CM2'!$AJ$10:$AJ$250,MATCH(B217,'NOTES CM2'!$B$10:$B$250,0)),""))</f>
        <v/>
      </c>
      <c r="J217" s="82" t="str">
        <f aca="false">IF(COUNT(F217:I217)&lt;4,"",ROUND(SUM(F217:I217)/4,2))</f>
        <v/>
      </c>
      <c r="K217" s="83" t="n">
        <f aca="false">INDEX(PARAMETRES!$D$18:$D$23,MATCH("CM2",PARAMETRES!$B$18:$B$23,0))</f>
        <v>20</v>
      </c>
      <c r="L217" s="81" t="n">
        <f aca="false">INDEX(PARAMETRES!$C$18:$C$23,MATCH("CM2",PARAMETRES!$B$18:$B$23,0))</f>
        <v>10</v>
      </c>
      <c r="M217" s="45" t="str">
        <f aca="false">IF(B217="","",IF(E217="ABANDON","ABANDON",IF(E217="TRANSFERE","TRANSFERE",IF(J217="","",IF(J217&gt;=L217,"ADMIS","REDOUBLE")))))</f>
        <v/>
      </c>
      <c r="N217" s="73" t="str">
        <f aca="false">IF(OR(J217="",E217&lt;&gt;"PRESENT"),"",COUNTIFS($E$10:$E$250,"PRESENT",$J$10:$J$250,"&gt;"&amp;J217)+1)</f>
        <v/>
      </c>
      <c r="O217" s="74" t="str">
        <f aca="false">IF(M217="ADMIS",IF(J217/K217*10&gt;=8,"Très bien",IF(J217/K217*10&gt;=7,"Bien",IF(J217/K217*10&gt;=6,"Assez bien","Passable"))),IF(M217="REDOUBLE","Insuffisant",""))</f>
        <v/>
      </c>
      <c r="P217" s="51" t="str">
        <f aca="false">IFERROR(MATCH("CM2-208",'REGISTRE ELEVES'!$AH$10:$AH$250,0),"")</f>
        <v/>
      </c>
    </row>
    <row r="218" customFormat="false" ht="15" hidden="false" customHeight="false" outlineLevel="0" collapsed="false">
      <c r="A218" s="45" t="str">
        <f aca="false">IF(B218="","",209)</f>
        <v/>
      </c>
      <c r="B218" s="45" t="str">
        <f aca="false">IF($P218="","",INDEX('REGISTRE ELEVES'!$B$10:$B$250,$P218))</f>
        <v/>
      </c>
      <c r="C218" s="74" t="str">
        <f aca="false">IF($P218="","",INDEX('REGISTRE ELEVES'!$D$10:$D$250,$P218))</f>
        <v/>
      </c>
      <c r="D218" s="45" t="str">
        <f aca="false">IF($P218="","",INDEX('REGISTRE ELEVES'!$E$10:$E$250,$P218))</f>
        <v/>
      </c>
      <c r="E218" s="45" t="str">
        <f aca="false">IF($P218="","",INDEX('REGISTRE ELEVES'!$AE$10:$AE$250,$P218))</f>
        <v/>
      </c>
      <c r="F218" s="80" t="str">
        <f aca="false">IF(B218="","",IFERROR(INDEX('NOTES CM2'!$M$10:$M$250,MATCH(B218,'NOTES CM2'!$B$10:$B$250,0)),""))</f>
        <v/>
      </c>
      <c r="G218" s="80" t="str">
        <f aca="false">IF(B218="","",IFERROR(INDEX('NOTES CM2'!$T$10:$T$250,MATCH(B218,'NOTES CM2'!$B$10:$B$250,0)),""))</f>
        <v/>
      </c>
      <c r="H218" s="80" t="str">
        <f aca="false">IF(B218="","",IFERROR(INDEX('NOTES CM2'!$AB$10:$AB$250,MATCH(B218,'NOTES CM2'!$B$10:$B$250,0)),""))</f>
        <v/>
      </c>
      <c r="I218" s="80" t="str">
        <f aca="false">IF(B218="","",IFERROR(INDEX('NOTES CM2'!$AJ$10:$AJ$250,MATCH(B218,'NOTES CM2'!$B$10:$B$250,0)),""))</f>
        <v/>
      </c>
      <c r="J218" s="82" t="str">
        <f aca="false">IF(COUNT(F218:I218)&lt;4,"",ROUND(SUM(F218:I218)/4,2))</f>
        <v/>
      </c>
      <c r="K218" s="83" t="n">
        <f aca="false">INDEX(PARAMETRES!$D$18:$D$23,MATCH("CM2",PARAMETRES!$B$18:$B$23,0))</f>
        <v>20</v>
      </c>
      <c r="L218" s="81" t="n">
        <f aca="false">INDEX(PARAMETRES!$C$18:$C$23,MATCH("CM2",PARAMETRES!$B$18:$B$23,0))</f>
        <v>10</v>
      </c>
      <c r="M218" s="45" t="str">
        <f aca="false">IF(B218="","",IF(E218="ABANDON","ABANDON",IF(E218="TRANSFERE","TRANSFERE",IF(J218="","",IF(J218&gt;=L218,"ADMIS","REDOUBLE")))))</f>
        <v/>
      </c>
      <c r="N218" s="73" t="str">
        <f aca="false">IF(OR(J218="",E218&lt;&gt;"PRESENT"),"",COUNTIFS($E$10:$E$250,"PRESENT",$J$10:$J$250,"&gt;"&amp;J218)+1)</f>
        <v/>
      </c>
      <c r="O218" s="74" t="str">
        <f aca="false">IF(M218="ADMIS",IF(J218/K218*10&gt;=8,"Très bien",IF(J218/K218*10&gt;=7,"Bien",IF(J218/K218*10&gt;=6,"Assez bien","Passable"))),IF(M218="REDOUBLE","Insuffisant",""))</f>
        <v/>
      </c>
      <c r="P218" s="51" t="str">
        <f aca="false">IFERROR(MATCH("CM2-209",'REGISTRE ELEVES'!$AH$10:$AH$250,0),"")</f>
        <v/>
      </c>
    </row>
    <row r="219" customFormat="false" ht="15" hidden="false" customHeight="false" outlineLevel="0" collapsed="false">
      <c r="A219" s="45" t="str">
        <f aca="false">IF(B219="","",210)</f>
        <v/>
      </c>
      <c r="B219" s="45" t="str">
        <f aca="false">IF($P219="","",INDEX('REGISTRE ELEVES'!$B$10:$B$250,$P219))</f>
        <v/>
      </c>
      <c r="C219" s="74" t="str">
        <f aca="false">IF($P219="","",INDEX('REGISTRE ELEVES'!$D$10:$D$250,$P219))</f>
        <v/>
      </c>
      <c r="D219" s="45" t="str">
        <f aca="false">IF($P219="","",INDEX('REGISTRE ELEVES'!$E$10:$E$250,$P219))</f>
        <v/>
      </c>
      <c r="E219" s="45" t="str">
        <f aca="false">IF($P219="","",INDEX('REGISTRE ELEVES'!$AE$10:$AE$250,$P219))</f>
        <v/>
      </c>
      <c r="F219" s="80" t="str">
        <f aca="false">IF(B219="","",IFERROR(INDEX('NOTES CM2'!$M$10:$M$250,MATCH(B219,'NOTES CM2'!$B$10:$B$250,0)),""))</f>
        <v/>
      </c>
      <c r="G219" s="80" t="str">
        <f aca="false">IF(B219="","",IFERROR(INDEX('NOTES CM2'!$T$10:$T$250,MATCH(B219,'NOTES CM2'!$B$10:$B$250,0)),""))</f>
        <v/>
      </c>
      <c r="H219" s="80" t="str">
        <f aca="false">IF(B219="","",IFERROR(INDEX('NOTES CM2'!$AB$10:$AB$250,MATCH(B219,'NOTES CM2'!$B$10:$B$250,0)),""))</f>
        <v/>
      </c>
      <c r="I219" s="80" t="str">
        <f aca="false">IF(B219="","",IFERROR(INDEX('NOTES CM2'!$AJ$10:$AJ$250,MATCH(B219,'NOTES CM2'!$B$10:$B$250,0)),""))</f>
        <v/>
      </c>
      <c r="J219" s="82" t="str">
        <f aca="false">IF(COUNT(F219:I219)&lt;4,"",ROUND(SUM(F219:I219)/4,2))</f>
        <v/>
      </c>
      <c r="K219" s="83" t="n">
        <f aca="false">INDEX(PARAMETRES!$D$18:$D$23,MATCH("CM2",PARAMETRES!$B$18:$B$23,0))</f>
        <v>20</v>
      </c>
      <c r="L219" s="81" t="n">
        <f aca="false">INDEX(PARAMETRES!$C$18:$C$23,MATCH("CM2",PARAMETRES!$B$18:$B$23,0))</f>
        <v>10</v>
      </c>
      <c r="M219" s="45" t="str">
        <f aca="false">IF(B219="","",IF(E219="ABANDON","ABANDON",IF(E219="TRANSFERE","TRANSFERE",IF(J219="","",IF(J219&gt;=L219,"ADMIS","REDOUBLE")))))</f>
        <v/>
      </c>
      <c r="N219" s="73" t="str">
        <f aca="false">IF(OR(J219="",E219&lt;&gt;"PRESENT"),"",COUNTIFS($E$10:$E$250,"PRESENT",$J$10:$J$250,"&gt;"&amp;J219)+1)</f>
        <v/>
      </c>
      <c r="O219" s="74" t="str">
        <f aca="false">IF(M219="ADMIS",IF(J219/K219*10&gt;=8,"Très bien",IF(J219/K219*10&gt;=7,"Bien",IF(J219/K219*10&gt;=6,"Assez bien","Passable"))),IF(M219="REDOUBLE","Insuffisant",""))</f>
        <v/>
      </c>
      <c r="P219" s="51" t="str">
        <f aca="false">IFERROR(MATCH("CM2-210",'REGISTRE ELEVES'!$AH$10:$AH$250,0),"")</f>
        <v/>
      </c>
    </row>
    <row r="220" customFormat="false" ht="15" hidden="false" customHeight="false" outlineLevel="0" collapsed="false">
      <c r="A220" s="45" t="str">
        <f aca="false">IF(B220="","",211)</f>
        <v/>
      </c>
      <c r="B220" s="45" t="str">
        <f aca="false">IF($P220="","",INDEX('REGISTRE ELEVES'!$B$10:$B$250,$P220))</f>
        <v/>
      </c>
      <c r="C220" s="74" t="str">
        <f aca="false">IF($P220="","",INDEX('REGISTRE ELEVES'!$D$10:$D$250,$P220))</f>
        <v/>
      </c>
      <c r="D220" s="45" t="str">
        <f aca="false">IF($P220="","",INDEX('REGISTRE ELEVES'!$E$10:$E$250,$P220))</f>
        <v/>
      </c>
      <c r="E220" s="45" t="str">
        <f aca="false">IF($P220="","",INDEX('REGISTRE ELEVES'!$AE$10:$AE$250,$P220))</f>
        <v/>
      </c>
      <c r="F220" s="80" t="str">
        <f aca="false">IF(B220="","",IFERROR(INDEX('NOTES CM2'!$M$10:$M$250,MATCH(B220,'NOTES CM2'!$B$10:$B$250,0)),""))</f>
        <v/>
      </c>
      <c r="G220" s="80" t="str">
        <f aca="false">IF(B220="","",IFERROR(INDEX('NOTES CM2'!$T$10:$T$250,MATCH(B220,'NOTES CM2'!$B$10:$B$250,0)),""))</f>
        <v/>
      </c>
      <c r="H220" s="80" t="str">
        <f aca="false">IF(B220="","",IFERROR(INDEX('NOTES CM2'!$AB$10:$AB$250,MATCH(B220,'NOTES CM2'!$B$10:$B$250,0)),""))</f>
        <v/>
      </c>
      <c r="I220" s="80" t="str">
        <f aca="false">IF(B220="","",IFERROR(INDEX('NOTES CM2'!$AJ$10:$AJ$250,MATCH(B220,'NOTES CM2'!$B$10:$B$250,0)),""))</f>
        <v/>
      </c>
      <c r="J220" s="82" t="str">
        <f aca="false">IF(COUNT(F220:I220)&lt;4,"",ROUND(SUM(F220:I220)/4,2))</f>
        <v/>
      </c>
      <c r="K220" s="83" t="n">
        <f aca="false">INDEX(PARAMETRES!$D$18:$D$23,MATCH("CM2",PARAMETRES!$B$18:$B$23,0))</f>
        <v>20</v>
      </c>
      <c r="L220" s="81" t="n">
        <f aca="false">INDEX(PARAMETRES!$C$18:$C$23,MATCH("CM2",PARAMETRES!$B$18:$B$23,0))</f>
        <v>10</v>
      </c>
      <c r="M220" s="45" t="str">
        <f aca="false">IF(B220="","",IF(E220="ABANDON","ABANDON",IF(E220="TRANSFERE","TRANSFERE",IF(J220="","",IF(J220&gt;=L220,"ADMIS","REDOUBLE")))))</f>
        <v/>
      </c>
      <c r="N220" s="73" t="str">
        <f aca="false">IF(OR(J220="",E220&lt;&gt;"PRESENT"),"",COUNTIFS($E$10:$E$250,"PRESENT",$J$10:$J$250,"&gt;"&amp;J220)+1)</f>
        <v/>
      </c>
      <c r="O220" s="74" t="str">
        <f aca="false">IF(M220="ADMIS",IF(J220/K220*10&gt;=8,"Très bien",IF(J220/K220*10&gt;=7,"Bien",IF(J220/K220*10&gt;=6,"Assez bien","Passable"))),IF(M220="REDOUBLE","Insuffisant",""))</f>
        <v/>
      </c>
      <c r="P220" s="51" t="str">
        <f aca="false">IFERROR(MATCH("CM2-211",'REGISTRE ELEVES'!$AH$10:$AH$250,0),"")</f>
        <v/>
      </c>
    </row>
    <row r="221" customFormat="false" ht="15" hidden="false" customHeight="false" outlineLevel="0" collapsed="false">
      <c r="A221" s="45" t="str">
        <f aca="false">IF(B221="","",212)</f>
        <v/>
      </c>
      <c r="B221" s="45" t="str">
        <f aca="false">IF($P221="","",INDEX('REGISTRE ELEVES'!$B$10:$B$250,$P221))</f>
        <v/>
      </c>
      <c r="C221" s="74" t="str">
        <f aca="false">IF($P221="","",INDEX('REGISTRE ELEVES'!$D$10:$D$250,$P221))</f>
        <v/>
      </c>
      <c r="D221" s="45" t="str">
        <f aca="false">IF($P221="","",INDEX('REGISTRE ELEVES'!$E$10:$E$250,$P221))</f>
        <v/>
      </c>
      <c r="E221" s="45" t="str">
        <f aca="false">IF($P221="","",INDEX('REGISTRE ELEVES'!$AE$10:$AE$250,$P221))</f>
        <v/>
      </c>
      <c r="F221" s="80" t="str">
        <f aca="false">IF(B221="","",IFERROR(INDEX('NOTES CM2'!$M$10:$M$250,MATCH(B221,'NOTES CM2'!$B$10:$B$250,0)),""))</f>
        <v/>
      </c>
      <c r="G221" s="80" t="str">
        <f aca="false">IF(B221="","",IFERROR(INDEX('NOTES CM2'!$T$10:$T$250,MATCH(B221,'NOTES CM2'!$B$10:$B$250,0)),""))</f>
        <v/>
      </c>
      <c r="H221" s="80" t="str">
        <f aca="false">IF(B221="","",IFERROR(INDEX('NOTES CM2'!$AB$10:$AB$250,MATCH(B221,'NOTES CM2'!$B$10:$B$250,0)),""))</f>
        <v/>
      </c>
      <c r="I221" s="80" t="str">
        <f aca="false">IF(B221="","",IFERROR(INDEX('NOTES CM2'!$AJ$10:$AJ$250,MATCH(B221,'NOTES CM2'!$B$10:$B$250,0)),""))</f>
        <v/>
      </c>
      <c r="J221" s="82" t="str">
        <f aca="false">IF(COUNT(F221:I221)&lt;4,"",ROUND(SUM(F221:I221)/4,2))</f>
        <v/>
      </c>
      <c r="K221" s="83" t="n">
        <f aca="false">INDEX(PARAMETRES!$D$18:$D$23,MATCH("CM2",PARAMETRES!$B$18:$B$23,0))</f>
        <v>20</v>
      </c>
      <c r="L221" s="81" t="n">
        <f aca="false">INDEX(PARAMETRES!$C$18:$C$23,MATCH("CM2",PARAMETRES!$B$18:$B$23,0))</f>
        <v>10</v>
      </c>
      <c r="M221" s="45" t="str">
        <f aca="false">IF(B221="","",IF(E221="ABANDON","ABANDON",IF(E221="TRANSFERE","TRANSFERE",IF(J221="","",IF(J221&gt;=L221,"ADMIS","REDOUBLE")))))</f>
        <v/>
      </c>
      <c r="N221" s="73" t="str">
        <f aca="false">IF(OR(J221="",E221&lt;&gt;"PRESENT"),"",COUNTIFS($E$10:$E$250,"PRESENT",$J$10:$J$250,"&gt;"&amp;J221)+1)</f>
        <v/>
      </c>
      <c r="O221" s="74" t="str">
        <f aca="false">IF(M221="ADMIS",IF(J221/K221*10&gt;=8,"Très bien",IF(J221/K221*10&gt;=7,"Bien",IF(J221/K221*10&gt;=6,"Assez bien","Passable"))),IF(M221="REDOUBLE","Insuffisant",""))</f>
        <v/>
      </c>
      <c r="P221" s="51" t="str">
        <f aca="false">IFERROR(MATCH("CM2-212",'REGISTRE ELEVES'!$AH$10:$AH$250,0),"")</f>
        <v/>
      </c>
    </row>
    <row r="222" customFormat="false" ht="15" hidden="false" customHeight="false" outlineLevel="0" collapsed="false">
      <c r="A222" s="45" t="str">
        <f aca="false">IF(B222="","",213)</f>
        <v/>
      </c>
      <c r="B222" s="45" t="str">
        <f aca="false">IF($P222="","",INDEX('REGISTRE ELEVES'!$B$10:$B$250,$P222))</f>
        <v/>
      </c>
      <c r="C222" s="74" t="str">
        <f aca="false">IF($P222="","",INDEX('REGISTRE ELEVES'!$D$10:$D$250,$P222))</f>
        <v/>
      </c>
      <c r="D222" s="45" t="str">
        <f aca="false">IF($P222="","",INDEX('REGISTRE ELEVES'!$E$10:$E$250,$P222))</f>
        <v/>
      </c>
      <c r="E222" s="45" t="str">
        <f aca="false">IF($P222="","",INDEX('REGISTRE ELEVES'!$AE$10:$AE$250,$P222))</f>
        <v/>
      </c>
      <c r="F222" s="80" t="str">
        <f aca="false">IF(B222="","",IFERROR(INDEX('NOTES CM2'!$M$10:$M$250,MATCH(B222,'NOTES CM2'!$B$10:$B$250,0)),""))</f>
        <v/>
      </c>
      <c r="G222" s="80" t="str">
        <f aca="false">IF(B222="","",IFERROR(INDEX('NOTES CM2'!$T$10:$T$250,MATCH(B222,'NOTES CM2'!$B$10:$B$250,0)),""))</f>
        <v/>
      </c>
      <c r="H222" s="80" t="str">
        <f aca="false">IF(B222="","",IFERROR(INDEX('NOTES CM2'!$AB$10:$AB$250,MATCH(B222,'NOTES CM2'!$B$10:$B$250,0)),""))</f>
        <v/>
      </c>
      <c r="I222" s="80" t="str">
        <f aca="false">IF(B222="","",IFERROR(INDEX('NOTES CM2'!$AJ$10:$AJ$250,MATCH(B222,'NOTES CM2'!$B$10:$B$250,0)),""))</f>
        <v/>
      </c>
      <c r="J222" s="82" t="str">
        <f aca="false">IF(COUNT(F222:I222)&lt;4,"",ROUND(SUM(F222:I222)/4,2))</f>
        <v/>
      </c>
      <c r="K222" s="83" t="n">
        <f aca="false">INDEX(PARAMETRES!$D$18:$D$23,MATCH("CM2",PARAMETRES!$B$18:$B$23,0))</f>
        <v>20</v>
      </c>
      <c r="L222" s="81" t="n">
        <f aca="false">INDEX(PARAMETRES!$C$18:$C$23,MATCH("CM2",PARAMETRES!$B$18:$B$23,0))</f>
        <v>10</v>
      </c>
      <c r="M222" s="45" t="str">
        <f aca="false">IF(B222="","",IF(E222="ABANDON","ABANDON",IF(E222="TRANSFERE","TRANSFERE",IF(J222="","",IF(J222&gt;=L222,"ADMIS","REDOUBLE")))))</f>
        <v/>
      </c>
      <c r="N222" s="73" t="str">
        <f aca="false">IF(OR(J222="",E222&lt;&gt;"PRESENT"),"",COUNTIFS($E$10:$E$250,"PRESENT",$J$10:$J$250,"&gt;"&amp;J222)+1)</f>
        <v/>
      </c>
      <c r="O222" s="74" t="str">
        <f aca="false">IF(M222="ADMIS",IF(J222/K222*10&gt;=8,"Très bien",IF(J222/K222*10&gt;=7,"Bien",IF(J222/K222*10&gt;=6,"Assez bien","Passable"))),IF(M222="REDOUBLE","Insuffisant",""))</f>
        <v/>
      </c>
      <c r="P222" s="51" t="str">
        <f aca="false">IFERROR(MATCH("CM2-213",'REGISTRE ELEVES'!$AH$10:$AH$250,0),"")</f>
        <v/>
      </c>
    </row>
    <row r="223" customFormat="false" ht="15" hidden="false" customHeight="false" outlineLevel="0" collapsed="false">
      <c r="A223" s="45" t="str">
        <f aca="false">IF(B223="","",214)</f>
        <v/>
      </c>
      <c r="B223" s="45" t="str">
        <f aca="false">IF($P223="","",INDEX('REGISTRE ELEVES'!$B$10:$B$250,$P223))</f>
        <v/>
      </c>
      <c r="C223" s="74" t="str">
        <f aca="false">IF($P223="","",INDEX('REGISTRE ELEVES'!$D$10:$D$250,$P223))</f>
        <v/>
      </c>
      <c r="D223" s="45" t="str">
        <f aca="false">IF($P223="","",INDEX('REGISTRE ELEVES'!$E$10:$E$250,$P223))</f>
        <v/>
      </c>
      <c r="E223" s="45" t="str">
        <f aca="false">IF($P223="","",INDEX('REGISTRE ELEVES'!$AE$10:$AE$250,$P223))</f>
        <v/>
      </c>
      <c r="F223" s="80" t="str">
        <f aca="false">IF(B223="","",IFERROR(INDEX('NOTES CM2'!$M$10:$M$250,MATCH(B223,'NOTES CM2'!$B$10:$B$250,0)),""))</f>
        <v/>
      </c>
      <c r="G223" s="80" t="str">
        <f aca="false">IF(B223="","",IFERROR(INDEX('NOTES CM2'!$T$10:$T$250,MATCH(B223,'NOTES CM2'!$B$10:$B$250,0)),""))</f>
        <v/>
      </c>
      <c r="H223" s="80" t="str">
        <f aca="false">IF(B223="","",IFERROR(INDEX('NOTES CM2'!$AB$10:$AB$250,MATCH(B223,'NOTES CM2'!$B$10:$B$250,0)),""))</f>
        <v/>
      </c>
      <c r="I223" s="80" t="str">
        <f aca="false">IF(B223="","",IFERROR(INDEX('NOTES CM2'!$AJ$10:$AJ$250,MATCH(B223,'NOTES CM2'!$B$10:$B$250,0)),""))</f>
        <v/>
      </c>
      <c r="J223" s="82" t="str">
        <f aca="false">IF(COUNT(F223:I223)&lt;4,"",ROUND(SUM(F223:I223)/4,2))</f>
        <v/>
      </c>
      <c r="K223" s="83" t="n">
        <f aca="false">INDEX(PARAMETRES!$D$18:$D$23,MATCH("CM2",PARAMETRES!$B$18:$B$23,0))</f>
        <v>20</v>
      </c>
      <c r="L223" s="81" t="n">
        <f aca="false">INDEX(PARAMETRES!$C$18:$C$23,MATCH("CM2",PARAMETRES!$B$18:$B$23,0))</f>
        <v>10</v>
      </c>
      <c r="M223" s="45" t="str">
        <f aca="false">IF(B223="","",IF(E223="ABANDON","ABANDON",IF(E223="TRANSFERE","TRANSFERE",IF(J223="","",IF(J223&gt;=L223,"ADMIS","REDOUBLE")))))</f>
        <v/>
      </c>
      <c r="N223" s="73" t="str">
        <f aca="false">IF(OR(J223="",E223&lt;&gt;"PRESENT"),"",COUNTIFS($E$10:$E$250,"PRESENT",$J$10:$J$250,"&gt;"&amp;J223)+1)</f>
        <v/>
      </c>
      <c r="O223" s="74" t="str">
        <f aca="false">IF(M223="ADMIS",IF(J223/K223*10&gt;=8,"Très bien",IF(J223/K223*10&gt;=7,"Bien",IF(J223/K223*10&gt;=6,"Assez bien","Passable"))),IF(M223="REDOUBLE","Insuffisant",""))</f>
        <v/>
      </c>
      <c r="P223" s="51" t="str">
        <f aca="false">IFERROR(MATCH("CM2-214",'REGISTRE ELEVES'!$AH$10:$AH$250,0),"")</f>
        <v/>
      </c>
    </row>
    <row r="224" customFormat="false" ht="15" hidden="false" customHeight="false" outlineLevel="0" collapsed="false">
      <c r="A224" s="45" t="str">
        <f aca="false">IF(B224="","",215)</f>
        <v/>
      </c>
      <c r="B224" s="45" t="str">
        <f aca="false">IF($P224="","",INDEX('REGISTRE ELEVES'!$B$10:$B$250,$P224))</f>
        <v/>
      </c>
      <c r="C224" s="74" t="str">
        <f aca="false">IF($P224="","",INDEX('REGISTRE ELEVES'!$D$10:$D$250,$P224))</f>
        <v/>
      </c>
      <c r="D224" s="45" t="str">
        <f aca="false">IF($P224="","",INDEX('REGISTRE ELEVES'!$E$10:$E$250,$P224))</f>
        <v/>
      </c>
      <c r="E224" s="45" t="str">
        <f aca="false">IF($P224="","",INDEX('REGISTRE ELEVES'!$AE$10:$AE$250,$P224))</f>
        <v/>
      </c>
      <c r="F224" s="80" t="str">
        <f aca="false">IF(B224="","",IFERROR(INDEX('NOTES CM2'!$M$10:$M$250,MATCH(B224,'NOTES CM2'!$B$10:$B$250,0)),""))</f>
        <v/>
      </c>
      <c r="G224" s="80" t="str">
        <f aca="false">IF(B224="","",IFERROR(INDEX('NOTES CM2'!$T$10:$T$250,MATCH(B224,'NOTES CM2'!$B$10:$B$250,0)),""))</f>
        <v/>
      </c>
      <c r="H224" s="80" t="str">
        <f aca="false">IF(B224="","",IFERROR(INDEX('NOTES CM2'!$AB$10:$AB$250,MATCH(B224,'NOTES CM2'!$B$10:$B$250,0)),""))</f>
        <v/>
      </c>
      <c r="I224" s="80" t="str">
        <f aca="false">IF(B224="","",IFERROR(INDEX('NOTES CM2'!$AJ$10:$AJ$250,MATCH(B224,'NOTES CM2'!$B$10:$B$250,0)),""))</f>
        <v/>
      </c>
      <c r="J224" s="82" t="str">
        <f aca="false">IF(COUNT(F224:I224)&lt;4,"",ROUND(SUM(F224:I224)/4,2))</f>
        <v/>
      </c>
      <c r="K224" s="83" t="n">
        <f aca="false">INDEX(PARAMETRES!$D$18:$D$23,MATCH("CM2",PARAMETRES!$B$18:$B$23,0))</f>
        <v>20</v>
      </c>
      <c r="L224" s="81" t="n">
        <f aca="false">INDEX(PARAMETRES!$C$18:$C$23,MATCH("CM2",PARAMETRES!$B$18:$B$23,0))</f>
        <v>10</v>
      </c>
      <c r="M224" s="45" t="str">
        <f aca="false">IF(B224="","",IF(E224="ABANDON","ABANDON",IF(E224="TRANSFERE","TRANSFERE",IF(J224="","",IF(J224&gt;=L224,"ADMIS","REDOUBLE")))))</f>
        <v/>
      </c>
      <c r="N224" s="73" t="str">
        <f aca="false">IF(OR(J224="",E224&lt;&gt;"PRESENT"),"",COUNTIFS($E$10:$E$250,"PRESENT",$J$10:$J$250,"&gt;"&amp;J224)+1)</f>
        <v/>
      </c>
      <c r="O224" s="74" t="str">
        <f aca="false">IF(M224="ADMIS",IF(J224/K224*10&gt;=8,"Très bien",IF(J224/K224*10&gt;=7,"Bien",IF(J224/K224*10&gt;=6,"Assez bien","Passable"))),IF(M224="REDOUBLE","Insuffisant",""))</f>
        <v/>
      </c>
      <c r="P224" s="51" t="str">
        <f aca="false">IFERROR(MATCH("CM2-215",'REGISTRE ELEVES'!$AH$10:$AH$250,0),"")</f>
        <v/>
      </c>
    </row>
    <row r="225" customFormat="false" ht="15" hidden="false" customHeight="false" outlineLevel="0" collapsed="false">
      <c r="A225" s="45" t="str">
        <f aca="false">IF(B225="","",216)</f>
        <v/>
      </c>
      <c r="B225" s="45" t="str">
        <f aca="false">IF($P225="","",INDEX('REGISTRE ELEVES'!$B$10:$B$250,$P225))</f>
        <v/>
      </c>
      <c r="C225" s="74" t="str">
        <f aca="false">IF($P225="","",INDEX('REGISTRE ELEVES'!$D$10:$D$250,$P225))</f>
        <v/>
      </c>
      <c r="D225" s="45" t="str">
        <f aca="false">IF($P225="","",INDEX('REGISTRE ELEVES'!$E$10:$E$250,$P225))</f>
        <v/>
      </c>
      <c r="E225" s="45" t="str">
        <f aca="false">IF($P225="","",INDEX('REGISTRE ELEVES'!$AE$10:$AE$250,$P225))</f>
        <v/>
      </c>
      <c r="F225" s="80" t="str">
        <f aca="false">IF(B225="","",IFERROR(INDEX('NOTES CM2'!$M$10:$M$250,MATCH(B225,'NOTES CM2'!$B$10:$B$250,0)),""))</f>
        <v/>
      </c>
      <c r="G225" s="80" t="str">
        <f aca="false">IF(B225="","",IFERROR(INDEX('NOTES CM2'!$T$10:$T$250,MATCH(B225,'NOTES CM2'!$B$10:$B$250,0)),""))</f>
        <v/>
      </c>
      <c r="H225" s="80" t="str">
        <f aca="false">IF(B225="","",IFERROR(INDEX('NOTES CM2'!$AB$10:$AB$250,MATCH(B225,'NOTES CM2'!$B$10:$B$250,0)),""))</f>
        <v/>
      </c>
      <c r="I225" s="80" t="str">
        <f aca="false">IF(B225="","",IFERROR(INDEX('NOTES CM2'!$AJ$10:$AJ$250,MATCH(B225,'NOTES CM2'!$B$10:$B$250,0)),""))</f>
        <v/>
      </c>
      <c r="J225" s="82" t="str">
        <f aca="false">IF(COUNT(F225:I225)&lt;4,"",ROUND(SUM(F225:I225)/4,2))</f>
        <v/>
      </c>
      <c r="K225" s="83" t="n">
        <f aca="false">INDEX(PARAMETRES!$D$18:$D$23,MATCH("CM2",PARAMETRES!$B$18:$B$23,0))</f>
        <v>20</v>
      </c>
      <c r="L225" s="81" t="n">
        <f aca="false">INDEX(PARAMETRES!$C$18:$C$23,MATCH("CM2",PARAMETRES!$B$18:$B$23,0))</f>
        <v>10</v>
      </c>
      <c r="M225" s="45" t="str">
        <f aca="false">IF(B225="","",IF(E225="ABANDON","ABANDON",IF(E225="TRANSFERE","TRANSFERE",IF(J225="","",IF(J225&gt;=L225,"ADMIS","REDOUBLE")))))</f>
        <v/>
      </c>
      <c r="N225" s="73" t="str">
        <f aca="false">IF(OR(J225="",E225&lt;&gt;"PRESENT"),"",COUNTIFS($E$10:$E$250,"PRESENT",$J$10:$J$250,"&gt;"&amp;J225)+1)</f>
        <v/>
      </c>
      <c r="O225" s="74" t="str">
        <f aca="false">IF(M225="ADMIS",IF(J225/K225*10&gt;=8,"Très bien",IF(J225/K225*10&gt;=7,"Bien",IF(J225/K225*10&gt;=6,"Assez bien","Passable"))),IF(M225="REDOUBLE","Insuffisant",""))</f>
        <v/>
      </c>
      <c r="P225" s="51" t="str">
        <f aca="false">IFERROR(MATCH("CM2-216",'REGISTRE ELEVES'!$AH$10:$AH$250,0),"")</f>
        <v/>
      </c>
    </row>
    <row r="226" customFormat="false" ht="15" hidden="false" customHeight="false" outlineLevel="0" collapsed="false">
      <c r="A226" s="45" t="str">
        <f aca="false">IF(B226="","",217)</f>
        <v/>
      </c>
      <c r="B226" s="45" t="str">
        <f aca="false">IF($P226="","",INDEX('REGISTRE ELEVES'!$B$10:$B$250,$P226))</f>
        <v/>
      </c>
      <c r="C226" s="74" t="str">
        <f aca="false">IF($P226="","",INDEX('REGISTRE ELEVES'!$D$10:$D$250,$P226))</f>
        <v/>
      </c>
      <c r="D226" s="45" t="str">
        <f aca="false">IF($P226="","",INDEX('REGISTRE ELEVES'!$E$10:$E$250,$P226))</f>
        <v/>
      </c>
      <c r="E226" s="45" t="str">
        <f aca="false">IF($P226="","",INDEX('REGISTRE ELEVES'!$AE$10:$AE$250,$P226))</f>
        <v/>
      </c>
      <c r="F226" s="80" t="str">
        <f aca="false">IF(B226="","",IFERROR(INDEX('NOTES CM2'!$M$10:$M$250,MATCH(B226,'NOTES CM2'!$B$10:$B$250,0)),""))</f>
        <v/>
      </c>
      <c r="G226" s="80" t="str">
        <f aca="false">IF(B226="","",IFERROR(INDEX('NOTES CM2'!$T$10:$T$250,MATCH(B226,'NOTES CM2'!$B$10:$B$250,0)),""))</f>
        <v/>
      </c>
      <c r="H226" s="80" t="str">
        <f aca="false">IF(B226="","",IFERROR(INDEX('NOTES CM2'!$AB$10:$AB$250,MATCH(B226,'NOTES CM2'!$B$10:$B$250,0)),""))</f>
        <v/>
      </c>
      <c r="I226" s="80" t="str">
        <f aca="false">IF(B226="","",IFERROR(INDEX('NOTES CM2'!$AJ$10:$AJ$250,MATCH(B226,'NOTES CM2'!$B$10:$B$250,0)),""))</f>
        <v/>
      </c>
      <c r="J226" s="82" t="str">
        <f aca="false">IF(COUNT(F226:I226)&lt;4,"",ROUND(SUM(F226:I226)/4,2))</f>
        <v/>
      </c>
      <c r="K226" s="83" t="n">
        <f aca="false">INDEX(PARAMETRES!$D$18:$D$23,MATCH("CM2",PARAMETRES!$B$18:$B$23,0))</f>
        <v>20</v>
      </c>
      <c r="L226" s="81" t="n">
        <f aca="false">INDEX(PARAMETRES!$C$18:$C$23,MATCH("CM2",PARAMETRES!$B$18:$B$23,0))</f>
        <v>10</v>
      </c>
      <c r="M226" s="45" t="str">
        <f aca="false">IF(B226="","",IF(E226="ABANDON","ABANDON",IF(E226="TRANSFERE","TRANSFERE",IF(J226="","",IF(J226&gt;=L226,"ADMIS","REDOUBLE")))))</f>
        <v/>
      </c>
      <c r="N226" s="73" t="str">
        <f aca="false">IF(OR(J226="",E226&lt;&gt;"PRESENT"),"",COUNTIFS($E$10:$E$250,"PRESENT",$J$10:$J$250,"&gt;"&amp;J226)+1)</f>
        <v/>
      </c>
      <c r="O226" s="74" t="str">
        <f aca="false">IF(M226="ADMIS",IF(J226/K226*10&gt;=8,"Très bien",IF(J226/K226*10&gt;=7,"Bien",IF(J226/K226*10&gt;=6,"Assez bien","Passable"))),IF(M226="REDOUBLE","Insuffisant",""))</f>
        <v/>
      </c>
      <c r="P226" s="51" t="str">
        <f aca="false">IFERROR(MATCH("CM2-217",'REGISTRE ELEVES'!$AH$10:$AH$250,0),"")</f>
        <v/>
      </c>
    </row>
    <row r="227" customFormat="false" ht="15" hidden="false" customHeight="false" outlineLevel="0" collapsed="false">
      <c r="A227" s="45" t="str">
        <f aca="false">IF(B227="","",218)</f>
        <v/>
      </c>
      <c r="B227" s="45" t="str">
        <f aca="false">IF($P227="","",INDEX('REGISTRE ELEVES'!$B$10:$B$250,$P227))</f>
        <v/>
      </c>
      <c r="C227" s="74" t="str">
        <f aca="false">IF($P227="","",INDEX('REGISTRE ELEVES'!$D$10:$D$250,$P227))</f>
        <v/>
      </c>
      <c r="D227" s="45" t="str">
        <f aca="false">IF($P227="","",INDEX('REGISTRE ELEVES'!$E$10:$E$250,$P227))</f>
        <v/>
      </c>
      <c r="E227" s="45" t="str">
        <f aca="false">IF($P227="","",INDEX('REGISTRE ELEVES'!$AE$10:$AE$250,$P227))</f>
        <v/>
      </c>
      <c r="F227" s="80" t="str">
        <f aca="false">IF(B227="","",IFERROR(INDEX('NOTES CM2'!$M$10:$M$250,MATCH(B227,'NOTES CM2'!$B$10:$B$250,0)),""))</f>
        <v/>
      </c>
      <c r="G227" s="80" t="str">
        <f aca="false">IF(B227="","",IFERROR(INDEX('NOTES CM2'!$T$10:$T$250,MATCH(B227,'NOTES CM2'!$B$10:$B$250,0)),""))</f>
        <v/>
      </c>
      <c r="H227" s="80" t="str">
        <f aca="false">IF(B227="","",IFERROR(INDEX('NOTES CM2'!$AB$10:$AB$250,MATCH(B227,'NOTES CM2'!$B$10:$B$250,0)),""))</f>
        <v/>
      </c>
      <c r="I227" s="80" t="str">
        <f aca="false">IF(B227="","",IFERROR(INDEX('NOTES CM2'!$AJ$10:$AJ$250,MATCH(B227,'NOTES CM2'!$B$10:$B$250,0)),""))</f>
        <v/>
      </c>
      <c r="J227" s="82" t="str">
        <f aca="false">IF(COUNT(F227:I227)&lt;4,"",ROUND(SUM(F227:I227)/4,2))</f>
        <v/>
      </c>
      <c r="K227" s="83" t="n">
        <f aca="false">INDEX(PARAMETRES!$D$18:$D$23,MATCH("CM2",PARAMETRES!$B$18:$B$23,0))</f>
        <v>20</v>
      </c>
      <c r="L227" s="81" t="n">
        <f aca="false">INDEX(PARAMETRES!$C$18:$C$23,MATCH("CM2",PARAMETRES!$B$18:$B$23,0))</f>
        <v>10</v>
      </c>
      <c r="M227" s="45" t="str">
        <f aca="false">IF(B227="","",IF(E227="ABANDON","ABANDON",IF(E227="TRANSFERE","TRANSFERE",IF(J227="","",IF(J227&gt;=L227,"ADMIS","REDOUBLE")))))</f>
        <v/>
      </c>
      <c r="N227" s="73" t="str">
        <f aca="false">IF(OR(J227="",E227&lt;&gt;"PRESENT"),"",COUNTIFS($E$10:$E$250,"PRESENT",$J$10:$J$250,"&gt;"&amp;J227)+1)</f>
        <v/>
      </c>
      <c r="O227" s="74" t="str">
        <f aca="false">IF(M227="ADMIS",IF(J227/K227*10&gt;=8,"Très bien",IF(J227/K227*10&gt;=7,"Bien",IF(J227/K227*10&gt;=6,"Assez bien","Passable"))),IF(M227="REDOUBLE","Insuffisant",""))</f>
        <v/>
      </c>
      <c r="P227" s="51" t="str">
        <f aca="false">IFERROR(MATCH("CM2-218",'REGISTRE ELEVES'!$AH$10:$AH$250,0),"")</f>
        <v/>
      </c>
    </row>
    <row r="228" customFormat="false" ht="15" hidden="false" customHeight="false" outlineLevel="0" collapsed="false">
      <c r="A228" s="45" t="str">
        <f aca="false">IF(B228="","",219)</f>
        <v/>
      </c>
      <c r="B228" s="45" t="str">
        <f aca="false">IF($P228="","",INDEX('REGISTRE ELEVES'!$B$10:$B$250,$P228))</f>
        <v/>
      </c>
      <c r="C228" s="74" t="str">
        <f aca="false">IF($P228="","",INDEX('REGISTRE ELEVES'!$D$10:$D$250,$P228))</f>
        <v/>
      </c>
      <c r="D228" s="45" t="str">
        <f aca="false">IF($P228="","",INDEX('REGISTRE ELEVES'!$E$10:$E$250,$P228))</f>
        <v/>
      </c>
      <c r="E228" s="45" t="str">
        <f aca="false">IF($P228="","",INDEX('REGISTRE ELEVES'!$AE$10:$AE$250,$P228))</f>
        <v/>
      </c>
      <c r="F228" s="80" t="str">
        <f aca="false">IF(B228="","",IFERROR(INDEX('NOTES CM2'!$M$10:$M$250,MATCH(B228,'NOTES CM2'!$B$10:$B$250,0)),""))</f>
        <v/>
      </c>
      <c r="G228" s="80" t="str">
        <f aca="false">IF(B228="","",IFERROR(INDEX('NOTES CM2'!$T$10:$T$250,MATCH(B228,'NOTES CM2'!$B$10:$B$250,0)),""))</f>
        <v/>
      </c>
      <c r="H228" s="80" t="str">
        <f aca="false">IF(B228="","",IFERROR(INDEX('NOTES CM2'!$AB$10:$AB$250,MATCH(B228,'NOTES CM2'!$B$10:$B$250,0)),""))</f>
        <v/>
      </c>
      <c r="I228" s="80" t="str">
        <f aca="false">IF(B228="","",IFERROR(INDEX('NOTES CM2'!$AJ$10:$AJ$250,MATCH(B228,'NOTES CM2'!$B$10:$B$250,0)),""))</f>
        <v/>
      </c>
      <c r="J228" s="82" t="str">
        <f aca="false">IF(COUNT(F228:I228)&lt;4,"",ROUND(SUM(F228:I228)/4,2))</f>
        <v/>
      </c>
      <c r="K228" s="83" t="n">
        <f aca="false">INDEX(PARAMETRES!$D$18:$D$23,MATCH("CM2",PARAMETRES!$B$18:$B$23,0))</f>
        <v>20</v>
      </c>
      <c r="L228" s="81" t="n">
        <f aca="false">INDEX(PARAMETRES!$C$18:$C$23,MATCH("CM2",PARAMETRES!$B$18:$B$23,0))</f>
        <v>10</v>
      </c>
      <c r="M228" s="45" t="str">
        <f aca="false">IF(B228="","",IF(E228="ABANDON","ABANDON",IF(E228="TRANSFERE","TRANSFERE",IF(J228="","",IF(J228&gt;=L228,"ADMIS","REDOUBLE")))))</f>
        <v/>
      </c>
      <c r="N228" s="73" t="str">
        <f aca="false">IF(OR(J228="",E228&lt;&gt;"PRESENT"),"",COUNTIFS($E$10:$E$250,"PRESENT",$J$10:$J$250,"&gt;"&amp;J228)+1)</f>
        <v/>
      </c>
      <c r="O228" s="74" t="str">
        <f aca="false">IF(M228="ADMIS",IF(J228/K228*10&gt;=8,"Très bien",IF(J228/K228*10&gt;=7,"Bien",IF(J228/K228*10&gt;=6,"Assez bien","Passable"))),IF(M228="REDOUBLE","Insuffisant",""))</f>
        <v/>
      </c>
      <c r="P228" s="51" t="str">
        <f aca="false">IFERROR(MATCH("CM2-219",'REGISTRE ELEVES'!$AH$10:$AH$250,0),"")</f>
        <v/>
      </c>
    </row>
    <row r="229" customFormat="false" ht="15" hidden="false" customHeight="false" outlineLevel="0" collapsed="false">
      <c r="A229" s="45" t="str">
        <f aca="false">IF(B229="","",220)</f>
        <v/>
      </c>
      <c r="B229" s="45" t="str">
        <f aca="false">IF($P229="","",INDEX('REGISTRE ELEVES'!$B$10:$B$250,$P229))</f>
        <v/>
      </c>
      <c r="C229" s="74" t="str">
        <f aca="false">IF($P229="","",INDEX('REGISTRE ELEVES'!$D$10:$D$250,$P229))</f>
        <v/>
      </c>
      <c r="D229" s="45" t="str">
        <f aca="false">IF($P229="","",INDEX('REGISTRE ELEVES'!$E$10:$E$250,$P229))</f>
        <v/>
      </c>
      <c r="E229" s="45" t="str">
        <f aca="false">IF($P229="","",INDEX('REGISTRE ELEVES'!$AE$10:$AE$250,$P229))</f>
        <v/>
      </c>
      <c r="F229" s="80" t="str">
        <f aca="false">IF(B229="","",IFERROR(INDEX('NOTES CM2'!$M$10:$M$250,MATCH(B229,'NOTES CM2'!$B$10:$B$250,0)),""))</f>
        <v/>
      </c>
      <c r="G229" s="80" t="str">
        <f aca="false">IF(B229="","",IFERROR(INDEX('NOTES CM2'!$T$10:$T$250,MATCH(B229,'NOTES CM2'!$B$10:$B$250,0)),""))</f>
        <v/>
      </c>
      <c r="H229" s="80" t="str">
        <f aca="false">IF(B229="","",IFERROR(INDEX('NOTES CM2'!$AB$10:$AB$250,MATCH(B229,'NOTES CM2'!$B$10:$B$250,0)),""))</f>
        <v/>
      </c>
      <c r="I229" s="80" t="str">
        <f aca="false">IF(B229="","",IFERROR(INDEX('NOTES CM2'!$AJ$10:$AJ$250,MATCH(B229,'NOTES CM2'!$B$10:$B$250,0)),""))</f>
        <v/>
      </c>
      <c r="J229" s="82" t="str">
        <f aca="false">IF(COUNT(F229:I229)&lt;4,"",ROUND(SUM(F229:I229)/4,2))</f>
        <v/>
      </c>
      <c r="K229" s="83" t="n">
        <f aca="false">INDEX(PARAMETRES!$D$18:$D$23,MATCH("CM2",PARAMETRES!$B$18:$B$23,0))</f>
        <v>20</v>
      </c>
      <c r="L229" s="81" t="n">
        <f aca="false">INDEX(PARAMETRES!$C$18:$C$23,MATCH("CM2",PARAMETRES!$B$18:$B$23,0))</f>
        <v>10</v>
      </c>
      <c r="M229" s="45" t="str">
        <f aca="false">IF(B229="","",IF(E229="ABANDON","ABANDON",IF(E229="TRANSFERE","TRANSFERE",IF(J229="","",IF(J229&gt;=L229,"ADMIS","REDOUBLE")))))</f>
        <v/>
      </c>
      <c r="N229" s="73" t="str">
        <f aca="false">IF(OR(J229="",E229&lt;&gt;"PRESENT"),"",COUNTIFS($E$10:$E$250,"PRESENT",$J$10:$J$250,"&gt;"&amp;J229)+1)</f>
        <v/>
      </c>
      <c r="O229" s="74" t="str">
        <f aca="false">IF(M229="ADMIS",IF(J229/K229*10&gt;=8,"Très bien",IF(J229/K229*10&gt;=7,"Bien",IF(J229/K229*10&gt;=6,"Assez bien","Passable"))),IF(M229="REDOUBLE","Insuffisant",""))</f>
        <v/>
      </c>
      <c r="P229" s="51" t="str">
        <f aca="false">IFERROR(MATCH("CM2-220",'REGISTRE ELEVES'!$AH$10:$AH$250,0),"")</f>
        <v/>
      </c>
    </row>
    <row r="230" customFormat="false" ht="15" hidden="false" customHeight="false" outlineLevel="0" collapsed="false">
      <c r="A230" s="45" t="str">
        <f aca="false">IF(B230="","",221)</f>
        <v/>
      </c>
      <c r="B230" s="45" t="str">
        <f aca="false">IF($P230="","",INDEX('REGISTRE ELEVES'!$B$10:$B$250,$P230))</f>
        <v/>
      </c>
      <c r="C230" s="74" t="str">
        <f aca="false">IF($P230="","",INDEX('REGISTRE ELEVES'!$D$10:$D$250,$P230))</f>
        <v/>
      </c>
      <c r="D230" s="45" t="str">
        <f aca="false">IF($P230="","",INDEX('REGISTRE ELEVES'!$E$10:$E$250,$P230))</f>
        <v/>
      </c>
      <c r="E230" s="45" t="str">
        <f aca="false">IF($P230="","",INDEX('REGISTRE ELEVES'!$AE$10:$AE$250,$P230))</f>
        <v/>
      </c>
      <c r="F230" s="80" t="str">
        <f aca="false">IF(B230="","",IFERROR(INDEX('NOTES CM2'!$M$10:$M$250,MATCH(B230,'NOTES CM2'!$B$10:$B$250,0)),""))</f>
        <v/>
      </c>
      <c r="G230" s="80" t="str">
        <f aca="false">IF(B230="","",IFERROR(INDEX('NOTES CM2'!$T$10:$T$250,MATCH(B230,'NOTES CM2'!$B$10:$B$250,0)),""))</f>
        <v/>
      </c>
      <c r="H230" s="80" t="str">
        <f aca="false">IF(B230="","",IFERROR(INDEX('NOTES CM2'!$AB$10:$AB$250,MATCH(B230,'NOTES CM2'!$B$10:$B$250,0)),""))</f>
        <v/>
      </c>
      <c r="I230" s="80" t="str">
        <f aca="false">IF(B230="","",IFERROR(INDEX('NOTES CM2'!$AJ$10:$AJ$250,MATCH(B230,'NOTES CM2'!$B$10:$B$250,0)),""))</f>
        <v/>
      </c>
      <c r="J230" s="82" t="str">
        <f aca="false">IF(COUNT(F230:I230)&lt;4,"",ROUND(SUM(F230:I230)/4,2))</f>
        <v/>
      </c>
      <c r="K230" s="83" t="n">
        <f aca="false">INDEX(PARAMETRES!$D$18:$D$23,MATCH("CM2",PARAMETRES!$B$18:$B$23,0))</f>
        <v>20</v>
      </c>
      <c r="L230" s="81" t="n">
        <f aca="false">INDEX(PARAMETRES!$C$18:$C$23,MATCH("CM2",PARAMETRES!$B$18:$B$23,0))</f>
        <v>10</v>
      </c>
      <c r="M230" s="45" t="str">
        <f aca="false">IF(B230="","",IF(E230="ABANDON","ABANDON",IF(E230="TRANSFERE","TRANSFERE",IF(J230="","",IF(J230&gt;=L230,"ADMIS","REDOUBLE")))))</f>
        <v/>
      </c>
      <c r="N230" s="73" t="str">
        <f aca="false">IF(OR(J230="",E230&lt;&gt;"PRESENT"),"",COUNTIFS($E$10:$E$250,"PRESENT",$J$10:$J$250,"&gt;"&amp;J230)+1)</f>
        <v/>
      </c>
      <c r="O230" s="74" t="str">
        <f aca="false">IF(M230="ADMIS",IF(J230/K230*10&gt;=8,"Très bien",IF(J230/K230*10&gt;=7,"Bien",IF(J230/K230*10&gt;=6,"Assez bien","Passable"))),IF(M230="REDOUBLE","Insuffisant",""))</f>
        <v/>
      </c>
      <c r="P230" s="51" t="str">
        <f aca="false">IFERROR(MATCH("CM2-221",'REGISTRE ELEVES'!$AH$10:$AH$250,0),"")</f>
        <v/>
      </c>
    </row>
    <row r="231" customFormat="false" ht="15" hidden="false" customHeight="false" outlineLevel="0" collapsed="false">
      <c r="A231" s="45" t="str">
        <f aca="false">IF(B231="","",222)</f>
        <v/>
      </c>
      <c r="B231" s="45" t="str">
        <f aca="false">IF($P231="","",INDEX('REGISTRE ELEVES'!$B$10:$B$250,$P231))</f>
        <v/>
      </c>
      <c r="C231" s="74" t="str">
        <f aca="false">IF($P231="","",INDEX('REGISTRE ELEVES'!$D$10:$D$250,$P231))</f>
        <v/>
      </c>
      <c r="D231" s="45" t="str">
        <f aca="false">IF($P231="","",INDEX('REGISTRE ELEVES'!$E$10:$E$250,$P231))</f>
        <v/>
      </c>
      <c r="E231" s="45" t="str">
        <f aca="false">IF($P231="","",INDEX('REGISTRE ELEVES'!$AE$10:$AE$250,$P231))</f>
        <v/>
      </c>
      <c r="F231" s="80" t="str">
        <f aca="false">IF(B231="","",IFERROR(INDEX('NOTES CM2'!$M$10:$M$250,MATCH(B231,'NOTES CM2'!$B$10:$B$250,0)),""))</f>
        <v/>
      </c>
      <c r="G231" s="80" t="str">
        <f aca="false">IF(B231="","",IFERROR(INDEX('NOTES CM2'!$T$10:$T$250,MATCH(B231,'NOTES CM2'!$B$10:$B$250,0)),""))</f>
        <v/>
      </c>
      <c r="H231" s="80" t="str">
        <f aca="false">IF(B231="","",IFERROR(INDEX('NOTES CM2'!$AB$10:$AB$250,MATCH(B231,'NOTES CM2'!$B$10:$B$250,0)),""))</f>
        <v/>
      </c>
      <c r="I231" s="80" t="str">
        <f aca="false">IF(B231="","",IFERROR(INDEX('NOTES CM2'!$AJ$10:$AJ$250,MATCH(B231,'NOTES CM2'!$B$10:$B$250,0)),""))</f>
        <v/>
      </c>
      <c r="J231" s="82" t="str">
        <f aca="false">IF(COUNT(F231:I231)&lt;4,"",ROUND(SUM(F231:I231)/4,2))</f>
        <v/>
      </c>
      <c r="K231" s="83" t="n">
        <f aca="false">INDEX(PARAMETRES!$D$18:$D$23,MATCH("CM2",PARAMETRES!$B$18:$B$23,0))</f>
        <v>20</v>
      </c>
      <c r="L231" s="81" t="n">
        <f aca="false">INDEX(PARAMETRES!$C$18:$C$23,MATCH("CM2",PARAMETRES!$B$18:$B$23,0))</f>
        <v>10</v>
      </c>
      <c r="M231" s="45" t="str">
        <f aca="false">IF(B231="","",IF(E231="ABANDON","ABANDON",IF(E231="TRANSFERE","TRANSFERE",IF(J231="","",IF(J231&gt;=L231,"ADMIS","REDOUBLE")))))</f>
        <v/>
      </c>
      <c r="N231" s="73" t="str">
        <f aca="false">IF(OR(J231="",E231&lt;&gt;"PRESENT"),"",COUNTIFS($E$10:$E$250,"PRESENT",$J$10:$J$250,"&gt;"&amp;J231)+1)</f>
        <v/>
      </c>
      <c r="O231" s="74" t="str">
        <f aca="false">IF(M231="ADMIS",IF(J231/K231*10&gt;=8,"Très bien",IF(J231/K231*10&gt;=7,"Bien",IF(J231/K231*10&gt;=6,"Assez bien","Passable"))),IF(M231="REDOUBLE","Insuffisant",""))</f>
        <v/>
      </c>
      <c r="P231" s="51" t="str">
        <f aca="false">IFERROR(MATCH("CM2-222",'REGISTRE ELEVES'!$AH$10:$AH$250,0),"")</f>
        <v/>
      </c>
    </row>
    <row r="232" customFormat="false" ht="15" hidden="false" customHeight="false" outlineLevel="0" collapsed="false">
      <c r="A232" s="45" t="str">
        <f aca="false">IF(B232="","",223)</f>
        <v/>
      </c>
      <c r="B232" s="45" t="str">
        <f aca="false">IF($P232="","",INDEX('REGISTRE ELEVES'!$B$10:$B$250,$P232))</f>
        <v/>
      </c>
      <c r="C232" s="74" t="str">
        <f aca="false">IF($P232="","",INDEX('REGISTRE ELEVES'!$D$10:$D$250,$P232))</f>
        <v/>
      </c>
      <c r="D232" s="45" t="str">
        <f aca="false">IF($P232="","",INDEX('REGISTRE ELEVES'!$E$10:$E$250,$P232))</f>
        <v/>
      </c>
      <c r="E232" s="45" t="str">
        <f aca="false">IF($P232="","",INDEX('REGISTRE ELEVES'!$AE$10:$AE$250,$P232))</f>
        <v/>
      </c>
      <c r="F232" s="80" t="str">
        <f aca="false">IF(B232="","",IFERROR(INDEX('NOTES CM2'!$M$10:$M$250,MATCH(B232,'NOTES CM2'!$B$10:$B$250,0)),""))</f>
        <v/>
      </c>
      <c r="G232" s="80" t="str">
        <f aca="false">IF(B232="","",IFERROR(INDEX('NOTES CM2'!$T$10:$T$250,MATCH(B232,'NOTES CM2'!$B$10:$B$250,0)),""))</f>
        <v/>
      </c>
      <c r="H232" s="80" t="str">
        <f aca="false">IF(B232="","",IFERROR(INDEX('NOTES CM2'!$AB$10:$AB$250,MATCH(B232,'NOTES CM2'!$B$10:$B$250,0)),""))</f>
        <v/>
      </c>
      <c r="I232" s="80" t="str">
        <f aca="false">IF(B232="","",IFERROR(INDEX('NOTES CM2'!$AJ$10:$AJ$250,MATCH(B232,'NOTES CM2'!$B$10:$B$250,0)),""))</f>
        <v/>
      </c>
      <c r="J232" s="82" t="str">
        <f aca="false">IF(COUNT(F232:I232)&lt;4,"",ROUND(SUM(F232:I232)/4,2))</f>
        <v/>
      </c>
      <c r="K232" s="83" t="n">
        <f aca="false">INDEX(PARAMETRES!$D$18:$D$23,MATCH("CM2",PARAMETRES!$B$18:$B$23,0))</f>
        <v>20</v>
      </c>
      <c r="L232" s="81" t="n">
        <f aca="false">INDEX(PARAMETRES!$C$18:$C$23,MATCH("CM2",PARAMETRES!$B$18:$B$23,0))</f>
        <v>10</v>
      </c>
      <c r="M232" s="45" t="str">
        <f aca="false">IF(B232="","",IF(E232="ABANDON","ABANDON",IF(E232="TRANSFERE","TRANSFERE",IF(J232="","",IF(J232&gt;=L232,"ADMIS","REDOUBLE")))))</f>
        <v/>
      </c>
      <c r="N232" s="73" t="str">
        <f aca="false">IF(OR(J232="",E232&lt;&gt;"PRESENT"),"",COUNTIFS($E$10:$E$250,"PRESENT",$J$10:$J$250,"&gt;"&amp;J232)+1)</f>
        <v/>
      </c>
      <c r="O232" s="74" t="str">
        <f aca="false">IF(M232="ADMIS",IF(J232/K232*10&gt;=8,"Très bien",IF(J232/K232*10&gt;=7,"Bien",IF(J232/K232*10&gt;=6,"Assez bien","Passable"))),IF(M232="REDOUBLE","Insuffisant",""))</f>
        <v/>
      </c>
      <c r="P232" s="51" t="str">
        <f aca="false">IFERROR(MATCH("CM2-223",'REGISTRE ELEVES'!$AH$10:$AH$250,0),"")</f>
        <v/>
      </c>
    </row>
    <row r="233" customFormat="false" ht="15" hidden="false" customHeight="false" outlineLevel="0" collapsed="false">
      <c r="A233" s="45" t="str">
        <f aca="false">IF(B233="","",224)</f>
        <v/>
      </c>
      <c r="B233" s="45" t="str">
        <f aca="false">IF($P233="","",INDEX('REGISTRE ELEVES'!$B$10:$B$250,$P233))</f>
        <v/>
      </c>
      <c r="C233" s="74" t="str">
        <f aca="false">IF($P233="","",INDEX('REGISTRE ELEVES'!$D$10:$D$250,$P233))</f>
        <v/>
      </c>
      <c r="D233" s="45" t="str">
        <f aca="false">IF($P233="","",INDEX('REGISTRE ELEVES'!$E$10:$E$250,$P233))</f>
        <v/>
      </c>
      <c r="E233" s="45" t="str">
        <f aca="false">IF($P233="","",INDEX('REGISTRE ELEVES'!$AE$10:$AE$250,$P233))</f>
        <v/>
      </c>
      <c r="F233" s="80" t="str">
        <f aca="false">IF(B233="","",IFERROR(INDEX('NOTES CM2'!$M$10:$M$250,MATCH(B233,'NOTES CM2'!$B$10:$B$250,0)),""))</f>
        <v/>
      </c>
      <c r="G233" s="80" t="str">
        <f aca="false">IF(B233="","",IFERROR(INDEX('NOTES CM2'!$T$10:$T$250,MATCH(B233,'NOTES CM2'!$B$10:$B$250,0)),""))</f>
        <v/>
      </c>
      <c r="H233" s="80" t="str">
        <f aca="false">IF(B233="","",IFERROR(INDEX('NOTES CM2'!$AB$10:$AB$250,MATCH(B233,'NOTES CM2'!$B$10:$B$250,0)),""))</f>
        <v/>
      </c>
      <c r="I233" s="80" t="str">
        <f aca="false">IF(B233="","",IFERROR(INDEX('NOTES CM2'!$AJ$10:$AJ$250,MATCH(B233,'NOTES CM2'!$B$10:$B$250,0)),""))</f>
        <v/>
      </c>
      <c r="J233" s="82" t="str">
        <f aca="false">IF(COUNT(F233:I233)&lt;4,"",ROUND(SUM(F233:I233)/4,2))</f>
        <v/>
      </c>
      <c r="K233" s="83" t="n">
        <f aca="false">INDEX(PARAMETRES!$D$18:$D$23,MATCH("CM2",PARAMETRES!$B$18:$B$23,0))</f>
        <v>20</v>
      </c>
      <c r="L233" s="81" t="n">
        <f aca="false">INDEX(PARAMETRES!$C$18:$C$23,MATCH("CM2",PARAMETRES!$B$18:$B$23,0))</f>
        <v>10</v>
      </c>
      <c r="M233" s="45" t="str">
        <f aca="false">IF(B233="","",IF(E233="ABANDON","ABANDON",IF(E233="TRANSFERE","TRANSFERE",IF(J233="","",IF(J233&gt;=L233,"ADMIS","REDOUBLE")))))</f>
        <v/>
      </c>
      <c r="N233" s="73" t="str">
        <f aca="false">IF(OR(J233="",E233&lt;&gt;"PRESENT"),"",COUNTIFS($E$10:$E$250,"PRESENT",$J$10:$J$250,"&gt;"&amp;J233)+1)</f>
        <v/>
      </c>
      <c r="O233" s="74" t="str">
        <f aca="false">IF(M233="ADMIS",IF(J233/K233*10&gt;=8,"Très bien",IF(J233/K233*10&gt;=7,"Bien",IF(J233/K233*10&gt;=6,"Assez bien","Passable"))),IF(M233="REDOUBLE","Insuffisant",""))</f>
        <v/>
      </c>
      <c r="P233" s="51" t="str">
        <f aca="false">IFERROR(MATCH("CM2-224",'REGISTRE ELEVES'!$AH$10:$AH$250,0),"")</f>
        <v/>
      </c>
    </row>
    <row r="234" customFormat="false" ht="15" hidden="false" customHeight="false" outlineLevel="0" collapsed="false">
      <c r="A234" s="45" t="str">
        <f aca="false">IF(B234="","",225)</f>
        <v/>
      </c>
      <c r="B234" s="45" t="str">
        <f aca="false">IF($P234="","",INDEX('REGISTRE ELEVES'!$B$10:$B$250,$P234))</f>
        <v/>
      </c>
      <c r="C234" s="74" t="str">
        <f aca="false">IF($P234="","",INDEX('REGISTRE ELEVES'!$D$10:$D$250,$P234))</f>
        <v/>
      </c>
      <c r="D234" s="45" t="str">
        <f aca="false">IF($P234="","",INDEX('REGISTRE ELEVES'!$E$10:$E$250,$P234))</f>
        <v/>
      </c>
      <c r="E234" s="45" t="str">
        <f aca="false">IF($P234="","",INDEX('REGISTRE ELEVES'!$AE$10:$AE$250,$P234))</f>
        <v/>
      </c>
      <c r="F234" s="80" t="str">
        <f aca="false">IF(B234="","",IFERROR(INDEX('NOTES CM2'!$M$10:$M$250,MATCH(B234,'NOTES CM2'!$B$10:$B$250,0)),""))</f>
        <v/>
      </c>
      <c r="G234" s="80" t="str">
        <f aca="false">IF(B234="","",IFERROR(INDEX('NOTES CM2'!$T$10:$T$250,MATCH(B234,'NOTES CM2'!$B$10:$B$250,0)),""))</f>
        <v/>
      </c>
      <c r="H234" s="80" t="str">
        <f aca="false">IF(B234="","",IFERROR(INDEX('NOTES CM2'!$AB$10:$AB$250,MATCH(B234,'NOTES CM2'!$B$10:$B$250,0)),""))</f>
        <v/>
      </c>
      <c r="I234" s="80" t="str">
        <f aca="false">IF(B234="","",IFERROR(INDEX('NOTES CM2'!$AJ$10:$AJ$250,MATCH(B234,'NOTES CM2'!$B$10:$B$250,0)),""))</f>
        <v/>
      </c>
      <c r="J234" s="82" t="str">
        <f aca="false">IF(COUNT(F234:I234)&lt;4,"",ROUND(SUM(F234:I234)/4,2))</f>
        <v/>
      </c>
      <c r="K234" s="83" t="n">
        <f aca="false">INDEX(PARAMETRES!$D$18:$D$23,MATCH("CM2",PARAMETRES!$B$18:$B$23,0))</f>
        <v>20</v>
      </c>
      <c r="L234" s="81" t="n">
        <f aca="false">INDEX(PARAMETRES!$C$18:$C$23,MATCH("CM2",PARAMETRES!$B$18:$B$23,0))</f>
        <v>10</v>
      </c>
      <c r="M234" s="45" t="str">
        <f aca="false">IF(B234="","",IF(E234="ABANDON","ABANDON",IF(E234="TRANSFERE","TRANSFERE",IF(J234="","",IF(J234&gt;=L234,"ADMIS","REDOUBLE")))))</f>
        <v/>
      </c>
      <c r="N234" s="73" t="str">
        <f aca="false">IF(OR(J234="",E234&lt;&gt;"PRESENT"),"",COUNTIFS($E$10:$E$250,"PRESENT",$J$10:$J$250,"&gt;"&amp;J234)+1)</f>
        <v/>
      </c>
      <c r="O234" s="74" t="str">
        <f aca="false">IF(M234="ADMIS",IF(J234/K234*10&gt;=8,"Très bien",IF(J234/K234*10&gt;=7,"Bien",IF(J234/K234*10&gt;=6,"Assez bien","Passable"))),IF(M234="REDOUBLE","Insuffisant",""))</f>
        <v/>
      </c>
      <c r="P234" s="51" t="str">
        <f aca="false">IFERROR(MATCH("CM2-225",'REGISTRE ELEVES'!$AH$10:$AH$250,0),"")</f>
        <v/>
      </c>
    </row>
    <row r="235" customFormat="false" ht="15" hidden="false" customHeight="false" outlineLevel="0" collapsed="false">
      <c r="A235" s="45" t="str">
        <f aca="false">IF(B235="","",226)</f>
        <v/>
      </c>
      <c r="B235" s="45" t="str">
        <f aca="false">IF($P235="","",INDEX('REGISTRE ELEVES'!$B$10:$B$250,$P235))</f>
        <v/>
      </c>
      <c r="C235" s="74" t="str">
        <f aca="false">IF($P235="","",INDEX('REGISTRE ELEVES'!$D$10:$D$250,$P235))</f>
        <v/>
      </c>
      <c r="D235" s="45" t="str">
        <f aca="false">IF($P235="","",INDEX('REGISTRE ELEVES'!$E$10:$E$250,$P235))</f>
        <v/>
      </c>
      <c r="E235" s="45" t="str">
        <f aca="false">IF($P235="","",INDEX('REGISTRE ELEVES'!$AE$10:$AE$250,$P235))</f>
        <v/>
      </c>
      <c r="F235" s="80" t="str">
        <f aca="false">IF(B235="","",IFERROR(INDEX('NOTES CM2'!$M$10:$M$250,MATCH(B235,'NOTES CM2'!$B$10:$B$250,0)),""))</f>
        <v/>
      </c>
      <c r="G235" s="80" t="str">
        <f aca="false">IF(B235="","",IFERROR(INDEX('NOTES CM2'!$T$10:$T$250,MATCH(B235,'NOTES CM2'!$B$10:$B$250,0)),""))</f>
        <v/>
      </c>
      <c r="H235" s="80" t="str">
        <f aca="false">IF(B235="","",IFERROR(INDEX('NOTES CM2'!$AB$10:$AB$250,MATCH(B235,'NOTES CM2'!$B$10:$B$250,0)),""))</f>
        <v/>
      </c>
      <c r="I235" s="80" t="str">
        <f aca="false">IF(B235="","",IFERROR(INDEX('NOTES CM2'!$AJ$10:$AJ$250,MATCH(B235,'NOTES CM2'!$B$10:$B$250,0)),""))</f>
        <v/>
      </c>
      <c r="J235" s="82" t="str">
        <f aca="false">IF(COUNT(F235:I235)&lt;4,"",ROUND(SUM(F235:I235)/4,2))</f>
        <v/>
      </c>
      <c r="K235" s="83" t="n">
        <f aca="false">INDEX(PARAMETRES!$D$18:$D$23,MATCH("CM2",PARAMETRES!$B$18:$B$23,0))</f>
        <v>20</v>
      </c>
      <c r="L235" s="81" t="n">
        <f aca="false">INDEX(PARAMETRES!$C$18:$C$23,MATCH("CM2",PARAMETRES!$B$18:$B$23,0))</f>
        <v>10</v>
      </c>
      <c r="M235" s="45" t="str">
        <f aca="false">IF(B235="","",IF(E235="ABANDON","ABANDON",IF(E235="TRANSFERE","TRANSFERE",IF(J235="","",IF(J235&gt;=L235,"ADMIS","REDOUBLE")))))</f>
        <v/>
      </c>
      <c r="N235" s="73" t="str">
        <f aca="false">IF(OR(J235="",E235&lt;&gt;"PRESENT"),"",COUNTIFS($E$10:$E$250,"PRESENT",$J$10:$J$250,"&gt;"&amp;J235)+1)</f>
        <v/>
      </c>
      <c r="O235" s="74" t="str">
        <f aca="false">IF(M235="ADMIS",IF(J235/K235*10&gt;=8,"Très bien",IF(J235/K235*10&gt;=7,"Bien",IF(J235/K235*10&gt;=6,"Assez bien","Passable"))),IF(M235="REDOUBLE","Insuffisant",""))</f>
        <v/>
      </c>
      <c r="P235" s="51" t="str">
        <f aca="false">IFERROR(MATCH("CM2-226",'REGISTRE ELEVES'!$AH$10:$AH$250,0),"")</f>
        <v/>
      </c>
    </row>
    <row r="236" customFormat="false" ht="15" hidden="false" customHeight="false" outlineLevel="0" collapsed="false">
      <c r="A236" s="45" t="str">
        <f aca="false">IF(B236="","",227)</f>
        <v/>
      </c>
      <c r="B236" s="45" t="str">
        <f aca="false">IF($P236="","",INDEX('REGISTRE ELEVES'!$B$10:$B$250,$P236))</f>
        <v/>
      </c>
      <c r="C236" s="74" t="str">
        <f aca="false">IF($P236="","",INDEX('REGISTRE ELEVES'!$D$10:$D$250,$P236))</f>
        <v/>
      </c>
      <c r="D236" s="45" t="str">
        <f aca="false">IF($P236="","",INDEX('REGISTRE ELEVES'!$E$10:$E$250,$P236))</f>
        <v/>
      </c>
      <c r="E236" s="45" t="str">
        <f aca="false">IF($P236="","",INDEX('REGISTRE ELEVES'!$AE$10:$AE$250,$P236))</f>
        <v/>
      </c>
      <c r="F236" s="80" t="str">
        <f aca="false">IF(B236="","",IFERROR(INDEX('NOTES CM2'!$M$10:$M$250,MATCH(B236,'NOTES CM2'!$B$10:$B$250,0)),""))</f>
        <v/>
      </c>
      <c r="G236" s="80" t="str">
        <f aca="false">IF(B236="","",IFERROR(INDEX('NOTES CM2'!$T$10:$T$250,MATCH(B236,'NOTES CM2'!$B$10:$B$250,0)),""))</f>
        <v/>
      </c>
      <c r="H236" s="80" t="str">
        <f aca="false">IF(B236="","",IFERROR(INDEX('NOTES CM2'!$AB$10:$AB$250,MATCH(B236,'NOTES CM2'!$B$10:$B$250,0)),""))</f>
        <v/>
      </c>
      <c r="I236" s="80" t="str">
        <f aca="false">IF(B236="","",IFERROR(INDEX('NOTES CM2'!$AJ$10:$AJ$250,MATCH(B236,'NOTES CM2'!$B$10:$B$250,0)),""))</f>
        <v/>
      </c>
      <c r="J236" s="82" t="str">
        <f aca="false">IF(COUNT(F236:I236)&lt;4,"",ROUND(SUM(F236:I236)/4,2))</f>
        <v/>
      </c>
      <c r="K236" s="83" t="n">
        <f aca="false">INDEX(PARAMETRES!$D$18:$D$23,MATCH("CM2",PARAMETRES!$B$18:$B$23,0))</f>
        <v>20</v>
      </c>
      <c r="L236" s="81" t="n">
        <f aca="false">INDEX(PARAMETRES!$C$18:$C$23,MATCH("CM2",PARAMETRES!$B$18:$B$23,0))</f>
        <v>10</v>
      </c>
      <c r="M236" s="45" t="str">
        <f aca="false">IF(B236="","",IF(E236="ABANDON","ABANDON",IF(E236="TRANSFERE","TRANSFERE",IF(J236="","",IF(J236&gt;=L236,"ADMIS","REDOUBLE")))))</f>
        <v/>
      </c>
      <c r="N236" s="73" t="str">
        <f aca="false">IF(OR(J236="",E236&lt;&gt;"PRESENT"),"",COUNTIFS($E$10:$E$250,"PRESENT",$J$10:$J$250,"&gt;"&amp;J236)+1)</f>
        <v/>
      </c>
      <c r="O236" s="74" t="str">
        <f aca="false">IF(M236="ADMIS",IF(J236/K236*10&gt;=8,"Très bien",IF(J236/K236*10&gt;=7,"Bien",IF(J236/K236*10&gt;=6,"Assez bien","Passable"))),IF(M236="REDOUBLE","Insuffisant",""))</f>
        <v/>
      </c>
      <c r="P236" s="51" t="str">
        <f aca="false">IFERROR(MATCH("CM2-227",'REGISTRE ELEVES'!$AH$10:$AH$250,0),"")</f>
        <v/>
      </c>
    </row>
    <row r="237" customFormat="false" ht="15" hidden="false" customHeight="false" outlineLevel="0" collapsed="false">
      <c r="A237" s="45" t="str">
        <f aca="false">IF(B237="","",228)</f>
        <v/>
      </c>
      <c r="B237" s="45" t="str">
        <f aca="false">IF($P237="","",INDEX('REGISTRE ELEVES'!$B$10:$B$250,$P237))</f>
        <v/>
      </c>
      <c r="C237" s="74" t="str">
        <f aca="false">IF($P237="","",INDEX('REGISTRE ELEVES'!$D$10:$D$250,$P237))</f>
        <v/>
      </c>
      <c r="D237" s="45" t="str">
        <f aca="false">IF($P237="","",INDEX('REGISTRE ELEVES'!$E$10:$E$250,$P237))</f>
        <v/>
      </c>
      <c r="E237" s="45" t="str">
        <f aca="false">IF($P237="","",INDEX('REGISTRE ELEVES'!$AE$10:$AE$250,$P237))</f>
        <v/>
      </c>
      <c r="F237" s="80" t="str">
        <f aca="false">IF(B237="","",IFERROR(INDEX('NOTES CM2'!$M$10:$M$250,MATCH(B237,'NOTES CM2'!$B$10:$B$250,0)),""))</f>
        <v/>
      </c>
      <c r="G237" s="80" t="str">
        <f aca="false">IF(B237="","",IFERROR(INDEX('NOTES CM2'!$T$10:$T$250,MATCH(B237,'NOTES CM2'!$B$10:$B$250,0)),""))</f>
        <v/>
      </c>
      <c r="H237" s="80" t="str">
        <f aca="false">IF(B237="","",IFERROR(INDEX('NOTES CM2'!$AB$10:$AB$250,MATCH(B237,'NOTES CM2'!$B$10:$B$250,0)),""))</f>
        <v/>
      </c>
      <c r="I237" s="80" t="str">
        <f aca="false">IF(B237="","",IFERROR(INDEX('NOTES CM2'!$AJ$10:$AJ$250,MATCH(B237,'NOTES CM2'!$B$10:$B$250,0)),""))</f>
        <v/>
      </c>
      <c r="J237" s="82" t="str">
        <f aca="false">IF(COUNT(F237:I237)&lt;4,"",ROUND(SUM(F237:I237)/4,2))</f>
        <v/>
      </c>
      <c r="K237" s="83" t="n">
        <f aca="false">INDEX(PARAMETRES!$D$18:$D$23,MATCH("CM2",PARAMETRES!$B$18:$B$23,0))</f>
        <v>20</v>
      </c>
      <c r="L237" s="81" t="n">
        <f aca="false">INDEX(PARAMETRES!$C$18:$C$23,MATCH("CM2",PARAMETRES!$B$18:$B$23,0))</f>
        <v>10</v>
      </c>
      <c r="M237" s="45" t="str">
        <f aca="false">IF(B237="","",IF(E237="ABANDON","ABANDON",IF(E237="TRANSFERE","TRANSFERE",IF(J237="","",IF(J237&gt;=L237,"ADMIS","REDOUBLE")))))</f>
        <v/>
      </c>
      <c r="N237" s="73" t="str">
        <f aca="false">IF(OR(J237="",E237&lt;&gt;"PRESENT"),"",COUNTIFS($E$10:$E$250,"PRESENT",$J$10:$J$250,"&gt;"&amp;J237)+1)</f>
        <v/>
      </c>
      <c r="O237" s="74" t="str">
        <f aca="false">IF(M237="ADMIS",IF(J237/K237*10&gt;=8,"Très bien",IF(J237/K237*10&gt;=7,"Bien",IF(J237/K237*10&gt;=6,"Assez bien","Passable"))),IF(M237="REDOUBLE","Insuffisant",""))</f>
        <v/>
      </c>
      <c r="P237" s="51" t="str">
        <f aca="false">IFERROR(MATCH("CM2-228",'REGISTRE ELEVES'!$AH$10:$AH$250,0),"")</f>
        <v/>
      </c>
    </row>
    <row r="238" customFormat="false" ht="15" hidden="false" customHeight="false" outlineLevel="0" collapsed="false">
      <c r="A238" s="45" t="str">
        <f aca="false">IF(B238="","",229)</f>
        <v/>
      </c>
      <c r="B238" s="45" t="str">
        <f aca="false">IF($P238="","",INDEX('REGISTRE ELEVES'!$B$10:$B$250,$P238))</f>
        <v/>
      </c>
      <c r="C238" s="74" t="str">
        <f aca="false">IF($P238="","",INDEX('REGISTRE ELEVES'!$D$10:$D$250,$P238))</f>
        <v/>
      </c>
      <c r="D238" s="45" t="str">
        <f aca="false">IF($P238="","",INDEX('REGISTRE ELEVES'!$E$10:$E$250,$P238))</f>
        <v/>
      </c>
      <c r="E238" s="45" t="str">
        <f aca="false">IF($P238="","",INDEX('REGISTRE ELEVES'!$AE$10:$AE$250,$P238))</f>
        <v/>
      </c>
      <c r="F238" s="80" t="str">
        <f aca="false">IF(B238="","",IFERROR(INDEX('NOTES CM2'!$M$10:$M$250,MATCH(B238,'NOTES CM2'!$B$10:$B$250,0)),""))</f>
        <v/>
      </c>
      <c r="G238" s="80" t="str">
        <f aca="false">IF(B238="","",IFERROR(INDEX('NOTES CM2'!$T$10:$T$250,MATCH(B238,'NOTES CM2'!$B$10:$B$250,0)),""))</f>
        <v/>
      </c>
      <c r="H238" s="80" t="str">
        <f aca="false">IF(B238="","",IFERROR(INDEX('NOTES CM2'!$AB$10:$AB$250,MATCH(B238,'NOTES CM2'!$B$10:$B$250,0)),""))</f>
        <v/>
      </c>
      <c r="I238" s="80" t="str">
        <f aca="false">IF(B238="","",IFERROR(INDEX('NOTES CM2'!$AJ$10:$AJ$250,MATCH(B238,'NOTES CM2'!$B$10:$B$250,0)),""))</f>
        <v/>
      </c>
      <c r="J238" s="82" t="str">
        <f aca="false">IF(COUNT(F238:I238)&lt;4,"",ROUND(SUM(F238:I238)/4,2))</f>
        <v/>
      </c>
      <c r="K238" s="83" t="n">
        <f aca="false">INDEX(PARAMETRES!$D$18:$D$23,MATCH("CM2",PARAMETRES!$B$18:$B$23,0))</f>
        <v>20</v>
      </c>
      <c r="L238" s="81" t="n">
        <f aca="false">INDEX(PARAMETRES!$C$18:$C$23,MATCH("CM2",PARAMETRES!$B$18:$B$23,0))</f>
        <v>10</v>
      </c>
      <c r="M238" s="45" t="str">
        <f aca="false">IF(B238="","",IF(E238="ABANDON","ABANDON",IF(E238="TRANSFERE","TRANSFERE",IF(J238="","",IF(J238&gt;=L238,"ADMIS","REDOUBLE")))))</f>
        <v/>
      </c>
      <c r="N238" s="73" t="str">
        <f aca="false">IF(OR(J238="",E238&lt;&gt;"PRESENT"),"",COUNTIFS($E$10:$E$250,"PRESENT",$J$10:$J$250,"&gt;"&amp;J238)+1)</f>
        <v/>
      </c>
      <c r="O238" s="74" t="str">
        <f aca="false">IF(M238="ADMIS",IF(J238/K238*10&gt;=8,"Très bien",IF(J238/K238*10&gt;=7,"Bien",IF(J238/K238*10&gt;=6,"Assez bien","Passable"))),IF(M238="REDOUBLE","Insuffisant",""))</f>
        <v/>
      </c>
      <c r="P238" s="51" t="str">
        <f aca="false">IFERROR(MATCH("CM2-229",'REGISTRE ELEVES'!$AH$10:$AH$250,0),"")</f>
        <v/>
      </c>
    </row>
    <row r="239" customFormat="false" ht="15" hidden="false" customHeight="false" outlineLevel="0" collapsed="false">
      <c r="A239" s="45" t="str">
        <f aca="false">IF(B239="","",230)</f>
        <v/>
      </c>
      <c r="B239" s="45" t="str">
        <f aca="false">IF($P239="","",INDEX('REGISTRE ELEVES'!$B$10:$B$250,$P239))</f>
        <v/>
      </c>
      <c r="C239" s="74" t="str">
        <f aca="false">IF($P239="","",INDEX('REGISTRE ELEVES'!$D$10:$D$250,$P239))</f>
        <v/>
      </c>
      <c r="D239" s="45" t="str">
        <f aca="false">IF($P239="","",INDEX('REGISTRE ELEVES'!$E$10:$E$250,$P239))</f>
        <v/>
      </c>
      <c r="E239" s="45" t="str">
        <f aca="false">IF($P239="","",INDEX('REGISTRE ELEVES'!$AE$10:$AE$250,$P239))</f>
        <v/>
      </c>
      <c r="F239" s="80" t="str">
        <f aca="false">IF(B239="","",IFERROR(INDEX('NOTES CM2'!$M$10:$M$250,MATCH(B239,'NOTES CM2'!$B$10:$B$250,0)),""))</f>
        <v/>
      </c>
      <c r="G239" s="80" t="str">
        <f aca="false">IF(B239="","",IFERROR(INDEX('NOTES CM2'!$T$10:$T$250,MATCH(B239,'NOTES CM2'!$B$10:$B$250,0)),""))</f>
        <v/>
      </c>
      <c r="H239" s="80" t="str">
        <f aca="false">IF(B239="","",IFERROR(INDEX('NOTES CM2'!$AB$10:$AB$250,MATCH(B239,'NOTES CM2'!$B$10:$B$250,0)),""))</f>
        <v/>
      </c>
      <c r="I239" s="80" t="str">
        <f aca="false">IF(B239="","",IFERROR(INDEX('NOTES CM2'!$AJ$10:$AJ$250,MATCH(B239,'NOTES CM2'!$B$10:$B$250,0)),""))</f>
        <v/>
      </c>
      <c r="J239" s="82" t="str">
        <f aca="false">IF(COUNT(F239:I239)&lt;4,"",ROUND(SUM(F239:I239)/4,2))</f>
        <v/>
      </c>
      <c r="K239" s="83" t="n">
        <f aca="false">INDEX(PARAMETRES!$D$18:$D$23,MATCH("CM2",PARAMETRES!$B$18:$B$23,0))</f>
        <v>20</v>
      </c>
      <c r="L239" s="81" t="n">
        <f aca="false">INDEX(PARAMETRES!$C$18:$C$23,MATCH("CM2",PARAMETRES!$B$18:$B$23,0))</f>
        <v>10</v>
      </c>
      <c r="M239" s="45" t="str">
        <f aca="false">IF(B239="","",IF(E239="ABANDON","ABANDON",IF(E239="TRANSFERE","TRANSFERE",IF(J239="","",IF(J239&gt;=L239,"ADMIS","REDOUBLE")))))</f>
        <v/>
      </c>
      <c r="N239" s="73" t="str">
        <f aca="false">IF(OR(J239="",E239&lt;&gt;"PRESENT"),"",COUNTIFS($E$10:$E$250,"PRESENT",$J$10:$J$250,"&gt;"&amp;J239)+1)</f>
        <v/>
      </c>
      <c r="O239" s="74" t="str">
        <f aca="false">IF(M239="ADMIS",IF(J239/K239*10&gt;=8,"Très bien",IF(J239/K239*10&gt;=7,"Bien",IF(J239/K239*10&gt;=6,"Assez bien","Passable"))),IF(M239="REDOUBLE","Insuffisant",""))</f>
        <v/>
      </c>
      <c r="P239" s="51" t="str">
        <f aca="false">IFERROR(MATCH("CM2-230",'REGISTRE ELEVES'!$AH$10:$AH$250,0),"")</f>
        <v/>
      </c>
    </row>
    <row r="240" customFormat="false" ht="15" hidden="false" customHeight="false" outlineLevel="0" collapsed="false">
      <c r="A240" s="45" t="str">
        <f aca="false">IF(B240="","",231)</f>
        <v/>
      </c>
      <c r="B240" s="45" t="str">
        <f aca="false">IF($P240="","",INDEX('REGISTRE ELEVES'!$B$10:$B$250,$P240))</f>
        <v/>
      </c>
      <c r="C240" s="74" t="str">
        <f aca="false">IF($P240="","",INDEX('REGISTRE ELEVES'!$D$10:$D$250,$P240))</f>
        <v/>
      </c>
      <c r="D240" s="45" t="str">
        <f aca="false">IF($P240="","",INDEX('REGISTRE ELEVES'!$E$10:$E$250,$P240))</f>
        <v/>
      </c>
      <c r="E240" s="45" t="str">
        <f aca="false">IF($P240="","",INDEX('REGISTRE ELEVES'!$AE$10:$AE$250,$P240))</f>
        <v/>
      </c>
      <c r="F240" s="80" t="str">
        <f aca="false">IF(B240="","",IFERROR(INDEX('NOTES CM2'!$M$10:$M$250,MATCH(B240,'NOTES CM2'!$B$10:$B$250,0)),""))</f>
        <v/>
      </c>
      <c r="G240" s="80" t="str">
        <f aca="false">IF(B240="","",IFERROR(INDEX('NOTES CM2'!$T$10:$T$250,MATCH(B240,'NOTES CM2'!$B$10:$B$250,0)),""))</f>
        <v/>
      </c>
      <c r="H240" s="80" t="str">
        <f aca="false">IF(B240="","",IFERROR(INDEX('NOTES CM2'!$AB$10:$AB$250,MATCH(B240,'NOTES CM2'!$B$10:$B$250,0)),""))</f>
        <v/>
      </c>
      <c r="I240" s="80" t="str">
        <f aca="false">IF(B240="","",IFERROR(INDEX('NOTES CM2'!$AJ$10:$AJ$250,MATCH(B240,'NOTES CM2'!$B$10:$B$250,0)),""))</f>
        <v/>
      </c>
      <c r="J240" s="82" t="str">
        <f aca="false">IF(COUNT(F240:I240)&lt;4,"",ROUND(SUM(F240:I240)/4,2))</f>
        <v/>
      </c>
      <c r="K240" s="83" t="n">
        <f aca="false">INDEX(PARAMETRES!$D$18:$D$23,MATCH("CM2",PARAMETRES!$B$18:$B$23,0))</f>
        <v>20</v>
      </c>
      <c r="L240" s="81" t="n">
        <f aca="false">INDEX(PARAMETRES!$C$18:$C$23,MATCH("CM2",PARAMETRES!$B$18:$B$23,0))</f>
        <v>10</v>
      </c>
      <c r="M240" s="45" t="str">
        <f aca="false">IF(B240="","",IF(E240="ABANDON","ABANDON",IF(E240="TRANSFERE","TRANSFERE",IF(J240="","",IF(J240&gt;=L240,"ADMIS","REDOUBLE")))))</f>
        <v/>
      </c>
      <c r="N240" s="73" t="str">
        <f aca="false">IF(OR(J240="",E240&lt;&gt;"PRESENT"),"",COUNTIFS($E$10:$E$250,"PRESENT",$J$10:$J$250,"&gt;"&amp;J240)+1)</f>
        <v/>
      </c>
      <c r="O240" s="74" t="str">
        <f aca="false">IF(M240="ADMIS",IF(J240/K240*10&gt;=8,"Très bien",IF(J240/K240*10&gt;=7,"Bien",IF(J240/K240*10&gt;=6,"Assez bien","Passable"))),IF(M240="REDOUBLE","Insuffisant",""))</f>
        <v/>
      </c>
      <c r="P240" s="51" t="str">
        <f aca="false">IFERROR(MATCH("CM2-231",'REGISTRE ELEVES'!$AH$10:$AH$250,0),"")</f>
        <v/>
      </c>
    </row>
    <row r="241" customFormat="false" ht="15" hidden="false" customHeight="false" outlineLevel="0" collapsed="false">
      <c r="A241" s="45" t="str">
        <f aca="false">IF(B241="","",232)</f>
        <v/>
      </c>
      <c r="B241" s="45" t="str">
        <f aca="false">IF($P241="","",INDEX('REGISTRE ELEVES'!$B$10:$B$250,$P241))</f>
        <v/>
      </c>
      <c r="C241" s="74" t="str">
        <f aca="false">IF($P241="","",INDEX('REGISTRE ELEVES'!$D$10:$D$250,$P241))</f>
        <v/>
      </c>
      <c r="D241" s="45" t="str">
        <f aca="false">IF($P241="","",INDEX('REGISTRE ELEVES'!$E$10:$E$250,$P241))</f>
        <v/>
      </c>
      <c r="E241" s="45" t="str">
        <f aca="false">IF($P241="","",INDEX('REGISTRE ELEVES'!$AE$10:$AE$250,$P241))</f>
        <v/>
      </c>
      <c r="F241" s="80" t="str">
        <f aca="false">IF(B241="","",IFERROR(INDEX('NOTES CM2'!$M$10:$M$250,MATCH(B241,'NOTES CM2'!$B$10:$B$250,0)),""))</f>
        <v/>
      </c>
      <c r="G241" s="80" t="str">
        <f aca="false">IF(B241="","",IFERROR(INDEX('NOTES CM2'!$T$10:$T$250,MATCH(B241,'NOTES CM2'!$B$10:$B$250,0)),""))</f>
        <v/>
      </c>
      <c r="H241" s="80" t="str">
        <f aca="false">IF(B241="","",IFERROR(INDEX('NOTES CM2'!$AB$10:$AB$250,MATCH(B241,'NOTES CM2'!$B$10:$B$250,0)),""))</f>
        <v/>
      </c>
      <c r="I241" s="80" t="str">
        <f aca="false">IF(B241="","",IFERROR(INDEX('NOTES CM2'!$AJ$10:$AJ$250,MATCH(B241,'NOTES CM2'!$B$10:$B$250,0)),""))</f>
        <v/>
      </c>
      <c r="J241" s="82" t="str">
        <f aca="false">IF(COUNT(F241:I241)&lt;4,"",ROUND(SUM(F241:I241)/4,2))</f>
        <v/>
      </c>
      <c r="K241" s="83" t="n">
        <f aca="false">INDEX(PARAMETRES!$D$18:$D$23,MATCH("CM2",PARAMETRES!$B$18:$B$23,0))</f>
        <v>20</v>
      </c>
      <c r="L241" s="81" t="n">
        <f aca="false">INDEX(PARAMETRES!$C$18:$C$23,MATCH("CM2",PARAMETRES!$B$18:$B$23,0))</f>
        <v>10</v>
      </c>
      <c r="M241" s="45" t="str">
        <f aca="false">IF(B241="","",IF(E241="ABANDON","ABANDON",IF(E241="TRANSFERE","TRANSFERE",IF(J241="","",IF(J241&gt;=L241,"ADMIS","REDOUBLE")))))</f>
        <v/>
      </c>
      <c r="N241" s="73" t="str">
        <f aca="false">IF(OR(J241="",E241&lt;&gt;"PRESENT"),"",COUNTIFS($E$10:$E$250,"PRESENT",$J$10:$J$250,"&gt;"&amp;J241)+1)</f>
        <v/>
      </c>
      <c r="O241" s="74" t="str">
        <f aca="false">IF(M241="ADMIS",IF(J241/K241*10&gt;=8,"Très bien",IF(J241/K241*10&gt;=7,"Bien",IF(J241/K241*10&gt;=6,"Assez bien","Passable"))),IF(M241="REDOUBLE","Insuffisant",""))</f>
        <v/>
      </c>
      <c r="P241" s="51" t="str">
        <f aca="false">IFERROR(MATCH("CM2-232",'REGISTRE ELEVES'!$AH$10:$AH$250,0),"")</f>
        <v/>
      </c>
    </row>
    <row r="242" customFormat="false" ht="15" hidden="false" customHeight="false" outlineLevel="0" collapsed="false">
      <c r="A242" s="45" t="str">
        <f aca="false">IF(B242="","",233)</f>
        <v/>
      </c>
      <c r="B242" s="45" t="str">
        <f aca="false">IF($P242="","",INDEX('REGISTRE ELEVES'!$B$10:$B$250,$P242))</f>
        <v/>
      </c>
      <c r="C242" s="74" t="str">
        <f aca="false">IF($P242="","",INDEX('REGISTRE ELEVES'!$D$10:$D$250,$P242))</f>
        <v/>
      </c>
      <c r="D242" s="45" t="str">
        <f aca="false">IF($P242="","",INDEX('REGISTRE ELEVES'!$E$10:$E$250,$P242))</f>
        <v/>
      </c>
      <c r="E242" s="45" t="str">
        <f aca="false">IF($P242="","",INDEX('REGISTRE ELEVES'!$AE$10:$AE$250,$P242))</f>
        <v/>
      </c>
      <c r="F242" s="80" t="str">
        <f aca="false">IF(B242="","",IFERROR(INDEX('NOTES CM2'!$M$10:$M$250,MATCH(B242,'NOTES CM2'!$B$10:$B$250,0)),""))</f>
        <v/>
      </c>
      <c r="G242" s="80" t="str">
        <f aca="false">IF(B242="","",IFERROR(INDEX('NOTES CM2'!$T$10:$T$250,MATCH(B242,'NOTES CM2'!$B$10:$B$250,0)),""))</f>
        <v/>
      </c>
      <c r="H242" s="80" t="str">
        <f aca="false">IF(B242="","",IFERROR(INDEX('NOTES CM2'!$AB$10:$AB$250,MATCH(B242,'NOTES CM2'!$B$10:$B$250,0)),""))</f>
        <v/>
      </c>
      <c r="I242" s="80" t="str">
        <f aca="false">IF(B242="","",IFERROR(INDEX('NOTES CM2'!$AJ$10:$AJ$250,MATCH(B242,'NOTES CM2'!$B$10:$B$250,0)),""))</f>
        <v/>
      </c>
      <c r="J242" s="82" t="str">
        <f aca="false">IF(COUNT(F242:I242)&lt;4,"",ROUND(SUM(F242:I242)/4,2))</f>
        <v/>
      </c>
      <c r="K242" s="83" t="n">
        <f aca="false">INDEX(PARAMETRES!$D$18:$D$23,MATCH("CM2",PARAMETRES!$B$18:$B$23,0))</f>
        <v>20</v>
      </c>
      <c r="L242" s="81" t="n">
        <f aca="false">INDEX(PARAMETRES!$C$18:$C$23,MATCH("CM2",PARAMETRES!$B$18:$B$23,0))</f>
        <v>10</v>
      </c>
      <c r="M242" s="45" t="str">
        <f aca="false">IF(B242="","",IF(E242="ABANDON","ABANDON",IF(E242="TRANSFERE","TRANSFERE",IF(J242="","",IF(J242&gt;=L242,"ADMIS","REDOUBLE")))))</f>
        <v/>
      </c>
      <c r="N242" s="73" t="str">
        <f aca="false">IF(OR(J242="",E242&lt;&gt;"PRESENT"),"",COUNTIFS($E$10:$E$250,"PRESENT",$J$10:$J$250,"&gt;"&amp;J242)+1)</f>
        <v/>
      </c>
      <c r="O242" s="74" t="str">
        <f aca="false">IF(M242="ADMIS",IF(J242/K242*10&gt;=8,"Très bien",IF(J242/K242*10&gt;=7,"Bien",IF(J242/K242*10&gt;=6,"Assez bien","Passable"))),IF(M242="REDOUBLE","Insuffisant",""))</f>
        <v/>
      </c>
      <c r="P242" s="51" t="str">
        <f aca="false">IFERROR(MATCH("CM2-233",'REGISTRE ELEVES'!$AH$10:$AH$250,0),"")</f>
        <v/>
      </c>
    </row>
    <row r="243" customFormat="false" ht="15" hidden="false" customHeight="false" outlineLevel="0" collapsed="false">
      <c r="A243" s="45" t="str">
        <f aca="false">IF(B243="","",234)</f>
        <v/>
      </c>
      <c r="B243" s="45" t="str">
        <f aca="false">IF($P243="","",INDEX('REGISTRE ELEVES'!$B$10:$B$250,$P243))</f>
        <v/>
      </c>
      <c r="C243" s="74" t="str">
        <f aca="false">IF($P243="","",INDEX('REGISTRE ELEVES'!$D$10:$D$250,$P243))</f>
        <v/>
      </c>
      <c r="D243" s="45" t="str">
        <f aca="false">IF($P243="","",INDEX('REGISTRE ELEVES'!$E$10:$E$250,$P243))</f>
        <v/>
      </c>
      <c r="E243" s="45" t="str">
        <f aca="false">IF($P243="","",INDEX('REGISTRE ELEVES'!$AE$10:$AE$250,$P243))</f>
        <v/>
      </c>
      <c r="F243" s="80" t="str">
        <f aca="false">IF(B243="","",IFERROR(INDEX('NOTES CM2'!$M$10:$M$250,MATCH(B243,'NOTES CM2'!$B$10:$B$250,0)),""))</f>
        <v/>
      </c>
      <c r="G243" s="80" t="str">
        <f aca="false">IF(B243="","",IFERROR(INDEX('NOTES CM2'!$T$10:$T$250,MATCH(B243,'NOTES CM2'!$B$10:$B$250,0)),""))</f>
        <v/>
      </c>
      <c r="H243" s="80" t="str">
        <f aca="false">IF(B243="","",IFERROR(INDEX('NOTES CM2'!$AB$10:$AB$250,MATCH(B243,'NOTES CM2'!$B$10:$B$250,0)),""))</f>
        <v/>
      </c>
      <c r="I243" s="80" t="str">
        <f aca="false">IF(B243="","",IFERROR(INDEX('NOTES CM2'!$AJ$10:$AJ$250,MATCH(B243,'NOTES CM2'!$B$10:$B$250,0)),""))</f>
        <v/>
      </c>
      <c r="J243" s="82" t="str">
        <f aca="false">IF(COUNT(F243:I243)&lt;4,"",ROUND(SUM(F243:I243)/4,2))</f>
        <v/>
      </c>
      <c r="K243" s="83" t="n">
        <f aca="false">INDEX(PARAMETRES!$D$18:$D$23,MATCH("CM2",PARAMETRES!$B$18:$B$23,0))</f>
        <v>20</v>
      </c>
      <c r="L243" s="81" t="n">
        <f aca="false">INDEX(PARAMETRES!$C$18:$C$23,MATCH("CM2",PARAMETRES!$B$18:$B$23,0))</f>
        <v>10</v>
      </c>
      <c r="M243" s="45" t="str">
        <f aca="false">IF(B243="","",IF(E243="ABANDON","ABANDON",IF(E243="TRANSFERE","TRANSFERE",IF(J243="","",IF(J243&gt;=L243,"ADMIS","REDOUBLE")))))</f>
        <v/>
      </c>
      <c r="N243" s="73" t="str">
        <f aca="false">IF(OR(J243="",E243&lt;&gt;"PRESENT"),"",COUNTIFS($E$10:$E$250,"PRESENT",$J$10:$J$250,"&gt;"&amp;J243)+1)</f>
        <v/>
      </c>
      <c r="O243" s="74" t="str">
        <f aca="false">IF(M243="ADMIS",IF(J243/K243*10&gt;=8,"Très bien",IF(J243/K243*10&gt;=7,"Bien",IF(J243/K243*10&gt;=6,"Assez bien","Passable"))),IF(M243="REDOUBLE","Insuffisant",""))</f>
        <v/>
      </c>
      <c r="P243" s="51" t="str">
        <f aca="false">IFERROR(MATCH("CM2-234",'REGISTRE ELEVES'!$AH$10:$AH$250,0),"")</f>
        <v/>
      </c>
    </row>
    <row r="244" customFormat="false" ht="15" hidden="false" customHeight="false" outlineLevel="0" collapsed="false">
      <c r="A244" s="45" t="str">
        <f aca="false">IF(B244="","",235)</f>
        <v/>
      </c>
      <c r="B244" s="45" t="str">
        <f aca="false">IF($P244="","",INDEX('REGISTRE ELEVES'!$B$10:$B$250,$P244))</f>
        <v/>
      </c>
      <c r="C244" s="74" t="str">
        <f aca="false">IF($P244="","",INDEX('REGISTRE ELEVES'!$D$10:$D$250,$P244))</f>
        <v/>
      </c>
      <c r="D244" s="45" t="str">
        <f aca="false">IF($P244="","",INDEX('REGISTRE ELEVES'!$E$10:$E$250,$P244))</f>
        <v/>
      </c>
      <c r="E244" s="45" t="str">
        <f aca="false">IF($P244="","",INDEX('REGISTRE ELEVES'!$AE$10:$AE$250,$P244))</f>
        <v/>
      </c>
      <c r="F244" s="80" t="str">
        <f aca="false">IF(B244="","",IFERROR(INDEX('NOTES CM2'!$M$10:$M$250,MATCH(B244,'NOTES CM2'!$B$10:$B$250,0)),""))</f>
        <v/>
      </c>
      <c r="G244" s="80" t="str">
        <f aca="false">IF(B244="","",IFERROR(INDEX('NOTES CM2'!$T$10:$T$250,MATCH(B244,'NOTES CM2'!$B$10:$B$250,0)),""))</f>
        <v/>
      </c>
      <c r="H244" s="80" t="str">
        <f aca="false">IF(B244="","",IFERROR(INDEX('NOTES CM2'!$AB$10:$AB$250,MATCH(B244,'NOTES CM2'!$B$10:$B$250,0)),""))</f>
        <v/>
      </c>
      <c r="I244" s="80" t="str">
        <f aca="false">IF(B244="","",IFERROR(INDEX('NOTES CM2'!$AJ$10:$AJ$250,MATCH(B244,'NOTES CM2'!$B$10:$B$250,0)),""))</f>
        <v/>
      </c>
      <c r="J244" s="82" t="str">
        <f aca="false">IF(COUNT(F244:I244)&lt;4,"",ROUND(SUM(F244:I244)/4,2))</f>
        <v/>
      </c>
      <c r="K244" s="83" t="n">
        <f aca="false">INDEX(PARAMETRES!$D$18:$D$23,MATCH("CM2",PARAMETRES!$B$18:$B$23,0))</f>
        <v>20</v>
      </c>
      <c r="L244" s="81" t="n">
        <f aca="false">INDEX(PARAMETRES!$C$18:$C$23,MATCH("CM2",PARAMETRES!$B$18:$B$23,0))</f>
        <v>10</v>
      </c>
      <c r="M244" s="45" t="str">
        <f aca="false">IF(B244="","",IF(E244="ABANDON","ABANDON",IF(E244="TRANSFERE","TRANSFERE",IF(J244="","",IF(J244&gt;=L244,"ADMIS","REDOUBLE")))))</f>
        <v/>
      </c>
      <c r="N244" s="73" t="str">
        <f aca="false">IF(OR(J244="",E244&lt;&gt;"PRESENT"),"",COUNTIFS($E$10:$E$250,"PRESENT",$J$10:$J$250,"&gt;"&amp;J244)+1)</f>
        <v/>
      </c>
      <c r="O244" s="74" t="str">
        <f aca="false">IF(M244="ADMIS",IF(J244/K244*10&gt;=8,"Très bien",IF(J244/K244*10&gt;=7,"Bien",IF(J244/K244*10&gt;=6,"Assez bien","Passable"))),IF(M244="REDOUBLE","Insuffisant",""))</f>
        <v/>
      </c>
      <c r="P244" s="51" t="str">
        <f aca="false">IFERROR(MATCH("CM2-235",'REGISTRE ELEVES'!$AH$10:$AH$250,0),"")</f>
        <v/>
      </c>
    </row>
    <row r="245" customFormat="false" ht="15" hidden="false" customHeight="false" outlineLevel="0" collapsed="false">
      <c r="A245" s="45" t="str">
        <f aca="false">IF(B245="","",236)</f>
        <v/>
      </c>
      <c r="B245" s="45" t="str">
        <f aca="false">IF($P245="","",INDEX('REGISTRE ELEVES'!$B$10:$B$250,$P245))</f>
        <v/>
      </c>
      <c r="C245" s="74" t="str">
        <f aca="false">IF($P245="","",INDEX('REGISTRE ELEVES'!$D$10:$D$250,$P245))</f>
        <v/>
      </c>
      <c r="D245" s="45" t="str">
        <f aca="false">IF($P245="","",INDEX('REGISTRE ELEVES'!$E$10:$E$250,$P245))</f>
        <v/>
      </c>
      <c r="E245" s="45" t="str">
        <f aca="false">IF($P245="","",INDEX('REGISTRE ELEVES'!$AE$10:$AE$250,$P245))</f>
        <v/>
      </c>
      <c r="F245" s="80" t="str">
        <f aca="false">IF(B245="","",IFERROR(INDEX('NOTES CM2'!$M$10:$M$250,MATCH(B245,'NOTES CM2'!$B$10:$B$250,0)),""))</f>
        <v/>
      </c>
      <c r="G245" s="80" t="str">
        <f aca="false">IF(B245="","",IFERROR(INDEX('NOTES CM2'!$T$10:$T$250,MATCH(B245,'NOTES CM2'!$B$10:$B$250,0)),""))</f>
        <v/>
      </c>
      <c r="H245" s="80" t="str">
        <f aca="false">IF(B245="","",IFERROR(INDEX('NOTES CM2'!$AB$10:$AB$250,MATCH(B245,'NOTES CM2'!$B$10:$B$250,0)),""))</f>
        <v/>
      </c>
      <c r="I245" s="80" t="str">
        <f aca="false">IF(B245="","",IFERROR(INDEX('NOTES CM2'!$AJ$10:$AJ$250,MATCH(B245,'NOTES CM2'!$B$10:$B$250,0)),""))</f>
        <v/>
      </c>
      <c r="J245" s="82" t="str">
        <f aca="false">IF(COUNT(F245:I245)&lt;4,"",ROUND(SUM(F245:I245)/4,2))</f>
        <v/>
      </c>
      <c r="K245" s="83" t="n">
        <f aca="false">INDEX(PARAMETRES!$D$18:$D$23,MATCH("CM2",PARAMETRES!$B$18:$B$23,0))</f>
        <v>20</v>
      </c>
      <c r="L245" s="81" t="n">
        <f aca="false">INDEX(PARAMETRES!$C$18:$C$23,MATCH("CM2",PARAMETRES!$B$18:$B$23,0))</f>
        <v>10</v>
      </c>
      <c r="M245" s="45" t="str">
        <f aca="false">IF(B245="","",IF(E245="ABANDON","ABANDON",IF(E245="TRANSFERE","TRANSFERE",IF(J245="","",IF(J245&gt;=L245,"ADMIS","REDOUBLE")))))</f>
        <v/>
      </c>
      <c r="N245" s="73" t="str">
        <f aca="false">IF(OR(J245="",E245&lt;&gt;"PRESENT"),"",COUNTIFS($E$10:$E$250,"PRESENT",$J$10:$J$250,"&gt;"&amp;J245)+1)</f>
        <v/>
      </c>
      <c r="O245" s="74" t="str">
        <f aca="false">IF(M245="ADMIS",IF(J245/K245*10&gt;=8,"Très bien",IF(J245/K245*10&gt;=7,"Bien",IF(J245/K245*10&gt;=6,"Assez bien","Passable"))),IF(M245="REDOUBLE","Insuffisant",""))</f>
        <v/>
      </c>
      <c r="P245" s="51" t="str">
        <f aca="false">IFERROR(MATCH("CM2-236",'REGISTRE ELEVES'!$AH$10:$AH$250,0),"")</f>
        <v/>
      </c>
    </row>
    <row r="246" customFormat="false" ht="15" hidden="false" customHeight="false" outlineLevel="0" collapsed="false">
      <c r="A246" s="45" t="str">
        <f aca="false">IF(B246="","",237)</f>
        <v/>
      </c>
      <c r="B246" s="45" t="str">
        <f aca="false">IF($P246="","",INDEX('REGISTRE ELEVES'!$B$10:$B$250,$P246))</f>
        <v/>
      </c>
      <c r="C246" s="74" t="str">
        <f aca="false">IF($P246="","",INDEX('REGISTRE ELEVES'!$D$10:$D$250,$P246))</f>
        <v/>
      </c>
      <c r="D246" s="45" t="str">
        <f aca="false">IF($P246="","",INDEX('REGISTRE ELEVES'!$E$10:$E$250,$P246))</f>
        <v/>
      </c>
      <c r="E246" s="45" t="str">
        <f aca="false">IF($P246="","",INDEX('REGISTRE ELEVES'!$AE$10:$AE$250,$P246))</f>
        <v/>
      </c>
      <c r="F246" s="80" t="str">
        <f aca="false">IF(B246="","",IFERROR(INDEX('NOTES CM2'!$M$10:$M$250,MATCH(B246,'NOTES CM2'!$B$10:$B$250,0)),""))</f>
        <v/>
      </c>
      <c r="G246" s="80" t="str">
        <f aca="false">IF(B246="","",IFERROR(INDEX('NOTES CM2'!$T$10:$T$250,MATCH(B246,'NOTES CM2'!$B$10:$B$250,0)),""))</f>
        <v/>
      </c>
      <c r="H246" s="80" t="str">
        <f aca="false">IF(B246="","",IFERROR(INDEX('NOTES CM2'!$AB$10:$AB$250,MATCH(B246,'NOTES CM2'!$B$10:$B$250,0)),""))</f>
        <v/>
      </c>
      <c r="I246" s="80" t="str">
        <f aca="false">IF(B246="","",IFERROR(INDEX('NOTES CM2'!$AJ$10:$AJ$250,MATCH(B246,'NOTES CM2'!$B$10:$B$250,0)),""))</f>
        <v/>
      </c>
      <c r="J246" s="82" t="str">
        <f aca="false">IF(COUNT(F246:I246)&lt;4,"",ROUND(SUM(F246:I246)/4,2))</f>
        <v/>
      </c>
      <c r="K246" s="83" t="n">
        <f aca="false">INDEX(PARAMETRES!$D$18:$D$23,MATCH("CM2",PARAMETRES!$B$18:$B$23,0))</f>
        <v>20</v>
      </c>
      <c r="L246" s="81" t="n">
        <f aca="false">INDEX(PARAMETRES!$C$18:$C$23,MATCH("CM2",PARAMETRES!$B$18:$B$23,0))</f>
        <v>10</v>
      </c>
      <c r="M246" s="45" t="str">
        <f aca="false">IF(B246="","",IF(E246="ABANDON","ABANDON",IF(E246="TRANSFERE","TRANSFERE",IF(J246="","",IF(J246&gt;=L246,"ADMIS","REDOUBLE")))))</f>
        <v/>
      </c>
      <c r="N246" s="73" t="str">
        <f aca="false">IF(OR(J246="",E246&lt;&gt;"PRESENT"),"",COUNTIFS($E$10:$E$250,"PRESENT",$J$10:$J$250,"&gt;"&amp;J246)+1)</f>
        <v/>
      </c>
      <c r="O246" s="74" t="str">
        <f aca="false">IF(M246="ADMIS",IF(J246/K246*10&gt;=8,"Très bien",IF(J246/K246*10&gt;=7,"Bien",IF(J246/K246*10&gt;=6,"Assez bien","Passable"))),IF(M246="REDOUBLE","Insuffisant",""))</f>
        <v/>
      </c>
      <c r="P246" s="51" t="str">
        <f aca="false">IFERROR(MATCH("CM2-237",'REGISTRE ELEVES'!$AH$10:$AH$250,0),"")</f>
        <v/>
      </c>
    </row>
    <row r="247" customFormat="false" ht="15" hidden="false" customHeight="false" outlineLevel="0" collapsed="false">
      <c r="A247" s="45" t="str">
        <f aca="false">IF(B247="","",238)</f>
        <v/>
      </c>
      <c r="B247" s="45" t="str">
        <f aca="false">IF($P247="","",INDEX('REGISTRE ELEVES'!$B$10:$B$250,$P247))</f>
        <v/>
      </c>
      <c r="C247" s="74" t="str">
        <f aca="false">IF($P247="","",INDEX('REGISTRE ELEVES'!$D$10:$D$250,$P247))</f>
        <v/>
      </c>
      <c r="D247" s="45" t="str">
        <f aca="false">IF($P247="","",INDEX('REGISTRE ELEVES'!$E$10:$E$250,$P247))</f>
        <v/>
      </c>
      <c r="E247" s="45" t="str">
        <f aca="false">IF($P247="","",INDEX('REGISTRE ELEVES'!$AE$10:$AE$250,$P247))</f>
        <v/>
      </c>
      <c r="F247" s="80" t="str">
        <f aca="false">IF(B247="","",IFERROR(INDEX('NOTES CM2'!$M$10:$M$250,MATCH(B247,'NOTES CM2'!$B$10:$B$250,0)),""))</f>
        <v/>
      </c>
      <c r="G247" s="80" t="str">
        <f aca="false">IF(B247="","",IFERROR(INDEX('NOTES CM2'!$T$10:$T$250,MATCH(B247,'NOTES CM2'!$B$10:$B$250,0)),""))</f>
        <v/>
      </c>
      <c r="H247" s="80" t="str">
        <f aca="false">IF(B247="","",IFERROR(INDEX('NOTES CM2'!$AB$10:$AB$250,MATCH(B247,'NOTES CM2'!$B$10:$B$250,0)),""))</f>
        <v/>
      </c>
      <c r="I247" s="80" t="str">
        <f aca="false">IF(B247="","",IFERROR(INDEX('NOTES CM2'!$AJ$10:$AJ$250,MATCH(B247,'NOTES CM2'!$B$10:$B$250,0)),""))</f>
        <v/>
      </c>
      <c r="J247" s="82" t="str">
        <f aca="false">IF(COUNT(F247:I247)&lt;4,"",ROUND(SUM(F247:I247)/4,2))</f>
        <v/>
      </c>
      <c r="K247" s="83" t="n">
        <f aca="false">INDEX(PARAMETRES!$D$18:$D$23,MATCH("CM2",PARAMETRES!$B$18:$B$23,0))</f>
        <v>20</v>
      </c>
      <c r="L247" s="81" t="n">
        <f aca="false">INDEX(PARAMETRES!$C$18:$C$23,MATCH("CM2",PARAMETRES!$B$18:$B$23,0))</f>
        <v>10</v>
      </c>
      <c r="M247" s="45" t="str">
        <f aca="false">IF(B247="","",IF(E247="ABANDON","ABANDON",IF(E247="TRANSFERE","TRANSFERE",IF(J247="","",IF(J247&gt;=L247,"ADMIS","REDOUBLE")))))</f>
        <v/>
      </c>
      <c r="N247" s="73" t="str">
        <f aca="false">IF(OR(J247="",E247&lt;&gt;"PRESENT"),"",COUNTIFS($E$10:$E$250,"PRESENT",$J$10:$J$250,"&gt;"&amp;J247)+1)</f>
        <v/>
      </c>
      <c r="O247" s="74" t="str">
        <f aca="false">IF(M247="ADMIS",IF(J247/K247*10&gt;=8,"Très bien",IF(J247/K247*10&gt;=7,"Bien",IF(J247/K247*10&gt;=6,"Assez bien","Passable"))),IF(M247="REDOUBLE","Insuffisant",""))</f>
        <v/>
      </c>
      <c r="P247" s="51" t="str">
        <f aca="false">IFERROR(MATCH("CM2-238",'REGISTRE ELEVES'!$AH$10:$AH$250,0),"")</f>
        <v/>
      </c>
    </row>
    <row r="248" customFormat="false" ht="15" hidden="false" customHeight="false" outlineLevel="0" collapsed="false">
      <c r="A248" s="45" t="str">
        <f aca="false">IF(B248="","",239)</f>
        <v/>
      </c>
      <c r="B248" s="45" t="str">
        <f aca="false">IF($P248="","",INDEX('REGISTRE ELEVES'!$B$10:$B$250,$P248))</f>
        <v/>
      </c>
      <c r="C248" s="74" t="str">
        <f aca="false">IF($P248="","",INDEX('REGISTRE ELEVES'!$D$10:$D$250,$P248))</f>
        <v/>
      </c>
      <c r="D248" s="45" t="str">
        <f aca="false">IF($P248="","",INDEX('REGISTRE ELEVES'!$E$10:$E$250,$P248))</f>
        <v/>
      </c>
      <c r="E248" s="45" t="str">
        <f aca="false">IF($P248="","",INDEX('REGISTRE ELEVES'!$AE$10:$AE$250,$P248))</f>
        <v/>
      </c>
      <c r="F248" s="80" t="str">
        <f aca="false">IF(B248="","",IFERROR(INDEX('NOTES CM2'!$M$10:$M$250,MATCH(B248,'NOTES CM2'!$B$10:$B$250,0)),""))</f>
        <v/>
      </c>
      <c r="G248" s="80" t="str">
        <f aca="false">IF(B248="","",IFERROR(INDEX('NOTES CM2'!$T$10:$T$250,MATCH(B248,'NOTES CM2'!$B$10:$B$250,0)),""))</f>
        <v/>
      </c>
      <c r="H248" s="80" t="str">
        <f aca="false">IF(B248="","",IFERROR(INDEX('NOTES CM2'!$AB$10:$AB$250,MATCH(B248,'NOTES CM2'!$B$10:$B$250,0)),""))</f>
        <v/>
      </c>
      <c r="I248" s="80" t="str">
        <f aca="false">IF(B248="","",IFERROR(INDEX('NOTES CM2'!$AJ$10:$AJ$250,MATCH(B248,'NOTES CM2'!$B$10:$B$250,0)),""))</f>
        <v/>
      </c>
      <c r="J248" s="82" t="str">
        <f aca="false">IF(COUNT(F248:I248)&lt;4,"",ROUND(SUM(F248:I248)/4,2))</f>
        <v/>
      </c>
      <c r="K248" s="83" t="n">
        <f aca="false">INDEX(PARAMETRES!$D$18:$D$23,MATCH("CM2",PARAMETRES!$B$18:$B$23,0))</f>
        <v>20</v>
      </c>
      <c r="L248" s="81" t="n">
        <f aca="false">INDEX(PARAMETRES!$C$18:$C$23,MATCH("CM2",PARAMETRES!$B$18:$B$23,0))</f>
        <v>10</v>
      </c>
      <c r="M248" s="45" t="str">
        <f aca="false">IF(B248="","",IF(E248="ABANDON","ABANDON",IF(E248="TRANSFERE","TRANSFERE",IF(J248="","",IF(J248&gt;=L248,"ADMIS","REDOUBLE")))))</f>
        <v/>
      </c>
      <c r="N248" s="73" t="str">
        <f aca="false">IF(OR(J248="",E248&lt;&gt;"PRESENT"),"",COUNTIFS($E$10:$E$250,"PRESENT",$J$10:$J$250,"&gt;"&amp;J248)+1)</f>
        <v/>
      </c>
      <c r="O248" s="74" t="str">
        <f aca="false">IF(M248="ADMIS",IF(J248/K248*10&gt;=8,"Très bien",IF(J248/K248*10&gt;=7,"Bien",IF(J248/K248*10&gt;=6,"Assez bien","Passable"))),IF(M248="REDOUBLE","Insuffisant",""))</f>
        <v/>
      </c>
      <c r="P248" s="51" t="str">
        <f aca="false">IFERROR(MATCH("CM2-239",'REGISTRE ELEVES'!$AH$10:$AH$250,0),"")</f>
        <v/>
      </c>
    </row>
    <row r="249" customFormat="false" ht="15" hidden="false" customHeight="false" outlineLevel="0" collapsed="false">
      <c r="A249" s="45" t="str">
        <f aca="false">IF(B249="","",240)</f>
        <v/>
      </c>
      <c r="B249" s="45" t="str">
        <f aca="false">IF($P249="","",INDEX('REGISTRE ELEVES'!$B$10:$B$250,$P249))</f>
        <v/>
      </c>
      <c r="C249" s="74" t="str">
        <f aca="false">IF($P249="","",INDEX('REGISTRE ELEVES'!$D$10:$D$250,$P249))</f>
        <v/>
      </c>
      <c r="D249" s="45" t="str">
        <f aca="false">IF($P249="","",INDEX('REGISTRE ELEVES'!$E$10:$E$250,$P249))</f>
        <v/>
      </c>
      <c r="E249" s="45" t="str">
        <f aca="false">IF($P249="","",INDEX('REGISTRE ELEVES'!$AE$10:$AE$250,$P249))</f>
        <v/>
      </c>
      <c r="F249" s="80" t="str">
        <f aca="false">IF(B249="","",IFERROR(INDEX('NOTES CM2'!$M$10:$M$250,MATCH(B249,'NOTES CM2'!$B$10:$B$250,0)),""))</f>
        <v/>
      </c>
      <c r="G249" s="80" t="str">
        <f aca="false">IF(B249="","",IFERROR(INDEX('NOTES CM2'!$T$10:$T$250,MATCH(B249,'NOTES CM2'!$B$10:$B$250,0)),""))</f>
        <v/>
      </c>
      <c r="H249" s="80" t="str">
        <f aca="false">IF(B249="","",IFERROR(INDEX('NOTES CM2'!$AB$10:$AB$250,MATCH(B249,'NOTES CM2'!$B$10:$B$250,0)),""))</f>
        <v/>
      </c>
      <c r="I249" s="80" t="str">
        <f aca="false">IF(B249="","",IFERROR(INDEX('NOTES CM2'!$AJ$10:$AJ$250,MATCH(B249,'NOTES CM2'!$B$10:$B$250,0)),""))</f>
        <v/>
      </c>
      <c r="J249" s="82" t="str">
        <f aca="false">IF(COUNT(F249:I249)&lt;4,"",ROUND(SUM(F249:I249)/4,2))</f>
        <v/>
      </c>
      <c r="K249" s="83" t="n">
        <f aca="false">INDEX(PARAMETRES!$D$18:$D$23,MATCH("CM2",PARAMETRES!$B$18:$B$23,0))</f>
        <v>20</v>
      </c>
      <c r="L249" s="81" t="n">
        <f aca="false">INDEX(PARAMETRES!$C$18:$C$23,MATCH("CM2",PARAMETRES!$B$18:$B$23,0))</f>
        <v>10</v>
      </c>
      <c r="M249" s="45" t="str">
        <f aca="false">IF(B249="","",IF(E249="ABANDON","ABANDON",IF(E249="TRANSFERE","TRANSFERE",IF(J249="","",IF(J249&gt;=L249,"ADMIS","REDOUBLE")))))</f>
        <v/>
      </c>
      <c r="N249" s="73" t="str">
        <f aca="false">IF(OR(J249="",E249&lt;&gt;"PRESENT"),"",COUNTIFS($E$10:$E$250,"PRESENT",$J$10:$J$250,"&gt;"&amp;J249)+1)</f>
        <v/>
      </c>
      <c r="O249" s="74" t="str">
        <f aca="false">IF(M249="ADMIS",IF(J249/K249*10&gt;=8,"Très bien",IF(J249/K249*10&gt;=7,"Bien",IF(J249/K249*10&gt;=6,"Assez bien","Passable"))),IF(M249="REDOUBLE","Insuffisant",""))</f>
        <v/>
      </c>
      <c r="P249" s="51" t="str">
        <f aca="false">IFERROR(MATCH("CM2-240",'REGISTRE ELEVES'!$AH$10:$AH$250,0),"")</f>
        <v/>
      </c>
    </row>
    <row r="250" customFormat="false" ht="15" hidden="false" customHeight="false" outlineLevel="0" collapsed="false">
      <c r="A250" s="45" t="str">
        <f aca="false">IF(B250="","",241)</f>
        <v/>
      </c>
      <c r="B250" s="45" t="str">
        <f aca="false">IF($P250="","",INDEX('REGISTRE ELEVES'!$B$10:$B$250,$P250))</f>
        <v/>
      </c>
      <c r="C250" s="74" t="str">
        <f aca="false">IF($P250="","",INDEX('REGISTRE ELEVES'!$D$10:$D$250,$P250))</f>
        <v/>
      </c>
      <c r="D250" s="45" t="str">
        <f aca="false">IF($P250="","",INDEX('REGISTRE ELEVES'!$E$10:$E$250,$P250))</f>
        <v/>
      </c>
      <c r="E250" s="45" t="str">
        <f aca="false">IF($P250="","",INDEX('REGISTRE ELEVES'!$AE$10:$AE$250,$P250))</f>
        <v/>
      </c>
      <c r="F250" s="80" t="str">
        <f aca="false">IF(B250="","",IFERROR(INDEX('NOTES CM2'!$M$10:$M$250,MATCH(B250,'NOTES CM2'!$B$10:$B$250,0)),""))</f>
        <v/>
      </c>
      <c r="G250" s="80" t="str">
        <f aca="false">IF(B250="","",IFERROR(INDEX('NOTES CM2'!$T$10:$T$250,MATCH(B250,'NOTES CM2'!$B$10:$B$250,0)),""))</f>
        <v/>
      </c>
      <c r="H250" s="80" t="str">
        <f aca="false">IF(B250="","",IFERROR(INDEX('NOTES CM2'!$AB$10:$AB$250,MATCH(B250,'NOTES CM2'!$B$10:$B$250,0)),""))</f>
        <v/>
      </c>
      <c r="I250" s="80" t="str">
        <f aca="false">IF(B250="","",IFERROR(INDEX('NOTES CM2'!$AJ$10:$AJ$250,MATCH(B250,'NOTES CM2'!$B$10:$B$250,0)),""))</f>
        <v/>
      </c>
      <c r="J250" s="82" t="str">
        <f aca="false">IF(COUNT(F250:I250)&lt;4,"",ROUND(SUM(F250:I250)/4,2))</f>
        <v/>
      </c>
      <c r="K250" s="83" t="n">
        <f aca="false">INDEX(PARAMETRES!$D$18:$D$23,MATCH("CM2",PARAMETRES!$B$18:$B$23,0))</f>
        <v>20</v>
      </c>
      <c r="L250" s="81" t="n">
        <f aca="false">INDEX(PARAMETRES!$C$18:$C$23,MATCH("CM2",PARAMETRES!$B$18:$B$23,0))</f>
        <v>10</v>
      </c>
      <c r="M250" s="45" t="str">
        <f aca="false">IF(B250="","",IF(E250="ABANDON","ABANDON",IF(E250="TRANSFERE","TRANSFERE",IF(J250="","",IF(J250&gt;=L250,"ADMIS","REDOUBLE")))))</f>
        <v/>
      </c>
      <c r="N250" s="73" t="str">
        <f aca="false">IF(OR(J250="",E250&lt;&gt;"PRESENT"),"",COUNTIFS($E$10:$E$250,"PRESENT",$J$10:$J$250,"&gt;"&amp;J250)+1)</f>
        <v/>
      </c>
      <c r="O250" s="74" t="str">
        <f aca="false">IF(M250="ADMIS",IF(J250/K250*10&gt;=8,"Très bien",IF(J250/K250*10&gt;=7,"Bien",IF(J250/K250*10&gt;=6,"Assez bien","Passable"))),IF(M250="REDOUBLE","Insuffisant",""))</f>
        <v/>
      </c>
      <c r="P250" s="51" t="str">
        <f aca="false">IFERROR(MATCH("CM2-241",'REGISTRE ELEVES'!$AH$10:$AH$250,0),"")</f>
        <v/>
      </c>
    </row>
  </sheetData>
  <autoFilter ref="A9:O250"/>
  <mergeCells count="10">
    <mergeCell ref="A1:G1"/>
    <mergeCell ref="H1:O1"/>
    <mergeCell ref="A2:G2"/>
    <mergeCell ref="H2:O2"/>
    <mergeCell ref="A3:G3"/>
    <mergeCell ref="H3:O3"/>
    <mergeCell ref="A4:G4"/>
    <mergeCell ref="A6:O6"/>
    <mergeCell ref="A7:O7"/>
    <mergeCell ref="A8:O8"/>
  </mergeCells>
  <conditionalFormatting sqref="M10:M250">
    <cfRule type="cellIs" priority="2" operator="equal" aboveAverage="0" equalAverage="0" bottom="0" percent="0" rank="0" text="" dxfId="37">
      <formula>"ADMIS"</formula>
    </cfRule>
    <cfRule type="cellIs" priority="3" operator="equal" aboveAverage="0" equalAverage="0" bottom="0" percent="0" rank="0" text="" dxfId="38">
      <formula>"REDOUBLE"</formula>
    </cfRule>
    <cfRule type="cellIs" priority="4" operator="equal" aboveAverage="0" equalAverage="0" bottom="0" percent="0" rank="0" text="" dxfId="39">
      <formula>"ABANDON"</formula>
    </cfRule>
  </conditionalFormatting>
  <conditionalFormatting sqref="J10:J250">
    <cfRule type="expression" priority="5" aboveAverage="0" equalAverage="0" bottom="0" percent="0" rank="0" text="" dxfId="27">
      <formula>AND(J10&lt;&gt;"",J10&lt;L10)</formula>
    </cfRule>
  </conditionalFormatting>
  <conditionalFormatting sqref="N10:N250">
    <cfRule type="cellIs" priority="6" operator="lessThanOrEqual" aboveAverage="0" equalAverage="0" bottom="0" percent="0" rank="0" text="" dxfId="40">
      <formula>3</formula>
    </cfRule>
  </conditionalFormatting>
  <conditionalFormatting sqref="F10:I250">
    <cfRule type="expression" priority="7" aboveAverage="0" equalAverage="0" bottom="0" percent="0" rank="0" text="" dxfId="29">
      <formula>AND(ISNUMBER(F10),F10&gt;IF($K10="",20,$K10))</formula>
    </cfRule>
  </conditionalFormatting>
  <dataValidations count="1">
    <dataValidation allowBlank="false" error="Moyenne comprise entre 0 et le barème de la classe" errorStyle="stop" errorTitle="Note invalide" operator="between" showDropDown="false" showErrorMessage="true" showInputMessage="false" sqref="F10:I250" type="decimal">
      <formula1>0</formula1>
      <formula2>IF($K10="",20,$K10)</formula2>
    </dataValidation>
  </dataValidations>
  <printOptions headings="false" gridLines="false" gridLinesSet="true" horizontalCentered="true" verticalCentered="false"/>
  <pageMargins left="0.309722222222222" right="0.309722222222222" top="0.470138888888889" bottom="0.470138888888889" header="0.511811023622047" footer="0.511811023622047"/>
  <pageSetup paperSize="9" scale="100" fitToWidth="1" fitToHeight="0" pageOrder="downThenOver" orientation="landscape" blackAndWhite="false" draft="false" cellComments="none" horizontalDpi="300" verticalDpi="300" copies="1"/>
  <headerFooter differentFirst="false" differentOddEven="false">
    <oddHeader/>
    <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Feuil10" filterMode="false">
    <tabColor rgb="FF1F3864"/>
    <pageSetUpPr fitToPage="true"/>
  </sheetPr>
  <dimension ref="A1:O1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9" topLeftCell="A10" activePane="bottomLeft" state="frozen"/>
      <selection pane="topLeft" activeCell="A1" activeCellId="0" sqref="A1"/>
      <selection pane="bottomLeft" activeCell="A1" activeCellId="0" sqref="A1"/>
    </sheetView>
  </sheetViews>
  <sheetFormatPr defaultColWidth="8.6796875" defaultRowHeight="15" zeroHeight="false" outlineLevelRow="0" outlineLevelCol="0"/>
  <cols>
    <col collapsed="false" customWidth="true" hidden="false" outlineLevel="0" max="1" min="1" style="0" width="5"/>
    <col collapsed="false" customWidth="true" hidden="false" outlineLevel="0" max="2" min="2" style="0" width="24"/>
    <col collapsed="false" customWidth="true" hidden="false" outlineLevel="0" max="3" min="3" style="0" width="32"/>
    <col collapsed="false" customWidth="true" hidden="false" outlineLevel="0" max="5" min="4" style="0" width="6"/>
    <col collapsed="false" customWidth="true" hidden="false" outlineLevel="0" max="6" min="6" style="0" width="13"/>
    <col collapsed="false" customWidth="true" hidden="false" outlineLevel="0" max="8" min="7" style="0" width="9"/>
    <col collapsed="false" customWidth="true" hidden="false" outlineLevel="0" max="9" min="9" style="0" width="24"/>
    <col collapsed="false" customWidth="true" hidden="false" outlineLevel="0" max="10" min="10" style="0" width="14"/>
    <col collapsed="false" customWidth="true" hidden="false" outlineLevel="0" max="11" min="11" style="0" width="24"/>
    <col collapsed="false" customWidth="true" hidden="false" outlineLevel="0" max="12" min="12" style="0" width="14"/>
    <col collapsed="false" customWidth="true" hidden="false" outlineLevel="0" max="13" min="13" style="0" width="10"/>
    <col collapsed="false" customWidth="true" hidden="false" outlineLevel="0" max="14" min="14" style="0" width="11"/>
    <col collapsed="false" customWidth="true" hidden="true" outlineLevel="0" max="15" min="15" style="0" width="5"/>
  </cols>
  <sheetData>
    <row r="1" customFormat="false" ht="15" hidden="false" customHeight="true" outlineLevel="0" collapsed="false">
      <c r="A1" s="47" t="str">
        <f aca="false">PARAMETRES!$C$4</f>
        <v>MINISTERE DE L'EDUCATION NATIONALE ET DE L'ALPHABETISATION</v>
      </c>
      <c r="B1" s="47"/>
      <c r="C1" s="47"/>
      <c r="D1" s="47"/>
      <c r="E1" s="47"/>
      <c r="F1" s="47"/>
      <c r="G1" s="47"/>
      <c r="H1" s="47" t="s">
        <v>115</v>
      </c>
      <c r="I1" s="47"/>
      <c r="J1" s="47"/>
      <c r="K1" s="47"/>
      <c r="L1" s="47"/>
      <c r="M1" s="47"/>
      <c r="N1" s="47"/>
    </row>
    <row r="2" customFormat="false" ht="15" hidden="false" customHeight="true" outlineLevel="0" collapsed="false">
      <c r="A2" s="48" t="str">
        <f aca="false">PARAMETRES!$C$5</f>
        <v>DIRECTION REGIONALE DE L'EDUCATION NATIONALE DE GAGNOA</v>
      </c>
      <c r="B2" s="48"/>
      <c r="C2" s="48"/>
      <c r="D2" s="48"/>
      <c r="E2" s="48"/>
      <c r="F2" s="48"/>
      <c r="G2" s="48"/>
      <c r="H2" s="48" t="s">
        <v>116</v>
      </c>
      <c r="I2" s="48"/>
      <c r="J2" s="48"/>
      <c r="K2" s="48"/>
      <c r="L2" s="48"/>
      <c r="M2" s="48"/>
      <c r="N2" s="48"/>
    </row>
    <row r="3" customFormat="false" ht="15" hidden="false" customHeight="false" outlineLevel="0" collapsed="false">
      <c r="A3" s="47" t="str">
        <f aca="false">PARAMETRES!$C$6</f>
        <v>IEPP GAGNOA 2</v>
      </c>
      <c r="B3" s="47"/>
      <c r="C3" s="47"/>
      <c r="D3" s="47"/>
      <c r="E3" s="47"/>
      <c r="F3" s="47"/>
      <c r="G3" s="47"/>
      <c r="H3" s="47" t="str">
        <f aca="false">"ANNEE SCOLAIRE : "&amp;PARAMETRES!$C$9</f>
        <v>ANNEE SCOLAIRE : 2026-2027</v>
      </c>
      <c r="I3" s="47"/>
      <c r="J3" s="47"/>
      <c r="K3" s="47"/>
      <c r="L3" s="47"/>
      <c r="M3" s="47"/>
      <c r="N3" s="47"/>
    </row>
    <row r="4" customFormat="false" ht="15" hidden="false" customHeight="false" outlineLevel="0" collapsed="false">
      <c r="A4" s="48" t="str">
        <f aca="false">PARAMETRES!$C$7&amp;"  -  Code : "&amp;PARAMETRES!$C$8</f>
        <v>EPP LIGUIYO  -  Code : EPP-GAG-0123</v>
      </c>
      <c r="B4" s="48"/>
      <c r="C4" s="48"/>
      <c r="D4" s="48"/>
      <c r="E4" s="48"/>
      <c r="F4" s="48"/>
      <c r="G4" s="48"/>
      <c r="H4" s="49"/>
    </row>
    <row r="6" customFormat="false" ht="27.75" hidden="false" customHeight="true" outlineLevel="0" collapsed="false">
      <c r="A6" s="30" t="str">
        <f aca="false">"ETAT DES ELEVES DE LA CLASSE DE "&amp;$C$8</f>
        <v>ETAT DES ELEVES DE LA CLASSE DE CE1</v>
      </c>
      <c r="B6" s="30"/>
      <c r="C6" s="30"/>
      <c r="D6" s="30"/>
      <c r="E6" s="30"/>
      <c r="F6" s="30"/>
      <c r="G6" s="30"/>
      <c r="H6" s="30"/>
      <c r="I6" s="30"/>
      <c r="J6" s="30"/>
      <c r="K6" s="30"/>
      <c r="L6" s="30"/>
      <c r="M6" s="30"/>
      <c r="N6" s="30"/>
    </row>
    <row r="8" customFormat="false" ht="15" hidden="false" customHeight="false" outlineLevel="0" collapsed="false">
      <c r="B8" s="84" t="s">
        <v>617</v>
      </c>
      <c r="C8" s="85" t="s">
        <v>20</v>
      </c>
      <c r="E8" s="86" t="s">
        <v>618</v>
      </c>
    </row>
    <row r="9" customFormat="false" ht="31.5" hidden="false" customHeight="true" outlineLevel="0" collapsed="false">
      <c r="A9" s="50" t="s">
        <v>120</v>
      </c>
      <c r="B9" s="50" t="s">
        <v>121</v>
      </c>
      <c r="C9" s="50" t="s">
        <v>123</v>
      </c>
      <c r="D9" s="50" t="s">
        <v>32</v>
      </c>
      <c r="E9" s="50" t="s">
        <v>125</v>
      </c>
      <c r="F9" s="50" t="s">
        <v>33</v>
      </c>
      <c r="G9" s="50" t="s">
        <v>127</v>
      </c>
      <c r="H9" s="50" t="s">
        <v>131</v>
      </c>
      <c r="I9" s="50" t="s">
        <v>619</v>
      </c>
      <c r="J9" s="50" t="s">
        <v>135</v>
      </c>
      <c r="K9" s="50" t="s">
        <v>620</v>
      </c>
      <c r="L9" s="50" t="s">
        <v>139</v>
      </c>
      <c r="M9" s="50" t="s">
        <v>144</v>
      </c>
      <c r="N9" s="50" t="s">
        <v>36</v>
      </c>
      <c r="O9" s="51" t="s">
        <v>576</v>
      </c>
    </row>
    <row r="10" customFormat="false" ht="15" hidden="false" customHeight="false" outlineLevel="0" collapsed="false">
      <c r="A10" s="87" t="n">
        <f aca="false">IF(B10="","",1)</f>
        <v>1</v>
      </c>
      <c r="B10" s="87" t="str">
        <f aca="false">IF($O10="","",INDEX('REGISTRE ELEVES'!$B$10:$B$250,$O10))</f>
        <v>CE1-001-26</v>
      </c>
      <c r="C10" s="87" t="str">
        <f aca="false">IF($O10="","",INDEX('REGISTRE ELEVES'!$D$10:$D$250,$O10))</f>
        <v>KOUASSI Moussa Ismaël</v>
      </c>
      <c r="D10" s="87" t="str">
        <f aca="false">IF($O10="","",INDEX('REGISTRE ELEVES'!$E$10:$E$250,$O10))</f>
        <v>M</v>
      </c>
      <c r="E10" s="87" t="n">
        <f aca="false">IF($O10="","",INDEX('REGISTRE ELEVES'!$H$10:$H$250,$O10))</f>
        <v>9</v>
      </c>
      <c r="F10" s="87" t="str">
        <f aca="false">IF($O10="","",INDEX('REGISTRE ELEVES'!$I$10:$I$250,$O10))</f>
        <v>IVOIRIENNE</v>
      </c>
      <c r="G10" s="0" t="str">
        <f aca="false">IF($O10="","",INDEX('REGISTRE ELEVES'!$L$10:$L$250,$O10))</f>
        <v>OUI</v>
      </c>
      <c r="H10" s="87" t="str">
        <f aca="false">IF($O10="","",INDEX('REGISTRE ELEVES'!$P$10:$P$250,$O10))</f>
        <v>NON</v>
      </c>
      <c r="I10" s="87" t="str">
        <f aca="false">IF($O10="","",INDEX('REGISTRE ELEVES'!$R$10:$R$250,$O10))</f>
        <v>GNAGNE Emmanuel</v>
      </c>
      <c r="J10" s="87" t="str">
        <f aca="false">IF($O10="","",INDEX('REGISTRE ELEVES'!$U$10:$U$250,$O10))</f>
        <v>07 47 42 57 18</v>
      </c>
      <c r="K10" s="87" t="str">
        <f aca="false">IF($O10="","",INDEX('REGISTRE ELEVES'!$V$10:$V$250,$O10))</f>
        <v>GNAGNE Clarisse</v>
      </c>
      <c r="L10" s="87" t="str">
        <f aca="false">IF($O10="","",INDEX('REGISTRE ELEVES'!$Y$10:$Y$250,$O10))</f>
        <v>05 59 85 19 56</v>
      </c>
      <c r="M10" s="87" t="str">
        <f aca="false">IF($O10="","",INDEX('REGISTRE ELEVES'!$AD$10:$AD$250,$O10))</f>
        <v>NON</v>
      </c>
      <c r="N10" s="87" t="str">
        <f aca="false">IF($O10="","",INDEX('REGISTRE ELEVES'!$AE$10:$AE$250,$O10))</f>
        <v>PRESENT</v>
      </c>
      <c r="O10" s="51" t="n">
        <f aca="false">IFERROR(MATCH($C$8&amp;"-"&amp;1,'REGISTRE ELEVES'!$AG$10:$AG$250,0),"")</f>
        <v>24</v>
      </c>
    </row>
    <row r="11" customFormat="false" ht="15" hidden="false" customHeight="false" outlineLevel="0" collapsed="false">
      <c r="A11" s="87" t="n">
        <f aca="false">IF(B11="","",2)</f>
        <v>2</v>
      </c>
      <c r="B11" s="87" t="str">
        <f aca="false">IF($O11="","",INDEX('REGISTRE ELEVES'!$B$10:$B$250,$O11))</f>
        <v>CE1-002-26</v>
      </c>
      <c r="C11" s="87" t="str">
        <f aca="false">IF($O11="","",INDEX('REGISTRE ELEVES'!$D$10:$D$250,$O11))</f>
        <v>KONE Clarisse Amenan</v>
      </c>
      <c r="D11" s="87" t="str">
        <f aca="false">IF($O11="","",INDEX('REGISTRE ELEVES'!$E$10:$E$250,$O11))</f>
        <v>F</v>
      </c>
      <c r="E11" s="87" t="n">
        <f aca="false">IF($O11="","",INDEX('REGISTRE ELEVES'!$H$10:$H$250,$O11))</f>
        <v>8</v>
      </c>
      <c r="F11" s="87" t="str">
        <f aca="false">IF($O11="","",INDEX('REGISTRE ELEVES'!$I$10:$I$250,$O11))</f>
        <v>GUINEENNE</v>
      </c>
      <c r="G11" s="0" t="str">
        <f aca="false">IF($O11="","",INDEX('REGISTRE ELEVES'!$L$10:$L$250,$O11))</f>
        <v>OUI</v>
      </c>
      <c r="H11" s="87" t="str">
        <f aca="false">IF($O11="","",INDEX('REGISTRE ELEVES'!$P$10:$P$250,$O11))</f>
        <v>NON</v>
      </c>
      <c r="I11" s="87" t="str">
        <f aca="false">IF($O11="","",INDEX('REGISTRE ELEVES'!$R$10:$R$250,$O11))</f>
        <v>TRAORE Emmanuel</v>
      </c>
      <c r="J11" s="87" t="str">
        <f aca="false">IF($O11="","",INDEX('REGISTRE ELEVES'!$U$10:$U$250,$O11))</f>
        <v>07 80 80 36 20</v>
      </c>
      <c r="K11" s="87" t="str">
        <f aca="false">IF($O11="","",INDEX('REGISTRE ELEVES'!$V$10:$V$250,$O11))</f>
        <v>ZADI Rebecca</v>
      </c>
      <c r="L11" s="87" t="str">
        <f aca="false">IF($O11="","",INDEX('REGISTRE ELEVES'!$Y$10:$Y$250,$O11))</f>
        <v>05 62 67 88 27</v>
      </c>
      <c r="M11" s="87" t="str">
        <f aca="false">IF($O11="","",INDEX('REGISTRE ELEVES'!$AD$10:$AD$250,$O11))</f>
        <v>NON</v>
      </c>
      <c r="N11" s="87" t="str">
        <f aca="false">IF($O11="","",INDEX('REGISTRE ELEVES'!$AE$10:$AE$250,$O11))</f>
        <v>ABANDON</v>
      </c>
      <c r="O11" s="51" t="n">
        <f aca="false">IFERROR(MATCH($C$8&amp;"-"&amp;2,'REGISTRE ELEVES'!$AG$10:$AG$250,0),"")</f>
        <v>25</v>
      </c>
    </row>
    <row r="12" customFormat="false" ht="15" hidden="false" customHeight="false" outlineLevel="0" collapsed="false">
      <c r="A12" s="87" t="n">
        <f aca="false">IF(B12="","",3)</f>
        <v>3</v>
      </c>
      <c r="B12" s="87" t="str">
        <f aca="false">IF($O12="","",INDEX('REGISTRE ELEVES'!$B$10:$B$250,$O12))</f>
        <v>CE1-003-26</v>
      </c>
      <c r="C12" s="87" t="str">
        <f aca="false">IF($O12="","",INDEX('REGISTRE ELEVES'!$D$10:$D$250,$O12))</f>
        <v>AKA Abdoulaye Jean-Marc</v>
      </c>
      <c r="D12" s="87" t="str">
        <f aca="false">IF($O12="","",INDEX('REGISTRE ELEVES'!$E$10:$E$250,$O12))</f>
        <v>M</v>
      </c>
      <c r="E12" s="87" t="n">
        <f aca="false">IF($O12="","",INDEX('REGISTRE ELEVES'!$H$10:$H$250,$O12))</f>
        <v>8</v>
      </c>
      <c r="F12" s="87" t="str">
        <f aca="false">IF($O12="","",INDEX('REGISTRE ELEVES'!$I$10:$I$250,$O12))</f>
        <v>IVOIRIENNE</v>
      </c>
      <c r="G12" s="0" t="str">
        <f aca="false">IF($O12="","",INDEX('REGISTRE ELEVES'!$L$10:$L$250,$O12))</f>
        <v>NON</v>
      </c>
      <c r="H12" s="87" t="str">
        <f aca="false">IF($O12="","",INDEX('REGISTRE ELEVES'!$P$10:$P$250,$O12))</f>
        <v>NON</v>
      </c>
      <c r="I12" s="87" t="str">
        <f aca="false">IF($O12="","",INDEX('REGISTRE ELEVES'!$R$10:$R$250,$O12))</f>
        <v>GBOGOU Ismaël</v>
      </c>
      <c r="J12" s="87" t="str">
        <f aca="false">IF($O12="","",INDEX('REGISTRE ELEVES'!$U$10:$U$250,$O12))</f>
        <v>07 19 36 74 73</v>
      </c>
      <c r="K12" s="87" t="str">
        <f aca="false">IF($O12="","",INDEX('REGISTRE ELEVES'!$V$10:$V$250,$O12))</f>
        <v>DIGBEU Affoué</v>
      </c>
      <c r="L12" s="87" t="str">
        <f aca="false">IF($O12="","",INDEX('REGISTRE ELEVES'!$Y$10:$Y$250,$O12))</f>
        <v>05 38 67 52 67</v>
      </c>
      <c r="M12" s="87" t="str">
        <f aca="false">IF($O12="","",INDEX('REGISTRE ELEVES'!$AD$10:$AD$250,$O12))</f>
        <v>NON</v>
      </c>
      <c r="N12" s="87" t="str">
        <f aca="false">IF($O12="","",INDEX('REGISTRE ELEVES'!$AE$10:$AE$250,$O12))</f>
        <v>PRESENT</v>
      </c>
      <c r="O12" s="51" t="n">
        <f aca="false">IFERROR(MATCH($C$8&amp;"-"&amp;3,'REGISTRE ELEVES'!$AG$10:$AG$250,0),"")</f>
        <v>26</v>
      </c>
    </row>
    <row r="13" customFormat="false" ht="15" hidden="false" customHeight="false" outlineLevel="0" collapsed="false">
      <c r="A13" s="87" t="n">
        <f aca="false">IF(B13="","",4)</f>
        <v>4</v>
      </c>
      <c r="B13" s="87" t="str">
        <f aca="false">IF($O13="","",INDEX('REGISTRE ELEVES'!$B$10:$B$250,$O13))</f>
        <v>CE1-004-26</v>
      </c>
      <c r="C13" s="87" t="str">
        <f aca="false">IF($O13="","",INDEX('REGISTRE ELEVES'!$D$10:$D$250,$O13))</f>
        <v>KOFFI Grâce Akissi</v>
      </c>
      <c r="D13" s="87" t="str">
        <f aca="false">IF($O13="","",INDEX('REGISTRE ELEVES'!$E$10:$E$250,$O13))</f>
        <v>F</v>
      </c>
      <c r="E13" s="87" t="n">
        <f aca="false">IF($O13="","",INDEX('REGISTRE ELEVES'!$H$10:$H$250,$O13))</f>
        <v>8</v>
      </c>
      <c r="F13" s="87" t="str">
        <f aca="false">IF($O13="","",INDEX('REGISTRE ELEVES'!$I$10:$I$250,$O13))</f>
        <v>IVOIRIENNE</v>
      </c>
      <c r="G13" s="0" t="str">
        <f aca="false">IF($O13="","",INDEX('REGISTRE ELEVES'!$L$10:$L$250,$O13))</f>
        <v>OUI</v>
      </c>
      <c r="H13" s="87" t="str">
        <f aca="false">IF($O13="","",INDEX('REGISTRE ELEVES'!$P$10:$P$250,$O13))</f>
        <v>NON</v>
      </c>
      <c r="I13" s="87" t="str">
        <f aca="false">IF($O13="","",INDEX('REGISTRE ELEVES'!$R$10:$R$250,$O13))</f>
        <v>KOUASSI Junior</v>
      </c>
      <c r="J13" s="87" t="str">
        <f aca="false">IF($O13="","",INDEX('REGISTRE ELEVES'!$U$10:$U$250,$O13))</f>
        <v>07 44 53 17 73</v>
      </c>
      <c r="K13" s="87" t="str">
        <f aca="false">IF($O13="","",INDEX('REGISTRE ELEVES'!$V$10:$V$250,$O13))</f>
        <v>SERI Fatoumata</v>
      </c>
      <c r="L13" s="87" t="str">
        <f aca="false">IF($O13="","",INDEX('REGISTRE ELEVES'!$Y$10:$Y$250,$O13))</f>
        <v>05 83 56 26 97</v>
      </c>
      <c r="M13" s="87" t="str">
        <f aca="false">IF($O13="","",INDEX('REGISTRE ELEVES'!$AD$10:$AD$250,$O13))</f>
        <v>NON</v>
      </c>
      <c r="N13" s="87" t="str">
        <f aca="false">IF($O13="","",INDEX('REGISTRE ELEVES'!$AE$10:$AE$250,$O13))</f>
        <v>PRESENT</v>
      </c>
      <c r="O13" s="51" t="n">
        <f aca="false">IFERROR(MATCH($C$8&amp;"-"&amp;4,'REGISTRE ELEVES'!$AG$10:$AG$250,0),"")</f>
        <v>27</v>
      </c>
    </row>
    <row r="14" customFormat="false" ht="15" hidden="false" customHeight="false" outlineLevel="0" collapsed="false">
      <c r="A14" s="87" t="n">
        <f aca="false">IF(B14="","",5)</f>
        <v>5</v>
      </c>
      <c r="B14" s="87" t="str">
        <f aca="false">IF($O14="","",INDEX('REGISTRE ELEVES'!$B$10:$B$250,$O14))</f>
        <v>CE1-005-26</v>
      </c>
      <c r="C14" s="87" t="str">
        <f aca="false">IF($O14="","",INDEX('REGISTRE ELEVES'!$D$10:$D$250,$O14))</f>
        <v>YAO Kouakou Konan</v>
      </c>
      <c r="D14" s="87" t="str">
        <f aca="false">IF($O14="","",INDEX('REGISTRE ELEVES'!$E$10:$E$250,$O14))</f>
        <v>M</v>
      </c>
      <c r="E14" s="87" t="n">
        <f aca="false">IF($O14="","",INDEX('REGISTRE ELEVES'!$H$10:$H$250,$O14))</f>
        <v>9</v>
      </c>
      <c r="F14" s="87" t="str">
        <f aca="false">IF($O14="","",INDEX('REGISTRE ELEVES'!$I$10:$I$250,$O14))</f>
        <v>IVOIRIENNE</v>
      </c>
      <c r="G14" s="0" t="str">
        <f aca="false">IF($O14="","",INDEX('REGISTRE ELEVES'!$L$10:$L$250,$O14))</f>
        <v>NON</v>
      </c>
      <c r="H14" s="87" t="str">
        <f aca="false">IF($O14="","",INDEX('REGISTRE ELEVES'!$P$10:$P$250,$O14))</f>
        <v>NON</v>
      </c>
      <c r="I14" s="87" t="str">
        <f aca="false">IF($O14="","",INDEX('REGISTRE ELEVES'!$R$10:$R$250,$O14))</f>
        <v>KONAN Abdoulaye</v>
      </c>
      <c r="J14" s="87" t="str">
        <f aca="false">IF($O14="","",INDEX('REGISTRE ELEVES'!$U$10:$U$250,$O14))</f>
        <v>07 60 77 69 67</v>
      </c>
      <c r="K14" s="87" t="str">
        <f aca="false">IF($O14="","",INDEX('REGISTRE ELEVES'!$V$10:$V$250,$O14))</f>
        <v>AKA Estelle</v>
      </c>
      <c r="L14" s="87" t="str">
        <f aca="false">IF($O14="","",INDEX('REGISTRE ELEVES'!$Y$10:$Y$250,$O14))</f>
        <v>05 23 38 29 29</v>
      </c>
      <c r="M14" s="87" t="str">
        <f aca="false">IF($O14="","",INDEX('REGISTRE ELEVES'!$AD$10:$AD$250,$O14))</f>
        <v>OUI</v>
      </c>
      <c r="N14" s="87" t="str">
        <f aca="false">IF($O14="","",INDEX('REGISTRE ELEVES'!$AE$10:$AE$250,$O14))</f>
        <v>PRESENT</v>
      </c>
      <c r="O14" s="51" t="n">
        <f aca="false">IFERROR(MATCH($C$8&amp;"-"&amp;5,'REGISTRE ELEVES'!$AG$10:$AG$250,0),"")</f>
        <v>28</v>
      </c>
    </row>
    <row r="15" customFormat="false" ht="15" hidden="false" customHeight="false" outlineLevel="0" collapsed="false">
      <c r="A15" s="87" t="n">
        <f aca="false">IF(B15="","",6)</f>
        <v>6</v>
      </c>
      <c r="B15" s="87" t="str">
        <f aca="false">IF($O15="","",INDEX('REGISTRE ELEVES'!$B$10:$B$250,$O15))</f>
        <v>CE1-006-26</v>
      </c>
      <c r="C15" s="87" t="str">
        <f aca="false">IF($O15="","",INDEX('REGISTRE ELEVES'!$D$10:$D$250,$O15))</f>
        <v>SORO Cédric Emmanuel</v>
      </c>
      <c r="D15" s="87" t="str">
        <f aca="false">IF($O15="","",INDEX('REGISTRE ELEVES'!$E$10:$E$250,$O15))</f>
        <v>M</v>
      </c>
      <c r="E15" s="87" t="n">
        <f aca="false">IF($O15="","",INDEX('REGISTRE ELEVES'!$H$10:$H$250,$O15))</f>
        <v>9</v>
      </c>
      <c r="F15" s="87" t="str">
        <f aca="false">IF($O15="","",INDEX('REGISTRE ELEVES'!$I$10:$I$250,$O15))</f>
        <v>IVOIRIENNE</v>
      </c>
      <c r="G15" s="0" t="str">
        <f aca="false">IF($O15="","",INDEX('REGISTRE ELEVES'!$L$10:$L$250,$O15))</f>
        <v>OUI</v>
      </c>
      <c r="H15" s="87" t="str">
        <f aca="false">IF($O15="","",INDEX('REGISTRE ELEVES'!$P$10:$P$250,$O15))</f>
        <v>NON</v>
      </c>
      <c r="I15" s="87" t="str">
        <f aca="false">IF($O15="","",INDEX('REGISTRE ELEVES'!$R$10:$R$250,$O15))</f>
        <v>DIABATE Koffi</v>
      </c>
      <c r="J15" s="87" t="str">
        <f aca="false">IF($O15="","",INDEX('REGISTRE ELEVES'!$U$10:$U$250,$O15))</f>
        <v>07 22 19 48 77</v>
      </c>
      <c r="K15" s="87" t="str">
        <f aca="false">IF($O15="","",INDEX('REGISTRE ELEVES'!$V$10:$V$250,$O15))</f>
        <v>SORO Aya</v>
      </c>
      <c r="L15" s="87" t="str">
        <f aca="false">IF($O15="","",INDEX('REGISTRE ELEVES'!$Y$10:$Y$250,$O15))</f>
        <v>05 34 59 43 38</v>
      </c>
      <c r="M15" s="87" t="str">
        <f aca="false">IF($O15="","",INDEX('REGISTRE ELEVES'!$AD$10:$AD$250,$O15))</f>
        <v>OUI</v>
      </c>
      <c r="N15" s="87" t="str">
        <f aca="false">IF($O15="","",INDEX('REGISTRE ELEVES'!$AE$10:$AE$250,$O15))</f>
        <v>PRESENT</v>
      </c>
      <c r="O15" s="51" t="n">
        <f aca="false">IFERROR(MATCH($C$8&amp;"-"&amp;6,'REGISTRE ELEVES'!$AG$10:$AG$250,0),"")</f>
        <v>29</v>
      </c>
    </row>
    <row r="16" customFormat="false" ht="15" hidden="false" customHeight="false" outlineLevel="0" collapsed="false">
      <c r="A16" s="87" t="n">
        <f aca="false">IF(B16="","",7)</f>
        <v>7</v>
      </c>
      <c r="B16" s="87" t="str">
        <f aca="false">IF($O16="","",INDEX('REGISTRE ELEVES'!$B$10:$B$250,$O16))</f>
        <v>CE1-007-26</v>
      </c>
      <c r="C16" s="87" t="str">
        <f aca="false">IF($O16="","",INDEX('REGISTRE ELEVES'!$D$10:$D$250,$O16))</f>
        <v>KOUASSI Franck Kouakou</v>
      </c>
      <c r="D16" s="87" t="str">
        <f aca="false">IF($O16="","",INDEX('REGISTRE ELEVES'!$E$10:$E$250,$O16))</f>
        <v>M</v>
      </c>
      <c r="E16" s="87" t="n">
        <f aca="false">IF($O16="","",INDEX('REGISTRE ELEVES'!$H$10:$H$250,$O16))</f>
        <v>9</v>
      </c>
      <c r="F16" s="87" t="str">
        <f aca="false">IF($O16="","",INDEX('REGISTRE ELEVES'!$I$10:$I$250,$O16))</f>
        <v>IVOIRIENNE</v>
      </c>
      <c r="G16" s="0" t="str">
        <f aca="false">IF($O16="","",INDEX('REGISTRE ELEVES'!$L$10:$L$250,$O16))</f>
        <v>NON</v>
      </c>
      <c r="H16" s="87" t="str">
        <f aca="false">IF($O16="","",INDEX('REGISTRE ELEVES'!$P$10:$P$250,$O16))</f>
        <v>NON</v>
      </c>
      <c r="I16" s="87" t="str">
        <f aca="false">IF($O16="","",INDEX('REGISTRE ELEVES'!$R$10:$R$250,$O16))</f>
        <v>SERI Junior</v>
      </c>
      <c r="J16" s="87" t="str">
        <f aca="false">IF($O16="","",INDEX('REGISTRE ELEVES'!$U$10:$U$250,$O16))</f>
        <v>07 73 96 92 63</v>
      </c>
      <c r="K16" s="87" t="str">
        <f aca="false">IF($O16="","",INDEX('REGISTRE ELEVES'!$V$10:$V$250,$O16))</f>
        <v>SORO Aya</v>
      </c>
      <c r="L16" s="87" t="str">
        <f aca="false">IF($O16="","",INDEX('REGISTRE ELEVES'!$Y$10:$Y$250,$O16))</f>
        <v>05 42 39 95 64</v>
      </c>
      <c r="M16" s="87" t="str">
        <f aca="false">IF($O16="","",INDEX('REGISTRE ELEVES'!$AD$10:$AD$250,$O16))</f>
        <v>NON</v>
      </c>
      <c r="N16" s="87" t="str">
        <f aca="false">IF($O16="","",INDEX('REGISTRE ELEVES'!$AE$10:$AE$250,$O16))</f>
        <v>PRESENT</v>
      </c>
      <c r="O16" s="51" t="n">
        <f aca="false">IFERROR(MATCH($C$8&amp;"-"&amp;7,'REGISTRE ELEVES'!$AG$10:$AG$250,0),"")</f>
        <v>30</v>
      </c>
    </row>
    <row r="17" customFormat="false" ht="15" hidden="false" customHeight="false" outlineLevel="0" collapsed="false">
      <c r="A17" s="87" t="n">
        <f aca="false">IF(B17="","",8)</f>
        <v>8</v>
      </c>
      <c r="B17" s="87" t="str">
        <f aca="false">IF($O17="","",INDEX('REGISTRE ELEVES'!$B$10:$B$250,$O17))</f>
        <v>CE1-008-26</v>
      </c>
      <c r="C17" s="87" t="str">
        <f aca="false">IF($O17="","",INDEX('REGISTRE ELEVES'!$D$10:$D$250,$O17))</f>
        <v>BAMBA Mariam Amenan</v>
      </c>
      <c r="D17" s="87" t="str">
        <f aca="false">IF($O17="","",INDEX('REGISTRE ELEVES'!$E$10:$E$250,$O17))</f>
        <v>F</v>
      </c>
      <c r="E17" s="87" t="n">
        <f aca="false">IF($O17="","",INDEX('REGISTRE ELEVES'!$H$10:$H$250,$O17))</f>
        <v>10</v>
      </c>
      <c r="F17" s="87" t="str">
        <f aca="false">IF($O17="","",INDEX('REGISTRE ELEVES'!$I$10:$I$250,$O17))</f>
        <v>IVOIRIENNE</v>
      </c>
      <c r="G17" s="0" t="str">
        <f aca="false">IF($O17="","",INDEX('REGISTRE ELEVES'!$L$10:$L$250,$O17))</f>
        <v>OUI</v>
      </c>
      <c r="H17" s="87" t="str">
        <f aca="false">IF($O17="","",INDEX('REGISTRE ELEVES'!$P$10:$P$250,$O17))</f>
        <v>NON</v>
      </c>
      <c r="I17" s="87" t="str">
        <f aca="false">IF($O17="","",INDEX('REGISTRE ELEVES'!$R$10:$R$250,$O17))</f>
        <v>TANOH Yao</v>
      </c>
      <c r="J17" s="87" t="str">
        <f aca="false">IF($O17="","",INDEX('REGISTRE ELEVES'!$U$10:$U$250,$O17))</f>
        <v>07 69 38 43 47</v>
      </c>
      <c r="K17" s="87" t="str">
        <f aca="false">IF($O17="","",INDEX('REGISTRE ELEVES'!$V$10:$V$250,$O17))</f>
        <v>TRAORE Mariam</v>
      </c>
      <c r="L17" s="87" t="str">
        <f aca="false">IF($O17="","",INDEX('REGISTRE ELEVES'!$Y$10:$Y$250,$O17))</f>
        <v>05 89 73 88 33</v>
      </c>
      <c r="M17" s="87" t="str">
        <f aca="false">IF($O17="","",INDEX('REGISTRE ELEVES'!$AD$10:$AD$250,$O17))</f>
        <v>NON</v>
      </c>
      <c r="N17" s="87" t="str">
        <f aca="false">IF($O17="","",INDEX('REGISTRE ELEVES'!$AE$10:$AE$250,$O17))</f>
        <v>PRESENT</v>
      </c>
      <c r="O17" s="51" t="n">
        <f aca="false">IFERROR(MATCH($C$8&amp;"-"&amp;8,'REGISTRE ELEVES'!$AG$10:$AG$250,0),"")</f>
        <v>31</v>
      </c>
    </row>
    <row r="18" customFormat="false" ht="15" hidden="false" customHeight="false" outlineLevel="0" collapsed="false">
      <c r="A18" s="87" t="n">
        <f aca="false">IF(B18="","",9)</f>
        <v>9</v>
      </c>
      <c r="B18" s="87" t="str">
        <f aca="false">IF($O18="","",INDEX('REGISTRE ELEVES'!$B$10:$B$250,$O18))</f>
        <v>CE1-009-26</v>
      </c>
      <c r="C18" s="87" t="str">
        <f aca="false">IF($O18="","",INDEX('REGISTRE ELEVES'!$D$10:$D$250,$O18))</f>
        <v>DIGBEU Kouadio Konan</v>
      </c>
      <c r="D18" s="87" t="str">
        <f aca="false">IF($O18="","",INDEX('REGISTRE ELEVES'!$E$10:$E$250,$O18))</f>
        <v>M</v>
      </c>
      <c r="E18" s="87" t="n">
        <f aca="false">IF($O18="","",INDEX('REGISTRE ELEVES'!$H$10:$H$250,$O18))</f>
        <v>8</v>
      </c>
      <c r="F18" s="87" t="str">
        <f aca="false">IF($O18="","",INDEX('REGISTRE ELEVES'!$I$10:$I$250,$O18))</f>
        <v>IVOIRIENNE</v>
      </c>
      <c r="G18" s="0" t="str">
        <f aca="false">IF($O18="","",INDEX('REGISTRE ELEVES'!$L$10:$L$250,$O18))</f>
        <v>OUI</v>
      </c>
      <c r="H18" s="87" t="str">
        <f aca="false">IF($O18="","",INDEX('REGISTRE ELEVES'!$P$10:$P$250,$O18))</f>
        <v>NON</v>
      </c>
      <c r="I18" s="87" t="str">
        <f aca="false">IF($O18="","",INDEX('REGISTRE ELEVES'!$R$10:$R$250,$O18))</f>
        <v>GNAGNE Junior</v>
      </c>
      <c r="J18" s="87" t="str">
        <f aca="false">IF($O18="","",INDEX('REGISTRE ELEVES'!$U$10:$U$250,$O18))</f>
        <v>07 14 49 95 58</v>
      </c>
      <c r="K18" s="87" t="str">
        <f aca="false">IF($O18="","",INDEX('REGISTRE ELEVES'!$V$10:$V$250,$O18))</f>
        <v>N'GUESSAN Affoué</v>
      </c>
      <c r="L18" s="87" t="str">
        <f aca="false">IF($O18="","",INDEX('REGISTRE ELEVES'!$Y$10:$Y$250,$O18))</f>
        <v>05 52 66 31 23</v>
      </c>
      <c r="M18" s="87" t="str">
        <f aca="false">IF($O18="","",INDEX('REGISTRE ELEVES'!$AD$10:$AD$250,$O18))</f>
        <v>NON</v>
      </c>
      <c r="N18" s="87" t="str">
        <f aca="false">IF($O18="","",INDEX('REGISTRE ELEVES'!$AE$10:$AE$250,$O18))</f>
        <v>PRESENT</v>
      </c>
      <c r="O18" s="51" t="n">
        <f aca="false">IFERROR(MATCH($C$8&amp;"-"&amp;9,'REGISTRE ELEVES'!$AG$10:$AG$250,0),"")</f>
        <v>32</v>
      </c>
    </row>
    <row r="19" customFormat="false" ht="15" hidden="false" customHeight="false" outlineLevel="0" collapsed="false">
      <c r="A19" s="87" t="str">
        <f aca="false">IF(B19="","",10)</f>
        <v/>
      </c>
      <c r="B19" s="87" t="str">
        <f aca="false">IF($O19="","",INDEX('REGISTRE ELEVES'!$B$10:$B$250,$O19))</f>
        <v/>
      </c>
      <c r="C19" s="87" t="str">
        <f aca="false">IF($O19="","",INDEX('REGISTRE ELEVES'!$D$10:$D$250,$O19))</f>
        <v/>
      </c>
      <c r="D19" s="87" t="str">
        <f aca="false">IF($O19="","",INDEX('REGISTRE ELEVES'!$E$10:$E$250,$O19))</f>
        <v/>
      </c>
      <c r="E19" s="87" t="str">
        <f aca="false">IF($O19="","",INDEX('REGISTRE ELEVES'!$H$10:$H$250,$O19))</f>
        <v/>
      </c>
      <c r="F19" s="87" t="str">
        <f aca="false">IF($O19="","",INDEX('REGISTRE ELEVES'!$I$10:$I$250,$O19))</f>
        <v/>
      </c>
      <c r="G19" s="0" t="str">
        <f aca="false">IF($O19="","",INDEX('REGISTRE ELEVES'!$L$10:$L$250,$O19))</f>
        <v/>
      </c>
      <c r="H19" s="87" t="str">
        <f aca="false">IF($O19="","",INDEX('REGISTRE ELEVES'!$P$10:$P$250,$O19))</f>
        <v/>
      </c>
      <c r="I19" s="87" t="str">
        <f aca="false">IF($O19="","",INDEX('REGISTRE ELEVES'!$R$10:$R$250,$O19))</f>
        <v/>
      </c>
      <c r="J19" s="87" t="str">
        <f aca="false">IF($O19="","",INDEX('REGISTRE ELEVES'!$U$10:$U$250,$O19))</f>
        <v/>
      </c>
      <c r="K19" s="87" t="str">
        <f aca="false">IF($O19="","",INDEX('REGISTRE ELEVES'!$V$10:$V$250,$O19))</f>
        <v/>
      </c>
      <c r="L19" s="87" t="str">
        <f aca="false">IF($O19="","",INDEX('REGISTRE ELEVES'!$Y$10:$Y$250,$O19))</f>
        <v/>
      </c>
      <c r="M19" s="87" t="str">
        <f aca="false">IF($O19="","",INDEX('REGISTRE ELEVES'!$AD$10:$AD$250,$O19))</f>
        <v/>
      </c>
      <c r="N19" s="87" t="str">
        <f aca="false">IF($O19="","",INDEX('REGISTRE ELEVES'!$AE$10:$AE$250,$O19))</f>
        <v/>
      </c>
      <c r="O19" s="51" t="str">
        <f aca="false">IFERROR(MATCH($C$8&amp;"-"&amp;10,'REGISTRE ELEVES'!$AG$10:$AG$250,0),"")</f>
        <v/>
      </c>
    </row>
    <row r="20" customFormat="false" ht="15" hidden="false" customHeight="false" outlineLevel="0" collapsed="false">
      <c r="A20" s="87" t="str">
        <f aca="false">IF(B20="","",11)</f>
        <v/>
      </c>
      <c r="B20" s="87" t="str">
        <f aca="false">IF($O20="","",INDEX('REGISTRE ELEVES'!$B$10:$B$250,$O20))</f>
        <v/>
      </c>
      <c r="C20" s="87" t="str">
        <f aca="false">IF($O20="","",INDEX('REGISTRE ELEVES'!$D$10:$D$250,$O20))</f>
        <v/>
      </c>
      <c r="D20" s="87" t="str">
        <f aca="false">IF($O20="","",INDEX('REGISTRE ELEVES'!$E$10:$E$250,$O20))</f>
        <v/>
      </c>
      <c r="E20" s="87" t="str">
        <f aca="false">IF($O20="","",INDEX('REGISTRE ELEVES'!$H$10:$H$250,$O20))</f>
        <v/>
      </c>
      <c r="F20" s="87" t="str">
        <f aca="false">IF($O20="","",INDEX('REGISTRE ELEVES'!$I$10:$I$250,$O20))</f>
        <v/>
      </c>
      <c r="G20" s="0" t="str">
        <f aca="false">IF($O20="","",INDEX('REGISTRE ELEVES'!$L$10:$L$250,$O20))</f>
        <v/>
      </c>
      <c r="H20" s="87" t="str">
        <f aca="false">IF($O20="","",INDEX('REGISTRE ELEVES'!$P$10:$P$250,$O20))</f>
        <v/>
      </c>
      <c r="I20" s="87" t="str">
        <f aca="false">IF($O20="","",INDEX('REGISTRE ELEVES'!$R$10:$R$250,$O20))</f>
        <v/>
      </c>
      <c r="J20" s="87" t="str">
        <f aca="false">IF($O20="","",INDEX('REGISTRE ELEVES'!$U$10:$U$250,$O20))</f>
        <v/>
      </c>
      <c r="K20" s="87" t="str">
        <f aca="false">IF($O20="","",INDEX('REGISTRE ELEVES'!$V$10:$V$250,$O20))</f>
        <v/>
      </c>
      <c r="L20" s="87" t="str">
        <f aca="false">IF($O20="","",INDEX('REGISTRE ELEVES'!$Y$10:$Y$250,$O20))</f>
        <v/>
      </c>
      <c r="M20" s="87" t="str">
        <f aca="false">IF($O20="","",INDEX('REGISTRE ELEVES'!$AD$10:$AD$250,$O20))</f>
        <v/>
      </c>
      <c r="N20" s="87" t="str">
        <f aca="false">IF($O20="","",INDEX('REGISTRE ELEVES'!$AE$10:$AE$250,$O20))</f>
        <v/>
      </c>
      <c r="O20" s="51" t="str">
        <f aca="false">IFERROR(MATCH($C$8&amp;"-"&amp;11,'REGISTRE ELEVES'!$AG$10:$AG$250,0),"")</f>
        <v/>
      </c>
    </row>
    <row r="21" customFormat="false" ht="15" hidden="false" customHeight="false" outlineLevel="0" collapsed="false">
      <c r="A21" s="87" t="str">
        <f aca="false">IF(B21="","",12)</f>
        <v/>
      </c>
      <c r="B21" s="87" t="str">
        <f aca="false">IF($O21="","",INDEX('REGISTRE ELEVES'!$B$10:$B$250,$O21))</f>
        <v/>
      </c>
      <c r="C21" s="87" t="str">
        <f aca="false">IF($O21="","",INDEX('REGISTRE ELEVES'!$D$10:$D$250,$O21))</f>
        <v/>
      </c>
      <c r="D21" s="87" t="str">
        <f aca="false">IF($O21="","",INDEX('REGISTRE ELEVES'!$E$10:$E$250,$O21))</f>
        <v/>
      </c>
      <c r="E21" s="87" t="str">
        <f aca="false">IF($O21="","",INDEX('REGISTRE ELEVES'!$H$10:$H$250,$O21))</f>
        <v/>
      </c>
      <c r="F21" s="87" t="str">
        <f aca="false">IF($O21="","",INDEX('REGISTRE ELEVES'!$I$10:$I$250,$O21))</f>
        <v/>
      </c>
      <c r="G21" s="0" t="str">
        <f aca="false">IF($O21="","",INDEX('REGISTRE ELEVES'!$L$10:$L$250,$O21))</f>
        <v/>
      </c>
      <c r="H21" s="87" t="str">
        <f aca="false">IF($O21="","",INDEX('REGISTRE ELEVES'!$P$10:$P$250,$O21))</f>
        <v/>
      </c>
      <c r="I21" s="87" t="str">
        <f aca="false">IF($O21="","",INDEX('REGISTRE ELEVES'!$R$10:$R$250,$O21))</f>
        <v/>
      </c>
      <c r="J21" s="87" t="str">
        <f aca="false">IF($O21="","",INDEX('REGISTRE ELEVES'!$U$10:$U$250,$O21))</f>
        <v/>
      </c>
      <c r="K21" s="87" t="str">
        <f aca="false">IF($O21="","",INDEX('REGISTRE ELEVES'!$V$10:$V$250,$O21))</f>
        <v/>
      </c>
      <c r="L21" s="87" t="str">
        <f aca="false">IF($O21="","",INDEX('REGISTRE ELEVES'!$Y$10:$Y$250,$O21))</f>
        <v/>
      </c>
      <c r="M21" s="87" t="str">
        <f aca="false">IF($O21="","",INDEX('REGISTRE ELEVES'!$AD$10:$AD$250,$O21))</f>
        <v/>
      </c>
      <c r="N21" s="87" t="str">
        <f aca="false">IF($O21="","",INDEX('REGISTRE ELEVES'!$AE$10:$AE$250,$O21))</f>
        <v/>
      </c>
      <c r="O21" s="51" t="str">
        <f aca="false">IFERROR(MATCH($C$8&amp;"-"&amp;12,'REGISTRE ELEVES'!$AG$10:$AG$250,0),"")</f>
        <v/>
      </c>
    </row>
    <row r="22" customFormat="false" ht="15" hidden="false" customHeight="false" outlineLevel="0" collapsed="false">
      <c r="A22" s="87" t="str">
        <f aca="false">IF(B22="","",13)</f>
        <v/>
      </c>
      <c r="B22" s="87" t="str">
        <f aca="false">IF($O22="","",INDEX('REGISTRE ELEVES'!$B$10:$B$250,$O22))</f>
        <v/>
      </c>
      <c r="C22" s="87" t="str">
        <f aca="false">IF($O22="","",INDEX('REGISTRE ELEVES'!$D$10:$D$250,$O22))</f>
        <v/>
      </c>
      <c r="D22" s="87" t="str">
        <f aca="false">IF($O22="","",INDEX('REGISTRE ELEVES'!$E$10:$E$250,$O22))</f>
        <v/>
      </c>
      <c r="E22" s="87" t="str">
        <f aca="false">IF($O22="","",INDEX('REGISTRE ELEVES'!$H$10:$H$250,$O22))</f>
        <v/>
      </c>
      <c r="F22" s="87" t="str">
        <f aca="false">IF($O22="","",INDEX('REGISTRE ELEVES'!$I$10:$I$250,$O22))</f>
        <v/>
      </c>
      <c r="G22" s="0" t="str">
        <f aca="false">IF($O22="","",INDEX('REGISTRE ELEVES'!$L$10:$L$250,$O22))</f>
        <v/>
      </c>
      <c r="H22" s="87" t="str">
        <f aca="false">IF($O22="","",INDEX('REGISTRE ELEVES'!$P$10:$P$250,$O22))</f>
        <v/>
      </c>
      <c r="I22" s="87" t="str">
        <f aca="false">IF($O22="","",INDEX('REGISTRE ELEVES'!$R$10:$R$250,$O22))</f>
        <v/>
      </c>
      <c r="J22" s="87" t="str">
        <f aca="false">IF($O22="","",INDEX('REGISTRE ELEVES'!$U$10:$U$250,$O22))</f>
        <v/>
      </c>
      <c r="K22" s="87" t="str">
        <f aca="false">IF($O22="","",INDEX('REGISTRE ELEVES'!$V$10:$V$250,$O22))</f>
        <v/>
      </c>
      <c r="L22" s="87" t="str">
        <f aca="false">IF($O22="","",INDEX('REGISTRE ELEVES'!$Y$10:$Y$250,$O22))</f>
        <v/>
      </c>
      <c r="M22" s="87" t="str">
        <f aca="false">IF($O22="","",INDEX('REGISTRE ELEVES'!$AD$10:$AD$250,$O22))</f>
        <v/>
      </c>
      <c r="N22" s="87" t="str">
        <f aca="false">IF($O22="","",INDEX('REGISTRE ELEVES'!$AE$10:$AE$250,$O22))</f>
        <v/>
      </c>
      <c r="O22" s="51" t="str">
        <f aca="false">IFERROR(MATCH($C$8&amp;"-"&amp;13,'REGISTRE ELEVES'!$AG$10:$AG$250,0),"")</f>
        <v/>
      </c>
    </row>
    <row r="23" customFormat="false" ht="15" hidden="false" customHeight="false" outlineLevel="0" collapsed="false">
      <c r="A23" s="87" t="str">
        <f aca="false">IF(B23="","",14)</f>
        <v/>
      </c>
      <c r="B23" s="87" t="str">
        <f aca="false">IF($O23="","",INDEX('REGISTRE ELEVES'!$B$10:$B$250,$O23))</f>
        <v/>
      </c>
      <c r="C23" s="87" t="str">
        <f aca="false">IF($O23="","",INDEX('REGISTRE ELEVES'!$D$10:$D$250,$O23))</f>
        <v/>
      </c>
      <c r="D23" s="87" t="str">
        <f aca="false">IF($O23="","",INDEX('REGISTRE ELEVES'!$E$10:$E$250,$O23))</f>
        <v/>
      </c>
      <c r="E23" s="87" t="str">
        <f aca="false">IF($O23="","",INDEX('REGISTRE ELEVES'!$H$10:$H$250,$O23))</f>
        <v/>
      </c>
      <c r="F23" s="87" t="str">
        <f aca="false">IF($O23="","",INDEX('REGISTRE ELEVES'!$I$10:$I$250,$O23))</f>
        <v/>
      </c>
      <c r="G23" s="0" t="str">
        <f aca="false">IF($O23="","",INDEX('REGISTRE ELEVES'!$L$10:$L$250,$O23))</f>
        <v/>
      </c>
      <c r="H23" s="87" t="str">
        <f aca="false">IF($O23="","",INDEX('REGISTRE ELEVES'!$P$10:$P$250,$O23))</f>
        <v/>
      </c>
      <c r="I23" s="87" t="str">
        <f aca="false">IF($O23="","",INDEX('REGISTRE ELEVES'!$R$10:$R$250,$O23))</f>
        <v/>
      </c>
      <c r="J23" s="87" t="str">
        <f aca="false">IF($O23="","",INDEX('REGISTRE ELEVES'!$U$10:$U$250,$O23))</f>
        <v/>
      </c>
      <c r="K23" s="87" t="str">
        <f aca="false">IF($O23="","",INDEX('REGISTRE ELEVES'!$V$10:$V$250,$O23))</f>
        <v/>
      </c>
      <c r="L23" s="87" t="str">
        <f aca="false">IF($O23="","",INDEX('REGISTRE ELEVES'!$Y$10:$Y$250,$O23))</f>
        <v/>
      </c>
      <c r="M23" s="87" t="str">
        <f aca="false">IF($O23="","",INDEX('REGISTRE ELEVES'!$AD$10:$AD$250,$O23))</f>
        <v/>
      </c>
      <c r="N23" s="87" t="str">
        <f aca="false">IF($O23="","",INDEX('REGISTRE ELEVES'!$AE$10:$AE$250,$O23))</f>
        <v/>
      </c>
      <c r="O23" s="51" t="str">
        <f aca="false">IFERROR(MATCH($C$8&amp;"-"&amp;14,'REGISTRE ELEVES'!$AG$10:$AG$250,0),"")</f>
        <v/>
      </c>
    </row>
    <row r="24" customFormat="false" ht="15" hidden="false" customHeight="false" outlineLevel="0" collapsed="false">
      <c r="A24" s="87" t="str">
        <f aca="false">IF(B24="","",15)</f>
        <v/>
      </c>
      <c r="B24" s="87" t="str">
        <f aca="false">IF($O24="","",INDEX('REGISTRE ELEVES'!$B$10:$B$250,$O24))</f>
        <v/>
      </c>
      <c r="C24" s="87" t="str">
        <f aca="false">IF($O24="","",INDEX('REGISTRE ELEVES'!$D$10:$D$250,$O24))</f>
        <v/>
      </c>
      <c r="D24" s="87" t="str">
        <f aca="false">IF($O24="","",INDEX('REGISTRE ELEVES'!$E$10:$E$250,$O24))</f>
        <v/>
      </c>
      <c r="E24" s="87" t="str">
        <f aca="false">IF($O24="","",INDEX('REGISTRE ELEVES'!$H$10:$H$250,$O24))</f>
        <v/>
      </c>
      <c r="F24" s="87" t="str">
        <f aca="false">IF($O24="","",INDEX('REGISTRE ELEVES'!$I$10:$I$250,$O24))</f>
        <v/>
      </c>
      <c r="G24" s="0" t="str">
        <f aca="false">IF($O24="","",INDEX('REGISTRE ELEVES'!$L$10:$L$250,$O24))</f>
        <v/>
      </c>
      <c r="H24" s="87" t="str">
        <f aca="false">IF($O24="","",INDEX('REGISTRE ELEVES'!$P$10:$P$250,$O24))</f>
        <v/>
      </c>
      <c r="I24" s="87" t="str">
        <f aca="false">IF($O24="","",INDEX('REGISTRE ELEVES'!$R$10:$R$250,$O24))</f>
        <v/>
      </c>
      <c r="J24" s="87" t="str">
        <f aca="false">IF($O24="","",INDEX('REGISTRE ELEVES'!$U$10:$U$250,$O24))</f>
        <v/>
      </c>
      <c r="K24" s="87" t="str">
        <f aca="false">IF($O24="","",INDEX('REGISTRE ELEVES'!$V$10:$V$250,$O24))</f>
        <v/>
      </c>
      <c r="L24" s="87" t="str">
        <f aca="false">IF($O24="","",INDEX('REGISTRE ELEVES'!$Y$10:$Y$250,$O24))</f>
        <v/>
      </c>
      <c r="M24" s="87" t="str">
        <f aca="false">IF($O24="","",INDEX('REGISTRE ELEVES'!$AD$10:$AD$250,$O24))</f>
        <v/>
      </c>
      <c r="N24" s="87" t="str">
        <f aca="false">IF($O24="","",INDEX('REGISTRE ELEVES'!$AE$10:$AE$250,$O24))</f>
        <v/>
      </c>
      <c r="O24" s="51" t="str">
        <f aca="false">IFERROR(MATCH($C$8&amp;"-"&amp;15,'REGISTRE ELEVES'!$AG$10:$AG$250,0),"")</f>
        <v/>
      </c>
    </row>
    <row r="25" customFormat="false" ht="15" hidden="false" customHeight="false" outlineLevel="0" collapsed="false">
      <c r="A25" s="87" t="str">
        <f aca="false">IF(B25="","",16)</f>
        <v/>
      </c>
      <c r="B25" s="87" t="str">
        <f aca="false">IF($O25="","",INDEX('REGISTRE ELEVES'!$B$10:$B$250,$O25))</f>
        <v/>
      </c>
      <c r="C25" s="87" t="str">
        <f aca="false">IF($O25="","",INDEX('REGISTRE ELEVES'!$D$10:$D$250,$O25))</f>
        <v/>
      </c>
      <c r="D25" s="87" t="str">
        <f aca="false">IF($O25="","",INDEX('REGISTRE ELEVES'!$E$10:$E$250,$O25))</f>
        <v/>
      </c>
      <c r="E25" s="87" t="str">
        <f aca="false">IF($O25="","",INDEX('REGISTRE ELEVES'!$H$10:$H$250,$O25))</f>
        <v/>
      </c>
      <c r="F25" s="87" t="str">
        <f aca="false">IF($O25="","",INDEX('REGISTRE ELEVES'!$I$10:$I$250,$O25))</f>
        <v/>
      </c>
      <c r="G25" s="0" t="str">
        <f aca="false">IF($O25="","",INDEX('REGISTRE ELEVES'!$L$10:$L$250,$O25))</f>
        <v/>
      </c>
      <c r="H25" s="87" t="str">
        <f aca="false">IF($O25="","",INDEX('REGISTRE ELEVES'!$P$10:$P$250,$O25))</f>
        <v/>
      </c>
      <c r="I25" s="87" t="str">
        <f aca="false">IF($O25="","",INDEX('REGISTRE ELEVES'!$R$10:$R$250,$O25))</f>
        <v/>
      </c>
      <c r="J25" s="87" t="str">
        <f aca="false">IF($O25="","",INDEX('REGISTRE ELEVES'!$U$10:$U$250,$O25))</f>
        <v/>
      </c>
      <c r="K25" s="87" t="str">
        <f aca="false">IF($O25="","",INDEX('REGISTRE ELEVES'!$V$10:$V$250,$O25))</f>
        <v/>
      </c>
      <c r="L25" s="87" t="str">
        <f aca="false">IF($O25="","",INDEX('REGISTRE ELEVES'!$Y$10:$Y$250,$O25))</f>
        <v/>
      </c>
      <c r="M25" s="87" t="str">
        <f aca="false">IF($O25="","",INDEX('REGISTRE ELEVES'!$AD$10:$AD$250,$O25))</f>
        <v/>
      </c>
      <c r="N25" s="87" t="str">
        <f aca="false">IF($O25="","",INDEX('REGISTRE ELEVES'!$AE$10:$AE$250,$O25))</f>
        <v/>
      </c>
      <c r="O25" s="51" t="str">
        <f aca="false">IFERROR(MATCH($C$8&amp;"-"&amp;16,'REGISTRE ELEVES'!$AG$10:$AG$250,0),"")</f>
        <v/>
      </c>
    </row>
    <row r="26" customFormat="false" ht="15" hidden="false" customHeight="false" outlineLevel="0" collapsed="false">
      <c r="A26" s="87" t="str">
        <f aca="false">IF(B26="","",17)</f>
        <v/>
      </c>
      <c r="B26" s="87" t="str">
        <f aca="false">IF($O26="","",INDEX('REGISTRE ELEVES'!$B$10:$B$250,$O26))</f>
        <v/>
      </c>
      <c r="C26" s="87" t="str">
        <f aca="false">IF($O26="","",INDEX('REGISTRE ELEVES'!$D$10:$D$250,$O26))</f>
        <v/>
      </c>
      <c r="D26" s="87" t="str">
        <f aca="false">IF($O26="","",INDEX('REGISTRE ELEVES'!$E$10:$E$250,$O26))</f>
        <v/>
      </c>
      <c r="E26" s="87" t="str">
        <f aca="false">IF($O26="","",INDEX('REGISTRE ELEVES'!$H$10:$H$250,$O26))</f>
        <v/>
      </c>
      <c r="F26" s="87" t="str">
        <f aca="false">IF($O26="","",INDEX('REGISTRE ELEVES'!$I$10:$I$250,$O26))</f>
        <v/>
      </c>
      <c r="G26" s="0" t="str">
        <f aca="false">IF($O26="","",INDEX('REGISTRE ELEVES'!$L$10:$L$250,$O26))</f>
        <v/>
      </c>
      <c r="H26" s="87" t="str">
        <f aca="false">IF($O26="","",INDEX('REGISTRE ELEVES'!$P$10:$P$250,$O26))</f>
        <v/>
      </c>
      <c r="I26" s="87" t="str">
        <f aca="false">IF($O26="","",INDEX('REGISTRE ELEVES'!$R$10:$R$250,$O26))</f>
        <v/>
      </c>
      <c r="J26" s="87" t="str">
        <f aca="false">IF($O26="","",INDEX('REGISTRE ELEVES'!$U$10:$U$250,$O26))</f>
        <v/>
      </c>
      <c r="K26" s="87" t="str">
        <f aca="false">IF($O26="","",INDEX('REGISTRE ELEVES'!$V$10:$V$250,$O26))</f>
        <v/>
      </c>
      <c r="L26" s="87" t="str">
        <f aca="false">IF($O26="","",INDEX('REGISTRE ELEVES'!$Y$10:$Y$250,$O26))</f>
        <v/>
      </c>
      <c r="M26" s="87" t="str">
        <f aca="false">IF($O26="","",INDEX('REGISTRE ELEVES'!$AD$10:$AD$250,$O26))</f>
        <v/>
      </c>
      <c r="N26" s="87" t="str">
        <f aca="false">IF($O26="","",INDEX('REGISTRE ELEVES'!$AE$10:$AE$250,$O26))</f>
        <v/>
      </c>
      <c r="O26" s="51" t="str">
        <f aca="false">IFERROR(MATCH($C$8&amp;"-"&amp;17,'REGISTRE ELEVES'!$AG$10:$AG$250,0),"")</f>
        <v/>
      </c>
    </row>
    <row r="27" customFormat="false" ht="15" hidden="false" customHeight="false" outlineLevel="0" collapsed="false">
      <c r="A27" s="87" t="str">
        <f aca="false">IF(B27="","",18)</f>
        <v/>
      </c>
      <c r="B27" s="87" t="str">
        <f aca="false">IF($O27="","",INDEX('REGISTRE ELEVES'!$B$10:$B$250,$O27))</f>
        <v/>
      </c>
      <c r="C27" s="87" t="str">
        <f aca="false">IF($O27="","",INDEX('REGISTRE ELEVES'!$D$10:$D$250,$O27))</f>
        <v/>
      </c>
      <c r="D27" s="87" t="str">
        <f aca="false">IF($O27="","",INDEX('REGISTRE ELEVES'!$E$10:$E$250,$O27))</f>
        <v/>
      </c>
      <c r="E27" s="87" t="str">
        <f aca="false">IF($O27="","",INDEX('REGISTRE ELEVES'!$H$10:$H$250,$O27))</f>
        <v/>
      </c>
      <c r="F27" s="87" t="str">
        <f aca="false">IF($O27="","",INDEX('REGISTRE ELEVES'!$I$10:$I$250,$O27))</f>
        <v/>
      </c>
      <c r="G27" s="0" t="str">
        <f aca="false">IF($O27="","",INDEX('REGISTRE ELEVES'!$L$10:$L$250,$O27))</f>
        <v/>
      </c>
      <c r="H27" s="87" t="str">
        <f aca="false">IF($O27="","",INDEX('REGISTRE ELEVES'!$P$10:$P$250,$O27))</f>
        <v/>
      </c>
      <c r="I27" s="87" t="str">
        <f aca="false">IF($O27="","",INDEX('REGISTRE ELEVES'!$R$10:$R$250,$O27))</f>
        <v/>
      </c>
      <c r="J27" s="87" t="str">
        <f aca="false">IF($O27="","",INDEX('REGISTRE ELEVES'!$U$10:$U$250,$O27))</f>
        <v/>
      </c>
      <c r="K27" s="87" t="str">
        <f aca="false">IF($O27="","",INDEX('REGISTRE ELEVES'!$V$10:$V$250,$O27))</f>
        <v/>
      </c>
      <c r="L27" s="87" t="str">
        <f aca="false">IF($O27="","",INDEX('REGISTRE ELEVES'!$Y$10:$Y$250,$O27))</f>
        <v/>
      </c>
      <c r="M27" s="87" t="str">
        <f aca="false">IF($O27="","",INDEX('REGISTRE ELEVES'!$AD$10:$AD$250,$O27))</f>
        <v/>
      </c>
      <c r="N27" s="87" t="str">
        <f aca="false">IF($O27="","",INDEX('REGISTRE ELEVES'!$AE$10:$AE$250,$O27))</f>
        <v/>
      </c>
      <c r="O27" s="51" t="str">
        <f aca="false">IFERROR(MATCH($C$8&amp;"-"&amp;18,'REGISTRE ELEVES'!$AG$10:$AG$250,0),"")</f>
        <v/>
      </c>
    </row>
    <row r="28" customFormat="false" ht="15" hidden="false" customHeight="false" outlineLevel="0" collapsed="false">
      <c r="A28" s="87" t="str">
        <f aca="false">IF(B28="","",19)</f>
        <v/>
      </c>
      <c r="B28" s="87" t="str">
        <f aca="false">IF($O28="","",INDEX('REGISTRE ELEVES'!$B$10:$B$250,$O28))</f>
        <v/>
      </c>
      <c r="C28" s="87" t="str">
        <f aca="false">IF($O28="","",INDEX('REGISTRE ELEVES'!$D$10:$D$250,$O28))</f>
        <v/>
      </c>
      <c r="D28" s="87" t="str">
        <f aca="false">IF($O28="","",INDEX('REGISTRE ELEVES'!$E$10:$E$250,$O28))</f>
        <v/>
      </c>
      <c r="E28" s="87" t="str">
        <f aca="false">IF($O28="","",INDEX('REGISTRE ELEVES'!$H$10:$H$250,$O28))</f>
        <v/>
      </c>
      <c r="F28" s="87" t="str">
        <f aca="false">IF($O28="","",INDEX('REGISTRE ELEVES'!$I$10:$I$250,$O28))</f>
        <v/>
      </c>
      <c r="G28" s="0" t="str">
        <f aca="false">IF($O28="","",INDEX('REGISTRE ELEVES'!$L$10:$L$250,$O28))</f>
        <v/>
      </c>
      <c r="H28" s="87" t="str">
        <f aca="false">IF($O28="","",INDEX('REGISTRE ELEVES'!$P$10:$P$250,$O28))</f>
        <v/>
      </c>
      <c r="I28" s="87" t="str">
        <f aca="false">IF($O28="","",INDEX('REGISTRE ELEVES'!$R$10:$R$250,$O28))</f>
        <v/>
      </c>
      <c r="J28" s="87" t="str">
        <f aca="false">IF($O28="","",INDEX('REGISTRE ELEVES'!$U$10:$U$250,$O28))</f>
        <v/>
      </c>
      <c r="K28" s="87" t="str">
        <f aca="false">IF($O28="","",INDEX('REGISTRE ELEVES'!$V$10:$V$250,$O28))</f>
        <v/>
      </c>
      <c r="L28" s="87" t="str">
        <f aca="false">IF($O28="","",INDEX('REGISTRE ELEVES'!$Y$10:$Y$250,$O28))</f>
        <v/>
      </c>
      <c r="M28" s="87" t="str">
        <f aca="false">IF($O28="","",INDEX('REGISTRE ELEVES'!$AD$10:$AD$250,$O28))</f>
        <v/>
      </c>
      <c r="N28" s="87" t="str">
        <f aca="false">IF($O28="","",INDEX('REGISTRE ELEVES'!$AE$10:$AE$250,$O28))</f>
        <v/>
      </c>
      <c r="O28" s="51" t="str">
        <f aca="false">IFERROR(MATCH($C$8&amp;"-"&amp;19,'REGISTRE ELEVES'!$AG$10:$AG$250,0),"")</f>
        <v/>
      </c>
    </row>
    <row r="29" customFormat="false" ht="15" hidden="false" customHeight="false" outlineLevel="0" collapsed="false">
      <c r="A29" s="87" t="str">
        <f aca="false">IF(B29="","",20)</f>
        <v/>
      </c>
      <c r="B29" s="87" t="str">
        <f aca="false">IF($O29="","",INDEX('REGISTRE ELEVES'!$B$10:$B$250,$O29))</f>
        <v/>
      </c>
      <c r="C29" s="87" t="str">
        <f aca="false">IF($O29="","",INDEX('REGISTRE ELEVES'!$D$10:$D$250,$O29))</f>
        <v/>
      </c>
      <c r="D29" s="87" t="str">
        <f aca="false">IF($O29="","",INDEX('REGISTRE ELEVES'!$E$10:$E$250,$O29))</f>
        <v/>
      </c>
      <c r="E29" s="87" t="str">
        <f aca="false">IF($O29="","",INDEX('REGISTRE ELEVES'!$H$10:$H$250,$O29))</f>
        <v/>
      </c>
      <c r="F29" s="87" t="str">
        <f aca="false">IF($O29="","",INDEX('REGISTRE ELEVES'!$I$10:$I$250,$O29))</f>
        <v/>
      </c>
      <c r="G29" s="0" t="str">
        <f aca="false">IF($O29="","",INDEX('REGISTRE ELEVES'!$L$10:$L$250,$O29))</f>
        <v/>
      </c>
      <c r="H29" s="87" t="str">
        <f aca="false">IF($O29="","",INDEX('REGISTRE ELEVES'!$P$10:$P$250,$O29))</f>
        <v/>
      </c>
      <c r="I29" s="87" t="str">
        <f aca="false">IF($O29="","",INDEX('REGISTRE ELEVES'!$R$10:$R$250,$O29))</f>
        <v/>
      </c>
      <c r="J29" s="87" t="str">
        <f aca="false">IF($O29="","",INDEX('REGISTRE ELEVES'!$U$10:$U$250,$O29))</f>
        <v/>
      </c>
      <c r="K29" s="87" t="str">
        <f aca="false">IF($O29="","",INDEX('REGISTRE ELEVES'!$V$10:$V$250,$O29))</f>
        <v/>
      </c>
      <c r="L29" s="87" t="str">
        <f aca="false">IF($O29="","",INDEX('REGISTRE ELEVES'!$Y$10:$Y$250,$O29))</f>
        <v/>
      </c>
      <c r="M29" s="87" t="str">
        <f aca="false">IF($O29="","",INDEX('REGISTRE ELEVES'!$AD$10:$AD$250,$O29))</f>
        <v/>
      </c>
      <c r="N29" s="87" t="str">
        <f aca="false">IF($O29="","",INDEX('REGISTRE ELEVES'!$AE$10:$AE$250,$O29))</f>
        <v/>
      </c>
      <c r="O29" s="51" t="str">
        <f aca="false">IFERROR(MATCH($C$8&amp;"-"&amp;20,'REGISTRE ELEVES'!$AG$10:$AG$250,0),"")</f>
        <v/>
      </c>
    </row>
    <row r="30" customFormat="false" ht="15" hidden="false" customHeight="false" outlineLevel="0" collapsed="false">
      <c r="A30" s="87" t="str">
        <f aca="false">IF(B30="","",21)</f>
        <v/>
      </c>
      <c r="B30" s="87" t="str">
        <f aca="false">IF($O30="","",INDEX('REGISTRE ELEVES'!$B$10:$B$250,$O30))</f>
        <v/>
      </c>
      <c r="C30" s="87" t="str">
        <f aca="false">IF($O30="","",INDEX('REGISTRE ELEVES'!$D$10:$D$250,$O30))</f>
        <v/>
      </c>
      <c r="D30" s="87" t="str">
        <f aca="false">IF($O30="","",INDEX('REGISTRE ELEVES'!$E$10:$E$250,$O30))</f>
        <v/>
      </c>
      <c r="E30" s="87" t="str">
        <f aca="false">IF($O30="","",INDEX('REGISTRE ELEVES'!$H$10:$H$250,$O30))</f>
        <v/>
      </c>
      <c r="F30" s="87" t="str">
        <f aca="false">IF($O30="","",INDEX('REGISTRE ELEVES'!$I$10:$I$250,$O30))</f>
        <v/>
      </c>
      <c r="G30" s="0" t="str">
        <f aca="false">IF($O30="","",INDEX('REGISTRE ELEVES'!$L$10:$L$250,$O30))</f>
        <v/>
      </c>
      <c r="H30" s="87" t="str">
        <f aca="false">IF($O30="","",INDEX('REGISTRE ELEVES'!$P$10:$P$250,$O30))</f>
        <v/>
      </c>
      <c r="I30" s="87" t="str">
        <f aca="false">IF($O30="","",INDEX('REGISTRE ELEVES'!$R$10:$R$250,$O30))</f>
        <v/>
      </c>
      <c r="J30" s="87" t="str">
        <f aca="false">IF($O30="","",INDEX('REGISTRE ELEVES'!$U$10:$U$250,$O30))</f>
        <v/>
      </c>
      <c r="K30" s="87" t="str">
        <f aca="false">IF($O30="","",INDEX('REGISTRE ELEVES'!$V$10:$V$250,$O30))</f>
        <v/>
      </c>
      <c r="L30" s="87" t="str">
        <f aca="false">IF($O30="","",INDEX('REGISTRE ELEVES'!$Y$10:$Y$250,$O30))</f>
        <v/>
      </c>
      <c r="M30" s="87" t="str">
        <f aca="false">IF($O30="","",INDEX('REGISTRE ELEVES'!$AD$10:$AD$250,$O30))</f>
        <v/>
      </c>
      <c r="N30" s="87" t="str">
        <f aca="false">IF($O30="","",INDEX('REGISTRE ELEVES'!$AE$10:$AE$250,$O30))</f>
        <v/>
      </c>
      <c r="O30" s="51" t="str">
        <f aca="false">IFERROR(MATCH($C$8&amp;"-"&amp;21,'REGISTRE ELEVES'!$AG$10:$AG$250,0),"")</f>
        <v/>
      </c>
    </row>
    <row r="31" customFormat="false" ht="15" hidden="false" customHeight="false" outlineLevel="0" collapsed="false">
      <c r="A31" s="87" t="str">
        <f aca="false">IF(B31="","",22)</f>
        <v/>
      </c>
      <c r="B31" s="87" t="str">
        <f aca="false">IF($O31="","",INDEX('REGISTRE ELEVES'!$B$10:$B$250,$O31))</f>
        <v/>
      </c>
      <c r="C31" s="87" t="str">
        <f aca="false">IF($O31="","",INDEX('REGISTRE ELEVES'!$D$10:$D$250,$O31))</f>
        <v/>
      </c>
      <c r="D31" s="87" t="str">
        <f aca="false">IF($O31="","",INDEX('REGISTRE ELEVES'!$E$10:$E$250,$O31))</f>
        <v/>
      </c>
      <c r="E31" s="87" t="str">
        <f aca="false">IF($O31="","",INDEX('REGISTRE ELEVES'!$H$10:$H$250,$O31))</f>
        <v/>
      </c>
      <c r="F31" s="87" t="str">
        <f aca="false">IF($O31="","",INDEX('REGISTRE ELEVES'!$I$10:$I$250,$O31))</f>
        <v/>
      </c>
      <c r="G31" s="0" t="str">
        <f aca="false">IF($O31="","",INDEX('REGISTRE ELEVES'!$L$10:$L$250,$O31))</f>
        <v/>
      </c>
      <c r="H31" s="87" t="str">
        <f aca="false">IF($O31="","",INDEX('REGISTRE ELEVES'!$P$10:$P$250,$O31))</f>
        <v/>
      </c>
      <c r="I31" s="87" t="str">
        <f aca="false">IF($O31="","",INDEX('REGISTRE ELEVES'!$R$10:$R$250,$O31))</f>
        <v/>
      </c>
      <c r="J31" s="87" t="str">
        <f aca="false">IF($O31="","",INDEX('REGISTRE ELEVES'!$U$10:$U$250,$O31))</f>
        <v/>
      </c>
      <c r="K31" s="87" t="str">
        <f aca="false">IF($O31="","",INDEX('REGISTRE ELEVES'!$V$10:$V$250,$O31))</f>
        <v/>
      </c>
      <c r="L31" s="87" t="str">
        <f aca="false">IF($O31="","",INDEX('REGISTRE ELEVES'!$Y$10:$Y$250,$O31))</f>
        <v/>
      </c>
      <c r="M31" s="87" t="str">
        <f aca="false">IF($O31="","",INDEX('REGISTRE ELEVES'!$AD$10:$AD$250,$O31))</f>
        <v/>
      </c>
      <c r="N31" s="87" t="str">
        <f aca="false">IF($O31="","",INDEX('REGISTRE ELEVES'!$AE$10:$AE$250,$O31))</f>
        <v/>
      </c>
      <c r="O31" s="51" t="str">
        <f aca="false">IFERROR(MATCH($C$8&amp;"-"&amp;22,'REGISTRE ELEVES'!$AG$10:$AG$250,0),"")</f>
        <v/>
      </c>
    </row>
    <row r="32" customFormat="false" ht="15" hidden="false" customHeight="false" outlineLevel="0" collapsed="false">
      <c r="A32" s="87" t="str">
        <f aca="false">IF(B32="","",23)</f>
        <v/>
      </c>
      <c r="B32" s="87" t="str">
        <f aca="false">IF($O32="","",INDEX('REGISTRE ELEVES'!$B$10:$B$250,$O32))</f>
        <v/>
      </c>
      <c r="C32" s="87" t="str">
        <f aca="false">IF($O32="","",INDEX('REGISTRE ELEVES'!$D$10:$D$250,$O32))</f>
        <v/>
      </c>
      <c r="D32" s="87" t="str">
        <f aca="false">IF($O32="","",INDEX('REGISTRE ELEVES'!$E$10:$E$250,$O32))</f>
        <v/>
      </c>
      <c r="E32" s="87" t="str">
        <f aca="false">IF($O32="","",INDEX('REGISTRE ELEVES'!$H$10:$H$250,$O32))</f>
        <v/>
      </c>
      <c r="F32" s="87" t="str">
        <f aca="false">IF($O32="","",INDEX('REGISTRE ELEVES'!$I$10:$I$250,$O32))</f>
        <v/>
      </c>
      <c r="G32" s="0" t="str">
        <f aca="false">IF($O32="","",INDEX('REGISTRE ELEVES'!$L$10:$L$250,$O32))</f>
        <v/>
      </c>
      <c r="H32" s="87" t="str">
        <f aca="false">IF($O32="","",INDEX('REGISTRE ELEVES'!$P$10:$P$250,$O32))</f>
        <v/>
      </c>
      <c r="I32" s="87" t="str">
        <f aca="false">IF($O32="","",INDEX('REGISTRE ELEVES'!$R$10:$R$250,$O32))</f>
        <v/>
      </c>
      <c r="J32" s="87" t="str">
        <f aca="false">IF($O32="","",INDEX('REGISTRE ELEVES'!$U$10:$U$250,$O32))</f>
        <v/>
      </c>
      <c r="K32" s="87" t="str">
        <f aca="false">IF($O32="","",INDEX('REGISTRE ELEVES'!$V$10:$V$250,$O32))</f>
        <v/>
      </c>
      <c r="L32" s="87" t="str">
        <f aca="false">IF($O32="","",INDEX('REGISTRE ELEVES'!$Y$10:$Y$250,$O32))</f>
        <v/>
      </c>
      <c r="M32" s="87" t="str">
        <f aca="false">IF($O32="","",INDEX('REGISTRE ELEVES'!$AD$10:$AD$250,$O32))</f>
        <v/>
      </c>
      <c r="N32" s="87" t="str">
        <f aca="false">IF($O32="","",INDEX('REGISTRE ELEVES'!$AE$10:$AE$250,$O32))</f>
        <v/>
      </c>
      <c r="O32" s="51" t="str">
        <f aca="false">IFERROR(MATCH($C$8&amp;"-"&amp;23,'REGISTRE ELEVES'!$AG$10:$AG$250,0),"")</f>
        <v/>
      </c>
    </row>
    <row r="33" customFormat="false" ht="15" hidden="false" customHeight="false" outlineLevel="0" collapsed="false">
      <c r="A33" s="87" t="str">
        <f aca="false">IF(B33="","",24)</f>
        <v/>
      </c>
      <c r="B33" s="87" t="str">
        <f aca="false">IF($O33="","",INDEX('REGISTRE ELEVES'!$B$10:$B$250,$O33))</f>
        <v/>
      </c>
      <c r="C33" s="87" t="str">
        <f aca="false">IF($O33="","",INDEX('REGISTRE ELEVES'!$D$10:$D$250,$O33))</f>
        <v/>
      </c>
      <c r="D33" s="87" t="str">
        <f aca="false">IF($O33="","",INDEX('REGISTRE ELEVES'!$E$10:$E$250,$O33))</f>
        <v/>
      </c>
      <c r="E33" s="87" t="str">
        <f aca="false">IF($O33="","",INDEX('REGISTRE ELEVES'!$H$10:$H$250,$O33))</f>
        <v/>
      </c>
      <c r="F33" s="87" t="str">
        <f aca="false">IF($O33="","",INDEX('REGISTRE ELEVES'!$I$10:$I$250,$O33))</f>
        <v/>
      </c>
      <c r="G33" s="0" t="str">
        <f aca="false">IF($O33="","",INDEX('REGISTRE ELEVES'!$L$10:$L$250,$O33))</f>
        <v/>
      </c>
      <c r="H33" s="87" t="str">
        <f aca="false">IF($O33="","",INDEX('REGISTRE ELEVES'!$P$10:$P$250,$O33))</f>
        <v/>
      </c>
      <c r="I33" s="87" t="str">
        <f aca="false">IF($O33="","",INDEX('REGISTRE ELEVES'!$R$10:$R$250,$O33))</f>
        <v/>
      </c>
      <c r="J33" s="87" t="str">
        <f aca="false">IF($O33="","",INDEX('REGISTRE ELEVES'!$U$10:$U$250,$O33))</f>
        <v/>
      </c>
      <c r="K33" s="87" t="str">
        <f aca="false">IF($O33="","",INDEX('REGISTRE ELEVES'!$V$10:$V$250,$O33))</f>
        <v/>
      </c>
      <c r="L33" s="87" t="str">
        <f aca="false">IF($O33="","",INDEX('REGISTRE ELEVES'!$Y$10:$Y$250,$O33))</f>
        <v/>
      </c>
      <c r="M33" s="87" t="str">
        <f aca="false">IF($O33="","",INDEX('REGISTRE ELEVES'!$AD$10:$AD$250,$O33))</f>
        <v/>
      </c>
      <c r="N33" s="87" t="str">
        <f aca="false">IF($O33="","",INDEX('REGISTRE ELEVES'!$AE$10:$AE$250,$O33))</f>
        <v/>
      </c>
      <c r="O33" s="51" t="str">
        <f aca="false">IFERROR(MATCH($C$8&amp;"-"&amp;24,'REGISTRE ELEVES'!$AG$10:$AG$250,0),"")</f>
        <v/>
      </c>
    </row>
    <row r="34" customFormat="false" ht="15" hidden="false" customHeight="false" outlineLevel="0" collapsed="false">
      <c r="A34" s="87" t="str">
        <f aca="false">IF(B34="","",25)</f>
        <v/>
      </c>
      <c r="B34" s="87" t="str">
        <f aca="false">IF($O34="","",INDEX('REGISTRE ELEVES'!$B$10:$B$250,$O34))</f>
        <v/>
      </c>
      <c r="C34" s="87" t="str">
        <f aca="false">IF($O34="","",INDEX('REGISTRE ELEVES'!$D$10:$D$250,$O34))</f>
        <v/>
      </c>
      <c r="D34" s="87" t="str">
        <f aca="false">IF($O34="","",INDEX('REGISTRE ELEVES'!$E$10:$E$250,$O34))</f>
        <v/>
      </c>
      <c r="E34" s="87" t="str">
        <f aca="false">IF($O34="","",INDEX('REGISTRE ELEVES'!$H$10:$H$250,$O34))</f>
        <v/>
      </c>
      <c r="F34" s="87" t="str">
        <f aca="false">IF($O34="","",INDEX('REGISTRE ELEVES'!$I$10:$I$250,$O34))</f>
        <v/>
      </c>
      <c r="G34" s="0" t="str">
        <f aca="false">IF($O34="","",INDEX('REGISTRE ELEVES'!$L$10:$L$250,$O34))</f>
        <v/>
      </c>
      <c r="H34" s="87" t="str">
        <f aca="false">IF($O34="","",INDEX('REGISTRE ELEVES'!$P$10:$P$250,$O34))</f>
        <v/>
      </c>
      <c r="I34" s="87" t="str">
        <f aca="false">IF($O34="","",INDEX('REGISTRE ELEVES'!$R$10:$R$250,$O34))</f>
        <v/>
      </c>
      <c r="J34" s="87" t="str">
        <f aca="false">IF($O34="","",INDEX('REGISTRE ELEVES'!$U$10:$U$250,$O34))</f>
        <v/>
      </c>
      <c r="K34" s="87" t="str">
        <f aca="false">IF($O34="","",INDEX('REGISTRE ELEVES'!$V$10:$V$250,$O34))</f>
        <v/>
      </c>
      <c r="L34" s="87" t="str">
        <f aca="false">IF($O34="","",INDEX('REGISTRE ELEVES'!$Y$10:$Y$250,$O34))</f>
        <v/>
      </c>
      <c r="M34" s="87" t="str">
        <f aca="false">IF($O34="","",INDEX('REGISTRE ELEVES'!$AD$10:$AD$250,$O34))</f>
        <v/>
      </c>
      <c r="N34" s="87" t="str">
        <f aca="false">IF($O34="","",INDEX('REGISTRE ELEVES'!$AE$10:$AE$250,$O34))</f>
        <v/>
      </c>
      <c r="O34" s="51" t="str">
        <f aca="false">IFERROR(MATCH($C$8&amp;"-"&amp;25,'REGISTRE ELEVES'!$AG$10:$AG$250,0),"")</f>
        <v/>
      </c>
    </row>
    <row r="35" customFormat="false" ht="15" hidden="false" customHeight="false" outlineLevel="0" collapsed="false">
      <c r="A35" s="87" t="str">
        <f aca="false">IF(B35="","",26)</f>
        <v/>
      </c>
      <c r="B35" s="87" t="str">
        <f aca="false">IF($O35="","",INDEX('REGISTRE ELEVES'!$B$10:$B$250,$O35))</f>
        <v/>
      </c>
      <c r="C35" s="87" t="str">
        <f aca="false">IF($O35="","",INDEX('REGISTRE ELEVES'!$D$10:$D$250,$O35))</f>
        <v/>
      </c>
      <c r="D35" s="87" t="str">
        <f aca="false">IF($O35="","",INDEX('REGISTRE ELEVES'!$E$10:$E$250,$O35))</f>
        <v/>
      </c>
      <c r="E35" s="87" t="str">
        <f aca="false">IF($O35="","",INDEX('REGISTRE ELEVES'!$H$10:$H$250,$O35))</f>
        <v/>
      </c>
      <c r="F35" s="87" t="str">
        <f aca="false">IF($O35="","",INDEX('REGISTRE ELEVES'!$I$10:$I$250,$O35))</f>
        <v/>
      </c>
      <c r="G35" s="0" t="str">
        <f aca="false">IF($O35="","",INDEX('REGISTRE ELEVES'!$L$10:$L$250,$O35))</f>
        <v/>
      </c>
      <c r="H35" s="87" t="str">
        <f aca="false">IF($O35="","",INDEX('REGISTRE ELEVES'!$P$10:$P$250,$O35))</f>
        <v/>
      </c>
      <c r="I35" s="87" t="str">
        <f aca="false">IF($O35="","",INDEX('REGISTRE ELEVES'!$R$10:$R$250,$O35))</f>
        <v/>
      </c>
      <c r="J35" s="87" t="str">
        <f aca="false">IF($O35="","",INDEX('REGISTRE ELEVES'!$U$10:$U$250,$O35))</f>
        <v/>
      </c>
      <c r="K35" s="87" t="str">
        <f aca="false">IF($O35="","",INDEX('REGISTRE ELEVES'!$V$10:$V$250,$O35))</f>
        <v/>
      </c>
      <c r="L35" s="87" t="str">
        <f aca="false">IF($O35="","",INDEX('REGISTRE ELEVES'!$Y$10:$Y$250,$O35))</f>
        <v/>
      </c>
      <c r="M35" s="87" t="str">
        <f aca="false">IF($O35="","",INDEX('REGISTRE ELEVES'!$AD$10:$AD$250,$O35))</f>
        <v/>
      </c>
      <c r="N35" s="87" t="str">
        <f aca="false">IF($O35="","",INDEX('REGISTRE ELEVES'!$AE$10:$AE$250,$O35))</f>
        <v/>
      </c>
      <c r="O35" s="51" t="str">
        <f aca="false">IFERROR(MATCH($C$8&amp;"-"&amp;26,'REGISTRE ELEVES'!$AG$10:$AG$250,0),"")</f>
        <v/>
      </c>
    </row>
    <row r="36" customFormat="false" ht="15" hidden="false" customHeight="false" outlineLevel="0" collapsed="false">
      <c r="A36" s="87" t="str">
        <f aca="false">IF(B36="","",27)</f>
        <v/>
      </c>
      <c r="B36" s="87" t="str">
        <f aca="false">IF($O36="","",INDEX('REGISTRE ELEVES'!$B$10:$B$250,$O36))</f>
        <v/>
      </c>
      <c r="C36" s="87" t="str">
        <f aca="false">IF($O36="","",INDEX('REGISTRE ELEVES'!$D$10:$D$250,$O36))</f>
        <v/>
      </c>
      <c r="D36" s="87" t="str">
        <f aca="false">IF($O36="","",INDEX('REGISTRE ELEVES'!$E$10:$E$250,$O36))</f>
        <v/>
      </c>
      <c r="E36" s="87" t="str">
        <f aca="false">IF($O36="","",INDEX('REGISTRE ELEVES'!$H$10:$H$250,$O36))</f>
        <v/>
      </c>
      <c r="F36" s="87" t="str">
        <f aca="false">IF($O36="","",INDEX('REGISTRE ELEVES'!$I$10:$I$250,$O36))</f>
        <v/>
      </c>
      <c r="G36" s="0" t="str">
        <f aca="false">IF($O36="","",INDEX('REGISTRE ELEVES'!$L$10:$L$250,$O36))</f>
        <v/>
      </c>
      <c r="H36" s="87" t="str">
        <f aca="false">IF($O36="","",INDEX('REGISTRE ELEVES'!$P$10:$P$250,$O36))</f>
        <v/>
      </c>
      <c r="I36" s="87" t="str">
        <f aca="false">IF($O36="","",INDEX('REGISTRE ELEVES'!$R$10:$R$250,$O36))</f>
        <v/>
      </c>
      <c r="J36" s="87" t="str">
        <f aca="false">IF($O36="","",INDEX('REGISTRE ELEVES'!$U$10:$U$250,$O36))</f>
        <v/>
      </c>
      <c r="K36" s="87" t="str">
        <f aca="false">IF($O36="","",INDEX('REGISTRE ELEVES'!$V$10:$V$250,$O36))</f>
        <v/>
      </c>
      <c r="L36" s="87" t="str">
        <f aca="false">IF($O36="","",INDEX('REGISTRE ELEVES'!$Y$10:$Y$250,$O36))</f>
        <v/>
      </c>
      <c r="M36" s="87" t="str">
        <f aca="false">IF($O36="","",INDEX('REGISTRE ELEVES'!$AD$10:$AD$250,$O36))</f>
        <v/>
      </c>
      <c r="N36" s="87" t="str">
        <f aca="false">IF($O36="","",INDEX('REGISTRE ELEVES'!$AE$10:$AE$250,$O36))</f>
        <v/>
      </c>
      <c r="O36" s="51" t="str">
        <f aca="false">IFERROR(MATCH($C$8&amp;"-"&amp;27,'REGISTRE ELEVES'!$AG$10:$AG$250,0),"")</f>
        <v/>
      </c>
    </row>
    <row r="37" customFormat="false" ht="15" hidden="false" customHeight="false" outlineLevel="0" collapsed="false">
      <c r="A37" s="87" t="str">
        <f aca="false">IF(B37="","",28)</f>
        <v/>
      </c>
      <c r="B37" s="87" t="str">
        <f aca="false">IF($O37="","",INDEX('REGISTRE ELEVES'!$B$10:$B$250,$O37))</f>
        <v/>
      </c>
      <c r="C37" s="87" t="str">
        <f aca="false">IF($O37="","",INDEX('REGISTRE ELEVES'!$D$10:$D$250,$O37))</f>
        <v/>
      </c>
      <c r="D37" s="87" t="str">
        <f aca="false">IF($O37="","",INDEX('REGISTRE ELEVES'!$E$10:$E$250,$O37))</f>
        <v/>
      </c>
      <c r="E37" s="87" t="str">
        <f aca="false">IF($O37="","",INDEX('REGISTRE ELEVES'!$H$10:$H$250,$O37))</f>
        <v/>
      </c>
      <c r="F37" s="87" t="str">
        <f aca="false">IF($O37="","",INDEX('REGISTRE ELEVES'!$I$10:$I$250,$O37))</f>
        <v/>
      </c>
      <c r="G37" s="0" t="str">
        <f aca="false">IF($O37="","",INDEX('REGISTRE ELEVES'!$L$10:$L$250,$O37))</f>
        <v/>
      </c>
      <c r="H37" s="87" t="str">
        <f aca="false">IF($O37="","",INDEX('REGISTRE ELEVES'!$P$10:$P$250,$O37))</f>
        <v/>
      </c>
      <c r="I37" s="87" t="str">
        <f aca="false">IF($O37="","",INDEX('REGISTRE ELEVES'!$R$10:$R$250,$O37))</f>
        <v/>
      </c>
      <c r="J37" s="87" t="str">
        <f aca="false">IF($O37="","",INDEX('REGISTRE ELEVES'!$U$10:$U$250,$O37))</f>
        <v/>
      </c>
      <c r="K37" s="87" t="str">
        <f aca="false">IF($O37="","",INDEX('REGISTRE ELEVES'!$V$10:$V$250,$O37))</f>
        <v/>
      </c>
      <c r="L37" s="87" t="str">
        <f aca="false">IF($O37="","",INDEX('REGISTRE ELEVES'!$Y$10:$Y$250,$O37))</f>
        <v/>
      </c>
      <c r="M37" s="87" t="str">
        <f aca="false">IF($O37="","",INDEX('REGISTRE ELEVES'!$AD$10:$AD$250,$O37))</f>
        <v/>
      </c>
      <c r="N37" s="87" t="str">
        <f aca="false">IF($O37="","",INDEX('REGISTRE ELEVES'!$AE$10:$AE$250,$O37))</f>
        <v/>
      </c>
      <c r="O37" s="51" t="str">
        <f aca="false">IFERROR(MATCH($C$8&amp;"-"&amp;28,'REGISTRE ELEVES'!$AG$10:$AG$250,0),"")</f>
        <v/>
      </c>
    </row>
    <row r="38" customFormat="false" ht="15" hidden="false" customHeight="false" outlineLevel="0" collapsed="false">
      <c r="A38" s="87" t="str">
        <f aca="false">IF(B38="","",29)</f>
        <v/>
      </c>
      <c r="B38" s="87" t="str">
        <f aca="false">IF($O38="","",INDEX('REGISTRE ELEVES'!$B$10:$B$250,$O38))</f>
        <v/>
      </c>
      <c r="C38" s="87" t="str">
        <f aca="false">IF($O38="","",INDEX('REGISTRE ELEVES'!$D$10:$D$250,$O38))</f>
        <v/>
      </c>
      <c r="D38" s="87" t="str">
        <f aca="false">IF($O38="","",INDEX('REGISTRE ELEVES'!$E$10:$E$250,$O38))</f>
        <v/>
      </c>
      <c r="E38" s="87" t="str">
        <f aca="false">IF($O38="","",INDEX('REGISTRE ELEVES'!$H$10:$H$250,$O38))</f>
        <v/>
      </c>
      <c r="F38" s="87" t="str">
        <f aca="false">IF($O38="","",INDEX('REGISTRE ELEVES'!$I$10:$I$250,$O38))</f>
        <v/>
      </c>
      <c r="G38" s="0" t="str">
        <f aca="false">IF($O38="","",INDEX('REGISTRE ELEVES'!$L$10:$L$250,$O38))</f>
        <v/>
      </c>
      <c r="H38" s="87" t="str">
        <f aca="false">IF($O38="","",INDEX('REGISTRE ELEVES'!$P$10:$P$250,$O38))</f>
        <v/>
      </c>
      <c r="I38" s="87" t="str">
        <f aca="false">IF($O38="","",INDEX('REGISTRE ELEVES'!$R$10:$R$250,$O38))</f>
        <v/>
      </c>
      <c r="J38" s="87" t="str">
        <f aca="false">IF($O38="","",INDEX('REGISTRE ELEVES'!$U$10:$U$250,$O38))</f>
        <v/>
      </c>
      <c r="K38" s="87" t="str">
        <f aca="false">IF($O38="","",INDEX('REGISTRE ELEVES'!$V$10:$V$250,$O38))</f>
        <v/>
      </c>
      <c r="L38" s="87" t="str">
        <f aca="false">IF($O38="","",INDEX('REGISTRE ELEVES'!$Y$10:$Y$250,$O38))</f>
        <v/>
      </c>
      <c r="M38" s="87" t="str">
        <f aca="false">IF($O38="","",INDEX('REGISTRE ELEVES'!$AD$10:$AD$250,$O38))</f>
        <v/>
      </c>
      <c r="N38" s="87" t="str">
        <f aca="false">IF($O38="","",INDEX('REGISTRE ELEVES'!$AE$10:$AE$250,$O38))</f>
        <v/>
      </c>
      <c r="O38" s="51" t="str">
        <f aca="false">IFERROR(MATCH($C$8&amp;"-"&amp;29,'REGISTRE ELEVES'!$AG$10:$AG$250,0),"")</f>
        <v/>
      </c>
    </row>
    <row r="39" customFormat="false" ht="15" hidden="false" customHeight="false" outlineLevel="0" collapsed="false">
      <c r="A39" s="87" t="str">
        <f aca="false">IF(B39="","",30)</f>
        <v/>
      </c>
      <c r="B39" s="87" t="str">
        <f aca="false">IF($O39="","",INDEX('REGISTRE ELEVES'!$B$10:$B$250,$O39))</f>
        <v/>
      </c>
      <c r="C39" s="87" t="str">
        <f aca="false">IF($O39="","",INDEX('REGISTRE ELEVES'!$D$10:$D$250,$O39))</f>
        <v/>
      </c>
      <c r="D39" s="87" t="str">
        <f aca="false">IF($O39="","",INDEX('REGISTRE ELEVES'!$E$10:$E$250,$O39))</f>
        <v/>
      </c>
      <c r="E39" s="87" t="str">
        <f aca="false">IF($O39="","",INDEX('REGISTRE ELEVES'!$H$10:$H$250,$O39))</f>
        <v/>
      </c>
      <c r="F39" s="87" t="str">
        <f aca="false">IF($O39="","",INDEX('REGISTRE ELEVES'!$I$10:$I$250,$O39))</f>
        <v/>
      </c>
      <c r="G39" s="0" t="str">
        <f aca="false">IF($O39="","",INDEX('REGISTRE ELEVES'!$L$10:$L$250,$O39))</f>
        <v/>
      </c>
      <c r="H39" s="87" t="str">
        <f aca="false">IF($O39="","",INDEX('REGISTRE ELEVES'!$P$10:$P$250,$O39))</f>
        <v/>
      </c>
      <c r="I39" s="87" t="str">
        <f aca="false">IF($O39="","",INDEX('REGISTRE ELEVES'!$R$10:$R$250,$O39))</f>
        <v/>
      </c>
      <c r="J39" s="87" t="str">
        <f aca="false">IF($O39="","",INDEX('REGISTRE ELEVES'!$U$10:$U$250,$O39))</f>
        <v/>
      </c>
      <c r="K39" s="87" t="str">
        <f aca="false">IF($O39="","",INDEX('REGISTRE ELEVES'!$V$10:$V$250,$O39))</f>
        <v/>
      </c>
      <c r="L39" s="87" t="str">
        <f aca="false">IF($O39="","",INDEX('REGISTRE ELEVES'!$Y$10:$Y$250,$O39))</f>
        <v/>
      </c>
      <c r="M39" s="87" t="str">
        <f aca="false">IF($O39="","",INDEX('REGISTRE ELEVES'!$AD$10:$AD$250,$O39))</f>
        <v/>
      </c>
      <c r="N39" s="87" t="str">
        <f aca="false">IF($O39="","",INDEX('REGISTRE ELEVES'!$AE$10:$AE$250,$O39))</f>
        <v/>
      </c>
      <c r="O39" s="51" t="str">
        <f aca="false">IFERROR(MATCH($C$8&amp;"-"&amp;30,'REGISTRE ELEVES'!$AG$10:$AG$250,0),"")</f>
        <v/>
      </c>
    </row>
    <row r="40" customFormat="false" ht="15" hidden="false" customHeight="false" outlineLevel="0" collapsed="false">
      <c r="A40" s="87" t="str">
        <f aca="false">IF(B40="","",31)</f>
        <v/>
      </c>
      <c r="B40" s="87" t="str">
        <f aca="false">IF($O40="","",INDEX('REGISTRE ELEVES'!$B$10:$B$250,$O40))</f>
        <v/>
      </c>
      <c r="C40" s="87" t="str">
        <f aca="false">IF($O40="","",INDEX('REGISTRE ELEVES'!$D$10:$D$250,$O40))</f>
        <v/>
      </c>
      <c r="D40" s="87" t="str">
        <f aca="false">IF($O40="","",INDEX('REGISTRE ELEVES'!$E$10:$E$250,$O40))</f>
        <v/>
      </c>
      <c r="E40" s="87" t="str">
        <f aca="false">IF($O40="","",INDEX('REGISTRE ELEVES'!$H$10:$H$250,$O40))</f>
        <v/>
      </c>
      <c r="F40" s="87" t="str">
        <f aca="false">IF($O40="","",INDEX('REGISTRE ELEVES'!$I$10:$I$250,$O40))</f>
        <v/>
      </c>
      <c r="G40" s="0" t="str">
        <f aca="false">IF($O40="","",INDEX('REGISTRE ELEVES'!$L$10:$L$250,$O40))</f>
        <v/>
      </c>
      <c r="H40" s="87" t="str">
        <f aca="false">IF($O40="","",INDEX('REGISTRE ELEVES'!$P$10:$P$250,$O40))</f>
        <v/>
      </c>
      <c r="I40" s="87" t="str">
        <f aca="false">IF($O40="","",INDEX('REGISTRE ELEVES'!$R$10:$R$250,$O40))</f>
        <v/>
      </c>
      <c r="J40" s="87" t="str">
        <f aca="false">IF($O40="","",INDEX('REGISTRE ELEVES'!$U$10:$U$250,$O40))</f>
        <v/>
      </c>
      <c r="K40" s="87" t="str">
        <f aca="false">IF($O40="","",INDEX('REGISTRE ELEVES'!$V$10:$V$250,$O40))</f>
        <v/>
      </c>
      <c r="L40" s="87" t="str">
        <f aca="false">IF($O40="","",INDEX('REGISTRE ELEVES'!$Y$10:$Y$250,$O40))</f>
        <v/>
      </c>
      <c r="M40" s="87" t="str">
        <f aca="false">IF($O40="","",INDEX('REGISTRE ELEVES'!$AD$10:$AD$250,$O40))</f>
        <v/>
      </c>
      <c r="N40" s="87" t="str">
        <f aca="false">IF($O40="","",INDEX('REGISTRE ELEVES'!$AE$10:$AE$250,$O40))</f>
        <v/>
      </c>
      <c r="O40" s="51" t="str">
        <f aca="false">IFERROR(MATCH($C$8&amp;"-"&amp;31,'REGISTRE ELEVES'!$AG$10:$AG$250,0),"")</f>
        <v/>
      </c>
    </row>
    <row r="41" customFormat="false" ht="15" hidden="false" customHeight="false" outlineLevel="0" collapsed="false">
      <c r="A41" s="87" t="str">
        <f aca="false">IF(B41="","",32)</f>
        <v/>
      </c>
      <c r="B41" s="87" t="str">
        <f aca="false">IF($O41="","",INDEX('REGISTRE ELEVES'!$B$10:$B$250,$O41))</f>
        <v/>
      </c>
      <c r="C41" s="87" t="str">
        <f aca="false">IF($O41="","",INDEX('REGISTRE ELEVES'!$D$10:$D$250,$O41))</f>
        <v/>
      </c>
      <c r="D41" s="87" t="str">
        <f aca="false">IF($O41="","",INDEX('REGISTRE ELEVES'!$E$10:$E$250,$O41))</f>
        <v/>
      </c>
      <c r="E41" s="87" t="str">
        <f aca="false">IF($O41="","",INDEX('REGISTRE ELEVES'!$H$10:$H$250,$O41))</f>
        <v/>
      </c>
      <c r="F41" s="87" t="str">
        <f aca="false">IF($O41="","",INDEX('REGISTRE ELEVES'!$I$10:$I$250,$O41))</f>
        <v/>
      </c>
      <c r="G41" s="0" t="str">
        <f aca="false">IF($O41="","",INDEX('REGISTRE ELEVES'!$L$10:$L$250,$O41))</f>
        <v/>
      </c>
      <c r="H41" s="87" t="str">
        <f aca="false">IF($O41="","",INDEX('REGISTRE ELEVES'!$P$10:$P$250,$O41))</f>
        <v/>
      </c>
      <c r="I41" s="87" t="str">
        <f aca="false">IF($O41="","",INDEX('REGISTRE ELEVES'!$R$10:$R$250,$O41))</f>
        <v/>
      </c>
      <c r="J41" s="87" t="str">
        <f aca="false">IF($O41="","",INDEX('REGISTRE ELEVES'!$U$10:$U$250,$O41))</f>
        <v/>
      </c>
      <c r="K41" s="87" t="str">
        <f aca="false">IF($O41="","",INDEX('REGISTRE ELEVES'!$V$10:$V$250,$O41))</f>
        <v/>
      </c>
      <c r="L41" s="87" t="str">
        <f aca="false">IF($O41="","",INDEX('REGISTRE ELEVES'!$Y$10:$Y$250,$O41))</f>
        <v/>
      </c>
      <c r="M41" s="87" t="str">
        <f aca="false">IF($O41="","",INDEX('REGISTRE ELEVES'!$AD$10:$AD$250,$O41))</f>
        <v/>
      </c>
      <c r="N41" s="87" t="str">
        <f aca="false">IF($O41="","",INDEX('REGISTRE ELEVES'!$AE$10:$AE$250,$O41))</f>
        <v/>
      </c>
      <c r="O41" s="51" t="str">
        <f aca="false">IFERROR(MATCH($C$8&amp;"-"&amp;32,'REGISTRE ELEVES'!$AG$10:$AG$250,0),"")</f>
        <v/>
      </c>
    </row>
    <row r="42" customFormat="false" ht="15" hidden="false" customHeight="false" outlineLevel="0" collapsed="false">
      <c r="A42" s="87" t="str">
        <f aca="false">IF(B42="","",33)</f>
        <v/>
      </c>
      <c r="B42" s="87" t="str">
        <f aca="false">IF($O42="","",INDEX('REGISTRE ELEVES'!$B$10:$B$250,$O42))</f>
        <v/>
      </c>
      <c r="C42" s="87" t="str">
        <f aca="false">IF($O42="","",INDEX('REGISTRE ELEVES'!$D$10:$D$250,$O42))</f>
        <v/>
      </c>
      <c r="D42" s="87" t="str">
        <f aca="false">IF($O42="","",INDEX('REGISTRE ELEVES'!$E$10:$E$250,$O42))</f>
        <v/>
      </c>
      <c r="E42" s="87" t="str">
        <f aca="false">IF($O42="","",INDEX('REGISTRE ELEVES'!$H$10:$H$250,$O42))</f>
        <v/>
      </c>
      <c r="F42" s="87" t="str">
        <f aca="false">IF($O42="","",INDEX('REGISTRE ELEVES'!$I$10:$I$250,$O42))</f>
        <v/>
      </c>
      <c r="G42" s="0" t="str">
        <f aca="false">IF($O42="","",INDEX('REGISTRE ELEVES'!$L$10:$L$250,$O42))</f>
        <v/>
      </c>
      <c r="H42" s="87" t="str">
        <f aca="false">IF($O42="","",INDEX('REGISTRE ELEVES'!$P$10:$P$250,$O42))</f>
        <v/>
      </c>
      <c r="I42" s="87" t="str">
        <f aca="false">IF($O42="","",INDEX('REGISTRE ELEVES'!$R$10:$R$250,$O42))</f>
        <v/>
      </c>
      <c r="J42" s="87" t="str">
        <f aca="false">IF($O42="","",INDEX('REGISTRE ELEVES'!$U$10:$U$250,$O42))</f>
        <v/>
      </c>
      <c r="K42" s="87" t="str">
        <f aca="false">IF($O42="","",INDEX('REGISTRE ELEVES'!$V$10:$V$250,$O42))</f>
        <v/>
      </c>
      <c r="L42" s="87" t="str">
        <f aca="false">IF($O42="","",INDEX('REGISTRE ELEVES'!$Y$10:$Y$250,$O42))</f>
        <v/>
      </c>
      <c r="M42" s="87" t="str">
        <f aca="false">IF($O42="","",INDEX('REGISTRE ELEVES'!$AD$10:$AD$250,$O42))</f>
        <v/>
      </c>
      <c r="N42" s="87" t="str">
        <f aca="false">IF($O42="","",INDEX('REGISTRE ELEVES'!$AE$10:$AE$250,$O42))</f>
        <v/>
      </c>
      <c r="O42" s="51" t="str">
        <f aca="false">IFERROR(MATCH($C$8&amp;"-"&amp;33,'REGISTRE ELEVES'!$AG$10:$AG$250,0),"")</f>
        <v/>
      </c>
    </row>
    <row r="43" customFormat="false" ht="15" hidden="false" customHeight="false" outlineLevel="0" collapsed="false">
      <c r="A43" s="87" t="str">
        <f aca="false">IF(B43="","",34)</f>
        <v/>
      </c>
      <c r="B43" s="87" t="str">
        <f aca="false">IF($O43="","",INDEX('REGISTRE ELEVES'!$B$10:$B$250,$O43))</f>
        <v/>
      </c>
      <c r="C43" s="87" t="str">
        <f aca="false">IF($O43="","",INDEX('REGISTRE ELEVES'!$D$10:$D$250,$O43))</f>
        <v/>
      </c>
      <c r="D43" s="87" t="str">
        <f aca="false">IF($O43="","",INDEX('REGISTRE ELEVES'!$E$10:$E$250,$O43))</f>
        <v/>
      </c>
      <c r="E43" s="87" t="str">
        <f aca="false">IF($O43="","",INDEX('REGISTRE ELEVES'!$H$10:$H$250,$O43))</f>
        <v/>
      </c>
      <c r="F43" s="87" t="str">
        <f aca="false">IF($O43="","",INDEX('REGISTRE ELEVES'!$I$10:$I$250,$O43))</f>
        <v/>
      </c>
      <c r="G43" s="0" t="str">
        <f aca="false">IF($O43="","",INDEX('REGISTRE ELEVES'!$L$10:$L$250,$O43))</f>
        <v/>
      </c>
      <c r="H43" s="87" t="str">
        <f aca="false">IF($O43="","",INDEX('REGISTRE ELEVES'!$P$10:$P$250,$O43))</f>
        <v/>
      </c>
      <c r="I43" s="87" t="str">
        <f aca="false">IF($O43="","",INDEX('REGISTRE ELEVES'!$R$10:$R$250,$O43))</f>
        <v/>
      </c>
      <c r="J43" s="87" t="str">
        <f aca="false">IF($O43="","",INDEX('REGISTRE ELEVES'!$U$10:$U$250,$O43))</f>
        <v/>
      </c>
      <c r="K43" s="87" t="str">
        <f aca="false">IF($O43="","",INDEX('REGISTRE ELEVES'!$V$10:$V$250,$O43))</f>
        <v/>
      </c>
      <c r="L43" s="87" t="str">
        <f aca="false">IF($O43="","",INDEX('REGISTRE ELEVES'!$Y$10:$Y$250,$O43))</f>
        <v/>
      </c>
      <c r="M43" s="87" t="str">
        <f aca="false">IF($O43="","",INDEX('REGISTRE ELEVES'!$AD$10:$AD$250,$O43))</f>
        <v/>
      </c>
      <c r="N43" s="87" t="str">
        <f aca="false">IF($O43="","",INDEX('REGISTRE ELEVES'!$AE$10:$AE$250,$O43))</f>
        <v/>
      </c>
      <c r="O43" s="51" t="str">
        <f aca="false">IFERROR(MATCH($C$8&amp;"-"&amp;34,'REGISTRE ELEVES'!$AG$10:$AG$250,0),"")</f>
        <v/>
      </c>
    </row>
    <row r="44" customFormat="false" ht="15" hidden="false" customHeight="false" outlineLevel="0" collapsed="false">
      <c r="A44" s="87" t="str">
        <f aca="false">IF(B44="","",35)</f>
        <v/>
      </c>
      <c r="B44" s="87" t="str">
        <f aca="false">IF($O44="","",INDEX('REGISTRE ELEVES'!$B$10:$B$250,$O44))</f>
        <v/>
      </c>
      <c r="C44" s="87" t="str">
        <f aca="false">IF($O44="","",INDEX('REGISTRE ELEVES'!$D$10:$D$250,$O44))</f>
        <v/>
      </c>
      <c r="D44" s="87" t="str">
        <f aca="false">IF($O44="","",INDEX('REGISTRE ELEVES'!$E$10:$E$250,$O44))</f>
        <v/>
      </c>
      <c r="E44" s="87" t="str">
        <f aca="false">IF($O44="","",INDEX('REGISTRE ELEVES'!$H$10:$H$250,$O44))</f>
        <v/>
      </c>
      <c r="F44" s="87" t="str">
        <f aca="false">IF($O44="","",INDEX('REGISTRE ELEVES'!$I$10:$I$250,$O44))</f>
        <v/>
      </c>
      <c r="G44" s="0" t="str">
        <f aca="false">IF($O44="","",INDEX('REGISTRE ELEVES'!$L$10:$L$250,$O44))</f>
        <v/>
      </c>
      <c r="H44" s="87" t="str">
        <f aca="false">IF($O44="","",INDEX('REGISTRE ELEVES'!$P$10:$P$250,$O44))</f>
        <v/>
      </c>
      <c r="I44" s="87" t="str">
        <f aca="false">IF($O44="","",INDEX('REGISTRE ELEVES'!$R$10:$R$250,$O44))</f>
        <v/>
      </c>
      <c r="J44" s="87" t="str">
        <f aca="false">IF($O44="","",INDEX('REGISTRE ELEVES'!$U$10:$U$250,$O44))</f>
        <v/>
      </c>
      <c r="K44" s="87" t="str">
        <f aca="false">IF($O44="","",INDEX('REGISTRE ELEVES'!$V$10:$V$250,$O44))</f>
        <v/>
      </c>
      <c r="L44" s="87" t="str">
        <f aca="false">IF($O44="","",INDEX('REGISTRE ELEVES'!$Y$10:$Y$250,$O44))</f>
        <v/>
      </c>
      <c r="M44" s="87" t="str">
        <f aca="false">IF($O44="","",INDEX('REGISTRE ELEVES'!$AD$10:$AD$250,$O44))</f>
        <v/>
      </c>
      <c r="N44" s="87" t="str">
        <f aca="false">IF($O44="","",INDEX('REGISTRE ELEVES'!$AE$10:$AE$250,$O44))</f>
        <v/>
      </c>
      <c r="O44" s="51" t="str">
        <f aca="false">IFERROR(MATCH($C$8&amp;"-"&amp;35,'REGISTRE ELEVES'!$AG$10:$AG$250,0),"")</f>
        <v/>
      </c>
    </row>
    <row r="45" customFormat="false" ht="15" hidden="false" customHeight="false" outlineLevel="0" collapsed="false">
      <c r="A45" s="87" t="str">
        <f aca="false">IF(B45="","",36)</f>
        <v/>
      </c>
      <c r="B45" s="87" t="str">
        <f aca="false">IF($O45="","",INDEX('REGISTRE ELEVES'!$B$10:$B$250,$O45))</f>
        <v/>
      </c>
      <c r="C45" s="87" t="str">
        <f aca="false">IF($O45="","",INDEX('REGISTRE ELEVES'!$D$10:$D$250,$O45))</f>
        <v/>
      </c>
      <c r="D45" s="87" t="str">
        <f aca="false">IF($O45="","",INDEX('REGISTRE ELEVES'!$E$10:$E$250,$O45))</f>
        <v/>
      </c>
      <c r="E45" s="87" t="str">
        <f aca="false">IF($O45="","",INDEX('REGISTRE ELEVES'!$H$10:$H$250,$O45))</f>
        <v/>
      </c>
      <c r="F45" s="87" t="str">
        <f aca="false">IF($O45="","",INDEX('REGISTRE ELEVES'!$I$10:$I$250,$O45))</f>
        <v/>
      </c>
      <c r="G45" s="0" t="str">
        <f aca="false">IF($O45="","",INDEX('REGISTRE ELEVES'!$L$10:$L$250,$O45))</f>
        <v/>
      </c>
      <c r="H45" s="87" t="str">
        <f aca="false">IF($O45="","",INDEX('REGISTRE ELEVES'!$P$10:$P$250,$O45))</f>
        <v/>
      </c>
      <c r="I45" s="87" t="str">
        <f aca="false">IF($O45="","",INDEX('REGISTRE ELEVES'!$R$10:$R$250,$O45))</f>
        <v/>
      </c>
      <c r="J45" s="87" t="str">
        <f aca="false">IF($O45="","",INDEX('REGISTRE ELEVES'!$U$10:$U$250,$O45))</f>
        <v/>
      </c>
      <c r="K45" s="87" t="str">
        <f aca="false">IF($O45="","",INDEX('REGISTRE ELEVES'!$V$10:$V$250,$O45))</f>
        <v/>
      </c>
      <c r="L45" s="87" t="str">
        <f aca="false">IF($O45="","",INDEX('REGISTRE ELEVES'!$Y$10:$Y$250,$O45))</f>
        <v/>
      </c>
      <c r="M45" s="87" t="str">
        <f aca="false">IF($O45="","",INDEX('REGISTRE ELEVES'!$AD$10:$AD$250,$O45))</f>
        <v/>
      </c>
      <c r="N45" s="87" t="str">
        <f aca="false">IF($O45="","",INDEX('REGISTRE ELEVES'!$AE$10:$AE$250,$O45))</f>
        <v/>
      </c>
      <c r="O45" s="51" t="str">
        <f aca="false">IFERROR(MATCH($C$8&amp;"-"&amp;36,'REGISTRE ELEVES'!$AG$10:$AG$250,0),"")</f>
        <v/>
      </c>
    </row>
    <row r="46" customFormat="false" ht="15" hidden="false" customHeight="false" outlineLevel="0" collapsed="false">
      <c r="A46" s="87" t="str">
        <f aca="false">IF(B46="","",37)</f>
        <v/>
      </c>
      <c r="B46" s="87" t="str">
        <f aca="false">IF($O46="","",INDEX('REGISTRE ELEVES'!$B$10:$B$250,$O46))</f>
        <v/>
      </c>
      <c r="C46" s="87" t="str">
        <f aca="false">IF($O46="","",INDEX('REGISTRE ELEVES'!$D$10:$D$250,$O46))</f>
        <v/>
      </c>
      <c r="D46" s="87" t="str">
        <f aca="false">IF($O46="","",INDEX('REGISTRE ELEVES'!$E$10:$E$250,$O46))</f>
        <v/>
      </c>
      <c r="E46" s="87" t="str">
        <f aca="false">IF($O46="","",INDEX('REGISTRE ELEVES'!$H$10:$H$250,$O46))</f>
        <v/>
      </c>
      <c r="F46" s="87" t="str">
        <f aca="false">IF($O46="","",INDEX('REGISTRE ELEVES'!$I$10:$I$250,$O46))</f>
        <v/>
      </c>
      <c r="G46" s="0" t="str">
        <f aca="false">IF($O46="","",INDEX('REGISTRE ELEVES'!$L$10:$L$250,$O46))</f>
        <v/>
      </c>
      <c r="H46" s="87" t="str">
        <f aca="false">IF($O46="","",INDEX('REGISTRE ELEVES'!$P$10:$P$250,$O46))</f>
        <v/>
      </c>
      <c r="I46" s="87" t="str">
        <f aca="false">IF($O46="","",INDEX('REGISTRE ELEVES'!$R$10:$R$250,$O46))</f>
        <v/>
      </c>
      <c r="J46" s="87" t="str">
        <f aca="false">IF($O46="","",INDEX('REGISTRE ELEVES'!$U$10:$U$250,$O46))</f>
        <v/>
      </c>
      <c r="K46" s="87" t="str">
        <f aca="false">IF($O46="","",INDEX('REGISTRE ELEVES'!$V$10:$V$250,$O46))</f>
        <v/>
      </c>
      <c r="L46" s="87" t="str">
        <f aca="false">IF($O46="","",INDEX('REGISTRE ELEVES'!$Y$10:$Y$250,$O46))</f>
        <v/>
      </c>
      <c r="M46" s="87" t="str">
        <f aca="false">IF($O46="","",INDEX('REGISTRE ELEVES'!$AD$10:$AD$250,$O46))</f>
        <v/>
      </c>
      <c r="N46" s="87" t="str">
        <f aca="false">IF($O46="","",INDEX('REGISTRE ELEVES'!$AE$10:$AE$250,$O46))</f>
        <v/>
      </c>
      <c r="O46" s="51" t="str">
        <f aca="false">IFERROR(MATCH($C$8&amp;"-"&amp;37,'REGISTRE ELEVES'!$AG$10:$AG$250,0),"")</f>
        <v/>
      </c>
    </row>
    <row r="47" customFormat="false" ht="15" hidden="false" customHeight="false" outlineLevel="0" collapsed="false">
      <c r="A47" s="87" t="str">
        <f aca="false">IF(B47="","",38)</f>
        <v/>
      </c>
      <c r="B47" s="87" t="str">
        <f aca="false">IF($O47="","",INDEX('REGISTRE ELEVES'!$B$10:$B$250,$O47))</f>
        <v/>
      </c>
      <c r="C47" s="87" t="str">
        <f aca="false">IF($O47="","",INDEX('REGISTRE ELEVES'!$D$10:$D$250,$O47))</f>
        <v/>
      </c>
      <c r="D47" s="87" t="str">
        <f aca="false">IF($O47="","",INDEX('REGISTRE ELEVES'!$E$10:$E$250,$O47))</f>
        <v/>
      </c>
      <c r="E47" s="87" t="str">
        <f aca="false">IF($O47="","",INDEX('REGISTRE ELEVES'!$H$10:$H$250,$O47))</f>
        <v/>
      </c>
      <c r="F47" s="87" t="str">
        <f aca="false">IF($O47="","",INDEX('REGISTRE ELEVES'!$I$10:$I$250,$O47))</f>
        <v/>
      </c>
      <c r="G47" s="0" t="str">
        <f aca="false">IF($O47="","",INDEX('REGISTRE ELEVES'!$L$10:$L$250,$O47))</f>
        <v/>
      </c>
      <c r="H47" s="87" t="str">
        <f aca="false">IF($O47="","",INDEX('REGISTRE ELEVES'!$P$10:$P$250,$O47))</f>
        <v/>
      </c>
      <c r="I47" s="87" t="str">
        <f aca="false">IF($O47="","",INDEX('REGISTRE ELEVES'!$R$10:$R$250,$O47))</f>
        <v/>
      </c>
      <c r="J47" s="87" t="str">
        <f aca="false">IF($O47="","",INDEX('REGISTRE ELEVES'!$U$10:$U$250,$O47))</f>
        <v/>
      </c>
      <c r="K47" s="87" t="str">
        <f aca="false">IF($O47="","",INDEX('REGISTRE ELEVES'!$V$10:$V$250,$O47))</f>
        <v/>
      </c>
      <c r="L47" s="87" t="str">
        <f aca="false">IF($O47="","",INDEX('REGISTRE ELEVES'!$Y$10:$Y$250,$O47))</f>
        <v/>
      </c>
      <c r="M47" s="87" t="str">
        <f aca="false">IF($O47="","",INDEX('REGISTRE ELEVES'!$AD$10:$AD$250,$O47))</f>
        <v/>
      </c>
      <c r="N47" s="87" t="str">
        <f aca="false">IF($O47="","",INDEX('REGISTRE ELEVES'!$AE$10:$AE$250,$O47))</f>
        <v/>
      </c>
      <c r="O47" s="51" t="str">
        <f aca="false">IFERROR(MATCH($C$8&amp;"-"&amp;38,'REGISTRE ELEVES'!$AG$10:$AG$250,0),"")</f>
        <v/>
      </c>
    </row>
    <row r="48" customFormat="false" ht="15" hidden="false" customHeight="false" outlineLevel="0" collapsed="false">
      <c r="A48" s="87" t="str">
        <f aca="false">IF(B48="","",39)</f>
        <v/>
      </c>
      <c r="B48" s="87" t="str">
        <f aca="false">IF($O48="","",INDEX('REGISTRE ELEVES'!$B$10:$B$250,$O48))</f>
        <v/>
      </c>
      <c r="C48" s="87" t="str">
        <f aca="false">IF($O48="","",INDEX('REGISTRE ELEVES'!$D$10:$D$250,$O48))</f>
        <v/>
      </c>
      <c r="D48" s="87" t="str">
        <f aca="false">IF($O48="","",INDEX('REGISTRE ELEVES'!$E$10:$E$250,$O48))</f>
        <v/>
      </c>
      <c r="E48" s="87" t="str">
        <f aca="false">IF($O48="","",INDEX('REGISTRE ELEVES'!$H$10:$H$250,$O48))</f>
        <v/>
      </c>
      <c r="F48" s="87" t="str">
        <f aca="false">IF($O48="","",INDEX('REGISTRE ELEVES'!$I$10:$I$250,$O48))</f>
        <v/>
      </c>
      <c r="G48" s="0" t="str">
        <f aca="false">IF($O48="","",INDEX('REGISTRE ELEVES'!$L$10:$L$250,$O48))</f>
        <v/>
      </c>
      <c r="H48" s="87" t="str">
        <f aca="false">IF($O48="","",INDEX('REGISTRE ELEVES'!$P$10:$P$250,$O48))</f>
        <v/>
      </c>
      <c r="I48" s="87" t="str">
        <f aca="false">IF($O48="","",INDEX('REGISTRE ELEVES'!$R$10:$R$250,$O48))</f>
        <v/>
      </c>
      <c r="J48" s="87" t="str">
        <f aca="false">IF($O48="","",INDEX('REGISTRE ELEVES'!$U$10:$U$250,$O48))</f>
        <v/>
      </c>
      <c r="K48" s="87" t="str">
        <f aca="false">IF($O48="","",INDEX('REGISTRE ELEVES'!$V$10:$V$250,$O48))</f>
        <v/>
      </c>
      <c r="L48" s="87" t="str">
        <f aca="false">IF($O48="","",INDEX('REGISTRE ELEVES'!$Y$10:$Y$250,$O48))</f>
        <v/>
      </c>
      <c r="M48" s="87" t="str">
        <f aca="false">IF($O48="","",INDEX('REGISTRE ELEVES'!$AD$10:$AD$250,$O48))</f>
        <v/>
      </c>
      <c r="N48" s="87" t="str">
        <f aca="false">IF($O48="","",INDEX('REGISTRE ELEVES'!$AE$10:$AE$250,$O48))</f>
        <v/>
      </c>
      <c r="O48" s="51" t="str">
        <f aca="false">IFERROR(MATCH($C$8&amp;"-"&amp;39,'REGISTRE ELEVES'!$AG$10:$AG$250,0),"")</f>
        <v/>
      </c>
    </row>
    <row r="49" customFormat="false" ht="15" hidden="false" customHeight="false" outlineLevel="0" collapsed="false">
      <c r="A49" s="87" t="str">
        <f aca="false">IF(B49="","",40)</f>
        <v/>
      </c>
      <c r="B49" s="87" t="str">
        <f aca="false">IF($O49="","",INDEX('REGISTRE ELEVES'!$B$10:$B$250,$O49))</f>
        <v/>
      </c>
      <c r="C49" s="87" t="str">
        <f aca="false">IF($O49="","",INDEX('REGISTRE ELEVES'!$D$10:$D$250,$O49))</f>
        <v/>
      </c>
      <c r="D49" s="87" t="str">
        <f aca="false">IF($O49="","",INDEX('REGISTRE ELEVES'!$E$10:$E$250,$O49))</f>
        <v/>
      </c>
      <c r="E49" s="87" t="str">
        <f aca="false">IF($O49="","",INDEX('REGISTRE ELEVES'!$H$10:$H$250,$O49))</f>
        <v/>
      </c>
      <c r="F49" s="87" t="str">
        <f aca="false">IF($O49="","",INDEX('REGISTRE ELEVES'!$I$10:$I$250,$O49))</f>
        <v/>
      </c>
      <c r="G49" s="0" t="str">
        <f aca="false">IF($O49="","",INDEX('REGISTRE ELEVES'!$L$10:$L$250,$O49))</f>
        <v/>
      </c>
      <c r="H49" s="87" t="str">
        <f aca="false">IF($O49="","",INDEX('REGISTRE ELEVES'!$P$10:$P$250,$O49))</f>
        <v/>
      </c>
      <c r="I49" s="87" t="str">
        <f aca="false">IF($O49="","",INDEX('REGISTRE ELEVES'!$R$10:$R$250,$O49))</f>
        <v/>
      </c>
      <c r="J49" s="87" t="str">
        <f aca="false">IF($O49="","",INDEX('REGISTRE ELEVES'!$U$10:$U$250,$O49))</f>
        <v/>
      </c>
      <c r="K49" s="87" t="str">
        <f aca="false">IF($O49="","",INDEX('REGISTRE ELEVES'!$V$10:$V$250,$O49))</f>
        <v/>
      </c>
      <c r="L49" s="87" t="str">
        <f aca="false">IF($O49="","",INDEX('REGISTRE ELEVES'!$Y$10:$Y$250,$O49))</f>
        <v/>
      </c>
      <c r="M49" s="87" t="str">
        <f aca="false">IF($O49="","",INDEX('REGISTRE ELEVES'!$AD$10:$AD$250,$O49))</f>
        <v/>
      </c>
      <c r="N49" s="87" t="str">
        <f aca="false">IF($O49="","",INDEX('REGISTRE ELEVES'!$AE$10:$AE$250,$O49))</f>
        <v/>
      </c>
      <c r="O49" s="51" t="str">
        <f aca="false">IFERROR(MATCH($C$8&amp;"-"&amp;40,'REGISTRE ELEVES'!$AG$10:$AG$250,0),"")</f>
        <v/>
      </c>
    </row>
    <row r="50" customFormat="false" ht="15" hidden="false" customHeight="false" outlineLevel="0" collapsed="false">
      <c r="A50" s="87" t="str">
        <f aca="false">IF(B50="","",41)</f>
        <v/>
      </c>
      <c r="B50" s="87" t="str">
        <f aca="false">IF($O50="","",INDEX('REGISTRE ELEVES'!$B$10:$B$250,$O50))</f>
        <v/>
      </c>
      <c r="C50" s="87" t="str">
        <f aca="false">IF($O50="","",INDEX('REGISTRE ELEVES'!$D$10:$D$250,$O50))</f>
        <v/>
      </c>
      <c r="D50" s="87" t="str">
        <f aca="false">IF($O50="","",INDEX('REGISTRE ELEVES'!$E$10:$E$250,$O50))</f>
        <v/>
      </c>
      <c r="E50" s="87" t="str">
        <f aca="false">IF($O50="","",INDEX('REGISTRE ELEVES'!$H$10:$H$250,$O50))</f>
        <v/>
      </c>
      <c r="F50" s="87" t="str">
        <f aca="false">IF($O50="","",INDEX('REGISTRE ELEVES'!$I$10:$I$250,$O50))</f>
        <v/>
      </c>
      <c r="G50" s="0" t="str">
        <f aca="false">IF($O50="","",INDEX('REGISTRE ELEVES'!$L$10:$L$250,$O50))</f>
        <v/>
      </c>
      <c r="H50" s="87" t="str">
        <f aca="false">IF($O50="","",INDEX('REGISTRE ELEVES'!$P$10:$P$250,$O50))</f>
        <v/>
      </c>
      <c r="I50" s="87" t="str">
        <f aca="false">IF($O50="","",INDEX('REGISTRE ELEVES'!$R$10:$R$250,$O50))</f>
        <v/>
      </c>
      <c r="J50" s="87" t="str">
        <f aca="false">IF($O50="","",INDEX('REGISTRE ELEVES'!$U$10:$U$250,$O50))</f>
        <v/>
      </c>
      <c r="K50" s="87" t="str">
        <f aca="false">IF($O50="","",INDEX('REGISTRE ELEVES'!$V$10:$V$250,$O50))</f>
        <v/>
      </c>
      <c r="L50" s="87" t="str">
        <f aca="false">IF($O50="","",INDEX('REGISTRE ELEVES'!$Y$10:$Y$250,$O50))</f>
        <v/>
      </c>
      <c r="M50" s="87" t="str">
        <f aca="false">IF($O50="","",INDEX('REGISTRE ELEVES'!$AD$10:$AD$250,$O50))</f>
        <v/>
      </c>
      <c r="N50" s="87" t="str">
        <f aca="false">IF($O50="","",INDEX('REGISTRE ELEVES'!$AE$10:$AE$250,$O50))</f>
        <v/>
      </c>
      <c r="O50" s="51" t="str">
        <f aca="false">IFERROR(MATCH($C$8&amp;"-"&amp;41,'REGISTRE ELEVES'!$AG$10:$AG$250,0),"")</f>
        <v/>
      </c>
    </row>
    <row r="51" customFormat="false" ht="15" hidden="false" customHeight="false" outlineLevel="0" collapsed="false">
      <c r="A51" s="87" t="str">
        <f aca="false">IF(B51="","",42)</f>
        <v/>
      </c>
      <c r="B51" s="87" t="str">
        <f aca="false">IF($O51="","",INDEX('REGISTRE ELEVES'!$B$10:$B$250,$O51))</f>
        <v/>
      </c>
      <c r="C51" s="87" t="str">
        <f aca="false">IF($O51="","",INDEX('REGISTRE ELEVES'!$D$10:$D$250,$O51))</f>
        <v/>
      </c>
      <c r="D51" s="87" t="str">
        <f aca="false">IF($O51="","",INDEX('REGISTRE ELEVES'!$E$10:$E$250,$O51))</f>
        <v/>
      </c>
      <c r="E51" s="87" t="str">
        <f aca="false">IF($O51="","",INDEX('REGISTRE ELEVES'!$H$10:$H$250,$O51))</f>
        <v/>
      </c>
      <c r="F51" s="87" t="str">
        <f aca="false">IF($O51="","",INDEX('REGISTRE ELEVES'!$I$10:$I$250,$O51))</f>
        <v/>
      </c>
      <c r="G51" s="0" t="str">
        <f aca="false">IF($O51="","",INDEX('REGISTRE ELEVES'!$L$10:$L$250,$O51))</f>
        <v/>
      </c>
      <c r="H51" s="87" t="str">
        <f aca="false">IF($O51="","",INDEX('REGISTRE ELEVES'!$P$10:$P$250,$O51))</f>
        <v/>
      </c>
      <c r="I51" s="87" t="str">
        <f aca="false">IF($O51="","",INDEX('REGISTRE ELEVES'!$R$10:$R$250,$O51))</f>
        <v/>
      </c>
      <c r="J51" s="87" t="str">
        <f aca="false">IF($O51="","",INDEX('REGISTRE ELEVES'!$U$10:$U$250,$O51))</f>
        <v/>
      </c>
      <c r="K51" s="87" t="str">
        <f aca="false">IF($O51="","",INDEX('REGISTRE ELEVES'!$V$10:$V$250,$O51))</f>
        <v/>
      </c>
      <c r="L51" s="87" t="str">
        <f aca="false">IF($O51="","",INDEX('REGISTRE ELEVES'!$Y$10:$Y$250,$O51))</f>
        <v/>
      </c>
      <c r="M51" s="87" t="str">
        <f aca="false">IF($O51="","",INDEX('REGISTRE ELEVES'!$AD$10:$AD$250,$O51))</f>
        <v/>
      </c>
      <c r="N51" s="87" t="str">
        <f aca="false">IF($O51="","",INDEX('REGISTRE ELEVES'!$AE$10:$AE$250,$O51))</f>
        <v/>
      </c>
      <c r="O51" s="51" t="str">
        <f aca="false">IFERROR(MATCH($C$8&amp;"-"&amp;42,'REGISTRE ELEVES'!$AG$10:$AG$250,0),"")</f>
        <v/>
      </c>
    </row>
    <row r="52" customFormat="false" ht="15" hidden="false" customHeight="false" outlineLevel="0" collapsed="false">
      <c r="A52" s="87" t="str">
        <f aca="false">IF(B52="","",43)</f>
        <v/>
      </c>
      <c r="B52" s="87" t="str">
        <f aca="false">IF($O52="","",INDEX('REGISTRE ELEVES'!$B$10:$B$250,$O52))</f>
        <v/>
      </c>
      <c r="C52" s="87" t="str">
        <f aca="false">IF($O52="","",INDEX('REGISTRE ELEVES'!$D$10:$D$250,$O52))</f>
        <v/>
      </c>
      <c r="D52" s="87" t="str">
        <f aca="false">IF($O52="","",INDEX('REGISTRE ELEVES'!$E$10:$E$250,$O52))</f>
        <v/>
      </c>
      <c r="E52" s="87" t="str">
        <f aca="false">IF($O52="","",INDEX('REGISTRE ELEVES'!$H$10:$H$250,$O52))</f>
        <v/>
      </c>
      <c r="F52" s="87" t="str">
        <f aca="false">IF($O52="","",INDEX('REGISTRE ELEVES'!$I$10:$I$250,$O52))</f>
        <v/>
      </c>
      <c r="G52" s="0" t="str">
        <f aca="false">IF($O52="","",INDEX('REGISTRE ELEVES'!$L$10:$L$250,$O52))</f>
        <v/>
      </c>
      <c r="H52" s="87" t="str">
        <f aca="false">IF($O52="","",INDEX('REGISTRE ELEVES'!$P$10:$P$250,$O52))</f>
        <v/>
      </c>
      <c r="I52" s="87" t="str">
        <f aca="false">IF($O52="","",INDEX('REGISTRE ELEVES'!$R$10:$R$250,$O52))</f>
        <v/>
      </c>
      <c r="J52" s="87" t="str">
        <f aca="false">IF($O52="","",INDEX('REGISTRE ELEVES'!$U$10:$U$250,$O52))</f>
        <v/>
      </c>
      <c r="K52" s="87" t="str">
        <f aca="false">IF($O52="","",INDEX('REGISTRE ELEVES'!$V$10:$V$250,$O52))</f>
        <v/>
      </c>
      <c r="L52" s="87" t="str">
        <f aca="false">IF($O52="","",INDEX('REGISTRE ELEVES'!$Y$10:$Y$250,$O52))</f>
        <v/>
      </c>
      <c r="M52" s="87" t="str">
        <f aca="false">IF($O52="","",INDEX('REGISTRE ELEVES'!$AD$10:$AD$250,$O52))</f>
        <v/>
      </c>
      <c r="N52" s="87" t="str">
        <f aca="false">IF($O52="","",INDEX('REGISTRE ELEVES'!$AE$10:$AE$250,$O52))</f>
        <v/>
      </c>
      <c r="O52" s="51" t="str">
        <f aca="false">IFERROR(MATCH($C$8&amp;"-"&amp;43,'REGISTRE ELEVES'!$AG$10:$AG$250,0),"")</f>
        <v/>
      </c>
    </row>
    <row r="53" customFormat="false" ht="15" hidden="false" customHeight="false" outlineLevel="0" collapsed="false">
      <c r="A53" s="87" t="str">
        <f aca="false">IF(B53="","",44)</f>
        <v/>
      </c>
      <c r="B53" s="87" t="str">
        <f aca="false">IF($O53="","",INDEX('REGISTRE ELEVES'!$B$10:$B$250,$O53))</f>
        <v/>
      </c>
      <c r="C53" s="87" t="str">
        <f aca="false">IF($O53="","",INDEX('REGISTRE ELEVES'!$D$10:$D$250,$O53))</f>
        <v/>
      </c>
      <c r="D53" s="87" t="str">
        <f aca="false">IF($O53="","",INDEX('REGISTRE ELEVES'!$E$10:$E$250,$O53))</f>
        <v/>
      </c>
      <c r="E53" s="87" t="str">
        <f aca="false">IF($O53="","",INDEX('REGISTRE ELEVES'!$H$10:$H$250,$O53))</f>
        <v/>
      </c>
      <c r="F53" s="87" t="str">
        <f aca="false">IF($O53="","",INDEX('REGISTRE ELEVES'!$I$10:$I$250,$O53))</f>
        <v/>
      </c>
      <c r="G53" s="0" t="str">
        <f aca="false">IF($O53="","",INDEX('REGISTRE ELEVES'!$L$10:$L$250,$O53))</f>
        <v/>
      </c>
      <c r="H53" s="87" t="str">
        <f aca="false">IF($O53="","",INDEX('REGISTRE ELEVES'!$P$10:$P$250,$O53))</f>
        <v/>
      </c>
      <c r="I53" s="87" t="str">
        <f aca="false">IF($O53="","",INDEX('REGISTRE ELEVES'!$R$10:$R$250,$O53))</f>
        <v/>
      </c>
      <c r="J53" s="87" t="str">
        <f aca="false">IF($O53="","",INDEX('REGISTRE ELEVES'!$U$10:$U$250,$O53))</f>
        <v/>
      </c>
      <c r="K53" s="87" t="str">
        <f aca="false">IF($O53="","",INDEX('REGISTRE ELEVES'!$V$10:$V$250,$O53))</f>
        <v/>
      </c>
      <c r="L53" s="87" t="str">
        <f aca="false">IF($O53="","",INDEX('REGISTRE ELEVES'!$Y$10:$Y$250,$O53))</f>
        <v/>
      </c>
      <c r="M53" s="87" t="str">
        <f aca="false">IF($O53="","",INDEX('REGISTRE ELEVES'!$AD$10:$AD$250,$O53))</f>
        <v/>
      </c>
      <c r="N53" s="87" t="str">
        <f aca="false">IF($O53="","",INDEX('REGISTRE ELEVES'!$AE$10:$AE$250,$O53))</f>
        <v/>
      </c>
      <c r="O53" s="51" t="str">
        <f aca="false">IFERROR(MATCH($C$8&amp;"-"&amp;44,'REGISTRE ELEVES'!$AG$10:$AG$250,0),"")</f>
        <v/>
      </c>
    </row>
    <row r="54" customFormat="false" ht="15" hidden="false" customHeight="false" outlineLevel="0" collapsed="false">
      <c r="A54" s="87" t="str">
        <f aca="false">IF(B54="","",45)</f>
        <v/>
      </c>
      <c r="B54" s="87" t="str">
        <f aca="false">IF($O54="","",INDEX('REGISTRE ELEVES'!$B$10:$B$250,$O54))</f>
        <v/>
      </c>
      <c r="C54" s="87" t="str">
        <f aca="false">IF($O54="","",INDEX('REGISTRE ELEVES'!$D$10:$D$250,$O54))</f>
        <v/>
      </c>
      <c r="D54" s="87" t="str">
        <f aca="false">IF($O54="","",INDEX('REGISTRE ELEVES'!$E$10:$E$250,$O54))</f>
        <v/>
      </c>
      <c r="E54" s="87" t="str">
        <f aca="false">IF($O54="","",INDEX('REGISTRE ELEVES'!$H$10:$H$250,$O54))</f>
        <v/>
      </c>
      <c r="F54" s="87" t="str">
        <f aca="false">IF($O54="","",INDEX('REGISTRE ELEVES'!$I$10:$I$250,$O54))</f>
        <v/>
      </c>
      <c r="G54" s="0" t="str">
        <f aca="false">IF($O54="","",INDEX('REGISTRE ELEVES'!$L$10:$L$250,$O54))</f>
        <v/>
      </c>
      <c r="H54" s="87" t="str">
        <f aca="false">IF($O54="","",INDEX('REGISTRE ELEVES'!$P$10:$P$250,$O54))</f>
        <v/>
      </c>
      <c r="I54" s="87" t="str">
        <f aca="false">IF($O54="","",INDEX('REGISTRE ELEVES'!$R$10:$R$250,$O54))</f>
        <v/>
      </c>
      <c r="J54" s="87" t="str">
        <f aca="false">IF($O54="","",INDEX('REGISTRE ELEVES'!$U$10:$U$250,$O54))</f>
        <v/>
      </c>
      <c r="K54" s="87" t="str">
        <f aca="false">IF($O54="","",INDEX('REGISTRE ELEVES'!$V$10:$V$250,$O54))</f>
        <v/>
      </c>
      <c r="L54" s="87" t="str">
        <f aca="false">IF($O54="","",INDEX('REGISTRE ELEVES'!$Y$10:$Y$250,$O54))</f>
        <v/>
      </c>
      <c r="M54" s="87" t="str">
        <f aca="false">IF($O54="","",INDEX('REGISTRE ELEVES'!$AD$10:$AD$250,$O54))</f>
        <v/>
      </c>
      <c r="N54" s="87" t="str">
        <f aca="false">IF($O54="","",INDEX('REGISTRE ELEVES'!$AE$10:$AE$250,$O54))</f>
        <v/>
      </c>
      <c r="O54" s="51" t="str">
        <f aca="false">IFERROR(MATCH($C$8&amp;"-"&amp;45,'REGISTRE ELEVES'!$AG$10:$AG$250,0),"")</f>
        <v/>
      </c>
    </row>
    <row r="55" customFormat="false" ht="15" hidden="false" customHeight="false" outlineLevel="0" collapsed="false">
      <c r="A55" s="87" t="str">
        <f aca="false">IF(B55="","",46)</f>
        <v/>
      </c>
      <c r="B55" s="87" t="str">
        <f aca="false">IF($O55="","",INDEX('REGISTRE ELEVES'!$B$10:$B$250,$O55))</f>
        <v/>
      </c>
      <c r="C55" s="87" t="str">
        <f aca="false">IF($O55="","",INDEX('REGISTRE ELEVES'!$D$10:$D$250,$O55))</f>
        <v/>
      </c>
      <c r="D55" s="87" t="str">
        <f aca="false">IF($O55="","",INDEX('REGISTRE ELEVES'!$E$10:$E$250,$O55))</f>
        <v/>
      </c>
      <c r="E55" s="87" t="str">
        <f aca="false">IF($O55="","",INDEX('REGISTRE ELEVES'!$H$10:$H$250,$O55))</f>
        <v/>
      </c>
      <c r="F55" s="87" t="str">
        <f aca="false">IF($O55="","",INDEX('REGISTRE ELEVES'!$I$10:$I$250,$O55))</f>
        <v/>
      </c>
      <c r="G55" s="0" t="str">
        <f aca="false">IF($O55="","",INDEX('REGISTRE ELEVES'!$L$10:$L$250,$O55))</f>
        <v/>
      </c>
      <c r="H55" s="87" t="str">
        <f aca="false">IF($O55="","",INDEX('REGISTRE ELEVES'!$P$10:$P$250,$O55))</f>
        <v/>
      </c>
      <c r="I55" s="87" t="str">
        <f aca="false">IF($O55="","",INDEX('REGISTRE ELEVES'!$R$10:$R$250,$O55))</f>
        <v/>
      </c>
      <c r="J55" s="87" t="str">
        <f aca="false">IF($O55="","",INDEX('REGISTRE ELEVES'!$U$10:$U$250,$O55))</f>
        <v/>
      </c>
      <c r="K55" s="87" t="str">
        <f aca="false">IF($O55="","",INDEX('REGISTRE ELEVES'!$V$10:$V$250,$O55))</f>
        <v/>
      </c>
      <c r="L55" s="87" t="str">
        <f aca="false">IF($O55="","",INDEX('REGISTRE ELEVES'!$Y$10:$Y$250,$O55))</f>
        <v/>
      </c>
      <c r="M55" s="87" t="str">
        <f aca="false">IF($O55="","",INDEX('REGISTRE ELEVES'!$AD$10:$AD$250,$O55))</f>
        <v/>
      </c>
      <c r="N55" s="87" t="str">
        <f aca="false">IF($O55="","",INDEX('REGISTRE ELEVES'!$AE$10:$AE$250,$O55))</f>
        <v/>
      </c>
      <c r="O55" s="51" t="str">
        <f aca="false">IFERROR(MATCH($C$8&amp;"-"&amp;46,'REGISTRE ELEVES'!$AG$10:$AG$250,0),"")</f>
        <v/>
      </c>
    </row>
    <row r="56" customFormat="false" ht="15" hidden="false" customHeight="false" outlineLevel="0" collapsed="false">
      <c r="A56" s="87" t="str">
        <f aca="false">IF(B56="","",47)</f>
        <v/>
      </c>
      <c r="B56" s="87" t="str">
        <f aca="false">IF($O56="","",INDEX('REGISTRE ELEVES'!$B$10:$B$250,$O56))</f>
        <v/>
      </c>
      <c r="C56" s="87" t="str">
        <f aca="false">IF($O56="","",INDEX('REGISTRE ELEVES'!$D$10:$D$250,$O56))</f>
        <v/>
      </c>
      <c r="D56" s="87" t="str">
        <f aca="false">IF($O56="","",INDEX('REGISTRE ELEVES'!$E$10:$E$250,$O56))</f>
        <v/>
      </c>
      <c r="E56" s="87" t="str">
        <f aca="false">IF($O56="","",INDEX('REGISTRE ELEVES'!$H$10:$H$250,$O56))</f>
        <v/>
      </c>
      <c r="F56" s="87" t="str">
        <f aca="false">IF($O56="","",INDEX('REGISTRE ELEVES'!$I$10:$I$250,$O56))</f>
        <v/>
      </c>
      <c r="G56" s="0" t="str">
        <f aca="false">IF($O56="","",INDEX('REGISTRE ELEVES'!$L$10:$L$250,$O56))</f>
        <v/>
      </c>
      <c r="H56" s="87" t="str">
        <f aca="false">IF($O56="","",INDEX('REGISTRE ELEVES'!$P$10:$P$250,$O56))</f>
        <v/>
      </c>
      <c r="I56" s="87" t="str">
        <f aca="false">IF($O56="","",INDEX('REGISTRE ELEVES'!$R$10:$R$250,$O56))</f>
        <v/>
      </c>
      <c r="J56" s="87" t="str">
        <f aca="false">IF($O56="","",INDEX('REGISTRE ELEVES'!$U$10:$U$250,$O56))</f>
        <v/>
      </c>
      <c r="K56" s="87" t="str">
        <f aca="false">IF($O56="","",INDEX('REGISTRE ELEVES'!$V$10:$V$250,$O56))</f>
        <v/>
      </c>
      <c r="L56" s="87" t="str">
        <f aca="false">IF($O56="","",INDEX('REGISTRE ELEVES'!$Y$10:$Y$250,$O56))</f>
        <v/>
      </c>
      <c r="M56" s="87" t="str">
        <f aca="false">IF($O56="","",INDEX('REGISTRE ELEVES'!$AD$10:$AD$250,$O56))</f>
        <v/>
      </c>
      <c r="N56" s="87" t="str">
        <f aca="false">IF($O56="","",INDEX('REGISTRE ELEVES'!$AE$10:$AE$250,$O56))</f>
        <v/>
      </c>
      <c r="O56" s="51" t="str">
        <f aca="false">IFERROR(MATCH($C$8&amp;"-"&amp;47,'REGISTRE ELEVES'!$AG$10:$AG$250,0),"")</f>
        <v/>
      </c>
    </row>
    <row r="57" customFormat="false" ht="15" hidden="false" customHeight="false" outlineLevel="0" collapsed="false">
      <c r="A57" s="87" t="str">
        <f aca="false">IF(B57="","",48)</f>
        <v/>
      </c>
      <c r="B57" s="87" t="str">
        <f aca="false">IF($O57="","",INDEX('REGISTRE ELEVES'!$B$10:$B$250,$O57))</f>
        <v/>
      </c>
      <c r="C57" s="87" t="str">
        <f aca="false">IF($O57="","",INDEX('REGISTRE ELEVES'!$D$10:$D$250,$O57))</f>
        <v/>
      </c>
      <c r="D57" s="87" t="str">
        <f aca="false">IF($O57="","",INDEX('REGISTRE ELEVES'!$E$10:$E$250,$O57))</f>
        <v/>
      </c>
      <c r="E57" s="87" t="str">
        <f aca="false">IF($O57="","",INDEX('REGISTRE ELEVES'!$H$10:$H$250,$O57))</f>
        <v/>
      </c>
      <c r="F57" s="87" t="str">
        <f aca="false">IF($O57="","",INDEX('REGISTRE ELEVES'!$I$10:$I$250,$O57))</f>
        <v/>
      </c>
      <c r="G57" s="0" t="str">
        <f aca="false">IF($O57="","",INDEX('REGISTRE ELEVES'!$L$10:$L$250,$O57))</f>
        <v/>
      </c>
      <c r="H57" s="87" t="str">
        <f aca="false">IF($O57="","",INDEX('REGISTRE ELEVES'!$P$10:$P$250,$O57))</f>
        <v/>
      </c>
      <c r="I57" s="87" t="str">
        <f aca="false">IF($O57="","",INDEX('REGISTRE ELEVES'!$R$10:$R$250,$O57))</f>
        <v/>
      </c>
      <c r="J57" s="87" t="str">
        <f aca="false">IF($O57="","",INDEX('REGISTRE ELEVES'!$U$10:$U$250,$O57))</f>
        <v/>
      </c>
      <c r="K57" s="87" t="str">
        <f aca="false">IF($O57="","",INDEX('REGISTRE ELEVES'!$V$10:$V$250,$O57))</f>
        <v/>
      </c>
      <c r="L57" s="87" t="str">
        <f aca="false">IF($O57="","",INDEX('REGISTRE ELEVES'!$Y$10:$Y$250,$O57))</f>
        <v/>
      </c>
      <c r="M57" s="87" t="str">
        <f aca="false">IF($O57="","",INDEX('REGISTRE ELEVES'!$AD$10:$AD$250,$O57))</f>
        <v/>
      </c>
      <c r="N57" s="87" t="str">
        <f aca="false">IF($O57="","",INDEX('REGISTRE ELEVES'!$AE$10:$AE$250,$O57))</f>
        <v/>
      </c>
      <c r="O57" s="51" t="str">
        <f aca="false">IFERROR(MATCH($C$8&amp;"-"&amp;48,'REGISTRE ELEVES'!$AG$10:$AG$250,0),"")</f>
        <v/>
      </c>
    </row>
    <row r="58" customFormat="false" ht="15" hidden="false" customHeight="false" outlineLevel="0" collapsed="false">
      <c r="A58" s="87" t="str">
        <f aca="false">IF(B58="","",49)</f>
        <v/>
      </c>
      <c r="B58" s="87" t="str">
        <f aca="false">IF($O58="","",INDEX('REGISTRE ELEVES'!$B$10:$B$250,$O58))</f>
        <v/>
      </c>
      <c r="C58" s="87" t="str">
        <f aca="false">IF($O58="","",INDEX('REGISTRE ELEVES'!$D$10:$D$250,$O58))</f>
        <v/>
      </c>
      <c r="D58" s="87" t="str">
        <f aca="false">IF($O58="","",INDEX('REGISTRE ELEVES'!$E$10:$E$250,$O58))</f>
        <v/>
      </c>
      <c r="E58" s="87" t="str">
        <f aca="false">IF($O58="","",INDEX('REGISTRE ELEVES'!$H$10:$H$250,$O58))</f>
        <v/>
      </c>
      <c r="F58" s="87" t="str">
        <f aca="false">IF($O58="","",INDEX('REGISTRE ELEVES'!$I$10:$I$250,$O58))</f>
        <v/>
      </c>
      <c r="G58" s="0" t="str">
        <f aca="false">IF($O58="","",INDEX('REGISTRE ELEVES'!$L$10:$L$250,$O58))</f>
        <v/>
      </c>
      <c r="H58" s="87" t="str">
        <f aca="false">IF($O58="","",INDEX('REGISTRE ELEVES'!$P$10:$P$250,$O58))</f>
        <v/>
      </c>
      <c r="I58" s="87" t="str">
        <f aca="false">IF($O58="","",INDEX('REGISTRE ELEVES'!$R$10:$R$250,$O58))</f>
        <v/>
      </c>
      <c r="J58" s="87" t="str">
        <f aca="false">IF($O58="","",INDEX('REGISTRE ELEVES'!$U$10:$U$250,$O58))</f>
        <v/>
      </c>
      <c r="K58" s="87" t="str">
        <f aca="false">IF($O58="","",INDEX('REGISTRE ELEVES'!$V$10:$V$250,$O58))</f>
        <v/>
      </c>
      <c r="L58" s="87" t="str">
        <f aca="false">IF($O58="","",INDEX('REGISTRE ELEVES'!$Y$10:$Y$250,$O58))</f>
        <v/>
      </c>
      <c r="M58" s="87" t="str">
        <f aca="false">IF($O58="","",INDEX('REGISTRE ELEVES'!$AD$10:$AD$250,$O58))</f>
        <v/>
      </c>
      <c r="N58" s="87" t="str">
        <f aca="false">IF($O58="","",INDEX('REGISTRE ELEVES'!$AE$10:$AE$250,$O58))</f>
        <v/>
      </c>
      <c r="O58" s="51" t="str">
        <f aca="false">IFERROR(MATCH($C$8&amp;"-"&amp;49,'REGISTRE ELEVES'!$AG$10:$AG$250,0),"")</f>
        <v/>
      </c>
    </row>
    <row r="59" customFormat="false" ht="15" hidden="false" customHeight="false" outlineLevel="0" collapsed="false">
      <c r="A59" s="87" t="str">
        <f aca="false">IF(B59="","",50)</f>
        <v/>
      </c>
      <c r="B59" s="87" t="str">
        <f aca="false">IF($O59="","",INDEX('REGISTRE ELEVES'!$B$10:$B$250,$O59))</f>
        <v/>
      </c>
      <c r="C59" s="87" t="str">
        <f aca="false">IF($O59="","",INDEX('REGISTRE ELEVES'!$D$10:$D$250,$O59))</f>
        <v/>
      </c>
      <c r="D59" s="87" t="str">
        <f aca="false">IF($O59="","",INDEX('REGISTRE ELEVES'!$E$10:$E$250,$O59))</f>
        <v/>
      </c>
      <c r="E59" s="87" t="str">
        <f aca="false">IF($O59="","",INDEX('REGISTRE ELEVES'!$H$10:$H$250,$O59))</f>
        <v/>
      </c>
      <c r="F59" s="87" t="str">
        <f aca="false">IF($O59="","",INDEX('REGISTRE ELEVES'!$I$10:$I$250,$O59))</f>
        <v/>
      </c>
      <c r="G59" s="0" t="str">
        <f aca="false">IF($O59="","",INDEX('REGISTRE ELEVES'!$L$10:$L$250,$O59))</f>
        <v/>
      </c>
      <c r="H59" s="87" t="str">
        <f aca="false">IF($O59="","",INDEX('REGISTRE ELEVES'!$P$10:$P$250,$O59))</f>
        <v/>
      </c>
      <c r="I59" s="87" t="str">
        <f aca="false">IF($O59="","",INDEX('REGISTRE ELEVES'!$R$10:$R$250,$O59))</f>
        <v/>
      </c>
      <c r="J59" s="87" t="str">
        <f aca="false">IF($O59="","",INDEX('REGISTRE ELEVES'!$U$10:$U$250,$O59))</f>
        <v/>
      </c>
      <c r="K59" s="87" t="str">
        <f aca="false">IF($O59="","",INDEX('REGISTRE ELEVES'!$V$10:$V$250,$O59))</f>
        <v/>
      </c>
      <c r="L59" s="87" t="str">
        <f aca="false">IF($O59="","",INDEX('REGISTRE ELEVES'!$Y$10:$Y$250,$O59))</f>
        <v/>
      </c>
      <c r="M59" s="87" t="str">
        <f aca="false">IF($O59="","",INDEX('REGISTRE ELEVES'!$AD$10:$AD$250,$O59))</f>
        <v/>
      </c>
      <c r="N59" s="87" t="str">
        <f aca="false">IF($O59="","",INDEX('REGISTRE ELEVES'!$AE$10:$AE$250,$O59))</f>
        <v/>
      </c>
      <c r="O59" s="51" t="str">
        <f aca="false">IFERROR(MATCH($C$8&amp;"-"&amp;50,'REGISTRE ELEVES'!$AG$10:$AG$250,0),"")</f>
        <v/>
      </c>
    </row>
    <row r="60" customFormat="false" ht="15" hidden="false" customHeight="false" outlineLevel="0" collapsed="false">
      <c r="A60" s="87" t="str">
        <f aca="false">IF(B60="","",51)</f>
        <v/>
      </c>
      <c r="B60" s="87" t="str">
        <f aca="false">IF($O60="","",INDEX('REGISTRE ELEVES'!$B$10:$B$250,$O60))</f>
        <v/>
      </c>
      <c r="C60" s="87" t="str">
        <f aca="false">IF($O60="","",INDEX('REGISTRE ELEVES'!$D$10:$D$250,$O60))</f>
        <v/>
      </c>
      <c r="D60" s="87" t="str">
        <f aca="false">IF($O60="","",INDEX('REGISTRE ELEVES'!$E$10:$E$250,$O60))</f>
        <v/>
      </c>
      <c r="E60" s="87" t="str">
        <f aca="false">IF($O60="","",INDEX('REGISTRE ELEVES'!$H$10:$H$250,$O60))</f>
        <v/>
      </c>
      <c r="F60" s="87" t="str">
        <f aca="false">IF($O60="","",INDEX('REGISTRE ELEVES'!$I$10:$I$250,$O60))</f>
        <v/>
      </c>
      <c r="G60" s="0" t="str">
        <f aca="false">IF($O60="","",INDEX('REGISTRE ELEVES'!$L$10:$L$250,$O60))</f>
        <v/>
      </c>
      <c r="H60" s="87" t="str">
        <f aca="false">IF($O60="","",INDEX('REGISTRE ELEVES'!$P$10:$P$250,$O60))</f>
        <v/>
      </c>
      <c r="I60" s="87" t="str">
        <f aca="false">IF($O60="","",INDEX('REGISTRE ELEVES'!$R$10:$R$250,$O60))</f>
        <v/>
      </c>
      <c r="J60" s="87" t="str">
        <f aca="false">IF($O60="","",INDEX('REGISTRE ELEVES'!$U$10:$U$250,$O60))</f>
        <v/>
      </c>
      <c r="K60" s="87" t="str">
        <f aca="false">IF($O60="","",INDEX('REGISTRE ELEVES'!$V$10:$V$250,$O60))</f>
        <v/>
      </c>
      <c r="L60" s="87" t="str">
        <f aca="false">IF($O60="","",INDEX('REGISTRE ELEVES'!$Y$10:$Y$250,$O60))</f>
        <v/>
      </c>
      <c r="M60" s="87" t="str">
        <f aca="false">IF($O60="","",INDEX('REGISTRE ELEVES'!$AD$10:$AD$250,$O60))</f>
        <v/>
      </c>
      <c r="N60" s="87" t="str">
        <f aca="false">IF($O60="","",INDEX('REGISTRE ELEVES'!$AE$10:$AE$250,$O60))</f>
        <v/>
      </c>
      <c r="O60" s="51" t="str">
        <f aca="false">IFERROR(MATCH($C$8&amp;"-"&amp;51,'REGISTRE ELEVES'!$AG$10:$AG$250,0),"")</f>
        <v/>
      </c>
    </row>
    <row r="61" customFormat="false" ht="15" hidden="false" customHeight="false" outlineLevel="0" collapsed="false">
      <c r="A61" s="87" t="str">
        <f aca="false">IF(B61="","",52)</f>
        <v/>
      </c>
      <c r="B61" s="87" t="str">
        <f aca="false">IF($O61="","",INDEX('REGISTRE ELEVES'!$B$10:$B$250,$O61))</f>
        <v/>
      </c>
      <c r="C61" s="87" t="str">
        <f aca="false">IF($O61="","",INDEX('REGISTRE ELEVES'!$D$10:$D$250,$O61))</f>
        <v/>
      </c>
      <c r="D61" s="87" t="str">
        <f aca="false">IF($O61="","",INDEX('REGISTRE ELEVES'!$E$10:$E$250,$O61))</f>
        <v/>
      </c>
      <c r="E61" s="87" t="str">
        <f aca="false">IF($O61="","",INDEX('REGISTRE ELEVES'!$H$10:$H$250,$O61))</f>
        <v/>
      </c>
      <c r="F61" s="87" t="str">
        <f aca="false">IF($O61="","",INDEX('REGISTRE ELEVES'!$I$10:$I$250,$O61))</f>
        <v/>
      </c>
      <c r="G61" s="0" t="str">
        <f aca="false">IF($O61="","",INDEX('REGISTRE ELEVES'!$L$10:$L$250,$O61))</f>
        <v/>
      </c>
      <c r="H61" s="87" t="str">
        <f aca="false">IF($O61="","",INDEX('REGISTRE ELEVES'!$P$10:$P$250,$O61))</f>
        <v/>
      </c>
      <c r="I61" s="87" t="str">
        <f aca="false">IF($O61="","",INDEX('REGISTRE ELEVES'!$R$10:$R$250,$O61))</f>
        <v/>
      </c>
      <c r="J61" s="87" t="str">
        <f aca="false">IF($O61="","",INDEX('REGISTRE ELEVES'!$U$10:$U$250,$O61))</f>
        <v/>
      </c>
      <c r="K61" s="87" t="str">
        <f aca="false">IF($O61="","",INDEX('REGISTRE ELEVES'!$V$10:$V$250,$O61))</f>
        <v/>
      </c>
      <c r="L61" s="87" t="str">
        <f aca="false">IF($O61="","",INDEX('REGISTRE ELEVES'!$Y$10:$Y$250,$O61))</f>
        <v/>
      </c>
      <c r="M61" s="87" t="str">
        <f aca="false">IF($O61="","",INDEX('REGISTRE ELEVES'!$AD$10:$AD$250,$O61))</f>
        <v/>
      </c>
      <c r="N61" s="87" t="str">
        <f aca="false">IF($O61="","",INDEX('REGISTRE ELEVES'!$AE$10:$AE$250,$O61))</f>
        <v/>
      </c>
      <c r="O61" s="51" t="str">
        <f aca="false">IFERROR(MATCH($C$8&amp;"-"&amp;52,'REGISTRE ELEVES'!$AG$10:$AG$250,0),"")</f>
        <v/>
      </c>
    </row>
    <row r="62" customFormat="false" ht="15" hidden="false" customHeight="false" outlineLevel="0" collapsed="false">
      <c r="A62" s="87" t="str">
        <f aca="false">IF(B62="","",53)</f>
        <v/>
      </c>
      <c r="B62" s="87" t="str">
        <f aca="false">IF($O62="","",INDEX('REGISTRE ELEVES'!$B$10:$B$250,$O62))</f>
        <v/>
      </c>
      <c r="C62" s="87" t="str">
        <f aca="false">IF($O62="","",INDEX('REGISTRE ELEVES'!$D$10:$D$250,$O62))</f>
        <v/>
      </c>
      <c r="D62" s="87" t="str">
        <f aca="false">IF($O62="","",INDEX('REGISTRE ELEVES'!$E$10:$E$250,$O62))</f>
        <v/>
      </c>
      <c r="E62" s="87" t="str">
        <f aca="false">IF($O62="","",INDEX('REGISTRE ELEVES'!$H$10:$H$250,$O62))</f>
        <v/>
      </c>
      <c r="F62" s="87" t="str">
        <f aca="false">IF($O62="","",INDEX('REGISTRE ELEVES'!$I$10:$I$250,$O62))</f>
        <v/>
      </c>
      <c r="G62" s="0" t="str">
        <f aca="false">IF($O62="","",INDEX('REGISTRE ELEVES'!$L$10:$L$250,$O62))</f>
        <v/>
      </c>
      <c r="H62" s="87" t="str">
        <f aca="false">IF($O62="","",INDEX('REGISTRE ELEVES'!$P$10:$P$250,$O62))</f>
        <v/>
      </c>
      <c r="I62" s="87" t="str">
        <f aca="false">IF($O62="","",INDEX('REGISTRE ELEVES'!$R$10:$R$250,$O62))</f>
        <v/>
      </c>
      <c r="J62" s="87" t="str">
        <f aca="false">IF($O62="","",INDEX('REGISTRE ELEVES'!$U$10:$U$250,$O62))</f>
        <v/>
      </c>
      <c r="K62" s="87" t="str">
        <f aca="false">IF($O62="","",INDEX('REGISTRE ELEVES'!$V$10:$V$250,$O62))</f>
        <v/>
      </c>
      <c r="L62" s="87" t="str">
        <f aca="false">IF($O62="","",INDEX('REGISTRE ELEVES'!$Y$10:$Y$250,$O62))</f>
        <v/>
      </c>
      <c r="M62" s="87" t="str">
        <f aca="false">IF($O62="","",INDEX('REGISTRE ELEVES'!$AD$10:$AD$250,$O62))</f>
        <v/>
      </c>
      <c r="N62" s="87" t="str">
        <f aca="false">IF($O62="","",INDEX('REGISTRE ELEVES'!$AE$10:$AE$250,$O62))</f>
        <v/>
      </c>
      <c r="O62" s="51" t="str">
        <f aca="false">IFERROR(MATCH($C$8&amp;"-"&amp;53,'REGISTRE ELEVES'!$AG$10:$AG$250,0),"")</f>
        <v/>
      </c>
    </row>
    <row r="63" customFormat="false" ht="15" hidden="false" customHeight="false" outlineLevel="0" collapsed="false">
      <c r="A63" s="87" t="str">
        <f aca="false">IF(B63="","",54)</f>
        <v/>
      </c>
      <c r="B63" s="87" t="str">
        <f aca="false">IF($O63="","",INDEX('REGISTRE ELEVES'!$B$10:$B$250,$O63))</f>
        <v/>
      </c>
      <c r="C63" s="87" t="str">
        <f aca="false">IF($O63="","",INDEX('REGISTRE ELEVES'!$D$10:$D$250,$O63))</f>
        <v/>
      </c>
      <c r="D63" s="87" t="str">
        <f aca="false">IF($O63="","",INDEX('REGISTRE ELEVES'!$E$10:$E$250,$O63))</f>
        <v/>
      </c>
      <c r="E63" s="87" t="str">
        <f aca="false">IF($O63="","",INDEX('REGISTRE ELEVES'!$H$10:$H$250,$O63))</f>
        <v/>
      </c>
      <c r="F63" s="87" t="str">
        <f aca="false">IF($O63="","",INDEX('REGISTRE ELEVES'!$I$10:$I$250,$O63))</f>
        <v/>
      </c>
      <c r="G63" s="0" t="str">
        <f aca="false">IF($O63="","",INDEX('REGISTRE ELEVES'!$L$10:$L$250,$O63))</f>
        <v/>
      </c>
      <c r="H63" s="87" t="str">
        <f aca="false">IF($O63="","",INDEX('REGISTRE ELEVES'!$P$10:$P$250,$O63))</f>
        <v/>
      </c>
      <c r="I63" s="87" t="str">
        <f aca="false">IF($O63="","",INDEX('REGISTRE ELEVES'!$R$10:$R$250,$O63))</f>
        <v/>
      </c>
      <c r="J63" s="87" t="str">
        <f aca="false">IF($O63="","",INDEX('REGISTRE ELEVES'!$U$10:$U$250,$O63))</f>
        <v/>
      </c>
      <c r="K63" s="87" t="str">
        <f aca="false">IF($O63="","",INDEX('REGISTRE ELEVES'!$V$10:$V$250,$O63))</f>
        <v/>
      </c>
      <c r="L63" s="87" t="str">
        <f aca="false">IF($O63="","",INDEX('REGISTRE ELEVES'!$Y$10:$Y$250,$O63))</f>
        <v/>
      </c>
      <c r="M63" s="87" t="str">
        <f aca="false">IF($O63="","",INDEX('REGISTRE ELEVES'!$AD$10:$AD$250,$O63))</f>
        <v/>
      </c>
      <c r="N63" s="87" t="str">
        <f aca="false">IF($O63="","",INDEX('REGISTRE ELEVES'!$AE$10:$AE$250,$O63))</f>
        <v/>
      </c>
      <c r="O63" s="51" t="str">
        <f aca="false">IFERROR(MATCH($C$8&amp;"-"&amp;54,'REGISTRE ELEVES'!$AG$10:$AG$250,0),"")</f>
        <v/>
      </c>
    </row>
    <row r="64" customFormat="false" ht="15" hidden="false" customHeight="false" outlineLevel="0" collapsed="false">
      <c r="A64" s="87" t="str">
        <f aca="false">IF(B64="","",55)</f>
        <v/>
      </c>
      <c r="B64" s="87" t="str">
        <f aca="false">IF($O64="","",INDEX('REGISTRE ELEVES'!$B$10:$B$250,$O64))</f>
        <v/>
      </c>
      <c r="C64" s="87" t="str">
        <f aca="false">IF($O64="","",INDEX('REGISTRE ELEVES'!$D$10:$D$250,$O64))</f>
        <v/>
      </c>
      <c r="D64" s="87" t="str">
        <f aca="false">IF($O64="","",INDEX('REGISTRE ELEVES'!$E$10:$E$250,$O64))</f>
        <v/>
      </c>
      <c r="E64" s="87" t="str">
        <f aca="false">IF($O64="","",INDEX('REGISTRE ELEVES'!$H$10:$H$250,$O64))</f>
        <v/>
      </c>
      <c r="F64" s="87" t="str">
        <f aca="false">IF($O64="","",INDEX('REGISTRE ELEVES'!$I$10:$I$250,$O64))</f>
        <v/>
      </c>
      <c r="G64" s="0" t="str">
        <f aca="false">IF($O64="","",INDEX('REGISTRE ELEVES'!$L$10:$L$250,$O64))</f>
        <v/>
      </c>
      <c r="H64" s="87" t="str">
        <f aca="false">IF($O64="","",INDEX('REGISTRE ELEVES'!$P$10:$P$250,$O64))</f>
        <v/>
      </c>
      <c r="I64" s="87" t="str">
        <f aca="false">IF($O64="","",INDEX('REGISTRE ELEVES'!$R$10:$R$250,$O64))</f>
        <v/>
      </c>
      <c r="J64" s="87" t="str">
        <f aca="false">IF($O64="","",INDEX('REGISTRE ELEVES'!$U$10:$U$250,$O64))</f>
        <v/>
      </c>
      <c r="K64" s="87" t="str">
        <f aca="false">IF($O64="","",INDEX('REGISTRE ELEVES'!$V$10:$V$250,$O64))</f>
        <v/>
      </c>
      <c r="L64" s="87" t="str">
        <f aca="false">IF($O64="","",INDEX('REGISTRE ELEVES'!$Y$10:$Y$250,$O64))</f>
        <v/>
      </c>
      <c r="M64" s="87" t="str">
        <f aca="false">IF($O64="","",INDEX('REGISTRE ELEVES'!$AD$10:$AD$250,$O64))</f>
        <v/>
      </c>
      <c r="N64" s="87" t="str">
        <f aca="false">IF($O64="","",INDEX('REGISTRE ELEVES'!$AE$10:$AE$250,$O64))</f>
        <v/>
      </c>
      <c r="O64" s="51" t="str">
        <f aca="false">IFERROR(MATCH($C$8&amp;"-"&amp;55,'REGISTRE ELEVES'!$AG$10:$AG$250,0),"")</f>
        <v/>
      </c>
    </row>
    <row r="65" customFormat="false" ht="15" hidden="false" customHeight="false" outlineLevel="0" collapsed="false">
      <c r="A65" s="87" t="str">
        <f aca="false">IF(B65="","",56)</f>
        <v/>
      </c>
      <c r="B65" s="87" t="str">
        <f aca="false">IF($O65="","",INDEX('REGISTRE ELEVES'!$B$10:$B$250,$O65))</f>
        <v/>
      </c>
      <c r="C65" s="87" t="str">
        <f aca="false">IF($O65="","",INDEX('REGISTRE ELEVES'!$D$10:$D$250,$O65))</f>
        <v/>
      </c>
      <c r="D65" s="87" t="str">
        <f aca="false">IF($O65="","",INDEX('REGISTRE ELEVES'!$E$10:$E$250,$O65))</f>
        <v/>
      </c>
      <c r="E65" s="87" t="str">
        <f aca="false">IF($O65="","",INDEX('REGISTRE ELEVES'!$H$10:$H$250,$O65))</f>
        <v/>
      </c>
      <c r="F65" s="87" t="str">
        <f aca="false">IF($O65="","",INDEX('REGISTRE ELEVES'!$I$10:$I$250,$O65))</f>
        <v/>
      </c>
      <c r="G65" s="0" t="str">
        <f aca="false">IF($O65="","",INDEX('REGISTRE ELEVES'!$L$10:$L$250,$O65))</f>
        <v/>
      </c>
      <c r="H65" s="87" t="str">
        <f aca="false">IF($O65="","",INDEX('REGISTRE ELEVES'!$P$10:$P$250,$O65))</f>
        <v/>
      </c>
      <c r="I65" s="87" t="str">
        <f aca="false">IF($O65="","",INDEX('REGISTRE ELEVES'!$R$10:$R$250,$O65))</f>
        <v/>
      </c>
      <c r="J65" s="87" t="str">
        <f aca="false">IF($O65="","",INDEX('REGISTRE ELEVES'!$U$10:$U$250,$O65))</f>
        <v/>
      </c>
      <c r="K65" s="87" t="str">
        <f aca="false">IF($O65="","",INDEX('REGISTRE ELEVES'!$V$10:$V$250,$O65))</f>
        <v/>
      </c>
      <c r="L65" s="87" t="str">
        <f aca="false">IF($O65="","",INDEX('REGISTRE ELEVES'!$Y$10:$Y$250,$O65))</f>
        <v/>
      </c>
      <c r="M65" s="87" t="str">
        <f aca="false">IF($O65="","",INDEX('REGISTRE ELEVES'!$AD$10:$AD$250,$O65))</f>
        <v/>
      </c>
      <c r="N65" s="87" t="str">
        <f aca="false">IF($O65="","",INDEX('REGISTRE ELEVES'!$AE$10:$AE$250,$O65))</f>
        <v/>
      </c>
      <c r="O65" s="51" t="str">
        <f aca="false">IFERROR(MATCH($C$8&amp;"-"&amp;56,'REGISTRE ELEVES'!$AG$10:$AG$250,0),"")</f>
        <v/>
      </c>
    </row>
    <row r="66" customFormat="false" ht="15" hidden="false" customHeight="false" outlineLevel="0" collapsed="false">
      <c r="A66" s="87" t="str">
        <f aca="false">IF(B66="","",57)</f>
        <v/>
      </c>
      <c r="B66" s="87" t="str">
        <f aca="false">IF($O66="","",INDEX('REGISTRE ELEVES'!$B$10:$B$250,$O66))</f>
        <v/>
      </c>
      <c r="C66" s="87" t="str">
        <f aca="false">IF($O66="","",INDEX('REGISTRE ELEVES'!$D$10:$D$250,$O66))</f>
        <v/>
      </c>
      <c r="D66" s="87" t="str">
        <f aca="false">IF($O66="","",INDEX('REGISTRE ELEVES'!$E$10:$E$250,$O66))</f>
        <v/>
      </c>
      <c r="E66" s="87" t="str">
        <f aca="false">IF($O66="","",INDEX('REGISTRE ELEVES'!$H$10:$H$250,$O66))</f>
        <v/>
      </c>
      <c r="F66" s="87" t="str">
        <f aca="false">IF($O66="","",INDEX('REGISTRE ELEVES'!$I$10:$I$250,$O66))</f>
        <v/>
      </c>
      <c r="G66" s="0" t="str">
        <f aca="false">IF($O66="","",INDEX('REGISTRE ELEVES'!$L$10:$L$250,$O66))</f>
        <v/>
      </c>
      <c r="H66" s="87" t="str">
        <f aca="false">IF($O66="","",INDEX('REGISTRE ELEVES'!$P$10:$P$250,$O66))</f>
        <v/>
      </c>
      <c r="I66" s="87" t="str">
        <f aca="false">IF($O66="","",INDEX('REGISTRE ELEVES'!$R$10:$R$250,$O66))</f>
        <v/>
      </c>
      <c r="J66" s="87" t="str">
        <f aca="false">IF($O66="","",INDEX('REGISTRE ELEVES'!$U$10:$U$250,$O66))</f>
        <v/>
      </c>
      <c r="K66" s="87" t="str">
        <f aca="false">IF($O66="","",INDEX('REGISTRE ELEVES'!$V$10:$V$250,$O66))</f>
        <v/>
      </c>
      <c r="L66" s="87" t="str">
        <f aca="false">IF($O66="","",INDEX('REGISTRE ELEVES'!$Y$10:$Y$250,$O66))</f>
        <v/>
      </c>
      <c r="M66" s="87" t="str">
        <f aca="false">IF($O66="","",INDEX('REGISTRE ELEVES'!$AD$10:$AD$250,$O66))</f>
        <v/>
      </c>
      <c r="N66" s="87" t="str">
        <f aca="false">IF($O66="","",INDEX('REGISTRE ELEVES'!$AE$10:$AE$250,$O66))</f>
        <v/>
      </c>
      <c r="O66" s="51" t="str">
        <f aca="false">IFERROR(MATCH($C$8&amp;"-"&amp;57,'REGISTRE ELEVES'!$AG$10:$AG$250,0),"")</f>
        <v/>
      </c>
    </row>
    <row r="67" customFormat="false" ht="15" hidden="false" customHeight="false" outlineLevel="0" collapsed="false">
      <c r="A67" s="87" t="str">
        <f aca="false">IF(B67="","",58)</f>
        <v/>
      </c>
      <c r="B67" s="87" t="str">
        <f aca="false">IF($O67="","",INDEX('REGISTRE ELEVES'!$B$10:$B$250,$O67))</f>
        <v/>
      </c>
      <c r="C67" s="87" t="str">
        <f aca="false">IF($O67="","",INDEX('REGISTRE ELEVES'!$D$10:$D$250,$O67))</f>
        <v/>
      </c>
      <c r="D67" s="87" t="str">
        <f aca="false">IF($O67="","",INDEX('REGISTRE ELEVES'!$E$10:$E$250,$O67))</f>
        <v/>
      </c>
      <c r="E67" s="87" t="str">
        <f aca="false">IF($O67="","",INDEX('REGISTRE ELEVES'!$H$10:$H$250,$O67))</f>
        <v/>
      </c>
      <c r="F67" s="87" t="str">
        <f aca="false">IF($O67="","",INDEX('REGISTRE ELEVES'!$I$10:$I$250,$O67))</f>
        <v/>
      </c>
      <c r="G67" s="0" t="str">
        <f aca="false">IF($O67="","",INDEX('REGISTRE ELEVES'!$L$10:$L$250,$O67))</f>
        <v/>
      </c>
      <c r="H67" s="87" t="str">
        <f aca="false">IF($O67="","",INDEX('REGISTRE ELEVES'!$P$10:$P$250,$O67))</f>
        <v/>
      </c>
      <c r="I67" s="87" t="str">
        <f aca="false">IF($O67="","",INDEX('REGISTRE ELEVES'!$R$10:$R$250,$O67))</f>
        <v/>
      </c>
      <c r="J67" s="87" t="str">
        <f aca="false">IF($O67="","",INDEX('REGISTRE ELEVES'!$U$10:$U$250,$O67))</f>
        <v/>
      </c>
      <c r="K67" s="87" t="str">
        <f aca="false">IF($O67="","",INDEX('REGISTRE ELEVES'!$V$10:$V$250,$O67))</f>
        <v/>
      </c>
      <c r="L67" s="87" t="str">
        <f aca="false">IF($O67="","",INDEX('REGISTRE ELEVES'!$Y$10:$Y$250,$O67))</f>
        <v/>
      </c>
      <c r="M67" s="87" t="str">
        <f aca="false">IF($O67="","",INDEX('REGISTRE ELEVES'!$AD$10:$AD$250,$O67))</f>
        <v/>
      </c>
      <c r="N67" s="87" t="str">
        <f aca="false">IF($O67="","",INDEX('REGISTRE ELEVES'!$AE$10:$AE$250,$O67))</f>
        <v/>
      </c>
      <c r="O67" s="51" t="str">
        <f aca="false">IFERROR(MATCH($C$8&amp;"-"&amp;58,'REGISTRE ELEVES'!$AG$10:$AG$250,0),"")</f>
        <v/>
      </c>
    </row>
    <row r="68" customFormat="false" ht="15" hidden="false" customHeight="false" outlineLevel="0" collapsed="false">
      <c r="A68" s="87" t="str">
        <f aca="false">IF(B68="","",59)</f>
        <v/>
      </c>
      <c r="B68" s="87" t="str">
        <f aca="false">IF($O68="","",INDEX('REGISTRE ELEVES'!$B$10:$B$250,$O68))</f>
        <v/>
      </c>
      <c r="C68" s="87" t="str">
        <f aca="false">IF($O68="","",INDEX('REGISTRE ELEVES'!$D$10:$D$250,$O68))</f>
        <v/>
      </c>
      <c r="D68" s="87" t="str">
        <f aca="false">IF($O68="","",INDEX('REGISTRE ELEVES'!$E$10:$E$250,$O68))</f>
        <v/>
      </c>
      <c r="E68" s="87" t="str">
        <f aca="false">IF($O68="","",INDEX('REGISTRE ELEVES'!$H$10:$H$250,$O68))</f>
        <v/>
      </c>
      <c r="F68" s="87" t="str">
        <f aca="false">IF($O68="","",INDEX('REGISTRE ELEVES'!$I$10:$I$250,$O68))</f>
        <v/>
      </c>
      <c r="G68" s="0" t="str">
        <f aca="false">IF($O68="","",INDEX('REGISTRE ELEVES'!$L$10:$L$250,$O68))</f>
        <v/>
      </c>
      <c r="H68" s="87" t="str">
        <f aca="false">IF($O68="","",INDEX('REGISTRE ELEVES'!$P$10:$P$250,$O68))</f>
        <v/>
      </c>
      <c r="I68" s="87" t="str">
        <f aca="false">IF($O68="","",INDEX('REGISTRE ELEVES'!$R$10:$R$250,$O68))</f>
        <v/>
      </c>
      <c r="J68" s="87" t="str">
        <f aca="false">IF($O68="","",INDEX('REGISTRE ELEVES'!$U$10:$U$250,$O68))</f>
        <v/>
      </c>
      <c r="K68" s="87" t="str">
        <f aca="false">IF($O68="","",INDEX('REGISTRE ELEVES'!$V$10:$V$250,$O68))</f>
        <v/>
      </c>
      <c r="L68" s="87" t="str">
        <f aca="false">IF($O68="","",INDEX('REGISTRE ELEVES'!$Y$10:$Y$250,$O68))</f>
        <v/>
      </c>
      <c r="M68" s="87" t="str">
        <f aca="false">IF($O68="","",INDEX('REGISTRE ELEVES'!$AD$10:$AD$250,$O68))</f>
        <v/>
      </c>
      <c r="N68" s="87" t="str">
        <f aca="false">IF($O68="","",INDEX('REGISTRE ELEVES'!$AE$10:$AE$250,$O68))</f>
        <v/>
      </c>
      <c r="O68" s="51" t="str">
        <f aca="false">IFERROR(MATCH($C$8&amp;"-"&amp;59,'REGISTRE ELEVES'!$AG$10:$AG$250,0),"")</f>
        <v/>
      </c>
    </row>
    <row r="69" customFormat="false" ht="15" hidden="false" customHeight="false" outlineLevel="0" collapsed="false">
      <c r="A69" s="87" t="str">
        <f aca="false">IF(B69="","",60)</f>
        <v/>
      </c>
      <c r="B69" s="87" t="str">
        <f aca="false">IF($O69="","",INDEX('REGISTRE ELEVES'!$B$10:$B$250,$O69))</f>
        <v/>
      </c>
      <c r="C69" s="87" t="str">
        <f aca="false">IF($O69="","",INDEX('REGISTRE ELEVES'!$D$10:$D$250,$O69))</f>
        <v/>
      </c>
      <c r="D69" s="87" t="str">
        <f aca="false">IF($O69="","",INDEX('REGISTRE ELEVES'!$E$10:$E$250,$O69))</f>
        <v/>
      </c>
      <c r="E69" s="87" t="str">
        <f aca="false">IF($O69="","",INDEX('REGISTRE ELEVES'!$H$10:$H$250,$O69))</f>
        <v/>
      </c>
      <c r="F69" s="87" t="str">
        <f aca="false">IF($O69="","",INDEX('REGISTRE ELEVES'!$I$10:$I$250,$O69))</f>
        <v/>
      </c>
      <c r="G69" s="0" t="str">
        <f aca="false">IF($O69="","",INDEX('REGISTRE ELEVES'!$L$10:$L$250,$O69))</f>
        <v/>
      </c>
      <c r="H69" s="87" t="str">
        <f aca="false">IF($O69="","",INDEX('REGISTRE ELEVES'!$P$10:$P$250,$O69))</f>
        <v/>
      </c>
      <c r="I69" s="87" t="str">
        <f aca="false">IF($O69="","",INDEX('REGISTRE ELEVES'!$R$10:$R$250,$O69))</f>
        <v/>
      </c>
      <c r="J69" s="87" t="str">
        <f aca="false">IF($O69="","",INDEX('REGISTRE ELEVES'!$U$10:$U$250,$O69))</f>
        <v/>
      </c>
      <c r="K69" s="87" t="str">
        <f aca="false">IF($O69="","",INDEX('REGISTRE ELEVES'!$V$10:$V$250,$O69))</f>
        <v/>
      </c>
      <c r="L69" s="87" t="str">
        <f aca="false">IF($O69="","",INDEX('REGISTRE ELEVES'!$Y$10:$Y$250,$O69))</f>
        <v/>
      </c>
      <c r="M69" s="87" t="str">
        <f aca="false">IF($O69="","",INDEX('REGISTRE ELEVES'!$AD$10:$AD$250,$O69))</f>
        <v/>
      </c>
      <c r="N69" s="87" t="str">
        <f aca="false">IF($O69="","",INDEX('REGISTRE ELEVES'!$AE$10:$AE$250,$O69))</f>
        <v/>
      </c>
      <c r="O69" s="51" t="str">
        <f aca="false">IFERROR(MATCH($C$8&amp;"-"&amp;60,'REGISTRE ELEVES'!$AG$10:$AG$250,0),"")</f>
        <v/>
      </c>
    </row>
    <row r="70" customFormat="false" ht="15" hidden="false" customHeight="false" outlineLevel="0" collapsed="false">
      <c r="A70" s="87" t="str">
        <f aca="false">IF(B70="","",61)</f>
        <v/>
      </c>
      <c r="B70" s="87" t="str">
        <f aca="false">IF($O70="","",INDEX('REGISTRE ELEVES'!$B$10:$B$250,$O70))</f>
        <v/>
      </c>
      <c r="C70" s="87" t="str">
        <f aca="false">IF($O70="","",INDEX('REGISTRE ELEVES'!$D$10:$D$250,$O70))</f>
        <v/>
      </c>
      <c r="D70" s="87" t="str">
        <f aca="false">IF($O70="","",INDEX('REGISTRE ELEVES'!$E$10:$E$250,$O70))</f>
        <v/>
      </c>
      <c r="E70" s="87" t="str">
        <f aca="false">IF($O70="","",INDEX('REGISTRE ELEVES'!$H$10:$H$250,$O70))</f>
        <v/>
      </c>
      <c r="F70" s="87" t="str">
        <f aca="false">IF($O70="","",INDEX('REGISTRE ELEVES'!$I$10:$I$250,$O70))</f>
        <v/>
      </c>
      <c r="G70" s="0" t="str">
        <f aca="false">IF($O70="","",INDEX('REGISTRE ELEVES'!$L$10:$L$250,$O70))</f>
        <v/>
      </c>
      <c r="H70" s="87" t="str">
        <f aca="false">IF($O70="","",INDEX('REGISTRE ELEVES'!$P$10:$P$250,$O70))</f>
        <v/>
      </c>
      <c r="I70" s="87" t="str">
        <f aca="false">IF($O70="","",INDEX('REGISTRE ELEVES'!$R$10:$R$250,$O70))</f>
        <v/>
      </c>
      <c r="J70" s="87" t="str">
        <f aca="false">IF($O70="","",INDEX('REGISTRE ELEVES'!$U$10:$U$250,$O70))</f>
        <v/>
      </c>
      <c r="K70" s="87" t="str">
        <f aca="false">IF($O70="","",INDEX('REGISTRE ELEVES'!$V$10:$V$250,$O70))</f>
        <v/>
      </c>
      <c r="L70" s="87" t="str">
        <f aca="false">IF($O70="","",INDEX('REGISTRE ELEVES'!$Y$10:$Y$250,$O70))</f>
        <v/>
      </c>
      <c r="M70" s="87" t="str">
        <f aca="false">IF($O70="","",INDEX('REGISTRE ELEVES'!$AD$10:$AD$250,$O70))</f>
        <v/>
      </c>
      <c r="N70" s="87" t="str">
        <f aca="false">IF($O70="","",INDEX('REGISTRE ELEVES'!$AE$10:$AE$250,$O70))</f>
        <v/>
      </c>
      <c r="O70" s="51" t="str">
        <f aca="false">IFERROR(MATCH($C$8&amp;"-"&amp;61,'REGISTRE ELEVES'!$AG$10:$AG$250,0),"")</f>
        <v/>
      </c>
    </row>
    <row r="71" customFormat="false" ht="15" hidden="false" customHeight="false" outlineLevel="0" collapsed="false">
      <c r="A71" s="87" t="str">
        <f aca="false">IF(B71="","",62)</f>
        <v/>
      </c>
      <c r="B71" s="87" t="str">
        <f aca="false">IF($O71="","",INDEX('REGISTRE ELEVES'!$B$10:$B$250,$O71))</f>
        <v/>
      </c>
      <c r="C71" s="87" t="str">
        <f aca="false">IF($O71="","",INDEX('REGISTRE ELEVES'!$D$10:$D$250,$O71))</f>
        <v/>
      </c>
      <c r="D71" s="87" t="str">
        <f aca="false">IF($O71="","",INDEX('REGISTRE ELEVES'!$E$10:$E$250,$O71))</f>
        <v/>
      </c>
      <c r="E71" s="87" t="str">
        <f aca="false">IF($O71="","",INDEX('REGISTRE ELEVES'!$H$10:$H$250,$O71))</f>
        <v/>
      </c>
      <c r="F71" s="87" t="str">
        <f aca="false">IF($O71="","",INDEX('REGISTRE ELEVES'!$I$10:$I$250,$O71))</f>
        <v/>
      </c>
      <c r="G71" s="0" t="str">
        <f aca="false">IF($O71="","",INDEX('REGISTRE ELEVES'!$L$10:$L$250,$O71))</f>
        <v/>
      </c>
      <c r="H71" s="87" t="str">
        <f aca="false">IF($O71="","",INDEX('REGISTRE ELEVES'!$P$10:$P$250,$O71))</f>
        <v/>
      </c>
      <c r="I71" s="87" t="str">
        <f aca="false">IF($O71="","",INDEX('REGISTRE ELEVES'!$R$10:$R$250,$O71))</f>
        <v/>
      </c>
      <c r="J71" s="87" t="str">
        <f aca="false">IF($O71="","",INDEX('REGISTRE ELEVES'!$U$10:$U$250,$O71))</f>
        <v/>
      </c>
      <c r="K71" s="87" t="str">
        <f aca="false">IF($O71="","",INDEX('REGISTRE ELEVES'!$V$10:$V$250,$O71))</f>
        <v/>
      </c>
      <c r="L71" s="87" t="str">
        <f aca="false">IF($O71="","",INDEX('REGISTRE ELEVES'!$Y$10:$Y$250,$O71))</f>
        <v/>
      </c>
      <c r="M71" s="87" t="str">
        <f aca="false">IF($O71="","",INDEX('REGISTRE ELEVES'!$AD$10:$AD$250,$O71))</f>
        <v/>
      </c>
      <c r="N71" s="87" t="str">
        <f aca="false">IF($O71="","",INDEX('REGISTRE ELEVES'!$AE$10:$AE$250,$O71))</f>
        <v/>
      </c>
      <c r="O71" s="51" t="str">
        <f aca="false">IFERROR(MATCH($C$8&amp;"-"&amp;62,'REGISTRE ELEVES'!$AG$10:$AG$250,0),"")</f>
        <v/>
      </c>
    </row>
    <row r="72" customFormat="false" ht="15" hidden="false" customHeight="false" outlineLevel="0" collapsed="false">
      <c r="A72" s="87" t="str">
        <f aca="false">IF(B72="","",63)</f>
        <v/>
      </c>
      <c r="B72" s="87" t="str">
        <f aca="false">IF($O72="","",INDEX('REGISTRE ELEVES'!$B$10:$B$250,$O72))</f>
        <v/>
      </c>
      <c r="C72" s="87" t="str">
        <f aca="false">IF($O72="","",INDEX('REGISTRE ELEVES'!$D$10:$D$250,$O72))</f>
        <v/>
      </c>
      <c r="D72" s="87" t="str">
        <f aca="false">IF($O72="","",INDEX('REGISTRE ELEVES'!$E$10:$E$250,$O72))</f>
        <v/>
      </c>
      <c r="E72" s="87" t="str">
        <f aca="false">IF($O72="","",INDEX('REGISTRE ELEVES'!$H$10:$H$250,$O72))</f>
        <v/>
      </c>
      <c r="F72" s="87" t="str">
        <f aca="false">IF($O72="","",INDEX('REGISTRE ELEVES'!$I$10:$I$250,$O72))</f>
        <v/>
      </c>
      <c r="G72" s="0" t="str">
        <f aca="false">IF($O72="","",INDEX('REGISTRE ELEVES'!$L$10:$L$250,$O72))</f>
        <v/>
      </c>
      <c r="H72" s="87" t="str">
        <f aca="false">IF($O72="","",INDEX('REGISTRE ELEVES'!$P$10:$P$250,$O72))</f>
        <v/>
      </c>
      <c r="I72" s="87" t="str">
        <f aca="false">IF($O72="","",INDEX('REGISTRE ELEVES'!$R$10:$R$250,$O72))</f>
        <v/>
      </c>
      <c r="J72" s="87" t="str">
        <f aca="false">IF($O72="","",INDEX('REGISTRE ELEVES'!$U$10:$U$250,$O72))</f>
        <v/>
      </c>
      <c r="K72" s="87" t="str">
        <f aca="false">IF($O72="","",INDEX('REGISTRE ELEVES'!$V$10:$V$250,$O72))</f>
        <v/>
      </c>
      <c r="L72" s="87" t="str">
        <f aca="false">IF($O72="","",INDEX('REGISTRE ELEVES'!$Y$10:$Y$250,$O72))</f>
        <v/>
      </c>
      <c r="M72" s="87" t="str">
        <f aca="false">IF($O72="","",INDEX('REGISTRE ELEVES'!$AD$10:$AD$250,$O72))</f>
        <v/>
      </c>
      <c r="N72" s="87" t="str">
        <f aca="false">IF($O72="","",INDEX('REGISTRE ELEVES'!$AE$10:$AE$250,$O72))</f>
        <v/>
      </c>
      <c r="O72" s="51" t="str">
        <f aca="false">IFERROR(MATCH($C$8&amp;"-"&amp;63,'REGISTRE ELEVES'!$AG$10:$AG$250,0),"")</f>
        <v/>
      </c>
    </row>
    <row r="73" customFormat="false" ht="15" hidden="false" customHeight="false" outlineLevel="0" collapsed="false">
      <c r="A73" s="87" t="str">
        <f aca="false">IF(B73="","",64)</f>
        <v/>
      </c>
      <c r="B73" s="87" t="str">
        <f aca="false">IF($O73="","",INDEX('REGISTRE ELEVES'!$B$10:$B$250,$O73))</f>
        <v/>
      </c>
      <c r="C73" s="87" t="str">
        <f aca="false">IF($O73="","",INDEX('REGISTRE ELEVES'!$D$10:$D$250,$O73))</f>
        <v/>
      </c>
      <c r="D73" s="87" t="str">
        <f aca="false">IF($O73="","",INDEX('REGISTRE ELEVES'!$E$10:$E$250,$O73))</f>
        <v/>
      </c>
      <c r="E73" s="87" t="str">
        <f aca="false">IF($O73="","",INDEX('REGISTRE ELEVES'!$H$10:$H$250,$O73))</f>
        <v/>
      </c>
      <c r="F73" s="87" t="str">
        <f aca="false">IF($O73="","",INDEX('REGISTRE ELEVES'!$I$10:$I$250,$O73))</f>
        <v/>
      </c>
      <c r="G73" s="0" t="str">
        <f aca="false">IF($O73="","",INDEX('REGISTRE ELEVES'!$L$10:$L$250,$O73))</f>
        <v/>
      </c>
      <c r="H73" s="87" t="str">
        <f aca="false">IF($O73="","",INDEX('REGISTRE ELEVES'!$P$10:$P$250,$O73))</f>
        <v/>
      </c>
      <c r="I73" s="87" t="str">
        <f aca="false">IF($O73="","",INDEX('REGISTRE ELEVES'!$R$10:$R$250,$O73))</f>
        <v/>
      </c>
      <c r="J73" s="87" t="str">
        <f aca="false">IF($O73="","",INDEX('REGISTRE ELEVES'!$U$10:$U$250,$O73))</f>
        <v/>
      </c>
      <c r="K73" s="87" t="str">
        <f aca="false">IF($O73="","",INDEX('REGISTRE ELEVES'!$V$10:$V$250,$O73))</f>
        <v/>
      </c>
      <c r="L73" s="87" t="str">
        <f aca="false">IF($O73="","",INDEX('REGISTRE ELEVES'!$Y$10:$Y$250,$O73))</f>
        <v/>
      </c>
      <c r="M73" s="87" t="str">
        <f aca="false">IF($O73="","",INDEX('REGISTRE ELEVES'!$AD$10:$AD$250,$O73))</f>
        <v/>
      </c>
      <c r="N73" s="87" t="str">
        <f aca="false">IF($O73="","",INDEX('REGISTRE ELEVES'!$AE$10:$AE$250,$O73))</f>
        <v/>
      </c>
      <c r="O73" s="51" t="str">
        <f aca="false">IFERROR(MATCH($C$8&amp;"-"&amp;64,'REGISTRE ELEVES'!$AG$10:$AG$250,0),"")</f>
        <v/>
      </c>
    </row>
    <row r="74" customFormat="false" ht="15" hidden="false" customHeight="false" outlineLevel="0" collapsed="false">
      <c r="A74" s="87" t="str">
        <f aca="false">IF(B74="","",65)</f>
        <v/>
      </c>
      <c r="B74" s="87" t="str">
        <f aca="false">IF($O74="","",INDEX('REGISTRE ELEVES'!$B$10:$B$250,$O74))</f>
        <v/>
      </c>
      <c r="C74" s="87" t="str">
        <f aca="false">IF($O74="","",INDEX('REGISTRE ELEVES'!$D$10:$D$250,$O74))</f>
        <v/>
      </c>
      <c r="D74" s="87" t="str">
        <f aca="false">IF($O74="","",INDEX('REGISTRE ELEVES'!$E$10:$E$250,$O74))</f>
        <v/>
      </c>
      <c r="E74" s="87" t="str">
        <f aca="false">IF($O74="","",INDEX('REGISTRE ELEVES'!$H$10:$H$250,$O74))</f>
        <v/>
      </c>
      <c r="F74" s="87" t="str">
        <f aca="false">IF($O74="","",INDEX('REGISTRE ELEVES'!$I$10:$I$250,$O74))</f>
        <v/>
      </c>
      <c r="G74" s="0" t="str">
        <f aca="false">IF($O74="","",INDEX('REGISTRE ELEVES'!$L$10:$L$250,$O74))</f>
        <v/>
      </c>
      <c r="H74" s="87" t="str">
        <f aca="false">IF($O74="","",INDEX('REGISTRE ELEVES'!$P$10:$P$250,$O74))</f>
        <v/>
      </c>
      <c r="I74" s="87" t="str">
        <f aca="false">IF($O74="","",INDEX('REGISTRE ELEVES'!$R$10:$R$250,$O74))</f>
        <v/>
      </c>
      <c r="J74" s="87" t="str">
        <f aca="false">IF($O74="","",INDEX('REGISTRE ELEVES'!$U$10:$U$250,$O74))</f>
        <v/>
      </c>
      <c r="K74" s="87" t="str">
        <f aca="false">IF($O74="","",INDEX('REGISTRE ELEVES'!$V$10:$V$250,$O74))</f>
        <v/>
      </c>
      <c r="L74" s="87" t="str">
        <f aca="false">IF($O74="","",INDEX('REGISTRE ELEVES'!$Y$10:$Y$250,$O74))</f>
        <v/>
      </c>
      <c r="M74" s="87" t="str">
        <f aca="false">IF($O74="","",INDEX('REGISTRE ELEVES'!$AD$10:$AD$250,$O74))</f>
        <v/>
      </c>
      <c r="N74" s="87" t="str">
        <f aca="false">IF($O74="","",INDEX('REGISTRE ELEVES'!$AE$10:$AE$250,$O74))</f>
        <v/>
      </c>
      <c r="O74" s="51" t="str">
        <f aca="false">IFERROR(MATCH($C$8&amp;"-"&amp;65,'REGISTRE ELEVES'!$AG$10:$AG$250,0),"")</f>
        <v/>
      </c>
    </row>
    <row r="75" customFormat="false" ht="15" hidden="false" customHeight="false" outlineLevel="0" collapsed="false">
      <c r="A75" s="87" t="str">
        <f aca="false">IF(B75="","",66)</f>
        <v/>
      </c>
      <c r="B75" s="87" t="str">
        <f aca="false">IF($O75="","",INDEX('REGISTRE ELEVES'!$B$10:$B$250,$O75))</f>
        <v/>
      </c>
      <c r="C75" s="87" t="str">
        <f aca="false">IF($O75="","",INDEX('REGISTRE ELEVES'!$D$10:$D$250,$O75))</f>
        <v/>
      </c>
      <c r="D75" s="87" t="str">
        <f aca="false">IF($O75="","",INDEX('REGISTRE ELEVES'!$E$10:$E$250,$O75))</f>
        <v/>
      </c>
      <c r="E75" s="87" t="str">
        <f aca="false">IF($O75="","",INDEX('REGISTRE ELEVES'!$H$10:$H$250,$O75))</f>
        <v/>
      </c>
      <c r="F75" s="87" t="str">
        <f aca="false">IF($O75="","",INDEX('REGISTRE ELEVES'!$I$10:$I$250,$O75))</f>
        <v/>
      </c>
      <c r="G75" s="0" t="str">
        <f aca="false">IF($O75="","",INDEX('REGISTRE ELEVES'!$L$10:$L$250,$O75))</f>
        <v/>
      </c>
      <c r="H75" s="87" t="str">
        <f aca="false">IF($O75="","",INDEX('REGISTRE ELEVES'!$P$10:$P$250,$O75))</f>
        <v/>
      </c>
      <c r="I75" s="87" t="str">
        <f aca="false">IF($O75="","",INDEX('REGISTRE ELEVES'!$R$10:$R$250,$O75))</f>
        <v/>
      </c>
      <c r="J75" s="87" t="str">
        <f aca="false">IF($O75="","",INDEX('REGISTRE ELEVES'!$U$10:$U$250,$O75))</f>
        <v/>
      </c>
      <c r="K75" s="87" t="str">
        <f aca="false">IF($O75="","",INDEX('REGISTRE ELEVES'!$V$10:$V$250,$O75))</f>
        <v/>
      </c>
      <c r="L75" s="87" t="str">
        <f aca="false">IF($O75="","",INDEX('REGISTRE ELEVES'!$Y$10:$Y$250,$O75))</f>
        <v/>
      </c>
      <c r="M75" s="87" t="str">
        <f aca="false">IF($O75="","",INDEX('REGISTRE ELEVES'!$AD$10:$AD$250,$O75))</f>
        <v/>
      </c>
      <c r="N75" s="87" t="str">
        <f aca="false">IF($O75="","",INDEX('REGISTRE ELEVES'!$AE$10:$AE$250,$O75))</f>
        <v/>
      </c>
      <c r="O75" s="51" t="str">
        <f aca="false">IFERROR(MATCH($C$8&amp;"-"&amp;66,'REGISTRE ELEVES'!$AG$10:$AG$250,0),"")</f>
        <v/>
      </c>
    </row>
    <row r="76" customFormat="false" ht="15" hidden="false" customHeight="false" outlineLevel="0" collapsed="false">
      <c r="A76" s="87" t="str">
        <f aca="false">IF(B76="","",67)</f>
        <v/>
      </c>
      <c r="B76" s="87" t="str">
        <f aca="false">IF($O76="","",INDEX('REGISTRE ELEVES'!$B$10:$B$250,$O76))</f>
        <v/>
      </c>
      <c r="C76" s="87" t="str">
        <f aca="false">IF($O76="","",INDEX('REGISTRE ELEVES'!$D$10:$D$250,$O76))</f>
        <v/>
      </c>
      <c r="D76" s="87" t="str">
        <f aca="false">IF($O76="","",INDEX('REGISTRE ELEVES'!$E$10:$E$250,$O76))</f>
        <v/>
      </c>
      <c r="E76" s="87" t="str">
        <f aca="false">IF($O76="","",INDEX('REGISTRE ELEVES'!$H$10:$H$250,$O76))</f>
        <v/>
      </c>
      <c r="F76" s="87" t="str">
        <f aca="false">IF($O76="","",INDEX('REGISTRE ELEVES'!$I$10:$I$250,$O76))</f>
        <v/>
      </c>
      <c r="G76" s="0" t="str">
        <f aca="false">IF($O76="","",INDEX('REGISTRE ELEVES'!$L$10:$L$250,$O76))</f>
        <v/>
      </c>
      <c r="H76" s="87" t="str">
        <f aca="false">IF($O76="","",INDEX('REGISTRE ELEVES'!$P$10:$P$250,$O76))</f>
        <v/>
      </c>
      <c r="I76" s="87" t="str">
        <f aca="false">IF($O76="","",INDEX('REGISTRE ELEVES'!$R$10:$R$250,$O76))</f>
        <v/>
      </c>
      <c r="J76" s="87" t="str">
        <f aca="false">IF($O76="","",INDEX('REGISTRE ELEVES'!$U$10:$U$250,$O76))</f>
        <v/>
      </c>
      <c r="K76" s="87" t="str">
        <f aca="false">IF($O76="","",INDEX('REGISTRE ELEVES'!$V$10:$V$250,$O76))</f>
        <v/>
      </c>
      <c r="L76" s="87" t="str">
        <f aca="false">IF($O76="","",INDEX('REGISTRE ELEVES'!$Y$10:$Y$250,$O76))</f>
        <v/>
      </c>
      <c r="M76" s="87" t="str">
        <f aca="false">IF($O76="","",INDEX('REGISTRE ELEVES'!$AD$10:$AD$250,$O76))</f>
        <v/>
      </c>
      <c r="N76" s="87" t="str">
        <f aca="false">IF($O76="","",INDEX('REGISTRE ELEVES'!$AE$10:$AE$250,$O76))</f>
        <v/>
      </c>
      <c r="O76" s="51" t="str">
        <f aca="false">IFERROR(MATCH($C$8&amp;"-"&amp;67,'REGISTRE ELEVES'!$AG$10:$AG$250,0),"")</f>
        <v/>
      </c>
    </row>
    <row r="77" customFormat="false" ht="15" hidden="false" customHeight="false" outlineLevel="0" collapsed="false">
      <c r="A77" s="87" t="str">
        <f aca="false">IF(B77="","",68)</f>
        <v/>
      </c>
      <c r="B77" s="87" t="str">
        <f aca="false">IF($O77="","",INDEX('REGISTRE ELEVES'!$B$10:$B$250,$O77))</f>
        <v/>
      </c>
      <c r="C77" s="87" t="str">
        <f aca="false">IF($O77="","",INDEX('REGISTRE ELEVES'!$D$10:$D$250,$O77))</f>
        <v/>
      </c>
      <c r="D77" s="87" t="str">
        <f aca="false">IF($O77="","",INDEX('REGISTRE ELEVES'!$E$10:$E$250,$O77))</f>
        <v/>
      </c>
      <c r="E77" s="87" t="str">
        <f aca="false">IF($O77="","",INDEX('REGISTRE ELEVES'!$H$10:$H$250,$O77))</f>
        <v/>
      </c>
      <c r="F77" s="87" t="str">
        <f aca="false">IF($O77="","",INDEX('REGISTRE ELEVES'!$I$10:$I$250,$O77))</f>
        <v/>
      </c>
      <c r="G77" s="0" t="str">
        <f aca="false">IF($O77="","",INDEX('REGISTRE ELEVES'!$L$10:$L$250,$O77))</f>
        <v/>
      </c>
      <c r="H77" s="87" t="str">
        <f aca="false">IF($O77="","",INDEX('REGISTRE ELEVES'!$P$10:$P$250,$O77))</f>
        <v/>
      </c>
      <c r="I77" s="87" t="str">
        <f aca="false">IF($O77="","",INDEX('REGISTRE ELEVES'!$R$10:$R$250,$O77))</f>
        <v/>
      </c>
      <c r="J77" s="87" t="str">
        <f aca="false">IF($O77="","",INDEX('REGISTRE ELEVES'!$U$10:$U$250,$O77))</f>
        <v/>
      </c>
      <c r="K77" s="87" t="str">
        <f aca="false">IF($O77="","",INDEX('REGISTRE ELEVES'!$V$10:$V$250,$O77))</f>
        <v/>
      </c>
      <c r="L77" s="87" t="str">
        <f aca="false">IF($O77="","",INDEX('REGISTRE ELEVES'!$Y$10:$Y$250,$O77))</f>
        <v/>
      </c>
      <c r="M77" s="87" t="str">
        <f aca="false">IF($O77="","",INDEX('REGISTRE ELEVES'!$AD$10:$AD$250,$O77))</f>
        <v/>
      </c>
      <c r="N77" s="87" t="str">
        <f aca="false">IF($O77="","",INDEX('REGISTRE ELEVES'!$AE$10:$AE$250,$O77))</f>
        <v/>
      </c>
      <c r="O77" s="51" t="str">
        <f aca="false">IFERROR(MATCH($C$8&amp;"-"&amp;68,'REGISTRE ELEVES'!$AG$10:$AG$250,0),"")</f>
        <v/>
      </c>
    </row>
    <row r="78" customFormat="false" ht="15" hidden="false" customHeight="false" outlineLevel="0" collapsed="false">
      <c r="A78" s="87" t="str">
        <f aca="false">IF(B78="","",69)</f>
        <v/>
      </c>
      <c r="B78" s="87" t="str">
        <f aca="false">IF($O78="","",INDEX('REGISTRE ELEVES'!$B$10:$B$250,$O78))</f>
        <v/>
      </c>
      <c r="C78" s="87" t="str">
        <f aca="false">IF($O78="","",INDEX('REGISTRE ELEVES'!$D$10:$D$250,$O78))</f>
        <v/>
      </c>
      <c r="D78" s="87" t="str">
        <f aca="false">IF($O78="","",INDEX('REGISTRE ELEVES'!$E$10:$E$250,$O78))</f>
        <v/>
      </c>
      <c r="E78" s="87" t="str">
        <f aca="false">IF($O78="","",INDEX('REGISTRE ELEVES'!$H$10:$H$250,$O78))</f>
        <v/>
      </c>
      <c r="F78" s="87" t="str">
        <f aca="false">IF($O78="","",INDEX('REGISTRE ELEVES'!$I$10:$I$250,$O78))</f>
        <v/>
      </c>
      <c r="G78" s="0" t="str">
        <f aca="false">IF($O78="","",INDEX('REGISTRE ELEVES'!$L$10:$L$250,$O78))</f>
        <v/>
      </c>
      <c r="H78" s="87" t="str">
        <f aca="false">IF($O78="","",INDEX('REGISTRE ELEVES'!$P$10:$P$250,$O78))</f>
        <v/>
      </c>
      <c r="I78" s="87" t="str">
        <f aca="false">IF($O78="","",INDEX('REGISTRE ELEVES'!$R$10:$R$250,$O78))</f>
        <v/>
      </c>
      <c r="J78" s="87" t="str">
        <f aca="false">IF($O78="","",INDEX('REGISTRE ELEVES'!$U$10:$U$250,$O78))</f>
        <v/>
      </c>
      <c r="K78" s="87" t="str">
        <f aca="false">IF($O78="","",INDEX('REGISTRE ELEVES'!$V$10:$V$250,$O78))</f>
        <v/>
      </c>
      <c r="L78" s="87" t="str">
        <f aca="false">IF($O78="","",INDEX('REGISTRE ELEVES'!$Y$10:$Y$250,$O78))</f>
        <v/>
      </c>
      <c r="M78" s="87" t="str">
        <f aca="false">IF($O78="","",INDEX('REGISTRE ELEVES'!$AD$10:$AD$250,$O78))</f>
        <v/>
      </c>
      <c r="N78" s="87" t="str">
        <f aca="false">IF($O78="","",INDEX('REGISTRE ELEVES'!$AE$10:$AE$250,$O78))</f>
        <v/>
      </c>
      <c r="O78" s="51" t="str">
        <f aca="false">IFERROR(MATCH($C$8&amp;"-"&amp;69,'REGISTRE ELEVES'!$AG$10:$AG$250,0),"")</f>
        <v/>
      </c>
    </row>
    <row r="79" customFormat="false" ht="15" hidden="false" customHeight="false" outlineLevel="0" collapsed="false">
      <c r="A79" s="87" t="str">
        <f aca="false">IF(B79="","",70)</f>
        <v/>
      </c>
      <c r="B79" s="87" t="str">
        <f aca="false">IF($O79="","",INDEX('REGISTRE ELEVES'!$B$10:$B$250,$O79))</f>
        <v/>
      </c>
      <c r="C79" s="87" t="str">
        <f aca="false">IF($O79="","",INDEX('REGISTRE ELEVES'!$D$10:$D$250,$O79))</f>
        <v/>
      </c>
      <c r="D79" s="87" t="str">
        <f aca="false">IF($O79="","",INDEX('REGISTRE ELEVES'!$E$10:$E$250,$O79))</f>
        <v/>
      </c>
      <c r="E79" s="87" t="str">
        <f aca="false">IF($O79="","",INDEX('REGISTRE ELEVES'!$H$10:$H$250,$O79))</f>
        <v/>
      </c>
      <c r="F79" s="87" t="str">
        <f aca="false">IF($O79="","",INDEX('REGISTRE ELEVES'!$I$10:$I$250,$O79))</f>
        <v/>
      </c>
      <c r="G79" s="0" t="str">
        <f aca="false">IF($O79="","",INDEX('REGISTRE ELEVES'!$L$10:$L$250,$O79))</f>
        <v/>
      </c>
      <c r="H79" s="87" t="str">
        <f aca="false">IF($O79="","",INDEX('REGISTRE ELEVES'!$P$10:$P$250,$O79))</f>
        <v/>
      </c>
      <c r="I79" s="87" t="str">
        <f aca="false">IF($O79="","",INDEX('REGISTRE ELEVES'!$R$10:$R$250,$O79))</f>
        <v/>
      </c>
      <c r="J79" s="87" t="str">
        <f aca="false">IF($O79="","",INDEX('REGISTRE ELEVES'!$U$10:$U$250,$O79))</f>
        <v/>
      </c>
      <c r="K79" s="87" t="str">
        <f aca="false">IF($O79="","",INDEX('REGISTRE ELEVES'!$V$10:$V$250,$O79))</f>
        <v/>
      </c>
      <c r="L79" s="87" t="str">
        <f aca="false">IF($O79="","",INDEX('REGISTRE ELEVES'!$Y$10:$Y$250,$O79))</f>
        <v/>
      </c>
      <c r="M79" s="87" t="str">
        <f aca="false">IF($O79="","",INDEX('REGISTRE ELEVES'!$AD$10:$AD$250,$O79))</f>
        <v/>
      </c>
      <c r="N79" s="87" t="str">
        <f aca="false">IF($O79="","",INDEX('REGISTRE ELEVES'!$AE$10:$AE$250,$O79))</f>
        <v/>
      </c>
      <c r="O79" s="51" t="str">
        <f aca="false">IFERROR(MATCH($C$8&amp;"-"&amp;70,'REGISTRE ELEVES'!$AG$10:$AG$250,0),"")</f>
        <v/>
      </c>
    </row>
    <row r="80" customFormat="false" ht="15" hidden="false" customHeight="false" outlineLevel="0" collapsed="false">
      <c r="A80" s="87" t="str">
        <f aca="false">IF(B80="","",71)</f>
        <v/>
      </c>
      <c r="B80" s="87" t="str">
        <f aca="false">IF($O80="","",INDEX('REGISTRE ELEVES'!$B$10:$B$250,$O80))</f>
        <v/>
      </c>
      <c r="C80" s="87" t="str">
        <f aca="false">IF($O80="","",INDEX('REGISTRE ELEVES'!$D$10:$D$250,$O80))</f>
        <v/>
      </c>
      <c r="D80" s="87" t="str">
        <f aca="false">IF($O80="","",INDEX('REGISTRE ELEVES'!$E$10:$E$250,$O80))</f>
        <v/>
      </c>
      <c r="E80" s="87" t="str">
        <f aca="false">IF($O80="","",INDEX('REGISTRE ELEVES'!$H$10:$H$250,$O80))</f>
        <v/>
      </c>
      <c r="F80" s="87" t="str">
        <f aca="false">IF($O80="","",INDEX('REGISTRE ELEVES'!$I$10:$I$250,$O80))</f>
        <v/>
      </c>
      <c r="G80" s="0" t="str">
        <f aca="false">IF($O80="","",INDEX('REGISTRE ELEVES'!$L$10:$L$250,$O80))</f>
        <v/>
      </c>
      <c r="H80" s="87" t="str">
        <f aca="false">IF($O80="","",INDEX('REGISTRE ELEVES'!$P$10:$P$250,$O80))</f>
        <v/>
      </c>
      <c r="I80" s="87" t="str">
        <f aca="false">IF($O80="","",INDEX('REGISTRE ELEVES'!$R$10:$R$250,$O80))</f>
        <v/>
      </c>
      <c r="J80" s="87" t="str">
        <f aca="false">IF($O80="","",INDEX('REGISTRE ELEVES'!$U$10:$U$250,$O80))</f>
        <v/>
      </c>
      <c r="K80" s="87" t="str">
        <f aca="false">IF($O80="","",INDEX('REGISTRE ELEVES'!$V$10:$V$250,$O80))</f>
        <v/>
      </c>
      <c r="L80" s="87" t="str">
        <f aca="false">IF($O80="","",INDEX('REGISTRE ELEVES'!$Y$10:$Y$250,$O80))</f>
        <v/>
      </c>
      <c r="M80" s="87" t="str">
        <f aca="false">IF($O80="","",INDEX('REGISTRE ELEVES'!$AD$10:$AD$250,$O80))</f>
        <v/>
      </c>
      <c r="N80" s="87" t="str">
        <f aca="false">IF($O80="","",INDEX('REGISTRE ELEVES'!$AE$10:$AE$250,$O80))</f>
        <v/>
      </c>
      <c r="O80" s="51" t="str">
        <f aca="false">IFERROR(MATCH($C$8&amp;"-"&amp;71,'REGISTRE ELEVES'!$AG$10:$AG$250,0),"")</f>
        <v/>
      </c>
    </row>
    <row r="81" customFormat="false" ht="15" hidden="false" customHeight="false" outlineLevel="0" collapsed="false">
      <c r="A81" s="87" t="str">
        <f aca="false">IF(B81="","",72)</f>
        <v/>
      </c>
      <c r="B81" s="87" t="str">
        <f aca="false">IF($O81="","",INDEX('REGISTRE ELEVES'!$B$10:$B$250,$O81))</f>
        <v/>
      </c>
      <c r="C81" s="87" t="str">
        <f aca="false">IF($O81="","",INDEX('REGISTRE ELEVES'!$D$10:$D$250,$O81))</f>
        <v/>
      </c>
      <c r="D81" s="87" t="str">
        <f aca="false">IF($O81="","",INDEX('REGISTRE ELEVES'!$E$10:$E$250,$O81))</f>
        <v/>
      </c>
      <c r="E81" s="87" t="str">
        <f aca="false">IF($O81="","",INDEX('REGISTRE ELEVES'!$H$10:$H$250,$O81))</f>
        <v/>
      </c>
      <c r="F81" s="87" t="str">
        <f aca="false">IF($O81="","",INDEX('REGISTRE ELEVES'!$I$10:$I$250,$O81))</f>
        <v/>
      </c>
      <c r="G81" s="0" t="str">
        <f aca="false">IF($O81="","",INDEX('REGISTRE ELEVES'!$L$10:$L$250,$O81))</f>
        <v/>
      </c>
      <c r="H81" s="87" t="str">
        <f aca="false">IF($O81="","",INDEX('REGISTRE ELEVES'!$P$10:$P$250,$O81))</f>
        <v/>
      </c>
      <c r="I81" s="87" t="str">
        <f aca="false">IF($O81="","",INDEX('REGISTRE ELEVES'!$R$10:$R$250,$O81))</f>
        <v/>
      </c>
      <c r="J81" s="87" t="str">
        <f aca="false">IF($O81="","",INDEX('REGISTRE ELEVES'!$U$10:$U$250,$O81))</f>
        <v/>
      </c>
      <c r="K81" s="87" t="str">
        <f aca="false">IF($O81="","",INDEX('REGISTRE ELEVES'!$V$10:$V$250,$O81))</f>
        <v/>
      </c>
      <c r="L81" s="87" t="str">
        <f aca="false">IF($O81="","",INDEX('REGISTRE ELEVES'!$Y$10:$Y$250,$O81))</f>
        <v/>
      </c>
      <c r="M81" s="87" t="str">
        <f aca="false">IF($O81="","",INDEX('REGISTRE ELEVES'!$AD$10:$AD$250,$O81))</f>
        <v/>
      </c>
      <c r="N81" s="87" t="str">
        <f aca="false">IF($O81="","",INDEX('REGISTRE ELEVES'!$AE$10:$AE$250,$O81))</f>
        <v/>
      </c>
      <c r="O81" s="51" t="str">
        <f aca="false">IFERROR(MATCH($C$8&amp;"-"&amp;72,'REGISTRE ELEVES'!$AG$10:$AG$250,0),"")</f>
        <v/>
      </c>
    </row>
    <row r="82" customFormat="false" ht="15" hidden="false" customHeight="false" outlineLevel="0" collapsed="false">
      <c r="A82" s="87" t="str">
        <f aca="false">IF(B82="","",73)</f>
        <v/>
      </c>
      <c r="B82" s="87" t="str">
        <f aca="false">IF($O82="","",INDEX('REGISTRE ELEVES'!$B$10:$B$250,$O82))</f>
        <v/>
      </c>
      <c r="C82" s="87" t="str">
        <f aca="false">IF($O82="","",INDEX('REGISTRE ELEVES'!$D$10:$D$250,$O82))</f>
        <v/>
      </c>
      <c r="D82" s="87" t="str">
        <f aca="false">IF($O82="","",INDEX('REGISTRE ELEVES'!$E$10:$E$250,$O82))</f>
        <v/>
      </c>
      <c r="E82" s="87" t="str">
        <f aca="false">IF($O82="","",INDEX('REGISTRE ELEVES'!$H$10:$H$250,$O82))</f>
        <v/>
      </c>
      <c r="F82" s="87" t="str">
        <f aca="false">IF($O82="","",INDEX('REGISTRE ELEVES'!$I$10:$I$250,$O82))</f>
        <v/>
      </c>
      <c r="G82" s="0" t="str">
        <f aca="false">IF($O82="","",INDEX('REGISTRE ELEVES'!$L$10:$L$250,$O82))</f>
        <v/>
      </c>
      <c r="H82" s="87" t="str">
        <f aca="false">IF($O82="","",INDEX('REGISTRE ELEVES'!$P$10:$P$250,$O82))</f>
        <v/>
      </c>
      <c r="I82" s="87" t="str">
        <f aca="false">IF($O82="","",INDEX('REGISTRE ELEVES'!$R$10:$R$250,$O82))</f>
        <v/>
      </c>
      <c r="J82" s="87" t="str">
        <f aca="false">IF($O82="","",INDEX('REGISTRE ELEVES'!$U$10:$U$250,$O82))</f>
        <v/>
      </c>
      <c r="K82" s="87" t="str">
        <f aca="false">IF($O82="","",INDEX('REGISTRE ELEVES'!$V$10:$V$250,$O82))</f>
        <v/>
      </c>
      <c r="L82" s="87" t="str">
        <f aca="false">IF($O82="","",INDEX('REGISTRE ELEVES'!$Y$10:$Y$250,$O82))</f>
        <v/>
      </c>
      <c r="M82" s="87" t="str">
        <f aca="false">IF($O82="","",INDEX('REGISTRE ELEVES'!$AD$10:$AD$250,$O82))</f>
        <v/>
      </c>
      <c r="N82" s="87" t="str">
        <f aca="false">IF($O82="","",INDEX('REGISTRE ELEVES'!$AE$10:$AE$250,$O82))</f>
        <v/>
      </c>
      <c r="O82" s="51" t="str">
        <f aca="false">IFERROR(MATCH($C$8&amp;"-"&amp;73,'REGISTRE ELEVES'!$AG$10:$AG$250,0),"")</f>
        <v/>
      </c>
    </row>
    <row r="83" customFormat="false" ht="15" hidden="false" customHeight="false" outlineLevel="0" collapsed="false">
      <c r="A83" s="87" t="str">
        <f aca="false">IF(B83="","",74)</f>
        <v/>
      </c>
      <c r="B83" s="87" t="str">
        <f aca="false">IF($O83="","",INDEX('REGISTRE ELEVES'!$B$10:$B$250,$O83))</f>
        <v/>
      </c>
      <c r="C83" s="87" t="str">
        <f aca="false">IF($O83="","",INDEX('REGISTRE ELEVES'!$D$10:$D$250,$O83))</f>
        <v/>
      </c>
      <c r="D83" s="87" t="str">
        <f aca="false">IF($O83="","",INDEX('REGISTRE ELEVES'!$E$10:$E$250,$O83))</f>
        <v/>
      </c>
      <c r="E83" s="87" t="str">
        <f aca="false">IF($O83="","",INDEX('REGISTRE ELEVES'!$H$10:$H$250,$O83))</f>
        <v/>
      </c>
      <c r="F83" s="87" t="str">
        <f aca="false">IF($O83="","",INDEX('REGISTRE ELEVES'!$I$10:$I$250,$O83))</f>
        <v/>
      </c>
      <c r="G83" s="0" t="str">
        <f aca="false">IF($O83="","",INDEX('REGISTRE ELEVES'!$L$10:$L$250,$O83))</f>
        <v/>
      </c>
      <c r="H83" s="87" t="str">
        <f aca="false">IF($O83="","",INDEX('REGISTRE ELEVES'!$P$10:$P$250,$O83))</f>
        <v/>
      </c>
      <c r="I83" s="87" t="str">
        <f aca="false">IF($O83="","",INDEX('REGISTRE ELEVES'!$R$10:$R$250,$O83))</f>
        <v/>
      </c>
      <c r="J83" s="87" t="str">
        <f aca="false">IF($O83="","",INDEX('REGISTRE ELEVES'!$U$10:$U$250,$O83))</f>
        <v/>
      </c>
      <c r="K83" s="87" t="str">
        <f aca="false">IF($O83="","",INDEX('REGISTRE ELEVES'!$V$10:$V$250,$O83))</f>
        <v/>
      </c>
      <c r="L83" s="87" t="str">
        <f aca="false">IF($O83="","",INDEX('REGISTRE ELEVES'!$Y$10:$Y$250,$O83))</f>
        <v/>
      </c>
      <c r="M83" s="87" t="str">
        <f aca="false">IF($O83="","",INDEX('REGISTRE ELEVES'!$AD$10:$AD$250,$O83))</f>
        <v/>
      </c>
      <c r="N83" s="87" t="str">
        <f aca="false">IF($O83="","",INDEX('REGISTRE ELEVES'!$AE$10:$AE$250,$O83))</f>
        <v/>
      </c>
      <c r="O83" s="51" t="str">
        <f aca="false">IFERROR(MATCH($C$8&amp;"-"&amp;74,'REGISTRE ELEVES'!$AG$10:$AG$250,0),"")</f>
        <v/>
      </c>
    </row>
    <row r="84" customFormat="false" ht="15" hidden="false" customHeight="false" outlineLevel="0" collapsed="false">
      <c r="A84" s="87" t="str">
        <f aca="false">IF(B84="","",75)</f>
        <v/>
      </c>
      <c r="B84" s="87" t="str">
        <f aca="false">IF($O84="","",INDEX('REGISTRE ELEVES'!$B$10:$B$250,$O84))</f>
        <v/>
      </c>
      <c r="C84" s="87" t="str">
        <f aca="false">IF($O84="","",INDEX('REGISTRE ELEVES'!$D$10:$D$250,$O84))</f>
        <v/>
      </c>
      <c r="D84" s="87" t="str">
        <f aca="false">IF($O84="","",INDEX('REGISTRE ELEVES'!$E$10:$E$250,$O84))</f>
        <v/>
      </c>
      <c r="E84" s="87" t="str">
        <f aca="false">IF($O84="","",INDEX('REGISTRE ELEVES'!$H$10:$H$250,$O84))</f>
        <v/>
      </c>
      <c r="F84" s="87" t="str">
        <f aca="false">IF($O84="","",INDEX('REGISTRE ELEVES'!$I$10:$I$250,$O84))</f>
        <v/>
      </c>
      <c r="G84" s="0" t="str">
        <f aca="false">IF($O84="","",INDEX('REGISTRE ELEVES'!$L$10:$L$250,$O84))</f>
        <v/>
      </c>
      <c r="H84" s="87" t="str">
        <f aca="false">IF($O84="","",INDEX('REGISTRE ELEVES'!$P$10:$P$250,$O84))</f>
        <v/>
      </c>
      <c r="I84" s="87" t="str">
        <f aca="false">IF($O84="","",INDEX('REGISTRE ELEVES'!$R$10:$R$250,$O84))</f>
        <v/>
      </c>
      <c r="J84" s="87" t="str">
        <f aca="false">IF($O84="","",INDEX('REGISTRE ELEVES'!$U$10:$U$250,$O84))</f>
        <v/>
      </c>
      <c r="K84" s="87" t="str">
        <f aca="false">IF($O84="","",INDEX('REGISTRE ELEVES'!$V$10:$V$250,$O84))</f>
        <v/>
      </c>
      <c r="L84" s="87" t="str">
        <f aca="false">IF($O84="","",INDEX('REGISTRE ELEVES'!$Y$10:$Y$250,$O84))</f>
        <v/>
      </c>
      <c r="M84" s="87" t="str">
        <f aca="false">IF($O84="","",INDEX('REGISTRE ELEVES'!$AD$10:$AD$250,$O84))</f>
        <v/>
      </c>
      <c r="N84" s="87" t="str">
        <f aca="false">IF($O84="","",INDEX('REGISTRE ELEVES'!$AE$10:$AE$250,$O84))</f>
        <v/>
      </c>
      <c r="O84" s="51" t="str">
        <f aca="false">IFERROR(MATCH($C$8&amp;"-"&amp;75,'REGISTRE ELEVES'!$AG$10:$AG$250,0),"")</f>
        <v/>
      </c>
    </row>
    <row r="85" customFormat="false" ht="15" hidden="false" customHeight="false" outlineLevel="0" collapsed="false">
      <c r="A85" s="87" t="str">
        <f aca="false">IF(B85="","",76)</f>
        <v/>
      </c>
      <c r="B85" s="87" t="str">
        <f aca="false">IF($O85="","",INDEX('REGISTRE ELEVES'!$B$10:$B$250,$O85))</f>
        <v/>
      </c>
      <c r="C85" s="87" t="str">
        <f aca="false">IF($O85="","",INDEX('REGISTRE ELEVES'!$D$10:$D$250,$O85))</f>
        <v/>
      </c>
      <c r="D85" s="87" t="str">
        <f aca="false">IF($O85="","",INDEX('REGISTRE ELEVES'!$E$10:$E$250,$O85))</f>
        <v/>
      </c>
      <c r="E85" s="87" t="str">
        <f aca="false">IF($O85="","",INDEX('REGISTRE ELEVES'!$H$10:$H$250,$O85))</f>
        <v/>
      </c>
      <c r="F85" s="87" t="str">
        <f aca="false">IF($O85="","",INDEX('REGISTRE ELEVES'!$I$10:$I$250,$O85))</f>
        <v/>
      </c>
      <c r="G85" s="0" t="str">
        <f aca="false">IF($O85="","",INDEX('REGISTRE ELEVES'!$L$10:$L$250,$O85))</f>
        <v/>
      </c>
      <c r="H85" s="87" t="str">
        <f aca="false">IF($O85="","",INDEX('REGISTRE ELEVES'!$P$10:$P$250,$O85))</f>
        <v/>
      </c>
      <c r="I85" s="87" t="str">
        <f aca="false">IF($O85="","",INDEX('REGISTRE ELEVES'!$R$10:$R$250,$O85))</f>
        <v/>
      </c>
      <c r="J85" s="87" t="str">
        <f aca="false">IF($O85="","",INDEX('REGISTRE ELEVES'!$U$10:$U$250,$O85))</f>
        <v/>
      </c>
      <c r="K85" s="87" t="str">
        <f aca="false">IF($O85="","",INDEX('REGISTRE ELEVES'!$V$10:$V$250,$O85))</f>
        <v/>
      </c>
      <c r="L85" s="87" t="str">
        <f aca="false">IF($O85="","",INDEX('REGISTRE ELEVES'!$Y$10:$Y$250,$O85))</f>
        <v/>
      </c>
      <c r="M85" s="87" t="str">
        <f aca="false">IF($O85="","",INDEX('REGISTRE ELEVES'!$AD$10:$AD$250,$O85))</f>
        <v/>
      </c>
      <c r="N85" s="87" t="str">
        <f aca="false">IF($O85="","",INDEX('REGISTRE ELEVES'!$AE$10:$AE$250,$O85))</f>
        <v/>
      </c>
      <c r="O85" s="51" t="str">
        <f aca="false">IFERROR(MATCH($C$8&amp;"-"&amp;76,'REGISTRE ELEVES'!$AG$10:$AG$250,0),"")</f>
        <v/>
      </c>
    </row>
    <row r="86" customFormat="false" ht="15" hidden="false" customHeight="false" outlineLevel="0" collapsed="false">
      <c r="A86" s="87" t="str">
        <f aca="false">IF(B86="","",77)</f>
        <v/>
      </c>
      <c r="B86" s="87" t="str">
        <f aca="false">IF($O86="","",INDEX('REGISTRE ELEVES'!$B$10:$B$250,$O86))</f>
        <v/>
      </c>
      <c r="C86" s="87" t="str">
        <f aca="false">IF($O86="","",INDEX('REGISTRE ELEVES'!$D$10:$D$250,$O86))</f>
        <v/>
      </c>
      <c r="D86" s="87" t="str">
        <f aca="false">IF($O86="","",INDEX('REGISTRE ELEVES'!$E$10:$E$250,$O86))</f>
        <v/>
      </c>
      <c r="E86" s="87" t="str">
        <f aca="false">IF($O86="","",INDEX('REGISTRE ELEVES'!$H$10:$H$250,$O86))</f>
        <v/>
      </c>
      <c r="F86" s="87" t="str">
        <f aca="false">IF($O86="","",INDEX('REGISTRE ELEVES'!$I$10:$I$250,$O86))</f>
        <v/>
      </c>
      <c r="G86" s="0" t="str">
        <f aca="false">IF($O86="","",INDEX('REGISTRE ELEVES'!$L$10:$L$250,$O86))</f>
        <v/>
      </c>
      <c r="H86" s="87" t="str">
        <f aca="false">IF($O86="","",INDEX('REGISTRE ELEVES'!$P$10:$P$250,$O86))</f>
        <v/>
      </c>
      <c r="I86" s="87" t="str">
        <f aca="false">IF($O86="","",INDEX('REGISTRE ELEVES'!$R$10:$R$250,$O86))</f>
        <v/>
      </c>
      <c r="J86" s="87" t="str">
        <f aca="false">IF($O86="","",INDEX('REGISTRE ELEVES'!$U$10:$U$250,$O86))</f>
        <v/>
      </c>
      <c r="K86" s="87" t="str">
        <f aca="false">IF($O86="","",INDEX('REGISTRE ELEVES'!$V$10:$V$250,$O86))</f>
        <v/>
      </c>
      <c r="L86" s="87" t="str">
        <f aca="false">IF($O86="","",INDEX('REGISTRE ELEVES'!$Y$10:$Y$250,$O86))</f>
        <v/>
      </c>
      <c r="M86" s="87" t="str">
        <f aca="false">IF($O86="","",INDEX('REGISTRE ELEVES'!$AD$10:$AD$250,$O86))</f>
        <v/>
      </c>
      <c r="N86" s="87" t="str">
        <f aca="false">IF($O86="","",INDEX('REGISTRE ELEVES'!$AE$10:$AE$250,$O86))</f>
        <v/>
      </c>
      <c r="O86" s="51" t="str">
        <f aca="false">IFERROR(MATCH($C$8&amp;"-"&amp;77,'REGISTRE ELEVES'!$AG$10:$AG$250,0),"")</f>
        <v/>
      </c>
    </row>
    <row r="87" customFormat="false" ht="15" hidden="false" customHeight="false" outlineLevel="0" collapsed="false">
      <c r="A87" s="87" t="str">
        <f aca="false">IF(B87="","",78)</f>
        <v/>
      </c>
      <c r="B87" s="87" t="str">
        <f aca="false">IF($O87="","",INDEX('REGISTRE ELEVES'!$B$10:$B$250,$O87))</f>
        <v/>
      </c>
      <c r="C87" s="87" t="str">
        <f aca="false">IF($O87="","",INDEX('REGISTRE ELEVES'!$D$10:$D$250,$O87))</f>
        <v/>
      </c>
      <c r="D87" s="87" t="str">
        <f aca="false">IF($O87="","",INDEX('REGISTRE ELEVES'!$E$10:$E$250,$O87))</f>
        <v/>
      </c>
      <c r="E87" s="87" t="str">
        <f aca="false">IF($O87="","",INDEX('REGISTRE ELEVES'!$H$10:$H$250,$O87))</f>
        <v/>
      </c>
      <c r="F87" s="87" t="str">
        <f aca="false">IF($O87="","",INDEX('REGISTRE ELEVES'!$I$10:$I$250,$O87))</f>
        <v/>
      </c>
      <c r="G87" s="0" t="str">
        <f aca="false">IF($O87="","",INDEX('REGISTRE ELEVES'!$L$10:$L$250,$O87))</f>
        <v/>
      </c>
      <c r="H87" s="87" t="str">
        <f aca="false">IF($O87="","",INDEX('REGISTRE ELEVES'!$P$10:$P$250,$O87))</f>
        <v/>
      </c>
      <c r="I87" s="87" t="str">
        <f aca="false">IF($O87="","",INDEX('REGISTRE ELEVES'!$R$10:$R$250,$O87))</f>
        <v/>
      </c>
      <c r="J87" s="87" t="str">
        <f aca="false">IF($O87="","",INDEX('REGISTRE ELEVES'!$U$10:$U$250,$O87))</f>
        <v/>
      </c>
      <c r="K87" s="87" t="str">
        <f aca="false">IF($O87="","",INDEX('REGISTRE ELEVES'!$V$10:$V$250,$O87))</f>
        <v/>
      </c>
      <c r="L87" s="87" t="str">
        <f aca="false">IF($O87="","",INDEX('REGISTRE ELEVES'!$Y$10:$Y$250,$O87))</f>
        <v/>
      </c>
      <c r="M87" s="87" t="str">
        <f aca="false">IF($O87="","",INDEX('REGISTRE ELEVES'!$AD$10:$AD$250,$O87))</f>
        <v/>
      </c>
      <c r="N87" s="87" t="str">
        <f aca="false">IF($O87="","",INDEX('REGISTRE ELEVES'!$AE$10:$AE$250,$O87))</f>
        <v/>
      </c>
      <c r="O87" s="51" t="str">
        <f aca="false">IFERROR(MATCH($C$8&amp;"-"&amp;78,'REGISTRE ELEVES'!$AG$10:$AG$250,0),"")</f>
        <v/>
      </c>
    </row>
    <row r="88" customFormat="false" ht="15" hidden="false" customHeight="false" outlineLevel="0" collapsed="false">
      <c r="A88" s="87" t="str">
        <f aca="false">IF(B88="","",79)</f>
        <v/>
      </c>
      <c r="B88" s="87" t="str">
        <f aca="false">IF($O88="","",INDEX('REGISTRE ELEVES'!$B$10:$B$250,$O88))</f>
        <v/>
      </c>
      <c r="C88" s="87" t="str">
        <f aca="false">IF($O88="","",INDEX('REGISTRE ELEVES'!$D$10:$D$250,$O88))</f>
        <v/>
      </c>
      <c r="D88" s="87" t="str">
        <f aca="false">IF($O88="","",INDEX('REGISTRE ELEVES'!$E$10:$E$250,$O88))</f>
        <v/>
      </c>
      <c r="E88" s="87" t="str">
        <f aca="false">IF($O88="","",INDEX('REGISTRE ELEVES'!$H$10:$H$250,$O88))</f>
        <v/>
      </c>
      <c r="F88" s="87" t="str">
        <f aca="false">IF($O88="","",INDEX('REGISTRE ELEVES'!$I$10:$I$250,$O88))</f>
        <v/>
      </c>
      <c r="G88" s="0" t="str">
        <f aca="false">IF($O88="","",INDEX('REGISTRE ELEVES'!$L$10:$L$250,$O88))</f>
        <v/>
      </c>
      <c r="H88" s="87" t="str">
        <f aca="false">IF($O88="","",INDEX('REGISTRE ELEVES'!$P$10:$P$250,$O88))</f>
        <v/>
      </c>
      <c r="I88" s="87" t="str">
        <f aca="false">IF($O88="","",INDEX('REGISTRE ELEVES'!$R$10:$R$250,$O88))</f>
        <v/>
      </c>
      <c r="J88" s="87" t="str">
        <f aca="false">IF($O88="","",INDEX('REGISTRE ELEVES'!$U$10:$U$250,$O88))</f>
        <v/>
      </c>
      <c r="K88" s="87" t="str">
        <f aca="false">IF($O88="","",INDEX('REGISTRE ELEVES'!$V$10:$V$250,$O88))</f>
        <v/>
      </c>
      <c r="L88" s="87" t="str">
        <f aca="false">IF($O88="","",INDEX('REGISTRE ELEVES'!$Y$10:$Y$250,$O88))</f>
        <v/>
      </c>
      <c r="M88" s="87" t="str">
        <f aca="false">IF($O88="","",INDEX('REGISTRE ELEVES'!$AD$10:$AD$250,$O88))</f>
        <v/>
      </c>
      <c r="N88" s="87" t="str">
        <f aca="false">IF($O88="","",INDEX('REGISTRE ELEVES'!$AE$10:$AE$250,$O88))</f>
        <v/>
      </c>
      <c r="O88" s="51" t="str">
        <f aca="false">IFERROR(MATCH($C$8&amp;"-"&amp;79,'REGISTRE ELEVES'!$AG$10:$AG$250,0),"")</f>
        <v/>
      </c>
    </row>
    <row r="89" customFormat="false" ht="15" hidden="false" customHeight="false" outlineLevel="0" collapsed="false">
      <c r="A89" s="87" t="str">
        <f aca="false">IF(B89="","",80)</f>
        <v/>
      </c>
      <c r="B89" s="87" t="str">
        <f aca="false">IF($O89="","",INDEX('REGISTRE ELEVES'!$B$10:$B$250,$O89))</f>
        <v/>
      </c>
      <c r="C89" s="87" t="str">
        <f aca="false">IF($O89="","",INDEX('REGISTRE ELEVES'!$D$10:$D$250,$O89))</f>
        <v/>
      </c>
      <c r="D89" s="87" t="str">
        <f aca="false">IF($O89="","",INDEX('REGISTRE ELEVES'!$E$10:$E$250,$O89))</f>
        <v/>
      </c>
      <c r="E89" s="87" t="str">
        <f aca="false">IF($O89="","",INDEX('REGISTRE ELEVES'!$H$10:$H$250,$O89))</f>
        <v/>
      </c>
      <c r="F89" s="87" t="str">
        <f aca="false">IF($O89="","",INDEX('REGISTRE ELEVES'!$I$10:$I$250,$O89))</f>
        <v/>
      </c>
      <c r="G89" s="0" t="str">
        <f aca="false">IF($O89="","",INDEX('REGISTRE ELEVES'!$L$10:$L$250,$O89))</f>
        <v/>
      </c>
      <c r="H89" s="87" t="str">
        <f aca="false">IF($O89="","",INDEX('REGISTRE ELEVES'!$P$10:$P$250,$O89))</f>
        <v/>
      </c>
      <c r="I89" s="87" t="str">
        <f aca="false">IF($O89="","",INDEX('REGISTRE ELEVES'!$R$10:$R$250,$O89))</f>
        <v/>
      </c>
      <c r="J89" s="87" t="str">
        <f aca="false">IF($O89="","",INDEX('REGISTRE ELEVES'!$U$10:$U$250,$O89))</f>
        <v/>
      </c>
      <c r="K89" s="87" t="str">
        <f aca="false">IF($O89="","",INDEX('REGISTRE ELEVES'!$V$10:$V$250,$O89))</f>
        <v/>
      </c>
      <c r="L89" s="87" t="str">
        <f aca="false">IF($O89="","",INDEX('REGISTRE ELEVES'!$Y$10:$Y$250,$O89))</f>
        <v/>
      </c>
      <c r="M89" s="87" t="str">
        <f aca="false">IF($O89="","",INDEX('REGISTRE ELEVES'!$AD$10:$AD$250,$O89))</f>
        <v/>
      </c>
      <c r="N89" s="87" t="str">
        <f aca="false">IF($O89="","",INDEX('REGISTRE ELEVES'!$AE$10:$AE$250,$O89))</f>
        <v/>
      </c>
      <c r="O89" s="51" t="str">
        <f aca="false">IFERROR(MATCH($C$8&amp;"-"&amp;80,'REGISTRE ELEVES'!$AG$10:$AG$250,0),"")</f>
        <v/>
      </c>
    </row>
    <row r="91" customFormat="false" ht="15" hidden="false" customHeight="false" outlineLevel="0" collapsed="false">
      <c r="B91" s="41" t="str">
        <f aca="false">"STATISTIQUES DE LA CLASSE DE "&amp;$C$8</f>
        <v>STATISTIQUES DE LA CLASSE DE CE1</v>
      </c>
      <c r="C91" s="41"/>
      <c r="D91" s="41"/>
      <c r="E91" s="41"/>
    </row>
    <row r="92" customFormat="false" ht="18" hidden="false" customHeight="true" outlineLevel="0" collapsed="false">
      <c r="B92" s="21"/>
      <c r="C92" s="21" t="s">
        <v>621</v>
      </c>
      <c r="D92" s="21" t="s">
        <v>622</v>
      </c>
      <c r="E92" s="21" t="s">
        <v>24</v>
      </c>
    </row>
    <row r="93" customFormat="false" ht="15" hidden="false" customHeight="false" outlineLevel="0" collapsed="false">
      <c r="B93" s="88" t="s">
        <v>623</v>
      </c>
      <c r="C93" s="24" t="n">
        <f aca="false">COUNTIFS('REGISTRE ELEVES'!$F$10:$F$250,$C$8,'REGISTRE ELEVES'!$E$10:$E$250,"M")</f>
        <v>6</v>
      </c>
      <c r="D93" s="24" t="n">
        <f aca="false">COUNTIFS('REGISTRE ELEVES'!$F$10:$F$250,$C$8,'REGISTRE ELEVES'!$E$10:$E$250,"F")</f>
        <v>3</v>
      </c>
      <c r="E93" s="89" t="n">
        <f aca="false">C93+D93</f>
        <v>9</v>
      </c>
    </row>
    <row r="94" customFormat="false" ht="15" hidden="false" customHeight="false" outlineLevel="0" collapsed="false">
      <c r="B94" s="88" t="s">
        <v>624</v>
      </c>
      <c r="C94" s="24" t="n">
        <f aca="false">COUNTIFS('REGISTRE ELEVES'!$F$10:$F$250,$C$8,'REGISTRE ELEVES'!$E$10:$E$250,"M",'REGISTRE ELEVES'!$AE$10:$AE$250,"PRESENT")</f>
        <v>6</v>
      </c>
      <c r="D94" s="24" t="n">
        <f aca="false">COUNTIFS('REGISTRE ELEVES'!$F$10:$F$250,$C$8,'REGISTRE ELEVES'!$E$10:$E$250,"F",'REGISTRE ELEVES'!$AE$10:$AE$250,"PRESENT")</f>
        <v>2</v>
      </c>
      <c r="E94" s="89" t="n">
        <f aca="false">C94+D94</f>
        <v>8</v>
      </c>
    </row>
    <row r="95" customFormat="false" ht="15" hidden="false" customHeight="false" outlineLevel="0" collapsed="false">
      <c r="B95" s="88" t="s">
        <v>625</v>
      </c>
      <c r="C95" s="24" t="n">
        <f aca="false">COUNTIFS('REGISTRE ELEVES'!$F$10:$F$250,$C$8,'REGISTRE ELEVES'!$E$10:$E$250,"M",'REGISTRE ELEVES'!$AE$10:$AE$250,"ABANDON")</f>
        <v>0</v>
      </c>
      <c r="D95" s="24" t="n">
        <f aca="false">COUNTIFS('REGISTRE ELEVES'!$F$10:$F$250,$C$8,'REGISTRE ELEVES'!$E$10:$E$250,"F",'REGISTRE ELEVES'!$AE$10:$AE$250,"ABANDON")</f>
        <v>1</v>
      </c>
      <c r="E95" s="89" t="n">
        <f aca="false">C95+D95</f>
        <v>1</v>
      </c>
    </row>
    <row r="96" customFormat="false" ht="15" hidden="false" customHeight="false" outlineLevel="0" collapsed="false">
      <c r="B96" s="88" t="s">
        <v>626</v>
      </c>
      <c r="C96" s="24" t="n">
        <f aca="false">COUNTIFS('REGISTRE ELEVES'!$F$10:$F$250,$C$8,'REGISTRE ELEVES'!$E$10:$E$250,"M",'REGISTRE ELEVES'!$I$10:$I$250,"IVOIRIENNE")</f>
        <v>6</v>
      </c>
      <c r="D96" s="24" t="n">
        <f aca="false">COUNTIFS('REGISTRE ELEVES'!$F$10:$F$250,$C$8,'REGISTRE ELEVES'!$E$10:$E$250,"F",'REGISTRE ELEVES'!$I$10:$I$250,"IVOIRIENNE")</f>
        <v>2</v>
      </c>
      <c r="E96" s="89" t="n">
        <f aca="false">C96+D96</f>
        <v>8</v>
      </c>
    </row>
    <row r="97" customFormat="false" ht="15" hidden="false" customHeight="false" outlineLevel="0" collapsed="false">
      <c r="B97" s="88" t="s">
        <v>627</v>
      </c>
      <c r="C97" s="24" t="n">
        <f aca="false">COUNTIFS('REGISTRE ELEVES'!$F$10:$F$250,$C$8,'REGISTRE ELEVES'!$E$10:$E$250,"M",'REGISTRE ELEVES'!$I$10:$I$250,"&lt;&gt;IVOIRIENNE",'REGISTRE ELEVES'!$I$10:$I$250,"&lt;&gt;")</f>
        <v>0</v>
      </c>
      <c r="D97" s="24" t="n">
        <f aca="false">COUNTIFS('REGISTRE ELEVES'!$F$10:$F$250,$C$8,'REGISTRE ELEVES'!$E$10:$E$250,"F",'REGISTRE ELEVES'!$I$10:$I$250,"&lt;&gt;IVOIRIENNE",'REGISTRE ELEVES'!$I$10:$I$250,"&lt;&gt;")</f>
        <v>1</v>
      </c>
      <c r="E97" s="89" t="n">
        <f aca="false">C97+D97</f>
        <v>1</v>
      </c>
    </row>
    <row r="98" customFormat="false" ht="15" hidden="false" customHeight="false" outlineLevel="0" collapsed="false">
      <c r="B98" s="88" t="s">
        <v>628</v>
      </c>
      <c r="C98" s="24" t="n">
        <f aca="false">COUNTIFS('REGISTRE ELEVES'!$F$10:$F$250,$C$8,'REGISTRE ELEVES'!$E$10:$E$250,"M",'REGISTRE ELEVES'!$P$10:$P$250,"OUI")</f>
        <v>0</v>
      </c>
      <c r="D98" s="24" t="n">
        <f aca="false">COUNTIFS('REGISTRE ELEVES'!$F$10:$F$250,$C$8,'REGISTRE ELEVES'!$E$10:$E$250,"F",'REGISTRE ELEVES'!$P$10:$P$250,"OUI")</f>
        <v>0</v>
      </c>
      <c r="E98" s="89" t="n">
        <f aca="false">C98+D98</f>
        <v>0</v>
      </c>
    </row>
    <row r="99" customFormat="false" ht="15" hidden="false" customHeight="false" outlineLevel="0" collapsed="false">
      <c r="B99" s="74" t="s">
        <v>629</v>
      </c>
      <c r="C99" s="24" t="n">
        <f aca="false">COUNTIFS('REGISTRE ELEVES'!$F$10:$F$250,$C$8,'REGISTRE ELEVES'!$E$10:$E$250,"M",'REGISTRE ELEVES'!$Q$10:$Q$250,"PERE")</f>
        <v>0</v>
      </c>
      <c r="D99" s="24" t="n">
        <f aca="false">COUNTIFS('REGISTRE ELEVES'!$F$10:$F$250,$C$8,'REGISTRE ELEVES'!$E$10:$E$250,"F",'REGISTRE ELEVES'!$Q$10:$Q$250,"PERE")</f>
        <v>0</v>
      </c>
      <c r="E99" s="89" t="n">
        <f aca="false">C99+D99</f>
        <v>0</v>
      </c>
    </row>
    <row r="100" customFormat="false" ht="15" hidden="false" customHeight="false" outlineLevel="0" collapsed="false">
      <c r="B100" s="74" t="s">
        <v>630</v>
      </c>
      <c r="C100" s="24" t="n">
        <f aca="false">COUNTIFS('REGISTRE ELEVES'!$F$10:$F$250,$C$8,'REGISTRE ELEVES'!$E$10:$E$250,"M",'REGISTRE ELEVES'!$Q$10:$Q$250,"MERE")</f>
        <v>0</v>
      </c>
      <c r="D100" s="24" t="n">
        <f aca="false">COUNTIFS('REGISTRE ELEVES'!$F$10:$F$250,$C$8,'REGISTRE ELEVES'!$E$10:$E$250,"F",'REGISTRE ELEVES'!$Q$10:$Q$250,"MERE")</f>
        <v>0</v>
      </c>
      <c r="E100" s="89" t="n">
        <f aca="false">C100+D100</f>
        <v>0</v>
      </c>
    </row>
    <row r="101" customFormat="false" ht="15" hidden="false" customHeight="false" outlineLevel="0" collapsed="false">
      <c r="B101" s="74" t="s">
        <v>631</v>
      </c>
      <c r="C101" s="24" t="n">
        <f aca="false">COUNTIFS('REGISTRE ELEVES'!$F$10:$F$250,$C$8,'REGISTRE ELEVES'!$E$10:$E$250,"M",'REGISTRE ELEVES'!$Q$10:$Q$250,"PERE ET MERE")</f>
        <v>0</v>
      </c>
      <c r="D101" s="24" t="n">
        <f aca="false">COUNTIFS('REGISTRE ELEVES'!$F$10:$F$250,$C$8,'REGISTRE ELEVES'!$E$10:$E$250,"F",'REGISTRE ELEVES'!$Q$10:$Q$250,"PERE ET MERE")</f>
        <v>0</v>
      </c>
      <c r="E101" s="89" t="n">
        <f aca="false">C101+D101</f>
        <v>0</v>
      </c>
    </row>
    <row r="102" customFormat="false" ht="15" hidden="false" customHeight="false" outlineLevel="0" collapsed="false">
      <c r="B102" s="88" t="s">
        <v>632</v>
      </c>
      <c r="C102" s="24" t="n">
        <f aca="false">COUNTIFS('REGISTRE ELEVES'!$F$10:$F$250,$C$8,'REGISTRE ELEVES'!$E$10:$E$250,"M",'REGISTRE ELEVES'!$L$10:$L$250,"OUI")</f>
        <v>3</v>
      </c>
      <c r="D102" s="24" t="n">
        <f aca="false">COUNTIFS('REGISTRE ELEVES'!$F$10:$F$250,$C$8,'REGISTRE ELEVES'!$E$10:$E$250,"F",'REGISTRE ELEVES'!$L$10:$L$250,"OUI")</f>
        <v>3</v>
      </c>
      <c r="E102" s="89" t="n">
        <f aca="false">C102+D102</f>
        <v>6</v>
      </c>
    </row>
    <row r="103" customFormat="false" ht="15" hidden="false" customHeight="false" outlineLevel="0" collapsed="false">
      <c r="B103" s="88" t="s">
        <v>633</v>
      </c>
      <c r="C103" s="24" t="n">
        <f aca="false">COUNTIFS('REGISTRE ELEVES'!$F$10:$F$250,$C$8,'REGISTRE ELEVES'!$E$10:$E$250,"M",'REGISTRE ELEVES'!$L$10:$L$250,"NON")</f>
        <v>3</v>
      </c>
      <c r="D103" s="24" t="n">
        <f aca="false">COUNTIFS('REGISTRE ELEVES'!$F$10:$F$250,$C$8,'REGISTRE ELEVES'!$E$10:$E$250,"F",'REGISTRE ELEVES'!$L$10:$L$250,"NON")</f>
        <v>0</v>
      </c>
      <c r="E103" s="89" t="n">
        <f aca="false">C103+D103</f>
        <v>3</v>
      </c>
    </row>
    <row r="104" customFormat="false" ht="22.35" hidden="false" customHeight="false" outlineLevel="0" collapsed="false">
      <c r="B104" s="88" t="s">
        <v>634</v>
      </c>
      <c r="C104" s="24" t="n">
        <f aca="false">COUNTIFS('REGISTRE ELEVES'!$F$10:$F$250,$C$8,'REGISTRE ELEVES'!$E$10:$E$250,"M",'REGISTRE ELEVES'!$AD$10:$AD$250,"OUI")</f>
        <v>2</v>
      </c>
      <c r="D104" s="24" t="n">
        <f aca="false">COUNTIFS('REGISTRE ELEVES'!$F$10:$F$250,$C$8,'REGISTRE ELEVES'!$E$10:$E$250,"F",'REGISTRE ELEVES'!$AD$10:$AD$250,"OUI")</f>
        <v>0</v>
      </c>
      <c r="E104" s="89" t="n">
        <f aca="false">C104+D104</f>
        <v>2</v>
      </c>
    </row>
    <row r="107" customFormat="false" ht="15" hidden="false" customHeight="true" outlineLevel="0" collapsed="false">
      <c r="B107" s="90" t="str">
        <f aca="false">"Fait à "&amp;PARAMETRES!$C$10&amp;", le "&amp;TEXT(DAY(PARAMETRES!$C$12),"00")&amp;"/"&amp;TEXT(MONTH(PARAMETRES!$C$12),"00")&amp;"/"&amp;YEAR(PARAMETRES!$C$12)</f>
        <v>Fait à LIGUIYO, le 30/06/2027</v>
      </c>
      <c r="C107" s="90"/>
      <c r="D107" s="90"/>
      <c r="E107" s="90"/>
      <c r="F107" s="90"/>
      <c r="G107" s="90"/>
      <c r="H107" s="90"/>
      <c r="I107" s="91" t="s">
        <v>635</v>
      </c>
      <c r="J107" s="91"/>
      <c r="K107" s="91"/>
      <c r="L107" s="91"/>
      <c r="M107" s="91"/>
      <c r="N107" s="91"/>
    </row>
    <row r="111" customFormat="false" ht="15" hidden="false" customHeight="false" outlineLevel="0" collapsed="false">
      <c r="I111" s="92" t="str">
        <f aca="false">PARAMETRES!$C$11</f>
        <v>M. KOUAME Kouadio Ernest</v>
      </c>
      <c r="J111" s="92"/>
      <c r="K111" s="92"/>
      <c r="L111" s="92"/>
      <c r="M111" s="92"/>
      <c r="N111" s="92"/>
    </row>
  </sheetData>
  <mergeCells count="12">
    <mergeCell ref="A1:G1"/>
    <mergeCell ref="H1:N1"/>
    <mergeCell ref="A2:G2"/>
    <mergeCell ref="H2:N2"/>
    <mergeCell ref="A3:G3"/>
    <mergeCell ref="H3:N3"/>
    <mergeCell ref="A4:G4"/>
    <mergeCell ref="A6:N6"/>
    <mergeCell ref="B91:E91"/>
    <mergeCell ref="B107:H107"/>
    <mergeCell ref="I107:N107"/>
    <mergeCell ref="I111:N111"/>
  </mergeCells>
  <conditionalFormatting sqref="A10:N89">
    <cfRule type="expression" priority="2" aboveAverage="0" equalAverage="0" bottom="0" percent="0" rank="0" text="" dxfId="28">
      <formula>$N10="ABANDON"</formula>
    </cfRule>
  </conditionalFormatting>
  <conditionalFormatting sqref="G10:G89">
    <cfRule type="cellIs" priority="3" operator="equal" aboveAverage="0" equalAverage="0" bottom="0" percent="0" rank="0" text="" dxfId="41">
      <formula>"NON"</formula>
    </cfRule>
  </conditionalFormatting>
  <dataValidations count="1">
    <dataValidation allowBlank="true" error="Choisir une classe" errorStyle="stop" errorTitle="Valeur non autorisée" operator="between" showDropDown="false" showErrorMessage="true" showInputMessage="false" sqref="C8" type="list">
      <formula1>PARAMETRES!$E$3:$E$8</formula1>
      <formula2>0</formula2>
    </dataValidation>
  </dataValidations>
  <printOptions headings="false" gridLines="false" gridLinesSet="true" horizontalCentered="true" verticalCentered="false"/>
  <pageMargins left="0.309722222222222" right="0.309722222222222" top="0.470138888888889" bottom="0.470138888888889" header="0.511811023622047" footer="0.511811023622047"/>
  <pageSetup paperSize="9" scale="100" fitToWidth="1" fitToHeight="0" pageOrder="downThenOver" orientation="landscape" blackAndWhite="false" draft="false" cellComments="none" horizontalDpi="300" verticalDpi="300" copies="1"/>
  <headerFooter differentFirst="false" differentOddEven="false">
    <oddHeader/>
    <oddFooter/>
  </headerFooter>
  <drawing r:id="rIdBtn"/>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Feuil11" filterMode="false">
    <tabColor rgb="FF1F3864"/>
    <pageSetUpPr fitToPage="true"/>
  </sheetPr>
  <dimension ref="A1:Y2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1" min="1" style="0" width="10"/>
    <col collapsed="false" customWidth="true" hidden="false" outlineLevel="0" max="25" min="2" style="0" width="6"/>
  </cols>
  <sheetData>
    <row r="1" customFormat="false" ht="15" hidden="false" customHeight="true" outlineLevel="0" collapsed="false">
      <c r="A1" s="47" t="str">
        <f aca="false">PARAMETRES!$C$4</f>
        <v>MINISTERE DE L'EDUCATION NATIONALE ET DE L'ALPHABETISATION</v>
      </c>
      <c r="B1" s="47"/>
      <c r="C1" s="47"/>
      <c r="D1" s="47"/>
      <c r="E1" s="47"/>
      <c r="F1" s="47"/>
      <c r="G1" s="47"/>
      <c r="H1" s="47"/>
      <c r="I1" s="47"/>
      <c r="J1" s="47"/>
      <c r="K1" s="47"/>
      <c r="L1" s="47"/>
      <c r="M1" s="47" t="s">
        <v>115</v>
      </c>
      <c r="N1" s="47"/>
      <c r="O1" s="47"/>
      <c r="P1" s="47"/>
      <c r="Q1" s="47"/>
      <c r="R1" s="47"/>
      <c r="S1" s="47"/>
      <c r="T1" s="47"/>
      <c r="U1" s="47"/>
      <c r="V1" s="47"/>
      <c r="W1" s="47"/>
      <c r="X1" s="47"/>
      <c r="Y1" s="47"/>
    </row>
    <row r="2" customFormat="false" ht="15" hidden="false" customHeight="true" outlineLevel="0" collapsed="false">
      <c r="A2" s="48" t="str">
        <f aca="false">PARAMETRES!$C$5</f>
        <v>DIRECTION REGIONALE DE L'EDUCATION NATIONALE DE GAGNOA</v>
      </c>
      <c r="B2" s="48"/>
      <c r="C2" s="48"/>
      <c r="D2" s="48"/>
      <c r="E2" s="48"/>
      <c r="F2" s="48"/>
      <c r="G2" s="48"/>
      <c r="H2" s="48"/>
      <c r="I2" s="48"/>
      <c r="J2" s="48"/>
      <c r="K2" s="48"/>
      <c r="L2" s="48"/>
      <c r="M2" s="48" t="s">
        <v>116</v>
      </c>
      <c r="N2" s="48"/>
      <c r="O2" s="48"/>
      <c r="P2" s="48"/>
      <c r="Q2" s="48"/>
      <c r="R2" s="48"/>
      <c r="S2" s="48"/>
      <c r="T2" s="48"/>
      <c r="U2" s="48"/>
      <c r="V2" s="48"/>
      <c r="W2" s="48"/>
      <c r="X2" s="48"/>
      <c r="Y2" s="48"/>
    </row>
    <row r="3" customFormat="false" ht="15" hidden="false" customHeight="false" outlineLevel="0" collapsed="false">
      <c r="A3" s="47" t="str">
        <f aca="false">PARAMETRES!$C$6</f>
        <v>IEPP GAGNOA 2</v>
      </c>
      <c r="B3" s="47"/>
      <c r="C3" s="47"/>
      <c r="D3" s="47"/>
      <c r="E3" s="47"/>
      <c r="F3" s="47"/>
      <c r="G3" s="47"/>
      <c r="H3" s="47"/>
      <c r="I3" s="47"/>
      <c r="J3" s="47"/>
      <c r="K3" s="47"/>
      <c r="L3" s="47"/>
      <c r="M3" s="47" t="str">
        <f aca="false">"ANNEE SCOLAIRE : "&amp;PARAMETRES!$C$9</f>
        <v>ANNEE SCOLAIRE : 2026-2027</v>
      </c>
      <c r="N3" s="47"/>
      <c r="O3" s="47"/>
      <c r="P3" s="47"/>
      <c r="Q3" s="47"/>
      <c r="R3" s="47"/>
      <c r="S3" s="47"/>
      <c r="T3" s="47"/>
      <c r="U3" s="47"/>
      <c r="V3" s="47"/>
      <c r="W3" s="47"/>
      <c r="X3" s="47"/>
      <c r="Y3" s="47"/>
    </row>
    <row r="4" customFormat="false" ht="15" hidden="false" customHeight="false" outlineLevel="0" collapsed="false">
      <c r="A4" s="48" t="str">
        <f aca="false">PARAMETRES!$C$7&amp;"  -  Code : "&amp;PARAMETRES!$C$8</f>
        <v>EPP LIGUIYO  -  Code : EPP-GAG-0123</v>
      </c>
      <c r="B4" s="48"/>
      <c r="C4" s="48"/>
      <c r="D4" s="48"/>
      <c r="E4" s="48"/>
      <c r="F4" s="48"/>
      <c r="G4" s="48"/>
      <c r="H4" s="48"/>
      <c r="I4" s="48"/>
      <c r="J4" s="48"/>
      <c r="K4" s="48"/>
      <c r="L4" s="48"/>
      <c r="M4" s="49"/>
    </row>
    <row r="6" customFormat="false" ht="27.75" hidden="false" customHeight="true" outlineLevel="0" collapsed="false">
      <c r="A6" s="30" t="s">
        <v>636</v>
      </c>
      <c r="B6" s="30"/>
      <c r="C6" s="30"/>
      <c r="D6" s="30"/>
      <c r="E6" s="30"/>
      <c r="F6" s="30"/>
      <c r="G6" s="30"/>
      <c r="H6" s="30"/>
      <c r="I6" s="30"/>
      <c r="J6" s="30"/>
      <c r="K6" s="30"/>
      <c r="L6" s="30"/>
      <c r="M6" s="30"/>
      <c r="N6" s="30"/>
      <c r="O6" s="30"/>
      <c r="P6" s="30"/>
      <c r="Q6" s="30"/>
      <c r="R6" s="30"/>
      <c r="S6" s="30"/>
      <c r="T6" s="30"/>
      <c r="U6" s="30"/>
      <c r="V6" s="30"/>
      <c r="W6" s="30"/>
      <c r="X6" s="30"/>
      <c r="Y6" s="30"/>
    </row>
    <row r="7" customFormat="false" ht="15" hidden="false" customHeight="false" outlineLevel="0" collapsed="false">
      <c r="A7" s="2" t="str">
        <f aca="false">"Etablissement : "&amp;PARAMETRES!$C$7&amp;"   •   Effectifs inscrits, calculés depuis le registre"</f>
        <v>Etablissement : EPP LIGUIYO   •   Effectifs inscrits, calculés depuis le registre</v>
      </c>
      <c r="B7" s="2"/>
      <c r="C7" s="2"/>
      <c r="D7" s="2"/>
      <c r="E7" s="2"/>
      <c r="F7" s="2"/>
      <c r="G7" s="2"/>
      <c r="H7" s="2"/>
      <c r="I7" s="2"/>
      <c r="J7" s="2"/>
      <c r="K7" s="2"/>
      <c r="L7" s="2"/>
      <c r="M7" s="2"/>
      <c r="N7" s="2"/>
      <c r="O7" s="2"/>
      <c r="P7" s="2"/>
      <c r="Q7" s="2"/>
      <c r="R7" s="2"/>
      <c r="S7" s="2"/>
      <c r="T7" s="2"/>
      <c r="U7" s="2"/>
      <c r="V7" s="2"/>
      <c r="W7" s="2"/>
      <c r="X7" s="2"/>
      <c r="Y7" s="2"/>
    </row>
    <row r="9" customFormat="false" ht="15" hidden="false" customHeight="true" outlineLevel="0" collapsed="false">
      <c r="A9" s="93" t="s">
        <v>637</v>
      </c>
      <c r="B9" s="93" t="s">
        <v>623</v>
      </c>
      <c r="C9" s="93"/>
      <c r="D9" s="93"/>
      <c r="E9" s="93" t="s">
        <v>626</v>
      </c>
      <c r="F9" s="93"/>
      <c r="G9" s="93"/>
      <c r="H9" s="93" t="s">
        <v>627</v>
      </c>
      <c r="I9" s="93"/>
      <c r="J9" s="93"/>
      <c r="K9" s="93" t="s">
        <v>628</v>
      </c>
      <c r="L9" s="93"/>
      <c r="M9" s="93"/>
      <c r="N9" s="93" t="s">
        <v>632</v>
      </c>
      <c r="O9" s="93"/>
      <c r="P9" s="93"/>
      <c r="Q9" s="93" t="s">
        <v>633</v>
      </c>
      <c r="R9" s="93"/>
      <c r="S9" s="93"/>
      <c r="T9" s="93" t="s">
        <v>638</v>
      </c>
      <c r="U9" s="93"/>
      <c r="V9" s="93"/>
      <c r="W9" s="93" t="s">
        <v>625</v>
      </c>
      <c r="X9" s="93"/>
      <c r="Y9" s="93"/>
    </row>
    <row r="10" customFormat="false" ht="15" hidden="false" customHeight="false" outlineLevel="0" collapsed="false">
      <c r="A10" s="93"/>
      <c r="B10" s="42" t="s">
        <v>639</v>
      </c>
      <c r="C10" s="42" t="s">
        <v>44</v>
      </c>
      <c r="D10" s="42" t="s">
        <v>640</v>
      </c>
      <c r="E10" s="42" t="s">
        <v>639</v>
      </c>
      <c r="F10" s="42" t="s">
        <v>44</v>
      </c>
      <c r="G10" s="42" t="s">
        <v>640</v>
      </c>
      <c r="H10" s="42" t="s">
        <v>639</v>
      </c>
      <c r="I10" s="42" t="s">
        <v>44</v>
      </c>
      <c r="J10" s="42" t="s">
        <v>640</v>
      </c>
      <c r="K10" s="42" t="s">
        <v>639</v>
      </c>
      <c r="L10" s="42" t="s">
        <v>44</v>
      </c>
      <c r="M10" s="42" t="s">
        <v>640</v>
      </c>
      <c r="N10" s="42" t="s">
        <v>639</v>
      </c>
      <c r="O10" s="42" t="s">
        <v>44</v>
      </c>
      <c r="P10" s="42" t="s">
        <v>640</v>
      </c>
      <c r="Q10" s="42" t="s">
        <v>639</v>
      </c>
      <c r="R10" s="42" t="s">
        <v>44</v>
      </c>
      <c r="S10" s="42" t="s">
        <v>640</v>
      </c>
      <c r="T10" s="42" t="s">
        <v>639</v>
      </c>
      <c r="U10" s="42" t="s">
        <v>44</v>
      </c>
      <c r="V10" s="42" t="s">
        <v>640</v>
      </c>
      <c r="W10" s="42" t="s">
        <v>639</v>
      </c>
      <c r="X10" s="42" t="s">
        <v>44</v>
      </c>
      <c r="Y10" s="42" t="s">
        <v>640</v>
      </c>
    </row>
    <row r="11" customFormat="false" ht="15" hidden="false" customHeight="false" outlineLevel="0" collapsed="false">
      <c r="A11" s="23" t="s">
        <v>18</v>
      </c>
      <c r="B11" s="24" t="n">
        <f aca="false">COUNTIFS('REGISTRE ELEVES'!$F$10:$F$250,$A11,'REGISTRE ELEVES'!$E$10:$E$250,"M")</f>
        <v>5</v>
      </c>
      <c r="C11" s="24" t="n">
        <f aca="false">COUNTIFS('REGISTRE ELEVES'!$F$10:$F$250,$A11,'REGISTRE ELEVES'!$E$10:$E$250,"F")</f>
        <v>6</v>
      </c>
      <c r="D11" s="23" t="n">
        <f aca="false">B11+C11</f>
        <v>11</v>
      </c>
      <c r="E11" s="24" t="n">
        <f aca="false">COUNTIFS('REGISTRE ELEVES'!$F$10:$F$250,$A11,'REGISTRE ELEVES'!$E$10:$E$250,"M",'REGISTRE ELEVES'!$I$10:$I$250,"IVOIRIENNE")</f>
        <v>5</v>
      </c>
      <c r="F11" s="24" t="n">
        <f aca="false">COUNTIFS('REGISTRE ELEVES'!$F$10:$F$250,$A11,'REGISTRE ELEVES'!$E$10:$E$250,"F",'REGISTRE ELEVES'!$I$10:$I$250,"IVOIRIENNE")</f>
        <v>4</v>
      </c>
      <c r="G11" s="23" t="n">
        <f aca="false">E11+F11</f>
        <v>9</v>
      </c>
      <c r="H11" s="24" t="n">
        <f aca="false">COUNTIFS('REGISTRE ELEVES'!$F$10:$F$250,$A11,'REGISTRE ELEVES'!$E$10:$E$250,"M",'REGISTRE ELEVES'!$I$10:$I$250,"&lt;&gt;IVOIRIENNE",'REGISTRE ELEVES'!$I$10:$I$250,"&lt;&gt;")</f>
        <v>0</v>
      </c>
      <c r="I11" s="24" t="n">
        <f aca="false">COUNTIFS('REGISTRE ELEVES'!$F$10:$F$250,$A11,'REGISTRE ELEVES'!$E$10:$E$250,"F",'REGISTRE ELEVES'!$I$10:$I$250,"&lt;&gt;IVOIRIENNE",'REGISTRE ELEVES'!$I$10:$I$250,"&lt;&gt;")</f>
        <v>2</v>
      </c>
      <c r="J11" s="23" t="n">
        <f aca="false">H11+I11</f>
        <v>2</v>
      </c>
      <c r="K11" s="24" t="n">
        <f aca="false">COUNTIFS('REGISTRE ELEVES'!$F$10:$F$250,$A11,'REGISTRE ELEVES'!$E$10:$E$250,"M",'REGISTRE ELEVES'!$P$10:$P$250,"OUI")</f>
        <v>1</v>
      </c>
      <c r="L11" s="24" t="n">
        <f aca="false">COUNTIFS('REGISTRE ELEVES'!$F$10:$F$250,$A11,'REGISTRE ELEVES'!$E$10:$E$250,"F",'REGISTRE ELEVES'!$P$10:$P$250,"OUI")</f>
        <v>0</v>
      </c>
      <c r="M11" s="23" t="n">
        <f aca="false">K11+L11</f>
        <v>1</v>
      </c>
      <c r="N11" s="24" t="n">
        <f aca="false">COUNTIFS('REGISTRE ELEVES'!$F$10:$F$250,$A11,'REGISTRE ELEVES'!$E$10:$E$250,"M",'REGISTRE ELEVES'!$L$10:$L$250,"OUI")</f>
        <v>3</v>
      </c>
      <c r="O11" s="24" t="n">
        <f aca="false">COUNTIFS('REGISTRE ELEVES'!$F$10:$F$250,$A11,'REGISTRE ELEVES'!$E$10:$E$250,"F",'REGISTRE ELEVES'!$L$10:$L$250,"OUI")</f>
        <v>5</v>
      </c>
      <c r="P11" s="23" t="n">
        <f aca="false">N11+O11</f>
        <v>8</v>
      </c>
      <c r="Q11" s="24" t="n">
        <f aca="false">COUNTIFS('REGISTRE ELEVES'!$F$10:$F$250,$A11,'REGISTRE ELEVES'!$E$10:$E$250,"M",'REGISTRE ELEVES'!$L$10:$L$250,"NON")</f>
        <v>2</v>
      </c>
      <c r="R11" s="24" t="n">
        <f aca="false">COUNTIFS('REGISTRE ELEVES'!$F$10:$F$250,$A11,'REGISTRE ELEVES'!$E$10:$E$250,"F",'REGISTRE ELEVES'!$L$10:$L$250,"NON")</f>
        <v>1</v>
      </c>
      <c r="S11" s="23" t="n">
        <f aca="false">Q11+R11</f>
        <v>3</v>
      </c>
      <c r="T11" s="24" t="n">
        <f aca="false">COUNTIFS('REGISTRE ELEVES'!$F$10:$F$250,$A11,'REGISTRE ELEVES'!$E$10:$E$250,"M",'REGISTRE ELEVES'!$AD$10:$AD$250,"OUI")</f>
        <v>1</v>
      </c>
      <c r="U11" s="24" t="n">
        <f aca="false">COUNTIFS('REGISTRE ELEVES'!$F$10:$F$250,$A11,'REGISTRE ELEVES'!$E$10:$E$250,"F",'REGISTRE ELEVES'!$AD$10:$AD$250,"OUI")</f>
        <v>2</v>
      </c>
      <c r="V11" s="23" t="n">
        <f aca="false">T11+U11</f>
        <v>3</v>
      </c>
      <c r="W11" s="24" t="n">
        <f aca="false">COUNTIFS('REGISTRE ELEVES'!$F$10:$F$250,$A11,'REGISTRE ELEVES'!$E$10:$E$250,"M",'REGISTRE ELEVES'!$AE$10:$AE$250,"ABANDON")</f>
        <v>0</v>
      </c>
      <c r="X11" s="24" t="n">
        <f aca="false">COUNTIFS('REGISTRE ELEVES'!$F$10:$F$250,$A11,'REGISTRE ELEVES'!$E$10:$E$250,"F",'REGISTRE ELEVES'!$AE$10:$AE$250,"ABANDON")</f>
        <v>0</v>
      </c>
      <c r="Y11" s="23" t="n">
        <f aca="false">W11+X11</f>
        <v>0</v>
      </c>
    </row>
    <row r="12" customFormat="false" ht="15" hidden="false" customHeight="false" outlineLevel="0" collapsed="false">
      <c r="A12" s="23" t="s">
        <v>19</v>
      </c>
      <c r="B12" s="24" t="n">
        <f aca="false">COUNTIFS('REGISTRE ELEVES'!$F$10:$F$250,$A12,'REGISTRE ELEVES'!$E$10:$E$250,"M")</f>
        <v>7</v>
      </c>
      <c r="C12" s="24" t="n">
        <f aca="false">COUNTIFS('REGISTRE ELEVES'!$F$10:$F$250,$A12,'REGISTRE ELEVES'!$E$10:$E$250,"F")</f>
        <v>5</v>
      </c>
      <c r="D12" s="23" t="n">
        <f aca="false">B12+C12</f>
        <v>12</v>
      </c>
      <c r="E12" s="24" t="n">
        <f aca="false">COUNTIFS('REGISTRE ELEVES'!$F$10:$F$250,$A12,'REGISTRE ELEVES'!$E$10:$E$250,"M",'REGISTRE ELEVES'!$I$10:$I$250,"IVOIRIENNE")</f>
        <v>5</v>
      </c>
      <c r="F12" s="24" t="n">
        <f aca="false">COUNTIFS('REGISTRE ELEVES'!$F$10:$F$250,$A12,'REGISTRE ELEVES'!$E$10:$E$250,"F",'REGISTRE ELEVES'!$I$10:$I$250,"IVOIRIENNE")</f>
        <v>4</v>
      </c>
      <c r="G12" s="23" t="n">
        <f aca="false">E12+F12</f>
        <v>9</v>
      </c>
      <c r="H12" s="24" t="n">
        <f aca="false">COUNTIFS('REGISTRE ELEVES'!$F$10:$F$250,$A12,'REGISTRE ELEVES'!$E$10:$E$250,"M",'REGISTRE ELEVES'!$I$10:$I$250,"&lt;&gt;IVOIRIENNE",'REGISTRE ELEVES'!$I$10:$I$250,"&lt;&gt;")</f>
        <v>2</v>
      </c>
      <c r="I12" s="24" t="n">
        <f aca="false">COUNTIFS('REGISTRE ELEVES'!$F$10:$F$250,$A12,'REGISTRE ELEVES'!$E$10:$E$250,"F",'REGISTRE ELEVES'!$I$10:$I$250,"&lt;&gt;IVOIRIENNE",'REGISTRE ELEVES'!$I$10:$I$250,"&lt;&gt;")</f>
        <v>1</v>
      </c>
      <c r="J12" s="23" t="n">
        <f aca="false">H12+I12</f>
        <v>3</v>
      </c>
      <c r="K12" s="24" t="n">
        <f aca="false">COUNTIFS('REGISTRE ELEVES'!$F$10:$F$250,$A12,'REGISTRE ELEVES'!$E$10:$E$250,"M",'REGISTRE ELEVES'!$P$10:$P$250,"OUI")</f>
        <v>1</v>
      </c>
      <c r="L12" s="24" t="n">
        <f aca="false">COUNTIFS('REGISTRE ELEVES'!$F$10:$F$250,$A12,'REGISTRE ELEVES'!$E$10:$E$250,"F",'REGISTRE ELEVES'!$P$10:$P$250,"OUI")</f>
        <v>2</v>
      </c>
      <c r="M12" s="23" t="n">
        <f aca="false">K12+L12</f>
        <v>3</v>
      </c>
      <c r="N12" s="24" t="n">
        <f aca="false">COUNTIFS('REGISTRE ELEVES'!$F$10:$F$250,$A12,'REGISTRE ELEVES'!$E$10:$E$250,"M",'REGISTRE ELEVES'!$L$10:$L$250,"OUI")</f>
        <v>6</v>
      </c>
      <c r="O12" s="24" t="n">
        <f aca="false">COUNTIFS('REGISTRE ELEVES'!$F$10:$F$250,$A12,'REGISTRE ELEVES'!$E$10:$E$250,"F",'REGISTRE ELEVES'!$L$10:$L$250,"OUI")</f>
        <v>4</v>
      </c>
      <c r="P12" s="23" t="n">
        <f aca="false">N12+O12</f>
        <v>10</v>
      </c>
      <c r="Q12" s="24" t="n">
        <f aca="false">COUNTIFS('REGISTRE ELEVES'!$F$10:$F$250,$A12,'REGISTRE ELEVES'!$E$10:$E$250,"M",'REGISTRE ELEVES'!$L$10:$L$250,"NON")</f>
        <v>1</v>
      </c>
      <c r="R12" s="24" t="n">
        <f aca="false">COUNTIFS('REGISTRE ELEVES'!$F$10:$F$250,$A12,'REGISTRE ELEVES'!$E$10:$E$250,"F",'REGISTRE ELEVES'!$L$10:$L$250,"NON")</f>
        <v>1</v>
      </c>
      <c r="S12" s="23" t="n">
        <f aca="false">Q12+R12</f>
        <v>2</v>
      </c>
      <c r="T12" s="24" t="n">
        <f aca="false">COUNTIFS('REGISTRE ELEVES'!$F$10:$F$250,$A12,'REGISTRE ELEVES'!$E$10:$E$250,"M",'REGISTRE ELEVES'!$AD$10:$AD$250,"OUI")</f>
        <v>3</v>
      </c>
      <c r="U12" s="24" t="n">
        <f aca="false">COUNTIFS('REGISTRE ELEVES'!$F$10:$F$250,$A12,'REGISTRE ELEVES'!$E$10:$E$250,"F",'REGISTRE ELEVES'!$AD$10:$AD$250,"OUI")</f>
        <v>2</v>
      </c>
      <c r="V12" s="23" t="n">
        <f aca="false">T12+U12</f>
        <v>5</v>
      </c>
      <c r="W12" s="24" t="n">
        <f aca="false">COUNTIFS('REGISTRE ELEVES'!$F$10:$F$250,$A12,'REGISTRE ELEVES'!$E$10:$E$250,"M",'REGISTRE ELEVES'!$AE$10:$AE$250,"ABANDON")</f>
        <v>0</v>
      </c>
      <c r="X12" s="24" t="n">
        <f aca="false">COUNTIFS('REGISTRE ELEVES'!$F$10:$F$250,$A12,'REGISTRE ELEVES'!$E$10:$E$250,"F",'REGISTRE ELEVES'!$AE$10:$AE$250,"ABANDON")</f>
        <v>1</v>
      </c>
      <c r="Y12" s="23" t="n">
        <f aca="false">W12+X12</f>
        <v>1</v>
      </c>
    </row>
    <row r="13" customFormat="false" ht="15" hidden="false" customHeight="false" outlineLevel="0" collapsed="false">
      <c r="A13" s="23" t="s">
        <v>20</v>
      </c>
      <c r="B13" s="24" t="n">
        <f aca="false">COUNTIFS('REGISTRE ELEVES'!$F$10:$F$250,$A13,'REGISTRE ELEVES'!$E$10:$E$250,"M")</f>
        <v>6</v>
      </c>
      <c r="C13" s="24" t="n">
        <f aca="false">COUNTIFS('REGISTRE ELEVES'!$F$10:$F$250,$A13,'REGISTRE ELEVES'!$E$10:$E$250,"F")</f>
        <v>3</v>
      </c>
      <c r="D13" s="23" t="n">
        <f aca="false">B13+C13</f>
        <v>9</v>
      </c>
      <c r="E13" s="24" t="n">
        <f aca="false">COUNTIFS('REGISTRE ELEVES'!$F$10:$F$250,$A13,'REGISTRE ELEVES'!$E$10:$E$250,"M",'REGISTRE ELEVES'!$I$10:$I$250,"IVOIRIENNE")</f>
        <v>6</v>
      </c>
      <c r="F13" s="24" t="n">
        <f aca="false">COUNTIFS('REGISTRE ELEVES'!$F$10:$F$250,$A13,'REGISTRE ELEVES'!$E$10:$E$250,"F",'REGISTRE ELEVES'!$I$10:$I$250,"IVOIRIENNE")</f>
        <v>2</v>
      </c>
      <c r="G13" s="23" t="n">
        <f aca="false">E13+F13</f>
        <v>8</v>
      </c>
      <c r="H13" s="24" t="n">
        <f aca="false">COUNTIFS('REGISTRE ELEVES'!$F$10:$F$250,$A13,'REGISTRE ELEVES'!$E$10:$E$250,"M",'REGISTRE ELEVES'!$I$10:$I$250,"&lt;&gt;IVOIRIENNE",'REGISTRE ELEVES'!$I$10:$I$250,"&lt;&gt;")</f>
        <v>0</v>
      </c>
      <c r="I13" s="24" t="n">
        <f aca="false">COUNTIFS('REGISTRE ELEVES'!$F$10:$F$250,$A13,'REGISTRE ELEVES'!$E$10:$E$250,"F",'REGISTRE ELEVES'!$I$10:$I$250,"&lt;&gt;IVOIRIENNE",'REGISTRE ELEVES'!$I$10:$I$250,"&lt;&gt;")</f>
        <v>1</v>
      </c>
      <c r="J13" s="23" t="n">
        <f aca="false">H13+I13</f>
        <v>1</v>
      </c>
      <c r="K13" s="24" t="n">
        <f aca="false">COUNTIFS('REGISTRE ELEVES'!$F$10:$F$250,$A13,'REGISTRE ELEVES'!$E$10:$E$250,"M",'REGISTRE ELEVES'!$P$10:$P$250,"OUI")</f>
        <v>0</v>
      </c>
      <c r="L13" s="24" t="n">
        <f aca="false">COUNTIFS('REGISTRE ELEVES'!$F$10:$F$250,$A13,'REGISTRE ELEVES'!$E$10:$E$250,"F",'REGISTRE ELEVES'!$P$10:$P$250,"OUI")</f>
        <v>0</v>
      </c>
      <c r="M13" s="23" t="n">
        <f aca="false">K13+L13</f>
        <v>0</v>
      </c>
      <c r="N13" s="24" t="n">
        <f aca="false">COUNTIFS('REGISTRE ELEVES'!$F$10:$F$250,$A13,'REGISTRE ELEVES'!$E$10:$E$250,"M",'REGISTRE ELEVES'!$L$10:$L$250,"OUI")</f>
        <v>3</v>
      </c>
      <c r="O13" s="24" t="n">
        <f aca="false">COUNTIFS('REGISTRE ELEVES'!$F$10:$F$250,$A13,'REGISTRE ELEVES'!$E$10:$E$250,"F",'REGISTRE ELEVES'!$L$10:$L$250,"OUI")</f>
        <v>3</v>
      </c>
      <c r="P13" s="23" t="n">
        <f aca="false">N13+O13</f>
        <v>6</v>
      </c>
      <c r="Q13" s="24" t="n">
        <f aca="false">COUNTIFS('REGISTRE ELEVES'!$F$10:$F$250,$A13,'REGISTRE ELEVES'!$E$10:$E$250,"M",'REGISTRE ELEVES'!$L$10:$L$250,"NON")</f>
        <v>3</v>
      </c>
      <c r="R13" s="24" t="n">
        <f aca="false">COUNTIFS('REGISTRE ELEVES'!$F$10:$F$250,$A13,'REGISTRE ELEVES'!$E$10:$E$250,"F",'REGISTRE ELEVES'!$L$10:$L$250,"NON")</f>
        <v>0</v>
      </c>
      <c r="S13" s="23" t="n">
        <f aca="false">Q13+R13</f>
        <v>3</v>
      </c>
      <c r="T13" s="24" t="n">
        <f aca="false">COUNTIFS('REGISTRE ELEVES'!$F$10:$F$250,$A13,'REGISTRE ELEVES'!$E$10:$E$250,"M",'REGISTRE ELEVES'!$AD$10:$AD$250,"OUI")</f>
        <v>2</v>
      </c>
      <c r="U13" s="24" t="n">
        <f aca="false">COUNTIFS('REGISTRE ELEVES'!$F$10:$F$250,$A13,'REGISTRE ELEVES'!$E$10:$E$250,"F",'REGISTRE ELEVES'!$AD$10:$AD$250,"OUI")</f>
        <v>0</v>
      </c>
      <c r="V13" s="23" t="n">
        <f aca="false">T13+U13</f>
        <v>2</v>
      </c>
      <c r="W13" s="24" t="n">
        <f aca="false">COUNTIFS('REGISTRE ELEVES'!$F$10:$F$250,$A13,'REGISTRE ELEVES'!$E$10:$E$250,"M",'REGISTRE ELEVES'!$AE$10:$AE$250,"ABANDON")</f>
        <v>0</v>
      </c>
      <c r="X13" s="24" t="n">
        <f aca="false">COUNTIFS('REGISTRE ELEVES'!$F$10:$F$250,$A13,'REGISTRE ELEVES'!$E$10:$E$250,"F",'REGISTRE ELEVES'!$AE$10:$AE$250,"ABANDON")</f>
        <v>1</v>
      </c>
      <c r="Y13" s="23" t="n">
        <f aca="false">W13+X13</f>
        <v>1</v>
      </c>
    </row>
    <row r="14" customFormat="false" ht="15" hidden="false" customHeight="false" outlineLevel="0" collapsed="false">
      <c r="A14" s="23" t="s">
        <v>21</v>
      </c>
      <c r="B14" s="24" t="n">
        <f aca="false">COUNTIFS('REGISTRE ELEVES'!$F$10:$F$250,$A14,'REGISTRE ELEVES'!$E$10:$E$250,"M")</f>
        <v>6</v>
      </c>
      <c r="C14" s="24" t="n">
        <f aca="false">COUNTIFS('REGISTRE ELEVES'!$F$10:$F$250,$A14,'REGISTRE ELEVES'!$E$10:$E$250,"F")</f>
        <v>6</v>
      </c>
      <c r="D14" s="23" t="n">
        <f aca="false">B14+C14</f>
        <v>12</v>
      </c>
      <c r="E14" s="24" t="n">
        <f aca="false">COUNTIFS('REGISTRE ELEVES'!$F$10:$F$250,$A14,'REGISTRE ELEVES'!$E$10:$E$250,"M",'REGISTRE ELEVES'!$I$10:$I$250,"IVOIRIENNE")</f>
        <v>5</v>
      </c>
      <c r="F14" s="24" t="n">
        <f aca="false">COUNTIFS('REGISTRE ELEVES'!$F$10:$F$250,$A14,'REGISTRE ELEVES'!$E$10:$E$250,"F",'REGISTRE ELEVES'!$I$10:$I$250,"IVOIRIENNE")</f>
        <v>6</v>
      </c>
      <c r="G14" s="23" t="n">
        <f aca="false">E14+F14</f>
        <v>11</v>
      </c>
      <c r="H14" s="24" t="n">
        <f aca="false">COUNTIFS('REGISTRE ELEVES'!$F$10:$F$250,$A14,'REGISTRE ELEVES'!$E$10:$E$250,"M",'REGISTRE ELEVES'!$I$10:$I$250,"&lt;&gt;IVOIRIENNE",'REGISTRE ELEVES'!$I$10:$I$250,"&lt;&gt;")</f>
        <v>1</v>
      </c>
      <c r="I14" s="24" t="n">
        <f aca="false">COUNTIFS('REGISTRE ELEVES'!$F$10:$F$250,$A14,'REGISTRE ELEVES'!$E$10:$E$250,"F",'REGISTRE ELEVES'!$I$10:$I$250,"&lt;&gt;IVOIRIENNE",'REGISTRE ELEVES'!$I$10:$I$250,"&lt;&gt;")</f>
        <v>0</v>
      </c>
      <c r="J14" s="23" t="n">
        <f aca="false">H14+I14</f>
        <v>1</v>
      </c>
      <c r="K14" s="24" t="n">
        <f aca="false">COUNTIFS('REGISTRE ELEVES'!$F$10:$F$250,$A14,'REGISTRE ELEVES'!$E$10:$E$250,"M",'REGISTRE ELEVES'!$P$10:$P$250,"OUI")</f>
        <v>2</v>
      </c>
      <c r="L14" s="24" t="n">
        <f aca="false">COUNTIFS('REGISTRE ELEVES'!$F$10:$F$250,$A14,'REGISTRE ELEVES'!$E$10:$E$250,"F",'REGISTRE ELEVES'!$P$10:$P$250,"OUI")</f>
        <v>2</v>
      </c>
      <c r="M14" s="23" t="n">
        <f aca="false">K14+L14</f>
        <v>4</v>
      </c>
      <c r="N14" s="24" t="n">
        <f aca="false">COUNTIFS('REGISTRE ELEVES'!$F$10:$F$250,$A14,'REGISTRE ELEVES'!$E$10:$E$250,"M",'REGISTRE ELEVES'!$L$10:$L$250,"OUI")</f>
        <v>5</v>
      </c>
      <c r="O14" s="24" t="n">
        <f aca="false">COUNTIFS('REGISTRE ELEVES'!$F$10:$F$250,$A14,'REGISTRE ELEVES'!$E$10:$E$250,"F",'REGISTRE ELEVES'!$L$10:$L$250,"OUI")</f>
        <v>5</v>
      </c>
      <c r="P14" s="23" t="n">
        <f aca="false">N14+O14</f>
        <v>10</v>
      </c>
      <c r="Q14" s="24" t="n">
        <f aca="false">COUNTIFS('REGISTRE ELEVES'!$F$10:$F$250,$A14,'REGISTRE ELEVES'!$E$10:$E$250,"M",'REGISTRE ELEVES'!$L$10:$L$250,"NON")</f>
        <v>1</v>
      </c>
      <c r="R14" s="24" t="n">
        <f aca="false">COUNTIFS('REGISTRE ELEVES'!$F$10:$F$250,$A14,'REGISTRE ELEVES'!$E$10:$E$250,"F",'REGISTRE ELEVES'!$L$10:$L$250,"NON")</f>
        <v>1</v>
      </c>
      <c r="S14" s="23" t="n">
        <f aca="false">Q14+R14</f>
        <v>2</v>
      </c>
      <c r="T14" s="24" t="n">
        <f aca="false">COUNTIFS('REGISTRE ELEVES'!$F$10:$F$250,$A14,'REGISTRE ELEVES'!$E$10:$E$250,"M",'REGISTRE ELEVES'!$AD$10:$AD$250,"OUI")</f>
        <v>2</v>
      </c>
      <c r="U14" s="24" t="n">
        <f aca="false">COUNTIFS('REGISTRE ELEVES'!$F$10:$F$250,$A14,'REGISTRE ELEVES'!$E$10:$E$250,"F",'REGISTRE ELEVES'!$AD$10:$AD$250,"OUI")</f>
        <v>0</v>
      </c>
      <c r="V14" s="23" t="n">
        <f aca="false">T14+U14</f>
        <v>2</v>
      </c>
      <c r="W14" s="24" t="n">
        <f aca="false">COUNTIFS('REGISTRE ELEVES'!$F$10:$F$250,$A14,'REGISTRE ELEVES'!$E$10:$E$250,"M",'REGISTRE ELEVES'!$AE$10:$AE$250,"ABANDON")</f>
        <v>1</v>
      </c>
      <c r="X14" s="24" t="n">
        <f aca="false">COUNTIFS('REGISTRE ELEVES'!$F$10:$F$250,$A14,'REGISTRE ELEVES'!$E$10:$E$250,"F",'REGISTRE ELEVES'!$AE$10:$AE$250,"ABANDON")</f>
        <v>0</v>
      </c>
      <c r="Y14" s="23" t="n">
        <f aca="false">W14+X14</f>
        <v>1</v>
      </c>
    </row>
    <row r="15" customFormat="false" ht="15" hidden="false" customHeight="false" outlineLevel="0" collapsed="false">
      <c r="A15" s="23" t="s">
        <v>22</v>
      </c>
      <c r="B15" s="24" t="n">
        <f aca="false">COUNTIFS('REGISTRE ELEVES'!$F$10:$F$250,$A15,'REGISTRE ELEVES'!$E$10:$E$250,"M")</f>
        <v>8</v>
      </c>
      <c r="C15" s="24" t="n">
        <f aca="false">COUNTIFS('REGISTRE ELEVES'!$F$10:$F$250,$A15,'REGISTRE ELEVES'!$E$10:$E$250,"F")</f>
        <v>3</v>
      </c>
      <c r="D15" s="23" t="n">
        <f aca="false">B15+C15</f>
        <v>11</v>
      </c>
      <c r="E15" s="24" t="n">
        <f aca="false">COUNTIFS('REGISTRE ELEVES'!$F$10:$F$250,$A15,'REGISTRE ELEVES'!$E$10:$E$250,"M",'REGISTRE ELEVES'!$I$10:$I$250,"IVOIRIENNE")</f>
        <v>7</v>
      </c>
      <c r="F15" s="24" t="n">
        <f aca="false">COUNTIFS('REGISTRE ELEVES'!$F$10:$F$250,$A15,'REGISTRE ELEVES'!$E$10:$E$250,"F",'REGISTRE ELEVES'!$I$10:$I$250,"IVOIRIENNE")</f>
        <v>3</v>
      </c>
      <c r="G15" s="23" t="n">
        <f aca="false">E15+F15</f>
        <v>10</v>
      </c>
      <c r="H15" s="24" t="n">
        <f aca="false">COUNTIFS('REGISTRE ELEVES'!$F$10:$F$250,$A15,'REGISTRE ELEVES'!$E$10:$E$250,"M",'REGISTRE ELEVES'!$I$10:$I$250,"&lt;&gt;IVOIRIENNE",'REGISTRE ELEVES'!$I$10:$I$250,"&lt;&gt;")</f>
        <v>1</v>
      </c>
      <c r="I15" s="24" t="n">
        <f aca="false">COUNTIFS('REGISTRE ELEVES'!$F$10:$F$250,$A15,'REGISTRE ELEVES'!$E$10:$E$250,"F",'REGISTRE ELEVES'!$I$10:$I$250,"&lt;&gt;IVOIRIENNE",'REGISTRE ELEVES'!$I$10:$I$250,"&lt;&gt;")</f>
        <v>0</v>
      </c>
      <c r="J15" s="23" t="n">
        <f aca="false">H15+I15</f>
        <v>1</v>
      </c>
      <c r="K15" s="24" t="n">
        <f aca="false">COUNTIFS('REGISTRE ELEVES'!$F$10:$F$250,$A15,'REGISTRE ELEVES'!$E$10:$E$250,"M",'REGISTRE ELEVES'!$P$10:$P$250,"OUI")</f>
        <v>1</v>
      </c>
      <c r="L15" s="24" t="n">
        <f aca="false">COUNTIFS('REGISTRE ELEVES'!$F$10:$F$250,$A15,'REGISTRE ELEVES'!$E$10:$E$250,"F",'REGISTRE ELEVES'!$P$10:$P$250,"OUI")</f>
        <v>0</v>
      </c>
      <c r="M15" s="23" t="n">
        <f aca="false">K15+L15</f>
        <v>1</v>
      </c>
      <c r="N15" s="24" t="n">
        <f aca="false">COUNTIFS('REGISTRE ELEVES'!$F$10:$F$250,$A15,'REGISTRE ELEVES'!$E$10:$E$250,"M",'REGISTRE ELEVES'!$L$10:$L$250,"OUI")</f>
        <v>6</v>
      </c>
      <c r="O15" s="24" t="n">
        <f aca="false">COUNTIFS('REGISTRE ELEVES'!$F$10:$F$250,$A15,'REGISTRE ELEVES'!$E$10:$E$250,"F",'REGISTRE ELEVES'!$L$10:$L$250,"OUI")</f>
        <v>3</v>
      </c>
      <c r="P15" s="23" t="n">
        <f aca="false">N15+O15</f>
        <v>9</v>
      </c>
      <c r="Q15" s="24" t="n">
        <f aca="false">COUNTIFS('REGISTRE ELEVES'!$F$10:$F$250,$A15,'REGISTRE ELEVES'!$E$10:$E$250,"M",'REGISTRE ELEVES'!$L$10:$L$250,"NON")</f>
        <v>2</v>
      </c>
      <c r="R15" s="24" t="n">
        <f aca="false">COUNTIFS('REGISTRE ELEVES'!$F$10:$F$250,$A15,'REGISTRE ELEVES'!$E$10:$E$250,"F",'REGISTRE ELEVES'!$L$10:$L$250,"NON")</f>
        <v>0</v>
      </c>
      <c r="S15" s="23" t="n">
        <f aca="false">Q15+R15</f>
        <v>2</v>
      </c>
      <c r="T15" s="24" t="n">
        <f aca="false">COUNTIFS('REGISTRE ELEVES'!$F$10:$F$250,$A15,'REGISTRE ELEVES'!$E$10:$E$250,"M",'REGISTRE ELEVES'!$AD$10:$AD$250,"OUI")</f>
        <v>3</v>
      </c>
      <c r="U15" s="24" t="n">
        <f aca="false">COUNTIFS('REGISTRE ELEVES'!$F$10:$F$250,$A15,'REGISTRE ELEVES'!$E$10:$E$250,"F",'REGISTRE ELEVES'!$AD$10:$AD$250,"OUI")</f>
        <v>1</v>
      </c>
      <c r="V15" s="23" t="n">
        <f aca="false">T15+U15</f>
        <v>4</v>
      </c>
      <c r="W15" s="24" t="n">
        <f aca="false">COUNTIFS('REGISTRE ELEVES'!$F$10:$F$250,$A15,'REGISTRE ELEVES'!$E$10:$E$250,"M",'REGISTRE ELEVES'!$AE$10:$AE$250,"ABANDON")</f>
        <v>0</v>
      </c>
      <c r="X15" s="24" t="n">
        <f aca="false">COUNTIFS('REGISTRE ELEVES'!$F$10:$F$250,$A15,'REGISTRE ELEVES'!$E$10:$E$250,"F",'REGISTRE ELEVES'!$AE$10:$AE$250,"ABANDON")</f>
        <v>0</v>
      </c>
      <c r="Y15" s="23" t="n">
        <f aca="false">W15+X15</f>
        <v>0</v>
      </c>
    </row>
    <row r="16" customFormat="false" ht="15" hidden="false" customHeight="false" outlineLevel="0" collapsed="false">
      <c r="A16" s="23" t="s">
        <v>23</v>
      </c>
      <c r="B16" s="24" t="n">
        <f aca="false">COUNTIFS('REGISTRE ELEVES'!$F$10:$F$250,$A16,'REGISTRE ELEVES'!$E$10:$E$250,"M")</f>
        <v>3</v>
      </c>
      <c r="C16" s="24" t="n">
        <f aca="false">COUNTIFS('REGISTRE ELEVES'!$F$10:$F$250,$A16,'REGISTRE ELEVES'!$E$10:$E$250,"F")</f>
        <v>6</v>
      </c>
      <c r="D16" s="23" t="n">
        <f aca="false">B16+C16</f>
        <v>9</v>
      </c>
      <c r="E16" s="24" t="n">
        <f aca="false">COUNTIFS('REGISTRE ELEVES'!$F$10:$F$250,$A16,'REGISTRE ELEVES'!$E$10:$E$250,"M",'REGISTRE ELEVES'!$I$10:$I$250,"IVOIRIENNE")</f>
        <v>3</v>
      </c>
      <c r="F16" s="24" t="n">
        <f aca="false">COUNTIFS('REGISTRE ELEVES'!$F$10:$F$250,$A16,'REGISTRE ELEVES'!$E$10:$E$250,"F",'REGISTRE ELEVES'!$I$10:$I$250,"IVOIRIENNE")</f>
        <v>5</v>
      </c>
      <c r="G16" s="23" t="n">
        <f aca="false">E16+F16</f>
        <v>8</v>
      </c>
      <c r="H16" s="24" t="n">
        <f aca="false">COUNTIFS('REGISTRE ELEVES'!$F$10:$F$250,$A16,'REGISTRE ELEVES'!$E$10:$E$250,"M",'REGISTRE ELEVES'!$I$10:$I$250,"&lt;&gt;IVOIRIENNE",'REGISTRE ELEVES'!$I$10:$I$250,"&lt;&gt;")</f>
        <v>0</v>
      </c>
      <c r="I16" s="24" t="n">
        <f aca="false">COUNTIFS('REGISTRE ELEVES'!$F$10:$F$250,$A16,'REGISTRE ELEVES'!$E$10:$E$250,"F",'REGISTRE ELEVES'!$I$10:$I$250,"&lt;&gt;IVOIRIENNE",'REGISTRE ELEVES'!$I$10:$I$250,"&lt;&gt;")</f>
        <v>1</v>
      </c>
      <c r="J16" s="23" t="n">
        <f aca="false">H16+I16</f>
        <v>1</v>
      </c>
      <c r="K16" s="24" t="n">
        <f aca="false">COUNTIFS('REGISTRE ELEVES'!$F$10:$F$250,$A16,'REGISTRE ELEVES'!$E$10:$E$250,"M",'REGISTRE ELEVES'!$P$10:$P$250,"OUI")</f>
        <v>0</v>
      </c>
      <c r="L16" s="24" t="n">
        <f aca="false">COUNTIFS('REGISTRE ELEVES'!$F$10:$F$250,$A16,'REGISTRE ELEVES'!$E$10:$E$250,"F",'REGISTRE ELEVES'!$P$10:$P$250,"OUI")</f>
        <v>2</v>
      </c>
      <c r="M16" s="23" t="n">
        <f aca="false">K16+L16</f>
        <v>2</v>
      </c>
      <c r="N16" s="24" t="n">
        <f aca="false">COUNTIFS('REGISTRE ELEVES'!$F$10:$F$250,$A16,'REGISTRE ELEVES'!$E$10:$E$250,"M",'REGISTRE ELEVES'!$L$10:$L$250,"OUI")</f>
        <v>3</v>
      </c>
      <c r="O16" s="24" t="n">
        <f aca="false">COUNTIFS('REGISTRE ELEVES'!$F$10:$F$250,$A16,'REGISTRE ELEVES'!$E$10:$E$250,"F",'REGISTRE ELEVES'!$L$10:$L$250,"OUI")</f>
        <v>4</v>
      </c>
      <c r="P16" s="23" t="n">
        <f aca="false">N16+O16</f>
        <v>7</v>
      </c>
      <c r="Q16" s="24" t="n">
        <f aca="false">COUNTIFS('REGISTRE ELEVES'!$F$10:$F$250,$A16,'REGISTRE ELEVES'!$E$10:$E$250,"M",'REGISTRE ELEVES'!$L$10:$L$250,"NON")</f>
        <v>0</v>
      </c>
      <c r="R16" s="24" t="n">
        <f aca="false">COUNTIFS('REGISTRE ELEVES'!$F$10:$F$250,$A16,'REGISTRE ELEVES'!$E$10:$E$250,"F",'REGISTRE ELEVES'!$L$10:$L$250,"NON")</f>
        <v>2</v>
      </c>
      <c r="S16" s="23" t="n">
        <f aca="false">Q16+R16</f>
        <v>2</v>
      </c>
      <c r="T16" s="24" t="n">
        <f aca="false">COUNTIFS('REGISTRE ELEVES'!$F$10:$F$250,$A16,'REGISTRE ELEVES'!$E$10:$E$250,"M",'REGISTRE ELEVES'!$AD$10:$AD$250,"OUI")</f>
        <v>0</v>
      </c>
      <c r="U16" s="24" t="n">
        <f aca="false">COUNTIFS('REGISTRE ELEVES'!$F$10:$F$250,$A16,'REGISTRE ELEVES'!$E$10:$E$250,"F",'REGISTRE ELEVES'!$AD$10:$AD$250,"OUI")</f>
        <v>1</v>
      </c>
      <c r="V16" s="23" t="n">
        <f aca="false">T16+U16</f>
        <v>1</v>
      </c>
      <c r="W16" s="24" t="n">
        <f aca="false">COUNTIFS('REGISTRE ELEVES'!$F$10:$F$250,$A16,'REGISTRE ELEVES'!$E$10:$E$250,"M",'REGISTRE ELEVES'!$AE$10:$AE$250,"ABANDON")</f>
        <v>1</v>
      </c>
      <c r="X16" s="24" t="n">
        <f aca="false">COUNTIFS('REGISTRE ELEVES'!$F$10:$F$250,$A16,'REGISTRE ELEVES'!$E$10:$E$250,"F",'REGISTRE ELEVES'!$AE$10:$AE$250,"ABANDON")</f>
        <v>1</v>
      </c>
      <c r="Y16" s="23" t="n">
        <f aca="false">W16+X16</f>
        <v>2</v>
      </c>
    </row>
    <row r="17" customFormat="false" ht="15" hidden="false" customHeight="false" outlineLevel="0" collapsed="false">
      <c r="A17" s="26" t="s">
        <v>24</v>
      </c>
      <c r="B17" s="26" t="n">
        <f aca="false">SUM(B11:B16)</f>
        <v>35</v>
      </c>
      <c r="C17" s="26" t="n">
        <f aca="false">SUM(C11:C16)</f>
        <v>29</v>
      </c>
      <c r="D17" s="26" t="n">
        <f aca="false">SUM(D11:D16)</f>
        <v>64</v>
      </c>
      <c r="E17" s="26" t="n">
        <f aca="false">SUM(E11:E16)</f>
        <v>31</v>
      </c>
      <c r="F17" s="26" t="n">
        <f aca="false">SUM(F11:F16)</f>
        <v>24</v>
      </c>
      <c r="G17" s="26" t="n">
        <f aca="false">SUM(G11:G16)</f>
        <v>55</v>
      </c>
      <c r="H17" s="26" t="n">
        <f aca="false">SUM(H11:H16)</f>
        <v>4</v>
      </c>
      <c r="I17" s="26" t="n">
        <f aca="false">SUM(I11:I16)</f>
        <v>5</v>
      </c>
      <c r="J17" s="26" t="n">
        <f aca="false">SUM(J11:J16)</f>
        <v>9</v>
      </c>
      <c r="K17" s="26" t="n">
        <f aca="false">SUM(K11:K16)</f>
        <v>5</v>
      </c>
      <c r="L17" s="26" t="n">
        <f aca="false">SUM(L11:L16)</f>
        <v>6</v>
      </c>
      <c r="M17" s="26" t="n">
        <f aca="false">SUM(M11:M16)</f>
        <v>11</v>
      </c>
      <c r="N17" s="26" t="n">
        <f aca="false">SUM(N11:N16)</f>
        <v>26</v>
      </c>
      <c r="O17" s="26" t="n">
        <f aca="false">SUM(O11:O16)</f>
        <v>24</v>
      </c>
      <c r="P17" s="26" t="n">
        <f aca="false">SUM(P11:P16)</f>
        <v>50</v>
      </c>
      <c r="Q17" s="26" t="n">
        <f aca="false">SUM(Q11:Q16)</f>
        <v>9</v>
      </c>
      <c r="R17" s="26" t="n">
        <f aca="false">SUM(R11:R16)</f>
        <v>5</v>
      </c>
      <c r="S17" s="26" t="n">
        <f aca="false">SUM(S11:S16)</f>
        <v>14</v>
      </c>
      <c r="T17" s="26" t="n">
        <f aca="false">SUM(T11:T16)</f>
        <v>11</v>
      </c>
      <c r="U17" s="26" t="n">
        <f aca="false">SUM(U11:U16)</f>
        <v>6</v>
      </c>
      <c r="V17" s="26" t="n">
        <f aca="false">SUM(V11:V16)</f>
        <v>17</v>
      </c>
      <c r="W17" s="26" t="n">
        <f aca="false">SUM(W11:W16)</f>
        <v>2</v>
      </c>
      <c r="X17" s="26" t="n">
        <f aca="false">SUM(X11:X16)</f>
        <v>3</v>
      </c>
      <c r="Y17" s="26" t="n">
        <f aca="false">SUM(Y11:Y16)</f>
        <v>5</v>
      </c>
    </row>
    <row r="19" customFormat="false" ht="15" hidden="false" customHeight="false" outlineLevel="0" collapsed="false">
      <c r="A19" s="94" t="s">
        <v>641</v>
      </c>
      <c r="B19" s="95" t="str">
        <f aca="false">IF(D17=COUNTA('REGISTRE ELEVES'!$D$10:$D$250),"OK – le total correspond au nombre d'élèves du registre ("&amp;D17&amp;")","ECART : vérifier les classes non renseignées dans le registre")</f>
        <v>OK – le total correspond au nombre d'élèves du registre (64)</v>
      </c>
      <c r="C19" s="95"/>
      <c r="D19" s="95"/>
      <c r="E19" s="95"/>
      <c r="F19" s="95"/>
      <c r="G19" s="95"/>
      <c r="H19" s="95"/>
      <c r="I19" s="95"/>
      <c r="J19" s="95"/>
      <c r="K19" s="95"/>
      <c r="L19" s="95"/>
      <c r="M19" s="95"/>
      <c r="N19" s="95"/>
      <c r="O19" s="95"/>
      <c r="P19" s="95"/>
      <c r="Q19" s="95"/>
      <c r="R19" s="95"/>
      <c r="S19" s="95"/>
      <c r="T19" s="95"/>
      <c r="U19" s="95"/>
      <c r="V19" s="95"/>
      <c r="W19" s="95"/>
      <c r="X19" s="95"/>
      <c r="Y19" s="95"/>
    </row>
    <row r="22" customFormat="false" ht="15" hidden="false" customHeight="true" outlineLevel="0" collapsed="false">
      <c r="B22" s="90" t="str">
        <f aca="false">"Fait à "&amp;PARAMETRES!$C$10&amp;", le "&amp;TEXT(DAY(PARAMETRES!$C$12),"00")&amp;"/"&amp;TEXT(MONTH(PARAMETRES!$C$12),"00")&amp;"/"&amp;YEAR(PARAMETRES!$C$12)</f>
        <v>Fait à LIGUIYO, le 30/06/2027</v>
      </c>
      <c r="C22" s="90"/>
      <c r="D22" s="90"/>
      <c r="E22" s="90"/>
      <c r="F22" s="90"/>
      <c r="G22" s="90"/>
      <c r="H22" s="90"/>
      <c r="I22" s="90"/>
      <c r="J22" s="90"/>
      <c r="K22" s="90"/>
      <c r="L22" s="90"/>
      <c r="M22" s="90"/>
      <c r="N22" s="90"/>
      <c r="O22" s="90"/>
      <c r="P22" s="90"/>
      <c r="Q22" s="90"/>
      <c r="R22" s="90"/>
      <c r="S22" s="90"/>
      <c r="T22" s="91" t="s">
        <v>635</v>
      </c>
      <c r="U22" s="91"/>
      <c r="V22" s="91"/>
      <c r="W22" s="91"/>
      <c r="X22" s="91"/>
      <c r="Y22" s="91"/>
    </row>
    <row r="26" customFormat="false" ht="15" hidden="false" customHeight="false" outlineLevel="0" collapsed="false">
      <c r="T26" s="92" t="str">
        <f aca="false">PARAMETRES!$C$11</f>
        <v>M. KOUAME Kouadio Ernest</v>
      </c>
      <c r="U26" s="92"/>
      <c r="V26" s="92"/>
      <c r="W26" s="92"/>
      <c r="X26" s="92"/>
      <c r="Y26" s="92"/>
    </row>
  </sheetData>
  <mergeCells count="22">
    <mergeCell ref="A1:L1"/>
    <mergeCell ref="M1:Y1"/>
    <mergeCell ref="A2:L2"/>
    <mergeCell ref="M2:Y2"/>
    <mergeCell ref="A3:L3"/>
    <mergeCell ref="M3:Y3"/>
    <mergeCell ref="A4:L4"/>
    <mergeCell ref="A6:Y6"/>
    <mergeCell ref="A7:Y7"/>
    <mergeCell ref="A9:A10"/>
    <mergeCell ref="B9:D9"/>
    <mergeCell ref="E9:G9"/>
    <mergeCell ref="H9:J9"/>
    <mergeCell ref="K9:M9"/>
    <mergeCell ref="N9:P9"/>
    <mergeCell ref="Q9:S9"/>
    <mergeCell ref="T9:V9"/>
    <mergeCell ref="W9:Y9"/>
    <mergeCell ref="B19:Y19"/>
    <mergeCell ref="B22:S22"/>
    <mergeCell ref="T22:Y22"/>
    <mergeCell ref="T26:Y26"/>
  </mergeCells>
  <conditionalFormatting sqref="B19">
    <cfRule type="expression" priority="2" aboveAverage="0" equalAverage="0" bottom="0" percent="0" rank="0" text="" dxfId="27">
      <formula>LEFT(B19,5)="ECART"</formula>
    </cfRule>
  </conditionalFormatting>
  <printOptions headings="false" gridLines="false" gridLinesSet="true" horizontalCentered="true" verticalCentered="false"/>
  <pageMargins left="0.309722222222222" right="0.309722222222222" top="0.470138888888889" bottom="0.470138888888889"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drawing r:id="rIdBtn"/>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Feuil12" filterMode="false">
    <tabColor rgb="FF1E8449"/>
    <pageSetUpPr fitToPage="true"/>
  </sheetPr>
  <dimension ref="A1:W3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1" min="1" style="0" width="9"/>
    <col collapsed="false" customWidth="true" hidden="false" outlineLevel="0" max="10" min="2" style="0" width="7.5"/>
    <col collapsed="false" customWidth="true" hidden="false" outlineLevel="0" max="11" min="11" style="0" width="11"/>
    <col collapsed="false" customWidth="true" hidden="false" outlineLevel="0" max="23" min="12" style="0" width="7.5"/>
  </cols>
  <sheetData>
    <row r="1" customFormat="false" ht="15" hidden="false" customHeight="true" outlineLevel="0" collapsed="false">
      <c r="A1" s="47" t="str">
        <f aca="false">PARAMETRES!$C$4</f>
        <v>MINISTERE DE L'EDUCATION NATIONALE ET DE L'ALPHABETISATION</v>
      </c>
      <c r="B1" s="47"/>
      <c r="C1" s="47"/>
      <c r="D1" s="47"/>
      <c r="E1" s="47"/>
      <c r="F1" s="47"/>
      <c r="G1" s="47"/>
      <c r="H1" s="47"/>
      <c r="I1" s="47"/>
      <c r="J1" s="47"/>
      <c r="K1" s="47"/>
      <c r="L1" s="47" t="s">
        <v>115</v>
      </c>
      <c r="M1" s="47"/>
      <c r="N1" s="47"/>
      <c r="O1" s="47"/>
      <c r="P1" s="47"/>
      <c r="Q1" s="47"/>
      <c r="R1" s="47"/>
      <c r="S1" s="47"/>
      <c r="T1" s="47"/>
      <c r="U1" s="47"/>
      <c r="V1" s="47"/>
      <c r="W1" s="47"/>
    </row>
    <row r="2" customFormat="false" ht="15" hidden="false" customHeight="true" outlineLevel="0" collapsed="false">
      <c r="A2" s="48" t="str">
        <f aca="false">PARAMETRES!$C$5</f>
        <v>DIRECTION REGIONALE DE L'EDUCATION NATIONALE DE GAGNOA</v>
      </c>
      <c r="B2" s="48"/>
      <c r="C2" s="48"/>
      <c r="D2" s="48"/>
      <c r="E2" s="48"/>
      <c r="F2" s="48"/>
      <c r="G2" s="48"/>
      <c r="H2" s="48"/>
      <c r="I2" s="48"/>
      <c r="J2" s="48"/>
      <c r="K2" s="48"/>
      <c r="L2" s="48" t="s">
        <v>116</v>
      </c>
      <c r="M2" s="48"/>
      <c r="N2" s="48"/>
      <c r="O2" s="48"/>
      <c r="P2" s="48"/>
      <c r="Q2" s="48"/>
      <c r="R2" s="48"/>
      <c r="S2" s="48"/>
      <c r="T2" s="48"/>
      <c r="U2" s="48"/>
      <c r="V2" s="48"/>
      <c r="W2" s="48"/>
    </row>
    <row r="3" customFormat="false" ht="15" hidden="false" customHeight="false" outlineLevel="0" collapsed="false">
      <c r="A3" s="47" t="str">
        <f aca="false">PARAMETRES!$C$6</f>
        <v>IEPP GAGNOA 2</v>
      </c>
      <c r="B3" s="47"/>
      <c r="C3" s="47"/>
      <c r="D3" s="47"/>
      <c r="E3" s="47"/>
      <c r="F3" s="47"/>
      <c r="G3" s="47"/>
      <c r="H3" s="47"/>
      <c r="I3" s="47"/>
      <c r="J3" s="47"/>
      <c r="K3" s="47"/>
      <c r="L3" s="47" t="str">
        <f aca="false">"ANNEE SCOLAIRE : "&amp;PARAMETRES!$C$9</f>
        <v>ANNEE SCOLAIRE : 2026-2027</v>
      </c>
      <c r="M3" s="47"/>
      <c r="N3" s="47"/>
      <c r="O3" s="47"/>
      <c r="P3" s="47"/>
      <c r="Q3" s="47"/>
      <c r="R3" s="47"/>
      <c r="S3" s="47"/>
      <c r="T3" s="47"/>
      <c r="U3" s="47"/>
      <c r="V3" s="47"/>
      <c r="W3" s="47"/>
    </row>
    <row r="4" customFormat="false" ht="15" hidden="false" customHeight="false" outlineLevel="0" collapsed="false">
      <c r="A4" s="48" t="str">
        <f aca="false">PARAMETRES!$C$7&amp;"  -  Code : "&amp;PARAMETRES!$C$8</f>
        <v>EPP LIGUIYO  -  Code : EPP-GAG-0123</v>
      </c>
      <c r="B4" s="48"/>
      <c r="C4" s="48"/>
      <c r="D4" s="48"/>
      <c r="E4" s="48"/>
      <c r="F4" s="48"/>
      <c r="G4" s="48"/>
      <c r="H4" s="48"/>
      <c r="I4" s="48"/>
      <c r="J4" s="48"/>
      <c r="K4" s="48"/>
      <c r="L4" s="49"/>
    </row>
    <row r="6" customFormat="false" ht="27.75" hidden="false" customHeight="true" outlineLevel="0" collapsed="false">
      <c r="A6" s="30" t="s">
        <v>642</v>
      </c>
      <c r="B6" s="30"/>
      <c r="C6" s="30"/>
      <c r="D6" s="30"/>
      <c r="E6" s="30"/>
      <c r="F6" s="30"/>
      <c r="G6" s="30"/>
      <c r="H6" s="30"/>
      <c r="I6" s="30"/>
      <c r="J6" s="30"/>
      <c r="K6" s="30"/>
      <c r="L6" s="30"/>
      <c r="M6" s="30"/>
      <c r="N6" s="30"/>
      <c r="O6" s="30"/>
      <c r="P6" s="30"/>
      <c r="Q6" s="30"/>
      <c r="R6" s="30"/>
      <c r="S6" s="30"/>
      <c r="T6" s="30"/>
      <c r="U6" s="30"/>
      <c r="V6" s="30"/>
      <c r="W6" s="30"/>
    </row>
    <row r="7" customFormat="false" ht="15" hidden="false" customHeight="false" outlineLevel="0" collapsed="false">
      <c r="A7" s="2" t="str">
        <f aca="false">"Etablissement : "&amp;PARAMETRES!$C$7&amp;"   •   IEPP : "&amp;PARAMETRES!$C$6</f>
        <v>Etablissement : EPP LIGUIYO   •   IEPP : IEPP GAGNOA 2</v>
      </c>
      <c r="B7" s="2"/>
      <c r="C7" s="2"/>
      <c r="D7" s="2"/>
      <c r="E7" s="2"/>
      <c r="F7" s="2"/>
      <c r="G7" s="2"/>
      <c r="H7" s="2"/>
      <c r="I7" s="2"/>
      <c r="J7" s="2"/>
      <c r="K7" s="2"/>
      <c r="L7" s="2"/>
      <c r="M7" s="2"/>
      <c r="N7" s="2"/>
      <c r="O7" s="2"/>
      <c r="P7" s="2"/>
      <c r="Q7" s="2"/>
      <c r="R7" s="2"/>
      <c r="S7" s="2"/>
      <c r="T7" s="2"/>
      <c r="U7" s="2"/>
      <c r="V7" s="2"/>
      <c r="W7" s="2"/>
    </row>
    <row r="9" customFormat="false" ht="42" hidden="false" customHeight="true" outlineLevel="0" collapsed="false">
      <c r="A9" s="93" t="s">
        <v>643</v>
      </c>
      <c r="B9" s="93" t="s">
        <v>623</v>
      </c>
      <c r="C9" s="93"/>
      <c r="D9" s="93"/>
      <c r="E9" s="93" t="s">
        <v>644</v>
      </c>
      <c r="F9" s="93"/>
      <c r="G9" s="93"/>
      <c r="H9" s="93" t="s">
        <v>625</v>
      </c>
      <c r="I9" s="93"/>
      <c r="J9" s="93"/>
      <c r="K9" s="93" t="s">
        <v>645</v>
      </c>
      <c r="L9" s="93" t="s">
        <v>646</v>
      </c>
      <c r="M9" s="93"/>
      <c r="N9" s="93"/>
      <c r="O9" s="93" t="s">
        <v>647</v>
      </c>
      <c r="P9" s="93"/>
      <c r="Q9" s="93"/>
      <c r="R9" s="93" t="s">
        <v>638</v>
      </c>
      <c r="S9" s="93"/>
      <c r="T9" s="93"/>
      <c r="U9" s="93" t="s">
        <v>648</v>
      </c>
      <c r="V9" s="93"/>
      <c r="W9" s="93"/>
    </row>
    <row r="10" customFormat="false" ht="15" hidden="false" customHeight="false" outlineLevel="0" collapsed="false">
      <c r="A10" s="93"/>
      <c r="B10" s="42" t="s">
        <v>639</v>
      </c>
      <c r="C10" s="42" t="s">
        <v>44</v>
      </c>
      <c r="D10" s="42" t="s">
        <v>640</v>
      </c>
      <c r="E10" s="42" t="s">
        <v>639</v>
      </c>
      <c r="F10" s="42" t="s">
        <v>44</v>
      </c>
      <c r="G10" s="42" t="s">
        <v>640</v>
      </c>
      <c r="H10" s="42" t="s">
        <v>639</v>
      </c>
      <c r="I10" s="42" t="s">
        <v>44</v>
      </c>
      <c r="J10" s="42" t="s">
        <v>640</v>
      </c>
      <c r="K10" s="93"/>
      <c r="L10" s="42" t="s">
        <v>639</v>
      </c>
      <c r="M10" s="42" t="s">
        <v>44</v>
      </c>
      <c r="N10" s="42" t="s">
        <v>640</v>
      </c>
      <c r="O10" s="42" t="s">
        <v>639</v>
      </c>
      <c r="P10" s="42" t="s">
        <v>44</v>
      </c>
      <c r="Q10" s="42" t="s">
        <v>640</v>
      </c>
      <c r="R10" s="42" t="s">
        <v>639</v>
      </c>
      <c r="S10" s="42" t="s">
        <v>44</v>
      </c>
      <c r="T10" s="42" t="s">
        <v>640</v>
      </c>
      <c r="U10" s="42" t="s">
        <v>639</v>
      </c>
      <c r="V10" s="42" t="s">
        <v>44</v>
      </c>
      <c r="W10" s="42" t="s">
        <v>640</v>
      </c>
    </row>
    <row r="11" customFormat="false" ht="15" hidden="false" customHeight="false" outlineLevel="0" collapsed="false">
      <c r="A11" s="23" t="s">
        <v>18</v>
      </c>
      <c r="B11" s="24" t="n">
        <f aca="false">COUNTIFS('REGISTRE ELEVES'!$F$10:$F$250,$A11,'REGISTRE ELEVES'!$E$10:$E$250,"M")</f>
        <v>5</v>
      </c>
      <c r="C11" s="24" t="n">
        <f aca="false">COUNTIFS('REGISTRE ELEVES'!$F$10:$F$250,$A11,'REGISTRE ELEVES'!$E$10:$E$250,"F")</f>
        <v>6</v>
      </c>
      <c r="D11" s="23" t="n">
        <f aca="false">B11+C11</f>
        <v>11</v>
      </c>
      <c r="E11" s="24" t="n">
        <f aca="false">COUNTIFS('REGISTRE ELEVES'!$F$10:$F$250,$A11,'REGISTRE ELEVES'!$E$10:$E$250,"M",'REGISTRE ELEVES'!$AE$10:$AE$250,"PRESENT")</f>
        <v>5</v>
      </c>
      <c r="F11" s="24" t="n">
        <f aca="false">COUNTIFS('REGISTRE ELEVES'!$F$10:$F$250,$A11,'REGISTRE ELEVES'!$E$10:$E$250,"F",'REGISTRE ELEVES'!$AE$10:$AE$250,"PRESENT")</f>
        <v>6</v>
      </c>
      <c r="G11" s="23" t="n">
        <f aca="false">E11+F11</f>
        <v>11</v>
      </c>
      <c r="H11" s="24" t="n">
        <f aca="false">B11-E11</f>
        <v>0</v>
      </c>
      <c r="I11" s="24" t="n">
        <f aca="false">C11-F11</f>
        <v>0</v>
      </c>
      <c r="J11" s="23" t="n">
        <f aca="false">H11+I11</f>
        <v>0</v>
      </c>
      <c r="K11" s="24" t="str">
        <f aca="false">INDEX(PARAMETRES!$C$18:$C$23,MATCH($A11,PARAMETRES!$B$18:$B$23,0))&amp;"/"&amp;INDEX(PARAMETRES!$D$18:$D$23,MATCH($A11,PARAMETRES!$B$18:$B$23,0))</f>
        <v>5/10</v>
      </c>
      <c r="L11" s="24" t="n">
        <f aca="false">IF($A11="CM2",COUNTIFS('RESULTATS CM2'!$M$10:$M$250,"ADMIS",'RESULTATS CM2'!$D$10:$D$250,"M"),COUNTIFS(RESULTATS!$E$10:$E$250,$A11,RESULTATS!$O$10:$O$250,"ADMIS",RESULTATS!$D$10:$D$250,"M"))</f>
        <v>2</v>
      </c>
      <c r="M11" s="24" t="n">
        <f aca="false">IF($A11="CM2",COUNTIFS('RESULTATS CM2'!$M$10:$M$250,"ADMIS",'RESULTATS CM2'!$D$10:$D$250,"F"),COUNTIFS(RESULTATS!$E$10:$E$250,$A11,RESULTATS!$O$10:$O$250,"ADMIS",RESULTATS!$D$10:$D$250,"F"))</f>
        <v>4</v>
      </c>
      <c r="N11" s="23" t="n">
        <f aca="false">L11+M11</f>
        <v>6</v>
      </c>
      <c r="O11" s="25" t="n">
        <f aca="false">IF(E11=0,0,L11/E11)</f>
        <v>0.4</v>
      </c>
      <c r="P11" s="25" t="n">
        <f aca="false">IF(F11=0,0,M11/F11)</f>
        <v>0.666666666666667</v>
      </c>
      <c r="Q11" s="96" t="n">
        <f aca="false">IF(G11=0,0,N11/G11)</f>
        <v>0.545454545454545</v>
      </c>
      <c r="R11" s="24" t="n">
        <f aca="false">IF($A11="CM2",COUNTIFS('RESULTATS CM2'!$M$10:$M$250,"REDOUBLE",'RESULTATS CM2'!$D$10:$D$250,"M"),COUNTIFS(RESULTATS!$E$10:$E$250,$A11,RESULTATS!$O$10:$O$250,"REDOUBLE",RESULTATS!$D$10:$D$250,"M"))</f>
        <v>3</v>
      </c>
      <c r="S11" s="24" t="n">
        <f aca="false">IF($A11="CM2",COUNTIFS('RESULTATS CM2'!$M$10:$M$250,"REDOUBLE",'RESULTATS CM2'!$D$10:$D$250,"F"),COUNTIFS(RESULTATS!$E$10:$E$250,$A11,RESULTATS!$O$10:$O$250,"REDOUBLE",RESULTATS!$D$10:$D$250,"F"))</f>
        <v>2</v>
      </c>
      <c r="T11" s="23" t="n">
        <f aca="false">R11+S11</f>
        <v>5</v>
      </c>
      <c r="U11" s="24" t="n">
        <f aca="false">R11+ROUND(PARAMETRES!$C$14/2,0)</f>
        <v>15</v>
      </c>
      <c r="V11" s="24" t="n">
        <f aca="false">S11+ROUND(PARAMETRES!$C$14/2,0)</f>
        <v>14</v>
      </c>
      <c r="W11" s="23" t="n">
        <f aca="false">U11+V11</f>
        <v>29</v>
      </c>
    </row>
    <row r="12" customFormat="false" ht="15" hidden="false" customHeight="false" outlineLevel="0" collapsed="false">
      <c r="A12" s="23" t="s">
        <v>19</v>
      </c>
      <c r="B12" s="24" t="n">
        <f aca="false">COUNTIFS('REGISTRE ELEVES'!$F$10:$F$250,$A12,'REGISTRE ELEVES'!$E$10:$E$250,"M")</f>
        <v>7</v>
      </c>
      <c r="C12" s="24" t="n">
        <f aca="false">COUNTIFS('REGISTRE ELEVES'!$F$10:$F$250,$A12,'REGISTRE ELEVES'!$E$10:$E$250,"F")</f>
        <v>5</v>
      </c>
      <c r="D12" s="23" t="n">
        <f aca="false">B12+C12</f>
        <v>12</v>
      </c>
      <c r="E12" s="24" t="n">
        <f aca="false">COUNTIFS('REGISTRE ELEVES'!$F$10:$F$250,$A12,'REGISTRE ELEVES'!$E$10:$E$250,"M",'REGISTRE ELEVES'!$AE$10:$AE$250,"PRESENT")</f>
        <v>7</v>
      </c>
      <c r="F12" s="24" t="n">
        <f aca="false">COUNTIFS('REGISTRE ELEVES'!$F$10:$F$250,$A12,'REGISTRE ELEVES'!$E$10:$E$250,"F",'REGISTRE ELEVES'!$AE$10:$AE$250,"PRESENT")</f>
        <v>4</v>
      </c>
      <c r="G12" s="23" t="n">
        <f aca="false">E12+F12</f>
        <v>11</v>
      </c>
      <c r="H12" s="24" t="n">
        <f aca="false">B12-E12</f>
        <v>0</v>
      </c>
      <c r="I12" s="24" t="n">
        <f aca="false">C12-F12</f>
        <v>1</v>
      </c>
      <c r="J12" s="23" t="n">
        <f aca="false">H12+I12</f>
        <v>1</v>
      </c>
      <c r="K12" s="24" t="str">
        <f aca="false">INDEX(PARAMETRES!$C$18:$C$23,MATCH($A12,PARAMETRES!$B$18:$B$23,0))&amp;"/"&amp;INDEX(PARAMETRES!$D$18:$D$23,MATCH($A12,PARAMETRES!$B$18:$B$23,0))</f>
        <v>5/10</v>
      </c>
      <c r="L12" s="24" t="n">
        <f aca="false">IF($A12="CM2",COUNTIFS('RESULTATS CM2'!$M$10:$M$250,"ADMIS",'RESULTATS CM2'!$D$10:$D$250,"M"),COUNTIFS(RESULTATS!$E$10:$E$250,$A12,RESULTATS!$O$10:$O$250,"ADMIS",RESULTATS!$D$10:$D$250,"M"))</f>
        <v>5</v>
      </c>
      <c r="M12" s="24" t="n">
        <f aca="false">IF($A12="CM2",COUNTIFS('RESULTATS CM2'!$M$10:$M$250,"ADMIS",'RESULTATS CM2'!$D$10:$D$250,"F"),COUNTIFS(RESULTATS!$E$10:$E$250,$A12,RESULTATS!$O$10:$O$250,"ADMIS",RESULTATS!$D$10:$D$250,"F"))</f>
        <v>2</v>
      </c>
      <c r="N12" s="23" t="n">
        <f aca="false">L12+M12</f>
        <v>7</v>
      </c>
      <c r="O12" s="25" t="n">
        <f aca="false">IF(E12=0,0,L12/E12)</f>
        <v>0.714285714285714</v>
      </c>
      <c r="P12" s="25" t="n">
        <f aca="false">IF(F12=0,0,M12/F12)</f>
        <v>0.5</v>
      </c>
      <c r="Q12" s="96" t="n">
        <f aca="false">IF(G12=0,0,N12/G12)</f>
        <v>0.636363636363636</v>
      </c>
      <c r="R12" s="24" t="n">
        <f aca="false">IF($A12="CM2",COUNTIFS('RESULTATS CM2'!$M$10:$M$250,"REDOUBLE",'RESULTATS CM2'!$D$10:$D$250,"M"),COUNTIFS(RESULTATS!$E$10:$E$250,$A12,RESULTATS!$O$10:$O$250,"REDOUBLE",RESULTATS!$D$10:$D$250,"M"))</f>
        <v>2</v>
      </c>
      <c r="S12" s="24" t="n">
        <f aca="false">IF($A12="CM2",COUNTIFS('RESULTATS CM2'!$M$10:$M$250,"REDOUBLE",'RESULTATS CM2'!$D$10:$D$250,"F"),COUNTIFS(RESULTATS!$E$10:$E$250,$A12,RESULTATS!$O$10:$O$250,"REDOUBLE",RESULTATS!$D$10:$D$250,"F"))</f>
        <v>2</v>
      </c>
      <c r="T12" s="23" t="n">
        <f aca="false">R12+S12</f>
        <v>4</v>
      </c>
      <c r="U12" s="24" t="n">
        <f aca="false">R12+L11</f>
        <v>4</v>
      </c>
      <c r="V12" s="24" t="n">
        <f aca="false">S12+M11</f>
        <v>6</v>
      </c>
      <c r="W12" s="23" t="n">
        <f aca="false">U12+V12</f>
        <v>10</v>
      </c>
    </row>
    <row r="13" customFormat="false" ht="15" hidden="false" customHeight="false" outlineLevel="0" collapsed="false">
      <c r="A13" s="23" t="s">
        <v>20</v>
      </c>
      <c r="B13" s="24" t="n">
        <f aca="false">COUNTIFS('REGISTRE ELEVES'!$F$10:$F$250,$A13,'REGISTRE ELEVES'!$E$10:$E$250,"M")</f>
        <v>6</v>
      </c>
      <c r="C13" s="24" t="n">
        <f aca="false">COUNTIFS('REGISTRE ELEVES'!$F$10:$F$250,$A13,'REGISTRE ELEVES'!$E$10:$E$250,"F")</f>
        <v>3</v>
      </c>
      <c r="D13" s="23" t="n">
        <f aca="false">B13+C13</f>
        <v>9</v>
      </c>
      <c r="E13" s="24" t="n">
        <f aca="false">COUNTIFS('REGISTRE ELEVES'!$F$10:$F$250,$A13,'REGISTRE ELEVES'!$E$10:$E$250,"M",'REGISTRE ELEVES'!$AE$10:$AE$250,"PRESENT")</f>
        <v>6</v>
      </c>
      <c r="F13" s="24" t="n">
        <f aca="false">COUNTIFS('REGISTRE ELEVES'!$F$10:$F$250,$A13,'REGISTRE ELEVES'!$E$10:$E$250,"F",'REGISTRE ELEVES'!$AE$10:$AE$250,"PRESENT")</f>
        <v>2</v>
      </c>
      <c r="G13" s="23" t="n">
        <f aca="false">E13+F13</f>
        <v>8</v>
      </c>
      <c r="H13" s="24" t="n">
        <f aca="false">B13-E13</f>
        <v>0</v>
      </c>
      <c r="I13" s="24" t="n">
        <f aca="false">C13-F13</f>
        <v>1</v>
      </c>
      <c r="J13" s="23" t="n">
        <f aca="false">H13+I13</f>
        <v>1</v>
      </c>
      <c r="K13" s="24" t="str">
        <f aca="false">INDEX(PARAMETRES!$C$18:$C$23,MATCH($A13,PARAMETRES!$B$18:$B$23,0))&amp;"/"&amp;INDEX(PARAMETRES!$D$18:$D$23,MATCH($A13,PARAMETRES!$B$18:$B$23,0))</f>
        <v>5/10</v>
      </c>
      <c r="L13" s="24" t="n">
        <f aca="false">IF($A13="CM2",COUNTIFS('RESULTATS CM2'!$M$10:$M$250,"ADMIS",'RESULTATS CM2'!$D$10:$D$250,"M"),COUNTIFS(RESULTATS!$E$10:$E$250,$A13,RESULTATS!$O$10:$O$250,"ADMIS",RESULTATS!$D$10:$D$250,"M"))</f>
        <v>5</v>
      </c>
      <c r="M13" s="24" t="n">
        <f aca="false">IF($A13="CM2",COUNTIFS('RESULTATS CM2'!$M$10:$M$250,"ADMIS",'RESULTATS CM2'!$D$10:$D$250,"F"),COUNTIFS(RESULTATS!$E$10:$E$250,$A13,RESULTATS!$O$10:$O$250,"ADMIS",RESULTATS!$D$10:$D$250,"F"))</f>
        <v>1</v>
      </c>
      <c r="N13" s="23" t="n">
        <f aca="false">L13+M13</f>
        <v>6</v>
      </c>
      <c r="O13" s="25" t="n">
        <f aca="false">IF(E13=0,0,L13/E13)</f>
        <v>0.833333333333333</v>
      </c>
      <c r="P13" s="25" t="n">
        <f aca="false">IF(F13=0,0,M13/F13)</f>
        <v>0.5</v>
      </c>
      <c r="Q13" s="96" t="n">
        <f aca="false">IF(G13=0,0,N13/G13)</f>
        <v>0.75</v>
      </c>
      <c r="R13" s="24" t="n">
        <f aca="false">IF($A13="CM2",COUNTIFS('RESULTATS CM2'!$M$10:$M$250,"REDOUBLE",'RESULTATS CM2'!$D$10:$D$250,"M"),COUNTIFS(RESULTATS!$E$10:$E$250,$A13,RESULTATS!$O$10:$O$250,"REDOUBLE",RESULTATS!$D$10:$D$250,"M"))</f>
        <v>1</v>
      </c>
      <c r="S13" s="24" t="n">
        <f aca="false">IF($A13="CM2",COUNTIFS('RESULTATS CM2'!$M$10:$M$250,"REDOUBLE",'RESULTATS CM2'!$D$10:$D$250,"F"),COUNTIFS(RESULTATS!$E$10:$E$250,$A13,RESULTATS!$O$10:$O$250,"REDOUBLE",RESULTATS!$D$10:$D$250,"F"))</f>
        <v>1</v>
      </c>
      <c r="T13" s="23" t="n">
        <f aca="false">R13+S13</f>
        <v>2</v>
      </c>
      <c r="U13" s="24" t="n">
        <f aca="false">R13+L12</f>
        <v>6</v>
      </c>
      <c r="V13" s="24" t="n">
        <f aca="false">S13+M12</f>
        <v>3</v>
      </c>
      <c r="W13" s="23" t="n">
        <f aca="false">U13+V13</f>
        <v>9</v>
      </c>
    </row>
    <row r="14" customFormat="false" ht="15" hidden="false" customHeight="false" outlineLevel="0" collapsed="false">
      <c r="A14" s="23" t="s">
        <v>21</v>
      </c>
      <c r="B14" s="24" t="n">
        <f aca="false">COUNTIFS('REGISTRE ELEVES'!$F$10:$F$250,$A14,'REGISTRE ELEVES'!$E$10:$E$250,"M")</f>
        <v>6</v>
      </c>
      <c r="C14" s="24" t="n">
        <f aca="false">COUNTIFS('REGISTRE ELEVES'!$F$10:$F$250,$A14,'REGISTRE ELEVES'!$E$10:$E$250,"F")</f>
        <v>6</v>
      </c>
      <c r="D14" s="23" t="n">
        <f aca="false">B14+C14</f>
        <v>12</v>
      </c>
      <c r="E14" s="24" t="n">
        <f aca="false">COUNTIFS('REGISTRE ELEVES'!$F$10:$F$250,$A14,'REGISTRE ELEVES'!$E$10:$E$250,"M",'REGISTRE ELEVES'!$AE$10:$AE$250,"PRESENT")</f>
        <v>5</v>
      </c>
      <c r="F14" s="24" t="n">
        <f aca="false">COUNTIFS('REGISTRE ELEVES'!$F$10:$F$250,$A14,'REGISTRE ELEVES'!$E$10:$E$250,"F",'REGISTRE ELEVES'!$AE$10:$AE$250,"PRESENT")</f>
        <v>6</v>
      </c>
      <c r="G14" s="23" t="n">
        <f aca="false">E14+F14</f>
        <v>11</v>
      </c>
      <c r="H14" s="24" t="n">
        <f aca="false">B14-E14</f>
        <v>1</v>
      </c>
      <c r="I14" s="24" t="n">
        <f aca="false">C14-F14</f>
        <v>0</v>
      </c>
      <c r="J14" s="23" t="n">
        <f aca="false">H14+I14</f>
        <v>1</v>
      </c>
      <c r="K14" s="24" t="str">
        <f aca="false">INDEX(PARAMETRES!$C$18:$C$23,MATCH($A14,PARAMETRES!$B$18:$B$23,0))&amp;"/"&amp;INDEX(PARAMETRES!$D$18:$D$23,MATCH($A14,PARAMETRES!$B$18:$B$23,0))</f>
        <v>5/10</v>
      </c>
      <c r="L14" s="24" t="n">
        <f aca="false">IF($A14="CM2",COUNTIFS('RESULTATS CM2'!$M$10:$M$250,"ADMIS",'RESULTATS CM2'!$D$10:$D$250,"M"),COUNTIFS(RESULTATS!$E$10:$E$250,$A14,RESULTATS!$O$10:$O$250,"ADMIS",RESULTATS!$D$10:$D$250,"M"))</f>
        <v>1</v>
      </c>
      <c r="M14" s="24" t="n">
        <f aca="false">IF($A14="CM2",COUNTIFS('RESULTATS CM2'!$M$10:$M$250,"ADMIS",'RESULTATS CM2'!$D$10:$D$250,"F"),COUNTIFS(RESULTATS!$E$10:$E$250,$A14,RESULTATS!$O$10:$O$250,"ADMIS",RESULTATS!$D$10:$D$250,"F"))</f>
        <v>3</v>
      </c>
      <c r="N14" s="23" t="n">
        <f aca="false">L14+M14</f>
        <v>4</v>
      </c>
      <c r="O14" s="25" t="n">
        <f aca="false">IF(E14=0,0,L14/E14)</f>
        <v>0.2</v>
      </c>
      <c r="P14" s="25" t="n">
        <f aca="false">IF(F14=0,0,M14/F14)</f>
        <v>0.5</v>
      </c>
      <c r="Q14" s="96" t="n">
        <f aca="false">IF(G14=0,0,N14/G14)</f>
        <v>0.363636363636364</v>
      </c>
      <c r="R14" s="24" t="n">
        <f aca="false">IF($A14="CM2",COUNTIFS('RESULTATS CM2'!$M$10:$M$250,"REDOUBLE",'RESULTATS CM2'!$D$10:$D$250,"M"),COUNTIFS(RESULTATS!$E$10:$E$250,$A14,RESULTATS!$O$10:$O$250,"REDOUBLE",RESULTATS!$D$10:$D$250,"M"))</f>
        <v>4</v>
      </c>
      <c r="S14" s="24" t="n">
        <f aca="false">IF($A14="CM2",COUNTIFS('RESULTATS CM2'!$M$10:$M$250,"REDOUBLE",'RESULTATS CM2'!$D$10:$D$250,"F"),COUNTIFS(RESULTATS!$E$10:$E$250,$A14,RESULTATS!$O$10:$O$250,"REDOUBLE",RESULTATS!$D$10:$D$250,"F"))</f>
        <v>3</v>
      </c>
      <c r="T14" s="23" t="n">
        <f aca="false">R14+S14</f>
        <v>7</v>
      </c>
      <c r="U14" s="24" t="n">
        <f aca="false">R14+L13</f>
        <v>9</v>
      </c>
      <c r="V14" s="24" t="n">
        <f aca="false">S14+M13</f>
        <v>4</v>
      </c>
      <c r="W14" s="23" t="n">
        <f aca="false">U14+V14</f>
        <v>13</v>
      </c>
    </row>
    <row r="15" customFormat="false" ht="15" hidden="false" customHeight="false" outlineLevel="0" collapsed="false">
      <c r="A15" s="23" t="s">
        <v>22</v>
      </c>
      <c r="B15" s="24" t="n">
        <f aca="false">COUNTIFS('REGISTRE ELEVES'!$F$10:$F$250,$A15,'REGISTRE ELEVES'!$E$10:$E$250,"M")</f>
        <v>8</v>
      </c>
      <c r="C15" s="24" t="n">
        <f aca="false">COUNTIFS('REGISTRE ELEVES'!$F$10:$F$250,$A15,'REGISTRE ELEVES'!$E$10:$E$250,"F")</f>
        <v>3</v>
      </c>
      <c r="D15" s="23" t="n">
        <f aca="false">B15+C15</f>
        <v>11</v>
      </c>
      <c r="E15" s="24" t="n">
        <f aca="false">COUNTIFS('REGISTRE ELEVES'!$F$10:$F$250,$A15,'REGISTRE ELEVES'!$E$10:$E$250,"M",'REGISTRE ELEVES'!$AE$10:$AE$250,"PRESENT")</f>
        <v>8</v>
      </c>
      <c r="F15" s="24" t="n">
        <f aca="false">COUNTIFS('REGISTRE ELEVES'!$F$10:$F$250,$A15,'REGISTRE ELEVES'!$E$10:$E$250,"F",'REGISTRE ELEVES'!$AE$10:$AE$250,"PRESENT")</f>
        <v>3</v>
      </c>
      <c r="G15" s="23" t="n">
        <f aca="false">E15+F15</f>
        <v>11</v>
      </c>
      <c r="H15" s="24" t="n">
        <f aca="false">B15-E15</f>
        <v>0</v>
      </c>
      <c r="I15" s="24" t="n">
        <f aca="false">C15-F15</f>
        <v>0</v>
      </c>
      <c r="J15" s="23" t="n">
        <f aca="false">H15+I15</f>
        <v>0</v>
      </c>
      <c r="K15" s="24" t="str">
        <f aca="false">INDEX(PARAMETRES!$C$18:$C$23,MATCH($A15,PARAMETRES!$B$18:$B$23,0))&amp;"/"&amp;INDEX(PARAMETRES!$D$18:$D$23,MATCH($A15,PARAMETRES!$B$18:$B$23,0))</f>
        <v>5/10</v>
      </c>
      <c r="L15" s="24" t="n">
        <f aca="false">IF($A15="CM2",COUNTIFS('RESULTATS CM2'!$M$10:$M$250,"ADMIS",'RESULTATS CM2'!$D$10:$D$250,"M"),COUNTIFS(RESULTATS!$E$10:$E$250,$A15,RESULTATS!$O$10:$O$250,"ADMIS",RESULTATS!$D$10:$D$250,"M"))</f>
        <v>5</v>
      </c>
      <c r="M15" s="24" t="n">
        <f aca="false">IF($A15="CM2",COUNTIFS('RESULTATS CM2'!$M$10:$M$250,"ADMIS",'RESULTATS CM2'!$D$10:$D$250,"F"),COUNTIFS(RESULTATS!$E$10:$E$250,$A15,RESULTATS!$O$10:$O$250,"ADMIS",RESULTATS!$D$10:$D$250,"F"))</f>
        <v>0</v>
      </c>
      <c r="N15" s="23" t="n">
        <f aca="false">L15+M15</f>
        <v>5</v>
      </c>
      <c r="O15" s="25" t="n">
        <f aca="false">IF(E15=0,0,L15/E15)</f>
        <v>0.625</v>
      </c>
      <c r="P15" s="25" t="n">
        <f aca="false">IF(F15=0,0,M15/F15)</f>
        <v>0</v>
      </c>
      <c r="Q15" s="96" t="n">
        <f aca="false">IF(G15=0,0,N15/G15)</f>
        <v>0.454545454545455</v>
      </c>
      <c r="R15" s="24" t="n">
        <f aca="false">IF($A15="CM2",COUNTIFS('RESULTATS CM2'!$M$10:$M$250,"REDOUBLE",'RESULTATS CM2'!$D$10:$D$250,"M"),COUNTIFS(RESULTATS!$E$10:$E$250,$A15,RESULTATS!$O$10:$O$250,"REDOUBLE",RESULTATS!$D$10:$D$250,"M"))</f>
        <v>3</v>
      </c>
      <c r="S15" s="24" t="n">
        <f aca="false">IF($A15="CM2",COUNTIFS('RESULTATS CM2'!$M$10:$M$250,"REDOUBLE",'RESULTATS CM2'!$D$10:$D$250,"F"),COUNTIFS(RESULTATS!$E$10:$E$250,$A15,RESULTATS!$O$10:$O$250,"REDOUBLE",RESULTATS!$D$10:$D$250,"F"))</f>
        <v>3</v>
      </c>
      <c r="T15" s="23" t="n">
        <f aca="false">R15+S15</f>
        <v>6</v>
      </c>
      <c r="U15" s="24" t="n">
        <f aca="false">R15+L14</f>
        <v>4</v>
      </c>
      <c r="V15" s="24" t="n">
        <f aca="false">S15+M14</f>
        <v>6</v>
      </c>
      <c r="W15" s="23" t="n">
        <f aca="false">U15+V15</f>
        <v>10</v>
      </c>
    </row>
    <row r="16" customFormat="false" ht="15" hidden="false" customHeight="false" outlineLevel="0" collapsed="false">
      <c r="A16" s="23" t="s">
        <v>23</v>
      </c>
      <c r="B16" s="24" t="n">
        <f aca="false">COUNTIFS('REGISTRE ELEVES'!$F$10:$F$250,$A16,'REGISTRE ELEVES'!$E$10:$E$250,"M")</f>
        <v>3</v>
      </c>
      <c r="C16" s="24" t="n">
        <f aca="false">COUNTIFS('REGISTRE ELEVES'!$F$10:$F$250,$A16,'REGISTRE ELEVES'!$E$10:$E$250,"F")</f>
        <v>6</v>
      </c>
      <c r="D16" s="23" t="n">
        <f aca="false">B16+C16</f>
        <v>9</v>
      </c>
      <c r="E16" s="24" t="n">
        <f aca="false">COUNTIFS('REGISTRE ELEVES'!$F$10:$F$250,$A16,'REGISTRE ELEVES'!$E$10:$E$250,"M",'REGISTRE ELEVES'!$AE$10:$AE$250,"PRESENT")</f>
        <v>2</v>
      </c>
      <c r="F16" s="24" t="n">
        <f aca="false">COUNTIFS('REGISTRE ELEVES'!$F$10:$F$250,$A16,'REGISTRE ELEVES'!$E$10:$E$250,"F",'REGISTRE ELEVES'!$AE$10:$AE$250,"PRESENT")</f>
        <v>5</v>
      </c>
      <c r="G16" s="23" t="n">
        <f aca="false">E16+F16</f>
        <v>7</v>
      </c>
      <c r="H16" s="24" t="n">
        <f aca="false">B16-E16</f>
        <v>1</v>
      </c>
      <c r="I16" s="24" t="n">
        <f aca="false">C16-F16</f>
        <v>1</v>
      </c>
      <c r="J16" s="23" t="n">
        <f aca="false">H16+I16</f>
        <v>2</v>
      </c>
      <c r="K16" s="24" t="str">
        <f aca="false">INDEX(PARAMETRES!$C$18:$C$23,MATCH($A16,PARAMETRES!$B$18:$B$23,0))&amp;"/"&amp;INDEX(PARAMETRES!$D$18:$D$23,MATCH($A16,PARAMETRES!$B$18:$B$23,0))</f>
        <v>10/20</v>
      </c>
      <c r="L16" s="24" t="n">
        <f aca="false">IF($A16="CM2",COUNTIFS('RESULTATS CM2'!$M$10:$M$250,"ADMIS",'RESULTATS CM2'!$D$10:$D$250,"M"),COUNTIFS(RESULTATS!$E$10:$E$250,$A16,RESULTATS!$O$10:$O$250,"ADMIS",RESULTATS!$D$10:$D$250,"M"))</f>
        <v>1</v>
      </c>
      <c r="M16" s="24" t="n">
        <f aca="false">IF($A16="CM2",COUNTIFS('RESULTATS CM2'!$M$10:$M$250,"ADMIS",'RESULTATS CM2'!$D$10:$D$250,"F"),COUNTIFS(RESULTATS!$E$10:$E$250,$A16,RESULTATS!$O$10:$O$250,"ADMIS",RESULTATS!$D$10:$D$250,"F"))</f>
        <v>3</v>
      </c>
      <c r="N16" s="23" t="n">
        <f aca="false">L16+M16</f>
        <v>4</v>
      </c>
      <c r="O16" s="25" t="n">
        <f aca="false">IF(E16=0,0,L16/E16)</f>
        <v>0.5</v>
      </c>
      <c r="P16" s="25" t="n">
        <f aca="false">IF(F16=0,0,M16/F16)</f>
        <v>0.6</v>
      </c>
      <c r="Q16" s="96" t="n">
        <f aca="false">IF(G16=0,0,N16/G16)</f>
        <v>0.571428571428571</v>
      </c>
      <c r="R16" s="24" t="n">
        <f aca="false">IF($A16="CM2",COUNTIFS('RESULTATS CM2'!$M$10:$M$250,"REDOUBLE",'RESULTATS CM2'!$D$10:$D$250,"M"),COUNTIFS(RESULTATS!$E$10:$E$250,$A16,RESULTATS!$O$10:$O$250,"REDOUBLE",RESULTATS!$D$10:$D$250,"M"))</f>
        <v>1</v>
      </c>
      <c r="S16" s="24" t="n">
        <f aca="false">IF($A16="CM2",COUNTIFS('RESULTATS CM2'!$M$10:$M$250,"REDOUBLE",'RESULTATS CM2'!$D$10:$D$250,"F"),COUNTIFS(RESULTATS!$E$10:$E$250,$A16,RESULTATS!$O$10:$O$250,"REDOUBLE",RESULTATS!$D$10:$D$250,"F"))</f>
        <v>2</v>
      </c>
      <c r="T16" s="23" t="n">
        <f aca="false">R16+S16</f>
        <v>3</v>
      </c>
      <c r="U16" s="24" t="n">
        <f aca="false">R16+L15</f>
        <v>6</v>
      </c>
      <c r="V16" s="24" t="n">
        <f aca="false">S16+M15</f>
        <v>2</v>
      </c>
      <c r="W16" s="23" t="n">
        <f aca="false">U16+V16</f>
        <v>8</v>
      </c>
    </row>
    <row r="17" customFormat="false" ht="15" hidden="false" customHeight="false" outlineLevel="0" collapsed="false">
      <c r="A17" s="26" t="s">
        <v>24</v>
      </c>
      <c r="B17" s="26" t="n">
        <f aca="false">SUM(B11:B16)</f>
        <v>35</v>
      </c>
      <c r="C17" s="26" t="n">
        <f aca="false">SUM(C11:C16)</f>
        <v>29</v>
      </c>
      <c r="D17" s="26" t="n">
        <f aca="false">SUM(D11:D16)</f>
        <v>64</v>
      </c>
      <c r="E17" s="26" t="n">
        <f aca="false">SUM(E11:E16)</f>
        <v>33</v>
      </c>
      <c r="F17" s="26" t="n">
        <f aca="false">SUM(F11:F16)</f>
        <v>26</v>
      </c>
      <c r="G17" s="26" t="n">
        <f aca="false">SUM(G11:G16)</f>
        <v>59</v>
      </c>
      <c r="H17" s="26" t="n">
        <f aca="false">SUM(H11:H16)</f>
        <v>2</v>
      </c>
      <c r="I17" s="26" t="n">
        <f aca="false">SUM(I11:I16)</f>
        <v>3</v>
      </c>
      <c r="J17" s="26" t="n">
        <f aca="false">SUM(J11:J16)</f>
        <v>5</v>
      </c>
      <c r="K17" s="97"/>
      <c r="L17" s="26" t="n">
        <f aca="false">SUM(L11:L16)</f>
        <v>19</v>
      </c>
      <c r="M17" s="26" t="n">
        <f aca="false">SUM(M11:M16)</f>
        <v>13</v>
      </c>
      <c r="N17" s="26" t="n">
        <f aca="false">SUM(N11:N16)</f>
        <v>32</v>
      </c>
      <c r="O17" s="98" t="n">
        <f aca="false">IF(E17=0,0,L17/E17)</f>
        <v>0.575757575757576</v>
      </c>
      <c r="P17" s="98" t="n">
        <f aca="false">IF(F17=0,0,M17/F17)</f>
        <v>0.5</v>
      </c>
      <c r="Q17" s="98" t="n">
        <f aca="false">IF(G17=0,0,N17/G17)</f>
        <v>0.542372881355932</v>
      </c>
      <c r="R17" s="26" t="n">
        <f aca="false">SUM(R11:R16)</f>
        <v>14</v>
      </c>
      <c r="S17" s="26" t="n">
        <f aca="false">SUM(S11:S16)</f>
        <v>13</v>
      </c>
      <c r="T17" s="26" t="n">
        <f aca="false">SUM(T11:T16)</f>
        <v>27</v>
      </c>
      <c r="U17" s="26" t="n">
        <f aca="false">SUM(U11:U16)</f>
        <v>44</v>
      </c>
      <c r="V17" s="26" t="n">
        <f aca="false">SUM(V11:V16)</f>
        <v>35</v>
      </c>
      <c r="W17" s="26" t="n">
        <f aca="false">SUM(W11:W16)</f>
        <v>79</v>
      </c>
    </row>
    <row r="19" customFormat="false" ht="15" hidden="false" customHeight="false" outlineLevel="0" collapsed="false">
      <c r="A19" s="94" t="s">
        <v>649</v>
      </c>
    </row>
    <row r="20" customFormat="false" ht="15" hidden="false" customHeight="false" outlineLevel="0" collapsed="false">
      <c r="A20" s="99" t="s">
        <v>650</v>
      </c>
      <c r="B20" s="99"/>
      <c r="C20" s="99"/>
      <c r="D20" s="99"/>
      <c r="E20" s="99"/>
      <c r="F20" s="99"/>
      <c r="G20" s="99"/>
      <c r="H20" s="99"/>
      <c r="I20" s="99"/>
      <c r="J20" s="99"/>
      <c r="K20" s="99"/>
      <c r="L20" s="99"/>
      <c r="M20" s="99"/>
      <c r="N20" s="99"/>
      <c r="O20" s="99"/>
      <c r="P20" s="99"/>
      <c r="Q20" s="99"/>
      <c r="R20" s="99"/>
      <c r="S20" s="99"/>
      <c r="T20" s="99"/>
      <c r="U20" s="99"/>
      <c r="V20" s="99"/>
      <c r="W20" s="99"/>
    </row>
    <row r="21" customFormat="false" ht="15" hidden="false" customHeight="false" outlineLevel="0" collapsed="false">
      <c r="A21" s="99" t="s">
        <v>651</v>
      </c>
      <c r="B21" s="99"/>
      <c r="C21" s="99"/>
      <c r="D21" s="99"/>
      <c r="E21" s="99"/>
      <c r="F21" s="99"/>
      <c r="G21" s="99"/>
      <c r="H21" s="99"/>
      <c r="I21" s="99"/>
      <c r="J21" s="99"/>
      <c r="K21" s="99"/>
      <c r="L21" s="99"/>
      <c r="M21" s="99"/>
      <c r="N21" s="99"/>
      <c r="O21" s="99"/>
      <c r="P21" s="99"/>
      <c r="Q21" s="99"/>
      <c r="R21" s="99"/>
      <c r="S21" s="99"/>
      <c r="T21" s="99"/>
      <c r="U21" s="99"/>
      <c r="V21" s="99"/>
      <c r="W21" s="99"/>
    </row>
    <row r="22" customFormat="false" ht="15" hidden="false" customHeight="false" outlineLevel="0" collapsed="false">
      <c r="A22" s="99" t="s">
        <v>652</v>
      </c>
      <c r="B22" s="99"/>
      <c r="C22" s="99"/>
      <c r="D22" s="99"/>
      <c r="E22" s="99"/>
      <c r="F22" s="99"/>
      <c r="G22" s="99"/>
      <c r="H22" s="99"/>
      <c r="I22" s="99"/>
      <c r="J22" s="99"/>
      <c r="K22" s="99"/>
      <c r="L22" s="99"/>
      <c r="M22" s="99"/>
      <c r="N22" s="99"/>
      <c r="O22" s="99"/>
      <c r="P22" s="99"/>
      <c r="Q22" s="99"/>
      <c r="R22" s="99"/>
      <c r="S22" s="99"/>
      <c r="T22" s="99"/>
      <c r="U22" s="99"/>
      <c r="V22" s="99"/>
      <c r="W22" s="99"/>
    </row>
    <row r="23" customFormat="false" ht="15" hidden="false" customHeight="false" outlineLevel="0" collapsed="false">
      <c r="A23" s="99" t="s">
        <v>653</v>
      </c>
      <c r="B23" s="99"/>
      <c r="C23" s="99"/>
      <c r="D23" s="99"/>
      <c r="E23" s="99"/>
      <c r="F23" s="99"/>
      <c r="G23" s="99"/>
      <c r="H23" s="99"/>
      <c r="I23" s="99"/>
      <c r="J23" s="99"/>
      <c r="K23" s="99"/>
      <c r="L23" s="99"/>
      <c r="M23" s="99"/>
      <c r="N23" s="99"/>
      <c r="O23" s="99"/>
      <c r="P23" s="99"/>
      <c r="Q23" s="99"/>
      <c r="R23" s="99"/>
      <c r="S23" s="99"/>
      <c r="T23" s="99"/>
      <c r="U23" s="99"/>
      <c r="V23" s="99"/>
      <c r="W23" s="99"/>
    </row>
    <row r="26" customFormat="false" ht="15" hidden="false" customHeight="true" outlineLevel="0" collapsed="false">
      <c r="B26" s="90" t="str">
        <f aca="false">"Fait à "&amp;PARAMETRES!$C$10&amp;", le "&amp;TEXT(DAY(PARAMETRES!$C$12),"00")&amp;"/"&amp;TEXT(MONTH(PARAMETRES!$C$12),"00")&amp;"/"&amp;YEAR(PARAMETRES!$C$12)</f>
        <v>Fait à LIGUIYO, le 30/06/2027</v>
      </c>
      <c r="C26" s="90"/>
      <c r="D26" s="90"/>
      <c r="E26" s="90"/>
      <c r="F26" s="90"/>
      <c r="G26" s="90"/>
      <c r="H26" s="90"/>
      <c r="I26" s="90"/>
      <c r="J26" s="90"/>
      <c r="K26" s="90"/>
      <c r="L26" s="90"/>
      <c r="M26" s="90"/>
      <c r="N26" s="90"/>
      <c r="O26" s="90"/>
      <c r="P26" s="90"/>
      <c r="Q26" s="90"/>
      <c r="R26" s="91" t="s">
        <v>635</v>
      </c>
      <c r="S26" s="91"/>
      <c r="T26" s="91"/>
      <c r="U26" s="91"/>
      <c r="V26" s="91"/>
      <c r="W26" s="91"/>
    </row>
    <row r="30" customFormat="false" ht="15" hidden="false" customHeight="false" outlineLevel="0" collapsed="false">
      <c r="R30" s="92" t="str">
        <f aca="false">PARAMETRES!$C$11</f>
        <v>M. KOUAME Kouadio Ernest</v>
      </c>
      <c r="S30" s="92"/>
      <c r="T30" s="92"/>
      <c r="U30" s="92"/>
      <c r="V30" s="92"/>
      <c r="W30" s="92"/>
    </row>
  </sheetData>
  <mergeCells count="25">
    <mergeCell ref="A1:K1"/>
    <mergeCell ref="L1:W1"/>
    <mergeCell ref="A2:K2"/>
    <mergeCell ref="L2:W2"/>
    <mergeCell ref="A3:K3"/>
    <mergeCell ref="L3:W3"/>
    <mergeCell ref="A4:K4"/>
    <mergeCell ref="A6:W6"/>
    <mergeCell ref="A7:W7"/>
    <mergeCell ref="A9:A10"/>
    <mergeCell ref="B9:D9"/>
    <mergeCell ref="E9:G9"/>
    <mergeCell ref="H9:J9"/>
    <mergeCell ref="K9:K10"/>
    <mergeCell ref="L9:N9"/>
    <mergeCell ref="O9:Q9"/>
    <mergeCell ref="R9:T9"/>
    <mergeCell ref="U9:W9"/>
    <mergeCell ref="A20:W20"/>
    <mergeCell ref="A21:W21"/>
    <mergeCell ref="A22:W22"/>
    <mergeCell ref="A23:W23"/>
    <mergeCell ref="B26:Q26"/>
    <mergeCell ref="R26:W26"/>
    <mergeCell ref="R30:W30"/>
  </mergeCells>
  <conditionalFormatting sqref="Q11:Q16">
    <cfRule type="cellIs" priority="2" operator="lessThan" aboveAverage="0" equalAverage="0" bottom="0" percent="0" rank="0" text="" dxfId="42">
      <formula>0.5</formula>
    </cfRule>
    <cfRule type="cellIs" priority="3" operator="greaterThanOrEqual" aboveAverage="0" equalAverage="0" bottom="0" percent="0" rank="0" text="" dxfId="43">
      <formula>0.75</formula>
    </cfRule>
  </conditionalFormatting>
  <printOptions headings="false" gridLines="false" gridLinesSet="true" horizontalCentered="true" verticalCentered="false"/>
  <pageMargins left="0.309722222222222" right="0.309722222222222" top="0.470138888888889" bottom="0.470138888888889"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drawing r:id="rIdBtn"/>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Feuil13" filterMode="false">
    <tabColor rgb="FF1E8449"/>
    <pageSetUpPr fitToPage="true"/>
  </sheetPr>
  <dimension ref="A1:BN12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1" topLeftCell="A12" activePane="bottomLeft" state="frozen"/>
      <selection pane="topLeft" activeCell="A1" activeCellId="0" sqref="A1"/>
      <selection pane="bottomLeft" activeCell="A1" activeCellId="0" sqref="A1"/>
    </sheetView>
  </sheetViews>
  <sheetFormatPr defaultColWidth="8.6796875" defaultRowHeight="15" zeroHeight="false" outlineLevelRow="0" outlineLevelCol="0"/>
  <cols>
    <col collapsed="false" customWidth="true" hidden="false" outlineLevel="0" max="1" min="1" style="0" width="17"/>
    <col collapsed="false" customWidth="true" hidden="false" outlineLevel="0" max="22" min="2" style="0" width="5.2"/>
    <col collapsed="false" customWidth="true" hidden="true" outlineLevel="0" max="66" min="25" style="0" width="13"/>
  </cols>
  <sheetData>
    <row r="1" customFormat="false" ht="15" hidden="false" customHeight="true" outlineLevel="0" collapsed="false">
      <c r="A1" s="47" t="str">
        <f aca="false">PARAMETRES!$C$4</f>
        <v>MINISTERE DE L'EDUCATION NATIONALE ET DE L'ALPHABETISATION</v>
      </c>
      <c r="B1" s="47"/>
      <c r="C1" s="47"/>
      <c r="D1" s="47"/>
      <c r="E1" s="47"/>
      <c r="F1" s="47"/>
      <c r="G1" s="47"/>
      <c r="H1" s="47"/>
      <c r="I1" s="47"/>
      <c r="J1" s="47"/>
      <c r="K1" s="47"/>
      <c r="L1" s="47" t="s">
        <v>115</v>
      </c>
      <c r="M1" s="47"/>
      <c r="N1" s="47"/>
      <c r="O1" s="47"/>
      <c r="P1" s="47"/>
      <c r="Q1" s="47"/>
      <c r="R1" s="47"/>
      <c r="S1" s="47"/>
      <c r="T1" s="47"/>
      <c r="U1" s="47"/>
      <c r="V1" s="47"/>
    </row>
    <row r="2" customFormat="false" ht="15" hidden="false" customHeight="true" outlineLevel="0" collapsed="false">
      <c r="A2" s="48" t="str">
        <f aca="false">PARAMETRES!$C$5</f>
        <v>DIRECTION REGIONALE DE L'EDUCATION NATIONALE DE GAGNOA</v>
      </c>
      <c r="B2" s="48"/>
      <c r="C2" s="48"/>
      <c r="D2" s="48"/>
      <c r="E2" s="48"/>
      <c r="F2" s="48"/>
      <c r="G2" s="48"/>
      <c r="H2" s="48"/>
      <c r="I2" s="48"/>
      <c r="J2" s="48"/>
      <c r="K2" s="48"/>
      <c r="L2" s="48" t="s">
        <v>116</v>
      </c>
      <c r="M2" s="48"/>
      <c r="N2" s="48"/>
      <c r="O2" s="48"/>
      <c r="P2" s="48"/>
      <c r="Q2" s="48"/>
      <c r="R2" s="48"/>
      <c r="S2" s="48"/>
      <c r="T2" s="48"/>
      <c r="U2" s="48"/>
      <c r="V2" s="48"/>
    </row>
    <row r="3" customFormat="false" ht="15" hidden="false" customHeight="false" outlineLevel="0" collapsed="false">
      <c r="A3" s="47" t="str">
        <f aca="false">PARAMETRES!$C$6</f>
        <v>IEPP GAGNOA 2</v>
      </c>
      <c r="B3" s="47"/>
      <c r="C3" s="47"/>
      <c r="D3" s="47"/>
      <c r="E3" s="47"/>
      <c r="F3" s="47"/>
      <c r="G3" s="47"/>
      <c r="H3" s="47"/>
      <c r="I3" s="47"/>
      <c r="J3" s="47"/>
      <c r="K3" s="47"/>
      <c r="L3" s="47" t="str">
        <f aca="false">"ANNEE SCOLAIRE : "&amp;PARAMETRES!$C$9</f>
        <v>ANNEE SCOLAIRE : 2026-2027</v>
      </c>
      <c r="M3" s="47"/>
      <c r="N3" s="47"/>
      <c r="O3" s="47"/>
      <c r="P3" s="47"/>
      <c r="Q3" s="47"/>
      <c r="R3" s="47"/>
      <c r="S3" s="47"/>
      <c r="T3" s="47"/>
      <c r="U3" s="47"/>
      <c r="V3" s="47"/>
    </row>
    <row r="4" customFormat="false" ht="15" hidden="false" customHeight="false" outlineLevel="0" collapsed="false">
      <c r="A4" s="48" t="str">
        <f aca="false">PARAMETRES!$C$7&amp;"  -  Code : "&amp;PARAMETRES!$C$8</f>
        <v>EPP LIGUIYO  -  Code : EPP-GAG-0123</v>
      </c>
      <c r="B4" s="48"/>
      <c r="C4" s="48"/>
      <c r="D4" s="48"/>
      <c r="E4" s="48"/>
      <c r="F4" s="48"/>
      <c r="G4" s="48"/>
      <c r="H4" s="48"/>
      <c r="I4" s="48"/>
      <c r="J4" s="48"/>
      <c r="K4" s="48"/>
      <c r="L4" s="49"/>
    </row>
    <row r="6" customFormat="false" ht="27.75" hidden="false" customHeight="true" outlineLevel="0" collapsed="false">
      <c r="A6" s="30" t="s">
        <v>654</v>
      </c>
      <c r="B6" s="30"/>
      <c r="C6" s="30"/>
      <c r="D6" s="30"/>
      <c r="E6" s="30"/>
      <c r="F6" s="30"/>
      <c r="G6" s="30"/>
      <c r="H6" s="30"/>
      <c r="I6" s="30"/>
      <c r="J6" s="30"/>
      <c r="K6" s="30"/>
      <c r="L6" s="30"/>
      <c r="M6" s="30"/>
      <c r="N6" s="30"/>
      <c r="O6" s="30"/>
      <c r="P6" s="30"/>
      <c r="Q6" s="30"/>
      <c r="R6" s="30"/>
      <c r="S6" s="30"/>
      <c r="T6" s="30"/>
      <c r="U6" s="30"/>
      <c r="V6" s="30"/>
    </row>
    <row r="7" customFormat="false" ht="15" hidden="false" customHeight="false" outlineLevel="0" collapsed="false">
      <c r="A7" s="91" t="str">
        <f aca="false">"DRENAET : "&amp;PARAMETRES!$C$5&amp;"     •     IEPP : "&amp;PARAMETRES!$C$6</f>
        <v>DRENAET : DIRECTION REGIONALE DE L'EDUCATION NATIONALE DE GAGNOA     •     IEPP : IEPP GAGNOA 2</v>
      </c>
      <c r="B7" s="91"/>
      <c r="C7" s="91"/>
      <c r="D7" s="91"/>
      <c r="E7" s="91"/>
      <c r="F7" s="91"/>
      <c r="G7" s="91"/>
      <c r="H7" s="91"/>
      <c r="I7" s="91"/>
      <c r="J7" s="91"/>
      <c r="K7" s="91"/>
      <c r="L7" s="91"/>
      <c r="M7" s="91"/>
      <c r="N7" s="91"/>
      <c r="O7" s="91"/>
      <c r="P7" s="91"/>
      <c r="Q7" s="91"/>
      <c r="R7" s="91"/>
      <c r="S7" s="91"/>
      <c r="T7" s="91"/>
      <c r="U7" s="91"/>
      <c r="V7" s="91"/>
    </row>
    <row r="9" customFormat="false" ht="15" hidden="false" customHeight="false" outlineLevel="0" collapsed="false">
      <c r="B9" s="84" t="s">
        <v>655</v>
      </c>
      <c r="C9" s="85" t="n">
        <v>1</v>
      </c>
      <c r="E9" s="84" t="s">
        <v>656</v>
      </c>
      <c r="F9" s="100" t="n">
        <f aca="false">IF($C$9="","",INDEX(PARAMETRES!$C$29:$C$32,$C$9))</f>
        <v>46365</v>
      </c>
      <c r="G9" s="100"/>
      <c r="H9" s="100"/>
      <c r="J9" s="4" t="str">
        <f aca="false">CHOOSE($C$9,"1re composition","2e composition","3e composition (CM2 : 1er examen blanc)","Composition de passage (CM2 : 2e examen blanc)")</f>
        <v>1re composition</v>
      </c>
      <c r="K9" s="4"/>
      <c r="L9" s="4"/>
      <c r="M9" s="4"/>
      <c r="N9" s="4"/>
      <c r="O9" s="4"/>
      <c r="P9" s="4"/>
      <c r="Q9" s="4"/>
      <c r="R9" s="4"/>
      <c r="S9" s="4"/>
      <c r="T9" s="4"/>
      <c r="U9" s="4"/>
      <c r="V9" s="4"/>
    </row>
    <row r="11" customFormat="false" ht="24" hidden="false" customHeight="true" outlineLevel="0" collapsed="false">
      <c r="A11" s="101" t="str">
        <f aca="false">"RAPPORT DE LA COMPOSITION N° "&amp;$C$9&amp;" DU "&amp;TEXT(DAY($F$9),"00")&amp;"/"&amp;TEXT(MONTH($F$9),"00")&amp;"/"&amp;YEAR($F$9)</f>
        <v>RAPPORT DE LA COMPOSITION N° 1 DU 09/12/2026</v>
      </c>
      <c r="B11" s="101"/>
      <c r="C11" s="101"/>
      <c r="D11" s="101"/>
      <c r="E11" s="101"/>
      <c r="F11" s="101"/>
      <c r="G11" s="101"/>
      <c r="H11" s="101"/>
      <c r="I11" s="101"/>
      <c r="J11" s="101"/>
      <c r="K11" s="101"/>
      <c r="L11" s="101"/>
      <c r="M11" s="101"/>
      <c r="N11" s="101"/>
      <c r="O11" s="101"/>
      <c r="P11" s="101"/>
      <c r="Q11" s="101"/>
      <c r="R11" s="101"/>
      <c r="S11" s="101"/>
      <c r="T11" s="101"/>
      <c r="U11" s="101"/>
      <c r="V11" s="101"/>
    </row>
    <row r="13" customFormat="false" ht="15" hidden="false" customHeight="true" outlineLevel="0" collapsed="false">
      <c r="A13" s="93"/>
      <c r="B13" s="93" t="s">
        <v>18</v>
      </c>
      <c r="C13" s="93"/>
      <c r="D13" s="93"/>
      <c r="E13" s="93" t="s">
        <v>19</v>
      </c>
      <c r="F13" s="93"/>
      <c r="G13" s="93"/>
      <c r="H13" s="93" t="s">
        <v>20</v>
      </c>
      <c r="I13" s="93"/>
      <c r="J13" s="93"/>
      <c r="K13" s="93" t="s">
        <v>21</v>
      </c>
      <c r="L13" s="93"/>
      <c r="M13" s="93"/>
      <c r="N13" s="93" t="s">
        <v>22</v>
      </c>
      <c r="O13" s="93"/>
      <c r="P13" s="93"/>
      <c r="Q13" s="93" t="s">
        <v>23</v>
      </c>
      <c r="R13" s="93"/>
      <c r="S13" s="93"/>
      <c r="T13" s="93" t="s">
        <v>24</v>
      </c>
      <c r="U13" s="93"/>
      <c r="V13" s="93"/>
    </row>
    <row r="14" customFormat="false" ht="15" hidden="false" customHeight="false" outlineLevel="0" collapsed="false">
      <c r="A14" s="93"/>
      <c r="B14" s="42" t="s">
        <v>639</v>
      </c>
      <c r="C14" s="42" t="s">
        <v>44</v>
      </c>
      <c r="D14" s="42" t="s">
        <v>640</v>
      </c>
      <c r="E14" s="42" t="s">
        <v>639</v>
      </c>
      <c r="F14" s="42" t="s">
        <v>44</v>
      </c>
      <c r="G14" s="42" t="s">
        <v>640</v>
      </c>
      <c r="H14" s="42" t="s">
        <v>639</v>
      </c>
      <c r="I14" s="42" t="s">
        <v>44</v>
      </c>
      <c r="J14" s="42" t="s">
        <v>640</v>
      </c>
      <c r="K14" s="42" t="s">
        <v>639</v>
      </c>
      <c r="L14" s="42" t="s">
        <v>44</v>
      </c>
      <c r="M14" s="42" t="s">
        <v>640</v>
      </c>
      <c r="N14" s="42" t="s">
        <v>639</v>
      </c>
      <c r="O14" s="42" t="s">
        <v>44</v>
      </c>
      <c r="P14" s="42" t="s">
        <v>640</v>
      </c>
      <c r="Q14" s="42" t="s">
        <v>639</v>
      </c>
      <c r="R14" s="42" t="s">
        <v>44</v>
      </c>
      <c r="S14" s="42" t="s">
        <v>640</v>
      </c>
      <c r="T14" s="42" t="s">
        <v>639</v>
      </c>
      <c r="U14" s="42" t="s">
        <v>44</v>
      </c>
      <c r="V14" s="42" t="s">
        <v>640</v>
      </c>
    </row>
    <row r="15" customFormat="false" ht="15" hidden="false" customHeight="false" outlineLevel="0" collapsed="false">
      <c r="A15" s="74" t="s">
        <v>657</v>
      </c>
      <c r="B15" s="45" t="n">
        <f aca="false">COUNTIFS('REGISTRE ELEVES'!$F$10:$F$250,"CP1",'REGISTRE ELEVES'!$E$10:$E$250,"M")</f>
        <v>5</v>
      </c>
      <c r="C15" s="45" t="n">
        <f aca="false">COUNTIFS('REGISTRE ELEVES'!$F$10:$F$250,"CP1",'REGISTRE ELEVES'!$E$10:$E$250,"F")</f>
        <v>6</v>
      </c>
      <c r="D15" s="89" t="n">
        <f aca="false">B15+C15</f>
        <v>11</v>
      </c>
      <c r="E15" s="45" t="n">
        <f aca="false">COUNTIFS('REGISTRE ELEVES'!$F$10:$F$250,"CP2",'REGISTRE ELEVES'!$E$10:$E$250,"M")</f>
        <v>7</v>
      </c>
      <c r="F15" s="45" t="n">
        <f aca="false">COUNTIFS('REGISTRE ELEVES'!$F$10:$F$250,"CP2",'REGISTRE ELEVES'!$E$10:$E$250,"F")</f>
        <v>5</v>
      </c>
      <c r="G15" s="89" t="n">
        <f aca="false">E15+F15</f>
        <v>12</v>
      </c>
      <c r="H15" s="45" t="n">
        <f aca="false">COUNTIFS('REGISTRE ELEVES'!$F$10:$F$250,"CE1",'REGISTRE ELEVES'!$E$10:$E$250,"M")</f>
        <v>6</v>
      </c>
      <c r="I15" s="45" t="n">
        <f aca="false">COUNTIFS('REGISTRE ELEVES'!$F$10:$F$250,"CE1",'REGISTRE ELEVES'!$E$10:$E$250,"F")</f>
        <v>3</v>
      </c>
      <c r="J15" s="89" t="n">
        <f aca="false">H15+I15</f>
        <v>9</v>
      </c>
      <c r="K15" s="45" t="n">
        <f aca="false">COUNTIFS('REGISTRE ELEVES'!$F$10:$F$250,"CE2",'REGISTRE ELEVES'!$E$10:$E$250,"M")</f>
        <v>6</v>
      </c>
      <c r="L15" s="45" t="n">
        <f aca="false">COUNTIFS('REGISTRE ELEVES'!$F$10:$F$250,"CE2",'REGISTRE ELEVES'!$E$10:$E$250,"F")</f>
        <v>6</v>
      </c>
      <c r="M15" s="89" t="n">
        <f aca="false">K15+L15</f>
        <v>12</v>
      </c>
      <c r="N15" s="45" t="n">
        <f aca="false">COUNTIFS('REGISTRE ELEVES'!$F$10:$F$250,"CM1",'REGISTRE ELEVES'!$E$10:$E$250,"M")</f>
        <v>8</v>
      </c>
      <c r="O15" s="45" t="n">
        <f aca="false">COUNTIFS('REGISTRE ELEVES'!$F$10:$F$250,"CM1",'REGISTRE ELEVES'!$E$10:$E$250,"F")</f>
        <v>3</v>
      </c>
      <c r="P15" s="89" t="n">
        <f aca="false">N15+O15</f>
        <v>11</v>
      </c>
      <c r="Q15" s="45" t="n">
        <f aca="false">COUNTIFS('REGISTRE ELEVES'!$F$10:$F$250,"CM2",'REGISTRE ELEVES'!$E$10:$E$250,"M")</f>
        <v>3</v>
      </c>
      <c r="R15" s="45" t="n">
        <f aca="false">COUNTIFS('REGISTRE ELEVES'!$F$10:$F$250,"CM2",'REGISTRE ELEVES'!$E$10:$E$250,"F")</f>
        <v>6</v>
      </c>
      <c r="S15" s="89" t="n">
        <f aca="false">Q15+R15</f>
        <v>9</v>
      </c>
      <c r="T15" s="102" t="n">
        <f aca="false">B15+E15+H15+K15+N15+Q15</f>
        <v>35</v>
      </c>
      <c r="U15" s="102" t="n">
        <f aca="false">C15+F15+I15+L15+O15+R15</f>
        <v>29</v>
      </c>
      <c r="V15" s="103" t="n">
        <f aca="false">D15+G15+J15+M15+P15+S15</f>
        <v>64</v>
      </c>
    </row>
    <row r="16" customFormat="false" ht="15" hidden="false" customHeight="false" outlineLevel="0" collapsed="false">
      <c r="A16" s="74" t="s">
        <v>658</v>
      </c>
      <c r="B16" s="45" t="n">
        <f aca="false">COUNTIFS($AB$41:$AB$120,"M",$AC$41:$AC$120,"&gt;=0",$AE$41:$AE$120,"&lt;&gt;NON")</f>
        <v>5</v>
      </c>
      <c r="C16" s="45" t="n">
        <f aca="false">COUNTIFS($AB$41:$AB$120,"F",$AC$41:$AC$120,"&gt;=0",$AE$41:$AE$120,"&lt;&gt;NON")</f>
        <v>6</v>
      </c>
      <c r="D16" s="89" t="n">
        <f aca="false">B16+C16</f>
        <v>11</v>
      </c>
      <c r="E16" s="45" t="n">
        <f aca="false">COUNTIFS($AI$41:$AI$120,"M",$AJ$41:$AJ$120,"&gt;=0",$AL$41:$AL$120,"&lt;&gt;NON")</f>
        <v>7</v>
      </c>
      <c r="F16" s="45" t="n">
        <f aca="false">COUNTIFS($AI$41:$AI$120,"F",$AJ$41:$AJ$120,"&gt;=0",$AL$41:$AL$120,"&lt;&gt;NON")</f>
        <v>4</v>
      </c>
      <c r="G16" s="89" t="n">
        <f aca="false">E16+F16</f>
        <v>11</v>
      </c>
      <c r="H16" s="45" t="n">
        <f aca="false">COUNTIFS($AP$41:$AP$120,"M",$AQ$41:$AQ$120,"&gt;=0",$AS$41:$AS$120,"&lt;&gt;NON")</f>
        <v>6</v>
      </c>
      <c r="I16" s="45" t="n">
        <f aca="false">COUNTIFS($AP$41:$AP$120,"F",$AQ$41:$AQ$120,"&gt;=0",$AS$41:$AS$120,"&lt;&gt;NON")</f>
        <v>2</v>
      </c>
      <c r="J16" s="89" t="n">
        <f aca="false">H16+I16</f>
        <v>8</v>
      </c>
      <c r="K16" s="45" t="n">
        <f aca="false">COUNTIFS($AW$41:$AW$120,"M",$AX$41:$AX$120,"&gt;=0",$AZ$41:$AZ$120,"&lt;&gt;NON")</f>
        <v>6</v>
      </c>
      <c r="L16" s="45" t="n">
        <f aca="false">COUNTIFS($AW$41:$AW$120,"F",$AX$41:$AX$120,"&gt;=0",$AZ$41:$AZ$120,"&lt;&gt;NON")</f>
        <v>6</v>
      </c>
      <c r="M16" s="89" t="n">
        <f aca="false">K16+L16</f>
        <v>12</v>
      </c>
      <c r="N16" s="45" t="n">
        <f aca="false">COUNTIFS($BD$41:$BD$120,"M",$BE$41:$BE$120,"&gt;=0",$BG$41:$BG$120,"&lt;&gt;NON")</f>
        <v>8</v>
      </c>
      <c r="O16" s="45" t="n">
        <f aca="false">COUNTIFS($BD$41:$BD$120,"F",$BE$41:$BE$120,"&gt;=0",$BG$41:$BG$120,"&lt;&gt;NON")</f>
        <v>3</v>
      </c>
      <c r="P16" s="89" t="n">
        <f aca="false">N16+O16</f>
        <v>11</v>
      </c>
      <c r="Q16" s="45" t="n">
        <f aca="false">COUNTIFS($BK$41:$BK$120,"M",$BL$41:$BL$120,"&gt;=0",$BN$41:$BN$120,"&lt;&gt;NON")</f>
        <v>3</v>
      </c>
      <c r="R16" s="45" t="n">
        <f aca="false">COUNTIFS($BK$41:$BK$120,"F",$BL$41:$BL$120,"&gt;=0",$BN$41:$BN$120,"&lt;&gt;NON")</f>
        <v>6</v>
      </c>
      <c r="S16" s="89" t="n">
        <f aca="false">Q16+R16</f>
        <v>9</v>
      </c>
      <c r="T16" s="102" t="n">
        <f aca="false">B16+E16+H16+K16+N16+Q16</f>
        <v>35</v>
      </c>
      <c r="U16" s="102" t="n">
        <f aca="false">C16+F16+I16+L16+O16+R16</f>
        <v>27</v>
      </c>
      <c r="V16" s="103" t="n">
        <f aca="false">D16+G16+J16+M16+P16+S16</f>
        <v>62</v>
      </c>
    </row>
    <row r="17" customFormat="false" ht="15" hidden="false" customHeight="false" outlineLevel="0" collapsed="false">
      <c r="A17" s="74" t="s">
        <v>659</v>
      </c>
      <c r="B17" s="73" t="n">
        <f aca="false">COUNTIFS($AB$41:$AB$120,"M",$AE$41:$AE$120,"NON")</f>
        <v>0</v>
      </c>
      <c r="C17" s="73" t="n">
        <f aca="false">COUNTIFS($AB$41:$AB$120,"F",$AE$41:$AE$120,"NON")</f>
        <v>0</v>
      </c>
      <c r="D17" s="89" t="n">
        <f aca="false">B17+C17</f>
        <v>0</v>
      </c>
      <c r="E17" s="73" t="n">
        <f aca="false">COUNTIFS($AI$41:$AI$120,"M",$AL$41:$AL$120,"NON")</f>
        <v>0</v>
      </c>
      <c r="F17" s="73" t="n">
        <f aca="false">COUNTIFS($AI$41:$AI$120,"F",$AL$41:$AL$120,"NON")</f>
        <v>1</v>
      </c>
      <c r="G17" s="89" t="n">
        <f aca="false">E17+F17</f>
        <v>1</v>
      </c>
      <c r="H17" s="73" t="n">
        <f aca="false">COUNTIFS($AP$41:$AP$120,"M",$AS$41:$AS$120,"NON")</f>
        <v>0</v>
      </c>
      <c r="I17" s="73" t="n">
        <f aca="false">COUNTIFS($AP$41:$AP$120,"F",$AS$41:$AS$120,"NON")</f>
        <v>1</v>
      </c>
      <c r="J17" s="89" t="n">
        <f aca="false">H17+I17</f>
        <v>1</v>
      </c>
      <c r="K17" s="73" t="n">
        <f aca="false">COUNTIFS($AW$41:$AW$120,"M",$AZ$41:$AZ$120,"NON")</f>
        <v>0</v>
      </c>
      <c r="L17" s="73" t="n">
        <f aca="false">COUNTIFS($AW$41:$AW$120,"F",$AZ$41:$AZ$120,"NON")</f>
        <v>0</v>
      </c>
      <c r="M17" s="89" t="n">
        <f aca="false">K17+L17</f>
        <v>0</v>
      </c>
      <c r="N17" s="73" t="n">
        <f aca="false">COUNTIFS($BD$41:$BD$120,"M",$BG$41:$BG$120,"NON")</f>
        <v>0</v>
      </c>
      <c r="O17" s="73" t="n">
        <f aca="false">COUNTIFS($BD$41:$BD$120,"F",$BG$41:$BG$120,"NON")</f>
        <v>0</v>
      </c>
      <c r="P17" s="89" t="n">
        <f aca="false">N17+O17</f>
        <v>0</v>
      </c>
      <c r="Q17" s="73" t="n">
        <f aca="false">COUNTIFS($BK$41:$BK$120,"M",$BN$41:$BN$120,"NON")</f>
        <v>0</v>
      </c>
      <c r="R17" s="73" t="n">
        <f aca="false">COUNTIFS($BK$41:$BK$120,"F",$BN$41:$BN$120,"NON")</f>
        <v>0</v>
      </c>
      <c r="S17" s="89" t="n">
        <f aca="false">Q17+R17</f>
        <v>0</v>
      </c>
      <c r="T17" s="102" t="n">
        <f aca="false">B17+E17+H17+K17+N17+Q17</f>
        <v>0</v>
      </c>
      <c r="U17" s="102" t="n">
        <f aca="false">C17+F17+I17+L17+O17+R17</f>
        <v>2</v>
      </c>
      <c r="V17" s="103" t="n">
        <f aca="false">D17+G17+J17+M17+P17+S17</f>
        <v>2</v>
      </c>
    </row>
    <row r="18" customFormat="false" ht="15" hidden="false" customHeight="false" outlineLevel="0" collapsed="false">
      <c r="A18" s="74" t="s">
        <v>646</v>
      </c>
      <c r="B18" s="45" t="n">
        <f aca="false">COUNTIFS($AB$41:$AB$120,"M",$AC$41:$AC$120,"&gt;="&amp;INDEX(PARAMETRES!$C$18:$C$23,MATCH("CP1",PARAMETRES!$B$18:$B$23,0)),$AE$41:$AE$120,"&lt;&gt;NON")</f>
        <v>2</v>
      </c>
      <c r="C18" s="45" t="n">
        <f aca="false">COUNTIFS($AB$41:$AB$120,"F",$AC$41:$AC$120,"&gt;="&amp;INDEX(PARAMETRES!$C$18:$C$23,MATCH("CP1",PARAMETRES!$B$18:$B$23,0)),$AE$41:$AE$120,"&lt;&gt;NON")</f>
        <v>6</v>
      </c>
      <c r="D18" s="89" t="n">
        <f aca="false">B18+C18</f>
        <v>8</v>
      </c>
      <c r="E18" s="45" t="n">
        <f aca="false">COUNTIFS($AI$41:$AI$120,"M",$AJ$41:$AJ$120,"&gt;="&amp;INDEX(PARAMETRES!$C$18:$C$23,MATCH("CP2",PARAMETRES!$B$18:$B$23,0)),$AL$41:$AL$120,"&lt;&gt;NON")</f>
        <v>6</v>
      </c>
      <c r="F18" s="45" t="n">
        <f aca="false">COUNTIFS($AI$41:$AI$120,"F",$AJ$41:$AJ$120,"&gt;="&amp;INDEX(PARAMETRES!$C$18:$C$23,MATCH("CP2",PARAMETRES!$B$18:$B$23,0)),$AL$41:$AL$120,"&lt;&gt;NON")</f>
        <v>1</v>
      </c>
      <c r="G18" s="89" t="n">
        <f aca="false">E18+F18</f>
        <v>7</v>
      </c>
      <c r="H18" s="45" t="n">
        <f aca="false">COUNTIFS($AP$41:$AP$120,"M",$AQ$41:$AQ$120,"&gt;="&amp;INDEX(PARAMETRES!$C$18:$C$23,MATCH("CE1",PARAMETRES!$B$18:$B$23,0)),$AS$41:$AS$120,"&lt;&gt;NON")</f>
        <v>4</v>
      </c>
      <c r="I18" s="45" t="n">
        <f aca="false">COUNTIFS($AP$41:$AP$120,"F",$AQ$41:$AQ$120,"&gt;="&amp;INDEX(PARAMETRES!$C$18:$C$23,MATCH("CE1",PARAMETRES!$B$18:$B$23,0)),$AS$41:$AS$120,"&lt;&gt;NON")</f>
        <v>1</v>
      </c>
      <c r="J18" s="89" t="n">
        <f aca="false">H18+I18</f>
        <v>5</v>
      </c>
      <c r="K18" s="45" t="n">
        <f aca="false">COUNTIFS($AW$41:$AW$120,"M",$AX$41:$AX$120,"&gt;="&amp;INDEX(PARAMETRES!$C$18:$C$23,MATCH("CE2",PARAMETRES!$B$18:$B$23,0)),$AZ$41:$AZ$120,"&lt;&gt;NON")</f>
        <v>0</v>
      </c>
      <c r="L18" s="45" t="n">
        <f aca="false">COUNTIFS($AW$41:$AW$120,"F",$AX$41:$AX$120,"&gt;="&amp;INDEX(PARAMETRES!$C$18:$C$23,MATCH("CE2",PARAMETRES!$B$18:$B$23,0)),$AZ$41:$AZ$120,"&lt;&gt;NON")</f>
        <v>2</v>
      </c>
      <c r="M18" s="89" t="n">
        <f aca="false">K18+L18</f>
        <v>2</v>
      </c>
      <c r="N18" s="45" t="n">
        <f aca="false">COUNTIFS($BD$41:$BD$120,"M",$BE$41:$BE$120,"&gt;="&amp;INDEX(PARAMETRES!$C$18:$C$23,MATCH("CM1",PARAMETRES!$B$18:$B$23,0)),$BG$41:$BG$120,"&lt;&gt;NON")</f>
        <v>6</v>
      </c>
      <c r="O18" s="45" t="n">
        <f aca="false">COUNTIFS($BD$41:$BD$120,"F",$BE$41:$BE$120,"&gt;="&amp;INDEX(PARAMETRES!$C$18:$C$23,MATCH("CM1",PARAMETRES!$B$18:$B$23,0)),$BG$41:$BG$120,"&lt;&gt;NON")</f>
        <v>0</v>
      </c>
      <c r="P18" s="89" t="n">
        <f aca="false">N18+O18</f>
        <v>6</v>
      </c>
      <c r="Q18" s="45" t="n">
        <f aca="false">COUNTIFS($BK$41:$BK$120,"M",$BL$41:$BL$120,"&gt;="&amp;INDEX(PARAMETRES!$C$18:$C$23,MATCH("CM2",PARAMETRES!$B$18:$B$23,0)),$BN$41:$BN$120,"&lt;&gt;NON")</f>
        <v>2</v>
      </c>
      <c r="R18" s="45" t="n">
        <f aca="false">COUNTIFS($BK$41:$BK$120,"F",$BL$41:$BL$120,"&gt;="&amp;INDEX(PARAMETRES!$C$18:$C$23,MATCH("CM2",PARAMETRES!$B$18:$B$23,0)),$BN$41:$BN$120,"&lt;&gt;NON")</f>
        <v>3</v>
      </c>
      <c r="S18" s="89" t="n">
        <f aca="false">Q18+R18</f>
        <v>5</v>
      </c>
      <c r="T18" s="102" t="n">
        <f aca="false">B18+E18+H18+K18+N18+Q18</f>
        <v>20</v>
      </c>
      <c r="U18" s="102" t="n">
        <f aca="false">C18+F18+I18+L18+O18+R18</f>
        <v>13</v>
      </c>
      <c r="V18" s="103" t="n">
        <f aca="false">D18+G18+J18+M18+P18+S18</f>
        <v>33</v>
      </c>
    </row>
    <row r="19" customFormat="false" ht="22.35" hidden="false" customHeight="false" outlineLevel="0" collapsed="false">
      <c r="A19" s="104" t="s">
        <v>660</v>
      </c>
      <c r="B19" s="105" t="n">
        <f aca="false">IF(B16=0,0,B18/B16)</f>
        <v>0.4</v>
      </c>
      <c r="C19" s="105" t="n">
        <f aca="false">IF(C16=0,0,C18/C16)</f>
        <v>1</v>
      </c>
      <c r="D19" s="106" t="n">
        <f aca="false">IF(D16=0,0,D18/D16)</f>
        <v>0.727272727272727</v>
      </c>
      <c r="E19" s="105" t="n">
        <f aca="false">IF(E16=0,0,E18/E16)</f>
        <v>0.857142857142857</v>
      </c>
      <c r="F19" s="105" t="n">
        <f aca="false">IF(F16=0,0,F18/F16)</f>
        <v>0.25</v>
      </c>
      <c r="G19" s="106" t="n">
        <f aca="false">IF(G16=0,0,G18/G16)</f>
        <v>0.636363636363636</v>
      </c>
      <c r="H19" s="105" t="n">
        <f aca="false">IF(H16=0,0,H18/H16)</f>
        <v>0.666666666666667</v>
      </c>
      <c r="I19" s="105" t="n">
        <f aca="false">IF(I16=0,0,I18/I16)</f>
        <v>0.5</v>
      </c>
      <c r="J19" s="106" t="n">
        <f aca="false">IF(J16=0,0,J18/J16)</f>
        <v>0.625</v>
      </c>
      <c r="K19" s="105" t="n">
        <f aca="false">IF(K16=0,0,K18/K16)</f>
        <v>0</v>
      </c>
      <c r="L19" s="105" t="n">
        <f aca="false">IF(L16=0,0,L18/L16)</f>
        <v>0.333333333333333</v>
      </c>
      <c r="M19" s="106" t="n">
        <f aca="false">IF(M16=0,0,M18/M16)</f>
        <v>0.166666666666667</v>
      </c>
      <c r="N19" s="105" t="n">
        <f aca="false">IF(N16=0,0,N18/N16)</f>
        <v>0.75</v>
      </c>
      <c r="O19" s="105" t="n">
        <f aca="false">IF(O16=0,0,O18/O16)</f>
        <v>0</v>
      </c>
      <c r="P19" s="106" t="n">
        <f aca="false">IF(P16=0,0,P18/P16)</f>
        <v>0.545454545454545</v>
      </c>
      <c r="Q19" s="105" t="n">
        <f aca="false">IF(Q16=0,0,Q18/Q16)</f>
        <v>0.666666666666667</v>
      </c>
      <c r="R19" s="105" t="n">
        <f aca="false">IF(R16=0,0,R18/R16)</f>
        <v>0.5</v>
      </c>
      <c r="S19" s="106" t="n">
        <f aca="false">IF(S16=0,0,S18/S16)</f>
        <v>0.555555555555556</v>
      </c>
      <c r="T19" s="107" t="n">
        <f aca="false">IF(T16=0,0,T18/T16)</f>
        <v>0.571428571428571</v>
      </c>
      <c r="U19" s="107" t="n">
        <f aca="false">IF(U16=0,0,U18/U16)</f>
        <v>0.481481481481481</v>
      </c>
      <c r="V19" s="108" t="n">
        <f aca="false">IF(V16=0,0,V18/V16)</f>
        <v>0.532258064516129</v>
      </c>
    </row>
    <row r="22" customFormat="false" ht="15" hidden="false" customHeight="true" outlineLevel="0" collapsed="false">
      <c r="A22" s="3" t="s">
        <v>661</v>
      </c>
      <c r="B22" s="3"/>
      <c r="C22" s="3"/>
      <c r="D22" s="3"/>
      <c r="E22" s="3"/>
      <c r="F22" s="3"/>
      <c r="G22" s="3"/>
      <c r="H22" s="3"/>
      <c r="I22" s="3"/>
      <c r="J22" s="3"/>
      <c r="K22" s="3"/>
      <c r="L22" s="3"/>
      <c r="M22" s="3"/>
      <c r="N22" s="3"/>
      <c r="O22" s="3"/>
      <c r="P22" s="3"/>
      <c r="Q22" s="3"/>
      <c r="R22" s="3"/>
      <c r="S22" s="3"/>
      <c r="T22" s="3"/>
      <c r="U22" s="3"/>
      <c r="V22" s="3"/>
    </row>
    <row r="23" customFormat="false" ht="15" hidden="false" customHeight="true" outlineLevel="0" collapsed="false">
      <c r="A23" s="93"/>
      <c r="B23" s="93" t="s">
        <v>662</v>
      </c>
      <c r="C23" s="93"/>
      <c r="D23" s="93"/>
      <c r="E23" s="93"/>
      <c r="F23" s="93"/>
      <c r="G23" s="93"/>
      <c r="H23" s="93"/>
      <c r="I23" s="93" t="s">
        <v>663</v>
      </c>
      <c r="J23" s="93"/>
      <c r="K23" s="93"/>
      <c r="L23" s="93"/>
      <c r="M23" s="93"/>
      <c r="N23" s="93"/>
      <c r="O23" s="93"/>
      <c r="P23" s="93" t="s">
        <v>664</v>
      </c>
      <c r="Q23" s="93"/>
      <c r="R23" s="93"/>
      <c r="S23" s="93"/>
      <c r="T23" s="93"/>
      <c r="U23" s="93"/>
      <c r="V23" s="93"/>
    </row>
    <row r="24" customFormat="false" ht="15" hidden="false" customHeight="true" outlineLevel="0" collapsed="false">
      <c r="A24" s="42" t="s">
        <v>665</v>
      </c>
      <c r="B24" s="42" t="s">
        <v>666</v>
      </c>
      <c r="C24" s="42"/>
      <c r="D24" s="42"/>
      <c r="E24" s="42"/>
      <c r="F24" s="42"/>
      <c r="G24" s="42" t="s">
        <v>667</v>
      </c>
      <c r="H24" s="42"/>
      <c r="I24" s="42" t="s">
        <v>666</v>
      </c>
      <c r="J24" s="42"/>
      <c r="K24" s="42"/>
      <c r="L24" s="42"/>
      <c r="M24" s="42"/>
      <c r="N24" s="42" t="s">
        <v>667</v>
      </c>
      <c r="O24" s="42"/>
      <c r="P24" s="42" t="s">
        <v>666</v>
      </c>
      <c r="Q24" s="42"/>
      <c r="R24" s="42"/>
      <c r="S24" s="42"/>
      <c r="T24" s="42"/>
      <c r="U24" s="42" t="s">
        <v>667</v>
      </c>
      <c r="V24" s="42"/>
    </row>
    <row r="25" customFormat="false" ht="18" hidden="false" customHeight="true" outlineLevel="0" collapsed="false">
      <c r="A25" s="33" t="s">
        <v>18</v>
      </c>
      <c r="B25" s="74" t="str">
        <f aca="false">IFERROR(INDEX($AA$41:$AA$120,MATCH(LARGE($AD$41:$AD$120,1),$AD$41:$AD$120,0)),"")</f>
        <v>SORO Adjoua Estelle</v>
      </c>
      <c r="C25" s="74"/>
      <c r="D25" s="74"/>
      <c r="E25" s="74"/>
      <c r="F25" s="74"/>
      <c r="G25" s="82" t="n">
        <f aca="false">IFERROR(INDEX($AC$41:$AC$120,MATCH(LARGE($AD$41:$AD$120,1),$AD$41:$AD$120,0)),"")</f>
        <v>8.5</v>
      </c>
      <c r="H25" s="82"/>
      <c r="I25" s="74" t="str">
        <f aca="false">IFERROR(INDEX($AA$41:$AA$120,MATCH(LARGE($AD$41:$AD$120,2),$AD$41:$AD$120,0)),"")</f>
        <v>AKA Ismaël Jean-Marc</v>
      </c>
      <c r="J25" s="74"/>
      <c r="K25" s="74"/>
      <c r="L25" s="74"/>
      <c r="M25" s="74"/>
      <c r="N25" s="82" t="n">
        <f aca="false">IFERROR(INDEX($AC$41:$AC$120,MATCH(LARGE($AD$41:$AD$120,2),$AD$41:$AD$120,0)),"")</f>
        <v>7.69</v>
      </c>
      <c r="O25" s="82"/>
      <c r="P25" s="74" t="str">
        <f aca="false">IFERROR(INDEX($AA$41:$AA$120,MATCH(LARGE($AD$41:$AD$120,3),$AD$41:$AD$120,0)),"")</f>
        <v>ZADI Estelle Mariam</v>
      </c>
      <c r="Q25" s="74"/>
      <c r="R25" s="74"/>
      <c r="S25" s="74"/>
      <c r="T25" s="74"/>
      <c r="U25" s="82" t="n">
        <f aca="false">IFERROR(INDEX($AC$41:$AC$120,MATCH(LARGE($AD$41:$AD$120,3),$AD$41:$AD$120,0)),"")</f>
        <v>7.63</v>
      </c>
      <c r="V25" s="82"/>
    </row>
    <row r="26" customFormat="false" ht="18" hidden="false" customHeight="true" outlineLevel="0" collapsed="false">
      <c r="A26" s="33" t="s">
        <v>19</v>
      </c>
      <c r="B26" s="74" t="str">
        <f aca="false">IFERROR(INDEX($AH$41:$AH$120,MATCH(LARGE($AK$41:$AK$120,1),$AK$41:$AK$120,0)),"")</f>
        <v>DIGBEU Kouadio Kouakou</v>
      </c>
      <c r="C26" s="74"/>
      <c r="D26" s="74"/>
      <c r="E26" s="74"/>
      <c r="F26" s="74"/>
      <c r="G26" s="82" t="n">
        <f aca="false">IFERROR(INDEX($AJ$41:$AJ$120,MATCH(LARGE($AK$41:$AK$120,1),$AK$41:$AK$120,0)),"")</f>
        <v>8.88</v>
      </c>
      <c r="H26" s="82"/>
      <c r="I26" s="74" t="str">
        <f aca="false">IFERROR(INDEX($AH$41:$AH$120,MATCH(LARGE($AK$41:$AK$120,2),$AK$41:$AK$120,0)),"")</f>
        <v>KONE Kouadio Ismaël</v>
      </c>
      <c r="J26" s="74"/>
      <c r="K26" s="74"/>
      <c r="L26" s="74"/>
      <c r="M26" s="74"/>
      <c r="N26" s="82" t="n">
        <f aca="false">IFERROR(INDEX($AJ$41:$AJ$120,MATCH(LARGE($AK$41:$AK$120,2),$AK$41:$AK$120,0)),"")</f>
        <v>8.63</v>
      </c>
      <c r="O26" s="82"/>
      <c r="P26" s="74" t="str">
        <f aca="false">IFERROR(INDEX($AH$41:$AH$120,MATCH(LARGE($AK$41:$AK$120,3),$AK$41:$AK$120,0)),"")</f>
        <v>GBOGOU Koffi Franck</v>
      </c>
      <c r="Q26" s="74"/>
      <c r="R26" s="74"/>
      <c r="S26" s="74"/>
      <c r="T26" s="74"/>
      <c r="U26" s="82" t="n">
        <f aca="false">IFERROR(INDEX($AJ$41:$AJ$120,MATCH(LARGE($AK$41:$AK$120,3),$AK$41:$AK$120,0)),"")</f>
        <v>7.5</v>
      </c>
      <c r="V26" s="82"/>
    </row>
    <row r="27" customFormat="false" ht="18" hidden="false" customHeight="true" outlineLevel="0" collapsed="false">
      <c r="A27" s="33" t="s">
        <v>20</v>
      </c>
      <c r="B27" s="74" t="str">
        <f aca="false">IFERROR(INDEX($AO$41:$AO$120,MATCH(LARGE($AR$41:$AR$120,1),$AR$41:$AR$120,0)),"")</f>
        <v>BAMBA Mariam Amenan</v>
      </c>
      <c r="C27" s="74"/>
      <c r="D27" s="74"/>
      <c r="E27" s="74"/>
      <c r="F27" s="74"/>
      <c r="G27" s="82" t="n">
        <f aca="false">IFERROR(INDEX($AQ$41:$AQ$120,MATCH(LARGE($AR$41:$AR$120,1),$AR$41:$AR$120,0)),"")</f>
        <v>8.11</v>
      </c>
      <c r="H27" s="82"/>
      <c r="I27" s="74" t="str">
        <f aca="false">IFERROR(INDEX($AO$41:$AO$120,MATCH(LARGE($AR$41:$AR$120,2),$AR$41:$AR$120,0)),"")</f>
        <v>YAO Kouakou Konan</v>
      </c>
      <c r="J27" s="74"/>
      <c r="K27" s="74"/>
      <c r="L27" s="74"/>
      <c r="M27" s="74"/>
      <c r="N27" s="82" t="n">
        <f aca="false">IFERROR(INDEX($AQ$41:$AQ$120,MATCH(LARGE($AR$41:$AR$120,2),$AR$41:$AR$120,0)),"")</f>
        <v>7.61</v>
      </c>
      <c r="O27" s="82"/>
      <c r="P27" s="74" t="str">
        <f aca="false">IFERROR(INDEX($AO$41:$AO$120,MATCH(LARGE($AR$41:$AR$120,3),$AR$41:$AR$120,0)),"")</f>
        <v>SORO Cédric Emmanuel</v>
      </c>
      <c r="Q27" s="74"/>
      <c r="R27" s="74"/>
      <c r="S27" s="74"/>
      <c r="T27" s="74"/>
      <c r="U27" s="82" t="n">
        <f aca="false">IFERROR(INDEX($AQ$41:$AQ$120,MATCH(LARGE($AR$41:$AR$120,3),$AR$41:$AR$120,0)),"")</f>
        <v>6.5</v>
      </c>
      <c r="V27" s="82"/>
    </row>
    <row r="28" customFormat="false" ht="18" hidden="false" customHeight="true" outlineLevel="0" collapsed="false">
      <c r="A28" s="33" t="s">
        <v>21</v>
      </c>
      <c r="B28" s="74" t="str">
        <f aca="false">IFERROR(INDEX($AV$41:$AV$120,MATCH(LARGE($AY$41:$AY$120,1),$AY$41:$AY$120,0)),"")</f>
        <v>YAO Awa Estelle</v>
      </c>
      <c r="C28" s="74"/>
      <c r="D28" s="74"/>
      <c r="E28" s="74"/>
      <c r="F28" s="74"/>
      <c r="G28" s="82" t="n">
        <f aca="false">IFERROR(INDEX($AX$41:$AX$120,MATCH(LARGE($AY$41:$AY$120,1),$AY$41:$AY$120,0)),"")</f>
        <v>5.53</v>
      </c>
      <c r="H28" s="82"/>
      <c r="I28" s="74" t="str">
        <f aca="false">IFERROR(INDEX($AV$41:$AV$120,MATCH(LARGE($AY$41:$AY$120,2),$AY$41:$AY$120,0)),"")</f>
        <v>BOHOUSSOU Adjoua Akissi</v>
      </c>
      <c r="J28" s="74"/>
      <c r="K28" s="74"/>
      <c r="L28" s="74"/>
      <c r="M28" s="74"/>
      <c r="N28" s="82" t="n">
        <f aca="false">IFERROR(INDEX($AX$41:$AX$120,MATCH(LARGE($AY$41:$AY$120,2),$AY$41:$AY$120,0)),"")</f>
        <v>5.32</v>
      </c>
      <c r="O28" s="82"/>
      <c r="P28" s="74" t="str">
        <f aca="false">IFERROR(INDEX($AV$41:$AV$120,MATCH(LARGE($AY$41:$AY$120,3),$AY$41:$AY$120,0)),"")</f>
        <v>LOBA Aya Rebecca</v>
      </c>
      <c r="Q28" s="74"/>
      <c r="R28" s="74"/>
      <c r="S28" s="74"/>
      <c r="T28" s="74"/>
      <c r="U28" s="82" t="n">
        <f aca="false">IFERROR(INDEX($AX$41:$AX$120,MATCH(LARGE($AY$41:$AY$120,3),$AY$41:$AY$120,0)),"")</f>
        <v>4.88</v>
      </c>
      <c r="V28" s="82"/>
    </row>
    <row r="29" customFormat="false" ht="18" hidden="false" customHeight="true" outlineLevel="0" collapsed="false">
      <c r="A29" s="33" t="s">
        <v>22</v>
      </c>
      <c r="B29" s="74" t="str">
        <f aca="false">IFERROR(INDEX($BC$41:$BC$120,MATCH(LARGE($BF$41:$BF$120,1),$BF$41:$BF$120,0)),"")</f>
        <v>N'GUESSAN Jean-Marc Junior</v>
      </c>
      <c r="C29" s="74"/>
      <c r="D29" s="74"/>
      <c r="E29" s="74"/>
      <c r="F29" s="74"/>
      <c r="G29" s="82" t="n">
        <f aca="false">IFERROR(INDEX($BE$41:$BE$120,MATCH(LARGE($BF$41:$BF$120,1),$BF$41:$BF$120,0)),"")</f>
        <v>8.91</v>
      </c>
      <c r="H29" s="82"/>
      <c r="I29" s="74" t="str">
        <f aca="false">IFERROR(INDEX($BC$41:$BC$120,MATCH(LARGE($BF$41:$BF$120,2),$BF$41:$BF$120,0)),"")</f>
        <v>DIGBEU Cédric Ismaël</v>
      </c>
      <c r="J29" s="74"/>
      <c r="K29" s="74"/>
      <c r="L29" s="74"/>
      <c r="M29" s="74"/>
      <c r="N29" s="82" t="n">
        <f aca="false">IFERROR(INDEX($BE$41:$BE$120,MATCH(LARGE($BF$41:$BF$120,2),$BF$41:$BF$120,0)),"")</f>
        <v>8.24</v>
      </c>
      <c r="O29" s="82"/>
      <c r="P29" s="74" t="str">
        <f aca="false">IFERROR(INDEX($BC$41:$BC$120,MATCH(LARGE($BF$41:$BF$120,3),$BF$41:$BF$120,0)),"")</f>
        <v>TRAORE Koffi Abdoulaye</v>
      </c>
      <c r="Q29" s="74"/>
      <c r="R29" s="74"/>
      <c r="S29" s="74"/>
      <c r="T29" s="74"/>
      <c r="U29" s="82" t="n">
        <f aca="false">IFERROR(INDEX($BE$41:$BE$120,MATCH(LARGE($BF$41:$BF$120,3),$BF$41:$BF$120,0)),"")</f>
        <v>8.21</v>
      </c>
      <c r="V29" s="82"/>
    </row>
    <row r="30" customFormat="false" ht="18" hidden="false" customHeight="true" outlineLevel="0" collapsed="false">
      <c r="A30" s="33" t="s">
        <v>23</v>
      </c>
      <c r="B30" s="74" t="str">
        <f aca="false">IFERROR(INDEX($BJ$41:$BJ$120,MATCH(LARGE($BM$41:$BM$120,1),$BM$41:$BM$120,0)),"")</f>
        <v>COULIBALY Aya Fatoumata</v>
      </c>
      <c r="C30" s="74"/>
      <c r="D30" s="74"/>
      <c r="E30" s="74"/>
      <c r="F30" s="74"/>
      <c r="G30" s="82" t="n">
        <f aca="false">IFERROR(INDEX($BL$41:$BL$120,MATCH(LARGE($BM$41:$BM$120,1),$BM$41:$BM$120,0)),"")</f>
        <v>17.12</v>
      </c>
      <c r="H30" s="82"/>
      <c r="I30" s="74" t="str">
        <f aca="false">IFERROR(INDEX($BJ$41:$BJ$120,MATCH(LARGE($BM$41:$BM$120,2),$BM$41:$BM$120,0)),"")</f>
        <v>DJEDJE Marie-Ange Grâce</v>
      </c>
      <c r="J30" s="74"/>
      <c r="K30" s="74"/>
      <c r="L30" s="74"/>
      <c r="M30" s="74"/>
      <c r="N30" s="82" t="n">
        <f aca="false">IFERROR(INDEX($BL$41:$BL$120,MATCH(LARGE($BM$41:$BM$120,2),$BM$41:$BM$120,0)),"")</f>
        <v>15.71</v>
      </c>
      <c r="O30" s="82"/>
      <c r="P30" s="74" t="str">
        <f aca="false">IFERROR(INDEX($BJ$41:$BJ$120,MATCH(LARGE($BM$41:$BM$120,3),$BM$41:$BM$120,0)),"")</f>
        <v>COULIBALY Kouadio Konan</v>
      </c>
      <c r="Q30" s="74"/>
      <c r="R30" s="74"/>
      <c r="S30" s="74"/>
      <c r="T30" s="74"/>
      <c r="U30" s="82" t="n">
        <f aca="false">IFERROR(INDEX($BL$41:$BL$120,MATCH(LARGE($BM$41:$BM$120,3),$BM$41:$BM$120,0)),"")</f>
        <v>13.29</v>
      </c>
      <c r="V30" s="82"/>
    </row>
    <row r="32" customFormat="false" ht="15" hidden="false" customHeight="false" outlineLevel="0" collapsed="false">
      <c r="A32" s="94" t="s">
        <v>668</v>
      </c>
    </row>
    <row r="33" customFormat="false" ht="15" hidden="false" customHeight="false" outlineLevel="0" collapsed="false">
      <c r="A33" s="109"/>
      <c r="B33" s="109"/>
      <c r="C33" s="109"/>
      <c r="D33" s="109"/>
      <c r="E33" s="109"/>
      <c r="F33" s="109"/>
      <c r="G33" s="109"/>
      <c r="H33" s="109"/>
      <c r="I33" s="109"/>
      <c r="J33" s="109"/>
      <c r="K33" s="109"/>
      <c r="L33" s="109"/>
      <c r="M33" s="109"/>
      <c r="N33" s="109"/>
      <c r="O33" s="109"/>
      <c r="P33" s="109"/>
      <c r="Q33" s="109"/>
      <c r="R33" s="109"/>
      <c r="S33" s="109"/>
      <c r="T33" s="109"/>
      <c r="U33" s="109"/>
      <c r="V33" s="109"/>
    </row>
    <row r="34" customFormat="false" ht="15" hidden="false" customHeight="false" outlineLevel="0" collapsed="false">
      <c r="A34" s="109"/>
      <c r="B34" s="109"/>
      <c r="C34" s="109"/>
      <c r="D34" s="109"/>
      <c r="E34" s="109"/>
      <c r="F34" s="109"/>
      <c r="G34" s="109"/>
      <c r="H34" s="109"/>
      <c r="I34" s="109"/>
      <c r="J34" s="109"/>
      <c r="K34" s="109"/>
      <c r="L34" s="109"/>
      <c r="M34" s="109"/>
      <c r="N34" s="109"/>
      <c r="O34" s="109"/>
      <c r="P34" s="109"/>
      <c r="Q34" s="109"/>
      <c r="R34" s="109"/>
      <c r="S34" s="109"/>
      <c r="T34" s="109"/>
      <c r="U34" s="109"/>
      <c r="V34" s="109"/>
    </row>
    <row r="35" customFormat="false" ht="15" hidden="false" customHeight="false" outlineLevel="0" collapsed="false">
      <c r="A35" s="109"/>
      <c r="B35" s="109"/>
      <c r="C35" s="109"/>
      <c r="D35" s="109"/>
      <c r="E35" s="109"/>
      <c r="F35" s="109"/>
      <c r="G35" s="109"/>
      <c r="H35" s="109"/>
      <c r="I35" s="109"/>
      <c r="J35" s="109"/>
      <c r="K35" s="109"/>
      <c r="L35" s="109"/>
      <c r="M35" s="109"/>
      <c r="N35" s="109"/>
      <c r="O35" s="109"/>
      <c r="P35" s="109"/>
      <c r="Q35" s="109"/>
      <c r="R35" s="109"/>
      <c r="S35" s="109"/>
      <c r="T35" s="109"/>
      <c r="U35" s="109"/>
      <c r="V35" s="109"/>
    </row>
    <row r="36" customFormat="false" ht="15" hidden="false" customHeight="false" outlineLevel="0" collapsed="false">
      <c r="A36" s="109"/>
      <c r="B36" s="109"/>
      <c r="C36" s="109"/>
      <c r="D36" s="109"/>
      <c r="E36" s="109"/>
      <c r="F36" s="109"/>
      <c r="G36" s="109"/>
      <c r="H36" s="109"/>
      <c r="I36" s="109"/>
      <c r="J36" s="109"/>
      <c r="K36" s="109"/>
      <c r="L36" s="109"/>
      <c r="M36" s="109"/>
      <c r="N36" s="109"/>
      <c r="O36" s="109"/>
      <c r="P36" s="109"/>
      <c r="Q36" s="109"/>
      <c r="R36" s="109"/>
      <c r="S36" s="109"/>
      <c r="T36" s="109"/>
      <c r="U36" s="109"/>
      <c r="V36" s="109"/>
    </row>
    <row r="38" customFormat="false" ht="15" hidden="false" customHeight="true" outlineLevel="0" collapsed="false">
      <c r="B38" s="90" t="str">
        <f aca="false">"Fait à "&amp;PARAMETRES!$C$10&amp;", le "&amp;TEXT(DAY(PARAMETRES!$C$12),"00")&amp;"/"&amp;TEXT(MONTH(PARAMETRES!$C$12),"00")&amp;"/"&amp;YEAR(PARAMETRES!$C$12)</f>
        <v>Fait à LIGUIYO, le 30/06/2027</v>
      </c>
      <c r="C38" s="90"/>
      <c r="D38" s="90"/>
      <c r="E38" s="90"/>
      <c r="F38" s="90"/>
      <c r="G38" s="90"/>
      <c r="H38" s="90"/>
      <c r="I38" s="90"/>
      <c r="J38" s="90"/>
      <c r="K38" s="90"/>
      <c r="L38" s="90"/>
      <c r="M38" s="90"/>
      <c r="N38" s="90"/>
      <c r="O38" s="90"/>
      <c r="P38" s="90"/>
      <c r="Q38" s="91" t="s">
        <v>635</v>
      </c>
      <c r="R38" s="91"/>
      <c r="S38" s="91"/>
      <c r="T38" s="91"/>
      <c r="U38" s="91"/>
      <c r="V38" s="91"/>
    </row>
    <row r="40" customFormat="false" ht="15" hidden="false" customHeight="false" outlineLevel="0" collapsed="false">
      <c r="Y40" s="51" t="s">
        <v>669</v>
      </c>
      <c r="Z40" s="51" t="s">
        <v>670</v>
      </c>
      <c r="AA40" s="51" t="s">
        <v>671</v>
      </c>
      <c r="AB40" s="51" t="s">
        <v>672</v>
      </c>
      <c r="AC40" s="51" t="s">
        <v>673</v>
      </c>
      <c r="AD40" s="51" t="s">
        <v>674</v>
      </c>
      <c r="AE40" s="51" t="s">
        <v>675</v>
      </c>
      <c r="AF40" s="51" t="s">
        <v>676</v>
      </c>
      <c r="AG40" s="51" t="s">
        <v>677</v>
      </c>
      <c r="AH40" s="51" t="s">
        <v>678</v>
      </c>
      <c r="AI40" s="51" t="s">
        <v>679</v>
      </c>
      <c r="AJ40" s="51" t="s">
        <v>680</v>
      </c>
      <c r="AK40" s="51" t="s">
        <v>681</v>
      </c>
      <c r="AL40" s="51" t="s">
        <v>682</v>
      </c>
      <c r="AM40" s="51" t="s">
        <v>683</v>
      </c>
      <c r="AN40" s="51" t="s">
        <v>684</v>
      </c>
      <c r="AO40" s="51" t="s">
        <v>685</v>
      </c>
      <c r="AP40" s="51" t="s">
        <v>686</v>
      </c>
      <c r="AQ40" s="51" t="s">
        <v>687</v>
      </c>
      <c r="AR40" s="51" t="s">
        <v>688</v>
      </c>
      <c r="AS40" s="51" t="s">
        <v>689</v>
      </c>
      <c r="AT40" s="51" t="s">
        <v>690</v>
      </c>
      <c r="AU40" s="51" t="s">
        <v>691</v>
      </c>
      <c r="AV40" s="51" t="s">
        <v>692</v>
      </c>
      <c r="AW40" s="51" t="s">
        <v>693</v>
      </c>
      <c r="AX40" s="51" t="s">
        <v>694</v>
      </c>
      <c r="AY40" s="51" t="s">
        <v>695</v>
      </c>
      <c r="AZ40" s="51" t="s">
        <v>696</v>
      </c>
      <c r="BA40" s="51" t="s">
        <v>697</v>
      </c>
      <c r="BB40" s="51" t="s">
        <v>698</v>
      </c>
      <c r="BC40" s="51" t="s">
        <v>699</v>
      </c>
      <c r="BD40" s="51" t="s">
        <v>700</v>
      </c>
      <c r="BE40" s="51" t="s">
        <v>701</v>
      </c>
      <c r="BF40" s="51" t="s">
        <v>702</v>
      </c>
      <c r="BG40" s="51" t="s">
        <v>703</v>
      </c>
      <c r="BH40" s="51" t="s">
        <v>704</v>
      </c>
      <c r="BI40" s="51" t="s">
        <v>705</v>
      </c>
      <c r="BJ40" s="51" t="s">
        <v>706</v>
      </c>
      <c r="BK40" s="51" t="s">
        <v>707</v>
      </c>
      <c r="BL40" s="51" t="s">
        <v>708</v>
      </c>
      <c r="BM40" s="51" t="s">
        <v>709</v>
      </c>
      <c r="BN40" s="51" t="s">
        <v>710</v>
      </c>
    </row>
    <row r="41" customFormat="false" ht="15" hidden="false" customHeight="false" outlineLevel="0" collapsed="false">
      <c r="Y41" s="51" t="n">
        <f aca="false">IFERROR(MATCH("CP1-1",'REGISTRE ELEVES'!$AG$10:$AG$250,0),"")</f>
        <v>1</v>
      </c>
      <c r="Z41" s="51" t="str">
        <f aca="false">IF(Y41="","",INDEX('REGISTRE ELEVES'!$B$10:$B$250,Y41))</f>
        <v>CP1-001-26</v>
      </c>
      <c r="AA41" s="51" t="str">
        <f aca="false">IF(Y41="","",INDEX('REGISTRE ELEVES'!$D$10:$D$250,Y41))</f>
        <v>DIGBEU Ismaël Kouadio</v>
      </c>
      <c r="AB41" s="51" t="str">
        <f aca="false">IF(Y41="","",INDEX('REGISTRE ELEVES'!$E$10:$E$250,Y41))</f>
        <v>M</v>
      </c>
      <c r="AC41" s="110" t="n">
        <f aca="false">IF(Z41="","",IFERROR(CHOOSE($C$9,INDEX('NOTES CP'!$P$10:$P$250,MATCH(Z41,'NOTES CP'!$B$10:$B$250,0)),INDEX('NOTES CP'!$Z$10:$Z$250,MATCH(Z41,'NOTES CP'!$B$10:$B$250,0)),INDEX('NOTES CP'!$AJ$10:$AJ$250,MATCH(Z41,'NOTES CP'!$B$10:$B$250,0)),INDEX('NOTES CP'!$AT$10:$AT$250,MATCH(Z41,'NOTES CP'!$B$10:$B$250,0))),""))</f>
        <v>7.06</v>
      </c>
      <c r="AD41" s="51" t="n">
        <f aca="false">IF(ISNUMBER(AC41),AC41+(1000-1)/1000000,"")</f>
        <v>7.060999</v>
      </c>
      <c r="AE41" s="51" t="str">
        <f aca="false">IF(Z41="","",IFERROR(CHOOSE($C$9,INDEX('NOTES CP'!$G$10:$G$250,MATCH(Z41,'NOTES CP'!$B$10:$B$250,0)),INDEX('NOTES CP'!$Q$10:$Q$250,MATCH(Z41,'NOTES CP'!$B$10:$B$250,0)),INDEX('NOTES CP'!$AA$10:$AA$250,MATCH(Z41,'NOTES CP'!$B$10:$B$250,0)),INDEX('NOTES CP'!$AK$10:$AK$250,MATCH(Z41,'NOTES CP'!$B$10:$B$250,0))),""))</f>
        <v>OUI</v>
      </c>
      <c r="AF41" s="51" t="n">
        <f aca="false">IFERROR(MATCH("CP2-1",'REGISTRE ELEVES'!$AG$10:$AG$250,0),"")</f>
        <v>12</v>
      </c>
      <c r="AG41" s="51" t="str">
        <f aca="false">IF(AF41="","",INDEX('REGISTRE ELEVES'!$B$10:$B$250,AF41))</f>
        <v>CP2-001-26</v>
      </c>
      <c r="AH41" s="51" t="str">
        <f aca="false">IF(AF41="","",INDEX('REGISTRE ELEVES'!$D$10:$D$250,AF41))</f>
        <v>GBOGOU Koffi Franck</v>
      </c>
      <c r="AI41" s="51" t="str">
        <f aca="false">IF(AF41="","",INDEX('REGISTRE ELEVES'!$E$10:$E$250,AF41))</f>
        <v>M</v>
      </c>
      <c r="AJ41" s="110" t="n">
        <f aca="false">IF(AG41="","",IFERROR(CHOOSE($C$9,INDEX('NOTES CP'!$P$10:$P$250,MATCH(AG41,'NOTES CP'!$B$10:$B$250,0)),INDEX('NOTES CP'!$Z$10:$Z$250,MATCH(AG41,'NOTES CP'!$B$10:$B$250,0)),INDEX('NOTES CP'!$AJ$10:$AJ$250,MATCH(AG41,'NOTES CP'!$B$10:$B$250,0)),INDEX('NOTES CP'!$AT$10:$AT$250,MATCH(AG41,'NOTES CP'!$B$10:$B$250,0))),""))</f>
        <v>7.5</v>
      </c>
      <c r="AK41" s="51" t="n">
        <f aca="false">IF(ISNUMBER(AJ41),AJ41+(1000-1)/1000000,"")</f>
        <v>7.500999</v>
      </c>
      <c r="AL41" s="51" t="str">
        <f aca="false">IF(AG41="","",IFERROR(CHOOSE($C$9,INDEX('NOTES CP'!$G$10:$G$250,MATCH(AG41,'NOTES CP'!$B$10:$B$250,0)),INDEX('NOTES CP'!$Q$10:$Q$250,MATCH(AG41,'NOTES CP'!$B$10:$B$250,0)),INDEX('NOTES CP'!$AA$10:$AA$250,MATCH(AG41,'NOTES CP'!$B$10:$B$250,0)),INDEX('NOTES CP'!$AK$10:$AK$250,MATCH(AG41,'NOTES CP'!$B$10:$B$250,0))),""))</f>
        <v>OUI</v>
      </c>
      <c r="AM41" s="51" t="n">
        <f aca="false">IFERROR(MATCH("CE1-1",'REGISTRE ELEVES'!$AG$10:$AG$250,0),"")</f>
        <v>24</v>
      </c>
      <c r="AN41" s="51" t="str">
        <f aca="false">IF(AM41="","",INDEX('REGISTRE ELEVES'!$B$10:$B$250,AM41))</f>
        <v>CE1-001-26</v>
      </c>
      <c r="AO41" s="51" t="str">
        <f aca="false">IF(AM41="","",INDEX('REGISTRE ELEVES'!$D$10:$D$250,AM41))</f>
        <v>KOUASSI Moussa Ismaël</v>
      </c>
      <c r="AP41" s="51" t="str">
        <f aca="false">IF(AM41="","",INDEX('REGISTRE ELEVES'!$E$10:$E$250,AM41))</f>
        <v>M</v>
      </c>
      <c r="AQ41" s="110" t="n">
        <f aca="false">IF(AN41="","",IFERROR(CHOOSE($C$9,INDEX('NOTES CE1'!$M$10:$M$250,MATCH(AN41,'NOTES CE1'!$B$10:$B$250,0)),INDEX('NOTES CE1'!$T$10:$T$250,MATCH(AN41,'NOTES CE1'!$B$10:$B$250,0)),INDEX('NOTES CE1'!$AA$10:$AA$250,MATCH(AN41,'NOTES CE1'!$B$10:$B$250,0)),INDEX('NOTES CE1'!$AH$10:$AH$250,MATCH(AN41,'NOTES CE1'!$B$10:$B$250,0))),""))</f>
        <v>5.96</v>
      </c>
      <c r="AR41" s="51" t="n">
        <f aca="false">IF(ISNUMBER(AQ41),AQ41+(1000-1)/1000000,"")</f>
        <v>5.960999</v>
      </c>
      <c r="AS41" s="51" t="str">
        <f aca="false">IF(AN41="","",IFERROR(CHOOSE($C$9,INDEX('NOTES CE1'!$G$10:$G$250,MATCH(AN41,'NOTES CE1'!$B$10:$B$250,0)),INDEX('NOTES CE1'!$N$10:$N$250,MATCH(AN41,'NOTES CE1'!$B$10:$B$250,0)),INDEX('NOTES CE1'!$U$10:$U$250,MATCH(AN41,'NOTES CE1'!$B$10:$B$250,0)),INDEX('NOTES CE1'!$AB$10:$AB$250,MATCH(AN41,'NOTES CE1'!$B$10:$B$250,0))),""))</f>
        <v>OUI</v>
      </c>
      <c r="AT41" s="51" t="n">
        <f aca="false">IFERROR(MATCH("CE2-1",'REGISTRE ELEVES'!$AG$10:$AG$250,0),"")</f>
        <v>33</v>
      </c>
      <c r="AU41" s="51" t="str">
        <f aca="false">IF(AT41="","",INDEX('REGISTRE ELEVES'!$B$10:$B$250,AT41))</f>
        <v>CE2-001-26</v>
      </c>
      <c r="AV41" s="51" t="str">
        <f aca="false">IF(AT41="","",INDEX('REGISTRE ELEVES'!$D$10:$D$250,AT41))</f>
        <v>GBOGOU Emmanuel Konan</v>
      </c>
      <c r="AW41" s="51" t="str">
        <f aca="false">IF(AT41="","",INDEX('REGISTRE ELEVES'!$E$10:$E$250,AT41))</f>
        <v>M</v>
      </c>
      <c r="AX41" s="110" t="n">
        <f aca="false">IF(AU41="","",IFERROR(CHOOSE($C$9,INDEX('NOTES CE2-CM1'!$M$10:$M$250,MATCH(AU41,'NOTES CE2-CM1'!$B$10:$B$250,0)),INDEX('NOTES CE2-CM1'!$T$10:$T$250,MATCH(AU41,'NOTES CE2-CM1'!$B$10:$B$250,0)),INDEX('NOTES CE2-CM1'!$AA$10:$AA$250,MATCH(AU41,'NOTES CE2-CM1'!$B$10:$B$250,0)),INDEX('NOTES CE2-CM1'!$AH$10:$AH$250,MATCH(AU41,'NOTES CE2-CM1'!$B$10:$B$250,0))),""))</f>
        <v>4</v>
      </c>
      <c r="AY41" s="51" t="n">
        <f aca="false">IF(ISNUMBER(AX41),AX41+(1000-1)/1000000,"")</f>
        <v>4.000999</v>
      </c>
      <c r="AZ41" s="51" t="str">
        <f aca="false">IF(AU41="","",IFERROR(CHOOSE($C$9,INDEX('NOTES CE2-CM1'!$G$10:$G$250,MATCH(AU41,'NOTES CE2-CM1'!$B$10:$B$250,0)),INDEX('NOTES CE2-CM1'!$N$10:$N$250,MATCH(AU41,'NOTES CE2-CM1'!$B$10:$B$250,0)),INDEX('NOTES CE2-CM1'!$U$10:$U$250,MATCH(AU41,'NOTES CE2-CM1'!$B$10:$B$250,0)),INDEX('NOTES CE2-CM1'!$AB$10:$AB$250,MATCH(AU41,'NOTES CE2-CM1'!$B$10:$B$250,0))),""))</f>
        <v>OUI</v>
      </c>
      <c r="BA41" s="51" t="n">
        <f aca="false">IFERROR(MATCH("CM1-1",'REGISTRE ELEVES'!$AG$10:$AG$250,0),"")</f>
        <v>45</v>
      </c>
      <c r="BB41" s="51" t="str">
        <f aca="false">IF(BA41="","",INDEX('REGISTRE ELEVES'!$B$10:$B$250,BA41))</f>
        <v>CM1-001-26</v>
      </c>
      <c r="BC41" s="51" t="str">
        <f aca="false">IF(BA41="","",INDEX('REGISTRE ELEVES'!$D$10:$D$250,BA41))</f>
        <v>TRAORE Koffi Abdoulaye</v>
      </c>
      <c r="BD41" s="51" t="str">
        <f aca="false">IF(BA41="","",INDEX('REGISTRE ELEVES'!$E$10:$E$250,BA41))</f>
        <v>M</v>
      </c>
      <c r="BE41" s="110" t="n">
        <f aca="false">IF(BB41="","",IFERROR(CHOOSE($C$9,INDEX('NOTES CE2-CM1'!$M$10:$M$250,MATCH(BB41,'NOTES CE2-CM1'!$B$10:$B$250,0)),INDEX('NOTES CE2-CM1'!$T$10:$T$250,MATCH(BB41,'NOTES CE2-CM1'!$B$10:$B$250,0)),INDEX('NOTES CE2-CM1'!$AA$10:$AA$250,MATCH(BB41,'NOTES CE2-CM1'!$B$10:$B$250,0)),INDEX('NOTES CE2-CM1'!$AH$10:$AH$250,MATCH(BB41,'NOTES CE2-CM1'!$B$10:$B$250,0))),""))</f>
        <v>8.21</v>
      </c>
      <c r="BF41" s="51" t="n">
        <f aca="false">IF(ISNUMBER(BE41),BE41+(1000-1)/1000000,"")</f>
        <v>8.210999</v>
      </c>
      <c r="BG41" s="51" t="str">
        <f aca="false">IF(BB41="","",IFERROR(CHOOSE($C$9,INDEX('NOTES CE2-CM1'!$G$10:$G$250,MATCH(BB41,'NOTES CE2-CM1'!$B$10:$B$250,0)),INDEX('NOTES CE2-CM1'!$N$10:$N$250,MATCH(BB41,'NOTES CE2-CM1'!$B$10:$B$250,0)),INDEX('NOTES CE2-CM1'!$U$10:$U$250,MATCH(BB41,'NOTES CE2-CM1'!$B$10:$B$250,0)),INDEX('NOTES CE2-CM1'!$AB$10:$AB$250,MATCH(BB41,'NOTES CE2-CM1'!$B$10:$B$250,0))),""))</f>
        <v>OUI</v>
      </c>
      <c r="BH41" s="51" t="n">
        <f aca="false">IFERROR(MATCH("CM2-1",'REGISTRE ELEVES'!$AG$10:$AG$250,0),"")</f>
        <v>56</v>
      </c>
      <c r="BI41" s="51" t="str">
        <f aca="false">IF(BH41="","",INDEX('REGISTRE ELEVES'!$B$10:$B$250,BH41))</f>
        <v>CM2-001-26</v>
      </c>
      <c r="BJ41" s="51" t="str">
        <f aca="false">IF(BH41="","",INDEX('REGISTRE ELEVES'!$D$10:$D$250,BH41))</f>
        <v>DJEDJE Marie-Ange Grâce</v>
      </c>
      <c r="BK41" s="51" t="str">
        <f aca="false">IF(BH41="","",INDEX('REGISTRE ELEVES'!$E$10:$E$250,BH41))</f>
        <v>F</v>
      </c>
      <c r="BL41" s="110" t="n">
        <f aca="false">IF(BI41="","",IFERROR(CHOOSE($C$9,INDEX('NOTES CM2'!$M$10:$M$250,MATCH(BI41,'NOTES CM2'!$B$10:$B$250,0)),INDEX('NOTES CM2'!$T$10:$T$250,MATCH(BI41,'NOTES CM2'!$B$10:$B$250,0)),INDEX('NOTES CM2'!$AB$10:$AB$250,MATCH(BI41,'NOTES CM2'!$B$10:$B$250,0)),INDEX('NOTES CM2'!$AJ$10:$AJ$250,MATCH(BI41,'NOTES CM2'!$B$10:$B$250,0))),""))</f>
        <v>15.71</v>
      </c>
      <c r="BM41" s="51" t="n">
        <f aca="false">IF(ISNUMBER(BL41),BL41+(1000-1)/1000000,"")</f>
        <v>15.710999</v>
      </c>
      <c r="BN41" s="51" t="str">
        <f aca="false">IF(BI41="","",IFERROR(CHOOSE($C$9,INDEX('NOTES CM2'!$G$10:$G$250,MATCH(BI41,'NOTES CM2'!$B$10:$B$250,0)),INDEX('NOTES CM2'!$N$10:$N$250,MATCH(BI41,'NOTES CM2'!$B$10:$B$250,0)),INDEX('NOTES CM2'!$U$10:$U$250,MATCH(BI41,'NOTES CM2'!$B$10:$B$250,0)),INDEX('NOTES CM2'!$AC$10:$AC$250,MATCH(BI41,'NOTES CM2'!$B$10:$B$250,0))),""))</f>
        <v>OUI</v>
      </c>
    </row>
    <row r="42" customFormat="false" ht="15" hidden="false" customHeight="false" outlineLevel="0" collapsed="false">
      <c r="Q42" s="92" t="str">
        <f aca="false">PARAMETRES!$C$11</f>
        <v>M. KOUAME Kouadio Ernest</v>
      </c>
      <c r="R42" s="92"/>
      <c r="S42" s="92"/>
      <c r="T42" s="92"/>
      <c r="U42" s="92"/>
      <c r="V42" s="92"/>
      <c r="Y42" s="51" t="n">
        <f aca="false">IFERROR(MATCH("CP1-2",'REGISTRE ELEVES'!$AG$10:$AG$250,0),"")</f>
        <v>2</v>
      </c>
      <c r="Z42" s="51" t="str">
        <f aca="false">IF(Y42="","",INDEX('REGISTRE ELEVES'!$B$10:$B$250,Y42))</f>
        <v>CP1-002-26</v>
      </c>
      <c r="AA42" s="51" t="str">
        <f aca="false">IF(Y42="","",INDEX('REGISTRE ELEVES'!$D$10:$D$250,Y42))</f>
        <v>KONAN Franck Koffi</v>
      </c>
      <c r="AB42" s="51" t="str">
        <f aca="false">IF(Y42="","",INDEX('REGISTRE ELEVES'!$E$10:$E$250,Y42))</f>
        <v>M</v>
      </c>
      <c r="AC42" s="110" t="n">
        <f aca="false">IF(Z42="","",IFERROR(CHOOSE($C$9,INDEX('NOTES CP'!$P$10:$P$250,MATCH(Z42,'NOTES CP'!$B$10:$B$250,0)),INDEX('NOTES CP'!$Z$10:$Z$250,MATCH(Z42,'NOTES CP'!$B$10:$B$250,0)),INDEX('NOTES CP'!$AJ$10:$AJ$250,MATCH(Z42,'NOTES CP'!$B$10:$B$250,0)),INDEX('NOTES CP'!$AT$10:$AT$250,MATCH(Z42,'NOTES CP'!$B$10:$B$250,0))),""))</f>
        <v>3.06</v>
      </c>
      <c r="AD42" s="51" t="n">
        <f aca="false">IF(ISNUMBER(AC42),AC42+(1000-2)/1000000,"")</f>
        <v>3.060998</v>
      </c>
      <c r="AE42" s="51" t="str">
        <f aca="false">IF(Z42="","",IFERROR(CHOOSE($C$9,INDEX('NOTES CP'!$G$10:$G$250,MATCH(Z42,'NOTES CP'!$B$10:$B$250,0)),INDEX('NOTES CP'!$Q$10:$Q$250,MATCH(Z42,'NOTES CP'!$B$10:$B$250,0)),INDEX('NOTES CP'!$AA$10:$AA$250,MATCH(Z42,'NOTES CP'!$B$10:$B$250,0)),INDEX('NOTES CP'!$AK$10:$AK$250,MATCH(Z42,'NOTES CP'!$B$10:$B$250,0))),""))</f>
        <v>OUI</v>
      </c>
      <c r="AF42" s="51" t="n">
        <f aca="false">IFERROR(MATCH("CP2-2",'REGISTRE ELEVES'!$AG$10:$AG$250,0),"")</f>
        <v>13</v>
      </c>
      <c r="AG42" s="51" t="str">
        <f aca="false">IF(AF42="","",INDEX('REGISTRE ELEVES'!$B$10:$B$250,AF42))</f>
        <v>CP2-002-26</v>
      </c>
      <c r="AH42" s="51" t="str">
        <f aca="false">IF(AF42="","",INDEX('REGISTRE ELEVES'!$D$10:$D$250,AF42))</f>
        <v>GBOGOU Amenan Rebecca</v>
      </c>
      <c r="AI42" s="51" t="str">
        <f aca="false">IF(AF42="","",INDEX('REGISTRE ELEVES'!$E$10:$E$250,AF42))</f>
        <v>F</v>
      </c>
      <c r="AJ42" s="110" t="n">
        <f aca="false">IF(AG42="","",IFERROR(CHOOSE($C$9,INDEX('NOTES CP'!$P$10:$P$250,MATCH(AG42,'NOTES CP'!$B$10:$B$250,0)),INDEX('NOTES CP'!$Z$10:$Z$250,MATCH(AG42,'NOTES CP'!$B$10:$B$250,0)),INDEX('NOTES CP'!$AJ$10:$AJ$250,MATCH(AG42,'NOTES CP'!$B$10:$B$250,0)),INDEX('NOTES CP'!$AT$10:$AT$250,MATCH(AG42,'NOTES CP'!$B$10:$B$250,0))),""))</f>
        <v>5.5</v>
      </c>
      <c r="AK42" s="51" t="n">
        <f aca="false">IF(ISNUMBER(AJ42),AJ42+(1000-2)/1000000,"")</f>
        <v>5.500998</v>
      </c>
      <c r="AL42" s="51" t="str">
        <f aca="false">IF(AG42="","",IFERROR(CHOOSE($C$9,INDEX('NOTES CP'!$G$10:$G$250,MATCH(AG42,'NOTES CP'!$B$10:$B$250,0)),INDEX('NOTES CP'!$Q$10:$Q$250,MATCH(AG42,'NOTES CP'!$B$10:$B$250,0)),INDEX('NOTES CP'!$AA$10:$AA$250,MATCH(AG42,'NOTES CP'!$B$10:$B$250,0)),INDEX('NOTES CP'!$AK$10:$AK$250,MATCH(AG42,'NOTES CP'!$B$10:$B$250,0))),""))</f>
        <v>OUI</v>
      </c>
      <c r="AM42" s="51" t="n">
        <f aca="false">IFERROR(MATCH("CE1-2",'REGISTRE ELEVES'!$AG$10:$AG$250,0),"")</f>
        <v>25</v>
      </c>
      <c r="AN42" s="51" t="str">
        <f aca="false">IF(AM42="","",INDEX('REGISTRE ELEVES'!$B$10:$B$250,AM42))</f>
        <v>CE1-002-26</v>
      </c>
      <c r="AO42" s="51" t="str">
        <f aca="false">IF(AM42="","",INDEX('REGISTRE ELEVES'!$D$10:$D$250,AM42))</f>
        <v>KONE Clarisse Amenan</v>
      </c>
      <c r="AP42" s="51" t="str">
        <f aca="false">IF(AM42="","",INDEX('REGISTRE ELEVES'!$E$10:$E$250,AM42))</f>
        <v>F</v>
      </c>
      <c r="AQ42" s="110" t="n">
        <f aca="false">IF(AN42="","",IFERROR(CHOOSE($C$9,INDEX('NOTES CE1'!$M$10:$M$250,MATCH(AN42,'NOTES CE1'!$B$10:$B$250,0)),INDEX('NOTES CE1'!$T$10:$T$250,MATCH(AN42,'NOTES CE1'!$B$10:$B$250,0)),INDEX('NOTES CE1'!$AA$10:$AA$250,MATCH(AN42,'NOTES CE1'!$B$10:$B$250,0)),INDEX('NOTES CE1'!$AH$10:$AH$250,MATCH(AN42,'NOTES CE1'!$B$10:$B$250,0))),""))</f>
        <v>4.43</v>
      </c>
      <c r="AR42" s="51" t="n">
        <f aca="false">IF(ISNUMBER(AQ42),AQ42+(1000-2)/1000000,"")</f>
        <v>4.430998</v>
      </c>
      <c r="AS42" s="51" t="str">
        <f aca="false">IF(AN42="","",IFERROR(CHOOSE($C$9,INDEX('NOTES CE1'!$G$10:$G$250,MATCH(AN42,'NOTES CE1'!$B$10:$B$250,0)),INDEX('NOTES CE1'!$N$10:$N$250,MATCH(AN42,'NOTES CE1'!$B$10:$B$250,0)),INDEX('NOTES CE1'!$U$10:$U$250,MATCH(AN42,'NOTES CE1'!$B$10:$B$250,0)),INDEX('NOTES CE1'!$AB$10:$AB$250,MATCH(AN42,'NOTES CE1'!$B$10:$B$250,0))),""))</f>
        <v>OUI</v>
      </c>
      <c r="AT42" s="51" t="n">
        <f aca="false">IFERROR(MATCH("CE2-2",'REGISTRE ELEVES'!$AG$10:$AG$250,0),"")</f>
        <v>34</v>
      </c>
      <c r="AU42" s="51" t="str">
        <f aca="false">IF(AT42="","",INDEX('REGISTRE ELEVES'!$B$10:$B$250,AT42))</f>
        <v>CE2-002-26</v>
      </c>
      <c r="AV42" s="51" t="str">
        <f aca="false">IF(AT42="","",INDEX('REGISTRE ELEVES'!$D$10:$D$250,AT42))</f>
        <v>GNAGNE Estelle Amenan</v>
      </c>
      <c r="AW42" s="51" t="str">
        <f aca="false">IF(AT42="","",INDEX('REGISTRE ELEVES'!$E$10:$E$250,AT42))</f>
        <v>F</v>
      </c>
      <c r="AX42" s="110" t="n">
        <f aca="false">IF(AU42="","",IFERROR(CHOOSE($C$9,INDEX('NOTES CE2-CM1'!$M$10:$M$250,MATCH(AU42,'NOTES CE2-CM1'!$B$10:$B$250,0)),INDEX('NOTES CE2-CM1'!$T$10:$T$250,MATCH(AU42,'NOTES CE2-CM1'!$B$10:$B$250,0)),INDEX('NOTES CE2-CM1'!$AA$10:$AA$250,MATCH(AU42,'NOTES CE2-CM1'!$B$10:$B$250,0)),INDEX('NOTES CE2-CM1'!$AH$10:$AH$250,MATCH(AU42,'NOTES CE2-CM1'!$B$10:$B$250,0))),""))</f>
        <v>4.53</v>
      </c>
      <c r="AY42" s="51" t="n">
        <f aca="false">IF(ISNUMBER(AX42),AX42+(1000-2)/1000000,"")</f>
        <v>4.530998</v>
      </c>
      <c r="AZ42" s="51" t="str">
        <f aca="false">IF(AU42="","",IFERROR(CHOOSE($C$9,INDEX('NOTES CE2-CM1'!$G$10:$G$250,MATCH(AU42,'NOTES CE2-CM1'!$B$10:$B$250,0)),INDEX('NOTES CE2-CM1'!$N$10:$N$250,MATCH(AU42,'NOTES CE2-CM1'!$B$10:$B$250,0)),INDEX('NOTES CE2-CM1'!$U$10:$U$250,MATCH(AU42,'NOTES CE2-CM1'!$B$10:$B$250,0)),INDEX('NOTES CE2-CM1'!$AB$10:$AB$250,MATCH(AU42,'NOTES CE2-CM1'!$B$10:$B$250,0))),""))</f>
        <v>OUI</v>
      </c>
      <c r="BA42" s="51" t="n">
        <f aca="false">IFERROR(MATCH("CM1-2",'REGISTRE ELEVES'!$AG$10:$AG$250,0),"")</f>
        <v>46</v>
      </c>
      <c r="BB42" s="51" t="str">
        <f aca="false">IF(BA42="","",INDEX('REGISTRE ELEVES'!$B$10:$B$250,BA42))</f>
        <v>CM1-002-26</v>
      </c>
      <c r="BC42" s="51" t="str">
        <f aca="false">IF(BA42="","",INDEX('REGISTRE ELEVES'!$D$10:$D$250,BA42))</f>
        <v>KONE Fatoumata Marie-Ange</v>
      </c>
      <c r="BD42" s="51" t="str">
        <f aca="false">IF(BA42="","",INDEX('REGISTRE ELEVES'!$E$10:$E$250,BA42))</f>
        <v>F</v>
      </c>
      <c r="BE42" s="110" t="n">
        <f aca="false">IF(BB42="","",IFERROR(CHOOSE($C$9,INDEX('NOTES CE2-CM1'!$M$10:$M$250,MATCH(BB42,'NOTES CE2-CM1'!$B$10:$B$250,0)),INDEX('NOTES CE2-CM1'!$T$10:$T$250,MATCH(BB42,'NOTES CE2-CM1'!$B$10:$B$250,0)),INDEX('NOTES CE2-CM1'!$AA$10:$AA$250,MATCH(BB42,'NOTES CE2-CM1'!$B$10:$B$250,0)),INDEX('NOTES CE2-CM1'!$AH$10:$AH$250,MATCH(BB42,'NOTES CE2-CM1'!$B$10:$B$250,0))),""))</f>
        <v>4.35</v>
      </c>
      <c r="BF42" s="51" t="n">
        <f aca="false">IF(ISNUMBER(BE42),BE42+(1000-2)/1000000,"")</f>
        <v>4.350998</v>
      </c>
      <c r="BG42" s="51" t="str">
        <f aca="false">IF(BB42="","",IFERROR(CHOOSE($C$9,INDEX('NOTES CE2-CM1'!$G$10:$G$250,MATCH(BB42,'NOTES CE2-CM1'!$B$10:$B$250,0)),INDEX('NOTES CE2-CM1'!$N$10:$N$250,MATCH(BB42,'NOTES CE2-CM1'!$B$10:$B$250,0)),INDEX('NOTES CE2-CM1'!$U$10:$U$250,MATCH(BB42,'NOTES CE2-CM1'!$B$10:$B$250,0)),INDEX('NOTES CE2-CM1'!$AB$10:$AB$250,MATCH(BB42,'NOTES CE2-CM1'!$B$10:$B$250,0))),""))</f>
        <v>OUI</v>
      </c>
      <c r="BH42" s="51" t="n">
        <f aca="false">IFERROR(MATCH("CM2-2",'REGISTRE ELEVES'!$AG$10:$AG$250,0),"")</f>
        <v>57</v>
      </c>
      <c r="BI42" s="51" t="str">
        <f aca="false">IF(BH42="","",INDEX('REGISTRE ELEVES'!$B$10:$B$250,BH42))</f>
        <v>CM2-002-26</v>
      </c>
      <c r="BJ42" s="51" t="str">
        <f aca="false">IF(BH42="","",INDEX('REGISTRE ELEVES'!$D$10:$D$250,BH42))</f>
        <v>OUATTARA Akissi Marie-Ange</v>
      </c>
      <c r="BK42" s="51" t="str">
        <f aca="false">IF(BH42="","",INDEX('REGISTRE ELEVES'!$E$10:$E$250,BH42))</f>
        <v>F</v>
      </c>
      <c r="BL42" s="110" t="n">
        <f aca="false">IF(BI42="","",IFERROR(CHOOSE($C$9,INDEX('NOTES CM2'!$M$10:$M$250,MATCH(BI42,'NOTES CM2'!$B$10:$B$250,0)),INDEX('NOTES CM2'!$T$10:$T$250,MATCH(BI42,'NOTES CM2'!$B$10:$B$250,0)),INDEX('NOTES CM2'!$AB$10:$AB$250,MATCH(BI42,'NOTES CM2'!$B$10:$B$250,0)),INDEX('NOTES CM2'!$AJ$10:$AJ$250,MATCH(BI42,'NOTES CM2'!$B$10:$B$250,0))),""))</f>
        <v>7.88</v>
      </c>
      <c r="BM42" s="51" t="n">
        <f aca="false">IF(ISNUMBER(BL42),BL42+(1000-2)/1000000,"")</f>
        <v>7.880998</v>
      </c>
      <c r="BN42" s="51" t="str">
        <f aca="false">IF(BI42="","",IFERROR(CHOOSE($C$9,INDEX('NOTES CM2'!$G$10:$G$250,MATCH(BI42,'NOTES CM2'!$B$10:$B$250,0)),INDEX('NOTES CM2'!$N$10:$N$250,MATCH(BI42,'NOTES CM2'!$B$10:$B$250,0)),INDEX('NOTES CM2'!$U$10:$U$250,MATCH(BI42,'NOTES CM2'!$B$10:$B$250,0)),INDEX('NOTES CM2'!$AC$10:$AC$250,MATCH(BI42,'NOTES CM2'!$B$10:$B$250,0))),""))</f>
        <v>OUI</v>
      </c>
    </row>
    <row r="43" customFormat="false" ht="15" hidden="false" customHeight="false" outlineLevel="0" collapsed="false">
      <c r="Y43" s="51" t="n">
        <f aca="false">IFERROR(MATCH("CP1-3",'REGISTRE ELEVES'!$AG$10:$AG$250,0),"")</f>
        <v>3</v>
      </c>
      <c r="Z43" s="51" t="str">
        <f aca="false">IF(Y43="","",INDEX('REGISTRE ELEVES'!$B$10:$B$250,Y43))</f>
        <v>CP1-003-26</v>
      </c>
      <c r="AA43" s="51" t="str">
        <f aca="false">IF(Y43="","",INDEX('REGISTRE ELEVES'!$D$10:$D$250,Y43))</f>
        <v>ZADI Aya Akissi</v>
      </c>
      <c r="AB43" s="51" t="str">
        <f aca="false">IF(Y43="","",INDEX('REGISTRE ELEVES'!$E$10:$E$250,Y43))</f>
        <v>F</v>
      </c>
      <c r="AC43" s="110" t="n">
        <f aca="false">IF(Z43="","",IFERROR(CHOOSE($C$9,INDEX('NOTES CP'!$P$10:$P$250,MATCH(Z43,'NOTES CP'!$B$10:$B$250,0)),INDEX('NOTES CP'!$Z$10:$Z$250,MATCH(Z43,'NOTES CP'!$B$10:$B$250,0)),INDEX('NOTES CP'!$AJ$10:$AJ$250,MATCH(Z43,'NOTES CP'!$B$10:$B$250,0)),INDEX('NOTES CP'!$AT$10:$AT$250,MATCH(Z43,'NOTES CP'!$B$10:$B$250,0))),""))</f>
        <v>5.69</v>
      </c>
      <c r="AD43" s="51" t="n">
        <f aca="false">IF(ISNUMBER(AC43),AC43+(1000-3)/1000000,"")</f>
        <v>5.690997</v>
      </c>
      <c r="AE43" s="51" t="str">
        <f aca="false">IF(Z43="","",IFERROR(CHOOSE($C$9,INDEX('NOTES CP'!$G$10:$G$250,MATCH(Z43,'NOTES CP'!$B$10:$B$250,0)),INDEX('NOTES CP'!$Q$10:$Q$250,MATCH(Z43,'NOTES CP'!$B$10:$B$250,0)),INDEX('NOTES CP'!$AA$10:$AA$250,MATCH(Z43,'NOTES CP'!$B$10:$B$250,0)),INDEX('NOTES CP'!$AK$10:$AK$250,MATCH(Z43,'NOTES CP'!$B$10:$B$250,0))),""))</f>
        <v>OUI</v>
      </c>
      <c r="AF43" s="51" t="n">
        <f aca="false">IFERROR(MATCH("CP2-3",'REGISTRE ELEVES'!$AG$10:$AG$250,0),"")</f>
        <v>14</v>
      </c>
      <c r="AG43" s="51" t="str">
        <f aca="false">IF(AF43="","",INDEX('REGISTRE ELEVES'!$B$10:$B$250,AF43))</f>
        <v>CP2-003-26</v>
      </c>
      <c r="AH43" s="51" t="str">
        <f aca="false">IF(AF43="","",INDEX('REGISTRE ELEVES'!$D$10:$D$250,AF43))</f>
        <v>KOFFI Junior Ismaël</v>
      </c>
      <c r="AI43" s="51" t="str">
        <f aca="false">IF(AF43="","",INDEX('REGISTRE ELEVES'!$E$10:$E$250,AF43))</f>
        <v>M</v>
      </c>
      <c r="AJ43" s="110" t="n">
        <f aca="false">IF(AG43="","",IFERROR(CHOOSE($C$9,INDEX('NOTES CP'!$P$10:$P$250,MATCH(AG43,'NOTES CP'!$B$10:$B$250,0)),INDEX('NOTES CP'!$Z$10:$Z$250,MATCH(AG43,'NOTES CP'!$B$10:$B$250,0)),INDEX('NOTES CP'!$AJ$10:$AJ$250,MATCH(AG43,'NOTES CP'!$B$10:$B$250,0)),INDEX('NOTES CP'!$AT$10:$AT$250,MATCH(AG43,'NOTES CP'!$B$10:$B$250,0))),""))</f>
        <v>5.5</v>
      </c>
      <c r="AK43" s="51" t="n">
        <f aca="false">IF(ISNUMBER(AJ43),AJ43+(1000-3)/1000000,"")</f>
        <v>5.500997</v>
      </c>
      <c r="AL43" s="51" t="str">
        <f aca="false">IF(AG43="","",IFERROR(CHOOSE($C$9,INDEX('NOTES CP'!$G$10:$G$250,MATCH(AG43,'NOTES CP'!$B$10:$B$250,0)),INDEX('NOTES CP'!$Q$10:$Q$250,MATCH(AG43,'NOTES CP'!$B$10:$B$250,0)),INDEX('NOTES CP'!$AA$10:$AA$250,MATCH(AG43,'NOTES CP'!$B$10:$B$250,0)),INDEX('NOTES CP'!$AK$10:$AK$250,MATCH(AG43,'NOTES CP'!$B$10:$B$250,0))),""))</f>
        <v>OUI</v>
      </c>
      <c r="AM43" s="51" t="n">
        <f aca="false">IFERROR(MATCH("CE1-3",'REGISTRE ELEVES'!$AG$10:$AG$250,0),"")</f>
        <v>26</v>
      </c>
      <c r="AN43" s="51" t="str">
        <f aca="false">IF(AM43="","",INDEX('REGISTRE ELEVES'!$B$10:$B$250,AM43))</f>
        <v>CE1-003-26</v>
      </c>
      <c r="AO43" s="51" t="str">
        <f aca="false">IF(AM43="","",INDEX('REGISTRE ELEVES'!$D$10:$D$250,AM43))</f>
        <v>AKA Abdoulaye Jean-Marc</v>
      </c>
      <c r="AP43" s="51" t="str">
        <f aca="false">IF(AM43="","",INDEX('REGISTRE ELEVES'!$E$10:$E$250,AM43))</f>
        <v>M</v>
      </c>
      <c r="AQ43" s="110" t="n">
        <f aca="false">IF(AN43="","",IFERROR(CHOOSE($C$9,INDEX('NOTES CE1'!$M$10:$M$250,MATCH(AN43,'NOTES CE1'!$B$10:$B$250,0)),INDEX('NOTES CE1'!$T$10:$T$250,MATCH(AN43,'NOTES CE1'!$B$10:$B$250,0)),INDEX('NOTES CE1'!$AA$10:$AA$250,MATCH(AN43,'NOTES CE1'!$B$10:$B$250,0)),INDEX('NOTES CE1'!$AH$10:$AH$250,MATCH(AN43,'NOTES CE1'!$B$10:$B$250,0))),""))</f>
        <v>3.21</v>
      </c>
      <c r="AR43" s="51" t="n">
        <f aca="false">IF(ISNUMBER(AQ43),AQ43+(1000-3)/1000000,"")</f>
        <v>3.210997</v>
      </c>
      <c r="AS43" s="51" t="str">
        <f aca="false">IF(AN43="","",IFERROR(CHOOSE($C$9,INDEX('NOTES CE1'!$G$10:$G$250,MATCH(AN43,'NOTES CE1'!$B$10:$B$250,0)),INDEX('NOTES CE1'!$N$10:$N$250,MATCH(AN43,'NOTES CE1'!$B$10:$B$250,0)),INDEX('NOTES CE1'!$U$10:$U$250,MATCH(AN43,'NOTES CE1'!$B$10:$B$250,0)),INDEX('NOTES CE1'!$AB$10:$AB$250,MATCH(AN43,'NOTES CE1'!$B$10:$B$250,0))),""))</f>
        <v>OUI</v>
      </c>
      <c r="AT43" s="51" t="n">
        <f aca="false">IFERROR(MATCH("CE2-3",'REGISTRE ELEVES'!$AG$10:$AG$250,0),"")</f>
        <v>35</v>
      </c>
      <c r="AU43" s="51" t="str">
        <f aca="false">IF(AT43="","",INDEX('REGISTRE ELEVES'!$B$10:$B$250,AT43))</f>
        <v>CE2-003-26</v>
      </c>
      <c r="AV43" s="51" t="str">
        <f aca="false">IF(AT43="","",INDEX('REGISTRE ELEVES'!$D$10:$D$250,AT43))</f>
        <v>KOFFI Estelle Akissi</v>
      </c>
      <c r="AW43" s="51" t="str">
        <f aca="false">IF(AT43="","",INDEX('REGISTRE ELEVES'!$E$10:$E$250,AT43))</f>
        <v>F</v>
      </c>
      <c r="AX43" s="110" t="n">
        <f aca="false">IF(AU43="","",IFERROR(CHOOSE($C$9,INDEX('NOTES CE2-CM1'!$M$10:$M$250,MATCH(AU43,'NOTES CE2-CM1'!$B$10:$B$250,0)),INDEX('NOTES CE2-CM1'!$T$10:$T$250,MATCH(AU43,'NOTES CE2-CM1'!$B$10:$B$250,0)),INDEX('NOTES CE2-CM1'!$AA$10:$AA$250,MATCH(AU43,'NOTES CE2-CM1'!$B$10:$B$250,0)),INDEX('NOTES CE2-CM1'!$AH$10:$AH$250,MATCH(AU43,'NOTES CE2-CM1'!$B$10:$B$250,0))),""))</f>
        <v>2.71</v>
      </c>
      <c r="AY43" s="51" t="n">
        <f aca="false">IF(ISNUMBER(AX43),AX43+(1000-3)/1000000,"")</f>
        <v>2.710997</v>
      </c>
      <c r="AZ43" s="51" t="str">
        <f aca="false">IF(AU43="","",IFERROR(CHOOSE($C$9,INDEX('NOTES CE2-CM1'!$G$10:$G$250,MATCH(AU43,'NOTES CE2-CM1'!$B$10:$B$250,0)),INDEX('NOTES CE2-CM1'!$N$10:$N$250,MATCH(AU43,'NOTES CE2-CM1'!$B$10:$B$250,0)),INDEX('NOTES CE2-CM1'!$U$10:$U$250,MATCH(AU43,'NOTES CE2-CM1'!$B$10:$B$250,0)),INDEX('NOTES CE2-CM1'!$AB$10:$AB$250,MATCH(AU43,'NOTES CE2-CM1'!$B$10:$B$250,0))),""))</f>
        <v>OUI</v>
      </c>
      <c r="BA43" s="51" t="n">
        <f aca="false">IFERROR(MATCH("CM1-3",'REGISTRE ELEVES'!$AG$10:$AG$250,0),"")</f>
        <v>47</v>
      </c>
      <c r="BB43" s="51" t="str">
        <f aca="false">IF(BA43="","",INDEX('REGISTRE ELEVES'!$B$10:$B$250,BA43))</f>
        <v>CM1-003-26</v>
      </c>
      <c r="BC43" s="51" t="str">
        <f aca="false">IF(BA43="","",INDEX('REGISTRE ELEVES'!$D$10:$D$250,BA43))</f>
        <v>KONAN Adjoua Mariam</v>
      </c>
      <c r="BD43" s="51" t="str">
        <f aca="false">IF(BA43="","",INDEX('REGISTRE ELEVES'!$E$10:$E$250,BA43))</f>
        <v>F</v>
      </c>
      <c r="BE43" s="110" t="n">
        <f aca="false">IF(BB43="","",IFERROR(CHOOSE($C$9,INDEX('NOTES CE2-CM1'!$M$10:$M$250,MATCH(BB43,'NOTES CE2-CM1'!$B$10:$B$250,0)),INDEX('NOTES CE2-CM1'!$T$10:$T$250,MATCH(BB43,'NOTES CE2-CM1'!$B$10:$B$250,0)),INDEX('NOTES CE2-CM1'!$AA$10:$AA$250,MATCH(BB43,'NOTES CE2-CM1'!$B$10:$B$250,0)),INDEX('NOTES CE2-CM1'!$AH$10:$AH$250,MATCH(BB43,'NOTES CE2-CM1'!$B$10:$B$250,0))),""))</f>
        <v>4.32</v>
      </c>
      <c r="BF43" s="51" t="n">
        <f aca="false">IF(ISNUMBER(BE43),BE43+(1000-3)/1000000,"")</f>
        <v>4.320997</v>
      </c>
      <c r="BG43" s="51" t="str">
        <f aca="false">IF(BB43="","",IFERROR(CHOOSE($C$9,INDEX('NOTES CE2-CM1'!$G$10:$G$250,MATCH(BB43,'NOTES CE2-CM1'!$B$10:$B$250,0)),INDEX('NOTES CE2-CM1'!$N$10:$N$250,MATCH(BB43,'NOTES CE2-CM1'!$B$10:$B$250,0)),INDEX('NOTES CE2-CM1'!$U$10:$U$250,MATCH(BB43,'NOTES CE2-CM1'!$B$10:$B$250,0)),INDEX('NOTES CE2-CM1'!$AB$10:$AB$250,MATCH(BB43,'NOTES CE2-CM1'!$B$10:$B$250,0))),""))</f>
        <v>OUI</v>
      </c>
      <c r="BH43" s="51" t="n">
        <f aca="false">IFERROR(MATCH("CM2-3",'REGISTRE ELEVES'!$AG$10:$AG$250,0),"")</f>
        <v>58</v>
      </c>
      <c r="BI43" s="51" t="str">
        <f aca="false">IF(BH43="","",INDEX('REGISTRE ELEVES'!$B$10:$B$250,BH43))</f>
        <v>CM2-003-26</v>
      </c>
      <c r="BJ43" s="51" t="str">
        <f aca="false">IF(BH43="","",INDEX('REGISTRE ELEVES'!$D$10:$D$250,BH43))</f>
        <v>BAMBA Grâce Nadège</v>
      </c>
      <c r="BK43" s="51" t="str">
        <f aca="false">IF(BH43="","",INDEX('REGISTRE ELEVES'!$E$10:$E$250,BH43))</f>
        <v>F</v>
      </c>
      <c r="BL43" s="110" t="n">
        <f aca="false">IF(BI43="","",IFERROR(CHOOSE($C$9,INDEX('NOTES CM2'!$M$10:$M$250,MATCH(BI43,'NOTES CM2'!$B$10:$B$250,0)),INDEX('NOTES CM2'!$T$10:$T$250,MATCH(BI43,'NOTES CM2'!$B$10:$B$250,0)),INDEX('NOTES CM2'!$AB$10:$AB$250,MATCH(BI43,'NOTES CM2'!$B$10:$B$250,0)),INDEX('NOTES CM2'!$AJ$10:$AJ$250,MATCH(BI43,'NOTES CM2'!$B$10:$B$250,0))),""))</f>
        <v>6.53</v>
      </c>
      <c r="BM43" s="51" t="n">
        <f aca="false">IF(ISNUMBER(BL43),BL43+(1000-3)/1000000,"")</f>
        <v>6.530997</v>
      </c>
      <c r="BN43" s="51" t="str">
        <f aca="false">IF(BI43="","",IFERROR(CHOOSE($C$9,INDEX('NOTES CM2'!$G$10:$G$250,MATCH(BI43,'NOTES CM2'!$B$10:$B$250,0)),INDEX('NOTES CM2'!$N$10:$N$250,MATCH(BI43,'NOTES CM2'!$B$10:$B$250,0)),INDEX('NOTES CM2'!$U$10:$U$250,MATCH(BI43,'NOTES CM2'!$B$10:$B$250,0)),INDEX('NOTES CM2'!$AC$10:$AC$250,MATCH(BI43,'NOTES CM2'!$B$10:$B$250,0))),""))</f>
        <v>OUI</v>
      </c>
    </row>
    <row r="44" customFormat="false" ht="15" hidden="false" customHeight="false" outlineLevel="0" collapsed="false">
      <c r="Y44" s="51" t="n">
        <f aca="false">IFERROR(MATCH("CP1-4",'REGISTRE ELEVES'!$AG$10:$AG$250,0),"")</f>
        <v>4</v>
      </c>
      <c r="Z44" s="51" t="str">
        <f aca="false">IF(Y44="","",INDEX('REGISTRE ELEVES'!$B$10:$B$250,Y44))</f>
        <v>CP1-004-26</v>
      </c>
      <c r="AA44" s="51" t="str">
        <f aca="false">IF(Y44="","",INDEX('REGISTRE ELEVES'!$D$10:$D$250,Y44))</f>
        <v>ZADI Estelle Mariam</v>
      </c>
      <c r="AB44" s="51" t="str">
        <f aca="false">IF(Y44="","",INDEX('REGISTRE ELEVES'!$E$10:$E$250,Y44))</f>
        <v>F</v>
      </c>
      <c r="AC44" s="110" t="n">
        <f aca="false">IF(Z44="","",IFERROR(CHOOSE($C$9,INDEX('NOTES CP'!$P$10:$P$250,MATCH(Z44,'NOTES CP'!$B$10:$B$250,0)),INDEX('NOTES CP'!$Z$10:$Z$250,MATCH(Z44,'NOTES CP'!$B$10:$B$250,0)),INDEX('NOTES CP'!$AJ$10:$AJ$250,MATCH(Z44,'NOTES CP'!$B$10:$B$250,0)),INDEX('NOTES CP'!$AT$10:$AT$250,MATCH(Z44,'NOTES CP'!$B$10:$B$250,0))),""))</f>
        <v>7.63</v>
      </c>
      <c r="AD44" s="51" t="n">
        <f aca="false">IF(ISNUMBER(AC44),AC44+(1000-4)/1000000,"")</f>
        <v>7.630996</v>
      </c>
      <c r="AE44" s="51" t="str">
        <f aca="false">IF(Z44="","",IFERROR(CHOOSE($C$9,INDEX('NOTES CP'!$G$10:$G$250,MATCH(Z44,'NOTES CP'!$B$10:$B$250,0)),INDEX('NOTES CP'!$Q$10:$Q$250,MATCH(Z44,'NOTES CP'!$B$10:$B$250,0)),INDEX('NOTES CP'!$AA$10:$AA$250,MATCH(Z44,'NOTES CP'!$B$10:$B$250,0)),INDEX('NOTES CP'!$AK$10:$AK$250,MATCH(Z44,'NOTES CP'!$B$10:$B$250,0))),""))</f>
        <v>OUI</v>
      </c>
      <c r="AF44" s="51" t="n">
        <f aca="false">IFERROR(MATCH("CP2-4",'REGISTRE ELEVES'!$AG$10:$AG$250,0),"")</f>
        <v>15</v>
      </c>
      <c r="AG44" s="51" t="str">
        <f aca="false">IF(AF44="","",INDEX('REGISTRE ELEVES'!$B$10:$B$250,AF44))</f>
        <v>CP2-004-26</v>
      </c>
      <c r="AH44" s="51" t="str">
        <f aca="false">IF(AF44="","",INDEX('REGISTRE ELEVES'!$D$10:$D$250,AF44))</f>
        <v>BOHOUSSOU Awa Amenan</v>
      </c>
      <c r="AI44" s="51" t="str">
        <f aca="false">IF(AF44="","",INDEX('REGISTRE ELEVES'!$E$10:$E$250,AF44))</f>
        <v>F</v>
      </c>
      <c r="AJ44" s="110" t="n">
        <f aca="false">IF(AG44="","",IFERROR(CHOOSE($C$9,INDEX('NOTES CP'!$P$10:$P$250,MATCH(AG44,'NOTES CP'!$B$10:$B$250,0)),INDEX('NOTES CP'!$Z$10:$Z$250,MATCH(AG44,'NOTES CP'!$B$10:$B$250,0)),INDEX('NOTES CP'!$AJ$10:$AJ$250,MATCH(AG44,'NOTES CP'!$B$10:$B$250,0)),INDEX('NOTES CP'!$AT$10:$AT$250,MATCH(AG44,'NOTES CP'!$B$10:$B$250,0))),""))</f>
        <v>4.69</v>
      </c>
      <c r="AK44" s="51" t="n">
        <f aca="false">IF(ISNUMBER(AJ44),AJ44+(1000-4)/1000000,"")</f>
        <v>4.690996</v>
      </c>
      <c r="AL44" s="51" t="str">
        <f aca="false">IF(AG44="","",IFERROR(CHOOSE($C$9,INDEX('NOTES CP'!$G$10:$G$250,MATCH(AG44,'NOTES CP'!$B$10:$B$250,0)),INDEX('NOTES CP'!$Q$10:$Q$250,MATCH(AG44,'NOTES CP'!$B$10:$B$250,0)),INDEX('NOTES CP'!$AA$10:$AA$250,MATCH(AG44,'NOTES CP'!$B$10:$B$250,0)),INDEX('NOTES CP'!$AK$10:$AK$250,MATCH(AG44,'NOTES CP'!$B$10:$B$250,0))),""))</f>
        <v>OUI</v>
      </c>
      <c r="AM44" s="51" t="n">
        <f aca="false">IFERROR(MATCH("CE1-4",'REGISTRE ELEVES'!$AG$10:$AG$250,0),"")</f>
        <v>27</v>
      </c>
      <c r="AN44" s="51" t="str">
        <f aca="false">IF(AM44="","",INDEX('REGISTRE ELEVES'!$B$10:$B$250,AM44))</f>
        <v>CE1-004-26</v>
      </c>
      <c r="AO44" s="51" t="str">
        <f aca="false">IF(AM44="","",INDEX('REGISTRE ELEVES'!$D$10:$D$250,AM44))</f>
        <v>KOFFI Grâce Akissi</v>
      </c>
      <c r="AP44" s="51" t="str">
        <f aca="false">IF(AM44="","",INDEX('REGISTRE ELEVES'!$E$10:$E$250,AM44))</f>
        <v>F</v>
      </c>
      <c r="AQ44" s="110" t="n">
        <f aca="false">IF(AN44="","",IFERROR(CHOOSE($C$9,INDEX('NOTES CE1'!$M$10:$M$250,MATCH(AN44,'NOTES CE1'!$B$10:$B$250,0)),INDEX('NOTES CE1'!$T$10:$T$250,MATCH(AN44,'NOTES CE1'!$B$10:$B$250,0)),INDEX('NOTES CE1'!$AA$10:$AA$250,MATCH(AN44,'NOTES CE1'!$B$10:$B$250,0)),INDEX('NOTES CE1'!$AH$10:$AH$250,MATCH(AN44,'NOTES CE1'!$B$10:$B$250,0))),""))</f>
        <v>0</v>
      </c>
      <c r="AR44" s="51" t="n">
        <f aca="false">IF(ISNUMBER(AQ44),AQ44+(1000-4)/1000000,"")</f>
        <v>0.000996</v>
      </c>
      <c r="AS44" s="51" t="str">
        <f aca="false">IF(AN44="","",IFERROR(CHOOSE($C$9,INDEX('NOTES CE1'!$G$10:$G$250,MATCH(AN44,'NOTES CE1'!$B$10:$B$250,0)),INDEX('NOTES CE1'!$N$10:$N$250,MATCH(AN44,'NOTES CE1'!$B$10:$B$250,0)),INDEX('NOTES CE1'!$U$10:$U$250,MATCH(AN44,'NOTES CE1'!$B$10:$B$250,0)),INDEX('NOTES CE1'!$AB$10:$AB$250,MATCH(AN44,'NOTES CE1'!$B$10:$B$250,0))),""))</f>
        <v>NON</v>
      </c>
      <c r="AT44" s="51" t="n">
        <f aca="false">IFERROR(MATCH("CE2-4",'REGISTRE ELEVES'!$AG$10:$AG$250,0),"")</f>
        <v>36</v>
      </c>
      <c r="AU44" s="51" t="str">
        <f aca="false">IF(AT44="","",INDEX('REGISTRE ELEVES'!$B$10:$B$250,AT44))</f>
        <v>CE2-004-26</v>
      </c>
      <c r="AV44" s="51" t="str">
        <f aca="false">IF(AT44="","",INDEX('REGISTRE ELEVES'!$D$10:$D$250,AT44))</f>
        <v>BOHOUSSOU Adjoua Akissi</v>
      </c>
      <c r="AW44" s="51" t="str">
        <f aca="false">IF(AT44="","",INDEX('REGISTRE ELEVES'!$E$10:$E$250,AT44))</f>
        <v>F</v>
      </c>
      <c r="AX44" s="110" t="n">
        <f aca="false">IF(AU44="","",IFERROR(CHOOSE($C$9,INDEX('NOTES CE2-CM1'!$M$10:$M$250,MATCH(AU44,'NOTES CE2-CM1'!$B$10:$B$250,0)),INDEX('NOTES CE2-CM1'!$T$10:$T$250,MATCH(AU44,'NOTES CE2-CM1'!$B$10:$B$250,0)),INDEX('NOTES CE2-CM1'!$AA$10:$AA$250,MATCH(AU44,'NOTES CE2-CM1'!$B$10:$B$250,0)),INDEX('NOTES CE2-CM1'!$AH$10:$AH$250,MATCH(AU44,'NOTES CE2-CM1'!$B$10:$B$250,0))),""))</f>
        <v>5.32</v>
      </c>
      <c r="AY44" s="51" t="n">
        <f aca="false">IF(ISNUMBER(AX44),AX44+(1000-4)/1000000,"")</f>
        <v>5.320996</v>
      </c>
      <c r="AZ44" s="51" t="str">
        <f aca="false">IF(AU44="","",IFERROR(CHOOSE($C$9,INDEX('NOTES CE2-CM1'!$G$10:$G$250,MATCH(AU44,'NOTES CE2-CM1'!$B$10:$B$250,0)),INDEX('NOTES CE2-CM1'!$N$10:$N$250,MATCH(AU44,'NOTES CE2-CM1'!$B$10:$B$250,0)),INDEX('NOTES CE2-CM1'!$U$10:$U$250,MATCH(AU44,'NOTES CE2-CM1'!$B$10:$B$250,0)),INDEX('NOTES CE2-CM1'!$AB$10:$AB$250,MATCH(AU44,'NOTES CE2-CM1'!$B$10:$B$250,0))),""))</f>
        <v>OUI</v>
      </c>
      <c r="BA44" s="51" t="n">
        <f aca="false">IFERROR(MATCH("CM1-4",'REGISTRE ELEVES'!$AG$10:$AG$250,0),"")</f>
        <v>48</v>
      </c>
      <c r="BB44" s="51" t="str">
        <f aca="false">IF(BA44="","",INDEX('REGISTRE ELEVES'!$B$10:$B$250,BA44))</f>
        <v>CM1-004-26</v>
      </c>
      <c r="BC44" s="51" t="str">
        <f aca="false">IF(BA44="","",INDEX('REGISTRE ELEVES'!$D$10:$D$250,BA44))</f>
        <v>SORO Koffi Ismaël</v>
      </c>
      <c r="BD44" s="51" t="str">
        <f aca="false">IF(BA44="","",INDEX('REGISTRE ELEVES'!$E$10:$E$250,BA44))</f>
        <v>M</v>
      </c>
      <c r="BE44" s="110" t="n">
        <f aca="false">IF(BB44="","",IFERROR(CHOOSE($C$9,INDEX('NOTES CE2-CM1'!$M$10:$M$250,MATCH(BB44,'NOTES CE2-CM1'!$B$10:$B$250,0)),INDEX('NOTES CE2-CM1'!$T$10:$T$250,MATCH(BB44,'NOTES CE2-CM1'!$B$10:$B$250,0)),INDEX('NOTES CE2-CM1'!$AA$10:$AA$250,MATCH(BB44,'NOTES CE2-CM1'!$B$10:$B$250,0)),INDEX('NOTES CE2-CM1'!$AH$10:$AH$250,MATCH(BB44,'NOTES CE2-CM1'!$B$10:$B$250,0))),""))</f>
        <v>3.65</v>
      </c>
      <c r="BF44" s="51" t="n">
        <f aca="false">IF(ISNUMBER(BE44),BE44+(1000-4)/1000000,"")</f>
        <v>3.650996</v>
      </c>
      <c r="BG44" s="51" t="str">
        <f aca="false">IF(BB44="","",IFERROR(CHOOSE($C$9,INDEX('NOTES CE2-CM1'!$G$10:$G$250,MATCH(BB44,'NOTES CE2-CM1'!$B$10:$B$250,0)),INDEX('NOTES CE2-CM1'!$N$10:$N$250,MATCH(BB44,'NOTES CE2-CM1'!$B$10:$B$250,0)),INDEX('NOTES CE2-CM1'!$U$10:$U$250,MATCH(BB44,'NOTES CE2-CM1'!$B$10:$B$250,0)),INDEX('NOTES CE2-CM1'!$AB$10:$AB$250,MATCH(BB44,'NOTES CE2-CM1'!$B$10:$B$250,0))),""))</f>
        <v>OUI</v>
      </c>
      <c r="BH44" s="51" t="n">
        <f aca="false">IFERROR(MATCH("CM2-4",'REGISTRE ELEVES'!$AG$10:$AG$250,0),"")</f>
        <v>59</v>
      </c>
      <c r="BI44" s="51" t="str">
        <f aca="false">IF(BH44="","",INDEX('REGISTRE ELEVES'!$B$10:$B$250,BH44))</f>
        <v>CM2-004-26</v>
      </c>
      <c r="BJ44" s="51" t="str">
        <f aca="false">IF(BH44="","",INDEX('REGISTRE ELEVES'!$D$10:$D$250,BH44))</f>
        <v>KONE Cédric Abdoulaye</v>
      </c>
      <c r="BK44" s="51" t="str">
        <f aca="false">IF(BH44="","",INDEX('REGISTRE ELEVES'!$E$10:$E$250,BH44))</f>
        <v>M</v>
      </c>
      <c r="BL44" s="110" t="n">
        <f aca="false">IF(BI44="","",IFERROR(CHOOSE($C$9,INDEX('NOTES CM2'!$M$10:$M$250,MATCH(BI44,'NOTES CM2'!$B$10:$B$250,0)),INDEX('NOTES CM2'!$T$10:$T$250,MATCH(BI44,'NOTES CM2'!$B$10:$B$250,0)),INDEX('NOTES CM2'!$AB$10:$AB$250,MATCH(BI44,'NOTES CM2'!$B$10:$B$250,0)),INDEX('NOTES CM2'!$AJ$10:$AJ$250,MATCH(BI44,'NOTES CM2'!$B$10:$B$250,0))),""))</f>
        <v>10.29</v>
      </c>
      <c r="BM44" s="51" t="n">
        <f aca="false">IF(ISNUMBER(BL44),BL44+(1000-4)/1000000,"")</f>
        <v>10.290996</v>
      </c>
      <c r="BN44" s="51" t="str">
        <f aca="false">IF(BI44="","",IFERROR(CHOOSE($C$9,INDEX('NOTES CM2'!$G$10:$G$250,MATCH(BI44,'NOTES CM2'!$B$10:$B$250,0)),INDEX('NOTES CM2'!$N$10:$N$250,MATCH(BI44,'NOTES CM2'!$B$10:$B$250,0)),INDEX('NOTES CM2'!$U$10:$U$250,MATCH(BI44,'NOTES CM2'!$B$10:$B$250,0)),INDEX('NOTES CM2'!$AC$10:$AC$250,MATCH(BI44,'NOTES CM2'!$B$10:$B$250,0))),""))</f>
        <v>OUI</v>
      </c>
    </row>
    <row r="45" customFormat="false" ht="15" hidden="false" customHeight="false" outlineLevel="0" collapsed="false">
      <c r="Y45" s="51" t="n">
        <f aca="false">IFERROR(MATCH("CP1-5",'REGISTRE ELEVES'!$AG$10:$AG$250,0),"")</f>
        <v>5</v>
      </c>
      <c r="Z45" s="51" t="str">
        <f aca="false">IF(Y45="","",INDEX('REGISTRE ELEVES'!$B$10:$B$250,Y45))</f>
        <v>CP1-005-26</v>
      </c>
      <c r="AA45" s="51" t="str">
        <f aca="false">IF(Y45="","",INDEX('REGISTRE ELEVES'!$D$10:$D$250,Y45))</f>
        <v>KOFFI Awa Akissi</v>
      </c>
      <c r="AB45" s="51" t="str">
        <f aca="false">IF(Y45="","",INDEX('REGISTRE ELEVES'!$E$10:$E$250,Y45))</f>
        <v>F</v>
      </c>
      <c r="AC45" s="110" t="n">
        <f aca="false">IF(Z45="","",IFERROR(CHOOSE($C$9,INDEX('NOTES CP'!$P$10:$P$250,MATCH(Z45,'NOTES CP'!$B$10:$B$250,0)),INDEX('NOTES CP'!$Z$10:$Z$250,MATCH(Z45,'NOTES CP'!$B$10:$B$250,0)),INDEX('NOTES CP'!$AJ$10:$AJ$250,MATCH(Z45,'NOTES CP'!$B$10:$B$250,0)),INDEX('NOTES CP'!$AT$10:$AT$250,MATCH(Z45,'NOTES CP'!$B$10:$B$250,0))),""))</f>
        <v>5.56</v>
      </c>
      <c r="AD45" s="51" t="n">
        <f aca="false">IF(ISNUMBER(AC45),AC45+(1000-5)/1000000,"")</f>
        <v>5.560995</v>
      </c>
      <c r="AE45" s="51" t="str">
        <f aca="false">IF(Z45="","",IFERROR(CHOOSE($C$9,INDEX('NOTES CP'!$G$10:$G$250,MATCH(Z45,'NOTES CP'!$B$10:$B$250,0)),INDEX('NOTES CP'!$Q$10:$Q$250,MATCH(Z45,'NOTES CP'!$B$10:$B$250,0)),INDEX('NOTES CP'!$AA$10:$AA$250,MATCH(Z45,'NOTES CP'!$B$10:$B$250,0)),INDEX('NOTES CP'!$AK$10:$AK$250,MATCH(Z45,'NOTES CP'!$B$10:$B$250,0))),""))</f>
        <v>OUI</v>
      </c>
      <c r="AF45" s="51" t="n">
        <f aca="false">IFERROR(MATCH("CP2-5",'REGISTRE ELEVES'!$AG$10:$AG$250,0),"")</f>
        <v>16</v>
      </c>
      <c r="AG45" s="51" t="str">
        <f aca="false">IF(AF45="","",INDEX('REGISTRE ELEVES'!$B$10:$B$250,AF45))</f>
        <v>CP2-005-26</v>
      </c>
      <c r="AH45" s="51" t="str">
        <f aca="false">IF(AF45="","",INDEX('REGISTRE ELEVES'!$D$10:$D$250,AF45))</f>
        <v>KONE Kouadio Ismaël</v>
      </c>
      <c r="AI45" s="51" t="str">
        <f aca="false">IF(AF45="","",INDEX('REGISTRE ELEVES'!$E$10:$E$250,AF45))</f>
        <v>M</v>
      </c>
      <c r="AJ45" s="110" t="n">
        <f aca="false">IF(AG45="","",IFERROR(CHOOSE($C$9,INDEX('NOTES CP'!$P$10:$P$250,MATCH(AG45,'NOTES CP'!$B$10:$B$250,0)),INDEX('NOTES CP'!$Z$10:$Z$250,MATCH(AG45,'NOTES CP'!$B$10:$B$250,0)),INDEX('NOTES CP'!$AJ$10:$AJ$250,MATCH(AG45,'NOTES CP'!$B$10:$B$250,0)),INDEX('NOTES CP'!$AT$10:$AT$250,MATCH(AG45,'NOTES CP'!$B$10:$B$250,0))),""))</f>
        <v>8.63</v>
      </c>
      <c r="AK45" s="51" t="n">
        <f aca="false">IF(ISNUMBER(AJ45),AJ45+(1000-5)/1000000,"")</f>
        <v>8.630995</v>
      </c>
      <c r="AL45" s="51" t="str">
        <f aca="false">IF(AG45="","",IFERROR(CHOOSE($C$9,INDEX('NOTES CP'!$G$10:$G$250,MATCH(AG45,'NOTES CP'!$B$10:$B$250,0)),INDEX('NOTES CP'!$Q$10:$Q$250,MATCH(AG45,'NOTES CP'!$B$10:$B$250,0)),INDEX('NOTES CP'!$AA$10:$AA$250,MATCH(AG45,'NOTES CP'!$B$10:$B$250,0)),INDEX('NOTES CP'!$AK$10:$AK$250,MATCH(AG45,'NOTES CP'!$B$10:$B$250,0))),""))</f>
        <v>OUI</v>
      </c>
      <c r="AM45" s="51" t="n">
        <f aca="false">IFERROR(MATCH("CE1-5",'REGISTRE ELEVES'!$AG$10:$AG$250,0),"")</f>
        <v>28</v>
      </c>
      <c r="AN45" s="51" t="str">
        <f aca="false">IF(AM45="","",INDEX('REGISTRE ELEVES'!$B$10:$B$250,AM45))</f>
        <v>CE1-005-26</v>
      </c>
      <c r="AO45" s="51" t="str">
        <f aca="false">IF(AM45="","",INDEX('REGISTRE ELEVES'!$D$10:$D$250,AM45))</f>
        <v>YAO Kouakou Konan</v>
      </c>
      <c r="AP45" s="51" t="str">
        <f aca="false">IF(AM45="","",INDEX('REGISTRE ELEVES'!$E$10:$E$250,AM45))</f>
        <v>M</v>
      </c>
      <c r="AQ45" s="110" t="n">
        <f aca="false">IF(AN45="","",IFERROR(CHOOSE($C$9,INDEX('NOTES CE1'!$M$10:$M$250,MATCH(AN45,'NOTES CE1'!$B$10:$B$250,0)),INDEX('NOTES CE1'!$T$10:$T$250,MATCH(AN45,'NOTES CE1'!$B$10:$B$250,0)),INDEX('NOTES CE1'!$AA$10:$AA$250,MATCH(AN45,'NOTES CE1'!$B$10:$B$250,0)),INDEX('NOTES CE1'!$AH$10:$AH$250,MATCH(AN45,'NOTES CE1'!$B$10:$B$250,0))),""))</f>
        <v>7.61</v>
      </c>
      <c r="AR45" s="51" t="n">
        <f aca="false">IF(ISNUMBER(AQ45),AQ45+(1000-5)/1000000,"")</f>
        <v>7.610995</v>
      </c>
      <c r="AS45" s="51" t="str">
        <f aca="false">IF(AN45="","",IFERROR(CHOOSE($C$9,INDEX('NOTES CE1'!$G$10:$G$250,MATCH(AN45,'NOTES CE1'!$B$10:$B$250,0)),INDEX('NOTES CE1'!$N$10:$N$250,MATCH(AN45,'NOTES CE1'!$B$10:$B$250,0)),INDEX('NOTES CE1'!$U$10:$U$250,MATCH(AN45,'NOTES CE1'!$B$10:$B$250,0)),INDEX('NOTES CE1'!$AB$10:$AB$250,MATCH(AN45,'NOTES CE1'!$B$10:$B$250,0))),""))</f>
        <v>OUI</v>
      </c>
      <c r="AT45" s="51" t="n">
        <f aca="false">IFERROR(MATCH("CE2-5",'REGISTRE ELEVES'!$AG$10:$AG$250,0),"")</f>
        <v>37</v>
      </c>
      <c r="AU45" s="51" t="str">
        <f aca="false">IF(AT45="","",INDEX('REGISTRE ELEVES'!$B$10:$B$250,AT45))</f>
        <v>CE2-005-26</v>
      </c>
      <c r="AV45" s="51" t="str">
        <f aca="false">IF(AT45="","",INDEX('REGISTRE ELEVES'!$D$10:$D$250,AT45))</f>
        <v>GNAGNE Yao Abdoulaye</v>
      </c>
      <c r="AW45" s="51" t="str">
        <f aca="false">IF(AT45="","",INDEX('REGISTRE ELEVES'!$E$10:$E$250,AT45))</f>
        <v>M</v>
      </c>
      <c r="AX45" s="110" t="n">
        <f aca="false">IF(AU45="","",IFERROR(CHOOSE($C$9,INDEX('NOTES CE2-CM1'!$M$10:$M$250,MATCH(AU45,'NOTES CE2-CM1'!$B$10:$B$250,0)),INDEX('NOTES CE2-CM1'!$T$10:$T$250,MATCH(AU45,'NOTES CE2-CM1'!$B$10:$B$250,0)),INDEX('NOTES CE2-CM1'!$AA$10:$AA$250,MATCH(AU45,'NOTES CE2-CM1'!$B$10:$B$250,0)),INDEX('NOTES CE2-CM1'!$AH$10:$AH$250,MATCH(AU45,'NOTES CE2-CM1'!$B$10:$B$250,0))),""))</f>
        <v>4.41</v>
      </c>
      <c r="AY45" s="51" t="n">
        <f aca="false">IF(ISNUMBER(AX45),AX45+(1000-5)/1000000,"")</f>
        <v>4.410995</v>
      </c>
      <c r="AZ45" s="51" t="str">
        <f aca="false">IF(AU45="","",IFERROR(CHOOSE($C$9,INDEX('NOTES CE2-CM1'!$G$10:$G$250,MATCH(AU45,'NOTES CE2-CM1'!$B$10:$B$250,0)),INDEX('NOTES CE2-CM1'!$N$10:$N$250,MATCH(AU45,'NOTES CE2-CM1'!$B$10:$B$250,0)),INDEX('NOTES CE2-CM1'!$U$10:$U$250,MATCH(AU45,'NOTES CE2-CM1'!$B$10:$B$250,0)),INDEX('NOTES CE2-CM1'!$AB$10:$AB$250,MATCH(AU45,'NOTES CE2-CM1'!$B$10:$B$250,0))),""))</f>
        <v>OUI</v>
      </c>
      <c r="BA45" s="51" t="n">
        <f aca="false">IFERROR(MATCH("CM1-5",'REGISTRE ELEVES'!$AG$10:$AG$250,0),"")</f>
        <v>49</v>
      </c>
      <c r="BB45" s="51" t="str">
        <f aca="false">IF(BA45="","",INDEX('REGISTRE ELEVES'!$B$10:$B$250,BA45))</f>
        <v>CM1-005-26</v>
      </c>
      <c r="BC45" s="51" t="str">
        <f aca="false">IF(BA45="","",INDEX('REGISTRE ELEVES'!$D$10:$D$250,BA45))</f>
        <v>SERI Konan Franck</v>
      </c>
      <c r="BD45" s="51" t="str">
        <f aca="false">IF(BA45="","",INDEX('REGISTRE ELEVES'!$E$10:$E$250,BA45))</f>
        <v>M</v>
      </c>
      <c r="BE45" s="110" t="n">
        <f aca="false">IF(BB45="","",IFERROR(CHOOSE($C$9,INDEX('NOTES CE2-CM1'!$M$10:$M$250,MATCH(BB45,'NOTES CE2-CM1'!$B$10:$B$250,0)),INDEX('NOTES CE2-CM1'!$T$10:$T$250,MATCH(BB45,'NOTES CE2-CM1'!$B$10:$B$250,0)),INDEX('NOTES CE2-CM1'!$AA$10:$AA$250,MATCH(BB45,'NOTES CE2-CM1'!$B$10:$B$250,0)),INDEX('NOTES CE2-CM1'!$AH$10:$AH$250,MATCH(BB45,'NOTES CE2-CM1'!$B$10:$B$250,0))),""))</f>
        <v>6.65</v>
      </c>
      <c r="BF45" s="51" t="n">
        <f aca="false">IF(ISNUMBER(BE45),BE45+(1000-5)/1000000,"")</f>
        <v>6.650995</v>
      </c>
      <c r="BG45" s="51" t="str">
        <f aca="false">IF(BB45="","",IFERROR(CHOOSE($C$9,INDEX('NOTES CE2-CM1'!$G$10:$G$250,MATCH(BB45,'NOTES CE2-CM1'!$B$10:$B$250,0)),INDEX('NOTES CE2-CM1'!$N$10:$N$250,MATCH(BB45,'NOTES CE2-CM1'!$B$10:$B$250,0)),INDEX('NOTES CE2-CM1'!$U$10:$U$250,MATCH(BB45,'NOTES CE2-CM1'!$B$10:$B$250,0)),INDEX('NOTES CE2-CM1'!$AB$10:$AB$250,MATCH(BB45,'NOTES CE2-CM1'!$B$10:$B$250,0))),""))</f>
        <v>OUI</v>
      </c>
      <c r="BH45" s="51" t="n">
        <f aca="false">IFERROR(MATCH("CM2-5",'REGISTRE ELEVES'!$AG$10:$AG$250,0),"")</f>
        <v>60</v>
      </c>
      <c r="BI45" s="51" t="str">
        <f aca="false">IF(BH45="","",INDEX('REGISTRE ELEVES'!$B$10:$B$250,BH45))</f>
        <v>CM2-005-26</v>
      </c>
      <c r="BJ45" s="51" t="str">
        <f aca="false">IF(BH45="","",INDEX('REGISTRE ELEVES'!$D$10:$D$250,BH45))</f>
        <v>SERI Awa Mariam</v>
      </c>
      <c r="BK45" s="51" t="str">
        <f aca="false">IF(BH45="","",INDEX('REGISTRE ELEVES'!$E$10:$E$250,BH45))</f>
        <v>F</v>
      </c>
      <c r="BL45" s="110" t="n">
        <f aca="false">IF(BI45="","",IFERROR(CHOOSE($C$9,INDEX('NOTES CM2'!$M$10:$M$250,MATCH(BI45,'NOTES CM2'!$B$10:$B$250,0)),INDEX('NOTES CM2'!$T$10:$T$250,MATCH(BI45,'NOTES CM2'!$B$10:$B$250,0)),INDEX('NOTES CM2'!$AB$10:$AB$250,MATCH(BI45,'NOTES CM2'!$B$10:$B$250,0)),INDEX('NOTES CM2'!$AJ$10:$AJ$250,MATCH(BI45,'NOTES CM2'!$B$10:$B$250,0))),""))</f>
        <v>9.82</v>
      </c>
      <c r="BM45" s="51" t="n">
        <f aca="false">IF(ISNUMBER(BL45),BL45+(1000-5)/1000000,"")</f>
        <v>9.820995</v>
      </c>
      <c r="BN45" s="51" t="str">
        <f aca="false">IF(BI45="","",IFERROR(CHOOSE($C$9,INDEX('NOTES CM2'!$G$10:$G$250,MATCH(BI45,'NOTES CM2'!$B$10:$B$250,0)),INDEX('NOTES CM2'!$N$10:$N$250,MATCH(BI45,'NOTES CM2'!$B$10:$B$250,0)),INDEX('NOTES CM2'!$U$10:$U$250,MATCH(BI45,'NOTES CM2'!$B$10:$B$250,0)),INDEX('NOTES CM2'!$AC$10:$AC$250,MATCH(BI45,'NOTES CM2'!$B$10:$B$250,0))),""))</f>
        <v>OUI</v>
      </c>
    </row>
    <row r="46" customFormat="false" ht="15" hidden="false" customHeight="false" outlineLevel="0" collapsed="false">
      <c r="Y46" s="51" t="n">
        <f aca="false">IFERROR(MATCH("CP1-6",'REGISTRE ELEVES'!$AG$10:$AG$250,0),"")</f>
        <v>6</v>
      </c>
      <c r="Z46" s="51" t="str">
        <f aca="false">IF(Y46="","",INDEX('REGISTRE ELEVES'!$B$10:$B$250,Y46))</f>
        <v>CP1-006-26</v>
      </c>
      <c r="AA46" s="51" t="str">
        <f aca="false">IF(Y46="","",INDEX('REGISTRE ELEVES'!$D$10:$D$250,Y46))</f>
        <v>GBOGOU Marie-Ange Estelle</v>
      </c>
      <c r="AB46" s="51" t="str">
        <f aca="false">IF(Y46="","",INDEX('REGISTRE ELEVES'!$E$10:$E$250,Y46))</f>
        <v>F</v>
      </c>
      <c r="AC46" s="110" t="n">
        <f aca="false">IF(Z46="","",IFERROR(CHOOSE($C$9,INDEX('NOTES CP'!$P$10:$P$250,MATCH(Z46,'NOTES CP'!$B$10:$B$250,0)),INDEX('NOTES CP'!$Z$10:$Z$250,MATCH(Z46,'NOTES CP'!$B$10:$B$250,0)),INDEX('NOTES CP'!$AJ$10:$AJ$250,MATCH(Z46,'NOTES CP'!$B$10:$B$250,0)),INDEX('NOTES CP'!$AT$10:$AT$250,MATCH(Z46,'NOTES CP'!$B$10:$B$250,0))),""))</f>
        <v>6.94</v>
      </c>
      <c r="AD46" s="51" t="n">
        <f aca="false">IF(ISNUMBER(AC46),AC46+(1000-6)/1000000,"")</f>
        <v>6.940994</v>
      </c>
      <c r="AE46" s="51" t="str">
        <f aca="false">IF(Z46="","",IFERROR(CHOOSE($C$9,INDEX('NOTES CP'!$G$10:$G$250,MATCH(Z46,'NOTES CP'!$B$10:$B$250,0)),INDEX('NOTES CP'!$Q$10:$Q$250,MATCH(Z46,'NOTES CP'!$B$10:$B$250,0)),INDEX('NOTES CP'!$AA$10:$AA$250,MATCH(Z46,'NOTES CP'!$B$10:$B$250,0)),INDEX('NOTES CP'!$AK$10:$AK$250,MATCH(Z46,'NOTES CP'!$B$10:$B$250,0))),""))</f>
        <v>OUI</v>
      </c>
      <c r="AF46" s="51" t="n">
        <f aca="false">IFERROR(MATCH("CP2-6",'REGISTRE ELEVES'!$AG$10:$AG$250,0),"")</f>
        <v>17</v>
      </c>
      <c r="AG46" s="51" t="str">
        <f aca="false">IF(AF46="","",INDEX('REGISTRE ELEVES'!$B$10:$B$250,AF46))</f>
        <v>CP2-006-26</v>
      </c>
      <c r="AH46" s="51" t="str">
        <f aca="false">IF(AF46="","",INDEX('REGISTRE ELEVES'!$D$10:$D$250,AF46))</f>
        <v>DIABATE Moussa Franck</v>
      </c>
      <c r="AI46" s="51" t="str">
        <f aca="false">IF(AF46="","",INDEX('REGISTRE ELEVES'!$E$10:$E$250,AF46))</f>
        <v>M</v>
      </c>
      <c r="AJ46" s="110" t="n">
        <f aca="false">IF(AG46="","",IFERROR(CHOOSE($C$9,INDEX('NOTES CP'!$P$10:$P$250,MATCH(AG46,'NOTES CP'!$B$10:$B$250,0)),INDEX('NOTES CP'!$Z$10:$Z$250,MATCH(AG46,'NOTES CP'!$B$10:$B$250,0)),INDEX('NOTES CP'!$AJ$10:$AJ$250,MATCH(AG46,'NOTES CP'!$B$10:$B$250,0)),INDEX('NOTES CP'!$AT$10:$AT$250,MATCH(AG46,'NOTES CP'!$B$10:$B$250,0))),""))</f>
        <v>5.06</v>
      </c>
      <c r="AK46" s="51" t="n">
        <f aca="false">IF(ISNUMBER(AJ46),AJ46+(1000-6)/1000000,"")</f>
        <v>5.060994</v>
      </c>
      <c r="AL46" s="51" t="str">
        <f aca="false">IF(AG46="","",IFERROR(CHOOSE($C$9,INDEX('NOTES CP'!$G$10:$G$250,MATCH(AG46,'NOTES CP'!$B$10:$B$250,0)),INDEX('NOTES CP'!$Q$10:$Q$250,MATCH(AG46,'NOTES CP'!$B$10:$B$250,0)),INDEX('NOTES CP'!$AA$10:$AA$250,MATCH(AG46,'NOTES CP'!$B$10:$B$250,0)),INDEX('NOTES CP'!$AK$10:$AK$250,MATCH(AG46,'NOTES CP'!$B$10:$B$250,0))),""))</f>
        <v>OUI</v>
      </c>
      <c r="AM46" s="51" t="n">
        <f aca="false">IFERROR(MATCH("CE1-6",'REGISTRE ELEVES'!$AG$10:$AG$250,0),"")</f>
        <v>29</v>
      </c>
      <c r="AN46" s="51" t="str">
        <f aca="false">IF(AM46="","",INDEX('REGISTRE ELEVES'!$B$10:$B$250,AM46))</f>
        <v>CE1-006-26</v>
      </c>
      <c r="AO46" s="51" t="str">
        <f aca="false">IF(AM46="","",INDEX('REGISTRE ELEVES'!$D$10:$D$250,AM46))</f>
        <v>SORO Cédric Emmanuel</v>
      </c>
      <c r="AP46" s="51" t="str">
        <f aca="false">IF(AM46="","",INDEX('REGISTRE ELEVES'!$E$10:$E$250,AM46))</f>
        <v>M</v>
      </c>
      <c r="AQ46" s="110" t="n">
        <f aca="false">IF(AN46="","",IFERROR(CHOOSE($C$9,INDEX('NOTES CE1'!$M$10:$M$250,MATCH(AN46,'NOTES CE1'!$B$10:$B$250,0)),INDEX('NOTES CE1'!$T$10:$T$250,MATCH(AN46,'NOTES CE1'!$B$10:$B$250,0)),INDEX('NOTES CE1'!$AA$10:$AA$250,MATCH(AN46,'NOTES CE1'!$B$10:$B$250,0)),INDEX('NOTES CE1'!$AH$10:$AH$250,MATCH(AN46,'NOTES CE1'!$B$10:$B$250,0))),""))</f>
        <v>6.5</v>
      </c>
      <c r="AR46" s="51" t="n">
        <f aca="false">IF(ISNUMBER(AQ46),AQ46+(1000-6)/1000000,"")</f>
        <v>6.500994</v>
      </c>
      <c r="AS46" s="51" t="str">
        <f aca="false">IF(AN46="","",IFERROR(CHOOSE($C$9,INDEX('NOTES CE1'!$G$10:$G$250,MATCH(AN46,'NOTES CE1'!$B$10:$B$250,0)),INDEX('NOTES CE1'!$N$10:$N$250,MATCH(AN46,'NOTES CE1'!$B$10:$B$250,0)),INDEX('NOTES CE1'!$U$10:$U$250,MATCH(AN46,'NOTES CE1'!$B$10:$B$250,0)),INDEX('NOTES CE1'!$AB$10:$AB$250,MATCH(AN46,'NOTES CE1'!$B$10:$B$250,0))),""))</f>
        <v>OUI</v>
      </c>
      <c r="AT46" s="51" t="n">
        <f aca="false">IFERROR(MATCH("CE2-6",'REGISTRE ELEVES'!$AG$10:$AG$250,0),"")</f>
        <v>38</v>
      </c>
      <c r="AU46" s="51" t="str">
        <f aca="false">IF(AT46="","",INDEX('REGISTRE ELEVES'!$B$10:$B$250,AT46))</f>
        <v>CE2-006-26</v>
      </c>
      <c r="AV46" s="51" t="str">
        <f aca="false">IF(AT46="","",INDEX('REGISTRE ELEVES'!$D$10:$D$250,AT46))</f>
        <v>LOBA Aya Rebecca</v>
      </c>
      <c r="AW46" s="51" t="str">
        <f aca="false">IF(AT46="","",INDEX('REGISTRE ELEVES'!$E$10:$E$250,AT46))</f>
        <v>F</v>
      </c>
      <c r="AX46" s="110" t="n">
        <f aca="false">IF(AU46="","",IFERROR(CHOOSE($C$9,INDEX('NOTES CE2-CM1'!$M$10:$M$250,MATCH(AU46,'NOTES CE2-CM1'!$B$10:$B$250,0)),INDEX('NOTES CE2-CM1'!$T$10:$T$250,MATCH(AU46,'NOTES CE2-CM1'!$B$10:$B$250,0)),INDEX('NOTES CE2-CM1'!$AA$10:$AA$250,MATCH(AU46,'NOTES CE2-CM1'!$B$10:$B$250,0)),INDEX('NOTES CE2-CM1'!$AH$10:$AH$250,MATCH(AU46,'NOTES CE2-CM1'!$B$10:$B$250,0))),""))</f>
        <v>4.88</v>
      </c>
      <c r="AY46" s="51" t="n">
        <f aca="false">IF(ISNUMBER(AX46),AX46+(1000-6)/1000000,"")</f>
        <v>4.880994</v>
      </c>
      <c r="AZ46" s="51" t="str">
        <f aca="false">IF(AU46="","",IFERROR(CHOOSE($C$9,INDEX('NOTES CE2-CM1'!$G$10:$G$250,MATCH(AU46,'NOTES CE2-CM1'!$B$10:$B$250,0)),INDEX('NOTES CE2-CM1'!$N$10:$N$250,MATCH(AU46,'NOTES CE2-CM1'!$B$10:$B$250,0)),INDEX('NOTES CE2-CM1'!$U$10:$U$250,MATCH(AU46,'NOTES CE2-CM1'!$B$10:$B$250,0)),INDEX('NOTES CE2-CM1'!$AB$10:$AB$250,MATCH(AU46,'NOTES CE2-CM1'!$B$10:$B$250,0))),""))</f>
        <v>OUI</v>
      </c>
      <c r="BA46" s="51" t="n">
        <f aca="false">IFERROR(MATCH("CM1-6",'REGISTRE ELEVES'!$AG$10:$AG$250,0),"")</f>
        <v>50</v>
      </c>
      <c r="BB46" s="51" t="str">
        <f aca="false">IF(BA46="","",INDEX('REGISTRE ELEVES'!$B$10:$B$250,BA46))</f>
        <v>CM1-006-26</v>
      </c>
      <c r="BC46" s="51" t="str">
        <f aca="false">IF(BA46="","",INDEX('REGISTRE ELEVES'!$D$10:$D$250,BA46))</f>
        <v>N'GUESSAN Jean-Marc Junior</v>
      </c>
      <c r="BD46" s="51" t="str">
        <f aca="false">IF(BA46="","",INDEX('REGISTRE ELEVES'!$E$10:$E$250,BA46))</f>
        <v>M</v>
      </c>
      <c r="BE46" s="110" t="n">
        <f aca="false">IF(BB46="","",IFERROR(CHOOSE($C$9,INDEX('NOTES CE2-CM1'!$M$10:$M$250,MATCH(BB46,'NOTES CE2-CM1'!$B$10:$B$250,0)),INDEX('NOTES CE2-CM1'!$T$10:$T$250,MATCH(BB46,'NOTES CE2-CM1'!$B$10:$B$250,0)),INDEX('NOTES CE2-CM1'!$AA$10:$AA$250,MATCH(BB46,'NOTES CE2-CM1'!$B$10:$B$250,0)),INDEX('NOTES CE2-CM1'!$AH$10:$AH$250,MATCH(BB46,'NOTES CE2-CM1'!$B$10:$B$250,0))),""))</f>
        <v>8.91</v>
      </c>
      <c r="BF46" s="51" t="n">
        <f aca="false">IF(ISNUMBER(BE46),BE46+(1000-6)/1000000,"")</f>
        <v>8.910994</v>
      </c>
      <c r="BG46" s="51" t="str">
        <f aca="false">IF(BB46="","",IFERROR(CHOOSE($C$9,INDEX('NOTES CE2-CM1'!$G$10:$G$250,MATCH(BB46,'NOTES CE2-CM1'!$B$10:$B$250,0)),INDEX('NOTES CE2-CM1'!$N$10:$N$250,MATCH(BB46,'NOTES CE2-CM1'!$B$10:$B$250,0)),INDEX('NOTES CE2-CM1'!$U$10:$U$250,MATCH(BB46,'NOTES CE2-CM1'!$B$10:$B$250,0)),INDEX('NOTES CE2-CM1'!$AB$10:$AB$250,MATCH(BB46,'NOTES CE2-CM1'!$B$10:$B$250,0))),""))</f>
        <v>OUI</v>
      </c>
      <c r="BH46" s="51" t="n">
        <f aca="false">IFERROR(MATCH("CM2-6",'REGISTRE ELEVES'!$AG$10:$AG$250,0),"")</f>
        <v>61</v>
      </c>
      <c r="BI46" s="51" t="str">
        <f aca="false">IF(BH46="","",INDEX('REGISTRE ELEVES'!$B$10:$B$250,BH46))</f>
        <v>CM2-006-26</v>
      </c>
      <c r="BJ46" s="51" t="str">
        <f aca="false">IF(BH46="","",INDEX('REGISTRE ELEVES'!$D$10:$D$250,BH46))</f>
        <v>TANOH Akissi Rebecca</v>
      </c>
      <c r="BK46" s="51" t="str">
        <f aca="false">IF(BH46="","",INDEX('REGISTRE ELEVES'!$E$10:$E$250,BH46))</f>
        <v>F</v>
      </c>
      <c r="BL46" s="110" t="n">
        <f aca="false">IF(BI46="","",IFERROR(CHOOSE($C$9,INDEX('NOTES CM2'!$M$10:$M$250,MATCH(BI46,'NOTES CM2'!$B$10:$B$250,0)),INDEX('NOTES CM2'!$T$10:$T$250,MATCH(BI46,'NOTES CM2'!$B$10:$B$250,0)),INDEX('NOTES CM2'!$AB$10:$AB$250,MATCH(BI46,'NOTES CM2'!$B$10:$B$250,0)),INDEX('NOTES CM2'!$AJ$10:$AJ$250,MATCH(BI46,'NOTES CM2'!$B$10:$B$250,0))),""))</f>
        <v>10.06</v>
      </c>
      <c r="BM46" s="51" t="n">
        <f aca="false">IF(ISNUMBER(BL46),BL46+(1000-6)/1000000,"")</f>
        <v>10.060994</v>
      </c>
      <c r="BN46" s="51" t="str">
        <f aca="false">IF(BI46="","",IFERROR(CHOOSE($C$9,INDEX('NOTES CM2'!$G$10:$G$250,MATCH(BI46,'NOTES CM2'!$B$10:$B$250,0)),INDEX('NOTES CM2'!$N$10:$N$250,MATCH(BI46,'NOTES CM2'!$B$10:$B$250,0)),INDEX('NOTES CM2'!$U$10:$U$250,MATCH(BI46,'NOTES CM2'!$B$10:$B$250,0)),INDEX('NOTES CM2'!$AC$10:$AC$250,MATCH(BI46,'NOTES CM2'!$B$10:$B$250,0))),""))</f>
        <v>OUI</v>
      </c>
    </row>
    <row r="47" customFormat="false" ht="15" hidden="false" customHeight="false" outlineLevel="0" collapsed="false">
      <c r="Y47" s="51" t="n">
        <f aca="false">IFERROR(MATCH("CP1-7",'REGISTRE ELEVES'!$AG$10:$AG$250,0),"")</f>
        <v>7</v>
      </c>
      <c r="Z47" s="51" t="str">
        <f aca="false">IF(Y47="","",INDEX('REGISTRE ELEVES'!$B$10:$B$250,Y47))</f>
        <v>CP1-007-26</v>
      </c>
      <c r="AA47" s="51" t="str">
        <f aca="false">IF(Y47="","",INDEX('REGISTRE ELEVES'!$D$10:$D$250,Y47))</f>
        <v>LOBA Amenan Affoué</v>
      </c>
      <c r="AB47" s="51" t="str">
        <f aca="false">IF(Y47="","",INDEX('REGISTRE ELEVES'!$E$10:$E$250,Y47))</f>
        <v>F</v>
      </c>
      <c r="AC47" s="110" t="n">
        <f aca="false">IF(Z47="","",IFERROR(CHOOSE($C$9,INDEX('NOTES CP'!$P$10:$P$250,MATCH(Z47,'NOTES CP'!$B$10:$B$250,0)),INDEX('NOTES CP'!$Z$10:$Z$250,MATCH(Z47,'NOTES CP'!$B$10:$B$250,0)),INDEX('NOTES CP'!$AJ$10:$AJ$250,MATCH(Z47,'NOTES CP'!$B$10:$B$250,0)),INDEX('NOTES CP'!$AT$10:$AT$250,MATCH(Z47,'NOTES CP'!$B$10:$B$250,0))),""))</f>
        <v>6.25</v>
      </c>
      <c r="AD47" s="51" t="n">
        <f aca="false">IF(ISNUMBER(AC47),AC47+(1000-7)/1000000,"")</f>
        <v>6.250993</v>
      </c>
      <c r="AE47" s="51" t="str">
        <f aca="false">IF(Z47="","",IFERROR(CHOOSE($C$9,INDEX('NOTES CP'!$G$10:$G$250,MATCH(Z47,'NOTES CP'!$B$10:$B$250,0)),INDEX('NOTES CP'!$Q$10:$Q$250,MATCH(Z47,'NOTES CP'!$B$10:$B$250,0)),INDEX('NOTES CP'!$AA$10:$AA$250,MATCH(Z47,'NOTES CP'!$B$10:$B$250,0)),INDEX('NOTES CP'!$AK$10:$AK$250,MATCH(Z47,'NOTES CP'!$B$10:$B$250,0))),""))</f>
        <v>OUI</v>
      </c>
      <c r="AF47" s="51" t="n">
        <f aca="false">IFERROR(MATCH("CP2-7",'REGISTRE ELEVES'!$AG$10:$AG$250,0),"")</f>
        <v>18</v>
      </c>
      <c r="AG47" s="51" t="str">
        <f aca="false">IF(AF47="","",INDEX('REGISTRE ELEVES'!$B$10:$B$250,AF47))</f>
        <v>CP2-007-26</v>
      </c>
      <c r="AH47" s="51" t="str">
        <f aca="false">IF(AF47="","",INDEX('REGISTRE ELEVES'!$D$10:$D$250,AF47))</f>
        <v>TRAORE Clarisse Awa</v>
      </c>
      <c r="AI47" s="51" t="str">
        <f aca="false">IF(AF47="","",INDEX('REGISTRE ELEVES'!$E$10:$E$250,AF47))</f>
        <v>F</v>
      </c>
      <c r="AJ47" s="110" t="n">
        <f aca="false">IF(AG47="","",IFERROR(CHOOSE($C$9,INDEX('NOTES CP'!$P$10:$P$250,MATCH(AG47,'NOTES CP'!$B$10:$B$250,0)),INDEX('NOTES CP'!$Z$10:$Z$250,MATCH(AG47,'NOTES CP'!$B$10:$B$250,0)),INDEX('NOTES CP'!$AJ$10:$AJ$250,MATCH(AG47,'NOTES CP'!$B$10:$B$250,0)),INDEX('NOTES CP'!$AT$10:$AT$250,MATCH(AG47,'NOTES CP'!$B$10:$B$250,0))),""))</f>
        <v>0</v>
      </c>
      <c r="AK47" s="51" t="n">
        <f aca="false">IF(ISNUMBER(AJ47),AJ47+(1000-7)/1000000,"")</f>
        <v>0.000993</v>
      </c>
      <c r="AL47" s="51" t="str">
        <f aca="false">IF(AG47="","",IFERROR(CHOOSE($C$9,INDEX('NOTES CP'!$G$10:$G$250,MATCH(AG47,'NOTES CP'!$B$10:$B$250,0)),INDEX('NOTES CP'!$Q$10:$Q$250,MATCH(AG47,'NOTES CP'!$B$10:$B$250,0)),INDEX('NOTES CP'!$AA$10:$AA$250,MATCH(AG47,'NOTES CP'!$B$10:$B$250,0)),INDEX('NOTES CP'!$AK$10:$AK$250,MATCH(AG47,'NOTES CP'!$B$10:$B$250,0))),""))</f>
        <v>NON</v>
      </c>
      <c r="AM47" s="51" t="n">
        <f aca="false">IFERROR(MATCH("CE1-7",'REGISTRE ELEVES'!$AG$10:$AG$250,0),"")</f>
        <v>30</v>
      </c>
      <c r="AN47" s="51" t="str">
        <f aca="false">IF(AM47="","",INDEX('REGISTRE ELEVES'!$B$10:$B$250,AM47))</f>
        <v>CE1-007-26</v>
      </c>
      <c r="AO47" s="51" t="str">
        <f aca="false">IF(AM47="","",INDEX('REGISTRE ELEVES'!$D$10:$D$250,AM47))</f>
        <v>KOUASSI Franck Kouakou</v>
      </c>
      <c r="AP47" s="51" t="str">
        <f aca="false">IF(AM47="","",INDEX('REGISTRE ELEVES'!$E$10:$E$250,AM47))</f>
        <v>M</v>
      </c>
      <c r="AQ47" s="110" t="n">
        <f aca="false">IF(AN47="","",IFERROR(CHOOSE($C$9,INDEX('NOTES CE1'!$M$10:$M$250,MATCH(AN47,'NOTES CE1'!$B$10:$B$250,0)),INDEX('NOTES CE1'!$T$10:$T$250,MATCH(AN47,'NOTES CE1'!$B$10:$B$250,0)),INDEX('NOTES CE1'!$AA$10:$AA$250,MATCH(AN47,'NOTES CE1'!$B$10:$B$250,0)),INDEX('NOTES CE1'!$AH$10:$AH$250,MATCH(AN47,'NOTES CE1'!$B$10:$B$250,0))),""))</f>
        <v>5.29</v>
      </c>
      <c r="AR47" s="51" t="n">
        <f aca="false">IF(ISNUMBER(AQ47),AQ47+(1000-7)/1000000,"")</f>
        <v>5.290993</v>
      </c>
      <c r="AS47" s="51" t="str">
        <f aca="false">IF(AN47="","",IFERROR(CHOOSE($C$9,INDEX('NOTES CE1'!$G$10:$G$250,MATCH(AN47,'NOTES CE1'!$B$10:$B$250,0)),INDEX('NOTES CE1'!$N$10:$N$250,MATCH(AN47,'NOTES CE1'!$B$10:$B$250,0)),INDEX('NOTES CE1'!$U$10:$U$250,MATCH(AN47,'NOTES CE1'!$B$10:$B$250,0)),INDEX('NOTES CE1'!$AB$10:$AB$250,MATCH(AN47,'NOTES CE1'!$B$10:$B$250,0))),""))</f>
        <v>OUI</v>
      </c>
      <c r="AT47" s="51" t="n">
        <f aca="false">IFERROR(MATCH("CE2-7",'REGISTRE ELEVES'!$AG$10:$AG$250,0),"")</f>
        <v>39</v>
      </c>
      <c r="AU47" s="51" t="str">
        <f aca="false">IF(AT47="","",INDEX('REGISTRE ELEVES'!$B$10:$B$250,AT47))</f>
        <v>CE2-007-26</v>
      </c>
      <c r="AV47" s="51" t="str">
        <f aca="false">IF(AT47="","",INDEX('REGISTRE ELEVES'!$D$10:$D$250,AT47))</f>
        <v>AKA Franck Moussa</v>
      </c>
      <c r="AW47" s="51" t="str">
        <f aca="false">IF(AT47="","",INDEX('REGISTRE ELEVES'!$E$10:$E$250,AT47))</f>
        <v>M</v>
      </c>
      <c r="AX47" s="110" t="n">
        <f aca="false">IF(AU47="","",IFERROR(CHOOSE($C$9,INDEX('NOTES CE2-CM1'!$M$10:$M$250,MATCH(AU47,'NOTES CE2-CM1'!$B$10:$B$250,0)),INDEX('NOTES CE2-CM1'!$T$10:$T$250,MATCH(AU47,'NOTES CE2-CM1'!$B$10:$B$250,0)),INDEX('NOTES CE2-CM1'!$AA$10:$AA$250,MATCH(AU47,'NOTES CE2-CM1'!$B$10:$B$250,0)),INDEX('NOTES CE2-CM1'!$AH$10:$AH$250,MATCH(AU47,'NOTES CE2-CM1'!$B$10:$B$250,0))),""))</f>
        <v>3.35</v>
      </c>
      <c r="AY47" s="51" t="n">
        <f aca="false">IF(ISNUMBER(AX47),AX47+(1000-7)/1000000,"")</f>
        <v>3.350993</v>
      </c>
      <c r="AZ47" s="51" t="str">
        <f aca="false">IF(AU47="","",IFERROR(CHOOSE($C$9,INDEX('NOTES CE2-CM1'!$G$10:$G$250,MATCH(AU47,'NOTES CE2-CM1'!$B$10:$B$250,0)),INDEX('NOTES CE2-CM1'!$N$10:$N$250,MATCH(AU47,'NOTES CE2-CM1'!$B$10:$B$250,0)),INDEX('NOTES CE2-CM1'!$U$10:$U$250,MATCH(AU47,'NOTES CE2-CM1'!$B$10:$B$250,0)),INDEX('NOTES CE2-CM1'!$AB$10:$AB$250,MATCH(AU47,'NOTES CE2-CM1'!$B$10:$B$250,0))),""))</f>
        <v>OUI</v>
      </c>
      <c r="BA47" s="51" t="n">
        <f aca="false">IFERROR(MATCH("CM1-7",'REGISTRE ELEVES'!$AG$10:$AG$250,0),"")</f>
        <v>51</v>
      </c>
      <c r="BB47" s="51" t="str">
        <f aca="false">IF(BA47="","",INDEX('REGISTRE ELEVES'!$B$10:$B$250,BA47))</f>
        <v>CM1-007-26</v>
      </c>
      <c r="BC47" s="51" t="str">
        <f aca="false">IF(BA47="","",INDEX('REGISTRE ELEVES'!$D$10:$D$250,BA47))</f>
        <v>DIGBEU Cédric Ismaël</v>
      </c>
      <c r="BD47" s="51" t="str">
        <f aca="false">IF(BA47="","",INDEX('REGISTRE ELEVES'!$E$10:$E$250,BA47))</f>
        <v>M</v>
      </c>
      <c r="BE47" s="110" t="n">
        <f aca="false">IF(BB47="","",IFERROR(CHOOSE($C$9,INDEX('NOTES CE2-CM1'!$M$10:$M$250,MATCH(BB47,'NOTES CE2-CM1'!$B$10:$B$250,0)),INDEX('NOTES CE2-CM1'!$T$10:$T$250,MATCH(BB47,'NOTES CE2-CM1'!$B$10:$B$250,0)),INDEX('NOTES CE2-CM1'!$AA$10:$AA$250,MATCH(BB47,'NOTES CE2-CM1'!$B$10:$B$250,0)),INDEX('NOTES CE2-CM1'!$AH$10:$AH$250,MATCH(BB47,'NOTES CE2-CM1'!$B$10:$B$250,0))),""))</f>
        <v>8.24</v>
      </c>
      <c r="BF47" s="51" t="n">
        <f aca="false">IF(ISNUMBER(BE47),BE47+(1000-7)/1000000,"")</f>
        <v>8.240993</v>
      </c>
      <c r="BG47" s="51" t="str">
        <f aca="false">IF(BB47="","",IFERROR(CHOOSE($C$9,INDEX('NOTES CE2-CM1'!$G$10:$G$250,MATCH(BB47,'NOTES CE2-CM1'!$B$10:$B$250,0)),INDEX('NOTES CE2-CM1'!$N$10:$N$250,MATCH(BB47,'NOTES CE2-CM1'!$B$10:$B$250,0)),INDEX('NOTES CE2-CM1'!$U$10:$U$250,MATCH(BB47,'NOTES CE2-CM1'!$B$10:$B$250,0)),INDEX('NOTES CE2-CM1'!$AB$10:$AB$250,MATCH(BB47,'NOTES CE2-CM1'!$B$10:$B$250,0))),""))</f>
        <v>OUI</v>
      </c>
      <c r="BH47" s="51" t="n">
        <f aca="false">IFERROR(MATCH("CM2-7",'REGISTRE ELEVES'!$AG$10:$AG$250,0),"")</f>
        <v>62</v>
      </c>
      <c r="BI47" s="51" t="str">
        <f aca="false">IF(BH47="","",INDEX('REGISTRE ELEVES'!$B$10:$B$250,BH47))</f>
        <v>CM2-007-26</v>
      </c>
      <c r="BJ47" s="51" t="str">
        <f aca="false">IF(BH47="","",INDEX('REGISTRE ELEVES'!$D$10:$D$250,BH47))</f>
        <v>COULIBALY Aya Fatoumata</v>
      </c>
      <c r="BK47" s="51" t="str">
        <f aca="false">IF(BH47="","",INDEX('REGISTRE ELEVES'!$E$10:$E$250,BH47))</f>
        <v>F</v>
      </c>
      <c r="BL47" s="110" t="n">
        <f aca="false">IF(BI47="","",IFERROR(CHOOSE($C$9,INDEX('NOTES CM2'!$M$10:$M$250,MATCH(BI47,'NOTES CM2'!$B$10:$B$250,0)),INDEX('NOTES CM2'!$T$10:$T$250,MATCH(BI47,'NOTES CM2'!$B$10:$B$250,0)),INDEX('NOTES CM2'!$AB$10:$AB$250,MATCH(BI47,'NOTES CM2'!$B$10:$B$250,0)),INDEX('NOTES CM2'!$AJ$10:$AJ$250,MATCH(BI47,'NOTES CM2'!$B$10:$B$250,0))),""))</f>
        <v>17.12</v>
      </c>
      <c r="BM47" s="51" t="n">
        <f aca="false">IF(ISNUMBER(BL47),BL47+(1000-7)/1000000,"")</f>
        <v>17.120993</v>
      </c>
      <c r="BN47" s="51" t="str">
        <f aca="false">IF(BI47="","",IFERROR(CHOOSE($C$9,INDEX('NOTES CM2'!$G$10:$G$250,MATCH(BI47,'NOTES CM2'!$B$10:$B$250,0)),INDEX('NOTES CM2'!$N$10:$N$250,MATCH(BI47,'NOTES CM2'!$B$10:$B$250,0)),INDEX('NOTES CM2'!$U$10:$U$250,MATCH(BI47,'NOTES CM2'!$B$10:$B$250,0)),INDEX('NOTES CM2'!$AC$10:$AC$250,MATCH(BI47,'NOTES CM2'!$B$10:$B$250,0))),""))</f>
        <v>OUI</v>
      </c>
    </row>
    <row r="48" customFormat="false" ht="15" hidden="false" customHeight="false" outlineLevel="0" collapsed="false">
      <c r="Y48" s="51" t="n">
        <f aca="false">IFERROR(MATCH("CP1-8",'REGISTRE ELEVES'!$AG$10:$AG$250,0),"")</f>
        <v>8</v>
      </c>
      <c r="Z48" s="51" t="str">
        <f aca="false">IF(Y48="","",INDEX('REGISTRE ELEVES'!$B$10:$B$250,Y48))</f>
        <v>CP1-008-26</v>
      </c>
      <c r="AA48" s="51" t="str">
        <f aca="false">IF(Y48="","",INDEX('REGISTRE ELEVES'!$D$10:$D$250,Y48))</f>
        <v>TANOH Kouadio Konan</v>
      </c>
      <c r="AB48" s="51" t="str">
        <f aca="false">IF(Y48="","",INDEX('REGISTRE ELEVES'!$E$10:$E$250,Y48))</f>
        <v>M</v>
      </c>
      <c r="AC48" s="110" t="n">
        <f aca="false">IF(Z48="","",IFERROR(CHOOSE($C$9,INDEX('NOTES CP'!$P$10:$P$250,MATCH(Z48,'NOTES CP'!$B$10:$B$250,0)),INDEX('NOTES CP'!$Z$10:$Z$250,MATCH(Z48,'NOTES CP'!$B$10:$B$250,0)),INDEX('NOTES CP'!$AJ$10:$AJ$250,MATCH(Z48,'NOTES CP'!$B$10:$B$250,0)),INDEX('NOTES CP'!$AT$10:$AT$250,MATCH(Z48,'NOTES CP'!$B$10:$B$250,0))),""))</f>
        <v>4.19</v>
      </c>
      <c r="AD48" s="51" t="n">
        <f aca="false">IF(ISNUMBER(AC48),AC48+(1000-8)/1000000,"")</f>
        <v>4.190992</v>
      </c>
      <c r="AE48" s="51" t="str">
        <f aca="false">IF(Z48="","",IFERROR(CHOOSE($C$9,INDEX('NOTES CP'!$G$10:$G$250,MATCH(Z48,'NOTES CP'!$B$10:$B$250,0)),INDEX('NOTES CP'!$Q$10:$Q$250,MATCH(Z48,'NOTES CP'!$B$10:$B$250,0)),INDEX('NOTES CP'!$AA$10:$AA$250,MATCH(Z48,'NOTES CP'!$B$10:$B$250,0)),INDEX('NOTES CP'!$AK$10:$AK$250,MATCH(Z48,'NOTES CP'!$B$10:$B$250,0))),""))</f>
        <v>OUI</v>
      </c>
      <c r="AF48" s="51" t="n">
        <f aca="false">IFERROR(MATCH("CP2-8",'REGISTRE ELEVES'!$AG$10:$AG$250,0),"")</f>
        <v>19</v>
      </c>
      <c r="AG48" s="51" t="str">
        <f aca="false">IF(AF48="","",INDEX('REGISTRE ELEVES'!$B$10:$B$250,AF48))</f>
        <v>CP2-008-26</v>
      </c>
      <c r="AH48" s="51" t="str">
        <f aca="false">IF(AF48="","",INDEX('REGISTRE ELEVES'!$D$10:$D$250,AF48))</f>
        <v>KOUASSI Aya Marie-Ange</v>
      </c>
      <c r="AI48" s="51" t="str">
        <f aca="false">IF(AF48="","",INDEX('REGISTRE ELEVES'!$E$10:$E$250,AF48))</f>
        <v>F</v>
      </c>
      <c r="AJ48" s="110" t="n">
        <f aca="false">IF(AG48="","",IFERROR(CHOOSE($C$9,INDEX('NOTES CP'!$P$10:$P$250,MATCH(AG48,'NOTES CP'!$B$10:$B$250,0)),INDEX('NOTES CP'!$Z$10:$Z$250,MATCH(AG48,'NOTES CP'!$B$10:$B$250,0)),INDEX('NOTES CP'!$AJ$10:$AJ$250,MATCH(AG48,'NOTES CP'!$B$10:$B$250,0)),INDEX('NOTES CP'!$AT$10:$AT$250,MATCH(AG48,'NOTES CP'!$B$10:$B$250,0))),""))</f>
        <v>3.81</v>
      </c>
      <c r="AK48" s="51" t="n">
        <f aca="false">IF(ISNUMBER(AJ48),AJ48+(1000-8)/1000000,"")</f>
        <v>3.810992</v>
      </c>
      <c r="AL48" s="51" t="str">
        <f aca="false">IF(AG48="","",IFERROR(CHOOSE($C$9,INDEX('NOTES CP'!$G$10:$G$250,MATCH(AG48,'NOTES CP'!$B$10:$B$250,0)),INDEX('NOTES CP'!$Q$10:$Q$250,MATCH(AG48,'NOTES CP'!$B$10:$B$250,0)),INDEX('NOTES CP'!$AA$10:$AA$250,MATCH(AG48,'NOTES CP'!$B$10:$B$250,0)),INDEX('NOTES CP'!$AK$10:$AK$250,MATCH(AG48,'NOTES CP'!$B$10:$B$250,0))),""))</f>
        <v>OUI</v>
      </c>
      <c r="AM48" s="51" t="n">
        <f aca="false">IFERROR(MATCH("CE1-8",'REGISTRE ELEVES'!$AG$10:$AG$250,0),"")</f>
        <v>31</v>
      </c>
      <c r="AN48" s="51" t="str">
        <f aca="false">IF(AM48="","",INDEX('REGISTRE ELEVES'!$B$10:$B$250,AM48))</f>
        <v>CE1-008-26</v>
      </c>
      <c r="AO48" s="51" t="str">
        <f aca="false">IF(AM48="","",INDEX('REGISTRE ELEVES'!$D$10:$D$250,AM48))</f>
        <v>BAMBA Mariam Amenan</v>
      </c>
      <c r="AP48" s="51" t="str">
        <f aca="false">IF(AM48="","",INDEX('REGISTRE ELEVES'!$E$10:$E$250,AM48))</f>
        <v>F</v>
      </c>
      <c r="AQ48" s="110" t="n">
        <f aca="false">IF(AN48="","",IFERROR(CHOOSE($C$9,INDEX('NOTES CE1'!$M$10:$M$250,MATCH(AN48,'NOTES CE1'!$B$10:$B$250,0)),INDEX('NOTES CE1'!$T$10:$T$250,MATCH(AN48,'NOTES CE1'!$B$10:$B$250,0)),INDEX('NOTES CE1'!$AA$10:$AA$250,MATCH(AN48,'NOTES CE1'!$B$10:$B$250,0)),INDEX('NOTES CE1'!$AH$10:$AH$250,MATCH(AN48,'NOTES CE1'!$B$10:$B$250,0))),""))</f>
        <v>8.11</v>
      </c>
      <c r="AR48" s="51" t="n">
        <f aca="false">IF(ISNUMBER(AQ48),AQ48+(1000-8)/1000000,"")</f>
        <v>8.110992</v>
      </c>
      <c r="AS48" s="51" t="str">
        <f aca="false">IF(AN48="","",IFERROR(CHOOSE($C$9,INDEX('NOTES CE1'!$G$10:$G$250,MATCH(AN48,'NOTES CE1'!$B$10:$B$250,0)),INDEX('NOTES CE1'!$N$10:$N$250,MATCH(AN48,'NOTES CE1'!$B$10:$B$250,0)),INDEX('NOTES CE1'!$U$10:$U$250,MATCH(AN48,'NOTES CE1'!$B$10:$B$250,0)),INDEX('NOTES CE1'!$AB$10:$AB$250,MATCH(AN48,'NOTES CE1'!$B$10:$B$250,0))),""))</f>
        <v>OUI</v>
      </c>
      <c r="AT48" s="51" t="n">
        <f aca="false">IFERROR(MATCH("CE2-8",'REGISTRE ELEVES'!$AG$10:$AG$250,0),"")</f>
        <v>40</v>
      </c>
      <c r="AU48" s="51" t="str">
        <f aca="false">IF(AT48="","",INDEX('REGISTRE ELEVES'!$B$10:$B$250,AT48))</f>
        <v>CE2-008-26</v>
      </c>
      <c r="AV48" s="51" t="str">
        <f aca="false">IF(AT48="","",INDEX('REGISTRE ELEVES'!$D$10:$D$250,AT48))</f>
        <v>N'GUESSAN Clarisse Affoué</v>
      </c>
      <c r="AW48" s="51" t="str">
        <f aca="false">IF(AT48="","",INDEX('REGISTRE ELEVES'!$E$10:$E$250,AT48))</f>
        <v>F</v>
      </c>
      <c r="AX48" s="110" t="n">
        <f aca="false">IF(AU48="","",IFERROR(CHOOSE($C$9,INDEX('NOTES CE2-CM1'!$M$10:$M$250,MATCH(AU48,'NOTES CE2-CM1'!$B$10:$B$250,0)),INDEX('NOTES CE2-CM1'!$T$10:$T$250,MATCH(AU48,'NOTES CE2-CM1'!$B$10:$B$250,0)),INDEX('NOTES CE2-CM1'!$AA$10:$AA$250,MATCH(AU48,'NOTES CE2-CM1'!$B$10:$B$250,0)),INDEX('NOTES CE2-CM1'!$AH$10:$AH$250,MATCH(AU48,'NOTES CE2-CM1'!$B$10:$B$250,0))),""))</f>
        <v>3.53</v>
      </c>
      <c r="AY48" s="51" t="n">
        <f aca="false">IF(ISNUMBER(AX48),AX48+(1000-8)/1000000,"")</f>
        <v>3.530992</v>
      </c>
      <c r="AZ48" s="51" t="str">
        <f aca="false">IF(AU48="","",IFERROR(CHOOSE($C$9,INDEX('NOTES CE2-CM1'!$G$10:$G$250,MATCH(AU48,'NOTES CE2-CM1'!$B$10:$B$250,0)),INDEX('NOTES CE2-CM1'!$N$10:$N$250,MATCH(AU48,'NOTES CE2-CM1'!$B$10:$B$250,0)),INDEX('NOTES CE2-CM1'!$U$10:$U$250,MATCH(AU48,'NOTES CE2-CM1'!$B$10:$B$250,0)),INDEX('NOTES CE2-CM1'!$AB$10:$AB$250,MATCH(AU48,'NOTES CE2-CM1'!$B$10:$B$250,0))),""))</f>
        <v>OUI</v>
      </c>
      <c r="BA48" s="51" t="n">
        <f aca="false">IFERROR(MATCH("CM1-8",'REGISTRE ELEVES'!$AG$10:$AG$250,0),"")</f>
        <v>52</v>
      </c>
      <c r="BB48" s="51" t="str">
        <f aca="false">IF(BA48="","",INDEX('REGISTRE ELEVES'!$B$10:$B$250,BA48))</f>
        <v>CM1-008-26</v>
      </c>
      <c r="BC48" s="51" t="str">
        <f aca="false">IF(BA48="","",INDEX('REGISTRE ELEVES'!$D$10:$D$250,BA48))</f>
        <v>KOFFI Awa Amenan</v>
      </c>
      <c r="BD48" s="51" t="str">
        <f aca="false">IF(BA48="","",INDEX('REGISTRE ELEVES'!$E$10:$E$250,BA48))</f>
        <v>F</v>
      </c>
      <c r="BE48" s="110" t="n">
        <f aca="false">IF(BB48="","",IFERROR(CHOOSE($C$9,INDEX('NOTES CE2-CM1'!$M$10:$M$250,MATCH(BB48,'NOTES CE2-CM1'!$B$10:$B$250,0)),INDEX('NOTES CE2-CM1'!$T$10:$T$250,MATCH(BB48,'NOTES CE2-CM1'!$B$10:$B$250,0)),INDEX('NOTES CE2-CM1'!$AA$10:$AA$250,MATCH(BB48,'NOTES CE2-CM1'!$B$10:$B$250,0)),INDEX('NOTES CE2-CM1'!$AH$10:$AH$250,MATCH(BB48,'NOTES CE2-CM1'!$B$10:$B$250,0))),""))</f>
        <v>3.5</v>
      </c>
      <c r="BF48" s="51" t="n">
        <f aca="false">IF(ISNUMBER(BE48),BE48+(1000-8)/1000000,"")</f>
        <v>3.500992</v>
      </c>
      <c r="BG48" s="51" t="str">
        <f aca="false">IF(BB48="","",IFERROR(CHOOSE($C$9,INDEX('NOTES CE2-CM1'!$G$10:$G$250,MATCH(BB48,'NOTES CE2-CM1'!$B$10:$B$250,0)),INDEX('NOTES CE2-CM1'!$N$10:$N$250,MATCH(BB48,'NOTES CE2-CM1'!$B$10:$B$250,0)),INDEX('NOTES CE2-CM1'!$U$10:$U$250,MATCH(BB48,'NOTES CE2-CM1'!$B$10:$B$250,0)),INDEX('NOTES CE2-CM1'!$AB$10:$AB$250,MATCH(BB48,'NOTES CE2-CM1'!$B$10:$B$250,0))),""))</f>
        <v>OUI</v>
      </c>
      <c r="BH48" s="51" t="n">
        <f aca="false">IFERROR(MATCH("CM2-8",'REGISTRE ELEVES'!$AG$10:$AG$250,0),"")</f>
        <v>63</v>
      </c>
      <c r="BI48" s="51" t="str">
        <f aca="false">IF(BH48="","",INDEX('REGISTRE ELEVES'!$B$10:$B$250,BH48))</f>
        <v>CM2-008-26</v>
      </c>
      <c r="BJ48" s="51" t="str">
        <f aca="false">IF(BH48="","",INDEX('REGISTRE ELEVES'!$D$10:$D$250,BH48))</f>
        <v>COULIBALY Kouadio Konan</v>
      </c>
      <c r="BK48" s="51" t="str">
        <f aca="false">IF(BH48="","",INDEX('REGISTRE ELEVES'!$E$10:$E$250,BH48))</f>
        <v>M</v>
      </c>
      <c r="BL48" s="110" t="n">
        <f aca="false">IF(BI48="","",IFERROR(CHOOSE($C$9,INDEX('NOTES CM2'!$M$10:$M$250,MATCH(BI48,'NOTES CM2'!$B$10:$B$250,0)),INDEX('NOTES CM2'!$T$10:$T$250,MATCH(BI48,'NOTES CM2'!$B$10:$B$250,0)),INDEX('NOTES CM2'!$AB$10:$AB$250,MATCH(BI48,'NOTES CM2'!$B$10:$B$250,0)),INDEX('NOTES CM2'!$AJ$10:$AJ$250,MATCH(BI48,'NOTES CM2'!$B$10:$B$250,0))),""))</f>
        <v>13.29</v>
      </c>
      <c r="BM48" s="51" t="n">
        <f aca="false">IF(ISNUMBER(BL48),BL48+(1000-8)/1000000,"")</f>
        <v>13.290992</v>
      </c>
      <c r="BN48" s="51" t="str">
        <f aca="false">IF(BI48="","",IFERROR(CHOOSE($C$9,INDEX('NOTES CM2'!$G$10:$G$250,MATCH(BI48,'NOTES CM2'!$B$10:$B$250,0)),INDEX('NOTES CM2'!$N$10:$N$250,MATCH(BI48,'NOTES CM2'!$B$10:$B$250,0)),INDEX('NOTES CM2'!$U$10:$U$250,MATCH(BI48,'NOTES CM2'!$B$10:$B$250,0)),INDEX('NOTES CM2'!$AC$10:$AC$250,MATCH(BI48,'NOTES CM2'!$B$10:$B$250,0))),""))</f>
        <v>OUI</v>
      </c>
    </row>
    <row r="49" customFormat="false" ht="15" hidden="false" customHeight="false" outlineLevel="0" collapsed="false">
      <c r="Y49" s="51" t="n">
        <f aca="false">IFERROR(MATCH("CP1-9",'REGISTRE ELEVES'!$AG$10:$AG$250,0),"")</f>
        <v>9</v>
      </c>
      <c r="Z49" s="51" t="str">
        <f aca="false">IF(Y49="","",INDEX('REGISTRE ELEVES'!$B$10:$B$250,Y49))</f>
        <v>CP1-009-26</v>
      </c>
      <c r="AA49" s="51" t="str">
        <f aca="false">IF(Y49="","",INDEX('REGISTRE ELEVES'!$D$10:$D$250,Y49))</f>
        <v>BAMBA Cédric Abdoulaye</v>
      </c>
      <c r="AB49" s="51" t="str">
        <f aca="false">IF(Y49="","",INDEX('REGISTRE ELEVES'!$E$10:$E$250,Y49))</f>
        <v>M</v>
      </c>
      <c r="AC49" s="110" t="n">
        <f aca="false">IF(Z49="","",IFERROR(CHOOSE($C$9,INDEX('NOTES CP'!$P$10:$P$250,MATCH(Z49,'NOTES CP'!$B$10:$B$250,0)),INDEX('NOTES CP'!$Z$10:$Z$250,MATCH(Z49,'NOTES CP'!$B$10:$B$250,0)),INDEX('NOTES CP'!$AJ$10:$AJ$250,MATCH(Z49,'NOTES CP'!$B$10:$B$250,0)),INDEX('NOTES CP'!$AT$10:$AT$250,MATCH(Z49,'NOTES CP'!$B$10:$B$250,0))),""))</f>
        <v>3.81</v>
      </c>
      <c r="AD49" s="51" t="n">
        <f aca="false">IF(ISNUMBER(AC49),AC49+(1000-9)/1000000,"")</f>
        <v>3.810991</v>
      </c>
      <c r="AE49" s="51" t="str">
        <f aca="false">IF(Z49="","",IFERROR(CHOOSE($C$9,INDEX('NOTES CP'!$G$10:$G$250,MATCH(Z49,'NOTES CP'!$B$10:$B$250,0)),INDEX('NOTES CP'!$Q$10:$Q$250,MATCH(Z49,'NOTES CP'!$B$10:$B$250,0)),INDEX('NOTES CP'!$AA$10:$AA$250,MATCH(Z49,'NOTES CP'!$B$10:$B$250,0)),INDEX('NOTES CP'!$AK$10:$AK$250,MATCH(Z49,'NOTES CP'!$B$10:$B$250,0))),""))</f>
        <v>OUI</v>
      </c>
      <c r="AF49" s="51" t="n">
        <f aca="false">IFERROR(MATCH("CP2-9",'REGISTRE ELEVES'!$AG$10:$AG$250,0),"")</f>
        <v>20</v>
      </c>
      <c r="AG49" s="51" t="str">
        <f aca="false">IF(AF49="","",INDEX('REGISTRE ELEVES'!$B$10:$B$250,AF49))</f>
        <v>CP2-009-26</v>
      </c>
      <c r="AH49" s="51" t="str">
        <f aca="false">IF(AF49="","",INDEX('REGISTRE ELEVES'!$D$10:$D$250,AF49))</f>
        <v>DIGBEU Kouadio Kouakou</v>
      </c>
      <c r="AI49" s="51" t="str">
        <f aca="false">IF(AF49="","",INDEX('REGISTRE ELEVES'!$E$10:$E$250,AF49))</f>
        <v>M</v>
      </c>
      <c r="AJ49" s="110" t="n">
        <f aca="false">IF(AG49="","",IFERROR(CHOOSE($C$9,INDEX('NOTES CP'!$P$10:$P$250,MATCH(AG49,'NOTES CP'!$B$10:$B$250,0)),INDEX('NOTES CP'!$Z$10:$Z$250,MATCH(AG49,'NOTES CP'!$B$10:$B$250,0)),INDEX('NOTES CP'!$AJ$10:$AJ$250,MATCH(AG49,'NOTES CP'!$B$10:$B$250,0)),INDEX('NOTES CP'!$AT$10:$AT$250,MATCH(AG49,'NOTES CP'!$B$10:$B$250,0))),""))</f>
        <v>8.88</v>
      </c>
      <c r="AK49" s="51" t="n">
        <f aca="false">IF(ISNUMBER(AJ49),AJ49+(1000-9)/1000000,"")</f>
        <v>8.880991</v>
      </c>
      <c r="AL49" s="51" t="str">
        <f aca="false">IF(AG49="","",IFERROR(CHOOSE($C$9,INDEX('NOTES CP'!$G$10:$G$250,MATCH(AG49,'NOTES CP'!$B$10:$B$250,0)),INDEX('NOTES CP'!$Q$10:$Q$250,MATCH(AG49,'NOTES CP'!$B$10:$B$250,0)),INDEX('NOTES CP'!$AA$10:$AA$250,MATCH(AG49,'NOTES CP'!$B$10:$B$250,0)),INDEX('NOTES CP'!$AK$10:$AK$250,MATCH(AG49,'NOTES CP'!$B$10:$B$250,0))),""))</f>
        <v>OUI</v>
      </c>
      <c r="AM49" s="51" t="n">
        <f aca="false">IFERROR(MATCH("CE1-9",'REGISTRE ELEVES'!$AG$10:$AG$250,0),"")</f>
        <v>32</v>
      </c>
      <c r="AN49" s="51" t="str">
        <f aca="false">IF(AM49="","",INDEX('REGISTRE ELEVES'!$B$10:$B$250,AM49))</f>
        <v>CE1-009-26</v>
      </c>
      <c r="AO49" s="51" t="str">
        <f aca="false">IF(AM49="","",INDEX('REGISTRE ELEVES'!$D$10:$D$250,AM49))</f>
        <v>DIGBEU Kouadio Konan</v>
      </c>
      <c r="AP49" s="51" t="str">
        <f aca="false">IF(AM49="","",INDEX('REGISTRE ELEVES'!$E$10:$E$250,AM49))</f>
        <v>M</v>
      </c>
      <c r="AQ49" s="110" t="n">
        <f aca="false">IF(AN49="","",IFERROR(CHOOSE($C$9,INDEX('NOTES CE1'!$M$10:$M$250,MATCH(AN49,'NOTES CE1'!$B$10:$B$250,0)),INDEX('NOTES CE1'!$T$10:$T$250,MATCH(AN49,'NOTES CE1'!$B$10:$B$250,0)),INDEX('NOTES CE1'!$AA$10:$AA$250,MATCH(AN49,'NOTES CE1'!$B$10:$B$250,0)),INDEX('NOTES CE1'!$AH$10:$AH$250,MATCH(AN49,'NOTES CE1'!$B$10:$B$250,0))),""))</f>
        <v>4.64</v>
      </c>
      <c r="AR49" s="51" t="n">
        <f aca="false">IF(ISNUMBER(AQ49),AQ49+(1000-9)/1000000,"")</f>
        <v>4.640991</v>
      </c>
      <c r="AS49" s="51" t="str">
        <f aca="false">IF(AN49="","",IFERROR(CHOOSE($C$9,INDEX('NOTES CE1'!$G$10:$G$250,MATCH(AN49,'NOTES CE1'!$B$10:$B$250,0)),INDEX('NOTES CE1'!$N$10:$N$250,MATCH(AN49,'NOTES CE1'!$B$10:$B$250,0)),INDEX('NOTES CE1'!$U$10:$U$250,MATCH(AN49,'NOTES CE1'!$B$10:$B$250,0)),INDEX('NOTES CE1'!$AB$10:$AB$250,MATCH(AN49,'NOTES CE1'!$B$10:$B$250,0))),""))</f>
        <v>OUI</v>
      </c>
      <c r="AT49" s="51" t="n">
        <f aca="false">IFERROR(MATCH("CE2-9",'REGISTRE ELEVES'!$AG$10:$AG$250,0),"")</f>
        <v>41</v>
      </c>
      <c r="AU49" s="51" t="str">
        <f aca="false">IF(AT49="","",INDEX('REGISTRE ELEVES'!$B$10:$B$250,AT49))</f>
        <v>CE2-009-26</v>
      </c>
      <c r="AV49" s="51" t="str">
        <f aca="false">IF(AT49="","",INDEX('REGISTRE ELEVES'!$D$10:$D$250,AT49))</f>
        <v>YAO Awa Estelle</v>
      </c>
      <c r="AW49" s="51" t="str">
        <f aca="false">IF(AT49="","",INDEX('REGISTRE ELEVES'!$E$10:$E$250,AT49))</f>
        <v>F</v>
      </c>
      <c r="AX49" s="110" t="n">
        <f aca="false">IF(AU49="","",IFERROR(CHOOSE($C$9,INDEX('NOTES CE2-CM1'!$M$10:$M$250,MATCH(AU49,'NOTES CE2-CM1'!$B$10:$B$250,0)),INDEX('NOTES CE2-CM1'!$T$10:$T$250,MATCH(AU49,'NOTES CE2-CM1'!$B$10:$B$250,0)),INDEX('NOTES CE2-CM1'!$AA$10:$AA$250,MATCH(AU49,'NOTES CE2-CM1'!$B$10:$B$250,0)),INDEX('NOTES CE2-CM1'!$AH$10:$AH$250,MATCH(AU49,'NOTES CE2-CM1'!$B$10:$B$250,0))),""))</f>
        <v>5.53</v>
      </c>
      <c r="AY49" s="51" t="n">
        <f aca="false">IF(ISNUMBER(AX49),AX49+(1000-9)/1000000,"")</f>
        <v>5.530991</v>
      </c>
      <c r="AZ49" s="51" t="str">
        <f aca="false">IF(AU49="","",IFERROR(CHOOSE($C$9,INDEX('NOTES CE2-CM1'!$G$10:$G$250,MATCH(AU49,'NOTES CE2-CM1'!$B$10:$B$250,0)),INDEX('NOTES CE2-CM1'!$N$10:$N$250,MATCH(AU49,'NOTES CE2-CM1'!$B$10:$B$250,0)),INDEX('NOTES CE2-CM1'!$U$10:$U$250,MATCH(AU49,'NOTES CE2-CM1'!$B$10:$B$250,0)),INDEX('NOTES CE2-CM1'!$AB$10:$AB$250,MATCH(AU49,'NOTES CE2-CM1'!$B$10:$B$250,0))),""))</f>
        <v>OUI</v>
      </c>
      <c r="BA49" s="51" t="n">
        <f aca="false">IFERROR(MATCH("CM1-9",'REGISTRE ELEVES'!$AG$10:$AG$250,0),"")</f>
        <v>53</v>
      </c>
      <c r="BB49" s="51" t="str">
        <f aca="false">IF(BA49="","",INDEX('REGISTRE ELEVES'!$B$10:$B$250,BA49))</f>
        <v>CM1-009-26</v>
      </c>
      <c r="BC49" s="51" t="str">
        <f aca="false">IF(BA49="","",INDEX('REGISTRE ELEVES'!$D$10:$D$250,BA49))</f>
        <v>DIABATE Jean-Marc Cédric</v>
      </c>
      <c r="BD49" s="51" t="str">
        <f aca="false">IF(BA49="","",INDEX('REGISTRE ELEVES'!$E$10:$E$250,BA49))</f>
        <v>M</v>
      </c>
      <c r="BE49" s="110" t="n">
        <f aca="false">IF(BB49="","",IFERROR(CHOOSE($C$9,INDEX('NOTES CE2-CM1'!$M$10:$M$250,MATCH(BB49,'NOTES CE2-CM1'!$B$10:$B$250,0)),INDEX('NOTES CE2-CM1'!$T$10:$T$250,MATCH(BB49,'NOTES CE2-CM1'!$B$10:$B$250,0)),INDEX('NOTES CE2-CM1'!$AA$10:$AA$250,MATCH(BB49,'NOTES CE2-CM1'!$B$10:$B$250,0)),INDEX('NOTES CE2-CM1'!$AH$10:$AH$250,MATCH(BB49,'NOTES CE2-CM1'!$B$10:$B$250,0))),""))</f>
        <v>5.12</v>
      </c>
      <c r="BF49" s="51" t="n">
        <f aca="false">IF(ISNUMBER(BE49),BE49+(1000-9)/1000000,"")</f>
        <v>5.120991</v>
      </c>
      <c r="BG49" s="51" t="str">
        <f aca="false">IF(BB49="","",IFERROR(CHOOSE($C$9,INDEX('NOTES CE2-CM1'!$G$10:$G$250,MATCH(BB49,'NOTES CE2-CM1'!$B$10:$B$250,0)),INDEX('NOTES CE2-CM1'!$N$10:$N$250,MATCH(BB49,'NOTES CE2-CM1'!$B$10:$B$250,0)),INDEX('NOTES CE2-CM1'!$U$10:$U$250,MATCH(BB49,'NOTES CE2-CM1'!$B$10:$B$250,0)),INDEX('NOTES CE2-CM1'!$AB$10:$AB$250,MATCH(BB49,'NOTES CE2-CM1'!$B$10:$B$250,0))),""))</f>
        <v>OUI</v>
      </c>
      <c r="BH49" s="51" t="n">
        <f aca="false">IFERROR(MATCH("CM2-9",'REGISTRE ELEVES'!$AG$10:$AG$250,0),"")</f>
        <v>64</v>
      </c>
      <c r="BI49" s="51" t="str">
        <f aca="false">IF(BH49="","",INDEX('REGISTRE ELEVES'!$B$10:$B$250,BH49))</f>
        <v>CM2-009-26</v>
      </c>
      <c r="BJ49" s="51" t="str">
        <f aca="false">IF(BH49="","",INDEX('REGISTRE ELEVES'!$D$10:$D$250,BH49))</f>
        <v>KONE Abdoulaye Konan</v>
      </c>
      <c r="BK49" s="51" t="str">
        <f aca="false">IF(BH49="","",INDEX('REGISTRE ELEVES'!$E$10:$E$250,BH49))</f>
        <v>M</v>
      </c>
      <c r="BL49" s="110" t="n">
        <f aca="false">IF(BI49="","",IFERROR(CHOOSE($C$9,INDEX('NOTES CM2'!$M$10:$M$250,MATCH(BI49,'NOTES CM2'!$B$10:$B$250,0)),INDEX('NOTES CM2'!$T$10:$T$250,MATCH(BI49,'NOTES CM2'!$B$10:$B$250,0)),INDEX('NOTES CM2'!$AB$10:$AB$250,MATCH(BI49,'NOTES CM2'!$B$10:$B$250,0)),INDEX('NOTES CM2'!$AJ$10:$AJ$250,MATCH(BI49,'NOTES CM2'!$B$10:$B$250,0))),""))</f>
        <v>7.94</v>
      </c>
      <c r="BM49" s="51" t="n">
        <f aca="false">IF(ISNUMBER(BL49),BL49+(1000-9)/1000000,"")</f>
        <v>7.940991</v>
      </c>
      <c r="BN49" s="51" t="str">
        <f aca="false">IF(BI49="","",IFERROR(CHOOSE($C$9,INDEX('NOTES CM2'!$G$10:$G$250,MATCH(BI49,'NOTES CM2'!$B$10:$B$250,0)),INDEX('NOTES CM2'!$N$10:$N$250,MATCH(BI49,'NOTES CM2'!$B$10:$B$250,0)),INDEX('NOTES CM2'!$U$10:$U$250,MATCH(BI49,'NOTES CM2'!$B$10:$B$250,0)),INDEX('NOTES CM2'!$AC$10:$AC$250,MATCH(BI49,'NOTES CM2'!$B$10:$B$250,0))),""))</f>
        <v>OUI</v>
      </c>
    </row>
    <row r="50" customFormat="false" ht="15" hidden="false" customHeight="false" outlineLevel="0" collapsed="false">
      <c r="Y50" s="51" t="n">
        <f aca="false">IFERROR(MATCH("CP1-10",'REGISTRE ELEVES'!$AG$10:$AG$250,0),"")</f>
        <v>10</v>
      </c>
      <c r="Z50" s="51" t="str">
        <f aca="false">IF(Y50="","",INDEX('REGISTRE ELEVES'!$B$10:$B$250,Y50))</f>
        <v>CP1-010-26</v>
      </c>
      <c r="AA50" s="51" t="str">
        <f aca="false">IF(Y50="","",INDEX('REGISTRE ELEVES'!$D$10:$D$250,Y50))</f>
        <v>AKA Ismaël Jean-Marc</v>
      </c>
      <c r="AB50" s="51" t="str">
        <f aca="false">IF(Y50="","",INDEX('REGISTRE ELEVES'!$E$10:$E$250,Y50))</f>
        <v>M</v>
      </c>
      <c r="AC50" s="110" t="n">
        <f aca="false">IF(Z50="","",IFERROR(CHOOSE($C$9,INDEX('NOTES CP'!$P$10:$P$250,MATCH(Z50,'NOTES CP'!$B$10:$B$250,0)),INDEX('NOTES CP'!$Z$10:$Z$250,MATCH(Z50,'NOTES CP'!$B$10:$B$250,0)),INDEX('NOTES CP'!$AJ$10:$AJ$250,MATCH(Z50,'NOTES CP'!$B$10:$B$250,0)),INDEX('NOTES CP'!$AT$10:$AT$250,MATCH(Z50,'NOTES CP'!$B$10:$B$250,0))),""))</f>
        <v>7.69</v>
      </c>
      <c r="AD50" s="51" t="n">
        <f aca="false">IF(ISNUMBER(AC50),AC50+(1000-10)/1000000,"")</f>
        <v>7.69099</v>
      </c>
      <c r="AE50" s="51" t="str">
        <f aca="false">IF(Z50="","",IFERROR(CHOOSE($C$9,INDEX('NOTES CP'!$G$10:$G$250,MATCH(Z50,'NOTES CP'!$B$10:$B$250,0)),INDEX('NOTES CP'!$Q$10:$Q$250,MATCH(Z50,'NOTES CP'!$B$10:$B$250,0)),INDEX('NOTES CP'!$AA$10:$AA$250,MATCH(Z50,'NOTES CP'!$B$10:$B$250,0)),INDEX('NOTES CP'!$AK$10:$AK$250,MATCH(Z50,'NOTES CP'!$B$10:$B$250,0))),""))</f>
        <v>OUI</v>
      </c>
      <c r="AF50" s="51" t="n">
        <f aca="false">IFERROR(MATCH("CP2-10",'REGISTRE ELEVES'!$AG$10:$AG$250,0),"")</f>
        <v>21</v>
      </c>
      <c r="AG50" s="51" t="str">
        <f aca="false">IF(AF50="","",INDEX('REGISTRE ELEVES'!$B$10:$B$250,AF50))</f>
        <v>CP2-010-26</v>
      </c>
      <c r="AH50" s="51" t="str">
        <f aca="false">IF(AF50="","",INDEX('REGISTRE ELEVES'!$D$10:$D$250,AF50))</f>
        <v>YAO Kouadio Cédric</v>
      </c>
      <c r="AI50" s="51" t="str">
        <f aca="false">IF(AF50="","",INDEX('REGISTRE ELEVES'!$E$10:$E$250,AF50))</f>
        <v>M</v>
      </c>
      <c r="AJ50" s="110" t="n">
        <f aca="false">IF(AG50="","",IFERROR(CHOOSE($C$9,INDEX('NOTES CP'!$P$10:$P$250,MATCH(AG50,'NOTES CP'!$B$10:$B$250,0)),INDEX('NOTES CP'!$Z$10:$Z$250,MATCH(AG50,'NOTES CP'!$B$10:$B$250,0)),INDEX('NOTES CP'!$AJ$10:$AJ$250,MATCH(AG50,'NOTES CP'!$B$10:$B$250,0)),INDEX('NOTES CP'!$AT$10:$AT$250,MATCH(AG50,'NOTES CP'!$B$10:$B$250,0))),""))</f>
        <v>4.25</v>
      </c>
      <c r="AK50" s="51" t="n">
        <f aca="false">IF(ISNUMBER(AJ50),AJ50+(1000-10)/1000000,"")</f>
        <v>4.25099</v>
      </c>
      <c r="AL50" s="51" t="str">
        <f aca="false">IF(AG50="","",IFERROR(CHOOSE($C$9,INDEX('NOTES CP'!$G$10:$G$250,MATCH(AG50,'NOTES CP'!$B$10:$B$250,0)),INDEX('NOTES CP'!$Q$10:$Q$250,MATCH(AG50,'NOTES CP'!$B$10:$B$250,0)),INDEX('NOTES CP'!$AA$10:$AA$250,MATCH(AG50,'NOTES CP'!$B$10:$B$250,0)),INDEX('NOTES CP'!$AK$10:$AK$250,MATCH(AG50,'NOTES CP'!$B$10:$B$250,0))),""))</f>
        <v>OUI</v>
      </c>
      <c r="AM50" s="51" t="str">
        <f aca="false">IFERROR(MATCH("CE1-10",'REGISTRE ELEVES'!$AG$10:$AG$250,0),"")</f>
        <v/>
      </c>
      <c r="AN50" s="51" t="str">
        <f aca="false">IF(AM50="","",INDEX('REGISTRE ELEVES'!$B$10:$B$250,AM50))</f>
        <v/>
      </c>
      <c r="AO50" s="51" t="str">
        <f aca="false">IF(AM50="","",INDEX('REGISTRE ELEVES'!$D$10:$D$250,AM50))</f>
        <v/>
      </c>
      <c r="AP50" s="51" t="str">
        <f aca="false">IF(AM50="","",INDEX('REGISTRE ELEVES'!$E$10:$E$250,AM50))</f>
        <v/>
      </c>
      <c r="AQ50" s="51" t="str">
        <f aca="false">IF(AN50="","",IFERROR(CHOOSE($C$9,INDEX('NOTES CE1'!$M$10:$M$250,MATCH(AN50,'NOTES CE1'!$B$10:$B$250,0)),INDEX('NOTES CE1'!$T$10:$T$250,MATCH(AN50,'NOTES CE1'!$B$10:$B$250,0)),INDEX('NOTES CE1'!$AA$10:$AA$250,MATCH(AN50,'NOTES CE1'!$B$10:$B$250,0)),INDEX('NOTES CE1'!$AH$10:$AH$250,MATCH(AN50,'NOTES CE1'!$B$10:$B$250,0))),""))</f>
        <v/>
      </c>
      <c r="AR50" s="51" t="str">
        <f aca="false">IF(ISNUMBER(AQ50),AQ50+(1000-10)/1000000,"")</f>
        <v/>
      </c>
      <c r="AS50" s="51" t="str">
        <f aca="false">IF(AN50="","",IFERROR(CHOOSE($C$9,INDEX('NOTES CE1'!$G$10:$G$250,MATCH(AN50,'NOTES CE1'!$B$10:$B$250,0)),INDEX('NOTES CE1'!$N$10:$N$250,MATCH(AN50,'NOTES CE1'!$B$10:$B$250,0)),INDEX('NOTES CE1'!$U$10:$U$250,MATCH(AN50,'NOTES CE1'!$B$10:$B$250,0)),INDEX('NOTES CE1'!$AB$10:$AB$250,MATCH(AN50,'NOTES CE1'!$B$10:$B$250,0))),""))</f>
        <v/>
      </c>
      <c r="AT50" s="51" t="n">
        <f aca="false">IFERROR(MATCH("CE2-10",'REGISTRE ELEVES'!$AG$10:$AG$250,0),"")</f>
        <v>42</v>
      </c>
      <c r="AU50" s="51" t="str">
        <f aca="false">IF(AT50="","",INDEX('REGISTRE ELEVES'!$B$10:$B$250,AT50))</f>
        <v>CE2-010-26</v>
      </c>
      <c r="AV50" s="51" t="str">
        <f aca="false">IF(AT50="","",INDEX('REGISTRE ELEVES'!$D$10:$D$250,AT50))</f>
        <v>COULIBALY Cédric Jean-Marc</v>
      </c>
      <c r="AW50" s="51" t="str">
        <f aca="false">IF(AT50="","",INDEX('REGISTRE ELEVES'!$E$10:$E$250,AT50))</f>
        <v>M</v>
      </c>
      <c r="AX50" s="110" t="n">
        <f aca="false">IF(AU50="","",IFERROR(CHOOSE($C$9,INDEX('NOTES CE2-CM1'!$M$10:$M$250,MATCH(AU50,'NOTES CE2-CM1'!$B$10:$B$250,0)),INDEX('NOTES CE2-CM1'!$T$10:$T$250,MATCH(AU50,'NOTES CE2-CM1'!$B$10:$B$250,0)),INDEX('NOTES CE2-CM1'!$AA$10:$AA$250,MATCH(AU50,'NOTES CE2-CM1'!$B$10:$B$250,0)),INDEX('NOTES CE2-CM1'!$AH$10:$AH$250,MATCH(AU50,'NOTES CE2-CM1'!$B$10:$B$250,0))),""))</f>
        <v>3.79</v>
      </c>
      <c r="AY50" s="51" t="n">
        <f aca="false">IF(ISNUMBER(AX50),AX50+(1000-10)/1000000,"")</f>
        <v>3.79099</v>
      </c>
      <c r="AZ50" s="51" t="str">
        <f aca="false">IF(AU50="","",IFERROR(CHOOSE($C$9,INDEX('NOTES CE2-CM1'!$G$10:$G$250,MATCH(AU50,'NOTES CE2-CM1'!$B$10:$B$250,0)),INDEX('NOTES CE2-CM1'!$N$10:$N$250,MATCH(AU50,'NOTES CE2-CM1'!$B$10:$B$250,0)),INDEX('NOTES CE2-CM1'!$U$10:$U$250,MATCH(AU50,'NOTES CE2-CM1'!$B$10:$B$250,0)),INDEX('NOTES CE2-CM1'!$AB$10:$AB$250,MATCH(AU50,'NOTES CE2-CM1'!$B$10:$B$250,0))),""))</f>
        <v>OUI</v>
      </c>
      <c r="BA50" s="51" t="n">
        <f aca="false">IFERROR(MATCH("CM1-10",'REGISTRE ELEVES'!$AG$10:$AG$250,0),"")</f>
        <v>54</v>
      </c>
      <c r="BB50" s="51" t="str">
        <f aca="false">IF(BA50="","",INDEX('REGISTRE ELEVES'!$B$10:$B$250,BA50))</f>
        <v>CM1-010-26</v>
      </c>
      <c r="BC50" s="51" t="str">
        <f aca="false">IF(BA50="","",INDEX('REGISTRE ELEVES'!$D$10:$D$250,BA50))</f>
        <v>YAO Sylvain Kouakou</v>
      </c>
      <c r="BD50" s="51" t="str">
        <f aca="false">IF(BA50="","",INDEX('REGISTRE ELEVES'!$E$10:$E$250,BA50))</f>
        <v>M</v>
      </c>
      <c r="BE50" s="110" t="n">
        <f aca="false">IF(BB50="","",IFERROR(CHOOSE($C$9,INDEX('NOTES CE2-CM1'!$M$10:$M$250,MATCH(BB50,'NOTES CE2-CM1'!$B$10:$B$250,0)),INDEX('NOTES CE2-CM1'!$T$10:$T$250,MATCH(BB50,'NOTES CE2-CM1'!$B$10:$B$250,0)),INDEX('NOTES CE2-CM1'!$AA$10:$AA$250,MATCH(BB50,'NOTES CE2-CM1'!$B$10:$B$250,0)),INDEX('NOTES CE2-CM1'!$AH$10:$AH$250,MATCH(BB50,'NOTES CE2-CM1'!$B$10:$B$250,0))),""))</f>
        <v>4.85</v>
      </c>
      <c r="BF50" s="51" t="n">
        <f aca="false">IF(ISNUMBER(BE50),BE50+(1000-10)/1000000,"")</f>
        <v>4.85099</v>
      </c>
      <c r="BG50" s="51" t="str">
        <f aca="false">IF(BB50="","",IFERROR(CHOOSE($C$9,INDEX('NOTES CE2-CM1'!$G$10:$G$250,MATCH(BB50,'NOTES CE2-CM1'!$B$10:$B$250,0)),INDEX('NOTES CE2-CM1'!$N$10:$N$250,MATCH(BB50,'NOTES CE2-CM1'!$B$10:$B$250,0)),INDEX('NOTES CE2-CM1'!$U$10:$U$250,MATCH(BB50,'NOTES CE2-CM1'!$B$10:$B$250,0)),INDEX('NOTES CE2-CM1'!$AB$10:$AB$250,MATCH(BB50,'NOTES CE2-CM1'!$B$10:$B$250,0))),""))</f>
        <v>OUI</v>
      </c>
      <c r="BH50" s="51" t="str">
        <f aca="false">IFERROR(MATCH("CM2-10",'REGISTRE ELEVES'!$AG$10:$AG$250,0),"")</f>
        <v/>
      </c>
      <c r="BI50" s="51" t="str">
        <f aca="false">IF(BH50="","",INDEX('REGISTRE ELEVES'!$B$10:$B$250,BH50))</f>
        <v/>
      </c>
      <c r="BJ50" s="51" t="str">
        <f aca="false">IF(BH50="","",INDEX('REGISTRE ELEVES'!$D$10:$D$250,BH50))</f>
        <v/>
      </c>
      <c r="BK50" s="51" t="str">
        <f aca="false">IF(BH50="","",INDEX('REGISTRE ELEVES'!$E$10:$E$250,BH50))</f>
        <v/>
      </c>
      <c r="BL50" s="51" t="str">
        <f aca="false">IF(BI50="","",IFERROR(CHOOSE($C$9,INDEX('NOTES CM2'!$M$10:$M$250,MATCH(BI50,'NOTES CM2'!$B$10:$B$250,0)),INDEX('NOTES CM2'!$T$10:$T$250,MATCH(BI50,'NOTES CM2'!$B$10:$B$250,0)),INDEX('NOTES CM2'!$AB$10:$AB$250,MATCH(BI50,'NOTES CM2'!$B$10:$B$250,0)),INDEX('NOTES CM2'!$AJ$10:$AJ$250,MATCH(BI50,'NOTES CM2'!$B$10:$B$250,0))),""))</f>
        <v/>
      </c>
      <c r="BM50" s="51" t="str">
        <f aca="false">IF(ISNUMBER(BL50),BL50+(1000-10)/1000000,"")</f>
        <v/>
      </c>
      <c r="BN50" s="51" t="str">
        <f aca="false">IF(BI50="","",IFERROR(CHOOSE($C$9,INDEX('NOTES CM2'!$G$10:$G$250,MATCH(BI50,'NOTES CM2'!$B$10:$B$250,0)),INDEX('NOTES CM2'!$N$10:$N$250,MATCH(BI50,'NOTES CM2'!$B$10:$B$250,0)),INDEX('NOTES CM2'!$U$10:$U$250,MATCH(BI50,'NOTES CM2'!$B$10:$B$250,0)),INDEX('NOTES CM2'!$AC$10:$AC$250,MATCH(BI50,'NOTES CM2'!$B$10:$B$250,0))),""))</f>
        <v/>
      </c>
    </row>
    <row r="51" customFormat="false" ht="15" hidden="false" customHeight="false" outlineLevel="0" collapsed="false">
      <c r="Y51" s="51" t="n">
        <f aca="false">IFERROR(MATCH("CP1-11",'REGISTRE ELEVES'!$AG$10:$AG$250,0),"")</f>
        <v>11</v>
      </c>
      <c r="Z51" s="51" t="str">
        <f aca="false">IF(Y51="","",INDEX('REGISTRE ELEVES'!$B$10:$B$250,Y51))</f>
        <v>CP1-011-26</v>
      </c>
      <c r="AA51" s="51" t="str">
        <f aca="false">IF(Y51="","",INDEX('REGISTRE ELEVES'!$D$10:$D$250,Y51))</f>
        <v>SORO Adjoua Estelle</v>
      </c>
      <c r="AB51" s="51" t="str">
        <f aca="false">IF(Y51="","",INDEX('REGISTRE ELEVES'!$E$10:$E$250,Y51))</f>
        <v>F</v>
      </c>
      <c r="AC51" s="110" t="n">
        <f aca="false">IF(Z51="","",IFERROR(CHOOSE($C$9,INDEX('NOTES CP'!$P$10:$P$250,MATCH(Z51,'NOTES CP'!$B$10:$B$250,0)),INDEX('NOTES CP'!$Z$10:$Z$250,MATCH(Z51,'NOTES CP'!$B$10:$B$250,0)),INDEX('NOTES CP'!$AJ$10:$AJ$250,MATCH(Z51,'NOTES CP'!$B$10:$B$250,0)),INDEX('NOTES CP'!$AT$10:$AT$250,MATCH(Z51,'NOTES CP'!$B$10:$B$250,0))),""))</f>
        <v>8.5</v>
      </c>
      <c r="AD51" s="51" t="n">
        <f aca="false">IF(ISNUMBER(AC51),AC51+(1000-11)/1000000,"")</f>
        <v>8.500989</v>
      </c>
      <c r="AE51" s="51" t="str">
        <f aca="false">IF(Z51="","",IFERROR(CHOOSE($C$9,INDEX('NOTES CP'!$G$10:$G$250,MATCH(Z51,'NOTES CP'!$B$10:$B$250,0)),INDEX('NOTES CP'!$Q$10:$Q$250,MATCH(Z51,'NOTES CP'!$B$10:$B$250,0)),INDEX('NOTES CP'!$AA$10:$AA$250,MATCH(Z51,'NOTES CP'!$B$10:$B$250,0)),INDEX('NOTES CP'!$AK$10:$AK$250,MATCH(Z51,'NOTES CP'!$B$10:$B$250,0))),""))</f>
        <v>OUI</v>
      </c>
      <c r="AF51" s="51" t="n">
        <f aca="false">IFERROR(MATCH("CP2-11",'REGISTRE ELEVES'!$AG$10:$AG$250,0),"")</f>
        <v>22</v>
      </c>
      <c r="AG51" s="51" t="str">
        <f aca="false">IF(AF51="","",INDEX('REGISTRE ELEVES'!$B$10:$B$250,AF51))</f>
        <v>CP2-011-26</v>
      </c>
      <c r="AH51" s="51" t="str">
        <f aca="false">IF(AF51="","",INDEX('REGISTRE ELEVES'!$D$10:$D$250,AF51))</f>
        <v>SORO Moussa Cédric</v>
      </c>
      <c r="AI51" s="51" t="str">
        <f aca="false">IF(AF51="","",INDEX('REGISTRE ELEVES'!$E$10:$E$250,AF51))</f>
        <v>M</v>
      </c>
      <c r="AJ51" s="110" t="n">
        <f aca="false">IF(AG51="","",IFERROR(CHOOSE($C$9,INDEX('NOTES CP'!$P$10:$P$250,MATCH(AG51,'NOTES CP'!$B$10:$B$250,0)),INDEX('NOTES CP'!$Z$10:$Z$250,MATCH(AG51,'NOTES CP'!$B$10:$B$250,0)),INDEX('NOTES CP'!$AJ$10:$AJ$250,MATCH(AG51,'NOTES CP'!$B$10:$B$250,0)),INDEX('NOTES CP'!$AT$10:$AT$250,MATCH(AG51,'NOTES CP'!$B$10:$B$250,0))),""))</f>
        <v>5.88</v>
      </c>
      <c r="AK51" s="51" t="n">
        <f aca="false">IF(ISNUMBER(AJ51),AJ51+(1000-11)/1000000,"")</f>
        <v>5.880989</v>
      </c>
      <c r="AL51" s="51" t="str">
        <f aca="false">IF(AG51="","",IFERROR(CHOOSE($C$9,INDEX('NOTES CP'!$G$10:$G$250,MATCH(AG51,'NOTES CP'!$B$10:$B$250,0)),INDEX('NOTES CP'!$Q$10:$Q$250,MATCH(AG51,'NOTES CP'!$B$10:$B$250,0)),INDEX('NOTES CP'!$AA$10:$AA$250,MATCH(AG51,'NOTES CP'!$B$10:$B$250,0)),INDEX('NOTES CP'!$AK$10:$AK$250,MATCH(AG51,'NOTES CP'!$B$10:$B$250,0))),""))</f>
        <v>OUI</v>
      </c>
      <c r="AM51" s="51" t="str">
        <f aca="false">IFERROR(MATCH("CE1-11",'REGISTRE ELEVES'!$AG$10:$AG$250,0),"")</f>
        <v/>
      </c>
      <c r="AN51" s="51" t="str">
        <f aca="false">IF(AM51="","",INDEX('REGISTRE ELEVES'!$B$10:$B$250,AM51))</f>
        <v/>
      </c>
      <c r="AO51" s="51" t="str">
        <f aca="false">IF(AM51="","",INDEX('REGISTRE ELEVES'!$D$10:$D$250,AM51))</f>
        <v/>
      </c>
      <c r="AP51" s="51" t="str">
        <f aca="false">IF(AM51="","",INDEX('REGISTRE ELEVES'!$E$10:$E$250,AM51))</f>
        <v/>
      </c>
      <c r="AQ51" s="51" t="str">
        <f aca="false">IF(AN51="","",IFERROR(CHOOSE($C$9,INDEX('NOTES CE1'!$M$10:$M$250,MATCH(AN51,'NOTES CE1'!$B$10:$B$250,0)),INDEX('NOTES CE1'!$T$10:$T$250,MATCH(AN51,'NOTES CE1'!$B$10:$B$250,0)),INDEX('NOTES CE1'!$AA$10:$AA$250,MATCH(AN51,'NOTES CE1'!$B$10:$B$250,0)),INDEX('NOTES CE1'!$AH$10:$AH$250,MATCH(AN51,'NOTES CE1'!$B$10:$B$250,0))),""))</f>
        <v/>
      </c>
      <c r="AR51" s="51" t="str">
        <f aca="false">IF(ISNUMBER(AQ51),AQ51+(1000-11)/1000000,"")</f>
        <v/>
      </c>
      <c r="AS51" s="51" t="str">
        <f aca="false">IF(AN51="","",IFERROR(CHOOSE($C$9,INDEX('NOTES CE1'!$G$10:$G$250,MATCH(AN51,'NOTES CE1'!$B$10:$B$250,0)),INDEX('NOTES CE1'!$N$10:$N$250,MATCH(AN51,'NOTES CE1'!$B$10:$B$250,0)),INDEX('NOTES CE1'!$U$10:$U$250,MATCH(AN51,'NOTES CE1'!$B$10:$B$250,0)),INDEX('NOTES CE1'!$AB$10:$AB$250,MATCH(AN51,'NOTES CE1'!$B$10:$B$250,0))),""))</f>
        <v/>
      </c>
      <c r="AT51" s="51" t="n">
        <f aca="false">IFERROR(MATCH("CE2-11",'REGISTRE ELEVES'!$AG$10:$AG$250,0),"")</f>
        <v>43</v>
      </c>
      <c r="AU51" s="51" t="str">
        <f aca="false">IF(AT51="","",INDEX('REGISTRE ELEVES'!$B$10:$B$250,AT51))</f>
        <v>CE2-011-26</v>
      </c>
      <c r="AV51" s="51" t="str">
        <f aca="false">IF(AT51="","",INDEX('REGISTRE ELEVES'!$D$10:$D$250,AT51))</f>
        <v>AKA Abdoulaye Yao</v>
      </c>
      <c r="AW51" s="51" t="str">
        <f aca="false">IF(AT51="","",INDEX('REGISTRE ELEVES'!$E$10:$E$250,AT51))</f>
        <v>M</v>
      </c>
      <c r="AX51" s="110" t="n">
        <f aca="false">IF(AU51="","",IFERROR(CHOOSE($C$9,INDEX('NOTES CE2-CM1'!$M$10:$M$250,MATCH(AU51,'NOTES CE2-CM1'!$B$10:$B$250,0)),INDEX('NOTES CE2-CM1'!$T$10:$T$250,MATCH(AU51,'NOTES CE2-CM1'!$B$10:$B$250,0)),INDEX('NOTES CE2-CM1'!$AA$10:$AA$250,MATCH(AU51,'NOTES CE2-CM1'!$B$10:$B$250,0)),INDEX('NOTES CE2-CM1'!$AH$10:$AH$250,MATCH(AU51,'NOTES CE2-CM1'!$B$10:$B$250,0))),""))</f>
        <v>3.65</v>
      </c>
      <c r="AY51" s="51" t="n">
        <f aca="false">IF(ISNUMBER(AX51),AX51+(1000-11)/1000000,"")</f>
        <v>3.650989</v>
      </c>
      <c r="AZ51" s="51" t="str">
        <f aca="false">IF(AU51="","",IFERROR(CHOOSE($C$9,INDEX('NOTES CE2-CM1'!$G$10:$G$250,MATCH(AU51,'NOTES CE2-CM1'!$B$10:$B$250,0)),INDEX('NOTES CE2-CM1'!$N$10:$N$250,MATCH(AU51,'NOTES CE2-CM1'!$B$10:$B$250,0)),INDEX('NOTES CE2-CM1'!$U$10:$U$250,MATCH(AU51,'NOTES CE2-CM1'!$B$10:$B$250,0)),INDEX('NOTES CE2-CM1'!$AB$10:$AB$250,MATCH(AU51,'NOTES CE2-CM1'!$B$10:$B$250,0))),""))</f>
        <v>OUI</v>
      </c>
      <c r="BA51" s="51" t="n">
        <f aca="false">IFERROR(MATCH("CM1-11",'REGISTRE ELEVES'!$AG$10:$AG$250,0),"")</f>
        <v>55</v>
      </c>
      <c r="BB51" s="51" t="str">
        <f aca="false">IF(BA51="","",INDEX('REGISTRE ELEVES'!$B$10:$B$250,BA51))</f>
        <v>CM1-011-26</v>
      </c>
      <c r="BC51" s="51" t="str">
        <f aca="false">IF(BA51="","",INDEX('REGISTRE ELEVES'!$D$10:$D$250,BA51))</f>
        <v>AKA Emmanuel Junior</v>
      </c>
      <c r="BD51" s="51" t="str">
        <f aca="false">IF(BA51="","",INDEX('REGISTRE ELEVES'!$E$10:$E$250,BA51))</f>
        <v>M</v>
      </c>
      <c r="BE51" s="110" t="n">
        <f aca="false">IF(BB51="","",IFERROR(CHOOSE($C$9,INDEX('NOTES CE2-CM1'!$M$10:$M$250,MATCH(BB51,'NOTES CE2-CM1'!$B$10:$B$250,0)),INDEX('NOTES CE2-CM1'!$T$10:$T$250,MATCH(BB51,'NOTES CE2-CM1'!$B$10:$B$250,0)),INDEX('NOTES CE2-CM1'!$AA$10:$AA$250,MATCH(BB51,'NOTES CE2-CM1'!$B$10:$B$250,0)),INDEX('NOTES CE2-CM1'!$AH$10:$AH$250,MATCH(BB51,'NOTES CE2-CM1'!$B$10:$B$250,0))),""))</f>
        <v>6.24</v>
      </c>
      <c r="BF51" s="51" t="n">
        <f aca="false">IF(ISNUMBER(BE51),BE51+(1000-11)/1000000,"")</f>
        <v>6.240989</v>
      </c>
      <c r="BG51" s="51" t="str">
        <f aca="false">IF(BB51="","",IFERROR(CHOOSE($C$9,INDEX('NOTES CE2-CM1'!$G$10:$G$250,MATCH(BB51,'NOTES CE2-CM1'!$B$10:$B$250,0)),INDEX('NOTES CE2-CM1'!$N$10:$N$250,MATCH(BB51,'NOTES CE2-CM1'!$B$10:$B$250,0)),INDEX('NOTES CE2-CM1'!$U$10:$U$250,MATCH(BB51,'NOTES CE2-CM1'!$B$10:$B$250,0)),INDEX('NOTES CE2-CM1'!$AB$10:$AB$250,MATCH(BB51,'NOTES CE2-CM1'!$B$10:$B$250,0))),""))</f>
        <v>OUI</v>
      </c>
      <c r="BH51" s="51" t="str">
        <f aca="false">IFERROR(MATCH("CM2-11",'REGISTRE ELEVES'!$AG$10:$AG$250,0),"")</f>
        <v/>
      </c>
      <c r="BI51" s="51" t="str">
        <f aca="false">IF(BH51="","",INDEX('REGISTRE ELEVES'!$B$10:$B$250,BH51))</f>
        <v/>
      </c>
      <c r="BJ51" s="51" t="str">
        <f aca="false">IF(BH51="","",INDEX('REGISTRE ELEVES'!$D$10:$D$250,BH51))</f>
        <v/>
      </c>
      <c r="BK51" s="51" t="str">
        <f aca="false">IF(BH51="","",INDEX('REGISTRE ELEVES'!$E$10:$E$250,BH51))</f>
        <v/>
      </c>
      <c r="BL51" s="51" t="str">
        <f aca="false">IF(BI51="","",IFERROR(CHOOSE($C$9,INDEX('NOTES CM2'!$M$10:$M$250,MATCH(BI51,'NOTES CM2'!$B$10:$B$250,0)),INDEX('NOTES CM2'!$T$10:$T$250,MATCH(BI51,'NOTES CM2'!$B$10:$B$250,0)),INDEX('NOTES CM2'!$AB$10:$AB$250,MATCH(BI51,'NOTES CM2'!$B$10:$B$250,0)),INDEX('NOTES CM2'!$AJ$10:$AJ$250,MATCH(BI51,'NOTES CM2'!$B$10:$B$250,0))),""))</f>
        <v/>
      </c>
      <c r="BM51" s="51" t="str">
        <f aca="false">IF(ISNUMBER(BL51),BL51+(1000-11)/1000000,"")</f>
        <v/>
      </c>
      <c r="BN51" s="51" t="str">
        <f aca="false">IF(BI51="","",IFERROR(CHOOSE($C$9,INDEX('NOTES CM2'!$G$10:$G$250,MATCH(BI51,'NOTES CM2'!$B$10:$B$250,0)),INDEX('NOTES CM2'!$N$10:$N$250,MATCH(BI51,'NOTES CM2'!$B$10:$B$250,0)),INDEX('NOTES CM2'!$U$10:$U$250,MATCH(BI51,'NOTES CM2'!$B$10:$B$250,0)),INDEX('NOTES CM2'!$AC$10:$AC$250,MATCH(BI51,'NOTES CM2'!$B$10:$B$250,0))),""))</f>
        <v/>
      </c>
    </row>
    <row r="52" customFormat="false" ht="15" hidden="false" customHeight="false" outlineLevel="0" collapsed="false">
      <c r="Y52" s="51" t="str">
        <f aca="false">IFERROR(MATCH("CP1-12",'REGISTRE ELEVES'!$AG$10:$AG$250,0),"")</f>
        <v/>
      </c>
      <c r="Z52" s="51" t="str">
        <f aca="false">IF(Y52="","",INDEX('REGISTRE ELEVES'!$B$10:$B$250,Y52))</f>
        <v/>
      </c>
      <c r="AA52" s="51" t="str">
        <f aca="false">IF(Y52="","",INDEX('REGISTRE ELEVES'!$D$10:$D$250,Y52))</f>
        <v/>
      </c>
      <c r="AB52" s="51" t="str">
        <f aca="false">IF(Y52="","",INDEX('REGISTRE ELEVES'!$E$10:$E$250,Y52))</f>
        <v/>
      </c>
      <c r="AC52" s="51" t="str">
        <f aca="false">IF(Z52="","",IFERROR(CHOOSE($C$9,INDEX('NOTES CP'!$P$10:$P$250,MATCH(Z52,'NOTES CP'!$B$10:$B$250,0)),INDEX('NOTES CP'!$Z$10:$Z$250,MATCH(Z52,'NOTES CP'!$B$10:$B$250,0)),INDEX('NOTES CP'!$AJ$10:$AJ$250,MATCH(Z52,'NOTES CP'!$B$10:$B$250,0)),INDEX('NOTES CP'!$AT$10:$AT$250,MATCH(Z52,'NOTES CP'!$B$10:$B$250,0))),""))</f>
        <v/>
      </c>
      <c r="AD52" s="51" t="str">
        <f aca="false">IF(ISNUMBER(AC52),AC52+(1000-12)/1000000,"")</f>
        <v/>
      </c>
      <c r="AE52" s="51" t="str">
        <f aca="false">IF(Z52="","",IFERROR(CHOOSE($C$9,INDEX('NOTES CP'!$G$10:$G$250,MATCH(Z52,'NOTES CP'!$B$10:$B$250,0)),INDEX('NOTES CP'!$Q$10:$Q$250,MATCH(Z52,'NOTES CP'!$B$10:$B$250,0)),INDEX('NOTES CP'!$AA$10:$AA$250,MATCH(Z52,'NOTES CP'!$B$10:$B$250,0)),INDEX('NOTES CP'!$AK$10:$AK$250,MATCH(Z52,'NOTES CP'!$B$10:$B$250,0))),""))</f>
        <v/>
      </c>
      <c r="AF52" s="51" t="n">
        <f aca="false">IFERROR(MATCH("CP2-12",'REGISTRE ELEVES'!$AG$10:$AG$250,0),"")</f>
        <v>23</v>
      </c>
      <c r="AG52" s="51" t="str">
        <f aca="false">IF(AF52="","",INDEX('REGISTRE ELEVES'!$B$10:$B$250,AF52))</f>
        <v>CP2-012-26</v>
      </c>
      <c r="AH52" s="51" t="str">
        <f aca="false">IF(AF52="","",INDEX('REGISTRE ELEVES'!$D$10:$D$250,AF52))</f>
        <v>BOHOUSSOU Rebecca Affoué</v>
      </c>
      <c r="AI52" s="51" t="str">
        <f aca="false">IF(AF52="","",INDEX('REGISTRE ELEVES'!$E$10:$E$250,AF52))</f>
        <v>F</v>
      </c>
      <c r="AJ52" s="110" t="n">
        <f aca="false">IF(AG52="","",IFERROR(CHOOSE($C$9,INDEX('NOTES CP'!$P$10:$P$250,MATCH(AG52,'NOTES CP'!$B$10:$B$250,0)),INDEX('NOTES CP'!$Z$10:$Z$250,MATCH(AG52,'NOTES CP'!$B$10:$B$250,0)),INDEX('NOTES CP'!$AJ$10:$AJ$250,MATCH(AG52,'NOTES CP'!$B$10:$B$250,0)),INDEX('NOTES CP'!$AT$10:$AT$250,MATCH(AG52,'NOTES CP'!$B$10:$B$250,0))),""))</f>
        <v>3.75</v>
      </c>
      <c r="AK52" s="51" t="n">
        <f aca="false">IF(ISNUMBER(AJ52),AJ52+(1000-12)/1000000,"")</f>
        <v>3.750988</v>
      </c>
      <c r="AL52" s="51" t="str">
        <f aca="false">IF(AG52="","",IFERROR(CHOOSE($C$9,INDEX('NOTES CP'!$G$10:$G$250,MATCH(AG52,'NOTES CP'!$B$10:$B$250,0)),INDEX('NOTES CP'!$Q$10:$Q$250,MATCH(AG52,'NOTES CP'!$B$10:$B$250,0)),INDEX('NOTES CP'!$AA$10:$AA$250,MATCH(AG52,'NOTES CP'!$B$10:$B$250,0)),INDEX('NOTES CP'!$AK$10:$AK$250,MATCH(AG52,'NOTES CP'!$B$10:$B$250,0))),""))</f>
        <v>OUI</v>
      </c>
      <c r="AM52" s="51" t="str">
        <f aca="false">IFERROR(MATCH("CE1-12",'REGISTRE ELEVES'!$AG$10:$AG$250,0),"")</f>
        <v/>
      </c>
      <c r="AN52" s="51" t="str">
        <f aca="false">IF(AM52="","",INDEX('REGISTRE ELEVES'!$B$10:$B$250,AM52))</f>
        <v/>
      </c>
      <c r="AO52" s="51" t="str">
        <f aca="false">IF(AM52="","",INDEX('REGISTRE ELEVES'!$D$10:$D$250,AM52))</f>
        <v/>
      </c>
      <c r="AP52" s="51" t="str">
        <f aca="false">IF(AM52="","",INDEX('REGISTRE ELEVES'!$E$10:$E$250,AM52))</f>
        <v/>
      </c>
      <c r="AQ52" s="51" t="str">
        <f aca="false">IF(AN52="","",IFERROR(CHOOSE($C$9,INDEX('NOTES CE1'!$M$10:$M$250,MATCH(AN52,'NOTES CE1'!$B$10:$B$250,0)),INDEX('NOTES CE1'!$T$10:$T$250,MATCH(AN52,'NOTES CE1'!$B$10:$B$250,0)),INDEX('NOTES CE1'!$AA$10:$AA$250,MATCH(AN52,'NOTES CE1'!$B$10:$B$250,0)),INDEX('NOTES CE1'!$AH$10:$AH$250,MATCH(AN52,'NOTES CE1'!$B$10:$B$250,0))),""))</f>
        <v/>
      </c>
      <c r="AR52" s="51" t="str">
        <f aca="false">IF(ISNUMBER(AQ52),AQ52+(1000-12)/1000000,"")</f>
        <v/>
      </c>
      <c r="AS52" s="51" t="str">
        <f aca="false">IF(AN52="","",IFERROR(CHOOSE($C$9,INDEX('NOTES CE1'!$G$10:$G$250,MATCH(AN52,'NOTES CE1'!$B$10:$B$250,0)),INDEX('NOTES CE1'!$N$10:$N$250,MATCH(AN52,'NOTES CE1'!$B$10:$B$250,0)),INDEX('NOTES CE1'!$U$10:$U$250,MATCH(AN52,'NOTES CE1'!$B$10:$B$250,0)),INDEX('NOTES CE1'!$AB$10:$AB$250,MATCH(AN52,'NOTES CE1'!$B$10:$B$250,0))),""))</f>
        <v/>
      </c>
      <c r="AT52" s="51" t="n">
        <f aca="false">IFERROR(MATCH("CE2-12",'REGISTRE ELEVES'!$AG$10:$AG$250,0),"")</f>
        <v>44</v>
      </c>
      <c r="AU52" s="51" t="str">
        <f aca="false">IF(AT52="","",INDEX('REGISTRE ELEVES'!$B$10:$B$250,AT52))</f>
        <v>CE2-012-26</v>
      </c>
      <c r="AV52" s="51" t="str">
        <f aca="false">IF(AT52="","",INDEX('REGISTRE ELEVES'!$D$10:$D$250,AT52))</f>
        <v>TRAORE Koffi Moussa</v>
      </c>
      <c r="AW52" s="51" t="str">
        <f aca="false">IF(AT52="","",INDEX('REGISTRE ELEVES'!$E$10:$E$250,AT52))</f>
        <v>M</v>
      </c>
      <c r="AX52" s="110" t="n">
        <f aca="false">IF(AU52="","",IFERROR(CHOOSE($C$9,INDEX('NOTES CE2-CM1'!$M$10:$M$250,MATCH(AU52,'NOTES CE2-CM1'!$B$10:$B$250,0)),INDEX('NOTES CE2-CM1'!$T$10:$T$250,MATCH(AU52,'NOTES CE2-CM1'!$B$10:$B$250,0)),INDEX('NOTES CE2-CM1'!$AA$10:$AA$250,MATCH(AU52,'NOTES CE2-CM1'!$B$10:$B$250,0)),INDEX('NOTES CE2-CM1'!$AH$10:$AH$250,MATCH(AU52,'NOTES CE2-CM1'!$B$10:$B$250,0))),""))</f>
        <v>4.44</v>
      </c>
      <c r="AY52" s="51" t="n">
        <f aca="false">IF(ISNUMBER(AX52),AX52+(1000-12)/1000000,"")</f>
        <v>4.440988</v>
      </c>
      <c r="AZ52" s="51" t="str">
        <f aca="false">IF(AU52="","",IFERROR(CHOOSE($C$9,INDEX('NOTES CE2-CM1'!$G$10:$G$250,MATCH(AU52,'NOTES CE2-CM1'!$B$10:$B$250,0)),INDEX('NOTES CE2-CM1'!$N$10:$N$250,MATCH(AU52,'NOTES CE2-CM1'!$B$10:$B$250,0)),INDEX('NOTES CE2-CM1'!$U$10:$U$250,MATCH(AU52,'NOTES CE2-CM1'!$B$10:$B$250,0)),INDEX('NOTES CE2-CM1'!$AB$10:$AB$250,MATCH(AU52,'NOTES CE2-CM1'!$B$10:$B$250,0))),""))</f>
        <v>OUI</v>
      </c>
      <c r="BA52" s="51" t="str">
        <f aca="false">IFERROR(MATCH("CM1-12",'REGISTRE ELEVES'!$AG$10:$AG$250,0),"")</f>
        <v/>
      </c>
      <c r="BB52" s="51" t="str">
        <f aca="false">IF(BA52="","",INDEX('REGISTRE ELEVES'!$B$10:$B$250,BA52))</f>
        <v/>
      </c>
      <c r="BC52" s="51" t="str">
        <f aca="false">IF(BA52="","",INDEX('REGISTRE ELEVES'!$D$10:$D$250,BA52))</f>
        <v/>
      </c>
      <c r="BD52" s="51" t="str">
        <f aca="false">IF(BA52="","",INDEX('REGISTRE ELEVES'!$E$10:$E$250,BA52))</f>
        <v/>
      </c>
      <c r="BE52" s="51" t="str">
        <f aca="false">IF(BB52="","",IFERROR(CHOOSE($C$9,INDEX('NOTES CE2-CM1'!$M$10:$M$250,MATCH(BB52,'NOTES CE2-CM1'!$B$10:$B$250,0)),INDEX('NOTES CE2-CM1'!$T$10:$T$250,MATCH(BB52,'NOTES CE2-CM1'!$B$10:$B$250,0)),INDEX('NOTES CE2-CM1'!$AA$10:$AA$250,MATCH(BB52,'NOTES CE2-CM1'!$B$10:$B$250,0)),INDEX('NOTES CE2-CM1'!$AH$10:$AH$250,MATCH(BB52,'NOTES CE2-CM1'!$B$10:$B$250,0))),""))</f>
        <v/>
      </c>
      <c r="BF52" s="51" t="str">
        <f aca="false">IF(ISNUMBER(BE52),BE52+(1000-12)/1000000,"")</f>
        <v/>
      </c>
      <c r="BG52" s="51" t="str">
        <f aca="false">IF(BB52="","",IFERROR(CHOOSE($C$9,INDEX('NOTES CE2-CM1'!$G$10:$G$250,MATCH(BB52,'NOTES CE2-CM1'!$B$10:$B$250,0)),INDEX('NOTES CE2-CM1'!$N$10:$N$250,MATCH(BB52,'NOTES CE2-CM1'!$B$10:$B$250,0)),INDEX('NOTES CE2-CM1'!$U$10:$U$250,MATCH(BB52,'NOTES CE2-CM1'!$B$10:$B$250,0)),INDEX('NOTES CE2-CM1'!$AB$10:$AB$250,MATCH(BB52,'NOTES CE2-CM1'!$B$10:$B$250,0))),""))</f>
        <v/>
      </c>
      <c r="BH52" s="51" t="str">
        <f aca="false">IFERROR(MATCH("CM2-12",'REGISTRE ELEVES'!$AG$10:$AG$250,0),"")</f>
        <v/>
      </c>
      <c r="BI52" s="51" t="str">
        <f aca="false">IF(BH52="","",INDEX('REGISTRE ELEVES'!$B$10:$B$250,BH52))</f>
        <v/>
      </c>
      <c r="BJ52" s="51" t="str">
        <f aca="false">IF(BH52="","",INDEX('REGISTRE ELEVES'!$D$10:$D$250,BH52))</f>
        <v/>
      </c>
      <c r="BK52" s="51" t="str">
        <f aca="false">IF(BH52="","",INDEX('REGISTRE ELEVES'!$E$10:$E$250,BH52))</f>
        <v/>
      </c>
      <c r="BL52" s="51" t="str">
        <f aca="false">IF(BI52="","",IFERROR(CHOOSE($C$9,INDEX('NOTES CM2'!$M$10:$M$250,MATCH(BI52,'NOTES CM2'!$B$10:$B$250,0)),INDEX('NOTES CM2'!$T$10:$T$250,MATCH(BI52,'NOTES CM2'!$B$10:$B$250,0)),INDEX('NOTES CM2'!$AB$10:$AB$250,MATCH(BI52,'NOTES CM2'!$B$10:$B$250,0)),INDEX('NOTES CM2'!$AJ$10:$AJ$250,MATCH(BI52,'NOTES CM2'!$B$10:$B$250,0))),""))</f>
        <v/>
      </c>
      <c r="BM52" s="51" t="str">
        <f aca="false">IF(ISNUMBER(BL52),BL52+(1000-12)/1000000,"")</f>
        <v/>
      </c>
      <c r="BN52" s="51" t="str">
        <f aca="false">IF(BI52="","",IFERROR(CHOOSE($C$9,INDEX('NOTES CM2'!$G$10:$G$250,MATCH(BI52,'NOTES CM2'!$B$10:$B$250,0)),INDEX('NOTES CM2'!$N$10:$N$250,MATCH(BI52,'NOTES CM2'!$B$10:$B$250,0)),INDEX('NOTES CM2'!$U$10:$U$250,MATCH(BI52,'NOTES CM2'!$B$10:$B$250,0)),INDEX('NOTES CM2'!$AC$10:$AC$250,MATCH(BI52,'NOTES CM2'!$B$10:$B$250,0))),""))</f>
        <v/>
      </c>
    </row>
    <row r="53" customFormat="false" ht="15" hidden="false" customHeight="false" outlineLevel="0" collapsed="false">
      <c r="Y53" s="51" t="str">
        <f aca="false">IFERROR(MATCH("CP1-13",'REGISTRE ELEVES'!$AG$10:$AG$250,0),"")</f>
        <v/>
      </c>
      <c r="Z53" s="51" t="str">
        <f aca="false">IF(Y53="","",INDEX('REGISTRE ELEVES'!$B$10:$B$250,Y53))</f>
        <v/>
      </c>
      <c r="AA53" s="51" t="str">
        <f aca="false">IF(Y53="","",INDEX('REGISTRE ELEVES'!$D$10:$D$250,Y53))</f>
        <v/>
      </c>
      <c r="AB53" s="51" t="str">
        <f aca="false">IF(Y53="","",INDEX('REGISTRE ELEVES'!$E$10:$E$250,Y53))</f>
        <v/>
      </c>
      <c r="AC53" s="51" t="str">
        <f aca="false">IF(Z53="","",IFERROR(CHOOSE($C$9,INDEX('NOTES CP'!$P$10:$P$250,MATCH(Z53,'NOTES CP'!$B$10:$B$250,0)),INDEX('NOTES CP'!$Z$10:$Z$250,MATCH(Z53,'NOTES CP'!$B$10:$B$250,0)),INDEX('NOTES CP'!$AJ$10:$AJ$250,MATCH(Z53,'NOTES CP'!$B$10:$B$250,0)),INDEX('NOTES CP'!$AT$10:$AT$250,MATCH(Z53,'NOTES CP'!$B$10:$B$250,0))),""))</f>
        <v/>
      </c>
      <c r="AD53" s="51" t="str">
        <f aca="false">IF(ISNUMBER(AC53),AC53+(1000-13)/1000000,"")</f>
        <v/>
      </c>
      <c r="AE53" s="51" t="str">
        <f aca="false">IF(Z53="","",IFERROR(CHOOSE($C$9,INDEX('NOTES CP'!$G$10:$G$250,MATCH(Z53,'NOTES CP'!$B$10:$B$250,0)),INDEX('NOTES CP'!$Q$10:$Q$250,MATCH(Z53,'NOTES CP'!$B$10:$B$250,0)),INDEX('NOTES CP'!$AA$10:$AA$250,MATCH(Z53,'NOTES CP'!$B$10:$B$250,0)),INDEX('NOTES CP'!$AK$10:$AK$250,MATCH(Z53,'NOTES CP'!$B$10:$B$250,0))),""))</f>
        <v/>
      </c>
      <c r="AF53" s="51" t="str">
        <f aca="false">IFERROR(MATCH("CP2-13",'REGISTRE ELEVES'!$AG$10:$AG$250,0),"")</f>
        <v/>
      </c>
      <c r="AG53" s="51" t="str">
        <f aca="false">IF(AF53="","",INDEX('REGISTRE ELEVES'!$B$10:$B$250,AF53))</f>
        <v/>
      </c>
      <c r="AH53" s="51" t="str">
        <f aca="false">IF(AF53="","",INDEX('REGISTRE ELEVES'!$D$10:$D$250,AF53))</f>
        <v/>
      </c>
      <c r="AI53" s="51" t="str">
        <f aca="false">IF(AF53="","",INDEX('REGISTRE ELEVES'!$E$10:$E$250,AF53))</f>
        <v/>
      </c>
      <c r="AJ53" s="51" t="str">
        <f aca="false">IF(AG53="","",IFERROR(CHOOSE($C$9,INDEX('NOTES CP'!$P$10:$P$250,MATCH(AG53,'NOTES CP'!$B$10:$B$250,0)),INDEX('NOTES CP'!$Z$10:$Z$250,MATCH(AG53,'NOTES CP'!$B$10:$B$250,0)),INDEX('NOTES CP'!$AJ$10:$AJ$250,MATCH(AG53,'NOTES CP'!$B$10:$B$250,0)),INDEX('NOTES CP'!$AT$10:$AT$250,MATCH(AG53,'NOTES CP'!$B$10:$B$250,0))),""))</f>
        <v/>
      </c>
      <c r="AK53" s="51" t="str">
        <f aca="false">IF(ISNUMBER(AJ53),AJ53+(1000-13)/1000000,"")</f>
        <v/>
      </c>
      <c r="AL53" s="51" t="str">
        <f aca="false">IF(AG53="","",IFERROR(CHOOSE($C$9,INDEX('NOTES CP'!$G$10:$G$250,MATCH(AG53,'NOTES CP'!$B$10:$B$250,0)),INDEX('NOTES CP'!$Q$10:$Q$250,MATCH(AG53,'NOTES CP'!$B$10:$B$250,0)),INDEX('NOTES CP'!$AA$10:$AA$250,MATCH(AG53,'NOTES CP'!$B$10:$B$250,0)),INDEX('NOTES CP'!$AK$10:$AK$250,MATCH(AG53,'NOTES CP'!$B$10:$B$250,0))),""))</f>
        <v/>
      </c>
      <c r="AM53" s="51" t="str">
        <f aca="false">IFERROR(MATCH("CE1-13",'REGISTRE ELEVES'!$AG$10:$AG$250,0),"")</f>
        <v/>
      </c>
      <c r="AN53" s="51" t="str">
        <f aca="false">IF(AM53="","",INDEX('REGISTRE ELEVES'!$B$10:$B$250,AM53))</f>
        <v/>
      </c>
      <c r="AO53" s="51" t="str">
        <f aca="false">IF(AM53="","",INDEX('REGISTRE ELEVES'!$D$10:$D$250,AM53))</f>
        <v/>
      </c>
      <c r="AP53" s="51" t="str">
        <f aca="false">IF(AM53="","",INDEX('REGISTRE ELEVES'!$E$10:$E$250,AM53))</f>
        <v/>
      </c>
      <c r="AQ53" s="51" t="str">
        <f aca="false">IF(AN53="","",IFERROR(CHOOSE($C$9,INDEX('NOTES CE1'!$M$10:$M$250,MATCH(AN53,'NOTES CE1'!$B$10:$B$250,0)),INDEX('NOTES CE1'!$T$10:$T$250,MATCH(AN53,'NOTES CE1'!$B$10:$B$250,0)),INDEX('NOTES CE1'!$AA$10:$AA$250,MATCH(AN53,'NOTES CE1'!$B$10:$B$250,0)),INDEX('NOTES CE1'!$AH$10:$AH$250,MATCH(AN53,'NOTES CE1'!$B$10:$B$250,0))),""))</f>
        <v/>
      </c>
      <c r="AR53" s="51" t="str">
        <f aca="false">IF(ISNUMBER(AQ53),AQ53+(1000-13)/1000000,"")</f>
        <v/>
      </c>
      <c r="AS53" s="51" t="str">
        <f aca="false">IF(AN53="","",IFERROR(CHOOSE($C$9,INDEX('NOTES CE1'!$G$10:$G$250,MATCH(AN53,'NOTES CE1'!$B$10:$B$250,0)),INDEX('NOTES CE1'!$N$10:$N$250,MATCH(AN53,'NOTES CE1'!$B$10:$B$250,0)),INDEX('NOTES CE1'!$U$10:$U$250,MATCH(AN53,'NOTES CE1'!$B$10:$B$250,0)),INDEX('NOTES CE1'!$AB$10:$AB$250,MATCH(AN53,'NOTES CE1'!$B$10:$B$250,0))),""))</f>
        <v/>
      </c>
      <c r="AT53" s="51" t="str">
        <f aca="false">IFERROR(MATCH("CE2-13",'REGISTRE ELEVES'!$AG$10:$AG$250,0),"")</f>
        <v/>
      </c>
      <c r="AU53" s="51" t="str">
        <f aca="false">IF(AT53="","",INDEX('REGISTRE ELEVES'!$B$10:$B$250,AT53))</f>
        <v/>
      </c>
      <c r="AV53" s="51" t="str">
        <f aca="false">IF(AT53="","",INDEX('REGISTRE ELEVES'!$D$10:$D$250,AT53))</f>
        <v/>
      </c>
      <c r="AW53" s="51" t="str">
        <f aca="false">IF(AT53="","",INDEX('REGISTRE ELEVES'!$E$10:$E$250,AT53))</f>
        <v/>
      </c>
      <c r="AX53" s="51" t="str">
        <f aca="false">IF(AU53="","",IFERROR(CHOOSE($C$9,INDEX('NOTES CE2-CM1'!$M$10:$M$250,MATCH(AU53,'NOTES CE2-CM1'!$B$10:$B$250,0)),INDEX('NOTES CE2-CM1'!$T$10:$T$250,MATCH(AU53,'NOTES CE2-CM1'!$B$10:$B$250,0)),INDEX('NOTES CE2-CM1'!$AA$10:$AA$250,MATCH(AU53,'NOTES CE2-CM1'!$B$10:$B$250,0)),INDEX('NOTES CE2-CM1'!$AH$10:$AH$250,MATCH(AU53,'NOTES CE2-CM1'!$B$10:$B$250,0))),""))</f>
        <v/>
      </c>
      <c r="AY53" s="51" t="str">
        <f aca="false">IF(ISNUMBER(AX53),AX53+(1000-13)/1000000,"")</f>
        <v/>
      </c>
      <c r="AZ53" s="51" t="str">
        <f aca="false">IF(AU53="","",IFERROR(CHOOSE($C$9,INDEX('NOTES CE2-CM1'!$G$10:$G$250,MATCH(AU53,'NOTES CE2-CM1'!$B$10:$B$250,0)),INDEX('NOTES CE2-CM1'!$N$10:$N$250,MATCH(AU53,'NOTES CE2-CM1'!$B$10:$B$250,0)),INDEX('NOTES CE2-CM1'!$U$10:$U$250,MATCH(AU53,'NOTES CE2-CM1'!$B$10:$B$250,0)),INDEX('NOTES CE2-CM1'!$AB$10:$AB$250,MATCH(AU53,'NOTES CE2-CM1'!$B$10:$B$250,0))),""))</f>
        <v/>
      </c>
      <c r="BA53" s="51" t="str">
        <f aca="false">IFERROR(MATCH("CM1-13",'REGISTRE ELEVES'!$AG$10:$AG$250,0),"")</f>
        <v/>
      </c>
      <c r="BB53" s="51" t="str">
        <f aca="false">IF(BA53="","",INDEX('REGISTRE ELEVES'!$B$10:$B$250,BA53))</f>
        <v/>
      </c>
      <c r="BC53" s="51" t="str">
        <f aca="false">IF(BA53="","",INDEX('REGISTRE ELEVES'!$D$10:$D$250,BA53))</f>
        <v/>
      </c>
      <c r="BD53" s="51" t="str">
        <f aca="false">IF(BA53="","",INDEX('REGISTRE ELEVES'!$E$10:$E$250,BA53))</f>
        <v/>
      </c>
      <c r="BE53" s="51" t="str">
        <f aca="false">IF(BB53="","",IFERROR(CHOOSE($C$9,INDEX('NOTES CE2-CM1'!$M$10:$M$250,MATCH(BB53,'NOTES CE2-CM1'!$B$10:$B$250,0)),INDEX('NOTES CE2-CM1'!$T$10:$T$250,MATCH(BB53,'NOTES CE2-CM1'!$B$10:$B$250,0)),INDEX('NOTES CE2-CM1'!$AA$10:$AA$250,MATCH(BB53,'NOTES CE2-CM1'!$B$10:$B$250,0)),INDEX('NOTES CE2-CM1'!$AH$10:$AH$250,MATCH(BB53,'NOTES CE2-CM1'!$B$10:$B$250,0))),""))</f>
        <v/>
      </c>
      <c r="BF53" s="51" t="str">
        <f aca="false">IF(ISNUMBER(BE53),BE53+(1000-13)/1000000,"")</f>
        <v/>
      </c>
      <c r="BG53" s="51" t="str">
        <f aca="false">IF(BB53="","",IFERROR(CHOOSE($C$9,INDEX('NOTES CE2-CM1'!$G$10:$G$250,MATCH(BB53,'NOTES CE2-CM1'!$B$10:$B$250,0)),INDEX('NOTES CE2-CM1'!$N$10:$N$250,MATCH(BB53,'NOTES CE2-CM1'!$B$10:$B$250,0)),INDEX('NOTES CE2-CM1'!$U$10:$U$250,MATCH(BB53,'NOTES CE2-CM1'!$B$10:$B$250,0)),INDEX('NOTES CE2-CM1'!$AB$10:$AB$250,MATCH(BB53,'NOTES CE2-CM1'!$B$10:$B$250,0))),""))</f>
        <v/>
      </c>
      <c r="BH53" s="51" t="str">
        <f aca="false">IFERROR(MATCH("CM2-13",'REGISTRE ELEVES'!$AG$10:$AG$250,0),"")</f>
        <v/>
      </c>
      <c r="BI53" s="51" t="str">
        <f aca="false">IF(BH53="","",INDEX('REGISTRE ELEVES'!$B$10:$B$250,BH53))</f>
        <v/>
      </c>
      <c r="BJ53" s="51" t="str">
        <f aca="false">IF(BH53="","",INDEX('REGISTRE ELEVES'!$D$10:$D$250,BH53))</f>
        <v/>
      </c>
      <c r="BK53" s="51" t="str">
        <f aca="false">IF(BH53="","",INDEX('REGISTRE ELEVES'!$E$10:$E$250,BH53))</f>
        <v/>
      </c>
      <c r="BL53" s="51" t="str">
        <f aca="false">IF(BI53="","",IFERROR(CHOOSE($C$9,INDEX('NOTES CM2'!$M$10:$M$250,MATCH(BI53,'NOTES CM2'!$B$10:$B$250,0)),INDEX('NOTES CM2'!$T$10:$T$250,MATCH(BI53,'NOTES CM2'!$B$10:$B$250,0)),INDEX('NOTES CM2'!$AB$10:$AB$250,MATCH(BI53,'NOTES CM2'!$B$10:$B$250,0)),INDEX('NOTES CM2'!$AJ$10:$AJ$250,MATCH(BI53,'NOTES CM2'!$B$10:$B$250,0))),""))</f>
        <v/>
      </c>
      <c r="BM53" s="51" t="str">
        <f aca="false">IF(ISNUMBER(BL53),BL53+(1000-13)/1000000,"")</f>
        <v/>
      </c>
      <c r="BN53" s="51" t="str">
        <f aca="false">IF(BI53="","",IFERROR(CHOOSE($C$9,INDEX('NOTES CM2'!$G$10:$G$250,MATCH(BI53,'NOTES CM2'!$B$10:$B$250,0)),INDEX('NOTES CM2'!$N$10:$N$250,MATCH(BI53,'NOTES CM2'!$B$10:$B$250,0)),INDEX('NOTES CM2'!$U$10:$U$250,MATCH(BI53,'NOTES CM2'!$B$10:$B$250,0)),INDEX('NOTES CM2'!$AC$10:$AC$250,MATCH(BI53,'NOTES CM2'!$B$10:$B$250,0))),""))</f>
        <v/>
      </c>
    </row>
    <row r="54" customFormat="false" ht="15" hidden="false" customHeight="false" outlineLevel="0" collapsed="false">
      <c r="Y54" s="51" t="str">
        <f aca="false">IFERROR(MATCH("CP1-14",'REGISTRE ELEVES'!$AG$10:$AG$250,0),"")</f>
        <v/>
      </c>
      <c r="Z54" s="51" t="str">
        <f aca="false">IF(Y54="","",INDEX('REGISTRE ELEVES'!$B$10:$B$250,Y54))</f>
        <v/>
      </c>
      <c r="AA54" s="51" t="str">
        <f aca="false">IF(Y54="","",INDEX('REGISTRE ELEVES'!$D$10:$D$250,Y54))</f>
        <v/>
      </c>
      <c r="AB54" s="51" t="str">
        <f aca="false">IF(Y54="","",INDEX('REGISTRE ELEVES'!$E$10:$E$250,Y54))</f>
        <v/>
      </c>
      <c r="AC54" s="51" t="str">
        <f aca="false">IF(Z54="","",IFERROR(CHOOSE($C$9,INDEX('NOTES CP'!$P$10:$P$250,MATCH(Z54,'NOTES CP'!$B$10:$B$250,0)),INDEX('NOTES CP'!$Z$10:$Z$250,MATCH(Z54,'NOTES CP'!$B$10:$B$250,0)),INDEX('NOTES CP'!$AJ$10:$AJ$250,MATCH(Z54,'NOTES CP'!$B$10:$B$250,0)),INDEX('NOTES CP'!$AT$10:$AT$250,MATCH(Z54,'NOTES CP'!$B$10:$B$250,0))),""))</f>
        <v/>
      </c>
      <c r="AD54" s="51" t="str">
        <f aca="false">IF(ISNUMBER(AC54),AC54+(1000-14)/1000000,"")</f>
        <v/>
      </c>
      <c r="AE54" s="51" t="str">
        <f aca="false">IF(Z54="","",IFERROR(CHOOSE($C$9,INDEX('NOTES CP'!$G$10:$G$250,MATCH(Z54,'NOTES CP'!$B$10:$B$250,0)),INDEX('NOTES CP'!$Q$10:$Q$250,MATCH(Z54,'NOTES CP'!$B$10:$B$250,0)),INDEX('NOTES CP'!$AA$10:$AA$250,MATCH(Z54,'NOTES CP'!$B$10:$B$250,0)),INDEX('NOTES CP'!$AK$10:$AK$250,MATCH(Z54,'NOTES CP'!$B$10:$B$250,0))),""))</f>
        <v/>
      </c>
      <c r="AF54" s="51" t="str">
        <f aca="false">IFERROR(MATCH("CP2-14",'REGISTRE ELEVES'!$AG$10:$AG$250,0),"")</f>
        <v/>
      </c>
      <c r="AG54" s="51" t="str">
        <f aca="false">IF(AF54="","",INDEX('REGISTRE ELEVES'!$B$10:$B$250,AF54))</f>
        <v/>
      </c>
      <c r="AH54" s="51" t="str">
        <f aca="false">IF(AF54="","",INDEX('REGISTRE ELEVES'!$D$10:$D$250,AF54))</f>
        <v/>
      </c>
      <c r="AI54" s="51" t="str">
        <f aca="false">IF(AF54="","",INDEX('REGISTRE ELEVES'!$E$10:$E$250,AF54))</f>
        <v/>
      </c>
      <c r="AJ54" s="51" t="str">
        <f aca="false">IF(AG54="","",IFERROR(CHOOSE($C$9,INDEX('NOTES CP'!$P$10:$P$250,MATCH(AG54,'NOTES CP'!$B$10:$B$250,0)),INDEX('NOTES CP'!$Z$10:$Z$250,MATCH(AG54,'NOTES CP'!$B$10:$B$250,0)),INDEX('NOTES CP'!$AJ$10:$AJ$250,MATCH(AG54,'NOTES CP'!$B$10:$B$250,0)),INDEX('NOTES CP'!$AT$10:$AT$250,MATCH(AG54,'NOTES CP'!$B$10:$B$250,0))),""))</f>
        <v/>
      </c>
      <c r="AK54" s="51" t="str">
        <f aca="false">IF(ISNUMBER(AJ54),AJ54+(1000-14)/1000000,"")</f>
        <v/>
      </c>
      <c r="AL54" s="51" t="str">
        <f aca="false">IF(AG54="","",IFERROR(CHOOSE($C$9,INDEX('NOTES CP'!$G$10:$G$250,MATCH(AG54,'NOTES CP'!$B$10:$B$250,0)),INDEX('NOTES CP'!$Q$10:$Q$250,MATCH(AG54,'NOTES CP'!$B$10:$B$250,0)),INDEX('NOTES CP'!$AA$10:$AA$250,MATCH(AG54,'NOTES CP'!$B$10:$B$250,0)),INDEX('NOTES CP'!$AK$10:$AK$250,MATCH(AG54,'NOTES CP'!$B$10:$B$250,0))),""))</f>
        <v/>
      </c>
      <c r="AM54" s="51" t="str">
        <f aca="false">IFERROR(MATCH("CE1-14",'REGISTRE ELEVES'!$AG$10:$AG$250,0),"")</f>
        <v/>
      </c>
      <c r="AN54" s="51" t="str">
        <f aca="false">IF(AM54="","",INDEX('REGISTRE ELEVES'!$B$10:$B$250,AM54))</f>
        <v/>
      </c>
      <c r="AO54" s="51" t="str">
        <f aca="false">IF(AM54="","",INDEX('REGISTRE ELEVES'!$D$10:$D$250,AM54))</f>
        <v/>
      </c>
      <c r="AP54" s="51" t="str">
        <f aca="false">IF(AM54="","",INDEX('REGISTRE ELEVES'!$E$10:$E$250,AM54))</f>
        <v/>
      </c>
      <c r="AQ54" s="51" t="str">
        <f aca="false">IF(AN54="","",IFERROR(CHOOSE($C$9,INDEX('NOTES CE1'!$M$10:$M$250,MATCH(AN54,'NOTES CE1'!$B$10:$B$250,0)),INDEX('NOTES CE1'!$T$10:$T$250,MATCH(AN54,'NOTES CE1'!$B$10:$B$250,0)),INDEX('NOTES CE1'!$AA$10:$AA$250,MATCH(AN54,'NOTES CE1'!$B$10:$B$250,0)),INDEX('NOTES CE1'!$AH$10:$AH$250,MATCH(AN54,'NOTES CE1'!$B$10:$B$250,0))),""))</f>
        <v/>
      </c>
      <c r="AR54" s="51" t="str">
        <f aca="false">IF(ISNUMBER(AQ54),AQ54+(1000-14)/1000000,"")</f>
        <v/>
      </c>
      <c r="AS54" s="51" t="str">
        <f aca="false">IF(AN54="","",IFERROR(CHOOSE($C$9,INDEX('NOTES CE1'!$G$10:$G$250,MATCH(AN54,'NOTES CE1'!$B$10:$B$250,0)),INDEX('NOTES CE1'!$N$10:$N$250,MATCH(AN54,'NOTES CE1'!$B$10:$B$250,0)),INDEX('NOTES CE1'!$U$10:$U$250,MATCH(AN54,'NOTES CE1'!$B$10:$B$250,0)),INDEX('NOTES CE1'!$AB$10:$AB$250,MATCH(AN54,'NOTES CE1'!$B$10:$B$250,0))),""))</f>
        <v/>
      </c>
      <c r="AT54" s="51" t="str">
        <f aca="false">IFERROR(MATCH("CE2-14",'REGISTRE ELEVES'!$AG$10:$AG$250,0),"")</f>
        <v/>
      </c>
      <c r="AU54" s="51" t="str">
        <f aca="false">IF(AT54="","",INDEX('REGISTRE ELEVES'!$B$10:$B$250,AT54))</f>
        <v/>
      </c>
      <c r="AV54" s="51" t="str">
        <f aca="false">IF(AT54="","",INDEX('REGISTRE ELEVES'!$D$10:$D$250,AT54))</f>
        <v/>
      </c>
      <c r="AW54" s="51" t="str">
        <f aca="false">IF(AT54="","",INDEX('REGISTRE ELEVES'!$E$10:$E$250,AT54))</f>
        <v/>
      </c>
      <c r="AX54" s="51" t="str">
        <f aca="false">IF(AU54="","",IFERROR(CHOOSE($C$9,INDEX('NOTES CE2-CM1'!$M$10:$M$250,MATCH(AU54,'NOTES CE2-CM1'!$B$10:$B$250,0)),INDEX('NOTES CE2-CM1'!$T$10:$T$250,MATCH(AU54,'NOTES CE2-CM1'!$B$10:$B$250,0)),INDEX('NOTES CE2-CM1'!$AA$10:$AA$250,MATCH(AU54,'NOTES CE2-CM1'!$B$10:$B$250,0)),INDEX('NOTES CE2-CM1'!$AH$10:$AH$250,MATCH(AU54,'NOTES CE2-CM1'!$B$10:$B$250,0))),""))</f>
        <v/>
      </c>
      <c r="AY54" s="51" t="str">
        <f aca="false">IF(ISNUMBER(AX54),AX54+(1000-14)/1000000,"")</f>
        <v/>
      </c>
      <c r="AZ54" s="51" t="str">
        <f aca="false">IF(AU54="","",IFERROR(CHOOSE($C$9,INDEX('NOTES CE2-CM1'!$G$10:$G$250,MATCH(AU54,'NOTES CE2-CM1'!$B$10:$B$250,0)),INDEX('NOTES CE2-CM1'!$N$10:$N$250,MATCH(AU54,'NOTES CE2-CM1'!$B$10:$B$250,0)),INDEX('NOTES CE2-CM1'!$U$10:$U$250,MATCH(AU54,'NOTES CE2-CM1'!$B$10:$B$250,0)),INDEX('NOTES CE2-CM1'!$AB$10:$AB$250,MATCH(AU54,'NOTES CE2-CM1'!$B$10:$B$250,0))),""))</f>
        <v/>
      </c>
      <c r="BA54" s="51" t="str">
        <f aca="false">IFERROR(MATCH("CM1-14",'REGISTRE ELEVES'!$AG$10:$AG$250,0),"")</f>
        <v/>
      </c>
      <c r="BB54" s="51" t="str">
        <f aca="false">IF(BA54="","",INDEX('REGISTRE ELEVES'!$B$10:$B$250,BA54))</f>
        <v/>
      </c>
      <c r="BC54" s="51" t="str">
        <f aca="false">IF(BA54="","",INDEX('REGISTRE ELEVES'!$D$10:$D$250,BA54))</f>
        <v/>
      </c>
      <c r="BD54" s="51" t="str">
        <f aca="false">IF(BA54="","",INDEX('REGISTRE ELEVES'!$E$10:$E$250,BA54))</f>
        <v/>
      </c>
      <c r="BE54" s="51" t="str">
        <f aca="false">IF(BB54="","",IFERROR(CHOOSE($C$9,INDEX('NOTES CE2-CM1'!$M$10:$M$250,MATCH(BB54,'NOTES CE2-CM1'!$B$10:$B$250,0)),INDEX('NOTES CE2-CM1'!$T$10:$T$250,MATCH(BB54,'NOTES CE2-CM1'!$B$10:$B$250,0)),INDEX('NOTES CE2-CM1'!$AA$10:$AA$250,MATCH(BB54,'NOTES CE2-CM1'!$B$10:$B$250,0)),INDEX('NOTES CE2-CM1'!$AH$10:$AH$250,MATCH(BB54,'NOTES CE2-CM1'!$B$10:$B$250,0))),""))</f>
        <v/>
      </c>
      <c r="BF54" s="51" t="str">
        <f aca="false">IF(ISNUMBER(BE54),BE54+(1000-14)/1000000,"")</f>
        <v/>
      </c>
      <c r="BG54" s="51" t="str">
        <f aca="false">IF(BB54="","",IFERROR(CHOOSE($C$9,INDEX('NOTES CE2-CM1'!$G$10:$G$250,MATCH(BB54,'NOTES CE2-CM1'!$B$10:$B$250,0)),INDEX('NOTES CE2-CM1'!$N$10:$N$250,MATCH(BB54,'NOTES CE2-CM1'!$B$10:$B$250,0)),INDEX('NOTES CE2-CM1'!$U$10:$U$250,MATCH(BB54,'NOTES CE2-CM1'!$B$10:$B$250,0)),INDEX('NOTES CE2-CM1'!$AB$10:$AB$250,MATCH(BB54,'NOTES CE2-CM1'!$B$10:$B$250,0))),""))</f>
        <v/>
      </c>
      <c r="BH54" s="51" t="str">
        <f aca="false">IFERROR(MATCH("CM2-14",'REGISTRE ELEVES'!$AG$10:$AG$250,0),"")</f>
        <v/>
      </c>
      <c r="BI54" s="51" t="str">
        <f aca="false">IF(BH54="","",INDEX('REGISTRE ELEVES'!$B$10:$B$250,BH54))</f>
        <v/>
      </c>
      <c r="BJ54" s="51" t="str">
        <f aca="false">IF(BH54="","",INDEX('REGISTRE ELEVES'!$D$10:$D$250,BH54))</f>
        <v/>
      </c>
      <c r="BK54" s="51" t="str">
        <f aca="false">IF(BH54="","",INDEX('REGISTRE ELEVES'!$E$10:$E$250,BH54))</f>
        <v/>
      </c>
      <c r="BL54" s="51" t="str">
        <f aca="false">IF(BI54="","",IFERROR(CHOOSE($C$9,INDEX('NOTES CM2'!$M$10:$M$250,MATCH(BI54,'NOTES CM2'!$B$10:$B$250,0)),INDEX('NOTES CM2'!$T$10:$T$250,MATCH(BI54,'NOTES CM2'!$B$10:$B$250,0)),INDEX('NOTES CM2'!$AB$10:$AB$250,MATCH(BI54,'NOTES CM2'!$B$10:$B$250,0)),INDEX('NOTES CM2'!$AJ$10:$AJ$250,MATCH(BI54,'NOTES CM2'!$B$10:$B$250,0))),""))</f>
        <v/>
      </c>
      <c r="BM54" s="51" t="str">
        <f aca="false">IF(ISNUMBER(BL54),BL54+(1000-14)/1000000,"")</f>
        <v/>
      </c>
      <c r="BN54" s="51" t="str">
        <f aca="false">IF(BI54="","",IFERROR(CHOOSE($C$9,INDEX('NOTES CM2'!$G$10:$G$250,MATCH(BI54,'NOTES CM2'!$B$10:$B$250,0)),INDEX('NOTES CM2'!$N$10:$N$250,MATCH(BI54,'NOTES CM2'!$B$10:$B$250,0)),INDEX('NOTES CM2'!$U$10:$U$250,MATCH(BI54,'NOTES CM2'!$B$10:$B$250,0)),INDEX('NOTES CM2'!$AC$10:$AC$250,MATCH(BI54,'NOTES CM2'!$B$10:$B$250,0))),""))</f>
        <v/>
      </c>
    </row>
    <row r="55" customFormat="false" ht="15" hidden="false" customHeight="false" outlineLevel="0" collapsed="false">
      <c r="Y55" s="51" t="str">
        <f aca="false">IFERROR(MATCH("CP1-15",'REGISTRE ELEVES'!$AG$10:$AG$250,0),"")</f>
        <v/>
      </c>
      <c r="Z55" s="51" t="str">
        <f aca="false">IF(Y55="","",INDEX('REGISTRE ELEVES'!$B$10:$B$250,Y55))</f>
        <v/>
      </c>
      <c r="AA55" s="51" t="str">
        <f aca="false">IF(Y55="","",INDEX('REGISTRE ELEVES'!$D$10:$D$250,Y55))</f>
        <v/>
      </c>
      <c r="AB55" s="51" t="str">
        <f aca="false">IF(Y55="","",INDEX('REGISTRE ELEVES'!$E$10:$E$250,Y55))</f>
        <v/>
      </c>
      <c r="AC55" s="51" t="str">
        <f aca="false">IF(Z55="","",IFERROR(CHOOSE($C$9,INDEX('NOTES CP'!$P$10:$P$250,MATCH(Z55,'NOTES CP'!$B$10:$B$250,0)),INDEX('NOTES CP'!$Z$10:$Z$250,MATCH(Z55,'NOTES CP'!$B$10:$B$250,0)),INDEX('NOTES CP'!$AJ$10:$AJ$250,MATCH(Z55,'NOTES CP'!$B$10:$B$250,0)),INDEX('NOTES CP'!$AT$10:$AT$250,MATCH(Z55,'NOTES CP'!$B$10:$B$250,0))),""))</f>
        <v/>
      </c>
      <c r="AD55" s="51" t="str">
        <f aca="false">IF(ISNUMBER(AC55),AC55+(1000-15)/1000000,"")</f>
        <v/>
      </c>
      <c r="AE55" s="51" t="str">
        <f aca="false">IF(Z55="","",IFERROR(CHOOSE($C$9,INDEX('NOTES CP'!$G$10:$G$250,MATCH(Z55,'NOTES CP'!$B$10:$B$250,0)),INDEX('NOTES CP'!$Q$10:$Q$250,MATCH(Z55,'NOTES CP'!$B$10:$B$250,0)),INDEX('NOTES CP'!$AA$10:$AA$250,MATCH(Z55,'NOTES CP'!$B$10:$B$250,0)),INDEX('NOTES CP'!$AK$10:$AK$250,MATCH(Z55,'NOTES CP'!$B$10:$B$250,0))),""))</f>
        <v/>
      </c>
      <c r="AF55" s="51" t="str">
        <f aca="false">IFERROR(MATCH("CP2-15",'REGISTRE ELEVES'!$AG$10:$AG$250,0),"")</f>
        <v/>
      </c>
      <c r="AG55" s="51" t="str">
        <f aca="false">IF(AF55="","",INDEX('REGISTRE ELEVES'!$B$10:$B$250,AF55))</f>
        <v/>
      </c>
      <c r="AH55" s="51" t="str">
        <f aca="false">IF(AF55="","",INDEX('REGISTRE ELEVES'!$D$10:$D$250,AF55))</f>
        <v/>
      </c>
      <c r="AI55" s="51" t="str">
        <f aca="false">IF(AF55="","",INDEX('REGISTRE ELEVES'!$E$10:$E$250,AF55))</f>
        <v/>
      </c>
      <c r="AJ55" s="51" t="str">
        <f aca="false">IF(AG55="","",IFERROR(CHOOSE($C$9,INDEX('NOTES CP'!$P$10:$P$250,MATCH(AG55,'NOTES CP'!$B$10:$B$250,0)),INDEX('NOTES CP'!$Z$10:$Z$250,MATCH(AG55,'NOTES CP'!$B$10:$B$250,0)),INDEX('NOTES CP'!$AJ$10:$AJ$250,MATCH(AG55,'NOTES CP'!$B$10:$B$250,0)),INDEX('NOTES CP'!$AT$10:$AT$250,MATCH(AG55,'NOTES CP'!$B$10:$B$250,0))),""))</f>
        <v/>
      </c>
      <c r="AK55" s="51" t="str">
        <f aca="false">IF(ISNUMBER(AJ55),AJ55+(1000-15)/1000000,"")</f>
        <v/>
      </c>
      <c r="AL55" s="51" t="str">
        <f aca="false">IF(AG55="","",IFERROR(CHOOSE($C$9,INDEX('NOTES CP'!$G$10:$G$250,MATCH(AG55,'NOTES CP'!$B$10:$B$250,0)),INDEX('NOTES CP'!$Q$10:$Q$250,MATCH(AG55,'NOTES CP'!$B$10:$B$250,0)),INDEX('NOTES CP'!$AA$10:$AA$250,MATCH(AG55,'NOTES CP'!$B$10:$B$250,0)),INDEX('NOTES CP'!$AK$10:$AK$250,MATCH(AG55,'NOTES CP'!$B$10:$B$250,0))),""))</f>
        <v/>
      </c>
      <c r="AM55" s="51" t="str">
        <f aca="false">IFERROR(MATCH("CE1-15",'REGISTRE ELEVES'!$AG$10:$AG$250,0),"")</f>
        <v/>
      </c>
      <c r="AN55" s="51" t="str">
        <f aca="false">IF(AM55="","",INDEX('REGISTRE ELEVES'!$B$10:$B$250,AM55))</f>
        <v/>
      </c>
      <c r="AO55" s="51" t="str">
        <f aca="false">IF(AM55="","",INDEX('REGISTRE ELEVES'!$D$10:$D$250,AM55))</f>
        <v/>
      </c>
      <c r="AP55" s="51" t="str">
        <f aca="false">IF(AM55="","",INDEX('REGISTRE ELEVES'!$E$10:$E$250,AM55))</f>
        <v/>
      </c>
      <c r="AQ55" s="51" t="str">
        <f aca="false">IF(AN55="","",IFERROR(CHOOSE($C$9,INDEX('NOTES CE1'!$M$10:$M$250,MATCH(AN55,'NOTES CE1'!$B$10:$B$250,0)),INDEX('NOTES CE1'!$T$10:$T$250,MATCH(AN55,'NOTES CE1'!$B$10:$B$250,0)),INDEX('NOTES CE1'!$AA$10:$AA$250,MATCH(AN55,'NOTES CE1'!$B$10:$B$250,0)),INDEX('NOTES CE1'!$AH$10:$AH$250,MATCH(AN55,'NOTES CE1'!$B$10:$B$250,0))),""))</f>
        <v/>
      </c>
      <c r="AR55" s="51" t="str">
        <f aca="false">IF(ISNUMBER(AQ55),AQ55+(1000-15)/1000000,"")</f>
        <v/>
      </c>
      <c r="AS55" s="51" t="str">
        <f aca="false">IF(AN55="","",IFERROR(CHOOSE($C$9,INDEX('NOTES CE1'!$G$10:$G$250,MATCH(AN55,'NOTES CE1'!$B$10:$B$250,0)),INDEX('NOTES CE1'!$N$10:$N$250,MATCH(AN55,'NOTES CE1'!$B$10:$B$250,0)),INDEX('NOTES CE1'!$U$10:$U$250,MATCH(AN55,'NOTES CE1'!$B$10:$B$250,0)),INDEX('NOTES CE1'!$AB$10:$AB$250,MATCH(AN55,'NOTES CE1'!$B$10:$B$250,0))),""))</f>
        <v/>
      </c>
      <c r="AT55" s="51" t="str">
        <f aca="false">IFERROR(MATCH("CE2-15",'REGISTRE ELEVES'!$AG$10:$AG$250,0),"")</f>
        <v/>
      </c>
      <c r="AU55" s="51" t="str">
        <f aca="false">IF(AT55="","",INDEX('REGISTRE ELEVES'!$B$10:$B$250,AT55))</f>
        <v/>
      </c>
      <c r="AV55" s="51" t="str">
        <f aca="false">IF(AT55="","",INDEX('REGISTRE ELEVES'!$D$10:$D$250,AT55))</f>
        <v/>
      </c>
      <c r="AW55" s="51" t="str">
        <f aca="false">IF(AT55="","",INDEX('REGISTRE ELEVES'!$E$10:$E$250,AT55))</f>
        <v/>
      </c>
      <c r="AX55" s="51" t="str">
        <f aca="false">IF(AU55="","",IFERROR(CHOOSE($C$9,INDEX('NOTES CE2-CM1'!$M$10:$M$250,MATCH(AU55,'NOTES CE2-CM1'!$B$10:$B$250,0)),INDEX('NOTES CE2-CM1'!$T$10:$T$250,MATCH(AU55,'NOTES CE2-CM1'!$B$10:$B$250,0)),INDEX('NOTES CE2-CM1'!$AA$10:$AA$250,MATCH(AU55,'NOTES CE2-CM1'!$B$10:$B$250,0)),INDEX('NOTES CE2-CM1'!$AH$10:$AH$250,MATCH(AU55,'NOTES CE2-CM1'!$B$10:$B$250,0))),""))</f>
        <v/>
      </c>
      <c r="AY55" s="51" t="str">
        <f aca="false">IF(ISNUMBER(AX55),AX55+(1000-15)/1000000,"")</f>
        <v/>
      </c>
      <c r="AZ55" s="51" t="str">
        <f aca="false">IF(AU55="","",IFERROR(CHOOSE($C$9,INDEX('NOTES CE2-CM1'!$G$10:$G$250,MATCH(AU55,'NOTES CE2-CM1'!$B$10:$B$250,0)),INDEX('NOTES CE2-CM1'!$N$10:$N$250,MATCH(AU55,'NOTES CE2-CM1'!$B$10:$B$250,0)),INDEX('NOTES CE2-CM1'!$U$10:$U$250,MATCH(AU55,'NOTES CE2-CM1'!$B$10:$B$250,0)),INDEX('NOTES CE2-CM1'!$AB$10:$AB$250,MATCH(AU55,'NOTES CE2-CM1'!$B$10:$B$250,0))),""))</f>
        <v/>
      </c>
      <c r="BA55" s="51" t="str">
        <f aca="false">IFERROR(MATCH("CM1-15",'REGISTRE ELEVES'!$AG$10:$AG$250,0),"")</f>
        <v/>
      </c>
      <c r="BB55" s="51" t="str">
        <f aca="false">IF(BA55="","",INDEX('REGISTRE ELEVES'!$B$10:$B$250,BA55))</f>
        <v/>
      </c>
      <c r="BC55" s="51" t="str">
        <f aca="false">IF(BA55="","",INDEX('REGISTRE ELEVES'!$D$10:$D$250,BA55))</f>
        <v/>
      </c>
      <c r="BD55" s="51" t="str">
        <f aca="false">IF(BA55="","",INDEX('REGISTRE ELEVES'!$E$10:$E$250,BA55))</f>
        <v/>
      </c>
      <c r="BE55" s="51" t="str">
        <f aca="false">IF(BB55="","",IFERROR(CHOOSE($C$9,INDEX('NOTES CE2-CM1'!$M$10:$M$250,MATCH(BB55,'NOTES CE2-CM1'!$B$10:$B$250,0)),INDEX('NOTES CE2-CM1'!$T$10:$T$250,MATCH(BB55,'NOTES CE2-CM1'!$B$10:$B$250,0)),INDEX('NOTES CE2-CM1'!$AA$10:$AA$250,MATCH(BB55,'NOTES CE2-CM1'!$B$10:$B$250,0)),INDEX('NOTES CE2-CM1'!$AH$10:$AH$250,MATCH(BB55,'NOTES CE2-CM1'!$B$10:$B$250,0))),""))</f>
        <v/>
      </c>
      <c r="BF55" s="51" t="str">
        <f aca="false">IF(ISNUMBER(BE55),BE55+(1000-15)/1000000,"")</f>
        <v/>
      </c>
      <c r="BG55" s="51" t="str">
        <f aca="false">IF(BB55="","",IFERROR(CHOOSE($C$9,INDEX('NOTES CE2-CM1'!$G$10:$G$250,MATCH(BB55,'NOTES CE2-CM1'!$B$10:$B$250,0)),INDEX('NOTES CE2-CM1'!$N$10:$N$250,MATCH(BB55,'NOTES CE2-CM1'!$B$10:$B$250,0)),INDEX('NOTES CE2-CM1'!$U$10:$U$250,MATCH(BB55,'NOTES CE2-CM1'!$B$10:$B$250,0)),INDEX('NOTES CE2-CM1'!$AB$10:$AB$250,MATCH(BB55,'NOTES CE2-CM1'!$B$10:$B$250,0))),""))</f>
        <v/>
      </c>
      <c r="BH55" s="51" t="str">
        <f aca="false">IFERROR(MATCH("CM2-15",'REGISTRE ELEVES'!$AG$10:$AG$250,0),"")</f>
        <v/>
      </c>
      <c r="BI55" s="51" t="str">
        <f aca="false">IF(BH55="","",INDEX('REGISTRE ELEVES'!$B$10:$B$250,BH55))</f>
        <v/>
      </c>
      <c r="BJ55" s="51" t="str">
        <f aca="false">IF(BH55="","",INDEX('REGISTRE ELEVES'!$D$10:$D$250,BH55))</f>
        <v/>
      </c>
      <c r="BK55" s="51" t="str">
        <f aca="false">IF(BH55="","",INDEX('REGISTRE ELEVES'!$E$10:$E$250,BH55))</f>
        <v/>
      </c>
      <c r="BL55" s="51" t="str">
        <f aca="false">IF(BI55="","",IFERROR(CHOOSE($C$9,INDEX('NOTES CM2'!$M$10:$M$250,MATCH(BI55,'NOTES CM2'!$B$10:$B$250,0)),INDEX('NOTES CM2'!$T$10:$T$250,MATCH(BI55,'NOTES CM2'!$B$10:$B$250,0)),INDEX('NOTES CM2'!$AB$10:$AB$250,MATCH(BI55,'NOTES CM2'!$B$10:$B$250,0)),INDEX('NOTES CM2'!$AJ$10:$AJ$250,MATCH(BI55,'NOTES CM2'!$B$10:$B$250,0))),""))</f>
        <v/>
      </c>
      <c r="BM55" s="51" t="str">
        <f aca="false">IF(ISNUMBER(BL55),BL55+(1000-15)/1000000,"")</f>
        <v/>
      </c>
      <c r="BN55" s="51" t="str">
        <f aca="false">IF(BI55="","",IFERROR(CHOOSE($C$9,INDEX('NOTES CM2'!$G$10:$G$250,MATCH(BI55,'NOTES CM2'!$B$10:$B$250,0)),INDEX('NOTES CM2'!$N$10:$N$250,MATCH(BI55,'NOTES CM2'!$B$10:$B$250,0)),INDEX('NOTES CM2'!$U$10:$U$250,MATCH(BI55,'NOTES CM2'!$B$10:$B$250,0)),INDEX('NOTES CM2'!$AC$10:$AC$250,MATCH(BI55,'NOTES CM2'!$B$10:$B$250,0))),""))</f>
        <v/>
      </c>
    </row>
    <row r="56" customFormat="false" ht="15" hidden="false" customHeight="false" outlineLevel="0" collapsed="false">
      <c r="Y56" s="51" t="str">
        <f aca="false">IFERROR(MATCH("CP1-16",'REGISTRE ELEVES'!$AG$10:$AG$250,0),"")</f>
        <v/>
      </c>
      <c r="Z56" s="51" t="str">
        <f aca="false">IF(Y56="","",INDEX('REGISTRE ELEVES'!$B$10:$B$250,Y56))</f>
        <v/>
      </c>
      <c r="AA56" s="51" t="str">
        <f aca="false">IF(Y56="","",INDEX('REGISTRE ELEVES'!$D$10:$D$250,Y56))</f>
        <v/>
      </c>
      <c r="AB56" s="51" t="str">
        <f aca="false">IF(Y56="","",INDEX('REGISTRE ELEVES'!$E$10:$E$250,Y56))</f>
        <v/>
      </c>
      <c r="AC56" s="51" t="str">
        <f aca="false">IF(Z56="","",IFERROR(CHOOSE($C$9,INDEX('NOTES CP'!$P$10:$P$250,MATCH(Z56,'NOTES CP'!$B$10:$B$250,0)),INDEX('NOTES CP'!$Z$10:$Z$250,MATCH(Z56,'NOTES CP'!$B$10:$B$250,0)),INDEX('NOTES CP'!$AJ$10:$AJ$250,MATCH(Z56,'NOTES CP'!$B$10:$B$250,0)),INDEX('NOTES CP'!$AT$10:$AT$250,MATCH(Z56,'NOTES CP'!$B$10:$B$250,0))),""))</f>
        <v/>
      </c>
      <c r="AD56" s="51" t="str">
        <f aca="false">IF(ISNUMBER(AC56),AC56+(1000-16)/1000000,"")</f>
        <v/>
      </c>
      <c r="AE56" s="51" t="str">
        <f aca="false">IF(Z56="","",IFERROR(CHOOSE($C$9,INDEX('NOTES CP'!$G$10:$G$250,MATCH(Z56,'NOTES CP'!$B$10:$B$250,0)),INDEX('NOTES CP'!$Q$10:$Q$250,MATCH(Z56,'NOTES CP'!$B$10:$B$250,0)),INDEX('NOTES CP'!$AA$10:$AA$250,MATCH(Z56,'NOTES CP'!$B$10:$B$250,0)),INDEX('NOTES CP'!$AK$10:$AK$250,MATCH(Z56,'NOTES CP'!$B$10:$B$250,0))),""))</f>
        <v/>
      </c>
      <c r="AF56" s="51" t="str">
        <f aca="false">IFERROR(MATCH("CP2-16",'REGISTRE ELEVES'!$AG$10:$AG$250,0),"")</f>
        <v/>
      </c>
      <c r="AG56" s="51" t="str">
        <f aca="false">IF(AF56="","",INDEX('REGISTRE ELEVES'!$B$10:$B$250,AF56))</f>
        <v/>
      </c>
      <c r="AH56" s="51" t="str">
        <f aca="false">IF(AF56="","",INDEX('REGISTRE ELEVES'!$D$10:$D$250,AF56))</f>
        <v/>
      </c>
      <c r="AI56" s="51" t="str">
        <f aca="false">IF(AF56="","",INDEX('REGISTRE ELEVES'!$E$10:$E$250,AF56))</f>
        <v/>
      </c>
      <c r="AJ56" s="51" t="str">
        <f aca="false">IF(AG56="","",IFERROR(CHOOSE($C$9,INDEX('NOTES CP'!$P$10:$P$250,MATCH(AG56,'NOTES CP'!$B$10:$B$250,0)),INDEX('NOTES CP'!$Z$10:$Z$250,MATCH(AG56,'NOTES CP'!$B$10:$B$250,0)),INDEX('NOTES CP'!$AJ$10:$AJ$250,MATCH(AG56,'NOTES CP'!$B$10:$B$250,0)),INDEX('NOTES CP'!$AT$10:$AT$250,MATCH(AG56,'NOTES CP'!$B$10:$B$250,0))),""))</f>
        <v/>
      </c>
      <c r="AK56" s="51" t="str">
        <f aca="false">IF(ISNUMBER(AJ56),AJ56+(1000-16)/1000000,"")</f>
        <v/>
      </c>
      <c r="AL56" s="51" t="str">
        <f aca="false">IF(AG56="","",IFERROR(CHOOSE($C$9,INDEX('NOTES CP'!$G$10:$G$250,MATCH(AG56,'NOTES CP'!$B$10:$B$250,0)),INDEX('NOTES CP'!$Q$10:$Q$250,MATCH(AG56,'NOTES CP'!$B$10:$B$250,0)),INDEX('NOTES CP'!$AA$10:$AA$250,MATCH(AG56,'NOTES CP'!$B$10:$B$250,0)),INDEX('NOTES CP'!$AK$10:$AK$250,MATCH(AG56,'NOTES CP'!$B$10:$B$250,0))),""))</f>
        <v/>
      </c>
      <c r="AM56" s="51" t="str">
        <f aca="false">IFERROR(MATCH("CE1-16",'REGISTRE ELEVES'!$AG$10:$AG$250,0),"")</f>
        <v/>
      </c>
      <c r="AN56" s="51" t="str">
        <f aca="false">IF(AM56="","",INDEX('REGISTRE ELEVES'!$B$10:$B$250,AM56))</f>
        <v/>
      </c>
      <c r="AO56" s="51" t="str">
        <f aca="false">IF(AM56="","",INDEX('REGISTRE ELEVES'!$D$10:$D$250,AM56))</f>
        <v/>
      </c>
      <c r="AP56" s="51" t="str">
        <f aca="false">IF(AM56="","",INDEX('REGISTRE ELEVES'!$E$10:$E$250,AM56))</f>
        <v/>
      </c>
      <c r="AQ56" s="51" t="str">
        <f aca="false">IF(AN56="","",IFERROR(CHOOSE($C$9,INDEX('NOTES CE1'!$M$10:$M$250,MATCH(AN56,'NOTES CE1'!$B$10:$B$250,0)),INDEX('NOTES CE1'!$T$10:$T$250,MATCH(AN56,'NOTES CE1'!$B$10:$B$250,0)),INDEX('NOTES CE1'!$AA$10:$AA$250,MATCH(AN56,'NOTES CE1'!$B$10:$B$250,0)),INDEX('NOTES CE1'!$AH$10:$AH$250,MATCH(AN56,'NOTES CE1'!$B$10:$B$250,0))),""))</f>
        <v/>
      </c>
      <c r="AR56" s="51" t="str">
        <f aca="false">IF(ISNUMBER(AQ56),AQ56+(1000-16)/1000000,"")</f>
        <v/>
      </c>
      <c r="AS56" s="51" t="str">
        <f aca="false">IF(AN56="","",IFERROR(CHOOSE($C$9,INDEX('NOTES CE1'!$G$10:$G$250,MATCH(AN56,'NOTES CE1'!$B$10:$B$250,0)),INDEX('NOTES CE1'!$N$10:$N$250,MATCH(AN56,'NOTES CE1'!$B$10:$B$250,0)),INDEX('NOTES CE1'!$U$10:$U$250,MATCH(AN56,'NOTES CE1'!$B$10:$B$250,0)),INDEX('NOTES CE1'!$AB$10:$AB$250,MATCH(AN56,'NOTES CE1'!$B$10:$B$250,0))),""))</f>
        <v/>
      </c>
      <c r="AT56" s="51" t="str">
        <f aca="false">IFERROR(MATCH("CE2-16",'REGISTRE ELEVES'!$AG$10:$AG$250,0),"")</f>
        <v/>
      </c>
      <c r="AU56" s="51" t="str">
        <f aca="false">IF(AT56="","",INDEX('REGISTRE ELEVES'!$B$10:$B$250,AT56))</f>
        <v/>
      </c>
      <c r="AV56" s="51" t="str">
        <f aca="false">IF(AT56="","",INDEX('REGISTRE ELEVES'!$D$10:$D$250,AT56))</f>
        <v/>
      </c>
      <c r="AW56" s="51" t="str">
        <f aca="false">IF(AT56="","",INDEX('REGISTRE ELEVES'!$E$10:$E$250,AT56))</f>
        <v/>
      </c>
      <c r="AX56" s="51" t="str">
        <f aca="false">IF(AU56="","",IFERROR(CHOOSE($C$9,INDEX('NOTES CE2-CM1'!$M$10:$M$250,MATCH(AU56,'NOTES CE2-CM1'!$B$10:$B$250,0)),INDEX('NOTES CE2-CM1'!$T$10:$T$250,MATCH(AU56,'NOTES CE2-CM1'!$B$10:$B$250,0)),INDEX('NOTES CE2-CM1'!$AA$10:$AA$250,MATCH(AU56,'NOTES CE2-CM1'!$B$10:$B$250,0)),INDEX('NOTES CE2-CM1'!$AH$10:$AH$250,MATCH(AU56,'NOTES CE2-CM1'!$B$10:$B$250,0))),""))</f>
        <v/>
      </c>
      <c r="AY56" s="51" t="str">
        <f aca="false">IF(ISNUMBER(AX56),AX56+(1000-16)/1000000,"")</f>
        <v/>
      </c>
      <c r="AZ56" s="51" t="str">
        <f aca="false">IF(AU56="","",IFERROR(CHOOSE($C$9,INDEX('NOTES CE2-CM1'!$G$10:$G$250,MATCH(AU56,'NOTES CE2-CM1'!$B$10:$B$250,0)),INDEX('NOTES CE2-CM1'!$N$10:$N$250,MATCH(AU56,'NOTES CE2-CM1'!$B$10:$B$250,0)),INDEX('NOTES CE2-CM1'!$U$10:$U$250,MATCH(AU56,'NOTES CE2-CM1'!$B$10:$B$250,0)),INDEX('NOTES CE2-CM1'!$AB$10:$AB$250,MATCH(AU56,'NOTES CE2-CM1'!$B$10:$B$250,0))),""))</f>
        <v/>
      </c>
      <c r="BA56" s="51" t="str">
        <f aca="false">IFERROR(MATCH("CM1-16",'REGISTRE ELEVES'!$AG$10:$AG$250,0),"")</f>
        <v/>
      </c>
      <c r="BB56" s="51" t="str">
        <f aca="false">IF(BA56="","",INDEX('REGISTRE ELEVES'!$B$10:$B$250,BA56))</f>
        <v/>
      </c>
      <c r="BC56" s="51" t="str">
        <f aca="false">IF(BA56="","",INDEX('REGISTRE ELEVES'!$D$10:$D$250,BA56))</f>
        <v/>
      </c>
      <c r="BD56" s="51" t="str">
        <f aca="false">IF(BA56="","",INDEX('REGISTRE ELEVES'!$E$10:$E$250,BA56))</f>
        <v/>
      </c>
      <c r="BE56" s="51" t="str">
        <f aca="false">IF(BB56="","",IFERROR(CHOOSE($C$9,INDEX('NOTES CE2-CM1'!$M$10:$M$250,MATCH(BB56,'NOTES CE2-CM1'!$B$10:$B$250,0)),INDEX('NOTES CE2-CM1'!$T$10:$T$250,MATCH(BB56,'NOTES CE2-CM1'!$B$10:$B$250,0)),INDEX('NOTES CE2-CM1'!$AA$10:$AA$250,MATCH(BB56,'NOTES CE2-CM1'!$B$10:$B$250,0)),INDEX('NOTES CE2-CM1'!$AH$10:$AH$250,MATCH(BB56,'NOTES CE2-CM1'!$B$10:$B$250,0))),""))</f>
        <v/>
      </c>
      <c r="BF56" s="51" t="str">
        <f aca="false">IF(ISNUMBER(BE56),BE56+(1000-16)/1000000,"")</f>
        <v/>
      </c>
      <c r="BG56" s="51" t="str">
        <f aca="false">IF(BB56="","",IFERROR(CHOOSE($C$9,INDEX('NOTES CE2-CM1'!$G$10:$G$250,MATCH(BB56,'NOTES CE2-CM1'!$B$10:$B$250,0)),INDEX('NOTES CE2-CM1'!$N$10:$N$250,MATCH(BB56,'NOTES CE2-CM1'!$B$10:$B$250,0)),INDEX('NOTES CE2-CM1'!$U$10:$U$250,MATCH(BB56,'NOTES CE2-CM1'!$B$10:$B$250,0)),INDEX('NOTES CE2-CM1'!$AB$10:$AB$250,MATCH(BB56,'NOTES CE2-CM1'!$B$10:$B$250,0))),""))</f>
        <v/>
      </c>
      <c r="BH56" s="51" t="str">
        <f aca="false">IFERROR(MATCH("CM2-16",'REGISTRE ELEVES'!$AG$10:$AG$250,0),"")</f>
        <v/>
      </c>
      <c r="BI56" s="51" t="str">
        <f aca="false">IF(BH56="","",INDEX('REGISTRE ELEVES'!$B$10:$B$250,BH56))</f>
        <v/>
      </c>
      <c r="BJ56" s="51" t="str">
        <f aca="false">IF(BH56="","",INDEX('REGISTRE ELEVES'!$D$10:$D$250,BH56))</f>
        <v/>
      </c>
      <c r="BK56" s="51" t="str">
        <f aca="false">IF(BH56="","",INDEX('REGISTRE ELEVES'!$E$10:$E$250,BH56))</f>
        <v/>
      </c>
      <c r="BL56" s="51" t="str">
        <f aca="false">IF(BI56="","",IFERROR(CHOOSE($C$9,INDEX('NOTES CM2'!$M$10:$M$250,MATCH(BI56,'NOTES CM2'!$B$10:$B$250,0)),INDEX('NOTES CM2'!$T$10:$T$250,MATCH(BI56,'NOTES CM2'!$B$10:$B$250,0)),INDEX('NOTES CM2'!$AB$10:$AB$250,MATCH(BI56,'NOTES CM2'!$B$10:$B$250,0)),INDEX('NOTES CM2'!$AJ$10:$AJ$250,MATCH(BI56,'NOTES CM2'!$B$10:$B$250,0))),""))</f>
        <v/>
      </c>
      <c r="BM56" s="51" t="str">
        <f aca="false">IF(ISNUMBER(BL56),BL56+(1000-16)/1000000,"")</f>
        <v/>
      </c>
      <c r="BN56" s="51" t="str">
        <f aca="false">IF(BI56="","",IFERROR(CHOOSE($C$9,INDEX('NOTES CM2'!$G$10:$G$250,MATCH(BI56,'NOTES CM2'!$B$10:$B$250,0)),INDEX('NOTES CM2'!$N$10:$N$250,MATCH(BI56,'NOTES CM2'!$B$10:$B$250,0)),INDEX('NOTES CM2'!$U$10:$U$250,MATCH(BI56,'NOTES CM2'!$B$10:$B$250,0)),INDEX('NOTES CM2'!$AC$10:$AC$250,MATCH(BI56,'NOTES CM2'!$B$10:$B$250,0))),""))</f>
        <v/>
      </c>
    </row>
    <row r="57" customFormat="false" ht="15" hidden="false" customHeight="false" outlineLevel="0" collapsed="false">
      <c r="Y57" s="51" t="str">
        <f aca="false">IFERROR(MATCH("CP1-17",'REGISTRE ELEVES'!$AG$10:$AG$250,0),"")</f>
        <v/>
      </c>
      <c r="Z57" s="51" t="str">
        <f aca="false">IF(Y57="","",INDEX('REGISTRE ELEVES'!$B$10:$B$250,Y57))</f>
        <v/>
      </c>
      <c r="AA57" s="51" t="str">
        <f aca="false">IF(Y57="","",INDEX('REGISTRE ELEVES'!$D$10:$D$250,Y57))</f>
        <v/>
      </c>
      <c r="AB57" s="51" t="str">
        <f aca="false">IF(Y57="","",INDEX('REGISTRE ELEVES'!$E$10:$E$250,Y57))</f>
        <v/>
      </c>
      <c r="AC57" s="51" t="str">
        <f aca="false">IF(Z57="","",IFERROR(CHOOSE($C$9,INDEX('NOTES CP'!$P$10:$P$250,MATCH(Z57,'NOTES CP'!$B$10:$B$250,0)),INDEX('NOTES CP'!$Z$10:$Z$250,MATCH(Z57,'NOTES CP'!$B$10:$B$250,0)),INDEX('NOTES CP'!$AJ$10:$AJ$250,MATCH(Z57,'NOTES CP'!$B$10:$B$250,0)),INDEX('NOTES CP'!$AT$10:$AT$250,MATCH(Z57,'NOTES CP'!$B$10:$B$250,0))),""))</f>
        <v/>
      </c>
      <c r="AD57" s="51" t="str">
        <f aca="false">IF(ISNUMBER(AC57),AC57+(1000-17)/1000000,"")</f>
        <v/>
      </c>
      <c r="AE57" s="51" t="str">
        <f aca="false">IF(Z57="","",IFERROR(CHOOSE($C$9,INDEX('NOTES CP'!$G$10:$G$250,MATCH(Z57,'NOTES CP'!$B$10:$B$250,0)),INDEX('NOTES CP'!$Q$10:$Q$250,MATCH(Z57,'NOTES CP'!$B$10:$B$250,0)),INDEX('NOTES CP'!$AA$10:$AA$250,MATCH(Z57,'NOTES CP'!$B$10:$B$250,0)),INDEX('NOTES CP'!$AK$10:$AK$250,MATCH(Z57,'NOTES CP'!$B$10:$B$250,0))),""))</f>
        <v/>
      </c>
      <c r="AF57" s="51" t="str">
        <f aca="false">IFERROR(MATCH("CP2-17",'REGISTRE ELEVES'!$AG$10:$AG$250,0),"")</f>
        <v/>
      </c>
      <c r="AG57" s="51" t="str">
        <f aca="false">IF(AF57="","",INDEX('REGISTRE ELEVES'!$B$10:$B$250,AF57))</f>
        <v/>
      </c>
      <c r="AH57" s="51" t="str">
        <f aca="false">IF(AF57="","",INDEX('REGISTRE ELEVES'!$D$10:$D$250,AF57))</f>
        <v/>
      </c>
      <c r="AI57" s="51" t="str">
        <f aca="false">IF(AF57="","",INDEX('REGISTRE ELEVES'!$E$10:$E$250,AF57))</f>
        <v/>
      </c>
      <c r="AJ57" s="51" t="str">
        <f aca="false">IF(AG57="","",IFERROR(CHOOSE($C$9,INDEX('NOTES CP'!$P$10:$P$250,MATCH(AG57,'NOTES CP'!$B$10:$B$250,0)),INDEX('NOTES CP'!$Z$10:$Z$250,MATCH(AG57,'NOTES CP'!$B$10:$B$250,0)),INDEX('NOTES CP'!$AJ$10:$AJ$250,MATCH(AG57,'NOTES CP'!$B$10:$B$250,0)),INDEX('NOTES CP'!$AT$10:$AT$250,MATCH(AG57,'NOTES CP'!$B$10:$B$250,0))),""))</f>
        <v/>
      </c>
      <c r="AK57" s="51" t="str">
        <f aca="false">IF(ISNUMBER(AJ57),AJ57+(1000-17)/1000000,"")</f>
        <v/>
      </c>
      <c r="AL57" s="51" t="str">
        <f aca="false">IF(AG57="","",IFERROR(CHOOSE($C$9,INDEX('NOTES CP'!$G$10:$G$250,MATCH(AG57,'NOTES CP'!$B$10:$B$250,0)),INDEX('NOTES CP'!$Q$10:$Q$250,MATCH(AG57,'NOTES CP'!$B$10:$B$250,0)),INDEX('NOTES CP'!$AA$10:$AA$250,MATCH(AG57,'NOTES CP'!$B$10:$B$250,0)),INDEX('NOTES CP'!$AK$10:$AK$250,MATCH(AG57,'NOTES CP'!$B$10:$B$250,0))),""))</f>
        <v/>
      </c>
      <c r="AM57" s="51" t="str">
        <f aca="false">IFERROR(MATCH("CE1-17",'REGISTRE ELEVES'!$AG$10:$AG$250,0),"")</f>
        <v/>
      </c>
      <c r="AN57" s="51" t="str">
        <f aca="false">IF(AM57="","",INDEX('REGISTRE ELEVES'!$B$10:$B$250,AM57))</f>
        <v/>
      </c>
      <c r="AO57" s="51" t="str">
        <f aca="false">IF(AM57="","",INDEX('REGISTRE ELEVES'!$D$10:$D$250,AM57))</f>
        <v/>
      </c>
      <c r="AP57" s="51" t="str">
        <f aca="false">IF(AM57="","",INDEX('REGISTRE ELEVES'!$E$10:$E$250,AM57))</f>
        <v/>
      </c>
      <c r="AQ57" s="51" t="str">
        <f aca="false">IF(AN57="","",IFERROR(CHOOSE($C$9,INDEX('NOTES CE1'!$M$10:$M$250,MATCH(AN57,'NOTES CE1'!$B$10:$B$250,0)),INDEX('NOTES CE1'!$T$10:$T$250,MATCH(AN57,'NOTES CE1'!$B$10:$B$250,0)),INDEX('NOTES CE1'!$AA$10:$AA$250,MATCH(AN57,'NOTES CE1'!$B$10:$B$250,0)),INDEX('NOTES CE1'!$AH$10:$AH$250,MATCH(AN57,'NOTES CE1'!$B$10:$B$250,0))),""))</f>
        <v/>
      </c>
      <c r="AR57" s="51" t="str">
        <f aca="false">IF(ISNUMBER(AQ57),AQ57+(1000-17)/1000000,"")</f>
        <v/>
      </c>
      <c r="AS57" s="51" t="str">
        <f aca="false">IF(AN57="","",IFERROR(CHOOSE($C$9,INDEX('NOTES CE1'!$G$10:$G$250,MATCH(AN57,'NOTES CE1'!$B$10:$B$250,0)),INDEX('NOTES CE1'!$N$10:$N$250,MATCH(AN57,'NOTES CE1'!$B$10:$B$250,0)),INDEX('NOTES CE1'!$U$10:$U$250,MATCH(AN57,'NOTES CE1'!$B$10:$B$250,0)),INDEX('NOTES CE1'!$AB$10:$AB$250,MATCH(AN57,'NOTES CE1'!$B$10:$B$250,0))),""))</f>
        <v/>
      </c>
      <c r="AT57" s="51" t="str">
        <f aca="false">IFERROR(MATCH("CE2-17",'REGISTRE ELEVES'!$AG$10:$AG$250,0),"")</f>
        <v/>
      </c>
      <c r="AU57" s="51" t="str">
        <f aca="false">IF(AT57="","",INDEX('REGISTRE ELEVES'!$B$10:$B$250,AT57))</f>
        <v/>
      </c>
      <c r="AV57" s="51" t="str">
        <f aca="false">IF(AT57="","",INDEX('REGISTRE ELEVES'!$D$10:$D$250,AT57))</f>
        <v/>
      </c>
      <c r="AW57" s="51" t="str">
        <f aca="false">IF(AT57="","",INDEX('REGISTRE ELEVES'!$E$10:$E$250,AT57))</f>
        <v/>
      </c>
      <c r="AX57" s="51" t="str">
        <f aca="false">IF(AU57="","",IFERROR(CHOOSE($C$9,INDEX('NOTES CE2-CM1'!$M$10:$M$250,MATCH(AU57,'NOTES CE2-CM1'!$B$10:$B$250,0)),INDEX('NOTES CE2-CM1'!$T$10:$T$250,MATCH(AU57,'NOTES CE2-CM1'!$B$10:$B$250,0)),INDEX('NOTES CE2-CM1'!$AA$10:$AA$250,MATCH(AU57,'NOTES CE2-CM1'!$B$10:$B$250,0)),INDEX('NOTES CE2-CM1'!$AH$10:$AH$250,MATCH(AU57,'NOTES CE2-CM1'!$B$10:$B$250,0))),""))</f>
        <v/>
      </c>
      <c r="AY57" s="51" t="str">
        <f aca="false">IF(ISNUMBER(AX57),AX57+(1000-17)/1000000,"")</f>
        <v/>
      </c>
      <c r="AZ57" s="51" t="str">
        <f aca="false">IF(AU57="","",IFERROR(CHOOSE($C$9,INDEX('NOTES CE2-CM1'!$G$10:$G$250,MATCH(AU57,'NOTES CE2-CM1'!$B$10:$B$250,0)),INDEX('NOTES CE2-CM1'!$N$10:$N$250,MATCH(AU57,'NOTES CE2-CM1'!$B$10:$B$250,0)),INDEX('NOTES CE2-CM1'!$U$10:$U$250,MATCH(AU57,'NOTES CE2-CM1'!$B$10:$B$250,0)),INDEX('NOTES CE2-CM1'!$AB$10:$AB$250,MATCH(AU57,'NOTES CE2-CM1'!$B$10:$B$250,0))),""))</f>
        <v/>
      </c>
      <c r="BA57" s="51" t="str">
        <f aca="false">IFERROR(MATCH("CM1-17",'REGISTRE ELEVES'!$AG$10:$AG$250,0),"")</f>
        <v/>
      </c>
      <c r="BB57" s="51" t="str">
        <f aca="false">IF(BA57="","",INDEX('REGISTRE ELEVES'!$B$10:$B$250,BA57))</f>
        <v/>
      </c>
      <c r="BC57" s="51" t="str">
        <f aca="false">IF(BA57="","",INDEX('REGISTRE ELEVES'!$D$10:$D$250,BA57))</f>
        <v/>
      </c>
      <c r="BD57" s="51" t="str">
        <f aca="false">IF(BA57="","",INDEX('REGISTRE ELEVES'!$E$10:$E$250,BA57))</f>
        <v/>
      </c>
      <c r="BE57" s="51" t="str">
        <f aca="false">IF(BB57="","",IFERROR(CHOOSE($C$9,INDEX('NOTES CE2-CM1'!$M$10:$M$250,MATCH(BB57,'NOTES CE2-CM1'!$B$10:$B$250,0)),INDEX('NOTES CE2-CM1'!$T$10:$T$250,MATCH(BB57,'NOTES CE2-CM1'!$B$10:$B$250,0)),INDEX('NOTES CE2-CM1'!$AA$10:$AA$250,MATCH(BB57,'NOTES CE2-CM1'!$B$10:$B$250,0)),INDEX('NOTES CE2-CM1'!$AH$10:$AH$250,MATCH(BB57,'NOTES CE2-CM1'!$B$10:$B$250,0))),""))</f>
        <v/>
      </c>
      <c r="BF57" s="51" t="str">
        <f aca="false">IF(ISNUMBER(BE57),BE57+(1000-17)/1000000,"")</f>
        <v/>
      </c>
      <c r="BG57" s="51" t="str">
        <f aca="false">IF(BB57="","",IFERROR(CHOOSE($C$9,INDEX('NOTES CE2-CM1'!$G$10:$G$250,MATCH(BB57,'NOTES CE2-CM1'!$B$10:$B$250,0)),INDEX('NOTES CE2-CM1'!$N$10:$N$250,MATCH(BB57,'NOTES CE2-CM1'!$B$10:$B$250,0)),INDEX('NOTES CE2-CM1'!$U$10:$U$250,MATCH(BB57,'NOTES CE2-CM1'!$B$10:$B$250,0)),INDEX('NOTES CE2-CM1'!$AB$10:$AB$250,MATCH(BB57,'NOTES CE2-CM1'!$B$10:$B$250,0))),""))</f>
        <v/>
      </c>
      <c r="BH57" s="51" t="str">
        <f aca="false">IFERROR(MATCH("CM2-17",'REGISTRE ELEVES'!$AG$10:$AG$250,0),"")</f>
        <v/>
      </c>
      <c r="BI57" s="51" t="str">
        <f aca="false">IF(BH57="","",INDEX('REGISTRE ELEVES'!$B$10:$B$250,BH57))</f>
        <v/>
      </c>
      <c r="BJ57" s="51" t="str">
        <f aca="false">IF(BH57="","",INDEX('REGISTRE ELEVES'!$D$10:$D$250,BH57))</f>
        <v/>
      </c>
      <c r="BK57" s="51" t="str">
        <f aca="false">IF(BH57="","",INDEX('REGISTRE ELEVES'!$E$10:$E$250,BH57))</f>
        <v/>
      </c>
      <c r="BL57" s="51" t="str">
        <f aca="false">IF(BI57="","",IFERROR(CHOOSE($C$9,INDEX('NOTES CM2'!$M$10:$M$250,MATCH(BI57,'NOTES CM2'!$B$10:$B$250,0)),INDEX('NOTES CM2'!$T$10:$T$250,MATCH(BI57,'NOTES CM2'!$B$10:$B$250,0)),INDEX('NOTES CM2'!$AB$10:$AB$250,MATCH(BI57,'NOTES CM2'!$B$10:$B$250,0)),INDEX('NOTES CM2'!$AJ$10:$AJ$250,MATCH(BI57,'NOTES CM2'!$B$10:$B$250,0))),""))</f>
        <v/>
      </c>
      <c r="BM57" s="51" t="str">
        <f aca="false">IF(ISNUMBER(BL57),BL57+(1000-17)/1000000,"")</f>
        <v/>
      </c>
      <c r="BN57" s="51" t="str">
        <f aca="false">IF(BI57="","",IFERROR(CHOOSE($C$9,INDEX('NOTES CM2'!$G$10:$G$250,MATCH(BI57,'NOTES CM2'!$B$10:$B$250,0)),INDEX('NOTES CM2'!$N$10:$N$250,MATCH(BI57,'NOTES CM2'!$B$10:$B$250,0)),INDEX('NOTES CM2'!$U$10:$U$250,MATCH(BI57,'NOTES CM2'!$B$10:$B$250,0)),INDEX('NOTES CM2'!$AC$10:$AC$250,MATCH(BI57,'NOTES CM2'!$B$10:$B$250,0))),""))</f>
        <v/>
      </c>
    </row>
    <row r="58" customFormat="false" ht="15" hidden="false" customHeight="false" outlineLevel="0" collapsed="false">
      <c r="Y58" s="51" t="str">
        <f aca="false">IFERROR(MATCH("CP1-18",'REGISTRE ELEVES'!$AG$10:$AG$250,0),"")</f>
        <v/>
      </c>
      <c r="Z58" s="51" t="str">
        <f aca="false">IF(Y58="","",INDEX('REGISTRE ELEVES'!$B$10:$B$250,Y58))</f>
        <v/>
      </c>
      <c r="AA58" s="51" t="str">
        <f aca="false">IF(Y58="","",INDEX('REGISTRE ELEVES'!$D$10:$D$250,Y58))</f>
        <v/>
      </c>
      <c r="AB58" s="51" t="str">
        <f aca="false">IF(Y58="","",INDEX('REGISTRE ELEVES'!$E$10:$E$250,Y58))</f>
        <v/>
      </c>
      <c r="AC58" s="51" t="str">
        <f aca="false">IF(Z58="","",IFERROR(CHOOSE($C$9,INDEX('NOTES CP'!$P$10:$P$250,MATCH(Z58,'NOTES CP'!$B$10:$B$250,0)),INDEX('NOTES CP'!$Z$10:$Z$250,MATCH(Z58,'NOTES CP'!$B$10:$B$250,0)),INDEX('NOTES CP'!$AJ$10:$AJ$250,MATCH(Z58,'NOTES CP'!$B$10:$B$250,0)),INDEX('NOTES CP'!$AT$10:$AT$250,MATCH(Z58,'NOTES CP'!$B$10:$B$250,0))),""))</f>
        <v/>
      </c>
      <c r="AD58" s="51" t="str">
        <f aca="false">IF(ISNUMBER(AC58),AC58+(1000-18)/1000000,"")</f>
        <v/>
      </c>
      <c r="AE58" s="51" t="str">
        <f aca="false">IF(Z58="","",IFERROR(CHOOSE($C$9,INDEX('NOTES CP'!$G$10:$G$250,MATCH(Z58,'NOTES CP'!$B$10:$B$250,0)),INDEX('NOTES CP'!$Q$10:$Q$250,MATCH(Z58,'NOTES CP'!$B$10:$B$250,0)),INDEX('NOTES CP'!$AA$10:$AA$250,MATCH(Z58,'NOTES CP'!$B$10:$B$250,0)),INDEX('NOTES CP'!$AK$10:$AK$250,MATCH(Z58,'NOTES CP'!$B$10:$B$250,0))),""))</f>
        <v/>
      </c>
      <c r="AF58" s="51" t="str">
        <f aca="false">IFERROR(MATCH("CP2-18",'REGISTRE ELEVES'!$AG$10:$AG$250,0),"")</f>
        <v/>
      </c>
      <c r="AG58" s="51" t="str">
        <f aca="false">IF(AF58="","",INDEX('REGISTRE ELEVES'!$B$10:$B$250,AF58))</f>
        <v/>
      </c>
      <c r="AH58" s="51" t="str">
        <f aca="false">IF(AF58="","",INDEX('REGISTRE ELEVES'!$D$10:$D$250,AF58))</f>
        <v/>
      </c>
      <c r="AI58" s="51" t="str">
        <f aca="false">IF(AF58="","",INDEX('REGISTRE ELEVES'!$E$10:$E$250,AF58))</f>
        <v/>
      </c>
      <c r="AJ58" s="51" t="str">
        <f aca="false">IF(AG58="","",IFERROR(CHOOSE($C$9,INDEX('NOTES CP'!$P$10:$P$250,MATCH(AG58,'NOTES CP'!$B$10:$B$250,0)),INDEX('NOTES CP'!$Z$10:$Z$250,MATCH(AG58,'NOTES CP'!$B$10:$B$250,0)),INDEX('NOTES CP'!$AJ$10:$AJ$250,MATCH(AG58,'NOTES CP'!$B$10:$B$250,0)),INDEX('NOTES CP'!$AT$10:$AT$250,MATCH(AG58,'NOTES CP'!$B$10:$B$250,0))),""))</f>
        <v/>
      </c>
      <c r="AK58" s="51" t="str">
        <f aca="false">IF(ISNUMBER(AJ58),AJ58+(1000-18)/1000000,"")</f>
        <v/>
      </c>
      <c r="AL58" s="51" t="str">
        <f aca="false">IF(AG58="","",IFERROR(CHOOSE($C$9,INDEX('NOTES CP'!$G$10:$G$250,MATCH(AG58,'NOTES CP'!$B$10:$B$250,0)),INDEX('NOTES CP'!$Q$10:$Q$250,MATCH(AG58,'NOTES CP'!$B$10:$B$250,0)),INDEX('NOTES CP'!$AA$10:$AA$250,MATCH(AG58,'NOTES CP'!$B$10:$B$250,0)),INDEX('NOTES CP'!$AK$10:$AK$250,MATCH(AG58,'NOTES CP'!$B$10:$B$250,0))),""))</f>
        <v/>
      </c>
      <c r="AM58" s="51" t="str">
        <f aca="false">IFERROR(MATCH("CE1-18",'REGISTRE ELEVES'!$AG$10:$AG$250,0),"")</f>
        <v/>
      </c>
      <c r="AN58" s="51" t="str">
        <f aca="false">IF(AM58="","",INDEX('REGISTRE ELEVES'!$B$10:$B$250,AM58))</f>
        <v/>
      </c>
      <c r="AO58" s="51" t="str">
        <f aca="false">IF(AM58="","",INDEX('REGISTRE ELEVES'!$D$10:$D$250,AM58))</f>
        <v/>
      </c>
      <c r="AP58" s="51" t="str">
        <f aca="false">IF(AM58="","",INDEX('REGISTRE ELEVES'!$E$10:$E$250,AM58))</f>
        <v/>
      </c>
      <c r="AQ58" s="51" t="str">
        <f aca="false">IF(AN58="","",IFERROR(CHOOSE($C$9,INDEX('NOTES CE1'!$M$10:$M$250,MATCH(AN58,'NOTES CE1'!$B$10:$B$250,0)),INDEX('NOTES CE1'!$T$10:$T$250,MATCH(AN58,'NOTES CE1'!$B$10:$B$250,0)),INDEX('NOTES CE1'!$AA$10:$AA$250,MATCH(AN58,'NOTES CE1'!$B$10:$B$250,0)),INDEX('NOTES CE1'!$AH$10:$AH$250,MATCH(AN58,'NOTES CE1'!$B$10:$B$250,0))),""))</f>
        <v/>
      </c>
      <c r="AR58" s="51" t="str">
        <f aca="false">IF(ISNUMBER(AQ58),AQ58+(1000-18)/1000000,"")</f>
        <v/>
      </c>
      <c r="AS58" s="51" t="str">
        <f aca="false">IF(AN58="","",IFERROR(CHOOSE($C$9,INDEX('NOTES CE1'!$G$10:$G$250,MATCH(AN58,'NOTES CE1'!$B$10:$B$250,0)),INDEX('NOTES CE1'!$N$10:$N$250,MATCH(AN58,'NOTES CE1'!$B$10:$B$250,0)),INDEX('NOTES CE1'!$U$10:$U$250,MATCH(AN58,'NOTES CE1'!$B$10:$B$250,0)),INDEX('NOTES CE1'!$AB$10:$AB$250,MATCH(AN58,'NOTES CE1'!$B$10:$B$250,0))),""))</f>
        <v/>
      </c>
      <c r="AT58" s="51" t="str">
        <f aca="false">IFERROR(MATCH("CE2-18",'REGISTRE ELEVES'!$AG$10:$AG$250,0),"")</f>
        <v/>
      </c>
      <c r="AU58" s="51" t="str">
        <f aca="false">IF(AT58="","",INDEX('REGISTRE ELEVES'!$B$10:$B$250,AT58))</f>
        <v/>
      </c>
      <c r="AV58" s="51" t="str">
        <f aca="false">IF(AT58="","",INDEX('REGISTRE ELEVES'!$D$10:$D$250,AT58))</f>
        <v/>
      </c>
      <c r="AW58" s="51" t="str">
        <f aca="false">IF(AT58="","",INDEX('REGISTRE ELEVES'!$E$10:$E$250,AT58))</f>
        <v/>
      </c>
      <c r="AX58" s="51" t="str">
        <f aca="false">IF(AU58="","",IFERROR(CHOOSE($C$9,INDEX('NOTES CE2-CM1'!$M$10:$M$250,MATCH(AU58,'NOTES CE2-CM1'!$B$10:$B$250,0)),INDEX('NOTES CE2-CM1'!$T$10:$T$250,MATCH(AU58,'NOTES CE2-CM1'!$B$10:$B$250,0)),INDEX('NOTES CE2-CM1'!$AA$10:$AA$250,MATCH(AU58,'NOTES CE2-CM1'!$B$10:$B$250,0)),INDEX('NOTES CE2-CM1'!$AH$10:$AH$250,MATCH(AU58,'NOTES CE2-CM1'!$B$10:$B$250,0))),""))</f>
        <v/>
      </c>
      <c r="AY58" s="51" t="str">
        <f aca="false">IF(ISNUMBER(AX58),AX58+(1000-18)/1000000,"")</f>
        <v/>
      </c>
      <c r="AZ58" s="51" t="str">
        <f aca="false">IF(AU58="","",IFERROR(CHOOSE($C$9,INDEX('NOTES CE2-CM1'!$G$10:$G$250,MATCH(AU58,'NOTES CE2-CM1'!$B$10:$B$250,0)),INDEX('NOTES CE2-CM1'!$N$10:$N$250,MATCH(AU58,'NOTES CE2-CM1'!$B$10:$B$250,0)),INDEX('NOTES CE2-CM1'!$U$10:$U$250,MATCH(AU58,'NOTES CE2-CM1'!$B$10:$B$250,0)),INDEX('NOTES CE2-CM1'!$AB$10:$AB$250,MATCH(AU58,'NOTES CE2-CM1'!$B$10:$B$250,0))),""))</f>
        <v/>
      </c>
      <c r="BA58" s="51" t="str">
        <f aca="false">IFERROR(MATCH("CM1-18",'REGISTRE ELEVES'!$AG$10:$AG$250,0),"")</f>
        <v/>
      </c>
      <c r="BB58" s="51" t="str">
        <f aca="false">IF(BA58="","",INDEX('REGISTRE ELEVES'!$B$10:$B$250,BA58))</f>
        <v/>
      </c>
      <c r="BC58" s="51" t="str">
        <f aca="false">IF(BA58="","",INDEX('REGISTRE ELEVES'!$D$10:$D$250,BA58))</f>
        <v/>
      </c>
      <c r="BD58" s="51" t="str">
        <f aca="false">IF(BA58="","",INDEX('REGISTRE ELEVES'!$E$10:$E$250,BA58))</f>
        <v/>
      </c>
      <c r="BE58" s="51" t="str">
        <f aca="false">IF(BB58="","",IFERROR(CHOOSE($C$9,INDEX('NOTES CE2-CM1'!$M$10:$M$250,MATCH(BB58,'NOTES CE2-CM1'!$B$10:$B$250,0)),INDEX('NOTES CE2-CM1'!$T$10:$T$250,MATCH(BB58,'NOTES CE2-CM1'!$B$10:$B$250,0)),INDEX('NOTES CE2-CM1'!$AA$10:$AA$250,MATCH(BB58,'NOTES CE2-CM1'!$B$10:$B$250,0)),INDEX('NOTES CE2-CM1'!$AH$10:$AH$250,MATCH(BB58,'NOTES CE2-CM1'!$B$10:$B$250,0))),""))</f>
        <v/>
      </c>
      <c r="BF58" s="51" t="str">
        <f aca="false">IF(ISNUMBER(BE58),BE58+(1000-18)/1000000,"")</f>
        <v/>
      </c>
      <c r="BG58" s="51" t="str">
        <f aca="false">IF(BB58="","",IFERROR(CHOOSE($C$9,INDEX('NOTES CE2-CM1'!$G$10:$G$250,MATCH(BB58,'NOTES CE2-CM1'!$B$10:$B$250,0)),INDEX('NOTES CE2-CM1'!$N$10:$N$250,MATCH(BB58,'NOTES CE2-CM1'!$B$10:$B$250,0)),INDEX('NOTES CE2-CM1'!$U$10:$U$250,MATCH(BB58,'NOTES CE2-CM1'!$B$10:$B$250,0)),INDEX('NOTES CE2-CM1'!$AB$10:$AB$250,MATCH(BB58,'NOTES CE2-CM1'!$B$10:$B$250,0))),""))</f>
        <v/>
      </c>
      <c r="BH58" s="51" t="str">
        <f aca="false">IFERROR(MATCH("CM2-18",'REGISTRE ELEVES'!$AG$10:$AG$250,0),"")</f>
        <v/>
      </c>
      <c r="BI58" s="51" t="str">
        <f aca="false">IF(BH58="","",INDEX('REGISTRE ELEVES'!$B$10:$B$250,BH58))</f>
        <v/>
      </c>
      <c r="BJ58" s="51" t="str">
        <f aca="false">IF(BH58="","",INDEX('REGISTRE ELEVES'!$D$10:$D$250,BH58))</f>
        <v/>
      </c>
      <c r="BK58" s="51" t="str">
        <f aca="false">IF(BH58="","",INDEX('REGISTRE ELEVES'!$E$10:$E$250,BH58))</f>
        <v/>
      </c>
      <c r="BL58" s="51" t="str">
        <f aca="false">IF(BI58="","",IFERROR(CHOOSE($C$9,INDEX('NOTES CM2'!$M$10:$M$250,MATCH(BI58,'NOTES CM2'!$B$10:$B$250,0)),INDEX('NOTES CM2'!$T$10:$T$250,MATCH(BI58,'NOTES CM2'!$B$10:$B$250,0)),INDEX('NOTES CM2'!$AB$10:$AB$250,MATCH(BI58,'NOTES CM2'!$B$10:$B$250,0)),INDEX('NOTES CM2'!$AJ$10:$AJ$250,MATCH(BI58,'NOTES CM2'!$B$10:$B$250,0))),""))</f>
        <v/>
      </c>
      <c r="BM58" s="51" t="str">
        <f aca="false">IF(ISNUMBER(BL58),BL58+(1000-18)/1000000,"")</f>
        <v/>
      </c>
      <c r="BN58" s="51" t="str">
        <f aca="false">IF(BI58="","",IFERROR(CHOOSE($C$9,INDEX('NOTES CM2'!$G$10:$G$250,MATCH(BI58,'NOTES CM2'!$B$10:$B$250,0)),INDEX('NOTES CM2'!$N$10:$N$250,MATCH(BI58,'NOTES CM2'!$B$10:$B$250,0)),INDEX('NOTES CM2'!$U$10:$U$250,MATCH(BI58,'NOTES CM2'!$B$10:$B$250,0)),INDEX('NOTES CM2'!$AC$10:$AC$250,MATCH(BI58,'NOTES CM2'!$B$10:$B$250,0))),""))</f>
        <v/>
      </c>
    </row>
    <row r="59" customFormat="false" ht="15" hidden="false" customHeight="false" outlineLevel="0" collapsed="false">
      <c r="Y59" s="51" t="str">
        <f aca="false">IFERROR(MATCH("CP1-19",'REGISTRE ELEVES'!$AG$10:$AG$250,0),"")</f>
        <v/>
      </c>
      <c r="Z59" s="51" t="str">
        <f aca="false">IF(Y59="","",INDEX('REGISTRE ELEVES'!$B$10:$B$250,Y59))</f>
        <v/>
      </c>
      <c r="AA59" s="51" t="str">
        <f aca="false">IF(Y59="","",INDEX('REGISTRE ELEVES'!$D$10:$D$250,Y59))</f>
        <v/>
      </c>
      <c r="AB59" s="51" t="str">
        <f aca="false">IF(Y59="","",INDEX('REGISTRE ELEVES'!$E$10:$E$250,Y59))</f>
        <v/>
      </c>
      <c r="AC59" s="51" t="str">
        <f aca="false">IF(Z59="","",IFERROR(CHOOSE($C$9,INDEX('NOTES CP'!$P$10:$P$250,MATCH(Z59,'NOTES CP'!$B$10:$B$250,0)),INDEX('NOTES CP'!$Z$10:$Z$250,MATCH(Z59,'NOTES CP'!$B$10:$B$250,0)),INDEX('NOTES CP'!$AJ$10:$AJ$250,MATCH(Z59,'NOTES CP'!$B$10:$B$250,0)),INDEX('NOTES CP'!$AT$10:$AT$250,MATCH(Z59,'NOTES CP'!$B$10:$B$250,0))),""))</f>
        <v/>
      </c>
      <c r="AD59" s="51" t="str">
        <f aca="false">IF(ISNUMBER(AC59),AC59+(1000-19)/1000000,"")</f>
        <v/>
      </c>
      <c r="AE59" s="51" t="str">
        <f aca="false">IF(Z59="","",IFERROR(CHOOSE($C$9,INDEX('NOTES CP'!$G$10:$G$250,MATCH(Z59,'NOTES CP'!$B$10:$B$250,0)),INDEX('NOTES CP'!$Q$10:$Q$250,MATCH(Z59,'NOTES CP'!$B$10:$B$250,0)),INDEX('NOTES CP'!$AA$10:$AA$250,MATCH(Z59,'NOTES CP'!$B$10:$B$250,0)),INDEX('NOTES CP'!$AK$10:$AK$250,MATCH(Z59,'NOTES CP'!$B$10:$B$250,0))),""))</f>
        <v/>
      </c>
      <c r="AF59" s="51" t="str">
        <f aca="false">IFERROR(MATCH("CP2-19",'REGISTRE ELEVES'!$AG$10:$AG$250,0),"")</f>
        <v/>
      </c>
      <c r="AG59" s="51" t="str">
        <f aca="false">IF(AF59="","",INDEX('REGISTRE ELEVES'!$B$10:$B$250,AF59))</f>
        <v/>
      </c>
      <c r="AH59" s="51" t="str">
        <f aca="false">IF(AF59="","",INDEX('REGISTRE ELEVES'!$D$10:$D$250,AF59))</f>
        <v/>
      </c>
      <c r="AI59" s="51" t="str">
        <f aca="false">IF(AF59="","",INDEX('REGISTRE ELEVES'!$E$10:$E$250,AF59))</f>
        <v/>
      </c>
      <c r="AJ59" s="51" t="str">
        <f aca="false">IF(AG59="","",IFERROR(CHOOSE($C$9,INDEX('NOTES CP'!$P$10:$P$250,MATCH(AG59,'NOTES CP'!$B$10:$B$250,0)),INDEX('NOTES CP'!$Z$10:$Z$250,MATCH(AG59,'NOTES CP'!$B$10:$B$250,0)),INDEX('NOTES CP'!$AJ$10:$AJ$250,MATCH(AG59,'NOTES CP'!$B$10:$B$250,0)),INDEX('NOTES CP'!$AT$10:$AT$250,MATCH(AG59,'NOTES CP'!$B$10:$B$250,0))),""))</f>
        <v/>
      </c>
      <c r="AK59" s="51" t="str">
        <f aca="false">IF(ISNUMBER(AJ59),AJ59+(1000-19)/1000000,"")</f>
        <v/>
      </c>
      <c r="AL59" s="51" t="str">
        <f aca="false">IF(AG59="","",IFERROR(CHOOSE($C$9,INDEX('NOTES CP'!$G$10:$G$250,MATCH(AG59,'NOTES CP'!$B$10:$B$250,0)),INDEX('NOTES CP'!$Q$10:$Q$250,MATCH(AG59,'NOTES CP'!$B$10:$B$250,0)),INDEX('NOTES CP'!$AA$10:$AA$250,MATCH(AG59,'NOTES CP'!$B$10:$B$250,0)),INDEX('NOTES CP'!$AK$10:$AK$250,MATCH(AG59,'NOTES CP'!$B$10:$B$250,0))),""))</f>
        <v/>
      </c>
      <c r="AM59" s="51" t="str">
        <f aca="false">IFERROR(MATCH("CE1-19",'REGISTRE ELEVES'!$AG$10:$AG$250,0),"")</f>
        <v/>
      </c>
      <c r="AN59" s="51" t="str">
        <f aca="false">IF(AM59="","",INDEX('REGISTRE ELEVES'!$B$10:$B$250,AM59))</f>
        <v/>
      </c>
      <c r="AO59" s="51" t="str">
        <f aca="false">IF(AM59="","",INDEX('REGISTRE ELEVES'!$D$10:$D$250,AM59))</f>
        <v/>
      </c>
      <c r="AP59" s="51" t="str">
        <f aca="false">IF(AM59="","",INDEX('REGISTRE ELEVES'!$E$10:$E$250,AM59))</f>
        <v/>
      </c>
      <c r="AQ59" s="51" t="str">
        <f aca="false">IF(AN59="","",IFERROR(CHOOSE($C$9,INDEX('NOTES CE1'!$M$10:$M$250,MATCH(AN59,'NOTES CE1'!$B$10:$B$250,0)),INDEX('NOTES CE1'!$T$10:$T$250,MATCH(AN59,'NOTES CE1'!$B$10:$B$250,0)),INDEX('NOTES CE1'!$AA$10:$AA$250,MATCH(AN59,'NOTES CE1'!$B$10:$B$250,0)),INDEX('NOTES CE1'!$AH$10:$AH$250,MATCH(AN59,'NOTES CE1'!$B$10:$B$250,0))),""))</f>
        <v/>
      </c>
      <c r="AR59" s="51" t="str">
        <f aca="false">IF(ISNUMBER(AQ59),AQ59+(1000-19)/1000000,"")</f>
        <v/>
      </c>
      <c r="AS59" s="51" t="str">
        <f aca="false">IF(AN59="","",IFERROR(CHOOSE($C$9,INDEX('NOTES CE1'!$G$10:$G$250,MATCH(AN59,'NOTES CE1'!$B$10:$B$250,0)),INDEX('NOTES CE1'!$N$10:$N$250,MATCH(AN59,'NOTES CE1'!$B$10:$B$250,0)),INDEX('NOTES CE1'!$U$10:$U$250,MATCH(AN59,'NOTES CE1'!$B$10:$B$250,0)),INDEX('NOTES CE1'!$AB$10:$AB$250,MATCH(AN59,'NOTES CE1'!$B$10:$B$250,0))),""))</f>
        <v/>
      </c>
      <c r="AT59" s="51" t="str">
        <f aca="false">IFERROR(MATCH("CE2-19",'REGISTRE ELEVES'!$AG$10:$AG$250,0),"")</f>
        <v/>
      </c>
      <c r="AU59" s="51" t="str">
        <f aca="false">IF(AT59="","",INDEX('REGISTRE ELEVES'!$B$10:$B$250,AT59))</f>
        <v/>
      </c>
      <c r="AV59" s="51" t="str">
        <f aca="false">IF(AT59="","",INDEX('REGISTRE ELEVES'!$D$10:$D$250,AT59))</f>
        <v/>
      </c>
      <c r="AW59" s="51" t="str">
        <f aca="false">IF(AT59="","",INDEX('REGISTRE ELEVES'!$E$10:$E$250,AT59))</f>
        <v/>
      </c>
      <c r="AX59" s="51" t="str">
        <f aca="false">IF(AU59="","",IFERROR(CHOOSE($C$9,INDEX('NOTES CE2-CM1'!$M$10:$M$250,MATCH(AU59,'NOTES CE2-CM1'!$B$10:$B$250,0)),INDEX('NOTES CE2-CM1'!$T$10:$T$250,MATCH(AU59,'NOTES CE2-CM1'!$B$10:$B$250,0)),INDEX('NOTES CE2-CM1'!$AA$10:$AA$250,MATCH(AU59,'NOTES CE2-CM1'!$B$10:$B$250,0)),INDEX('NOTES CE2-CM1'!$AH$10:$AH$250,MATCH(AU59,'NOTES CE2-CM1'!$B$10:$B$250,0))),""))</f>
        <v/>
      </c>
      <c r="AY59" s="51" t="str">
        <f aca="false">IF(ISNUMBER(AX59),AX59+(1000-19)/1000000,"")</f>
        <v/>
      </c>
      <c r="AZ59" s="51" t="str">
        <f aca="false">IF(AU59="","",IFERROR(CHOOSE($C$9,INDEX('NOTES CE2-CM1'!$G$10:$G$250,MATCH(AU59,'NOTES CE2-CM1'!$B$10:$B$250,0)),INDEX('NOTES CE2-CM1'!$N$10:$N$250,MATCH(AU59,'NOTES CE2-CM1'!$B$10:$B$250,0)),INDEX('NOTES CE2-CM1'!$U$10:$U$250,MATCH(AU59,'NOTES CE2-CM1'!$B$10:$B$250,0)),INDEX('NOTES CE2-CM1'!$AB$10:$AB$250,MATCH(AU59,'NOTES CE2-CM1'!$B$10:$B$250,0))),""))</f>
        <v/>
      </c>
      <c r="BA59" s="51" t="str">
        <f aca="false">IFERROR(MATCH("CM1-19",'REGISTRE ELEVES'!$AG$10:$AG$250,0),"")</f>
        <v/>
      </c>
      <c r="BB59" s="51" t="str">
        <f aca="false">IF(BA59="","",INDEX('REGISTRE ELEVES'!$B$10:$B$250,BA59))</f>
        <v/>
      </c>
      <c r="BC59" s="51" t="str">
        <f aca="false">IF(BA59="","",INDEX('REGISTRE ELEVES'!$D$10:$D$250,BA59))</f>
        <v/>
      </c>
      <c r="BD59" s="51" t="str">
        <f aca="false">IF(BA59="","",INDEX('REGISTRE ELEVES'!$E$10:$E$250,BA59))</f>
        <v/>
      </c>
      <c r="BE59" s="51" t="str">
        <f aca="false">IF(BB59="","",IFERROR(CHOOSE($C$9,INDEX('NOTES CE2-CM1'!$M$10:$M$250,MATCH(BB59,'NOTES CE2-CM1'!$B$10:$B$250,0)),INDEX('NOTES CE2-CM1'!$T$10:$T$250,MATCH(BB59,'NOTES CE2-CM1'!$B$10:$B$250,0)),INDEX('NOTES CE2-CM1'!$AA$10:$AA$250,MATCH(BB59,'NOTES CE2-CM1'!$B$10:$B$250,0)),INDEX('NOTES CE2-CM1'!$AH$10:$AH$250,MATCH(BB59,'NOTES CE2-CM1'!$B$10:$B$250,0))),""))</f>
        <v/>
      </c>
      <c r="BF59" s="51" t="str">
        <f aca="false">IF(ISNUMBER(BE59),BE59+(1000-19)/1000000,"")</f>
        <v/>
      </c>
      <c r="BG59" s="51" t="str">
        <f aca="false">IF(BB59="","",IFERROR(CHOOSE($C$9,INDEX('NOTES CE2-CM1'!$G$10:$G$250,MATCH(BB59,'NOTES CE2-CM1'!$B$10:$B$250,0)),INDEX('NOTES CE2-CM1'!$N$10:$N$250,MATCH(BB59,'NOTES CE2-CM1'!$B$10:$B$250,0)),INDEX('NOTES CE2-CM1'!$U$10:$U$250,MATCH(BB59,'NOTES CE2-CM1'!$B$10:$B$250,0)),INDEX('NOTES CE2-CM1'!$AB$10:$AB$250,MATCH(BB59,'NOTES CE2-CM1'!$B$10:$B$250,0))),""))</f>
        <v/>
      </c>
      <c r="BH59" s="51" t="str">
        <f aca="false">IFERROR(MATCH("CM2-19",'REGISTRE ELEVES'!$AG$10:$AG$250,0),"")</f>
        <v/>
      </c>
      <c r="BI59" s="51" t="str">
        <f aca="false">IF(BH59="","",INDEX('REGISTRE ELEVES'!$B$10:$B$250,BH59))</f>
        <v/>
      </c>
      <c r="BJ59" s="51" t="str">
        <f aca="false">IF(BH59="","",INDEX('REGISTRE ELEVES'!$D$10:$D$250,BH59))</f>
        <v/>
      </c>
      <c r="BK59" s="51" t="str">
        <f aca="false">IF(BH59="","",INDEX('REGISTRE ELEVES'!$E$10:$E$250,BH59))</f>
        <v/>
      </c>
      <c r="BL59" s="51" t="str">
        <f aca="false">IF(BI59="","",IFERROR(CHOOSE($C$9,INDEX('NOTES CM2'!$M$10:$M$250,MATCH(BI59,'NOTES CM2'!$B$10:$B$250,0)),INDEX('NOTES CM2'!$T$10:$T$250,MATCH(BI59,'NOTES CM2'!$B$10:$B$250,0)),INDEX('NOTES CM2'!$AB$10:$AB$250,MATCH(BI59,'NOTES CM2'!$B$10:$B$250,0)),INDEX('NOTES CM2'!$AJ$10:$AJ$250,MATCH(BI59,'NOTES CM2'!$B$10:$B$250,0))),""))</f>
        <v/>
      </c>
      <c r="BM59" s="51" t="str">
        <f aca="false">IF(ISNUMBER(BL59),BL59+(1000-19)/1000000,"")</f>
        <v/>
      </c>
      <c r="BN59" s="51" t="str">
        <f aca="false">IF(BI59="","",IFERROR(CHOOSE($C$9,INDEX('NOTES CM2'!$G$10:$G$250,MATCH(BI59,'NOTES CM2'!$B$10:$B$250,0)),INDEX('NOTES CM2'!$N$10:$N$250,MATCH(BI59,'NOTES CM2'!$B$10:$B$250,0)),INDEX('NOTES CM2'!$U$10:$U$250,MATCH(BI59,'NOTES CM2'!$B$10:$B$250,0)),INDEX('NOTES CM2'!$AC$10:$AC$250,MATCH(BI59,'NOTES CM2'!$B$10:$B$250,0))),""))</f>
        <v/>
      </c>
    </row>
    <row r="60" customFormat="false" ht="15" hidden="false" customHeight="false" outlineLevel="0" collapsed="false">
      <c r="Y60" s="51" t="str">
        <f aca="false">IFERROR(MATCH("CP1-20",'REGISTRE ELEVES'!$AG$10:$AG$250,0),"")</f>
        <v/>
      </c>
      <c r="Z60" s="51" t="str">
        <f aca="false">IF(Y60="","",INDEX('REGISTRE ELEVES'!$B$10:$B$250,Y60))</f>
        <v/>
      </c>
      <c r="AA60" s="51" t="str">
        <f aca="false">IF(Y60="","",INDEX('REGISTRE ELEVES'!$D$10:$D$250,Y60))</f>
        <v/>
      </c>
      <c r="AB60" s="51" t="str">
        <f aca="false">IF(Y60="","",INDEX('REGISTRE ELEVES'!$E$10:$E$250,Y60))</f>
        <v/>
      </c>
      <c r="AC60" s="51" t="str">
        <f aca="false">IF(Z60="","",IFERROR(CHOOSE($C$9,INDEX('NOTES CP'!$P$10:$P$250,MATCH(Z60,'NOTES CP'!$B$10:$B$250,0)),INDEX('NOTES CP'!$Z$10:$Z$250,MATCH(Z60,'NOTES CP'!$B$10:$B$250,0)),INDEX('NOTES CP'!$AJ$10:$AJ$250,MATCH(Z60,'NOTES CP'!$B$10:$B$250,0)),INDEX('NOTES CP'!$AT$10:$AT$250,MATCH(Z60,'NOTES CP'!$B$10:$B$250,0))),""))</f>
        <v/>
      </c>
      <c r="AD60" s="51" t="str">
        <f aca="false">IF(ISNUMBER(AC60),AC60+(1000-20)/1000000,"")</f>
        <v/>
      </c>
      <c r="AE60" s="51" t="str">
        <f aca="false">IF(Z60="","",IFERROR(CHOOSE($C$9,INDEX('NOTES CP'!$G$10:$G$250,MATCH(Z60,'NOTES CP'!$B$10:$B$250,0)),INDEX('NOTES CP'!$Q$10:$Q$250,MATCH(Z60,'NOTES CP'!$B$10:$B$250,0)),INDEX('NOTES CP'!$AA$10:$AA$250,MATCH(Z60,'NOTES CP'!$B$10:$B$250,0)),INDEX('NOTES CP'!$AK$10:$AK$250,MATCH(Z60,'NOTES CP'!$B$10:$B$250,0))),""))</f>
        <v/>
      </c>
      <c r="AF60" s="51" t="str">
        <f aca="false">IFERROR(MATCH("CP2-20",'REGISTRE ELEVES'!$AG$10:$AG$250,0),"")</f>
        <v/>
      </c>
      <c r="AG60" s="51" t="str">
        <f aca="false">IF(AF60="","",INDEX('REGISTRE ELEVES'!$B$10:$B$250,AF60))</f>
        <v/>
      </c>
      <c r="AH60" s="51" t="str">
        <f aca="false">IF(AF60="","",INDEX('REGISTRE ELEVES'!$D$10:$D$250,AF60))</f>
        <v/>
      </c>
      <c r="AI60" s="51" t="str">
        <f aca="false">IF(AF60="","",INDEX('REGISTRE ELEVES'!$E$10:$E$250,AF60))</f>
        <v/>
      </c>
      <c r="AJ60" s="51" t="str">
        <f aca="false">IF(AG60="","",IFERROR(CHOOSE($C$9,INDEX('NOTES CP'!$P$10:$P$250,MATCH(AG60,'NOTES CP'!$B$10:$B$250,0)),INDEX('NOTES CP'!$Z$10:$Z$250,MATCH(AG60,'NOTES CP'!$B$10:$B$250,0)),INDEX('NOTES CP'!$AJ$10:$AJ$250,MATCH(AG60,'NOTES CP'!$B$10:$B$250,0)),INDEX('NOTES CP'!$AT$10:$AT$250,MATCH(AG60,'NOTES CP'!$B$10:$B$250,0))),""))</f>
        <v/>
      </c>
      <c r="AK60" s="51" t="str">
        <f aca="false">IF(ISNUMBER(AJ60),AJ60+(1000-20)/1000000,"")</f>
        <v/>
      </c>
      <c r="AL60" s="51" t="str">
        <f aca="false">IF(AG60="","",IFERROR(CHOOSE($C$9,INDEX('NOTES CP'!$G$10:$G$250,MATCH(AG60,'NOTES CP'!$B$10:$B$250,0)),INDEX('NOTES CP'!$Q$10:$Q$250,MATCH(AG60,'NOTES CP'!$B$10:$B$250,0)),INDEX('NOTES CP'!$AA$10:$AA$250,MATCH(AG60,'NOTES CP'!$B$10:$B$250,0)),INDEX('NOTES CP'!$AK$10:$AK$250,MATCH(AG60,'NOTES CP'!$B$10:$B$250,0))),""))</f>
        <v/>
      </c>
      <c r="AM60" s="51" t="str">
        <f aca="false">IFERROR(MATCH("CE1-20",'REGISTRE ELEVES'!$AG$10:$AG$250,0),"")</f>
        <v/>
      </c>
      <c r="AN60" s="51" t="str">
        <f aca="false">IF(AM60="","",INDEX('REGISTRE ELEVES'!$B$10:$B$250,AM60))</f>
        <v/>
      </c>
      <c r="AO60" s="51" t="str">
        <f aca="false">IF(AM60="","",INDEX('REGISTRE ELEVES'!$D$10:$D$250,AM60))</f>
        <v/>
      </c>
      <c r="AP60" s="51" t="str">
        <f aca="false">IF(AM60="","",INDEX('REGISTRE ELEVES'!$E$10:$E$250,AM60))</f>
        <v/>
      </c>
      <c r="AQ60" s="51" t="str">
        <f aca="false">IF(AN60="","",IFERROR(CHOOSE($C$9,INDEX('NOTES CE1'!$M$10:$M$250,MATCH(AN60,'NOTES CE1'!$B$10:$B$250,0)),INDEX('NOTES CE1'!$T$10:$T$250,MATCH(AN60,'NOTES CE1'!$B$10:$B$250,0)),INDEX('NOTES CE1'!$AA$10:$AA$250,MATCH(AN60,'NOTES CE1'!$B$10:$B$250,0)),INDEX('NOTES CE1'!$AH$10:$AH$250,MATCH(AN60,'NOTES CE1'!$B$10:$B$250,0))),""))</f>
        <v/>
      </c>
      <c r="AR60" s="51" t="str">
        <f aca="false">IF(ISNUMBER(AQ60),AQ60+(1000-20)/1000000,"")</f>
        <v/>
      </c>
      <c r="AS60" s="51" t="str">
        <f aca="false">IF(AN60="","",IFERROR(CHOOSE($C$9,INDEX('NOTES CE1'!$G$10:$G$250,MATCH(AN60,'NOTES CE1'!$B$10:$B$250,0)),INDEX('NOTES CE1'!$N$10:$N$250,MATCH(AN60,'NOTES CE1'!$B$10:$B$250,0)),INDEX('NOTES CE1'!$U$10:$U$250,MATCH(AN60,'NOTES CE1'!$B$10:$B$250,0)),INDEX('NOTES CE1'!$AB$10:$AB$250,MATCH(AN60,'NOTES CE1'!$B$10:$B$250,0))),""))</f>
        <v/>
      </c>
      <c r="AT60" s="51" t="str">
        <f aca="false">IFERROR(MATCH("CE2-20",'REGISTRE ELEVES'!$AG$10:$AG$250,0),"")</f>
        <v/>
      </c>
      <c r="AU60" s="51" t="str">
        <f aca="false">IF(AT60="","",INDEX('REGISTRE ELEVES'!$B$10:$B$250,AT60))</f>
        <v/>
      </c>
      <c r="AV60" s="51" t="str">
        <f aca="false">IF(AT60="","",INDEX('REGISTRE ELEVES'!$D$10:$D$250,AT60))</f>
        <v/>
      </c>
      <c r="AW60" s="51" t="str">
        <f aca="false">IF(AT60="","",INDEX('REGISTRE ELEVES'!$E$10:$E$250,AT60))</f>
        <v/>
      </c>
      <c r="AX60" s="51" t="str">
        <f aca="false">IF(AU60="","",IFERROR(CHOOSE($C$9,INDEX('NOTES CE2-CM1'!$M$10:$M$250,MATCH(AU60,'NOTES CE2-CM1'!$B$10:$B$250,0)),INDEX('NOTES CE2-CM1'!$T$10:$T$250,MATCH(AU60,'NOTES CE2-CM1'!$B$10:$B$250,0)),INDEX('NOTES CE2-CM1'!$AA$10:$AA$250,MATCH(AU60,'NOTES CE2-CM1'!$B$10:$B$250,0)),INDEX('NOTES CE2-CM1'!$AH$10:$AH$250,MATCH(AU60,'NOTES CE2-CM1'!$B$10:$B$250,0))),""))</f>
        <v/>
      </c>
      <c r="AY60" s="51" t="str">
        <f aca="false">IF(ISNUMBER(AX60),AX60+(1000-20)/1000000,"")</f>
        <v/>
      </c>
      <c r="AZ60" s="51" t="str">
        <f aca="false">IF(AU60="","",IFERROR(CHOOSE($C$9,INDEX('NOTES CE2-CM1'!$G$10:$G$250,MATCH(AU60,'NOTES CE2-CM1'!$B$10:$B$250,0)),INDEX('NOTES CE2-CM1'!$N$10:$N$250,MATCH(AU60,'NOTES CE2-CM1'!$B$10:$B$250,0)),INDEX('NOTES CE2-CM1'!$U$10:$U$250,MATCH(AU60,'NOTES CE2-CM1'!$B$10:$B$250,0)),INDEX('NOTES CE2-CM1'!$AB$10:$AB$250,MATCH(AU60,'NOTES CE2-CM1'!$B$10:$B$250,0))),""))</f>
        <v/>
      </c>
      <c r="BA60" s="51" t="str">
        <f aca="false">IFERROR(MATCH("CM1-20",'REGISTRE ELEVES'!$AG$10:$AG$250,0),"")</f>
        <v/>
      </c>
      <c r="BB60" s="51" t="str">
        <f aca="false">IF(BA60="","",INDEX('REGISTRE ELEVES'!$B$10:$B$250,BA60))</f>
        <v/>
      </c>
      <c r="BC60" s="51" t="str">
        <f aca="false">IF(BA60="","",INDEX('REGISTRE ELEVES'!$D$10:$D$250,BA60))</f>
        <v/>
      </c>
      <c r="BD60" s="51" t="str">
        <f aca="false">IF(BA60="","",INDEX('REGISTRE ELEVES'!$E$10:$E$250,BA60))</f>
        <v/>
      </c>
      <c r="BE60" s="51" t="str">
        <f aca="false">IF(BB60="","",IFERROR(CHOOSE($C$9,INDEX('NOTES CE2-CM1'!$M$10:$M$250,MATCH(BB60,'NOTES CE2-CM1'!$B$10:$B$250,0)),INDEX('NOTES CE2-CM1'!$T$10:$T$250,MATCH(BB60,'NOTES CE2-CM1'!$B$10:$B$250,0)),INDEX('NOTES CE2-CM1'!$AA$10:$AA$250,MATCH(BB60,'NOTES CE2-CM1'!$B$10:$B$250,0)),INDEX('NOTES CE2-CM1'!$AH$10:$AH$250,MATCH(BB60,'NOTES CE2-CM1'!$B$10:$B$250,0))),""))</f>
        <v/>
      </c>
      <c r="BF60" s="51" t="str">
        <f aca="false">IF(ISNUMBER(BE60),BE60+(1000-20)/1000000,"")</f>
        <v/>
      </c>
      <c r="BG60" s="51" t="str">
        <f aca="false">IF(BB60="","",IFERROR(CHOOSE($C$9,INDEX('NOTES CE2-CM1'!$G$10:$G$250,MATCH(BB60,'NOTES CE2-CM1'!$B$10:$B$250,0)),INDEX('NOTES CE2-CM1'!$N$10:$N$250,MATCH(BB60,'NOTES CE2-CM1'!$B$10:$B$250,0)),INDEX('NOTES CE2-CM1'!$U$10:$U$250,MATCH(BB60,'NOTES CE2-CM1'!$B$10:$B$250,0)),INDEX('NOTES CE2-CM1'!$AB$10:$AB$250,MATCH(BB60,'NOTES CE2-CM1'!$B$10:$B$250,0))),""))</f>
        <v/>
      </c>
      <c r="BH60" s="51" t="str">
        <f aca="false">IFERROR(MATCH("CM2-20",'REGISTRE ELEVES'!$AG$10:$AG$250,0),"")</f>
        <v/>
      </c>
      <c r="BI60" s="51" t="str">
        <f aca="false">IF(BH60="","",INDEX('REGISTRE ELEVES'!$B$10:$B$250,BH60))</f>
        <v/>
      </c>
      <c r="BJ60" s="51" t="str">
        <f aca="false">IF(BH60="","",INDEX('REGISTRE ELEVES'!$D$10:$D$250,BH60))</f>
        <v/>
      </c>
      <c r="BK60" s="51" t="str">
        <f aca="false">IF(BH60="","",INDEX('REGISTRE ELEVES'!$E$10:$E$250,BH60))</f>
        <v/>
      </c>
      <c r="BL60" s="51" t="str">
        <f aca="false">IF(BI60="","",IFERROR(CHOOSE($C$9,INDEX('NOTES CM2'!$M$10:$M$250,MATCH(BI60,'NOTES CM2'!$B$10:$B$250,0)),INDEX('NOTES CM2'!$T$10:$T$250,MATCH(BI60,'NOTES CM2'!$B$10:$B$250,0)),INDEX('NOTES CM2'!$AB$10:$AB$250,MATCH(BI60,'NOTES CM2'!$B$10:$B$250,0)),INDEX('NOTES CM2'!$AJ$10:$AJ$250,MATCH(BI60,'NOTES CM2'!$B$10:$B$250,0))),""))</f>
        <v/>
      </c>
      <c r="BM60" s="51" t="str">
        <f aca="false">IF(ISNUMBER(BL60),BL60+(1000-20)/1000000,"")</f>
        <v/>
      </c>
      <c r="BN60" s="51" t="str">
        <f aca="false">IF(BI60="","",IFERROR(CHOOSE($C$9,INDEX('NOTES CM2'!$G$10:$G$250,MATCH(BI60,'NOTES CM2'!$B$10:$B$250,0)),INDEX('NOTES CM2'!$N$10:$N$250,MATCH(BI60,'NOTES CM2'!$B$10:$B$250,0)),INDEX('NOTES CM2'!$U$10:$U$250,MATCH(BI60,'NOTES CM2'!$B$10:$B$250,0)),INDEX('NOTES CM2'!$AC$10:$AC$250,MATCH(BI60,'NOTES CM2'!$B$10:$B$250,0))),""))</f>
        <v/>
      </c>
    </row>
    <row r="61" customFormat="false" ht="15" hidden="false" customHeight="false" outlineLevel="0" collapsed="false">
      <c r="Y61" s="51" t="str">
        <f aca="false">IFERROR(MATCH("CP1-21",'REGISTRE ELEVES'!$AG$10:$AG$250,0),"")</f>
        <v/>
      </c>
      <c r="Z61" s="51" t="str">
        <f aca="false">IF(Y61="","",INDEX('REGISTRE ELEVES'!$B$10:$B$250,Y61))</f>
        <v/>
      </c>
      <c r="AA61" s="51" t="str">
        <f aca="false">IF(Y61="","",INDEX('REGISTRE ELEVES'!$D$10:$D$250,Y61))</f>
        <v/>
      </c>
      <c r="AB61" s="51" t="str">
        <f aca="false">IF(Y61="","",INDEX('REGISTRE ELEVES'!$E$10:$E$250,Y61))</f>
        <v/>
      </c>
      <c r="AC61" s="51" t="str">
        <f aca="false">IF(Z61="","",IFERROR(CHOOSE($C$9,INDEX('NOTES CP'!$P$10:$P$250,MATCH(Z61,'NOTES CP'!$B$10:$B$250,0)),INDEX('NOTES CP'!$Z$10:$Z$250,MATCH(Z61,'NOTES CP'!$B$10:$B$250,0)),INDEX('NOTES CP'!$AJ$10:$AJ$250,MATCH(Z61,'NOTES CP'!$B$10:$B$250,0)),INDEX('NOTES CP'!$AT$10:$AT$250,MATCH(Z61,'NOTES CP'!$B$10:$B$250,0))),""))</f>
        <v/>
      </c>
      <c r="AD61" s="51" t="str">
        <f aca="false">IF(ISNUMBER(AC61),AC61+(1000-21)/1000000,"")</f>
        <v/>
      </c>
      <c r="AE61" s="51" t="str">
        <f aca="false">IF(Z61="","",IFERROR(CHOOSE($C$9,INDEX('NOTES CP'!$G$10:$G$250,MATCH(Z61,'NOTES CP'!$B$10:$B$250,0)),INDEX('NOTES CP'!$Q$10:$Q$250,MATCH(Z61,'NOTES CP'!$B$10:$B$250,0)),INDEX('NOTES CP'!$AA$10:$AA$250,MATCH(Z61,'NOTES CP'!$B$10:$B$250,0)),INDEX('NOTES CP'!$AK$10:$AK$250,MATCH(Z61,'NOTES CP'!$B$10:$B$250,0))),""))</f>
        <v/>
      </c>
      <c r="AF61" s="51" t="str">
        <f aca="false">IFERROR(MATCH("CP2-21",'REGISTRE ELEVES'!$AG$10:$AG$250,0),"")</f>
        <v/>
      </c>
      <c r="AG61" s="51" t="str">
        <f aca="false">IF(AF61="","",INDEX('REGISTRE ELEVES'!$B$10:$B$250,AF61))</f>
        <v/>
      </c>
      <c r="AH61" s="51" t="str">
        <f aca="false">IF(AF61="","",INDEX('REGISTRE ELEVES'!$D$10:$D$250,AF61))</f>
        <v/>
      </c>
      <c r="AI61" s="51" t="str">
        <f aca="false">IF(AF61="","",INDEX('REGISTRE ELEVES'!$E$10:$E$250,AF61))</f>
        <v/>
      </c>
      <c r="AJ61" s="51" t="str">
        <f aca="false">IF(AG61="","",IFERROR(CHOOSE($C$9,INDEX('NOTES CP'!$P$10:$P$250,MATCH(AG61,'NOTES CP'!$B$10:$B$250,0)),INDEX('NOTES CP'!$Z$10:$Z$250,MATCH(AG61,'NOTES CP'!$B$10:$B$250,0)),INDEX('NOTES CP'!$AJ$10:$AJ$250,MATCH(AG61,'NOTES CP'!$B$10:$B$250,0)),INDEX('NOTES CP'!$AT$10:$AT$250,MATCH(AG61,'NOTES CP'!$B$10:$B$250,0))),""))</f>
        <v/>
      </c>
      <c r="AK61" s="51" t="str">
        <f aca="false">IF(ISNUMBER(AJ61),AJ61+(1000-21)/1000000,"")</f>
        <v/>
      </c>
      <c r="AL61" s="51" t="str">
        <f aca="false">IF(AG61="","",IFERROR(CHOOSE($C$9,INDEX('NOTES CP'!$G$10:$G$250,MATCH(AG61,'NOTES CP'!$B$10:$B$250,0)),INDEX('NOTES CP'!$Q$10:$Q$250,MATCH(AG61,'NOTES CP'!$B$10:$B$250,0)),INDEX('NOTES CP'!$AA$10:$AA$250,MATCH(AG61,'NOTES CP'!$B$10:$B$250,0)),INDEX('NOTES CP'!$AK$10:$AK$250,MATCH(AG61,'NOTES CP'!$B$10:$B$250,0))),""))</f>
        <v/>
      </c>
      <c r="AM61" s="51" t="str">
        <f aca="false">IFERROR(MATCH("CE1-21",'REGISTRE ELEVES'!$AG$10:$AG$250,0),"")</f>
        <v/>
      </c>
      <c r="AN61" s="51" t="str">
        <f aca="false">IF(AM61="","",INDEX('REGISTRE ELEVES'!$B$10:$B$250,AM61))</f>
        <v/>
      </c>
      <c r="AO61" s="51" t="str">
        <f aca="false">IF(AM61="","",INDEX('REGISTRE ELEVES'!$D$10:$D$250,AM61))</f>
        <v/>
      </c>
      <c r="AP61" s="51" t="str">
        <f aca="false">IF(AM61="","",INDEX('REGISTRE ELEVES'!$E$10:$E$250,AM61))</f>
        <v/>
      </c>
      <c r="AQ61" s="51" t="str">
        <f aca="false">IF(AN61="","",IFERROR(CHOOSE($C$9,INDEX('NOTES CE1'!$M$10:$M$250,MATCH(AN61,'NOTES CE1'!$B$10:$B$250,0)),INDEX('NOTES CE1'!$T$10:$T$250,MATCH(AN61,'NOTES CE1'!$B$10:$B$250,0)),INDEX('NOTES CE1'!$AA$10:$AA$250,MATCH(AN61,'NOTES CE1'!$B$10:$B$250,0)),INDEX('NOTES CE1'!$AH$10:$AH$250,MATCH(AN61,'NOTES CE1'!$B$10:$B$250,0))),""))</f>
        <v/>
      </c>
      <c r="AR61" s="51" t="str">
        <f aca="false">IF(ISNUMBER(AQ61),AQ61+(1000-21)/1000000,"")</f>
        <v/>
      </c>
      <c r="AS61" s="51" t="str">
        <f aca="false">IF(AN61="","",IFERROR(CHOOSE($C$9,INDEX('NOTES CE1'!$G$10:$G$250,MATCH(AN61,'NOTES CE1'!$B$10:$B$250,0)),INDEX('NOTES CE1'!$N$10:$N$250,MATCH(AN61,'NOTES CE1'!$B$10:$B$250,0)),INDEX('NOTES CE1'!$U$10:$U$250,MATCH(AN61,'NOTES CE1'!$B$10:$B$250,0)),INDEX('NOTES CE1'!$AB$10:$AB$250,MATCH(AN61,'NOTES CE1'!$B$10:$B$250,0))),""))</f>
        <v/>
      </c>
      <c r="AT61" s="51" t="str">
        <f aca="false">IFERROR(MATCH("CE2-21",'REGISTRE ELEVES'!$AG$10:$AG$250,0),"")</f>
        <v/>
      </c>
      <c r="AU61" s="51" t="str">
        <f aca="false">IF(AT61="","",INDEX('REGISTRE ELEVES'!$B$10:$B$250,AT61))</f>
        <v/>
      </c>
      <c r="AV61" s="51" t="str">
        <f aca="false">IF(AT61="","",INDEX('REGISTRE ELEVES'!$D$10:$D$250,AT61))</f>
        <v/>
      </c>
      <c r="AW61" s="51" t="str">
        <f aca="false">IF(AT61="","",INDEX('REGISTRE ELEVES'!$E$10:$E$250,AT61))</f>
        <v/>
      </c>
      <c r="AX61" s="51" t="str">
        <f aca="false">IF(AU61="","",IFERROR(CHOOSE($C$9,INDEX('NOTES CE2-CM1'!$M$10:$M$250,MATCH(AU61,'NOTES CE2-CM1'!$B$10:$B$250,0)),INDEX('NOTES CE2-CM1'!$T$10:$T$250,MATCH(AU61,'NOTES CE2-CM1'!$B$10:$B$250,0)),INDEX('NOTES CE2-CM1'!$AA$10:$AA$250,MATCH(AU61,'NOTES CE2-CM1'!$B$10:$B$250,0)),INDEX('NOTES CE2-CM1'!$AH$10:$AH$250,MATCH(AU61,'NOTES CE2-CM1'!$B$10:$B$250,0))),""))</f>
        <v/>
      </c>
      <c r="AY61" s="51" t="str">
        <f aca="false">IF(ISNUMBER(AX61),AX61+(1000-21)/1000000,"")</f>
        <v/>
      </c>
      <c r="AZ61" s="51" t="str">
        <f aca="false">IF(AU61="","",IFERROR(CHOOSE($C$9,INDEX('NOTES CE2-CM1'!$G$10:$G$250,MATCH(AU61,'NOTES CE2-CM1'!$B$10:$B$250,0)),INDEX('NOTES CE2-CM1'!$N$10:$N$250,MATCH(AU61,'NOTES CE2-CM1'!$B$10:$B$250,0)),INDEX('NOTES CE2-CM1'!$U$10:$U$250,MATCH(AU61,'NOTES CE2-CM1'!$B$10:$B$250,0)),INDEX('NOTES CE2-CM1'!$AB$10:$AB$250,MATCH(AU61,'NOTES CE2-CM1'!$B$10:$B$250,0))),""))</f>
        <v/>
      </c>
      <c r="BA61" s="51" t="str">
        <f aca="false">IFERROR(MATCH("CM1-21",'REGISTRE ELEVES'!$AG$10:$AG$250,0),"")</f>
        <v/>
      </c>
      <c r="BB61" s="51" t="str">
        <f aca="false">IF(BA61="","",INDEX('REGISTRE ELEVES'!$B$10:$B$250,BA61))</f>
        <v/>
      </c>
      <c r="BC61" s="51" t="str">
        <f aca="false">IF(BA61="","",INDEX('REGISTRE ELEVES'!$D$10:$D$250,BA61))</f>
        <v/>
      </c>
      <c r="BD61" s="51" t="str">
        <f aca="false">IF(BA61="","",INDEX('REGISTRE ELEVES'!$E$10:$E$250,BA61))</f>
        <v/>
      </c>
      <c r="BE61" s="51" t="str">
        <f aca="false">IF(BB61="","",IFERROR(CHOOSE($C$9,INDEX('NOTES CE2-CM1'!$M$10:$M$250,MATCH(BB61,'NOTES CE2-CM1'!$B$10:$B$250,0)),INDEX('NOTES CE2-CM1'!$T$10:$T$250,MATCH(BB61,'NOTES CE2-CM1'!$B$10:$B$250,0)),INDEX('NOTES CE2-CM1'!$AA$10:$AA$250,MATCH(BB61,'NOTES CE2-CM1'!$B$10:$B$250,0)),INDEX('NOTES CE2-CM1'!$AH$10:$AH$250,MATCH(BB61,'NOTES CE2-CM1'!$B$10:$B$250,0))),""))</f>
        <v/>
      </c>
      <c r="BF61" s="51" t="str">
        <f aca="false">IF(ISNUMBER(BE61),BE61+(1000-21)/1000000,"")</f>
        <v/>
      </c>
      <c r="BG61" s="51" t="str">
        <f aca="false">IF(BB61="","",IFERROR(CHOOSE($C$9,INDEX('NOTES CE2-CM1'!$G$10:$G$250,MATCH(BB61,'NOTES CE2-CM1'!$B$10:$B$250,0)),INDEX('NOTES CE2-CM1'!$N$10:$N$250,MATCH(BB61,'NOTES CE2-CM1'!$B$10:$B$250,0)),INDEX('NOTES CE2-CM1'!$U$10:$U$250,MATCH(BB61,'NOTES CE2-CM1'!$B$10:$B$250,0)),INDEX('NOTES CE2-CM1'!$AB$10:$AB$250,MATCH(BB61,'NOTES CE2-CM1'!$B$10:$B$250,0))),""))</f>
        <v/>
      </c>
      <c r="BH61" s="51" t="str">
        <f aca="false">IFERROR(MATCH("CM2-21",'REGISTRE ELEVES'!$AG$10:$AG$250,0),"")</f>
        <v/>
      </c>
      <c r="BI61" s="51" t="str">
        <f aca="false">IF(BH61="","",INDEX('REGISTRE ELEVES'!$B$10:$B$250,BH61))</f>
        <v/>
      </c>
      <c r="BJ61" s="51" t="str">
        <f aca="false">IF(BH61="","",INDEX('REGISTRE ELEVES'!$D$10:$D$250,BH61))</f>
        <v/>
      </c>
      <c r="BK61" s="51" t="str">
        <f aca="false">IF(BH61="","",INDEX('REGISTRE ELEVES'!$E$10:$E$250,BH61))</f>
        <v/>
      </c>
      <c r="BL61" s="51" t="str">
        <f aca="false">IF(BI61="","",IFERROR(CHOOSE($C$9,INDEX('NOTES CM2'!$M$10:$M$250,MATCH(BI61,'NOTES CM2'!$B$10:$B$250,0)),INDEX('NOTES CM2'!$T$10:$T$250,MATCH(BI61,'NOTES CM2'!$B$10:$B$250,0)),INDEX('NOTES CM2'!$AB$10:$AB$250,MATCH(BI61,'NOTES CM2'!$B$10:$B$250,0)),INDEX('NOTES CM2'!$AJ$10:$AJ$250,MATCH(BI61,'NOTES CM2'!$B$10:$B$250,0))),""))</f>
        <v/>
      </c>
      <c r="BM61" s="51" t="str">
        <f aca="false">IF(ISNUMBER(BL61),BL61+(1000-21)/1000000,"")</f>
        <v/>
      </c>
      <c r="BN61" s="51" t="str">
        <f aca="false">IF(BI61="","",IFERROR(CHOOSE($C$9,INDEX('NOTES CM2'!$G$10:$G$250,MATCH(BI61,'NOTES CM2'!$B$10:$B$250,0)),INDEX('NOTES CM2'!$N$10:$N$250,MATCH(BI61,'NOTES CM2'!$B$10:$B$250,0)),INDEX('NOTES CM2'!$U$10:$U$250,MATCH(BI61,'NOTES CM2'!$B$10:$B$250,0)),INDEX('NOTES CM2'!$AC$10:$AC$250,MATCH(BI61,'NOTES CM2'!$B$10:$B$250,0))),""))</f>
        <v/>
      </c>
    </row>
    <row r="62" customFormat="false" ht="15" hidden="false" customHeight="false" outlineLevel="0" collapsed="false">
      <c r="Y62" s="51" t="str">
        <f aca="false">IFERROR(MATCH("CP1-22",'REGISTRE ELEVES'!$AG$10:$AG$250,0),"")</f>
        <v/>
      </c>
      <c r="Z62" s="51" t="str">
        <f aca="false">IF(Y62="","",INDEX('REGISTRE ELEVES'!$B$10:$B$250,Y62))</f>
        <v/>
      </c>
      <c r="AA62" s="51" t="str">
        <f aca="false">IF(Y62="","",INDEX('REGISTRE ELEVES'!$D$10:$D$250,Y62))</f>
        <v/>
      </c>
      <c r="AB62" s="51" t="str">
        <f aca="false">IF(Y62="","",INDEX('REGISTRE ELEVES'!$E$10:$E$250,Y62))</f>
        <v/>
      </c>
      <c r="AC62" s="51" t="str">
        <f aca="false">IF(Z62="","",IFERROR(CHOOSE($C$9,INDEX('NOTES CP'!$P$10:$P$250,MATCH(Z62,'NOTES CP'!$B$10:$B$250,0)),INDEX('NOTES CP'!$Z$10:$Z$250,MATCH(Z62,'NOTES CP'!$B$10:$B$250,0)),INDEX('NOTES CP'!$AJ$10:$AJ$250,MATCH(Z62,'NOTES CP'!$B$10:$B$250,0)),INDEX('NOTES CP'!$AT$10:$AT$250,MATCH(Z62,'NOTES CP'!$B$10:$B$250,0))),""))</f>
        <v/>
      </c>
      <c r="AD62" s="51" t="str">
        <f aca="false">IF(ISNUMBER(AC62),AC62+(1000-22)/1000000,"")</f>
        <v/>
      </c>
      <c r="AE62" s="51" t="str">
        <f aca="false">IF(Z62="","",IFERROR(CHOOSE($C$9,INDEX('NOTES CP'!$G$10:$G$250,MATCH(Z62,'NOTES CP'!$B$10:$B$250,0)),INDEX('NOTES CP'!$Q$10:$Q$250,MATCH(Z62,'NOTES CP'!$B$10:$B$250,0)),INDEX('NOTES CP'!$AA$10:$AA$250,MATCH(Z62,'NOTES CP'!$B$10:$B$250,0)),INDEX('NOTES CP'!$AK$10:$AK$250,MATCH(Z62,'NOTES CP'!$B$10:$B$250,0))),""))</f>
        <v/>
      </c>
      <c r="AF62" s="51" t="str">
        <f aca="false">IFERROR(MATCH("CP2-22",'REGISTRE ELEVES'!$AG$10:$AG$250,0),"")</f>
        <v/>
      </c>
      <c r="AG62" s="51" t="str">
        <f aca="false">IF(AF62="","",INDEX('REGISTRE ELEVES'!$B$10:$B$250,AF62))</f>
        <v/>
      </c>
      <c r="AH62" s="51" t="str">
        <f aca="false">IF(AF62="","",INDEX('REGISTRE ELEVES'!$D$10:$D$250,AF62))</f>
        <v/>
      </c>
      <c r="AI62" s="51" t="str">
        <f aca="false">IF(AF62="","",INDEX('REGISTRE ELEVES'!$E$10:$E$250,AF62))</f>
        <v/>
      </c>
      <c r="AJ62" s="51" t="str">
        <f aca="false">IF(AG62="","",IFERROR(CHOOSE($C$9,INDEX('NOTES CP'!$P$10:$P$250,MATCH(AG62,'NOTES CP'!$B$10:$B$250,0)),INDEX('NOTES CP'!$Z$10:$Z$250,MATCH(AG62,'NOTES CP'!$B$10:$B$250,0)),INDEX('NOTES CP'!$AJ$10:$AJ$250,MATCH(AG62,'NOTES CP'!$B$10:$B$250,0)),INDEX('NOTES CP'!$AT$10:$AT$250,MATCH(AG62,'NOTES CP'!$B$10:$B$250,0))),""))</f>
        <v/>
      </c>
      <c r="AK62" s="51" t="str">
        <f aca="false">IF(ISNUMBER(AJ62),AJ62+(1000-22)/1000000,"")</f>
        <v/>
      </c>
      <c r="AL62" s="51" t="str">
        <f aca="false">IF(AG62="","",IFERROR(CHOOSE($C$9,INDEX('NOTES CP'!$G$10:$G$250,MATCH(AG62,'NOTES CP'!$B$10:$B$250,0)),INDEX('NOTES CP'!$Q$10:$Q$250,MATCH(AG62,'NOTES CP'!$B$10:$B$250,0)),INDEX('NOTES CP'!$AA$10:$AA$250,MATCH(AG62,'NOTES CP'!$B$10:$B$250,0)),INDEX('NOTES CP'!$AK$10:$AK$250,MATCH(AG62,'NOTES CP'!$B$10:$B$250,0))),""))</f>
        <v/>
      </c>
      <c r="AM62" s="51" t="str">
        <f aca="false">IFERROR(MATCH("CE1-22",'REGISTRE ELEVES'!$AG$10:$AG$250,0),"")</f>
        <v/>
      </c>
      <c r="AN62" s="51" t="str">
        <f aca="false">IF(AM62="","",INDEX('REGISTRE ELEVES'!$B$10:$B$250,AM62))</f>
        <v/>
      </c>
      <c r="AO62" s="51" t="str">
        <f aca="false">IF(AM62="","",INDEX('REGISTRE ELEVES'!$D$10:$D$250,AM62))</f>
        <v/>
      </c>
      <c r="AP62" s="51" t="str">
        <f aca="false">IF(AM62="","",INDEX('REGISTRE ELEVES'!$E$10:$E$250,AM62))</f>
        <v/>
      </c>
      <c r="AQ62" s="51" t="str">
        <f aca="false">IF(AN62="","",IFERROR(CHOOSE($C$9,INDEX('NOTES CE1'!$M$10:$M$250,MATCH(AN62,'NOTES CE1'!$B$10:$B$250,0)),INDEX('NOTES CE1'!$T$10:$T$250,MATCH(AN62,'NOTES CE1'!$B$10:$B$250,0)),INDEX('NOTES CE1'!$AA$10:$AA$250,MATCH(AN62,'NOTES CE1'!$B$10:$B$250,0)),INDEX('NOTES CE1'!$AH$10:$AH$250,MATCH(AN62,'NOTES CE1'!$B$10:$B$250,0))),""))</f>
        <v/>
      </c>
      <c r="AR62" s="51" t="str">
        <f aca="false">IF(ISNUMBER(AQ62),AQ62+(1000-22)/1000000,"")</f>
        <v/>
      </c>
      <c r="AS62" s="51" t="str">
        <f aca="false">IF(AN62="","",IFERROR(CHOOSE($C$9,INDEX('NOTES CE1'!$G$10:$G$250,MATCH(AN62,'NOTES CE1'!$B$10:$B$250,0)),INDEX('NOTES CE1'!$N$10:$N$250,MATCH(AN62,'NOTES CE1'!$B$10:$B$250,0)),INDEX('NOTES CE1'!$U$10:$U$250,MATCH(AN62,'NOTES CE1'!$B$10:$B$250,0)),INDEX('NOTES CE1'!$AB$10:$AB$250,MATCH(AN62,'NOTES CE1'!$B$10:$B$250,0))),""))</f>
        <v/>
      </c>
      <c r="AT62" s="51" t="str">
        <f aca="false">IFERROR(MATCH("CE2-22",'REGISTRE ELEVES'!$AG$10:$AG$250,0),"")</f>
        <v/>
      </c>
      <c r="AU62" s="51" t="str">
        <f aca="false">IF(AT62="","",INDEX('REGISTRE ELEVES'!$B$10:$B$250,AT62))</f>
        <v/>
      </c>
      <c r="AV62" s="51" t="str">
        <f aca="false">IF(AT62="","",INDEX('REGISTRE ELEVES'!$D$10:$D$250,AT62))</f>
        <v/>
      </c>
      <c r="AW62" s="51" t="str">
        <f aca="false">IF(AT62="","",INDEX('REGISTRE ELEVES'!$E$10:$E$250,AT62))</f>
        <v/>
      </c>
      <c r="AX62" s="51" t="str">
        <f aca="false">IF(AU62="","",IFERROR(CHOOSE($C$9,INDEX('NOTES CE2-CM1'!$M$10:$M$250,MATCH(AU62,'NOTES CE2-CM1'!$B$10:$B$250,0)),INDEX('NOTES CE2-CM1'!$T$10:$T$250,MATCH(AU62,'NOTES CE2-CM1'!$B$10:$B$250,0)),INDEX('NOTES CE2-CM1'!$AA$10:$AA$250,MATCH(AU62,'NOTES CE2-CM1'!$B$10:$B$250,0)),INDEX('NOTES CE2-CM1'!$AH$10:$AH$250,MATCH(AU62,'NOTES CE2-CM1'!$B$10:$B$250,0))),""))</f>
        <v/>
      </c>
      <c r="AY62" s="51" t="str">
        <f aca="false">IF(ISNUMBER(AX62),AX62+(1000-22)/1000000,"")</f>
        <v/>
      </c>
      <c r="AZ62" s="51" t="str">
        <f aca="false">IF(AU62="","",IFERROR(CHOOSE($C$9,INDEX('NOTES CE2-CM1'!$G$10:$G$250,MATCH(AU62,'NOTES CE2-CM1'!$B$10:$B$250,0)),INDEX('NOTES CE2-CM1'!$N$10:$N$250,MATCH(AU62,'NOTES CE2-CM1'!$B$10:$B$250,0)),INDEX('NOTES CE2-CM1'!$U$10:$U$250,MATCH(AU62,'NOTES CE2-CM1'!$B$10:$B$250,0)),INDEX('NOTES CE2-CM1'!$AB$10:$AB$250,MATCH(AU62,'NOTES CE2-CM1'!$B$10:$B$250,0))),""))</f>
        <v/>
      </c>
      <c r="BA62" s="51" t="str">
        <f aca="false">IFERROR(MATCH("CM1-22",'REGISTRE ELEVES'!$AG$10:$AG$250,0),"")</f>
        <v/>
      </c>
      <c r="BB62" s="51" t="str">
        <f aca="false">IF(BA62="","",INDEX('REGISTRE ELEVES'!$B$10:$B$250,BA62))</f>
        <v/>
      </c>
      <c r="BC62" s="51" t="str">
        <f aca="false">IF(BA62="","",INDEX('REGISTRE ELEVES'!$D$10:$D$250,BA62))</f>
        <v/>
      </c>
      <c r="BD62" s="51" t="str">
        <f aca="false">IF(BA62="","",INDEX('REGISTRE ELEVES'!$E$10:$E$250,BA62))</f>
        <v/>
      </c>
      <c r="BE62" s="51" t="str">
        <f aca="false">IF(BB62="","",IFERROR(CHOOSE($C$9,INDEX('NOTES CE2-CM1'!$M$10:$M$250,MATCH(BB62,'NOTES CE2-CM1'!$B$10:$B$250,0)),INDEX('NOTES CE2-CM1'!$T$10:$T$250,MATCH(BB62,'NOTES CE2-CM1'!$B$10:$B$250,0)),INDEX('NOTES CE2-CM1'!$AA$10:$AA$250,MATCH(BB62,'NOTES CE2-CM1'!$B$10:$B$250,0)),INDEX('NOTES CE2-CM1'!$AH$10:$AH$250,MATCH(BB62,'NOTES CE2-CM1'!$B$10:$B$250,0))),""))</f>
        <v/>
      </c>
      <c r="BF62" s="51" t="str">
        <f aca="false">IF(ISNUMBER(BE62),BE62+(1000-22)/1000000,"")</f>
        <v/>
      </c>
      <c r="BG62" s="51" t="str">
        <f aca="false">IF(BB62="","",IFERROR(CHOOSE($C$9,INDEX('NOTES CE2-CM1'!$G$10:$G$250,MATCH(BB62,'NOTES CE2-CM1'!$B$10:$B$250,0)),INDEX('NOTES CE2-CM1'!$N$10:$N$250,MATCH(BB62,'NOTES CE2-CM1'!$B$10:$B$250,0)),INDEX('NOTES CE2-CM1'!$U$10:$U$250,MATCH(BB62,'NOTES CE2-CM1'!$B$10:$B$250,0)),INDEX('NOTES CE2-CM1'!$AB$10:$AB$250,MATCH(BB62,'NOTES CE2-CM1'!$B$10:$B$250,0))),""))</f>
        <v/>
      </c>
      <c r="BH62" s="51" t="str">
        <f aca="false">IFERROR(MATCH("CM2-22",'REGISTRE ELEVES'!$AG$10:$AG$250,0),"")</f>
        <v/>
      </c>
      <c r="BI62" s="51" t="str">
        <f aca="false">IF(BH62="","",INDEX('REGISTRE ELEVES'!$B$10:$B$250,BH62))</f>
        <v/>
      </c>
      <c r="BJ62" s="51" t="str">
        <f aca="false">IF(BH62="","",INDEX('REGISTRE ELEVES'!$D$10:$D$250,BH62))</f>
        <v/>
      </c>
      <c r="BK62" s="51" t="str">
        <f aca="false">IF(BH62="","",INDEX('REGISTRE ELEVES'!$E$10:$E$250,BH62))</f>
        <v/>
      </c>
      <c r="BL62" s="51" t="str">
        <f aca="false">IF(BI62="","",IFERROR(CHOOSE($C$9,INDEX('NOTES CM2'!$M$10:$M$250,MATCH(BI62,'NOTES CM2'!$B$10:$B$250,0)),INDEX('NOTES CM2'!$T$10:$T$250,MATCH(BI62,'NOTES CM2'!$B$10:$B$250,0)),INDEX('NOTES CM2'!$AB$10:$AB$250,MATCH(BI62,'NOTES CM2'!$B$10:$B$250,0)),INDEX('NOTES CM2'!$AJ$10:$AJ$250,MATCH(BI62,'NOTES CM2'!$B$10:$B$250,0))),""))</f>
        <v/>
      </c>
      <c r="BM62" s="51" t="str">
        <f aca="false">IF(ISNUMBER(BL62),BL62+(1000-22)/1000000,"")</f>
        <v/>
      </c>
      <c r="BN62" s="51" t="str">
        <f aca="false">IF(BI62="","",IFERROR(CHOOSE($C$9,INDEX('NOTES CM2'!$G$10:$G$250,MATCH(BI62,'NOTES CM2'!$B$10:$B$250,0)),INDEX('NOTES CM2'!$N$10:$N$250,MATCH(BI62,'NOTES CM2'!$B$10:$B$250,0)),INDEX('NOTES CM2'!$U$10:$U$250,MATCH(BI62,'NOTES CM2'!$B$10:$B$250,0)),INDEX('NOTES CM2'!$AC$10:$AC$250,MATCH(BI62,'NOTES CM2'!$B$10:$B$250,0))),""))</f>
        <v/>
      </c>
    </row>
    <row r="63" customFormat="false" ht="15" hidden="false" customHeight="false" outlineLevel="0" collapsed="false">
      <c r="Y63" s="51" t="str">
        <f aca="false">IFERROR(MATCH("CP1-23",'REGISTRE ELEVES'!$AG$10:$AG$250,0),"")</f>
        <v/>
      </c>
      <c r="Z63" s="51" t="str">
        <f aca="false">IF(Y63="","",INDEX('REGISTRE ELEVES'!$B$10:$B$250,Y63))</f>
        <v/>
      </c>
      <c r="AA63" s="51" t="str">
        <f aca="false">IF(Y63="","",INDEX('REGISTRE ELEVES'!$D$10:$D$250,Y63))</f>
        <v/>
      </c>
      <c r="AB63" s="51" t="str">
        <f aca="false">IF(Y63="","",INDEX('REGISTRE ELEVES'!$E$10:$E$250,Y63))</f>
        <v/>
      </c>
      <c r="AC63" s="51" t="str">
        <f aca="false">IF(Z63="","",IFERROR(CHOOSE($C$9,INDEX('NOTES CP'!$P$10:$P$250,MATCH(Z63,'NOTES CP'!$B$10:$B$250,0)),INDEX('NOTES CP'!$Z$10:$Z$250,MATCH(Z63,'NOTES CP'!$B$10:$B$250,0)),INDEX('NOTES CP'!$AJ$10:$AJ$250,MATCH(Z63,'NOTES CP'!$B$10:$B$250,0)),INDEX('NOTES CP'!$AT$10:$AT$250,MATCH(Z63,'NOTES CP'!$B$10:$B$250,0))),""))</f>
        <v/>
      </c>
      <c r="AD63" s="51" t="str">
        <f aca="false">IF(ISNUMBER(AC63),AC63+(1000-23)/1000000,"")</f>
        <v/>
      </c>
      <c r="AE63" s="51" t="str">
        <f aca="false">IF(Z63="","",IFERROR(CHOOSE($C$9,INDEX('NOTES CP'!$G$10:$G$250,MATCH(Z63,'NOTES CP'!$B$10:$B$250,0)),INDEX('NOTES CP'!$Q$10:$Q$250,MATCH(Z63,'NOTES CP'!$B$10:$B$250,0)),INDEX('NOTES CP'!$AA$10:$AA$250,MATCH(Z63,'NOTES CP'!$B$10:$B$250,0)),INDEX('NOTES CP'!$AK$10:$AK$250,MATCH(Z63,'NOTES CP'!$B$10:$B$250,0))),""))</f>
        <v/>
      </c>
      <c r="AF63" s="51" t="str">
        <f aca="false">IFERROR(MATCH("CP2-23",'REGISTRE ELEVES'!$AG$10:$AG$250,0),"")</f>
        <v/>
      </c>
      <c r="AG63" s="51" t="str">
        <f aca="false">IF(AF63="","",INDEX('REGISTRE ELEVES'!$B$10:$B$250,AF63))</f>
        <v/>
      </c>
      <c r="AH63" s="51" t="str">
        <f aca="false">IF(AF63="","",INDEX('REGISTRE ELEVES'!$D$10:$D$250,AF63))</f>
        <v/>
      </c>
      <c r="AI63" s="51" t="str">
        <f aca="false">IF(AF63="","",INDEX('REGISTRE ELEVES'!$E$10:$E$250,AF63))</f>
        <v/>
      </c>
      <c r="AJ63" s="51" t="str">
        <f aca="false">IF(AG63="","",IFERROR(CHOOSE($C$9,INDEX('NOTES CP'!$P$10:$P$250,MATCH(AG63,'NOTES CP'!$B$10:$B$250,0)),INDEX('NOTES CP'!$Z$10:$Z$250,MATCH(AG63,'NOTES CP'!$B$10:$B$250,0)),INDEX('NOTES CP'!$AJ$10:$AJ$250,MATCH(AG63,'NOTES CP'!$B$10:$B$250,0)),INDEX('NOTES CP'!$AT$10:$AT$250,MATCH(AG63,'NOTES CP'!$B$10:$B$250,0))),""))</f>
        <v/>
      </c>
      <c r="AK63" s="51" t="str">
        <f aca="false">IF(ISNUMBER(AJ63),AJ63+(1000-23)/1000000,"")</f>
        <v/>
      </c>
      <c r="AL63" s="51" t="str">
        <f aca="false">IF(AG63="","",IFERROR(CHOOSE($C$9,INDEX('NOTES CP'!$G$10:$G$250,MATCH(AG63,'NOTES CP'!$B$10:$B$250,0)),INDEX('NOTES CP'!$Q$10:$Q$250,MATCH(AG63,'NOTES CP'!$B$10:$B$250,0)),INDEX('NOTES CP'!$AA$10:$AA$250,MATCH(AG63,'NOTES CP'!$B$10:$B$250,0)),INDEX('NOTES CP'!$AK$10:$AK$250,MATCH(AG63,'NOTES CP'!$B$10:$B$250,0))),""))</f>
        <v/>
      </c>
      <c r="AM63" s="51" t="str">
        <f aca="false">IFERROR(MATCH("CE1-23",'REGISTRE ELEVES'!$AG$10:$AG$250,0),"")</f>
        <v/>
      </c>
      <c r="AN63" s="51" t="str">
        <f aca="false">IF(AM63="","",INDEX('REGISTRE ELEVES'!$B$10:$B$250,AM63))</f>
        <v/>
      </c>
      <c r="AO63" s="51" t="str">
        <f aca="false">IF(AM63="","",INDEX('REGISTRE ELEVES'!$D$10:$D$250,AM63))</f>
        <v/>
      </c>
      <c r="AP63" s="51" t="str">
        <f aca="false">IF(AM63="","",INDEX('REGISTRE ELEVES'!$E$10:$E$250,AM63))</f>
        <v/>
      </c>
      <c r="AQ63" s="51" t="str">
        <f aca="false">IF(AN63="","",IFERROR(CHOOSE($C$9,INDEX('NOTES CE1'!$M$10:$M$250,MATCH(AN63,'NOTES CE1'!$B$10:$B$250,0)),INDEX('NOTES CE1'!$T$10:$T$250,MATCH(AN63,'NOTES CE1'!$B$10:$B$250,0)),INDEX('NOTES CE1'!$AA$10:$AA$250,MATCH(AN63,'NOTES CE1'!$B$10:$B$250,0)),INDEX('NOTES CE1'!$AH$10:$AH$250,MATCH(AN63,'NOTES CE1'!$B$10:$B$250,0))),""))</f>
        <v/>
      </c>
      <c r="AR63" s="51" t="str">
        <f aca="false">IF(ISNUMBER(AQ63),AQ63+(1000-23)/1000000,"")</f>
        <v/>
      </c>
      <c r="AS63" s="51" t="str">
        <f aca="false">IF(AN63="","",IFERROR(CHOOSE($C$9,INDEX('NOTES CE1'!$G$10:$G$250,MATCH(AN63,'NOTES CE1'!$B$10:$B$250,0)),INDEX('NOTES CE1'!$N$10:$N$250,MATCH(AN63,'NOTES CE1'!$B$10:$B$250,0)),INDEX('NOTES CE1'!$U$10:$U$250,MATCH(AN63,'NOTES CE1'!$B$10:$B$250,0)),INDEX('NOTES CE1'!$AB$10:$AB$250,MATCH(AN63,'NOTES CE1'!$B$10:$B$250,0))),""))</f>
        <v/>
      </c>
      <c r="AT63" s="51" t="str">
        <f aca="false">IFERROR(MATCH("CE2-23",'REGISTRE ELEVES'!$AG$10:$AG$250,0),"")</f>
        <v/>
      </c>
      <c r="AU63" s="51" t="str">
        <f aca="false">IF(AT63="","",INDEX('REGISTRE ELEVES'!$B$10:$B$250,AT63))</f>
        <v/>
      </c>
      <c r="AV63" s="51" t="str">
        <f aca="false">IF(AT63="","",INDEX('REGISTRE ELEVES'!$D$10:$D$250,AT63))</f>
        <v/>
      </c>
      <c r="AW63" s="51" t="str">
        <f aca="false">IF(AT63="","",INDEX('REGISTRE ELEVES'!$E$10:$E$250,AT63))</f>
        <v/>
      </c>
      <c r="AX63" s="51" t="str">
        <f aca="false">IF(AU63="","",IFERROR(CHOOSE($C$9,INDEX('NOTES CE2-CM1'!$M$10:$M$250,MATCH(AU63,'NOTES CE2-CM1'!$B$10:$B$250,0)),INDEX('NOTES CE2-CM1'!$T$10:$T$250,MATCH(AU63,'NOTES CE2-CM1'!$B$10:$B$250,0)),INDEX('NOTES CE2-CM1'!$AA$10:$AA$250,MATCH(AU63,'NOTES CE2-CM1'!$B$10:$B$250,0)),INDEX('NOTES CE2-CM1'!$AH$10:$AH$250,MATCH(AU63,'NOTES CE2-CM1'!$B$10:$B$250,0))),""))</f>
        <v/>
      </c>
      <c r="AY63" s="51" t="str">
        <f aca="false">IF(ISNUMBER(AX63),AX63+(1000-23)/1000000,"")</f>
        <v/>
      </c>
      <c r="AZ63" s="51" t="str">
        <f aca="false">IF(AU63="","",IFERROR(CHOOSE($C$9,INDEX('NOTES CE2-CM1'!$G$10:$G$250,MATCH(AU63,'NOTES CE2-CM1'!$B$10:$B$250,0)),INDEX('NOTES CE2-CM1'!$N$10:$N$250,MATCH(AU63,'NOTES CE2-CM1'!$B$10:$B$250,0)),INDEX('NOTES CE2-CM1'!$U$10:$U$250,MATCH(AU63,'NOTES CE2-CM1'!$B$10:$B$250,0)),INDEX('NOTES CE2-CM1'!$AB$10:$AB$250,MATCH(AU63,'NOTES CE2-CM1'!$B$10:$B$250,0))),""))</f>
        <v/>
      </c>
      <c r="BA63" s="51" t="str">
        <f aca="false">IFERROR(MATCH("CM1-23",'REGISTRE ELEVES'!$AG$10:$AG$250,0),"")</f>
        <v/>
      </c>
      <c r="BB63" s="51" t="str">
        <f aca="false">IF(BA63="","",INDEX('REGISTRE ELEVES'!$B$10:$B$250,BA63))</f>
        <v/>
      </c>
      <c r="BC63" s="51" t="str">
        <f aca="false">IF(BA63="","",INDEX('REGISTRE ELEVES'!$D$10:$D$250,BA63))</f>
        <v/>
      </c>
      <c r="BD63" s="51" t="str">
        <f aca="false">IF(BA63="","",INDEX('REGISTRE ELEVES'!$E$10:$E$250,BA63))</f>
        <v/>
      </c>
      <c r="BE63" s="51" t="str">
        <f aca="false">IF(BB63="","",IFERROR(CHOOSE($C$9,INDEX('NOTES CE2-CM1'!$M$10:$M$250,MATCH(BB63,'NOTES CE2-CM1'!$B$10:$B$250,0)),INDEX('NOTES CE2-CM1'!$T$10:$T$250,MATCH(BB63,'NOTES CE2-CM1'!$B$10:$B$250,0)),INDEX('NOTES CE2-CM1'!$AA$10:$AA$250,MATCH(BB63,'NOTES CE2-CM1'!$B$10:$B$250,0)),INDEX('NOTES CE2-CM1'!$AH$10:$AH$250,MATCH(BB63,'NOTES CE2-CM1'!$B$10:$B$250,0))),""))</f>
        <v/>
      </c>
      <c r="BF63" s="51" t="str">
        <f aca="false">IF(ISNUMBER(BE63),BE63+(1000-23)/1000000,"")</f>
        <v/>
      </c>
      <c r="BG63" s="51" t="str">
        <f aca="false">IF(BB63="","",IFERROR(CHOOSE($C$9,INDEX('NOTES CE2-CM1'!$G$10:$G$250,MATCH(BB63,'NOTES CE2-CM1'!$B$10:$B$250,0)),INDEX('NOTES CE2-CM1'!$N$10:$N$250,MATCH(BB63,'NOTES CE2-CM1'!$B$10:$B$250,0)),INDEX('NOTES CE2-CM1'!$U$10:$U$250,MATCH(BB63,'NOTES CE2-CM1'!$B$10:$B$250,0)),INDEX('NOTES CE2-CM1'!$AB$10:$AB$250,MATCH(BB63,'NOTES CE2-CM1'!$B$10:$B$250,0))),""))</f>
        <v/>
      </c>
      <c r="BH63" s="51" t="str">
        <f aca="false">IFERROR(MATCH("CM2-23",'REGISTRE ELEVES'!$AG$10:$AG$250,0),"")</f>
        <v/>
      </c>
      <c r="BI63" s="51" t="str">
        <f aca="false">IF(BH63="","",INDEX('REGISTRE ELEVES'!$B$10:$B$250,BH63))</f>
        <v/>
      </c>
      <c r="BJ63" s="51" t="str">
        <f aca="false">IF(BH63="","",INDEX('REGISTRE ELEVES'!$D$10:$D$250,BH63))</f>
        <v/>
      </c>
      <c r="BK63" s="51" t="str">
        <f aca="false">IF(BH63="","",INDEX('REGISTRE ELEVES'!$E$10:$E$250,BH63))</f>
        <v/>
      </c>
      <c r="BL63" s="51" t="str">
        <f aca="false">IF(BI63="","",IFERROR(CHOOSE($C$9,INDEX('NOTES CM2'!$M$10:$M$250,MATCH(BI63,'NOTES CM2'!$B$10:$B$250,0)),INDEX('NOTES CM2'!$T$10:$T$250,MATCH(BI63,'NOTES CM2'!$B$10:$B$250,0)),INDEX('NOTES CM2'!$AB$10:$AB$250,MATCH(BI63,'NOTES CM2'!$B$10:$B$250,0)),INDEX('NOTES CM2'!$AJ$10:$AJ$250,MATCH(BI63,'NOTES CM2'!$B$10:$B$250,0))),""))</f>
        <v/>
      </c>
      <c r="BM63" s="51" t="str">
        <f aca="false">IF(ISNUMBER(BL63),BL63+(1000-23)/1000000,"")</f>
        <v/>
      </c>
      <c r="BN63" s="51" t="str">
        <f aca="false">IF(BI63="","",IFERROR(CHOOSE($C$9,INDEX('NOTES CM2'!$G$10:$G$250,MATCH(BI63,'NOTES CM2'!$B$10:$B$250,0)),INDEX('NOTES CM2'!$N$10:$N$250,MATCH(BI63,'NOTES CM2'!$B$10:$B$250,0)),INDEX('NOTES CM2'!$U$10:$U$250,MATCH(BI63,'NOTES CM2'!$B$10:$B$250,0)),INDEX('NOTES CM2'!$AC$10:$AC$250,MATCH(BI63,'NOTES CM2'!$B$10:$B$250,0))),""))</f>
        <v/>
      </c>
    </row>
    <row r="64" customFormat="false" ht="15" hidden="false" customHeight="false" outlineLevel="0" collapsed="false">
      <c r="Y64" s="51" t="str">
        <f aca="false">IFERROR(MATCH("CP1-24",'REGISTRE ELEVES'!$AG$10:$AG$250,0),"")</f>
        <v/>
      </c>
      <c r="Z64" s="51" t="str">
        <f aca="false">IF(Y64="","",INDEX('REGISTRE ELEVES'!$B$10:$B$250,Y64))</f>
        <v/>
      </c>
      <c r="AA64" s="51" t="str">
        <f aca="false">IF(Y64="","",INDEX('REGISTRE ELEVES'!$D$10:$D$250,Y64))</f>
        <v/>
      </c>
      <c r="AB64" s="51" t="str">
        <f aca="false">IF(Y64="","",INDEX('REGISTRE ELEVES'!$E$10:$E$250,Y64))</f>
        <v/>
      </c>
      <c r="AC64" s="51" t="str">
        <f aca="false">IF(Z64="","",IFERROR(CHOOSE($C$9,INDEX('NOTES CP'!$P$10:$P$250,MATCH(Z64,'NOTES CP'!$B$10:$B$250,0)),INDEX('NOTES CP'!$Z$10:$Z$250,MATCH(Z64,'NOTES CP'!$B$10:$B$250,0)),INDEX('NOTES CP'!$AJ$10:$AJ$250,MATCH(Z64,'NOTES CP'!$B$10:$B$250,0)),INDEX('NOTES CP'!$AT$10:$AT$250,MATCH(Z64,'NOTES CP'!$B$10:$B$250,0))),""))</f>
        <v/>
      </c>
      <c r="AD64" s="51" t="str">
        <f aca="false">IF(ISNUMBER(AC64),AC64+(1000-24)/1000000,"")</f>
        <v/>
      </c>
      <c r="AE64" s="51" t="str">
        <f aca="false">IF(Z64="","",IFERROR(CHOOSE($C$9,INDEX('NOTES CP'!$G$10:$G$250,MATCH(Z64,'NOTES CP'!$B$10:$B$250,0)),INDEX('NOTES CP'!$Q$10:$Q$250,MATCH(Z64,'NOTES CP'!$B$10:$B$250,0)),INDEX('NOTES CP'!$AA$10:$AA$250,MATCH(Z64,'NOTES CP'!$B$10:$B$250,0)),INDEX('NOTES CP'!$AK$10:$AK$250,MATCH(Z64,'NOTES CP'!$B$10:$B$250,0))),""))</f>
        <v/>
      </c>
      <c r="AF64" s="51" t="str">
        <f aca="false">IFERROR(MATCH("CP2-24",'REGISTRE ELEVES'!$AG$10:$AG$250,0),"")</f>
        <v/>
      </c>
      <c r="AG64" s="51" t="str">
        <f aca="false">IF(AF64="","",INDEX('REGISTRE ELEVES'!$B$10:$B$250,AF64))</f>
        <v/>
      </c>
      <c r="AH64" s="51" t="str">
        <f aca="false">IF(AF64="","",INDEX('REGISTRE ELEVES'!$D$10:$D$250,AF64))</f>
        <v/>
      </c>
      <c r="AI64" s="51" t="str">
        <f aca="false">IF(AF64="","",INDEX('REGISTRE ELEVES'!$E$10:$E$250,AF64))</f>
        <v/>
      </c>
      <c r="AJ64" s="51" t="str">
        <f aca="false">IF(AG64="","",IFERROR(CHOOSE($C$9,INDEX('NOTES CP'!$P$10:$P$250,MATCH(AG64,'NOTES CP'!$B$10:$B$250,0)),INDEX('NOTES CP'!$Z$10:$Z$250,MATCH(AG64,'NOTES CP'!$B$10:$B$250,0)),INDEX('NOTES CP'!$AJ$10:$AJ$250,MATCH(AG64,'NOTES CP'!$B$10:$B$250,0)),INDEX('NOTES CP'!$AT$10:$AT$250,MATCH(AG64,'NOTES CP'!$B$10:$B$250,0))),""))</f>
        <v/>
      </c>
      <c r="AK64" s="51" t="str">
        <f aca="false">IF(ISNUMBER(AJ64),AJ64+(1000-24)/1000000,"")</f>
        <v/>
      </c>
      <c r="AL64" s="51" t="str">
        <f aca="false">IF(AG64="","",IFERROR(CHOOSE($C$9,INDEX('NOTES CP'!$G$10:$G$250,MATCH(AG64,'NOTES CP'!$B$10:$B$250,0)),INDEX('NOTES CP'!$Q$10:$Q$250,MATCH(AG64,'NOTES CP'!$B$10:$B$250,0)),INDEX('NOTES CP'!$AA$10:$AA$250,MATCH(AG64,'NOTES CP'!$B$10:$B$250,0)),INDEX('NOTES CP'!$AK$10:$AK$250,MATCH(AG64,'NOTES CP'!$B$10:$B$250,0))),""))</f>
        <v/>
      </c>
      <c r="AM64" s="51" t="str">
        <f aca="false">IFERROR(MATCH("CE1-24",'REGISTRE ELEVES'!$AG$10:$AG$250,0),"")</f>
        <v/>
      </c>
      <c r="AN64" s="51" t="str">
        <f aca="false">IF(AM64="","",INDEX('REGISTRE ELEVES'!$B$10:$B$250,AM64))</f>
        <v/>
      </c>
      <c r="AO64" s="51" t="str">
        <f aca="false">IF(AM64="","",INDEX('REGISTRE ELEVES'!$D$10:$D$250,AM64))</f>
        <v/>
      </c>
      <c r="AP64" s="51" t="str">
        <f aca="false">IF(AM64="","",INDEX('REGISTRE ELEVES'!$E$10:$E$250,AM64))</f>
        <v/>
      </c>
      <c r="AQ64" s="51" t="str">
        <f aca="false">IF(AN64="","",IFERROR(CHOOSE($C$9,INDEX('NOTES CE1'!$M$10:$M$250,MATCH(AN64,'NOTES CE1'!$B$10:$B$250,0)),INDEX('NOTES CE1'!$T$10:$T$250,MATCH(AN64,'NOTES CE1'!$B$10:$B$250,0)),INDEX('NOTES CE1'!$AA$10:$AA$250,MATCH(AN64,'NOTES CE1'!$B$10:$B$250,0)),INDEX('NOTES CE1'!$AH$10:$AH$250,MATCH(AN64,'NOTES CE1'!$B$10:$B$250,0))),""))</f>
        <v/>
      </c>
      <c r="AR64" s="51" t="str">
        <f aca="false">IF(ISNUMBER(AQ64),AQ64+(1000-24)/1000000,"")</f>
        <v/>
      </c>
      <c r="AS64" s="51" t="str">
        <f aca="false">IF(AN64="","",IFERROR(CHOOSE($C$9,INDEX('NOTES CE1'!$G$10:$G$250,MATCH(AN64,'NOTES CE1'!$B$10:$B$250,0)),INDEX('NOTES CE1'!$N$10:$N$250,MATCH(AN64,'NOTES CE1'!$B$10:$B$250,0)),INDEX('NOTES CE1'!$U$10:$U$250,MATCH(AN64,'NOTES CE1'!$B$10:$B$250,0)),INDEX('NOTES CE1'!$AB$10:$AB$250,MATCH(AN64,'NOTES CE1'!$B$10:$B$250,0))),""))</f>
        <v/>
      </c>
      <c r="AT64" s="51" t="str">
        <f aca="false">IFERROR(MATCH("CE2-24",'REGISTRE ELEVES'!$AG$10:$AG$250,0),"")</f>
        <v/>
      </c>
      <c r="AU64" s="51" t="str">
        <f aca="false">IF(AT64="","",INDEX('REGISTRE ELEVES'!$B$10:$B$250,AT64))</f>
        <v/>
      </c>
      <c r="AV64" s="51" t="str">
        <f aca="false">IF(AT64="","",INDEX('REGISTRE ELEVES'!$D$10:$D$250,AT64))</f>
        <v/>
      </c>
      <c r="AW64" s="51" t="str">
        <f aca="false">IF(AT64="","",INDEX('REGISTRE ELEVES'!$E$10:$E$250,AT64))</f>
        <v/>
      </c>
      <c r="AX64" s="51" t="str">
        <f aca="false">IF(AU64="","",IFERROR(CHOOSE($C$9,INDEX('NOTES CE2-CM1'!$M$10:$M$250,MATCH(AU64,'NOTES CE2-CM1'!$B$10:$B$250,0)),INDEX('NOTES CE2-CM1'!$T$10:$T$250,MATCH(AU64,'NOTES CE2-CM1'!$B$10:$B$250,0)),INDEX('NOTES CE2-CM1'!$AA$10:$AA$250,MATCH(AU64,'NOTES CE2-CM1'!$B$10:$B$250,0)),INDEX('NOTES CE2-CM1'!$AH$10:$AH$250,MATCH(AU64,'NOTES CE2-CM1'!$B$10:$B$250,0))),""))</f>
        <v/>
      </c>
      <c r="AY64" s="51" t="str">
        <f aca="false">IF(ISNUMBER(AX64),AX64+(1000-24)/1000000,"")</f>
        <v/>
      </c>
      <c r="AZ64" s="51" t="str">
        <f aca="false">IF(AU64="","",IFERROR(CHOOSE($C$9,INDEX('NOTES CE2-CM1'!$G$10:$G$250,MATCH(AU64,'NOTES CE2-CM1'!$B$10:$B$250,0)),INDEX('NOTES CE2-CM1'!$N$10:$N$250,MATCH(AU64,'NOTES CE2-CM1'!$B$10:$B$250,0)),INDEX('NOTES CE2-CM1'!$U$10:$U$250,MATCH(AU64,'NOTES CE2-CM1'!$B$10:$B$250,0)),INDEX('NOTES CE2-CM1'!$AB$10:$AB$250,MATCH(AU64,'NOTES CE2-CM1'!$B$10:$B$250,0))),""))</f>
        <v/>
      </c>
      <c r="BA64" s="51" t="str">
        <f aca="false">IFERROR(MATCH("CM1-24",'REGISTRE ELEVES'!$AG$10:$AG$250,0),"")</f>
        <v/>
      </c>
      <c r="BB64" s="51" t="str">
        <f aca="false">IF(BA64="","",INDEX('REGISTRE ELEVES'!$B$10:$B$250,BA64))</f>
        <v/>
      </c>
      <c r="BC64" s="51" t="str">
        <f aca="false">IF(BA64="","",INDEX('REGISTRE ELEVES'!$D$10:$D$250,BA64))</f>
        <v/>
      </c>
      <c r="BD64" s="51" t="str">
        <f aca="false">IF(BA64="","",INDEX('REGISTRE ELEVES'!$E$10:$E$250,BA64))</f>
        <v/>
      </c>
      <c r="BE64" s="51" t="str">
        <f aca="false">IF(BB64="","",IFERROR(CHOOSE($C$9,INDEX('NOTES CE2-CM1'!$M$10:$M$250,MATCH(BB64,'NOTES CE2-CM1'!$B$10:$B$250,0)),INDEX('NOTES CE2-CM1'!$T$10:$T$250,MATCH(BB64,'NOTES CE2-CM1'!$B$10:$B$250,0)),INDEX('NOTES CE2-CM1'!$AA$10:$AA$250,MATCH(BB64,'NOTES CE2-CM1'!$B$10:$B$250,0)),INDEX('NOTES CE2-CM1'!$AH$10:$AH$250,MATCH(BB64,'NOTES CE2-CM1'!$B$10:$B$250,0))),""))</f>
        <v/>
      </c>
      <c r="BF64" s="51" t="str">
        <f aca="false">IF(ISNUMBER(BE64),BE64+(1000-24)/1000000,"")</f>
        <v/>
      </c>
      <c r="BG64" s="51" t="str">
        <f aca="false">IF(BB64="","",IFERROR(CHOOSE($C$9,INDEX('NOTES CE2-CM1'!$G$10:$G$250,MATCH(BB64,'NOTES CE2-CM1'!$B$10:$B$250,0)),INDEX('NOTES CE2-CM1'!$N$10:$N$250,MATCH(BB64,'NOTES CE2-CM1'!$B$10:$B$250,0)),INDEX('NOTES CE2-CM1'!$U$10:$U$250,MATCH(BB64,'NOTES CE2-CM1'!$B$10:$B$250,0)),INDEX('NOTES CE2-CM1'!$AB$10:$AB$250,MATCH(BB64,'NOTES CE2-CM1'!$B$10:$B$250,0))),""))</f>
        <v/>
      </c>
      <c r="BH64" s="51" t="str">
        <f aca="false">IFERROR(MATCH("CM2-24",'REGISTRE ELEVES'!$AG$10:$AG$250,0),"")</f>
        <v/>
      </c>
      <c r="BI64" s="51" t="str">
        <f aca="false">IF(BH64="","",INDEX('REGISTRE ELEVES'!$B$10:$B$250,BH64))</f>
        <v/>
      </c>
      <c r="BJ64" s="51" t="str">
        <f aca="false">IF(BH64="","",INDEX('REGISTRE ELEVES'!$D$10:$D$250,BH64))</f>
        <v/>
      </c>
      <c r="BK64" s="51" t="str">
        <f aca="false">IF(BH64="","",INDEX('REGISTRE ELEVES'!$E$10:$E$250,BH64))</f>
        <v/>
      </c>
      <c r="BL64" s="51" t="str">
        <f aca="false">IF(BI64="","",IFERROR(CHOOSE($C$9,INDEX('NOTES CM2'!$M$10:$M$250,MATCH(BI64,'NOTES CM2'!$B$10:$B$250,0)),INDEX('NOTES CM2'!$T$10:$T$250,MATCH(BI64,'NOTES CM2'!$B$10:$B$250,0)),INDEX('NOTES CM2'!$AB$10:$AB$250,MATCH(BI64,'NOTES CM2'!$B$10:$B$250,0)),INDEX('NOTES CM2'!$AJ$10:$AJ$250,MATCH(BI64,'NOTES CM2'!$B$10:$B$250,0))),""))</f>
        <v/>
      </c>
      <c r="BM64" s="51" t="str">
        <f aca="false">IF(ISNUMBER(BL64),BL64+(1000-24)/1000000,"")</f>
        <v/>
      </c>
      <c r="BN64" s="51" t="str">
        <f aca="false">IF(BI64="","",IFERROR(CHOOSE($C$9,INDEX('NOTES CM2'!$G$10:$G$250,MATCH(BI64,'NOTES CM2'!$B$10:$B$250,0)),INDEX('NOTES CM2'!$N$10:$N$250,MATCH(BI64,'NOTES CM2'!$B$10:$B$250,0)),INDEX('NOTES CM2'!$U$10:$U$250,MATCH(BI64,'NOTES CM2'!$B$10:$B$250,0)),INDEX('NOTES CM2'!$AC$10:$AC$250,MATCH(BI64,'NOTES CM2'!$B$10:$B$250,0))),""))</f>
        <v/>
      </c>
    </row>
    <row r="65" customFormat="false" ht="15" hidden="false" customHeight="false" outlineLevel="0" collapsed="false">
      <c r="Y65" s="51" t="str">
        <f aca="false">IFERROR(MATCH("CP1-25",'REGISTRE ELEVES'!$AG$10:$AG$250,0),"")</f>
        <v/>
      </c>
      <c r="Z65" s="51" t="str">
        <f aca="false">IF(Y65="","",INDEX('REGISTRE ELEVES'!$B$10:$B$250,Y65))</f>
        <v/>
      </c>
      <c r="AA65" s="51" t="str">
        <f aca="false">IF(Y65="","",INDEX('REGISTRE ELEVES'!$D$10:$D$250,Y65))</f>
        <v/>
      </c>
      <c r="AB65" s="51" t="str">
        <f aca="false">IF(Y65="","",INDEX('REGISTRE ELEVES'!$E$10:$E$250,Y65))</f>
        <v/>
      </c>
      <c r="AC65" s="51" t="str">
        <f aca="false">IF(Z65="","",IFERROR(CHOOSE($C$9,INDEX('NOTES CP'!$P$10:$P$250,MATCH(Z65,'NOTES CP'!$B$10:$B$250,0)),INDEX('NOTES CP'!$Z$10:$Z$250,MATCH(Z65,'NOTES CP'!$B$10:$B$250,0)),INDEX('NOTES CP'!$AJ$10:$AJ$250,MATCH(Z65,'NOTES CP'!$B$10:$B$250,0)),INDEX('NOTES CP'!$AT$10:$AT$250,MATCH(Z65,'NOTES CP'!$B$10:$B$250,0))),""))</f>
        <v/>
      </c>
      <c r="AD65" s="51" t="str">
        <f aca="false">IF(ISNUMBER(AC65),AC65+(1000-25)/1000000,"")</f>
        <v/>
      </c>
      <c r="AE65" s="51" t="str">
        <f aca="false">IF(Z65="","",IFERROR(CHOOSE($C$9,INDEX('NOTES CP'!$G$10:$G$250,MATCH(Z65,'NOTES CP'!$B$10:$B$250,0)),INDEX('NOTES CP'!$Q$10:$Q$250,MATCH(Z65,'NOTES CP'!$B$10:$B$250,0)),INDEX('NOTES CP'!$AA$10:$AA$250,MATCH(Z65,'NOTES CP'!$B$10:$B$250,0)),INDEX('NOTES CP'!$AK$10:$AK$250,MATCH(Z65,'NOTES CP'!$B$10:$B$250,0))),""))</f>
        <v/>
      </c>
      <c r="AF65" s="51" t="str">
        <f aca="false">IFERROR(MATCH("CP2-25",'REGISTRE ELEVES'!$AG$10:$AG$250,0),"")</f>
        <v/>
      </c>
      <c r="AG65" s="51" t="str">
        <f aca="false">IF(AF65="","",INDEX('REGISTRE ELEVES'!$B$10:$B$250,AF65))</f>
        <v/>
      </c>
      <c r="AH65" s="51" t="str">
        <f aca="false">IF(AF65="","",INDEX('REGISTRE ELEVES'!$D$10:$D$250,AF65))</f>
        <v/>
      </c>
      <c r="AI65" s="51" t="str">
        <f aca="false">IF(AF65="","",INDEX('REGISTRE ELEVES'!$E$10:$E$250,AF65))</f>
        <v/>
      </c>
      <c r="AJ65" s="51" t="str">
        <f aca="false">IF(AG65="","",IFERROR(CHOOSE($C$9,INDEX('NOTES CP'!$P$10:$P$250,MATCH(AG65,'NOTES CP'!$B$10:$B$250,0)),INDEX('NOTES CP'!$Z$10:$Z$250,MATCH(AG65,'NOTES CP'!$B$10:$B$250,0)),INDEX('NOTES CP'!$AJ$10:$AJ$250,MATCH(AG65,'NOTES CP'!$B$10:$B$250,0)),INDEX('NOTES CP'!$AT$10:$AT$250,MATCH(AG65,'NOTES CP'!$B$10:$B$250,0))),""))</f>
        <v/>
      </c>
      <c r="AK65" s="51" t="str">
        <f aca="false">IF(ISNUMBER(AJ65),AJ65+(1000-25)/1000000,"")</f>
        <v/>
      </c>
      <c r="AL65" s="51" t="str">
        <f aca="false">IF(AG65="","",IFERROR(CHOOSE($C$9,INDEX('NOTES CP'!$G$10:$G$250,MATCH(AG65,'NOTES CP'!$B$10:$B$250,0)),INDEX('NOTES CP'!$Q$10:$Q$250,MATCH(AG65,'NOTES CP'!$B$10:$B$250,0)),INDEX('NOTES CP'!$AA$10:$AA$250,MATCH(AG65,'NOTES CP'!$B$10:$B$250,0)),INDEX('NOTES CP'!$AK$10:$AK$250,MATCH(AG65,'NOTES CP'!$B$10:$B$250,0))),""))</f>
        <v/>
      </c>
      <c r="AM65" s="51" t="str">
        <f aca="false">IFERROR(MATCH("CE1-25",'REGISTRE ELEVES'!$AG$10:$AG$250,0),"")</f>
        <v/>
      </c>
      <c r="AN65" s="51" t="str">
        <f aca="false">IF(AM65="","",INDEX('REGISTRE ELEVES'!$B$10:$B$250,AM65))</f>
        <v/>
      </c>
      <c r="AO65" s="51" t="str">
        <f aca="false">IF(AM65="","",INDEX('REGISTRE ELEVES'!$D$10:$D$250,AM65))</f>
        <v/>
      </c>
      <c r="AP65" s="51" t="str">
        <f aca="false">IF(AM65="","",INDEX('REGISTRE ELEVES'!$E$10:$E$250,AM65))</f>
        <v/>
      </c>
      <c r="AQ65" s="51" t="str">
        <f aca="false">IF(AN65="","",IFERROR(CHOOSE($C$9,INDEX('NOTES CE1'!$M$10:$M$250,MATCH(AN65,'NOTES CE1'!$B$10:$B$250,0)),INDEX('NOTES CE1'!$T$10:$T$250,MATCH(AN65,'NOTES CE1'!$B$10:$B$250,0)),INDEX('NOTES CE1'!$AA$10:$AA$250,MATCH(AN65,'NOTES CE1'!$B$10:$B$250,0)),INDEX('NOTES CE1'!$AH$10:$AH$250,MATCH(AN65,'NOTES CE1'!$B$10:$B$250,0))),""))</f>
        <v/>
      </c>
      <c r="AR65" s="51" t="str">
        <f aca="false">IF(ISNUMBER(AQ65),AQ65+(1000-25)/1000000,"")</f>
        <v/>
      </c>
      <c r="AS65" s="51" t="str">
        <f aca="false">IF(AN65="","",IFERROR(CHOOSE($C$9,INDEX('NOTES CE1'!$G$10:$G$250,MATCH(AN65,'NOTES CE1'!$B$10:$B$250,0)),INDEX('NOTES CE1'!$N$10:$N$250,MATCH(AN65,'NOTES CE1'!$B$10:$B$250,0)),INDEX('NOTES CE1'!$U$10:$U$250,MATCH(AN65,'NOTES CE1'!$B$10:$B$250,0)),INDEX('NOTES CE1'!$AB$10:$AB$250,MATCH(AN65,'NOTES CE1'!$B$10:$B$250,0))),""))</f>
        <v/>
      </c>
      <c r="AT65" s="51" t="str">
        <f aca="false">IFERROR(MATCH("CE2-25",'REGISTRE ELEVES'!$AG$10:$AG$250,0),"")</f>
        <v/>
      </c>
      <c r="AU65" s="51" t="str">
        <f aca="false">IF(AT65="","",INDEX('REGISTRE ELEVES'!$B$10:$B$250,AT65))</f>
        <v/>
      </c>
      <c r="AV65" s="51" t="str">
        <f aca="false">IF(AT65="","",INDEX('REGISTRE ELEVES'!$D$10:$D$250,AT65))</f>
        <v/>
      </c>
      <c r="AW65" s="51" t="str">
        <f aca="false">IF(AT65="","",INDEX('REGISTRE ELEVES'!$E$10:$E$250,AT65))</f>
        <v/>
      </c>
      <c r="AX65" s="51" t="str">
        <f aca="false">IF(AU65="","",IFERROR(CHOOSE($C$9,INDEX('NOTES CE2-CM1'!$M$10:$M$250,MATCH(AU65,'NOTES CE2-CM1'!$B$10:$B$250,0)),INDEX('NOTES CE2-CM1'!$T$10:$T$250,MATCH(AU65,'NOTES CE2-CM1'!$B$10:$B$250,0)),INDEX('NOTES CE2-CM1'!$AA$10:$AA$250,MATCH(AU65,'NOTES CE2-CM1'!$B$10:$B$250,0)),INDEX('NOTES CE2-CM1'!$AH$10:$AH$250,MATCH(AU65,'NOTES CE2-CM1'!$B$10:$B$250,0))),""))</f>
        <v/>
      </c>
      <c r="AY65" s="51" t="str">
        <f aca="false">IF(ISNUMBER(AX65),AX65+(1000-25)/1000000,"")</f>
        <v/>
      </c>
      <c r="AZ65" s="51" t="str">
        <f aca="false">IF(AU65="","",IFERROR(CHOOSE($C$9,INDEX('NOTES CE2-CM1'!$G$10:$G$250,MATCH(AU65,'NOTES CE2-CM1'!$B$10:$B$250,0)),INDEX('NOTES CE2-CM1'!$N$10:$N$250,MATCH(AU65,'NOTES CE2-CM1'!$B$10:$B$250,0)),INDEX('NOTES CE2-CM1'!$U$10:$U$250,MATCH(AU65,'NOTES CE2-CM1'!$B$10:$B$250,0)),INDEX('NOTES CE2-CM1'!$AB$10:$AB$250,MATCH(AU65,'NOTES CE2-CM1'!$B$10:$B$250,0))),""))</f>
        <v/>
      </c>
      <c r="BA65" s="51" t="str">
        <f aca="false">IFERROR(MATCH("CM1-25",'REGISTRE ELEVES'!$AG$10:$AG$250,0),"")</f>
        <v/>
      </c>
      <c r="BB65" s="51" t="str">
        <f aca="false">IF(BA65="","",INDEX('REGISTRE ELEVES'!$B$10:$B$250,BA65))</f>
        <v/>
      </c>
      <c r="BC65" s="51" t="str">
        <f aca="false">IF(BA65="","",INDEX('REGISTRE ELEVES'!$D$10:$D$250,BA65))</f>
        <v/>
      </c>
      <c r="BD65" s="51" t="str">
        <f aca="false">IF(BA65="","",INDEX('REGISTRE ELEVES'!$E$10:$E$250,BA65))</f>
        <v/>
      </c>
      <c r="BE65" s="51" t="str">
        <f aca="false">IF(BB65="","",IFERROR(CHOOSE($C$9,INDEX('NOTES CE2-CM1'!$M$10:$M$250,MATCH(BB65,'NOTES CE2-CM1'!$B$10:$B$250,0)),INDEX('NOTES CE2-CM1'!$T$10:$T$250,MATCH(BB65,'NOTES CE2-CM1'!$B$10:$B$250,0)),INDEX('NOTES CE2-CM1'!$AA$10:$AA$250,MATCH(BB65,'NOTES CE2-CM1'!$B$10:$B$250,0)),INDEX('NOTES CE2-CM1'!$AH$10:$AH$250,MATCH(BB65,'NOTES CE2-CM1'!$B$10:$B$250,0))),""))</f>
        <v/>
      </c>
      <c r="BF65" s="51" t="str">
        <f aca="false">IF(ISNUMBER(BE65),BE65+(1000-25)/1000000,"")</f>
        <v/>
      </c>
      <c r="BG65" s="51" t="str">
        <f aca="false">IF(BB65="","",IFERROR(CHOOSE($C$9,INDEX('NOTES CE2-CM1'!$G$10:$G$250,MATCH(BB65,'NOTES CE2-CM1'!$B$10:$B$250,0)),INDEX('NOTES CE2-CM1'!$N$10:$N$250,MATCH(BB65,'NOTES CE2-CM1'!$B$10:$B$250,0)),INDEX('NOTES CE2-CM1'!$U$10:$U$250,MATCH(BB65,'NOTES CE2-CM1'!$B$10:$B$250,0)),INDEX('NOTES CE2-CM1'!$AB$10:$AB$250,MATCH(BB65,'NOTES CE2-CM1'!$B$10:$B$250,0))),""))</f>
        <v/>
      </c>
      <c r="BH65" s="51" t="str">
        <f aca="false">IFERROR(MATCH("CM2-25",'REGISTRE ELEVES'!$AG$10:$AG$250,0),"")</f>
        <v/>
      </c>
      <c r="BI65" s="51" t="str">
        <f aca="false">IF(BH65="","",INDEX('REGISTRE ELEVES'!$B$10:$B$250,BH65))</f>
        <v/>
      </c>
      <c r="BJ65" s="51" t="str">
        <f aca="false">IF(BH65="","",INDEX('REGISTRE ELEVES'!$D$10:$D$250,BH65))</f>
        <v/>
      </c>
      <c r="BK65" s="51" t="str">
        <f aca="false">IF(BH65="","",INDEX('REGISTRE ELEVES'!$E$10:$E$250,BH65))</f>
        <v/>
      </c>
      <c r="BL65" s="51" t="str">
        <f aca="false">IF(BI65="","",IFERROR(CHOOSE($C$9,INDEX('NOTES CM2'!$M$10:$M$250,MATCH(BI65,'NOTES CM2'!$B$10:$B$250,0)),INDEX('NOTES CM2'!$T$10:$T$250,MATCH(BI65,'NOTES CM2'!$B$10:$B$250,0)),INDEX('NOTES CM2'!$AB$10:$AB$250,MATCH(BI65,'NOTES CM2'!$B$10:$B$250,0)),INDEX('NOTES CM2'!$AJ$10:$AJ$250,MATCH(BI65,'NOTES CM2'!$B$10:$B$250,0))),""))</f>
        <v/>
      </c>
      <c r="BM65" s="51" t="str">
        <f aca="false">IF(ISNUMBER(BL65),BL65+(1000-25)/1000000,"")</f>
        <v/>
      </c>
      <c r="BN65" s="51" t="str">
        <f aca="false">IF(BI65="","",IFERROR(CHOOSE($C$9,INDEX('NOTES CM2'!$G$10:$G$250,MATCH(BI65,'NOTES CM2'!$B$10:$B$250,0)),INDEX('NOTES CM2'!$N$10:$N$250,MATCH(BI65,'NOTES CM2'!$B$10:$B$250,0)),INDEX('NOTES CM2'!$U$10:$U$250,MATCH(BI65,'NOTES CM2'!$B$10:$B$250,0)),INDEX('NOTES CM2'!$AC$10:$AC$250,MATCH(BI65,'NOTES CM2'!$B$10:$B$250,0))),""))</f>
        <v/>
      </c>
    </row>
    <row r="66" customFormat="false" ht="15" hidden="false" customHeight="false" outlineLevel="0" collapsed="false">
      <c r="Y66" s="51" t="str">
        <f aca="false">IFERROR(MATCH("CP1-26",'REGISTRE ELEVES'!$AG$10:$AG$250,0),"")</f>
        <v/>
      </c>
      <c r="Z66" s="51" t="str">
        <f aca="false">IF(Y66="","",INDEX('REGISTRE ELEVES'!$B$10:$B$250,Y66))</f>
        <v/>
      </c>
      <c r="AA66" s="51" t="str">
        <f aca="false">IF(Y66="","",INDEX('REGISTRE ELEVES'!$D$10:$D$250,Y66))</f>
        <v/>
      </c>
      <c r="AB66" s="51" t="str">
        <f aca="false">IF(Y66="","",INDEX('REGISTRE ELEVES'!$E$10:$E$250,Y66))</f>
        <v/>
      </c>
      <c r="AC66" s="51" t="str">
        <f aca="false">IF(Z66="","",IFERROR(CHOOSE($C$9,INDEX('NOTES CP'!$P$10:$P$250,MATCH(Z66,'NOTES CP'!$B$10:$B$250,0)),INDEX('NOTES CP'!$Z$10:$Z$250,MATCH(Z66,'NOTES CP'!$B$10:$B$250,0)),INDEX('NOTES CP'!$AJ$10:$AJ$250,MATCH(Z66,'NOTES CP'!$B$10:$B$250,0)),INDEX('NOTES CP'!$AT$10:$AT$250,MATCH(Z66,'NOTES CP'!$B$10:$B$250,0))),""))</f>
        <v/>
      </c>
      <c r="AD66" s="51" t="str">
        <f aca="false">IF(ISNUMBER(AC66),AC66+(1000-26)/1000000,"")</f>
        <v/>
      </c>
      <c r="AE66" s="51" t="str">
        <f aca="false">IF(Z66="","",IFERROR(CHOOSE($C$9,INDEX('NOTES CP'!$G$10:$G$250,MATCH(Z66,'NOTES CP'!$B$10:$B$250,0)),INDEX('NOTES CP'!$Q$10:$Q$250,MATCH(Z66,'NOTES CP'!$B$10:$B$250,0)),INDEX('NOTES CP'!$AA$10:$AA$250,MATCH(Z66,'NOTES CP'!$B$10:$B$250,0)),INDEX('NOTES CP'!$AK$10:$AK$250,MATCH(Z66,'NOTES CP'!$B$10:$B$250,0))),""))</f>
        <v/>
      </c>
      <c r="AF66" s="51" t="str">
        <f aca="false">IFERROR(MATCH("CP2-26",'REGISTRE ELEVES'!$AG$10:$AG$250,0),"")</f>
        <v/>
      </c>
      <c r="AG66" s="51" t="str">
        <f aca="false">IF(AF66="","",INDEX('REGISTRE ELEVES'!$B$10:$B$250,AF66))</f>
        <v/>
      </c>
      <c r="AH66" s="51" t="str">
        <f aca="false">IF(AF66="","",INDEX('REGISTRE ELEVES'!$D$10:$D$250,AF66))</f>
        <v/>
      </c>
      <c r="AI66" s="51" t="str">
        <f aca="false">IF(AF66="","",INDEX('REGISTRE ELEVES'!$E$10:$E$250,AF66))</f>
        <v/>
      </c>
      <c r="AJ66" s="51" t="str">
        <f aca="false">IF(AG66="","",IFERROR(CHOOSE($C$9,INDEX('NOTES CP'!$P$10:$P$250,MATCH(AG66,'NOTES CP'!$B$10:$B$250,0)),INDEX('NOTES CP'!$Z$10:$Z$250,MATCH(AG66,'NOTES CP'!$B$10:$B$250,0)),INDEX('NOTES CP'!$AJ$10:$AJ$250,MATCH(AG66,'NOTES CP'!$B$10:$B$250,0)),INDEX('NOTES CP'!$AT$10:$AT$250,MATCH(AG66,'NOTES CP'!$B$10:$B$250,0))),""))</f>
        <v/>
      </c>
      <c r="AK66" s="51" t="str">
        <f aca="false">IF(ISNUMBER(AJ66),AJ66+(1000-26)/1000000,"")</f>
        <v/>
      </c>
      <c r="AL66" s="51" t="str">
        <f aca="false">IF(AG66="","",IFERROR(CHOOSE($C$9,INDEX('NOTES CP'!$G$10:$G$250,MATCH(AG66,'NOTES CP'!$B$10:$B$250,0)),INDEX('NOTES CP'!$Q$10:$Q$250,MATCH(AG66,'NOTES CP'!$B$10:$B$250,0)),INDEX('NOTES CP'!$AA$10:$AA$250,MATCH(AG66,'NOTES CP'!$B$10:$B$250,0)),INDEX('NOTES CP'!$AK$10:$AK$250,MATCH(AG66,'NOTES CP'!$B$10:$B$250,0))),""))</f>
        <v/>
      </c>
      <c r="AM66" s="51" t="str">
        <f aca="false">IFERROR(MATCH("CE1-26",'REGISTRE ELEVES'!$AG$10:$AG$250,0),"")</f>
        <v/>
      </c>
      <c r="AN66" s="51" t="str">
        <f aca="false">IF(AM66="","",INDEX('REGISTRE ELEVES'!$B$10:$B$250,AM66))</f>
        <v/>
      </c>
      <c r="AO66" s="51" t="str">
        <f aca="false">IF(AM66="","",INDEX('REGISTRE ELEVES'!$D$10:$D$250,AM66))</f>
        <v/>
      </c>
      <c r="AP66" s="51" t="str">
        <f aca="false">IF(AM66="","",INDEX('REGISTRE ELEVES'!$E$10:$E$250,AM66))</f>
        <v/>
      </c>
      <c r="AQ66" s="51" t="str">
        <f aca="false">IF(AN66="","",IFERROR(CHOOSE($C$9,INDEX('NOTES CE1'!$M$10:$M$250,MATCH(AN66,'NOTES CE1'!$B$10:$B$250,0)),INDEX('NOTES CE1'!$T$10:$T$250,MATCH(AN66,'NOTES CE1'!$B$10:$B$250,0)),INDEX('NOTES CE1'!$AA$10:$AA$250,MATCH(AN66,'NOTES CE1'!$B$10:$B$250,0)),INDEX('NOTES CE1'!$AH$10:$AH$250,MATCH(AN66,'NOTES CE1'!$B$10:$B$250,0))),""))</f>
        <v/>
      </c>
      <c r="AR66" s="51" t="str">
        <f aca="false">IF(ISNUMBER(AQ66),AQ66+(1000-26)/1000000,"")</f>
        <v/>
      </c>
      <c r="AS66" s="51" t="str">
        <f aca="false">IF(AN66="","",IFERROR(CHOOSE($C$9,INDEX('NOTES CE1'!$G$10:$G$250,MATCH(AN66,'NOTES CE1'!$B$10:$B$250,0)),INDEX('NOTES CE1'!$N$10:$N$250,MATCH(AN66,'NOTES CE1'!$B$10:$B$250,0)),INDEX('NOTES CE1'!$U$10:$U$250,MATCH(AN66,'NOTES CE1'!$B$10:$B$250,0)),INDEX('NOTES CE1'!$AB$10:$AB$250,MATCH(AN66,'NOTES CE1'!$B$10:$B$250,0))),""))</f>
        <v/>
      </c>
      <c r="AT66" s="51" t="str">
        <f aca="false">IFERROR(MATCH("CE2-26",'REGISTRE ELEVES'!$AG$10:$AG$250,0),"")</f>
        <v/>
      </c>
      <c r="AU66" s="51" t="str">
        <f aca="false">IF(AT66="","",INDEX('REGISTRE ELEVES'!$B$10:$B$250,AT66))</f>
        <v/>
      </c>
      <c r="AV66" s="51" t="str">
        <f aca="false">IF(AT66="","",INDEX('REGISTRE ELEVES'!$D$10:$D$250,AT66))</f>
        <v/>
      </c>
      <c r="AW66" s="51" t="str">
        <f aca="false">IF(AT66="","",INDEX('REGISTRE ELEVES'!$E$10:$E$250,AT66))</f>
        <v/>
      </c>
      <c r="AX66" s="51" t="str">
        <f aca="false">IF(AU66="","",IFERROR(CHOOSE($C$9,INDEX('NOTES CE2-CM1'!$M$10:$M$250,MATCH(AU66,'NOTES CE2-CM1'!$B$10:$B$250,0)),INDEX('NOTES CE2-CM1'!$T$10:$T$250,MATCH(AU66,'NOTES CE2-CM1'!$B$10:$B$250,0)),INDEX('NOTES CE2-CM1'!$AA$10:$AA$250,MATCH(AU66,'NOTES CE2-CM1'!$B$10:$B$250,0)),INDEX('NOTES CE2-CM1'!$AH$10:$AH$250,MATCH(AU66,'NOTES CE2-CM1'!$B$10:$B$250,0))),""))</f>
        <v/>
      </c>
      <c r="AY66" s="51" t="str">
        <f aca="false">IF(ISNUMBER(AX66),AX66+(1000-26)/1000000,"")</f>
        <v/>
      </c>
      <c r="AZ66" s="51" t="str">
        <f aca="false">IF(AU66="","",IFERROR(CHOOSE($C$9,INDEX('NOTES CE2-CM1'!$G$10:$G$250,MATCH(AU66,'NOTES CE2-CM1'!$B$10:$B$250,0)),INDEX('NOTES CE2-CM1'!$N$10:$N$250,MATCH(AU66,'NOTES CE2-CM1'!$B$10:$B$250,0)),INDEX('NOTES CE2-CM1'!$U$10:$U$250,MATCH(AU66,'NOTES CE2-CM1'!$B$10:$B$250,0)),INDEX('NOTES CE2-CM1'!$AB$10:$AB$250,MATCH(AU66,'NOTES CE2-CM1'!$B$10:$B$250,0))),""))</f>
        <v/>
      </c>
      <c r="BA66" s="51" t="str">
        <f aca="false">IFERROR(MATCH("CM1-26",'REGISTRE ELEVES'!$AG$10:$AG$250,0),"")</f>
        <v/>
      </c>
      <c r="BB66" s="51" t="str">
        <f aca="false">IF(BA66="","",INDEX('REGISTRE ELEVES'!$B$10:$B$250,BA66))</f>
        <v/>
      </c>
      <c r="BC66" s="51" t="str">
        <f aca="false">IF(BA66="","",INDEX('REGISTRE ELEVES'!$D$10:$D$250,BA66))</f>
        <v/>
      </c>
      <c r="BD66" s="51" t="str">
        <f aca="false">IF(BA66="","",INDEX('REGISTRE ELEVES'!$E$10:$E$250,BA66))</f>
        <v/>
      </c>
      <c r="BE66" s="51" t="str">
        <f aca="false">IF(BB66="","",IFERROR(CHOOSE($C$9,INDEX('NOTES CE2-CM1'!$M$10:$M$250,MATCH(BB66,'NOTES CE2-CM1'!$B$10:$B$250,0)),INDEX('NOTES CE2-CM1'!$T$10:$T$250,MATCH(BB66,'NOTES CE2-CM1'!$B$10:$B$250,0)),INDEX('NOTES CE2-CM1'!$AA$10:$AA$250,MATCH(BB66,'NOTES CE2-CM1'!$B$10:$B$250,0)),INDEX('NOTES CE2-CM1'!$AH$10:$AH$250,MATCH(BB66,'NOTES CE2-CM1'!$B$10:$B$250,0))),""))</f>
        <v/>
      </c>
      <c r="BF66" s="51" t="str">
        <f aca="false">IF(ISNUMBER(BE66),BE66+(1000-26)/1000000,"")</f>
        <v/>
      </c>
      <c r="BG66" s="51" t="str">
        <f aca="false">IF(BB66="","",IFERROR(CHOOSE($C$9,INDEX('NOTES CE2-CM1'!$G$10:$G$250,MATCH(BB66,'NOTES CE2-CM1'!$B$10:$B$250,0)),INDEX('NOTES CE2-CM1'!$N$10:$N$250,MATCH(BB66,'NOTES CE2-CM1'!$B$10:$B$250,0)),INDEX('NOTES CE2-CM1'!$U$10:$U$250,MATCH(BB66,'NOTES CE2-CM1'!$B$10:$B$250,0)),INDEX('NOTES CE2-CM1'!$AB$10:$AB$250,MATCH(BB66,'NOTES CE2-CM1'!$B$10:$B$250,0))),""))</f>
        <v/>
      </c>
      <c r="BH66" s="51" t="str">
        <f aca="false">IFERROR(MATCH("CM2-26",'REGISTRE ELEVES'!$AG$10:$AG$250,0),"")</f>
        <v/>
      </c>
      <c r="BI66" s="51" t="str">
        <f aca="false">IF(BH66="","",INDEX('REGISTRE ELEVES'!$B$10:$B$250,BH66))</f>
        <v/>
      </c>
      <c r="BJ66" s="51" t="str">
        <f aca="false">IF(BH66="","",INDEX('REGISTRE ELEVES'!$D$10:$D$250,BH66))</f>
        <v/>
      </c>
      <c r="BK66" s="51" t="str">
        <f aca="false">IF(BH66="","",INDEX('REGISTRE ELEVES'!$E$10:$E$250,BH66))</f>
        <v/>
      </c>
      <c r="BL66" s="51" t="str">
        <f aca="false">IF(BI66="","",IFERROR(CHOOSE($C$9,INDEX('NOTES CM2'!$M$10:$M$250,MATCH(BI66,'NOTES CM2'!$B$10:$B$250,0)),INDEX('NOTES CM2'!$T$10:$T$250,MATCH(BI66,'NOTES CM2'!$B$10:$B$250,0)),INDEX('NOTES CM2'!$AB$10:$AB$250,MATCH(BI66,'NOTES CM2'!$B$10:$B$250,0)),INDEX('NOTES CM2'!$AJ$10:$AJ$250,MATCH(BI66,'NOTES CM2'!$B$10:$B$250,0))),""))</f>
        <v/>
      </c>
      <c r="BM66" s="51" t="str">
        <f aca="false">IF(ISNUMBER(BL66),BL66+(1000-26)/1000000,"")</f>
        <v/>
      </c>
      <c r="BN66" s="51" t="str">
        <f aca="false">IF(BI66="","",IFERROR(CHOOSE($C$9,INDEX('NOTES CM2'!$G$10:$G$250,MATCH(BI66,'NOTES CM2'!$B$10:$B$250,0)),INDEX('NOTES CM2'!$N$10:$N$250,MATCH(BI66,'NOTES CM2'!$B$10:$B$250,0)),INDEX('NOTES CM2'!$U$10:$U$250,MATCH(BI66,'NOTES CM2'!$B$10:$B$250,0)),INDEX('NOTES CM2'!$AC$10:$AC$250,MATCH(BI66,'NOTES CM2'!$B$10:$B$250,0))),""))</f>
        <v/>
      </c>
    </row>
    <row r="67" customFormat="false" ht="15" hidden="false" customHeight="false" outlineLevel="0" collapsed="false">
      <c r="Y67" s="51" t="str">
        <f aca="false">IFERROR(MATCH("CP1-27",'REGISTRE ELEVES'!$AG$10:$AG$250,0),"")</f>
        <v/>
      </c>
      <c r="Z67" s="51" t="str">
        <f aca="false">IF(Y67="","",INDEX('REGISTRE ELEVES'!$B$10:$B$250,Y67))</f>
        <v/>
      </c>
      <c r="AA67" s="51" t="str">
        <f aca="false">IF(Y67="","",INDEX('REGISTRE ELEVES'!$D$10:$D$250,Y67))</f>
        <v/>
      </c>
      <c r="AB67" s="51" t="str">
        <f aca="false">IF(Y67="","",INDEX('REGISTRE ELEVES'!$E$10:$E$250,Y67))</f>
        <v/>
      </c>
      <c r="AC67" s="51" t="str">
        <f aca="false">IF(Z67="","",IFERROR(CHOOSE($C$9,INDEX('NOTES CP'!$P$10:$P$250,MATCH(Z67,'NOTES CP'!$B$10:$B$250,0)),INDEX('NOTES CP'!$Z$10:$Z$250,MATCH(Z67,'NOTES CP'!$B$10:$B$250,0)),INDEX('NOTES CP'!$AJ$10:$AJ$250,MATCH(Z67,'NOTES CP'!$B$10:$B$250,0)),INDEX('NOTES CP'!$AT$10:$AT$250,MATCH(Z67,'NOTES CP'!$B$10:$B$250,0))),""))</f>
        <v/>
      </c>
      <c r="AD67" s="51" t="str">
        <f aca="false">IF(ISNUMBER(AC67),AC67+(1000-27)/1000000,"")</f>
        <v/>
      </c>
      <c r="AE67" s="51" t="str">
        <f aca="false">IF(Z67="","",IFERROR(CHOOSE($C$9,INDEX('NOTES CP'!$G$10:$G$250,MATCH(Z67,'NOTES CP'!$B$10:$B$250,0)),INDEX('NOTES CP'!$Q$10:$Q$250,MATCH(Z67,'NOTES CP'!$B$10:$B$250,0)),INDEX('NOTES CP'!$AA$10:$AA$250,MATCH(Z67,'NOTES CP'!$B$10:$B$250,0)),INDEX('NOTES CP'!$AK$10:$AK$250,MATCH(Z67,'NOTES CP'!$B$10:$B$250,0))),""))</f>
        <v/>
      </c>
      <c r="AF67" s="51" t="str">
        <f aca="false">IFERROR(MATCH("CP2-27",'REGISTRE ELEVES'!$AG$10:$AG$250,0),"")</f>
        <v/>
      </c>
      <c r="AG67" s="51" t="str">
        <f aca="false">IF(AF67="","",INDEX('REGISTRE ELEVES'!$B$10:$B$250,AF67))</f>
        <v/>
      </c>
      <c r="AH67" s="51" t="str">
        <f aca="false">IF(AF67="","",INDEX('REGISTRE ELEVES'!$D$10:$D$250,AF67))</f>
        <v/>
      </c>
      <c r="AI67" s="51" t="str">
        <f aca="false">IF(AF67="","",INDEX('REGISTRE ELEVES'!$E$10:$E$250,AF67))</f>
        <v/>
      </c>
      <c r="AJ67" s="51" t="str">
        <f aca="false">IF(AG67="","",IFERROR(CHOOSE($C$9,INDEX('NOTES CP'!$P$10:$P$250,MATCH(AG67,'NOTES CP'!$B$10:$B$250,0)),INDEX('NOTES CP'!$Z$10:$Z$250,MATCH(AG67,'NOTES CP'!$B$10:$B$250,0)),INDEX('NOTES CP'!$AJ$10:$AJ$250,MATCH(AG67,'NOTES CP'!$B$10:$B$250,0)),INDEX('NOTES CP'!$AT$10:$AT$250,MATCH(AG67,'NOTES CP'!$B$10:$B$250,0))),""))</f>
        <v/>
      </c>
      <c r="AK67" s="51" t="str">
        <f aca="false">IF(ISNUMBER(AJ67),AJ67+(1000-27)/1000000,"")</f>
        <v/>
      </c>
      <c r="AL67" s="51" t="str">
        <f aca="false">IF(AG67="","",IFERROR(CHOOSE($C$9,INDEX('NOTES CP'!$G$10:$G$250,MATCH(AG67,'NOTES CP'!$B$10:$B$250,0)),INDEX('NOTES CP'!$Q$10:$Q$250,MATCH(AG67,'NOTES CP'!$B$10:$B$250,0)),INDEX('NOTES CP'!$AA$10:$AA$250,MATCH(AG67,'NOTES CP'!$B$10:$B$250,0)),INDEX('NOTES CP'!$AK$10:$AK$250,MATCH(AG67,'NOTES CP'!$B$10:$B$250,0))),""))</f>
        <v/>
      </c>
      <c r="AM67" s="51" t="str">
        <f aca="false">IFERROR(MATCH("CE1-27",'REGISTRE ELEVES'!$AG$10:$AG$250,0),"")</f>
        <v/>
      </c>
      <c r="AN67" s="51" t="str">
        <f aca="false">IF(AM67="","",INDEX('REGISTRE ELEVES'!$B$10:$B$250,AM67))</f>
        <v/>
      </c>
      <c r="AO67" s="51" t="str">
        <f aca="false">IF(AM67="","",INDEX('REGISTRE ELEVES'!$D$10:$D$250,AM67))</f>
        <v/>
      </c>
      <c r="AP67" s="51" t="str">
        <f aca="false">IF(AM67="","",INDEX('REGISTRE ELEVES'!$E$10:$E$250,AM67))</f>
        <v/>
      </c>
      <c r="AQ67" s="51" t="str">
        <f aca="false">IF(AN67="","",IFERROR(CHOOSE($C$9,INDEX('NOTES CE1'!$M$10:$M$250,MATCH(AN67,'NOTES CE1'!$B$10:$B$250,0)),INDEX('NOTES CE1'!$T$10:$T$250,MATCH(AN67,'NOTES CE1'!$B$10:$B$250,0)),INDEX('NOTES CE1'!$AA$10:$AA$250,MATCH(AN67,'NOTES CE1'!$B$10:$B$250,0)),INDEX('NOTES CE1'!$AH$10:$AH$250,MATCH(AN67,'NOTES CE1'!$B$10:$B$250,0))),""))</f>
        <v/>
      </c>
      <c r="AR67" s="51" t="str">
        <f aca="false">IF(ISNUMBER(AQ67),AQ67+(1000-27)/1000000,"")</f>
        <v/>
      </c>
      <c r="AS67" s="51" t="str">
        <f aca="false">IF(AN67="","",IFERROR(CHOOSE($C$9,INDEX('NOTES CE1'!$G$10:$G$250,MATCH(AN67,'NOTES CE1'!$B$10:$B$250,0)),INDEX('NOTES CE1'!$N$10:$N$250,MATCH(AN67,'NOTES CE1'!$B$10:$B$250,0)),INDEX('NOTES CE1'!$U$10:$U$250,MATCH(AN67,'NOTES CE1'!$B$10:$B$250,0)),INDEX('NOTES CE1'!$AB$10:$AB$250,MATCH(AN67,'NOTES CE1'!$B$10:$B$250,0))),""))</f>
        <v/>
      </c>
      <c r="AT67" s="51" t="str">
        <f aca="false">IFERROR(MATCH("CE2-27",'REGISTRE ELEVES'!$AG$10:$AG$250,0),"")</f>
        <v/>
      </c>
      <c r="AU67" s="51" t="str">
        <f aca="false">IF(AT67="","",INDEX('REGISTRE ELEVES'!$B$10:$B$250,AT67))</f>
        <v/>
      </c>
      <c r="AV67" s="51" t="str">
        <f aca="false">IF(AT67="","",INDEX('REGISTRE ELEVES'!$D$10:$D$250,AT67))</f>
        <v/>
      </c>
      <c r="AW67" s="51" t="str">
        <f aca="false">IF(AT67="","",INDEX('REGISTRE ELEVES'!$E$10:$E$250,AT67))</f>
        <v/>
      </c>
      <c r="AX67" s="51" t="str">
        <f aca="false">IF(AU67="","",IFERROR(CHOOSE($C$9,INDEX('NOTES CE2-CM1'!$M$10:$M$250,MATCH(AU67,'NOTES CE2-CM1'!$B$10:$B$250,0)),INDEX('NOTES CE2-CM1'!$T$10:$T$250,MATCH(AU67,'NOTES CE2-CM1'!$B$10:$B$250,0)),INDEX('NOTES CE2-CM1'!$AA$10:$AA$250,MATCH(AU67,'NOTES CE2-CM1'!$B$10:$B$250,0)),INDEX('NOTES CE2-CM1'!$AH$10:$AH$250,MATCH(AU67,'NOTES CE2-CM1'!$B$10:$B$250,0))),""))</f>
        <v/>
      </c>
      <c r="AY67" s="51" t="str">
        <f aca="false">IF(ISNUMBER(AX67),AX67+(1000-27)/1000000,"")</f>
        <v/>
      </c>
      <c r="AZ67" s="51" t="str">
        <f aca="false">IF(AU67="","",IFERROR(CHOOSE($C$9,INDEX('NOTES CE2-CM1'!$G$10:$G$250,MATCH(AU67,'NOTES CE2-CM1'!$B$10:$B$250,0)),INDEX('NOTES CE2-CM1'!$N$10:$N$250,MATCH(AU67,'NOTES CE2-CM1'!$B$10:$B$250,0)),INDEX('NOTES CE2-CM1'!$U$10:$U$250,MATCH(AU67,'NOTES CE2-CM1'!$B$10:$B$250,0)),INDEX('NOTES CE2-CM1'!$AB$10:$AB$250,MATCH(AU67,'NOTES CE2-CM1'!$B$10:$B$250,0))),""))</f>
        <v/>
      </c>
      <c r="BA67" s="51" t="str">
        <f aca="false">IFERROR(MATCH("CM1-27",'REGISTRE ELEVES'!$AG$10:$AG$250,0),"")</f>
        <v/>
      </c>
      <c r="BB67" s="51" t="str">
        <f aca="false">IF(BA67="","",INDEX('REGISTRE ELEVES'!$B$10:$B$250,BA67))</f>
        <v/>
      </c>
      <c r="BC67" s="51" t="str">
        <f aca="false">IF(BA67="","",INDEX('REGISTRE ELEVES'!$D$10:$D$250,BA67))</f>
        <v/>
      </c>
      <c r="BD67" s="51" t="str">
        <f aca="false">IF(BA67="","",INDEX('REGISTRE ELEVES'!$E$10:$E$250,BA67))</f>
        <v/>
      </c>
      <c r="BE67" s="51" t="str">
        <f aca="false">IF(BB67="","",IFERROR(CHOOSE($C$9,INDEX('NOTES CE2-CM1'!$M$10:$M$250,MATCH(BB67,'NOTES CE2-CM1'!$B$10:$B$250,0)),INDEX('NOTES CE2-CM1'!$T$10:$T$250,MATCH(BB67,'NOTES CE2-CM1'!$B$10:$B$250,0)),INDEX('NOTES CE2-CM1'!$AA$10:$AA$250,MATCH(BB67,'NOTES CE2-CM1'!$B$10:$B$250,0)),INDEX('NOTES CE2-CM1'!$AH$10:$AH$250,MATCH(BB67,'NOTES CE2-CM1'!$B$10:$B$250,0))),""))</f>
        <v/>
      </c>
      <c r="BF67" s="51" t="str">
        <f aca="false">IF(ISNUMBER(BE67),BE67+(1000-27)/1000000,"")</f>
        <v/>
      </c>
      <c r="BG67" s="51" t="str">
        <f aca="false">IF(BB67="","",IFERROR(CHOOSE($C$9,INDEX('NOTES CE2-CM1'!$G$10:$G$250,MATCH(BB67,'NOTES CE2-CM1'!$B$10:$B$250,0)),INDEX('NOTES CE2-CM1'!$N$10:$N$250,MATCH(BB67,'NOTES CE2-CM1'!$B$10:$B$250,0)),INDEX('NOTES CE2-CM1'!$U$10:$U$250,MATCH(BB67,'NOTES CE2-CM1'!$B$10:$B$250,0)),INDEX('NOTES CE2-CM1'!$AB$10:$AB$250,MATCH(BB67,'NOTES CE2-CM1'!$B$10:$B$250,0))),""))</f>
        <v/>
      </c>
      <c r="BH67" s="51" t="str">
        <f aca="false">IFERROR(MATCH("CM2-27",'REGISTRE ELEVES'!$AG$10:$AG$250,0),"")</f>
        <v/>
      </c>
      <c r="BI67" s="51" t="str">
        <f aca="false">IF(BH67="","",INDEX('REGISTRE ELEVES'!$B$10:$B$250,BH67))</f>
        <v/>
      </c>
      <c r="BJ67" s="51" t="str">
        <f aca="false">IF(BH67="","",INDEX('REGISTRE ELEVES'!$D$10:$D$250,BH67))</f>
        <v/>
      </c>
      <c r="BK67" s="51" t="str">
        <f aca="false">IF(BH67="","",INDEX('REGISTRE ELEVES'!$E$10:$E$250,BH67))</f>
        <v/>
      </c>
      <c r="BL67" s="51" t="str">
        <f aca="false">IF(BI67="","",IFERROR(CHOOSE($C$9,INDEX('NOTES CM2'!$M$10:$M$250,MATCH(BI67,'NOTES CM2'!$B$10:$B$250,0)),INDEX('NOTES CM2'!$T$10:$T$250,MATCH(BI67,'NOTES CM2'!$B$10:$B$250,0)),INDEX('NOTES CM2'!$AB$10:$AB$250,MATCH(BI67,'NOTES CM2'!$B$10:$B$250,0)),INDEX('NOTES CM2'!$AJ$10:$AJ$250,MATCH(BI67,'NOTES CM2'!$B$10:$B$250,0))),""))</f>
        <v/>
      </c>
      <c r="BM67" s="51" t="str">
        <f aca="false">IF(ISNUMBER(BL67),BL67+(1000-27)/1000000,"")</f>
        <v/>
      </c>
      <c r="BN67" s="51" t="str">
        <f aca="false">IF(BI67="","",IFERROR(CHOOSE($C$9,INDEX('NOTES CM2'!$G$10:$G$250,MATCH(BI67,'NOTES CM2'!$B$10:$B$250,0)),INDEX('NOTES CM2'!$N$10:$N$250,MATCH(BI67,'NOTES CM2'!$B$10:$B$250,0)),INDEX('NOTES CM2'!$U$10:$U$250,MATCH(BI67,'NOTES CM2'!$B$10:$B$250,0)),INDEX('NOTES CM2'!$AC$10:$AC$250,MATCH(BI67,'NOTES CM2'!$B$10:$B$250,0))),""))</f>
        <v/>
      </c>
    </row>
    <row r="68" customFormat="false" ht="15" hidden="false" customHeight="false" outlineLevel="0" collapsed="false">
      <c r="Y68" s="51" t="str">
        <f aca="false">IFERROR(MATCH("CP1-28",'REGISTRE ELEVES'!$AG$10:$AG$250,0),"")</f>
        <v/>
      </c>
      <c r="Z68" s="51" t="str">
        <f aca="false">IF(Y68="","",INDEX('REGISTRE ELEVES'!$B$10:$B$250,Y68))</f>
        <v/>
      </c>
      <c r="AA68" s="51" t="str">
        <f aca="false">IF(Y68="","",INDEX('REGISTRE ELEVES'!$D$10:$D$250,Y68))</f>
        <v/>
      </c>
      <c r="AB68" s="51" t="str">
        <f aca="false">IF(Y68="","",INDEX('REGISTRE ELEVES'!$E$10:$E$250,Y68))</f>
        <v/>
      </c>
      <c r="AC68" s="51" t="str">
        <f aca="false">IF(Z68="","",IFERROR(CHOOSE($C$9,INDEX('NOTES CP'!$P$10:$P$250,MATCH(Z68,'NOTES CP'!$B$10:$B$250,0)),INDEX('NOTES CP'!$Z$10:$Z$250,MATCH(Z68,'NOTES CP'!$B$10:$B$250,0)),INDEX('NOTES CP'!$AJ$10:$AJ$250,MATCH(Z68,'NOTES CP'!$B$10:$B$250,0)),INDEX('NOTES CP'!$AT$10:$AT$250,MATCH(Z68,'NOTES CP'!$B$10:$B$250,0))),""))</f>
        <v/>
      </c>
      <c r="AD68" s="51" t="str">
        <f aca="false">IF(ISNUMBER(AC68),AC68+(1000-28)/1000000,"")</f>
        <v/>
      </c>
      <c r="AE68" s="51" t="str">
        <f aca="false">IF(Z68="","",IFERROR(CHOOSE($C$9,INDEX('NOTES CP'!$G$10:$G$250,MATCH(Z68,'NOTES CP'!$B$10:$B$250,0)),INDEX('NOTES CP'!$Q$10:$Q$250,MATCH(Z68,'NOTES CP'!$B$10:$B$250,0)),INDEX('NOTES CP'!$AA$10:$AA$250,MATCH(Z68,'NOTES CP'!$B$10:$B$250,0)),INDEX('NOTES CP'!$AK$10:$AK$250,MATCH(Z68,'NOTES CP'!$B$10:$B$250,0))),""))</f>
        <v/>
      </c>
      <c r="AF68" s="51" t="str">
        <f aca="false">IFERROR(MATCH("CP2-28",'REGISTRE ELEVES'!$AG$10:$AG$250,0),"")</f>
        <v/>
      </c>
      <c r="AG68" s="51" t="str">
        <f aca="false">IF(AF68="","",INDEX('REGISTRE ELEVES'!$B$10:$B$250,AF68))</f>
        <v/>
      </c>
      <c r="AH68" s="51" t="str">
        <f aca="false">IF(AF68="","",INDEX('REGISTRE ELEVES'!$D$10:$D$250,AF68))</f>
        <v/>
      </c>
      <c r="AI68" s="51" t="str">
        <f aca="false">IF(AF68="","",INDEX('REGISTRE ELEVES'!$E$10:$E$250,AF68))</f>
        <v/>
      </c>
      <c r="AJ68" s="51" t="str">
        <f aca="false">IF(AG68="","",IFERROR(CHOOSE($C$9,INDEX('NOTES CP'!$P$10:$P$250,MATCH(AG68,'NOTES CP'!$B$10:$B$250,0)),INDEX('NOTES CP'!$Z$10:$Z$250,MATCH(AG68,'NOTES CP'!$B$10:$B$250,0)),INDEX('NOTES CP'!$AJ$10:$AJ$250,MATCH(AG68,'NOTES CP'!$B$10:$B$250,0)),INDEX('NOTES CP'!$AT$10:$AT$250,MATCH(AG68,'NOTES CP'!$B$10:$B$250,0))),""))</f>
        <v/>
      </c>
      <c r="AK68" s="51" t="str">
        <f aca="false">IF(ISNUMBER(AJ68),AJ68+(1000-28)/1000000,"")</f>
        <v/>
      </c>
      <c r="AL68" s="51" t="str">
        <f aca="false">IF(AG68="","",IFERROR(CHOOSE($C$9,INDEX('NOTES CP'!$G$10:$G$250,MATCH(AG68,'NOTES CP'!$B$10:$B$250,0)),INDEX('NOTES CP'!$Q$10:$Q$250,MATCH(AG68,'NOTES CP'!$B$10:$B$250,0)),INDEX('NOTES CP'!$AA$10:$AA$250,MATCH(AG68,'NOTES CP'!$B$10:$B$250,0)),INDEX('NOTES CP'!$AK$10:$AK$250,MATCH(AG68,'NOTES CP'!$B$10:$B$250,0))),""))</f>
        <v/>
      </c>
      <c r="AM68" s="51" t="str">
        <f aca="false">IFERROR(MATCH("CE1-28",'REGISTRE ELEVES'!$AG$10:$AG$250,0),"")</f>
        <v/>
      </c>
      <c r="AN68" s="51" t="str">
        <f aca="false">IF(AM68="","",INDEX('REGISTRE ELEVES'!$B$10:$B$250,AM68))</f>
        <v/>
      </c>
      <c r="AO68" s="51" t="str">
        <f aca="false">IF(AM68="","",INDEX('REGISTRE ELEVES'!$D$10:$D$250,AM68))</f>
        <v/>
      </c>
      <c r="AP68" s="51" t="str">
        <f aca="false">IF(AM68="","",INDEX('REGISTRE ELEVES'!$E$10:$E$250,AM68))</f>
        <v/>
      </c>
      <c r="AQ68" s="51" t="str">
        <f aca="false">IF(AN68="","",IFERROR(CHOOSE($C$9,INDEX('NOTES CE1'!$M$10:$M$250,MATCH(AN68,'NOTES CE1'!$B$10:$B$250,0)),INDEX('NOTES CE1'!$T$10:$T$250,MATCH(AN68,'NOTES CE1'!$B$10:$B$250,0)),INDEX('NOTES CE1'!$AA$10:$AA$250,MATCH(AN68,'NOTES CE1'!$B$10:$B$250,0)),INDEX('NOTES CE1'!$AH$10:$AH$250,MATCH(AN68,'NOTES CE1'!$B$10:$B$250,0))),""))</f>
        <v/>
      </c>
      <c r="AR68" s="51" t="str">
        <f aca="false">IF(ISNUMBER(AQ68),AQ68+(1000-28)/1000000,"")</f>
        <v/>
      </c>
      <c r="AS68" s="51" t="str">
        <f aca="false">IF(AN68="","",IFERROR(CHOOSE($C$9,INDEX('NOTES CE1'!$G$10:$G$250,MATCH(AN68,'NOTES CE1'!$B$10:$B$250,0)),INDEX('NOTES CE1'!$N$10:$N$250,MATCH(AN68,'NOTES CE1'!$B$10:$B$250,0)),INDEX('NOTES CE1'!$U$10:$U$250,MATCH(AN68,'NOTES CE1'!$B$10:$B$250,0)),INDEX('NOTES CE1'!$AB$10:$AB$250,MATCH(AN68,'NOTES CE1'!$B$10:$B$250,0))),""))</f>
        <v/>
      </c>
      <c r="AT68" s="51" t="str">
        <f aca="false">IFERROR(MATCH("CE2-28",'REGISTRE ELEVES'!$AG$10:$AG$250,0),"")</f>
        <v/>
      </c>
      <c r="AU68" s="51" t="str">
        <f aca="false">IF(AT68="","",INDEX('REGISTRE ELEVES'!$B$10:$B$250,AT68))</f>
        <v/>
      </c>
      <c r="AV68" s="51" t="str">
        <f aca="false">IF(AT68="","",INDEX('REGISTRE ELEVES'!$D$10:$D$250,AT68))</f>
        <v/>
      </c>
      <c r="AW68" s="51" t="str">
        <f aca="false">IF(AT68="","",INDEX('REGISTRE ELEVES'!$E$10:$E$250,AT68))</f>
        <v/>
      </c>
      <c r="AX68" s="51" t="str">
        <f aca="false">IF(AU68="","",IFERROR(CHOOSE($C$9,INDEX('NOTES CE2-CM1'!$M$10:$M$250,MATCH(AU68,'NOTES CE2-CM1'!$B$10:$B$250,0)),INDEX('NOTES CE2-CM1'!$T$10:$T$250,MATCH(AU68,'NOTES CE2-CM1'!$B$10:$B$250,0)),INDEX('NOTES CE2-CM1'!$AA$10:$AA$250,MATCH(AU68,'NOTES CE2-CM1'!$B$10:$B$250,0)),INDEX('NOTES CE2-CM1'!$AH$10:$AH$250,MATCH(AU68,'NOTES CE2-CM1'!$B$10:$B$250,0))),""))</f>
        <v/>
      </c>
      <c r="AY68" s="51" t="str">
        <f aca="false">IF(ISNUMBER(AX68),AX68+(1000-28)/1000000,"")</f>
        <v/>
      </c>
      <c r="AZ68" s="51" t="str">
        <f aca="false">IF(AU68="","",IFERROR(CHOOSE($C$9,INDEX('NOTES CE2-CM1'!$G$10:$G$250,MATCH(AU68,'NOTES CE2-CM1'!$B$10:$B$250,0)),INDEX('NOTES CE2-CM1'!$N$10:$N$250,MATCH(AU68,'NOTES CE2-CM1'!$B$10:$B$250,0)),INDEX('NOTES CE2-CM1'!$U$10:$U$250,MATCH(AU68,'NOTES CE2-CM1'!$B$10:$B$250,0)),INDEX('NOTES CE2-CM1'!$AB$10:$AB$250,MATCH(AU68,'NOTES CE2-CM1'!$B$10:$B$250,0))),""))</f>
        <v/>
      </c>
      <c r="BA68" s="51" t="str">
        <f aca="false">IFERROR(MATCH("CM1-28",'REGISTRE ELEVES'!$AG$10:$AG$250,0),"")</f>
        <v/>
      </c>
      <c r="BB68" s="51" t="str">
        <f aca="false">IF(BA68="","",INDEX('REGISTRE ELEVES'!$B$10:$B$250,BA68))</f>
        <v/>
      </c>
      <c r="BC68" s="51" t="str">
        <f aca="false">IF(BA68="","",INDEX('REGISTRE ELEVES'!$D$10:$D$250,BA68))</f>
        <v/>
      </c>
      <c r="BD68" s="51" t="str">
        <f aca="false">IF(BA68="","",INDEX('REGISTRE ELEVES'!$E$10:$E$250,BA68))</f>
        <v/>
      </c>
      <c r="BE68" s="51" t="str">
        <f aca="false">IF(BB68="","",IFERROR(CHOOSE($C$9,INDEX('NOTES CE2-CM1'!$M$10:$M$250,MATCH(BB68,'NOTES CE2-CM1'!$B$10:$B$250,0)),INDEX('NOTES CE2-CM1'!$T$10:$T$250,MATCH(BB68,'NOTES CE2-CM1'!$B$10:$B$250,0)),INDEX('NOTES CE2-CM1'!$AA$10:$AA$250,MATCH(BB68,'NOTES CE2-CM1'!$B$10:$B$250,0)),INDEX('NOTES CE2-CM1'!$AH$10:$AH$250,MATCH(BB68,'NOTES CE2-CM1'!$B$10:$B$250,0))),""))</f>
        <v/>
      </c>
      <c r="BF68" s="51" t="str">
        <f aca="false">IF(ISNUMBER(BE68),BE68+(1000-28)/1000000,"")</f>
        <v/>
      </c>
      <c r="BG68" s="51" t="str">
        <f aca="false">IF(BB68="","",IFERROR(CHOOSE($C$9,INDEX('NOTES CE2-CM1'!$G$10:$G$250,MATCH(BB68,'NOTES CE2-CM1'!$B$10:$B$250,0)),INDEX('NOTES CE2-CM1'!$N$10:$N$250,MATCH(BB68,'NOTES CE2-CM1'!$B$10:$B$250,0)),INDEX('NOTES CE2-CM1'!$U$10:$U$250,MATCH(BB68,'NOTES CE2-CM1'!$B$10:$B$250,0)),INDEX('NOTES CE2-CM1'!$AB$10:$AB$250,MATCH(BB68,'NOTES CE2-CM1'!$B$10:$B$250,0))),""))</f>
        <v/>
      </c>
      <c r="BH68" s="51" t="str">
        <f aca="false">IFERROR(MATCH("CM2-28",'REGISTRE ELEVES'!$AG$10:$AG$250,0),"")</f>
        <v/>
      </c>
      <c r="BI68" s="51" t="str">
        <f aca="false">IF(BH68="","",INDEX('REGISTRE ELEVES'!$B$10:$B$250,BH68))</f>
        <v/>
      </c>
      <c r="BJ68" s="51" t="str">
        <f aca="false">IF(BH68="","",INDEX('REGISTRE ELEVES'!$D$10:$D$250,BH68))</f>
        <v/>
      </c>
      <c r="BK68" s="51" t="str">
        <f aca="false">IF(BH68="","",INDEX('REGISTRE ELEVES'!$E$10:$E$250,BH68))</f>
        <v/>
      </c>
      <c r="BL68" s="51" t="str">
        <f aca="false">IF(BI68="","",IFERROR(CHOOSE($C$9,INDEX('NOTES CM2'!$M$10:$M$250,MATCH(BI68,'NOTES CM2'!$B$10:$B$250,0)),INDEX('NOTES CM2'!$T$10:$T$250,MATCH(BI68,'NOTES CM2'!$B$10:$B$250,0)),INDEX('NOTES CM2'!$AB$10:$AB$250,MATCH(BI68,'NOTES CM2'!$B$10:$B$250,0)),INDEX('NOTES CM2'!$AJ$10:$AJ$250,MATCH(BI68,'NOTES CM2'!$B$10:$B$250,0))),""))</f>
        <v/>
      </c>
      <c r="BM68" s="51" t="str">
        <f aca="false">IF(ISNUMBER(BL68),BL68+(1000-28)/1000000,"")</f>
        <v/>
      </c>
      <c r="BN68" s="51" t="str">
        <f aca="false">IF(BI68="","",IFERROR(CHOOSE($C$9,INDEX('NOTES CM2'!$G$10:$G$250,MATCH(BI68,'NOTES CM2'!$B$10:$B$250,0)),INDEX('NOTES CM2'!$N$10:$N$250,MATCH(BI68,'NOTES CM2'!$B$10:$B$250,0)),INDEX('NOTES CM2'!$U$10:$U$250,MATCH(BI68,'NOTES CM2'!$B$10:$B$250,0)),INDEX('NOTES CM2'!$AC$10:$AC$250,MATCH(BI68,'NOTES CM2'!$B$10:$B$250,0))),""))</f>
        <v/>
      </c>
    </row>
    <row r="69" customFormat="false" ht="15" hidden="false" customHeight="false" outlineLevel="0" collapsed="false">
      <c r="Y69" s="51" t="str">
        <f aca="false">IFERROR(MATCH("CP1-29",'REGISTRE ELEVES'!$AG$10:$AG$250,0),"")</f>
        <v/>
      </c>
      <c r="Z69" s="51" t="str">
        <f aca="false">IF(Y69="","",INDEX('REGISTRE ELEVES'!$B$10:$B$250,Y69))</f>
        <v/>
      </c>
      <c r="AA69" s="51" t="str">
        <f aca="false">IF(Y69="","",INDEX('REGISTRE ELEVES'!$D$10:$D$250,Y69))</f>
        <v/>
      </c>
      <c r="AB69" s="51" t="str">
        <f aca="false">IF(Y69="","",INDEX('REGISTRE ELEVES'!$E$10:$E$250,Y69))</f>
        <v/>
      </c>
      <c r="AC69" s="51" t="str">
        <f aca="false">IF(Z69="","",IFERROR(CHOOSE($C$9,INDEX('NOTES CP'!$P$10:$P$250,MATCH(Z69,'NOTES CP'!$B$10:$B$250,0)),INDEX('NOTES CP'!$Z$10:$Z$250,MATCH(Z69,'NOTES CP'!$B$10:$B$250,0)),INDEX('NOTES CP'!$AJ$10:$AJ$250,MATCH(Z69,'NOTES CP'!$B$10:$B$250,0)),INDEX('NOTES CP'!$AT$10:$AT$250,MATCH(Z69,'NOTES CP'!$B$10:$B$250,0))),""))</f>
        <v/>
      </c>
      <c r="AD69" s="51" t="str">
        <f aca="false">IF(ISNUMBER(AC69),AC69+(1000-29)/1000000,"")</f>
        <v/>
      </c>
      <c r="AE69" s="51" t="str">
        <f aca="false">IF(Z69="","",IFERROR(CHOOSE($C$9,INDEX('NOTES CP'!$G$10:$G$250,MATCH(Z69,'NOTES CP'!$B$10:$B$250,0)),INDEX('NOTES CP'!$Q$10:$Q$250,MATCH(Z69,'NOTES CP'!$B$10:$B$250,0)),INDEX('NOTES CP'!$AA$10:$AA$250,MATCH(Z69,'NOTES CP'!$B$10:$B$250,0)),INDEX('NOTES CP'!$AK$10:$AK$250,MATCH(Z69,'NOTES CP'!$B$10:$B$250,0))),""))</f>
        <v/>
      </c>
      <c r="AF69" s="51" t="str">
        <f aca="false">IFERROR(MATCH("CP2-29",'REGISTRE ELEVES'!$AG$10:$AG$250,0),"")</f>
        <v/>
      </c>
      <c r="AG69" s="51" t="str">
        <f aca="false">IF(AF69="","",INDEX('REGISTRE ELEVES'!$B$10:$B$250,AF69))</f>
        <v/>
      </c>
      <c r="AH69" s="51" t="str">
        <f aca="false">IF(AF69="","",INDEX('REGISTRE ELEVES'!$D$10:$D$250,AF69))</f>
        <v/>
      </c>
      <c r="AI69" s="51" t="str">
        <f aca="false">IF(AF69="","",INDEX('REGISTRE ELEVES'!$E$10:$E$250,AF69))</f>
        <v/>
      </c>
      <c r="AJ69" s="51" t="str">
        <f aca="false">IF(AG69="","",IFERROR(CHOOSE($C$9,INDEX('NOTES CP'!$P$10:$P$250,MATCH(AG69,'NOTES CP'!$B$10:$B$250,0)),INDEX('NOTES CP'!$Z$10:$Z$250,MATCH(AG69,'NOTES CP'!$B$10:$B$250,0)),INDEX('NOTES CP'!$AJ$10:$AJ$250,MATCH(AG69,'NOTES CP'!$B$10:$B$250,0)),INDEX('NOTES CP'!$AT$10:$AT$250,MATCH(AG69,'NOTES CP'!$B$10:$B$250,0))),""))</f>
        <v/>
      </c>
      <c r="AK69" s="51" t="str">
        <f aca="false">IF(ISNUMBER(AJ69),AJ69+(1000-29)/1000000,"")</f>
        <v/>
      </c>
      <c r="AL69" s="51" t="str">
        <f aca="false">IF(AG69="","",IFERROR(CHOOSE($C$9,INDEX('NOTES CP'!$G$10:$G$250,MATCH(AG69,'NOTES CP'!$B$10:$B$250,0)),INDEX('NOTES CP'!$Q$10:$Q$250,MATCH(AG69,'NOTES CP'!$B$10:$B$250,0)),INDEX('NOTES CP'!$AA$10:$AA$250,MATCH(AG69,'NOTES CP'!$B$10:$B$250,0)),INDEX('NOTES CP'!$AK$10:$AK$250,MATCH(AG69,'NOTES CP'!$B$10:$B$250,0))),""))</f>
        <v/>
      </c>
      <c r="AM69" s="51" t="str">
        <f aca="false">IFERROR(MATCH("CE1-29",'REGISTRE ELEVES'!$AG$10:$AG$250,0),"")</f>
        <v/>
      </c>
      <c r="AN69" s="51" t="str">
        <f aca="false">IF(AM69="","",INDEX('REGISTRE ELEVES'!$B$10:$B$250,AM69))</f>
        <v/>
      </c>
      <c r="AO69" s="51" t="str">
        <f aca="false">IF(AM69="","",INDEX('REGISTRE ELEVES'!$D$10:$D$250,AM69))</f>
        <v/>
      </c>
      <c r="AP69" s="51" t="str">
        <f aca="false">IF(AM69="","",INDEX('REGISTRE ELEVES'!$E$10:$E$250,AM69))</f>
        <v/>
      </c>
      <c r="AQ69" s="51" t="str">
        <f aca="false">IF(AN69="","",IFERROR(CHOOSE($C$9,INDEX('NOTES CE1'!$M$10:$M$250,MATCH(AN69,'NOTES CE1'!$B$10:$B$250,0)),INDEX('NOTES CE1'!$T$10:$T$250,MATCH(AN69,'NOTES CE1'!$B$10:$B$250,0)),INDEX('NOTES CE1'!$AA$10:$AA$250,MATCH(AN69,'NOTES CE1'!$B$10:$B$250,0)),INDEX('NOTES CE1'!$AH$10:$AH$250,MATCH(AN69,'NOTES CE1'!$B$10:$B$250,0))),""))</f>
        <v/>
      </c>
      <c r="AR69" s="51" t="str">
        <f aca="false">IF(ISNUMBER(AQ69),AQ69+(1000-29)/1000000,"")</f>
        <v/>
      </c>
      <c r="AS69" s="51" t="str">
        <f aca="false">IF(AN69="","",IFERROR(CHOOSE($C$9,INDEX('NOTES CE1'!$G$10:$G$250,MATCH(AN69,'NOTES CE1'!$B$10:$B$250,0)),INDEX('NOTES CE1'!$N$10:$N$250,MATCH(AN69,'NOTES CE1'!$B$10:$B$250,0)),INDEX('NOTES CE1'!$U$10:$U$250,MATCH(AN69,'NOTES CE1'!$B$10:$B$250,0)),INDEX('NOTES CE1'!$AB$10:$AB$250,MATCH(AN69,'NOTES CE1'!$B$10:$B$250,0))),""))</f>
        <v/>
      </c>
      <c r="AT69" s="51" t="str">
        <f aca="false">IFERROR(MATCH("CE2-29",'REGISTRE ELEVES'!$AG$10:$AG$250,0),"")</f>
        <v/>
      </c>
      <c r="AU69" s="51" t="str">
        <f aca="false">IF(AT69="","",INDEX('REGISTRE ELEVES'!$B$10:$B$250,AT69))</f>
        <v/>
      </c>
      <c r="AV69" s="51" t="str">
        <f aca="false">IF(AT69="","",INDEX('REGISTRE ELEVES'!$D$10:$D$250,AT69))</f>
        <v/>
      </c>
      <c r="AW69" s="51" t="str">
        <f aca="false">IF(AT69="","",INDEX('REGISTRE ELEVES'!$E$10:$E$250,AT69))</f>
        <v/>
      </c>
      <c r="AX69" s="51" t="str">
        <f aca="false">IF(AU69="","",IFERROR(CHOOSE($C$9,INDEX('NOTES CE2-CM1'!$M$10:$M$250,MATCH(AU69,'NOTES CE2-CM1'!$B$10:$B$250,0)),INDEX('NOTES CE2-CM1'!$T$10:$T$250,MATCH(AU69,'NOTES CE2-CM1'!$B$10:$B$250,0)),INDEX('NOTES CE2-CM1'!$AA$10:$AA$250,MATCH(AU69,'NOTES CE2-CM1'!$B$10:$B$250,0)),INDEX('NOTES CE2-CM1'!$AH$10:$AH$250,MATCH(AU69,'NOTES CE2-CM1'!$B$10:$B$250,0))),""))</f>
        <v/>
      </c>
      <c r="AY69" s="51" t="str">
        <f aca="false">IF(ISNUMBER(AX69),AX69+(1000-29)/1000000,"")</f>
        <v/>
      </c>
      <c r="AZ69" s="51" t="str">
        <f aca="false">IF(AU69="","",IFERROR(CHOOSE($C$9,INDEX('NOTES CE2-CM1'!$G$10:$G$250,MATCH(AU69,'NOTES CE2-CM1'!$B$10:$B$250,0)),INDEX('NOTES CE2-CM1'!$N$10:$N$250,MATCH(AU69,'NOTES CE2-CM1'!$B$10:$B$250,0)),INDEX('NOTES CE2-CM1'!$U$10:$U$250,MATCH(AU69,'NOTES CE2-CM1'!$B$10:$B$250,0)),INDEX('NOTES CE2-CM1'!$AB$10:$AB$250,MATCH(AU69,'NOTES CE2-CM1'!$B$10:$B$250,0))),""))</f>
        <v/>
      </c>
      <c r="BA69" s="51" t="str">
        <f aca="false">IFERROR(MATCH("CM1-29",'REGISTRE ELEVES'!$AG$10:$AG$250,0),"")</f>
        <v/>
      </c>
      <c r="BB69" s="51" t="str">
        <f aca="false">IF(BA69="","",INDEX('REGISTRE ELEVES'!$B$10:$B$250,BA69))</f>
        <v/>
      </c>
      <c r="BC69" s="51" t="str">
        <f aca="false">IF(BA69="","",INDEX('REGISTRE ELEVES'!$D$10:$D$250,BA69))</f>
        <v/>
      </c>
      <c r="BD69" s="51" t="str">
        <f aca="false">IF(BA69="","",INDEX('REGISTRE ELEVES'!$E$10:$E$250,BA69))</f>
        <v/>
      </c>
      <c r="BE69" s="51" t="str">
        <f aca="false">IF(BB69="","",IFERROR(CHOOSE($C$9,INDEX('NOTES CE2-CM1'!$M$10:$M$250,MATCH(BB69,'NOTES CE2-CM1'!$B$10:$B$250,0)),INDEX('NOTES CE2-CM1'!$T$10:$T$250,MATCH(BB69,'NOTES CE2-CM1'!$B$10:$B$250,0)),INDEX('NOTES CE2-CM1'!$AA$10:$AA$250,MATCH(BB69,'NOTES CE2-CM1'!$B$10:$B$250,0)),INDEX('NOTES CE2-CM1'!$AH$10:$AH$250,MATCH(BB69,'NOTES CE2-CM1'!$B$10:$B$250,0))),""))</f>
        <v/>
      </c>
      <c r="BF69" s="51" t="str">
        <f aca="false">IF(ISNUMBER(BE69),BE69+(1000-29)/1000000,"")</f>
        <v/>
      </c>
      <c r="BG69" s="51" t="str">
        <f aca="false">IF(BB69="","",IFERROR(CHOOSE($C$9,INDEX('NOTES CE2-CM1'!$G$10:$G$250,MATCH(BB69,'NOTES CE2-CM1'!$B$10:$B$250,0)),INDEX('NOTES CE2-CM1'!$N$10:$N$250,MATCH(BB69,'NOTES CE2-CM1'!$B$10:$B$250,0)),INDEX('NOTES CE2-CM1'!$U$10:$U$250,MATCH(BB69,'NOTES CE2-CM1'!$B$10:$B$250,0)),INDEX('NOTES CE2-CM1'!$AB$10:$AB$250,MATCH(BB69,'NOTES CE2-CM1'!$B$10:$B$250,0))),""))</f>
        <v/>
      </c>
      <c r="BH69" s="51" t="str">
        <f aca="false">IFERROR(MATCH("CM2-29",'REGISTRE ELEVES'!$AG$10:$AG$250,0),"")</f>
        <v/>
      </c>
      <c r="BI69" s="51" t="str">
        <f aca="false">IF(BH69="","",INDEX('REGISTRE ELEVES'!$B$10:$B$250,BH69))</f>
        <v/>
      </c>
      <c r="BJ69" s="51" t="str">
        <f aca="false">IF(BH69="","",INDEX('REGISTRE ELEVES'!$D$10:$D$250,BH69))</f>
        <v/>
      </c>
      <c r="BK69" s="51" t="str">
        <f aca="false">IF(BH69="","",INDEX('REGISTRE ELEVES'!$E$10:$E$250,BH69))</f>
        <v/>
      </c>
      <c r="BL69" s="51" t="str">
        <f aca="false">IF(BI69="","",IFERROR(CHOOSE($C$9,INDEX('NOTES CM2'!$M$10:$M$250,MATCH(BI69,'NOTES CM2'!$B$10:$B$250,0)),INDEX('NOTES CM2'!$T$10:$T$250,MATCH(BI69,'NOTES CM2'!$B$10:$B$250,0)),INDEX('NOTES CM2'!$AB$10:$AB$250,MATCH(BI69,'NOTES CM2'!$B$10:$B$250,0)),INDEX('NOTES CM2'!$AJ$10:$AJ$250,MATCH(BI69,'NOTES CM2'!$B$10:$B$250,0))),""))</f>
        <v/>
      </c>
      <c r="BM69" s="51" t="str">
        <f aca="false">IF(ISNUMBER(BL69),BL69+(1000-29)/1000000,"")</f>
        <v/>
      </c>
      <c r="BN69" s="51" t="str">
        <f aca="false">IF(BI69="","",IFERROR(CHOOSE($C$9,INDEX('NOTES CM2'!$G$10:$G$250,MATCH(BI69,'NOTES CM2'!$B$10:$B$250,0)),INDEX('NOTES CM2'!$N$10:$N$250,MATCH(BI69,'NOTES CM2'!$B$10:$B$250,0)),INDEX('NOTES CM2'!$U$10:$U$250,MATCH(BI69,'NOTES CM2'!$B$10:$B$250,0)),INDEX('NOTES CM2'!$AC$10:$AC$250,MATCH(BI69,'NOTES CM2'!$B$10:$B$250,0))),""))</f>
        <v/>
      </c>
    </row>
    <row r="70" customFormat="false" ht="15" hidden="false" customHeight="false" outlineLevel="0" collapsed="false">
      <c r="Y70" s="51" t="str">
        <f aca="false">IFERROR(MATCH("CP1-30",'REGISTRE ELEVES'!$AG$10:$AG$250,0),"")</f>
        <v/>
      </c>
      <c r="Z70" s="51" t="str">
        <f aca="false">IF(Y70="","",INDEX('REGISTRE ELEVES'!$B$10:$B$250,Y70))</f>
        <v/>
      </c>
      <c r="AA70" s="51" t="str">
        <f aca="false">IF(Y70="","",INDEX('REGISTRE ELEVES'!$D$10:$D$250,Y70))</f>
        <v/>
      </c>
      <c r="AB70" s="51" t="str">
        <f aca="false">IF(Y70="","",INDEX('REGISTRE ELEVES'!$E$10:$E$250,Y70))</f>
        <v/>
      </c>
      <c r="AC70" s="51" t="str">
        <f aca="false">IF(Z70="","",IFERROR(CHOOSE($C$9,INDEX('NOTES CP'!$P$10:$P$250,MATCH(Z70,'NOTES CP'!$B$10:$B$250,0)),INDEX('NOTES CP'!$Z$10:$Z$250,MATCH(Z70,'NOTES CP'!$B$10:$B$250,0)),INDEX('NOTES CP'!$AJ$10:$AJ$250,MATCH(Z70,'NOTES CP'!$B$10:$B$250,0)),INDEX('NOTES CP'!$AT$10:$AT$250,MATCH(Z70,'NOTES CP'!$B$10:$B$250,0))),""))</f>
        <v/>
      </c>
      <c r="AD70" s="51" t="str">
        <f aca="false">IF(ISNUMBER(AC70),AC70+(1000-30)/1000000,"")</f>
        <v/>
      </c>
      <c r="AE70" s="51" t="str">
        <f aca="false">IF(Z70="","",IFERROR(CHOOSE($C$9,INDEX('NOTES CP'!$G$10:$G$250,MATCH(Z70,'NOTES CP'!$B$10:$B$250,0)),INDEX('NOTES CP'!$Q$10:$Q$250,MATCH(Z70,'NOTES CP'!$B$10:$B$250,0)),INDEX('NOTES CP'!$AA$10:$AA$250,MATCH(Z70,'NOTES CP'!$B$10:$B$250,0)),INDEX('NOTES CP'!$AK$10:$AK$250,MATCH(Z70,'NOTES CP'!$B$10:$B$250,0))),""))</f>
        <v/>
      </c>
      <c r="AF70" s="51" t="str">
        <f aca="false">IFERROR(MATCH("CP2-30",'REGISTRE ELEVES'!$AG$10:$AG$250,0),"")</f>
        <v/>
      </c>
      <c r="AG70" s="51" t="str">
        <f aca="false">IF(AF70="","",INDEX('REGISTRE ELEVES'!$B$10:$B$250,AF70))</f>
        <v/>
      </c>
      <c r="AH70" s="51" t="str">
        <f aca="false">IF(AF70="","",INDEX('REGISTRE ELEVES'!$D$10:$D$250,AF70))</f>
        <v/>
      </c>
      <c r="AI70" s="51" t="str">
        <f aca="false">IF(AF70="","",INDEX('REGISTRE ELEVES'!$E$10:$E$250,AF70))</f>
        <v/>
      </c>
      <c r="AJ70" s="51" t="str">
        <f aca="false">IF(AG70="","",IFERROR(CHOOSE($C$9,INDEX('NOTES CP'!$P$10:$P$250,MATCH(AG70,'NOTES CP'!$B$10:$B$250,0)),INDEX('NOTES CP'!$Z$10:$Z$250,MATCH(AG70,'NOTES CP'!$B$10:$B$250,0)),INDEX('NOTES CP'!$AJ$10:$AJ$250,MATCH(AG70,'NOTES CP'!$B$10:$B$250,0)),INDEX('NOTES CP'!$AT$10:$AT$250,MATCH(AG70,'NOTES CP'!$B$10:$B$250,0))),""))</f>
        <v/>
      </c>
      <c r="AK70" s="51" t="str">
        <f aca="false">IF(ISNUMBER(AJ70),AJ70+(1000-30)/1000000,"")</f>
        <v/>
      </c>
      <c r="AL70" s="51" t="str">
        <f aca="false">IF(AG70="","",IFERROR(CHOOSE($C$9,INDEX('NOTES CP'!$G$10:$G$250,MATCH(AG70,'NOTES CP'!$B$10:$B$250,0)),INDEX('NOTES CP'!$Q$10:$Q$250,MATCH(AG70,'NOTES CP'!$B$10:$B$250,0)),INDEX('NOTES CP'!$AA$10:$AA$250,MATCH(AG70,'NOTES CP'!$B$10:$B$250,0)),INDEX('NOTES CP'!$AK$10:$AK$250,MATCH(AG70,'NOTES CP'!$B$10:$B$250,0))),""))</f>
        <v/>
      </c>
      <c r="AM70" s="51" t="str">
        <f aca="false">IFERROR(MATCH("CE1-30",'REGISTRE ELEVES'!$AG$10:$AG$250,0),"")</f>
        <v/>
      </c>
      <c r="AN70" s="51" t="str">
        <f aca="false">IF(AM70="","",INDEX('REGISTRE ELEVES'!$B$10:$B$250,AM70))</f>
        <v/>
      </c>
      <c r="AO70" s="51" t="str">
        <f aca="false">IF(AM70="","",INDEX('REGISTRE ELEVES'!$D$10:$D$250,AM70))</f>
        <v/>
      </c>
      <c r="AP70" s="51" t="str">
        <f aca="false">IF(AM70="","",INDEX('REGISTRE ELEVES'!$E$10:$E$250,AM70))</f>
        <v/>
      </c>
      <c r="AQ70" s="51" t="str">
        <f aca="false">IF(AN70="","",IFERROR(CHOOSE($C$9,INDEX('NOTES CE1'!$M$10:$M$250,MATCH(AN70,'NOTES CE1'!$B$10:$B$250,0)),INDEX('NOTES CE1'!$T$10:$T$250,MATCH(AN70,'NOTES CE1'!$B$10:$B$250,0)),INDEX('NOTES CE1'!$AA$10:$AA$250,MATCH(AN70,'NOTES CE1'!$B$10:$B$250,0)),INDEX('NOTES CE1'!$AH$10:$AH$250,MATCH(AN70,'NOTES CE1'!$B$10:$B$250,0))),""))</f>
        <v/>
      </c>
      <c r="AR70" s="51" t="str">
        <f aca="false">IF(ISNUMBER(AQ70),AQ70+(1000-30)/1000000,"")</f>
        <v/>
      </c>
      <c r="AS70" s="51" t="str">
        <f aca="false">IF(AN70="","",IFERROR(CHOOSE($C$9,INDEX('NOTES CE1'!$G$10:$G$250,MATCH(AN70,'NOTES CE1'!$B$10:$B$250,0)),INDEX('NOTES CE1'!$N$10:$N$250,MATCH(AN70,'NOTES CE1'!$B$10:$B$250,0)),INDEX('NOTES CE1'!$U$10:$U$250,MATCH(AN70,'NOTES CE1'!$B$10:$B$250,0)),INDEX('NOTES CE1'!$AB$10:$AB$250,MATCH(AN70,'NOTES CE1'!$B$10:$B$250,0))),""))</f>
        <v/>
      </c>
      <c r="AT70" s="51" t="str">
        <f aca="false">IFERROR(MATCH("CE2-30",'REGISTRE ELEVES'!$AG$10:$AG$250,0),"")</f>
        <v/>
      </c>
      <c r="AU70" s="51" t="str">
        <f aca="false">IF(AT70="","",INDEX('REGISTRE ELEVES'!$B$10:$B$250,AT70))</f>
        <v/>
      </c>
      <c r="AV70" s="51" t="str">
        <f aca="false">IF(AT70="","",INDEX('REGISTRE ELEVES'!$D$10:$D$250,AT70))</f>
        <v/>
      </c>
      <c r="AW70" s="51" t="str">
        <f aca="false">IF(AT70="","",INDEX('REGISTRE ELEVES'!$E$10:$E$250,AT70))</f>
        <v/>
      </c>
      <c r="AX70" s="51" t="str">
        <f aca="false">IF(AU70="","",IFERROR(CHOOSE($C$9,INDEX('NOTES CE2-CM1'!$M$10:$M$250,MATCH(AU70,'NOTES CE2-CM1'!$B$10:$B$250,0)),INDEX('NOTES CE2-CM1'!$T$10:$T$250,MATCH(AU70,'NOTES CE2-CM1'!$B$10:$B$250,0)),INDEX('NOTES CE2-CM1'!$AA$10:$AA$250,MATCH(AU70,'NOTES CE2-CM1'!$B$10:$B$250,0)),INDEX('NOTES CE2-CM1'!$AH$10:$AH$250,MATCH(AU70,'NOTES CE2-CM1'!$B$10:$B$250,0))),""))</f>
        <v/>
      </c>
      <c r="AY70" s="51" t="str">
        <f aca="false">IF(ISNUMBER(AX70),AX70+(1000-30)/1000000,"")</f>
        <v/>
      </c>
      <c r="AZ70" s="51" t="str">
        <f aca="false">IF(AU70="","",IFERROR(CHOOSE($C$9,INDEX('NOTES CE2-CM1'!$G$10:$G$250,MATCH(AU70,'NOTES CE2-CM1'!$B$10:$B$250,0)),INDEX('NOTES CE2-CM1'!$N$10:$N$250,MATCH(AU70,'NOTES CE2-CM1'!$B$10:$B$250,0)),INDEX('NOTES CE2-CM1'!$U$10:$U$250,MATCH(AU70,'NOTES CE2-CM1'!$B$10:$B$250,0)),INDEX('NOTES CE2-CM1'!$AB$10:$AB$250,MATCH(AU70,'NOTES CE2-CM1'!$B$10:$B$250,0))),""))</f>
        <v/>
      </c>
      <c r="BA70" s="51" t="str">
        <f aca="false">IFERROR(MATCH("CM1-30",'REGISTRE ELEVES'!$AG$10:$AG$250,0),"")</f>
        <v/>
      </c>
      <c r="BB70" s="51" t="str">
        <f aca="false">IF(BA70="","",INDEX('REGISTRE ELEVES'!$B$10:$B$250,BA70))</f>
        <v/>
      </c>
      <c r="BC70" s="51" t="str">
        <f aca="false">IF(BA70="","",INDEX('REGISTRE ELEVES'!$D$10:$D$250,BA70))</f>
        <v/>
      </c>
      <c r="BD70" s="51" t="str">
        <f aca="false">IF(BA70="","",INDEX('REGISTRE ELEVES'!$E$10:$E$250,BA70))</f>
        <v/>
      </c>
      <c r="BE70" s="51" t="str">
        <f aca="false">IF(BB70="","",IFERROR(CHOOSE($C$9,INDEX('NOTES CE2-CM1'!$M$10:$M$250,MATCH(BB70,'NOTES CE2-CM1'!$B$10:$B$250,0)),INDEX('NOTES CE2-CM1'!$T$10:$T$250,MATCH(BB70,'NOTES CE2-CM1'!$B$10:$B$250,0)),INDEX('NOTES CE2-CM1'!$AA$10:$AA$250,MATCH(BB70,'NOTES CE2-CM1'!$B$10:$B$250,0)),INDEX('NOTES CE2-CM1'!$AH$10:$AH$250,MATCH(BB70,'NOTES CE2-CM1'!$B$10:$B$250,0))),""))</f>
        <v/>
      </c>
      <c r="BF70" s="51" t="str">
        <f aca="false">IF(ISNUMBER(BE70),BE70+(1000-30)/1000000,"")</f>
        <v/>
      </c>
      <c r="BG70" s="51" t="str">
        <f aca="false">IF(BB70="","",IFERROR(CHOOSE($C$9,INDEX('NOTES CE2-CM1'!$G$10:$G$250,MATCH(BB70,'NOTES CE2-CM1'!$B$10:$B$250,0)),INDEX('NOTES CE2-CM1'!$N$10:$N$250,MATCH(BB70,'NOTES CE2-CM1'!$B$10:$B$250,0)),INDEX('NOTES CE2-CM1'!$U$10:$U$250,MATCH(BB70,'NOTES CE2-CM1'!$B$10:$B$250,0)),INDEX('NOTES CE2-CM1'!$AB$10:$AB$250,MATCH(BB70,'NOTES CE2-CM1'!$B$10:$B$250,0))),""))</f>
        <v/>
      </c>
      <c r="BH70" s="51" t="str">
        <f aca="false">IFERROR(MATCH("CM2-30",'REGISTRE ELEVES'!$AG$10:$AG$250,0),"")</f>
        <v/>
      </c>
      <c r="BI70" s="51" t="str">
        <f aca="false">IF(BH70="","",INDEX('REGISTRE ELEVES'!$B$10:$B$250,BH70))</f>
        <v/>
      </c>
      <c r="BJ70" s="51" t="str">
        <f aca="false">IF(BH70="","",INDEX('REGISTRE ELEVES'!$D$10:$D$250,BH70))</f>
        <v/>
      </c>
      <c r="BK70" s="51" t="str">
        <f aca="false">IF(BH70="","",INDEX('REGISTRE ELEVES'!$E$10:$E$250,BH70))</f>
        <v/>
      </c>
      <c r="BL70" s="51" t="str">
        <f aca="false">IF(BI70="","",IFERROR(CHOOSE($C$9,INDEX('NOTES CM2'!$M$10:$M$250,MATCH(BI70,'NOTES CM2'!$B$10:$B$250,0)),INDEX('NOTES CM2'!$T$10:$T$250,MATCH(BI70,'NOTES CM2'!$B$10:$B$250,0)),INDEX('NOTES CM2'!$AB$10:$AB$250,MATCH(BI70,'NOTES CM2'!$B$10:$B$250,0)),INDEX('NOTES CM2'!$AJ$10:$AJ$250,MATCH(BI70,'NOTES CM2'!$B$10:$B$250,0))),""))</f>
        <v/>
      </c>
      <c r="BM70" s="51" t="str">
        <f aca="false">IF(ISNUMBER(BL70),BL70+(1000-30)/1000000,"")</f>
        <v/>
      </c>
      <c r="BN70" s="51" t="str">
        <f aca="false">IF(BI70="","",IFERROR(CHOOSE($C$9,INDEX('NOTES CM2'!$G$10:$G$250,MATCH(BI70,'NOTES CM2'!$B$10:$B$250,0)),INDEX('NOTES CM2'!$N$10:$N$250,MATCH(BI70,'NOTES CM2'!$B$10:$B$250,0)),INDEX('NOTES CM2'!$U$10:$U$250,MATCH(BI70,'NOTES CM2'!$B$10:$B$250,0)),INDEX('NOTES CM2'!$AC$10:$AC$250,MATCH(BI70,'NOTES CM2'!$B$10:$B$250,0))),""))</f>
        <v/>
      </c>
    </row>
    <row r="71" customFormat="false" ht="15" hidden="false" customHeight="false" outlineLevel="0" collapsed="false">
      <c r="Y71" s="51" t="str">
        <f aca="false">IFERROR(MATCH("CP1-31",'REGISTRE ELEVES'!$AG$10:$AG$250,0),"")</f>
        <v/>
      </c>
      <c r="Z71" s="51" t="str">
        <f aca="false">IF(Y71="","",INDEX('REGISTRE ELEVES'!$B$10:$B$250,Y71))</f>
        <v/>
      </c>
      <c r="AA71" s="51" t="str">
        <f aca="false">IF(Y71="","",INDEX('REGISTRE ELEVES'!$D$10:$D$250,Y71))</f>
        <v/>
      </c>
      <c r="AB71" s="51" t="str">
        <f aca="false">IF(Y71="","",INDEX('REGISTRE ELEVES'!$E$10:$E$250,Y71))</f>
        <v/>
      </c>
      <c r="AC71" s="51" t="str">
        <f aca="false">IF(Z71="","",IFERROR(CHOOSE($C$9,INDEX('NOTES CP'!$P$10:$P$250,MATCH(Z71,'NOTES CP'!$B$10:$B$250,0)),INDEX('NOTES CP'!$Z$10:$Z$250,MATCH(Z71,'NOTES CP'!$B$10:$B$250,0)),INDEX('NOTES CP'!$AJ$10:$AJ$250,MATCH(Z71,'NOTES CP'!$B$10:$B$250,0)),INDEX('NOTES CP'!$AT$10:$AT$250,MATCH(Z71,'NOTES CP'!$B$10:$B$250,0))),""))</f>
        <v/>
      </c>
      <c r="AD71" s="51" t="str">
        <f aca="false">IF(ISNUMBER(AC71),AC71+(1000-31)/1000000,"")</f>
        <v/>
      </c>
      <c r="AE71" s="51" t="str">
        <f aca="false">IF(Z71="","",IFERROR(CHOOSE($C$9,INDEX('NOTES CP'!$G$10:$G$250,MATCH(Z71,'NOTES CP'!$B$10:$B$250,0)),INDEX('NOTES CP'!$Q$10:$Q$250,MATCH(Z71,'NOTES CP'!$B$10:$B$250,0)),INDEX('NOTES CP'!$AA$10:$AA$250,MATCH(Z71,'NOTES CP'!$B$10:$B$250,0)),INDEX('NOTES CP'!$AK$10:$AK$250,MATCH(Z71,'NOTES CP'!$B$10:$B$250,0))),""))</f>
        <v/>
      </c>
      <c r="AF71" s="51" t="str">
        <f aca="false">IFERROR(MATCH("CP2-31",'REGISTRE ELEVES'!$AG$10:$AG$250,0),"")</f>
        <v/>
      </c>
      <c r="AG71" s="51" t="str">
        <f aca="false">IF(AF71="","",INDEX('REGISTRE ELEVES'!$B$10:$B$250,AF71))</f>
        <v/>
      </c>
      <c r="AH71" s="51" t="str">
        <f aca="false">IF(AF71="","",INDEX('REGISTRE ELEVES'!$D$10:$D$250,AF71))</f>
        <v/>
      </c>
      <c r="AI71" s="51" t="str">
        <f aca="false">IF(AF71="","",INDEX('REGISTRE ELEVES'!$E$10:$E$250,AF71))</f>
        <v/>
      </c>
      <c r="AJ71" s="51" t="str">
        <f aca="false">IF(AG71="","",IFERROR(CHOOSE($C$9,INDEX('NOTES CP'!$P$10:$P$250,MATCH(AG71,'NOTES CP'!$B$10:$B$250,0)),INDEX('NOTES CP'!$Z$10:$Z$250,MATCH(AG71,'NOTES CP'!$B$10:$B$250,0)),INDEX('NOTES CP'!$AJ$10:$AJ$250,MATCH(AG71,'NOTES CP'!$B$10:$B$250,0)),INDEX('NOTES CP'!$AT$10:$AT$250,MATCH(AG71,'NOTES CP'!$B$10:$B$250,0))),""))</f>
        <v/>
      </c>
      <c r="AK71" s="51" t="str">
        <f aca="false">IF(ISNUMBER(AJ71),AJ71+(1000-31)/1000000,"")</f>
        <v/>
      </c>
      <c r="AL71" s="51" t="str">
        <f aca="false">IF(AG71="","",IFERROR(CHOOSE($C$9,INDEX('NOTES CP'!$G$10:$G$250,MATCH(AG71,'NOTES CP'!$B$10:$B$250,0)),INDEX('NOTES CP'!$Q$10:$Q$250,MATCH(AG71,'NOTES CP'!$B$10:$B$250,0)),INDEX('NOTES CP'!$AA$10:$AA$250,MATCH(AG71,'NOTES CP'!$B$10:$B$250,0)),INDEX('NOTES CP'!$AK$10:$AK$250,MATCH(AG71,'NOTES CP'!$B$10:$B$250,0))),""))</f>
        <v/>
      </c>
      <c r="AM71" s="51" t="str">
        <f aca="false">IFERROR(MATCH("CE1-31",'REGISTRE ELEVES'!$AG$10:$AG$250,0),"")</f>
        <v/>
      </c>
      <c r="AN71" s="51" t="str">
        <f aca="false">IF(AM71="","",INDEX('REGISTRE ELEVES'!$B$10:$B$250,AM71))</f>
        <v/>
      </c>
      <c r="AO71" s="51" t="str">
        <f aca="false">IF(AM71="","",INDEX('REGISTRE ELEVES'!$D$10:$D$250,AM71))</f>
        <v/>
      </c>
      <c r="AP71" s="51" t="str">
        <f aca="false">IF(AM71="","",INDEX('REGISTRE ELEVES'!$E$10:$E$250,AM71))</f>
        <v/>
      </c>
      <c r="AQ71" s="51" t="str">
        <f aca="false">IF(AN71="","",IFERROR(CHOOSE($C$9,INDEX('NOTES CE1'!$M$10:$M$250,MATCH(AN71,'NOTES CE1'!$B$10:$B$250,0)),INDEX('NOTES CE1'!$T$10:$T$250,MATCH(AN71,'NOTES CE1'!$B$10:$B$250,0)),INDEX('NOTES CE1'!$AA$10:$AA$250,MATCH(AN71,'NOTES CE1'!$B$10:$B$250,0)),INDEX('NOTES CE1'!$AH$10:$AH$250,MATCH(AN71,'NOTES CE1'!$B$10:$B$250,0))),""))</f>
        <v/>
      </c>
      <c r="AR71" s="51" t="str">
        <f aca="false">IF(ISNUMBER(AQ71),AQ71+(1000-31)/1000000,"")</f>
        <v/>
      </c>
      <c r="AS71" s="51" t="str">
        <f aca="false">IF(AN71="","",IFERROR(CHOOSE($C$9,INDEX('NOTES CE1'!$G$10:$G$250,MATCH(AN71,'NOTES CE1'!$B$10:$B$250,0)),INDEX('NOTES CE1'!$N$10:$N$250,MATCH(AN71,'NOTES CE1'!$B$10:$B$250,0)),INDEX('NOTES CE1'!$U$10:$U$250,MATCH(AN71,'NOTES CE1'!$B$10:$B$250,0)),INDEX('NOTES CE1'!$AB$10:$AB$250,MATCH(AN71,'NOTES CE1'!$B$10:$B$250,0))),""))</f>
        <v/>
      </c>
      <c r="AT71" s="51" t="str">
        <f aca="false">IFERROR(MATCH("CE2-31",'REGISTRE ELEVES'!$AG$10:$AG$250,0),"")</f>
        <v/>
      </c>
      <c r="AU71" s="51" t="str">
        <f aca="false">IF(AT71="","",INDEX('REGISTRE ELEVES'!$B$10:$B$250,AT71))</f>
        <v/>
      </c>
      <c r="AV71" s="51" t="str">
        <f aca="false">IF(AT71="","",INDEX('REGISTRE ELEVES'!$D$10:$D$250,AT71))</f>
        <v/>
      </c>
      <c r="AW71" s="51" t="str">
        <f aca="false">IF(AT71="","",INDEX('REGISTRE ELEVES'!$E$10:$E$250,AT71))</f>
        <v/>
      </c>
      <c r="AX71" s="51" t="str">
        <f aca="false">IF(AU71="","",IFERROR(CHOOSE($C$9,INDEX('NOTES CE2-CM1'!$M$10:$M$250,MATCH(AU71,'NOTES CE2-CM1'!$B$10:$B$250,0)),INDEX('NOTES CE2-CM1'!$T$10:$T$250,MATCH(AU71,'NOTES CE2-CM1'!$B$10:$B$250,0)),INDEX('NOTES CE2-CM1'!$AA$10:$AA$250,MATCH(AU71,'NOTES CE2-CM1'!$B$10:$B$250,0)),INDEX('NOTES CE2-CM1'!$AH$10:$AH$250,MATCH(AU71,'NOTES CE2-CM1'!$B$10:$B$250,0))),""))</f>
        <v/>
      </c>
      <c r="AY71" s="51" t="str">
        <f aca="false">IF(ISNUMBER(AX71),AX71+(1000-31)/1000000,"")</f>
        <v/>
      </c>
      <c r="AZ71" s="51" t="str">
        <f aca="false">IF(AU71="","",IFERROR(CHOOSE($C$9,INDEX('NOTES CE2-CM1'!$G$10:$G$250,MATCH(AU71,'NOTES CE2-CM1'!$B$10:$B$250,0)),INDEX('NOTES CE2-CM1'!$N$10:$N$250,MATCH(AU71,'NOTES CE2-CM1'!$B$10:$B$250,0)),INDEX('NOTES CE2-CM1'!$U$10:$U$250,MATCH(AU71,'NOTES CE2-CM1'!$B$10:$B$250,0)),INDEX('NOTES CE2-CM1'!$AB$10:$AB$250,MATCH(AU71,'NOTES CE2-CM1'!$B$10:$B$250,0))),""))</f>
        <v/>
      </c>
      <c r="BA71" s="51" t="str">
        <f aca="false">IFERROR(MATCH("CM1-31",'REGISTRE ELEVES'!$AG$10:$AG$250,0),"")</f>
        <v/>
      </c>
      <c r="BB71" s="51" t="str">
        <f aca="false">IF(BA71="","",INDEX('REGISTRE ELEVES'!$B$10:$B$250,BA71))</f>
        <v/>
      </c>
      <c r="BC71" s="51" t="str">
        <f aca="false">IF(BA71="","",INDEX('REGISTRE ELEVES'!$D$10:$D$250,BA71))</f>
        <v/>
      </c>
      <c r="BD71" s="51" t="str">
        <f aca="false">IF(BA71="","",INDEX('REGISTRE ELEVES'!$E$10:$E$250,BA71))</f>
        <v/>
      </c>
      <c r="BE71" s="51" t="str">
        <f aca="false">IF(BB71="","",IFERROR(CHOOSE($C$9,INDEX('NOTES CE2-CM1'!$M$10:$M$250,MATCH(BB71,'NOTES CE2-CM1'!$B$10:$B$250,0)),INDEX('NOTES CE2-CM1'!$T$10:$T$250,MATCH(BB71,'NOTES CE2-CM1'!$B$10:$B$250,0)),INDEX('NOTES CE2-CM1'!$AA$10:$AA$250,MATCH(BB71,'NOTES CE2-CM1'!$B$10:$B$250,0)),INDEX('NOTES CE2-CM1'!$AH$10:$AH$250,MATCH(BB71,'NOTES CE2-CM1'!$B$10:$B$250,0))),""))</f>
        <v/>
      </c>
      <c r="BF71" s="51" t="str">
        <f aca="false">IF(ISNUMBER(BE71),BE71+(1000-31)/1000000,"")</f>
        <v/>
      </c>
      <c r="BG71" s="51" t="str">
        <f aca="false">IF(BB71="","",IFERROR(CHOOSE($C$9,INDEX('NOTES CE2-CM1'!$G$10:$G$250,MATCH(BB71,'NOTES CE2-CM1'!$B$10:$B$250,0)),INDEX('NOTES CE2-CM1'!$N$10:$N$250,MATCH(BB71,'NOTES CE2-CM1'!$B$10:$B$250,0)),INDEX('NOTES CE2-CM1'!$U$10:$U$250,MATCH(BB71,'NOTES CE2-CM1'!$B$10:$B$250,0)),INDEX('NOTES CE2-CM1'!$AB$10:$AB$250,MATCH(BB71,'NOTES CE2-CM1'!$B$10:$B$250,0))),""))</f>
        <v/>
      </c>
      <c r="BH71" s="51" t="str">
        <f aca="false">IFERROR(MATCH("CM2-31",'REGISTRE ELEVES'!$AG$10:$AG$250,0),"")</f>
        <v/>
      </c>
      <c r="BI71" s="51" t="str">
        <f aca="false">IF(BH71="","",INDEX('REGISTRE ELEVES'!$B$10:$B$250,BH71))</f>
        <v/>
      </c>
      <c r="BJ71" s="51" t="str">
        <f aca="false">IF(BH71="","",INDEX('REGISTRE ELEVES'!$D$10:$D$250,BH71))</f>
        <v/>
      </c>
      <c r="BK71" s="51" t="str">
        <f aca="false">IF(BH71="","",INDEX('REGISTRE ELEVES'!$E$10:$E$250,BH71))</f>
        <v/>
      </c>
      <c r="BL71" s="51" t="str">
        <f aca="false">IF(BI71="","",IFERROR(CHOOSE($C$9,INDEX('NOTES CM2'!$M$10:$M$250,MATCH(BI71,'NOTES CM2'!$B$10:$B$250,0)),INDEX('NOTES CM2'!$T$10:$T$250,MATCH(BI71,'NOTES CM2'!$B$10:$B$250,0)),INDEX('NOTES CM2'!$AB$10:$AB$250,MATCH(BI71,'NOTES CM2'!$B$10:$B$250,0)),INDEX('NOTES CM2'!$AJ$10:$AJ$250,MATCH(BI71,'NOTES CM2'!$B$10:$B$250,0))),""))</f>
        <v/>
      </c>
      <c r="BM71" s="51" t="str">
        <f aca="false">IF(ISNUMBER(BL71),BL71+(1000-31)/1000000,"")</f>
        <v/>
      </c>
      <c r="BN71" s="51" t="str">
        <f aca="false">IF(BI71="","",IFERROR(CHOOSE($C$9,INDEX('NOTES CM2'!$G$10:$G$250,MATCH(BI71,'NOTES CM2'!$B$10:$B$250,0)),INDEX('NOTES CM2'!$N$10:$N$250,MATCH(BI71,'NOTES CM2'!$B$10:$B$250,0)),INDEX('NOTES CM2'!$U$10:$U$250,MATCH(BI71,'NOTES CM2'!$B$10:$B$250,0)),INDEX('NOTES CM2'!$AC$10:$AC$250,MATCH(BI71,'NOTES CM2'!$B$10:$B$250,0))),""))</f>
        <v/>
      </c>
    </row>
    <row r="72" customFormat="false" ht="15" hidden="false" customHeight="false" outlineLevel="0" collapsed="false">
      <c r="Y72" s="51" t="str">
        <f aca="false">IFERROR(MATCH("CP1-32",'REGISTRE ELEVES'!$AG$10:$AG$250,0),"")</f>
        <v/>
      </c>
      <c r="Z72" s="51" t="str">
        <f aca="false">IF(Y72="","",INDEX('REGISTRE ELEVES'!$B$10:$B$250,Y72))</f>
        <v/>
      </c>
      <c r="AA72" s="51" t="str">
        <f aca="false">IF(Y72="","",INDEX('REGISTRE ELEVES'!$D$10:$D$250,Y72))</f>
        <v/>
      </c>
      <c r="AB72" s="51" t="str">
        <f aca="false">IF(Y72="","",INDEX('REGISTRE ELEVES'!$E$10:$E$250,Y72))</f>
        <v/>
      </c>
      <c r="AC72" s="51" t="str">
        <f aca="false">IF(Z72="","",IFERROR(CHOOSE($C$9,INDEX('NOTES CP'!$P$10:$P$250,MATCH(Z72,'NOTES CP'!$B$10:$B$250,0)),INDEX('NOTES CP'!$Z$10:$Z$250,MATCH(Z72,'NOTES CP'!$B$10:$B$250,0)),INDEX('NOTES CP'!$AJ$10:$AJ$250,MATCH(Z72,'NOTES CP'!$B$10:$B$250,0)),INDEX('NOTES CP'!$AT$10:$AT$250,MATCH(Z72,'NOTES CP'!$B$10:$B$250,0))),""))</f>
        <v/>
      </c>
      <c r="AD72" s="51" t="str">
        <f aca="false">IF(ISNUMBER(AC72),AC72+(1000-32)/1000000,"")</f>
        <v/>
      </c>
      <c r="AE72" s="51" t="str">
        <f aca="false">IF(Z72="","",IFERROR(CHOOSE($C$9,INDEX('NOTES CP'!$G$10:$G$250,MATCH(Z72,'NOTES CP'!$B$10:$B$250,0)),INDEX('NOTES CP'!$Q$10:$Q$250,MATCH(Z72,'NOTES CP'!$B$10:$B$250,0)),INDEX('NOTES CP'!$AA$10:$AA$250,MATCH(Z72,'NOTES CP'!$B$10:$B$250,0)),INDEX('NOTES CP'!$AK$10:$AK$250,MATCH(Z72,'NOTES CP'!$B$10:$B$250,0))),""))</f>
        <v/>
      </c>
      <c r="AF72" s="51" t="str">
        <f aca="false">IFERROR(MATCH("CP2-32",'REGISTRE ELEVES'!$AG$10:$AG$250,0),"")</f>
        <v/>
      </c>
      <c r="AG72" s="51" t="str">
        <f aca="false">IF(AF72="","",INDEX('REGISTRE ELEVES'!$B$10:$B$250,AF72))</f>
        <v/>
      </c>
      <c r="AH72" s="51" t="str">
        <f aca="false">IF(AF72="","",INDEX('REGISTRE ELEVES'!$D$10:$D$250,AF72))</f>
        <v/>
      </c>
      <c r="AI72" s="51" t="str">
        <f aca="false">IF(AF72="","",INDEX('REGISTRE ELEVES'!$E$10:$E$250,AF72))</f>
        <v/>
      </c>
      <c r="AJ72" s="51" t="str">
        <f aca="false">IF(AG72="","",IFERROR(CHOOSE($C$9,INDEX('NOTES CP'!$P$10:$P$250,MATCH(AG72,'NOTES CP'!$B$10:$B$250,0)),INDEX('NOTES CP'!$Z$10:$Z$250,MATCH(AG72,'NOTES CP'!$B$10:$B$250,0)),INDEX('NOTES CP'!$AJ$10:$AJ$250,MATCH(AG72,'NOTES CP'!$B$10:$B$250,0)),INDEX('NOTES CP'!$AT$10:$AT$250,MATCH(AG72,'NOTES CP'!$B$10:$B$250,0))),""))</f>
        <v/>
      </c>
      <c r="AK72" s="51" t="str">
        <f aca="false">IF(ISNUMBER(AJ72),AJ72+(1000-32)/1000000,"")</f>
        <v/>
      </c>
      <c r="AL72" s="51" t="str">
        <f aca="false">IF(AG72="","",IFERROR(CHOOSE($C$9,INDEX('NOTES CP'!$G$10:$G$250,MATCH(AG72,'NOTES CP'!$B$10:$B$250,0)),INDEX('NOTES CP'!$Q$10:$Q$250,MATCH(AG72,'NOTES CP'!$B$10:$B$250,0)),INDEX('NOTES CP'!$AA$10:$AA$250,MATCH(AG72,'NOTES CP'!$B$10:$B$250,0)),INDEX('NOTES CP'!$AK$10:$AK$250,MATCH(AG72,'NOTES CP'!$B$10:$B$250,0))),""))</f>
        <v/>
      </c>
      <c r="AM72" s="51" t="str">
        <f aca="false">IFERROR(MATCH("CE1-32",'REGISTRE ELEVES'!$AG$10:$AG$250,0),"")</f>
        <v/>
      </c>
      <c r="AN72" s="51" t="str">
        <f aca="false">IF(AM72="","",INDEX('REGISTRE ELEVES'!$B$10:$B$250,AM72))</f>
        <v/>
      </c>
      <c r="AO72" s="51" t="str">
        <f aca="false">IF(AM72="","",INDEX('REGISTRE ELEVES'!$D$10:$D$250,AM72))</f>
        <v/>
      </c>
      <c r="AP72" s="51" t="str">
        <f aca="false">IF(AM72="","",INDEX('REGISTRE ELEVES'!$E$10:$E$250,AM72))</f>
        <v/>
      </c>
      <c r="AQ72" s="51" t="str">
        <f aca="false">IF(AN72="","",IFERROR(CHOOSE($C$9,INDEX('NOTES CE1'!$M$10:$M$250,MATCH(AN72,'NOTES CE1'!$B$10:$B$250,0)),INDEX('NOTES CE1'!$T$10:$T$250,MATCH(AN72,'NOTES CE1'!$B$10:$B$250,0)),INDEX('NOTES CE1'!$AA$10:$AA$250,MATCH(AN72,'NOTES CE1'!$B$10:$B$250,0)),INDEX('NOTES CE1'!$AH$10:$AH$250,MATCH(AN72,'NOTES CE1'!$B$10:$B$250,0))),""))</f>
        <v/>
      </c>
      <c r="AR72" s="51" t="str">
        <f aca="false">IF(ISNUMBER(AQ72),AQ72+(1000-32)/1000000,"")</f>
        <v/>
      </c>
      <c r="AS72" s="51" t="str">
        <f aca="false">IF(AN72="","",IFERROR(CHOOSE($C$9,INDEX('NOTES CE1'!$G$10:$G$250,MATCH(AN72,'NOTES CE1'!$B$10:$B$250,0)),INDEX('NOTES CE1'!$N$10:$N$250,MATCH(AN72,'NOTES CE1'!$B$10:$B$250,0)),INDEX('NOTES CE1'!$U$10:$U$250,MATCH(AN72,'NOTES CE1'!$B$10:$B$250,0)),INDEX('NOTES CE1'!$AB$10:$AB$250,MATCH(AN72,'NOTES CE1'!$B$10:$B$250,0))),""))</f>
        <v/>
      </c>
      <c r="AT72" s="51" t="str">
        <f aca="false">IFERROR(MATCH("CE2-32",'REGISTRE ELEVES'!$AG$10:$AG$250,0),"")</f>
        <v/>
      </c>
      <c r="AU72" s="51" t="str">
        <f aca="false">IF(AT72="","",INDEX('REGISTRE ELEVES'!$B$10:$B$250,AT72))</f>
        <v/>
      </c>
      <c r="AV72" s="51" t="str">
        <f aca="false">IF(AT72="","",INDEX('REGISTRE ELEVES'!$D$10:$D$250,AT72))</f>
        <v/>
      </c>
      <c r="AW72" s="51" t="str">
        <f aca="false">IF(AT72="","",INDEX('REGISTRE ELEVES'!$E$10:$E$250,AT72))</f>
        <v/>
      </c>
      <c r="AX72" s="51" t="str">
        <f aca="false">IF(AU72="","",IFERROR(CHOOSE($C$9,INDEX('NOTES CE2-CM1'!$M$10:$M$250,MATCH(AU72,'NOTES CE2-CM1'!$B$10:$B$250,0)),INDEX('NOTES CE2-CM1'!$T$10:$T$250,MATCH(AU72,'NOTES CE2-CM1'!$B$10:$B$250,0)),INDEX('NOTES CE2-CM1'!$AA$10:$AA$250,MATCH(AU72,'NOTES CE2-CM1'!$B$10:$B$250,0)),INDEX('NOTES CE2-CM1'!$AH$10:$AH$250,MATCH(AU72,'NOTES CE2-CM1'!$B$10:$B$250,0))),""))</f>
        <v/>
      </c>
      <c r="AY72" s="51" t="str">
        <f aca="false">IF(ISNUMBER(AX72),AX72+(1000-32)/1000000,"")</f>
        <v/>
      </c>
      <c r="AZ72" s="51" t="str">
        <f aca="false">IF(AU72="","",IFERROR(CHOOSE($C$9,INDEX('NOTES CE2-CM1'!$G$10:$G$250,MATCH(AU72,'NOTES CE2-CM1'!$B$10:$B$250,0)),INDEX('NOTES CE2-CM1'!$N$10:$N$250,MATCH(AU72,'NOTES CE2-CM1'!$B$10:$B$250,0)),INDEX('NOTES CE2-CM1'!$U$10:$U$250,MATCH(AU72,'NOTES CE2-CM1'!$B$10:$B$250,0)),INDEX('NOTES CE2-CM1'!$AB$10:$AB$250,MATCH(AU72,'NOTES CE2-CM1'!$B$10:$B$250,0))),""))</f>
        <v/>
      </c>
      <c r="BA72" s="51" t="str">
        <f aca="false">IFERROR(MATCH("CM1-32",'REGISTRE ELEVES'!$AG$10:$AG$250,0),"")</f>
        <v/>
      </c>
      <c r="BB72" s="51" t="str">
        <f aca="false">IF(BA72="","",INDEX('REGISTRE ELEVES'!$B$10:$B$250,BA72))</f>
        <v/>
      </c>
      <c r="BC72" s="51" t="str">
        <f aca="false">IF(BA72="","",INDEX('REGISTRE ELEVES'!$D$10:$D$250,BA72))</f>
        <v/>
      </c>
      <c r="BD72" s="51" t="str">
        <f aca="false">IF(BA72="","",INDEX('REGISTRE ELEVES'!$E$10:$E$250,BA72))</f>
        <v/>
      </c>
      <c r="BE72" s="51" t="str">
        <f aca="false">IF(BB72="","",IFERROR(CHOOSE($C$9,INDEX('NOTES CE2-CM1'!$M$10:$M$250,MATCH(BB72,'NOTES CE2-CM1'!$B$10:$B$250,0)),INDEX('NOTES CE2-CM1'!$T$10:$T$250,MATCH(BB72,'NOTES CE2-CM1'!$B$10:$B$250,0)),INDEX('NOTES CE2-CM1'!$AA$10:$AA$250,MATCH(BB72,'NOTES CE2-CM1'!$B$10:$B$250,0)),INDEX('NOTES CE2-CM1'!$AH$10:$AH$250,MATCH(BB72,'NOTES CE2-CM1'!$B$10:$B$250,0))),""))</f>
        <v/>
      </c>
      <c r="BF72" s="51" t="str">
        <f aca="false">IF(ISNUMBER(BE72),BE72+(1000-32)/1000000,"")</f>
        <v/>
      </c>
      <c r="BG72" s="51" t="str">
        <f aca="false">IF(BB72="","",IFERROR(CHOOSE($C$9,INDEX('NOTES CE2-CM1'!$G$10:$G$250,MATCH(BB72,'NOTES CE2-CM1'!$B$10:$B$250,0)),INDEX('NOTES CE2-CM1'!$N$10:$N$250,MATCH(BB72,'NOTES CE2-CM1'!$B$10:$B$250,0)),INDEX('NOTES CE2-CM1'!$U$10:$U$250,MATCH(BB72,'NOTES CE2-CM1'!$B$10:$B$250,0)),INDEX('NOTES CE2-CM1'!$AB$10:$AB$250,MATCH(BB72,'NOTES CE2-CM1'!$B$10:$B$250,0))),""))</f>
        <v/>
      </c>
      <c r="BH72" s="51" t="str">
        <f aca="false">IFERROR(MATCH("CM2-32",'REGISTRE ELEVES'!$AG$10:$AG$250,0),"")</f>
        <v/>
      </c>
      <c r="BI72" s="51" t="str">
        <f aca="false">IF(BH72="","",INDEX('REGISTRE ELEVES'!$B$10:$B$250,BH72))</f>
        <v/>
      </c>
      <c r="BJ72" s="51" t="str">
        <f aca="false">IF(BH72="","",INDEX('REGISTRE ELEVES'!$D$10:$D$250,BH72))</f>
        <v/>
      </c>
      <c r="BK72" s="51" t="str">
        <f aca="false">IF(BH72="","",INDEX('REGISTRE ELEVES'!$E$10:$E$250,BH72))</f>
        <v/>
      </c>
      <c r="BL72" s="51" t="str">
        <f aca="false">IF(BI72="","",IFERROR(CHOOSE($C$9,INDEX('NOTES CM2'!$M$10:$M$250,MATCH(BI72,'NOTES CM2'!$B$10:$B$250,0)),INDEX('NOTES CM2'!$T$10:$T$250,MATCH(BI72,'NOTES CM2'!$B$10:$B$250,0)),INDEX('NOTES CM2'!$AB$10:$AB$250,MATCH(BI72,'NOTES CM2'!$B$10:$B$250,0)),INDEX('NOTES CM2'!$AJ$10:$AJ$250,MATCH(BI72,'NOTES CM2'!$B$10:$B$250,0))),""))</f>
        <v/>
      </c>
      <c r="BM72" s="51" t="str">
        <f aca="false">IF(ISNUMBER(BL72),BL72+(1000-32)/1000000,"")</f>
        <v/>
      </c>
      <c r="BN72" s="51" t="str">
        <f aca="false">IF(BI72="","",IFERROR(CHOOSE($C$9,INDEX('NOTES CM2'!$G$10:$G$250,MATCH(BI72,'NOTES CM2'!$B$10:$B$250,0)),INDEX('NOTES CM2'!$N$10:$N$250,MATCH(BI72,'NOTES CM2'!$B$10:$B$250,0)),INDEX('NOTES CM2'!$U$10:$U$250,MATCH(BI72,'NOTES CM2'!$B$10:$B$250,0)),INDEX('NOTES CM2'!$AC$10:$AC$250,MATCH(BI72,'NOTES CM2'!$B$10:$B$250,0))),""))</f>
        <v/>
      </c>
    </row>
    <row r="73" customFormat="false" ht="15" hidden="false" customHeight="false" outlineLevel="0" collapsed="false">
      <c r="Y73" s="51" t="str">
        <f aca="false">IFERROR(MATCH("CP1-33",'REGISTRE ELEVES'!$AG$10:$AG$250,0),"")</f>
        <v/>
      </c>
      <c r="Z73" s="51" t="str">
        <f aca="false">IF(Y73="","",INDEX('REGISTRE ELEVES'!$B$10:$B$250,Y73))</f>
        <v/>
      </c>
      <c r="AA73" s="51" t="str">
        <f aca="false">IF(Y73="","",INDEX('REGISTRE ELEVES'!$D$10:$D$250,Y73))</f>
        <v/>
      </c>
      <c r="AB73" s="51" t="str">
        <f aca="false">IF(Y73="","",INDEX('REGISTRE ELEVES'!$E$10:$E$250,Y73))</f>
        <v/>
      </c>
      <c r="AC73" s="51" t="str">
        <f aca="false">IF(Z73="","",IFERROR(CHOOSE($C$9,INDEX('NOTES CP'!$P$10:$P$250,MATCH(Z73,'NOTES CP'!$B$10:$B$250,0)),INDEX('NOTES CP'!$Z$10:$Z$250,MATCH(Z73,'NOTES CP'!$B$10:$B$250,0)),INDEX('NOTES CP'!$AJ$10:$AJ$250,MATCH(Z73,'NOTES CP'!$B$10:$B$250,0)),INDEX('NOTES CP'!$AT$10:$AT$250,MATCH(Z73,'NOTES CP'!$B$10:$B$250,0))),""))</f>
        <v/>
      </c>
      <c r="AD73" s="51" t="str">
        <f aca="false">IF(ISNUMBER(AC73),AC73+(1000-33)/1000000,"")</f>
        <v/>
      </c>
      <c r="AE73" s="51" t="str">
        <f aca="false">IF(Z73="","",IFERROR(CHOOSE($C$9,INDEX('NOTES CP'!$G$10:$G$250,MATCH(Z73,'NOTES CP'!$B$10:$B$250,0)),INDEX('NOTES CP'!$Q$10:$Q$250,MATCH(Z73,'NOTES CP'!$B$10:$B$250,0)),INDEX('NOTES CP'!$AA$10:$AA$250,MATCH(Z73,'NOTES CP'!$B$10:$B$250,0)),INDEX('NOTES CP'!$AK$10:$AK$250,MATCH(Z73,'NOTES CP'!$B$10:$B$250,0))),""))</f>
        <v/>
      </c>
      <c r="AF73" s="51" t="str">
        <f aca="false">IFERROR(MATCH("CP2-33",'REGISTRE ELEVES'!$AG$10:$AG$250,0),"")</f>
        <v/>
      </c>
      <c r="AG73" s="51" t="str">
        <f aca="false">IF(AF73="","",INDEX('REGISTRE ELEVES'!$B$10:$B$250,AF73))</f>
        <v/>
      </c>
      <c r="AH73" s="51" t="str">
        <f aca="false">IF(AF73="","",INDEX('REGISTRE ELEVES'!$D$10:$D$250,AF73))</f>
        <v/>
      </c>
      <c r="AI73" s="51" t="str">
        <f aca="false">IF(AF73="","",INDEX('REGISTRE ELEVES'!$E$10:$E$250,AF73))</f>
        <v/>
      </c>
      <c r="AJ73" s="51" t="str">
        <f aca="false">IF(AG73="","",IFERROR(CHOOSE($C$9,INDEX('NOTES CP'!$P$10:$P$250,MATCH(AG73,'NOTES CP'!$B$10:$B$250,0)),INDEX('NOTES CP'!$Z$10:$Z$250,MATCH(AG73,'NOTES CP'!$B$10:$B$250,0)),INDEX('NOTES CP'!$AJ$10:$AJ$250,MATCH(AG73,'NOTES CP'!$B$10:$B$250,0)),INDEX('NOTES CP'!$AT$10:$AT$250,MATCH(AG73,'NOTES CP'!$B$10:$B$250,0))),""))</f>
        <v/>
      </c>
      <c r="AK73" s="51" t="str">
        <f aca="false">IF(ISNUMBER(AJ73),AJ73+(1000-33)/1000000,"")</f>
        <v/>
      </c>
      <c r="AL73" s="51" t="str">
        <f aca="false">IF(AG73="","",IFERROR(CHOOSE($C$9,INDEX('NOTES CP'!$G$10:$G$250,MATCH(AG73,'NOTES CP'!$B$10:$B$250,0)),INDEX('NOTES CP'!$Q$10:$Q$250,MATCH(AG73,'NOTES CP'!$B$10:$B$250,0)),INDEX('NOTES CP'!$AA$10:$AA$250,MATCH(AG73,'NOTES CP'!$B$10:$B$250,0)),INDEX('NOTES CP'!$AK$10:$AK$250,MATCH(AG73,'NOTES CP'!$B$10:$B$250,0))),""))</f>
        <v/>
      </c>
      <c r="AM73" s="51" t="str">
        <f aca="false">IFERROR(MATCH("CE1-33",'REGISTRE ELEVES'!$AG$10:$AG$250,0),"")</f>
        <v/>
      </c>
      <c r="AN73" s="51" t="str">
        <f aca="false">IF(AM73="","",INDEX('REGISTRE ELEVES'!$B$10:$B$250,AM73))</f>
        <v/>
      </c>
      <c r="AO73" s="51" t="str">
        <f aca="false">IF(AM73="","",INDEX('REGISTRE ELEVES'!$D$10:$D$250,AM73))</f>
        <v/>
      </c>
      <c r="AP73" s="51" t="str">
        <f aca="false">IF(AM73="","",INDEX('REGISTRE ELEVES'!$E$10:$E$250,AM73))</f>
        <v/>
      </c>
      <c r="AQ73" s="51" t="str">
        <f aca="false">IF(AN73="","",IFERROR(CHOOSE($C$9,INDEX('NOTES CE1'!$M$10:$M$250,MATCH(AN73,'NOTES CE1'!$B$10:$B$250,0)),INDEX('NOTES CE1'!$T$10:$T$250,MATCH(AN73,'NOTES CE1'!$B$10:$B$250,0)),INDEX('NOTES CE1'!$AA$10:$AA$250,MATCH(AN73,'NOTES CE1'!$B$10:$B$250,0)),INDEX('NOTES CE1'!$AH$10:$AH$250,MATCH(AN73,'NOTES CE1'!$B$10:$B$250,0))),""))</f>
        <v/>
      </c>
      <c r="AR73" s="51" t="str">
        <f aca="false">IF(ISNUMBER(AQ73),AQ73+(1000-33)/1000000,"")</f>
        <v/>
      </c>
      <c r="AS73" s="51" t="str">
        <f aca="false">IF(AN73="","",IFERROR(CHOOSE($C$9,INDEX('NOTES CE1'!$G$10:$G$250,MATCH(AN73,'NOTES CE1'!$B$10:$B$250,0)),INDEX('NOTES CE1'!$N$10:$N$250,MATCH(AN73,'NOTES CE1'!$B$10:$B$250,0)),INDEX('NOTES CE1'!$U$10:$U$250,MATCH(AN73,'NOTES CE1'!$B$10:$B$250,0)),INDEX('NOTES CE1'!$AB$10:$AB$250,MATCH(AN73,'NOTES CE1'!$B$10:$B$250,0))),""))</f>
        <v/>
      </c>
      <c r="AT73" s="51" t="str">
        <f aca="false">IFERROR(MATCH("CE2-33",'REGISTRE ELEVES'!$AG$10:$AG$250,0),"")</f>
        <v/>
      </c>
      <c r="AU73" s="51" t="str">
        <f aca="false">IF(AT73="","",INDEX('REGISTRE ELEVES'!$B$10:$B$250,AT73))</f>
        <v/>
      </c>
      <c r="AV73" s="51" t="str">
        <f aca="false">IF(AT73="","",INDEX('REGISTRE ELEVES'!$D$10:$D$250,AT73))</f>
        <v/>
      </c>
      <c r="AW73" s="51" t="str">
        <f aca="false">IF(AT73="","",INDEX('REGISTRE ELEVES'!$E$10:$E$250,AT73))</f>
        <v/>
      </c>
      <c r="AX73" s="51" t="str">
        <f aca="false">IF(AU73="","",IFERROR(CHOOSE($C$9,INDEX('NOTES CE2-CM1'!$M$10:$M$250,MATCH(AU73,'NOTES CE2-CM1'!$B$10:$B$250,0)),INDEX('NOTES CE2-CM1'!$T$10:$T$250,MATCH(AU73,'NOTES CE2-CM1'!$B$10:$B$250,0)),INDEX('NOTES CE2-CM1'!$AA$10:$AA$250,MATCH(AU73,'NOTES CE2-CM1'!$B$10:$B$250,0)),INDEX('NOTES CE2-CM1'!$AH$10:$AH$250,MATCH(AU73,'NOTES CE2-CM1'!$B$10:$B$250,0))),""))</f>
        <v/>
      </c>
      <c r="AY73" s="51" t="str">
        <f aca="false">IF(ISNUMBER(AX73),AX73+(1000-33)/1000000,"")</f>
        <v/>
      </c>
      <c r="AZ73" s="51" t="str">
        <f aca="false">IF(AU73="","",IFERROR(CHOOSE($C$9,INDEX('NOTES CE2-CM1'!$G$10:$G$250,MATCH(AU73,'NOTES CE2-CM1'!$B$10:$B$250,0)),INDEX('NOTES CE2-CM1'!$N$10:$N$250,MATCH(AU73,'NOTES CE2-CM1'!$B$10:$B$250,0)),INDEX('NOTES CE2-CM1'!$U$10:$U$250,MATCH(AU73,'NOTES CE2-CM1'!$B$10:$B$250,0)),INDEX('NOTES CE2-CM1'!$AB$10:$AB$250,MATCH(AU73,'NOTES CE2-CM1'!$B$10:$B$250,0))),""))</f>
        <v/>
      </c>
      <c r="BA73" s="51" t="str">
        <f aca="false">IFERROR(MATCH("CM1-33",'REGISTRE ELEVES'!$AG$10:$AG$250,0),"")</f>
        <v/>
      </c>
      <c r="BB73" s="51" t="str">
        <f aca="false">IF(BA73="","",INDEX('REGISTRE ELEVES'!$B$10:$B$250,BA73))</f>
        <v/>
      </c>
      <c r="BC73" s="51" t="str">
        <f aca="false">IF(BA73="","",INDEX('REGISTRE ELEVES'!$D$10:$D$250,BA73))</f>
        <v/>
      </c>
      <c r="BD73" s="51" t="str">
        <f aca="false">IF(BA73="","",INDEX('REGISTRE ELEVES'!$E$10:$E$250,BA73))</f>
        <v/>
      </c>
      <c r="BE73" s="51" t="str">
        <f aca="false">IF(BB73="","",IFERROR(CHOOSE($C$9,INDEX('NOTES CE2-CM1'!$M$10:$M$250,MATCH(BB73,'NOTES CE2-CM1'!$B$10:$B$250,0)),INDEX('NOTES CE2-CM1'!$T$10:$T$250,MATCH(BB73,'NOTES CE2-CM1'!$B$10:$B$250,0)),INDEX('NOTES CE2-CM1'!$AA$10:$AA$250,MATCH(BB73,'NOTES CE2-CM1'!$B$10:$B$250,0)),INDEX('NOTES CE2-CM1'!$AH$10:$AH$250,MATCH(BB73,'NOTES CE2-CM1'!$B$10:$B$250,0))),""))</f>
        <v/>
      </c>
      <c r="BF73" s="51" t="str">
        <f aca="false">IF(ISNUMBER(BE73),BE73+(1000-33)/1000000,"")</f>
        <v/>
      </c>
      <c r="BG73" s="51" t="str">
        <f aca="false">IF(BB73="","",IFERROR(CHOOSE($C$9,INDEX('NOTES CE2-CM1'!$G$10:$G$250,MATCH(BB73,'NOTES CE2-CM1'!$B$10:$B$250,0)),INDEX('NOTES CE2-CM1'!$N$10:$N$250,MATCH(BB73,'NOTES CE2-CM1'!$B$10:$B$250,0)),INDEX('NOTES CE2-CM1'!$U$10:$U$250,MATCH(BB73,'NOTES CE2-CM1'!$B$10:$B$250,0)),INDEX('NOTES CE2-CM1'!$AB$10:$AB$250,MATCH(BB73,'NOTES CE2-CM1'!$B$10:$B$250,0))),""))</f>
        <v/>
      </c>
      <c r="BH73" s="51" t="str">
        <f aca="false">IFERROR(MATCH("CM2-33",'REGISTRE ELEVES'!$AG$10:$AG$250,0),"")</f>
        <v/>
      </c>
      <c r="BI73" s="51" t="str">
        <f aca="false">IF(BH73="","",INDEX('REGISTRE ELEVES'!$B$10:$B$250,BH73))</f>
        <v/>
      </c>
      <c r="BJ73" s="51" t="str">
        <f aca="false">IF(BH73="","",INDEX('REGISTRE ELEVES'!$D$10:$D$250,BH73))</f>
        <v/>
      </c>
      <c r="BK73" s="51" t="str">
        <f aca="false">IF(BH73="","",INDEX('REGISTRE ELEVES'!$E$10:$E$250,BH73))</f>
        <v/>
      </c>
      <c r="BL73" s="51" t="str">
        <f aca="false">IF(BI73="","",IFERROR(CHOOSE($C$9,INDEX('NOTES CM2'!$M$10:$M$250,MATCH(BI73,'NOTES CM2'!$B$10:$B$250,0)),INDEX('NOTES CM2'!$T$10:$T$250,MATCH(BI73,'NOTES CM2'!$B$10:$B$250,0)),INDEX('NOTES CM2'!$AB$10:$AB$250,MATCH(BI73,'NOTES CM2'!$B$10:$B$250,0)),INDEX('NOTES CM2'!$AJ$10:$AJ$250,MATCH(BI73,'NOTES CM2'!$B$10:$B$250,0))),""))</f>
        <v/>
      </c>
      <c r="BM73" s="51" t="str">
        <f aca="false">IF(ISNUMBER(BL73),BL73+(1000-33)/1000000,"")</f>
        <v/>
      </c>
      <c r="BN73" s="51" t="str">
        <f aca="false">IF(BI73="","",IFERROR(CHOOSE($C$9,INDEX('NOTES CM2'!$G$10:$G$250,MATCH(BI73,'NOTES CM2'!$B$10:$B$250,0)),INDEX('NOTES CM2'!$N$10:$N$250,MATCH(BI73,'NOTES CM2'!$B$10:$B$250,0)),INDEX('NOTES CM2'!$U$10:$U$250,MATCH(BI73,'NOTES CM2'!$B$10:$B$250,0)),INDEX('NOTES CM2'!$AC$10:$AC$250,MATCH(BI73,'NOTES CM2'!$B$10:$B$250,0))),""))</f>
        <v/>
      </c>
    </row>
    <row r="74" customFormat="false" ht="15" hidden="false" customHeight="false" outlineLevel="0" collapsed="false">
      <c r="Y74" s="51" t="str">
        <f aca="false">IFERROR(MATCH("CP1-34",'REGISTRE ELEVES'!$AG$10:$AG$250,0),"")</f>
        <v/>
      </c>
      <c r="Z74" s="51" t="str">
        <f aca="false">IF(Y74="","",INDEX('REGISTRE ELEVES'!$B$10:$B$250,Y74))</f>
        <v/>
      </c>
      <c r="AA74" s="51" t="str">
        <f aca="false">IF(Y74="","",INDEX('REGISTRE ELEVES'!$D$10:$D$250,Y74))</f>
        <v/>
      </c>
      <c r="AB74" s="51" t="str">
        <f aca="false">IF(Y74="","",INDEX('REGISTRE ELEVES'!$E$10:$E$250,Y74))</f>
        <v/>
      </c>
      <c r="AC74" s="51" t="str">
        <f aca="false">IF(Z74="","",IFERROR(CHOOSE($C$9,INDEX('NOTES CP'!$P$10:$P$250,MATCH(Z74,'NOTES CP'!$B$10:$B$250,0)),INDEX('NOTES CP'!$Z$10:$Z$250,MATCH(Z74,'NOTES CP'!$B$10:$B$250,0)),INDEX('NOTES CP'!$AJ$10:$AJ$250,MATCH(Z74,'NOTES CP'!$B$10:$B$250,0)),INDEX('NOTES CP'!$AT$10:$AT$250,MATCH(Z74,'NOTES CP'!$B$10:$B$250,0))),""))</f>
        <v/>
      </c>
      <c r="AD74" s="51" t="str">
        <f aca="false">IF(ISNUMBER(AC74),AC74+(1000-34)/1000000,"")</f>
        <v/>
      </c>
      <c r="AE74" s="51" t="str">
        <f aca="false">IF(Z74="","",IFERROR(CHOOSE($C$9,INDEX('NOTES CP'!$G$10:$G$250,MATCH(Z74,'NOTES CP'!$B$10:$B$250,0)),INDEX('NOTES CP'!$Q$10:$Q$250,MATCH(Z74,'NOTES CP'!$B$10:$B$250,0)),INDEX('NOTES CP'!$AA$10:$AA$250,MATCH(Z74,'NOTES CP'!$B$10:$B$250,0)),INDEX('NOTES CP'!$AK$10:$AK$250,MATCH(Z74,'NOTES CP'!$B$10:$B$250,0))),""))</f>
        <v/>
      </c>
      <c r="AF74" s="51" t="str">
        <f aca="false">IFERROR(MATCH("CP2-34",'REGISTRE ELEVES'!$AG$10:$AG$250,0),"")</f>
        <v/>
      </c>
      <c r="AG74" s="51" t="str">
        <f aca="false">IF(AF74="","",INDEX('REGISTRE ELEVES'!$B$10:$B$250,AF74))</f>
        <v/>
      </c>
      <c r="AH74" s="51" t="str">
        <f aca="false">IF(AF74="","",INDEX('REGISTRE ELEVES'!$D$10:$D$250,AF74))</f>
        <v/>
      </c>
      <c r="AI74" s="51" t="str">
        <f aca="false">IF(AF74="","",INDEX('REGISTRE ELEVES'!$E$10:$E$250,AF74))</f>
        <v/>
      </c>
      <c r="AJ74" s="51" t="str">
        <f aca="false">IF(AG74="","",IFERROR(CHOOSE($C$9,INDEX('NOTES CP'!$P$10:$P$250,MATCH(AG74,'NOTES CP'!$B$10:$B$250,0)),INDEX('NOTES CP'!$Z$10:$Z$250,MATCH(AG74,'NOTES CP'!$B$10:$B$250,0)),INDEX('NOTES CP'!$AJ$10:$AJ$250,MATCH(AG74,'NOTES CP'!$B$10:$B$250,0)),INDEX('NOTES CP'!$AT$10:$AT$250,MATCH(AG74,'NOTES CP'!$B$10:$B$250,0))),""))</f>
        <v/>
      </c>
      <c r="AK74" s="51" t="str">
        <f aca="false">IF(ISNUMBER(AJ74),AJ74+(1000-34)/1000000,"")</f>
        <v/>
      </c>
      <c r="AL74" s="51" t="str">
        <f aca="false">IF(AG74="","",IFERROR(CHOOSE($C$9,INDEX('NOTES CP'!$G$10:$G$250,MATCH(AG74,'NOTES CP'!$B$10:$B$250,0)),INDEX('NOTES CP'!$Q$10:$Q$250,MATCH(AG74,'NOTES CP'!$B$10:$B$250,0)),INDEX('NOTES CP'!$AA$10:$AA$250,MATCH(AG74,'NOTES CP'!$B$10:$B$250,0)),INDEX('NOTES CP'!$AK$10:$AK$250,MATCH(AG74,'NOTES CP'!$B$10:$B$250,0))),""))</f>
        <v/>
      </c>
      <c r="AM74" s="51" t="str">
        <f aca="false">IFERROR(MATCH("CE1-34",'REGISTRE ELEVES'!$AG$10:$AG$250,0),"")</f>
        <v/>
      </c>
      <c r="AN74" s="51" t="str">
        <f aca="false">IF(AM74="","",INDEX('REGISTRE ELEVES'!$B$10:$B$250,AM74))</f>
        <v/>
      </c>
      <c r="AO74" s="51" t="str">
        <f aca="false">IF(AM74="","",INDEX('REGISTRE ELEVES'!$D$10:$D$250,AM74))</f>
        <v/>
      </c>
      <c r="AP74" s="51" t="str">
        <f aca="false">IF(AM74="","",INDEX('REGISTRE ELEVES'!$E$10:$E$250,AM74))</f>
        <v/>
      </c>
      <c r="AQ74" s="51" t="str">
        <f aca="false">IF(AN74="","",IFERROR(CHOOSE($C$9,INDEX('NOTES CE1'!$M$10:$M$250,MATCH(AN74,'NOTES CE1'!$B$10:$B$250,0)),INDEX('NOTES CE1'!$T$10:$T$250,MATCH(AN74,'NOTES CE1'!$B$10:$B$250,0)),INDEX('NOTES CE1'!$AA$10:$AA$250,MATCH(AN74,'NOTES CE1'!$B$10:$B$250,0)),INDEX('NOTES CE1'!$AH$10:$AH$250,MATCH(AN74,'NOTES CE1'!$B$10:$B$250,0))),""))</f>
        <v/>
      </c>
      <c r="AR74" s="51" t="str">
        <f aca="false">IF(ISNUMBER(AQ74),AQ74+(1000-34)/1000000,"")</f>
        <v/>
      </c>
      <c r="AS74" s="51" t="str">
        <f aca="false">IF(AN74="","",IFERROR(CHOOSE($C$9,INDEX('NOTES CE1'!$G$10:$G$250,MATCH(AN74,'NOTES CE1'!$B$10:$B$250,0)),INDEX('NOTES CE1'!$N$10:$N$250,MATCH(AN74,'NOTES CE1'!$B$10:$B$250,0)),INDEX('NOTES CE1'!$U$10:$U$250,MATCH(AN74,'NOTES CE1'!$B$10:$B$250,0)),INDEX('NOTES CE1'!$AB$10:$AB$250,MATCH(AN74,'NOTES CE1'!$B$10:$B$250,0))),""))</f>
        <v/>
      </c>
      <c r="AT74" s="51" t="str">
        <f aca="false">IFERROR(MATCH("CE2-34",'REGISTRE ELEVES'!$AG$10:$AG$250,0),"")</f>
        <v/>
      </c>
      <c r="AU74" s="51" t="str">
        <f aca="false">IF(AT74="","",INDEX('REGISTRE ELEVES'!$B$10:$B$250,AT74))</f>
        <v/>
      </c>
      <c r="AV74" s="51" t="str">
        <f aca="false">IF(AT74="","",INDEX('REGISTRE ELEVES'!$D$10:$D$250,AT74))</f>
        <v/>
      </c>
      <c r="AW74" s="51" t="str">
        <f aca="false">IF(AT74="","",INDEX('REGISTRE ELEVES'!$E$10:$E$250,AT74))</f>
        <v/>
      </c>
      <c r="AX74" s="51" t="str">
        <f aca="false">IF(AU74="","",IFERROR(CHOOSE($C$9,INDEX('NOTES CE2-CM1'!$M$10:$M$250,MATCH(AU74,'NOTES CE2-CM1'!$B$10:$B$250,0)),INDEX('NOTES CE2-CM1'!$T$10:$T$250,MATCH(AU74,'NOTES CE2-CM1'!$B$10:$B$250,0)),INDEX('NOTES CE2-CM1'!$AA$10:$AA$250,MATCH(AU74,'NOTES CE2-CM1'!$B$10:$B$250,0)),INDEX('NOTES CE2-CM1'!$AH$10:$AH$250,MATCH(AU74,'NOTES CE2-CM1'!$B$10:$B$250,0))),""))</f>
        <v/>
      </c>
      <c r="AY74" s="51" t="str">
        <f aca="false">IF(ISNUMBER(AX74),AX74+(1000-34)/1000000,"")</f>
        <v/>
      </c>
      <c r="AZ74" s="51" t="str">
        <f aca="false">IF(AU74="","",IFERROR(CHOOSE($C$9,INDEX('NOTES CE2-CM1'!$G$10:$G$250,MATCH(AU74,'NOTES CE2-CM1'!$B$10:$B$250,0)),INDEX('NOTES CE2-CM1'!$N$10:$N$250,MATCH(AU74,'NOTES CE2-CM1'!$B$10:$B$250,0)),INDEX('NOTES CE2-CM1'!$U$10:$U$250,MATCH(AU74,'NOTES CE2-CM1'!$B$10:$B$250,0)),INDEX('NOTES CE2-CM1'!$AB$10:$AB$250,MATCH(AU74,'NOTES CE2-CM1'!$B$10:$B$250,0))),""))</f>
        <v/>
      </c>
      <c r="BA74" s="51" t="str">
        <f aca="false">IFERROR(MATCH("CM1-34",'REGISTRE ELEVES'!$AG$10:$AG$250,0),"")</f>
        <v/>
      </c>
      <c r="BB74" s="51" t="str">
        <f aca="false">IF(BA74="","",INDEX('REGISTRE ELEVES'!$B$10:$B$250,BA74))</f>
        <v/>
      </c>
      <c r="BC74" s="51" t="str">
        <f aca="false">IF(BA74="","",INDEX('REGISTRE ELEVES'!$D$10:$D$250,BA74))</f>
        <v/>
      </c>
      <c r="BD74" s="51" t="str">
        <f aca="false">IF(BA74="","",INDEX('REGISTRE ELEVES'!$E$10:$E$250,BA74))</f>
        <v/>
      </c>
      <c r="BE74" s="51" t="str">
        <f aca="false">IF(BB74="","",IFERROR(CHOOSE($C$9,INDEX('NOTES CE2-CM1'!$M$10:$M$250,MATCH(BB74,'NOTES CE2-CM1'!$B$10:$B$250,0)),INDEX('NOTES CE2-CM1'!$T$10:$T$250,MATCH(BB74,'NOTES CE2-CM1'!$B$10:$B$250,0)),INDEX('NOTES CE2-CM1'!$AA$10:$AA$250,MATCH(BB74,'NOTES CE2-CM1'!$B$10:$B$250,0)),INDEX('NOTES CE2-CM1'!$AH$10:$AH$250,MATCH(BB74,'NOTES CE2-CM1'!$B$10:$B$250,0))),""))</f>
        <v/>
      </c>
      <c r="BF74" s="51" t="str">
        <f aca="false">IF(ISNUMBER(BE74),BE74+(1000-34)/1000000,"")</f>
        <v/>
      </c>
      <c r="BG74" s="51" t="str">
        <f aca="false">IF(BB74="","",IFERROR(CHOOSE($C$9,INDEX('NOTES CE2-CM1'!$G$10:$G$250,MATCH(BB74,'NOTES CE2-CM1'!$B$10:$B$250,0)),INDEX('NOTES CE2-CM1'!$N$10:$N$250,MATCH(BB74,'NOTES CE2-CM1'!$B$10:$B$250,0)),INDEX('NOTES CE2-CM1'!$U$10:$U$250,MATCH(BB74,'NOTES CE2-CM1'!$B$10:$B$250,0)),INDEX('NOTES CE2-CM1'!$AB$10:$AB$250,MATCH(BB74,'NOTES CE2-CM1'!$B$10:$B$250,0))),""))</f>
        <v/>
      </c>
      <c r="BH74" s="51" t="str">
        <f aca="false">IFERROR(MATCH("CM2-34",'REGISTRE ELEVES'!$AG$10:$AG$250,0),"")</f>
        <v/>
      </c>
      <c r="BI74" s="51" t="str">
        <f aca="false">IF(BH74="","",INDEX('REGISTRE ELEVES'!$B$10:$B$250,BH74))</f>
        <v/>
      </c>
      <c r="BJ74" s="51" t="str">
        <f aca="false">IF(BH74="","",INDEX('REGISTRE ELEVES'!$D$10:$D$250,BH74))</f>
        <v/>
      </c>
      <c r="BK74" s="51" t="str">
        <f aca="false">IF(BH74="","",INDEX('REGISTRE ELEVES'!$E$10:$E$250,BH74))</f>
        <v/>
      </c>
      <c r="BL74" s="51" t="str">
        <f aca="false">IF(BI74="","",IFERROR(CHOOSE($C$9,INDEX('NOTES CM2'!$M$10:$M$250,MATCH(BI74,'NOTES CM2'!$B$10:$B$250,0)),INDEX('NOTES CM2'!$T$10:$T$250,MATCH(BI74,'NOTES CM2'!$B$10:$B$250,0)),INDEX('NOTES CM2'!$AB$10:$AB$250,MATCH(BI74,'NOTES CM2'!$B$10:$B$250,0)),INDEX('NOTES CM2'!$AJ$10:$AJ$250,MATCH(BI74,'NOTES CM2'!$B$10:$B$250,0))),""))</f>
        <v/>
      </c>
      <c r="BM74" s="51" t="str">
        <f aca="false">IF(ISNUMBER(BL74),BL74+(1000-34)/1000000,"")</f>
        <v/>
      </c>
      <c r="BN74" s="51" t="str">
        <f aca="false">IF(BI74="","",IFERROR(CHOOSE($C$9,INDEX('NOTES CM2'!$G$10:$G$250,MATCH(BI74,'NOTES CM2'!$B$10:$B$250,0)),INDEX('NOTES CM2'!$N$10:$N$250,MATCH(BI74,'NOTES CM2'!$B$10:$B$250,0)),INDEX('NOTES CM2'!$U$10:$U$250,MATCH(BI74,'NOTES CM2'!$B$10:$B$250,0)),INDEX('NOTES CM2'!$AC$10:$AC$250,MATCH(BI74,'NOTES CM2'!$B$10:$B$250,0))),""))</f>
        <v/>
      </c>
    </row>
    <row r="75" customFormat="false" ht="15" hidden="false" customHeight="false" outlineLevel="0" collapsed="false">
      <c r="Y75" s="51" t="str">
        <f aca="false">IFERROR(MATCH("CP1-35",'REGISTRE ELEVES'!$AG$10:$AG$250,0),"")</f>
        <v/>
      </c>
      <c r="Z75" s="51" t="str">
        <f aca="false">IF(Y75="","",INDEX('REGISTRE ELEVES'!$B$10:$B$250,Y75))</f>
        <v/>
      </c>
      <c r="AA75" s="51" t="str">
        <f aca="false">IF(Y75="","",INDEX('REGISTRE ELEVES'!$D$10:$D$250,Y75))</f>
        <v/>
      </c>
      <c r="AB75" s="51" t="str">
        <f aca="false">IF(Y75="","",INDEX('REGISTRE ELEVES'!$E$10:$E$250,Y75))</f>
        <v/>
      </c>
      <c r="AC75" s="51" t="str">
        <f aca="false">IF(Z75="","",IFERROR(CHOOSE($C$9,INDEX('NOTES CP'!$P$10:$P$250,MATCH(Z75,'NOTES CP'!$B$10:$B$250,0)),INDEX('NOTES CP'!$Z$10:$Z$250,MATCH(Z75,'NOTES CP'!$B$10:$B$250,0)),INDEX('NOTES CP'!$AJ$10:$AJ$250,MATCH(Z75,'NOTES CP'!$B$10:$B$250,0)),INDEX('NOTES CP'!$AT$10:$AT$250,MATCH(Z75,'NOTES CP'!$B$10:$B$250,0))),""))</f>
        <v/>
      </c>
      <c r="AD75" s="51" t="str">
        <f aca="false">IF(ISNUMBER(AC75),AC75+(1000-35)/1000000,"")</f>
        <v/>
      </c>
      <c r="AE75" s="51" t="str">
        <f aca="false">IF(Z75="","",IFERROR(CHOOSE($C$9,INDEX('NOTES CP'!$G$10:$G$250,MATCH(Z75,'NOTES CP'!$B$10:$B$250,0)),INDEX('NOTES CP'!$Q$10:$Q$250,MATCH(Z75,'NOTES CP'!$B$10:$B$250,0)),INDEX('NOTES CP'!$AA$10:$AA$250,MATCH(Z75,'NOTES CP'!$B$10:$B$250,0)),INDEX('NOTES CP'!$AK$10:$AK$250,MATCH(Z75,'NOTES CP'!$B$10:$B$250,0))),""))</f>
        <v/>
      </c>
      <c r="AF75" s="51" t="str">
        <f aca="false">IFERROR(MATCH("CP2-35",'REGISTRE ELEVES'!$AG$10:$AG$250,0),"")</f>
        <v/>
      </c>
      <c r="AG75" s="51" t="str">
        <f aca="false">IF(AF75="","",INDEX('REGISTRE ELEVES'!$B$10:$B$250,AF75))</f>
        <v/>
      </c>
      <c r="AH75" s="51" t="str">
        <f aca="false">IF(AF75="","",INDEX('REGISTRE ELEVES'!$D$10:$D$250,AF75))</f>
        <v/>
      </c>
      <c r="AI75" s="51" t="str">
        <f aca="false">IF(AF75="","",INDEX('REGISTRE ELEVES'!$E$10:$E$250,AF75))</f>
        <v/>
      </c>
      <c r="AJ75" s="51" t="str">
        <f aca="false">IF(AG75="","",IFERROR(CHOOSE($C$9,INDEX('NOTES CP'!$P$10:$P$250,MATCH(AG75,'NOTES CP'!$B$10:$B$250,0)),INDEX('NOTES CP'!$Z$10:$Z$250,MATCH(AG75,'NOTES CP'!$B$10:$B$250,0)),INDEX('NOTES CP'!$AJ$10:$AJ$250,MATCH(AG75,'NOTES CP'!$B$10:$B$250,0)),INDEX('NOTES CP'!$AT$10:$AT$250,MATCH(AG75,'NOTES CP'!$B$10:$B$250,0))),""))</f>
        <v/>
      </c>
      <c r="AK75" s="51" t="str">
        <f aca="false">IF(ISNUMBER(AJ75),AJ75+(1000-35)/1000000,"")</f>
        <v/>
      </c>
      <c r="AL75" s="51" t="str">
        <f aca="false">IF(AG75="","",IFERROR(CHOOSE($C$9,INDEX('NOTES CP'!$G$10:$G$250,MATCH(AG75,'NOTES CP'!$B$10:$B$250,0)),INDEX('NOTES CP'!$Q$10:$Q$250,MATCH(AG75,'NOTES CP'!$B$10:$B$250,0)),INDEX('NOTES CP'!$AA$10:$AA$250,MATCH(AG75,'NOTES CP'!$B$10:$B$250,0)),INDEX('NOTES CP'!$AK$10:$AK$250,MATCH(AG75,'NOTES CP'!$B$10:$B$250,0))),""))</f>
        <v/>
      </c>
      <c r="AM75" s="51" t="str">
        <f aca="false">IFERROR(MATCH("CE1-35",'REGISTRE ELEVES'!$AG$10:$AG$250,0),"")</f>
        <v/>
      </c>
      <c r="AN75" s="51" t="str">
        <f aca="false">IF(AM75="","",INDEX('REGISTRE ELEVES'!$B$10:$B$250,AM75))</f>
        <v/>
      </c>
      <c r="AO75" s="51" t="str">
        <f aca="false">IF(AM75="","",INDEX('REGISTRE ELEVES'!$D$10:$D$250,AM75))</f>
        <v/>
      </c>
      <c r="AP75" s="51" t="str">
        <f aca="false">IF(AM75="","",INDEX('REGISTRE ELEVES'!$E$10:$E$250,AM75))</f>
        <v/>
      </c>
      <c r="AQ75" s="51" t="str">
        <f aca="false">IF(AN75="","",IFERROR(CHOOSE($C$9,INDEX('NOTES CE1'!$M$10:$M$250,MATCH(AN75,'NOTES CE1'!$B$10:$B$250,0)),INDEX('NOTES CE1'!$T$10:$T$250,MATCH(AN75,'NOTES CE1'!$B$10:$B$250,0)),INDEX('NOTES CE1'!$AA$10:$AA$250,MATCH(AN75,'NOTES CE1'!$B$10:$B$250,0)),INDEX('NOTES CE1'!$AH$10:$AH$250,MATCH(AN75,'NOTES CE1'!$B$10:$B$250,0))),""))</f>
        <v/>
      </c>
      <c r="AR75" s="51" t="str">
        <f aca="false">IF(ISNUMBER(AQ75),AQ75+(1000-35)/1000000,"")</f>
        <v/>
      </c>
      <c r="AS75" s="51" t="str">
        <f aca="false">IF(AN75="","",IFERROR(CHOOSE($C$9,INDEX('NOTES CE1'!$G$10:$G$250,MATCH(AN75,'NOTES CE1'!$B$10:$B$250,0)),INDEX('NOTES CE1'!$N$10:$N$250,MATCH(AN75,'NOTES CE1'!$B$10:$B$250,0)),INDEX('NOTES CE1'!$U$10:$U$250,MATCH(AN75,'NOTES CE1'!$B$10:$B$250,0)),INDEX('NOTES CE1'!$AB$10:$AB$250,MATCH(AN75,'NOTES CE1'!$B$10:$B$250,0))),""))</f>
        <v/>
      </c>
      <c r="AT75" s="51" t="str">
        <f aca="false">IFERROR(MATCH("CE2-35",'REGISTRE ELEVES'!$AG$10:$AG$250,0),"")</f>
        <v/>
      </c>
      <c r="AU75" s="51" t="str">
        <f aca="false">IF(AT75="","",INDEX('REGISTRE ELEVES'!$B$10:$B$250,AT75))</f>
        <v/>
      </c>
      <c r="AV75" s="51" t="str">
        <f aca="false">IF(AT75="","",INDEX('REGISTRE ELEVES'!$D$10:$D$250,AT75))</f>
        <v/>
      </c>
      <c r="AW75" s="51" t="str">
        <f aca="false">IF(AT75="","",INDEX('REGISTRE ELEVES'!$E$10:$E$250,AT75))</f>
        <v/>
      </c>
      <c r="AX75" s="51" t="str">
        <f aca="false">IF(AU75="","",IFERROR(CHOOSE($C$9,INDEX('NOTES CE2-CM1'!$M$10:$M$250,MATCH(AU75,'NOTES CE2-CM1'!$B$10:$B$250,0)),INDEX('NOTES CE2-CM1'!$T$10:$T$250,MATCH(AU75,'NOTES CE2-CM1'!$B$10:$B$250,0)),INDEX('NOTES CE2-CM1'!$AA$10:$AA$250,MATCH(AU75,'NOTES CE2-CM1'!$B$10:$B$250,0)),INDEX('NOTES CE2-CM1'!$AH$10:$AH$250,MATCH(AU75,'NOTES CE2-CM1'!$B$10:$B$250,0))),""))</f>
        <v/>
      </c>
      <c r="AY75" s="51" t="str">
        <f aca="false">IF(ISNUMBER(AX75),AX75+(1000-35)/1000000,"")</f>
        <v/>
      </c>
      <c r="AZ75" s="51" t="str">
        <f aca="false">IF(AU75="","",IFERROR(CHOOSE($C$9,INDEX('NOTES CE2-CM1'!$G$10:$G$250,MATCH(AU75,'NOTES CE2-CM1'!$B$10:$B$250,0)),INDEX('NOTES CE2-CM1'!$N$10:$N$250,MATCH(AU75,'NOTES CE2-CM1'!$B$10:$B$250,0)),INDEX('NOTES CE2-CM1'!$U$10:$U$250,MATCH(AU75,'NOTES CE2-CM1'!$B$10:$B$250,0)),INDEX('NOTES CE2-CM1'!$AB$10:$AB$250,MATCH(AU75,'NOTES CE2-CM1'!$B$10:$B$250,0))),""))</f>
        <v/>
      </c>
      <c r="BA75" s="51" t="str">
        <f aca="false">IFERROR(MATCH("CM1-35",'REGISTRE ELEVES'!$AG$10:$AG$250,0),"")</f>
        <v/>
      </c>
      <c r="BB75" s="51" t="str">
        <f aca="false">IF(BA75="","",INDEX('REGISTRE ELEVES'!$B$10:$B$250,BA75))</f>
        <v/>
      </c>
      <c r="BC75" s="51" t="str">
        <f aca="false">IF(BA75="","",INDEX('REGISTRE ELEVES'!$D$10:$D$250,BA75))</f>
        <v/>
      </c>
      <c r="BD75" s="51" t="str">
        <f aca="false">IF(BA75="","",INDEX('REGISTRE ELEVES'!$E$10:$E$250,BA75))</f>
        <v/>
      </c>
      <c r="BE75" s="51" t="str">
        <f aca="false">IF(BB75="","",IFERROR(CHOOSE($C$9,INDEX('NOTES CE2-CM1'!$M$10:$M$250,MATCH(BB75,'NOTES CE2-CM1'!$B$10:$B$250,0)),INDEX('NOTES CE2-CM1'!$T$10:$T$250,MATCH(BB75,'NOTES CE2-CM1'!$B$10:$B$250,0)),INDEX('NOTES CE2-CM1'!$AA$10:$AA$250,MATCH(BB75,'NOTES CE2-CM1'!$B$10:$B$250,0)),INDEX('NOTES CE2-CM1'!$AH$10:$AH$250,MATCH(BB75,'NOTES CE2-CM1'!$B$10:$B$250,0))),""))</f>
        <v/>
      </c>
      <c r="BF75" s="51" t="str">
        <f aca="false">IF(ISNUMBER(BE75),BE75+(1000-35)/1000000,"")</f>
        <v/>
      </c>
      <c r="BG75" s="51" t="str">
        <f aca="false">IF(BB75="","",IFERROR(CHOOSE($C$9,INDEX('NOTES CE2-CM1'!$G$10:$G$250,MATCH(BB75,'NOTES CE2-CM1'!$B$10:$B$250,0)),INDEX('NOTES CE2-CM1'!$N$10:$N$250,MATCH(BB75,'NOTES CE2-CM1'!$B$10:$B$250,0)),INDEX('NOTES CE2-CM1'!$U$10:$U$250,MATCH(BB75,'NOTES CE2-CM1'!$B$10:$B$250,0)),INDEX('NOTES CE2-CM1'!$AB$10:$AB$250,MATCH(BB75,'NOTES CE2-CM1'!$B$10:$B$250,0))),""))</f>
        <v/>
      </c>
      <c r="BH75" s="51" t="str">
        <f aca="false">IFERROR(MATCH("CM2-35",'REGISTRE ELEVES'!$AG$10:$AG$250,0),"")</f>
        <v/>
      </c>
      <c r="BI75" s="51" t="str">
        <f aca="false">IF(BH75="","",INDEX('REGISTRE ELEVES'!$B$10:$B$250,BH75))</f>
        <v/>
      </c>
      <c r="BJ75" s="51" t="str">
        <f aca="false">IF(BH75="","",INDEX('REGISTRE ELEVES'!$D$10:$D$250,BH75))</f>
        <v/>
      </c>
      <c r="BK75" s="51" t="str">
        <f aca="false">IF(BH75="","",INDEX('REGISTRE ELEVES'!$E$10:$E$250,BH75))</f>
        <v/>
      </c>
      <c r="BL75" s="51" t="str">
        <f aca="false">IF(BI75="","",IFERROR(CHOOSE($C$9,INDEX('NOTES CM2'!$M$10:$M$250,MATCH(BI75,'NOTES CM2'!$B$10:$B$250,0)),INDEX('NOTES CM2'!$T$10:$T$250,MATCH(BI75,'NOTES CM2'!$B$10:$B$250,0)),INDEX('NOTES CM2'!$AB$10:$AB$250,MATCH(BI75,'NOTES CM2'!$B$10:$B$250,0)),INDEX('NOTES CM2'!$AJ$10:$AJ$250,MATCH(BI75,'NOTES CM2'!$B$10:$B$250,0))),""))</f>
        <v/>
      </c>
      <c r="BM75" s="51" t="str">
        <f aca="false">IF(ISNUMBER(BL75),BL75+(1000-35)/1000000,"")</f>
        <v/>
      </c>
      <c r="BN75" s="51" t="str">
        <f aca="false">IF(BI75="","",IFERROR(CHOOSE($C$9,INDEX('NOTES CM2'!$G$10:$G$250,MATCH(BI75,'NOTES CM2'!$B$10:$B$250,0)),INDEX('NOTES CM2'!$N$10:$N$250,MATCH(BI75,'NOTES CM2'!$B$10:$B$250,0)),INDEX('NOTES CM2'!$U$10:$U$250,MATCH(BI75,'NOTES CM2'!$B$10:$B$250,0)),INDEX('NOTES CM2'!$AC$10:$AC$250,MATCH(BI75,'NOTES CM2'!$B$10:$B$250,0))),""))</f>
        <v/>
      </c>
    </row>
    <row r="76" customFormat="false" ht="15" hidden="false" customHeight="false" outlineLevel="0" collapsed="false">
      <c r="Y76" s="51" t="str">
        <f aca="false">IFERROR(MATCH("CP1-36",'REGISTRE ELEVES'!$AG$10:$AG$250,0),"")</f>
        <v/>
      </c>
      <c r="Z76" s="51" t="str">
        <f aca="false">IF(Y76="","",INDEX('REGISTRE ELEVES'!$B$10:$B$250,Y76))</f>
        <v/>
      </c>
      <c r="AA76" s="51" t="str">
        <f aca="false">IF(Y76="","",INDEX('REGISTRE ELEVES'!$D$10:$D$250,Y76))</f>
        <v/>
      </c>
      <c r="AB76" s="51" t="str">
        <f aca="false">IF(Y76="","",INDEX('REGISTRE ELEVES'!$E$10:$E$250,Y76))</f>
        <v/>
      </c>
      <c r="AC76" s="51" t="str">
        <f aca="false">IF(Z76="","",IFERROR(CHOOSE($C$9,INDEX('NOTES CP'!$P$10:$P$250,MATCH(Z76,'NOTES CP'!$B$10:$B$250,0)),INDEX('NOTES CP'!$Z$10:$Z$250,MATCH(Z76,'NOTES CP'!$B$10:$B$250,0)),INDEX('NOTES CP'!$AJ$10:$AJ$250,MATCH(Z76,'NOTES CP'!$B$10:$B$250,0)),INDEX('NOTES CP'!$AT$10:$AT$250,MATCH(Z76,'NOTES CP'!$B$10:$B$250,0))),""))</f>
        <v/>
      </c>
      <c r="AD76" s="51" t="str">
        <f aca="false">IF(ISNUMBER(AC76),AC76+(1000-36)/1000000,"")</f>
        <v/>
      </c>
      <c r="AE76" s="51" t="str">
        <f aca="false">IF(Z76="","",IFERROR(CHOOSE($C$9,INDEX('NOTES CP'!$G$10:$G$250,MATCH(Z76,'NOTES CP'!$B$10:$B$250,0)),INDEX('NOTES CP'!$Q$10:$Q$250,MATCH(Z76,'NOTES CP'!$B$10:$B$250,0)),INDEX('NOTES CP'!$AA$10:$AA$250,MATCH(Z76,'NOTES CP'!$B$10:$B$250,0)),INDEX('NOTES CP'!$AK$10:$AK$250,MATCH(Z76,'NOTES CP'!$B$10:$B$250,0))),""))</f>
        <v/>
      </c>
      <c r="AF76" s="51" t="str">
        <f aca="false">IFERROR(MATCH("CP2-36",'REGISTRE ELEVES'!$AG$10:$AG$250,0),"")</f>
        <v/>
      </c>
      <c r="AG76" s="51" t="str">
        <f aca="false">IF(AF76="","",INDEX('REGISTRE ELEVES'!$B$10:$B$250,AF76))</f>
        <v/>
      </c>
      <c r="AH76" s="51" t="str">
        <f aca="false">IF(AF76="","",INDEX('REGISTRE ELEVES'!$D$10:$D$250,AF76))</f>
        <v/>
      </c>
      <c r="AI76" s="51" t="str">
        <f aca="false">IF(AF76="","",INDEX('REGISTRE ELEVES'!$E$10:$E$250,AF76))</f>
        <v/>
      </c>
      <c r="AJ76" s="51" t="str">
        <f aca="false">IF(AG76="","",IFERROR(CHOOSE($C$9,INDEX('NOTES CP'!$P$10:$P$250,MATCH(AG76,'NOTES CP'!$B$10:$B$250,0)),INDEX('NOTES CP'!$Z$10:$Z$250,MATCH(AG76,'NOTES CP'!$B$10:$B$250,0)),INDEX('NOTES CP'!$AJ$10:$AJ$250,MATCH(AG76,'NOTES CP'!$B$10:$B$250,0)),INDEX('NOTES CP'!$AT$10:$AT$250,MATCH(AG76,'NOTES CP'!$B$10:$B$250,0))),""))</f>
        <v/>
      </c>
      <c r="AK76" s="51" t="str">
        <f aca="false">IF(ISNUMBER(AJ76),AJ76+(1000-36)/1000000,"")</f>
        <v/>
      </c>
      <c r="AL76" s="51" t="str">
        <f aca="false">IF(AG76="","",IFERROR(CHOOSE($C$9,INDEX('NOTES CP'!$G$10:$G$250,MATCH(AG76,'NOTES CP'!$B$10:$B$250,0)),INDEX('NOTES CP'!$Q$10:$Q$250,MATCH(AG76,'NOTES CP'!$B$10:$B$250,0)),INDEX('NOTES CP'!$AA$10:$AA$250,MATCH(AG76,'NOTES CP'!$B$10:$B$250,0)),INDEX('NOTES CP'!$AK$10:$AK$250,MATCH(AG76,'NOTES CP'!$B$10:$B$250,0))),""))</f>
        <v/>
      </c>
      <c r="AM76" s="51" t="str">
        <f aca="false">IFERROR(MATCH("CE1-36",'REGISTRE ELEVES'!$AG$10:$AG$250,0),"")</f>
        <v/>
      </c>
      <c r="AN76" s="51" t="str">
        <f aca="false">IF(AM76="","",INDEX('REGISTRE ELEVES'!$B$10:$B$250,AM76))</f>
        <v/>
      </c>
      <c r="AO76" s="51" t="str">
        <f aca="false">IF(AM76="","",INDEX('REGISTRE ELEVES'!$D$10:$D$250,AM76))</f>
        <v/>
      </c>
      <c r="AP76" s="51" t="str">
        <f aca="false">IF(AM76="","",INDEX('REGISTRE ELEVES'!$E$10:$E$250,AM76))</f>
        <v/>
      </c>
      <c r="AQ76" s="51" t="str">
        <f aca="false">IF(AN76="","",IFERROR(CHOOSE($C$9,INDEX('NOTES CE1'!$M$10:$M$250,MATCH(AN76,'NOTES CE1'!$B$10:$B$250,0)),INDEX('NOTES CE1'!$T$10:$T$250,MATCH(AN76,'NOTES CE1'!$B$10:$B$250,0)),INDEX('NOTES CE1'!$AA$10:$AA$250,MATCH(AN76,'NOTES CE1'!$B$10:$B$250,0)),INDEX('NOTES CE1'!$AH$10:$AH$250,MATCH(AN76,'NOTES CE1'!$B$10:$B$250,0))),""))</f>
        <v/>
      </c>
      <c r="AR76" s="51" t="str">
        <f aca="false">IF(ISNUMBER(AQ76),AQ76+(1000-36)/1000000,"")</f>
        <v/>
      </c>
      <c r="AS76" s="51" t="str">
        <f aca="false">IF(AN76="","",IFERROR(CHOOSE($C$9,INDEX('NOTES CE1'!$G$10:$G$250,MATCH(AN76,'NOTES CE1'!$B$10:$B$250,0)),INDEX('NOTES CE1'!$N$10:$N$250,MATCH(AN76,'NOTES CE1'!$B$10:$B$250,0)),INDEX('NOTES CE1'!$U$10:$U$250,MATCH(AN76,'NOTES CE1'!$B$10:$B$250,0)),INDEX('NOTES CE1'!$AB$10:$AB$250,MATCH(AN76,'NOTES CE1'!$B$10:$B$250,0))),""))</f>
        <v/>
      </c>
      <c r="AT76" s="51" t="str">
        <f aca="false">IFERROR(MATCH("CE2-36",'REGISTRE ELEVES'!$AG$10:$AG$250,0),"")</f>
        <v/>
      </c>
      <c r="AU76" s="51" t="str">
        <f aca="false">IF(AT76="","",INDEX('REGISTRE ELEVES'!$B$10:$B$250,AT76))</f>
        <v/>
      </c>
      <c r="AV76" s="51" t="str">
        <f aca="false">IF(AT76="","",INDEX('REGISTRE ELEVES'!$D$10:$D$250,AT76))</f>
        <v/>
      </c>
      <c r="AW76" s="51" t="str">
        <f aca="false">IF(AT76="","",INDEX('REGISTRE ELEVES'!$E$10:$E$250,AT76))</f>
        <v/>
      </c>
      <c r="AX76" s="51" t="str">
        <f aca="false">IF(AU76="","",IFERROR(CHOOSE($C$9,INDEX('NOTES CE2-CM1'!$M$10:$M$250,MATCH(AU76,'NOTES CE2-CM1'!$B$10:$B$250,0)),INDEX('NOTES CE2-CM1'!$T$10:$T$250,MATCH(AU76,'NOTES CE2-CM1'!$B$10:$B$250,0)),INDEX('NOTES CE2-CM1'!$AA$10:$AA$250,MATCH(AU76,'NOTES CE2-CM1'!$B$10:$B$250,0)),INDEX('NOTES CE2-CM1'!$AH$10:$AH$250,MATCH(AU76,'NOTES CE2-CM1'!$B$10:$B$250,0))),""))</f>
        <v/>
      </c>
      <c r="AY76" s="51" t="str">
        <f aca="false">IF(ISNUMBER(AX76),AX76+(1000-36)/1000000,"")</f>
        <v/>
      </c>
      <c r="AZ76" s="51" t="str">
        <f aca="false">IF(AU76="","",IFERROR(CHOOSE($C$9,INDEX('NOTES CE2-CM1'!$G$10:$G$250,MATCH(AU76,'NOTES CE2-CM1'!$B$10:$B$250,0)),INDEX('NOTES CE2-CM1'!$N$10:$N$250,MATCH(AU76,'NOTES CE2-CM1'!$B$10:$B$250,0)),INDEX('NOTES CE2-CM1'!$U$10:$U$250,MATCH(AU76,'NOTES CE2-CM1'!$B$10:$B$250,0)),INDEX('NOTES CE2-CM1'!$AB$10:$AB$250,MATCH(AU76,'NOTES CE2-CM1'!$B$10:$B$250,0))),""))</f>
        <v/>
      </c>
      <c r="BA76" s="51" t="str">
        <f aca="false">IFERROR(MATCH("CM1-36",'REGISTRE ELEVES'!$AG$10:$AG$250,0),"")</f>
        <v/>
      </c>
      <c r="BB76" s="51" t="str">
        <f aca="false">IF(BA76="","",INDEX('REGISTRE ELEVES'!$B$10:$B$250,BA76))</f>
        <v/>
      </c>
      <c r="BC76" s="51" t="str">
        <f aca="false">IF(BA76="","",INDEX('REGISTRE ELEVES'!$D$10:$D$250,BA76))</f>
        <v/>
      </c>
      <c r="BD76" s="51" t="str">
        <f aca="false">IF(BA76="","",INDEX('REGISTRE ELEVES'!$E$10:$E$250,BA76))</f>
        <v/>
      </c>
      <c r="BE76" s="51" t="str">
        <f aca="false">IF(BB76="","",IFERROR(CHOOSE($C$9,INDEX('NOTES CE2-CM1'!$M$10:$M$250,MATCH(BB76,'NOTES CE2-CM1'!$B$10:$B$250,0)),INDEX('NOTES CE2-CM1'!$T$10:$T$250,MATCH(BB76,'NOTES CE2-CM1'!$B$10:$B$250,0)),INDEX('NOTES CE2-CM1'!$AA$10:$AA$250,MATCH(BB76,'NOTES CE2-CM1'!$B$10:$B$250,0)),INDEX('NOTES CE2-CM1'!$AH$10:$AH$250,MATCH(BB76,'NOTES CE2-CM1'!$B$10:$B$250,0))),""))</f>
        <v/>
      </c>
      <c r="BF76" s="51" t="str">
        <f aca="false">IF(ISNUMBER(BE76),BE76+(1000-36)/1000000,"")</f>
        <v/>
      </c>
      <c r="BG76" s="51" t="str">
        <f aca="false">IF(BB76="","",IFERROR(CHOOSE($C$9,INDEX('NOTES CE2-CM1'!$G$10:$G$250,MATCH(BB76,'NOTES CE2-CM1'!$B$10:$B$250,0)),INDEX('NOTES CE2-CM1'!$N$10:$N$250,MATCH(BB76,'NOTES CE2-CM1'!$B$10:$B$250,0)),INDEX('NOTES CE2-CM1'!$U$10:$U$250,MATCH(BB76,'NOTES CE2-CM1'!$B$10:$B$250,0)),INDEX('NOTES CE2-CM1'!$AB$10:$AB$250,MATCH(BB76,'NOTES CE2-CM1'!$B$10:$B$250,0))),""))</f>
        <v/>
      </c>
      <c r="BH76" s="51" t="str">
        <f aca="false">IFERROR(MATCH("CM2-36",'REGISTRE ELEVES'!$AG$10:$AG$250,0),"")</f>
        <v/>
      </c>
      <c r="BI76" s="51" t="str">
        <f aca="false">IF(BH76="","",INDEX('REGISTRE ELEVES'!$B$10:$B$250,BH76))</f>
        <v/>
      </c>
      <c r="BJ76" s="51" t="str">
        <f aca="false">IF(BH76="","",INDEX('REGISTRE ELEVES'!$D$10:$D$250,BH76))</f>
        <v/>
      </c>
      <c r="BK76" s="51" t="str">
        <f aca="false">IF(BH76="","",INDEX('REGISTRE ELEVES'!$E$10:$E$250,BH76))</f>
        <v/>
      </c>
      <c r="BL76" s="51" t="str">
        <f aca="false">IF(BI76="","",IFERROR(CHOOSE($C$9,INDEX('NOTES CM2'!$M$10:$M$250,MATCH(BI76,'NOTES CM2'!$B$10:$B$250,0)),INDEX('NOTES CM2'!$T$10:$T$250,MATCH(BI76,'NOTES CM2'!$B$10:$B$250,0)),INDEX('NOTES CM2'!$AB$10:$AB$250,MATCH(BI76,'NOTES CM2'!$B$10:$B$250,0)),INDEX('NOTES CM2'!$AJ$10:$AJ$250,MATCH(BI76,'NOTES CM2'!$B$10:$B$250,0))),""))</f>
        <v/>
      </c>
      <c r="BM76" s="51" t="str">
        <f aca="false">IF(ISNUMBER(BL76),BL76+(1000-36)/1000000,"")</f>
        <v/>
      </c>
      <c r="BN76" s="51" t="str">
        <f aca="false">IF(BI76="","",IFERROR(CHOOSE($C$9,INDEX('NOTES CM2'!$G$10:$G$250,MATCH(BI76,'NOTES CM2'!$B$10:$B$250,0)),INDEX('NOTES CM2'!$N$10:$N$250,MATCH(BI76,'NOTES CM2'!$B$10:$B$250,0)),INDEX('NOTES CM2'!$U$10:$U$250,MATCH(BI76,'NOTES CM2'!$B$10:$B$250,0)),INDEX('NOTES CM2'!$AC$10:$AC$250,MATCH(BI76,'NOTES CM2'!$B$10:$B$250,0))),""))</f>
        <v/>
      </c>
    </row>
    <row r="77" customFormat="false" ht="15" hidden="false" customHeight="false" outlineLevel="0" collapsed="false">
      <c r="Y77" s="51" t="str">
        <f aca="false">IFERROR(MATCH("CP1-37",'REGISTRE ELEVES'!$AG$10:$AG$250,0),"")</f>
        <v/>
      </c>
      <c r="Z77" s="51" t="str">
        <f aca="false">IF(Y77="","",INDEX('REGISTRE ELEVES'!$B$10:$B$250,Y77))</f>
        <v/>
      </c>
      <c r="AA77" s="51" t="str">
        <f aca="false">IF(Y77="","",INDEX('REGISTRE ELEVES'!$D$10:$D$250,Y77))</f>
        <v/>
      </c>
      <c r="AB77" s="51" t="str">
        <f aca="false">IF(Y77="","",INDEX('REGISTRE ELEVES'!$E$10:$E$250,Y77))</f>
        <v/>
      </c>
      <c r="AC77" s="51" t="str">
        <f aca="false">IF(Z77="","",IFERROR(CHOOSE($C$9,INDEX('NOTES CP'!$P$10:$P$250,MATCH(Z77,'NOTES CP'!$B$10:$B$250,0)),INDEX('NOTES CP'!$Z$10:$Z$250,MATCH(Z77,'NOTES CP'!$B$10:$B$250,0)),INDEX('NOTES CP'!$AJ$10:$AJ$250,MATCH(Z77,'NOTES CP'!$B$10:$B$250,0)),INDEX('NOTES CP'!$AT$10:$AT$250,MATCH(Z77,'NOTES CP'!$B$10:$B$250,0))),""))</f>
        <v/>
      </c>
      <c r="AD77" s="51" t="str">
        <f aca="false">IF(ISNUMBER(AC77),AC77+(1000-37)/1000000,"")</f>
        <v/>
      </c>
      <c r="AE77" s="51" t="str">
        <f aca="false">IF(Z77="","",IFERROR(CHOOSE($C$9,INDEX('NOTES CP'!$G$10:$G$250,MATCH(Z77,'NOTES CP'!$B$10:$B$250,0)),INDEX('NOTES CP'!$Q$10:$Q$250,MATCH(Z77,'NOTES CP'!$B$10:$B$250,0)),INDEX('NOTES CP'!$AA$10:$AA$250,MATCH(Z77,'NOTES CP'!$B$10:$B$250,0)),INDEX('NOTES CP'!$AK$10:$AK$250,MATCH(Z77,'NOTES CP'!$B$10:$B$250,0))),""))</f>
        <v/>
      </c>
      <c r="AF77" s="51" t="str">
        <f aca="false">IFERROR(MATCH("CP2-37",'REGISTRE ELEVES'!$AG$10:$AG$250,0),"")</f>
        <v/>
      </c>
      <c r="AG77" s="51" t="str">
        <f aca="false">IF(AF77="","",INDEX('REGISTRE ELEVES'!$B$10:$B$250,AF77))</f>
        <v/>
      </c>
      <c r="AH77" s="51" t="str">
        <f aca="false">IF(AF77="","",INDEX('REGISTRE ELEVES'!$D$10:$D$250,AF77))</f>
        <v/>
      </c>
      <c r="AI77" s="51" t="str">
        <f aca="false">IF(AF77="","",INDEX('REGISTRE ELEVES'!$E$10:$E$250,AF77))</f>
        <v/>
      </c>
      <c r="AJ77" s="51" t="str">
        <f aca="false">IF(AG77="","",IFERROR(CHOOSE($C$9,INDEX('NOTES CP'!$P$10:$P$250,MATCH(AG77,'NOTES CP'!$B$10:$B$250,0)),INDEX('NOTES CP'!$Z$10:$Z$250,MATCH(AG77,'NOTES CP'!$B$10:$B$250,0)),INDEX('NOTES CP'!$AJ$10:$AJ$250,MATCH(AG77,'NOTES CP'!$B$10:$B$250,0)),INDEX('NOTES CP'!$AT$10:$AT$250,MATCH(AG77,'NOTES CP'!$B$10:$B$250,0))),""))</f>
        <v/>
      </c>
      <c r="AK77" s="51" t="str">
        <f aca="false">IF(ISNUMBER(AJ77),AJ77+(1000-37)/1000000,"")</f>
        <v/>
      </c>
      <c r="AL77" s="51" t="str">
        <f aca="false">IF(AG77="","",IFERROR(CHOOSE($C$9,INDEX('NOTES CP'!$G$10:$G$250,MATCH(AG77,'NOTES CP'!$B$10:$B$250,0)),INDEX('NOTES CP'!$Q$10:$Q$250,MATCH(AG77,'NOTES CP'!$B$10:$B$250,0)),INDEX('NOTES CP'!$AA$10:$AA$250,MATCH(AG77,'NOTES CP'!$B$10:$B$250,0)),INDEX('NOTES CP'!$AK$10:$AK$250,MATCH(AG77,'NOTES CP'!$B$10:$B$250,0))),""))</f>
        <v/>
      </c>
      <c r="AM77" s="51" t="str">
        <f aca="false">IFERROR(MATCH("CE1-37",'REGISTRE ELEVES'!$AG$10:$AG$250,0),"")</f>
        <v/>
      </c>
      <c r="AN77" s="51" t="str">
        <f aca="false">IF(AM77="","",INDEX('REGISTRE ELEVES'!$B$10:$B$250,AM77))</f>
        <v/>
      </c>
      <c r="AO77" s="51" t="str">
        <f aca="false">IF(AM77="","",INDEX('REGISTRE ELEVES'!$D$10:$D$250,AM77))</f>
        <v/>
      </c>
      <c r="AP77" s="51" t="str">
        <f aca="false">IF(AM77="","",INDEX('REGISTRE ELEVES'!$E$10:$E$250,AM77))</f>
        <v/>
      </c>
      <c r="AQ77" s="51" t="str">
        <f aca="false">IF(AN77="","",IFERROR(CHOOSE($C$9,INDEX('NOTES CE1'!$M$10:$M$250,MATCH(AN77,'NOTES CE1'!$B$10:$B$250,0)),INDEX('NOTES CE1'!$T$10:$T$250,MATCH(AN77,'NOTES CE1'!$B$10:$B$250,0)),INDEX('NOTES CE1'!$AA$10:$AA$250,MATCH(AN77,'NOTES CE1'!$B$10:$B$250,0)),INDEX('NOTES CE1'!$AH$10:$AH$250,MATCH(AN77,'NOTES CE1'!$B$10:$B$250,0))),""))</f>
        <v/>
      </c>
      <c r="AR77" s="51" t="str">
        <f aca="false">IF(ISNUMBER(AQ77),AQ77+(1000-37)/1000000,"")</f>
        <v/>
      </c>
      <c r="AS77" s="51" t="str">
        <f aca="false">IF(AN77="","",IFERROR(CHOOSE($C$9,INDEX('NOTES CE1'!$G$10:$G$250,MATCH(AN77,'NOTES CE1'!$B$10:$B$250,0)),INDEX('NOTES CE1'!$N$10:$N$250,MATCH(AN77,'NOTES CE1'!$B$10:$B$250,0)),INDEX('NOTES CE1'!$U$10:$U$250,MATCH(AN77,'NOTES CE1'!$B$10:$B$250,0)),INDEX('NOTES CE1'!$AB$10:$AB$250,MATCH(AN77,'NOTES CE1'!$B$10:$B$250,0))),""))</f>
        <v/>
      </c>
      <c r="AT77" s="51" t="str">
        <f aca="false">IFERROR(MATCH("CE2-37",'REGISTRE ELEVES'!$AG$10:$AG$250,0),"")</f>
        <v/>
      </c>
      <c r="AU77" s="51" t="str">
        <f aca="false">IF(AT77="","",INDEX('REGISTRE ELEVES'!$B$10:$B$250,AT77))</f>
        <v/>
      </c>
      <c r="AV77" s="51" t="str">
        <f aca="false">IF(AT77="","",INDEX('REGISTRE ELEVES'!$D$10:$D$250,AT77))</f>
        <v/>
      </c>
      <c r="AW77" s="51" t="str">
        <f aca="false">IF(AT77="","",INDEX('REGISTRE ELEVES'!$E$10:$E$250,AT77))</f>
        <v/>
      </c>
      <c r="AX77" s="51" t="str">
        <f aca="false">IF(AU77="","",IFERROR(CHOOSE($C$9,INDEX('NOTES CE2-CM1'!$M$10:$M$250,MATCH(AU77,'NOTES CE2-CM1'!$B$10:$B$250,0)),INDEX('NOTES CE2-CM1'!$T$10:$T$250,MATCH(AU77,'NOTES CE2-CM1'!$B$10:$B$250,0)),INDEX('NOTES CE2-CM1'!$AA$10:$AA$250,MATCH(AU77,'NOTES CE2-CM1'!$B$10:$B$250,0)),INDEX('NOTES CE2-CM1'!$AH$10:$AH$250,MATCH(AU77,'NOTES CE2-CM1'!$B$10:$B$250,0))),""))</f>
        <v/>
      </c>
      <c r="AY77" s="51" t="str">
        <f aca="false">IF(ISNUMBER(AX77),AX77+(1000-37)/1000000,"")</f>
        <v/>
      </c>
      <c r="AZ77" s="51" t="str">
        <f aca="false">IF(AU77="","",IFERROR(CHOOSE($C$9,INDEX('NOTES CE2-CM1'!$G$10:$G$250,MATCH(AU77,'NOTES CE2-CM1'!$B$10:$B$250,0)),INDEX('NOTES CE2-CM1'!$N$10:$N$250,MATCH(AU77,'NOTES CE2-CM1'!$B$10:$B$250,0)),INDEX('NOTES CE2-CM1'!$U$10:$U$250,MATCH(AU77,'NOTES CE2-CM1'!$B$10:$B$250,0)),INDEX('NOTES CE2-CM1'!$AB$10:$AB$250,MATCH(AU77,'NOTES CE2-CM1'!$B$10:$B$250,0))),""))</f>
        <v/>
      </c>
      <c r="BA77" s="51" t="str">
        <f aca="false">IFERROR(MATCH("CM1-37",'REGISTRE ELEVES'!$AG$10:$AG$250,0),"")</f>
        <v/>
      </c>
      <c r="BB77" s="51" t="str">
        <f aca="false">IF(BA77="","",INDEX('REGISTRE ELEVES'!$B$10:$B$250,BA77))</f>
        <v/>
      </c>
      <c r="BC77" s="51" t="str">
        <f aca="false">IF(BA77="","",INDEX('REGISTRE ELEVES'!$D$10:$D$250,BA77))</f>
        <v/>
      </c>
      <c r="BD77" s="51" t="str">
        <f aca="false">IF(BA77="","",INDEX('REGISTRE ELEVES'!$E$10:$E$250,BA77))</f>
        <v/>
      </c>
      <c r="BE77" s="51" t="str">
        <f aca="false">IF(BB77="","",IFERROR(CHOOSE($C$9,INDEX('NOTES CE2-CM1'!$M$10:$M$250,MATCH(BB77,'NOTES CE2-CM1'!$B$10:$B$250,0)),INDEX('NOTES CE2-CM1'!$T$10:$T$250,MATCH(BB77,'NOTES CE2-CM1'!$B$10:$B$250,0)),INDEX('NOTES CE2-CM1'!$AA$10:$AA$250,MATCH(BB77,'NOTES CE2-CM1'!$B$10:$B$250,0)),INDEX('NOTES CE2-CM1'!$AH$10:$AH$250,MATCH(BB77,'NOTES CE2-CM1'!$B$10:$B$250,0))),""))</f>
        <v/>
      </c>
      <c r="BF77" s="51" t="str">
        <f aca="false">IF(ISNUMBER(BE77),BE77+(1000-37)/1000000,"")</f>
        <v/>
      </c>
      <c r="BG77" s="51" t="str">
        <f aca="false">IF(BB77="","",IFERROR(CHOOSE($C$9,INDEX('NOTES CE2-CM1'!$G$10:$G$250,MATCH(BB77,'NOTES CE2-CM1'!$B$10:$B$250,0)),INDEX('NOTES CE2-CM1'!$N$10:$N$250,MATCH(BB77,'NOTES CE2-CM1'!$B$10:$B$250,0)),INDEX('NOTES CE2-CM1'!$U$10:$U$250,MATCH(BB77,'NOTES CE2-CM1'!$B$10:$B$250,0)),INDEX('NOTES CE2-CM1'!$AB$10:$AB$250,MATCH(BB77,'NOTES CE2-CM1'!$B$10:$B$250,0))),""))</f>
        <v/>
      </c>
      <c r="BH77" s="51" t="str">
        <f aca="false">IFERROR(MATCH("CM2-37",'REGISTRE ELEVES'!$AG$10:$AG$250,0),"")</f>
        <v/>
      </c>
      <c r="BI77" s="51" t="str">
        <f aca="false">IF(BH77="","",INDEX('REGISTRE ELEVES'!$B$10:$B$250,BH77))</f>
        <v/>
      </c>
      <c r="BJ77" s="51" t="str">
        <f aca="false">IF(BH77="","",INDEX('REGISTRE ELEVES'!$D$10:$D$250,BH77))</f>
        <v/>
      </c>
      <c r="BK77" s="51" t="str">
        <f aca="false">IF(BH77="","",INDEX('REGISTRE ELEVES'!$E$10:$E$250,BH77))</f>
        <v/>
      </c>
      <c r="BL77" s="51" t="str">
        <f aca="false">IF(BI77="","",IFERROR(CHOOSE($C$9,INDEX('NOTES CM2'!$M$10:$M$250,MATCH(BI77,'NOTES CM2'!$B$10:$B$250,0)),INDEX('NOTES CM2'!$T$10:$T$250,MATCH(BI77,'NOTES CM2'!$B$10:$B$250,0)),INDEX('NOTES CM2'!$AB$10:$AB$250,MATCH(BI77,'NOTES CM2'!$B$10:$B$250,0)),INDEX('NOTES CM2'!$AJ$10:$AJ$250,MATCH(BI77,'NOTES CM2'!$B$10:$B$250,0))),""))</f>
        <v/>
      </c>
      <c r="BM77" s="51" t="str">
        <f aca="false">IF(ISNUMBER(BL77),BL77+(1000-37)/1000000,"")</f>
        <v/>
      </c>
      <c r="BN77" s="51" t="str">
        <f aca="false">IF(BI77="","",IFERROR(CHOOSE($C$9,INDEX('NOTES CM2'!$G$10:$G$250,MATCH(BI77,'NOTES CM2'!$B$10:$B$250,0)),INDEX('NOTES CM2'!$N$10:$N$250,MATCH(BI77,'NOTES CM2'!$B$10:$B$250,0)),INDEX('NOTES CM2'!$U$10:$U$250,MATCH(BI77,'NOTES CM2'!$B$10:$B$250,0)),INDEX('NOTES CM2'!$AC$10:$AC$250,MATCH(BI77,'NOTES CM2'!$B$10:$B$250,0))),""))</f>
        <v/>
      </c>
    </row>
    <row r="78" customFormat="false" ht="15" hidden="false" customHeight="false" outlineLevel="0" collapsed="false">
      <c r="Y78" s="51" t="str">
        <f aca="false">IFERROR(MATCH("CP1-38",'REGISTRE ELEVES'!$AG$10:$AG$250,0),"")</f>
        <v/>
      </c>
      <c r="Z78" s="51" t="str">
        <f aca="false">IF(Y78="","",INDEX('REGISTRE ELEVES'!$B$10:$B$250,Y78))</f>
        <v/>
      </c>
      <c r="AA78" s="51" t="str">
        <f aca="false">IF(Y78="","",INDEX('REGISTRE ELEVES'!$D$10:$D$250,Y78))</f>
        <v/>
      </c>
      <c r="AB78" s="51" t="str">
        <f aca="false">IF(Y78="","",INDEX('REGISTRE ELEVES'!$E$10:$E$250,Y78))</f>
        <v/>
      </c>
      <c r="AC78" s="51" t="str">
        <f aca="false">IF(Z78="","",IFERROR(CHOOSE($C$9,INDEX('NOTES CP'!$P$10:$P$250,MATCH(Z78,'NOTES CP'!$B$10:$B$250,0)),INDEX('NOTES CP'!$Z$10:$Z$250,MATCH(Z78,'NOTES CP'!$B$10:$B$250,0)),INDEX('NOTES CP'!$AJ$10:$AJ$250,MATCH(Z78,'NOTES CP'!$B$10:$B$250,0)),INDEX('NOTES CP'!$AT$10:$AT$250,MATCH(Z78,'NOTES CP'!$B$10:$B$250,0))),""))</f>
        <v/>
      </c>
      <c r="AD78" s="51" t="str">
        <f aca="false">IF(ISNUMBER(AC78),AC78+(1000-38)/1000000,"")</f>
        <v/>
      </c>
      <c r="AE78" s="51" t="str">
        <f aca="false">IF(Z78="","",IFERROR(CHOOSE($C$9,INDEX('NOTES CP'!$G$10:$G$250,MATCH(Z78,'NOTES CP'!$B$10:$B$250,0)),INDEX('NOTES CP'!$Q$10:$Q$250,MATCH(Z78,'NOTES CP'!$B$10:$B$250,0)),INDEX('NOTES CP'!$AA$10:$AA$250,MATCH(Z78,'NOTES CP'!$B$10:$B$250,0)),INDEX('NOTES CP'!$AK$10:$AK$250,MATCH(Z78,'NOTES CP'!$B$10:$B$250,0))),""))</f>
        <v/>
      </c>
      <c r="AF78" s="51" t="str">
        <f aca="false">IFERROR(MATCH("CP2-38",'REGISTRE ELEVES'!$AG$10:$AG$250,0),"")</f>
        <v/>
      </c>
      <c r="AG78" s="51" t="str">
        <f aca="false">IF(AF78="","",INDEX('REGISTRE ELEVES'!$B$10:$B$250,AF78))</f>
        <v/>
      </c>
      <c r="AH78" s="51" t="str">
        <f aca="false">IF(AF78="","",INDEX('REGISTRE ELEVES'!$D$10:$D$250,AF78))</f>
        <v/>
      </c>
      <c r="AI78" s="51" t="str">
        <f aca="false">IF(AF78="","",INDEX('REGISTRE ELEVES'!$E$10:$E$250,AF78))</f>
        <v/>
      </c>
      <c r="AJ78" s="51" t="str">
        <f aca="false">IF(AG78="","",IFERROR(CHOOSE($C$9,INDEX('NOTES CP'!$P$10:$P$250,MATCH(AG78,'NOTES CP'!$B$10:$B$250,0)),INDEX('NOTES CP'!$Z$10:$Z$250,MATCH(AG78,'NOTES CP'!$B$10:$B$250,0)),INDEX('NOTES CP'!$AJ$10:$AJ$250,MATCH(AG78,'NOTES CP'!$B$10:$B$250,0)),INDEX('NOTES CP'!$AT$10:$AT$250,MATCH(AG78,'NOTES CP'!$B$10:$B$250,0))),""))</f>
        <v/>
      </c>
      <c r="AK78" s="51" t="str">
        <f aca="false">IF(ISNUMBER(AJ78),AJ78+(1000-38)/1000000,"")</f>
        <v/>
      </c>
      <c r="AL78" s="51" t="str">
        <f aca="false">IF(AG78="","",IFERROR(CHOOSE($C$9,INDEX('NOTES CP'!$G$10:$G$250,MATCH(AG78,'NOTES CP'!$B$10:$B$250,0)),INDEX('NOTES CP'!$Q$10:$Q$250,MATCH(AG78,'NOTES CP'!$B$10:$B$250,0)),INDEX('NOTES CP'!$AA$10:$AA$250,MATCH(AG78,'NOTES CP'!$B$10:$B$250,0)),INDEX('NOTES CP'!$AK$10:$AK$250,MATCH(AG78,'NOTES CP'!$B$10:$B$250,0))),""))</f>
        <v/>
      </c>
      <c r="AM78" s="51" t="str">
        <f aca="false">IFERROR(MATCH("CE1-38",'REGISTRE ELEVES'!$AG$10:$AG$250,0),"")</f>
        <v/>
      </c>
      <c r="AN78" s="51" t="str">
        <f aca="false">IF(AM78="","",INDEX('REGISTRE ELEVES'!$B$10:$B$250,AM78))</f>
        <v/>
      </c>
      <c r="AO78" s="51" t="str">
        <f aca="false">IF(AM78="","",INDEX('REGISTRE ELEVES'!$D$10:$D$250,AM78))</f>
        <v/>
      </c>
      <c r="AP78" s="51" t="str">
        <f aca="false">IF(AM78="","",INDEX('REGISTRE ELEVES'!$E$10:$E$250,AM78))</f>
        <v/>
      </c>
      <c r="AQ78" s="51" t="str">
        <f aca="false">IF(AN78="","",IFERROR(CHOOSE($C$9,INDEX('NOTES CE1'!$M$10:$M$250,MATCH(AN78,'NOTES CE1'!$B$10:$B$250,0)),INDEX('NOTES CE1'!$T$10:$T$250,MATCH(AN78,'NOTES CE1'!$B$10:$B$250,0)),INDEX('NOTES CE1'!$AA$10:$AA$250,MATCH(AN78,'NOTES CE1'!$B$10:$B$250,0)),INDEX('NOTES CE1'!$AH$10:$AH$250,MATCH(AN78,'NOTES CE1'!$B$10:$B$250,0))),""))</f>
        <v/>
      </c>
      <c r="AR78" s="51" t="str">
        <f aca="false">IF(ISNUMBER(AQ78),AQ78+(1000-38)/1000000,"")</f>
        <v/>
      </c>
      <c r="AS78" s="51" t="str">
        <f aca="false">IF(AN78="","",IFERROR(CHOOSE($C$9,INDEX('NOTES CE1'!$G$10:$G$250,MATCH(AN78,'NOTES CE1'!$B$10:$B$250,0)),INDEX('NOTES CE1'!$N$10:$N$250,MATCH(AN78,'NOTES CE1'!$B$10:$B$250,0)),INDEX('NOTES CE1'!$U$10:$U$250,MATCH(AN78,'NOTES CE1'!$B$10:$B$250,0)),INDEX('NOTES CE1'!$AB$10:$AB$250,MATCH(AN78,'NOTES CE1'!$B$10:$B$250,0))),""))</f>
        <v/>
      </c>
      <c r="AT78" s="51" t="str">
        <f aca="false">IFERROR(MATCH("CE2-38",'REGISTRE ELEVES'!$AG$10:$AG$250,0),"")</f>
        <v/>
      </c>
      <c r="AU78" s="51" t="str">
        <f aca="false">IF(AT78="","",INDEX('REGISTRE ELEVES'!$B$10:$B$250,AT78))</f>
        <v/>
      </c>
      <c r="AV78" s="51" t="str">
        <f aca="false">IF(AT78="","",INDEX('REGISTRE ELEVES'!$D$10:$D$250,AT78))</f>
        <v/>
      </c>
      <c r="AW78" s="51" t="str">
        <f aca="false">IF(AT78="","",INDEX('REGISTRE ELEVES'!$E$10:$E$250,AT78))</f>
        <v/>
      </c>
      <c r="AX78" s="51" t="str">
        <f aca="false">IF(AU78="","",IFERROR(CHOOSE($C$9,INDEX('NOTES CE2-CM1'!$M$10:$M$250,MATCH(AU78,'NOTES CE2-CM1'!$B$10:$B$250,0)),INDEX('NOTES CE2-CM1'!$T$10:$T$250,MATCH(AU78,'NOTES CE2-CM1'!$B$10:$B$250,0)),INDEX('NOTES CE2-CM1'!$AA$10:$AA$250,MATCH(AU78,'NOTES CE2-CM1'!$B$10:$B$250,0)),INDEX('NOTES CE2-CM1'!$AH$10:$AH$250,MATCH(AU78,'NOTES CE2-CM1'!$B$10:$B$250,0))),""))</f>
        <v/>
      </c>
      <c r="AY78" s="51" t="str">
        <f aca="false">IF(ISNUMBER(AX78),AX78+(1000-38)/1000000,"")</f>
        <v/>
      </c>
      <c r="AZ78" s="51" t="str">
        <f aca="false">IF(AU78="","",IFERROR(CHOOSE($C$9,INDEX('NOTES CE2-CM1'!$G$10:$G$250,MATCH(AU78,'NOTES CE2-CM1'!$B$10:$B$250,0)),INDEX('NOTES CE2-CM1'!$N$10:$N$250,MATCH(AU78,'NOTES CE2-CM1'!$B$10:$B$250,0)),INDEX('NOTES CE2-CM1'!$U$10:$U$250,MATCH(AU78,'NOTES CE2-CM1'!$B$10:$B$250,0)),INDEX('NOTES CE2-CM1'!$AB$10:$AB$250,MATCH(AU78,'NOTES CE2-CM1'!$B$10:$B$250,0))),""))</f>
        <v/>
      </c>
      <c r="BA78" s="51" t="str">
        <f aca="false">IFERROR(MATCH("CM1-38",'REGISTRE ELEVES'!$AG$10:$AG$250,0),"")</f>
        <v/>
      </c>
      <c r="BB78" s="51" t="str">
        <f aca="false">IF(BA78="","",INDEX('REGISTRE ELEVES'!$B$10:$B$250,BA78))</f>
        <v/>
      </c>
      <c r="BC78" s="51" t="str">
        <f aca="false">IF(BA78="","",INDEX('REGISTRE ELEVES'!$D$10:$D$250,BA78))</f>
        <v/>
      </c>
      <c r="BD78" s="51" t="str">
        <f aca="false">IF(BA78="","",INDEX('REGISTRE ELEVES'!$E$10:$E$250,BA78))</f>
        <v/>
      </c>
      <c r="BE78" s="51" t="str">
        <f aca="false">IF(BB78="","",IFERROR(CHOOSE($C$9,INDEX('NOTES CE2-CM1'!$M$10:$M$250,MATCH(BB78,'NOTES CE2-CM1'!$B$10:$B$250,0)),INDEX('NOTES CE2-CM1'!$T$10:$T$250,MATCH(BB78,'NOTES CE2-CM1'!$B$10:$B$250,0)),INDEX('NOTES CE2-CM1'!$AA$10:$AA$250,MATCH(BB78,'NOTES CE2-CM1'!$B$10:$B$250,0)),INDEX('NOTES CE2-CM1'!$AH$10:$AH$250,MATCH(BB78,'NOTES CE2-CM1'!$B$10:$B$250,0))),""))</f>
        <v/>
      </c>
      <c r="BF78" s="51" t="str">
        <f aca="false">IF(ISNUMBER(BE78),BE78+(1000-38)/1000000,"")</f>
        <v/>
      </c>
      <c r="BG78" s="51" t="str">
        <f aca="false">IF(BB78="","",IFERROR(CHOOSE($C$9,INDEX('NOTES CE2-CM1'!$G$10:$G$250,MATCH(BB78,'NOTES CE2-CM1'!$B$10:$B$250,0)),INDEX('NOTES CE2-CM1'!$N$10:$N$250,MATCH(BB78,'NOTES CE2-CM1'!$B$10:$B$250,0)),INDEX('NOTES CE2-CM1'!$U$10:$U$250,MATCH(BB78,'NOTES CE2-CM1'!$B$10:$B$250,0)),INDEX('NOTES CE2-CM1'!$AB$10:$AB$250,MATCH(BB78,'NOTES CE2-CM1'!$B$10:$B$250,0))),""))</f>
        <v/>
      </c>
      <c r="BH78" s="51" t="str">
        <f aca="false">IFERROR(MATCH("CM2-38",'REGISTRE ELEVES'!$AG$10:$AG$250,0),"")</f>
        <v/>
      </c>
      <c r="BI78" s="51" t="str">
        <f aca="false">IF(BH78="","",INDEX('REGISTRE ELEVES'!$B$10:$B$250,BH78))</f>
        <v/>
      </c>
      <c r="BJ78" s="51" t="str">
        <f aca="false">IF(BH78="","",INDEX('REGISTRE ELEVES'!$D$10:$D$250,BH78))</f>
        <v/>
      </c>
      <c r="BK78" s="51" t="str">
        <f aca="false">IF(BH78="","",INDEX('REGISTRE ELEVES'!$E$10:$E$250,BH78))</f>
        <v/>
      </c>
      <c r="BL78" s="51" t="str">
        <f aca="false">IF(BI78="","",IFERROR(CHOOSE($C$9,INDEX('NOTES CM2'!$M$10:$M$250,MATCH(BI78,'NOTES CM2'!$B$10:$B$250,0)),INDEX('NOTES CM2'!$T$10:$T$250,MATCH(BI78,'NOTES CM2'!$B$10:$B$250,0)),INDEX('NOTES CM2'!$AB$10:$AB$250,MATCH(BI78,'NOTES CM2'!$B$10:$B$250,0)),INDEX('NOTES CM2'!$AJ$10:$AJ$250,MATCH(BI78,'NOTES CM2'!$B$10:$B$250,0))),""))</f>
        <v/>
      </c>
      <c r="BM78" s="51" t="str">
        <f aca="false">IF(ISNUMBER(BL78),BL78+(1000-38)/1000000,"")</f>
        <v/>
      </c>
      <c r="BN78" s="51" t="str">
        <f aca="false">IF(BI78="","",IFERROR(CHOOSE($C$9,INDEX('NOTES CM2'!$G$10:$G$250,MATCH(BI78,'NOTES CM2'!$B$10:$B$250,0)),INDEX('NOTES CM2'!$N$10:$N$250,MATCH(BI78,'NOTES CM2'!$B$10:$B$250,0)),INDEX('NOTES CM2'!$U$10:$U$250,MATCH(BI78,'NOTES CM2'!$B$10:$B$250,0)),INDEX('NOTES CM2'!$AC$10:$AC$250,MATCH(BI78,'NOTES CM2'!$B$10:$B$250,0))),""))</f>
        <v/>
      </c>
    </row>
    <row r="79" customFormat="false" ht="15" hidden="false" customHeight="false" outlineLevel="0" collapsed="false">
      <c r="Y79" s="51" t="str">
        <f aca="false">IFERROR(MATCH("CP1-39",'REGISTRE ELEVES'!$AG$10:$AG$250,0),"")</f>
        <v/>
      </c>
      <c r="Z79" s="51" t="str">
        <f aca="false">IF(Y79="","",INDEX('REGISTRE ELEVES'!$B$10:$B$250,Y79))</f>
        <v/>
      </c>
      <c r="AA79" s="51" t="str">
        <f aca="false">IF(Y79="","",INDEX('REGISTRE ELEVES'!$D$10:$D$250,Y79))</f>
        <v/>
      </c>
      <c r="AB79" s="51" t="str">
        <f aca="false">IF(Y79="","",INDEX('REGISTRE ELEVES'!$E$10:$E$250,Y79))</f>
        <v/>
      </c>
      <c r="AC79" s="51" t="str">
        <f aca="false">IF(Z79="","",IFERROR(CHOOSE($C$9,INDEX('NOTES CP'!$P$10:$P$250,MATCH(Z79,'NOTES CP'!$B$10:$B$250,0)),INDEX('NOTES CP'!$Z$10:$Z$250,MATCH(Z79,'NOTES CP'!$B$10:$B$250,0)),INDEX('NOTES CP'!$AJ$10:$AJ$250,MATCH(Z79,'NOTES CP'!$B$10:$B$250,0)),INDEX('NOTES CP'!$AT$10:$AT$250,MATCH(Z79,'NOTES CP'!$B$10:$B$250,0))),""))</f>
        <v/>
      </c>
      <c r="AD79" s="51" t="str">
        <f aca="false">IF(ISNUMBER(AC79),AC79+(1000-39)/1000000,"")</f>
        <v/>
      </c>
      <c r="AE79" s="51" t="str">
        <f aca="false">IF(Z79="","",IFERROR(CHOOSE($C$9,INDEX('NOTES CP'!$G$10:$G$250,MATCH(Z79,'NOTES CP'!$B$10:$B$250,0)),INDEX('NOTES CP'!$Q$10:$Q$250,MATCH(Z79,'NOTES CP'!$B$10:$B$250,0)),INDEX('NOTES CP'!$AA$10:$AA$250,MATCH(Z79,'NOTES CP'!$B$10:$B$250,0)),INDEX('NOTES CP'!$AK$10:$AK$250,MATCH(Z79,'NOTES CP'!$B$10:$B$250,0))),""))</f>
        <v/>
      </c>
      <c r="AF79" s="51" t="str">
        <f aca="false">IFERROR(MATCH("CP2-39",'REGISTRE ELEVES'!$AG$10:$AG$250,0),"")</f>
        <v/>
      </c>
      <c r="AG79" s="51" t="str">
        <f aca="false">IF(AF79="","",INDEX('REGISTRE ELEVES'!$B$10:$B$250,AF79))</f>
        <v/>
      </c>
      <c r="AH79" s="51" t="str">
        <f aca="false">IF(AF79="","",INDEX('REGISTRE ELEVES'!$D$10:$D$250,AF79))</f>
        <v/>
      </c>
      <c r="AI79" s="51" t="str">
        <f aca="false">IF(AF79="","",INDEX('REGISTRE ELEVES'!$E$10:$E$250,AF79))</f>
        <v/>
      </c>
      <c r="AJ79" s="51" t="str">
        <f aca="false">IF(AG79="","",IFERROR(CHOOSE($C$9,INDEX('NOTES CP'!$P$10:$P$250,MATCH(AG79,'NOTES CP'!$B$10:$B$250,0)),INDEX('NOTES CP'!$Z$10:$Z$250,MATCH(AG79,'NOTES CP'!$B$10:$B$250,0)),INDEX('NOTES CP'!$AJ$10:$AJ$250,MATCH(AG79,'NOTES CP'!$B$10:$B$250,0)),INDEX('NOTES CP'!$AT$10:$AT$250,MATCH(AG79,'NOTES CP'!$B$10:$B$250,0))),""))</f>
        <v/>
      </c>
      <c r="AK79" s="51" t="str">
        <f aca="false">IF(ISNUMBER(AJ79),AJ79+(1000-39)/1000000,"")</f>
        <v/>
      </c>
      <c r="AL79" s="51" t="str">
        <f aca="false">IF(AG79="","",IFERROR(CHOOSE($C$9,INDEX('NOTES CP'!$G$10:$G$250,MATCH(AG79,'NOTES CP'!$B$10:$B$250,0)),INDEX('NOTES CP'!$Q$10:$Q$250,MATCH(AG79,'NOTES CP'!$B$10:$B$250,0)),INDEX('NOTES CP'!$AA$10:$AA$250,MATCH(AG79,'NOTES CP'!$B$10:$B$250,0)),INDEX('NOTES CP'!$AK$10:$AK$250,MATCH(AG79,'NOTES CP'!$B$10:$B$250,0))),""))</f>
        <v/>
      </c>
      <c r="AM79" s="51" t="str">
        <f aca="false">IFERROR(MATCH("CE1-39",'REGISTRE ELEVES'!$AG$10:$AG$250,0),"")</f>
        <v/>
      </c>
      <c r="AN79" s="51" t="str">
        <f aca="false">IF(AM79="","",INDEX('REGISTRE ELEVES'!$B$10:$B$250,AM79))</f>
        <v/>
      </c>
      <c r="AO79" s="51" t="str">
        <f aca="false">IF(AM79="","",INDEX('REGISTRE ELEVES'!$D$10:$D$250,AM79))</f>
        <v/>
      </c>
      <c r="AP79" s="51" t="str">
        <f aca="false">IF(AM79="","",INDEX('REGISTRE ELEVES'!$E$10:$E$250,AM79))</f>
        <v/>
      </c>
      <c r="AQ79" s="51" t="str">
        <f aca="false">IF(AN79="","",IFERROR(CHOOSE($C$9,INDEX('NOTES CE1'!$M$10:$M$250,MATCH(AN79,'NOTES CE1'!$B$10:$B$250,0)),INDEX('NOTES CE1'!$T$10:$T$250,MATCH(AN79,'NOTES CE1'!$B$10:$B$250,0)),INDEX('NOTES CE1'!$AA$10:$AA$250,MATCH(AN79,'NOTES CE1'!$B$10:$B$250,0)),INDEX('NOTES CE1'!$AH$10:$AH$250,MATCH(AN79,'NOTES CE1'!$B$10:$B$250,0))),""))</f>
        <v/>
      </c>
      <c r="AR79" s="51" t="str">
        <f aca="false">IF(ISNUMBER(AQ79),AQ79+(1000-39)/1000000,"")</f>
        <v/>
      </c>
      <c r="AS79" s="51" t="str">
        <f aca="false">IF(AN79="","",IFERROR(CHOOSE($C$9,INDEX('NOTES CE1'!$G$10:$G$250,MATCH(AN79,'NOTES CE1'!$B$10:$B$250,0)),INDEX('NOTES CE1'!$N$10:$N$250,MATCH(AN79,'NOTES CE1'!$B$10:$B$250,0)),INDEX('NOTES CE1'!$U$10:$U$250,MATCH(AN79,'NOTES CE1'!$B$10:$B$250,0)),INDEX('NOTES CE1'!$AB$10:$AB$250,MATCH(AN79,'NOTES CE1'!$B$10:$B$250,0))),""))</f>
        <v/>
      </c>
      <c r="AT79" s="51" t="str">
        <f aca="false">IFERROR(MATCH("CE2-39",'REGISTRE ELEVES'!$AG$10:$AG$250,0),"")</f>
        <v/>
      </c>
      <c r="AU79" s="51" t="str">
        <f aca="false">IF(AT79="","",INDEX('REGISTRE ELEVES'!$B$10:$B$250,AT79))</f>
        <v/>
      </c>
      <c r="AV79" s="51" t="str">
        <f aca="false">IF(AT79="","",INDEX('REGISTRE ELEVES'!$D$10:$D$250,AT79))</f>
        <v/>
      </c>
      <c r="AW79" s="51" t="str">
        <f aca="false">IF(AT79="","",INDEX('REGISTRE ELEVES'!$E$10:$E$250,AT79))</f>
        <v/>
      </c>
      <c r="AX79" s="51" t="str">
        <f aca="false">IF(AU79="","",IFERROR(CHOOSE($C$9,INDEX('NOTES CE2-CM1'!$M$10:$M$250,MATCH(AU79,'NOTES CE2-CM1'!$B$10:$B$250,0)),INDEX('NOTES CE2-CM1'!$T$10:$T$250,MATCH(AU79,'NOTES CE2-CM1'!$B$10:$B$250,0)),INDEX('NOTES CE2-CM1'!$AA$10:$AA$250,MATCH(AU79,'NOTES CE2-CM1'!$B$10:$B$250,0)),INDEX('NOTES CE2-CM1'!$AH$10:$AH$250,MATCH(AU79,'NOTES CE2-CM1'!$B$10:$B$250,0))),""))</f>
        <v/>
      </c>
      <c r="AY79" s="51" t="str">
        <f aca="false">IF(ISNUMBER(AX79),AX79+(1000-39)/1000000,"")</f>
        <v/>
      </c>
      <c r="AZ79" s="51" t="str">
        <f aca="false">IF(AU79="","",IFERROR(CHOOSE($C$9,INDEX('NOTES CE2-CM1'!$G$10:$G$250,MATCH(AU79,'NOTES CE2-CM1'!$B$10:$B$250,0)),INDEX('NOTES CE2-CM1'!$N$10:$N$250,MATCH(AU79,'NOTES CE2-CM1'!$B$10:$B$250,0)),INDEX('NOTES CE2-CM1'!$U$10:$U$250,MATCH(AU79,'NOTES CE2-CM1'!$B$10:$B$250,0)),INDEX('NOTES CE2-CM1'!$AB$10:$AB$250,MATCH(AU79,'NOTES CE2-CM1'!$B$10:$B$250,0))),""))</f>
        <v/>
      </c>
      <c r="BA79" s="51" t="str">
        <f aca="false">IFERROR(MATCH("CM1-39",'REGISTRE ELEVES'!$AG$10:$AG$250,0),"")</f>
        <v/>
      </c>
      <c r="BB79" s="51" t="str">
        <f aca="false">IF(BA79="","",INDEX('REGISTRE ELEVES'!$B$10:$B$250,BA79))</f>
        <v/>
      </c>
      <c r="BC79" s="51" t="str">
        <f aca="false">IF(BA79="","",INDEX('REGISTRE ELEVES'!$D$10:$D$250,BA79))</f>
        <v/>
      </c>
      <c r="BD79" s="51" t="str">
        <f aca="false">IF(BA79="","",INDEX('REGISTRE ELEVES'!$E$10:$E$250,BA79))</f>
        <v/>
      </c>
      <c r="BE79" s="51" t="str">
        <f aca="false">IF(BB79="","",IFERROR(CHOOSE($C$9,INDEX('NOTES CE2-CM1'!$M$10:$M$250,MATCH(BB79,'NOTES CE2-CM1'!$B$10:$B$250,0)),INDEX('NOTES CE2-CM1'!$T$10:$T$250,MATCH(BB79,'NOTES CE2-CM1'!$B$10:$B$250,0)),INDEX('NOTES CE2-CM1'!$AA$10:$AA$250,MATCH(BB79,'NOTES CE2-CM1'!$B$10:$B$250,0)),INDEX('NOTES CE2-CM1'!$AH$10:$AH$250,MATCH(BB79,'NOTES CE2-CM1'!$B$10:$B$250,0))),""))</f>
        <v/>
      </c>
      <c r="BF79" s="51" t="str">
        <f aca="false">IF(ISNUMBER(BE79),BE79+(1000-39)/1000000,"")</f>
        <v/>
      </c>
      <c r="BG79" s="51" t="str">
        <f aca="false">IF(BB79="","",IFERROR(CHOOSE($C$9,INDEX('NOTES CE2-CM1'!$G$10:$G$250,MATCH(BB79,'NOTES CE2-CM1'!$B$10:$B$250,0)),INDEX('NOTES CE2-CM1'!$N$10:$N$250,MATCH(BB79,'NOTES CE2-CM1'!$B$10:$B$250,0)),INDEX('NOTES CE2-CM1'!$U$10:$U$250,MATCH(BB79,'NOTES CE2-CM1'!$B$10:$B$250,0)),INDEX('NOTES CE2-CM1'!$AB$10:$AB$250,MATCH(BB79,'NOTES CE2-CM1'!$B$10:$B$250,0))),""))</f>
        <v/>
      </c>
      <c r="BH79" s="51" t="str">
        <f aca="false">IFERROR(MATCH("CM2-39",'REGISTRE ELEVES'!$AG$10:$AG$250,0),"")</f>
        <v/>
      </c>
      <c r="BI79" s="51" t="str">
        <f aca="false">IF(BH79="","",INDEX('REGISTRE ELEVES'!$B$10:$B$250,BH79))</f>
        <v/>
      </c>
      <c r="BJ79" s="51" t="str">
        <f aca="false">IF(BH79="","",INDEX('REGISTRE ELEVES'!$D$10:$D$250,BH79))</f>
        <v/>
      </c>
      <c r="BK79" s="51" t="str">
        <f aca="false">IF(BH79="","",INDEX('REGISTRE ELEVES'!$E$10:$E$250,BH79))</f>
        <v/>
      </c>
      <c r="BL79" s="51" t="str">
        <f aca="false">IF(BI79="","",IFERROR(CHOOSE($C$9,INDEX('NOTES CM2'!$M$10:$M$250,MATCH(BI79,'NOTES CM2'!$B$10:$B$250,0)),INDEX('NOTES CM2'!$T$10:$T$250,MATCH(BI79,'NOTES CM2'!$B$10:$B$250,0)),INDEX('NOTES CM2'!$AB$10:$AB$250,MATCH(BI79,'NOTES CM2'!$B$10:$B$250,0)),INDEX('NOTES CM2'!$AJ$10:$AJ$250,MATCH(BI79,'NOTES CM2'!$B$10:$B$250,0))),""))</f>
        <v/>
      </c>
      <c r="BM79" s="51" t="str">
        <f aca="false">IF(ISNUMBER(BL79),BL79+(1000-39)/1000000,"")</f>
        <v/>
      </c>
      <c r="BN79" s="51" t="str">
        <f aca="false">IF(BI79="","",IFERROR(CHOOSE($C$9,INDEX('NOTES CM2'!$G$10:$G$250,MATCH(BI79,'NOTES CM2'!$B$10:$B$250,0)),INDEX('NOTES CM2'!$N$10:$N$250,MATCH(BI79,'NOTES CM2'!$B$10:$B$250,0)),INDEX('NOTES CM2'!$U$10:$U$250,MATCH(BI79,'NOTES CM2'!$B$10:$B$250,0)),INDEX('NOTES CM2'!$AC$10:$AC$250,MATCH(BI79,'NOTES CM2'!$B$10:$B$250,0))),""))</f>
        <v/>
      </c>
    </row>
    <row r="80" customFormat="false" ht="15" hidden="false" customHeight="false" outlineLevel="0" collapsed="false">
      <c r="Y80" s="51" t="str">
        <f aca="false">IFERROR(MATCH("CP1-40",'REGISTRE ELEVES'!$AG$10:$AG$250,0),"")</f>
        <v/>
      </c>
      <c r="Z80" s="51" t="str">
        <f aca="false">IF(Y80="","",INDEX('REGISTRE ELEVES'!$B$10:$B$250,Y80))</f>
        <v/>
      </c>
      <c r="AA80" s="51" t="str">
        <f aca="false">IF(Y80="","",INDEX('REGISTRE ELEVES'!$D$10:$D$250,Y80))</f>
        <v/>
      </c>
      <c r="AB80" s="51" t="str">
        <f aca="false">IF(Y80="","",INDEX('REGISTRE ELEVES'!$E$10:$E$250,Y80))</f>
        <v/>
      </c>
      <c r="AC80" s="51" t="str">
        <f aca="false">IF(Z80="","",IFERROR(CHOOSE($C$9,INDEX('NOTES CP'!$P$10:$P$250,MATCH(Z80,'NOTES CP'!$B$10:$B$250,0)),INDEX('NOTES CP'!$Z$10:$Z$250,MATCH(Z80,'NOTES CP'!$B$10:$B$250,0)),INDEX('NOTES CP'!$AJ$10:$AJ$250,MATCH(Z80,'NOTES CP'!$B$10:$B$250,0)),INDEX('NOTES CP'!$AT$10:$AT$250,MATCH(Z80,'NOTES CP'!$B$10:$B$250,0))),""))</f>
        <v/>
      </c>
      <c r="AD80" s="51" t="str">
        <f aca="false">IF(ISNUMBER(AC80),AC80+(1000-40)/1000000,"")</f>
        <v/>
      </c>
      <c r="AE80" s="51" t="str">
        <f aca="false">IF(Z80="","",IFERROR(CHOOSE($C$9,INDEX('NOTES CP'!$G$10:$G$250,MATCH(Z80,'NOTES CP'!$B$10:$B$250,0)),INDEX('NOTES CP'!$Q$10:$Q$250,MATCH(Z80,'NOTES CP'!$B$10:$B$250,0)),INDEX('NOTES CP'!$AA$10:$AA$250,MATCH(Z80,'NOTES CP'!$B$10:$B$250,0)),INDEX('NOTES CP'!$AK$10:$AK$250,MATCH(Z80,'NOTES CP'!$B$10:$B$250,0))),""))</f>
        <v/>
      </c>
      <c r="AF80" s="51" t="str">
        <f aca="false">IFERROR(MATCH("CP2-40",'REGISTRE ELEVES'!$AG$10:$AG$250,0),"")</f>
        <v/>
      </c>
      <c r="AG80" s="51" t="str">
        <f aca="false">IF(AF80="","",INDEX('REGISTRE ELEVES'!$B$10:$B$250,AF80))</f>
        <v/>
      </c>
      <c r="AH80" s="51" t="str">
        <f aca="false">IF(AF80="","",INDEX('REGISTRE ELEVES'!$D$10:$D$250,AF80))</f>
        <v/>
      </c>
      <c r="AI80" s="51" t="str">
        <f aca="false">IF(AF80="","",INDEX('REGISTRE ELEVES'!$E$10:$E$250,AF80))</f>
        <v/>
      </c>
      <c r="AJ80" s="51" t="str">
        <f aca="false">IF(AG80="","",IFERROR(CHOOSE($C$9,INDEX('NOTES CP'!$P$10:$P$250,MATCH(AG80,'NOTES CP'!$B$10:$B$250,0)),INDEX('NOTES CP'!$Z$10:$Z$250,MATCH(AG80,'NOTES CP'!$B$10:$B$250,0)),INDEX('NOTES CP'!$AJ$10:$AJ$250,MATCH(AG80,'NOTES CP'!$B$10:$B$250,0)),INDEX('NOTES CP'!$AT$10:$AT$250,MATCH(AG80,'NOTES CP'!$B$10:$B$250,0))),""))</f>
        <v/>
      </c>
      <c r="AK80" s="51" t="str">
        <f aca="false">IF(ISNUMBER(AJ80),AJ80+(1000-40)/1000000,"")</f>
        <v/>
      </c>
      <c r="AL80" s="51" t="str">
        <f aca="false">IF(AG80="","",IFERROR(CHOOSE($C$9,INDEX('NOTES CP'!$G$10:$G$250,MATCH(AG80,'NOTES CP'!$B$10:$B$250,0)),INDEX('NOTES CP'!$Q$10:$Q$250,MATCH(AG80,'NOTES CP'!$B$10:$B$250,0)),INDEX('NOTES CP'!$AA$10:$AA$250,MATCH(AG80,'NOTES CP'!$B$10:$B$250,0)),INDEX('NOTES CP'!$AK$10:$AK$250,MATCH(AG80,'NOTES CP'!$B$10:$B$250,0))),""))</f>
        <v/>
      </c>
      <c r="AM80" s="51" t="str">
        <f aca="false">IFERROR(MATCH("CE1-40",'REGISTRE ELEVES'!$AG$10:$AG$250,0),"")</f>
        <v/>
      </c>
      <c r="AN80" s="51" t="str">
        <f aca="false">IF(AM80="","",INDEX('REGISTRE ELEVES'!$B$10:$B$250,AM80))</f>
        <v/>
      </c>
      <c r="AO80" s="51" t="str">
        <f aca="false">IF(AM80="","",INDEX('REGISTRE ELEVES'!$D$10:$D$250,AM80))</f>
        <v/>
      </c>
      <c r="AP80" s="51" t="str">
        <f aca="false">IF(AM80="","",INDEX('REGISTRE ELEVES'!$E$10:$E$250,AM80))</f>
        <v/>
      </c>
      <c r="AQ80" s="51" t="str">
        <f aca="false">IF(AN80="","",IFERROR(CHOOSE($C$9,INDEX('NOTES CE1'!$M$10:$M$250,MATCH(AN80,'NOTES CE1'!$B$10:$B$250,0)),INDEX('NOTES CE1'!$T$10:$T$250,MATCH(AN80,'NOTES CE1'!$B$10:$B$250,0)),INDEX('NOTES CE1'!$AA$10:$AA$250,MATCH(AN80,'NOTES CE1'!$B$10:$B$250,0)),INDEX('NOTES CE1'!$AH$10:$AH$250,MATCH(AN80,'NOTES CE1'!$B$10:$B$250,0))),""))</f>
        <v/>
      </c>
      <c r="AR80" s="51" t="str">
        <f aca="false">IF(ISNUMBER(AQ80),AQ80+(1000-40)/1000000,"")</f>
        <v/>
      </c>
      <c r="AS80" s="51" t="str">
        <f aca="false">IF(AN80="","",IFERROR(CHOOSE($C$9,INDEX('NOTES CE1'!$G$10:$G$250,MATCH(AN80,'NOTES CE1'!$B$10:$B$250,0)),INDEX('NOTES CE1'!$N$10:$N$250,MATCH(AN80,'NOTES CE1'!$B$10:$B$250,0)),INDEX('NOTES CE1'!$U$10:$U$250,MATCH(AN80,'NOTES CE1'!$B$10:$B$250,0)),INDEX('NOTES CE1'!$AB$10:$AB$250,MATCH(AN80,'NOTES CE1'!$B$10:$B$250,0))),""))</f>
        <v/>
      </c>
      <c r="AT80" s="51" t="str">
        <f aca="false">IFERROR(MATCH("CE2-40",'REGISTRE ELEVES'!$AG$10:$AG$250,0),"")</f>
        <v/>
      </c>
      <c r="AU80" s="51" t="str">
        <f aca="false">IF(AT80="","",INDEX('REGISTRE ELEVES'!$B$10:$B$250,AT80))</f>
        <v/>
      </c>
      <c r="AV80" s="51" t="str">
        <f aca="false">IF(AT80="","",INDEX('REGISTRE ELEVES'!$D$10:$D$250,AT80))</f>
        <v/>
      </c>
      <c r="AW80" s="51" t="str">
        <f aca="false">IF(AT80="","",INDEX('REGISTRE ELEVES'!$E$10:$E$250,AT80))</f>
        <v/>
      </c>
      <c r="AX80" s="51" t="str">
        <f aca="false">IF(AU80="","",IFERROR(CHOOSE($C$9,INDEX('NOTES CE2-CM1'!$M$10:$M$250,MATCH(AU80,'NOTES CE2-CM1'!$B$10:$B$250,0)),INDEX('NOTES CE2-CM1'!$T$10:$T$250,MATCH(AU80,'NOTES CE2-CM1'!$B$10:$B$250,0)),INDEX('NOTES CE2-CM1'!$AA$10:$AA$250,MATCH(AU80,'NOTES CE2-CM1'!$B$10:$B$250,0)),INDEX('NOTES CE2-CM1'!$AH$10:$AH$250,MATCH(AU80,'NOTES CE2-CM1'!$B$10:$B$250,0))),""))</f>
        <v/>
      </c>
      <c r="AY80" s="51" t="str">
        <f aca="false">IF(ISNUMBER(AX80),AX80+(1000-40)/1000000,"")</f>
        <v/>
      </c>
      <c r="AZ80" s="51" t="str">
        <f aca="false">IF(AU80="","",IFERROR(CHOOSE($C$9,INDEX('NOTES CE2-CM1'!$G$10:$G$250,MATCH(AU80,'NOTES CE2-CM1'!$B$10:$B$250,0)),INDEX('NOTES CE2-CM1'!$N$10:$N$250,MATCH(AU80,'NOTES CE2-CM1'!$B$10:$B$250,0)),INDEX('NOTES CE2-CM1'!$U$10:$U$250,MATCH(AU80,'NOTES CE2-CM1'!$B$10:$B$250,0)),INDEX('NOTES CE2-CM1'!$AB$10:$AB$250,MATCH(AU80,'NOTES CE2-CM1'!$B$10:$B$250,0))),""))</f>
        <v/>
      </c>
      <c r="BA80" s="51" t="str">
        <f aca="false">IFERROR(MATCH("CM1-40",'REGISTRE ELEVES'!$AG$10:$AG$250,0),"")</f>
        <v/>
      </c>
      <c r="BB80" s="51" t="str">
        <f aca="false">IF(BA80="","",INDEX('REGISTRE ELEVES'!$B$10:$B$250,BA80))</f>
        <v/>
      </c>
      <c r="BC80" s="51" t="str">
        <f aca="false">IF(BA80="","",INDEX('REGISTRE ELEVES'!$D$10:$D$250,BA80))</f>
        <v/>
      </c>
      <c r="BD80" s="51" t="str">
        <f aca="false">IF(BA80="","",INDEX('REGISTRE ELEVES'!$E$10:$E$250,BA80))</f>
        <v/>
      </c>
      <c r="BE80" s="51" t="str">
        <f aca="false">IF(BB80="","",IFERROR(CHOOSE($C$9,INDEX('NOTES CE2-CM1'!$M$10:$M$250,MATCH(BB80,'NOTES CE2-CM1'!$B$10:$B$250,0)),INDEX('NOTES CE2-CM1'!$T$10:$T$250,MATCH(BB80,'NOTES CE2-CM1'!$B$10:$B$250,0)),INDEX('NOTES CE2-CM1'!$AA$10:$AA$250,MATCH(BB80,'NOTES CE2-CM1'!$B$10:$B$250,0)),INDEX('NOTES CE2-CM1'!$AH$10:$AH$250,MATCH(BB80,'NOTES CE2-CM1'!$B$10:$B$250,0))),""))</f>
        <v/>
      </c>
      <c r="BF80" s="51" t="str">
        <f aca="false">IF(ISNUMBER(BE80),BE80+(1000-40)/1000000,"")</f>
        <v/>
      </c>
      <c r="BG80" s="51" t="str">
        <f aca="false">IF(BB80="","",IFERROR(CHOOSE($C$9,INDEX('NOTES CE2-CM1'!$G$10:$G$250,MATCH(BB80,'NOTES CE2-CM1'!$B$10:$B$250,0)),INDEX('NOTES CE2-CM1'!$N$10:$N$250,MATCH(BB80,'NOTES CE2-CM1'!$B$10:$B$250,0)),INDEX('NOTES CE2-CM1'!$U$10:$U$250,MATCH(BB80,'NOTES CE2-CM1'!$B$10:$B$250,0)),INDEX('NOTES CE2-CM1'!$AB$10:$AB$250,MATCH(BB80,'NOTES CE2-CM1'!$B$10:$B$250,0))),""))</f>
        <v/>
      </c>
      <c r="BH80" s="51" t="str">
        <f aca="false">IFERROR(MATCH("CM2-40",'REGISTRE ELEVES'!$AG$10:$AG$250,0),"")</f>
        <v/>
      </c>
      <c r="BI80" s="51" t="str">
        <f aca="false">IF(BH80="","",INDEX('REGISTRE ELEVES'!$B$10:$B$250,BH80))</f>
        <v/>
      </c>
      <c r="BJ80" s="51" t="str">
        <f aca="false">IF(BH80="","",INDEX('REGISTRE ELEVES'!$D$10:$D$250,BH80))</f>
        <v/>
      </c>
      <c r="BK80" s="51" t="str">
        <f aca="false">IF(BH80="","",INDEX('REGISTRE ELEVES'!$E$10:$E$250,BH80))</f>
        <v/>
      </c>
      <c r="BL80" s="51" t="str">
        <f aca="false">IF(BI80="","",IFERROR(CHOOSE($C$9,INDEX('NOTES CM2'!$M$10:$M$250,MATCH(BI80,'NOTES CM2'!$B$10:$B$250,0)),INDEX('NOTES CM2'!$T$10:$T$250,MATCH(BI80,'NOTES CM2'!$B$10:$B$250,0)),INDEX('NOTES CM2'!$AB$10:$AB$250,MATCH(BI80,'NOTES CM2'!$B$10:$B$250,0)),INDEX('NOTES CM2'!$AJ$10:$AJ$250,MATCH(BI80,'NOTES CM2'!$B$10:$B$250,0))),""))</f>
        <v/>
      </c>
      <c r="BM80" s="51" t="str">
        <f aca="false">IF(ISNUMBER(BL80),BL80+(1000-40)/1000000,"")</f>
        <v/>
      </c>
      <c r="BN80" s="51" t="str">
        <f aca="false">IF(BI80="","",IFERROR(CHOOSE($C$9,INDEX('NOTES CM2'!$G$10:$G$250,MATCH(BI80,'NOTES CM2'!$B$10:$B$250,0)),INDEX('NOTES CM2'!$N$10:$N$250,MATCH(BI80,'NOTES CM2'!$B$10:$B$250,0)),INDEX('NOTES CM2'!$U$10:$U$250,MATCH(BI80,'NOTES CM2'!$B$10:$B$250,0)),INDEX('NOTES CM2'!$AC$10:$AC$250,MATCH(BI80,'NOTES CM2'!$B$10:$B$250,0))),""))</f>
        <v/>
      </c>
    </row>
    <row r="81" customFormat="false" ht="15" hidden="false" customHeight="false" outlineLevel="0" collapsed="false">
      <c r="Y81" s="51" t="str">
        <f aca="false">IFERROR(MATCH("CP1-41",'REGISTRE ELEVES'!$AG$10:$AG$250,0),"")</f>
        <v/>
      </c>
      <c r="Z81" s="51" t="str">
        <f aca="false">IF(Y81="","",INDEX('REGISTRE ELEVES'!$B$10:$B$250,Y81))</f>
        <v/>
      </c>
      <c r="AA81" s="51" t="str">
        <f aca="false">IF(Y81="","",INDEX('REGISTRE ELEVES'!$D$10:$D$250,Y81))</f>
        <v/>
      </c>
      <c r="AB81" s="51" t="str">
        <f aca="false">IF(Y81="","",INDEX('REGISTRE ELEVES'!$E$10:$E$250,Y81))</f>
        <v/>
      </c>
      <c r="AC81" s="51" t="str">
        <f aca="false">IF(Z81="","",IFERROR(CHOOSE($C$9,INDEX('NOTES CP'!$P$10:$P$250,MATCH(Z81,'NOTES CP'!$B$10:$B$250,0)),INDEX('NOTES CP'!$Z$10:$Z$250,MATCH(Z81,'NOTES CP'!$B$10:$B$250,0)),INDEX('NOTES CP'!$AJ$10:$AJ$250,MATCH(Z81,'NOTES CP'!$B$10:$B$250,0)),INDEX('NOTES CP'!$AT$10:$AT$250,MATCH(Z81,'NOTES CP'!$B$10:$B$250,0))),""))</f>
        <v/>
      </c>
      <c r="AD81" s="51" t="str">
        <f aca="false">IF(ISNUMBER(AC81),AC81+(1000-41)/1000000,"")</f>
        <v/>
      </c>
      <c r="AE81" s="51" t="str">
        <f aca="false">IF(Z81="","",IFERROR(CHOOSE($C$9,INDEX('NOTES CP'!$G$10:$G$250,MATCH(Z81,'NOTES CP'!$B$10:$B$250,0)),INDEX('NOTES CP'!$Q$10:$Q$250,MATCH(Z81,'NOTES CP'!$B$10:$B$250,0)),INDEX('NOTES CP'!$AA$10:$AA$250,MATCH(Z81,'NOTES CP'!$B$10:$B$250,0)),INDEX('NOTES CP'!$AK$10:$AK$250,MATCH(Z81,'NOTES CP'!$B$10:$B$250,0))),""))</f>
        <v/>
      </c>
      <c r="AF81" s="51" t="str">
        <f aca="false">IFERROR(MATCH("CP2-41",'REGISTRE ELEVES'!$AG$10:$AG$250,0),"")</f>
        <v/>
      </c>
      <c r="AG81" s="51" t="str">
        <f aca="false">IF(AF81="","",INDEX('REGISTRE ELEVES'!$B$10:$B$250,AF81))</f>
        <v/>
      </c>
      <c r="AH81" s="51" t="str">
        <f aca="false">IF(AF81="","",INDEX('REGISTRE ELEVES'!$D$10:$D$250,AF81))</f>
        <v/>
      </c>
      <c r="AI81" s="51" t="str">
        <f aca="false">IF(AF81="","",INDEX('REGISTRE ELEVES'!$E$10:$E$250,AF81))</f>
        <v/>
      </c>
      <c r="AJ81" s="51" t="str">
        <f aca="false">IF(AG81="","",IFERROR(CHOOSE($C$9,INDEX('NOTES CP'!$P$10:$P$250,MATCH(AG81,'NOTES CP'!$B$10:$B$250,0)),INDEX('NOTES CP'!$Z$10:$Z$250,MATCH(AG81,'NOTES CP'!$B$10:$B$250,0)),INDEX('NOTES CP'!$AJ$10:$AJ$250,MATCH(AG81,'NOTES CP'!$B$10:$B$250,0)),INDEX('NOTES CP'!$AT$10:$AT$250,MATCH(AG81,'NOTES CP'!$B$10:$B$250,0))),""))</f>
        <v/>
      </c>
      <c r="AK81" s="51" t="str">
        <f aca="false">IF(ISNUMBER(AJ81),AJ81+(1000-41)/1000000,"")</f>
        <v/>
      </c>
      <c r="AL81" s="51" t="str">
        <f aca="false">IF(AG81="","",IFERROR(CHOOSE($C$9,INDEX('NOTES CP'!$G$10:$G$250,MATCH(AG81,'NOTES CP'!$B$10:$B$250,0)),INDEX('NOTES CP'!$Q$10:$Q$250,MATCH(AG81,'NOTES CP'!$B$10:$B$250,0)),INDEX('NOTES CP'!$AA$10:$AA$250,MATCH(AG81,'NOTES CP'!$B$10:$B$250,0)),INDEX('NOTES CP'!$AK$10:$AK$250,MATCH(AG81,'NOTES CP'!$B$10:$B$250,0))),""))</f>
        <v/>
      </c>
      <c r="AM81" s="51" t="str">
        <f aca="false">IFERROR(MATCH("CE1-41",'REGISTRE ELEVES'!$AG$10:$AG$250,0),"")</f>
        <v/>
      </c>
      <c r="AN81" s="51" t="str">
        <f aca="false">IF(AM81="","",INDEX('REGISTRE ELEVES'!$B$10:$B$250,AM81))</f>
        <v/>
      </c>
      <c r="AO81" s="51" t="str">
        <f aca="false">IF(AM81="","",INDEX('REGISTRE ELEVES'!$D$10:$D$250,AM81))</f>
        <v/>
      </c>
      <c r="AP81" s="51" t="str">
        <f aca="false">IF(AM81="","",INDEX('REGISTRE ELEVES'!$E$10:$E$250,AM81))</f>
        <v/>
      </c>
      <c r="AQ81" s="51" t="str">
        <f aca="false">IF(AN81="","",IFERROR(CHOOSE($C$9,INDEX('NOTES CE1'!$M$10:$M$250,MATCH(AN81,'NOTES CE1'!$B$10:$B$250,0)),INDEX('NOTES CE1'!$T$10:$T$250,MATCH(AN81,'NOTES CE1'!$B$10:$B$250,0)),INDEX('NOTES CE1'!$AA$10:$AA$250,MATCH(AN81,'NOTES CE1'!$B$10:$B$250,0)),INDEX('NOTES CE1'!$AH$10:$AH$250,MATCH(AN81,'NOTES CE1'!$B$10:$B$250,0))),""))</f>
        <v/>
      </c>
      <c r="AR81" s="51" t="str">
        <f aca="false">IF(ISNUMBER(AQ81),AQ81+(1000-41)/1000000,"")</f>
        <v/>
      </c>
      <c r="AS81" s="51" t="str">
        <f aca="false">IF(AN81="","",IFERROR(CHOOSE($C$9,INDEX('NOTES CE1'!$G$10:$G$250,MATCH(AN81,'NOTES CE1'!$B$10:$B$250,0)),INDEX('NOTES CE1'!$N$10:$N$250,MATCH(AN81,'NOTES CE1'!$B$10:$B$250,0)),INDEX('NOTES CE1'!$U$10:$U$250,MATCH(AN81,'NOTES CE1'!$B$10:$B$250,0)),INDEX('NOTES CE1'!$AB$10:$AB$250,MATCH(AN81,'NOTES CE1'!$B$10:$B$250,0))),""))</f>
        <v/>
      </c>
      <c r="AT81" s="51" t="str">
        <f aca="false">IFERROR(MATCH("CE2-41",'REGISTRE ELEVES'!$AG$10:$AG$250,0),"")</f>
        <v/>
      </c>
      <c r="AU81" s="51" t="str">
        <f aca="false">IF(AT81="","",INDEX('REGISTRE ELEVES'!$B$10:$B$250,AT81))</f>
        <v/>
      </c>
      <c r="AV81" s="51" t="str">
        <f aca="false">IF(AT81="","",INDEX('REGISTRE ELEVES'!$D$10:$D$250,AT81))</f>
        <v/>
      </c>
      <c r="AW81" s="51" t="str">
        <f aca="false">IF(AT81="","",INDEX('REGISTRE ELEVES'!$E$10:$E$250,AT81))</f>
        <v/>
      </c>
      <c r="AX81" s="51" t="str">
        <f aca="false">IF(AU81="","",IFERROR(CHOOSE($C$9,INDEX('NOTES CE2-CM1'!$M$10:$M$250,MATCH(AU81,'NOTES CE2-CM1'!$B$10:$B$250,0)),INDEX('NOTES CE2-CM1'!$T$10:$T$250,MATCH(AU81,'NOTES CE2-CM1'!$B$10:$B$250,0)),INDEX('NOTES CE2-CM1'!$AA$10:$AA$250,MATCH(AU81,'NOTES CE2-CM1'!$B$10:$B$250,0)),INDEX('NOTES CE2-CM1'!$AH$10:$AH$250,MATCH(AU81,'NOTES CE2-CM1'!$B$10:$B$250,0))),""))</f>
        <v/>
      </c>
      <c r="AY81" s="51" t="str">
        <f aca="false">IF(ISNUMBER(AX81),AX81+(1000-41)/1000000,"")</f>
        <v/>
      </c>
      <c r="AZ81" s="51" t="str">
        <f aca="false">IF(AU81="","",IFERROR(CHOOSE($C$9,INDEX('NOTES CE2-CM1'!$G$10:$G$250,MATCH(AU81,'NOTES CE2-CM1'!$B$10:$B$250,0)),INDEX('NOTES CE2-CM1'!$N$10:$N$250,MATCH(AU81,'NOTES CE2-CM1'!$B$10:$B$250,0)),INDEX('NOTES CE2-CM1'!$U$10:$U$250,MATCH(AU81,'NOTES CE2-CM1'!$B$10:$B$250,0)),INDEX('NOTES CE2-CM1'!$AB$10:$AB$250,MATCH(AU81,'NOTES CE2-CM1'!$B$10:$B$250,0))),""))</f>
        <v/>
      </c>
      <c r="BA81" s="51" t="str">
        <f aca="false">IFERROR(MATCH("CM1-41",'REGISTRE ELEVES'!$AG$10:$AG$250,0),"")</f>
        <v/>
      </c>
      <c r="BB81" s="51" t="str">
        <f aca="false">IF(BA81="","",INDEX('REGISTRE ELEVES'!$B$10:$B$250,BA81))</f>
        <v/>
      </c>
      <c r="BC81" s="51" t="str">
        <f aca="false">IF(BA81="","",INDEX('REGISTRE ELEVES'!$D$10:$D$250,BA81))</f>
        <v/>
      </c>
      <c r="BD81" s="51" t="str">
        <f aca="false">IF(BA81="","",INDEX('REGISTRE ELEVES'!$E$10:$E$250,BA81))</f>
        <v/>
      </c>
      <c r="BE81" s="51" t="str">
        <f aca="false">IF(BB81="","",IFERROR(CHOOSE($C$9,INDEX('NOTES CE2-CM1'!$M$10:$M$250,MATCH(BB81,'NOTES CE2-CM1'!$B$10:$B$250,0)),INDEX('NOTES CE2-CM1'!$T$10:$T$250,MATCH(BB81,'NOTES CE2-CM1'!$B$10:$B$250,0)),INDEX('NOTES CE2-CM1'!$AA$10:$AA$250,MATCH(BB81,'NOTES CE2-CM1'!$B$10:$B$250,0)),INDEX('NOTES CE2-CM1'!$AH$10:$AH$250,MATCH(BB81,'NOTES CE2-CM1'!$B$10:$B$250,0))),""))</f>
        <v/>
      </c>
      <c r="BF81" s="51" t="str">
        <f aca="false">IF(ISNUMBER(BE81),BE81+(1000-41)/1000000,"")</f>
        <v/>
      </c>
      <c r="BG81" s="51" t="str">
        <f aca="false">IF(BB81="","",IFERROR(CHOOSE($C$9,INDEX('NOTES CE2-CM1'!$G$10:$G$250,MATCH(BB81,'NOTES CE2-CM1'!$B$10:$B$250,0)),INDEX('NOTES CE2-CM1'!$N$10:$N$250,MATCH(BB81,'NOTES CE2-CM1'!$B$10:$B$250,0)),INDEX('NOTES CE2-CM1'!$U$10:$U$250,MATCH(BB81,'NOTES CE2-CM1'!$B$10:$B$250,0)),INDEX('NOTES CE2-CM1'!$AB$10:$AB$250,MATCH(BB81,'NOTES CE2-CM1'!$B$10:$B$250,0))),""))</f>
        <v/>
      </c>
      <c r="BH81" s="51" t="str">
        <f aca="false">IFERROR(MATCH("CM2-41",'REGISTRE ELEVES'!$AG$10:$AG$250,0),"")</f>
        <v/>
      </c>
      <c r="BI81" s="51" t="str">
        <f aca="false">IF(BH81="","",INDEX('REGISTRE ELEVES'!$B$10:$B$250,BH81))</f>
        <v/>
      </c>
      <c r="BJ81" s="51" t="str">
        <f aca="false">IF(BH81="","",INDEX('REGISTRE ELEVES'!$D$10:$D$250,BH81))</f>
        <v/>
      </c>
      <c r="BK81" s="51" t="str">
        <f aca="false">IF(BH81="","",INDEX('REGISTRE ELEVES'!$E$10:$E$250,BH81))</f>
        <v/>
      </c>
      <c r="BL81" s="51" t="str">
        <f aca="false">IF(BI81="","",IFERROR(CHOOSE($C$9,INDEX('NOTES CM2'!$M$10:$M$250,MATCH(BI81,'NOTES CM2'!$B$10:$B$250,0)),INDEX('NOTES CM2'!$T$10:$T$250,MATCH(BI81,'NOTES CM2'!$B$10:$B$250,0)),INDEX('NOTES CM2'!$AB$10:$AB$250,MATCH(BI81,'NOTES CM2'!$B$10:$B$250,0)),INDEX('NOTES CM2'!$AJ$10:$AJ$250,MATCH(BI81,'NOTES CM2'!$B$10:$B$250,0))),""))</f>
        <v/>
      </c>
      <c r="BM81" s="51" t="str">
        <f aca="false">IF(ISNUMBER(BL81),BL81+(1000-41)/1000000,"")</f>
        <v/>
      </c>
      <c r="BN81" s="51" t="str">
        <f aca="false">IF(BI81="","",IFERROR(CHOOSE($C$9,INDEX('NOTES CM2'!$G$10:$G$250,MATCH(BI81,'NOTES CM2'!$B$10:$B$250,0)),INDEX('NOTES CM2'!$N$10:$N$250,MATCH(BI81,'NOTES CM2'!$B$10:$B$250,0)),INDEX('NOTES CM2'!$U$10:$U$250,MATCH(BI81,'NOTES CM2'!$B$10:$B$250,0)),INDEX('NOTES CM2'!$AC$10:$AC$250,MATCH(BI81,'NOTES CM2'!$B$10:$B$250,0))),""))</f>
        <v/>
      </c>
    </row>
    <row r="82" customFormat="false" ht="15" hidden="false" customHeight="false" outlineLevel="0" collapsed="false">
      <c r="Y82" s="51" t="str">
        <f aca="false">IFERROR(MATCH("CP1-42",'REGISTRE ELEVES'!$AG$10:$AG$250,0),"")</f>
        <v/>
      </c>
      <c r="Z82" s="51" t="str">
        <f aca="false">IF(Y82="","",INDEX('REGISTRE ELEVES'!$B$10:$B$250,Y82))</f>
        <v/>
      </c>
      <c r="AA82" s="51" t="str">
        <f aca="false">IF(Y82="","",INDEX('REGISTRE ELEVES'!$D$10:$D$250,Y82))</f>
        <v/>
      </c>
      <c r="AB82" s="51" t="str">
        <f aca="false">IF(Y82="","",INDEX('REGISTRE ELEVES'!$E$10:$E$250,Y82))</f>
        <v/>
      </c>
      <c r="AC82" s="51" t="str">
        <f aca="false">IF(Z82="","",IFERROR(CHOOSE($C$9,INDEX('NOTES CP'!$P$10:$P$250,MATCH(Z82,'NOTES CP'!$B$10:$B$250,0)),INDEX('NOTES CP'!$Z$10:$Z$250,MATCH(Z82,'NOTES CP'!$B$10:$B$250,0)),INDEX('NOTES CP'!$AJ$10:$AJ$250,MATCH(Z82,'NOTES CP'!$B$10:$B$250,0)),INDEX('NOTES CP'!$AT$10:$AT$250,MATCH(Z82,'NOTES CP'!$B$10:$B$250,0))),""))</f>
        <v/>
      </c>
      <c r="AD82" s="51" t="str">
        <f aca="false">IF(ISNUMBER(AC82),AC82+(1000-42)/1000000,"")</f>
        <v/>
      </c>
      <c r="AE82" s="51" t="str">
        <f aca="false">IF(Z82="","",IFERROR(CHOOSE($C$9,INDEX('NOTES CP'!$G$10:$G$250,MATCH(Z82,'NOTES CP'!$B$10:$B$250,0)),INDEX('NOTES CP'!$Q$10:$Q$250,MATCH(Z82,'NOTES CP'!$B$10:$B$250,0)),INDEX('NOTES CP'!$AA$10:$AA$250,MATCH(Z82,'NOTES CP'!$B$10:$B$250,0)),INDEX('NOTES CP'!$AK$10:$AK$250,MATCH(Z82,'NOTES CP'!$B$10:$B$250,0))),""))</f>
        <v/>
      </c>
      <c r="AF82" s="51" t="str">
        <f aca="false">IFERROR(MATCH("CP2-42",'REGISTRE ELEVES'!$AG$10:$AG$250,0),"")</f>
        <v/>
      </c>
      <c r="AG82" s="51" t="str">
        <f aca="false">IF(AF82="","",INDEX('REGISTRE ELEVES'!$B$10:$B$250,AF82))</f>
        <v/>
      </c>
      <c r="AH82" s="51" t="str">
        <f aca="false">IF(AF82="","",INDEX('REGISTRE ELEVES'!$D$10:$D$250,AF82))</f>
        <v/>
      </c>
      <c r="AI82" s="51" t="str">
        <f aca="false">IF(AF82="","",INDEX('REGISTRE ELEVES'!$E$10:$E$250,AF82))</f>
        <v/>
      </c>
      <c r="AJ82" s="51" t="str">
        <f aca="false">IF(AG82="","",IFERROR(CHOOSE($C$9,INDEX('NOTES CP'!$P$10:$P$250,MATCH(AG82,'NOTES CP'!$B$10:$B$250,0)),INDEX('NOTES CP'!$Z$10:$Z$250,MATCH(AG82,'NOTES CP'!$B$10:$B$250,0)),INDEX('NOTES CP'!$AJ$10:$AJ$250,MATCH(AG82,'NOTES CP'!$B$10:$B$250,0)),INDEX('NOTES CP'!$AT$10:$AT$250,MATCH(AG82,'NOTES CP'!$B$10:$B$250,0))),""))</f>
        <v/>
      </c>
      <c r="AK82" s="51" t="str">
        <f aca="false">IF(ISNUMBER(AJ82),AJ82+(1000-42)/1000000,"")</f>
        <v/>
      </c>
      <c r="AL82" s="51" t="str">
        <f aca="false">IF(AG82="","",IFERROR(CHOOSE($C$9,INDEX('NOTES CP'!$G$10:$G$250,MATCH(AG82,'NOTES CP'!$B$10:$B$250,0)),INDEX('NOTES CP'!$Q$10:$Q$250,MATCH(AG82,'NOTES CP'!$B$10:$B$250,0)),INDEX('NOTES CP'!$AA$10:$AA$250,MATCH(AG82,'NOTES CP'!$B$10:$B$250,0)),INDEX('NOTES CP'!$AK$10:$AK$250,MATCH(AG82,'NOTES CP'!$B$10:$B$250,0))),""))</f>
        <v/>
      </c>
      <c r="AM82" s="51" t="str">
        <f aca="false">IFERROR(MATCH("CE1-42",'REGISTRE ELEVES'!$AG$10:$AG$250,0),"")</f>
        <v/>
      </c>
      <c r="AN82" s="51" t="str">
        <f aca="false">IF(AM82="","",INDEX('REGISTRE ELEVES'!$B$10:$B$250,AM82))</f>
        <v/>
      </c>
      <c r="AO82" s="51" t="str">
        <f aca="false">IF(AM82="","",INDEX('REGISTRE ELEVES'!$D$10:$D$250,AM82))</f>
        <v/>
      </c>
      <c r="AP82" s="51" t="str">
        <f aca="false">IF(AM82="","",INDEX('REGISTRE ELEVES'!$E$10:$E$250,AM82))</f>
        <v/>
      </c>
      <c r="AQ82" s="51" t="str">
        <f aca="false">IF(AN82="","",IFERROR(CHOOSE($C$9,INDEX('NOTES CE1'!$M$10:$M$250,MATCH(AN82,'NOTES CE1'!$B$10:$B$250,0)),INDEX('NOTES CE1'!$T$10:$T$250,MATCH(AN82,'NOTES CE1'!$B$10:$B$250,0)),INDEX('NOTES CE1'!$AA$10:$AA$250,MATCH(AN82,'NOTES CE1'!$B$10:$B$250,0)),INDEX('NOTES CE1'!$AH$10:$AH$250,MATCH(AN82,'NOTES CE1'!$B$10:$B$250,0))),""))</f>
        <v/>
      </c>
      <c r="AR82" s="51" t="str">
        <f aca="false">IF(ISNUMBER(AQ82),AQ82+(1000-42)/1000000,"")</f>
        <v/>
      </c>
      <c r="AS82" s="51" t="str">
        <f aca="false">IF(AN82="","",IFERROR(CHOOSE($C$9,INDEX('NOTES CE1'!$G$10:$G$250,MATCH(AN82,'NOTES CE1'!$B$10:$B$250,0)),INDEX('NOTES CE1'!$N$10:$N$250,MATCH(AN82,'NOTES CE1'!$B$10:$B$250,0)),INDEX('NOTES CE1'!$U$10:$U$250,MATCH(AN82,'NOTES CE1'!$B$10:$B$250,0)),INDEX('NOTES CE1'!$AB$10:$AB$250,MATCH(AN82,'NOTES CE1'!$B$10:$B$250,0))),""))</f>
        <v/>
      </c>
      <c r="AT82" s="51" t="str">
        <f aca="false">IFERROR(MATCH("CE2-42",'REGISTRE ELEVES'!$AG$10:$AG$250,0),"")</f>
        <v/>
      </c>
      <c r="AU82" s="51" t="str">
        <f aca="false">IF(AT82="","",INDEX('REGISTRE ELEVES'!$B$10:$B$250,AT82))</f>
        <v/>
      </c>
      <c r="AV82" s="51" t="str">
        <f aca="false">IF(AT82="","",INDEX('REGISTRE ELEVES'!$D$10:$D$250,AT82))</f>
        <v/>
      </c>
      <c r="AW82" s="51" t="str">
        <f aca="false">IF(AT82="","",INDEX('REGISTRE ELEVES'!$E$10:$E$250,AT82))</f>
        <v/>
      </c>
      <c r="AX82" s="51" t="str">
        <f aca="false">IF(AU82="","",IFERROR(CHOOSE($C$9,INDEX('NOTES CE2-CM1'!$M$10:$M$250,MATCH(AU82,'NOTES CE2-CM1'!$B$10:$B$250,0)),INDEX('NOTES CE2-CM1'!$T$10:$T$250,MATCH(AU82,'NOTES CE2-CM1'!$B$10:$B$250,0)),INDEX('NOTES CE2-CM1'!$AA$10:$AA$250,MATCH(AU82,'NOTES CE2-CM1'!$B$10:$B$250,0)),INDEX('NOTES CE2-CM1'!$AH$10:$AH$250,MATCH(AU82,'NOTES CE2-CM1'!$B$10:$B$250,0))),""))</f>
        <v/>
      </c>
      <c r="AY82" s="51" t="str">
        <f aca="false">IF(ISNUMBER(AX82),AX82+(1000-42)/1000000,"")</f>
        <v/>
      </c>
      <c r="AZ82" s="51" t="str">
        <f aca="false">IF(AU82="","",IFERROR(CHOOSE($C$9,INDEX('NOTES CE2-CM1'!$G$10:$G$250,MATCH(AU82,'NOTES CE2-CM1'!$B$10:$B$250,0)),INDEX('NOTES CE2-CM1'!$N$10:$N$250,MATCH(AU82,'NOTES CE2-CM1'!$B$10:$B$250,0)),INDEX('NOTES CE2-CM1'!$U$10:$U$250,MATCH(AU82,'NOTES CE2-CM1'!$B$10:$B$250,0)),INDEX('NOTES CE2-CM1'!$AB$10:$AB$250,MATCH(AU82,'NOTES CE2-CM1'!$B$10:$B$250,0))),""))</f>
        <v/>
      </c>
      <c r="BA82" s="51" t="str">
        <f aca="false">IFERROR(MATCH("CM1-42",'REGISTRE ELEVES'!$AG$10:$AG$250,0),"")</f>
        <v/>
      </c>
      <c r="BB82" s="51" t="str">
        <f aca="false">IF(BA82="","",INDEX('REGISTRE ELEVES'!$B$10:$B$250,BA82))</f>
        <v/>
      </c>
      <c r="BC82" s="51" t="str">
        <f aca="false">IF(BA82="","",INDEX('REGISTRE ELEVES'!$D$10:$D$250,BA82))</f>
        <v/>
      </c>
      <c r="BD82" s="51" t="str">
        <f aca="false">IF(BA82="","",INDEX('REGISTRE ELEVES'!$E$10:$E$250,BA82))</f>
        <v/>
      </c>
      <c r="BE82" s="51" t="str">
        <f aca="false">IF(BB82="","",IFERROR(CHOOSE($C$9,INDEX('NOTES CE2-CM1'!$M$10:$M$250,MATCH(BB82,'NOTES CE2-CM1'!$B$10:$B$250,0)),INDEX('NOTES CE2-CM1'!$T$10:$T$250,MATCH(BB82,'NOTES CE2-CM1'!$B$10:$B$250,0)),INDEX('NOTES CE2-CM1'!$AA$10:$AA$250,MATCH(BB82,'NOTES CE2-CM1'!$B$10:$B$250,0)),INDEX('NOTES CE2-CM1'!$AH$10:$AH$250,MATCH(BB82,'NOTES CE2-CM1'!$B$10:$B$250,0))),""))</f>
        <v/>
      </c>
      <c r="BF82" s="51" t="str">
        <f aca="false">IF(ISNUMBER(BE82),BE82+(1000-42)/1000000,"")</f>
        <v/>
      </c>
      <c r="BG82" s="51" t="str">
        <f aca="false">IF(BB82="","",IFERROR(CHOOSE($C$9,INDEX('NOTES CE2-CM1'!$G$10:$G$250,MATCH(BB82,'NOTES CE2-CM1'!$B$10:$B$250,0)),INDEX('NOTES CE2-CM1'!$N$10:$N$250,MATCH(BB82,'NOTES CE2-CM1'!$B$10:$B$250,0)),INDEX('NOTES CE2-CM1'!$U$10:$U$250,MATCH(BB82,'NOTES CE2-CM1'!$B$10:$B$250,0)),INDEX('NOTES CE2-CM1'!$AB$10:$AB$250,MATCH(BB82,'NOTES CE2-CM1'!$B$10:$B$250,0))),""))</f>
        <v/>
      </c>
      <c r="BH82" s="51" t="str">
        <f aca="false">IFERROR(MATCH("CM2-42",'REGISTRE ELEVES'!$AG$10:$AG$250,0),"")</f>
        <v/>
      </c>
      <c r="BI82" s="51" t="str">
        <f aca="false">IF(BH82="","",INDEX('REGISTRE ELEVES'!$B$10:$B$250,BH82))</f>
        <v/>
      </c>
      <c r="BJ82" s="51" t="str">
        <f aca="false">IF(BH82="","",INDEX('REGISTRE ELEVES'!$D$10:$D$250,BH82))</f>
        <v/>
      </c>
      <c r="BK82" s="51" t="str">
        <f aca="false">IF(BH82="","",INDEX('REGISTRE ELEVES'!$E$10:$E$250,BH82))</f>
        <v/>
      </c>
      <c r="BL82" s="51" t="str">
        <f aca="false">IF(BI82="","",IFERROR(CHOOSE($C$9,INDEX('NOTES CM2'!$M$10:$M$250,MATCH(BI82,'NOTES CM2'!$B$10:$B$250,0)),INDEX('NOTES CM2'!$T$10:$T$250,MATCH(BI82,'NOTES CM2'!$B$10:$B$250,0)),INDEX('NOTES CM2'!$AB$10:$AB$250,MATCH(BI82,'NOTES CM2'!$B$10:$B$250,0)),INDEX('NOTES CM2'!$AJ$10:$AJ$250,MATCH(BI82,'NOTES CM2'!$B$10:$B$250,0))),""))</f>
        <v/>
      </c>
      <c r="BM82" s="51" t="str">
        <f aca="false">IF(ISNUMBER(BL82),BL82+(1000-42)/1000000,"")</f>
        <v/>
      </c>
      <c r="BN82" s="51" t="str">
        <f aca="false">IF(BI82="","",IFERROR(CHOOSE($C$9,INDEX('NOTES CM2'!$G$10:$G$250,MATCH(BI82,'NOTES CM2'!$B$10:$B$250,0)),INDEX('NOTES CM2'!$N$10:$N$250,MATCH(BI82,'NOTES CM2'!$B$10:$B$250,0)),INDEX('NOTES CM2'!$U$10:$U$250,MATCH(BI82,'NOTES CM2'!$B$10:$B$250,0)),INDEX('NOTES CM2'!$AC$10:$AC$250,MATCH(BI82,'NOTES CM2'!$B$10:$B$250,0))),""))</f>
        <v/>
      </c>
    </row>
    <row r="83" customFormat="false" ht="15" hidden="false" customHeight="false" outlineLevel="0" collapsed="false">
      <c r="Y83" s="51" t="str">
        <f aca="false">IFERROR(MATCH("CP1-43",'REGISTRE ELEVES'!$AG$10:$AG$250,0),"")</f>
        <v/>
      </c>
      <c r="Z83" s="51" t="str">
        <f aca="false">IF(Y83="","",INDEX('REGISTRE ELEVES'!$B$10:$B$250,Y83))</f>
        <v/>
      </c>
      <c r="AA83" s="51" t="str">
        <f aca="false">IF(Y83="","",INDEX('REGISTRE ELEVES'!$D$10:$D$250,Y83))</f>
        <v/>
      </c>
      <c r="AB83" s="51" t="str">
        <f aca="false">IF(Y83="","",INDEX('REGISTRE ELEVES'!$E$10:$E$250,Y83))</f>
        <v/>
      </c>
      <c r="AC83" s="51" t="str">
        <f aca="false">IF(Z83="","",IFERROR(CHOOSE($C$9,INDEX('NOTES CP'!$P$10:$P$250,MATCH(Z83,'NOTES CP'!$B$10:$B$250,0)),INDEX('NOTES CP'!$Z$10:$Z$250,MATCH(Z83,'NOTES CP'!$B$10:$B$250,0)),INDEX('NOTES CP'!$AJ$10:$AJ$250,MATCH(Z83,'NOTES CP'!$B$10:$B$250,0)),INDEX('NOTES CP'!$AT$10:$AT$250,MATCH(Z83,'NOTES CP'!$B$10:$B$250,0))),""))</f>
        <v/>
      </c>
      <c r="AD83" s="51" t="str">
        <f aca="false">IF(ISNUMBER(AC83),AC83+(1000-43)/1000000,"")</f>
        <v/>
      </c>
      <c r="AE83" s="51" t="str">
        <f aca="false">IF(Z83="","",IFERROR(CHOOSE($C$9,INDEX('NOTES CP'!$G$10:$G$250,MATCH(Z83,'NOTES CP'!$B$10:$B$250,0)),INDEX('NOTES CP'!$Q$10:$Q$250,MATCH(Z83,'NOTES CP'!$B$10:$B$250,0)),INDEX('NOTES CP'!$AA$10:$AA$250,MATCH(Z83,'NOTES CP'!$B$10:$B$250,0)),INDEX('NOTES CP'!$AK$10:$AK$250,MATCH(Z83,'NOTES CP'!$B$10:$B$250,0))),""))</f>
        <v/>
      </c>
      <c r="AF83" s="51" t="str">
        <f aca="false">IFERROR(MATCH("CP2-43",'REGISTRE ELEVES'!$AG$10:$AG$250,0),"")</f>
        <v/>
      </c>
      <c r="AG83" s="51" t="str">
        <f aca="false">IF(AF83="","",INDEX('REGISTRE ELEVES'!$B$10:$B$250,AF83))</f>
        <v/>
      </c>
      <c r="AH83" s="51" t="str">
        <f aca="false">IF(AF83="","",INDEX('REGISTRE ELEVES'!$D$10:$D$250,AF83))</f>
        <v/>
      </c>
      <c r="AI83" s="51" t="str">
        <f aca="false">IF(AF83="","",INDEX('REGISTRE ELEVES'!$E$10:$E$250,AF83))</f>
        <v/>
      </c>
      <c r="AJ83" s="51" t="str">
        <f aca="false">IF(AG83="","",IFERROR(CHOOSE($C$9,INDEX('NOTES CP'!$P$10:$P$250,MATCH(AG83,'NOTES CP'!$B$10:$B$250,0)),INDEX('NOTES CP'!$Z$10:$Z$250,MATCH(AG83,'NOTES CP'!$B$10:$B$250,0)),INDEX('NOTES CP'!$AJ$10:$AJ$250,MATCH(AG83,'NOTES CP'!$B$10:$B$250,0)),INDEX('NOTES CP'!$AT$10:$AT$250,MATCH(AG83,'NOTES CP'!$B$10:$B$250,0))),""))</f>
        <v/>
      </c>
      <c r="AK83" s="51" t="str">
        <f aca="false">IF(ISNUMBER(AJ83),AJ83+(1000-43)/1000000,"")</f>
        <v/>
      </c>
      <c r="AL83" s="51" t="str">
        <f aca="false">IF(AG83="","",IFERROR(CHOOSE($C$9,INDEX('NOTES CP'!$G$10:$G$250,MATCH(AG83,'NOTES CP'!$B$10:$B$250,0)),INDEX('NOTES CP'!$Q$10:$Q$250,MATCH(AG83,'NOTES CP'!$B$10:$B$250,0)),INDEX('NOTES CP'!$AA$10:$AA$250,MATCH(AG83,'NOTES CP'!$B$10:$B$250,0)),INDEX('NOTES CP'!$AK$10:$AK$250,MATCH(AG83,'NOTES CP'!$B$10:$B$250,0))),""))</f>
        <v/>
      </c>
      <c r="AM83" s="51" t="str">
        <f aca="false">IFERROR(MATCH("CE1-43",'REGISTRE ELEVES'!$AG$10:$AG$250,0),"")</f>
        <v/>
      </c>
      <c r="AN83" s="51" t="str">
        <f aca="false">IF(AM83="","",INDEX('REGISTRE ELEVES'!$B$10:$B$250,AM83))</f>
        <v/>
      </c>
      <c r="AO83" s="51" t="str">
        <f aca="false">IF(AM83="","",INDEX('REGISTRE ELEVES'!$D$10:$D$250,AM83))</f>
        <v/>
      </c>
      <c r="AP83" s="51" t="str">
        <f aca="false">IF(AM83="","",INDEX('REGISTRE ELEVES'!$E$10:$E$250,AM83))</f>
        <v/>
      </c>
      <c r="AQ83" s="51" t="str">
        <f aca="false">IF(AN83="","",IFERROR(CHOOSE($C$9,INDEX('NOTES CE1'!$M$10:$M$250,MATCH(AN83,'NOTES CE1'!$B$10:$B$250,0)),INDEX('NOTES CE1'!$T$10:$T$250,MATCH(AN83,'NOTES CE1'!$B$10:$B$250,0)),INDEX('NOTES CE1'!$AA$10:$AA$250,MATCH(AN83,'NOTES CE1'!$B$10:$B$250,0)),INDEX('NOTES CE1'!$AH$10:$AH$250,MATCH(AN83,'NOTES CE1'!$B$10:$B$250,0))),""))</f>
        <v/>
      </c>
      <c r="AR83" s="51" t="str">
        <f aca="false">IF(ISNUMBER(AQ83),AQ83+(1000-43)/1000000,"")</f>
        <v/>
      </c>
      <c r="AS83" s="51" t="str">
        <f aca="false">IF(AN83="","",IFERROR(CHOOSE($C$9,INDEX('NOTES CE1'!$G$10:$G$250,MATCH(AN83,'NOTES CE1'!$B$10:$B$250,0)),INDEX('NOTES CE1'!$N$10:$N$250,MATCH(AN83,'NOTES CE1'!$B$10:$B$250,0)),INDEX('NOTES CE1'!$U$10:$U$250,MATCH(AN83,'NOTES CE1'!$B$10:$B$250,0)),INDEX('NOTES CE1'!$AB$10:$AB$250,MATCH(AN83,'NOTES CE1'!$B$10:$B$250,0))),""))</f>
        <v/>
      </c>
      <c r="AT83" s="51" t="str">
        <f aca="false">IFERROR(MATCH("CE2-43",'REGISTRE ELEVES'!$AG$10:$AG$250,0),"")</f>
        <v/>
      </c>
      <c r="AU83" s="51" t="str">
        <f aca="false">IF(AT83="","",INDEX('REGISTRE ELEVES'!$B$10:$B$250,AT83))</f>
        <v/>
      </c>
      <c r="AV83" s="51" t="str">
        <f aca="false">IF(AT83="","",INDEX('REGISTRE ELEVES'!$D$10:$D$250,AT83))</f>
        <v/>
      </c>
      <c r="AW83" s="51" t="str">
        <f aca="false">IF(AT83="","",INDEX('REGISTRE ELEVES'!$E$10:$E$250,AT83))</f>
        <v/>
      </c>
      <c r="AX83" s="51" t="str">
        <f aca="false">IF(AU83="","",IFERROR(CHOOSE($C$9,INDEX('NOTES CE2-CM1'!$M$10:$M$250,MATCH(AU83,'NOTES CE2-CM1'!$B$10:$B$250,0)),INDEX('NOTES CE2-CM1'!$T$10:$T$250,MATCH(AU83,'NOTES CE2-CM1'!$B$10:$B$250,0)),INDEX('NOTES CE2-CM1'!$AA$10:$AA$250,MATCH(AU83,'NOTES CE2-CM1'!$B$10:$B$250,0)),INDEX('NOTES CE2-CM1'!$AH$10:$AH$250,MATCH(AU83,'NOTES CE2-CM1'!$B$10:$B$250,0))),""))</f>
        <v/>
      </c>
      <c r="AY83" s="51" t="str">
        <f aca="false">IF(ISNUMBER(AX83),AX83+(1000-43)/1000000,"")</f>
        <v/>
      </c>
      <c r="AZ83" s="51" t="str">
        <f aca="false">IF(AU83="","",IFERROR(CHOOSE($C$9,INDEX('NOTES CE2-CM1'!$G$10:$G$250,MATCH(AU83,'NOTES CE2-CM1'!$B$10:$B$250,0)),INDEX('NOTES CE2-CM1'!$N$10:$N$250,MATCH(AU83,'NOTES CE2-CM1'!$B$10:$B$250,0)),INDEX('NOTES CE2-CM1'!$U$10:$U$250,MATCH(AU83,'NOTES CE2-CM1'!$B$10:$B$250,0)),INDEX('NOTES CE2-CM1'!$AB$10:$AB$250,MATCH(AU83,'NOTES CE2-CM1'!$B$10:$B$250,0))),""))</f>
        <v/>
      </c>
      <c r="BA83" s="51" t="str">
        <f aca="false">IFERROR(MATCH("CM1-43",'REGISTRE ELEVES'!$AG$10:$AG$250,0),"")</f>
        <v/>
      </c>
      <c r="BB83" s="51" t="str">
        <f aca="false">IF(BA83="","",INDEX('REGISTRE ELEVES'!$B$10:$B$250,BA83))</f>
        <v/>
      </c>
      <c r="BC83" s="51" t="str">
        <f aca="false">IF(BA83="","",INDEX('REGISTRE ELEVES'!$D$10:$D$250,BA83))</f>
        <v/>
      </c>
      <c r="BD83" s="51" t="str">
        <f aca="false">IF(BA83="","",INDEX('REGISTRE ELEVES'!$E$10:$E$250,BA83))</f>
        <v/>
      </c>
      <c r="BE83" s="51" t="str">
        <f aca="false">IF(BB83="","",IFERROR(CHOOSE($C$9,INDEX('NOTES CE2-CM1'!$M$10:$M$250,MATCH(BB83,'NOTES CE2-CM1'!$B$10:$B$250,0)),INDEX('NOTES CE2-CM1'!$T$10:$T$250,MATCH(BB83,'NOTES CE2-CM1'!$B$10:$B$250,0)),INDEX('NOTES CE2-CM1'!$AA$10:$AA$250,MATCH(BB83,'NOTES CE2-CM1'!$B$10:$B$250,0)),INDEX('NOTES CE2-CM1'!$AH$10:$AH$250,MATCH(BB83,'NOTES CE2-CM1'!$B$10:$B$250,0))),""))</f>
        <v/>
      </c>
      <c r="BF83" s="51" t="str">
        <f aca="false">IF(ISNUMBER(BE83),BE83+(1000-43)/1000000,"")</f>
        <v/>
      </c>
      <c r="BG83" s="51" t="str">
        <f aca="false">IF(BB83="","",IFERROR(CHOOSE($C$9,INDEX('NOTES CE2-CM1'!$G$10:$G$250,MATCH(BB83,'NOTES CE2-CM1'!$B$10:$B$250,0)),INDEX('NOTES CE2-CM1'!$N$10:$N$250,MATCH(BB83,'NOTES CE2-CM1'!$B$10:$B$250,0)),INDEX('NOTES CE2-CM1'!$U$10:$U$250,MATCH(BB83,'NOTES CE2-CM1'!$B$10:$B$250,0)),INDEX('NOTES CE2-CM1'!$AB$10:$AB$250,MATCH(BB83,'NOTES CE2-CM1'!$B$10:$B$250,0))),""))</f>
        <v/>
      </c>
      <c r="BH83" s="51" t="str">
        <f aca="false">IFERROR(MATCH("CM2-43",'REGISTRE ELEVES'!$AG$10:$AG$250,0),"")</f>
        <v/>
      </c>
      <c r="BI83" s="51" t="str">
        <f aca="false">IF(BH83="","",INDEX('REGISTRE ELEVES'!$B$10:$B$250,BH83))</f>
        <v/>
      </c>
      <c r="BJ83" s="51" t="str">
        <f aca="false">IF(BH83="","",INDEX('REGISTRE ELEVES'!$D$10:$D$250,BH83))</f>
        <v/>
      </c>
      <c r="BK83" s="51" t="str">
        <f aca="false">IF(BH83="","",INDEX('REGISTRE ELEVES'!$E$10:$E$250,BH83))</f>
        <v/>
      </c>
      <c r="BL83" s="51" t="str">
        <f aca="false">IF(BI83="","",IFERROR(CHOOSE($C$9,INDEX('NOTES CM2'!$M$10:$M$250,MATCH(BI83,'NOTES CM2'!$B$10:$B$250,0)),INDEX('NOTES CM2'!$T$10:$T$250,MATCH(BI83,'NOTES CM2'!$B$10:$B$250,0)),INDEX('NOTES CM2'!$AB$10:$AB$250,MATCH(BI83,'NOTES CM2'!$B$10:$B$250,0)),INDEX('NOTES CM2'!$AJ$10:$AJ$250,MATCH(BI83,'NOTES CM2'!$B$10:$B$250,0))),""))</f>
        <v/>
      </c>
      <c r="BM83" s="51" t="str">
        <f aca="false">IF(ISNUMBER(BL83),BL83+(1000-43)/1000000,"")</f>
        <v/>
      </c>
      <c r="BN83" s="51" t="str">
        <f aca="false">IF(BI83="","",IFERROR(CHOOSE($C$9,INDEX('NOTES CM2'!$G$10:$G$250,MATCH(BI83,'NOTES CM2'!$B$10:$B$250,0)),INDEX('NOTES CM2'!$N$10:$N$250,MATCH(BI83,'NOTES CM2'!$B$10:$B$250,0)),INDEX('NOTES CM2'!$U$10:$U$250,MATCH(BI83,'NOTES CM2'!$B$10:$B$250,0)),INDEX('NOTES CM2'!$AC$10:$AC$250,MATCH(BI83,'NOTES CM2'!$B$10:$B$250,0))),""))</f>
        <v/>
      </c>
    </row>
    <row r="84" customFormat="false" ht="15" hidden="false" customHeight="false" outlineLevel="0" collapsed="false">
      <c r="Y84" s="51" t="str">
        <f aca="false">IFERROR(MATCH("CP1-44",'REGISTRE ELEVES'!$AG$10:$AG$250,0),"")</f>
        <v/>
      </c>
      <c r="Z84" s="51" t="str">
        <f aca="false">IF(Y84="","",INDEX('REGISTRE ELEVES'!$B$10:$B$250,Y84))</f>
        <v/>
      </c>
      <c r="AA84" s="51" t="str">
        <f aca="false">IF(Y84="","",INDEX('REGISTRE ELEVES'!$D$10:$D$250,Y84))</f>
        <v/>
      </c>
      <c r="AB84" s="51" t="str">
        <f aca="false">IF(Y84="","",INDEX('REGISTRE ELEVES'!$E$10:$E$250,Y84))</f>
        <v/>
      </c>
      <c r="AC84" s="51" t="str">
        <f aca="false">IF(Z84="","",IFERROR(CHOOSE($C$9,INDEX('NOTES CP'!$P$10:$P$250,MATCH(Z84,'NOTES CP'!$B$10:$B$250,0)),INDEX('NOTES CP'!$Z$10:$Z$250,MATCH(Z84,'NOTES CP'!$B$10:$B$250,0)),INDEX('NOTES CP'!$AJ$10:$AJ$250,MATCH(Z84,'NOTES CP'!$B$10:$B$250,0)),INDEX('NOTES CP'!$AT$10:$AT$250,MATCH(Z84,'NOTES CP'!$B$10:$B$250,0))),""))</f>
        <v/>
      </c>
      <c r="AD84" s="51" t="str">
        <f aca="false">IF(ISNUMBER(AC84),AC84+(1000-44)/1000000,"")</f>
        <v/>
      </c>
      <c r="AE84" s="51" t="str">
        <f aca="false">IF(Z84="","",IFERROR(CHOOSE($C$9,INDEX('NOTES CP'!$G$10:$G$250,MATCH(Z84,'NOTES CP'!$B$10:$B$250,0)),INDEX('NOTES CP'!$Q$10:$Q$250,MATCH(Z84,'NOTES CP'!$B$10:$B$250,0)),INDEX('NOTES CP'!$AA$10:$AA$250,MATCH(Z84,'NOTES CP'!$B$10:$B$250,0)),INDEX('NOTES CP'!$AK$10:$AK$250,MATCH(Z84,'NOTES CP'!$B$10:$B$250,0))),""))</f>
        <v/>
      </c>
      <c r="AF84" s="51" t="str">
        <f aca="false">IFERROR(MATCH("CP2-44",'REGISTRE ELEVES'!$AG$10:$AG$250,0),"")</f>
        <v/>
      </c>
      <c r="AG84" s="51" t="str">
        <f aca="false">IF(AF84="","",INDEX('REGISTRE ELEVES'!$B$10:$B$250,AF84))</f>
        <v/>
      </c>
      <c r="AH84" s="51" t="str">
        <f aca="false">IF(AF84="","",INDEX('REGISTRE ELEVES'!$D$10:$D$250,AF84))</f>
        <v/>
      </c>
      <c r="AI84" s="51" t="str">
        <f aca="false">IF(AF84="","",INDEX('REGISTRE ELEVES'!$E$10:$E$250,AF84))</f>
        <v/>
      </c>
      <c r="AJ84" s="51" t="str">
        <f aca="false">IF(AG84="","",IFERROR(CHOOSE($C$9,INDEX('NOTES CP'!$P$10:$P$250,MATCH(AG84,'NOTES CP'!$B$10:$B$250,0)),INDEX('NOTES CP'!$Z$10:$Z$250,MATCH(AG84,'NOTES CP'!$B$10:$B$250,0)),INDEX('NOTES CP'!$AJ$10:$AJ$250,MATCH(AG84,'NOTES CP'!$B$10:$B$250,0)),INDEX('NOTES CP'!$AT$10:$AT$250,MATCH(AG84,'NOTES CP'!$B$10:$B$250,0))),""))</f>
        <v/>
      </c>
      <c r="AK84" s="51" t="str">
        <f aca="false">IF(ISNUMBER(AJ84),AJ84+(1000-44)/1000000,"")</f>
        <v/>
      </c>
      <c r="AL84" s="51" t="str">
        <f aca="false">IF(AG84="","",IFERROR(CHOOSE($C$9,INDEX('NOTES CP'!$G$10:$G$250,MATCH(AG84,'NOTES CP'!$B$10:$B$250,0)),INDEX('NOTES CP'!$Q$10:$Q$250,MATCH(AG84,'NOTES CP'!$B$10:$B$250,0)),INDEX('NOTES CP'!$AA$10:$AA$250,MATCH(AG84,'NOTES CP'!$B$10:$B$250,0)),INDEX('NOTES CP'!$AK$10:$AK$250,MATCH(AG84,'NOTES CP'!$B$10:$B$250,0))),""))</f>
        <v/>
      </c>
      <c r="AM84" s="51" t="str">
        <f aca="false">IFERROR(MATCH("CE1-44",'REGISTRE ELEVES'!$AG$10:$AG$250,0),"")</f>
        <v/>
      </c>
      <c r="AN84" s="51" t="str">
        <f aca="false">IF(AM84="","",INDEX('REGISTRE ELEVES'!$B$10:$B$250,AM84))</f>
        <v/>
      </c>
      <c r="AO84" s="51" t="str">
        <f aca="false">IF(AM84="","",INDEX('REGISTRE ELEVES'!$D$10:$D$250,AM84))</f>
        <v/>
      </c>
      <c r="AP84" s="51" t="str">
        <f aca="false">IF(AM84="","",INDEX('REGISTRE ELEVES'!$E$10:$E$250,AM84))</f>
        <v/>
      </c>
      <c r="AQ84" s="51" t="str">
        <f aca="false">IF(AN84="","",IFERROR(CHOOSE($C$9,INDEX('NOTES CE1'!$M$10:$M$250,MATCH(AN84,'NOTES CE1'!$B$10:$B$250,0)),INDEX('NOTES CE1'!$T$10:$T$250,MATCH(AN84,'NOTES CE1'!$B$10:$B$250,0)),INDEX('NOTES CE1'!$AA$10:$AA$250,MATCH(AN84,'NOTES CE1'!$B$10:$B$250,0)),INDEX('NOTES CE1'!$AH$10:$AH$250,MATCH(AN84,'NOTES CE1'!$B$10:$B$250,0))),""))</f>
        <v/>
      </c>
      <c r="AR84" s="51" t="str">
        <f aca="false">IF(ISNUMBER(AQ84),AQ84+(1000-44)/1000000,"")</f>
        <v/>
      </c>
      <c r="AS84" s="51" t="str">
        <f aca="false">IF(AN84="","",IFERROR(CHOOSE($C$9,INDEX('NOTES CE1'!$G$10:$G$250,MATCH(AN84,'NOTES CE1'!$B$10:$B$250,0)),INDEX('NOTES CE1'!$N$10:$N$250,MATCH(AN84,'NOTES CE1'!$B$10:$B$250,0)),INDEX('NOTES CE1'!$U$10:$U$250,MATCH(AN84,'NOTES CE1'!$B$10:$B$250,0)),INDEX('NOTES CE1'!$AB$10:$AB$250,MATCH(AN84,'NOTES CE1'!$B$10:$B$250,0))),""))</f>
        <v/>
      </c>
      <c r="AT84" s="51" t="str">
        <f aca="false">IFERROR(MATCH("CE2-44",'REGISTRE ELEVES'!$AG$10:$AG$250,0),"")</f>
        <v/>
      </c>
      <c r="AU84" s="51" t="str">
        <f aca="false">IF(AT84="","",INDEX('REGISTRE ELEVES'!$B$10:$B$250,AT84))</f>
        <v/>
      </c>
      <c r="AV84" s="51" t="str">
        <f aca="false">IF(AT84="","",INDEX('REGISTRE ELEVES'!$D$10:$D$250,AT84))</f>
        <v/>
      </c>
      <c r="AW84" s="51" t="str">
        <f aca="false">IF(AT84="","",INDEX('REGISTRE ELEVES'!$E$10:$E$250,AT84))</f>
        <v/>
      </c>
      <c r="AX84" s="51" t="str">
        <f aca="false">IF(AU84="","",IFERROR(CHOOSE($C$9,INDEX('NOTES CE2-CM1'!$M$10:$M$250,MATCH(AU84,'NOTES CE2-CM1'!$B$10:$B$250,0)),INDEX('NOTES CE2-CM1'!$T$10:$T$250,MATCH(AU84,'NOTES CE2-CM1'!$B$10:$B$250,0)),INDEX('NOTES CE2-CM1'!$AA$10:$AA$250,MATCH(AU84,'NOTES CE2-CM1'!$B$10:$B$250,0)),INDEX('NOTES CE2-CM1'!$AH$10:$AH$250,MATCH(AU84,'NOTES CE2-CM1'!$B$10:$B$250,0))),""))</f>
        <v/>
      </c>
      <c r="AY84" s="51" t="str">
        <f aca="false">IF(ISNUMBER(AX84),AX84+(1000-44)/1000000,"")</f>
        <v/>
      </c>
      <c r="AZ84" s="51" t="str">
        <f aca="false">IF(AU84="","",IFERROR(CHOOSE($C$9,INDEX('NOTES CE2-CM1'!$G$10:$G$250,MATCH(AU84,'NOTES CE2-CM1'!$B$10:$B$250,0)),INDEX('NOTES CE2-CM1'!$N$10:$N$250,MATCH(AU84,'NOTES CE2-CM1'!$B$10:$B$250,0)),INDEX('NOTES CE2-CM1'!$U$10:$U$250,MATCH(AU84,'NOTES CE2-CM1'!$B$10:$B$250,0)),INDEX('NOTES CE2-CM1'!$AB$10:$AB$250,MATCH(AU84,'NOTES CE2-CM1'!$B$10:$B$250,0))),""))</f>
        <v/>
      </c>
      <c r="BA84" s="51" t="str">
        <f aca="false">IFERROR(MATCH("CM1-44",'REGISTRE ELEVES'!$AG$10:$AG$250,0),"")</f>
        <v/>
      </c>
      <c r="BB84" s="51" t="str">
        <f aca="false">IF(BA84="","",INDEX('REGISTRE ELEVES'!$B$10:$B$250,BA84))</f>
        <v/>
      </c>
      <c r="BC84" s="51" t="str">
        <f aca="false">IF(BA84="","",INDEX('REGISTRE ELEVES'!$D$10:$D$250,BA84))</f>
        <v/>
      </c>
      <c r="BD84" s="51" t="str">
        <f aca="false">IF(BA84="","",INDEX('REGISTRE ELEVES'!$E$10:$E$250,BA84))</f>
        <v/>
      </c>
      <c r="BE84" s="51" t="str">
        <f aca="false">IF(BB84="","",IFERROR(CHOOSE($C$9,INDEX('NOTES CE2-CM1'!$M$10:$M$250,MATCH(BB84,'NOTES CE2-CM1'!$B$10:$B$250,0)),INDEX('NOTES CE2-CM1'!$T$10:$T$250,MATCH(BB84,'NOTES CE2-CM1'!$B$10:$B$250,0)),INDEX('NOTES CE2-CM1'!$AA$10:$AA$250,MATCH(BB84,'NOTES CE2-CM1'!$B$10:$B$250,0)),INDEX('NOTES CE2-CM1'!$AH$10:$AH$250,MATCH(BB84,'NOTES CE2-CM1'!$B$10:$B$250,0))),""))</f>
        <v/>
      </c>
      <c r="BF84" s="51" t="str">
        <f aca="false">IF(ISNUMBER(BE84),BE84+(1000-44)/1000000,"")</f>
        <v/>
      </c>
      <c r="BG84" s="51" t="str">
        <f aca="false">IF(BB84="","",IFERROR(CHOOSE($C$9,INDEX('NOTES CE2-CM1'!$G$10:$G$250,MATCH(BB84,'NOTES CE2-CM1'!$B$10:$B$250,0)),INDEX('NOTES CE2-CM1'!$N$10:$N$250,MATCH(BB84,'NOTES CE2-CM1'!$B$10:$B$250,0)),INDEX('NOTES CE2-CM1'!$U$10:$U$250,MATCH(BB84,'NOTES CE2-CM1'!$B$10:$B$250,0)),INDEX('NOTES CE2-CM1'!$AB$10:$AB$250,MATCH(BB84,'NOTES CE2-CM1'!$B$10:$B$250,0))),""))</f>
        <v/>
      </c>
      <c r="BH84" s="51" t="str">
        <f aca="false">IFERROR(MATCH("CM2-44",'REGISTRE ELEVES'!$AG$10:$AG$250,0),"")</f>
        <v/>
      </c>
      <c r="BI84" s="51" t="str">
        <f aca="false">IF(BH84="","",INDEX('REGISTRE ELEVES'!$B$10:$B$250,BH84))</f>
        <v/>
      </c>
      <c r="BJ84" s="51" t="str">
        <f aca="false">IF(BH84="","",INDEX('REGISTRE ELEVES'!$D$10:$D$250,BH84))</f>
        <v/>
      </c>
      <c r="BK84" s="51" t="str">
        <f aca="false">IF(BH84="","",INDEX('REGISTRE ELEVES'!$E$10:$E$250,BH84))</f>
        <v/>
      </c>
      <c r="BL84" s="51" t="str">
        <f aca="false">IF(BI84="","",IFERROR(CHOOSE($C$9,INDEX('NOTES CM2'!$M$10:$M$250,MATCH(BI84,'NOTES CM2'!$B$10:$B$250,0)),INDEX('NOTES CM2'!$T$10:$T$250,MATCH(BI84,'NOTES CM2'!$B$10:$B$250,0)),INDEX('NOTES CM2'!$AB$10:$AB$250,MATCH(BI84,'NOTES CM2'!$B$10:$B$250,0)),INDEX('NOTES CM2'!$AJ$10:$AJ$250,MATCH(BI84,'NOTES CM2'!$B$10:$B$250,0))),""))</f>
        <v/>
      </c>
      <c r="BM84" s="51" t="str">
        <f aca="false">IF(ISNUMBER(BL84),BL84+(1000-44)/1000000,"")</f>
        <v/>
      </c>
      <c r="BN84" s="51" t="str">
        <f aca="false">IF(BI84="","",IFERROR(CHOOSE($C$9,INDEX('NOTES CM2'!$G$10:$G$250,MATCH(BI84,'NOTES CM2'!$B$10:$B$250,0)),INDEX('NOTES CM2'!$N$10:$N$250,MATCH(BI84,'NOTES CM2'!$B$10:$B$250,0)),INDEX('NOTES CM2'!$U$10:$U$250,MATCH(BI84,'NOTES CM2'!$B$10:$B$250,0)),INDEX('NOTES CM2'!$AC$10:$AC$250,MATCH(BI84,'NOTES CM2'!$B$10:$B$250,0))),""))</f>
        <v/>
      </c>
    </row>
    <row r="85" customFormat="false" ht="15" hidden="false" customHeight="false" outlineLevel="0" collapsed="false">
      <c r="Y85" s="51" t="str">
        <f aca="false">IFERROR(MATCH("CP1-45",'REGISTRE ELEVES'!$AG$10:$AG$250,0),"")</f>
        <v/>
      </c>
      <c r="Z85" s="51" t="str">
        <f aca="false">IF(Y85="","",INDEX('REGISTRE ELEVES'!$B$10:$B$250,Y85))</f>
        <v/>
      </c>
      <c r="AA85" s="51" t="str">
        <f aca="false">IF(Y85="","",INDEX('REGISTRE ELEVES'!$D$10:$D$250,Y85))</f>
        <v/>
      </c>
      <c r="AB85" s="51" t="str">
        <f aca="false">IF(Y85="","",INDEX('REGISTRE ELEVES'!$E$10:$E$250,Y85))</f>
        <v/>
      </c>
      <c r="AC85" s="51" t="str">
        <f aca="false">IF(Z85="","",IFERROR(CHOOSE($C$9,INDEX('NOTES CP'!$P$10:$P$250,MATCH(Z85,'NOTES CP'!$B$10:$B$250,0)),INDEX('NOTES CP'!$Z$10:$Z$250,MATCH(Z85,'NOTES CP'!$B$10:$B$250,0)),INDEX('NOTES CP'!$AJ$10:$AJ$250,MATCH(Z85,'NOTES CP'!$B$10:$B$250,0)),INDEX('NOTES CP'!$AT$10:$AT$250,MATCH(Z85,'NOTES CP'!$B$10:$B$250,0))),""))</f>
        <v/>
      </c>
      <c r="AD85" s="51" t="str">
        <f aca="false">IF(ISNUMBER(AC85),AC85+(1000-45)/1000000,"")</f>
        <v/>
      </c>
      <c r="AE85" s="51" t="str">
        <f aca="false">IF(Z85="","",IFERROR(CHOOSE($C$9,INDEX('NOTES CP'!$G$10:$G$250,MATCH(Z85,'NOTES CP'!$B$10:$B$250,0)),INDEX('NOTES CP'!$Q$10:$Q$250,MATCH(Z85,'NOTES CP'!$B$10:$B$250,0)),INDEX('NOTES CP'!$AA$10:$AA$250,MATCH(Z85,'NOTES CP'!$B$10:$B$250,0)),INDEX('NOTES CP'!$AK$10:$AK$250,MATCH(Z85,'NOTES CP'!$B$10:$B$250,0))),""))</f>
        <v/>
      </c>
      <c r="AF85" s="51" t="str">
        <f aca="false">IFERROR(MATCH("CP2-45",'REGISTRE ELEVES'!$AG$10:$AG$250,0),"")</f>
        <v/>
      </c>
      <c r="AG85" s="51" t="str">
        <f aca="false">IF(AF85="","",INDEX('REGISTRE ELEVES'!$B$10:$B$250,AF85))</f>
        <v/>
      </c>
      <c r="AH85" s="51" t="str">
        <f aca="false">IF(AF85="","",INDEX('REGISTRE ELEVES'!$D$10:$D$250,AF85))</f>
        <v/>
      </c>
      <c r="AI85" s="51" t="str">
        <f aca="false">IF(AF85="","",INDEX('REGISTRE ELEVES'!$E$10:$E$250,AF85))</f>
        <v/>
      </c>
      <c r="AJ85" s="51" t="str">
        <f aca="false">IF(AG85="","",IFERROR(CHOOSE($C$9,INDEX('NOTES CP'!$P$10:$P$250,MATCH(AG85,'NOTES CP'!$B$10:$B$250,0)),INDEX('NOTES CP'!$Z$10:$Z$250,MATCH(AG85,'NOTES CP'!$B$10:$B$250,0)),INDEX('NOTES CP'!$AJ$10:$AJ$250,MATCH(AG85,'NOTES CP'!$B$10:$B$250,0)),INDEX('NOTES CP'!$AT$10:$AT$250,MATCH(AG85,'NOTES CP'!$B$10:$B$250,0))),""))</f>
        <v/>
      </c>
      <c r="AK85" s="51" t="str">
        <f aca="false">IF(ISNUMBER(AJ85),AJ85+(1000-45)/1000000,"")</f>
        <v/>
      </c>
      <c r="AL85" s="51" t="str">
        <f aca="false">IF(AG85="","",IFERROR(CHOOSE($C$9,INDEX('NOTES CP'!$G$10:$G$250,MATCH(AG85,'NOTES CP'!$B$10:$B$250,0)),INDEX('NOTES CP'!$Q$10:$Q$250,MATCH(AG85,'NOTES CP'!$B$10:$B$250,0)),INDEX('NOTES CP'!$AA$10:$AA$250,MATCH(AG85,'NOTES CP'!$B$10:$B$250,0)),INDEX('NOTES CP'!$AK$10:$AK$250,MATCH(AG85,'NOTES CP'!$B$10:$B$250,0))),""))</f>
        <v/>
      </c>
      <c r="AM85" s="51" t="str">
        <f aca="false">IFERROR(MATCH("CE1-45",'REGISTRE ELEVES'!$AG$10:$AG$250,0),"")</f>
        <v/>
      </c>
      <c r="AN85" s="51" t="str">
        <f aca="false">IF(AM85="","",INDEX('REGISTRE ELEVES'!$B$10:$B$250,AM85))</f>
        <v/>
      </c>
      <c r="AO85" s="51" t="str">
        <f aca="false">IF(AM85="","",INDEX('REGISTRE ELEVES'!$D$10:$D$250,AM85))</f>
        <v/>
      </c>
      <c r="AP85" s="51" t="str">
        <f aca="false">IF(AM85="","",INDEX('REGISTRE ELEVES'!$E$10:$E$250,AM85))</f>
        <v/>
      </c>
      <c r="AQ85" s="51" t="str">
        <f aca="false">IF(AN85="","",IFERROR(CHOOSE($C$9,INDEX('NOTES CE1'!$M$10:$M$250,MATCH(AN85,'NOTES CE1'!$B$10:$B$250,0)),INDEX('NOTES CE1'!$T$10:$T$250,MATCH(AN85,'NOTES CE1'!$B$10:$B$250,0)),INDEX('NOTES CE1'!$AA$10:$AA$250,MATCH(AN85,'NOTES CE1'!$B$10:$B$250,0)),INDEX('NOTES CE1'!$AH$10:$AH$250,MATCH(AN85,'NOTES CE1'!$B$10:$B$250,0))),""))</f>
        <v/>
      </c>
      <c r="AR85" s="51" t="str">
        <f aca="false">IF(ISNUMBER(AQ85),AQ85+(1000-45)/1000000,"")</f>
        <v/>
      </c>
      <c r="AS85" s="51" t="str">
        <f aca="false">IF(AN85="","",IFERROR(CHOOSE($C$9,INDEX('NOTES CE1'!$G$10:$G$250,MATCH(AN85,'NOTES CE1'!$B$10:$B$250,0)),INDEX('NOTES CE1'!$N$10:$N$250,MATCH(AN85,'NOTES CE1'!$B$10:$B$250,0)),INDEX('NOTES CE1'!$U$10:$U$250,MATCH(AN85,'NOTES CE1'!$B$10:$B$250,0)),INDEX('NOTES CE1'!$AB$10:$AB$250,MATCH(AN85,'NOTES CE1'!$B$10:$B$250,0))),""))</f>
        <v/>
      </c>
      <c r="AT85" s="51" t="str">
        <f aca="false">IFERROR(MATCH("CE2-45",'REGISTRE ELEVES'!$AG$10:$AG$250,0),"")</f>
        <v/>
      </c>
      <c r="AU85" s="51" t="str">
        <f aca="false">IF(AT85="","",INDEX('REGISTRE ELEVES'!$B$10:$B$250,AT85))</f>
        <v/>
      </c>
      <c r="AV85" s="51" t="str">
        <f aca="false">IF(AT85="","",INDEX('REGISTRE ELEVES'!$D$10:$D$250,AT85))</f>
        <v/>
      </c>
      <c r="AW85" s="51" t="str">
        <f aca="false">IF(AT85="","",INDEX('REGISTRE ELEVES'!$E$10:$E$250,AT85))</f>
        <v/>
      </c>
      <c r="AX85" s="51" t="str">
        <f aca="false">IF(AU85="","",IFERROR(CHOOSE($C$9,INDEX('NOTES CE2-CM1'!$M$10:$M$250,MATCH(AU85,'NOTES CE2-CM1'!$B$10:$B$250,0)),INDEX('NOTES CE2-CM1'!$T$10:$T$250,MATCH(AU85,'NOTES CE2-CM1'!$B$10:$B$250,0)),INDEX('NOTES CE2-CM1'!$AA$10:$AA$250,MATCH(AU85,'NOTES CE2-CM1'!$B$10:$B$250,0)),INDEX('NOTES CE2-CM1'!$AH$10:$AH$250,MATCH(AU85,'NOTES CE2-CM1'!$B$10:$B$250,0))),""))</f>
        <v/>
      </c>
      <c r="AY85" s="51" t="str">
        <f aca="false">IF(ISNUMBER(AX85),AX85+(1000-45)/1000000,"")</f>
        <v/>
      </c>
      <c r="AZ85" s="51" t="str">
        <f aca="false">IF(AU85="","",IFERROR(CHOOSE($C$9,INDEX('NOTES CE2-CM1'!$G$10:$G$250,MATCH(AU85,'NOTES CE2-CM1'!$B$10:$B$250,0)),INDEX('NOTES CE2-CM1'!$N$10:$N$250,MATCH(AU85,'NOTES CE2-CM1'!$B$10:$B$250,0)),INDEX('NOTES CE2-CM1'!$U$10:$U$250,MATCH(AU85,'NOTES CE2-CM1'!$B$10:$B$250,0)),INDEX('NOTES CE2-CM1'!$AB$10:$AB$250,MATCH(AU85,'NOTES CE2-CM1'!$B$10:$B$250,0))),""))</f>
        <v/>
      </c>
      <c r="BA85" s="51" t="str">
        <f aca="false">IFERROR(MATCH("CM1-45",'REGISTRE ELEVES'!$AG$10:$AG$250,0),"")</f>
        <v/>
      </c>
      <c r="BB85" s="51" t="str">
        <f aca="false">IF(BA85="","",INDEX('REGISTRE ELEVES'!$B$10:$B$250,BA85))</f>
        <v/>
      </c>
      <c r="BC85" s="51" t="str">
        <f aca="false">IF(BA85="","",INDEX('REGISTRE ELEVES'!$D$10:$D$250,BA85))</f>
        <v/>
      </c>
      <c r="BD85" s="51" t="str">
        <f aca="false">IF(BA85="","",INDEX('REGISTRE ELEVES'!$E$10:$E$250,BA85))</f>
        <v/>
      </c>
      <c r="BE85" s="51" t="str">
        <f aca="false">IF(BB85="","",IFERROR(CHOOSE($C$9,INDEX('NOTES CE2-CM1'!$M$10:$M$250,MATCH(BB85,'NOTES CE2-CM1'!$B$10:$B$250,0)),INDEX('NOTES CE2-CM1'!$T$10:$T$250,MATCH(BB85,'NOTES CE2-CM1'!$B$10:$B$250,0)),INDEX('NOTES CE2-CM1'!$AA$10:$AA$250,MATCH(BB85,'NOTES CE2-CM1'!$B$10:$B$250,0)),INDEX('NOTES CE2-CM1'!$AH$10:$AH$250,MATCH(BB85,'NOTES CE2-CM1'!$B$10:$B$250,0))),""))</f>
        <v/>
      </c>
      <c r="BF85" s="51" t="str">
        <f aca="false">IF(ISNUMBER(BE85),BE85+(1000-45)/1000000,"")</f>
        <v/>
      </c>
      <c r="BG85" s="51" t="str">
        <f aca="false">IF(BB85="","",IFERROR(CHOOSE($C$9,INDEX('NOTES CE2-CM1'!$G$10:$G$250,MATCH(BB85,'NOTES CE2-CM1'!$B$10:$B$250,0)),INDEX('NOTES CE2-CM1'!$N$10:$N$250,MATCH(BB85,'NOTES CE2-CM1'!$B$10:$B$250,0)),INDEX('NOTES CE2-CM1'!$U$10:$U$250,MATCH(BB85,'NOTES CE2-CM1'!$B$10:$B$250,0)),INDEX('NOTES CE2-CM1'!$AB$10:$AB$250,MATCH(BB85,'NOTES CE2-CM1'!$B$10:$B$250,0))),""))</f>
        <v/>
      </c>
      <c r="BH85" s="51" t="str">
        <f aca="false">IFERROR(MATCH("CM2-45",'REGISTRE ELEVES'!$AG$10:$AG$250,0),"")</f>
        <v/>
      </c>
      <c r="BI85" s="51" t="str">
        <f aca="false">IF(BH85="","",INDEX('REGISTRE ELEVES'!$B$10:$B$250,BH85))</f>
        <v/>
      </c>
      <c r="BJ85" s="51" t="str">
        <f aca="false">IF(BH85="","",INDEX('REGISTRE ELEVES'!$D$10:$D$250,BH85))</f>
        <v/>
      </c>
      <c r="BK85" s="51" t="str">
        <f aca="false">IF(BH85="","",INDEX('REGISTRE ELEVES'!$E$10:$E$250,BH85))</f>
        <v/>
      </c>
      <c r="BL85" s="51" t="str">
        <f aca="false">IF(BI85="","",IFERROR(CHOOSE($C$9,INDEX('NOTES CM2'!$M$10:$M$250,MATCH(BI85,'NOTES CM2'!$B$10:$B$250,0)),INDEX('NOTES CM2'!$T$10:$T$250,MATCH(BI85,'NOTES CM2'!$B$10:$B$250,0)),INDEX('NOTES CM2'!$AB$10:$AB$250,MATCH(BI85,'NOTES CM2'!$B$10:$B$250,0)),INDEX('NOTES CM2'!$AJ$10:$AJ$250,MATCH(BI85,'NOTES CM2'!$B$10:$B$250,0))),""))</f>
        <v/>
      </c>
      <c r="BM85" s="51" t="str">
        <f aca="false">IF(ISNUMBER(BL85),BL85+(1000-45)/1000000,"")</f>
        <v/>
      </c>
      <c r="BN85" s="51" t="str">
        <f aca="false">IF(BI85="","",IFERROR(CHOOSE($C$9,INDEX('NOTES CM2'!$G$10:$G$250,MATCH(BI85,'NOTES CM2'!$B$10:$B$250,0)),INDEX('NOTES CM2'!$N$10:$N$250,MATCH(BI85,'NOTES CM2'!$B$10:$B$250,0)),INDEX('NOTES CM2'!$U$10:$U$250,MATCH(BI85,'NOTES CM2'!$B$10:$B$250,0)),INDEX('NOTES CM2'!$AC$10:$AC$250,MATCH(BI85,'NOTES CM2'!$B$10:$B$250,0))),""))</f>
        <v/>
      </c>
    </row>
    <row r="86" customFormat="false" ht="15" hidden="false" customHeight="false" outlineLevel="0" collapsed="false">
      <c r="Y86" s="51" t="str">
        <f aca="false">IFERROR(MATCH("CP1-46",'REGISTRE ELEVES'!$AG$10:$AG$250,0),"")</f>
        <v/>
      </c>
      <c r="Z86" s="51" t="str">
        <f aca="false">IF(Y86="","",INDEX('REGISTRE ELEVES'!$B$10:$B$250,Y86))</f>
        <v/>
      </c>
      <c r="AA86" s="51" t="str">
        <f aca="false">IF(Y86="","",INDEX('REGISTRE ELEVES'!$D$10:$D$250,Y86))</f>
        <v/>
      </c>
      <c r="AB86" s="51" t="str">
        <f aca="false">IF(Y86="","",INDEX('REGISTRE ELEVES'!$E$10:$E$250,Y86))</f>
        <v/>
      </c>
      <c r="AC86" s="51" t="str">
        <f aca="false">IF(Z86="","",IFERROR(CHOOSE($C$9,INDEX('NOTES CP'!$P$10:$P$250,MATCH(Z86,'NOTES CP'!$B$10:$B$250,0)),INDEX('NOTES CP'!$Z$10:$Z$250,MATCH(Z86,'NOTES CP'!$B$10:$B$250,0)),INDEX('NOTES CP'!$AJ$10:$AJ$250,MATCH(Z86,'NOTES CP'!$B$10:$B$250,0)),INDEX('NOTES CP'!$AT$10:$AT$250,MATCH(Z86,'NOTES CP'!$B$10:$B$250,0))),""))</f>
        <v/>
      </c>
      <c r="AD86" s="51" t="str">
        <f aca="false">IF(ISNUMBER(AC86),AC86+(1000-46)/1000000,"")</f>
        <v/>
      </c>
      <c r="AE86" s="51" t="str">
        <f aca="false">IF(Z86="","",IFERROR(CHOOSE($C$9,INDEX('NOTES CP'!$G$10:$G$250,MATCH(Z86,'NOTES CP'!$B$10:$B$250,0)),INDEX('NOTES CP'!$Q$10:$Q$250,MATCH(Z86,'NOTES CP'!$B$10:$B$250,0)),INDEX('NOTES CP'!$AA$10:$AA$250,MATCH(Z86,'NOTES CP'!$B$10:$B$250,0)),INDEX('NOTES CP'!$AK$10:$AK$250,MATCH(Z86,'NOTES CP'!$B$10:$B$250,0))),""))</f>
        <v/>
      </c>
      <c r="AF86" s="51" t="str">
        <f aca="false">IFERROR(MATCH("CP2-46",'REGISTRE ELEVES'!$AG$10:$AG$250,0),"")</f>
        <v/>
      </c>
      <c r="AG86" s="51" t="str">
        <f aca="false">IF(AF86="","",INDEX('REGISTRE ELEVES'!$B$10:$B$250,AF86))</f>
        <v/>
      </c>
      <c r="AH86" s="51" t="str">
        <f aca="false">IF(AF86="","",INDEX('REGISTRE ELEVES'!$D$10:$D$250,AF86))</f>
        <v/>
      </c>
      <c r="AI86" s="51" t="str">
        <f aca="false">IF(AF86="","",INDEX('REGISTRE ELEVES'!$E$10:$E$250,AF86))</f>
        <v/>
      </c>
      <c r="AJ86" s="51" t="str">
        <f aca="false">IF(AG86="","",IFERROR(CHOOSE($C$9,INDEX('NOTES CP'!$P$10:$P$250,MATCH(AG86,'NOTES CP'!$B$10:$B$250,0)),INDEX('NOTES CP'!$Z$10:$Z$250,MATCH(AG86,'NOTES CP'!$B$10:$B$250,0)),INDEX('NOTES CP'!$AJ$10:$AJ$250,MATCH(AG86,'NOTES CP'!$B$10:$B$250,0)),INDEX('NOTES CP'!$AT$10:$AT$250,MATCH(AG86,'NOTES CP'!$B$10:$B$250,0))),""))</f>
        <v/>
      </c>
      <c r="AK86" s="51" t="str">
        <f aca="false">IF(ISNUMBER(AJ86),AJ86+(1000-46)/1000000,"")</f>
        <v/>
      </c>
      <c r="AL86" s="51" t="str">
        <f aca="false">IF(AG86="","",IFERROR(CHOOSE($C$9,INDEX('NOTES CP'!$G$10:$G$250,MATCH(AG86,'NOTES CP'!$B$10:$B$250,0)),INDEX('NOTES CP'!$Q$10:$Q$250,MATCH(AG86,'NOTES CP'!$B$10:$B$250,0)),INDEX('NOTES CP'!$AA$10:$AA$250,MATCH(AG86,'NOTES CP'!$B$10:$B$250,0)),INDEX('NOTES CP'!$AK$10:$AK$250,MATCH(AG86,'NOTES CP'!$B$10:$B$250,0))),""))</f>
        <v/>
      </c>
      <c r="AM86" s="51" t="str">
        <f aca="false">IFERROR(MATCH("CE1-46",'REGISTRE ELEVES'!$AG$10:$AG$250,0),"")</f>
        <v/>
      </c>
      <c r="AN86" s="51" t="str">
        <f aca="false">IF(AM86="","",INDEX('REGISTRE ELEVES'!$B$10:$B$250,AM86))</f>
        <v/>
      </c>
      <c r="AO86" s="51" t="str">
        <f aca="false">IF(AM86="","",INDEX('REGISTRE ELEVES'!$D$10:$D$250,AM86))</f>
        <v/>
      </c>
      <c r="AP86" s="51" t="str">
        <f aca="false">IF(AM86="","",INDEX('REGISTRE ELEVES'!$E$10:$E$250,AM86))</f>
        <v/>
      </c>
      <c r="AQ86" s="51" t="str">
        <f aca="false">IF(AN86="","",IFERROR(CHOOSE($C$9,INDEX('NOTES CE1'!$M$10:$M$250,MATCH(AN86,'NOTES CE1'!$B$10:$B$250,0)),INDEX('NOTES CE1'!$T$10:$T$250,MATCH(AN86,'NOTES CE1'!$B$10:$B$250,0)),INDEX('NOTES CE1'!$AA$10:$AA$250,MATCH(AN86,'NOTES CE1'!$B$10:$B$250,0)),INDEX('NOTES CE1'!$AH$10:$AH$250,MATCH(AN86,'NOTES CE1'!$B$10:$B$250,0))),""))</f>
        <v/>
      </c>
      <c r="AR86" s="51" t="str">
        <f aca="false">IF(ISNUMBER(AQ86),AQ86+(1000-46)/1000000,"")</f>
        <v/>
      </c>
      <c r="AS86" s="51" t="str">
        <f aca="false">IF(AN86="","",IFERROR(CHOOSE($C$9,INDEX('NOTES CE1'!$G$10:$G$250,MATCH(AN86,'NOTES CE1'!$B$10:$B$250,0)),INDEX('NOTES CE1'!$N$10:$N$250,MATCH(AN86,'NOTES CE1'!$B$10:$B$250,0)),INDEX('NOTES CE1'!$U$10:$U$250,MATCH(AN86,'NOTES CE1'!$B$10:$B$250,0)),INDEX('NOTES CE1'!$AB$10:$AB$250,MATCH(AN86,'NOTES CE1'!$B$10:$B$250,0))),""))</f>
        <v/>
      </c>
      <c r="AT86" s="51" t="str">
        <f aca="false">IFERROR(MATCH("CE2-46",'REGISTRE ELEVES'!$AG$10:$AG$250,0),"")</f>
        <v/>
      </c>
      <c r="AU86" s="51" t="str">
        <f aca="false">IF(AT86="","",INDEX('REGISTRE ELEVES'!$B$10:$B$250,AT86))</f>
        <v/>
      </c>
      <c r="AV86" s="51" t="str">
        <f aca="false">IF(AT86="","",INDEX('REGISTRE ELEVES'!$D$10:$D$250,AT86))</f>
        <v/>
      </c>
      <c r="AW86" s="51" t="str">
        <f aca="false">IF(AT86="","",INDEX('REGISTRE ELEVES'!$E$10:$E$250,AT86))</f>
        <v/>
      </c>
      <c r="AX86" s="51" t="str">
        <f aca="false">IF(AU86="","",IFERROR(CHOOSE($C$9,INDEX('NOTES CE2-CM1'!$M$10:$M$250,MATCH(AU86,'NOTES CE2-CM1'!$B$10:$B$250,0)),INDEX('NOTES CE2-CM1'!$T$10:$T$250,MATCH(AU86,'NOTES CE2-CM1'!$B$10:$B$250,0)),INDEX('NOTES CE2-CM1'!$AA$10:$AA$250,MATCH(AU86,'NOTES CE2-CM1'!$B$10:$B$250,0)),INDEX('NOTES CE2-CM1'!$AH$10:$AH$250,MATCH(AU86,'NOTES CE2-CM1'!$B$10:$B$250,0))),""))</f>
        <v/>
      </c>
      <c r="AY86" s="51" t="str">
        <f aca="false">IF(ISNUMBER(AX86),AX86+(1000-46)/1000000,"")</f>
        <v/>
      </c>
      <c r="AZ86" s="51" t="str">
        <f aca="false">IF(AU86="","",IFERROR(CHOOSE($C$9,INDEX('NOTES CE2-CM1'!$G$10:$G$250,MATCH(AU86,'NOTES CE2-CM1'!$B$10:$B$250,0)),INDEX('NOTES CE2-CM1'!$N$10:$N$250,MATCH(AU86,'NOTES CE2-CM1'!$B$10:$B$250,0)),INDEX('NOTES CE2-CM1'!$U$10:$U$250,MATCH(AU86,'NOTES CE2-CM1'!$B$10:$B$250,0)),INDEX('NOTES CE2-CM1'!$AB$10:$AB$250,MATCH(AU86,'NOTES CE2-CM1'!$B$10:$B$250,0))),""))</f>
        <v/>
      </c>
      <c r="BA86" s="51" t="str">
        <f aca="false">IFERROR(MATCH("CM1-46",'REGISTRE ELEVES'!$AG$10:$AG$250,0),"")</f>
        <v/>
      </c>
      <c r="BB86" s="51" t="str">
        <f aca="false">IF(BA86="","",INDEX('REGISTRE ELEVES'!$B$10:$B$250,BA86))</f>
        <v/>
      </c>
      <c r="BC86" s="51" t="str">
        <f aca="false">IF(BA86="","",INDEX('REGISTRE ELEVES'!$D$10:$D$250,BA86))</f>
        <v/>
      </c>
      <c r="BD86" s="51" t="str">
        <f aca="false">IF(BA86="","",INDEX('REGISTRE ELEVES'!$E$10:$E$250,BA86))</f>
        <v/>
      </c>
      <c r="BE86" s="51" t="str">
        <f aca="false">IF(BB86="","",IFERROR(CHOOSE($C$9,INDEX('NOTES CE2-CM1'!$M$10:$M$250,MATCH(BB86,'NOTES CE2-CM1'!$B$10:$B$250,0)),INDEX('NOTES CE2-CM1'!$T$10:$T$250,MATCH(BB86,'NOTES CE2-CM1'!$B$10:$B$250,0)),INDEX('NOTES CE2-CM1'!$AA$10:$AA$250,MATCH(BB86,'NOTES CE2-CM1'!$B$10:$B$250,0)),INDEX('NOTES CE2-CM1'!$AH$10:$AH$250,MATCH(BB86,'NOTES CE2-CM1'!$B$10:$B$250,0))),""))</f>
        <v/>
      </c>
      <c r="BF86" s="51" t="str">
        <f aca="false">IF(ISNUMBER(BE86),BE86+(1000-46)/1000000,"")</f>
        <v/>
      </c>
      <c r="BG86" s="51" t="str">
        <f aca="false">IF(BB86="","",IFERROR(CHOOSE($C$9,INDEX('NOTES CE2-CM1'!$G$10:$G$250,MATCH(BB86,'NOTES CE2-CM1'!$B$10:$B$250,0)),INDEX('NOTES CE2-CM1'!$N$10:$N$250,MATCH(BB86,'NOTES CE2-CM1'!$B$10:$B$250,0)),INDEX('NOTES CE2-CM1'!$U$10:$U$250,MATCH(BB86,'NOTES CE2-CM1'!$B$10:$B$250,0)),INDEX('NOTES CE2-CM1'!$AB$10:$AB$250,MATCH(BB86,'NOTES CE2-CM1'!$B$10:$B$250,0))),""))</f>
        <v/>
      </c>
      <c r="BH86" s="51" t="str">
        <f aca="false">IFERROR(MATCH("CM2-46",'REGISTRE ELEVES'!$AG$10:$AG$250,0),"")</f>
        <v/>
      </c>
      <c r="BI86" s="51" t="str">
        <f aca="false">IF(BH86="","",INDEX('REGISTRE ELEVES'!$B$10:$B$250,BH86))</f>
        <v/>
      </c>
      <c r="BJ86" s="51" t="str">
        <f aca="false">IF(BH86="","",INDEX('REGISTRE ELEVES'!$D$10:$D$250,BH86))</f>
        <v/>
      </c>
      <c r="BK86" s="51" t="str">
        <f aca="false">IF(BH86="","",INDEX('REGISTRE ELEVES'!$E$10:$E$250,BH86))</f>
        <v/>
      </c>
      <c r="BL86" s="51" t="str">
        <f aca="false">IF(BI86="","",IFERROR(CHOOSE($C$9,INDEX('NOTES CM2'!$M$10:$M$250,MATCH(BI86,'NOTES CM2'!$B$10:$B$250,0)),INDEX('NOTES CM2'!$T$10:$T$250,MATCH(BI86,'NOTES CM2'!$B$10:$B$250,0)),INDEX('NOTES CM2'!$AB$10:$AB$250,MATCH(BI86,'NOTES CM2'!$B$10:$B$250,0)),INDEX('NOTES CM2'!$AJ$10:$AJ$250,MATCH(BI86,'NOTES CM2'!$B$10:$B$250,0))),""))</f>
        <v/>
      </c>
      <c r="BM86" s="51" t="str">
        <f aca="false">IF(ISNUMBER(BL86),BL86+(1000-46)/1000000,"")</f>
        <v/>
      </c>
      <c r="BN86" s="51" t="str">
        <f aca="false">IF(BI86="","",IFERROR(CHOOSE($C$9,INDEX('NOTES CM2'!$G$10:$G$250,MATCH(BI86,'NOTES CM2'!$B$10:$B$250,0)),INDEX('NOTES CM2'!$N$10:$N$250,MATCH(BI86,'NOTES CM2'!$B$10:$B$250,0)),INDEX('NOTES CM2'!$U$10:$U$250,MATCH(BI86,'NOTES CM2'!$B$10:$B$250,0)),INDEX('NOTES CM2'!$AC$10:$AC$250,MATCH(BI86,'NOTES CM2'!$B$10:$B$250,0))),""))</f>
        <v/>
      </c>
    </row>
    <row r="87" customFormat="false" ht="15" hidden="false" customHeight="false" outlineLevel="0" collapsed="false">
      <c r="Y87" s="51" t="str">
        <f aca="false">IFERROR(MATCH("CP1-47",'REGISTRE ELEVES'!$AG$10:$AG$250,0),"")</f>
        <v/>
      </c>
      <c r="Z87" s="51" t="str">
        <f aca="false">IF(Y87="","",INDEX('REGISTRE ELEVES'!$B$10:$B$250,Y87))</f>
        <v/>
      </c>
      <c r="AA87" s="51" t="str">
        <f aca="false">IF(Y87="","",INDEX('REGISTRE ELEVES'!$D$10:$D$250,Y87))</f>
        <v/>
      </c>
      <c r="AB87" s="51" t="str">
        <f aca="false">IF(Y87="","",INDEX('REGISTRE ELEVES'!$E$10:$E$250,Y87))</f>
        <v/>
      </c>
      <c r="AC87" s="51" t="str">
        <f aca="false">IF(Z87="","",IFERROR(CHOOSE($C$9,INDEX('NOTES CP'!$P$10:$P$250,MATCH(Z87,'NOTES CP'!$B$10:$B$250,0)),INDEX('NOTES CP'!$Z$10:$Z$250,MATCH(Z87,'NOTES CP'!$B$10:$B$250,0)),INDEX('NOTES CP'!$AJ$10:$AJ$250,MATCH(Z87,'NOTES CP'!$B$10:$B$250,0)),INDEX('NOTES CP'!$AT$10:$AT$250,MATCH(Z87,'NOTES CP'!$B$10:$B$250,0))),""))</f>
        <v/>
      </c>
      <c r="AD87" s="51" t="str">
        <f aca="false">IF(ISNUMBER(AC87),AC87+(1000-47)/1000000,"")</f>
        <v/>
      </c>
      <c r="AE87" s="51" t="str">
        <f aca="false">IF(Z87="","",IFERROR(CHOOSE($C$9,INDEX('NOTES CP'!$G$10:$G$250,MATCH(Z87,'NOTES CP'!$B$10:$B$250,0)),INDEX('NOTES CP'!$Q$10:$Q$250,MATCH(Z87,'NOTES CP'!$B$10:$B$250,0)),INDEX('NOTES CP'!$AA$10:$AA$250,MATCH(Z87,'NOTES CP'!$B$10:$B$250,0)),INDEX('NOTES CP'!$AK$10:$AK$250,MATCH(Z87,'NOTES CP'!$B$10:$B$250,0))),""))</f>
        <v/>
      </c>
      <c r="AF87" s="51" t="str">
        <f aca="false">IFERROR(MATCH("CP2-47",'REGISTRE ELEVES'!$AG$10:$AG$250,0),"")</f>
        <v/>
      </c>
      <c r="AG87" s="51" t="str">
        <f aca="false">IF(AF87="","",INDEX('REGISTRE ELEVES'!$B$10:$B$250,AF87))</f>
        <v/>
      </c>
      <c r="AH87" s="51" t="str">
        <f aca="false">IF(AF87="","",INDEX('REGISTRE ELEVES'!$D$10:$D$250,AF87))</f>
        <v/>
      </c>
      <c r="AI87" s="51" t="str">
        <f aca="false">IF(AF87="","",INDEX('REGISTRE ELEVES'!$E$10:$E$250,AF87))</f>
        <v/>
      </c>
      <c r="AJ87" s="51" t="str">
        <f aca="false">IF(AG87="","",IFERROR(CHOOSE($C$9,INDEX('NOTES CP'!$P$10:$P$250,MATCH(AG87,'NOTES CP'!$B$10:$B$250,0)),INDEX('NOTES CP'!$Z$10:$Z$250,MATCH(AG87,'NOTES CP'!$B$10:$B$250,0)),INDEX('NOTES CP'!$AJ$10:$AJ$250,MATCH(AG87,'NOTES CP'!$B$10:$B$250,0)),INDEX('NOTES CP'!$AT$10:$AT$250,MATCH(AG87,'NOTES CP'!$B$10:$B$250,0))),""))</f>
        <v/>
      </c>
      <c r="AK87" s="51" t="str">
        <f aca="false">IF(ISNUMBER(AJ87),AJ87+(1000-47)/1000000,"")</f>
        <v/>
      </c>
      <c r="AL87" s="51" t="str">
        <f aca="false">IF(AG87="","",IFERROR(CHOOSE($C$9,INDEX('NOTES CP'!$G$10:$G$250,MATCH(AG87,'NOTES CP'!$B$10:$B$250,0)),INDEX('NOTES CP'!$Q$10:$Q$250,MATCH(AG87,'NOTES CP'!$B$10:$B$250,0)),INDEX('NOTES CP'!$AA$10:$AA$250,MATCH(AG87,'NOTES CP'!$B$10:$B$250,0)),INDEX('NOTES CP'!$AK$10:$AK$250,MATCH(AG87,'NOTES CP'!$B$10:$B$250,0))),""))</f>
        <v/>
      </c>
      <c r="AM87" s="51" t="str">
        <f aca="false">IFERROR(MATCH("CE1-47",'REGISTRE ELEVES'!$AG$10:$AG$250,0),"")</f>
        <v/>
      </c>
      <c r="AN87" s="51" t="str">
        <f aca="false">IF(AM87="","",INDEX('REGISTRE ELEVES'!$B$10:$B$250,AM87))</f>
        <v/>
      </c>
      <c r="AO87" s="51" t="str">
        <f aca="false">IF(AM87="","",INDEX('REGISTRE ELEVES'!$D$10:$D$250,AM87))</f>
        <v/>
      </c>
      <c r="AP87" s="51" t="str">
        <f aca="false">IF(AM87="","",INDEX('REGISTRE ELEVES'!$E$10:$E$250,AM87))</f>
        <v/>
      </c>
      <c r="AQ87" s="51" t="str">
        <f aca="false">IF(AN87="","",IFERROR(CHOOSE($C$9,INDEX('NOTES CE1'!$M$10:$M$250,MATCH(AN87,'NOTES CE1'!$B$10:$B$250,0)),INDEX('NOTES CE1'!$T$10:$T$250,MATCH(AN87,'NOTES CE1'!$B$10:$B$250,0)),INDEX('NOTES CE1'!$AA$10:$AA$250,MATCH(AN87,'NOTES CE1'!$B$10:$B$250,0)),INDEX('NOTES CE1'!$AH$10:$AH$250,MATCH(AN87,'NOTES CE1'!$B$10:$B$250,0))),""))</f>
        <v/>
      </c>
      <c r="AR87" s="51" t="str">
        <f aca="false">IF(ISNUMBER(AQ87),AQ87+(1000-47)/1000000,"")</f>
        <v/>
      </c>
      <c r="AS87" s="51" t="str">
        <f aca="false">IF(AN87="","",IFERROR(CHOOSE($C$9,INDEX('NOTES CE1'!$G$10:$G$250,MATCH(AN87,'NOTES CE1'!$B$10:$B$250,0)),INDEX('NOTES CE1'!$N$10:$N$250,MATCH(AN87,'NOTES CE1'!$B$10:$B$250,0)),INDEX('NOTES CE1'!$U$10:$U$250,MATCH(AN87,'NOTES CE1'!$B$10:$B$250,0)),INDEX('NOTES CE1'!$AB$10:$AB$250,MATCH(AN87,'NOTES CE1'!$B$10:$B$250,0))),""))</f>
        <v/>
      </c>
      <c r="AT87" s="51" t="str">
        <f aca="false">IFERROR(MATCH("CE2-47",'REGISTRE ELEVES'!$AG$10:$AG$250,0),"")</f>
        <v/>
      </c>
      <c r="AU87" s="51" t="str">
        <f aca="false">IF(AT87="","",INDEX('REGISTRE ELEVES'!$B$10:$B$250,AT87))</f>
        <v/>
      </c>
      <c r="AV87" s="51" t="str">
        <f aca="false">IF(AT87="","",INDEX('REGISTRE ELEVES'!$D$10:$D$250,AT87))</f>
        <v/>
      </c>
      <c r="AW87" s="51" t="str">
        <f aca="false">IF(AT87="","",INDEX('REGISTRE ELEVES'!$E$10:$E$250,AT87))</f>
        <v/>
      </c>
      <c r="AX87" s="51" t="str">
        <f aca="false">IF(AU87="","",IFERROR(CHOOSE($C$9,INDEX('NOTES CE2-CM1'!$M$10:$M$250,MATCH(AU87,'NOTES CE2-CM1'!$B$10:$B$250,0)),INDEX('NOTES CE2-CM1'!$T$10:$T$250,MATCH(AU87,'NOTES CE2-CM1'!$B$10:$B$250,0)),INDEX('NOTES CE2-CM1'!$AA$10:$AA$250,MATCH(AU87,'NOTES CE2-CM1'!$B$10:$B$250,0)),INDEX('NOTES CE2-CM1'!$AH$10:$AH$250,MATCH(AU87,'NOTES CE2-CM1'!$B$10:$B$250,0))),""))</f>
        <v/>
      </c>
      <c r="AY87" s="51" t="str">
        <f aca="false">IF(ISNUMBER(AX87),AX87+(1000-47)/1000000,"")</f>
        <v/>
      </c>
      <c r="AZ87" s="51" t="str">
        <f aca="false">IF(AU87="","",IFERROR(CHOOSE($C$9,INDEX('NOTES CE2-CM1'!$G$10:$G$250,MATCH(AU87,'NOTES CE2-CM1'!$B$10:$B$250,0)),INDEX('NOTES CE2-CM1'!$N$10:$N$250,MATCH(AU87,'NOTES CE2-CM1'!$B$10:$B$250,0)),INDEX('NOTES CE2-CM1'!$U$10:$U$250,MATCH(AU87,'NOTES CE2-CM1'!$B$10:$B$250,0)),INDEX('NOTES CE2-CM1'!$AB$10:$AB$250,MATCH(AU87,'NOTES CE2-CM1'!$B$10:$B$250,0))),""))</f>
        <v/>
      </c>
      <c r="BA87" s="51" t="str">
        <f aca="false">IFERROR(MATCH("CM1-47",'REGISTRE ELEVES'!$AG$10:$AG$250,0),"")</f>
        <v/>
      </c>
      <c r="BB87" s="51" t="str">
        <f aca="false">IF(BA87="","",INDEX('REGISTRE ELEVES'!$B$10:$B$250,BA87))</f>
        <v/>
      </c>
      <c r="BC87" s="51" t="str">
        <f aca="false">IF(BA87="","",INDEX('REGISTRE ELEVES'!$D$10:$D$250,BA87))</f>
        <v/>
      </c>
      <c r="BD87" s="51" t="str">
        <f aca="false">IF(BA87="","",INDEX('REGISTRE ELEVES'!$E$10:$E$250,BA87))</f>
        <v/>
      </c>
      <c r="BE87" s="51" t="str">
        <f aca="false">IF(BB87="","",IFERROR(CHOOSE($C$9,INDEX('NOTES CE2-CM1'!$M$10:$M$250,MATCH(BB87,'NOTES CE2-CM1'!$B$10:$B$250,0)),INDEX('NOTES CE2-CM1'!$T$10:$T$250,MATCH(BB87,'NOTES CE2-CM1'!$B$10:$B$250,0)),INDEX('NOTES CE2-CM1'!$AA$10:$AA$250,MATCH(BB87,'NOTES CE2-CM1'!$B$10:$B$250,0)),INDEX('NOTES CE2-CM1'!$AH$10:$AH$250,MATCH(BB87,'NOTES CE2-CM1'!$B$10:$B$250,0))),""))</f>
        <v/>
      </c>
      <c r="BF87" s="51" t="str">
        <f aca="false">IF(ISNUMBER(BE87),BE87+(1000-47)/1000000,"")</f>
        <v/>
      </c>
      <c r="BG87" s="51" t="str">
        <f aca="false">IF(BB87="","",IFERROR(CHOOSE($C$9,INDEX('NOTES CE2-CM1'!$G$10:$G$250,MATCH(BB87,'NOTES CE2-CM1'!$B$10:$B$250,0)),INDEX('NOTES CE2-CM1'!$N$10:$N$250,MATCH(BB87,'NOTES CE2-CM1'!$B$10:$B$250,0)),INDEX('NOTES CE2-CM1'!$U$10:$U$250,MATCH(BB87,'NOTES CE2-CM1'!$B$10:$B$250,0)),INDEX('NOTES CE2-CM1'!$AB$10:$AB$250,MATCH(BB87,'NOTES CE2-CM1'!$B$10:$B$250,0))),""))</f>
        <v/>
      </c>
      <c r="BH87" s="51" t="str">
        <f aca="false">IFERROR(MATCH("CM2-47",'REGISTRE ELEVES'!$AG$10:$AG$250,0),"")</f>
        <v/>
      </c>
      <c r="BI87" s="51" t="str">
        <f aca="false">IF(BH87="","",INDEX('REGISTRE ELEVES'!$B$10:$B$250,BH87))</f>
        <v/>
      </c>
      <c r="BJ87" s="51" t="str">
        <f aca="false">IF(BH87="","",INDEX('REGISTRE ELEVES'!$D$10:$D$250,BH87))</f>
        <v/>
      </c>
      <c r="BK87" s="51" t="str">
        <f aca="false">IF(BH87="","",INDEX('REGISTRE ELEVES'!$E$10:$E$250,BH87))</f>
        <v/>
      </c>
      <c r="BL87" s="51" t="str">
        <f aca="false">IF(BI87="","",IFERROR(CHOOSE($C$9,INDEX('NOTES CM2'!$M$10:$M$250,MATCH(BI87,'NOTES CM2'!$B$10:$B$250,0)),INDEX('NOTES CM2'!$T$10:$T$250,MATCH(BI87,'NOTES CM2'!$B$10:$B$250,0)),INDEX('NOTES CM2'!$AB$10:$AB$250,MATCH(BI87,'NOTES CM2'!$B$10:$B$250,0)),INDEX('NOTES CM2'!$AJ$10:$AJ$250,MATCH(BI87,'NOTES CM2'!$B$10:$B$250,0))),""))</f>
        <v/>
      </c>
      <c r="BM87" s="51" t="str">
        <f aca="false">IF(ISNUMBER(BL87),BL87+(1000-47)/1000000,"")</f>
        <v/>
      </c>
      <c r="BN87" s="51" t="str">
        <f aca="false">IF(BI87="","",IFERROR(CHOOSE($C$9,INDEX('NOTES CM2'!$G$10:$G$250,MATCH(BI87,'NOTES CM2'!$B$10:$B$250,0)),INDEX('NOTES CM2'!$N$10:$N$250,MATCH(BI87,'NOTES CM2'!$B$10:$B$250,0)),INDEX('NOTES CM2'!$U$10:$U$250,MATCH(BI87,'NOTES CM2'!$B$10:$B$250,0)),INDEX('NOTES CM2'!$AC$10:$AC$250,MATCH(BI87,'NOTES CM2'!$B$10:$B$250,0))),""))</f>
        <v/>
      </c>
    </row>
    <row r="88" customFormat="false" ht="15" hidden="false" customHeight="false" outlineLevel="0" collapsed="false">
      <c r="Y88" s="51" t="str">
        <f aca="false">IFERROR(MATCH("CP1-48",'REGISTRE ELEVES'!$AG$10:$AG$250,0),"")</f>
        <v/>
      </c>
      <c r="Z88" s="51" t="str">
        <f aca="false">IF(Y88="","",INDEX('REGISTRE ELEVES'!$B$10:$B$250,Y88))</f>
        <v/>
      </c>
      <c r="AA88" s="51" t="str">
        <f aca="false">IF(Y88="","",INDEX('REGISTRE ELEVES'!$D$10:$D$250,Y88))</f>
        <v/>
      </c>
      <c r="AB88" s="51" t="str">
        <f aca="false">IF(Y88="","",INDEX('REGISTRE ELEVES'!$E$10:$E$250,Y88))</f>
        <v/>
      </c>
      <c r="AC88" s="51" t="str">
        <f aca="false">IF(Z88="","",IFERROR(CHOOSE($C$9,INDEX('NOTES CP'!$P$10:$P$250,MATCH(Z88,'NOTES CP'!$B$10:$B$250,0)),INDEX('NOTES CP'!$Z$10:$Z$250,MATCH(Z88,'NOTES CP'!$B$10:$B$250,0)),INDEX('NOTES CP'!$AJ$10:$AJ$250,MATCH(Z88,'NOTES CP'!$B$10:$B$250,0)),INDEX('NOTES CP'!$AT$10:$AT$250,MATCH(Z88,'NOTES CP'!$B$10:$B$250,0))),""))</f>
        <v/>
      </c>
      <c r="AD88" s="51" t="str">
        <f aca="false">IF(ISNUMBER(AC88),AC88+(1000-48)/1000000,"")</f>
        <v/>
      </c>
      <c r="AE88" s="51" t="str">
        <f aca="false">IF(Z88="","",IFERROR(CHOOSE($C$9,INDEX('NOTES CP'!$G$10:$G$250,MATCH(Z88,'NOTES CP'!$B$10:$B$250,0)),INDEX('NOTES CP'!$Q$10:$Q$250,MATCH(Z88,'NOTES CP'!$B$10:$B$250,0)),INDEX('NOTES CP'!$AA$10:$AA$250,MATCH(Z88,'NOTES CP'!$B$10:$B$250,0)),INDEX('NOTES CP'!$AK$10:$AK$250,MATCH(Z88,'NOTES CP'!$B$10:$B$250,0))),""))</f>
        <v/>
      </c>
      <c r="AF88" s="51" t="str">
        <f aca="false">IFERROR(MATCH("CP2-48",'REGISTRE ELEVES'!$AG$10:$AG$250,0),"")</f>
        <v/>
      </c>
      <c r="AG88" s="51" t="str">
        <f aca="false">IF(AF88="","",INDEX('REGISTRE ELEVES'!$B$10:$B$250,AF88))</f>
        <v/>
      </c>
      <c r="AH88" s="51" t="str">
        <f aca="false">IF(AF88="","",INDEX('REGISTRE ELEVES'!$D$10:$D$250,AF88))</f>
        <v/>
      </c>
      <c r="AI88" s="51" t="str">
        <f aca="false">IF(AF88="","",INDEX('REGISTRE ELEVES'!$E$10:$E$250,AF88))</f>
        <v/>
      </c>
      <c r="AJ88" s="51" t="str">
        <f aca="false">IF(AG88="","",IFERROR(CHOOSE($C$9,INDEX('NOTES CP'!$P$10:$P$250,MATCH(AG88,'NOTES CP'!$B$10:$B$250,0)),INDEX('NOTES CP'!$Z$10:$Z$250,MATCH(AG88,'NOTES CP'!$B$10:$B$250,0)),INDEX('NOTES CP'!$AJ$10:$AJ$250,MATCH(AG88,'NOTES CP'!$B$10:$B$250,0)),INDEX('NOTES CP'!$AT$10:$AT$250,MATCH(AG88,'NOTES CP'!$B$10:$B$250,0))),""))</f>
        <v/>
      </c>
      <c r="AK88" s="51" t="str">
        <f aca="false">IF(ISNUMBER(AJ88),AJ88+(1000-48)/1000000,"")</f>
        <v/>
      </c>
      <c r="AL88" s="51" t="str">
        <f aca="false">IF(AG88="","",IFERROR(CHOOSE($C$9,INDEX('NOTES CP'!$G$10:$G$250,MATCH(AG88,'NOTES CP'!$B$10:$B$250,0)),INDEX('NOTES CP'!$Q$10:$Q$250,MATCH(AG88,'NOTES CP'!$B$10:$B$250,0)),INDEX('NOTES CP'!$AA$10:$AA$250,MATCH(AG88,'NOTES CP'!$B$10:$B$250,0)),INDEX('NOTES CP'!$AK$10:$AK$250,MATCH(AG88,'NOTES CP'!$B$10:$B$250,0))),""))</f>
        <v/>
      </c>
      <c r="AM88" s="51" t="str">
        <f aca="false">IFERROR(MATCH("CE1-48",'REGISTRE ELEVES'!$AG$10:$AG$250,0),"")</f>
        <v/>
      </c>
      <c r="AN88" s="51" t="str">
        <f aca="false">IF(AM88="","",INDEX('REGISTRE ELEVES'!$B$10:$B$250,AM88))</f>
        <v/>
      </c>
      <c r="AO88" s="51" t="str">
        <f aca="false">IF(AM88="","",INDEX('REGISTRE ELEVES'!$D$10:$D$250,AM88))</f>
        <v/>
      </c>
      <c r="AP88" s="51" t="str">
        <f aca="false">IF(AM88="","",INDEX('REGISTRE ELEVES'!$E$10:$E$250,AM88))</f>
        <v/>
      </c>
      <c r="AQ88" s="51" t="str">
        <f aca="false">IF(AN88="","",IFERROR(CHOOSE($C$9,INDEX('NOTES CE1'!$M$10:$M$250,MATCH(AN88,'NOTES CE1'!$B$10:$B$250,0)),INDEX('NOTES CE1'!$T$10:$T$250,MATCH(AN88,'NOTES CE1'!$B$10:$B$250,0)),INDEX('NOTES CE1'!$AA$10:$AA$250,MATCH(AN88,'NOTES CE1'!$B$10:$B$250,0)),INDEX('NOTES CE1'!$AH$10:$AH$250,MATCH(AN88,'NOTES CE1'!$B$10:$B$250,0))),""))</f>
        <v/>
      </c>
      <c r="AR88" s="51" t="str">
        <f aca="false">IF(ISNUMBER(AQ88),AQ88+(1000-48)/1000000,"")</f>
        <v/>
      </c>
      <c r="AS88" s="51" t="str">
        <f aca="false">IF(AN88="","",IFERROR(CHOOSE($C$9,INDEX('NOTES CE1'!$G$10:$G$250,MATCH(AN88,'NOTES CE1'!$B$10:$B$250,0)),INDEX('NOTES CE1'!$N$10:$N$250,MATCH(AN88,'NOTES CE1'!$B$10:$B$250,0)),INDEX('NOTES CE1'!$U$10:$U$250,MATCH(AN88,'NOTES CE1'!$B$10:$B$250,0)),INDEX('NOTES CE1'!$AB$10:$AB$250,MATCH(AN88,'NOTES CE1'!$B$10:$B$250,0))),""))</f>
        <v/>
      </c>
      <c r="AT88" s="51" t="str">
        <f aca="false">IFERROR(MATCH("CE2-48",'REGISTRE ELEVES'!$AG$10:$AG$250,0),"")</f>
        <v/>
      </c>
      <c r="AU88" s="51" t="str">
        <f aca="false">IF(AT88="","",INDEX('REGISTRE ELEVES'!$B$10:$B$250,AT88))</f>
        <v/>
      </c>
      <c r="AV88" s="51" t="str">
        <f aca="false">IF(AT88="","",INDEX('REGISTRE ELEVES'!$D$10:$D$250,AT88))</f>
        <v/>
      </c>
      <c r="AW88" s="51" t="str">
        <f aca="false">IF(AT88="","",INDEX('REGISTRE ELEVES'!$E$10:$E$250,AT88))</f>
        <v/>
      </c>
      <c r="AX88" s="51" t="str">
        <f aca="false">IF(AU88="","",IFERROR(CHOOSE($C$9,INDEX('NOTES CE2-CM1'!$M$10:$M$250,MATCH(AU88,'NOTES CE2-CM1'!$B$10:$B$250,0)),INDEX('NOTES CE2-CM1'!$T$10:$T$250,MATCH(AU88,'NOTES CE2-CM1'!$B$10:$B$250,0)),INDEX('NOTES CE2-CM1'!$AA$10:$AA$250,MATCH(AU88,'NOTES CE2-CM1'!$B$10:$B$250,0)),INDEX('NOTES CE2-CM1'!$AH$10:$AH$250,MATCH(AU88,'NOTES CE2-CM1'!$B$10:$B$250,0))),""))</f>
        <v/>
      </c>
      <c r="AY88" s="51" t="str">
        <f aca="false">IF(ISNUMBER(AX88),AX88+(1000-48)/1000000,"")</f>
        <v/>
      </c>
      <c r="AZ88" s="51" t="str">
        <f aca="false">IF(AU88="","",IFERROR(CHOOSE($C$9,INDEX('NOTES CE2-CM1'!$G$10:$G$250,MATCH(AU88,'NOTES CE2-CM1'!$B$10:$B$250,0)),INDEX('NOTES CE2-CM1'!$N$10:$N$250,MATCH(AU88,'NOTES CE2-CM1'!$B$10:$B$250,0)),INDEX('NOTES CE2-CM1'!$U$10:$U$250,MATCH(AU88,'NOTES CE2-CM1'!$B$10:$B$250,0)),INDEX('NOTES CE2-CM1'!$AB$10:$AB$250,MATCH(AU88,'NOTES CE2-CM1'!$B$10:$B$250,0))),""))</f>
        <v/>
      </c>
      <c r="BA88" s="51" t="str">
        <f aca="false">IFERROR(MATCH("CM1-48",'REGISTRE ELEVES'!$AG$10:$AG$250,0),"")</f>
        <v/>
      </c>
      <c r="BB88" s="51" t="str">
        <f aca="false">IF(BA88="","",INDEX('REGISTRE ELEVES'!$B$10:$B$250,BA88))</f>
        <v/>
      </c>
      <c r="BC88" s="51" t="str">
        <f aca="false">IF(BA88="","",INDEX('REGISTRE ELEVES'!$D$10:$D$250,BA88))</f>
        <v/>
      </c>
      <c r="BD88" s="51" t="str">
        <f aca="false">IF(BA88="","",INDEX('REGISTRE ELEVES'!$E$10:$E$250,BA88))</f>
        <v/>
      </c>
      <c r="BE88" s="51" t="str">
        <f aca="false">IF(BB88="","",IFERROR(CHOOSE($C$9,INDEX('NOTES CE2-CM1'!$M$10:$M$250,MATCH(BB88,'NOTES CE2-CM1'!$B$10:$B$250,0)),INDEX('NOTES CE2-CM1'!$T$10:$T$250,MATCH(BB88,'NOTES CE2-CM1'!$B$10:$B$250,0)),INDEX('NOTES CE2-CM1'!$AA$10:$AA$250,MATCH(BB88,'NOTES CE2-CM1'!$B$10:$B$250,0)),INDEX('NOTES CE2-CM1'!$AH$10:$AH$250,MATCH(BB88,'NOTES CE2-CM1'!$B$10:$B$250,0))),""))</f>
        <v/>
      </c>
      <c r="BF88" s="51" t="str">
        <f aca="false">IF(ISNUMBER(BE88),BE88+(1000-48)/1000000,"")</f>
        <v/>
      </c>
      <c r="BG88" s="51" t="str">
        <f aca="false">IF(BB88="","",IFERROR(CHOOSE($C$9,INDEX('NOTES CE2-CM1'!$G$10:$G$250,MATCH(BB88,'NOTES CE2-CM1'!$B$10:$B$250,0)),INDEX('NOTES CE2-CM1'!$N$10:$N$250,MATCH(BB88,'NOTES CE2-CM1'!$B$10:$B$250,0)),INDEX('NOTES CE2-CM1'!$U$10:$U$250,MATCH(BB88,'NOTES CE2-CM1'!$B$10:$B$250,0)),INDEX('NOTES CE2-CM1'!$AB$10:$AB$250,MATCH(BB88,'NOTES CE2-CM1'!$B$10:$B$250,0))),""))</f>
        <v/>
      </c>
      <c r="BH88" s="51" t="str">
        <f aca="false">IFERROR(MATCH("CM2-48",'REGISTRE ELEVES'!$AG$10:$AG$250,0),"")</f>
        <v/>
      </c>
      <c r="BI88" s="51" t="str">
        <f aca="false">IF(BH88="","",INDEX('REGISTRE ELEVES'!$B$10:$B$250,BH88))</f>
        <v/>
      </c>
      <c r="BJ88" s="51" t="str">
        <f aca="false">IF(BH88="","",INDEX('REGISTRE ELEVES'!$D$10:$D$250,BH88))</f>
        <v/>
      </c>
      <c r="BK88" s="51" t="str">
        <f aca="false">IF(BH88="","",INDEX('REGISTRE ELEVES'!$E$10:$E$250,BH88))</f>
        <v/>
      </c>
      <c r="BL88" s="51" t="str">
        <f aca="false">IF(BI88="","",IFERROR(CHOOSE($C$9,INDEX('NOTES CM2'!$M$10:$M$250,MATCH(BI88,'NOTES CM2'!$B$10:$B$250,0)),INDEX('NOTES CM2'!$T$10:$T$250,MATCH(BI88,'NOTES CM2'!$B$10:$B$250,0)),INDEX('NOTES CM2'!$AB$10:$AB$250,MATCH(BI88,'NOTES CM2'!$B$10:$B$250,0)),INDEX('NOTES CM2'!$AJ$10:$AJ$250,MATCH(BI88,'NOTES CM2'!$B$10:$B$250,0))),""))</f>
        <v/>
      </c>
      <c r="BM88" s="51" t="str">
        <f aca="false">IF(ISNUMBER(BL88),BL88+(1000-48)/1000000,"")</f>
        <v/>
      </c>
      <c r="BN88" s="51" t="str">
        <f aca="false">IF(BI88="","",IFERROR(CHOOSE($C$9,INDEX('NOTES CM2'!$G$10:$G$250,MATCH(BI88,'NOTES CM2'!$B$10:$B$250,0)),INDEX('NOTES CM2'!$N$10:$N$250,MATCH(BI88,'NOTES CM2'!$B$10:$B$250,0)),INDEX('NOTES CM2'!$U$10:$U$250,MATCH(BI88,'NOTES CM2'!$B$10:$B$250,0)),INDEX('NOTES CM2'!$AC$10:$AC$250,MATCH(BI88,'NOTES CM2'!$B$10:$B$250,0))),""))</f>
        <v/>
      </c>
    </row>
    <row r="89" customFormat="false" ht="15" hidden="false" customHeight="false" outlineLevel="0" collapsed="false">
      <c r="Y89" s="51" t="str">
        <f aca="false">IFERROR(MATCH("CP1-49",'REGISTRE ELEVES'!$AG$10:$AG$250,0),"")</f>
        <v/>
      </c>
      <c r="Z89" s="51" t="str">
        <f aca="false">IF(Y89="","",INDEX('REGISTRE ELEVES'!$B$10:$B$250,Y89))</f>
        <v/>
      </c>
      <c r="AA89" s="51" t="str">
        <f aca="false">IF(Y89="","",INDEX('REGISTRE ELEVES'!$D$10:$D$250,Y89))</f>
        <v/>
      </c>
      <c r="AB89" s="51" t="str">
        <f aca="false">IF(Y89="","",INDEX('REGISTRE ELEVES'!$E$10:$E$250,Y89))</f>
        <v/>
      </c>
      <c r="AC89" s="51" t="str">
        <f aca="false">IF(Z89="","",IFERROR(CHOOSE($C$9,INDEX('NOTES CP'!$P$10:$P$250,MATCH(Z89,'NOTES CP'!$B$10:$B$250,0)),INDEX('NOTES CP'!$Z$10:$Z$250,MATCH(Z89,'NOTES CP'!$B$10:$B$250,0)),INDEX('NOTES CP'!$AJ$10:$AJ$250,MATCH(Z89,'NOTES CP'!$B$10:$B$250,0)),INDEX('NOTES CP'!$AT$10:$AT$250,MATCH(Z89,'NOTES CP'!$B$10:$B$250,0))),""))</f>
        <v/>
      </c>
      <c r="AD89" s="51" t="str">
        <f aca="false">IF(ISNUMBER(AC89),AC89+(1000-49)/1000000,"")</f>
        <v/>
      </c>
      <c r="AE89" s="51" t="str">
        <f aca="false">IF(Z89="","",IFERROR(CHOOSE($C$9,INDEX('NOTES CP'!$G$10:$G$250,MATCH(Z89,'NOTES CP'!$B$10:$B$250,0)),INDEX('NOTES CP'!$Q$10:$Q$250,MATCH(Z89,'NOTES CP'!$B$10:$B$250,0)),INDEX('NOTES CP'!$AA$10:$AA$250,MATCH(Z89,'NOTES CP'!$B$10:$B$250,0)),INDEX('NOTES CP'!$AK$10:$AK$250,MATCH(Z89,'NOTES CP'!$B$10:$B$250,0))),""))</f>
        <v/>
      </c>
      <c r="AF89" s="51" t="str">
        <f aca="false">IFERROR(MATCH("CP2-49",'REGISTRE ELEVES'!$AG$10:$AG$250,0),"")</f>
        <v/>
      </c>
      <c r="AG89" s="51" t="str">
        <f aca="false">IF(AF89="","",INDEX('REGISTRE ELEVES'!$B$10:$B$250,AF89))</f>
        <v/>
      </c>
      <c r="AH89" s="51" t="str">
        <f aca="false">IF(AF89="","",INDEX('REGISTRE ELEVES'!$D$10:$D$250,AF89))</f>
        <v/>
      </c>
      <c r="AI89" s="51" t="str">
        <f aca="false">IF(AF89="","",INDEX('REGISTRE ELEVES'!$E$10:$E$250,AF89))</f>
        <v/>
      </c>
      <c r="AJ89" s="51" t="str">
        <f aca="false">IF(AG89="","",IFERROR(CHOOSE($C$9,INDEX('NOTES CP'!$P$10:$P$250,MATCH(AG89,'NOTES CP'!$B$10:$B$250,0)),INDEX('NOTES CP'!$Z$10:$Z$250,MATCH(AG89,'NOTES CP'!$B$10:$B$250,0)),INDEX('NOTES CP'!$AJ$10:$AJ$250,MATCH(AG89,'NOTES CP'!$B$10:$B$250,0)),INDEX('NOTES CP'!$AT$10:$AT$250,MATCH(AG89,'NOTES CP'!$B$10:$B$250,0))),""))</f>
        <v/>
      </c>
      <c r="AK89" s="51" t="str">
        <f aca="false">IF(ISNUMBER(AJ89),AJ89+(1000-49)/1000000,"")</f>
        <v/>
      </c>
      <c r="AL89" s="51" t="str">
        <f aca="false">IF(AG89="","",IFERROR(CHOOSE($C$9,INDEX('NOTES CP'!$G$10:$G$250,MATCH(AG89,'NOTES CP'!$B$10:$B$250,0)),INDEX('NOTES CP'!$Q$10:$Q$250,MATCH(AG89,'NOTES CP'!$B$10:$B$250,0)),INDEX('NOTES CP'!$AA$10:$AA$250,MATCH(AG89,'NOTES CP'!$B$10:$B$250,0)),INDEX('NOTES CP'!$AK$10:$AK$250,MATCH(AG89,'NOTES CP'!$B$10:$B$250,0))),""))</f>
        <v/>
      </c>
      <c r="AM89" s="51" t="str">
        <f aca="false">IFERROR(MATCH("CE1-49",'REGISTRE ELEVES'!$AG$10:$AG$250,0),"")</f>
        <v/>
      </c>
      <c r="AN89" s="51" t="str">
        <f aca="false">IF(AM89="","",INDEX('REGISTRE ELEVES'!$B$10:$B$250,AM89))</f>
        <v/>
      </c>
      <c r="AO89" s="51" t="str">
        <f aca="false">IF(AM89="","",INDEX('REGISTRE ELEVES'!$D$10:$D$250,AM89))</f>
        <v/>
      </c>
      <c r="AP89" s="51" t="str">
        <f aca="false">IF(AM89="","",INDEX('REGISTRE ELEVES'!$E$10:$E$250,AM89))</f>
        <v/>
      </c>
      <c r="AQ89" s="51" t="str">
        <f aca="false">IF(AN89="","",IFERROR(CHOOSE($C$9,INDEX('NOTES CE1'!$M$10:$M$250,MATCH(AN89,'NOTES CE1'!$B$10:$B$250,0)),INDEX('NOTES CE1'!$T$10:$T$250,MATCH(AN89,'NOTES CE1'!$B$10:$B$250,0)),INDEX('NOTES CE1'!$AA$10:$AA$250,MATCH(AN89,'NOTES CE1'!$B$10:$B$250,0)),INDEX('NOTES CE1'!$AH$10:$AH$250,MATCH(AN89,'NOTES CE1'!$B$10:$B$250,0))),""))</f>
        <v/>
      </c>
      <c r="AR89" s="51" t="str">
        <f aca="false">IF(ISNUMBER(AQ89),AQ89+(1000-49)/1000000,"")</f>
        <v/>
      </c>
      <c r="AS89" s="51" t="str">
        <f aca="false">IF(AN89="","",IFERROR(CHOOSE($C$9,INDEX('NOTES CE1'!$G$10:$G$250,MATCH(AN89,'NOTES CE1'!$B$10:$B$250,0)),INDEX('NOTES CE1'!$N$10:$N$250,MATCH(AN89,'NOTES CE1'!$B$10:$B$250,0)),INDEX('NOTES CE1'!$U$10:$U$250,MATCH(AN89,'NOTES CE1'!$B$10:$B$250,0)),INDEX('NOTES CE1'!$AB$10:$AB$250,MATCH(AN89,'NOTES CE1'!$B$10:$B$250,0))),""))</f>
        <v/>
      </c>
      <c r="AT89" s="51" t="str">
        <f aca="false">IFERROR(MATCH("CE2-49",'REGISTRE ELEVES'!$AG$10:$AG$250,0),"")</f>
        <v/>
      </c>
      <c r="AU89" s="51" t="str">
        <f aca="false">IF(AT89="","",INDEX('REGISTRE ELEVES'!$B$10:$B$250,AT89))</f>
        <v/>
      </c>
      <c r="AV89" s="51" t="str">
        <f aca="false">IF(AT89="","",INDEX('REGISTRE ELEVES'!$D$10:$D$250,AT89))</f>
        <v/>
      </c>
      <c r="AW89" s="51" t="str">
        <f aca="false">IF(AT89="","",INDEX('REGISTRE ELEVES'!$E$10:$E$250,AT89))</f>
        <v/>
      </c>
      <c r="AX89" s="51" t="str">
        <f aca="false">IF(AU89="","",IFERROR(CHOOSE($C$9,INDEX('NOTES CE2-CM1'!$M$10:$M$250,MATCH(AU89,'NOTES CE2-CM1'!$B$10:$B$250,0)),INDEX('NOTES CE2-CM1'!$T$10:$T$250,MATCH(AU89,'NOTES CE2-CM1'!$B$10:$B$250,0)),INDEX('NOTES CE2-CM1'!$AA$10:$AA$250,MATCH(AU89,'NOTES CE2-CM1'!$B$10:$B$250,0)),INDEX('NOTES CE2-CM1'!$AH$10:$AH$250,MATCH(AU89,'NOTES CE2-CM1'!$B$10:$B$250,0))),""))</f>
        <v/>
      </c>
      <c r="AY89" s="51" t="str">
        <f aca="false">IF(ISNUMBER(AX89),AX89+(1000-49)/1000000,"")</f>
        <v/>
      </c>
      <c r="AZ89" s="51" t="str">
        <f aca="false">IF(AU89="","",IFERROR(CHOOSE($C$9,INDEX('NOTES CE2-CM1'!$G$10:$G$250,MATCH(AU89,'NOTES CE2-CM1'!$B$10:$B$250,0)),INDEX('NOTES CE2-CM1'!$N$10:$N$250,MATCH(AU89,'NOTES CE2-CM1'!$B$10:$B$250,0)),INDEX('NOTES CE2-CM1'!$U$10:$U$250,MATCH(AU89,'NOTES CE2-CM1'!$B$10:$B$250,0)),INDEX('NOTES CE2-CM1'!$AB$10:$AB$250,MATCH(AU89,'NOTES CE2-CM1'!$B$10:$B$250,0))),""))</f>
        <v/>
      </c>
      <c r="BA89" s="51" t="str">
        <f aca="false">IFERROR(MATCH("CM1-49",'REGISTRE ELEVES'!$AG$10:$AG$250,0),"")</f>
        <v/>
      </c>
      <c r="BB89" s="51" t="str">
        <f aca="false">IF(BA89="","",INDEX('REGISTRE ELEVES'!$B$10:$B$250,BA89))</f>
        <v/>
      </c>
      <c r="BC89" s="51" t="str">
        <f aca="false">IF(BA89="","",INDEX('REGISTRE ELEVES'!$D$10:$D$250,BA89))</f>
        <v/>
      </c>
      <c r="BD89" s="51" t="str">
        <f aca="false">IF(BA89="","",INDEX('REGISTRE ELEVES'!$E$10:$E$250,BA89))</f>
        <v/>
      </c>
      <c r="BE89" s="51" t="str">
        <f aca="false">IF(BB89="","",IFERROR(CHOOSE($C$9,INDEX('NOTES CE2-CM1'!$M$10:$M$250,MATCH(BB89,'NOTES CE2-CM1'!$B$10:$B$250,0)),INDEX('NOTES CE2-CM1'!$T$10:$T$250,MATCH(BB89,'NOTES CE2-CM1'!$B$10:$B$250,0)),INDEX('NOTES CE2-CM1'!$AA$10:$AA$250,MATCH(BB89,'NOTES CE2-CM1'!$B$10:$B$250,0)),INDEX('NOTES CE2-CM1'!$AH$10:$AH$250,MATCH(BB89,'NOTES CE2-CM1'!$B$10:$B$250,0))),""))</f>
        <v/>
      </c>
      <c r="BF89" s="51" t="str">
        <f aca="false">IF(ISNUMBER(BE89),BE89+(1000-49)/1000000,"")</f>
        <v/>
      </c>
      <c r="BG89" s="51" t="str">
        <f aca="false">IF(BB89="","",IFERROR(CHOOSE($C$9,INDEX('NOTES CE2-CM1'!$G$10:$G$250,MATCH(BB89,'NOTES CE2-CM1'!$B$10:$B$250,0)),INDEX('NOTES CE2-CM1'!$N$10:$N$250,MATCH(BB89,'NOTES CE2-CM1'!$B$10:$B$250,0)),INDEX('NOTES CE2-CM1'!$U$10:$U$250,MATCH(BB89,'NOTES CE2-CM1'!$B$10:$B$250,0)),INDEX('NOTES CE2-CM1'!$AB$10:$AB$250,MATCH(BB89,'NOTES CE2-CM1'!$B$10:$B$250,0))),""))</f>
        <v/>
      </c>
      <c r="BH89" s="51" t="str">
        <f aca="false">IFERROR(MATCH("CM2-49",'REGISTRE ELEVES'!$AG$10:$AG$250,0),"")</f>
        <v/>
      </c>
      <c r="BI89" s="51" t="str">
        <f aca="false">IF(BH89="","",INDEX('REGISTRE ELEVES'!$B$10:$B$250,BH89))</f>
        <v/>
      </c>
      <c r="BJ89" s="51" t="str">
        <f aca="false">IF(BH89="","",INDEX('REGISTRE ELEVES'!$D$10:$D$250,BH89))</f>
        <v/>
      </c>
      <c r="BK89" s="51" t="str">
        <f aca="false">IF(BH89="","",INDEX('REGISTRE ELEVES'!$E$10:$E$250,BH89))</f>
        <v/>
      </c>
      <c r="BL89" s="51" t="str">
        <f aca="false">IF(BI89="","",IFERROR(CHOOSE($C$9,INDEX('NOTES CM2'!$M$10:$M$250,MATCH(BI89,'NOTES CM2'!$B$10:$B$250,0)),INDEX('NOTES CM2'!$T$10:$T$250,MATCH(BI89,'NOTES CM2'!$B$10:$B$250,0)),INDEX('NOTES CM2'!$AB$10:$AB$250,MATCH(BI89,'NOTES CM2'!$B$10:$B$250,0)),INDEX('NOTES CM2'!$AJ$10:$AJ$250,MATCH(BI89,'NOTES CM2'!$B$10:$B$250,0))),""))</f>
        <v/>
      </c>
      <c r="BM89" s="51" t="str">
        <f aca="false">IF(ISNUMBER(BL89),BL89+(1000-49)/1000000,"")</f>
        <v/>
      </c>
      <c r="BN89" s="51" t="str">
        <f aca="false">IF(BI89="","",IFERROR(CHOOSE($C$9,INDEX('NOTES CM2'!$G$10:$G$250,MATCH(BI89,'NOTES CM2'!$B$10:$B$250,0)),INDEX('NOTES CM2'!$N$10:$N$250,MATCH(BI89,'NOTES CM2'!$B$10:$B$250,0)),INDEX('NOTES CM2'!$U$10:$U$250,MATCH(BI89,'NOTES CM2'!$B$10:$B$250,0)),INDEX('NOTES CM2'!$AC$10:$AC$250,MATCH(BI89,'NOTES CM2'!$B$10:$B$250,0))),""))</f>
        <v/>
      </c>
    </row>
    <row r="90" customFormat="false" ht="15" hidden="false" customHeight="false" outlineLevel="0" collapsed="false">
      <c r="Y90" s="51" t="str">
        <f aca="false">IFERROR(MATCH("CP1-50",'REGISTRE ELEVES'!$AG$10:$AG$250,0),"")</f>
        <v/>
      </c>
      <c r="Z90" s="51" t="str">
        <f aca="false">IF(Y90="","",INDEX('REGISTRE ELEVES'!$B$10:$B$250,Y90))</f>
        <v/>
      </c>
      <c r="AA90" s="51" t="str">
        <f aca="false">IF(Y90="","",INDEX('REGISTRE ELEVES'!$D$10:$D$250,Y90))</f>
        <v/>
      </c>
      <c r="AB90" s="51" t="str">
        <f aca="false">IF(Y90="","",INDEX('REGISTRE ELEVES'!$E$10:$E$250,Y90))</f>
        <v/>
      </c>
      <c r="AC90" s="51" t="str">
        <f aca="false">IF(Z90="","",IFERROR(CHOOSE($C$9,INDEX('NOTES CP'!$P$10:$P$250,MATCH(Z90,'NOTES CP'!$B$10:$B$250,0)),INDEX('NOTES CP'!$Z$10:$Z$250,MATCH(Z90,'NOTES CP'!$B$10:$B$250,0)),INDEX('NOTES CP'!$AJ$10:$AJ$250,MATCH(Z90,'NOTES CP'!$B$10:$B$250,0)),INDEX('NOTES CP'!$AT$10:$AT$250,MATCH(Z90,'NOTES CP'!$B$10:$B$250,0))),""))</f>
        <v/>
      </c>
      <c r="AD90" s="51" t="str">
        <f aca="false">IF(ISNUMBER(AC90),AC90+(1000-50)/1000000,"")</f>
        <v/>
      </c>
      <c r="AE90" s="51" t="str">
        <f aca="false">IF(Z90="","",IFERROR(CHOOSE($C$9,INDEX('NOTES CP'!$G$10:$G$250,MATCH(Z90,'NOTES CP'!$B$10:$B$250,0)),INDEX('NOTES CP'!$Q$10:$Q$250,MATCH(Z90,'NOTES CP'!$B$10:$B$250,0)),INDEX('NOTES CP'!$AA$10:$AA$250,MATCH(Z90,'NOTES CP'!$B$10:$B$250,0)),INDEX('NOTES CP'!$AK$10:$AK$250,MATCH(Z90,'NOTES CP'!$B$10:$B$250,0))),""))</f>
        <v/>
      </c>
      <c r="AF90" s="51" t="str">
        <f aca="false">IFERROR(MATCH("CP2-50",'REGISTRE ELEVES'!$AG$10:$AG$250,0),"")</f>
        <v/>
      </c>
      <c r="AG90" s="51" t="str">
        <f aca="false">IF(AF90="","",INDEX('REGISTRE ELEVES'!$B$10:$B$250,AF90))</f>
        <v/>
      </c>
      <c r="AH90" s="51" t="str">
        <f aca="false">IF(AF90="","",INDEX('REGISTRE ELEVES'!$D$10:$D$250,AF90))</f>
        <v/>
      </c>
      <c r="AI90" s="51" t="str">
        <f aca="false">IF(AF90="","",INDEX('REGISTRE ELEVES'!$E$10:$E$250,AF90))</f>
        <v/>
      </c>
      <c r="AJ90" s="51" t="str">
        <f aca="false">IF(AG90="","",IFERROR(CHOOSE($C$9,INDEX('NOTES CP'!$P$10:$P$250,MATCH(AG90,'NOTES CP'!$B$10:$B$250,0)),INDEX('NOTES CP'!$Z$10:$Z$250,MATCH(AG90,'NOTES CP'!$B$10:$B$250,0)),INDEX('NOTES CP'!$AJ$10:$AJ$250,MATCH(AG90,'NOTES CP'!$B$10:$B$250,0)),INDEX('NOTES CP'!$AT$10:$AT$250,MATCH(AG90,'NOTES CP'!$B$10:$B$250,0))),""))</f>
        <v/>
      </c>
      <c r="AK90" s="51" t="str">
        <f aca="false">IF(ISNUMBER(AJ90),AJ90+(1000-50)/1000000,"")</f>
        <v/>
      </c>
      <c r="AL90" s="51" t="str">
        <f aca="false">IF(AG90="","",IFERROR(CHOOSE($C$9,INDEX('NOTES CP'!$G$10:$G$250,MATCH(AG90,'NOTES CP'!$B$10:$B$250,0)),INDEX('NOTES CP'!$Q$10:$Q$250,MATCH(AG90,'NOTES CP'!$B$10:$B$250,0)),INDEX('NOTES CP'!$AA$10:$AA$250,MATCH(AG90,'NOTES CP'!$B$10:$B$250,0)),INDEX('NOTES CP'!$AK$10:$AK$250,MATCH(AG90,'NOTES CP'!$B$10:$B$250,0))),""))</f>
        <v/>
      </c>
      <c r="AM90" s="51" t="str">
        <f aca="false">IFERROR(MATCH("CE1-50",'REGISTRE ELEVES'!$AG$10:$AG$250,0),"")</f>
        <v/>
      </c>
      <c r="AN90" s="51" t="str">
        <f aca="false">IF(AM90="","",INDEX('REGISTRE ELEVES'!$B$10:$B$250,AM90))</f>
        <v/>
      </c>
      <c r="AO90" s="51" t="str">
        <f aca="false">IF(AM90="","",INDEX('REGISTRE ELEVES'!$D$10:$D$250,AM90))</f>
        <v/>
      </c>
      <c r="AP90" s="51" t="str">
        <f aca="false">IF(AM90="","",INDEX('REGISTRE ELEVES'!$E$10:$E$250,AM90))</f>
        <v/>
      </c>
      <c r="AQ90" s="51" t="str">
        <f aca="false">IF(AN90="","",IFERROR(CHOOSE($C$9,INDEX('NOTES CE1'!$M$10:$M$250,MATCH(AN90,'NOTES CE1'!$B$10:$B$250,0)),INDEX('NOTES CE1'!$T$10:$T$250,MATCH(AN90,'NOTES CE1'!$B$10:$B$250,0)),INDEX('NOTES CE1'!$AA$10:$AA$250,MATCH(AN90,'NOTES CE1'!$B$10:$B$250,0)),INDEX('NOTES CE1'!$AH$10:$AH$250,MATCH(AN90,'NOTES CE1'!$B$10:$B$250,0))),""))</f>
        <v/>
      </c>
      <c r="AR90" s="51" t="str">
        <f aca="false">IF(ISNUMBER(AQ90),AQ90+(1000-50)/1000000,"")</f>
        <v/>
      </c>
      <c r="AS90" s="51" t="str">
        <f aca="false">IF(AN90="","",IFERROR(CHOOSE($C$9,INDEX('NOTES CE1'!$G$10:$G$250,MATCH(AN90,'NOTES CE1'!$B$10:$B$250,0)),INDEX('NOTES CE1'!$N$10:$N$250,MATCH(AN90,'NOTES CE1'!$B$10:$B$250,0)),INDEX('NOTES CE1'!$U$10:$U$250,MATCH(AN90,'NOTES CE1'!$B$10:$B$250,0)),INDEX('NOTES CE1'!$AB$10:$AB$250,MATCH(AN90,'NOTES CE1'!$B$10:$B$250,0))),""))</f>
        <v/>
      </c>
      <c r="AT90" s="51" t="str">
        <f aca="false">IFERROR(MATCH("CE2-50",'REGISTRE ELEVES'!$AG$10:$AG$250,0),"")</f>
        <v/>
      </c>
      <c r="AU90" s="51" t="str">
        <f aca="false">IF(AT90="","",INDEX('REGISTRE ELEVES'!$B$10:$B$250,AT90))</f>
        <v/>
      </c>
      <c r="AV90" s="51" t="str">
        <f aca="false">IF(AT90="","",INDEX('REGISTRE ELEVES'!$D$10:$D$250,AT90))</f>
        <v/>
      </c>
      <c r="AW90" s="51" t="str">
        <f aca="false">IF(AT90="","",INDEX('REGISTRE ELEVES'!$E$10:$E$250,AT90))</f>
        <v/>
      </c>
      <c r="AX90" s="51" t="str">
        <f aca="false">IF(AU90="","",IFERROR(CHOOSE($C$9,INDEX('NOTES CE2-CM1'!$M$10:$M$250,MATCH(AU90,'NOTES CE2-CM1'!$B$10:$B$250,0)),INDEX('NOTES CE2-CM1'!$T$10:$T$250,MATCH(AU90,'NOTES CE2-CM1'!$B$10:$B$250,0)),INDEX('NOTES CE2-CM1'!$AA$10:$AA$250,MATCH(AU90,'NOTES CE2-CM1'!$B$10:$B$250,0)),INDEX('NOTES CE2-CM1'!$AH$10:$AH$250,MATCH(AU90,'NOTES CE2-CM1'!$B$10:$B$250,0))),""))</f>
        <v/>
      </c>
      <c r="AY90" s="51" t="str">
        <f aca="false">IF(ISNUMBER(AX90),AX90+(1000-50)/1000000,"")</f>
        <v/>
      </c>
      <c r="AZ90" s="51" t="str">
        <f aca="false">IF(AU90="","",IFERROR(CHOOSE($C$9,INDEX('NOTES CE2-CM1'!$G$10:$G$250,MATCH(AU90,'NOTES CE2-CM1'!$B$10:$B$250,0)),INDEX('NOTES CE2-CM1'!$N$10:$N$250,MATCH(AU90,'NOTES CE2-CM1'!$B$10:$B$250,0)),INDEX('NOTES CE2-CM1'!$U$10:$U$250,MATCH(AU90,'NOTES CE2-CM1'!$B$10:$B$250,0)),INDEX('NOTES CE2-CM1'!$AB$10:$AB$250,MATCH(AU90,'NOTES CE2-CM1'!$B$10:$B$250,0))),""))</f>
        <v/>
      </c>
      <c r="BA90" s="51" t="str">
        <f aca="false">IFERROR(MATCH("CM1-50",'REGISTRE ELEVES'!$AG$10:$AG$250,0),"")</f>
        <v/>
      </c>
      <c r="BB90" s="51" t="str">
        <f aca="false">IF(BA90="","",INDEX('REGISTRE ELEVES'!$B$10:$B$250,BA90))</f>
        <v/>
      </c>
      <c r="BC90" s="51" t="str">
        <f aca="false">IF(BA90="","",INDEX('REGISTRE ELEVES'!$D$10:$D$250,BA90))</f>
        <v/>
      </c>
      <c r="BD90" s="51" t="str">
        <f aca="false">IF(BA90="","",INDEX('REGISTRE ELEVES'!$E$10:$E$250,BA90))</f>
        <v/>
      </c>
      <c r="BE90" s="51" t="str">
        <f aca="false">IF(BB90="","",IFERROR(CHOOSE($C$9,INDEX('NOTES CE2-CM1'!$M$10:$M$250,MATCH(BB90,'NOTES CE2-CM1'!$B$10:$B$250,0)),INDEX('NOTES CE2-CM1'!$T$10:$T$250,MATCH(BB90,'NOTES CE2-CM1'!$B$10:$B$250,0)),INDEX('NOTES CE2-CM1'!$AA$10:$AA$250,MATCH(BB90,'NOTES CE2-CM1'!$B$10:$B$250,0)),INDEX('NOTES CE2-CM1'!$AH$10:$AH$250,MATCH(BB90,'NOTES CE2-CM1'!$B$10:$B$250,0))),""))</f>
        <v/>
      </c>
      <c r="BF90" s="51" t="str">
        <f aca="false">IF(ISNUMBER(BE90),BE90+(1000-50)/1000000,"")</f>
        <v/>
      </c>
      <c r="BG90" s="51" t="str">
        <f aca="false">IF(BB90="","",IFERROR(CHOOSE($C$9,INDEX('NOTES CE2-CM1'!$G$10:$G$250,MATCH(BB90,'NOTES CE2-CM1'!$B$10:$B$250,0)),INDEX('NOTES CE2-CM1'!$N$10:$N$250,MATCH(BB90,'NOTES CE2-CM1'!$B$10:$B$250,0)),INDEX('NOTES CE2-CM1'!$U$10:$U$250,MATCH(BB90,'NOTES CE2-CM1'!$B$10:$B$250,0)),INDEX('NOTES CE2-CM1'!$AB$10:$AB$250,MATCH(BB90,'NOTES CE2-CM1'!$B$10:$B$250,0))),""))</f>
        <v/>
      </c>
      <c r="BH90" s="51" t="str">
        <f aca="false">IFERROR(MATCH("CM2-50",'REGISTRE ELEVES'!$AG$10:$AG$250,0),"")</f>
        <v/>
      </c>
      <c r="BI90" s="51" t="str">
        <f aca="false">IF(BH90="","",INDEX('REGISTRE ELEVES'!$B$10:$B$250,BH90))</f>
        <v/>
      </c>
      <c r="BJ90" s="51" t="str">
        <f aca="false">IF(BH90="","",INDEX('REGISTRE ELEVES'!$D$10:$D$250,BH90))</f>
        <v/>
      </c>
      <c r="BK90" s="51" t="str">
        <f aca="false">IF(BH90="","",INDEX('REGISTRE ELEVES'!$E$10:$E$250,BH90))</f>
        <v/>
      </c>
      <c r="BL90" s="51" t="str">
        <f aca="false">IF(BI90="","",IFERROR(CHOOSE($C$9,INDEX('NOTES CM2'!$M$10:$M$250,MATCH(BI90,'NOTES CM2'!$B$10:$B$250,0)),INDEX('NOTES CM2'!$T$10:$T$250,MATCH(BI90,'NOTES CM2'!$B$10:$B$250,0)),INDEX('NOTES CM2'!$AB$10:$AB$250,MATCH(BI90,'NOTES CM2'!$B$10:$B$250,0)),INDEX('NOTES CM2'!$AJ$10:$AJ$250,MATCH(BI90,'NOTES CM2'!$B$10:$B$250,0))),""))</f>
        <v/>
      </c>
      <c r="BM90" s="51" t="str">
        <f aca="false">IF(ISNUMBER(BL90),BL90+(1000-50)/1000000,"")</f>
        <v/>
      </c>
      <c r="BN90" s="51" t="str">
        <f aca="false">IF(BI90="","",IFERROR(CHOOSE($C$9,INDEX('NOTES CM2'!$G$10:$G$250,MATCH(BI90,'NOTES CM2'!$B$10:$B$250,0)),INDEX('NOTES CM2'!$N$10:$N$250,MATCH(BI90,'NOTES CM2'!$B$10:$B$250,0)),INDEX('NOTES CM2'!$U$10:$U$250,MATCH(BI90,'NOTES CM2'!$B$10:$B$250,0)),INDEX('NOTES CM2'!$AC$10:$AC$250,MATCH(BI90,'NOTES CM2'!$B$10:$B$250,0))),""))</f>
        <v/>
      </c>
    </row>
    <row r="91" customFormat="false" ht="15" hidden="false" customHeight="false" outlineLevel="0" collapsed="false">
      <c r="Y91" s="51" t="str">
        <f aca="false">IFERROR(MATCH("CP1-51",'REGISTRE ELEVES'!$AG$10:$AG$250,0),"")</f>
        <v/>
      </c>
      <c r="Z91" s="51" t="str">
        <f aca="false">IF(Y91="","",INDEX('REGISTRE ELEVES'!$B$10:$B$250,Y91))</f>
        <v/>
      </c>
      <c r="AA91" s="51" t="str">
        <f aca="false">IF(Y91="","",INDEX('REGISTRE ELEVES'!$D$10:$D$250,Y91))</f>
        <v/>
      </c>
      <c r="AB91" s="51" t="str">
        <f aca="false">IF(Y91="","",INDEX('REGISTRE ELEVES'!$E$10:$E$250,Y91))</f>
        <v/>
      </c>
      <c r="AC91" s="51" t="str">
        <f aca="false">IF(Z91="","",IFERROR(CHOOSE($C$9,INDEX('NOTES CP'!$P$10:$P$250,MATCH(Z91,'NOTES CP'!$B$10:$B$250,0)),INDEX('NOTES CP'!$Z$10:$Z$250,MATCH(Z91,'NOTES CP'!$B$10:$B$250,0)),INDEX('NOTES CP'!$AJ$10:$AJ$250,MATCH(Z91,'NOTES CP'!$B$10:$B$250,0)),INDEX('NOTES CP'!$AT$10:$AT$250,MATCH(Z91,'NOTES CP'!$B$10:$B$250,0))),""))</f>
        <v/>
      </c>
      <c r="AD91" s="51" t="str">
        <f aca="false">IF(ISNUMBER(AC91),AC91+(1000-51)/1000000,"")</f>
        <v/>
      </c>
      <c r="AE91" s="51" t="str">
        <f aca="false">IF(Z91="","",IFERROR(CHOOSE($C$9,INDEX('NOTES CP'!$G$10:$G$250,MATCH(Z91,'NOTES CP'!$B$10:$B$250,0)),INDEX('NOTES CP'!$Q$10:$Q$250,MATCH(Z91,'NOTES CP'!$B$10:$B$250,0)),INDEX('NOTES CP'!$AA$10:$AA$250,MATCH(Z91,'NOTES CP'!$B$10:$B$250,0)),INDEX('NOTES CP'!$AK$10:$AK$250,MATCH(Z91,'NOTES CP'!$B$10:$B$250,0))),""))</f>
        <v/>
      </c>
      <c r="AF91" s="51" t="str">
        <f aca="false">IFERROR(MATCH("CP2-51",'REGISTRE ELEVES'!$AG$10:$AG$250,0),"")</f>
        <v/>
      </c>
      <c r="AG91" s="51" t="str">
        <f aca="false">IF(AF91="","",INDEX('REGISTRE ELEVES'!$B$10:$B$250,AF91))</f>
        <v/>
      </c>
      <c r="AH91" s="51" t="str">
        <f aca="false">IF(AF91="","",INDEX('REGISTRE ELEVES'!$D$10:$D$250,AF91))</f>
        <v/>
      </c>
      <c r="AI91" s="51" t="str">
        <f aca="false">IF(AF91="","",INDEX('REGISTRE ELEVES'!$E$10:$E$250,AF91))</f>
        <v/>
      </c>
      <c r="AJ91" s="51" t="str">
        <f aca="false">IF(AG91="","",IFERROR(CHOOSE($C$9,INDEX('NOTES CP'!$P$10:$P$250,MATCH(AG91,'NOTES CP'!$B$10:$B$250,0)),INDEX('NOTES CP'!$Z$10:$Z$250,MATCH(AG91,'NOTES CP'!$B$10:$B$250,0)),INDEX('NOTES CP'!$AJ$10:$AJ$250,MATCH(AG91,'NOTES CP'!$B$10:$B$250,0)),INDEX('NOTES CP'!$AT$10:$AT$250,MATCH(AG91,'NOTES CP'!$B$10:$B$250,0))),""))</f>
        <v/>
      </c>
      <c r="AK91" s="51" t="str">
        <f aca="false">IF(ISNUMBER(AJ91),AJ91+(1000-51)/1000000,"")</f>
        <v/>
      </c>
      <c r="AL91" s="51" t="str">
        <f aca="false">IF(AG91="","",IFERROR(CHOOSE($C$9,INDEX('NOTES CP'!$G$10:$G$250,MATCH(AG91,'NOTES CP'!$B$10:$B$250,0)),INDEX('NOTES CP'!$Q$10:$Q$250,MATCH(AG91,'NOTES CP'!$B$10:$B$250,0)),INDEX('NOTES CP'!$AA$10:$AA$250,MATCH(AG91,'NOTES CP'!$B$10:$B$250,0)),INDEX('NOTES CP'!$AK$10:$AK$250,MATCH(AG91,'NOTES CP'!$B$10:$B$250,0))),""))</f>
        <v/>
      </c>
      <c r="AM91" s="51" t="str">
        <f aca="false">IFERROR(MATCH("CE1-51",'REGISTRE ELEVES'!$AG$10:$AG$250,0),"")</f>
        <v/>
      </c>
      <c r="AN91" s="51" t="str">
        <f aca="false">IF(AM91="","",INDEX('REGISTRE ELEVES'!$B$10:$B$250,AM91))</f>
        <v/>
      </c>
      <c r="AO91" s="51" t="str">
        <f aca="false">IF(AM91="","",INDEX('REGISTRE ELEVES'!$D$10:$D$250,AM91))</f>
        <v/>
      </c>
      <c r="AP91" s="51" t="str">
        <f aca="false">IF(AM91="","",INDEX('REGISTRE ELEVES'!$E$10:$E$250,AM91))</f>
        <v/>
      </c>
      <c r="AQ91" s="51" t="str">
        <f aca="false">IF(AN91="","",IFERROR(CHOOSE($C$9,INDEX('NOTES CE1'!$M$10:$M$250,MATCH(AN91,'NOTES CE1'!$B$10:$B$250,0)),INDEX('NOTES CE1'!$T$10:$T$250,MATCH(AN91,'NOTES CE1'!$B$10:$B$250,0)),INDEX('NOTES CE1'!$AA$10:$AA$250,MATCH(AN91,'NOTES CE1'!$B$10:$B$250,0)),INDEX('NOTES CE1'!$AH$10:$AH$250,MATCH(AN91,'NOTES CE1'!$B$10:$B$250,0))),""))</f>
        <v/>
      </c>
      <c r="AR91" s="51" t="str">
        <f aca="false">IF(ISNUMBER(AQ91),AQ91+(1000-51)/1000000,"")</f>
        <v/>
      </c>
      <c r="AS91" s="51" t="str">
        <f aca="false">IF(AN91="","",IFERROR(CHOOSE($C$9,INDEX('NOTES CE1'!$G$10:$G$250,MATCH(AN91,'NOTES CE1'!$B$10:$B$250,0)),INDEX('NOTES CE1'!$N$10:$N$250,MATCH(AN91,'NOTES CE1'!$B$10:$B$250,0)),INDEX('NOTES CE1'!$U$10:$U$250,MATCH(AN91,'NOTES CE1'!$B$10:$B$250,0)),INDEX('NOTES CE1'!$AB$10:$AB$250,MATCH(AN91,'NOTES CE1'!$B$10:$B$250,0))),""))</f>
        <v/>
      </c>
      <c r="AT91" s="51" t="str">
        <f aca="false">IFERROR(MATCH("CE2-51",'REGISTRE ELEVES'!$AG$10:$AG$250,0),"")</f>
        <v/>
      </c>
      <c r="AU91" s="51" t="str">
        <f aca="false">IF(AT91="","",INDEX('REGISTRE ELEVES'!$B$10:$B$250,AT91))</f>
        <v/>
      </c>
      <c r="AV91" s="51" t="str">
        <f aca="false">IF(AT91="","",INDEX('REGISTRE ELEVES'!$D$10:$D$250,AT91))</f>
        <v/>
      </c>
      <c r="AW91" s="51" t="str">
        <f aca="false">IF(AT91="","",INDEX('REGISTRE ELEVES'!$E$10:$E$250,AT91))</f>
        <v/>
      </c>
      <c r="AX91" s="51" t="str">
        <f aca="false">IF(AU91="","",IFERROR(CHOOSE($C$9,INDEX('NOTES CE2-CM1'!$M$10:$M$250,MATCH(AU91,'NOTES CE2-CM1'!$B$10:$B$250,0)),INDEX('NOTES CE2-CM1'!$T$10:$T$250,MATCH(AU91,'NOTES CE2-CM1'!$B$10:$B$250,0)),INDEX('NOTES CE2-CM1'!$AA$10:$AA$250,MATCH(AU91,'NOTES CE2-CM1'!$B$10:$B$250,0)),INDEX('NOTES CE2-CM1'!$AH$10:$AH$250,MATCH(AU91,'NOTES CE2-CM1'!$B$10:$B$250,0))),""))</f>
        <v/>
      </c>
      <c r="AY91" s="51" t="str">
        <f aca="false">IF(ISNUMBER(AX91),AX91+(1000-51)/1000000,"")</f>
        <v/>
      </c>
      <c r="AZ91" s="51" t="str">
        <f aca="false">IF(AU91="","",IFERROR(CHOOSE($C$9,INDEX('NOTES CE2-CM1'!$G$10:$G$250,MATCH(AU91,'NOTES CE2-CM1'!$B$10:$B$250,0)),INDEX('NOTES CE2-CM1'!$N$10:$N$250,MATCH(AU91,'NOTES CE2-CM1'!$B$10:$B$250,0)),INDEX('NOTES CE2-CM1'!$U$10:$U$250,MATCH(AU91,'NOTES CE2-CM1'!$B$10:$B$250,0)),INDEX('NOTES CE2-CM1'!$AB$10:$AB$250,MATCH(AU91,'NOTES CE2-CM1'!$B$10:$B$250,0))),""))</f>
        <v/>
      </c>
      <c r="BA91" s="51" t="str">
        <f aca="false">IFERROR(MATCH("CM1-51",'REGISTRE ELEVES'!$AG$10:$AG$250,0),"")</f>
        <v/>
      </c>
      <c r="BB91" s="51" t="str">
        <f aca="false">IF(BA91="","",INDEX('REGISTRE ELEVES'!$B$10:$B$250,BA91))</f>
        <v/>
      </c>
      <c r="BC91" s="51" t="str">
        <f aca="false">IF(BA91="","",INDEX('REGISTRE ELEVES'!$D$10:$D$250,BA91))</f>
        <v/>
      </c>
      <c r="BD91" s="51" t="str">
        <f aca="false">IF(BA91="","",INDEX('REGISTRE ELEVES'!$E$10:$E$250,BA91))</f>
        <v/>
      </c>
      <c r="BE91" s="51" t="str">
        <f aca="false">IF(BB91="","",IFERROR(CHOOSE($C$9,INDEX('NOTES CE2-CM1'!$M$10:$M$250,MATCH(BB91,'NOTES CE2-CM1'!$B$10:$B$250,0)),INDEX('NOTES CE2-CM1'!$T$10:$T$250,MATCH(BB91,'NOTES CE2-CM1'!$B$10:$B$250,0)),INDEX('NOTES CE2-CM1'!$AA$10:$AA$250,MATCH(BB91,'NOTES CE2-CM1'!$B$10:$B$250,0)),INDEX('NOTES CE2-CM1'!$AH$10:$AH$250,MATCH(BB91,'NOTES CE2-CM1'!$B$10:$B$250,0))),""))</f>
        <v/>
      </c>
      <c r="BF91" s="51" t="str">
        <f aca="false">IF(ISNUMBER(BE91),BE91+(1000-51)/1000000,"")</f>
        <v/>
      </c>
      <c r="BG91" s="51" t="str">
        <f aca="false">IF(BB91="","",IFERROR(CHOOSE($C$9,INDEX('NOTES CE2-CM1'!$G$10:$G$250,MATCH(BB91,'NOTES CE2-CM1'!$B$10:$B$250,0)),INDEX('NOTES CE2-CM1'!$N$10:$N$250,MATCH(BB91,'NOTES CE2-CM1'!$B$10:$B$250,0)),INDEX('NOTES CE2-CM1'!$U$10:$U$250,MATCH(BB91,'NOTES CE2-CM1'!$B$10:$B$250,0)),INDEX('NOTES CE2-CM1'!$AB$10:$AB$250,MATCH(BB91,'NOTES CE2-CM1'!$B$10:$B$250,0))),""))</f>
        <v/>
      </c>
      <c r="BH91" s="51" t="str">
        <f aca="false">IFERROR(MATCH("CM2-51",'REGISTRE ELEVES'!$AG$10:$AG$250,0),"")</f>
        <v/>
      </c>
      <c r="BI91" s="51" t="str">
        <f aca="false">IF(BH91="","",INDEX('REGISTRE ELEVES'!$B$10:$B$250,BH91))</f>
        <v/>
      </c>
      <c r="BJ91" s="51" t="str">
        <f aca="false">IF(BH91="","",INDEX('REGISTRE ELEVES'!$D$10:$D$250,BH91))</f>
        <v/>
      </c>
      <c r="BK91" s="51" t="str">
        <f aca="false">IF(BH91="","",INDEX('REGISTRE ELEVES'!$E$10:$E$250,BH91))</f>
        <v/>
      </c>
      <c r="BL91" s="51" t="str">
        <f aca="false">IF(BI91="","",IFERROR(CHOOSE($C$9,INDEX('NOTES CM2'!$M$10:$M$250,MATCH(BI91,'NOTES CM2'!$B$10:$B$250,0)),INDEX('NOTES CM2'!$T$10:$T$250,MATCH(BI91,'NOTES CM2'!$B$10:$B$250,0)),INDEX('NOTES CM2'!$AB$10:$AB$250,MATCH(BI91,'NOTES CM2'!$B$10:$B$250,0)),INDEX('NOTES CM2'!$AJ$10:$AJ$250,MATCH(BI91,'NOTES CM2'!$B$10:$B$250,0))),""))</f>
        <v/>
      </c>
      <c r="BM91" s="51" t="str">
        <f aca="false">IF(ISNUMBER(BL91),BL91+(1000-51)/1000000,"")</f>
        <v/>
      </c>
      <c r="BN91" s="51" t="str">
        <f aca="false">IF(BI91="","",IFERROR(CHOOSE($C$9,INDEX('NOTES CM2'!$G$10:$G$250,MATCH(BI91,'NOTES CM2'!$B$10:$B$250,0)),INDEX('NOTES CM2'!$N$10:$N$250,MATCH(BI91,'NOTES CM2'!$B$10:$B$250,0)),INDEX('NOTES CM2'!$U$10:$U$250,MATCH(BI91,'NOTES CM2'!$B$10:$B$250,0)),INDEX('NOTES CM2'!$AC$10:$AC$250,MATCH(BI91,'NOTES CM2'!$B$10:$B$250,0))),""))</f>
        <v/>
      </c>
    </row>
    <row r="92" customFormat="false" ht="15" hidden="false" customHeight="false" outlineLevel="0" collapsed="false">
      <c r="Y92" s="51" t="str">
        <f aca="false">IFERROR(MATCH("CP1-52",'REGISTRE ELEVES'!$AG$10:$AG$250,0),"")</f>
        <v/>
      </c>
      <c r="Z92" s="51" t="str">
        <f aca="false">IF(Y92="","",INDEX('REGISTRE ELEVES'!$B$10:$B$250,Y92))</f>
        <v/>
      </c>
      <c r="AA92" s="51" t="str">
        <f aca="false">IF(Y92="","",INDEX('REGISTRE ELEVES'!$D$10:$D$250,Y92))</f>
        <v/>
      </c>
      <c r="AB92" s="51" t="str">
        <f aca="false">IF(Y92="","",INDEX('REGISTRE ELEVES'!$E$10:$E$250,Y92))</f>
        <v/>
      </c>
      <c r="AC92" s="51" t="str">
        <f aca="false">IF(Z92="","",IFERROR(CHOOSE($C$9,INDEX('NOTES CP'!$P$10:$P$250,MATCH(Z92,'NOTES CP'!$B$10:$B$250,0)),INDEX('NOTES CP'!$Z$10:$Z$250,MATCH(Z92,'NOTES CP'!$B$10:$B$250,0)),INDEX('NOTES CP'!$AJ$10:$AJ$250,MATCH(Z92,'NOTES CP'!$B$10:$B$250,0)),INDEX('NOTES CP'!$AT$10:$AT$250,MATCH(Z92,'NOTES CP'!$B$10:$B$250,0))),""))</f>
        <v/>
      </c>
      <c r="AD92" s="51" t="str">
        <f aca="false">IF(ISNUMBER(AC92),AC92+(1000-52)/1000000,"")</f>
        <v/>
      </c>
      <c r="AE92" s="51" t="str">
        <f aca="false">IF(Z92="","",IFERROR(CHOOSE($C$9,INDEX('NOTES CP'!$G$10:$G$250,MATCH(Z92,'NOTES CP'!$B$10:$B$250,0)),INDEX('NOTES CP'!$Q$10:$Q$250,MATCH(Z92,'NOTES CP'!$B$10:$B$250,0)),INDEX('NOTES CP'!$AA$10:$AA$250,MATCH(Z92,'NOTES CP'!$B$10:$B$250,0)),INDEX('NOTES CP'!$AK$10:$AK$250,MATCH(Z92,'NOTES CP'!$B$10:$B$250,0))),""))</f>
        <v/>
      </c>
      <c r="AF92" s="51" t="str">
        <f aca="false">IFERROR(MATCH("CP2-52",'REGISTRE ELEVES'!$AG$10:$AG$250,0),"")</f>
        <v/>
      </c>
      <c r="AG92" s="51" t="str">
        <f aca="false">IF(AF92="","",INDEX('REGISTRE ELEVES'!$B$10:$B$250,AF92))</f>
        <v/>
      </c>
      <c r="AH92" s="51" t="str">
        <f aca="false">IF(AF92="","",INDEX('REGISTRE ELEVES'!$D$10:$D$250,AF92))</f>
        <v/>
      </c>
      <c r="AI92" s="51" t="str">
        <f aca="false">IF(AF92="","",INDEX('REGISTRE ELEVES'!$E$10:$E$250,AF92))</f>
        <v/>
      </c>
      <c r="AJ92" s="51" t="str">
        <f aca="false">IF(AG92="","",IFERROR(CHOOSE($C$9,INDEX('NOTES CP'!$P$10:$P$250,MATCH(AG92,'NOTES CP'!$B$10:$B$250,0)),INDEX('NOTES CP'!$Z$10:$Z$250,MATCH(AG92,'NOTES CP'!$B$10:$B$250,0)),INDEX('NOTES CP'!$AJ$10:$AJ$250,MATCH(AG92,'NOTES CP'!$B$10:$B$250,0)),INDEX('NOTES CP'!$AT$10:$AT$250,MATCH(AG92,'NOTES CP'!$B$10:$B$250,0))),""))</f>
        <v/>
      </c>
      <c r="AK92" s="51" t="str">
        <f aca="false">IF(ISNUMBER(AJ92),AJ92+(1000-52)/1000000,"")</f>
        <v/>
      </c>
      <c r="AL92" s="51" t="str">
        <f aca="false">IF(AG92="","",IFERROR(CHOOSE($C$9,INDEX('NOTES CP'!$G$10:$G$250,MATCH(AG92,'NOTES CP'!$B$10:$B$250,0)),INDEX('NOTES CP'!$Q$10:$Q$250,MATCH(AG92,'NOTES CP'!$B$10:$B$250,0)),INDEX('NOTES CP'!$AA$10:$AA$250,MATCH(AG92,'NOTES CP'!$B$10:$B$250,0)),INDEX('NOTES CP'!$AK$10:$AK$250,MATCH(AG92,'NOTES CP'!$B$10:$B$250,0))),""))</f>
        <v/>
      </c>
      <c r="AM92" s="51" t="str">
        <f aca="false">IFERROR(MATCH("CE1-52",'REGISTRE ELEVES'!$AG$10:$AG$250,0),"")</f>
        <v/>
      </c>
      <c r="AN92" s="51" t="str">
        <f aca="false">IF(AM92="","",INDEX('REGISTRE ELEVES'!$B$10:$B$250,AM92))</f>
        <v/>
      </c>
      <c r="AO92" s="51" t="str">
        <f aca="false">IF(AM92="","",INDEX('REGISTRE ELEVES'!$D$10:$D$250,AM92))</f>
        <v/>
      </c>
      <c r="AP92" s="51" t="str">
        <f aca="false">IF(AM92="","",INDEX('REGISTRE ELEVES'!$E$10:$E$250,AM92))</f>
        <v/>
      </c>
      <c r="AQ92" s="51" t="str">
        <f aca="false">IF(AN92="","",IFERROR(CHOOSE($C$9,INDEX('NOTES CE1'!$M$10:$M$250,MATCH(AN92,'NOTES CE1'!$B$10:$B$250,0)),INDEX('NOTES CE1'!$T$10:$T$250,MATCH(AN92,'NOTES CE1'!$B$10:$B$250,0)),INDEX('NOTES CE1'!$AA$10:$AA$250,MATCH(AN92,'NOTES CE1'!$B$10:$B$250,0)),INDEX('NOTES CE1'!$AH$10:$AH$250,MATCH(AN92,'NOTES CE1'!$B$10:$B$250,0))),""))</f>
        <v/>
      </c>
      <c r="AR92" s="51" t="str">
        <f aca="false">IF(ISNUMBER(AQ92),AQ92+(1000-52)/1000000,"")</f>
        <v/>
      </c>
      <c r="AS92" s="51" t="str">
        <f aca="false">IF(AN92="","",IFERROR(CHOOSE($C$9,INDEX('NOTES CE1'!$G$10:$G$250,MATCH(AN92,'NOTES CE1'!$B$10:$B$250,0)),INDEX('NOTES CE1'!$N$10:$N$250,MATCH(AN92,'NOTES CE1'!$B$10:$B$250,0)),INDEX('NOTES CE1'!$U$10:$U$250,MATCH(AN92,'NOTES CE1'!$B$10:$B$250,0)),INDEX('NOTES CE1'!$AB$10:$AB$250,MATCH(AN92,'NOTES CE1'!$B$10:$B$250,0))),""))</f>
        <v/>
      </c>
      <c r="AT92" s="51" t="str">
        <f aca="false">IFERROR(MATCH("CE2-52",'REGISTRE ELEVES'!$AG$10:$AG$250,0),"")</f>
        <v/>
      </c>
      <c r="AU92" s="51" t="str">
        <f aca="false">IF(AT92="","",INDEX('REGISTRE ELEVES'!$B$10:$B$250,AT92))</f>
        <v/>
      </c>
      <c r="AV92" s="51" t="str">
        <f aca="false">IF(AT92="","",INDEX('REGISTRE ELEVES'!$D$10:$D$250,AT92))</f>
        <v/>
      </c>
      <c r="AW92" s="51" t="str">
        <f aca="false">IF(AT92="","",INDEX('REGISTRE ELEVES'!$E$10:$E$250,AT92))</f>
        <v/>
      </c>
      <c r="AX92" s="51" t="str">
        <f aca="false">IF(AU92="","",IFERROR(CHOOSE($C$9,INDEX('NOTES CE2-CM1'!$M$10:$M$250,MATCH(AU92,'NOTES CE2-CM1'!$B$10:$B$250,0)),INDEX('NOTES CE2-CM1'!$T$10:$T$250,MATCH(AU92,'NOTES CE2-CM1'!$B$10:$B$250,0)),INDEX('NOTES CE2-CM1'!$AA$10:$AA$250,MATCH(AU92,'NOTES CE2-CM1'!$B$10:$B$250,0)),INDEX('NOTES CE2-CM1'!$AH$10:$AH$250,MATCH(AU92,'NOTES CE2-CM1'!$B$10:$B$250,0))),""))</f>
        <v/>
      </c>
      <c r="AY92" s="51" t="str">
        <f aca="false">IF(ISNUMBER(AX92),AX92+(1000-52)/1000000,"")</f>
        <v/>
      </c>
      <c r="AZ92" s="51" t="str">
        <f aca="false">IF(AU92="","",IFERROR(CHOOSE($C$9,INDEX('NOTES CE2-CM1'!$G$10:$G$250,MATCH(AU92,'NOTES CE2-CM1'!$B$10:$B$250,0)),INDEX('NOTES CE2-CM1'!$N$10:$N$250,MATCH(AU92,'NOTES CE2-CM1'!$B$10:$B$250,0)),INDEX('NOTES CE2-CM1'!$U$10:$U$250,MATCH(AU92,'NOTES CE2-CM1'!$B$10:$B$250,0)),INDEX('NOTES CE2-CM1'!$AB$10:$AB$250,MATCH(AU92,'NOTES CE2-CM1'!$B$10:$B$250,0))),""))</f>
        <v/>
      </c>
      <c r="BA92" s="51" t="str">
        <f aca="false">IFERROR(MATCH("CM1-52",'REGISTRE ELEVES'!$AG$10:$AG$250,0),"")</f>
        <v/>
      </c>
      <c r="BB92" s="51" t="str">
        <f aca="false">IF(BA92="","",INDEX('REGISTRE ELEVES'!$B$10:$B$250,BA92))</f>
        <v/>
      </c>
      <c r="BC92" s="51" t="str">
        <f aca="false">IF(BA92="","",INDEX('REGISTRE ELEVES'!$D$10:$D$250,BA92))</f>
        <v/>
      </c>
      <c r="BD92" s="51" t="str">
        <f aca="false">IF(BA92="","",INDEX('REGISTRE ELEVES'!$E$10:$E$250,BA92))</f>
        <v/>
      </c>
      <c r="BE92" s="51" t="str">
        <f aca="false">IF(BB92="","",IFERROR(CHOOSE($C$9,INDEX('NOTES CE2-CM1'!$M$10:$M$250,MATCH(BB92,'NOTES CE2-CM1'!$B$10:$B$250,0)),INDEX('NOTES CE2-CM1'!$T$10:$T$250,MATCH(BB92,'NOTES CE2-CM1'!$B$10:$B$250,0)),INDEX('NOTES CE2-CM1'!$AA$10:$AA$250,MATCH(BB92,'NOTES CE2-CM1'!$B$10:$B$250,0)),INDEX('NOTES CE2-CM1'!$AH$10:$AH$250,MATCH(BB92,'NOTES CE2-CM1'!$B$10:$B$250,0))),""))</f>
        <v/>
      </c>
      <c r="BF92" s="51" t="str">
        <f aca="false">IF(ISNUMBER(BE92),BE92+(1000-52)/1000000,"")</f>
        <v/>
      </c>
      <c r="BG92" s="51" t="str">
        <f aca="false">IF(BB92="","",IFERROR(CHOOSE($C$9,INDEX('NOTES CE2-CM1'!$G$10:$G$250,MATCH(BB92,'NOTES CE2-CM1'!$B$10:$B$250,0)),INDEX('NOTES CE2-CM1'!$N$10:$N$250,MATCH(BB92,'NOTES CE2-CM1'!$B$10:$B$250,0)),INDEX('NOTES CE2-CM1'!$U$10:$U$250,MATCH(BB92,'NOTES CE2-CM1'!$B$10:$B$250,0)),INDEX('NOTES CE2-CM1'!$AB$10:$AB$250,MATCH(BB92,'NOTES CE2-CM1'!$B$10:$B$250,0))),""))</f>
        <v/>
      </c>
      <c r="BH92" s="51" t="str">
        <f aca="false">IFERROR(MATCH("CM2-52",'REGISTRE ELEVES'!$AG$10:$AG$250,0),"")</f>
        <v/>
      </c>
      <c r="BI92" s="51" t="str">
        <f aca="false">IF(BH92="","",INDEX('REGISTRE ELEVES'!$B$10:$B$250,BH92))</f>
        <v/>
      </c>
      <c r="BJ92" s="51" t="str">
        <f aca="false">IF(BH92="","",INDEX('REGISTRE ELEVES'!$D$10:$D$250,BH92))</f>
        <v/>
      </c>
      <c r="BK92" s="51" t="str">
        <f aca="false">IF(BH92="","",INDEX('REGISTRE ELEVES'!$E$10:$E$250,BH92))</f>
        <v/>
      </c>
      <c r="BL92" s="51" t="str">
        <f aca="false">IF(BI92="","",IFERROR(CHOOSE($C$9,INDEX('NOTES CM2'!$M$10:$M$250,MATCH(BI92,'NOTES CM2'!$B$10:$B$250,0)),INDEX('NOTES CM2'!$T$10:$T$250,MATCH(BI92,'NOTES CM2'!$B$10:$B$250,0)),INDEX('NOTES CM2'!$AB$10:$AB$250,MATCH(BI92,'NOTES CM2'!$B$10:$B$250,0)),INDEX('NOTES CM2'!$AJ$10:$AJ$250,MATCH(BI92,'NOTES CM2'!$B$10:$B$250,0))),""))</f>
        <v/>
      </c>
      <c r="BM92" s="51" t="str">
        <f aca="false">IF(ISNUMBER(BL92),BL92+(1000-52)/1000000,"")</f>
        <v/>
      </c>
      <c r="BN92" s="51" t="str">
        <f aca="false">IF(BI92="","",IFERROR(CHOOSE($C$9,INDEX('NOTES CM2'!$G$10:$G$250,MATCH(BI92,'NOTES CM2'!$B$10:$B$250,0)),INDEX('NOTES CM2'!$N$10:$N$250,MATCH(BI92,'NOTES CM2'!$B$10:$B$250,0)),INDEX('NOTES CM2'!$U$10:$U$250,MATCH(BI92,'NOTES CM2'!$B$10:$B$250,0)),INDEX('NOTES CM2'!$AC$10:$AC$250,MATCH(BI92,'NOTES CM2'!$B$10:$B$250,0))),""))</f>
        <v/>
      </c>
    </row>
    <row r="93" customFormat="false" ht="15" hidden="false" customHeight="false" outlineLevel="0" collapsed="false">
      <c r="Y93" s="51" t="str">
        <f aca="false">IFERROR(MATCH("CP1-53",'REGISTRE ELEVES'!$AG$10:$AG$250,0),"")</f>
        <v/>
      </c>
      <c r="Z93" s="51" t="str">
        <f aca="false">IF(Y93="","",INDEX('REGISTRE ELEVES'!$B$10:$B$250,Y93))</f>
        <v/>
      </c>
      <c r="AA93" s="51" t="str">
        <f aca="false">IF(Y93="","",INDEX('REGISTRE ELEVES'!$D$10:$D$250,Y93))</f>
        <v/>
      </c>
      <c r="AB93" s="51" t="str">
        <f aca="false">IF(Y93="","",INDEX('REGISTRE ELEVES'!$E$10:$E$250,Y93))</f>
        <v/>
      </c>
      <c r="AC93" s="51" t="str">
        <f aca="false">IF(Z93="","",IFERROR(CHOOSE($C$9,INDEX('NOTES CP'!$P$10:$P$250,MATCH(Z93,'NOTES CP'!$B$10:$B$250,0)),INDEX('NOTES CP'!$Z$10:$Z$250,MATCH(Z93,'NOTES CP'!$B$10:$B$250,0)),INDEX('NOTES CP'!$AJ$10:$AJ$250,MATCH(Z93,'NOTES CP'!$B$10:$B$250,0)),INDEX('NOTES CP'!$AT$10:$AT$250,MATCH(Z93,'NOTES CP'!$B$10:$B$250,0))),""))</f>
        <v/>
      </c>
      <c r="AD93" s="51" t="str">
        <f aca="false">IF(ISNUMBER(AC93),AC93+(1000-53)/1000000,"")</f>
        <v/>
      </c>
      <c r="AE93" s="51" t="str">
        <f aca="false">IF(Z93="","",IFERROR(CHOOSE($C$9,INDEX('NOTES CP'!$G$10:$G$250,MATCH(Z93,'NOTES CP'!$B$10:$B$250,0)),INDEX('NOTES CP'!$Q$10:$Q$250,MATCH(Z93,'NOTES CP'!$B$10:$B$250,0)),INDEX('NOTES CP'!$AA$10:$AA$250,MATCH(Z93,'NOTES CP'!$B$10:$B$250,0)),INDEX('NOTES CP'!$AK$10:$AK$250,MATCH(Z93,'NOTES CP'!$B$10:$B$250,0))),""))</f>
        <v/>
      </c>
      <c r="AF93" s="51" t="str">
        <f aca="false">IFERROR(MATCH("CP2-53",'REGISTRE ELEVES'!$AG$10:$AG$250,0),"")</f>
        <v/>
      </c>
      <c r="AG93" s="51" t="str">
        <f aca="false">IF(AF93="","",INDEX('REGISTRE ELEVES'!$B$10:$B$250,AF93))</f>
        <v/>
      </c>
      <c r="AH93" s="51" t="str">
        <f aca="false">IF(AF93="","",INDEX('REGISTRE ELEVES'!$D$10:$D$250,AF93))</f>
        <v/>
      </c>
      <c r="AI93" s="51" t="str">
        <f aca="false">IF(AF93="","",INDEX('REGISTRE ELEVES'!$E$10:$E$250,AF93))</f>
        <v/>
      </c>
      <c r="AJ93" s="51" t="str">
        <f aca="false">IF(AG93="","",IFERROR(CHOOSE($C$9,INDEX('NOTES CP'!$P$10:$P$250,MATCH(AG93,'NOTES CP'!$B$10:$B$250,0)),INDEX('NOTES CP'!$Z$10:$Z$250,MATCH(AG93,'NOTES CP'!$B$10:$B$250,0)),INDEX('NOTES CP'!$AJ$10:$AJ$250,MATCH(AG93,'NOTES CP'!$B$10:$B$250,0)),INDEX('NOTES CP'!$AT$10:$AT$250,MATCH(AG93,'NOTES CP'!$B$10:$B$250,0))),""))</f>
        <v/>
      </c>
      <c r="AK93" s="51" t="str">
        <f aca="false">IF(ISNUMBER(AJ93),AJ93+(1000-53)/1000000,"")</f>
        <v/>
      </c>
      <c r="AL93" s="51" t="str">
        <f aca="false">IF(AG93="","",IFERROR(CHOOSE($C$9,INDEX('NOTES CP'!$G$10:$G$250,MATCH(AG93,'NOTES CP'!$B$10:$B$250,0)),INDEX('NOTES CP'!$Q$10:$Q$250,MATCH(AG93,'NOTES CP'!$B$10:$B$250,0)),INDEX('NOTES CP'!$AA$10:$AA$250,MATCH(AG93,'NOTES CP'!$B$10:$B$250,0)),INDEX('NOTES CP'!$AK$10:$AK$250,MATCH(AG93,'NOTES CP'!$B$10:$B$250,0))),""))</f>
        <v/>
      </c>
      <c r="AM93" s="51" t="str">
        <f aca="false">IFERROR(MATCH("CE1-53",'REGISTRE ELEVES'!$AG$10:$AG$250,0),"")</f>
        <v/>
      </c>
      <c r="AN93" s="51" t="str">
        <f aca="false">IF(AM93="","",INDEX('REGISTRE ELEVES'!$B$10:$B$250,AM93))</f>
        <v/>
      </c>
      <c r="AO93" s="51" t="str">
        <f aca="false">IF(AM93="","",INDEX('REGISTRE ELEVES'!$D$10:$D$250,AM93))</f>
        <v/>
      </c>
      <c r="AP93" s="51" t="str">
        <f aca="false">IF(AM93="","",INDEX('REGISTRE ELEVES'!$E$10:$E$250,AM93))</f>
        <v/>
      </c>
      <c r="AQ93" s="51" t="str">
        <f aca="false">IF(AN93="","",IFERROR(CHOOSE($C$9,INDEX('NOTES CE1'!$M$10:$M$250,MATCH(AN93,'NOTES CE1'!$B$10:$B$250,0)),INDEX('NOTES CE1'!$T$10:$T$250,MATCH(AN93,'NOTES CE1'!$B$10:$B$250,0)),INDEX('NOTES CE1'!$AA$10:$AA$250,MATCH(AN93,'NOTES CE1'!$B$10:$B$250,0)),INDEX('NOTES CE1'!$AH$10:$AH$250,MATCH(AN93,'NOTES CE1'!$B$10:$B$250,0))),""))</f>
        <v/>
      </c>
      <c r="AR93" s="51" t="str">
        <f aca="false">IF(ISNUMBER(AQ93),AQ93+(1000-53)/1000000,"")</f>
        <v/>
      </c>
      <c r="AS93" s="51" t="str">
        <f aca="false">IF(AN93="","",IFERROR(CHOOSE($C$9,INDEX('NOTES CE1'!$G$10:$G$250,MATCH(AN93,'NOTES CE1'!$B$10:$B$250,0)),INDEX('NOTES CE1'!$N$10:$N$250,MATCH(AN93,'NOTES CE1'!$B$10:$B$250,0)),INDEX('NOTES CE1'!$U$10:$U$250,MATCH(AN93,'NOTES CE1'!$B$10:$B$250,0)),INDEX('NOTES CE1'!$AB$10:$AB$250,MATCH(AN93,'NOTES CE1'!$B$10:$B$250,0))),""))</f>
        <v/>
      </c>
      <c r="AT93" s="51" t="str">
        <f aca="false">IFERROR(MATCH("CE2-53",'REGISTRE ELEVES'!$AG$10:$AG$250,0),"")</f>
        <v/>
      </c>
      <c r="AU93" s="51" t="str">
        <f aca="false">IF(AT93="","",INDEX('REGISTRE ELEVES'!$B$10:$B$250,AT93))</f>
        <v/>
      </c>
      <c r="AV93" s="51" t="str">
        <f aca="false">IF(AT93="","",INDEX('REGISTRE ELEVES'!$D$10:$D$250,AT93))</f>
        <v/>
      </c>
      <c r="AW93" s="51" t="str">
        <f aca="false">IF(AT93="","",INDEX('REGISTRE ELEVES'!$E$10:$E$250,AT93))</f>
        <v/>
      </c>
      <c r="AX93" s="51" t="str">
        <f aca="false">IF(AU93="","",IFERROR(CHOOSE($C$9,INDEX('NOTES CE2-CM1'!$M$10:$M$250,MATCH(AU93,'NOTES CE2-CM1'!$B$10:$B$250,0)),INDEX('NOTES CE2-CM1'!$T$10:$T$250,MATCH(AU93,'NOTES CE2-CM1'!$B$10:$B$250,0)),INDEX('NOTES CE2-CM1'!$AA$10:$AA$250,MATCH(AU93,'NOTES CE2-CM1'!$B$10:$B$250,0)),INDEX('NOTES CE2-CM1'!$AH$10:$AH$250,MATCH(AU93,'NOTES CE2-CM1'!$B$10:$B$250,0))),""))</f>
        <v/>
      </c>
      <c r="AY93" s="51" t="str">
        <f aca="false">IF(ISNUMBER(AX93),AX93+(1000-53)/1000000,"")</f>
        <v/>
      </c>
      <c r="AZ93" s="51" t="str">
        <f aca="false">IF(AU93="","",IFERROR(CHOOSE($C$9,INDEX('NOTES CE2-CM1'!$G$10:$G$250,MATCH(AU93,'NOTES CE2-CM1'!$B$10:$B$250,0)),INDEX('NOTES CE2-CM1'!$N$10:$N$250,MATCH(AU93,'NOTES CE2-CM1'!$B$10:$B$250,0)),INDEX('NOTES CE2-CM1'!$U$10:$U$250,MATCH(AU93,'NOTES CE2-CM1'!$B$10:$B$250,0)),INDEX('NOTES CE2-CM1'!$AB$10:$AB$250,MATCH(AU93,'NOTES CE2-CM1'!$B$10:$B$250,0))),""))</f>
        <v/>
      </c>
      <c r="BA93" s="51" t="str">
        <f aca="false">IFERROR(MATCH("CM1-53",'REGISTRE ELEVES'!$AG$10:$AG$250,0),"")</f>
        <v/>
      </c>
      <c r="BB93" s="51" t="str">
        <f aca="false">IF(BA93="","",INDEX('REGISTRE ELEVES'!$B$10:$B$250,BA93))</f>
        <v/>
      </c>
      <c r="BC93" s="51" t="str">
        <f aca="false">IF(BA93="","",INDEX('REGISTRE ELEVES'!$D$10:$D$250,BA93))</f>
        <v/>
      </c>
      <c r="BD93" s="51" t="str">
        <f aca="false">IF(BA93="","",INDEX('REGISTRE ELEVES'!$E$10:$E$250,BA93))</f>
        <v/>
      </c>
      <c r="BE93" s="51" t="str">
        <f aca="false">IF(BB93="","",IFERROR(CHOOSE($C$9,INDEX('NOTES CE2-CM1'!$M$10:$M$250,MATCH(BB93,'NOTES CE2-CM1'!$B$10:$B$250,0)),INDEX('NOTES CE2-CM1'!$T$10:$T$250,MATCH(BB93,'NOTES CE2-CM1'!$B$10:$B$250,0)),INDEX('NOTES CE2-CM1'!$AA$10:$AA$250,MATCH(BB93,'NOTES CE2-CM1'!$B$10:$B$250,0)),INDEX('NOTES CE2-CM1'!$AH$10:$AH$250,MATCH(BB93,'NOTES CE2-CM1'!$B$10:$B$250,0))),""))</f>
        <v/>
      </c>
      <c r="BF93" s="51" t="str">
        <f aca="false">IF(ISNUMBER(BE93),BE93+(1000-53)/1000000,"")</f>
        <v/>
      </c>
      <c r="BG93" s="51" t="str">
        <f aca="false">IF(BB93="","",IFERROR(CHOOSE($C$9,INDEX('NOTES CE2-CM1'!$G$10:$G$250,MATCH(BB93,'NOTES CE2-CM1'!$B$10:$B$250,0)),INDEX('NOTES CE2-CM1'!$N$10:$N$250,MATCH(BB93,'NOTES CE2-CM1'!$B$10:$B$250,0)),INDEX('NOTES CE2-CM1'!$U$10:$U$250,MATCH(BB93,'NOTES CE2-CM1'!$B$10:$B$250,0)),INDEX('NOTES CE2-CM1'!$AB$10:$AB$250,MATCH(BB93,'NOTES CE2-CM1'!$B$10:$B$250,0))),""))</f>
        <v/>
      </c>
      <c r="BH93" s="51" t="str">
        <f aca="false">IFERROR(MATCH("CM2-53",'REGISTRE ELEVES'!$AG$10:$AG$250,0),"")</f>
        <v/>
      </c>
      <c r="BI93" s="51" t="str">
        <f aca="false">IF(BH93="","",INDEX('REGISTRE ELEVES'!$B$10:$B$250,BH93))</f>
        <v/>
      </c>
      <c r="BJ93" s="51" t="str">
        <f aca="false">IF(BH93="","",INDEX('REGISTRE ELEVES'!$D$10:$D$250,BH93))</f>
        <v/>
      </c>
      <c r="BK93" s="51" t="str">
        <f aca="false">IF(BH93="","",INDEX('REGISTRE ELEVES'!$E$10:$E$250,BH93))</f>
        <v/>
      </c>
      <c r="BL93" s="51" t="str">
        <f aca="false">IF(BI93="","",IFERROR(CHOOSE($C$9,INDEX('NOTES CM2'!$M$10:$M$250,MATCH(BI93,'NOTES CM2'!$B$10:$B$250,0)),INDEX('NOTES CM2'!$T$10:$T$250,MATCH(BI93,'NOTES CM2'!$B$10:$B$250,0)),INDEX('NOTES CM2'!$AB$10:$AB$250,MATCH(BI93,'NOTES CM2'!$B$10:$B$250,0)),INDEX('NOTES CM2'!$AJ$10:$AJ$250,MATCH(BI93,'NOTES CM2'!$B$10:$B$250,0))),""))</f>
        <v/>
      </c>
      <c r="BM93" s="51" t="str">
        <f aca="false">IF(ISNUMBER(BL93),BL93+(1000-53)/1000000,"")</f>
        <v/>
      </c>
      <c r="BN93" s="51" t="str">
        <f aca="false">IF(BI93="","",IFERROR(CHOOSE($C$9,INDEX('NOTES CM2'!$G$10:$G$250,MATCH(BI93,'NOTES CM2'!$B$10:$B$250,0)),INDEX('NOTES CM2'!$N$10:$N$250,MATCH(BI93,'NOTES CM2'!$B$10:$B$250,0)),INDEX('NOTES CM2'!$U$10:$U$250,MATCH(BI93,'NOTES CM2'!$B$10:$B$250,0)),INDEX('NOTES CM2'!$AC$10:$AC$250,MATCH(BI93,'NOTES CM2'!$B$10:$B$250,0))),""))</f>
        <v/>
      </c>
    </row>
    <row r="94" customFormat="false" ht="15" hidden="false" customHeight="false" outlineLevel="0" collapsed="false">
      <c r="Y94" s="51" t="str">
        <f aca="false">IFERROR(MATCH("CP1-54",'REGISTRE ELEVES'!$AG$10:$AG$250,0),"")</f>
        <v/>
      </c>
      <c r="Z94" s="51" t="str">
        <f aca="false">IF(Y94="","",INDEX('REGISTRE ELEVES'!$B$10:$B$250,Y94))</f>
        <v/>
      </c>
      <c r="AA94" s="51" t="str">
        <f aca="false">IF(Y94="","",INDEX('REGISTRE ELEVES'!$D$10:$D$250,Y94))</f>
        <v/>
      </c>
      <c r="AB94" s="51" t="str">
        <f aca="false">IF(Y94="","",INDEX('REGISTRE ELEVES'!$E$10:$E$250,Y94))</f>
        <v/>
      </c>
      <c r="AC94" s="51" t="str">
        <f aca="false">IF(Z94="","",IFERROR(CHOOSE($C$9,INDEX('NOTES CP'!$P$10:$P$250,MATCH(Z94,'NOTES CP'!$B$10:$B$250,0)),INDEX('NOTES CP'!$Z$10:$Z$250,MATCH(Z94,'NOTES CP'!$B$10:$B$250,0)),INDEX('NOTES CP'!$AJ$10:$AJ$250,MATCH(Z94,'NOTES CP'!$B$10:$B$250,0)),INDEX('NOTES CP'!$AT$10:$AT$250,MATCH(Z94,'NOTES CP'!$B$10:$B$250,0))),""))</f>
        <v/>
      </c>
      <c r="AD94" s="51" t="str">
        <f aca="false">IF(ISNUMBER(AC94),AC94+(1000-54)/1000000,"")</f>
        <v/>
      </c>
      <c r="AE94" s="51" t="str">
        <f aca="false">IF(Z94="","",IFERROR(CHOOSE($C$9,INDEX('NOTES CP'!$G$10:$G$250,MATCH(Z94,'NOTES CP'!$B$10:$B$250,0)),INDEX('NOTES CP'!$Q$10:$Q$250,MATCH(Z94,'NOTES CP'!$B$10:$B$250,0)),INDEX('NOTES CP'!$AA$10:$AA$250,MATCH(Z94,'NOTES CP'!$B$10:$B$250,0)),INDEX('NOTES CP'!$AK$10:$AK$250,MATCH(Z94,'NOTES CP'!$B$10:$B$250,0))),""))</f>
        <v/>
      </c>
      <c r="AF94" s="51" t="str">
        <f aca="false">IFERROR(MATCH("CP2-54",'REGISTRE ELEVES'!$AG$10:$AG$250,0),"")</f>
        <v/>
      </c>
      <c r="AG94" s="51" t="str">
        <f aca="false">IF(AF94="","",INDEX('REGISTRE ELEVES'!$B$10:$B$250,AF94))</f>
        <v/>
      </c>
      <c r="AH94" s="51" t="str">
        <f aca="false">IF(AF94="","",INDEX('REGISTRE ELEVES'!$D$10:$D$250,AF94))</f>
        <v/>
      </c>
      <c r="AI94" s="51" t="str">
        <f aca="false">IF(AF94="","",INDEX('REGISTRE ELEVES'!$E$10:$E$250,AF94))</f>
        <v/>
      </c>
      <c r="AJ94" s="51" t="str">
        <f aca="false">IF(AG94="","",IFERROR(CHOOSE($C$9,INDEX('NOTES CP'!$P$10:$P$250,MATCH(AG94,'NOTES CP'!$B$10:$B$250,0)),INDEX('NOTES CP'!$Z$10:$Z$250,MATCH(AG94,'NOTES CP'!$B$10:$B$250,0)),INDEX('NOTES CP'!$AJ$10:$AJ$250,MATCH(AG94,'NOTES CP'!$B$10:$B$250,0)),INDEX('NOTES CP'!$AT$10:$AT$250,MATCH(AG94,'NOTES CP'!$B$10:$B$250,0))),""))</f>
        <v/>
      </c>
      <c r="AK94" s="51" t="str">
        <f aca="false">IF(ISNUMBER(AJ94),AJ94+(1000-54)/1000000,"")</f>
        <v/>
      </c>
      <c r="AL94" s="51" t="str">
        <f aca="false">IF(AG94="","",IFERROR(CHOOSE($C$9,INDEX('NOTES CP'!$G$10:$G$250,MATCH(AG94,'NOTES CP'!$B$10:$B$250,0)),INDEX('NOTES CP'!$Q$10:$Q$250,MATCH(AG94,'NOTES CP'!$B$10:$B$250,0)),INDEX('NOTES CP'!$AA$10:$AA$250,MATCH(AG94,'NOTES CP'!$B$10:$B$250,0)),INDEX('NOTES CP'!$AK$10:$AK$250,MATCH(AG94,'NOTES CP'!$B$10:$B$250,0))),""))</f>
        <v/>
      </c>
      <c r="AM94" s="51" t="str">
        <f aca="false">IFERROR(MATCH("CE1-54",'REGISTRE ELEVES'!$AG$10:$AG$250,0),"")</f>
        <v/>
      </c>
      <c r="AN94" s="51" t="str">
        <f aca="false">IF(AM94="","",INDEX('REGISTRE ELEVES'!$B$10:$B$250,AM94))</f>
        <v/>
      </c>
      <c r="AO94" s="51" t="str">
        <f aca="false">IF(AM94="","",INDEX('REGISTRE ELEVES'!$D$10:$D$250,AM94))</f>
        <v/>
      </c>
      <c r="AP94" s="51" t="str">
        <f aca="false">IF(AM94="","",INDEX('REGISTRE ELEVES'!$E$10:$E$250,AM94))</f>
        <v/>
      </c>
      <c r="AQ94" s="51" t="str">
        <f aca="false">IF(AN94="","",IFERROR(CHOOSE($C$9,INDEX('NOTES CE1'!$M$10:$M$250,MATCH(AN94,'NOTES CE1'!$B$10:$B$250,0)),INDEX('NOTES CE1'!$T$10:$T$250,MATCH(AN94,'NOTES CE1'!$B$10:$B$250,0)),INDEX('NOTES CE1'!$AA$10:$AA$250,MATCH(AN94,'NOTES CE1'!$B$10:$B$250,0)),INDEX('NOTES CE1'!$AH$10:$AH$250,MATCH(AN94,'NOTES CE1'!$B$10:$B$250,0))),""))</f>
        <v/>
      </c>
      <c r="AR94" s="51" t="str">
        <f aca="false">IF(ISNUMBER(AQ94),AQ94+(1000-54)/1000000,"")</f>
        <v/>
      </c>
      <c r="AS94" s="51" t="str">
        <f aca="false">IF(AN94="","",IFERROR(CHOOSE($C$9,INDEX('NOTES CE1'!$G$10:$G$250,MATCH(AN94,'NOTES CE1'!$B$10:$B$250,0)),INDEX('NOTES CE1'!$N$10:$N$250,MATCH(AN94,'NOTES CE1'!$B$10:$B$250,0)),INDEX('NOTES CE1'!$U$10:$U$250,MATCH(AN94,'NOTES CE1'!$B$10:$B$250,0)),INDEX('NOTES CE1'!$AB$10:$AB$250,MATCH(AN94,'NOTES CE1'!$B$10:$B$250,0))),""))</f>
        <v/>
      </c>
      <c r="AT94" s="51" t="str">
        <f aca="false">IFERROR(MATCH("CE2-54",'REGISTRE ELEVES'!$AG$10:$AG$250,0),"")</f>
        <v/>
      </c>
      <c r="AU94" s="51" t="str">
        <f aca="false">IF(AT94="","",INDEX('REGISTRE ELEVES'!$B$10:$B$250,AT94))</f>
        <v/>
      </c>
      <c r="AV94" s="51" t="str">
        <f aca="false">IF(AT94="","",INDEX('REGISTRE ELEVES'!$D$10:$D$250,AT94))</f>
        <v/>
      </c>
      <c r="AW94" s="51" t="str">
        <f aca="false">IF(AT94="","",INDEX('REGISTRE ELEVES'!$E$10:$E$250,AT94))</f>
        <v/>
      </c>
      <c r="AX94" s="51" t="str">
        <f aca="false">IF(AU94="","",IFERROR(CHOOSE($C$9,INDEX('NOTES CE2-CM1'!$M$10:$M$250,MATCH(AU94,'NOTES CE2-CM1'!$B$10:$B$250,0)),INDEX('NOTES CE2-CM1'!$T$10:$T$250,MATCH(AU94,'NOTES CE2-CM1'!$B$10:$B$250,0)),INDEX('NOTES CE2-CM1'!$AA$10:$AA$250,MATCH(AU94,'NOTES CE2-CM1'!$B$10:$B$250,0)),INDEX('NOTES CE2-CM1'!$AH$10:$AH$250,MATCH(AU94,'NOTES CE2-CM1'!$B$10:$B$250,0))),""))</f>
        <v/>
      </c>
      <c r="AY94" s="51" t="str">
        <f aca="false">IF(ISNUMBER(AX94),AX94+(1000-54)/1000000,"")</f>
        <v/>
      </c>
      <c r="AZ94" s="51" t="str">
        <f aca="false">IF(AU94="","",IFERROR(CHOOSE($C$9,INDEX('NOTES CE2-CM1'!$G$10:$G$250,MATCH(AU94,'NOTES CE2-CM1'!$B$10:$B$250,0)),INDEX('NOTES CE2-CM1'!$N$10:$N$250,MATCH(AU94,'NOTES CE2-CM1'!$B$10:$B$250,0)),INDEX('NOTES CE2-CM1'!$U$10:$U$250,MATCH(AU94,'NOTES CE2-CM1'!$B$10:$B$250,0)),INDEX('NOTES CE2-CM1'!$AB$10:$AB$250,MATCH(AU94,'NOTES CE2-CM1'!$B$10:$B$250,0))),""))</f>
        <v/>
      </c>
      <c r="BA94" s="51" t="str">
        <f aca="false">IFERROR(MATCH("CM1-54",'REGISTRE ELEVES'!$AG$10:$AG$250,0),"")</f>
        <v/>
      </c>
      <c r="BB94" s="51" t="str">
        <f aca="false">IF(BA94="","",INDEX('REGISTRE ELEVES'!$B$10:$B$250,BA94))</f>
        <v/>
      </c>
      <c r="BC94" s="51" t="str">
        <f aca="false">IF(BA94="","",INDEX('REGISTRE ELEVES'!$D$10:$D$250,BA94))</f>
        <v/>
      </c>
      <c r="BD94" s="51" t="str">
        <f aca="false">IF(BA94="","",INDEX('REGISTRE ELEVES'!$E$10:$E$250,BA94))</f>
        <v/>
      </c>
      <c r="BE94" s="51" t="str">
        <f aca="false">IF(BB94="","",IFERROR(CHOOSE($C$9,INDEX('NOTES CE2-CM1'!$M$10:$M$250,MATCH(BB94,'NOTES CE2-CM1'!$B$10:$B$250,0)),INDEX('NOTES CE2-CM1'!$T$10:$T$250,MATCH(BB94,'NOTES CE2-CM1'!$B$10:$B$250,0)),INDEX('NOTES CE2-CM1'!$AA$10:$AA$250,MATCH(BB94,'NOTES CE2-CM1'!$B$10:$B$250,0)),INDEX('NOTES CE2-CM1'!$AH$10:$AH$250,MATCH(BB94,'NOTES CE2-CM1'!$B$10:$B$250,0))),""))</f>
        <v/>
      </c>
      <c r="BF94" s="51" t="str">
        <f aca="false">IF(ISNUMBER(BE94),BE94+(1000-54)/1000000,"")</f>
        <v/>
      </c>
      <c r="BG94" s="51" t="str">
        <f aca="false">IF(BB94="","",IFERROR(CHOOSE($C$9,INDEX('NOTES CE2-CM1'!$G$10:$G$250,MATCH(BB94,'NOTES CE2-CM1'!$B$10:$B$250,0)),INDEX('NOTES CE2-CM1'!$N$10:$N$250,MATCH(BB94,'NOTES CE2-CM1'!$B$10:$B$250,0)),INDEX('NOTES CE2-CM1'!$U$10:$U$250,MATCH(BB94,'NOTES CE2-CM1'!$B$10:$B$250,0)),INDEX('NOTES CE2-CM1'!$AB$10:$AB$250,MATCH(BB94,'NOTES CE2-CM1'!$B$10:$B$250,0))),""))</f>
        <v/>
      </c>
      <c r="BH94" s="51" t="str">
        <f aca="false">IFERROR(MATCH("CM2-54",'REGISTRE ELEVES'!$AG$10:$AG$250,0),"")</f>
        <v/>
      </c>
      <c r="BI94" s="51" t="str">
        <f aca="false">IF(BH94="","",INDEX('REGISTRE ELEVES'!$B$10:$B$250,BH94))</f>
        <v/>
      </c>
      <c r="BJ94" s="51" t="str">
        <f aca="false">IF(BH94="","",INDEX('REGISTRE ELEVES'!$D$10:$D$250,BH94))</f>
        <v/>
      </c>
      <c r="BK94" s="51" t="str">
        <f aca="false">IF(BH94="","",INDEX('REGISTRE ELEVES'!$E$10:$E$250,BH94))</f>
        <v/>
      </c>
      <c r="BL94" s="51" t="str">
        <f aca="false">IF(BI94="","",IFERROR(CHOOSE($C$9,INDEX('NOTES CM2'!$M$10:$M$250,MATCH(BI94,'NOTES CM2'!$B$10:$B$250,0)),INDEX('NOTES CM2'!$T$10:$T$250,MATCH(BI94,'NOTES CM2'!$B$10:$B$250,0)),INDEX('NOTES CM2'!$AB$10:$AB$250,MATCH(BI94,'NOTES CM2'!$B$10:$B$250,0)),INDEX('NOTES CM2'!$AJ$10:$AJ$250,MATCH(BI94,'NOTES CM2'!$B$10:$B$250,0))),""))</f>
        <v/>
      </c>
      <c r="BM94" s="51" t="str">
        <f aca="false">IF(ISNUMBER(BL94),BL94+(1000-54)/1000000,"")</f>
        <v/>
      </c>
      <c r="BN94" s="51" t="str">
        <f aca="false">IF(BI94="","",IFERROR(CHOOSE($C$9,INDEX('NOTES CM2'!$G$10:$G$250,MATCH(BI94,'NOTES CM2'!$B$10:$B$250,0)),INDEX('NOTES CM2'!$N$10:$N$250,MATCH(BI94,'NOTES CM2'!$B$10:$B$250,0)),INDEX('NOTES CM2'!$U$10:$U$250,MATCH(BI94,'NOTES CM2'!$B$10:$B$250,0)),INDEX('NOTES CM2'!$AC$10:$AC$250,MATCH(BI94,'NOTES CM2'!$B$10:$B$250,0))),""))</f>
        <v/>
      </c>
    </row>
    <row r="95" customFormat="false" ht="15" hidden="false" customHeight="false" outlineLevel="0" collapsed="false">
      <c r="Y95" s="51" t="str">
        <f aca="false">IFERROR(MATCH("CP1-55",'REGISTRE ELEVES'!$AG$10:$AG$250,0),"")</f>
        <v/>
      </c>
      <c r="Z95" s="51" t="str">
        <f aca="false">IF(Y95="","",INDEX('REGISTRE ELEVES'!$B$10:$B$250,Y95))</f>
        <v/>
      </c>
      <c r="AA95" s="51" t="str">
        <f aca="false">IF(Y95="","",INDEX('REGISTRE ELEVES'!$D$10:$D$250,Y95))</f>
        <v/>
      </c>
      <c r="AB95" s="51" t="str">
        <f aca="false">IF(Y95="","",INDEX('REGISTRE ELEVES'!$E$10:$E$250,Y95))</f>
        <v/>
      </c>
      <c r="AC95" s="51" t="str">
        <f aca="false">IF(Z95="","",IFERROR(CHOOSE($C$9,INDEX('NOTES CP'!$P$10:$P$250,MATCH(Z95,'NOTES CP'!$B$10:$B$250,0)),INDEX('NOTES CP'!$Z$10:$Z$250,MATCH(Z95,'NOTES CP'!$B$10:$B$250,0)),INDEX('NOTES CP'!$AJ$10:$AJ$250,MATCH(Z95,'NOTES CP'!$B$10:$B$250,0)),INDEX('NOTES CP'!$AT$10:$AT$250,MATCH(Z95,'NOTES CP'!$B$10:$B$250,0))),""))</f>
        <v/>
      </c>
      <c r="AD95" s="51" t="str">
        <f aca="false">IF(ISNUMBER(AC95),AC95+(1000-55)/1000000,"")</f>
        <v/>
      </c>
      <c r="AE95" s="51" t="str">
        <f aca="false">IF(Z95="","",IFERROR(CHOOSE($C$9,INDEX('NOTES CP'!$G$10:$G$250,MATCH(Z95,'NOTES CP'!$B$10:$B$250,0)),INDEX('NOTES CP'!$Q$10:$Q$250,MATCH(Z95,'NOTES CP'!$B$10:$B$250,0)),INDEX('NOTES CP'!$AA$10:$AA$250,MATCH(Z95,'NOTES CP'!$B$10:$B$250,0)),INDEX('NOTES CP'!$AK$10:$AK$250,MATCH(Z95,'NOTES CP'!$B$10:$B$250,0))),""))</f>
        <v/>
      </c>
      <c r="AF95" s="51" t="str">
        <f aca="false">IFERROR(MATCH("CP2-55",'REGISTRE ELEVES'!$AG$10:$AG$250,0),"")</f>
        <v/>
      </c>
      <c r="AG95" s="51" t="str">
        <f aca="false">IF(AF95="","",INDEX('REGISTRE ELEVES'!$B$10:$B$250,AF95))</f>
        <v/>
      </c>
      <c r="AH95" s="51" t="str">
        <f aca="false">IF(AF95="","",INDEX('REGISTRE ELEVES'!$D$10:$D$250,AF95))</f>
        <v/>
      </c>
      <c r="AI95" s="51" t="str">
        <f aca="false">IF(AF95="","",INDEX('REGISTRE ELEVES'!$E$10:$E$250,AF95))</f>
        <v/>
      </c>
      <c r="AJ95" s="51" t="str">
        <f aca="false">IF(AG95="","",IFERROR(CHOOSE($C$9,INDEX('NOTES CP'!$P$10:$P$250,MATCH(AG95,'NOTES CP'!$B$10:$B$250,0)),INDEX('NOTES CP'!$Z$10:$Z$250,MATCH(AG95,'NOTES CP'!$B$10:$B$250,0)),INDEX('NOTES CP'!$AJ$10:$AJ$250,MATCH(AG95,'NOTES CP'!$B$10:$B$250,0)),INDEX('NOTES CP'!$AT$10:$AT$250,MATCH(AG95,'NOTES CP'!$B$10:$B$250,0))),""))</f>
        <v/>
      </c>
      <c r="AK95" s="51" t="str">
        <f aca="false">IF(ISNUMBER(AJ95),AJ95+(1000-55)/1000000,"")</f>
        <v/>
      </c>
      <c r="AL95" s="51" t="str">
        <f aca="false">IF(AG95="","",IFERROR(CHOOSE($C$9,INDEX('NOTES CP'!$G$10:$G$250,MATCH(AG95,'NOTES CP'!$B$10:$B$250,0)),INDEX('NOTES CP'!$Q$10:$Q$250,MATCH(AG95,'NOTES CP'!$B$10:$B$250,0)),INDEX('NOTES CP'!$AA$10:$AA$250,MATCH(AG95,'NOTES CP'!$B$10:$B$250,0)),INDEX('NOTES CP'!$AK$10:$AK$250,MATCH(AG95,'NOTES CP'!$B$10:$B$250,0))),""))</f>
        <v/>
      </c>
      <c r="AM95" s="51" t="str">
        <f aca="false">IFERROR(MATCH("CE1-55",'REGISTRE ELEVES'!$AG$10:$AG$250,0),"")</f>
        <v/>
      </c>
      <c r="AN95" s="51" t="str">
        <f aca="false">IF(AM95="","",INDEX('REGISTRE ELEVES'!$B$10:$B$250,AM95))</f>
        <v/>
      </c>
      <c r="AO95" s="51" t="str">
        <f aca="false">IF(AM95="","",INDEX('REGISTRE ELEVES'!$D$10:$D$250,AM95))</f>
        <v/>
      </c>
      <c r="AP95" s="51" t="str">
        <f aca="false">IF(AM95="","",INDEX('REGISTRE ELEVES'!$E$10:$E$250,AM95))</f>
        <v/>
      </c>
      <c r="AQ95" s="51" t="str">
        <f aca="false">IF(AN95="","",IFERROR(CHOOSE($C$9,INDEX('NOTES CE1'!$M$10:$M$250,MATCH(AN95,'NOTES CE1'!$B$10:$B$250,0)),INDEX('NOTES CE1'!$T$10:$T$250,MATCH(AN95,'NOTES CE1'!$B$10:$B$250,0)),INDEX('NOTES CE1'!$AA$10:$AA$250,MATCH(AN95,'NOTES CE1'!$B$10:$B$250,0)),INDEX('NOTES CE1'!$AH$10:$AH$250,MATCH(AN95,'NOTES CE1'!$B$10:$B$250,0))),""))</f>
        <v/>
      </c>
      <c r="AR95" s="51" t="str">
        <f aca="false">IF(ISNUMBER(AQ95),AQ95+(1000-55)/1000000,"")</f>
        <v/>
      </c>
      <c r="AS95" s="51" t="str">
        <f aca="false">IF(AN95="","",IFERROR(CHOOSE($C$9,INDEX('NOTES CE1'!$G$10:$G$250,MATCH(AN95,'NOTES CE1'!$B$10:$B$250,0)),INDEX('NOTES CE1'!$N$10:$N$250,MATCH(AN95,'NOTES CE1'!$B$10:$B$250,0)),INDEX('NOTES CE1'!$U$10:$U$250,MATCH(AN95,'NOTES CE1'!$B$10:$B$250,0)),INDEX('NOTES CE1'!$AB$10:$AB$250,MATCH(AN95,'NOTES CE1'!$B$10:$B$250,0))),""))</f>
        <v/>
      </c>
      <c r="AT95" s="51" t="str">
        <f aca="false">IFERROR(MATCH("CE2-55",'REGISTRE ELEVES'!$AG$10:$AG$250,0),"")</f>
        <v/>
      </c>
      <c r="AU95" s="51" t="str">
        <f aca="false">IF(AT95="","",INDEX('REGISTRE ELEVES'!$B$10:$B$250,AT95))</f>
        <v/>
      </c>
      <c r="AV95" s="51" t="str">
        <f aca="false">IF(AT95="","",INDEX('REGISTRE ELEVES'!$D$10:$D$250,AT95))</f>
        <v/>
      </c>
      <c r="AW95" s="51" t="str">
        <f aca="false">IF(AT95="","",INDEX('REGISTRE ELEVES'!$E$10:$E$250,AT95))</f>
        <v/>
      </c>
      <c r="AX95" s="51" t="str">
        <f aca="false">IF(AU95="","",IFERROR(CHOOSE($C$9,INDEX('NOTES CE2-CM1'!$M$10:$M$250,MATCH(AU95,'NOTES CE2-CM1'!$B$10:$B$250,0)),INDEX('NOTES CE2-CM1'!$T$10:$T$250,MATCH(AU95,'NOTES CE2-CM1'!$B$10:$B$250,0)),INDEX('NOTES CE2-CM1'!$AA$10:$AA$250,MATCH(AU95,'NOTES CE2-CM1'!$B$10:$B$250,0)),INDEX('NOTES CE2-CM1'!$AH$10:$AH$250,MATCH(AU95,'NOTES CE2-CM1'!$B$10:$B$250,0))),""))</f>
        <v/>
      </c>
      <c r="AY95" s="51" t="str">
        <f aca="false">IF(ISNUMBER(AX95),AX95+(1000-55)/1000000,"")</f>
        <v/>
      </c>
      <c r="AZ95" s="51" t="str">
        <f aca="false">IF(AU95="","",IFERROR(CHOOSE($C$9,INDEX('NOTES CE2-CM1'!$G$10:$G$250,MATCH(AU95,'NOTES CE2-CM1'!$B$10:$B$250,0)),INDEX('NOTES CE2-CM1'!$N$10:$N$250,MATCH(AU95,'NOTES CE2-CM1'!$B$10:$B$250,0)),INDEX('NOTES CE2-CM1'!$U$10:$U$250,MATCH(AU95,'NOTES CE2-CM1'!$B$10:$B$250,0)),INDEX('NOTES CE2-CM1'!$AB$10:$AB$250,MATCH(AU95,'NOTES CE2-CM1'!$B$10:$B$250,0))),""))</f>
        <v/>
      </c>
      <c r="BA95" s="51" t="str">
        <f aca="false">IFERROR(MATCH("CM1-55",'REGISTRE ELEVES'!$AG$10:$AG$250,0),"")</f>
        <v/>
      </c>
      <c r="BB95" s="51" t="str">
        <f aca="false">IF(BA95="","",INDEX('REGISTRE ELEVES'!$B$10:$B$250,BA95))</f>
        <v/>
      </c>
      <c r="BC95" s="51" t="str">
        <f aca="false">IF(BA95="","",INDEX('REGISTRE ELEVES'!$D$10:$D$250,BA95))</f>
        <v/>
      </c>
      <c r="BD95" s="51" t="str">
        <f aca="false">IF(BA95="","",INDEX('REGISTRE ELEVES'!$E$10:$E$250,BA95))</f>
        <v/>
      </c>
      <c r="BE95" s="51" t="str">
        <f aca="false">IF(BB95="","",IFERROR(CHOOSE($C$9,INDEX('NOTES CE2-CM1'!$M$10:$M$250,MATCH(BB95,'NOTES CE2-CM1'!$B$10:$B$250,0)),INDEX('NOTES CE2-CM1'!$T$10:$T$250,MATCH(BB95,'NOTES CE2-CM1'!$B$10:$B$250,0)),INDEX('NOTES CE2-CM1'!$AA$10:$AA$250,MATCH(BB95,'NOTES CE2-CM1'!$B$10:$B$250,0)),INDEX('NOTES CE2-CM1'!$AH$10:$AH$250,MATCH(BB95,'NOTES CE2-CM1'!$B$10:$B$250,0))),""))</f>
        <v/>
      </c>
      <c r="BF95" s="51" t="str">
        <f aca="false">IF(ISNUMBER(BE95),BE95+(1000-55)/1000000,"")</f>
        <v/>
      </c>
      <c r="BG95" s="51" t="str">
        <f aca="false">IF(BB95="","",IFERROR(CHOOSE($C$9,INDEX('NOTES CE2-CM1'!$G$10:$G$250,MATCH(BB95,'NOTES CE2-CM1'!$B$10:$B$250,0)),INDEX('NOTES CE2-CM1'!$N$10:$N$250,MATCH(BB95,'NOTES CE2-CM1'!$B$10:$B$250,0)),INDEX('NOTES CE2-CM1'!$U$10:$U$250,MATCH(BB95,'NOTES CE2-CM1'!$B$10:$B$250,0)),INDEX('NOTES CE2-CM1'!$AB$10:$AB$250,MATCH(BB95,'NOTES CE2-CM1'!$B$10:$B$250,0))),""))</f>
        <v/>
      </c>
      <c r="BH95" s="51" t="str">
        <f aca="false">IFERROR(MATCH("CM2-55",'REGISTRE ELEVES'!$AG$10:$AG$250,0),"")</f>
        <v/>
      </c>
      <c r="BI95" s="51" t="str">
        <f aca="false">IF(BH95="","",INDEX('REGISTRE ELEVES'!$B$10:$B$250,BH95))</f>
        <v/>
      </c>
      <c r="BJ95" s="51" t="str">
        <f aca="false">IF(BH95="","",INDEX('REGISTRE ELEVES'!$D$10:$D$250,BH95))</f>
        <v/>
      </c>
      <c r="BK95" s="51" t="str">
        <f aca="false">IF(BH95="","",INDEX('REGISTRE ELEVES'!$E$10:$E$250,BH95))</f>
        <v/>
      </c>
      <c r="BL95" s="51" t="str">
        <f aca="false">IF(BI95="","",IFERROR(CHOOSE($C$9,INDEX('NOTES CM2'!$M$10:$M$250,MATCH(BI95,'NOTES CM2'!$B$10:$B$250,0)),INDEX('NOTES CM2'!$T$10:$T$250,MATCH(BI95,'NOTES CM2'!$B$10:$B$250,0)),INDEX('NOTES CM2'!$AB$10:$AB$250,MATCH(BI95,'NOTES CM2'!$B$10:$B$250,0)),INDEX('NOTES CM2'!$AJ$10:$AJ$250,MATCH(BI95,'NOTES CM2'!$B$10:$B$250,0))),""))</f>
        <v/>
      </c>
      <c r="BM95" s="51" t="str">
        <f aca="false">IF(ISNUMBER(BL95),BL95+(1000-55)/1000000,"")</f>
        <v/>
      </c>
      <c r="BN95" s="51" t="str">
        <f aca="false">IF(BI95="","",IFERROR(CHOOSE($C$9,INDEX('NOTES CM2'!$G$10:$G$250,MATCH(BI95,'NOTES CM2'!$B$10:$B$250,0)),INDEX('NOTES CM2'!$N$10:$N$250,MATCH(BI95,'NOTES CM2'!$B$10:$B$250,0)),INDEX('NOTES CM2'!$U$10:$U$250,MATCH(BI95,'NOTES CM2'!$B$10:$B$250,0)),INDEX('NOTES CM2'!$AC$10:$AC$250,MATCH(BI95,'NOTES CM2'!$B$10:$B$250,0))),""))</f>
        <v/>
      </c>
    </row>
    <row r="96" customFormat="false" ht="15" hidden="false" customHeight="false" outlineLevel="0" collapsed="false">
      <c r="Y96" s="51" t="str">
        <f aca="false">IFERROR(MATCH("CP1-56",'REGISTRE ELEVES'!$AG$10:$AG$250,0),"")</f>
        <v/>
      </c>
      <c r="Z96" s="51" t="str">
        <f aca="false">IF(Y96="","",INDEX('REGISTRE ELEVES'!$B$10:$B$250,Y96))</f>
        <v/>
      </c>
      <c r="AA96" s="51" t="str">
        <f aca="false">IF(Y96="","",INDEX('REGISTRE ELEVES'!$D$10:$D$250,Y96))</f>
        <v/>
      </c>
      <c r="AB96" s="51" t="str">
        <f aca="false">IF(Y96="","",INDEX('REGISTRE ELEVES'!$E$10:$E$250,Y96))</f>
        <v/>
      </c>
      <c r="AC96" s="51" t="str">
        <f aca="false">IF(Z96="","",IFERROR(CHOOSE($C$9,INDEX('NOTES CP'!$P$10:$P$250,MATCH(Z96,'NOTES CP'!$B$10:$B$250,0)),INDEX('NOTES CP'!$Z$10:$Z$250,MATCH(Z96,'NOTES CP'!$B$10:$B$250,0)),INDEX('NOTES CP'!$AJ$10:$AJ$250,MATCH(Z96,'NOTES CP'!$B$10:$B$250,0)),INDEX('NOTES CP'!$AT$10:$AT$250,MATCH(Z96,'NOTES CP'!$B$10:$B$250,0))),""))</f>
        <v/>
      </c>
      <c r="AD96" s="51" t="str">
        <f aca="false">IF(ISNUMBER(AC96),AC96+(1000-56)/1000000,"")</f>
        <v/>
      </c>
      <c r="AE96" s="51" t="str">
        <f aca="false">IF(Z96="","",IFERROR(CHOOSE($C$9,INDEX('NOTES CP'!$G$10:$G$250,MATCH(Z96,'NOTES CP'!$B$10:$B$250,0)),INDEX('NOTES CP'!$Q$10:$Q$250,MATCH(Z96,'NOTES CP'!$B$10:$B$250,0)),INDEX('NOTES CP'!$AA$10:$AA$250,MATCH(Z96,'NOTES CP'!$B$10:$B$250,0)),INDEX('NOTES CP'!$AK$10:$AK$250,MATCH(Z96,'NOTES CP'!$B$10:$B$250,0))),""))</f>
        <v/>
      </c>
      <c r="AF96" s="51" t="str">
        <f aca="false">IFERROR(MATCH("CP2-56",'REGISTRE ELEVES'!$AG$10:$AG$250,0),"")</f>
        <v/>
      </c>
      <c r="AG96" s="51" t="str">
        <f aca="false">IF(AF96="","",INDEX('REGISTRE ELEVES'!$B$10:$B$250,AF96))</f>
        <v/>
      </c>
      <c r="AH96" s="51" t="str">
        <f aca="false">IF(AF96="","",INDEX('REGISTRE ELEVES'!$D$10:$D$250,AF96))</f>
        <v/>
      </c>
      <c r="AI96" s="51" t="str">
        <f aca="false">IF(AF96="","",INDEX('REGISTRE ELEVES'!$E$10:$E$250,AF96))</f>
        <v/>
      </c>
      <c r="AJ96" s="51" t="str">
        <f aca="false">IF(AG96="","",IFERROR(CHOOSE($C$9,INDEX('NOTES CP'!$P$10:$P$250,MATCH(AG96,'NOTES CP'!$B$10:$B$250,0)),INDEX('NOTES CP'!$Z$10:$Z$250,MATCH(AG96,'NOTES CP'!$B$10:$B$250,0)),INDEX('NOTES CP'!$AJ$10:$AJ$250,MATCH(AG96,'NOTES CP'!$B$10:$B$250,0)),INDEX('NOTES CP'!$AT$10:$AT$250,MATCH(AG96,'NOTES CP'!$B$10:$B$250,0))),""))</f>
        <v/>
      </c>
      <c r="AK96" s="51" t="str">
        <f aca="false">IF(ISNUMBER(AJ96),AJ96+(1000-56)/1000000,"")</f>
        <v/>
      </c>
      <c r="AL96" s="51" t="str">
        <f aca="false">IF(AG96="","",IFERROR(CHOOSE($C$9,INDEX('NOTES CP'!$G$10:$G$250,MATCH(AG96,'NOTES CP'!$B$10:$B$250,0)),INDEX('NOTES CP'!$Q$10:$Q$250,MATCH(AG96,'NOTES CP'!$B$10:$B$250,0)),INDEX('NOTES CP'!$AA$10:$AA$250,MATCH(AG96,'NOTES CP'!$B$10:$B$250,0)),INDEX('NOTES CP'!$AK$10:$AK$250,MATCH(AG96,'NOTES CP'!$B$10:$B$250,0))),""))</f>
        <v/>
      </c>
      <c r="AM96" s="51" t="str">
        <f aca="false">IFERROR(MATCH("CE1-56",'REGISTRE ELEVES'!$AG$10:$AG$250,0),"")</f>
        <v/>
      </c>
      <c r="AN96" s="51" t="str">
        <f aca="false">IF(AM96="","",INDEX('REGISTRE ELEVES'!$B$10:$B$250,AM96))</f>
        <v/>
      </c>
      <c r="AO96" s="51" t="str">
        <f aca="false">IF(AM96="","",INDEX('REGISTRE ELEVES'!$D$10:$D$250,AM96))</f>
        <v/>
      </c>
      <c r="AP96" s="51" t="str">
        <f aca="false">IF(AM96="","",INDEX('REGISTRE ELEVES'!$E$10:$E$250,AM96))</f>
        <v/>
      </c>
      <c r="AQ96" s="51" t="str">
        <f aca="false">IF(AN96="","",IFERROR(CHOOSE($C$9,INDEX('NOTES CE1'!$M$10:$M$250,MATCH(AN96,'NOTES CE1'!$B$10:$B$250,0)),INDEX('NOTES CE1'!$T$10:$T$250,MATCH(AN96,'NOTES CE1'!$B$10:$B$250,0)),INDEX('NOTES CE1'!$AA$10:$AA$250,MATCH(AN96,'NOTES CE1'!$B$10:$B$250,0)),INDEX('NOTES CE1'!$AH$10:$AH$250,MATCH(AN96,'NOTES CE1'!$B$10:$B$250,0))),""))</f>
        <v/>
      </c>
      <c r="AR96" s="51" t="str">
        <f aca="false">IF(ISNUMBER(AQ96),AQ96+(1000-56)/1000000,"")</f>
        <v/>
      </c>
      <c r="AS96" s="51" t="str">
        <f aca="false">IF(AN96="","",IFERROR(CHOOSE($C$9,INDEX('NOTES CE1'!$G$10:$G$250,MATCH(AN96,'NOTES CE1'!$B$10:$B$250,0)),INDEX('NOTES CE1'!$N$10:$N$250,MATCH(AN96,'NOTES CE1'!$B$10:$B$250,0)),INDEX('NOTES CE1'!$U$10:$U$250,MATCH(AN96,'NOTES CE1'!$B$10:$B$250,0)),INDEX('NOTES CE1'!$AB$10:$AB$250,MATCH(AN96,'NOTES CE1'!$B$10:$B$250,0))),""))</f>
        <v/>
      </c>
      <c r="AT96" s="51" t="str">
        <f aca="false">IFERROR(MATCH("CE2-56",'REGISTRE ELEVES'!$AG$10:$AG$250,0),"")</f>
        <v/>
      </c>
      <c r="AU96" s="51" t="str">
        <f aca="false">IF(AT96="","",INDEX('REGISTRE ELEVES'!$B$10:$B$250,AT96))</f>
        <v/>
      </c>
      <c r="AV96" s="51" t="str">
        <f aca="false">IF(AT96="","",INDEX('REGISTRE ELEVES'!$D$10:$D$250,AT96))</f>
        <v/>
      </c>
      <c r="AW96" s="51" t="str">
        <f aca="false">IF(AT96="","",INDEX('REGISTRE ELEVES'!$E$10:$E$250,AT96))</f>
        <v/>
      </c>
      <c r="AX96" s="51" t="str">
        <f aca="false">IF(AU96="","",IFERROR(CHOOSE($C$9,INDEX('NOTES CE2-CM1'!$M$10:$M$250,MATCH(AU96,'NOTES CE2-CM1'!$B$10:$B$250,0)),INDEX('NOTES CE2-CM1'!$T$10:$T$250,MATCH(AU96,'NOTES CE2-CM1'!$B$10:$B$250,0)),INDEX('NOTES CE2-CM1'!$AA$10:$AA$250,MATCH(AU96,'NOTES CE2-CM1'!$B$10:$B$250,0)),INDEX('NOTES CE2-CM1'!$AH$10:$AH$250,MATCH(AU96,'NOTES CE2-CM1'!$B$10:$B$250,0))),""))</f>
        <v/>
      </c>
      <c r="AY96" s="51" t="str">
        <f aca="false">IF(ISNUMBER(AX96),AX96+(1000-56)/1000000,"")</f>
        <v/>
      </c>
      <c r="AZ96" s="51" t="str">
        <f aca="false">IF(AU96="","",IFERROR(CHOOSE($C$9,INDEX('NOTES CE2-CM1'!$G$10:$G$250,MATCH(AU96,'NOTES CE2-CM1'!$B$10:$B$250,0)),INDEX('NOTES CE2-CM1'!$N$10:$N$250,MATCH(AU96,'NOTES CE2-CM1'!$B$10:$B$250,0)),INDEX('NOTES CE2-CM1'!$U$10:$U$250,MATCH(AU96,'NOTES CE2-CM1'!$B$10:$B$250,0)),INDEX('NOTES CE2-CM1'!$AB$10:$AB$250,MATCH(AU96,'NOTES CE2-CM1'!$B$10:$B$250,0))),""))</f>
        <v/>
      </c>
      <c r="BA96" s="51" t="str">
        <f aca="false">IFERROR(MATCH("CM1-56",'REGISTRE ELEVES'!$AG$10:$AG$250,0),"")</f>
        <v/>
      </c>
      <c r="BB96" s="51" t="str">
        <f aca="false">IF(BA96="","",INDEX('REGISTRE ELEVES'!$B$10:$B$250,BA96))</f>
        <v/>
      </c>
      <c r="BC96" s="51" t="str">
        <f aca="false">IF(BA96="","",INDEX('REGISTRE ELEVES'!$D$10:$D$250,BA96))</f>
        <v/>
      </c>
      <c r="BD96" s="51" t="str">
        <f aca="false">IF(BA96="","",INDEX('REGISTRE ELEVES'!$E$10:$E$250,BA96))</f>
        <v/>
      </c>
      <c r="BE96" s="51" t="str">
        <f aca="false">IF(BB96="","",IFERROR(CHOOSE($C$9,INDEX('NOTES CE2-CM1'!$M$10:$M$250,MATCH(BB96,'NOTES CE2-CM1'!$B$10:$B$250,0)),INDEX('NOTES CE2-CM1'!$T$10:$T$250,MATCH(BB96,'NOTES CE2-CM1'!$B$10:$B$250,0)),INDEX('NOTES CE2-CM1'!$AA$10:$AA$250,MATCH(BB96,'NOTES CE2-CM1'!$B$10:$B$250,0)),INDEX('NOTES CE2-CM1'!$AH$10:$AH$250,MATCH(BB96,'NOTES CE2-CM1'!$B$10:$B$250,0))),""))</f>
        <v/>
      </c>
      <c r="BF96" s="51" t="str">
        <f aca="false">IF(ISNUMBER(BE96),BE96+(1000-56)/1000000,"")</f>
        <v/>
      </c>
      <c r="BG96" s="51" t="str">
        <f aca="false">IF(BB96="","",IFERROR(CHOOSE($C$9,INDEX('NOTES CE2-CM1'!$G$10:$G$250,MATCH(BB96,'NOTES CE2-CM1'!$B$10:$B$250,0)),INDEX('NOTES CE2-CM1'!$N$10:$N$250,MATCH(BB96,'NOTES CE2-CM1'!$B$10:$B$250,0)),INDEX('NOTES CE2-CM1'!$U$10:$U$250,MATCH(BB96,'NOTES CE2-CM1'!$B$10:$B$250,0)),INDEX('NOTES CE2-CM1'!$AB$10:$AB$250,MATCH(BB96,'NOTES CE2-CM1'!$B$10:$B$250,0))),""))</f>
        <v/>
      </c>
      <c r="BH96" s="51" t="str">
        <f aca="false">IFERROR(MATCH("CM2-56",'REGISTRE ELEVES'!$AG$10:$AG$250,0),"")</f>
        <v/>
      </c>
      <c r="BI96" s="51" t="str">
        <f aca="false">IF(BH96="","",INDEX('REGISTRE ELEVES'!$B$10:$B$250,BH96))</f>
        <v/>
      </c>
      <c r="BJ96" s="51" t="str">
        <f aca="false">IF(BH96="","",INDEX('REGISTRE ELEVES'!$D$10:$D$250,BH96))</f>
        <v/>
      </c>
      <c r="BK96" s="51" t="str">
        <f aca="false">IF(BH96="","",INDEX('REGISTRE ELEVES'!$E$10:$E$250,BH96))</f>
        <v/>
      </c>
      <c r="BL96" s="51" t="str">
        <f aca="false">IF(BI96="","",IFERROR(CHOOSE($C$9,INDEX('NOTES CM2'!$M$10:$M$250,MATCH(BI96,'NOTES CM2'!$B$10:$B$250,0)),INDEX('NOTES CM2'!$T$10:$T$250,MATCH(BI96,'NOTES CM2'!$B$10:$B$250,0)),INDEX('NOTES CM2'!$AB$10:$AB$250,MATCH(BI96,'NOTES CM2'!$B$10:$B$250,0)),INDEX('NOTES CM2'!$AJ$10:$AJ$250,MATCH(BI96,'NOTES CM2'!$B$10:$B$250,0))),""))</f>
        <v/>
      </c>
      <c r="BM96" s="51" t="str">
        <f aca="false">IF(ISNUMBER(BL96),BL96+(1000-56)/1000000,"")</f>
        <v/>
      </c>
      <c r="BN96" s="51" t="str">
        <f aca="false">IF(BI96="","",IFERROR(CHOOSE($C$9,INDEX('NOTES CM2'!$G$10:$G$250,MATCH(BI96,'NOTES CM2'!$B$10:$B$250,0)),INDEX('NOTES CM2'!$N$10:$N$250,MATCH(BI96,'NOTES CM2'!$B$10:$B$250,0)),INDEX('NOTES CM2'!$U$10:$U$250,MATCH(BI96,'NOTES CM2'!$B$10:$B$250,0)),INDEX('NOTES CM2'!$AC$10:$AC$250,MATCH(BI96,'NOTES CM2'!$B$10:$B$250,0))),""))</f>
        <v/>
      </c>
    </row>
    <row r="97" customFormat="false" ht="15" hidden="false" customHeight="false" outlineLevel="0" collapsed="false">
      <c r="Y97" s="51" t="str">
        <f aca="false">IFERROR(MATCH("CP1-57",'REGISTRE ELEVES'!$AG$10:$AG$250,0),"")</f>
        <v/>
      </c>
      <c r="Z97" s="51" t="str">
        <f aca="false">IF(Y97="","",INDEX('REGISTRE ELEVES'!$B$10:$B$250,Y97))</f>
        <v/>
      </c>
      <c r="AA97" s="51" t="str">
        <f aca="false">IF(Y97="","",INDEX('REGISTRE ELEVES'!$D$10:$D$250,Y97))</f>
        <v/>
      </c>
      <c r="AB97" s="51" t="str">
        <f aca="false">IF(Y97="","",INDEX('REGISTRE ELEVES'!$E$10:$E$250,Y97))</f>
        <v/>
      </c>
      <c r="AC97" s="51" t="str">
        <f aca="false">IF(Z97="","",IFERROR(CHOOSE($C$9,INDEX('NOTES CP'!$P$10:$P$250,MATCH(Z97,'NOTES CP'!$B$10:$B$250,0)),INDEX('NOTES CP'!$Z$10:$Z$250,MATCH(Z97,'NOTES CP'!$B$10:$B$250,0)),INDEX('NOTES CP'!$AJ$10:$AJ$250,MATCH(Z97,'NOTES CP'!$B$10:$B$250,0)),INDEX('NOTES CP'!$AT$10:$AT$250,MATCH(Z97,'NOTES CP'!$B$10:$B$250,0))),""))</f>
        <v/>
      </c>
      <c r="AD97" s="51" t="str">
        <f aca="false">IF(ISNUMBER(AC97),AC97+(1000-57)/1000000,"")</f>
        <v/>
      </c>
      <c r="AE97" s="51" t="str">
        <f aca="false">IF(Z97="","",IFERROR(CHOOSE($C$9,INDEX('NOTES CP'!$G$10:$G$250,MATCH(Z97,'NOTES CP'!$B$10:$B$250,0)),INDEX('NOTES CP'!$Q$10:$Q$250,MATCH(Z97,'NOTES CP'!$B$10:$B$250,0)),INDEX('NOTES CP'!$AA$10:$AA$250,MATCH(Z97,'NOTES CP'!$B$10:$B$250,0)),INDEX('NOTES CP'!$AK$10:$AK$250,MATCH(Z97,'NOTES CP'!$B$10:$B$250,0))),""))</f>
        <v/>
      </c>
      <c r="AF97" s="51" t="str">
        <f aca="false">IFERROR(MATCH("CP2-57",'REGISTRE ELEVES'!$AG$10:$AG$250,0),"")</f>
        <v/>
      </c>
      <c r="AG97" s="51" t="str">
        <f aca="false">IF(AF97="","",INDEX('REGISTRE ELEVES'!$B$10:$B$250,AF97))</f>
        <v/>
      </c>
      <c r="AH97" s="51" t="str">
        <f aca="false">IF(AF97="","",INDEX('REGISTRE ELEVES'!$D$10:$D$250,AF97))</f>
        <v/>
      </c>
      <c r="AI97" s="51" t="str">
        <f aca="false">IF(AF97="","",INDEX('REGISTRE ELEVES'!$E$10:$E$250,AF97))</f>
        <v/>
      </c>
      <c r="AJ97" s="51" t="str">
        <f aca="false">IF(AG97="","",IFERROR(CHOOSE($C$9,INDEX('NOTES CP'!$P$10:$P$250,MATCH(AG97,'NOTES CP'!$B$10:$B$250,0)),INDEX('NOTES CP'!$Z$10:$Z$250,MATCH(AG97,'NOTES CP'!$B$10:$B$250,0)),INDEX('NOTES CP'!$AJ$10:$AJ$250,MATCH(AG97,'NOTES CP'!$B$10:$B$250,0)),INDEX('NOTES CP'!$AT$10:$AT$250,MATCH(AG97,'NOTES CP'!$B$10:$B$250,0))),""))</f>
        <v/>
      </c>
      <c r="AK97" s="51" t="str">
        <f aca="false">IF(ISNUMBER(AJ97),AJ97+(1000-57)/1000000,"")</f>
        <v/>
      </c>
      <c r="AL97" s="51" t="str">
        <f aca="false">IF(AG97="","",IFERROR(CHOOSE($C$9,INDEX('NOTES CP'!$G$10:$G$250,MATCH(AG97,'NOTES CP'!$B$10:$B$250,0)),INDEX('NOTES CP'!$Q$10:$Q$250,MATCH(AG97,'NOTES CP'!$B$10:$B$250,0)),INDEX('NOTES CP'!$AA$10:$AA$250,MATCH(AG97,'NOTES CP'!$B$10:$B$250,0)),INDEX('NOTES CP'!$AK$10:$AK$250,MATCH(AG97,'NOTES CP'!$B$10:$B$250,0))),""))</f>
        <v/>
      </c>
      <c r="AM97" s="51" t="str">
        <f aca="false">IFERROR(MATCH("CE1-57",'REGISTRE ELEVES'!$AG$10:$AG$250,0),"")</f>
        <v/>
      </c>
      <c r="AN97" s="51" t="str">
        <f aca="false">IF(AM97="","",INDEX('REGISTRE ELEVES'!$B$10:$B$250,AM97))</f>
        <v/>
      </c>
      <c r="AO97" s="51" t="str">
        <f aca="false">IF(AM97="","",INDEX('REGISTRE ELEVES'!$D$10:$D$250,AM97))</f>
        <v/>
      </c>
      <c r="AP97" s="51" t="str">
        <f aca="false">IF(AM97="","",INDEX('REGISTRE ELEVES'!$E$10:$E$250,AM97))</f>
        <v/>
      </c>
      <c r="AQ97" s="51" t="str">
        <f aca="false">IF(AN97="","",IFERROR(CHOOSE($C$9,INDEX('NOTES CE1'!$M$10:$M$250,MATCH(AN97,'NOTES CE1'!$B$10:$B$250,0)),INDEX('NOTES CE1'!$T$10:$T$250,MATCH(AN97,'NOTES CE1'!$B$10:$B$250,0)),INDEX('NOTES CE1'!$AA$10:$AA$250,MATCH(AN97,'NOTES CE1'!$B$10:$B$250,0)),INDEX('NOTES CE1'!$AH$10:$AH$250,MATCH(AN97,'NOTES CE1'!$B$10:$B$250,0))),""))</f>
        <v/>
      </c>
      <c r="AR97" s="51" t="str">
        <f aca="false">IF(ISNUMBER(AQ97),AQ97+(1000-57)/1000000,"")</f>
        <v/>
      </c>
      <c r="AS97" s="51" t="str">
        <f aca="false">IF(AN97="","",IFERROR(CHOOSE($C$9,INDEX('NOTES CE1'!$G$10:$G$250,MATCH(AN97,'NOTES CE1'!$B$10:$B$250,0)),INDEX('NOTES CE1'!$N$10:$N$250,MATCH(AN97,'NOTES CE1'!$B$10:$B$250,0)),INDEX('NOTES CE1'!$U$10:$U$250,MATCH(AN97,'NOTES CE1'!$B$10:$B$250,0)),INDEX('NOTES CE1'!$AB$10:$AB$250,MATCH(AN97,'NOTES CE1'!$B$10:$B$250,0))),""))</f>
        <v/>
      </c>
      <c r="AT97" s="51" t="str">
        <f aca="false">IFERROR(MATCH("CE2-57",'REGISTRE ELEVES'!$AG$10:$AG$250,0),"")</f>
        <v/>
      </c>
      <c r="AU97" s="51" t="str">
        <f aca="false">IF(AT97="","",INDEX('REGISTRE ELEVES'!$B$10:$B$250,AT97))</f>
        <v/>
      </c>
      <c r="AV97" s="51" t="str">
        <f aca="false">IF(AT97="","",INDEX('REGISTRE ELEVES'!$D$10:$D$250,AT97))</f>
        <v/>
      </c>
      <c r="AW97" s="51" t="str">
        <f aca="false">IF(AT97="","",INDEX('REGISTRE ELEVES'!$E$10:$E$250,AT97))</f>
        <v/>
      </c>
      <c r="AX97" s="51" t="str">
        <f aca="false">IF(AU97="","",IFERROR(CHOOSE($C$9,INDEX('NOTES CE2-CM1'!$M$10:$M$250,MATCH(AU97,'NOTES CE2-CM1'!$B$10:$B$250,0)),INDEX('NOTES CE2-CM1'!$T$10:$T$250,MATCH(AU97,'NOTES CE2-CM1'!$B$10:$B$250,0)),INDEX('NOTES CE2-CM1'!$AA$10:$AA$250,MATCH(AU97,'NOTES CE2-CM1'!$B$10:$B$250,0)),INDEX('NOTES CE2-CM1'!$AH$10:$AH$250,MATCH(AU97,'NOTES CE2-CM1'!$B$10:$B$250,0))),""))</f>
        <v/>
      </c>
      <c r="AY97" s="51" t="str">
        <f aca="false">IF(ISNUMBER(AX97),AX97+(1000-57)/1000000,"")</f>
        <v/>
      </c>
      <c r="AZ97" s="51" t="str">
        <f aca="false">IF(AU97="","",IFERROR(CHOOSE($C$9,INDEX('NOTES CE2-CM1'!$G$10:$G$250,MATCH(AU97,'NOTES CE2-CM1'!$B$10:$B$250,0)),INDEX('NOTES CE2-CM1'!$N$10:$N$250,MATCH(AU97,'NOTES CE2-CM1'!$B$10:$B$250,0)),INDEX('NOTES CE2-CM1'!$U$10:$U$250,MATCH(AU97,'NOTES CE2-CM1'!$B$10:$B$250,0)),INDEX('NOTES CE2-CM1'!$AB$10:$AB$250,MATCH(AU97,'NOTES CE2-CM1'!$B$10:$B$250,0))),""))</f>
        <v/>
      </c>
      <c r="BA97" s="51" t="str">
        <f aca="false">IFERROR(MATCH("CM1-57",'REGISTRE ELEVES'!$AG$10:$AG$250,0),"")</f>
        <v/>
      </c>
      <c r="BB97" s="51" t="str">
        <f aca="false">IF(BA97="","",INDEX('REGISTRE ELEVES'!$B$10:$B$250,BA97))</f>
        <v/>
      </c>
      <c r="BC97" s="51" t="str">
        <f aca="false">IF(BA97="","",INDEX('REGISTRE ELEVES'!$D$10:$D$250,BA97))</f>
        <v/>
      </c>
      <c r="BD97" s="51" t="str">
        <f aca="false">IF(BA97="","",INDEX('REGISTRE ELEVES'!$E$10:$E$250,BA97))</f>
        <v/>
      </c>
      <c r="BE97" s="51" t="str">
        <f aca="false">IF(BB97="","",IFERROR(CHOOSE($C$9,INDEX('NOTES CE2-CM1'!$M$10:$M$250,MATCH(BB97,'NOTES CE2-CM1'!$B$10:$B$250,0)),INDEX('NOTES CE2-CM1'!$T$10:$T$250,MATCH(BB97,'NOTES CE2-CM1'!$B$10:$B$250,0)),INDEX('NOTES CE2-CM1'!$AA$10:$AA$250,MATCH(BB97,'NOTES CE2-CM1'!$B$10:$B$250,0)),INDEX('NOTES CE2-CM1'!$AH$10:$AH$250,MATCH(BB97,'NOTES CE2-CM1'!$B$10:$B$250,0))),""))</f>
        <v/>
      </c>
      <c r="BF97" s="51" t="str">
        <f aca="false">IF(ISNUMBER(BE97),BE97+(1000-57)/1000000,"")</f>
        <v/>
      </c>
      <c r="BG97" s="51" t="str">
        <f aca="false">IF(BB97="","",IFERROR(CHOOSE($C$9,INDEX('NOTES CE2-CM1'!$G$10:$G$250,MATCH(BB97,'NOTES CE2-CM1'!$B$10:$B$250,0)),INDEX('NOTES CE2-CM1'!$N$10:$N$250,MATCH(BB97,'NOTES CE2-CM1'!$B$10:$B$250,0)),INDEX('NOTES CE2-CM1'!$U$10:$U$250,MATCH(BB97,'NOTES CE2-CM1'!$B$10:$B$250,0)),INDEX('NOTES CE2-CM1'!$AB$10:$AB$250,MATCH(BB97,'NOTES CE2-CM1'!$B$10:$B$250,0))),""))</f>
        <v/>
      </c>
      <c r="BH97" s="51" t="str">
        <f aca="false">IFERROR(MATCH("CM2-57",'REGISTRE ELEVES'!$AG$10:$AG$250,0),"")</f>
        <v/>
      </c>
      <c r="BI97" s="51" t="str">
        <f aca="false">IF(BH97="","",INDEX('REGISTRE ELEVES'!$B$10:$B$250,BH97))</f>
        <v/>
      </c>
      <c r="BJ97" s="51" t="str">
        <f aca="false">IF(BH97="","",INDEX('REGISTRE ELEVES'!$D$10:$D$250,BH97))</f>
        <v/>
      </c>
      <c r="BK97" s="51" t="str">
        <f aca="false">IF(BH97="","",INDEX('REGISTRE ELEVES'!$E$10:$E$250,BH97))</f>
        <v/>
      </c>
      <c r="BL97" s="51" t="str">
        <f aca="false">IF(BI97="","",IFERROR(CHOOSE($C$9,INDEX('NOTES CM2'!$M$10:$M$250,MATCH(BI97,'NOTES CM2'!$B$10:$B$250,0)),INDEX('NOTES CM2'!$T$10:$T$250,MATCH(BI97,'NOTES CM2'!$B$10:$B$250,0)),INDEX('NOTES CM2'!$AB$10:$AB$250,MATCH(BI97,'NOTES CM2'!$B$10:$B$250,0)),INDEX('NOTES CM2'!$AJ$10:$AJ$250,MATCH(BI97,'NOTES CM2'!$B$10:$B$250,0))),""))</f>
        <v/>
      </c>
      <c r="BM97" s="51" t="str">
        <f aca="false">IF(ISNUMBER(BL97),BL97+(1000-57)/1000000,"")</f>
        <v/>
      </c>
      <c r="BN97" s="51" t="str">
        <f aca="false">IF(BI97="","",IFERROR(CHOOSE($C$9,INDEX('NOTES CM2'!$G$10:$G$250,MATCH(BI97,'NOTES CM2'!$B$10:$B$250,0)),INDEX('NOTES CM2'!$N$10:$N$250,MATCH(BI97,'NOTES CM2'!$B$10:$B$250,0)),INDEX('NOTES CM2'!$U$10:$U$250,MATCH(BI97,'NOTES CM2'!$B$10:$B$250,0)),INDEX('NOTES CM2'!$AC$10:$AC$250,MATCH(BI97,'NOTES CM2'!$B$10:$B$250,0))),""))</f>
        <v/>
      </c>
    </row>
    <row r="98" customFormat="false" ht="15" hidden="false" customHeight="false" outlineLevel="0" collapsed="false">
      <c r="Y98" s="51" t="str">
        <f aca="false">IFERROR(MATCH("CP1-58",'REGISTRE ELEVES'!$AG$10:$AG$250,0),"")</f>
        <v/>
      </c>
      <c r="Z98" s="51" t="str">
        <f aca="false">IF(Y98="","",INDEX('REGISTRE ELEVES'!$B$10:$B$250,Y98))</f>
        <v/>
      </c>
      <c r="AA98" s="51" t="str">
        <f aca="false">IF(Y98="","",INDEX('REGISTRE ELEVES'!$D$10:$D$250,Y98))</f>
        <v/>
      </c>
      <c r="AB98" s="51" t="str">
        <f aca="false">IF(Y98="","",INDEX('REGISTRE ELEVES'!$E$10:$E$250,Y98))</f>
        <v/>
      </c>
      <c r="AC98" s="51" t="str">
        <f aca="false">IF(Z98="","",IFERROR(CHOOSE($C$9,INDEX('NOTES CP'!$P$10:$P$250,MATCH(Z98,'NOTES CP'!$B$10:$B$250,0)),INDEX('NOTES CP'!$Z$10:$Z$250,MATCH(Z98,'NOTES CP'!$B$10:$B$250,0)),INDEX('NOTES CP'!$AJ$10:$AJ$250,MATCH(Z98,'NOTES CP'!$B$10:$B$250,0)),INDEX('NOTES CP'!$AT$10:$AT$250,MATCH(Z98,'NOTES CP'!$B$10:$B$250,0))),""))</f>
        <v/>
      </c>
      <c r="AD98" s="51" t="str">
        <f aca="false">IF(ISNUMBER(AC98),AC98+(1000-58)/1000000,"")</f>
        <v/>
      </c>
      <c r="AE98" s="51" t="str">
        <f aca="false">IF(Z98="","",IFERROR(CHOOSE($C$9,INDEX('NOTES CP'!$G$10:$G$250,MATCH(Z98,'NOTES CP'!$B$10:$B$250,0)),INDEX('NOTES CP'!$Q$10:$Q$250,MATCH(Z98,'NOTES CP'!$B$10:$B$250,0)),INDEX('NOTES CP'!$AA$10:$AA$250,MATCH(Z98,'NOTES CP'!$B$10:$B$250,0)),INDEX('NOTES CP'!$AK$10:$AK$250,MATCH(Z98,'NOTES CP'!$B$10:$B$250,0))),""))</f>
        <v/>
      </c>
      <c r="AF98" s="51" t="str">
        <f aca="false">IFERROR(MATCH("CP2-58",'REGISTRE ELEVES'!$AG$10:$AG$250,0),"")</f>
        <v/>
      </c>
      <c r="AG98" s="51" t="str">
        <f aca="false">IF(AF98="","",INDEX('REGISTRE ELEVES'!$B$10:$B$250,AF98))</f>
        <v/>
      </c>
      <c r="AH98" s="51" t="str">
        <f aca="false">IF(AF98="","",INDEX('REGISTRE ELEVES'!$D$10:$D$250,AF98))</f>
        <v/>
      </c>
      <c r="AI98" s="51" t="str">
        <f aca="false">IF(AF98="","",INDEX('REGISTRE ELEVES'!$E$10:$E$250,AF98))</f>
        <v/>
      </c>
      <c r="AJ98" s="51" t="str">
        <f aca="false">IF(AG98="","",IFERROR(CHOOSE($C$9,INDEX('NOTES CP'!$P$10:$P$250,MATCH(AG98,'NOTES CP'!$B$10:$B$250,0)),INDEX('NOTES CP'!$Z$10:$Z$250,MATCH(AG98,'NOTES CP'!$B$10:$B$250,0)),INDEX('NOTES CP'!$AJ$10:$AJ$250,MATCH(AG98,'NOTES CP'!$B$10:$B$250,0)),INDEX('NOTES CP'!$AT$10:$AT$250,MATCH(AG98,'NOTES CP'!$B$10:$B$250,0))),""))</f>
        <v/>
      </c>
      <c r="AK98" s="51" t="str">
        <f aca="false">IF(ISNUMBER(AJ98),AJ98+(1000-58)/1000000,"")</f>
        <v/>
      </c>
      <c r="AL98" s="51" t="str">
        <f aca="false">IF(AG98="","",IFERROR(CHOOSE($C$9,INDEX('NOTES CP'!$G$10:$G$250,MATCH(AG98,'NOTES CP'!$B$10:$B$250,0)),INDEX('NOTES CP'!$Q$10:$Q$250,MATCH(AG98,'NOTES CP'!$B$10:$B$250,0)),INDEX('NOTES CP'!$AA$10:$AA$250,MATCH(AG98,'NOTES CP'!$B$10:$B$250,0)),INDEX('NOTES CP'!$AK$10:$AK$250,MATCH(AG98,'NOTES CP'!$B$10:$B$250,0))),""))</f>
        <v/>
      </c>
      <c r="AM98" s="51" t="str">
        <f aca="false">IFERROR(MATCH("CE1-58",'REGISTRE ELEVES'!$AG$10:$AG$250,0),"")</f>
        <v/>
      </c>
      <c r="AN98" s="51" t="str">
        <f aca="false">IF(AM98="","",INDEX('REGISTRE ELEVES'!$B$10:$B$250,AM98))</f>
        <v/>
      </c>
      <c r="AO98" s="51" t="str">
        <f aca="false">IF(AM98="","",INDEX('REGISTRE ELEVES'!$D$10:$D$250,AM98))</f>
        <v/>
      </c>
      <c r="AP98" s="51" t="str">
        <f aca="false">IF(AM98="","",INDEX('REGISTRE ELEVES'!$E$10:$E$250,AM98))</f>
        <v/>
      </c>
      <c r="AQ98" s="51" t="str">
        <f aca="false">IF(AN98="","",IFERROR(CHOOSE($C$9,INDEX('NOTES CE1'!$M$10:$M$250,MATCH(AN98,'NOTES CE1'!$B$10:$B$250,0)),INDEX('NOTES CE1'!$T$10:$T$250,MATCH(AN98,'NOTES CE1'!$B$10:$B$250,0)),INDEX('NOTES CE1'!$AA$10:$AA$250,MATCH(AN98,'NOTES CE1'!$B$10:$B$250,0)),INDEX('NOTES CE1'!$AH$10:$AH$250,MATCH(AN98,'NOTES CE1'!$B$10:$B$250,0))),""))</f>
        <v/>
      </c>
      <c r="AR98" s="51" t="str">
        <f aca="false">IF(ISNUMBER(AQ98),AQ98+(1000-58)/1000000,"")</f>
        <v/>
      </c>
      <c r="AS98" s="51" t="str">
        <f aca="false">IF(AN98="","",IFERROR(CHOOSE($C$9,INDEX('NOTES CE1'!$G$10:$G$250,MATCH(AN98,'NOTES CE1'!$B$10:$B$250,0)),INDEX('NOTES CE1'!$N$10:$N$250,MATCH(AN98,'NOTES CE1'!$B$10:$B$250,0)),INDEX('NOTES CE1'!$U$10:$U$250,MATCH(AN98,'NOTES CE1'!$B$10:$B$250,0)),INDEX('NOTES CE1'!$AB$10:$AB$250,MATCH(AN98,'NOTES CE1'!$B$10:$B$250,0))),""))</f>
        <v/>
      </c>
      <c r="AT98" s="51" t="str">
        <f aca="false">IFERROR(MATCH("CE2-58",'REGISTRE ELEVES'!$AG$10:$AG$250,0),"")</f>
        <v/>
      </c>
      <c r="AU98" s="51" t="str">
        <f aca="false">IF(AT98="","",INDEX('REGISTRE ELEVES'!$B$10:$B$250,AT98))</f>
        <v/>
      </c>
      <c r="AV98" s="51" t="str">
        <f aca="false">IF(AT98="","",INDEX('REGISTRE ELEVES'!$D$10:$D$250,AT98))</f>
        <v/>
      </c>
      <c r="AW98" s="51" t="str">
        <f aca="false">IF(AT98="","",INDEX('REGISTRE ELEVES'!$E$10:$E$250,AT98))</f>
        <v/>
      </c>
      <c r="AX98" s="51" t="str">
        <f aca="false">IF(AU98="","",IFERROR(CHOOSE($C$9,INDEX('NOTES CE2-CM1'!$M$10:$M$250,MATCH(AU98,'NOTES CE2-CM1'!$B$10:$B$250,0)),INDEX('NOTES CE2-CM1'!$T$10:$T$250,MATCH(AU98,'NOTES CE2-CM1'!$B$10:$B$250,0)),INDEX('NOTES CE2-CM1'!$AA$10:$AA$250,MATCH(AU98,'NOTES CE2-CM1'!$B$10:$B$250,0)),INDEX('NOTES CE2-CM1'!$AH$10:$AH$250,MATCH(AU98,'NOTES CE2-CM1'!$B$10:$B$250,0))),""))</f>
        <v/>
      </c>
      <c r="AY98" s="51" t="str">
        <f aca="false">IF(ISNUMBER(AX98),AX98+(1000-58)/1000000,"")</f>
        <v/>
      </c>
      <c r="AZ98" s="51" t="str">
        <f aca="false">IF(AU98="","",IFERROR(CHOOSE($C$9,INDEX('NOTES CE2-CM1'!$G$10:$G$250,MATCH(AU98,'NOTES CE2-CM1'!$B$10:$B$250,0)),INDEX('NOTES CE2-CM1'!$N$10:$N$250,MATCH(AU98,'NOTES CE2-CM1'!$B$10:$B$250,0)),INDEX('NOTES CE2-CM1'!$U$10:$U$250,MATCH(AU98,'NOTES CE2-CM1'!$B$10:$B$250,0)),INDEX('NOTES CE2-CM1'!$AB$10:$AB$250,MATCH(AU98,'NOTES CE2-CM1'!$B$10:$B$250,0))),""))</f>
        <v/>
      </c>
      <c r="BA98" s="51" t="str">
        <f aca="false">IFERROR(MATCH("CM1-58",'REGISTRE ELEVES'!$AG$10:$AG$250,0),"")</f>
        <v/>
      </c>
      <c r="BB98" s="51" t="str">
        <f aca="false">IF(BA98="","",INDEX('REGISTRE ELEVES'!$B$10:$B$250,BA98))</f>
        <v/>
      </c>
      <c r="BC98" s="51" t="str">
        <f aca="false">IF(BA98="","",INDEX('REGISTRE ELEVES'!$D$10:$D$250,BA98))</f>
        <v/>
      </c>
      <c r="BD98" s="51" t="str">
        <f aca="false">IF(BA98="","",INDEX('REGISTRE ELEVES'!$E$10:$E$250,BA98))</f>
        <v/>
      </c>
      <c r="BE98" s="51" t="str">
        <f aca="false">IF(BB98="","",IFERROR(CHOOSE($C$9,INDEX('NOTES CE2-CM1'!$M$10:$M$250,MATCH(BB98,'NOTES CE2-CM1'!$B$10:$B$250,0)),INDEX('NOTES CE2-CM1'!$T$10:$T$250,MATCH(BB98,'NOTES CE2-CM1'!$B$10:$B$250,0)),INDEX('NOTES CE2-CM1'!$AA$10:$AA$250,MATCH(BB98,'NOTES CE2-CM1'!$B$10:$B$250,0)),INDEX('NOTES CE2-CM1'!$AH$10:$AH$250,MATCH(BB98,'NOTES CE2-CM1'!$B$10:$B$250,0))),""))</f>
        <v/>
      </c>
      <c r="BF98" s="51" t="str">
        <f aca="false">IF(ISNUMBER(BE98),BE98+(1000-58)/1000000,"")</f>
        <v/>
      </c>
      <c r="BG98" s="51" t="str">
        <f aca="false">IF(BB98="","",IFERROR(CHOOSE($C$9,INDEX('NOTES CE2-CM1'!$G$10:$G$250,MATCH(BB98,'NOTES CE2-CM1'!$B$10:$B$250,0)),INDEX('NOTES CE2-CM1'!$N$10:$N$250,MATCH(BB98,'NOTES CE2-CM1'!$B$10:$B$250,0)),INDEX('NOTES CE2-CM1'!$U$10:$U$250,MATCH(BB98,'NOTES CE2-CM1'!$B$10:$B$250,0)),INDEX('NOTES CE2-CM1'!$AB$10:$AB$250,MATCH(BB98,'NOTES CE2-CM1'!$B$10:$B$250,0))),""))</f>
        <v/>
      </c>
      <c r="BH98" s="51" t="str">
        <f aca="false">IFERROR(MATCH("CM2-58",'REGISTRE ELEVES'!$AG$10:$AG$250,0),"")</f>
        <v/>
      </c>
      <c r="BI98" s="51" t="str">
        <f aca="false">IF(BH98="","",INDEX('REGISTRE ELEVES'!$B$10:$B$250,BH98))</f>
        <v/>
      </c>
      <c r="BJ98" s="51" t="str">
        <f aca="false">IF(BH98="","",INDEX('REGISTRE ELEVES'!$D$10:$D$250,BH98))</f>
        <v/>
      </c>
      <c r="BK98" s="51" t="str">
        <f aca="false">IF(BH98="","",INDEX('REGISTRE ELEVES'!$E$10:$E$250,BH98))</f>
        <v/>
      </c>
      <c r="BL98" s="51" t="str">
        <f aca="false">IF(BI98="","",IFERROR(CHOOSE($C$9,INDEX('NOTES CM2'!$M$10:$M$250,MATCH(BI98,'NOTES CM2'!$B$10:$B$250,0)),INDEX('NOTES CM2'!$T$10:$T$250,MATCH(BI98,'NOTES CM2'!$B$10:$B$250,0)),INDEX('NOTES CM2'!$AB$10:$AB$250,MATCH(BI98,'NOTES CM2'!$B$10:$B$250,0)),INDEX('NOTES CM2'!$AJ$10:$AJ$250,MATCH(BI98,'NOTES CM2'!$B$10:$B$250,0))),""))</f>
        <v/>
      </c>
      <c r="BM98" s="51" t="str">
        <f aca="false">IF(ISNUMBER(BL98),BL98+(1000-58)/1000000,"")</f>
        <v/>
      </c>
      <c r="BN98" s="51" t="str">
        <f aca="false">IF(BI98="","",IFERROR(CHOOSE($C$9,INDEX('NOTES CM2'!$G$10:$G$250,MATCH(BI98,'NOTES CM2'!$B$10:$B$250,0)),INDEX('NOTES CM2'!$N$10:$N$250,MATCH(BI98,'NOTES CM2'!$B$10:$B$250,0)),INDEX('NOTES CM2'!$U$10:$U$250,MATCH(BI98,'NOTES CM2'!$B$10:$B$250,0)),INDEX('NOTES CM2'!$AC$10:$AC$250,MATCH(BI98,'NOTES CM2'!$B$10:$B$250,0))),""))</f>
        <v/>
      </c>
    </row>
    <row r="99" customFormat="false" ht="15" hidden="false" customHeight="false" outlineLevel="0" collapsed="false">
      <c r="Y99" s="51" t="str">
        <f aca="false">IFERROR(MATCH("CP1-59",'REGISTRE ELEVES'!$AG$10:$AG$250,0),"")</f>
        <v/>
      </c>
      <c r="Z99" s="51" t="str">
        <f aca="false">IF(Y99="","",INDEX('REGISTRE ELEVES'!$B$10:$B$250,Y99))</f>
        <v/>
      </c>
      <c r="AA99" s="51" t="str">
        <f aca="false">IF(Y99="","",INDEX('REGISTRE ELEVES'!$D$10:$D$250,Y99))</f>
        <v/>
      </c>
      <c r="AB99" s="51" t="str">
        <f aca="false">IF(Y99="","",INDEX('REGISTRE ELEVES'!$E$10:$E$250,Y99))</f>
        <v/>
      </c>
      <c r="AC99" s="51" t="str">
        <f aca="false">IF(Z99="","",IFERROR(CHOOSE($C$9,INDEX('NOTES CP'!$P$10:$P$250,MATCH(Z99,'NOTES CP'!$B$10:$B$250,0)),INDEX('NOTES CP'!$Z$10:$Z$250,MATCH(Z99,'NOTES CP'!$B$10:$B$250,0)),INDEX('NOTES CP'!$AJ$10:$AJ$250,MATCH(Z99,'NOTES CP'!$B$10:$B$250,0)),INDEX('NOTES CP'!$AT$10:$AT$250,MATCH(Z99,'NOTES CP'!$B$10:$B$250,0))),""))</f>
        <v/>
      </c>
      <c r="AD99" s="51" t="str">
        <f aca="false">IF(ISNUMBER(AC99),AC99+(1000-59)/1000000,"")</f>
        <v/>
      </c>
      <c r="AE99" s="51" t="str">
        <f aca="false">IF(Z99="","",IFERROR(CHOOSE($C$9,INDEX('NOTES CP'!$G$10:$G$250,MATCH(Z99,'NOTES CP'!$B$10:$B$250,0)),INDEX('NOTES CP'!$Q$10:$Q$250,MATCH(Z99,'NOTES CP'!$B$10:$B$250,0)),INDEX('NOTES CP'!$AA$10:$AA$250,MATCH(Z99,'NOTES CP'!$B$10:$B$250,0)),INDEX('NOTES CP'!$AK$10:$AK$250,MATCH(Z99,'NOTES CP'!$B$10:$B$250,0))),""))</f>
        <v/>
      </c>
      <c r="AF99" s="51" t="str">
        <f aca="false">IFERROR(MATCH("CP2-59",'REGISTRE ELEVES'!$AG$10:$AG$250,0),"")</f>
        <v/>
      </c>
      <c r="AG99" s="51" t="str">
        <f aca="false">IF(AF99="","",INDEX('REGISTRE ELEVES'!$B$10:$B$250,AF99))</f>
        <v/>
      </c>
      <c r="AH99" s="51" t="str">
        <f aca="false">IF(AF99="","",INDEX('REGISTRE ELEVES'!$D$10:$D$250,AF99))</f>
        <v/>
      </c>
      <c r="AI99" s="51" t="str">
        <f aca="false">IF(AF99="","",INDEX('REGISTRE ELEVES'!$E$10:$E$250,AF99))</f>
        <v/>
      </c>
      <c r="AJ99" s="51" t="str">
        <f aca="false">IF(AG99="","",IFERROR(CHOOSE($C$9,INDEX('NOTES CP'!$P$10:$P$250,MATCH(AG99,'NOTES CP'!$B$10:$B$250,0)),INDEX('NOTES CP'!$Z$10:$Z$250,MATCH(AG99,'NOTES CP'!$B$10:$B$250,0)),INDEX('NOTES CP'!$AJ$10:$AJ$250,MATCH(AG99,'NOTES CP'!$B$10:$B$250,0)),INDEX('NOTES CP'!$AT$10:$AT$250,MATCH(AG99,'NOTES CP'!$B$10:$B$250,0))),""))</f>
        <v/>
      </c>
      <c r="AK99" s="51" t="str">
        <f aca="false">IF(ISNUMBER(AJ99),AJ99+(1000-59)/1000000,"")</f>
        <v/>
      </c>
      <c r="AL99" s="51" t="str">
        <f aca="false">IF(AG99="","",IFERROR(CHOOSE($C$9,INDEX('NOTES CP'!$G$10:$G$250,MATCH(AG99,'NOTES CP'!$B$10:$B$250,0)),INDEX('NOTES CP'!$Q$10:$Q$250,MATCH(AG99,'NOTES CP'!$B$10:$B$250,0)),INDEX('NOTES CP'!$AA$10:$AA$250,MATCH(AG99,'NOTES CP'!$B$10:$B$250,0)),INDEX('NOTES CP'!$AK$10:$AK$250,MATCH(AG99,'NOTES CP'!$B$10:$B$250,0))),""))</f>
        <v/>
      </c>
      <c r="AM99" s="51" t="str">
        <f aca="false">IFERROR(MATCH("CE1-59",'REGISTRE ELEVES'!$AG$10:$AG$250,0),"")</f>
        <v/>
      </c>
      <c r="AN99" s="51" t="str">
        <f aca="false">IF(AM99="","",INDEX('REGISTRE ELEVES'!$B$10:$B$250,AM99))</f>
        <v/>
      </c>
      <c r="AO99" s="51" t="str">
        <f aca="false">IF(AM99="","",INDEX('REGISTRE ELEVES'!$D$10:$D$250,AM99))</f>
        <v/>
      </c>
      <c r="AP99" s="51" t="str">
        <f aca="false">IF(AM99="","",INDEX('REGISTRE ELEVES'!$E$10:$E$250,AM99))</f>
        <v/>
      </c>
      <c r="AQ99" s="51" t="str">
        <f aca="false">IF(AN99="","",IFERROR(CHOOSE($C$9,INDEX('NOTES CE1'!$M$10:$M$250,MATCH(AN99,'NOTES CE1'!$B$10:$B$250,0)),INDEX('NOTES CE1'!$T$10:$T$250,MATCH(AN99,'NOTES CE1'!$B$10:$B$250,0)),INDEX('NOTES CE1'!$AA$10:$AA$250,MATCH(AN99,'NOTES CE1'!$B$10:$B$250,0)),INDEX('NOTES CE1'!$AH$10:$AH$250,MATCH(AN99,'NOTES CE1'!$B$10:$B$250,0))),""))</f>
        <v/>
      </c>
      <c r="AR99" s="51" t="str">
        <f aca="false">IF(ISNUMBER(AQ99),AQ99+(1000-59)/1000000,"")</f>
        <v/>
      </c>
      <c r="AS99" s="51" t="str">
        <f aca="false">IF(AN99="","",IFERROR(CHOOSE($C$9,INDEX('NOTES CE1'!$G$10:$G$250,MATCH(AN99,'NOTES CE1'!$B$10:$B$250,0)),INDEX('NOTES CE1'!$N$10:$N$250,MATCH(AN99,'NOTES CE1'!$B$10:$B$250,0)),INDEX('NOTES CE1'!$U$10:$U$250,MATCH(AN99,'NOTES CE1'!$B$10:$B$250,0)),INDEX('NOTES CE1'!$AB$10:$AB$250,MATCH(AN99,'NOTES CE1'!$B$10:$B$250,0))),""))</f>
        <v/>
      </c>
      <c r="AT99" s="51" t="str">
        <f aca="false">IFERROR(MATCH("CE2-59",'REGISTRE ELEVES'!$AG$10:$AG$250,0),"")</f>
        <v/>
      </c>
      <c r="AU99" s="51" t="str">
        <f aca="false">IF(AT99="","",INDEX('REGISTRE ELEVES'!$B$10:$B$250,AT99))</f>
        <v/>
      </c>
      <c r="AV99" s="51" t="str">
        <f aca="false">IF(AT99="","",INDEX('REGISTRE ELEVES'!$D$10:$D$250,AT99))</f>
        <v/>
      </c>
      <c r="AW99" s="51" t="str">
        <f aca="false">IF(AT99="","",INDEX('REGISTRE ELEVES'!$E$10:$E$250,AT99))</f>
        <v/>
      </c>
      <c r="AX99" s="51" t="str">
        <f aca="false">IF(AU99="","",IFERROR(CHOOSE($C$9,INDEX('NOTES CE2-CM1'!$M$10:$M$250,MATCH(AU99,'NOTES CE2-CM1'!$B$10:$B$250,0)),INDEX('NOTES CE2-CM1'!$T$10:$T$250,MATCH(AU99,'NOTES CE2-CM1'!$B$10:$B$250,0)),INDEX('NOTES CE2-CM1'!$AA$10:$AA$250,MATCH(AU99,'NOTES CE2-CM1'!$B$10:$B$250,0)),INDEX('NOTES CE2-CM1'!$AH$10:$AH$250,MATCH(AU99,'NOTES CE2-CM1'!$B$10:$B$250,0))),""))</f>
        <v/>
      </c>
      <c r="AY99" s="51" t="str">
        <f aca="false">IF(ISNUMBER(AX99),AX99+(1000-59)/1000000,"")</f>
        <v/>
      </c>
      <c r="AZ99" s="51" t="str">
        <f aca="false">IF(AU99="","",IFERROR(CHOOSE($C$9,INDEX('NOTES CE2-CM1'!$G$10:$G$250,MATCH(AU99,'NOTES CE2-CM1'!$B$10:$B$250,0)),INDEX('NOTES CE2-CM1'!$N$10:$N$250,MATCH(AU99,'NOTES CE2-CM1'!$B$10:$B$250,0)),INDEX('NOTES CE2-CM1'!$U$10:$U$250,MATCH(AU99,'NOTES CE2-CM1'!$B$10:$B$250,0)),INDEX('NOTES CE2-CM1'!$AB$10:$AB$250,MATCH(AU99,'NOTES CE2-CM1'!$B$10:$B$250,0))),""))</f>
        <v/>
      </c>
      <c r="BA99" s="51" t="str">
        <f aca="false">IFERROR(MATCH("CM1-59",'REGISTRE ELEVES'!$AG$10:$AG$250,0),"")</f>
        <v/>
      </c>
      <c r="BB99" s="51" t="str">
        <f aca="false">IF(BA99="","",INDEX('REGISTRE ELEVES'!$B$10:$B$250,BA99))</f>
        <v/>
      </c>
      <c r="BC99" s="51" t="str">
        <f aca="false">IF(BA99="","",INDEX('REGISTRE ELEVES'!$D$10:$D$250,BA99))</f>
        <v/>
      </c>
      <c r="BD99" s="51" t="str">
        <f aca="false">IF(BA99="","",INDEX('REGISTRE ELEVES'!$E$10:$E$250,BA99))</f>
        <v/>
      </c>
      <c r="BE99" s="51" t="str">
        <f aca="false">IF(BB99="","",IFERROR(CHOOSE($C$9,INDEX('NOTES CE2-CM1'!$M$10:$M$250,MATCH(BB99,'NOTES CE2-CM1'!$B$10:$B$250,0)),INDEX('NOTES CE2-CM1'!$T$10:$T$250,MATCH(BB99,'NOTES CE2-CM1'!$B$10:$B$250,0)),INDEX('NOTES CE2-CM1'!$AA$10:$AA$250,MATCH(BB99,'NOTES CE2-CM1'!$B$10:$B$250,0)),INDEX('NOTES CE2-CM1'!$AH$10:$AH$250,MATCH(BB99,'NOTES CE2-CM1'!$B$10:$B$250,0))),""))</f>
        <v/>
      </c>
      <c r="BF99" s="51" t="str">
        <f aca="false">IF(ISNUMBER(BE99),BE99+(1000-59)/1000000,"")</f>
        <v/>
      </c>
      <c r="BG99" s="51" t="str">
        <f aca="false">IF(BB99="","",IFERROR(CHOOSE($C$9,INDEX('NOTES CE2-CM1'!$G$10:$G$250,MATCH(BB99,'NOTES CE2-CM1'!$B$10:$B$250,0)),INDEX('NOTES CE2-CM1'!$N$10:$N$250,MATCH(BB99,'NOTES CE2-CM1'!$B$10:$B$250,0)),INDEX('NOTES CE2-CM1'!$U$10:$U$250,MATCH(BB99,'NOTES CE2-CM1'!$B$10:$B$250,0)),INDEX('NOTES CE2-CM1'!$AB$10:$AB$250,MATCH(BB99,'NOTES CE2-CM1'!$B$10:$B$250,0))),""))</f>
        <v/>
      </c>
      <c r="BH99" s="51" t="str">
        <f aca="false">IFERROR(MATCH("CM2-59",'REGISTRE ELEVES'!$AG$10:$AG$250,0),"")</f>
        <v/>
      </c>
      <c r="BI99" s="51" t="str">
        <f aca="false">IF(BH99="","",INDEX('REGISTRE ELEVES'!$B$10:$B$250,BH99))</f>
        <v/>
      </c>
      <c r="BJ99" s="51" t="str">
        <f aca="false">IF(BH99="","",INDEX('REGISTRE ELEVES'!$D$10:$D$250,BH99))</f>
        <v/>
      </c>
      <c r="BK99" s="51" t="str">
        <f aca="false">IF(BH99="","",INDEX('REGISTRE ELEVES'!$E$10:$E$250,BH99))</f>
        <v/>
      </c>
      <c r="BL99" s="51" t="str">
        <f aca="false">IF(BI99="","",IFERROR(CHOOSE($C$9,INDEX('NOTES CM2'!$M$10:$M$250,MATCH(BI99,'NOTES CM2'!$B$10:$B$250,0)),INDEX('NOTES CM2'!$T$10:$T$250,MATCH(BI99,'NOTES CM2'!$B$10:$B$250,0)),INDEX('NOTES CM2'!$AB$10:$AB$250,MATCH(BI99,'NOTES CM2'!$B$10:$B$250,0)),INDEX('NOTES CM2'!$AJ$10:$AJ$250,MATCH(BI99,'NOTES CM2'!$B$10:$B$250,0))),""))</f>
        <v/>
      </c>
      <c r="BM99" s="51" t="str">
        <f aca="false">IF(ISNUMBER(BL99),BL99+(1000-59)/1000000,"")</f>
        <v/>
      </c>
      <c r="BN99" s="51" t="str">
        <f aca="false">IF(BI99="","",IFERROR(CHOOSE($C$9,INDEX('NOTES CM2'!$G$10:$G$250,MATCH(BI99,'NOTES CM2'!$B$10:$B$250,0)),INDEX('NOTES CM2'!$N$10:$N$250,MATCH(BI99,'NOTES CM2'!$B$10:$B$250,0)),INDEX('NOTES CM2'!$U$10:$U$250,MATCH(BI99,'NOTES CM2'!$B$10:$B$250,0)),INDEX('NOTES CM2'!$AC$10:$AC$250,MATCH(BI99,'NOTES CM2'!$B$10:$B$250,0))),""))</f>
        <v/>
      </c>
    </row>
    <row r="100" customFormat="false" ht="15" hidden="false" customHeight="false" outlineLevel="0" collapsed="false">
      <c r="Y100" s="51" t="str">
        <f aca="false">IFERROR(MATCH("CP1-60",'REGISTRE ELEVES'!$AG$10:$AG$250,0),"")</f>
        <v/>
      </c>
      <c r="Z100" s="51" t="str">
        <f aca="false">IF(Y100="","",INDEX('REGISTRE ELEVES'!$B$10:$B$250,Y100))</f>
        <v/>
      </c>
      <c r="AA100" s="51" t="str">
        <f aca="false">IF(Y100="","",INDEX('REGISTRE ELEVES'!$D$10:$D$250,Y100))</f>
        <v/>
      </c>
      <c r="AB100" s="51" t="str">
        <f aca="false">IF(Y100="","",INDEX('REGISTRE ELEVES'!$E$10:$E$250,Y100))</f>
        <v/>
      </c>
      <c r="AC100" s="51" t="str">
        <f aca="false">IF(Z100="","",IFERROR(CHOOSE($C$9,INDEX('NOTES CP'!$P$10:$P$250,MATCH(Z100,'NOTES CP'!$B$10:$B$250,0)),INDEX('NOTES CP'!$Z$10:$Z$250,MATCH(Z100,'NOTES CP'!$B$10:$B$250,0)),INDEX('NOTES CP'!$AJ$10:$AJ$250,MATCH(Z100,'NOTES CP'!$B$10:$B$250,0)),INDEX('NOTES CP'!$AT$10:$AT$250,MATCH(Z100,'NOTES CP'!$B$10:$B$250,0))),""))</f>
        <v/>
      </c>
      <c r="AD100" s="51" t="str">
        <f aca="false">IF(ISNUMBER(AC100),AC100+(1000-60)/1000000,"")</f>
        <v/>
      </c>
      <c r="AE100" s="51" t="str">
        <f aca="false">IF(Z100="","",IFERROR(CHOOSE($C$9,INDEX('NOTES CP'!$G$10:$G$250,MATCH(Z100,'NOTES CP'!$B$10:$B$250,0)),INDEX('NOTES CP'!$Q$10:$Q$250,MATCH(Z100,'NOTES CP'!$B$10:$B$250,0)),INDEX('NOTES CP'!$AA$10:$AA$250,MATCH(Z100,'NOTES CP'!$B$10:$B$250,0)),INDEX('NOTES CP'!$AK$10:$AK$250,MATCH(Z100,'NOTES CP'!$B$10:$B$250,0))),""))</f>
        <v/>
      </c>
      <c r="AF100" s="51" t="str">
        <f aca="false">IFERROR(MATCH("CP2-60",'REGISTRE ELEVES'!$AG$10:$AG$250,0),"")</f>
        <v/>
      </c>
      <c r="AG100" s="51" t="str">
        <f aca="false">IF(AF100="","",INDEX('REGISTRE ELEVES'!$B$10:$B$250,AF100))</f>
        <v/>
      </c>
      <c r="AH100" s="51" t="str">
        <f aca="false">IF(AF100="","",INDEX('REGISTRE ELEVES'!$D$10:$D$250,AF100))</f>
        <v/>
      </c>
      <c r="AI100" s="51" t="str">
        <f aca="false">IF(AF100="","",INDEX('REGISTRE ELEVES'!$E$10:$E$250,AF100))</f>
        <v/>
      </c>
      <c r="AJ100" s="51" t="str">
        <f aca="false">IF(AG100="","",IFERROR(CHOOSE($C$9,INDEX('NOTES CP'!$P$10:$P$250,MATCH(AG100,'NOTES CP'!$B$10:$B$250,0)),INDEX('NOTES CP'!$Z$10:$Z$250,MATCH(AG100,'NOTES CP'!$B$10:$B$250,0)),INDEX('NOTES CP'!$AJ$10:$AJ$250,MATCH(AG100,'NOTES CP'!$B$10:$B$250,0)),INDEX('NOTES CP'!$AT$10:$AT$250,MATCH(AG100,'NOTES CP'!$B$10:$B$250,0))),""))</f>
        <v/>
      </c>
      <c r="AK100" s="51" t="str">
        <f aca="false">IF(ISNUMBER(AJ100),AJ100+(1000-60)/1000000,"")</f>
        <v/>
      </c>
      <c r="AL100" s="51" t="str">
        <f aca="false">IF(AG100="","",IFERROR(CHOOSE($C$9,INDEX('NOTES CP'!$G$10:$G$250,MATCH(AG100,'NOTES CP'!$B$10:$B$250,0)),INDEX('NOTES CP'!$Q$10:$Q$250,MATCH(AG100,'NOTES CP'!$B$10:$B$250,0)),INDEX('NOTES CP'!$AA$10:$AA$250,MATCH(AG100,'NOTES CP'!$B$10:$B$250,0)),INDEX('NOTES CP'!$AK$10:$AK$250,MATCH(AG100,'NOTES CP'!$B$10:$B$250,0))),""))</f>
        <v/>
      </c>
      <c r="AM100" s="51" t="str">
        <f aca="false">IFERROR(MATCH("CE1-60",'REGISTRE ELEVES'!$AG$10:$AG$250,0),"")</f>
        <v/>
      </c>
      <c r="AN100" s="51" t="str">
        <f aca="false">IF(AM100="","",INDEX('REGISTRE ELEVES'!$B$10:$B$250,AM100))</f>
        <v/>
      </c>
      <c r="AO100" s="51" t="str">
        <f aca="false">IF(AM100="","",INDEX('REGISTRE ELEVES'!$D$10:$D$250,AM100))</f>
        <v/>
      </c>
      <c r="AP100" s="51" t="str">
        <f aca="false">IF(AM100="","",INDEX('REGISTRE ELEVES'!$E$10:$E$250,AM100))</f>
        <v/>
      </c>
      <c r="AQ100" s="51" t="str">
        <f aca="false">IF(AN100="","",IFERROR(CHOOSE($C$9,INDEX('NOTES CE1'!$M$10:$M$250,MATCH(AN100,'NOTES CE1'!$B$10:$B$250,0)),INDEX('NOTES CE1'!$T$10:$T$250,MATCH(AN100,'NOTES CE1'!$B$10:$B$250,0)),INDEX('NOTES CE1'!$AA$10:$AA$250,MATCH(AN100,'NOTES CE1'!$B$10:$B$250,0)),INDEX('NOTES CE1'!$AH$10:$AH$250,MATCH(AN100,'NOTES CE1'!$B$10:$B$250,0))),""))</f>
        <v/>
      </c>
      <c r="AR100" s="51" t="str">
        <f aca="false">IF(ISNUMBER(AQ100),AQ100+(1000-60)/1000000,"")</f>
        <v/>
      </c>
      <c r="AS100" s="51" t="str">
        <f aca="false">IF(AN100="","",IFERROR(CHOOSE($C$9,INDEX('NOTES CE1'!$G$10:$G$250,MATCH(AN100,'NOTES CE1'!$B$10:$B$250,0)),INDEX('NOTES CE1'!$N$10:$N$250,MATCH(AN100,'NOTES CE1'!$B$10:$B$250,0)),INDEX('NOTES CE1'!$U$10:$U$250,MATCH(AN100,'NOTES CE1'!$B$10:$B$250,0)),INDEX('NOTES CE1'!$AB$10:$AB$250,MATCH(AN100,'NOTES CE1'!$B$10:$B$250,0))),""))</f>
        <v/>
      </c>
      <c r="AT100" s="51" t="str">
        <f aca="false">IFERROR(MATCH("CE2-60",'REGISTRE ELEVES'!$AG$10:$AG$250,0),"")</f>
        <v/>
      </c>
      <c r="AU100" s="51" t="str">
        <f aca="false">IF(AT100="","",INDEX('REGISTRE ELEVES'!$B$10:$B$250,AT100))</f>
        <v/>
      </c>
      <c r="AV100" s="51" t="str">
        <f aca="false">IF(AT100="","",INDEX('REGISTRE ELEVES'!$D$10:$D$250,AT100))</f>
        <v/>
      </c>
      <c r="AW100" s="51" t="str">
        <f aca="false">IF(AT100="","",INDEX('REGISTRE ELEVES'!$E$10:$E$250,AT100))</f>
        <v/>
      </c>
      <c r="AX100" s="51" t="str">
        <f aca="false">IF(AU100="","",IFERROR(CHOOSE($C$9,INDEX('NOTES CE2-CM1'!$M$10:$M$250,MATCH(AU100,'NOTES CE2-CM1'!$B$10:$B$250,0)),INDEX('NOTES CE2-CM1'!$T$10:$T$250,MATCH(AU100,'NOTES CE2-CM1'!$B$10:$B$250,0)),INDEX('NOTES CE2-CM1'!$AA$10:$AA$250,MATCH(AU100,'NOTES CE2-CM1'!$B$10:$B$250,0)),INDEX('NOTES CE2-CM1'!$AH$10:$AH$250,MATCH(AU100,'NOTES CE2-CM1'!$B$10:$B$250,0))),""))</f>
        <v/>
      </c>
      <c r="AY100" s="51" t="str">
        <f aca="false">IF(ISNUMBER(AX100),AX100+(1000-60)/1000000,"")</f>
        <v/>
      </c>
      <c r="AZ100" s="51" t="str">
        <f aca="false">IF(AU100="","",IFERROR(CHOOSE($C$9,INDEX('NOTES CE2-CM1'!$G$10:$G$250,MATCH(AU100,'NOTES CE2-CM1'!$B$10:$B$250,0)),INDEX('NOTES CE2-CM1'!$N$10:$N$250,MATCH(AU100,'NOTES CE2-CM1'!$B$10:$B$250,0)),INDEX('NOTES CE2-CM1'!$U$10:$U$250,MATCH(AU100,'NOTES CE2-CM1'!$B$10:$B$250,0)),INDEX('NOTES CE2-CM1'!$AB$10:$AB$250,MATCH(AU100,'NOTES CE2-CM1'!$B$10:$B$250,0))),""))</f>
        <v/>
      </c>
      <c r="BA100" s="51" t="str">
        <f aca="false">IFERROR(MATCH("CM1-60",'REGISTRE ELEVES'!$AG$10:$AG$250,0),"")</f>
        <v/>
      </c>
      <c r="BB100" s="51" t="str">
        <f aca="false">IF(BA100="","",INDEX('REGISTRE ELEVES'!$B$10:$B$250,BA100))</f>
        <v/>
      </c>
      <c r="BC100" s="51" t="str">
        <f aca="false">IF(BA100="","",INDEX('REGISTRE ELEVES'!$D$10:$D$250,BA100))</f>
        <v/>
      </c>
      <c r="BD100" s="51" t="str">
        <f aca="false">IF(BA100="","",INDEX('REGISTRE ELEVES'!$E$10:$E$250,BA100))</f>
        <v/>
      </c>
      <c r="BE100" s="51" t="str">
        <f aca="false">IF(BB100="","",IFERROR(CHOOSE($C$9,INDEX('NOTES CE2-CM1'!$M$10:$M$250,MATCH(BB100,'NOTES CE2-CM1'!$B$10:$B$250,0)),INDEX('NOTES CE2-CM1'!$T$10:$T$250,MATCH(BB100,'NOTES CE2-CM1'!$B$10:$B$250,0)),INDEX('NOTES CE2-CM1'!$AA$10:$AA$250,MATCH(BB100,'NOTES CE2-CM1'!$B$10:$B$250,0)),INDEX('NOTES CE2-CM1'!$AH$10:$AH$250,MATCH(BB100,'NOTES CE2-CM1'!$B$10:$B$250,0))),""))</f>
        <v/>
      </c>
      <c r="BF100" s="51" t="str">
        <f aca="false">IF(ISNUMBER(BE100),BE100+(1000-60)/1000000,"")</f>
        <v/>
      </c>
      <c r="BG100" s="51" t="str">
        <f aca="false">IF(BB100="","",IFERROR(CHOOSE($C$9,INDEX('NOTES CE2-CM1'!$G$10:$G$250,MATCH(BB100,'NOTES CE2-CM1'!$B$10:$B$250,0)),INDEX('NOTES CE2-CM1'!$N$10:$N$250,MATCH(BB100,'NOTES CE2-CM1'!$B$10:$B$250,0)),INDEX('NOTES CE2-CM1'!$U$10:$U$250,MATCH(BB100,'NOTES CE2-CM1'!$B$10:$B$250,0)),INDEX('NOTES CE2-CM1'!$AB$10:$AB$250,MATCH(BB100,'NOTES CE2-CM1'!$B$10:$B$250,0))),""))</f>
        <v/>
      </c>
      <c r="BH100" s="51" t="str">
        <f aca="false">IFERROR(MATCH("CM2-60",'REGISTRE ELEVES'!$AG$10:$AG$250,0),"")</f>
        <v/>
      </c>
      <c r="BI100" s="51" t="str">
        <f aca="false">IF(BH100="","",INDEX('REGISTRE ELEVES'!$B$10:$B$250,BH100))</f>
        <v/>
      </c>
      <c r="BJ100" s="51" t="str">
        <f aca="false">IF(BH100="","",INDEX('REGISTRE ELEVES'!$D$10:$D$250,BH100))</f>
        <v/>
      </c>
      <c r="BK100" s="51" t="str">
        <f aca="false">IF(BH100="","",INDEX('REGISTRE ELEVES'!$E$10:$E$250,BH100))</f>
        <v/>
      </c>
      <c r="BL100" s="51" t="str">
        <f aca="false">IF(BI100="","",IFERROR(CHOOSE($C$9,INDEX('NOTES CM2'!$M$10:$M$250,MATCH(BI100,'NOTES CM2'!$B$10:$B$250,0)),INDEX('NOTES CM2'!$T$10:$T$250,MATCH(BI100,'NOTES CM2'!$B$10:$B$250,0)),INDEX('NOTES CM2'!$AB$10:$AB$250,MATCH(BI100,'NOTES CM2'!$B$10:$B$250,0)),INDEX('NOTES CM2'!$AJ$10:$AJ$250,MATCH(BI100,'NOTES CM2'!$B$10:$B$250,0))),""))</f>
        <v/>
      </c>
      <c r="BM100" s="51" t="str">
        <f aca="false">IF(ISNUMBER(BL100),BL100+(1000-60)/1000000,"")</f>
        <v/>
      </c>
      <c r="BN100" s="51" t="str">
        <f aca="false">IF(BI100="","",IFERROR(CHOOSE($C$9,INDEX('NOTES CM2'!$G$10:$G$250,MATCH(BI100,'NOTES CM2'!$B$10:$B$250,0)),INDEX('NOTES CM2'!$N$10:$N$250,MATCH(BI100,'NOTES CM2'!$B$10:$B$250,0)),INDEX('NOTES CM2'!$U$10:$U$250,MATCH(BI100,'NOTES CM2'!$B$10:$B$250,0)),INDEX('NOTES CM2'!$AC$10:$AC$250,MATCH(BI100,'NOTES CM2'!$B$10:$B$250,0))),""))</f>
        <v/>
      </c>
    </row>
    <row r="101" customFormat="false" ht="15" hidden="false" customHeight="false" outlineLevel="0" collapsed="false">
      <c r="Y101" s="51" t="str">
        <f aca="false">IFERROR(MATCH("CP1-61",'REGISTRE ELEVES'!$AG$10:$AG$250,0),"")</f>
        <v/>
      </c>
      <c r="Z101" s="51" t="str">
        <f aca="false">IF(Y101="","",INDEX('REGISTRE ELEVES'!$B$10:$B$250,Y101))</f>
        <v/>
      </c>
      <c r="AA101" s="51" t="str">
        <f aca="false">IF(Y101="","",INDEX('REGISTRE ELEVES'!$D$10:$D$250,Y101))</f>
        <v/>
      </c>
      <c r="AB101" s="51" t="str">
        <f aca="false">IF(Y101="","",INDEX('REGISTRE ELEVES'!$E$10:$E$250,Y101))</f>
        <v/>
      </c>
      <c r="AC101" s="51" t="str">
        <f aca="false">IF(Z101="","",IFERROR(CHOOSE($C$9,INDEX('NOTES CP'!$P$10:$P$250,MATCH(Z101,'NOTES CP'!$B$10:$B$250,0)),INDEX('NOTES CP'!$Z$10:$Z$250,MATCH(Z101,'NOTES CP'!$B$10:$B$250,0)),INDEX('NOTES CP'!$AJ$10:$AJ$250,MATCH(Z101,'NOTES CP'!$B$10:$B$250,0)),INDEX('NOTES CP'!$AT$10:$AT$250,MATCH(Z101,'NOTES CP'!$B$10:$B$250,0))),""))</f>
        <v/>
      </c>
      <c r="AD101" s="51" t="str">
        <f aca="false">IF(ISNUMBER(AC101),AC101+(1000-61)/1000000,"")</f>
        <v/>
      </c>
      <c r="AE101" s="51" t="str">
        <f aca="false">IF(Z101="","",IFERROR(CHOOSE($C$9,INDEX('NOTES CP'!$G$10:$G$250,MATCH(Z101,'NOTES CP'!$B$10:$B$250,0)),INDEX('NOTES CP'!$Q$10:$Q$250,MATCH(Z101,'NOTES CP'!$B$10:$B$250,0)),INDEX('NOTES CP'!$AA$10:$AA$250,MATCH(Z101,'NOTES CP'!$B$10:$B$250,0)),INDEX('NOTES CP'!$AK$10:$AK$250,MATCH(Z101,'NOTES CP'!$B$10:$B$250,0))),""))</f>
        <v/>
      </c>
      <c r="AF101" s="51" t="str">
        <f aca="false">IFERROR(MATCH("CP2-61",'REGISTRE ELEVES'!$AG$10:$AG$250,0),"")</f>
        <v/>
      </c>
      <c r="AG101" s="51" t="str">
        <f aca="false">IF(AF101="","",INDEX('REGISTRE ELEVES'!$B$10:$B$250,AF101))</f>
        <v/>
      </c>
      <c r="AH101" s="51" t="str">
        <f aca="false">IF(AF101="","",INDEX('REGISTRE ELEVES'!$D$10:$D$250,AF101))</f>
        <v/>
      </c>
      <c r="AI101" s="51" t="str">
        <f aca="false">IF(AF101="","",INDEX('REGISTRE ELEVES'!$E$10:$E$250,AF101))</f>
        <v/>
      </c>
      <c r="AJ101" s="51" t="str">
        <f aca="false">IF(AG101="","",IFERROR(CHOOSE($C$9,INDEX('NOTES CP'!$P$10:$P$250,MATCH(AG101,'NOTES CP'!$B$10:$B$250,0)),INDEX('NOTES CP'!$Z$10:$Z$250,MATCH(AG101,'NOTES CP'!$B$10:$B$250,0)),INDEX('NOTES CP'!$AJ$10:$AJ$250,MATCH(AG101,'NOTES CP'!$B$10:$B$250,0)),INDEX('NOTES CP'!$AT$10:$AT$250,MATCH(AG101,'NOTES CP'!$B$10:$B$250,0))),""))</f>
        <v/>
      </c>
      <c r="AK101" s="51" t="str">
        <f aca="false">IF(ISNUMBER(AJ101),AJ101+(1000-61)/1000000,"")</f>
        <v/>
      </c>
      <c r="AL101" s="51" t="str">
        <f aca="false">IF(AG101="","",IFERROR(CHOOSE($C$9,INDEX('NOTES CP'!$G$10:$G$250,MATCH(AG101,'NOTES CP'!$B$10:$B$250,0)),INDEX('NOTES CP'!$Q$10:$Q$250,MATCH(AG101,'NOTES CP'!$B$10:$B$250,0)),INDEX('NOTES CP'!$AA$10:$AA$250,MATCH(AG101,'NOTES CP'!$B$10:$B$250,0)),INDEX('NOTES CP'!$AK$10:$AK$250,MATCH(AG101,'NOTES CP'!$B$10:$B$250,0))),""))</f>
        <v/>
      </c>
      <c r="AM101" s="51" t="str">
        <f aca="false">IFERROR(MATCH("CE1-61",'REGISTRE ELEVES'!$AG$10:$AG$250,0),"")</f>
        <v/>
      </c>
      <c r="AN101" s="51" t="str">
        <f aca="false">IF(AM101="","",INDEX('REGISTRE ELEVES'!$B$10:$B$250,AM101))</f>
        <v/>
      </c>
      <c r="AO101" s="51" t="str">
        <f aca="false">IF(AM101="","",INDEX('REGISTRE ELEVES'!$D$10:$D$250,AM101))</f>
        <v/>
      </c>
      <c r="AP101" s="51" t="str">
        <f aca="false">IF(AM101="","",INDEX('REGISTRE ELEVES'!$E$10:$E$250,AM101))</f>
        <v/>
      </c>
      <c r="AQ101" s="51" t="str">
        <f aca="false">IF(AN101="","",IFERROR(CHOOSE($C$9,INDEX('NOTES CE1'!$M$10:$M$250,MATCH(AN101,'NOTES CE1'!$B$10:$B$250,0)),INDEX('NOTES CE1'!$T$10:$T$250,MATCH(AN101,'NOTES CE1'!$B$10:$B$250,0)),INDEX('NOTES CE1'!$AA$10:$AA$250,MATCH(AN101,'NOTES CE1'!$B$10:$B$250,0)),INDEX('NOTES CE1'!$AH$10:$AH$250,MATCH(AN101,'NOTES CE1'!$B$10:$B$250,0))),""))</f>
        <v/>
      </c>
      <c r="AR101" s="51" t="str">
        <f aca="false">IF(ISNUMBER(AQ101),AQ101+(1000-61)/1000000,"")</f>
        <v/>
      </c>
      <c r="AS101" s="51" t="str">
        <f aca="false">IF(AN101="","",IFERROR(CHOOSE($C$9,INDEX('NOTES CE1'!$G$10:$G$250,MATCH(AN101,'NOTES CE1'!$B$10:$B$250,0)),INDEX('NOTES CE1'!$N$10:$N$250,MATCH(AN101,'NOTES CE1'!$B$10:$B$250,0)),INDEX('NOTES CE1'!$U$10:$U$250,MATCH(AN101,'NOTES CE1'!$B$10:$B$250,0)),INDEX('NOTES CE1'!$AB$10:$AB$250,MATCH(AN101,'NOTES CE1'!$B$10:$B$250,0))),""))</f>
        <v/>
      </c>
      <c r="AT101" s="51" t="str">
        <f aca="false">IFERROR(MATCH("CE2-61",'REGISTRE ELEVES'!$AG$10:$AG$250,0),"")</f>
        <v/>
      </c>
      <c r="AU101" s="51" t="str">
        <f aca="false">IF(AT101="","",INDEX('REGISTRE ELEVES'!$B$10:$B$250,AT101))</f>
        <v/>
      </c>
      <c r="AV101" s="51" t="str">
        <f aca="false">IF(AT101="","",INDEX('REGISTRE ELEVES'!$D$10:$D$250,AT101))</f>
        <v/>
      </c>
      <c r="AW101" s="51" t="str">
        <f aca="false">IF(AT101="","",INDEX('REGISTRE ELEVES'!$E$10:$E$250,AT101))</f>
        <v/>
      </c>
      <c r="AX101" s="51" t="str">
        <f aca="false">IF(AU101="","",IFERROR(CHOOSE($C$9,INDEX('NOTES CE2-CM1'!$M$10:$M$250,MATCH(AU101,'NOTES CE2-CM1'!$B$10:$B$250,0)),INDEX('NOTES CE2-CM1'!$T$10:$T$250,MATCH(AU101,'NOTES CE2-CM1'!$B$10:$B$250,0)),INDEX('NOTES CE2-CM1'!$AA$10:$AA$250,MATCH(AU101,'NOTES CE2-CM1'!$B$10:$B$250,0)),INDEX('NOTES CE2-CM1'!$AH$10:$AH$250,MATCH(AU101,'NOTES CE2-CM1'!$B$10:$B$250,0))),""))</f>
        <v/>
      </c>
      <c r="AY101" s="51" t="str">
        <f aca="false">IF(ISNUMBER(AX101),AX101+(1000-61)/1000000,"")</f>
        <v/>
      </c>
      <c r="AZ101" s="51" t="str">
        <f aca="false">IF(AU101="","",IFERROR(CHOOSE($C$9,INDEX('NOTES CE2-CM1'!$G$10:$G$250,MATCH(AU101,'NOTES CE2-CM1'!$B$10:$B$250,0)),INDEX('NOTES CE2-CM1'!$N$10:$N$250,MATCH(AU101,'NOTES CE2-CM1'!$B$10:$B$250,0)),INDEX('NOTES CE2-CM1'!$U$10:$U$250,MATCH(AU101,'NOTES CE2-CM1'!$B$10:$B$250,0)),INDEX('NOTES CE2-CM1'!$AB$10:$AB$250,MATCH(AU101,'NOTES CE2-CM1'!$B$10:$B$250,0))),""))</f>
        <v/>
      </c>
      <c r="BA101" s="51" t="str">
        <f aca="false">IFERROR(MATCH("CM1-61",'REGISTRE ELEVES'!$AG$10:$AG$250,0),"")</f>
        <v/>
      </c>
      <c r="BB101" s="51" t="str">
        <f aca="false">IF(BA101="","",INDEX('REGISTRE ELEVES'!$B$10:$B$250,BA101))</f>
        <v/>
      </c>
      <c r="BC101" s="51" t="str">
        <f aca="false">IF(BA101="","",INDEX('REGISTRE ELEVES'!$D$10:$D$250,BA101))</f>
        <v/>
      </c>
      <c r="BD101" s="51" t="str">
        <f aca="false">IF(BA101="","",INDEX('REGISTRE ELEVES'!$E$10:$E$250,BA101))</f>
        <v/>
      </c>
      <c r="BE101" s="51" t="str">
        <f aca="false">IF(BB101="","",IFERROR(CHOOSE($C$9,INDEX('NOTES CE2-CM1'!$M$10:$M$250,MATCH(BB101,'NOTES CE2-CM1'!$B$10:$B$250,0)),INDEX('NOTES CE2-CM1'!$T$10:$T$250,MATCH(BB101,'NOTES CE2-CM1'!$B$10:$B$250,0)),INDEX('NOTES CE2-CM1'!$AA$10:$AA$250,MATCH(BB101,'NOTES CE2-CM1'!$B$10:$B$250,0)),INDEX('NOTES CE2-CM1'!$AH$10:$AH$250,MATCH(BB101,'NOTES CE2-CM1'!$B$10:$B$250,0))),""))</f>
        <v/>
      </c>
      <c r="BF101" s="51" t="str">
        <f aca="false">IF(ISNUMBER(BE101),BE101+(1000-61)/1000000,"")</f>
        <v/>
      </c>
      <c r="BG101" s="51" t="str">
        <f aca="false">IF(BB101="","",IFERROR(CHOOSE($C$9,INDEX('NOTES CE2-CM1'!$G$10:$G$250,MATCH(BB101,'NOTES CE2-CM1'!$B$10:$B$250,0)),INDEX('NOTES CE2-CM1'!$N$10:$N$250,MATCH(BB101,'NOTES CE2-CM1'!$B$10:$B$250,0)),INDEX('NOTES CE2-CM1'!$U$10:$U$250,MATCH(BB101,'NOTES CE2-CM1'!$B$10:$B$250,0)),INDEX('NOTES CE2-CM1'!$AB$10:$AB$250,MATCH(BB101,'NOTES CE2-CM1'!$B$10:$B$250,0))),""))</f>
        <v/>
      </c>
      <c r="BH101" s="51" t="str">
        <f aca="false">IFERROR(MATCH("CM2-61",'REGISTRE ELEVES'!$AG$10:$AG$250,0),"")</f>
        <v/>
      </c>
      <c r="BI101" s="51" t="str">
        <f aca="false">IF(BH101="","",INDEX('REGISTRE ELEVES'!$B$10:$B$250,BH101))</f>
        <v/>
      </c>
      <c r="BJ101" s="51" t="str">
        <f aca="false">IF(BH101="","",INDEX('REGISTRE ELEVES'!$D$10:$D$250,BH101))</f>
        <v/>
      </c>
      <c r="BK101" s="51" t="str">
        <f aca="false">IF(BH101="","",INDEX('REGISTRE ELEVES'!$E$10:$E$250,BH101))</f>
        <v/>
      </c>
      <c r="BL101" s="51" t="str">
        <f aca="false">IF(BI101="","",IFERROR(CHOOSE($C$9,INDEX('NOTES CM2'!$M$10:$M$250,MATCH(BI101,'NOTES CM2'!$B$10:$B$250,0)),INDEX('NOTES CM2'!$T$10:$T$250,MATCH(BI101,'NOTES CM2'!$B$10:$B$250,0)),INDEX('NOTES CM2'!$AB$10:$AB$250,MATCH(BI101,'NOTES CM2'!$B$10:$B$250,0)),INDEX('NOTES CM2'!$AJ$10:$AJ$250,MATCH(BI101,'NOTES CM2'!$B$10:$B$250,0))),""))</f>
        <v/>
      </c>
      <c r="BM101" s="51" t="str">
        <f aca="false">IF(ISNUMBER(BL101),BL101+(1000-61)/1000000,"")</f>
        <v/>
      </c>
      <c r="BN101" s="51" t="str">
        <f aca="false">IF(BI101="","",IFERROR(CHOOSE($C$9,INDEX('NOTES CM2'!$G$10:$G$250,MATCH(BI101,'NOTES CM2'!$B$10:$B$250,0)),INDEX('NOTES CM2'!$N$10:$N$250,MATCH(BI101,'NOTES CM2'!$B$10:$B$250,0)),INDEX('NOTES CM2'!$U$10:$U$250,MATCH(BI101,'NOTES CM2'!$B$10:$B$250,0)),INDEX('NOTES CM2'!$AC$10:$AC$250,MATCH(BI101,'NOTES CM2'!$B$10:$B$250,0))),""))</f>
        <v/>
      </c>
    </row>
    <row r="102" customFormat="false" ht="15" hidden="false" customHeight="false" outlineLevel="0" collapsed="false">
      <c r="Y102" s="51" t="str">
        <f aca="false">IFERROR(MATCH("CP1-62",'REGISTRE ELEVES'!$AG$10:$AG$250,0),"")</f>
        <v/>
      </c>
      <c r="Z102" s="51" t="str">
        <f aca="false">IF(Y102="","",INDEX('REGISTRE ELEVES'!$B$10:$B$250,Y102))</f>
        <v/>
      </c>
      <c r="AA102" s="51" t="str">
        <f aca="false">IF(Y102="","",INDEX('REGISTRE ELEVES'!$D$10:$D$250,Y102))</f>
        <v/>
      </c>
      <c r="AB102" s="51" t="str">
        <f aca="false">IF(Y102="","",INDEX('REGISTRE ELEVES'!$E$10:$E$250,Y102))</f>
        <v/>
      </c>
      <c r="AC102" s="51" t="str">
        <f aca="false">IF(Z102="","",IFERROR(CHOOSE($C$9,INDEX('NOTES CP'!$P$10:$P$250,MATCH(Z102,'NOTES CP'!$B$10:$B$250,0)),INDEX('NOTES CP'!$Z$10:$Z$250,MATCH(Z102,'NOTES CP'!$B$10:$B$250,0)),INDEX('NOTES CP'!$AJ$10:$AJ$250,MATCH(Z102,'NOTES CP'!$B$10:$B$250,0)),INDEX('NOTES CP'!$AT$10:$AT$250,MATCH(Z102,'NOTES CP'!$B$10:$B$250,0))),""))</f>
        <v/>
      </c>
      <c r="AD102" s="51" t="str">
        <f aca="false">IF(ISNUMBER(AC102),AC102+(1000-62)/1000000,"")</f>
        <v/>
      </c>
      <c r="AE102" s="51" t="str">
        <f aca="false">IF(Z102="","",IFERROR(CHOOSE($C$9,INDEX('NOTES CP'!$G$10:$G$250,MATCH(Z102,'NOTES CP'!$B$10:$B$250,0)),INDEX('NOTES CP'!$Q$10:$Q$250,MATCH(Z102,'NOTES CP'!$B$10:$B$250,0)),INDEX('NOTES CP'!$AA$10:$AA$250,MATCH(Z102,'NOTES CP'!$B$10:$B$250,0)),INDEX('NOTES CP'!$AK$10:$AK$250,MATCH(Z102,'NOTES CP'!$B$10:$B$250,0))),""))</f>
        <v/>
      </c>
      <c r="AF102" s="51" t="str">
        <f aca="false">IFERROR(MATCH("CP2-62",'REGISTRE ELEVES'!$AG$10:$AG$250,0),"")</f>
        <v/>
      </c>
      <c r="AG102" s="51" t="str">
        <f aca="false">IF(AF102="","",INDEX('REGISTRE ELEVES'!$B$10:$B$250,AF102))</f>
        <v/>
      </c>
      <c r="AH102" s="51" t="str">
        <f aca="false">IF(AF102="","",INDEX('REGISTRE ELEVES'!$D$10:$D$250,AF102))</f>
        <v/>
      </c>
      <c r="AI102" s="51" t="str">
        <f aca="false">IF(AF102="","",INDEX('REGISTRE ELEVES'!$E$10:$E$250,AF102))</f>
        <v/>
      </c>
      <c r="AJ102" s="51" t="str">
        <f aca="false">IF(AG102="","",IFERROR(CHOOSE($C$9,INDEX('NOTES CP'!$P$10:$P$250,MATCH(AG102,'NOTES CP'!$B$10:$B$250,0)),INDEX('NOTES CP'!$Z$10:$Z$250,MATCH(AG102,'NOTES CP'!$B$10:$B$250,0)),INDEX('NOTES CP'!$AJ$10:$AJ$250,MATCH(AG102,'NOTES CP'!$B$10:$B$250,0)),INDEX('NOTES CP'!$AT$10:$AT$250,MATCH(AG102,'NOTES CP'!$B$10:$B$250,0))),""))</f>
        <v/>
      </c>
      <c r="AK102" s="51" t="str">
        <f aca="false">IF(ISNUMBER(AJ102),AJ102+(1000-62)/1000000,"")</f>
        <v/>
      </c>
      <c r="AL102" s="51" t="str">
        <f aca="false">IF(AG102="","",IFERROR(CHOOSE($C$9,INDEX('NOTES CP'!$G$10:$G$250,MATCH(AG102,'NOTES CP'!$B$10:$B$250,0)),INDEX('NOTES CP'!$Q$10:$Q$250,MATCH(AG102,'NOTES CP'!$B$10:$B$250,0)),INDEX('NOTES CP'!$AA$10:$AA$250,MATCH(AG102,'NOTES CP'!$B$10:$B$250,0)),INDEX('NOTES CP'!$AK$10:$AK$250,MATCH(AG102,'NOTES CP'!$B$10:$B$250,0))),""))</f>
        <v/>
      </c>
      <c r="AM102" s="51" t="str">
        <f aca="false">IFERROR(MATCH("CE1-62",'REGISTRE ELEVES'!$AG$10:$AG$250,0),"")</f>
        <v/>
      </c>
      <c r="AN102" s="51" t="str">
        <f aca="false">IF(AM102="","",INDEX('REGISTRE ELEVES'!$B$10:$B$250,AM102))</f>
        <v/>
      </c>
      <c r="AO102" s="51" t="str">
        <f aca="false">IF(AM102="","",INDEX('REGISTRE ELEVES'!$D$10:$D$250,AM102))</f>
        <v/>
      </c>
      <c r="AP102" s="51" t="str">
        <f aca="false">IF(AM102="","",INDEX('REGISTRE ELEVES'!$E$10:$E$250,AM102))</f>
        <v/>
      </c>
      <c r="AQ102" s="51" t="str">
        <f aca="false">IF(AN102="","",IFERROR(CHOOSE($C$9,INDEX('NOTES CE1'!$M$10:$M$250,MATCH(AN102,'NOTES CE1'!$B$10:$B$250,0)),INDEX('NOTES CE1'!$T$10:$T$250,MATCH(AN102,'NOTES CE1'!$B$10:$B$250,0)),INDEX('NOTES CE1'!$AA$10:$AA$250,MATCH(AN102,'NOTES CE1'!$B$10:$B$250,0)),INDEX('NOTES CE1'!$AH$10:$AH$250,MATCH(AN102,'NOTES CE1'!$B$10:$B$250,0))),""))</f>
        <v/>
      </c>
      <c r="AR102" s="51" t="str">
        <f aca="false">IF(ISNUMBER(AQ102),AQ102+(1000-62)/1000000,"")</f>
        <v/>
      </c>
      <c r="AS102" s="51" t="str">
        <f aca="false">IF(AN102="","",IFERROR(CHOOSE($C$9,INDEX('NOTES CE1'!$G$10:$G$250,MATCH(AN102,'NOTES CE1'!$B$10:$B$250,0)),INDEX('NOTES CE1'!$N$10:$N$250,MATCH(AN102,'NOTES CE1'!$B$10:$B$250,0)),INDEX('NOTES CE1'!$U$10:$U$250,MATCH(AN102,'NOTES CE1'!$B$10:$B$250,0)),INDEX('NOTES CE1'!$AB$10:$AB$250,MATCH(AN102,'NOTES CE1'!$B$10:$B$250,0))),""))</f>
        <v/>
      </c>
      <c r="AT102" s="51" t="str">
        <f aca="false">IFERROR(MATCH("CE2-62",'REGISTRE ELEVES'!$AG$10:$AG$250,0),"")</f>
        <v/>
      </c>
      <c r="AU102" s="51" t="str">
        <f aca="false">IF(AT102="","",INDEX('REGISTRE ELEVES'!$B$10:$B$250,AT102))</f>
        <v/>
      </c>
      <c r="AV102" s="51" t="str">
        <f aca="false">IF(AT102="","",INDEX('REGISTRE ELEVES'!$D$10:$D$250,AT102))</f>
        <v/>
      </c>
      <c r="AW102" s="51" t="str">
        <f aca="false">IF(AT102="","",INDEX('REGISTRE ELEVES'!$E$10:$E$250,AT102))</f>
        <v/>
      </c>
      <c r="AX102" s="51" t="str">
        <f aca="false">IF(AU102="","",IFERROR(CHOOSE($C$9,INDEX('NOTES CE2-CM1'!$M$10:$M$250,MATCH(AU102,'NOTES CE2-CM1'!$B$10:$B$250,0)),INDEX('NOTES CE2-CM1'!$T$10:$T$250,MATCH(AU102,'NOTES CE2-CM1'!$B$10:$B$250,0)),INDEX('NOTES CE2-CM1'!$AA$10:$AA$250,MATCH(AU102,'NOTES CE2-CM1'!$B$10:$B$250,0)),INDEX('NOTES CE2-CM1'!$AH$10:$AH$250,MATCH(AU102,'NOTES CE2-CM1'!$B$10:$B$250,0))),""))</f>
        <v/>
      </c>
      <c r="AY102" s="51" t="str">
        <f aca="false">IF(ISNUMBER(AX102),AX102+(1000-62)/1000000,"")</f>
        <v/>
      </c>
      <c r="AZ102" s="51" t="str">
        <f aca="false">IF(AU102="","",IFERROR(CHOOSE($C$9,INDEX('NOTES CE2-CM1'!$G$10:$G$250,MATCH(AU102,'NOTES CE2-CM1'!$B$10:$B$250,0)),INDEX('NOTES CE2-CM1'!$N$10:$N$250,MATCH(AU102,'NOTES CE2-CM1'!$B$10:$B$250,0)),INDEX('NOTES CE2-CM1'!$U$10:$U$250,MATCH(AU102,'NOTES CE2-CM1'!$B$10:$B$250,0)),INDEX('NOTES CE2-CM1'!$AB$10:$AB$250,MATCH(AU102,'NOTES CE2-CM1'!$B$10:$B$250,0))),""))</f>
        <v/>
      </c>
      <c r="BA102" s="51" t="str">
        <f aca="false">IFERROR(MATCH("CM1-62",'REGISTRE ELEVES'!$AG$10:$AG$250,0),"")</f>
        <v/>
      </c>
      <c r="BB102" s="51" t="str">
        <f aca="false">IF(BA102="","",INDEX('REGISTRE ELEVES'!$B$10:$B$250,BA102))</f>
        <v/>
      </c>
      <c r="BC102" s="51" t="str">
        <f aca="false">IF(BA102="","",INDEX('REGISTRE ELEVES'!$D$10:$D$250,BA102))</f>
        <v/>
      </c>
      <c r="BD102" s="51" t="str">
        <f aca="false">IF(BA102="","",INDEX('REGISTRE ELEVES'!$E$10:$E$250,BA102))</f>
        <v/>
      </c>
      <c r="BE102" s="51" t="str">
        <f aca="false">IF(BB102="","",IFERROR(CHOOSE($C$9,INDEX('NOTES CE2-CM1'!$M$10:$M$250,MATCH(BB102,'NOTES CE2-CM1'!$B$10:$B$250,0)),INDEX('NOTES CE2-CM1'!$T$10:$T$250,MATCH(BB102,'NOTES CE2-CM1'!$B$10:$B$250,0)),INDEX('NOTES CE2-CM1'!$AA$10:$AA$250,MATCH(BB102,'NOTES CE2-CM1'!$B$10:$B$250,0)),INDEX('NOTES CE2-CM1'!$AH$10:$AH$250,MATCH(BB102,'NOTES CE2-CM1'!$B$10:$B$250,0))),""))</f>
        <v/>
      </c>
      <c r="BF102" s="51" t="str">
        <f aca="false">IF(ISNUMBER(BE102),BE102+(1000-62)/1000000,"")</f>
        <v/>
      </c>
      <c r="BG102" s="51" t="str">
        <f aca="false">IF(BB102="","",IFERROR(CHOOSE($C$9,INDEX('NOTES CE2-CM1'!$G$10:$G$250,MATCH(BB102,'NOTES CE2-CM1'!$B$10:$B$250,0)),INDEX('NOTES CE2-CM1'!$N$10:$N$250,MATCH(BB102,'NOTES CE2-CM1'!$B$10:$B$250,0)),INDEX('NOTES CE2-CM1'!$U$10:$U$250,MATCH(BB102,'NOTES CE2-CM1'!$B$10:$B$250,0)),INDEX('NOTES CE2-CM1'!$AB$10:$AB$250,MATCH(BB102,'NOTES CE2-CM1'!$B$10:$B$250,0))),""))</f>
        <v/>
      </c>
      <c r="BH102" s="51" t="str">
        <f aca="false">IFERROR(MATCH("CM2-62",'REGISTRE ELEVES'!$AG$10:$AG$250,0),"")</f>
        <v/>
      </c>
      <c r="BI102" s="51" t="str">
        <f aca="false">IF(BH102="","",INDEX('REGISTRE ELEVES'!$B$10:$B$250,BH102))</f>
        <v/>
      </c>
      <c r="BJ102" s="51" t="str">
        <f aca="false">IF(BH102="","",INDEX('REGISTRE ELEVES'!$D$10:$D$250,BH102))</f>
        <v/>
      </c>
      <c r="BK102" s="51" t="str">
        <f aca="false">IF(BH102="","",INDEX('REGISTRE ELEVES'!$E$10:$E$250,BH102))</f>
        <v/>
      </c>
      <c r="BL102" s="51" t="str">
        <f aca="false">IF(BI102="","",IFERROR(CHOOSE($C$9,INDEX('NOTES CM2'!$M$10:$M$250,MATCH(BI102,'NOTES CM2'!$B$10:$B$250,0)),INDEX('NOTES CM2'!$T$10:$T$250,MATCH(BI102,'NOTES CM2'!$B$10:$B$250,0)),INDEX('NOTES CM2'!$AB$10:$AB$250,MATCH(BI102,'NOTES CM2'!$B$10:$B$250,0)),INDEX('NOTES CM2'!$AJ$10:$AJ$250,MATCH(BI102,'NOTES CM2'!$B$10:$B$250,0))),""))</f>
        <v/>
      </c>
      <c r="BM102" s="51" t="str">
        <f aca="false">IF(ISNUMBER(BL102),BL102+(1000-62)/1000000,"")</f>
        <v/>
      </c>
      <c r="BN102" s="51" t="str">
        <f aca="false">IF(BI102="","",IFERROR(CHOOSE($C$9,INDEX('NOTES CM2'!$G$10:$G$250,MATCH(BI102,'NOTES CM2'!$B$10:$B$250,0)),INDEX('NOTES CM2'!$N$10:$N$250,MATCH(BI102,'NOTES CM2'!$B$10:$B$250,0)),INDEX('NOTES CM2'!$U$10:$U$250,MATCH(BI102,'NOTES CM2'!$B$10:$B$250,0)),INDEX('NOTES CM2'!$AC$10:$AC$250,MATCH(BI102,'NOTES CM2'!$B$10:$B$250,0))),""))</f>
        <v/>
      </c>
    </row>
    <row r="103" customFormat="false" ht="15" hidden="false" customHeight="false" outlineLevel="0" collapsed="false">
      <c r="Y103" s="51" t="str">
        <f aca="false">IFERROR(MATCH("CP1-63",'REGISTRE ELEVES'!$AG$10:$AG$250,0),"")</f>
        <v/>
      </c>
      <c r="Z103" s="51" t="str">
        <f aca="false">IF(Y103="","",INDEX('REGISTRE ELEVES'!$B$10:$B$250,Y103))</f>
        <v/>
      </c>
      <c r="AA103" s="51" t="str">
        <f aca="false">IF(Y103="","",INDEX('REGISTRE ELEVES'!$D$10:$D$250,Y103))</f>
        <v/>
      </c>
      <c r="AB103" s="51" t="str">
        <f aca="false">IF(Y103="","",INDEX('REGISTRE ELEVES'!$E$10:$E$250,Y103))</f>
        <v/>
      </c>
      <c r="AC103" s="51" t="str">
        <f aca="false">IF(Z103="","",IFERROR(CHOOSE($C$9,INDEX('NOTES CP'!$P$10:$P$250,MATCH(Z103,'NOTES CP'!$B$10:$B$250,0)),INDEX('NOTES CP'!$Z$10:$Z$250,MATCH(Z103,'NOTES CP'!$B$10:$B$250,0)),INDEX('NOTES CP'!$AJ$10:$AJ$250,MATCH(Z103,'NOTES CP'!$B$10:$B$250,0)),INDEX('NOTES CP'!$AT$10:$AT$250,MATCH(Z103,'NOTES CP'!$B$10:$B$250,0))),""))</f>
        <v/>
      </c>
      <c r="AD103" s="51" t="str">
        <f aca="false">IF(ISNUMBER(AC103),AC103+(1000-63)/1000000,"")</f>
        <v/>
      </c>
      <c r="AE103" s="51" t="str">
        <f aca="false">IF(Z103="","",IFERROR(CHOOSE($C$9,INDEX('NOTES CP'!$G$10:$G$250,MATCH(Z103,'NOTES CP'!$B$10:$B$250,0)),INDEX('NOTES CP'!$Q$10:$Q$250,MATCH(Z103,'NOTES CP'!$B$10:$B$250,0)),INDEX('NOTES CP'!$AA$10:$AA$250,MATCH(Z103,'NOTES CP'!$B$10:$B$250,0)),INDEX('NOTES CP'!$AK$10:$AK$250,MATCH(Z103,'NOTES CP'!$B$10:$B$250,0))),""))</f>
        <v/>
      </c>
      <c r="AF103" s="51" t="str">
        <f aca="false">IFERROR(MATCH("CP2-63",'REGISTRE ELEVES'!$AG$10:$AG$250,0),"")</f>
        <v/>
      </c>
      <c r="AG103" s="51" t="str">
        <f aca="false">IF(AF103="","",INDEX('REGISTRE ELEVES'!$B$10:$B$250,AF103))</f>
        <v/>
      </c>
      <c r="AH103" s="51" t="str">
        <f aca="false">IF(AF103="","",INDEX('REGISTRE ELEVES'!$D$10:$D$250,AF103))</f>
        <v/>
      </c>
      <c r="AI103" s="51" t="str">
        <f aca="false">IF(AF103="","",INDEX('REGISTRE ELEVES'!$E$10:$E$250,AF103))</f>
        <v/>
      </c>
      <c r="AJ103" s="51" t="str">
        <f aca="false">IF(AG103="","",IFERROR(CHOOSE($C$9,INDEX('NOTES CP'!$P$10:$P$250,MATCH(AG103,'NOTES CP'!$B$10:$B$250,0)),INDEX('NOTES CP'!$Z$10:$Z$250,MATCH(AG103,'NOTES CP'!$B$10:$B$250,0)),INDEX('NOTES CP'!$AJ$10:$AJ$250,MATCH(AG103,'NOTES CP'!$B$10:$B$250,0)),INDEX('NOTES CP'!$AT$10:$AT$250,MATCH(AG103,'NOTES CP'!$B$10:$B$250,0))),""))</f>
        <v/>
      </c>
      <c r="AK103" s="51" t="str">
        <f aca="false">IF(ISNUMBER(AJ103),AJ103+(1000-63)/1000000,"")</f>
        <v/>
      </c>
      <c r="AL103" s="51" t="str">
        <f aca="false">IF(AG103="","",IFERROR(CHOOSE($C$9,INDEX('NOTES CP'!$G$10:$G$250,MATCH(AG103,'NOTES CP'!$B$10:$B$250,0)),INDEX('NOTES CP'!$Q$10:$Q$250,MATCH(AG103,'NOTES CP'!$B$10:$B$250,0)),INDEX('NOTES CP'!$AA$10:$AA$250,MATCH(AG103,'NOTES CP'!$B$10:$B$250,0)),INDEX('NOTES CP'!$AK$10:$AK$250,MATCH(AG103,'NOTES CP'!$B$10:$B$250,0))),""))</f>
        <v/>
      </c>
      <c r="AM103" s="51" t="str">
        <f aca="false">IFERROR(MATCH("CE1-63",'REGISTRE ELEVES'!$AG$10:$AG$250,0),"")</f>
        <v/>
      </c>
      <c r="AN103" s="51" t="str">
        <f aca="false">IF(AM103="","",INDEX('REGISTRE ELEVES'!$B$10:$B$250,AM103))</f>
        <v/>
      </c>
      <c r="AO103" s="51" t="str">
        <f aca="false">IF(AM103="","",INDEX('REGISTRE ELEVES'!$D$10:$D$250,AM103))</f>
        <v/>
      </c>
      <c r="AP103" s="51" t="str">
        <f aca="false">IF(AM103="","",INDEX('REGISTRE ELEVES'!$E$10:$E$250,AM103))</f>
        <v/>
      </c>
      <c r="AQ103" s="51" t="str">
        <f aca="false">IF(AN103="","",IFERROR(CHOOSE($C$9,INDEX('NOTES CE1'!$M$10:$M$250,MATCH(AN103,'NOTES CE1'!$B$10:$B$250,0)),INDEX('NOTES CE1'!$T$10:$T$250,MATCH(AN103,'NOTES CE1'!$B$10:$B$250,0)),INDEX('NOTES CE1'!$AA$10:$AA$250,MATCH(AN103,'NOTES CE1'!$B$10:$B$250,0)),INDEX('NOTES CE1'!$AH$10:$AH$250,MATCH(AN103,'NOTES CE1'!$B$10:$B$250,0))),""))</f>
        <v/>
      </c>
      <c r="AR103" s="51" t="str">
        <f aca="false">IF(ISNUMBER(AQ103),AQ103+(1000-63)/1000000,"")</f>
        <v/>
      </c>
      <c r="AS103" s="51" t="str">
        <f aca="false">IF(AN103="","",IFERROR(CHOOSE($C$9,INDEX('NOTES CE1'!$G$10:$G$250,MATCH(AN103,'NOTES CE1'!$B$10:$B$250,0)),INDEX('NOTES CE1'!$N$10:$N$250,MATCH(AN103,'NOTES CE1'!$B$10:$B$250,0)),INDEX('NOTES CE1'!$U$10:$U$250,MATCH(AN103,'NOTES CE1'!$B$10:$B$250,0)),INDEX('NOTES CE1'!$AB$10:$AB$250,MATCH(AN103,'NOTES CE1'!$B$10:$B$250,0))),""))</f>
        <v/>
      </c>
      <c r="AT103" s="51" t="str">
        <f aca="false">IFERROR(MATCH("CE2-63",'REGISTRE ELEVES'!$AG$10:$AG$250,0),"")</f>
        <v/>
      </c>
      <c r="AU103" s="51" t="str">
        <f aca="false">IF(AT103="","",INDEX('REGISTRE ELEVES'!$B$10:$B$250,AT103))</f>
        <v/>
      </c>
      <c r="AV103" s="51" t="str">
        <f aca="false">IF(AT103="","",INDEX('REGISTRE ELEVES'!$D$10:$D$250,AT103))</f>
        <v/>
      </c>
      <c r="AW103" s="51" t="str">
        <f aca="false">IF(AT103="","",INDEX('REGISTRE ELEVES'!$E$10:$E$250,AT103))</f>
        <v/>
      </c>
      <c r="AX103" s="51" t="str">
        <f aca="false">IF(AU103="","",IFERROR(CHOOSE($C$9,INDEX('NOTES CE2-CM1'!$M$10:$M$250,MATCH(AU103,'NOTES CE2-CM1'!$B$10:$B$250,0)),INDEX('NOTES CE2-CM1'!$T$10:$T$250,MATCH(AU103,'NOTES CE2-CM1'!$B$10:$B$250,0)),INDEX('NOTES CE2-CM1'!$AA$10:$AA$250,MATCH(AU103,'NOTES CE2-CM1'!$B$10:$B$250,0)),INDEX('NOTES CE2-CM1'!$AH$10:$AH$250,MATCH(AU103,'NOTES CE2-CM1'!$B$10:$B$250,0))),""))</f>
        <v/>
      </c>
      <c r="AY103" s="51" t="str">
        <f aca="false">IF(ISNUMBER(AX103),AX103+(1000-63)/1000000,"")</f>
        <v/>
      </c>
      <c r="AZ103" s="51" t="str">
        <f aca="false">IF(AU103="","",IFERROR(CHOOSE($C$9,INDEX('NOTES CE2-CM1'!$G$10:$G$250,MATCH(AU103,'NOTES CE2-CM1'!$B$10:$B$250,0)),INDEX('NOTES CE2-CM1'!$N$10:$N$250,MATCH(AU103,'NOTES CE2-CM1'!$B$10:$B$250,0)),INDEX('NOTES CE2-CM1'!$U$10:$U$250,MATCH(AU103,'NOTES CE2-CM1'!$B$10:$B$250,0)),INDEX('NOTES CE2-CM1'!$AB$10:$AB$250,MATCH(AU103,'NOTES CE2-CM1'!$B$10:$B$250,0))),""))</f>
        <v/>
      </c>
      <c r="BA103" s="51" t="str">
        <f aca="false">IFERROR(MATCH("CM1-63",'REGISTRE ELEVES'!$AG$10:$AG$250,0),"")</f>
        <v/>
      </c>
      <c r="BB103" s="51" t="str">
        <f aca="false">IF(BA103="","",INDEX('REGISTRE ELEVES'!$B$10:$B$250,BA103))</f>
        <v/>
      </c>
      <c r="BC103" s="51" t="str">
        <f aca="false">IF(BA103="","",INDEX('REGISTRE ELEVES'!$D$10:$D$250,BA103))</f>
        <v/>
      </c>
      <c r="BD103" s="51" t="str">
        <f aca="false">IF(BA103="","",INDEX('REGISTRE ELEVES'!$E$10:$E$250,BA103))</f>
        <v/>
      </c>
      <c r="BE103" s="51" t="str">
        <f aca="false">IF(BB103="","",IFERROR(CHOOSE($C$9,INDEX('NOTES CE2-CM1'!$M$10:$M$250,MATCH(BB103,'NOTES CE2-CM1'!$B$10:$B$250,0)),INDEX('NOTES CE2-CM1'!$T$10:$T$250,MATCH(BB103,'NOTES CE2-CM1'!$B$10:$B$250,0)),INDEX('NOTES CE2-CM1'!$AA$10:$AA$250,MATCH(BB103,'NOTES CE2-CM1'!$B$10:$B$250,0)),INDEX('NOTES CE2-CM1'!$AH$10:$AH$250,MATCH(BB103,'NOTES CE2-CM1'!$B$10:$B$250,0))),""))</f>
        <v/>
      </c>
      <c r="BF103" s="51" t="str">
        <f aca="false">IF(ISNUMBER(BE103),BE103+(1000-63)/1000000,"")</f>
        <v/>
      </c>
      <c r="BG103" s="51" t="str">
        <f aca="false">IF(BB103="","",IFERROR(CHOOSE($C$9,INDEX('NOTES CE2-CM1'!$G$10:$G$250,MATCH(BB103,'NOTES CE2-CM1'!$B$10:$B$250,0)),INDEX('NOTES CE2-CM1'!$N$10:$N$250,MATCH(BB103,'NOTES CE2-CM1'!$B$10:$B$250,0)),INDEX('NOTES CE2-CM1'!$U$10:$U$250,MATCH(BB103,'NOTES CE2-CM1'!$B$10:$B$250,0)),INDEX('NOTES CE2-CM1'!$AB$10:$AB$250,MATCH(BB103,'NOTES CE2-CM1'!$B$10:$B$250,0))),""))</f>
        <v/>
      </c>
      <c r="BH103" s="51" t="str">
        <f aca="false">IFERROR(MATCH("CM2-63",'REGISTRE ELEVES'!$AG$10:$AG$250,0),"")</f>
        <v/>
      </c>
      <c r="BI103" s="51" t="str">
        <f aca="false">IF(BH103="","",INDEX('REGISTRE ELEVES'!$B$10:$B$250,BH103))</f>
        <v/>
      </c>
      <c r="BJ103" s="51" t="str">
        <f aca="false">IF(BH103="","",INDEX('REGISTRE ELEVES'!$D$10:$D$250,BH103))</f>
        <v/>
      </c>
      <c r="BK103" s="51" t="str">
        <f aca="false">IF(BH103="","",INDEX('REGISTRE ELEVES'!$E$10:$E$250,BH103))</f>
        <v/>
      </c>
      <c r="BL103" s="51" t="str">
        <f aca="false">IF(BI103="","",IFERROR(CHOOSE($C$9,INDEX('NOTES CM2'!$M$10:$M$250,MATCH(BI103,'NOTES CM2'!$B$10:$B$250,0)),INDEX('NOTES CM2'!$T$10:$T$250,MATCH(BI103,'NOTES CM2'!$B$10:$B$250,0)),INDEX('NOTES CM2'!$AB$10:$AB$250,MATCH(BI103,'NOTES CM2'!$B$10:$B$250,0)),INDEX('NOTES CM2'!$AJ$10:$AJ$250,MATCH(BI103,'NOTES CM2'!$B$10:$B$250,0))),""))</f>
        <v/>
      </c>
      <c r="BM103" s="51" t="str">
        <f aca="false">IF(ISNUMBER(BL103),BL103+(1000-63)/1000000,"")</f>
        <v/>
      </c>
      <c r="BN103" s="51" t="str">
        <f aca="false">IF(BI103="","",IFERROR(CHOOSE($C$9,INDEX('NOTES CM2'!$G$10:$G$250,MATCH(BI103,'NOTES CM2'!$B$10:$B$250,0)),INDEX('NOTES CM2'!$N$10:$N$250,MATCH(BI103,'NOTES CM2'!$B$10:$B$250,0)),INDEX('NOTES CM2'!$U$10:$U$250,MATCH(BI103,'NOTES CM2'!$B$10:$B$250,0)),INDEX('NOTES CM2'!$AC$10:$AC$250,MATCH(BI103,'NOTES CM2'!$B$10:$B$250,0))),""))</f>
        <v/>
      </c>
    </row>
    <row r="104" customFormat="false" ht="15" hidden="false" customHeight="false" outlineLevel="0" collapsed="false">
      <c r="Y104" s="51" t="str">
        <f aca="false">IFERROR(MATCH("CP1-64",'REGISTRE ELEVES'!$AG$10:$AG$250,0),"")</f>
        <v/>
      </c>
      <c r="Z104" s="51" t="str">
        <f aca="false">IF(Y104="","",INDEX('REGISTRE ELEVES'!$B$10:$B$250,Y104))</f>
        <v/>
      </c>
      <c r="AA104" s="51" t="str">
        <f aca="false">IF(Y104="","",INDEX('REGISTRE ELEVES'!$D$10:$D$250,Y104))</f>
        <v/>
      </c>
      <c r="AB104" s="51" t="str">
        <f aca="false">IF(Y104="","",INDEX('REGISTRE ELEVES'!$E$10:$E$250,Y104))</f>
        <v/>
      </c>
      <c r="AC104" s="51" t="str">
        <f aca="false">IF(Z104="","",IFERROR(CHOOSE($C$9,INDEX('NOTES CP'!$P$10:$P$250,MATCH(Z104,'NOTES CP'!$B$10:$B$250,0)),INDEX('NOTES CP'!$Z$10:$Z$250,MATCH(Z104,'NOTES CP'!$B$10:$B$250,0)),INDEX('NOTES CP'!$AJ$10:$AJ$250,MATCH(Z104,'NOTES CP'!$B$10:$B$250,0)),INDEX('NOTES CP'!$AT$10:$AT$250,MATCH(Z104,'NOTES CP'!$B$10:$B$250,0))),""))</f>
        <v/>
      </c>
      <c r="AD104" s="51" t="str">
        <f aca="false">IF(ISNUMBER(AC104),AC104+(1000-64)/1000000,"")</f>
        <v/>
      </c>
      <c r="AE104" s="51" t="str">
        <f aca="false">IF(Z104="","",IFERROR(CHOOSE($C$9,INDEX('NOTES CP'!$G$10:$G$250,MATCH(Z104,'NOTES CP'!$B$10:$B$250,0)),INDEX('NOTES CP'!$Q$10:$Q$250,MATCH(Z104,'NOTES CP'!$B$10:$B$250,0)),INDEX('NOTES CP'!$AA$10:$AA$250,MATCH(Z104,'NOTES CP'!$B$10:$B$250,0)),INDEX('NOTES CP'!$AK$10:$AK$250,MATCH(Z104,'NOTES CP'!$B$10:$B$250,0))),""))</f>
        <v/>
      </c>
      <c r="AF104" s="51" t="str">
        <f aca="false">IFERROR(MATCH("CP2-64",'REGISTRE ELEVES'!$AG$10:$AG$250,0),"")</f>
        <v/>
      </c>
      <c r="AG104" s="51" t="str">
        <f aca="false">IF(AF104="","",INDEX('REGISTRE ELEVES'!$B$10:$B$250,AF104))</f>
        <v/>
      </c>
      <c r="AH104" s="51" t="str">
        <f aca="false">IF(AF104="","",INDEX('REGISTRE ELEVES'!$D$10:$D$250,AF104))</f>
        <v/>
      </c>
      <c r="AI104" s="51" t="str">
        <f aca="false">IF(AF104="","",INDEX('REGISTRE ELEVES'!$E$10:$E$250,AF104))</f>
        <v/>
      </c>
      <c r="AJ104" s="51" t="str">
        <f aca="false">IF(AG104="","",IFERROR(CHOOSE($C$9,INDEX('NOTES CP'!$P$10:$P$250,MATCH(AG104,'NOTES CP'!$B$10:$B$250,0)),INDEX('NOTES CP'!$Z$10:$Z$250,MATCH(AG104,'NOTES CP'!$B$10:$B$250,0)),INDEX('NOTES CP'!$AJ$10:$AJ$250,MATCH(AG104,'NOTES CP'!$B$10:$B$250,0)),INDEX('NOTES CP'!$AT$10:$AT$250,MATCH(AG104,'NOTES CP'!$B$10:$B$250,0))),""))</f>
        <v/>
      </c>
      <c r="AK104" s="51" t="str">
        <f aca="false">IF(ISNUMBER(AJ104),AJ104+(1000-64)/1000000,"")</f>
        <v/>
      </c>
      <c r="AL104" s="51" t="str">
        <f aca="false">IF(AG104="","",IFERROR(CHOOSE($C$9,INDEX('NOTES CP'!$G$10:$G$250,MATCH(AG104,'NOTES CP'!$B$10:$B$250,0)),INDEX('NOTES CP'!$Q$10:$Q$250,MATCH(AG104,'NOTES CP'!$B$10:$B$250,0)),INDEX('NOTES CP'!$AA$10:$AA$250,MATCH(AG104,'NOTES CP'!$B$10:$B$250,0)),INDEX('NOTES CP'!$AK$10:$AK$250,MATCH(AG104,'NOTES CP'!$B$10:$B$250,0))),""))</f>
        <v/>
      </c>
      <c r="AM104" s="51" t="str">
        <f aca="false">IFERROR(MATCH("CE1-64",'REGISTRE ELEVES'!$AG$10:$AG$250,0),"")</f>
        <v/>
      </c>
      <c r="AN104" s="51" t="str">
        <f aca="false">IF(AM104="","",INDEX('REGISTRE ELEVES'!$B$10:$B$250,AM104))</f>
        <v/>
      </c>
      <c r="AO104" s="51" t="str">
        <f aca="false">IF(AM104="","",INDEX('REGISTRE ELEVES'!$D$10:$D$250,AM104))</f>
        <v/>
      </c>
      <c r="AP104" s="51" t="str">
        <f aca="false">IF(AM104="","",INDEX('REGISTRE ELEVES'!$E$10:$E$250,AM104))</f>
        <v/>
      </c>
      <c r="AQ104" s="51" t="str">
        <f aca="false">IF(AN104="","",IFERROR(CHOOSE($C$9,INDEX('NOTES CE1'!$M$10:$M$250,MATCH(AN104,'NOTES CE1'!$B$10:$B$250,0)),INDEX('NOTES CE1'!$T$10:$T$250,MATCH(AN104,'NOTES CE1'!$B$10:$B$250,0)),INDEX('NOTES CE1'!$AA$10:$AA$250,MATCH(AN104,'NOTES CE1'!$B$10:$B$250,0)),INDEX('NOTES CE1'!$AH$10:$AH$250,MATCH(AN104,'NOTES CE1'!$B$10:$B$250,0))),""))</f>
        <v/>
      </c>
      <c r="AR104" s="51" t="str">
        <f aca="false">IF(ISNUMBER(AQ104),AQ104+(1000-64)/1000000,"")</f>
        <v/>
      </c>
      <c r="AS104" s="51" t="str">
        <f aca="false">IF(AN104="","",IFERROR(CHOOSE($C$9,INDEX('NOTES CE1'!$G$10:$G$250,MATCH(AN104,'NOTES CE1'!$B$10:$B$250,0)),INDEX('NOTES CE1'!$N$10:$N$250,MATCH(AN104,'NOTES CE1'!$B$10:$B$250,0)),INDEX('NOTES CE1'!$U$10:$U$250,MATCH(AN104,'NOTES CE1'!$B$10:$B$250,0)),INDEX('NOTES CE1'!$AB$10:$AB$250,MATCH(AN104,'NOTES CE1'!$B$10:$B$250,0))),""))</f>
        <v/>
      </c>
      <c r="AT104" s="51" t="str">
        <f aca="false">IFERROR(MATCH("CE2-64",'REGISTRE ELEVES'!$AG$10:$AG$250,0),"")</f>
        <v/>
      </c>
      <c r="AU104" s="51" t="str">
        <f aca="false">IF(AT104="","",INDEX('REGISTRE ELEVES'!$B$10:$B$250,AT104))</f>
        <v/>
      </c>
      <c r="AV104" s="51" t="str">
        <f aca="false">IF(AT104="","",INDEX('REGISTRE ELEVES'!$D$10:$D$250,AT104))</f>
        <v/>
      </c>
      <c r="AW104" s="51" t="str">
        <f aca="false">IF(AT104="","",INDEX('REGISTRE ELEVES'!$E$10:$E$250,AT104))</f>
        <v/>
      </c>
      <c r="AX104" s="51" t="str">
        <f aca="false">IF(AU104="","",IFERROR(CHOOSE($C$9,INDEX('NOTES CE2-CM1'!$M$10:$M$250,MATCH(AU104,'NOTES CE2-CM1'!$B$10:$B$250,0)),INDEX('NOTES CE2-CM1'!$T$10:$T$250,MATCH(AU104,'NOTES CE2-CM1'!$B$10:$B$250,0)),INDEX('NOTES CE2-CM1'!$AA$10:$AA$250,MATCH(AU104,'NOTES CE2-CM1'!$B$10:$B$250,0)),INDEX('NOTES CE2-CM1'!$AH$10:$AH$250,MATCH(AU104,'NOTES CE2-CM1'!$B$10:$B$250,0))),""))</f>
        <v/>
      </c>
      <c r="AY104" s="51" t="str">
        <f aca="false">IF(ISNUMBER(AX104),AX104+(1000-64)/1000000,"")</f>
        <v/>
      </c>
      <c r="AZ104" s="51" t="str">
        <f aca="false">IF(AU104="","",IFERROR(CHOOSE($C$9,INDEX('NOTES CE2-CM1'!$G$10:$G$250,MATCH(AU104,'NOTES CE2-CM1'!$B$10:$B$250,0)),INDEX('NOTES CE2-CM1'!$N$10:$N$250,MATCH(AU104,'NOTES CE2-CM1'!$B$10:$B$250,0)),INDEX('NOTES CE2-CM1'!$U$10:$U$250,MATCH(AU104,'NOTES CE2-CM1'!$B$10:$B$250,0)),INDEX('NOTES CE2-CM1'!$AB$10:$AB$250,MATCH(AU104,'NOTES CE2-CM1'!$B$10:$B$250,0))),""))</f>
        <v/>
      </c>
      <c r="BA104" s="51" t="str">
        <f aca="false">IFERROR(MATCH("CM1-64",'REGISTRE ELEVES'!$AG$10:$AG$250,0),"")</f>
        <v/>
      </c>
      <c r="BB104" s="51" t="str">
        <f aca="false">IF(BA104="","",INDEX('REGISTRE ELEVES'!$B$10:$B$250,BA104))</f>
        <v/>
      </c>
      <c r="BC104" s="51" t="str">
        <f aca="false">IF(BA104="","",INDEX('REGISTRE ELEVES'!$D$10:$D$250,BA104))</f>
        <v/>
      </c>
      <c r="BD104" s="51" t="str">
        <f aca="false">IF(BA104="","",INDEX('REGISTRE ELEVES'!$E$10:$E$250,BA104))</f>
        <v/>
      </c>
      <c r="BE104" s="51" t="str">
        <f aca="false">IF(BB104="","",IFERROR(CHOOSE($C$9,INDEX('NOTES CE2-CM1'!$M$10:$M$250,MATCH(BB104,'NOTES CE2-CM1'!$B$10:$B$250,0)),INDEX('NOTES CE2-CM1'!$T$10:$T$250,MATCH(BB104,'NOTES CE2-CM1'!$B$10:$B$250,0)),INDEX('NOTES CE2-CM1'!$AA$10:$AA$250,MATCH(BB104,'NOTES CE2-CM1'!$B$10:$B$250,0)),INDEX('NOTES CE2-CM1'!$AH$10:$AH$250,MATCH(BB104,'NOTES CE2-CM1'!$B$10:$B$250,0))),""))</f>
        <v/>
      </c>
      <c r="BF104" s="51" t="str">
        <f aca="false">IF(ISNUMBER(BE104),BE104+(1000-64)/1000000,"")</f>
        <v/>
      </c>
      <c r="BG104" s="51" t="str">
        <f aca="false">IF(BB104="","",IFERROR(CHOOSE($C$9,INDEX('NOTES CE2-CM1'!$G$10:$G$250,MATCH(BB104,'NOTES CE2-CM1'!$B$10:$B$250,0)),INDEX('NOTES CE2-CM1'!$N$10:$N$250,MATCH(BB104,'NOTES CE2-CM1'!$B$10:$B$250,0)),INDEX('NOTES CE2-CM1'!$U$10:$U$250,MATCH(BB104,'NOTES CE2-CM1'!$B$10:$B$250,0)),INDEX('NOTES CE2-CM1'!$AB$10:$AB$250,MATCH(BB104,'NOTES CE2-CM1'!$B$10:$B$250,0))),""))</f>
        <v/>
      </c>
      <c r="BH104" s="51" t="str">
        <f aca="false">IFERROR(MATCH("CM2-64",'REGISTRE ELEVES'!$AG$10:$AG$250,0),"")</f>
        <v/>
      </c>
      <c r="BI104" s="51" t="str">
        <f aca="false">IF(BH104="","",INDEX('REGISTRE ELEVES'!$B$10:$B$250,BH104))</f>
        <v/>
      </c>
      <c r="BJ104" s="51" t="str">
        <f aca="false">IF(BH104="","",INDEX('REGISTRE ELEVES'!$D$10:$D$250,BH104))</f>
        <v/>
      </c>
      <c r="BK104" s="51" t="str">
        <f aca="false">IF(BH104="","",INDEX('REGISTRE ELEVES'!$E$10:$E$250,BH104))</f>
        <v/>
      </c>
      <c r="BL104" s="51" t="str">
        <f aca="false">IF(BI104="","",IFERROR(CHOOSE($C$9,INDEX('NOTES CM2'!$M$10:$M$250,MATCH(BI104,'NOTES CM2'!$B$10:$B$250,0)),INDEX('NOTES CM2'!$T$10:$T$250,MATCH(BI104,'NOTES CM2'!$B$10:$B$250,0)),INDEX('NOTES CM2'!$AB$10:$AB$250,MATCH(BI104,'NOTES CM2'!$B$10:$B$250,0)),INDEX('NOTES CM2'!$AJ$10:$AJ$250,MATCH(BI104,'NOTES CM2'!$B$10:$B$250,0))),""))</f>
        <v/>
      </c>
      <c r="BM104" s="51" t="str">
        <f aca="false">IF(ISNUMBER(BL104),BL104+(1000-64)/1000000,"")</f>
        <v/>
      </c>
      <c r="BN104" s="51" t="str">
        <f aca="false">IF(BI104="","",IFERROR(CHOOSE($C$9,INDEX('NOTES CM2'!$G$10:$G$250,MATCH(BI104,'NOTES CM2'!$B$10:$B$250,0)),INDEX('NOTES CM2'!$N$10:$N$250,MATCH(BI104,'NOTES CM2'!$B$10:$B$250,0)),INDEX('NOTES CM2'!$U$10:$U$250,MATCH(BI104,'NOTES CM2'!$B$10:$B$250,0)),INDEX('NOTES CM2'!$AC$10:$AC$250,MATCH(BI104,'NOTES CM2'!$B$10:$B$250,0))),""))</f>
        <v/>
      </c>
    </row>
    <row r="105" customFormat="false" ht="15" hidden="false" customHeight="false" outlineLevel="0" collapsed="false">
      <c r="Y105" s="51" t="str">
        <f aca="false">IFERROR(MATCH("CP1-65",'REGISTRE ELEVES'!$AG$10:$AG$250,0),"")</f>
        <v/>
      </c>
      <c r="Z105" s="51" t="str">
        <f aca="false">IF(Y105="","",INDEX('REGISTRE ELEVES'!$B$10:$B$250,Y105))</f>
        <v/>
      </c>
      <c r="AA105" s="51" t="str">
        <f aca="false">IF(Y105="","",INDEX('REGISTRE ELEVES'!$D$10:$D$250,Y105))</f>
        <v/>
      </c>
      <c r="AB105" s="51" t="str">
        <f aca="false">IF(Y105="","",INDEX('REGISTRE ELEVES'!$E$10:$E$250,Y105))</f>
        <v/>
      </c>
      <c r="AC105" s="51" t="str">
        <f aca="false">IF(Z105="","",IFERROR(CHOOSE($C$9,INDEX('NOTES CP'!$P$10:$P$250,MATCH(Z105,'NOTES CP'!$B$10:$B$250,0)),INDEX('NOTES CP'!$Z$10:$Z$250,MATCH(Z105,'NOTES CP'!$B$10:$B$250,0)),INDEX('NOTES CP'!$AJ$10:$AJ$250,MATCH(Z105,'NOTES CP'!$B$10:$B$250,0)),INDEX('NOTES CP'!$AT$10:$AT$250,MATCH(Z105,'NOTES CP'!$B$10:$B$250,0))),""))</f>
        <v/>
      </c>
      <c r="AD105" s="51" t="str">
        <f aca="false">IF(ISNUMBER(AC105),AC105+(1000-65)/1000000,"")</f>
        <v/>
      </c>
      <c r="AE105" s="51" t="str">
        <f aca="false">IF(Z105="","",IFERROR(CHOOSE($C$9,INDEX('NOTES CP'!$G$10:$G$250,MATCH(Z105,'NOTES CP'!$B$10:$B$250,0)),INDEX('NOTES CP'!$Q$10:$Q$250,MATCH(Z105,'NOTES CP'!$B$10:$B$250,0)),INDEX('NOTES CP'!$AA$10:$AA$250,MATCH(Z105,'NOTES CP'!$B$10:$B$250,0)),INDEX('NOTES CP'!$AK$10:$AK$250,MATCH(Z105,'NOTES CP'!$B$10:$B$250,0))),""))</f>
        <v/>
      </c>
      <c r="AF105" s="51" t="str">
        <f aca="false">IFERROR(MATCH("CP2-65",'REGISTRE ELEVES'!$AG$10:$AG$250,0),"")</f>
        <v/>
      </c>
      <c r="AG105" s="51" t="str">
        <f aca="false">IF(AF105="","",INDEX('REGISTRE ELEVES'!$B$10:$B$250,AF105))</f>
        <v/>
      </c>
      <c r="AH105" s="51" t="str">
        <f aca="false">IF(AF105="","",INDEX('REGISTRE ELEVES'!$D$10:$D$250,AF105))</f>
        <v/>
      </c>
      <c r="AI105" s="51" t="str">
        <f aca="false">IF(AF105="","",INDEX('REGISTRE ELEVES'!$E$10:$E$250,AF105))</f>
        <v/>
      </c>
      <c r="AJ105" s="51" t="str">
        <f aca="false">IF(AG105="","",IFERROR(CHOOSE($C$9,INDEX('NOTES CP'!$P$10:$P$250,MATCH(AG105,'NOTES CP'!$B$10:$B$250,0)),INDEX('NOTES CP'!$Z$10:$Z$250,MATCH(AG105,'NOTES CP'!$B$10:$B$250,0)),INDEX('NOTES CP'!$AJ$10:$AJ$250,MATCH(AG105,'NOTES CP'!$B$10:$B$250,0)),INDEX('NOTES CP'!$AT$10:$AT$250,MATCH(AG105,'NOTES CP'!$B$10:$B$250,0))),""))</f>
        <v/>
      </c>
      <c r="AK105" s="51" t="str">
        <f aca="false">IF(ISNUMBER(AJ105),AJ105+(1000-65)/1000000,"")</f>
        <v/>
      </c>
      <c r="AL105" s="51" t="str">
        <f aca="false">IF(AG105="","",IFERROR(CHOOSE($C$9,INDEX('NOTES CP'!$G$10:$G$250,MATCH(AG105,'NOTES CP'!$B$10:$B$250,0)),INDEX('NOTES CP'!$Q$10:$Q$250,MATCH(AG105,'NOTES CP'!$B$10:$B$250,0)),INDEX('NOTES CP'!$AA$10:$AA$250,MATCH(AG105,'NOTES CP'!$B$10:$B$250,0)),INDEX('NOTES CP'!$AK$10:$AK$250,MATCH(AG105,'NOTES CP'!$B$10:$B$250,0))),""))</f>
        <v/>
      </c>
      <c r="AM105" s="51" t="str">
        <f aca="false">IFERROR(MATCH("CE1-65",'REGISTRE ELEVES'!$AG$10:$AG$250,0),"")</f>
        <v/>
      </c>
      <c r="AN105" s="51" t="str">
        <f aca="false">IF(AM105="","",INDEX('REGISTRE ELEVES'!$B$10:$B$250,AM105))</f>
        <v/>
      </c>
      <c r="AO105" s="51" t="str">
        <f aca="false">IF(AM105="","",INDEX('REGISTRE ELEVES'!$D$10:$D$250,AM105))</f>
        <v/>
      </c>
      <c r="AP105" s="51" t="str">
        <f aca="false">IF(AM105="","",INDEX('REGISTRE ELEVES'!$E$10:$E$250,AM105))</f>
        <v/>
      </c>
      <c r="AQ105" s="51" t="str">
        <f aca="false">IF(AN105="","",IFERROR(CHOOSE($C$9,INDEX('NOTES CE1'!$M$10:$M$250,MATCH(AN105,'NOTES CE1'!$B$10:$B$250,0)),INDEX('NOTES CE1'!$T$10:$T$250,MATCH(AN105,'NOTES CE1'!$B$10:$B$250,0)),INDEX('NOTES CE1'!$AA$10:$AA$250,MATCH(AN105,'NOTES CE1'!$B$10:$B$250,0)),INDEX('NOTES CE1'!$AH$10:$AH$250,MATCH(AN105,'NOTES CE1'!$B$10:$B$250,0))),""))</f>
        <v/>
      </c>
      <c r="AR105" s="51" t="str">
        <f aca="false">IF(ISNUMBER(AQ105),AQ105+(1000-65)/1000000,"")</f>
        <v/>
      </c>
      <c r="AS105" s="51" t="str">
        <f aca="false">IF(AN105="","",IFERROR(CHOOSE($C$9,INDEX('NOTES CE1'!$G$10:$G$250,MATCH(AN105,'NOTES CE1'!$B$10:$B$250,0)),INDEX('NOTES CE1'!$N$10:$N$250,MATCH(AN105,'NOTES CE1'!$B$10:$B$250,0)),INDEX('NOTES CE1'!$U$10:$U$250,MATCH(AN105,'NOTES CE1'!$B$10:$B$250,0)),INDEX('NOTES CE1'!$AB$10:$AB$250,MATCH(AN105,'NOTES CE1'!$B$10:$B$250,0))),""))</f>
        <v/>
      </c>
      <c r="AT105" s="51" t="str">
        <f aca="false">IFERROR(MATCH("CE2-65",'REGISTRE ELEVES'!$AG$10:$AG$250,0),"")</f>
        <v/>
      </c>
      <c r="AU105" s="51" t="str">
        <f aca="false">IF(AT105="","",INDEX('REGISTRE ELEVES'!$B$10:$B$250,AT105))</f>
        <v/>
      </c>
      <c r="AV105" s="51" t="str">
        <f aca="false">IF(AT105="","",INDEX('REGISTRE ELEVES'!$D$10:$D$250,AT105))</f>
        <v/>
      </c>
      <c r="AW105" s="51" t="str">
        <f aca="false">IF(AT105="","",INDEX('REGISTRE ELEVES'!$E$10:$E$250,AT105))</f>
        <v/>
      </c>
      <c r="AX105" s="51" t="str">
        <f aca="false">IF(AU105="","",IFERROR(CHOOSE($C$9,INDEX('NOTES CE2-CM1'!$M$10:$M$250,MATCH(AU105,'NOTES CE2-CM1'!$B$10:$B$250,0)),INDEX('NOTES CE2-CM1'!$T$10:$T$250,MATCH(AU105,'NOTES CE2-CM1'!$B$10:$B$250,0)),INDEX('NOTES CE2-CM1'!$AA$10:$AA$250,MATCH(AU105,'NOTES CE2-CM1'!$B$10:$B$250,0)),INDEX('NOTES CE2-CM1'!$AH$10:$AH$250,MATCH(AU105,'NOTES CE2-CM1'!$B$10:$B$250,0))),""))</f>
        <v/>
      </c>
      <c r="AY105" s="51" t="str">
        <f aca="false">IF(ISNUMBER(AX105),AX105+(1000-65)/1000000,"")</f>
        <v/>
      </c>
      <c r="AZ105" s="51" t="str">
        <f aca="false">IF(AU105="","",IFERROR(CHOOSE($C$9,INDEX('NOTES CE2-CM1'!$G$10:$G$250,MATCH(AU105,'NOTES CE2-CM1'!$B$10:$B$250,0)),INDEX('NOTES CE2-CM1'!$N$10:$N$250,MATCH(AU105,'NOTES CE2-CM1'!$B$10:$B$250,0)),INDEX('NOTES CE2-CM1'!$U$10:$U$250,MATCH(AU105,'NOTES CE2-CM1'!$B$10:$B$250,0)),INDEX('NOTES CE2-CM1'!$AB$10:$AB$250,MATCH(AU105,'NOTES CE2-CM1'!$B$10:$B$250,0))),""))</f>
        <v/>
      </c>
      <c r="BA105" s="51" t="str">
        <f aca="false">IFERROR(MATCH("CM1-65",'REGISTRE ELEVES'!$AG$10:$AG$250,0),"")</f>
        <v/>
      </c>
      <c r="BB105" s="51" t="str">
        <f aca="false">IF(BA105="","",INDEX('REGISTRE ELEVES'!$B$10:$B$250,BA105))</f>
        <v/>
      </c>
      <c r="BC105" s="51" t="str">
        <f aca="false">IF(BA105="","",INDEX('REGISTRE ELEVES'!$D$10:$D$250,BA105))</f>
        <v/>
      </c>
      <c r="BD105" s="51" t="str">
        <f aca="false">IF(BA105="","",INDEX('REGISTRE ELEVES'!$E$10:$E$250,BA105))</f>
        <v/>
      </c>
      <c r="BE105" s="51" t="str">
        <f aca="false">IF(BB105="","",IFERROR(CHOOSE($C$9,INDEX('NOTES CE2-CM1'!$M$10:$M$250,MATCH(BB105,'NOTES CE2-CM1'!$B$10:$B$250,0)),INDEX('NOTES CE2-CM1'!$T$10:$T$250,MATCH(BB105,'NOTES CE2-CM1'!$B$10:$B$250,0)),INDEX('NOTES CE2-CM1'!$AA$10:$AA$250,MATCH(BB105,'NOTES CE2-CM1'!$B$10:$B$250,0)),INDEX('NOTES CE2-CM1'!$AH$10:$AH$250,MATCH(BB105,'NOTES CE2-CM1'!$B$10:$B$250,0))),""))</f>
        <v/>
      </c>
      <c r="BF105" s="51" t="str">
        <f aca="false">IF(ISNUMBER(BE105),BE105+(1000-65)/1000000,"")</f>
        <v/>
      </c>
      <c r="BG105" s="51" t="str">
        <f aca="false">IF(BB105="","",IFERROR(CHOOSE($C$9,INDEX('NOTES CE2-CM1'!$G$10:$G$250,MATCH(BB105,'NOTES CE2-CM1'!$B$10:$B$250,0)),INDEX('NOTES CE2-CM1'!$N$10:$N$250,MATCH(BB105,'NOTES CE2-CM1'!$B$10:$B$250,0)),INDEX('NOTES CE2-CM1'!$U$10:$U$250,MATCH(BB105,'NOTES CE2-CM1'!$B$10:$B$250,0)),INDEX('NOTES CE2-CM1'!$AB$10:$AB$250,MATCH(BB105,'NOTES CE2-CM1'!$B$10:$B$250,0))),""))</f>
        <v/>
      </c>
      <c r="BH105" s="51" t="str">
        <f aca="false">IFERROR(MATCH("CM2-65",'REGISTRE ELEVES'!$AG$10:$AG$250,0),"")</f>
        <v/>
      </c>
      <c r="BI105" s="51" t="str">
        <f aca="false">IF(BH105="","",INDEX('REGISTRE ELEVES'!$B$10:$B$250,BH105))</f>
        <v/>
      </c>
      <c r="BJ105" s="51" t="str">
        <f aca="false">IF(BH105="","",INDEX('REGISTRE ELEVES'!$D$10:$D$250,BH105))</f>
        <v/>
      </c>
      <c r="BK105" s="51" t="str">
        <f aca="false">IF(BH105="","",INDEX('REGISTRE ELEVES'!$E$10:$E$250,BH105))</f>
        <v/>
      </c>
      <c r="BL105" s="51" t="str">
        <f aca="false">IF(BI105="","",IFERROR(CHOOSE($C$9,INDEX('NOTES CM2'!$M$10:$M$250,MATCH(BI105,'NOTES CM2'!$B$10:$B$250,0)),INDEX('NOTES CM2'!$T$10:$T$250,MATCH(BI105,'NOTES CM2'!$B$10:$B$250,0)),INDEX('NOTES CM2'!$AB$10:$AB$250,MATCH(BI105,'NOTES CM2'!$B$10:$B$250,0)),INDEX('NOTES CM2'!$AJ$10:$AJ$250,MATCH(BI105,'NOTES CM2'!$B$10:$B$250,0))),""))</f>
        <v/>
      </c>
      <c r="BM105" s="51" t="str">
        <f aca="false">IF(ISNUMBER(BL105),BL105+(1000-65)/1000000,"")</f>
        <v/>
      </c>
      <c r="BN105" s="51" t="str">
        <f aca="false">IF(BI105="","",IFERROR(CHOOSE($C$9,INDEX('NOTES CM2'!$G$10:$G$250,MATCH(BI105,'NOTES CM2'!$B$10:$B$250,0)),INDEX('NOTES CM2'!$N$10:$N$250,MATCH(BI105,'NOTES CM2'!$B$10:$B$250,0)),INDEX('NOTES CM2'!$U$10:$U$250,MATCH(BI105,'NOTES CM2'!$B$10:$B$250,0)),INDEX('NOTES CM2'!$AC$10:$AC$250,MATCH(BI105,'NOTES CM2'!$B$10:$B$250,0))),""))</f>
        <v/>
      </c>
    </row>
    <row r="106" customFormat="false" ht="15" hidden="false" customHeight="false" outlineLevel="0" collapsed="false">
      <c r="Y106" s="51" t="str">
        <f aca="false">IFERROR(MATCH("CP1-66",'REGISTRE ELEVES'!$AG$10:$AG$250,0),"")</f>
        <v/>
      </c>
      <c r="Z106" s="51" t="str">
        <f aca="false">IF(Y106="","",INDEX('REGISTRE ELEVES'!$B$10:$B$250,Y106))</f>
        <v/>
      </c>
      <c r="AA106" s="51" t="str">
        <f aca="false">IF(Y106="","",INDEX('REGISTRE ELEVES'!$D$10:$D$250,Y106))</f>
        <v/>
      </c>
      <c r="AB106" s="51" t="str">
        <f aca="false">IF(Y106="","",INDEX('REGISTRE ELEVES'!$E$10:$E$250,Y106))</f>
        <v/>
      </c>
      <c r="AC106" s="51" t="str">
        <f aca="false">IF(Z106="","",IFERROR(CHOOSE($C$9,INDEX('NOTES CP'!$P$10:$P$250,MATCH(Z106,'NOTES CP'!$B$10:$B$250,0)),INDEX('NOTES CP'!$Z$10:$Z$250,MATCH(Z106,'NOTES CP'!$B$10:$B$250,0)),INDEX('NOTES CP'!$AJ$10:$AJ$250,MATCH(Z106,'NOTES CP'!$B$10:$B$250,0)),INDEX('NOTES CP'!$AT$10:$AT$250,MATCH(Z106,'NOTES CP'!$B$10:$B$250,0))),""))</f>
        <v/>
      </c>
      <c r="AD106" s="51" t="str">
        <f aca="false">IF(ISNUMBER(AC106),AC106+(1000-66)/1000000,"")</f>
        <v/>
      </c>
      <c r="AE106" s="51" t="str">
        <f aca="false">IF(Z106="","",IFERROR(CHOOSE($C$9,INDEX('NOTES CP'!$G$10:$G$250,MATCH(Z106,'NOTES CP'!$B$10:$B$250,0)),INDEX('NOTES CP'!$Q$10:$Q$250,MATCH(Z106,'NOTES CP'!$B$10:$B$250,0)),INDEX('NOTES CP'!$AA$10:$AA$250,MATCH(Z106,'NOTES CP'!$B$10:$B$250,0)),INDEX('NOTES CP'!$AK$10:$AK$250,MATCH(Z106,'NOTES CP'!$B$10:$B$250,0))),""))</f>
        <v/>
      </c>
      <c r="AF106" s="51" t="str">
        <f aca="false">IFERROR(MATCH("CP2-66",'REGISTRE ELEVES'!$AG$10:$AG$250,0),"")</f>
        <v/>
      </c>
      <c r="AG106" s="51" t="str">
        <f aca="false">IF(AF106="","",INDEX('REGISTRE ELEVES'!$B$10:$B$250,AF106))</f>
        <v/>
      </c>
      <c r="AH106" s="51" t="str">
        <f aca="false">IF(AF106="","",INDEX('REGISTRE ELEVES'!$D$10:$D$250,AF106))</f>
        <v/>
      </c>
      <c r="AI106" s="51" t="str">
        <f aca="false">IF(AF106="","",INDEX('REGISTRE ELEVES'!$E$10:$E$250,AF106))</f>
        <v/>
      </c>
      <c r="AJ106" s="51" t="str">
        <f aca="false">IF(AG106="","",IFERROR(CHOOSE($C$9,INDEX('NOTES CP'!$P$10:$P$250,MATCH(AG106,'NOTES CP'!$B$10:$B$250,0)),INDEX('NOTES CP'!$Z$10:$Z$250,MATCH(AG106,'NOTES CP'!$B$10:$B$250,0)),INDEX('NOTES CP'!$AJ$10:$AJ$250,MATCH(AG106,'NOTES CP'!$B$10:$B$250,0)),INDEX('NOTES CP'!$AT$10:$AT$250,MATCH(AG106,'NOTES CP'!$B$10:$B$250,0))),""))</f>
        <v/>
      </c>
      <c r="AK106" s="51" t="str">
        <f aca="false">IF(ISNUMBER(AJ106),AJ106+(1000-66)/1000000,"")</f>
        <v/>
      </c>
      <c r="AL106" s="51" t="str">
        <f aca="false">IF(AG106="","",IFERROR(CHOOSE($C$9,INDEX('NOTES CP'!$G$10:$G$250,MATCH(AG106,'NOTES CP'!$B$10:$B$250,0)),INDEX('NOTES CP'!$Q$10:$Q$250,MATCH(AG106,'NOTES CP'!$B$10:$B$250,0)),INDEX('NOTES CP'!$AA$10:$AA$250,MATCH(AG106,'NOTES CP'!$B$10:$B$250,0)),INDEX('NOTES CP'!$AK$10:$AK$250,MATCH(AG106,'NOTES CP'!$B$10:$B$250,0))),""))</f>
        <v/>
      </c>
      <c r="AM106" s="51" t="str">
        <f aca="false">IFERROR(MATCH("CE1-66",'REGISTRE ELEVES'!$AG$10:$AG$250,0),"")</f>
        <v/>
      </c>
      <c r="AN106" s="51" t="str">
        <f aca="false">IF(AM106="","",INDEX('REGISTRE ELEVES'!$B$10:$B$250,AM106))</f>
        <v/>
      </c>
      <c r="AO106" s="51" t="str">
        <f aca="false">IF(AM106="","",INDEX('REGISTRE ELEVES'!$D$10:$D$250,AM106))</f>
        <v/>
      </c>
      <c r="AP106" s="51" t="str">
        <f aca="false">IF(AM106="","",INDEX('REGISTRE ELEVES'!$E$10:$E$250,AM106))</f>
        <v/>
      </c>
      <c r="AQ106" s="51" t="str">
        <f aca="false">IF(AN106="","",IFERROR(CHOOSE($C$9,INDEX('NOTES CE1'!$M$10:$M$250,MATCH(AN106,'NOTES CE1'!$B$10:$B$250,0)),INDEX('NOTES CE1'!$T$10:$T$250,MATCH(AN106,'NOTES CE1'!$B$10:$B$250,0)),INDEX('NOTES CE1'!$AA$10:$AA$250,MATCH(AN106,'NOTES CE1'!$B$10:$B$250,0)),INDEX('NOTES CE1'!$AH$10:$AH$250,MATCH(AN106,'NOTES CE1'!$B$10:$B$250,0))),""))</f>
        <v/>
      </c>
      <c r="AR106" s="51" t="str">
        <f aca="false">IF(ISNUMBER(AQ106),AQ106+(1000-66)/1000000,"")</f>
        <v/>
      </c>
      <c r="AS106" s="51" t="str">
        <f aca="false">IF(AN106="","",IFERROR(CHOOSE($C$9,INDEX('NOTES CE1'!$G$10:$G$250,MATCH(AN106,'NOTES CE1'!$B$10:$B$250,0)),INDEX('NOTES CE1'!$N$10:$N$250,MATCH(AN106,'NOTES CE1'!$B$10:$B$250,0)),INDEX('NOTES CE1'!$U$10:$U$250,MATCH(AN106,'NOTES CE1'!$B$10:$B$250,0)),INDEX('NOTES CE1'!$AB$10:$AB$250,MATCH(AN106,'NOTES CE1'!$B$10:$B$250,0))),""))</f>
        <v/>
      </c>
      <c r="AT106" s="51" t="str">
        <f aca="false">IFERROR(MATCH("CE2-66",'REGISTRE ELEVES'!$AG$10:$AG$250,0),"")</f>
        <v/>
      </c>
      <c r="AU106" s="51" t="str">
        <f aca="false">IF(AT106="","",INDEX('REGISTRE ELEVES'!$B$10:$B$250,AT106))</f>
        <v/>
      </c>
      <c r="AV106" s="51" t="str">
        <f aca="false">IF(AT106="","",INDEX('REGISTRE ELEVES'!$D$10:$D$250,AT106))</f>
        <v/>
      </c>
      <c r="AW106" s="51" t="str">
        <f aca="false">IF(AT106="","",INDEX('REGISTRE ELEVES'!$E$10:$E$250,AT106))</f>
        <v/>
      </c>
      <c r="AX106" s="51" t="str">
        <f aca="false">IF(AU106="","",IFERROR(CHOOSE($C$9,INDEX('NOTES CE2-CM1'!$M$10:$M$250,MATCH(AU106,'NOTES CE2-CM1'!$B$10:$B$250,0)),INDEX('NOTES CE2-CM1'!$T$10:$T$250,MATCH(AU106,'NOTES CE2-CM1'!$B$10:$B$250,0)),INDEX('NOTES CE2-CM1'!$AA$10:$AA$250,MATCH(AU106,'NOTES CE2-CM1'!$B$10:$B$250,0)),INDEX('NOTES CE2-CM1'!$AH$10:$AH$250,MATCH(AU106,'NOTES CE2-CM1'!$B$10:$B$250,0))),""))</f>
        <v/>
      </c>
      <c r="AY106" s="51" t="str">
        <f aca="false">IF(ISNUMBER(AX106),AX106+(1000-66)/1000000,"")</f>
        <v/>
      </c>
      <c r="AZ106" s="51" t="str">
        <f aca="false">IF(AU106="","",IFERROR(CHOOSE($C$9,INDEX('NOTES CE2-CM1'!$G$10:$G$250,MATCH(AU106,'NOTES CE2-CM1'!$B$10:$B$250,0)),INDEX('NOTES CE2-CM1'!$N$10:$N$250,MATCH(AU106,'NOTES CE2-CM1'!$B$10:$B$250,0)),INDEX('NOTES CE2-CM1'!$U$10:$U$250,MATCH(AU106,'NOTES CE2-CM1'!$B$10:$B$250,0)),INDEX('NOTES CE2-CM1'!$AB$10:$AB$250,MATCH(AU106,'NOTES CE2-CM1'!$B$10:$B$250,0))),""))</f>
        <v/>
      </c>
      <c r="BA106" s="51" t="str">
        <f aca="false">IFERROR(MATCH("CM1-66",'REGISTRE ELEVES'!$AG$10:$AG$250,0),"")</f>
        <v/>
      </c>
      <c r="BB106" s="51" t="str">
        <f aca="false">IF(BA106="","",INDEX('REGISTRE ELEVES'!$B$10:$B$250,BA106))</f>
        <v/>
      </c>
      <c r="BC106" s="51" t="str">
        <f aca="false">IF(BA106="","",INDEX('REGISTRE ELEVES'!$D$10:$D$250,BA106))</f>
        <v/>
      </c>
      <c r="BD106" s="51" t="str">
        <f aca="false">IF(BA106="","",INDEX('REGISTRE ELEVES'!$E$10:$E$250,BA106))</f>
        <v/>
      </c>
      <c r="BE106" s="51" t="str">
        <f aca="false">IF(BB106="","",IFERROR(CHOOSE($C$9,INDEX('NOTES CE2-CM1'!$M$10:$M$250,MATCH(BB106,'NOTES CE2-CM1'!$B$10:$B$250,0)),INDEX('NOTES CE2-CM1'!$T$10:$T$250,MATCH(BB106,'NOTES CE2-CM1'!$B$10:$B$250,0)),INDEX('NOTES CE2-CM1'!$AA$10:$AA$250,MATCH(BB106,'NOTES CE2-CM1'!$B$10:$B$250,0)),INDEX('NOTES CE2-CM1'!$AH$10:$AH$250,MATCH(BB106,'NOTES CE2-CM1'!$B$10:$B$250,0))),""))</f>
        <v/>
      </c>
      <c r="BF106" s="51" t="str">
        <f aca="false">IF(ISNUMBER(BE106),BE106+(1000-66)/1000000,"")</f>
        <v/>
      </c>
      <c r="BG106" s="51" t="str">
        <f aca="false">IF(BB106="","",IFERROR(CHOOSE($C$9,INDEX('NOTES CE2-CM1'!$G$10:$G$250,MATCH(BB106,'NOTES CE2-CM1'!$B$10:$B$250,0)),INDEX('NOTES CE2-CM1'!$N$10:$N$250,MATCH(BB106,'NOTES CE2-CM1'!$B$10:$B$250,0)),INDEX('NOTES CE2-CM1'!$U$10:$U$250,MATCH(BB106,'NOTES CE2-CM1'!$B$10:$B$250,0)),INDEX('NOTES CE2-CM1'!$AB$10:$AB$250,MATCH(BB106,'NOTES CE2-CM1'!$B$10:$B$250,0))),""))</f>
        <v/>
      </c>
      <c r="BH106" s="51" t="str">
        <f aca="false">IFERROR(MATCH("CM2-66",'REGISTRE ELEVES'!$AG$10:$AG$250,0),"")</f>
        <v/>
      </c>
      <c r="BI106" s="51" t="str">
        <f aca="false">IF(BH106="","",INDEX('REGISTRE ELEVES'!$B$10:$B$250,BH106))</f>
        <v/>
      </c>
      <c r="BJ106" s="51" t="str">
        <f aca="false">IF(BH106="","",INDEX('REGISTRE ELEVES'!$D$10:$D$250,BH106))</f>
        <v/>
      </c>
      <c r="BK106" s="51" t="str">
        <f aca="false">IF(BH106="","",INDEX('REGISTRE ELEVES'!$E$10:$E$250,BH106))</f>
        <v/>
      </c>
      <c r="BL106" s="51" t="str">
        <f aca="false">IF(BI106="","",IFERROR(CHOOSE($C$9,INDEX('NOTES CM2'!$M$10:$M$250,MATCH(BI106,'NOTES CM2'!$B$10:$B$250,0)),INDEX('NOTES CM2'!$T$10:$T$250,MATCH(BI106,'NOTES CM2'!$B$10:$B$250,0)),INDEX('NOTES CM2'!$AB$10:$AB$250,MATCH(BI106,'NOTES CM2'!$B$10:$B$250,0)),INDEX('NOTES CM2'!$AJ$10:$AJ$250,MATCH(BI106,'NOTES CM2'!$B$10:$B$250,0))),""))</f>
        <v/>
      </c>
      <c r="BM106" s="51" t="str">
        <f aca="false">IF(ISNUMBER(BL106),BL106+(1000-66)/1000000,"")</f>
        <v/>
      </c>
      <c r="BN106" s="51" t="str">
        <f aca="false">IF(BI106="","",IFERROR(CHOOSE($C$9,INDEX('NOTES CM2'!$G$10:$G$250,MATCH(BI106,'NOTES CM2'!$B$10:$B$250,0)),INDEX('NOTES CM2'!$N$10:$N$250,MATCH(BI106,'NOTES CM2'!$B$10:$B$250,0)),INDEX('NOTES CM2'!$U$10:$U$250,MATCH(BI106,'NOTES CM2'!$B$10:$B$250,0)),INDEX('NOTES CM2'!$AC$10:$AC$250,MATCH(BI106,'NOTES CM2'!$B$10:$B$250,0))),""))</f>
        <v/>
      </c>
    </row>
    <row r="107" customFormat="false" ht="15" hidden="false" customHeight="false" outlineLevel="0" collapsed="false">
      <c r="Y107" s="51" t="str">
        <f aca="false">IFERROR(MATCH("CP1-67",'REGISTRE ELEVES'!$AG$10:$AG$250,0),"")</f>
        <v/>
      </c>
      <c r="Z107" s="51" t="str">
        <f aca="false">IF(Y107="","",INDEX('REGISTRE ELEVES'!$B$10:$B$250,Y107))</f>
        <v/>
      </c>
      <c r="AA107" s="51" t="str">
        <f aca="false">IF(Y107="","",INDEX('REGISTRE ELEVES'!$D$10:$D$250,Y107))</f>
        <v/>
      </c>
      <c r="AB107" s="51" t="str">
        <f aca="false">IF(Y107="","",INDEX('REGISTRE ELEVES'!$E$10:$E$250,Y107))</f>
        <v/>
      </c>
      <c r="AC107" s="51" t="str">
        <f aca="false">IF(Z107="","",IFERROR(CHOOSE($C$9,INDEX('NOTES CP'!$P$10:$P$250,MATCH(Z107,'NOTES CP'!$B$10:$B$250,0)),INDEX('NOTES CP'!$Z$10:$Z$250,MATCH(Z107,'NOTES CP'!$B$10:$B$250,0)),INDEX('NOTES CP'!$AJ$10:$AJ$250,MATCH(Z107,'NOTES CP'!$B$10:$B$250,0)),INDEX('NOTES CP'!$AT$10:$AT$250,MATCH(Z107,'NOTES CP'!$B$10:$B$250,0))),""))</f>
        <v/>
      </c>
      <c r="AD107" s="51" t="str">
        <f aca="false">IF(ISNUMBER(AC107),AC107+(1000-67)/1000000,"")</f>
        <v/>
      </c>
      <c r="AE107" s="51" t="str">
        <f aca="false">IF(Z107="","",IFERROR(CHOOSE($C$9,INDEX('NOTES CP'!$G$10:$G$250,MATCH(Z107,'NOTES CP'!$B$10:$B$250,0)),INDEX('NOTES CP'!$Q$10:$Q$250,MATCH(Z107,'NOTES CP'!$B$10:$B$250,0)),INDEX('NOTES CP'!$AA$10:$AA$250,MATCH(Z107,'NOTES CP'!$B$10:$B$250,0)),INDEX('NOTES CP'!$AK$10:$AK$250,MATCH(Z107,'NOTES CP'!$B$10:$B$250,0))),""))</f>
        <v/>
      </c>
      <c r="AF107" s="51" t="str">
        <f aca="false">IFERROR(MATCH("CP2-67",'REGISTRE ELEVES'!$AG$10:$AG$250,0),"")</f>
        <v/>
      </c>
      <c r="AG107" s="51" t="str">
        <f aca="false">IF(AF107="","",INDEX('REGISTRE ELEVES'!$B$10:$B$250,AF107))</f>
        <v/>
      </c>
      <c r="AH107" s="51" t="str">
        <f aca="false">IF(AF107="","",INDEX('REGISTRE ELEVES'!$D$10:$D$250,AF107))</f>
        <v/>
      </c>
      <c r="AI107" s="51" t="str">
        <f aca="false">IF(AF107="","",INDEX('REGISTRE ELEVES'!$E$10:$E$250,AF107))</f>
        <v/>
      </c>
      <c r="AJ107" s="51" t="str">
        <f aca="false">IF(AG107="","",IFERROR(CHOOSE($C$9,INDEX('NOTES CP'!$P$10:$P$250,MATCH(AG107,'NOTES CP'!$B$10:$B$250,0)),INDEX('NOTES CP'!$Z$10:$Z$250,MATCH(AG107,'NOTES CP'!$B$10:$B$250,0)),INDEX('NOTES CP'!$AJ$10:$AJ$250,MATCH(AG107,'NOTES CP'!$B$10:$B$250,0)),INDEX('NOTES CP'!$AT$10:$AT$250,MATCH(AG107,'NOTES CP'!$B$10:$B$250,0))),""))</f>
        <v/>
      </c>
      <c r="AK107" s="51" t="str">
        <f aca="false">IF(ISNUMBER(AJ107),AJ107+(1000-67)/1000000,"")</f>
        <v/>
      </c>
      <c r="AL107" s="51" t="str">
        <f aca="false">IF(AG107="","",IFERROR(CHOOSE($C$9,INDEX('NOTES CP'!$G$10:$G$250,MATCH(AG107,'NOTES CP'!$B$10:$B$250,0)),INDEX('NOTES CP'!$Q$10:$Q$250,MATCH(AG107,'NOTES CP'!$B$10:$B$250,0)),INDEX('NOTES CP'!$AA$10:$AA$250,MATCH(AG107,'NOTES CP'!$B$10:$B$250,0)),INDEX('NOTES CP'!$AK$10:$AK$250,MATCH(AG107,'NOTES CP'!$B$10:$B$250,0))),""))</f>
        <v/>
      </c>
      <c r="AM107" s="51" t="str">
        <f aca="false">IFERROR(MATCH("CE1-67",'REGISTRE ELEVES'!$AG$10:$AG$250,0),"")</f>
        <v/>
      </c>
      <c r="AN107" s="51" t="str">
        <f aca="false">IF(AM107="","",INDEX('REGISTRE ELEVES'!$B$10:$B$250,AM107))</f>
        <v/>
      </c>
      <c r="AO107" s="51" t="str">
        <f aca="false">IF(AM107="","",INDEX('REGISTRE ELEVES'!$D$10:$D$250,AM107))</f>
        <v/>
      </c>
      <c r="AP107" s="51" t="str">
        <f aca="false">IF(AM107="","",INDEX('REGISTRE ELEVES'!$E$10:$E$250,AM107))</f>
        <v/>
      </c>
      <c r="AQ107" s="51" t="str">
        <f aca="false">IF(AN107="","",IFERROR(CHOOSE($C$9,INDEX('NOTES CE1'!$M$10:$M$250,MATCH(AN107,'NOTES CE1'!$B$10:$B$250,0)),INDEX('NOTES CE1'!$T$10:$T$250,MATCH(AN107,'NOTES CE1'!$B$10:$B$250,0)),INDEX('NOTES CE1'!$AA$10:$AA$250,MATCH(AN107,'NOTES CE1'!$B$10:$B$250,0)),INDEX('NOTES CE1'!$AH$10:$AH$250,MATCH(AN107,'NOTES CE1'!$B$10:$B$250,0))),""))</f>
        <v/>
      </c>
      <c r="AR107" s="51" t="str">
        <f aca="false">IF(ISNUMBER(AQ107),AQ107+(1000-67)/1000000,"")</f>
        <v/>
      </c>
      <c r="AS107" s="51" t="str">
        <f aca="false">IF(AN107="","",IFERROR(CHOOSE($C$9,INDEX('NOTES CE1'!$G$10:$G$250,MATCH(AN107,'NOTES CE1'!$B$10:$B$250,0)),INDEX('NOTES CE1'!$N$10:$N$250,MATCH(AN107,'NOTES CE1'!$B$10:$B$250,0)),INDEX('NOTES CE1'!$U$10:$U$250,MATCH(AN107,'NOTES CE1'!$B$10:$B$250,0)),INDEX('NOTES CE1'!$AB$10:$AB$250,MATCH(AN107,'NOTES CE1'!$B$10:$B$250,0))),""))</f>
        <v/>
      </c>
      <c r="AT107" s="51" t="str">
        <f aca="false">IFERROR(MATCH("CE2-67",'REGISTRE ELEVES'!$AG$10:$AG$250,0),"")</f>
        <v/>
      </c>
      <c r="AU107" s="51" t="str">
        <f aca="false">IF(AT107="","",INDEX('REGISTRE ELEVES'!$B$10:$B$250,AT107))</f>
        <v/>
      </c>
      <c r="AV107" s="51" t="str">
        <f aca="false">IF(AT107="","",INDEX('REGISTRE ELEVES'!$D$10:$D$250,AT107))</f>
        <v/>
      </c>
      <c r="AW107" s="51" t="str">
        <f aca="false">IF(AT107="","",INDEX('REGISTRE ELEVES'!$E$10:$E$250,AT107))</f>
        <v/>
      </c>
      <c r="AX107" s="51" t="str">
        <f aca="false">IF(AU107="","",IFERROR(CHOOSE($C$9,INDEX('NOTES CE2-CM1'!$M$10:$M$250,MATCH(AU107,'NOTES CE2-CM1'!$B$10:$B$250,0)),INDEX('NOTES CE2-CM1'!$T$10:$T$250,MATCH(AU107,'NOTES CE2-CM1'!$B$10:$B$250,0)),INDEX('NOTES CE2-CM1'!$AA$10:$AA$250,MATCH(AU107,'NOTES CE2-CM1'!$B$10:$B$250,0)),INDEX('NOTES CE2-CM1'!$AH$10:$AH$250,MATCH(AU107,'NOTES CE2-CM1'!$B$10:$B$250,0))),""))</f>
        <v/>
      </c>
      <c r="AY107" s="51" t="str">
        <f aca="false">IF(ISNUMBER(AX107),AX107+(1000-67)/1000000,"")</f>
        <v/>
      </c>
      <c r="AZ107" s="51" t="str">
        <f aca="false">IF(AU107="","",IFERROR(CHOOSE($C$9,INDEX('NOTES CE2-CM1'!$G$10:$G$250,MATCH(AU107,'NOTES CE2-CM1'!$B$10:$B$250,0)),INDEX('NOTES CE2-CM1'!$N$10:$N$250,MATCH(AU107,'NOTES CE2-CM1'!$B$10:$B$250,0)),INDEX('NOTES CE2-CM1'!$U$10:$U$250,MATCH(AU107,'NOTES CE2-CM1'!$B$10:$B$250,0)),INDEX('NOTES CE2-CM1'!$AB$10:$AB$250,MATCH(AU107,'NOTES CE2-CM1'!$B$10:$B$250,0))),""))</f>
        <v/>
      </c>
      <c r="BA107" s="51" t="str">
        <f aca="false">IFERROR(MATCH("CM1-67",'REGISTRE ELEVES'!$AG$10:$AG$250,0),"")</f>
        <v/>
      </c>
      <c r="BB107" s="51" t="str">
        <f aca="false">IF(BA107="","",INDEX('REGISTRE ELEVES'!$B$10:$B$250,BA107))</f>
        <v/>
      </c>
      <c r="BC107" s="51" t="str">
        <f aca="false">IF(BA107="","",INDEX('REGISTRE ELEVES'!$D$10:$D$250,BA107))</f>
        <v/>
      </c>
      <c r="BD107" s="51" t="str">
        <f aca="false">IF(BA107="","",INDEX('REGISTRE ELEVES'!$E$10:$E$250,BA107))</f>
        <v/>
      </c>
      <c r="BE107" s="51" t="str">
        <f aca="false">IF(BB107="","",IFERROR(CHOOSE($C$9,INDEX('NOTES CE2-CM1'!$M$10:$M$250,MATCH(BB107,'NOTES CE2-CM1'!$B$10:$B$250,0)),INDEX('NOTES CE2-CM1'!$T$10:$T$250,MATCH(BB107,'NOTES CE2-CM1'!$B$10:$B$250,0)),INDEX('NOTES CE2-CM1'!$AA$10:$AA$250,MATCH(BB107,'NOTES CE2-CM1'!$B$10:$B$250,0)),INDEX('NOTES CE2-CM1'!$AH$10:$AH$250,MATCH(BB107,'NOTES CE2-CM1'!$B$10:$B$250,0))),""))</f>
        <v/>
      </c>
      <c r="BF107" s="51" t="str">
        <f aca="false">IF(ISNUMBER(BE107),BE107+(1000-67)/1000000,"")</f>
        <v/>
      </c>
      <c r="BG107" s="51" t="str">
        <f aca="false">IF(BB107="","",IFERROR(CHOOSE($C$9,INDEX('NOTES CE2-CM1'!$G$10:$G$250,MATCH(BB107,'NOTES CE2-CM1'!$B$10:$B$250,0)),INDEX('NOTES CE2-CM1'!$N$10:$N$250,MATCH(BB107,'NOTES CE2-CM1'!$B$10:$B$250,0)),INDEX('NOTES CE2-CM1'!$U$10:$U$250,MATCH(BB107,'NOTES CE2-CM1'!$B$10:$B$250,0)),INDEX('NOTES CE2-CM1'!$AB$10:$AB$250,MATCH(BB107,'NOTES CE2-CM1'!$B$10:$B$250,0))),""))</f>
        <v/>
      </c>
      <c r="BH107" s="51" t="str">
        <f aca="false">IFERROR(MATCH("CM2-67",'REGISTRE ELEVES'!$AG$10:$AG$250,0),"")</f>
        <v/>
      </c>
      <c r="BI107" s="51" t="str">
        <f aca="false">IF(BH107="","",INDEX('REGISTRE ELEVES'!$B$10:$B$250,BH107))</f>
        <v/>
      </c>
      <c r="BJ107" s="51" t="str">
        <f aca="false">IF(BH107="","",INDEX('REGISTRE ELEVES'!$D$10:$D$250,BH107))</f>
        <v/>
      </c>
      <c r="BK107" s="51" t="str">
        <f aca="false">IF(BH107="","",INDEX('REGISTRE ELEVES'!$E$10:$E$250,BH107))</f>
        <v/>
      </c>
      <c r="BL107" s="51" t="str">
        <f aca="false">IF(BI107="","",IFERROR(CHOOSE($C$9,INDEX('NOTES CM2'!$M$10:$M$250,MATCH(BI107,'NOTES CM2'!$B$10:$B$250,0)),INDEX('NOTES CM2'!$T$10:$T$250,MATCH(BI107,'NOTES CM2'!$B$10:$B$250,0)),INDEX('NOTES CM2'!$AB$10:$AB$250,MATCH(BI107,'NOTES CM2'!$B$10:$B$250,0)),INDEX('NOTES CM2'!$AJ$10:$AJ$250,MATCH(BI107,'NOTES CM2'!$B$10:$B$250,0))),""))</f>
        <v/>
      </c>
      <c r="BM107" s="51" t="str">
        <f aca="false">IF(ISNUMBER(BL107),BL107+(1000-67)/1000000,"")</f>
        <v/>
      </c>
      <c r="BN107" s="51" t="str">
        <f aca="false">IF(BI107="","",IFERROR(CHOOSE($C$9,INDEX('NOTES CM2'!$G$10:$G$250,MATCH(BI107,'NOTES CM2'!$B$10:$B$250,0)),INDEX('NOTES CM2'!$N$10:$N$250,MATCH(BI107,'NOTES CM2'!$B$10:$B$250,0)),INDEX('NOTES CM2'!$U$10:$U$250,MATCH(BI107,'NOTES CM2'!$B$10:$B$250,0)),INDEX('NOTES CM2'!$AC$10:$AC$250,MATCH(BI107,'NOTES CM2'!$B$10:$B$250,0))),""))</f>
        <v/>
      </c>
    </row>
    <row r="108" customFormat="false" ht="15" hidden="false" customHeight="false" outlineLevel="0" collapsed="false">
      <c r="Y108" s="51" t="str">
        <f aca="false">IFERROR(MATCH("CP1-68",'REGISTRE ELEVES'!$AG$10:$AG$250,0),"")</f>
        <v/>
      </c>
      <c r="Z108" s="51" t="str">
        <f aca="false">IF(Y108="","",INDEX('REGISTRE ELEVES'!$B$10:$B$250,Y108))</f>
        <v/>
      </c>
      <c r="AA108" s="51" t="str">
        <f aca="false">IF(Y108="","",INDEX('REGISTRE ELEVES'!$D$10:$D$250,Y108))</f>
        <v/>
      </c>
      <c r="AB108" s="51" t="str">
        <f aca="false">IF(Y108="","",INDEX('REGISTRE ELEVES'!$E$10:$E$250,Y108))</f>
        <v/>
      </c>
      <c r="AC108" s="51" t="str">
        <f aca="false">IF(Z108="","",IFERROR(CHOOSE($C$9,INDEX('NOTES CP'!$P$10:$P$250,MATCH(Z108,'NOTES CP'!$B$10:$B$250,0)),INDEX('NOTES CP'!$Z$10:$Z$250,MATCH(Z108,'NOTES CP'!$B$10:$B$250,0)),INDEX('NOTES CP'!$AJ$10:$AJ$250,MATCH(Z108,'NOTES CP'!$B$10:$B$250,0)),INDEX('NOTES CP'!$AT$10:$AT$250,MATCH(Z108,'NOTES CP'!$B$10:$B$250,0))),""))</f>
        <v/>
      </c>
      <c r="AD108" s="51" t="str">
        <f aca="false">IF(ISNUMBER(AC108),AC108+(1000-68)/1000000,"")</f>
        <v/>
      </c>
      <c r="AE108" s="51" t="str">
        <f aca="false">IF(Z108="","",IFERROR(CHOOSE($C$9,INDEX('NOTES CP'!$G$10:$G$250,MATCH(Z108,'NOTES CP'!$B$10:$B$250,0)),INDEX('NOTES CP'!$Q$10:$Q$250,MATCH(Z108,'NOTES CP'!$B$10:$B$250,0)),INDEX('NOTES CP'!$AA$10:$AA$250,MATCH(Z108,'NOTES CP'!$B$10:$B$250,0)),INDEX('NOTES CP'!$AK$10:$AK$250,MATCH(Z108,'NOTES CP'!$B$10:$B$250,0))),""))</f>
        <v/>
      </c>
      <c r="AF108" s="51" t="str">
        <f aca="false">IFERROR(MATCH("CP2-68",'REGISTRE ELEVES'!$AG$10:$AG$250,0),"")</f>
        <v/>
      </c>
      <c r="AG108" s="51" t="str">
        <f aca="false">IF(AF108="","",INDEX('REGISTRE ELEVES'!$B$10:$B$250,AF108))</f>
        <v/>
      </c>
      <c r="AH108" s="51" t="str">
        <f aca="false">IF(AF108="","",INDEX('REGISTRE ELEVES'!$D$10:$D$250,AF108))</f>
        <v/>
      </c>
      <c r="AI108" s="51" t="str">
        <f aca="false">IF(AF108="","",INDEX('REGISTRE ELEVES'!$E$10:$E$250,AF108))</f>
        <v/>
      </c>
      <c r="AJ108" s="51" t="str">
        <f aca="false">IF(AG108="","",IFERROR(CHOOSE($C$9,INDEX('NOTES CP'!$P$10:$P$250,MATCH(AG108,'NOTES CP'!$B$10:$B$250,0)),INDEX('NOTES CP'!$Z$10:$Z$250,MATCH(AG108,'NOTES CP'!$B$10:$B$250,0)),INDEX('NOTES CP'!$AJ$10:$AJ$250,MATCH(AG108,'NOTES CP'!$B$10:$B$250,0)),INDEX('NOTES CP'!$AT$10:$AT$250,MATCH(AG108,'NOTES CP'!$B$10:$B$250,0))),""))</f>
        <v/>
      </c>
      <c r="AK108" s="51" t="str">
        <f aca="false">IF(ISNUMBER(AJ108),AJ108+(1000-68)/1000000,"")</f>
        <v/>
      </c>
      <c r="AL108" s="51" t="str">
        <f aca="false">IF(AG108="","",IFERROR(CHOOSE($C$9,INDEX('NOTES CP'!$G$10:$G$250,MATCH(AG108,'NOTES CP'!$B$10:$B$250,0)),INDEX('NOTES CP'!$Q$10:$Q$250,MATCH(AG108,'NOTES CP'!$B$10:$B$250,0)),INDEX('NOTES CP'!$AA$10:$AA$250,MATCH(AG108,'NOTES CP'!$B$10:$B$250,0)),INDEX('NOTES CP'!$AK$10:$AK$250,MATCH(AG108,'NOTES CP'!$B$10:$B$250,0))),""))</f>
        <v/>
      </c>
      <c r="AM108" s="51" t="str">
        <f aca="false">IFERROR(MATCH("CE1-68",'REGISTRE ELEVES'!$AG$10:$AG$250,0),"")</f>
        <v/>
      </c>
      <c r="AN108" s="51" t="str">
        <f aca="false">IF(AM108="","",INDEX('REGISTRE ELEVES'!$B$10:$B$250,AM108))</f>
        <v/>
      </c>
      <c r="AO108" s="51" t="str">
        <f aca="false">IF(AM108="","",INDEX('REGISTRE ELEVES'!$D$10:$D$250,AM108))</f>
        <v/>
      </c>
      <c r="AP108" s="51" t="str">
        <f aca="false">IF(AM108="","",INDEX('REGISTRE ELEVES'!$E$10:$E$250,AM108))</f>
        <v/>
      </c>
      <c r="AQ108" s="51" t="str">
        <f aca="false">IF(AN108="","",IFERROR(CHOOSE($C$9,INDEX('NOTES CE1'!$M$10:$M$250,MATCH(AN108,'NOTES CE1'!$B$10:$B$250,0)),INDEX('NOTES CE1'!$T$10:$T$250,MATCH(AN108,'NOTES CE1'!$B$10:$B$250,0)),INDEX('NOTES CE1'!$AA$10:$AA$250,MATCH(AN108,'NOTES CE1'!$B$10:$B$250,0)),INDEX('NOTES CE1'!$AH$10:$AH$250,MATCH(AN108,'NOTES CE1'!$B$10:$B$250,0))),""))</f>
        <v/>
      </c>
      <c r="AR108" s="51" t="str">
        <f aca="false">IF(ISNUMBER(AQ108),AQ108+(1000-68)/1000000,"")</f>
        <v/>
      </c>
      <c r="AS108" s="51" t="str">
        <f aca="false">IF(AN108="","",IFERROR(CHOOSE($C$9,INDEX('NOTES CE1'!$G$10:$G$250,MATCH(AN108,'NOTES CE1'!$B$10:$B$250,0)),INDEX('NOTES CE1'!$N$10:$N$250,MATCH(AN108,'NOTES CE1'!$B$10:$B$250,0)),INDEX('NOTES CE1'!$U$10:$U$250,MATCH(AN108,'NOTES CE1'!$B$10:$B$250,0)),INDEX('NOTES CE1'!$AB$10:$AB$250,MATCH(AN108,'NOTES CE1'!$B$10:$B$250,0))),""))</f>
        <v/>
      </c>
      <c r="AT108" s="51" t="str">
        <f aca="false">IFERROR(MATCH("CE2-68",'REGISTRE ELEVES'!$AG$10:$AG$250,0),"")</f>
        <v/>
      </c>
      <c r="AU108" s="51" t="str">
        <f aca="false">IF(AT108="","",INDEX('REGISTRE ELEVES'!$B$10:$B$250,AT108))</f>
        <v/>
      </c>
      <c r="AV108" s="51" t="str">
        <f aca="false">IF(AT108="","",INDEX('REGISTRE ELEVES'!$D$10:$D$250,AT108))</f>
        <v/>
      </c>
      <c r="AW108" s="51" t="str">
        <f aca="false">IF(AT108="","",INDEX('REGISTRE ELEVES'!$E$10:$E$250,AT108))</f>
        <v/>
      </c>
      <c r="AX108" s="51" t="str">
        <f aca="false">IF(AU108="","",IFERROR(CHOOSE($C$9,INDEX('NOTES CE2-CM1'!$M$10:$M$250,MATCH(AU108,'NOTES CE2-CM1'!$B$10:$B$250,0)),INDEX('NOTES CE2-CM1'!$T$10:$T$250,MATCH(AU108,'NOTES CE2-CM1'!$B$10:$B$250,0)),INDEX('NOTES CE2-CM1'!$AA$10:$AA$250,MATCH(AU108,'NOTES CE2-CM1'!$B$10:$B$250,0)),INDEX('NOTES CE2-CM1'!$AH$10:$AH$250,MATCH(AU108,'NOTES CE2-CM1'!$B$10:$B$250,0))),""))</f>
        <v/>
      </c>
      <c r="AY108" s="51" t="str">
        <f aca="false">IF(ISNUMBER(AX108),AX108+(1000-68)/1000000,"")</f>
        <v/>
      </c>
      <c r="AZ108" s="51" t="str">
        <f aca="false">IF(AU108="","",IFERROR(CHOOSE($C$9,INDEX('NOTES CE2-CM1'!$G$10:$G$250,MATCH(AU108,'NOTES CE2-CM1'!$B$10:$B$250,0)),INDEX('NOTES CE2-CM1'!$N$10:$N$250,MATCH(AU108,'NOTES CE2-CM1'!$B$10:$B$250,0)),INDEX('NOTES CE2-CM1'!$U$10:$U$250,MATCH(AU108,'NOTES CE2-CM1'!$B$10:$B$250,0)),INDEX('NOTES CE2-CM1'!$AB$10:$AB$250,MATCH(AU108,'NOTES CE2-CM1'!$B$10:$B$250,0))),""))</f>
        <v/>
      </c>
      <c r="BA108" s="51" t="str">
        <f aca="false">IFERROR(MATCH("CM1-68",'REGISTRE ELEVES'!$AG$10:$AG$250,0),"")</f>
        <v/>
      </c>
      <c r="BB108" s="51" t="str">
        <f aca="false">IF(BA108="","",INDEX('REGISTRE ELEVES'!$B$10:$B$250,BA108))</f>
        <v/>
      </c>
      <c r="BC108" s="51" t="str">
        <f aca="false">IF(BA108="","",INDEX('REGISTRE ELEVES'!$D$10:$D$250,BA108))</f>
        <v/>
      </c>
      <c r="BD108" s="51" t="str">
        <f aca="false">IF(BA108="","",INDEX('REGISTRE ELEVES'!$E$10:$E$250,BA108))</f>
        <v/>
      </c>
      <c r="BE108" s="51" t="str">
        <f aca="false">IF(BB108="","",IFERROR(CHOOSE($C$9,INDEX('NOTES CE2-CM1'!$M$10:$M$250,MATCH(BB108,'NOTES CE2-CM1'!$B$10:$B$250,0)),INDEX('NOTES CE2-CM1'!$T$10:$T$250,MATCH(BB108,'NOTES CE2-CM1'!$B$10:$B$250,0)),INDEX('NOTES CE2-CM1'!$AA$10:$AA$250,MATCH(BB108,'NOTES CE2-CM1'!$B$10:$B$250,0)),INDEX('NOTES CE2-CM1'!$AH$10:$AH$250,MATCH(BB108,'NOTES CE2-CM1'!$B$10:$B$250,0))),""))</f>
        <v/>
      </c>
      <c r="BF108" s="51" t="str">
        <f aca="false">IF(ISNUMBER(BE108),BE108+(1000-68)/1000000,"")</f>
        <v/>
      </c>
      <c r="BG108" s="51" t="str">
        <f aca="false">IF(BB108="","",IFERROR(CHOOSE($C$9,INDEX('NOTES CE2-CM1'!$G$10:$G$250,MATCH(BB108,'NOTES CE2-CM1'!$B$10:$B$250,0)),INDEX('NOTES CE2-CM1'!$N$10:$N$250,MATCH(BB108,'NOTES CE2-CM1'!$B$10:$B$250,0)),INDEX('NOTES CE2-CM1'!$U$10:$U$250,MATCH(BB108,'NOTES CE2-CM1'!$B$10:$B$250,0)),INDEX('NOTES CE2-CM1'!$AB$10:$AB$250,MATCH(BB108,'NOTES CE2-CM1'!$B$10:$B$250,0))),""))</f>
        <v/>
      </c>
      <c r="BH108" s="51" t="str">
        <f aca="false">IFERROR(MATCH("CM2-68",'REGISTRE ELEVES'!$AG$10:$AG$250,0),"")</f>
        <v/>
      </c>
      <c r="BI108" s="51" t="str">
        <f aca="false">IF(BH108="","",INDEX('REGISTRE ELEVES'!$B$10:$B$250,BH108))</f>
        <v/>
      </c>
      <c r="BJ108" s="51" t="str">
        <f aca="false">IF(BH108="","",INDEX('REGISTRE ELEVES'!$D$10:$D$250,BH108))</f>
        <v/>
      </c>
      <c r="BK108" s="51" t="str">
        <f aca="false">IF(BH108="","",INDEX('REGISTRE ELEVES'!$E$10:$E$250,BH108))</f>
        <v/>
      </c>
      <c r="BL108" s="51" t="str">
        <f aca="false">IF(BI108="","",IFERROR(CHOOSE($C$9,INDEX('NOTES CM2'!$M$10:$M$250,MATCH(BI108,'NOTES CM2'!$B$10:$B$250,0)),INDEX('NOTES CM2'!$T$10:$T$250,MATCH(BI108,'NOTES CM2'!$B$10:$B$250,0)),INDEX('NOTES CM2'!$AB$10:$AB$250,MATCH(BI108,'NOTES CM2'!$B$10:$B$250,0)),INDEX('NOTES CM2'!$AJ$10:$AJ$250,MATCH(BI108,'NOTES CM2'!$B$10:$B$250,0))),""))</f>
        <v/>
      </c>
      <c r="BM108" s="51" t="str">
        <f aca="false">IF(ISNUMBER(BL108),BL108+(1000-68)/1000000,"")</f>
        <v/>
      </c>
      <c r="BN108" s="51" t="str">
        <f aca="false">IF(BI108="","",IFERROR(CHOOSE($C$9,INDEX('NOTES CM2'!$G$10:$G$250,MATCH(BI108,'NOTES CM2'!$B$10:$B$250,0)),INDEX('NOTES CM2'!$N$10:$N$250,MATCH(BI108,'NOTES CM2'!$B$10:$B$250,0)),INDEX('NOTES CM2'!$U$10:$U$250,MATCH(BI108,'NOTES CM2'!$B$10:$B$250,0)),INDEX('NOTES CM2'!$AC$10:$AC$250,MATCH(BI108,'NOTES CM2'!$B$10:$B$250,0))),""))</f>
        <v/>
      </c>
    </row>
    <row r="109" customFormat="false" ht="15" hidden="false" customHeight="false" outlineLevel="0" collapsed="false">
      <c r="Y109" s="51" t="str">
        <f aca="false">IFERROR(MATCH("CP1-69",'REGISTRE ELEVES'!$AG$10:$AG$250,0),"")</f>
        <v/>
      </c>
      <c r="Z109" s="51" t="str">
        <f aca="false">IF(Y109="","",INDEX('REGISTRE ELEVES'!$B$10:$B$250,Y109))</f>
        <v/>
      </c>
      <c r="AA109" s="51" t="str">
        <f aca="false">IF(Y109="","",INDEX('REGISTRE ELEVES'!$D$10:$D$250,Y109))</f>
        <v/>
      </c>
      <c r="AB109" s="51" t="str">
        <f aca="false">IF(Y109="","",INDEX('REGISTRE ELEVES'!$E$10:$E$250,Y109))</f>
        <v/>
      </c>
      <c r="AC109" s="51" t="str">
        <f aca="false">IF(Z109="","",IFERROR(CHOOSE($C$9,INDEX('NOTES CP'!$P$10:$P$250,MATCH(Z109,'NOTES CP'!$B$10:$B$250,0)),INDEX('NOTES CP'!$Z$10:$Z$250,MATCH(Z109,'NOTES CP'!$B$10:$B$250,0)),INDEX('NOTES CP'!$AJ$10:$AJ$250,MATCH(Z109,'NOTES CP'!$B$10:$B$250,0)),INDEX('NOTES CP'!$AT$10:$AT$250,MATCH(Z109,'NOTES CP'!$B$10:$B$250,0))),""))</f>
        <v/>
      </c>
      <c r="AD109" s="51" t="str">
        <f aca="false">IF(ISNUMBER(AC109),AC109+(1000-69)/1000000,"")</f>
        <v/>
      </c>
      <c r="AE109" s="51" t="str">
        <f aca="false">IF(Z109="","",IFERROR(CHOOSE($C$9,INDEX('NOTES CP'!$G$10:$G$250,MATCH(Z109,'NOTES CP'!$B$10:$B$250,0)),INDEX('NOTES CP'!$Q$10:$Q$250,MATCH(Z109,'NOTES CP'!$B$10:$B$250,0)),INDEX('NOTES CP'!$AA$10:$AA$250,MATCH(Z109,'NOTES CP'!$B$10:$B$250,0)),INDEX('NOTES CP'!$AK$10:$AK$250,MATCH(Z109,'NOTES CP'!$B$10:$B$250,0))),""))</f>
        <v/>
      </c>
      <c r="AF109" s="51" t="str">
        <f aca="false">IFERROR(MATCH("CP2-69",'REGISTRE ELEVES'!$AG$10:$AG$250,0),"")</f>
        <v/>
      </c>
      <c r="AG109" s="51" t="str">
        <f aca="false">IF(AF109="","",INDEX('REGISTRE ELEVES'!$B$10:$B$250,AF109))</f>
        <v/>
      </c>
      <c r="AH109" s="51" t="str">
        <f aca="false">IF(AF109="","",INDEX('REGISTRE ELEVES'!$D$10:$D$250,AF109))</f>
        <v/>
      </c>
      <c r="AI109" s="51" t="str">
        <f aca="false">IF(AF109="","",INDEX('REGISTRE ELEVES'!$E$10:$E$250,AF109))</f>
        <v/>
      </c>
      <c r="AJ109" s="51" t="str">
        <f aca="false">IF(AG109="","",IFERROR(CHOOSE($C$9,INDEX('NOTES CP'!$P$10:$P$250,MATCH(AG109,'NOTES CP'!$B$10:$B$250,0)),INDEX('NOTES CP'!$Z$10:$Z$250,MATCH(AG109,'NOTES CP'!$B$10:$B$250,0)),INDEX('NOTES CP'!$AJ$10:$AJ$250,MATCH(AG109,'NOTES CP'!$B$10:$B$250,0)),INDEX('NOTES CP'!$AT$10:$AT$250,MATCH(AG109,'NOTES CP'!$B$10:$B$250,0))),""))</f>
        <v/>
      </c>
      <c r="AK109" s="51" t="str">
        <f aca="false">IF(ISNUMBER(AJ109),AJ109+(1000-69)/1000000,"")</f>
        <v/>
      </c>
      <c r="AL109" s="51" t="str">
        <f aca="false">IF(AG109="","",IFERROR(CHOOSE($C$9,INDEX('NOTES CP'!$G$10:$G$250,MATCH(AG109,'NOTES CP'!$B$10:$B$250,0)),INDEX('NOTES CP'!$Q$10:$Q$250,MATCH(AG109,'NOTES CP'!$B$10:$B$250,0)),INDEX('NOTES CP'!$AA$10:$AA$250,MATCH(AG109,'NOTES CP'!$B$10:$B$250,0)),INDEX('NOTES CP'!$AK$10:$AK$250,MATCH(AG109,'NOTES CP'!$B$10:$B$250,0))),""))</f>
        <v/>
      </c>
      <c r="AM109" s="51" t="str">
        <f aca="false">IFERROR(MATCH("CE1-69",'REGISTRE ELEVES'!$AG$10:$AG$250,0),"")</f>
        <v/>
      </c>
      <c r="AN109" s="51" t="str">
        <f aca="false">IF(AM109="","",INDEX('REGISTRE ELEVES'!$B$10:$B$250,AM109))</f>
        <v/>
      </c>
      <c r="AO109" s="51" t="str">
        <f aca="false">IF(AM109="","",INDEX('REGISTRE ELEVES'!$D$10:$D$250,AM109))</f>
        <v/>
      </c>
      <c r="AP109" s="51" t="str">
        <f aca="false">IF(AM109="","",INDEX('REGISTRE ELEVES'!$E$10:$E$250,AM109))</f>
        <v/>
      </c>
      <c r="AQ109" s="51" t="str">
        <f aca="false">IF(AN109="","",IFERROR(CHOOSE($C$9,INDEX('NOTES CE1'!$M$10:$M$250,MATCH(AN109,'NOTES CE1'!$B$10:$B$250,0)),INDEX('NOTES CE1'!$T$10:$T$250,MATCH(AN109,'NOTES CE1'!$B$10:$B$250,0)),INDEX('NOTES CE1'!$AA$10:$AA$250,MATCH(AN109,'NOTES CE1'!$B$10:$B$250,0)),INDEX('NOTES CE1'!$AH$10:$AH$250,MATCH(AN109,'NOTES CE1'!$B$10:$B$250,0))),""))</f>
        <v/>
      </c>
      <c r="AR109" s="51" t="str">
        <f aca="false">IF(ISNUMBER(AQ109),AQ109+(1000-69)/1000000,"")</f>
        <v/>
      </c>
      <c r="AS109" s="51" t="str">
        <f aca="false">IF(AN109="","",IFERROR(CHOOSE($C$9,INDEX('NOTES CE1'!$G$10:$G$250,MATCH(AN109,'NOTES CE1'!$B$10:$B$250,0)),INDEX('NOTES CE1'!$N$10:$N$250,MATCH(AN109,'NOTES CE1'!$B$10:$B$250,0)),INDEX('NOTES CE1'!$U$10:$U$250,MATCH(AN109,'NOTES CE1'!$B$10:$B$250,0)),INDEX('NOTES CE1'!$AB$10:$AB$250,MATCH(AN109,'NOTES CE1'!$B$10:$B$250,0))),""))</f>
        <v/>
      </c>
      <c r="AT109" s="51" t="str">
        <f aca="false">IFERROR(MATCH("CE2-69",'REGISTRE ELEVES'!$AG$10:$AG$250,0),"")</f>
        <v/>
      </c>
      <c r="AU109" s="51" t="str">
        <f aca="false">IF(AT109="","",INDEX('REGISTRE ELEVES'!$B$10:$B$250,AT109))</f>
        <v/>
      </c>
      <c r="AV109" s="51" t="str">
        <f aca="false">IF(AT109="","",INDEX('REGISTRE ELEVES'!$D$10:$D$250,AT109))</f>
        <v/>
      </c>
      <c r="AW109" s="51" t="str">
        <f aca="false">IF(AT109="","",INDEX('REGISTRE ELEVES'!$E$10:$E$250,AT109))</f>
        <v/>
      </c>
      <c r="AX109" s="51" t="str">
        <f aca="false">IF(AU109="","",IFERROR(CHOOSE($C$9,INDEX('NOTES CE2-CM1'!$M$10:$M$250,MATCH(AU109,'NOTES CE2-CM1'!$B$10:$B$250,0)),INDEX('NOTES CE2-CM1'!$T$10:$T$250,MATCH(AU109,'NOTES CE2-CM1'!$B$10:$B$250,0)),INDEX('NOTES CE2-CM1'!$AA$10:$AA$250,MATCH(AU109,'NOTES CE2-CM1'!$B$10:$B$250,0)),INDEX('NOTES CE2-CM1'!$AH$10:$AH$250,MATCH(AU109,'NOTES CE2-CM1'!$B$10:$B$250,0))),""))</f>
        <v/>
      </c>
      <c r="AY109" s="51" t="str">
        <f aca="false">IF(ISNUMBER(AX109),AX109+(1000-69)/1000000,"")</f>
        <v/>
      </c>
      <c r="AZ109" s="51" t="str">
        <f aca="false">IF(AU109="","",IFERROR(CHOOSE($C$9,INDEX('NOTES CE2-CM1'!$G$10:$G$250,MATCH(AU109,'NOTES CE2-CM1'!$B$10:$B$250,0)),INDEX('NOTES CE2-CM1'!$N$10:$N$250,MATCH(AU109,'NOTES CE2-CM1'!$B$10:$B$250,0)),INDEX('NOTES CE2-CM1'!$U$10:$U$250,MATCH(AU109,'NOTES CE2-CM1'!$B$10:$B$250,0)),INDEX('NOTES CE2-CM1'!$AB$10:$AB$250,MATCH(AU109,'NOTES CE2-CM1'!$B$10:$B$250,0))),""))</f>
        <v/>
      </c>
      <c r="BA109" s="51" t="str">
        <f aca="false">IFERROR(MATCH("CM1-69",'REGISTRE ELEVES'!$AG$10:$AG$250,0),"")</f>
        <v/>
      </c>
      <c r="BB109" s="51" t="str">
        <f aca="false">IF(BA109="","",INDEX('REGISTRE ELEVES'!$B$10:$B$250,BA109))</f>
        <v/>
      </c>
      <c r="BC109" s="51" t="str">
        <f aca="false">IF(BA109="","",INDEX('REGISTRE ELEVES'!$D$10:$D$250,BA109))</f>
        <v/>
      </c>
      <c r="BD109" s="51" t="str">
        <f aca="false">IF(BA109="","",INDEX('REGISTRE ELEVES'!$E$10:$E$250,BA109))</f>
        <v/>
      </c>
      <c r="BE109" s="51" t="str">
        <f aca="false">IF(BB109="","",IFERROR(CHOOSE($C$9,INDEX('NOTES CE2-CM1'!$M$10:$M$250,MATCH(BB109,'NOTES CE2-CM1'!$B$10:$B$250,0)),INDEX('NOTES CE2-CM1'!$T$10:$T$250,MATCH(BB109,'NOTES CE2-CM1'!$B$10:$B$250,0)),INDEX('NOTES CE2-CM1'!$AA$10:$AA$250,MATCH(BB109,'NOTES CE2-CM1'!$B$10:$B$250,0)),INDEX('NOTES CE2-CM1'!$AH$10:$AH$250,MATCH(BB109,'NOTES CE2-CM1'!$B$10:$B$250,0))),""))</f>
        <v/>
      </c>
      <c r="BF109" s="51" t="str">
        <f aca="false">IF(ISNUMBER(BE109),BE109+(1000-69)/1000000,"")</f>
        <v/>
      </c>
      <c r="BG109" s="51" t="str">
        <f aca="false">IF(BB109="","",IFERROR(CHOOSE($C$9,INDEX('NOTES CE2-CM1'!$G$10:$G$250,MATCH(BB109,'NOTES CE2-CM1'!$B$10:$B$250,0)),INDEX('NOTES CE2-CM1'!$N$10:$N$250,MATCH(BB109,'NOTES CE2-CM1'!$B$10:$B$250,0)),INDEX('NOTES CE2-CM1'!$U$10:$U$250,MATCH(BB109,'NOTES CE2-CM1'!$B$10:$B$250,0)),INDEX('NOTES CE2-CM1'!$AB$10:$AB$250,MATCH(BB109,'NOTES CE2-CM1'!$B$10:$B$250,0))),""))</f>
        <v/>
      </c>
      <c r="BH109" s="51" t="str">
        <f aca="false">IFERROR(MATCH("CM2-69",'REGISTRE ELEVES'!$AG$10:$AG$250,0),"")</f>
        <v/>
      </c>
      <c r="BI109" s="51" t="str">
        <f aca="false">IF(BH109="","",INDEX('REGISTRE ELEVES'!$B$10:$B$250,BH109))</f>
        <v/>
      </c>
      <c r="BJ109" s="51" t="str">
        <f aca="false">IF(BH109="","",INDEX('REGISTRE ELEVES'!$D$10:$D$250,BH109))</f>
        <v/>
      </c>
      <c r="BK109" s="51" t="str">
        <f aca="false">IF(BH109="","",INDEX('REGISTRE ELEVES'!$E$10:$E$250,BH109))</f>
        <v/>
      </c>
      <c r="BL109" s="51" t="str">
        <f aca="false">IF(BI109="","",IFERROR(CHOOSE($C$9,INDEX('NOTES CM2'!$M$10:$M$250,MATCH(BI109,'NOTES CM2'!$B$10:$B$250,0)),INDEX('NOTES CM2'!$T$10:$T$250,MATCH(BI109,'NOTES CM2'!$B$10:$B$250,0)),INDEX('NOTES CM2'!$AB$10:$AB$250,MATCH(BI109,'NOTES CM2'!$B$10:$B$250,0)),INDEX('NOTES CM2'!$AJ$10:$AJ$250,MATCH(BI109,'NOTES CM2'!$B$10:$B$250,0))),""))</f>
        <v/>
      </c>
      <c r="BM109" s="51" t="str">
        <f aca="false">IF(ISNUMBER(BL109),BL109+(1000-69)/1000000,"")</f>
        <v/>
      </c>
      <c r="BN109" s="51" t="str">
        <f aca="false">IF(BI109="","",IFERROR(CHOOSE($C$9,INDEX('NOTES CM2'!$G$10:$G$250,MATCH(BI109,'NOTES CM2'!$B$10:$B$250,0)),INDEX('NOTES CM2'!$N$10:$N$250,MATCH(BI109,'NOTES CM2'!$B$10:$B$250,0)),INDEX('NOTES CM2'!$U$10:$U$250,MATCH(BI109,'NOTES CM2'!$B$10:$B$250,0)),INDEX('NOTES CM2'!$AC$10:$AC$250,MATCH(BI109,'NOTES CM2'!$B$10:$B$250,0))),""))</f>
        <v/>
      </c>
    </row>
    <row r="110" customFormat="false" ht="15" hidden="false" customHeight="false" outlineLevel="0" collapsed="false">
      <c r="Y110" s="51" t="str">
        <f aca="false">IFERROR(MATCH("CP1-70",'REGISTRE ELEVES'!$AG$10:$AG$250,0),"")</f>
        <v/>
      </c>
      <c r="Z110" s="51" t="str">
        <f aca="false">IF(Y110="","",INDEX('REGISTRE ELEVES'!$B$10:$B$250,Y110))</f>
        <v/>
      </c>
      <c r="AA110" s="51" t="str">
        <f aca="false">IF(Y110="","",INDEX('REGISTRE ELEVES'!$D$10:$D$250,Y110))</f>
        <v/>
      </c>
      <c r="AB110" s="51" t="str">
        <f aca="false">IF(Y110="","",INDEX('REGISTRE ELEVES'!$E$10:$E$250,Y110))</f>
        <v/>
      </c>
      <c r="AC110" s="51" t="str">
        <f aca="false">IF(Z110="","",IFERROR(CHOOSE($C$9,INDEX('NOTES CP'!$P$10:$P$250,MATCH(Z110,'NOTES CP'!$B$10:$B$250,0)),INDEX('NOTES CP'!$Z$10:$Z$250,MATCH(Z110,'NOTES CP'!$B$10:$B$250,0)),INDEX('NOTES CP'!$AJ$10:$AJ$250,MATCH(Z110,'NOTES CP'!$B$10:$B$250,0)),INDEX('NOTES CP'!$AT$10:$AT$250,MATCH(Z110,'NOTES CP'!$B$10:$B$250,0))),""))</f>
        <v/>
      </c>
      <c r="AD110" s="51" t="str">
        <f aca="false">IF(ISNUMBER(AC110),AC110+(1000-70)/1000000,"")</f>
        <v/>
      </c>
      <c r="AE110" s="51" t="str">
        <f aca="false">IF(Z110="","",IFERROR(CHOOSE($C$9,INDEX('NOTES CP'!$G$10:$G$250,MATCH(Z110,'NOTES CP'!$B$10:$B$250,0)),INDEX('NOTES CP'!$Q$10:$Q$250,MATCH(Z110,'NOTES CP'!$B$10:$B$250,0)),INDEX('NOTES CP'!$AA$10:$AA$250,MATCH(Z110,'NOTES CP'!$B$10:$B$250,0)),INDEX('NOTES CP'!$AK$10:$AK$250,MATCH(Z110,'NOTES CP'!$B$10:$B$250,0))),""))</f>
        <v/>
      </c>
      <c r="AF110" s="51" t="str">
        <f aca="false">IFERROR(MATCH("CP2-70",'REGISTRE ELEVES'!$AG$10:$AG$250,0),"")</f>
        <v/>
      </c>
      <c r="AG110" s="51" t="str">
        <f aca="false">IF(AF110="","",INDEX('REGISTRE ELEVES'!$B$10:$B$250,AF110))</f>
        <v/>
      </c>
      <c r="AH110" s="51" t="str">
        <f aca="false">IF(AF110="","",INDEX('REGISTRE ELEVES'!$D$10:$D$250,AF110))</f>
        <v/>
      </c>
      <c r="AI110" s="51" t="str">
        <f aca="false">IF(AF110="","",INDEX('REGISTRE ELEVES'!$E$10:$E$250,AF110))</f>
        <v/>
      </c>
      <c r="AJ110" s="51" t="str">
        <f aca="false">IF(AG110="","",IFERROR(CHOOSE($C$9,INDEX('NOTES CP'!$P$10:$P$250,MATCH(AG110,'NOTES CP'!$B$10:$B$250,0)),INDEX('NOTES CP'!$Z$10:$Z$250,MATCH(AG110,'NOTES CP'!$B$10:$B$250,0)),INDEX('NOTES CP'!$AJ$10:$AJ$250,MATCH(AG110,'NOTES CP'!$B$10:$B$250,0)),INDEX('NOTES CP'!$AT$10:$AT$250,MATCH(AG110,'NOTES CP'!$B$10:$B$250,0))),""))</f>
        <v/>
      </c>
      <c r="AK110" s="51" t="str">
        <f aca="false">IF(ISNUMBER(AJ110),AJ110+(1000-70)/1000000,"")</f>
        <v/>
      </c>
      <c r="AL110" s="51" t="str">
        <f aca="false">IF(AG110="","",IFERROR(CHOOSE($C$9,INDEX('NOTES CP'!$G$10:$G$250,MATCH(AG110,'NOTES CP'!$B$10:$B$250,0)),INDEX('NOTES CP'!$Q$10:$Q$250,MATCH(AG110,'NOTES CP'!$B$10:$B$250,0)),INDEX('NOTES CP'!$AA$10:$AA$250,MATCH(AG110,'NOTES CP'!$B$10:$B$250,0)),INDEX('NOTES CP'!$AK$10:$AK$250,MATCH(AG110,'NOTES CP'!$B$10:$B$250,0))),""))</f>
        <v/>
      </c>
      <c r="AM110" s="51" t="str">
        <f aca="false">IFERROR(MATCH("CE1-70",'REGISTRE ELEVES'!$AG$10:$AG$250,0),"")</f>
        <v/>
      </c>
      <c r="AN110" s="51" t="str">
        <f aca="false">IF(AM110="","",INDEX('REGISTRE ELEVES'!$B$10:$B$250,AM110))</f>
        <v/>
      </c>
      <c r="AO110" s="51" t="str">
        <f aca="false">IF(AM110="","",INDEX('REGISTRE ELEVES'!$D$10:$D$250,AM110))</f>
        <v/>
      </c>
      <c r="AP110" s="51" t="str">
        <f aca="false">IF(AM110="","",INDEX('REGISTRE ELEVES'!$E$10:$E$250,AM110))</f>
        <v/>
      </c>
      <c r="AQ110" s="51" t="str">
        <f aca="false">IF(AN110="","",IFERROR(CHOOSE($C$9,INDEX('NOTES CE1'!$M$10:$M$250,MATCH(AN110,'NOTES CE1'!$B$10:$B$250,0)),INDEX('NOTES CE1'!$T$10:$T$250,MATCH(AN110,'NOTES CE1'!$B$10:$B$250,0)),INDEX('NOTES CE1'!$AA$10:$AA$250,MATCH(AN110,'NOTES CE1'!$B$10:$B$250,0)),INDEX('NOTES CE1'!$AH$10:$AH$250,MATCH(AN110,'NOTES CE1'!$B$10:$B$250,0))),""))</f>
        <v/>
      </c>
      <c r="AR110" s="51" t="str">
        <f aca="false">IF(ISNUMBER(AQ110),AQ110+(1000-70)/1000000,"")</f>
        <v/>
      </c>
      <c r="AS110" s="51" t="str">
        <f aca="false">IF(AN110="","",IFERROR(CHOOSE($C$9,INDEX('NOTES CE1'!$G$10:$G$250,MATCH(AN110,'NOTES CE1'!$B$10:$B$250,0)),INDEX('NOTES CE1'!$N$10:$N$250,MATCH(AN110,'NOTES CE1'!$B$10:$B$250,0)),INDEX('NOTES CE1'!$U$10:$U$250,MATCH(AN110,'NOTES CE1'!$B$10:$B$250,0)),INDEX('NOTES CE1'!$AB$10:$AB$250,MATCH(AN110,'NOTES CE1'!$B$10:$B$250,0))),""))</f>
        <v/>
      </c>
      <c r="AT110" s="51" t="str">
        <f aca="false">IFERROR(MATCH("CE2-70",'REGISTRE ELEVES'!$AG$10:$AG$250,0),"")</f>
        <v/>
      </c>
      <c r="AU110" s="51" t="str">
        <f aca="false">IF(AT110="","",INDEX('REGISTRE ELEVES'!$B$10:$B$250,AT110))</f>
        <v/>
      </c>
      <c r="AV110" s="51" t="str">
        <f aca="false">IF(AT110="","",INDEX('REGISTRE ELEVES'!$D$10:$D$250,AT110))</f>
        <v/>
      </c>
      <c r="AW110" s="51" t="str">
        <f aca="false">IF(AT110="","",INDEX('REGISTRE ELEVES'!$E$10:$E$250,AT110))</f>
        <v/>
      </c>
      <c r="AX110" s="51" t="str">
        <f aca="false">IF(AU110="","",IFERROR(CHOOSE($C$9,INDEX('NOTES CE2-CM1'!$M$10:$M$250,MATCH(AU110,'NOTES CE2-CM1'!$B$10:$B$250,0)),INDEX('NOTES CE2-CM1'!$T$10:$T$250,MATCH(AU110,'NOTES CE2-CM1'!$B$10:$B$250,0)),INDEX('NOTES CE2-CM1'!$AA$10:$AA$250,MATCH(AU110,'NOTES CE2-CM1'!$B$10:$B$250,0)),INDEX('NOTES CE2-CM1'!$AH$10:$AH$250,MATCH(AU110,'NOTES CE2-CM1'!$B$10:$B$250,0))),""))</f>
        <v/>
      </c>
      <c r="AY110" s="51" t="str">
        <f aca="false">IF(ISNUMBER(AX110),AX110+(1000-70)/1000000,"")</f>
        <v/>
      </c>
      <c r="AZ110" s="51" t="str">
        <f aca="false">IF(AU110="","",IFERROR(CHOOSE($C$9,INDEX('NOTES CE2-CM1'!$G$10:$G$250,MATCH(AU110,'NOTES CE2-CM1'!$B$10:$B$250,0)),INDEX('NOTES CE2-CM1'!$N$10:$N$250,MATCH(AU110,'NOTES CE2-CM1'!$B$10:$B$250,0)),INDEX('NOTES CE2-CM1'!$U$10:$U$250,MATCH(AU110,'NOTES CE2-CM1'!$B$10:$B$250,0)),INDEX('NOTES CE2-CM1'!$AB$10:$AB$250,MATCH(AU110,'NOTES CE2-CM1'!$B$10:$B$250,0))),""))</f>
        <v/>
      </c>
      <c r="BA110" s="51" t="str">
        <f aca="false">IFERROR(MATCH("CM1-70",'REGISTRE ELEVES'!$AG$10:$AG$250,0),"")</f>
        <v/>
      </c>
      <c r="BB110" s="51" t="str">
        <f aca="false">IF(BA110="","",INDEX('REGISTRE ELEVES'!$B$10:$B$250,BA110))</f>
        <v/>
      </c>
      <c r="BC110" s="51" t="str">
        <f aca="false">IF(BA110="","",INDEX('REGISTRE ELEVES'!$D$10:$D$250,BA110))</f>
        <v/>
      </c>
      <c r="BD110" s="51" t="str">
        <f aca="false">IF(BA110="","",INDEX('REGISTRE ELEVES'!$E$10:$E$250,BA110))</f>
        <v/>
      </c>
      <c r="BE110" s="51" t="str">
        <f aca="false">IF(BB110="","",IFERROR(CHOOSE($C$9,INDEX('NOTES CE2-CM1'!$M$10:$M$250,MATCH(BB110,'NOTES CE2-CM1'!$B$10:$B$250,0)),INDEX('NOTES CE2-CM1'!$T$10:$T$250,MATCH(BB110,'NOTES CE2-CM1'!$B$10:$B$250,0)),INDEX('NOTES CE2-CM1'!$AA$10:$AA$250,MATCH(BB110,'NOTES CE2-CM1'!$B$10:$B$250,0)),INDEX('NOTES CE2-CM1'!$AH$10:$AH$250,MATCH(BB110,'NOTES CE2-CM1'!$B$10:$B$250,0))),""))</f>
        <v/>
      </c>
      <c r="BF110" s="51" t="str">
        <f aca="false">IF(ISNUMBER(BE110),BE110+(1000-70)/1000000,"")</f>
        <v/>
      </c>
      <c r="BG110" s="51" t="str">
        <f aca="false">IF(BB110="","",IFERROR(CHOOSE($C$9,INDEX('NOTES CE2-CM1'!$G$10:$G$250,MATCH(BB110,'NOTES CE2-CM1'!$B$10:$B$250,0)),INDEX('NOTES CE2-CM1'!$N$10:$N$250,MATCH(BB110,'NOTES CE2-CM1'!$B$10:$B$250,0)),INDEX('NOTES CE2-CM1'!$U$10:$U$250,MATCH(BB110,'NOTES CE2-CM1'!$B$10:$B$250,0)),INDEX('NOTES CE2-CM1'!$AB$10:$AB$250,MATCH(BB110,'NOTES CE2-CM1'!$B$10:$B$250,0))),""))</f>
        <v/>
      </c>
      <c r="BH110" s="51" t="str">
        <f aca="false">IFERROR(MATCH("CM2-70",'REGISTRE ELEVES'!$AG$10:$AG$250,0),"")</f>
        <v/>
      </c>
      <c r="BI110" s="51" t="str">
        <f aca="false">IF(BH110="","",INDEX('REGISTRE ELEVES'!$B$10:$B$250,BH110))</f>
        <v/>
      </c>
      <c r="BJ110" s="51" t="str">
        <f aca="false">IF(BH110="","",INDEX('REGISTRE ELEVES'!$D$10:$D$250,BH110))</f>
        <v/>
      </c>
      <c r="BK110" s="51" t="str">
        <f aca="false">IF(BH110="","",INDEX('REGISTRE ELEVES'!$E$10:$E$250,BH110))</f>
        <v/>
      </c>
      <c r="BL110" s="51" t="str">
        <f aca="false">IF(BI110="","",IFERROR(CHOOSE($C$9,INDEX('NOTES CM2'!$M$10:$M$250,MATCH(BI110,'NOTES CM2'!$B$10:$B$250,0)),INDEX('NOTES CM2'!$T$10:$T$250,MATCH(BI110,'NOTES CM2'!$B$10:$B$250,0)),INDEX('NOTES CM2'!$AB$10:$AB$250,MATCH(BI110,'NOTES CM2'!$B$10:$B$250,0)),INDEX('NOTES CM2'!$AJ$10:$AJ$250,MATCH(BI110,'NOTES CM2'!$B$10:$B$250,0))),""))</f>
        <v/>
      </c>
      <c r="BM110" s="51" t="str">
        <f aca="false">IF(ISNUMBER(BL110),BL110+(1000-70)/1000000,"")</f>
        <v/>
      </c>
      <c r="BN110" s="51" t="str">
        <f aca="false">IF(BI110="","",IFERROR(CHOOSE($C$9,INDEX('NOTES CM2'!$G$10:$G$250,MATCH(BI110,'NOTES CM2'!$B$10:$B$250,0)),INDEX('NOTES CM2'!$N$10:$N$250,MATCH(BI110,'NOTES CM2'!$B$10:$B$250,0)),INDEX('NOTES CM2'!$U$10:$U$250,MATCH(BI110,'NOTES CM2'!$B$10:$B$250,0)),INDEX('NOTES CM2'!$AC$10:$AC$250,MATCH(BI110,'NOTES CM2'!$B$10:$B$250,0))),""))</f>
        <v/>
      </c>
    </row>
    <row r="111" customFormat="false" ht="15" hidden="false" customHeight="false" outlineLevel="0" collapsed="false">
      <c r="Y111" s="51" t="str">
        <f aca="false">IFERROR(MATCH("CP1-71",'REGISTRE ELEVES'!$AG$10:$AG$250,0),"")</f>
        <v/>
      </c>
      <c r="Z111" s="51" t="str">
        <f aca="false">IF(Y111="","",INDEX('REGISTRE ELEVES'!$B$10:$B$250,Y111))</f>
        <v/>
      </c>
      <c r="AA111" s="51" t="str">
        <f aca="false">IF(Y111="","",INDEX('REGISTRE ELEVES'!$D$10:$D$250,Y111))</f>
        <v/>
      </c>
      <c r="AB111" s="51" t="str">
        <f aca="false">IF(Y111="","",INDEX('REGISTRE ELEVES'!$E$10:$E$250,Y111))</f>
        <v/>
      </c>
      <c r="AC111" s="51" t="str">
        <f aca="false">IF(Z111="","",IFERROR(CHOOSE($C$9,INDEX('NOTES CP'!$P$10:$P$250,MATCH(Z111,'NOTES CP'!$B$10:$B$250,0)),INDEX('NOTES CP'!$Z$10:$Z$250,MATCH(Z111,'NOTES CP'!$B$10:$B$250,0)),INDEX('NOTES CP'!$AJ$10:$AJ$250,MATCH(Z111,'NOTES CP'!$B$10:$B$250,0)),INDEX('NOTES CP'!$AT$10:$AT$250,MATCH(Z111,'NOTES CP'!$B$10:$B$250,0))),""))</f>
        <v/>
      </c>
      <c r="AD111" s="51" t="str">
        <f aca="false">IF(ISNUMBER(AC111),AC111+(1000-71)/1000000,"")</f>
        <v/>
      </c>
      <c r="AE111" s="51" t="str">
        <f aca="false">IF(Z111="","",IFERROR(CHOOSE($C$9,INDEX('NOTES CP'!$G$10:$G$250,MATCH(Z111,'NOTES CP'!$B$10:$B$250,0)),INDEX('NOTES CP'!$Q$10:$Q$250,MATCH(Z111,'NOTES CP'!$B$10:$B$250,0)),INDEX('NOTES CP'!$AA$10:$AA$250,MATCH(Z111,'NOTES CP'!$B$10:$B$250,0)),INDEX('NOTES CP'!$AK$10:$AK$250,MATCH(Z111,'NOTES CP'!$B$10:$B$250,0))),""))</f>
        <v/>
      </c>
      <c r="AF111" s="51" t="str">
        <f aca="false">IFERROR(MATCH("CP2-71",'REGISTRE ELEVES'!$AG$10:$AG$250,0),"")</f>
        <v/>
      </c>
      <c r="AG111" s="51" t="str">
        <f aca="false">IF(AF111="","",INDEX('REGISTRE ELEVES'!$B$10:$B$250,AF111))</f>
        <v/>
      </c>
      <c r="AH111" s="51" t="str">
        <f aca="false">IF(AF111="","",INDEX('REGISTRE ELEVES'!$D$10:$D$250,AF111))</f>
        <v/>
      </c>
      <c r="AI111" s="51" t="str">
        <f aca="false">IF(AF111="","",INDEX('REGISTRE ELEVES'!$E$10:$E$250,AF111))</f>
        <v/>
      </c>
      <c r="AJ111" s="51" t="str">
        <f aca="false">IF(AG111="","",IFERROR(CHOOSE($C$9,INDEX('NOTES CP'!$P$10:$P$250,MATCH(AG111,'NOTES CP'!$B$10:$B$250,0)),INDEX('NOTES CP'!$Z$10:$Z$250,MATCH(AG111,'NOTES CP'!$B$10:$B$250,0)),INDEX('NOTES CP'!$AJ$10:$AJ$250,MATCH(AG111,'NOTES CP'!$B$10:$B$250,0)),INDEX('NOTES CP'!$AT$10:$AT$250,MATCH(AG111,'NOTES CP'!$B$10:$B$250,0))),""))</f>
        <v/>
      </c>
      <c r="AK111" s="51" t="str">
        <f aca="false">IF(ISNUMBER(AJ111),AJ111+(1000-71)/1000000,"")</f>
        <v/>
      </c>
      <c r="AL111" s="51" t="str">
        <f aca="false">IF(AG111="","",IFERROR(CHOOSE($C$9,INDEX('NOTES CP'!$G$10:$G$250,MATCH(AG111,'NOTES CP'!$B$10:$B$250,0)),INDEX('NOTES CP'!$Q$10:$Q$250,MATCH(AG111,'NOTES CP'!$B$10:$B$250,0)),INDEX('NOTES CP'!$AA$10:$AA$250,MATCH(AG111,'NOTES CP'!$B$10:$B$250,0)),INDEX('NOTES CP'!$AK$10:$AK$250,MATCH(AG111,'NOTES CP'!$B$10:$B$250,0))),""))</f>
        <v/>
      </c>
      <c r="AM111" s="51" t="str">
        <f aca="false">IFERROR(MATCH("CE1-71",'REGISTRE ELEVES'!$AG$10:$AG$250,0),"")</f>
        <v/>
      </c>
      <c r="AN111" s="51" t="str">
        <f aca="false">IF(AM111="","",INDEX('REGISTRE ELEVES'!$B$10:$B$250,AM111))</f>
        <v/>
      </c>
      <c r="AO111" s="51" t="str">
        <f aca="false">IF(AM111="","",INDEX('REGISTRE ELEVES'!$D$10:$D$250,AM111))</f>
        <v/>
      </c>
      <c r="AP111" s="51" t="str">
        <f aca="false">IF(AM111="","",INDEX('REGISTRE ELEVES'!$E$10:$E$250,AM111))</f>
        <v/>
      </c>
      <c r="AQ111" s="51" t="str">
        <f aca="false">IF(AN111="","",IFERROR(CHOOSE($C$9,INDEX('NOTES CE1'!$M$10:$M$250,MATCH(AN111,'NOTES CE1'!$B$10:$B$250,0)),INDEX('NOTES CE1'!$T$10:$T$250,MATCH(AN111,'NOTES CE1'!$B$10:$B$250,0)),INDEX('NOTES CE1'!$AA$10:$AA$250,MATCH(AN111,'NOTES CE1'!$B$10:$B$250,0)),INDEX('NOTES CE1'!$AH$10:$AH$250,MATCH(AN111,'NOTES CE1'!$B$10:$B$250,0))),""))</f>
        <v/>
      </c>
      <c r="AR111" s="51" t="str">
        <f aca="false">IF(ISNUMBER(AQ111),AQ111+(1000-71)/1000000,"")</f>
        <v/>
      </c>
      <c r="AS111" s="51" t="str">
        <f aca="false">IF(AN111="","",IFERROR(CHOOSE($C$9,INDEX('NOTES CE1'!$G$10:$G$250,MATCH(AN111,'NOTES CE1'!$B$10:$B$250,0)),INDEX('NOTES CE1'!$N$10:$N$250,MATCH(AN111,'NOTES CE1'!$B$10:$B$250,0)),INDEX('NOTES CE1'!$U$10:$U$250,MATCH(AN111,'NOTES CE1'!$B$10:$B$250,0)),INDEX('NOTES CE1'!$AB$10:$AB$250,MATCH(AN111,'NOTES CE1'!$B$10:$B$250,0))),""))</f>
        <v/>
      </c>
      <c r="AT111" s="51" t="str">
        <f aca="false">IFERROR(MATCH("CE2-71",'REGISTRE ELEVES'!$AG$10:$AG$250,0),"")</f>
        <v/>
      </c>
      <c r="AU111" s="51" t="str">
        <f aca="false">IF(AT111="","",INDEX('REGISTRE ELEVES'!$B$10:$B$250,AT111))</f>
        <v/>
      </c>
      <c r="AV111" s="51" t="str">
        <f aca="false">IF(AT111="","",INDEX('REGISTRE ELEVES'!$D$10:$D$250,AT111))</f>
        <v/>
      </c>
      <c r="AW111" s="51" t="str">
        <f aca="false">IF(AT111="","",INDEX('REGISTRE ELEVES'!$E$10:$E$250,AT111))</f>
        <v/>
      </c>
      <c r="AX111" s="51" t="str">
        <f aca="false">IF(AU111="","",IFERROR(CHOOSE($C$9,INDEX('NOTES CE2-CM1'!$M$10:$M$250,MATCH(AU111,'NOTES CE2-CM1'!$B$10:$B$250,0)),INDEX('NOTES CE2-CM1'!$T$10:$T$250,MATCH(AU111,'NOTES CE2-CM1'!$B$10:$B$250,0)),INDEX('NOTES CE2-CM1'!$AA$10:$AA$250,MATCH(AU111,'NOTES CE2-CM1'!$B$10:$B$250,0)),INDEX('NOTES CE2-CM1'!$AH$10:$AH$250,MATCH(AU111,'NOTES CE2-CM1'!$B$10:$B$250,0))),""))</f>
        <v/>
      </c>
      <c r="AY111" s="51" t="str">
        <f aca="false">IF(ISNUMBER(AX111),AX111+(1000-71)/1000000,"")</f>
        <v/>
      </c>
      <c r="AZ111" s="51" t="str">
        <f aca="false">IF(AU111="","",IFERROR(CHOOSE($C$9,INDEX('NOTES CE2-CM1'!$G$10:$G$250,MATCH(AU111,'NOTES CE2-CM1'!$B$10:$B$250,0)),INDEX('NOTES CE2-CM1'!$N$10:$N$250,MATCH(AU111,'NOTES CE2-CM1'!$B$10:$B$250,0)),INDEX('NOTES CE2-CM1'!$U$10:$U$250,MATCH(AU111,'NOTES CE2-CM1'!$B$10:$B$250,0)),INDEX('NOTES CE2-CM1'!$AB$10:$AB$250,MATCH(AU111,'NOTES CE2-CM1'!$B$10:$B$250,0))),""))</f>
        <v/>
      </c>
      <c r="BA111" s="51" t="str">
        <f aca="false">IFERROR(MATCH("CM1-71",'REGISTRE ELEVES'!$AG$10:$AG$250,0),"")</f>
        <v/>
      </c>
      <c r="BB111" s="51" t="str">
        <f aca="false">IF(BA111="","",INDEX('REGISTRE ELEVES'!$B$10:$B$250,BA111))</f>
        <v/>
      </c>
      <c r="BC111" s="51" t="str">
        <f aca="false">IF(BA111="","",INDEX('REGISTRE ELEVES'!$D$10:$D$250,BA111))</f>
        <v/>
      </c>
      <c r="BD111" s="51" t="str">
        <f aca="false">IF(BA111="","",INDEX('REGISTRE ELEVES'!$E$10:$E$250,BA111))</f>
        <v/>
      </c>
      <c r="BE111" s="51" t="str">
        <f aca="false">IF(BB111="","",IFERROR(CHOOSE($C$9,INDEX('NOTES CE2-CM1'!$M$10:$M$250,MATCH(BB111,'NOTES CE2-CM1'!$B$10:$B$250,0)),INDEX('NOTES CE2-CM1'!$T$10:$T$250,MATCH(BB111,'NOTES CE2-CM1'!$B$10:$B$250,0)),INDEX('NOTES CE2-CM1'!$AA$10:$AA$250,MATCH(BB111,'NOTES CE2-CM1'!$B$10:$B$250,0)),INDEX('NOTES CE2-CM1'!$AH$10:$AH$250,MATCH(BB111,'NOTES CE2-CM1'!$B$10:$B$250,0))),""))</f>
        <v/>
      </c>
      <c r="BF111" s="51" t="str">
        <f aca="false">IF(ISNUMBER(BE111),BE111+(1000-71)/1000000,"")</f>
        <v/>
      </c>
      <c r="BG111" s="51" t="str">
        <f aca="false">IF(BB111="","",IFERROR(CHOOSE($C$9,INDEX('NOTES CE2-CM1'!$G$10:$G$250,MATCH(BB111,'NOTES CE2-CM1'!$B$10:$B$250,0)),INDEX('NOTES CE2-CM1'!$N$10:$N$250,MATCH(BB111,'NOTES CE2-CM1'!$B$10:$B$250,0)),INDEX('NOTES CE2-CM1'!$U$10:$U$250,MATCH(BB111,'NOTES CE2-CM1'!$B$10:$B$250,0)),INDEX('NOTES CE2-CM1'!$AB$10:$AB$250,MATCH(BB111,'NOTES CE2-CM1'!$B$10:$B$250,0))),""))</f>
        <v/>
      </c>
      <c r="BH111" s="51" t="str">
        <f aca="false">IFERROR(MATCH("CM2-71",'REGISTRE ELEVES'!$AG$10:$AG$250,0),"")</f>
        <v/>
      </c>
      <c r="BI111" s="51" t="str">
        <f aca="false">IF(BH111="","",INDEX('REGISTRE ELEVES'!$B$10:$B$250,BH111))</f>
        <v/>
      </c>
      <c r="BJ111" s="51" t="str">
        <f aca="false">IF(BH111="","",INDEX('REGISTRE ELEVES'!$D$10:$D$250,BH111))</f>
        <v/>
      </c>
      <c r="BK111" s="51" t="str">
        <f aca="false">IF(BH111="","",INDEX('REGISTRE ELEVES'!$E$10:$E$250,BH111))</f>
        <v/>
      </c>
      <c r="BL111" s="51" t="str">
        <f aca="false">IF(BI111="","",IFERROR(CHOOSE($C$9,INDEX('NOTES CM2'!$M$10:$M$250,MATCH(BI111,'NOTES CM2'!$B$10:$B$250,0)),INDEX('NOTES CM2'!$T$10:$T$250,MATCH(BI111,'NOTES CM2'!$B$10:$B$250,0)),INDEX('NOTES CM2'!$AB$10:$AB$250,MATCH(BI111,'NOTES CM2'!$B$10:$B$250,0)),INDEX('NOTES CM2'!$AJ$10:$AJ$250,MATCH(BI111,'NOTES CM2'!$B$10:$B$250,0))),""))</f>
        <v/>
      </c>
      <c r="BM111" s="51" t="str">
        <f aca="false">IF(ISNUMBER(BL111),BL111+(1000-71)/1000000,"")</f>
        <v/>
      </c>
      <c r="BN111" s="51" t="str">
        <f aca="false">IF(BI111="","",IFERROR(CHOOSE($C$9,INDEX('NOTES CM2'!$G$10:$G$250,MATCH(BI111,'NOTES CM2'!$B$10:$B$250,0)),INDEX('NOTES CM2'!$N$10:$N$250,MATCH(BI111,'NOTES CM2'!$B$10:$B$250,0)),INDEX('NOTES CM2'!$U$10:$U$250,MATCH(BI111,'NOTES CM2'!$B$10:$B$250,0)),INDEX('NOTES CM2'!$AC$10:$AC$250,MATCH(BI111,'NOTES CM2'!$B$10:$B$250,0))),""))</f>
        <v/>
      </c>
    </row>
    <row r="112" customFormat="false" ht="15" hidden="false" customHeight="false" outlineLevel="0" collapsed="false">
      <c r="Y112" s="51" t="str">
        <f aca="false">IFERROR(MATCH("CP1-72",'REGISTRE ELEVES'!$AG$10:$AG$250,0),"")</f>
        <v/>
      </c>
      <c r="Z112" s="51" t="str">
        <f aca="false">IF(Y112="","",INDEX('REGISTRE ELEVES'!$B$10:$B$250,Y112))</f>
        <v/>
      </c>
      <c r="AA112" s="51" t="str">
        <f aca="false">IF(Y112="","",INDEX('REGISTRE ELEVES'!$D$10:$D$250,Y112))</f>
        <v/>
      </c>
      <c r="AB112" s="51" t="str">
        <f aca="false">IF(Y112="","",INDEX('REGISTRE ELEVES'!$E$10:$E$250,Y112))</f>
        <v/>
      </c>
      <c r="AC112" s="51" t="str">
        <f aca="false">IF(Z112="","",IFERROR(CHOOSE($C$9,INDEX('NOTES CP'!$P$10:$P$250,MATCH(Z112,'NOTES CP'!$B$10:$B$250,0)),INDEX('NOTES CP'!$Z$10:$Z$250,MATCH(Z112,'NOTES CP'!$B$10:$B$250,0)),INDEX('NOTES CP'!$AJ$10:$AJ$250,MATCH(Z112,'NOTES CP'!$B$10:$B$250,0)),INDEX('NOTES CP'!$AT$10:$AT$250,MATCH(Z112,'NOTES CP'!$B$10:$B$250,0))),""))</f>
        <v/>
      </c>
      <c r="AD112" s="51" t="str">
        <f aca="false">IF(ISNUMBER(AC112),AC112+(1000-72)/1000000,"")</f>
        <v/>
      </c>
      <c r="AE112" s="51" t="str">
        <f aca="false">IF(Z112="","",IFERROR(CHOOSE($C$9,INDEX('NOTES CP'!$G$10:$G$250,MATCH(Z112,'NOTES CP'!$B$10:$B$250,0)),INDEX('NOTES CP'!$Q$10:$Q$250,MATCH(Z112,'NOTES CP'!$B$10:$B$250,0)),INDEX('NOTES CP'!$AA$10:$AA$250,MATCH(Z112,'NOTES CP'!$B$10:$B$250,0)),INDEX('NOTES CP'!$AK$10:$AK$250,MATCH(Z112,'NOTES CP'!$B$10:$B$250,0))),""))</f>
        <v/>
      </c>
      <c r="AF112" s="51" t="str">
        <f aca="false">IFERROR(MATCH("CP2-72",'REGISTRE ELEVES'!$AG$10:$AG$250,0),"")</f>
        <v/>
      </c>
      <c r="AG112" s="51" t="str">
        <f aca="false">IF(AF112="","",INDEX('REGISTRE ELEVES'!$B$10:$B$250,AF112))</f>
        <v/>
      </c>
      <c r="AH112" s="51" t="str">
        <f aca="false">IF(AF112="","",INDEX('REGISTRE ELEVES'!$D$10:$D$250,AF112))</f>
        <v/>
      </c>
      <c r="AI112" s="51" t="str">
        <f aca="false">IF(AF112="","",INDEX('REGISTRE ELEVES'!$E$10:$E$250,AF112))</f>
        <v/>
      </c>
      <c r="AJ112" s="51" t="str">
        <f aca="false">IF(AG112="","",IFERROR(CHOOSE($C$9,INDEX('NOTES CP'!$P$10:$P$250,MATCH(AG112,'NOTES CP'!$B$10:$B$250,0)),INDEX('NOTES CP'!$Z$10:$Z$250,MATCH(AG112,'NOTES CP'!$B$10:$B$250,0)),INDEX('NOTES CP'!$AJ$10:$AJ$250,MATCH(AG112,'NOTES CP'!$B$10:$B$250,0)),INDEX('NOTES CP'!$AT$10:$AT$250,MATCH(AG112,'NOTES CP'!$B$10:$B$250,0))),""))</f>
        <v/>
      </c>
      <c r="AK112" s="51" t="str">
        <f aca="false">IF(ISNUMBER(AJ112),AJ112+(1000-72)/1000000,"")</f>
        <v/>
      </c>
      <c r="AL112" s="51" t="str">
        <f aca="false">IF(AG112="","",IFERROR(CHOOSE($C$9,INDEX('NOTES CP'!$G$10:$G$250,MATCH(AG112,'NOTES CP'!$B$10:$B$250,0)),INDEX('NOTES CP'!$Q$10:$Q$250,MATCH(AG112,'NOTES CP'!$B$10:$B$250,0)),INDEX('NOTES CP'!$AA$10:$AA$250,MATCH(AG112,'NOTES CP'!$B$10:$B$250,0)),INDEX('NOTES CP'!$AK$10:$AK$250,MATCH(AG112,'NOTES CP'!$B$10:$B$250,0))),""))</f>
        <v/>
      </c>
      <c r="AM112" s="51" t="str">
        <f aca="false">IFERROR(MATCH("CE1-72",'REGISTRE ELEVES'!$AG$10:$AG$250,0),"")</f>
        <v/>
      </c>
      <c r="AN112" s="51" t="str">
        <f aca="false">IF(AM112="","",INDEX('REGISTRE ELEVES'!$B$10:$B$250,AM112))</f>
        <v/>
      </c>
      <c r="AO112" s="51" t="str">
        <f aca="false">IF(AM112="","",INDEX('REGISTRE ELEVES'!$D$10:$D$250,AM112))</f>
        <v/>
      </c>
      <c r="AP112" s="51" t="str">
        <f aca="false">IF(AM112="","",INDEX('REGISTRE ELEVES'!$E$10:$E$250,AM112))</f>
        <v/>
      </c>
      <c r="AQ112" s="51" t="str">
        <f aca="false">IF(AN112="","",IFERROR(CHOOSE($C$9,INDEX('NOTES CE1'!$M$10:$M$250,MATCH(AN112,'NOTES CE1'!$B$10:$B$250,0)),INDEX('NOTES CE1'!$T$10:$T$250,MATCH(AN112,'NOTES CE1'!$B$10:$B$250,0)),INDEX('NOTES CE1'!$AA$10:$AA$250,MATCH(AN112,'NOTES CE1'!$B$10:$B$250,0)),INDEX('NOTES CE1'!$AH$10:$AH$250,MATCH(AN112,'NOTES CE1'!$B$10:$B$250,0))),""))</f>
        <v/>
      </c>
      <c r="AR112" s="51" t="str">
        <f aca="false">IF(ISNUMBER(AQ112),AQ112+(1000-72)/1000000,"")</f>
        <v/>
      </c>
      <c r="AS112" s="51" t="str">
        <f aca="false">IF(AN112="","",IFERROR(CHOOSE($C$9,INDEX('NOTES CE1'!$G$10:$G$250,MATCH(AN112,'NOTES CE1'!$B$10:$B$250,0)),INDEX('NOTES CE1'!$N$10:$N$250,MATCH(AN112,'NOTES CE1'!$B$10:$B$250,0)),INDEX('NOTES CE1'!$U$10:$U$250,MATCH(AN112,'NOTES CE1'!$B$10:$B$250,0)),INDEX('NOTES CE1'!$AB$10:$AB$250,MATCH(AN112,'NOTES CE1'!$B$10:$B$250,0))),""))</f>
        <v/>
      </c>
      <c r="AT112" s="51" t="str">
        <f aca="false">IFERROR(MATCH("CE2-72",'REGISTRE ELEVES'!$AG$10:$AG$250,0),"")</f>
        <v/>
      </c>
      <c r="AU112" s="51" t="str">
        <f aca="false">IF(AT112="","",INDEX('REGISTRE ELEVES'!$B$10:$B$250,AT112))</f>
        <v/>
      </c>
      <c r="AV112" s="51" t="str">
        <f aca="false">IF(AT112="","",INDEX('REGISTRE ELEVES'!$D$10:$D$250,AT112))</f>
        <v/>
      </c>
      <c r="AW112" s="51" t="str">
        <f aca="false">IF(AT112="","",INDEX('REGISTRE ELEVES'!$E$10:$E$250,AT112))</f>
        <v/>
      </c>
      <c r="AX112" s="51" t="str">
        <f aca="false">IF(AU112="","",IFERROR(CHOOSE($C$9,INDEX('NOTES CE2-CM1'!$M$10:$M$250,MATCH(AU112,'NOTES CE2-CM1'!$B$10:$B$250,0)),INDEX('NOTES CE2-CM1'!$T$10:$T$250,MATCH(AU112,'NOTES CE2-CM1'!$B$10:$B$250,0)),INDEX('NOTES CE2-CM1'!$AA$10:$AA$250,MATCH(AU112,'NOTES CE2-CM1'!$B$10:$B$250,0)),INDEX('NOTES CE2-CM1'!$AH$10:$AH$250,MATCH(AU112,'NOTES CE2-CM1'!$B$10:$B$250,0))),""))</f>
        <v/>
      </c>
      <c r="AY112" s="51" t="str">
        <f aca="false">IF(ISNUMBER(AX112),AX112+(1000-72)/1000000,"")</f>
        <v/>
      </c>
      <c r="AZ112" s="51" t="str">
        <f aca="false">IF(AU112="","",IFERROR(CHOOSE($C$9,INDEX('NOTES CE2-CM1'!$G$10:$G$250,MATCH(AU112,'NOTES CE2-CM1'!$B$10:$B$250,0)),INDEX('NOTES CE2-CM1'!$N$10:$N$250,MATCH(AU112,'NOTES CE2-CM1'!$B$10:$B$250,0)),INDEX('NOTES CE2-CM1'!$U$10:$U$250,MATCH(AU112,'NOTES CE2-CM1'!$B$10:$B$250,0)),INDEX('NOTES CE2-CM1'!$AB$10:$AB$250,MATCH(AU112,'NOTES CE2-CM1'!$B$10:$B$250,0))),""))</f>
        <v/>
      </c>
      <c r="BA112" s="51" t="str">
        <f aca="false">IFERROR(MATCH("CM1-72",'REGISTRE ELEVES'!$AG$10:$AG$250,0),"")</f>
        <v/>
      </c>
      <c r="BB112" s="51" t="str">
        <f aca="false">IF(BA112="","",INDEX('REGISTRE ELEVES'!$B$10:$B$250,BA112))</f>
        <v/>
      </c>
      <c r="BC112" s="51" t="str">
        <f aca="false">IF(BA112="","",INDEX('REGISTRE ELEVES'!$D$10:$D$250,BA112))</f>
        <v/>
      </c>
      <c r="BD112" s="51" t="str">
        <f aca="false">IF(BA112="","",INDEX('REGISTRE ELEVES'!$E$10:$E$250,BA112))</f>
        <v/>
      </c>
      <c r="BE112" s="51" t="str">
        <f aca="false">IF(BB112="","",IFERROR(CHOOSE($C$9,INDEX('NOTES CE2-CM1'!$M$10:$M$250,MATCH(BB112,'NOTES CE2-CM1'!$B$10:$B$250,0)),INDEX('NOTES CE2-CM1'!$T$10:$T$250,MATCH(BB112,'NOTES CE2-CM1'!$B$10:$B$250,0)),INDEX('NOTES CE2-CM1'!$AA$10:$AA$250,MATCH(BB112,'NOTES CE2-CM1'!$B$10:$B$250,0)),INDEX('NOTES CE2-CM1'!$AH$10:$AH$250,MATCH(BB112,'NOTES CE2-CM1'!$B$10:$B$250,0))),""))</f>
        <v/>
      </c>
      <c r="BF112" s="51" t="str">
        <f aca="false">IF(ISNUMBER(BE112),BE112+(1000-72)/1000000,"")</f>
        <v/>
      </c>
      <c r="BG112" s="51" t="str">
        <f aca="false">IF(BB112="","",IFERROR(CHOOSE($C$9,INDEX('NOTES CE2-CM1'!$G$10:$G$250,MATCH(BB112,'NOTES CE2-CM1'!$B$10:$B$250,0)),INDEX('NOTES CE2-CM1'!$N$10:$N$250,MATCH(BB112,'NOTES CE2-CM1'!$B$10:$B$250,0)),INDEX('NOTES CE2-CM1'!$U$10:$U$250,MATCH(BB112,'NOTES CE2-CM1'!$B$10:$B$250,0)),INDEX('NOTES CE2-CM1'!$AB$10:$AB$250,MATCH(BB112,'NOTES CE2-CM1'!$B$10:$B$250,0))),""))</f>
        <v/>
      </c>
      <c r="BH112" s="51" t="str">
        <f aca="false">IFERROR(MATCH("CM2-72",'REGISTRE ELEVES'!$AG$10:$AG$250,0),"")</f>
        <v/>
      </c>
      <c r="BI112" s="51" t="str">
        <f aca="false">IF(BH112="","",INDEX('REGISTRE ELEVES'!$B$10:$B$250,BH112))</f>
        <v/>
      </c>
      <c r="BJ112" s="51" t="str">
        <f aca="false">IF(BH112="","",INDEX('REGISTRE ELEVES'!$D$10:$D$250,BH112))</f>
        <v/>
      </c>
      <c r="BK112" s="51" t="str">
        <f aca="false">IF(BH112="","",INDEX('REGISTRE ELEVES'!$E$10:$E$250,BH112))</f>
        <v/>
      </c>
      <c r="BL112" s="51" t="str">
        <f aca="false">IF(BI112="","",IFERROR(CHOOSE($C$9,INDEX('NOTES CM2'!$M$10:$M$250,MATCH(BI112,'NOTES CM2'!$B$10:$B$250,0)),INDEX('NOTES CM2'!$T$10:$T$250,MATCH(BI112,'NOTES CM2'!$B$10:$B$250,0)),INDEX('NOTES CM2'!$AB$10:$AB$250,MATCH(BI112,'NOTES CM2'!$B$10:$B$250,0)),INDEX('NOTES CM2'!$AJ$10:$AJ$250,MATCH(BI112,'NOTES CM2'!$B$10:$B$250,0))),""))</f>
        <v/>
      </c>
      <c r="BM112" s="51" t="str">
        <f aca="false">IF(ISNUMBER(BL112),BL112+(1000-72)/1000000,"")</f>
        <v/>
      </c>
      <c r="BN112" s="51" t="str">
        <f aca="false">IF(BI112="","",IFERROR(CHOOSE($C$9,INDEX('NOTES CM2'!$G$10:$G$250,MATCH(BI112,'NOTES CM2'!$B$10:$B$250,0)),INDEX('NOTES CM2'!$N$10:$N$250,MATCH(BI112,'NOTES CM2'!$B$10:$B$250,0)),INDEX('NOTES CM2'!$U$10:$U$250,MATCH(BI112,'NOTES CM2'!$B$10:$B$250,0)),INDEX('NOTES CM2'!$AC$10:$AC$250,MATCH(BI112,'NOTES CM2'!$B$10:$B$250,0))),""))</f>
        <v/>
      </c>
    </row>
    <row r="113" customFormat="false" ht="15" hidden="false" customHeight="false" outlineLevel="0" collapsed="false">
      <c r="Y113" s="51" t="str">
        <f aca="false">IFERROR(MATCH("CP1-73",'REGISTRE ELEVES'!$AG$10:$AG$250,0),"")</f>
        <v/>
      </c>
      <c r="Z113" s="51" t="str">
        <f aca="false">IF(Y113="","",INDEX('REGISTRE ELEVES'!$B$10:$B$250,Y113))</f>
        <v/>
      </c>
      <c r="AA113" s="51" t="str">
        <f aca="false">IF(Y113="","",INDEX('REGISTRE ELEVES'!$D$10:$D$250,Y113))</f>
        <v/>
      </c>
      <c r="AB113" s="51" t="str">
        <f aca="false">IF(Y113="","",INDEX('REGISTRE ELEVES'!$E$10:$E$250,Y113))</f>
        <v/>
      </c>
      <c r="AC113" s="51" t="str">
        <f aca="false">IF(Z113="","",IFERROR(CHOOSE($C$9,INDEX('NOTES CP'!$P$10:$P$250,MATCH(Z113,'NOTES CP'!$B$10:$B$250,0)),INDEX('NOTES CP'!$Z$10:$Z$250,MATCH(Z113,'NOTES CP'!$B$10:$B$250,0)),INDEX('NOTES CP'!$AJ$10:$AJ$250,MATCH(Z113,'NOTES CP'!$B$10:$B$250,0)),INDEX('NOTES CP'!$AT$10:$AT$250,MATCH(Z113,'NOTES CP'!$B$10:$B$250,0))),""))</f>
        <v/>
      </c>
      <c r="AD113" s="51" t="str">
        <f aca="false">IF(ISNUMBER(AC113),AC113+(1000-73)/1000000,"")</f>
        <v/>
      </c>
      <c r="AE113" s="51" t="str">
        <f aca="false">IF(Z113="","",IFERROR(CHOOSE($C$9,INDEX('NOTES CP'!$G$10:$G$250,MATCH(Z113,'NOTES CP'!$B$10:$B$250,0)),INDEX('NOTES CP'!$Q$10:$Q$250,MATCH(Z113,'NOTES CP'!$B$10:$B$250,0)),INDEX('NOTES CP'!$AA$10:$AA$250,MATCH(Z113,'NOTES CP'!$B$10:$B$250,0)),INDEX('NOTES CP'!$AK$10:$AK$250,MATCH(Z113,'NOTES CP'!$B$10:$B$250,0))),""))</f>
        <v/>
      </c>
      <c r="AF113" s="51" t="str">
        <f aca="false">IFERROR(MATCH("CP2-73",'REGISTRE ELEVES'!$AG$10:$AG$250,0),"")</f>
        <v/>
      </c>
      <c r="AG113" s="51" t="str">
        <f aca="false">IF(AF113="","",INDEX('REGISTRE ELEVES'!$B$10:$B$250,AF113))</f>
        <v/>
      </c>
      <c r="AH113" s="51" t="str">
        <f aca="false">IF(AF113="","",INDEX('REGISTRE ELEVES'!$D$10:$D$250,AF113))</f>
        <v/>
      </c>
      <c r="AI113" s="51" t="str">
        <f aca="false">IF(AF113="","",INDEX('REGISTRE ELEVES'!$E$10:$E$250,AF113))</f>
        <v/>
      </c>
      <c r="AJ113" s="51" t="str">
        <f aca="false">IF(AG113="","",IFERROR(CHOOSE($C$9,INDEX('NOTES CP'!$P$10:$P$250,MATCH(AG113,'NOTES CP'!$B$10:$B$250,0)),INDEX('NOTES CP'!$Z$10:$Z$250,MATCH(AG113,'NOTES CP'!$B$10:$B$250,0)),INDEX('NOTES CP'!$AJ$10:$AJ$250,MATCH(AG113,'NOTES CP'!$B$10:$B$250,0)),INDEX('NOTES CP'!$AT$10:$AT$250,MATCH(AG113,'NOTES CP'!$B$10:$B$250,0))),""))</f>
        <v/>
      </c>
      <c r="AK113" s="51" t="str">
        <f aca="false">IF(ISNUMBER(AJ113),AJ113+(1000-73)/1000000,"")</f>
        <v/>
      </c>
      <c r="AL113" s="51" t="str">
        <f aca="false">IF(AG113="","",IFERROR(CHOOSE($C$9,INDEX('NOTES CP'!$G$10:$G$250,MATCH(AG113,'NOTES CP'!$B$10:$B$250,0)),INDEX('NOTES CP'!$Q$10:$Q$250,MATCH(AG113,'NOTES CP'!$B$10:$B$250,0)),INDEX('NOTES CP'!$AA$10:$AA$250,MATCH(AG113,'NOTES CP'!$B$10:$B$250,0)),INDEX('NOTES CP'!$AK$10:$AK$250,MATCH(AG113,'NOTES CP'!$B$10:$B$250,0))),""))</f>
        <v/>
      </c>
      <c r="AM113" s="51" t="str">
        <f aca="false">IFERROR(MATCH("CE1-73",'REGISTRE ELEVES'!$AG$10:$AG$250,0),"")</f>
        <v/>
      </c>
      <c r="AN113" s="51" t="str">
        <f aca="false">IF(AM113="","",INDEX('REGISTRE ELEVES'!$B$10:$B$250,AM113))</f>
        <v/>
      </c>
      <c r="AO113" s="51" t="str">
        <f aca="false">IF(AM113="","",INDEX('REGISTRE ELEVES'!$D$10:$D$250,AM113))</f>
        <v/>
      </c>
      <c r="AP113" s="51" t="str">
        <f aca="false">IF(AM113="","",INDEX('REGISTRE ELEVES'!$E$10:$E$250,AM113))</f>
        <v/>
      </c>
      <c r="AQ113" s="51" t="str">
        <f aca="false">IF(AN113="","",IFERROR(CHOOSE($C$9,INDEX('NOTES CE1'!$M$10:$M$250,MATCH(AN113,'NOTES CE1'!$B$10:$B$250,0)),INDEX('NOTES CE1'!$T$10:$T$250,MATCH(AN113,'NOTES CE1'!$B$10:$B$250,0)),INDEX('NOTES CE1'!$AA$10:$AA$250,MATCH(AN113,'NOTES CE1'!$B$10:$B$250,0)),INDEX('NOTES CE1'!$AH$10:$AH$250,MATCH(AN113,'NOTES CE1'!$B$10:$B$250,0))),""))</f>
        <v/>
      </c>
      <c r="AR113" s="51" t="str">
        <f aca="false">IF(ISNUMBER(AQ113),AQ113+(1000-73)/1000000,"")</f>
        <v/>
      </c>
      <c r="AS113" s="51" t="str">
        <f aca="false">IF(AN113="","",IFERROR(CHOOSE($C$9,INDEX('NOTES CE1'!$G$10:$G$250,MATCH(AN113,'NOTES CE1'!$B$10:$B$250,0)),INDEX('NOTES CE1'!$N$10:$N$250,MATCH(AN113,'NOTES CE1'!$B$10:$B$250,0)),INDEX('NOTES CE1'!$U$10:$U$250,MATCH(AN113,'NOTES CE1'!$B$10:$B$250,0)),INDEX('NOTES CE1'!$AB$10:$AB$250,MATCH(AN113,'NOTES CE1'!$B$10:$B$250,0))),""))</f>
        <v/>
      </c>
      <c r="AT113" s="51" t="str">
        <f aca="false">IFERROR(MATCH("CE2-73",'REGISTRE ELEVES'!$AG$10:$AG$250,0),"")</f>
        <v/>
      </c>
      <c r="AU113" s="51" t="str">
        <f aca="false">IF(AT113="","",INDEX('REGISTRE ELEVES'!$B$10:$B$250,AT113))</f>
        <v/>
      </c>
      <c r="AV113" s="51" t="str">
        <f aca="false">IF(AT113="","",INDEX('REGISTRE ELEVES'!$D$10:$D$250,AT113))</f>
        <v/>
      </c>
      <c r="AW113" s="51" t="str">
        <f aca="false">IF(AT113="","",INDEX('REGISTRE ELEVES'!$E$10:$E$250,AT113))</f>
        <v/>
      </c>
      <c r="AX113" s="51" t="str">
        <f aca="false">IF(AU113="","",IFERROR(CHOOSE($C$9,INDEX('NOTES CE2-CM1'!$M$10:$M$250,MATCH(AU113,'NOTES CE2-CM1'!$B$10:$B$250,0)),INDEX('NOTES CE2-CM1'!$T$10:$T$250,MATCH(AU113,'NOTES CE2-CM1'!$B$10:$B$250,0)),INDEX('NOTES CE2-CM1'!$AA$10:$AA$250,MATCH(AU113,'NOTES CE2-CM1'!$B$10:$B$250,0)),INDEX('NOTES CE2-CM1'!$AH$10:$AH$250,MATCH(AU113,'NOTES CE2-CM1'!$B$10:$B$250,0))),""))</f>
        <v/>
      </c>
      <c r="AY113" s="51" t="str">
        <f aca="false">IF(ISNUMBER(AX113),AX113+(1000-73)/1000000,"")</f>
        <v/>
      </c>
      <c r="AZ113" s="51" t="str">
        <f aca="false">IF(AU113="","",IFERROR(CHOOSE($C$9,INDEX('NOTES CE2-CM1'!$G$10:$G$250,MATCH(AU113,'NOTES CE2-CM1'!$B$10:$B$250,0)),INDEX('NOTES CE2-CM1'!$N$10:$N$250,MATCH(AU113,'NOTES CE2-CM1'!$B$10:$B$250,0)),INDEX('NOTES CE2-CM1'!$U$10:$U$250,MATCH(AU113,'NOTES CE2-CM1'!$B$10:$B$250,0)),INDEX('NOTES CE2-CM1'!$AB$10:$AB$250,MATCH(AU113,'NOTES CE2-CM1'!$B$10:$B$250,0))),""))</f>
        <v/>
      </c>
      <c r="BA113" s="51" t="str">
        <f aca="false">IFERROR(MATCH("CM1-73",'REGISTRE ELEVES'!$AG$10:$AG$250,0),"")</f>
        <v/>
      </c>
      <c r="BB113" s="51" t="str">
        <f aca="false">IF(BA113="","",INDEX('REGISTRE ELEVES'!$B$10:$B$250,BA113))</f>
        <v/>
      </c>
      <c r="BC113" s="51" t="str">
        <f aca="false">IF(BA113="","",INDEX('REGISTRE ELEVES'!$D$10:$D$250,BA113))</f>
        <v/>
      </c>
      <c r="BD113" s="51" t="str">
        <f aca="false">IF(BA113="","",INDEX('REGISTRE ELEVES'!$E$10:$E$250,BA113))</f>
        <v/>
      </c>
      <c r="BE113" s="51" t="str">
        <f aca="false">IF(BB113="","",IFERROR(CHOOSE($C$9,INDEX('NOTES CE2-CM1'!$M$10:$M$250,MATCH(BB113,'NOTES CE2-CM1'!$B$10:$B$250,0)),INDEX('NOTES CE2-CM1'!$T$10:$T$250,MATCH(BB113,'NOTES CE2-CM1'!$B$10:$B$250,0)),INDEX('NOTES CE2-CM1'!$AA$10:$AA$250,MATCH(BB113,'NOTES CE2-CM1'!$B$10:$B$250,0)),INDEX('NOTES CE2-CM1'!$AH$10:$AH$250,MATCH(BB113,'NOTES CE2-CM1'!$B$10:$B$250,0))),""))</f>
        <v/>
      </c>
      <c r="BF113" s="51" t="str">
        <f aca="false">IF(ISNUMBER(BE113),BE113+(1000-73)/1000000,"")</f>
        <v/>
      </c>
      <c r="BG113" s="51" t="str">
        <f aca="false">IF(BB113="","",IFERROR(CHOOSE($C$9,INDEX('NOTES CE2-CM1'!$G$10:$G$250,MATCH(BB113,'NOTES CE2-CM1'!$B$10:$B$250,0)),INDEX('NOTES CE2-CM1'!$N$10:$N$250,MATCH(BB113,'NOTES CE2-CM1'!$B$10:$B$250,0)),INDEX('NOTES CE2-CM1'!$U$10:$U$250,MATCH(BB113,'NOTES CE2-CM1'!$B$10:$B$250,0)),INDEX('NOTES CE2-CM1'!$AB$10:$AB$250,MATCH(BB113,'NOTES CE2-CM1'!$B$10:$B$250,0))),""))</f>
        <v/>
      </c>
      <c r="BH113" s="51" t="str">
        <f aca="false">IFERROR(MATCH("CM2-73",'REGISTRE ELEVES'!$AG$10:$AG$250,0),"")</f>
        <v/>
      </c>
      <c r="BI113" s="51" t="str">
        <f aca="false">IF(BH113="","",INDEX('REGISTRE ELEVES'!$B$10:$B$250,BH113))</f>
        <v/>
      </c>
      <c r="BJ113" s="51" t="str">
        <f aca="false">IF(BH113="","",INDEX('REGISTRE ELEVES'!$D$10:$D$250,BH113))</f>
        <v/>
      </c>
      <c r="BK113" s="51" t="str">
        <f aca="false">IF(BH113="","",INDEX('REGISTRE ELEVES'!$E$10:$E$250,BH113))</f>
        <v/>
      </c>
      <c r="BL113" s="51" t="str">
        <f aca="false">IF(BI113="","",IFERROR(CHOOSE($C$9,INDEX('NOTES CM2'!$M$10:$M$250,MATCH(BI113,'NOTES CM2'!$B$10:$B$250,0)),INDEX('NOTES CM2'!$T$10:$T$250,MATCH(BI113,'NOTES CM2'!$B$10:$B$250,0)),INDEX('NOTES CM2'!$AB$10:$AB$250,MATCH(BI113,'NOTES CM2'!$B$10:$B$250,0)),INDEX('NOTES CM2'!$AJ$10:$AJ$250,MATCH(BI113,'NOTES CM2'!$B$10:$B$250,0))),""))</f>
        <v/>
      </c>
      <c r="BM113" s="51" t="str">
        <f aca="false">IF(ISNUMBER(BL113),BL113+(1000-73)/1000000,"")</f>
        <v/>
      </c>
      <c r="BN113" s="51" t="str">
        <f aca="false">IF(BI113="","",IFERROR(CHOOSE($C$9,INDEX('NOTES CM2'!$G$10:$G$250,MATCH(BI113,'NOTES CM2'!$B$10:$B$250,0)),INDEX('NOTES CM2'!$N$10:$N$250,MATCH(BI113,'NOTES CM2'!$B$10:$B$250,0)),INDEX('NOTES CM2'!$U$10:$U$250,MATCH(BI113,'NOTES CM2'!$B$10:$B$250,0)),INDEX('NOTES CM2'!$AC$10:$AC$250,MATCH(BI113,'NOTES CM2'!$B$10:$B$250,0))),""))</f>
        <v/>
      </c>
    </row>
    <row r="114" customFormat="false" ht="15" hidden="false" customHeight="false" outlineLevel="0" collapsed="false">
      <c r="Y114" s="51" t="str">
        <f aca="false">IFERROR(MATCH("CP1-74",'REGISTRE ELEVES'!$AG$10:$AG$250,0),"")</f>
        <v/>
      </c>
      <c r="Z114" s="51" t="str">
        <f aca="false">IF(Y114="","",INDEX('REGISTRE ELEVES'!$B$10:$B$250,Y114))</f>
        <v/>
      </c>
      <c r="AA114" s="51" t="str">
        <f aca="false">IF(Y114="","",INDEX('REGISTRE ELEVES'!$D$10:$D$250,Y114))</f>
        <v/>
      </c>
      <c r="AB114" s="51" t="str">
        <f aca="false">IF(Y114="","",INDEX('REGISTRE ELEVES'!$E$10:$E$250,Y114))</f>
        <v/>
      </c>
      <c r="AC114" s="51" t="str">
        <f aca="false">IF(Z114="","",IFERROR(CHOOSE($C$9,INDEX('NOTES CP'!$P$10:$P$250,MATCH(Z114,'NOTES CP'!$B$10:$B$250,0)),INDEX('NOTES CP'!$Z$10:$Z$250,MATCH(Z114,'NOTES CP'!$B$10:$B$250,0)),INDEX('NOTES CP'!$AJ$10:$AJ$250,MATCH(Z114,'NOTES CP'!$B$10:$B$250,0)),INDEX('NOTES CP'!$AT$10:$AT$250,MATCH(Z114,'NOTES CP'!$B$10:$B$250,0))),""))</f>
        <v/>
      </c>
      <c r="AD114" s="51" t="str">
        <f aca="false">IF(ISNUMBER(AC114),AC114+(1000-74)/1000000,"")</f>
        <v/>
      </c>
      <c r="AE114" s="51" t="str">
        <f aca="false">IF(Z114="","",IFERROR(CHOOSE($C$9,INDEX('NOTES CP'!$G$10:$G$250,MATCH(Z114,'NOTES CP'!$B$10:$B$250,0)),INDEX('NOTES CP'!$Q$10:$Q$250,MATCH(Z114,'NOTES CP'!$B$10:$B$250,0)),INDEX('NOTES CP'!$AA$10:$AA$250,MATCH(Z114,'NOTES CP'!$B$10:$B$250,0)),INDEX('NOTES CP'!$AK$10:$AK$250,MATCH(Z114,'NOTES CP'!$B$10:$B$250,0))),""))</f>
        <v/>
      </c>
      <c r="AF114" s="51" t="str">
        <f aca="false">IFERROR(MATCH("CP2-74",'REGISTRE ELEVES'!$AG$10:$AG$250,0),"")</f>
        <v/>
      </c>
      <c r="AG114" s="51" t="str">
        <f aca="false">IF(AF114="","",INDEX('REGISTRE ELEVES'!$B$10:$B$250,AF114))</f>
        <v/>
      </c>
      <c r="AH114" s="51" t="str">
        <f aca="false">IF(AF114="","",INDEX('REGISTRE ELEVES'!$D$10:$D$250,AF114))</f>
        <v/>
      </c>
      <c r="AI114" s="51" t="str">
        <f aca="false">IF(AF114="","",INDEX('REGISTRE ELEVES'!$E$10:$E$250,AF114))</f>
        <v/>
      </c>
      <c r="AJ114" s="51" t="str">
        <f aca="false">IF(AG114="","",IFERROR(CHOOSE($C$9,INDEX('NOTES CP'!$P$10:$P$250,MATCH(AG114,'NOTES CP'!$B$10:$B$250,0)),INDEX('NOTES CP'!$Z$10:$Z$250,MATCH(AG114,'NOTES CP'!$B$10:$B$250,0)),INDEX('NOTES CP'!$AJ$10:$AJ$250,MATCH(AG114,'NOTES CP'!$B$10:$B$250,0)),INDEX('NOTES CP'!$AT$10:$AT$250,MATCH(AG114,'NOTES CP'!$B$10:$B$250,0))),""))</f>
        <v/>
      </c>
      <c r="AK114" s="51" t="str">
        <f aca="false">IF(ISNUMBER(AJ114),AJ114+(1000-74)/1000000,"")</f>
        <v/>
      </c>
      <c r="AL114" s="51" t="str">
        <f aca="false">IF(AG114="","",IFERROR(CHOOSE($C$9,INDEX('NOTES CP'!$G$10:$G$250,MATCH(AG114,'NOTES CP'!$B$10:$B$250,0)),INDEX('NOTES CP'!$Q$10:$Q$250,MATCH(AG114,'NOTES CP'!$B$10:$B$250,0)),INDEX('NOTES CP'!$AA$10:$AA$250,MATCH(AG114,'NOTES CP'!$B$10:$B$250,0)),INDEX('NOTES CP'!$AK$10:$AK$250,MATCH(AG114,'NOTES CP'!$B$10:$B$250,0))),""))</f>
        <v/>
      </c>
      <c r="AM114" s="51" t="str">
        <f aca="false">IFERROR(MATCH("CE1-74",'REGISTRE ELEVES'!$AG$10:$AG$250,0),"")</f>
        <v/>
      </c>
      <c r="AN114" s="51" t="str">
        <f aca="false">IF(AM114="","",INDEX('REGISTRE ELEVES'!$B$10:$B$250,AM114))</f>
        <v/>
      </c>
      <c r="AO114" s="51" t="str">
        <f aca="false">IF(AM114="","",INDEX('REGISTRE ELEVES'!$D$10:$D$250,AM114))</f>
        <v/>
      </c>
      <c r="AP114" s="51" t="str">
        <f aca="false">IF(AM114="","",INDEX('REGISTRE ELEVES'!$E$10:$E$250,AM114))</f>
        <v/>
      </c>
      <c r="AQ114" s="51" t="str">
        <f aca="false">IF(AN114="","",IFERROR(CHOOSE($C$9,INDEX('NOTES CE1'!$M$10:$M$250,MATCH(AN114,'NOTES CE1'!$B$10:$B$250,0)),INDEX('NOTES CE1'!$T$10:$T$250,MATCH(AN114,'NOTES CE1'!$B$10:$B$250,0)),INDEX('NOTES CE1'!$AA$10:$AA$250,MATCH(AN114,'NOTES CE1'!$B$10:$B$250,0)),INDEX('NOTES CE1'!$AH$10:$AH$250,MATCH(AN114,'NOTES CE1'!$B$10:$B$250,0))),""))</f>
        <v/>
      </c>
      <c r="AR114" s="51" t="str">
        <f aca="false">IF(ISNUMBER(AQ114),AQ114+(1000-74)/1000000,"")</f>
        <v/>
      </c>
      <c r="AS114" s="51" t="str">
        <f aca="false">IF(AN114="","",IFERROR(CHOOSE($C$9,INDEX('NOTES CE1'!$G$10:$G$250,MATCH(AN114,'NOTES CE1'!$B$10:$B$250,0)),INDEX('NOTES CE1'!$N$10:$N$250,MATCH(AN114,'NOTES CE1'!$B$10:$B$250,0)),INDEX('NOTES CE1'!$U$10:$U$250,MATCH(AN114,'NOTES CE1'!$B$10:$B$250,0)),INDEX('NOTES CE1'!$AB$10:$AB$250,MATCH(AN114,'NOTES CE1'!$B$10:$B$250,0))),""))</f>
        <v/>
      </c>
      <c r="AT114" s="51" t="str">
        <f aca="false">IFERROR(MATCH("CE2-74",'REGISTRE ELEVES'!$AG$10:$AG$250,0),"")</f>
        <v/>
      </c>
      <c r="AU114" s="51" t="str">
        <f aca="false">IF(AT114="","",INDEX('REGISTRE ELEVES'!$B$10:$B$250,AT114))</f>
        <v/>
      </c>
      <c r="AV114" s="51" t="str">
        <f aca="false">IF(AT114="","",INDEX('REGISTRE ELEVES'!$D$10:$D$250,AT114))</f>
        <v/>
      </c>
      <c r="AW114" s="51" t="str">
        <f aca="false">IF(AT114="","",INDEX('REGISTRE ELEVES'!$E$10:$E$250,AT114))</f>
        <v/>
      </c>
      <c r="AX114" s="51" t="str">
        <f aca="false">IF(AU114="","",IFERROR(CHOOSE($C$9,INDEX('NOTES CE2-CM1'!$M$10:$M$250,MATCH(AU114,'NOTES CE2-CM1'!$B$10:$B$250,0)),INDEX('NOTES CE2-CM1'!$T$10:$T$250,MATCH(AU114,'NOTES CE2-CM1'!$B$10:$B$250,0)),INDEX('NOTES CE2-CM1'!$AA$10:$AA$250,MATCH(AU114,'NOTES CE2-CM1'!$B$10:$B$250,0)),INDEX('NOTES CE2-CM1'!$AH$10:$AH$250,MATCH(AU114,'NOTES CE2-CM1'!$B$10:$B$250,0))),""))</f>
        <v/>
      </c>
      <c r="AY114" s="51" t="str">
        <f aca="false">IF(ISNUMBER(AX114),AX114+(1000-74)/1000000,"")</f>
        <v/>
      </c>
      <c r="AZ114" s="51" t="str">
        <f aca="false">IF(AU114="","",IFERROR(CHOOSE($C$9,INDEX('NOTES CE2-CM1'!$G$10:$G$250,MATCH(AU114,'NOTES CE2-CM1'!$B$10:$B$250,0)),INDEX('NOTES CE2-CM1'!$N$10:$N$250,MATCH(AU114,'NOTES CE2-CM1'!$B$10:$B$250,0)),INDEX('NOTES CE2-CM1'!$U$10:$U$250,MATCH(AU114,'NOTES CE2-CM1'!$B$10:$B$250,0)),INDEX('NOTES CE2-CM1'!$AB$10:$AB$250,MATCH(AU114,'NOTES CE2-CM1'!$B$10:$B$250,0))),""))</f>
        <v/>
      </c>
      <c r="BA114" s="51" t="str">
        <f aca="false">IFERROR(MATCH("CM1-74",'REGISTRE ELEVES'!$AG$10:$AG$250,0),"")</f>
        <v/>
      </c>
      <c r="BB114" s="51" t="str">
        <f aca="false">IF(BA114="","",INDEX('REGISTRE ELEVES'!$B$10:$B$250,BA114))</f>
        <v/>
      </c>
      <c r="BC114" s="51" t="str">
        <f aca="false">IF(BA114="","",INDEX('REGISTRE ELEVES'!$D$10:$D$250,BA114))</f>
        <v/>
      </c>
      <c r="BD114" s="51" t="str">
        <f aca="false">IF(BA114="","",INDEX('REGISTRE ELEVES'!$E$10:$E$250,BA114))</f>
        <v/>
      </c>
      <c r="BE114" s="51" t="str">
        <f aca="false">IF(BB114="","",IFERROR(CHOOSE($C$9,INDEX('NOTES CE2-CM1'!$M$10:$M$250,MATCH(BB114,'NOTES CE2-CM1'!$B$10:$B$250,0)),INDEX('NOTES CE2-CM1'!$T$10:$T$250,MATCH(BB114,'NOTES CE2-CM1'!$B$10:$B$250,0)),INDEX('NOTES CE2-CM1'!$AA$10:$AA$250,MATCH(BB114,'NOTES CE2-CM1'!$B$10:$B$250,0)),INDEX('NOTES CE2-CM1'!$AH$10:$AH$250,MATCH(BB114,'NOTES CE2-CM1'!$B$10:$B$250,0))),""))</f>
        <v/>
      </c>
      <c r="BF114" s="51" t="str">
        <f aca="false">IF(ISNUMBER(BE114),BE114+(1000-74)/1000000,"")</f>
        <v/>
      </c>
      <c r="BG114" s="51" t="str">
        <f aca="false">IF(BB114="","",IFERROR(CHOOSE($C$9,INDEX('NOTES CE2-CM1'!$G$10:$G$250,MATCH(BB114,'NOTES CE2-CM1'!$B$10:$B$250,0)),INDEX('NOTES CE2-CM1'!$N$10:$N$250,MATCH(BB114,'NOTES CE2-CM1'!$B$10:$B$250,0)),INDEX('NOTES CE2-CM1'!$U$10:$U$250,MATCH(BB114,'NOTES CE2-CM1'!$B$10:$B$250,0)),INDEX('NOTES CE2-CM1'!$AB$10:$AB$250,MATCH(BB114,'NOTES CE2-CM1'!$B$10:$B$250,0))),""))</f>
        <v/>
      </c>
      <c r="BH114" s="51" t="str">
        <f aca="false">IFERROR(MATCH("CM2-74",'REGISTRE ELEVES'!$AG$10:$AG$250,0),"")</f>
        <v/>
      </c>
      <c r="BI114" s="51" t="str">
        <f aca="false">IF(BH114="","",INDEX('REGISTRE ELEVES'!$B$10:$B$250,BH114))</f>
        <v/>
      </c>
      <c r="BJ114" s="51" t="str">
        <f aca="false">IF(BH114="","",INDEX('REGISTRE ELEVES'!$D$10:$D$250,BH114))</f>
        <v/>
      </c>
      <c r="BK114" s="51" t="str">
        <f aca="false">IF(BH114="","",INDEX('REGISTRE ELEVES'!$E$10:$E$250,BH114))</f>
        <v/>
      </c>
      <c r="BL114" s="51" t="str">
        <f aca="false">IF(BI114="","",IFERROR(CHOOSE($C$9,INDEX('NOTES CM2'!$M$10:$M$250,MATCH(BI114,'NOTES CM2'!$B$10:$B$250,0)),INDEX('NOTES CM2'!$T$10:$T$250,MATCH(BI114,'NOTES CM2'!$B$10:$B$250,0)),INDEX('NOTES CM2'!$AB$10:$AB$250,MATCH(BI114,'NOTES CM2'!$B$10:$B$250,0)),INDEX('NOTES CM2'!$AJ$10:$AJ$250,MATCH(BI114,'NOTES CM2'!$B$10:$B$250,0))),""))</f>
        <v/>
      </c>
      <c r="BM114" s="51" t="str">
        <f aca="false">IF(ISNUMBER(BL114),BL114+(1000-74)/1000000,"")</f>
        <v/>
      </c>
      <c r="BN114" s="51" t="str">
        <f aca="false">IF(BI114="","",IFERROR(CHOOSE($C$9,INDEX('NOTES CM2'!$G$10:$G$250,MATCH(BI114,'NOTES CM2'!$B$10:$B$250,0)),INDEX('NOTES CM2'!$N$10:$N$250,MATCH(BI114,'NOTES CM2'!$B$10:$B$250,0)),INDEX('NOTES CM2'!$U$10:$U$250,MATCH(BI114,'NOTES CM2'!$B$10:$B$250,0)),INDEX('NOTES CM2'!$AC$10:$AC$250,MATCH(BI114,'NOTES CM2'!$B$10:$B$250,0))),""))</f>
        <v/>
      </c>
    </row>
    <row r="115" customFormat="false" ht="15" hidden="false" customHeight="false" outlineLevel="0" collapsed="false">
      <c r="Y115" s="51" t="str">
        <f aca="false">IFERROR(MATCH("CP1-75",'REGISTRE ELEVES'!$AG$10:$AG$250,0),"")</f>
        <v/>
      </c>
      <c r="Z115" s="51" t="str">
        <f aca="false">IF(Y115="","",INDEX('REGISTRE ELEVES'!$B$10:$B$250,Y115))</f>
        <v/>
      </c>
      <c r="AA115" s="51" t="str">
        <f aca="false">IF(Y115="","",INDEX('REGISTRE ELEVES'!$D$10:$D$250,Y115))</f>
        <v/>
      </c>
      <c r="AB115" s="51" t="str">
        <f aca="false">IF(Y115="","",INDEX('REGISTRE ELEVES'!$E$10:$E$250,Y115))</f>
        <v/>
      </c>
      <c r="AC115" s="51" t="str">
        <f aca="false">IF(Z115="","",IFERROR(CHOOSE($C$9,INDEX('NOTES CP'!$P$10:$P$250,MATCH(Z115,'NOTES CP'!$B$10:$B$250,0)),INDEX('NOTES CP'!$Z$10:$Z$250,MATCH(Z115,'NOTES CP'!$B$10:$B$250,0)),INDEX('NOTES CP'!$AJ$10:$AJ$250,MATCH(Z115,'NOTES CP'!$B$10:$B$250,0)),INDEX('NOTES CP'!$AT$10:$AT$250,MATCH(Z115,'NOTES CP'!$B$10:$B$250,0))),""))</f>
        <v/>
      </c>
      <c r="AD115" s="51" t="str">
        <f aca="false">IF(ISNUMBER(AC115),AC115+(1000-75)/1000000,"")</f>
        <v/>
      </c>
      <c r="AE115" s="51" t="str">
        <f aca="false">IF(Z115="","",IFERROR(CHOOSE($C$9,INDEX('NOTES CP'!$G$10:$G$250,MATCH(Z115,'NOTES CP'!$B$10:$B$250,0)),INDEX('NOTES CP'!$Q$10:$Q$250,MATCH(Z115,'NOTES CP'!$B$10:$B$250,0)),INDEX('NOTES CP'!$AA$10:$AA$250,MATCH(Z115,'NOTES CP'!$B$10:$B$250,0)),INDEX('NOTES CP'!$AK$10:$AK$250,MATCH(Z115,'NOTES CP'!$B$10:$B$250,0))),""))</f>
        <v/>
      </c>
      <c r="AF115" s="51" t="str">
        <f aca="false">IFERROR(MATCH("CP2-75",'REGISTRE ELEVES'!$AG$10:$AG$250,0),"")</f>
        <v/>
      </c>
      <c r="AG115" s="51" t="str">
        <f aca="false">IF(AF115="","",INDEX('REGISTRE ELEVES'!$B$10:$B$250,AF115))</f>
        <v/>
      </c>
      <c r="AH115" s="51" t="str">
        <f aca="false">IF(AF115="","",INDEX('REGISTRE ELEVES'!$D$10:$D$250,AF115))</f>
        <v/>
      </c>
      <c r="AI115" s="51" t="str">
        <f aca="false">IF(AF115="","",INDEX('REGISTRE ELEVES'!$E$10:$E$250,AF115))</f>
        <v/>
      </c>
      <c r="AJ115" s="51" t="str">
        <f aca="false">IF(AG115="","",IFERROR(CHOOSE($C$9,INDEX('NOTES CP'!$P$10:$P$250,MATCH(AG115,'NOTES CP'!$B$10:$B$250,0)),INDEX('NOTES CP'!$Z$10:$Z$250,MATCH(AG115,'NOTES CP'!$B$10:$B$250,0)),INDEX('NOTES CP'!$AJ$10:$AJ$250,MATCH(AG115,'NOTES CP'!$B$10:$B$250,0)),INDEX('NOTES CP'!$AT$10:$AT$250,MATCH(AG115,'NOTES CP'!$B$10:$B$250,0))),""))</f>
        <v/>
      </c>
      <c r="AK115" s="51" t="str">
        <f aca="false">IF(ISNUMBER(AJ115),AJ115+(1000-75)/1000000,"")</f>
        <v/>
      </c>
      <c r="AL115" s="51" t="str">
        <f aca="false">IF(AG115="","",IFERROR(CHOOSE($C$9,INDEX('NOTES CP'!$G$10:$G$250,MATCH(AG115,'NOTES CP'!$B$10:$B$250,0)),INDEX('NOTES CP'!$Q$10:$Q$250,MATCH(AG115,'NOTES CP'!$B$10:$B$250,0)),INDEX('NOTES CP'!$AA$10:$AA$250,MATCH(AG115,'NOTES CP'!$B$10:$B$250,0)),INDEX('NOTES CP'!$AK$10:$AK$250,MATCH(AG115,'NOTES CP'!$B$10:$B$250,0))),""))</f>
        <v/>
      </c>
      <c r="AM115" s="51" t="str">
        <f aca="false">IFERROR(MATCH("CE1-75",'REGISTRE ELEVES'!$AG$10:$AG$250,0),"")</f>
        <v/>
      </c>
      <c r="AN115" s="51" t="str">
        <f aca="false">IF(AM115="","",INDEX('REGISTRE ELEVES'!$B$10:$B$250,AM115))</f>
        <v/>
      </c>
      <c r="AO115" s="51" t="str">
        <f aca="false">IF(AM115="","",INDEX('REGISTRE ELEVES'!$D$10:$D$250,AM115))</f>
        <v/>
      </c>
      <c r="AP115" s="51" t="str">
        <f aca="false">IF(AM115="","",INDEX('REGISTRE ELEVES'!$E$10:$E$250,AM115))</f>
        <v/>
      </c>
      <c r="AQ115" s="51" t="str">
        <f aca="false">IF(AN115="","",IFERROR(CHOOSE($C$9,INDEX('NOTES CE1'!$M$10:$M$250,MATCH(AN115,'NOTES CE1'!$B$10:$B$250,0)),INDEX('NOTES CE1'!$T$10:$T$250,MATCH(AN115,'NOTES CE1'!$B$10:$B$250,0)),INDEX('NOTES CE1'!$AA$10:$AA$250,MATCH(AN115,'NOTES CE1'!$B$10:$B$250,0)),INDEX('NOTES CE1'!$AH$10:$AH$250,MATCH(AN115,'NOTES CE1'!$B$10:$B$250,0))),""))</f>
        <v/>
      </c>
      <c r="AR115" s="51" t="str">
        <f aca="false">IF(ISNUMBER(AQ115),AQ115+(1000-75)/1000000,"")</f>
        <v/>
      </c>
      <c r="AS115" s="51" t="str">
        <f aca="false">IF(AN115="","",IFERROR(CHOOSE($C$9,INDEX('NOTES CE1'!$G$10:$G$250,MATCH(AN115,'NOTES CE1'!$B$10:$B$250,0)),INDEX('NOTES CE1'!$N$10:$N$250,MATCH(AN115,'NOTES CE1'!$B$10:$B$250,0)),INDEX('NOTES CE1'!$U$10:$U$250,MATCH(AN115,'NOTES CE1'!$B$10:$B$250,0)),INDEX('NOTES CE1'!$AB$10:$AB$250,MATCH(AN115,'NOTES CE1'!$B$10:$B$250,0))),""))</f>
        <v/>
      </c>
      <c r="AT115" s="51" t="str">
        <f aca="false">IFERROR(MATCH("CE2-75",'REGISTRE ELEVES'!$AG$10:$AG$250,0),"")</f>
        <v/>
      </c>
      <c r="AU115" s="51" t="str">
        <f aca="false">IF(AT115="","",INDEX('REGISTRE ELEVES'!$B$10:$B$250,AT115))</f>
        <v/>
      </c>
      <c r="AV115" s="51" t="str">
        <f aca="false">IF(AT115="","",INDEX('REGISTRE ELEVES'!$D$10:$D$250,AT115))</f>
        <v/>
      </c>
      <c r="AW115" s="51" t="str">
        <f aca="false">IF(AT115="","",INDEX('REGISTRE ELEVES'!$E$10:$E$250,AT115))</f>
        <v/>
      </c>
      <c r="AX115" s="51" t="str">
        <f aca="false">IF(AU115="","",IFERROR(CHOOSE($C$9,INDEX('NOTES CE2-CM1'!$M$10:$M$250,MATCH(AU115,'NOTES CE2-CM1'!$B$10:$B$250,0)),INDEX('NOTES CE2-CM1'!$T$10:$T$250,MATCH(AU115,'NOTES CE2-CM1'!$B$10:$B$250,0)),INDEX('NOTES CE2-CM1'!$AA$10:$AA$250,MATCH(AU115,'NOTES CE2-CM1'!$B$10:$B$250,0)),INDEX('NOTES CE2-CM1'!$AH$10:$AH$250,MATCH(AU115,'NOTES CE2-CM1'!$B$10:$B$250,0))),""))</f>
        <v/>
      </c>
      <c r="AY115" s="51" t="str">
        <f aca="false">IF(ISNUMBER(AX115),AX115+(1000-75)/1000000,"")</f>
        <v/>
      </c>
      <c r="AZ115" s="51" t="str">
        <f aca="false">IF(AU115="","",IFERROR(CHOOSE($C$9,INDEX('NOTES CE2-CM1'!$G$10:$G$250,MATCH(AU115,'NOTES CE2-CM1'!$B$10:$B$250,0)),INDEX('NOTES CE2-CM1'!$N$10:$N$250,MATCH(AU115,'NOTES CE2-CM1'!$B$10:$B$250,0)),INDEX('NOTES CE2-CM1'!$U$10:$U$250,MATCH(AU115,'NOTES CE2-CM1'!$B$10:$B$250,0)),INDEX('NOTES CE2-CM1'!$AB$10:$AB$250,MATCH(AU115,'NOTES CE2-CM1'!$B$10:$B$250,0))),""))</f>
        <v/>
      </c>
      <c r="BA115" s="51" t="str">
        <f aca="false">IFERROR(MATCH("CM1-75",'REGISTRE ELEVES'!$AG$10:$AG$250,0),"")</f>
        <v/>
      </c>
      <c r="BB115" s="51" t="str">
        <f aca="false">IF(BA115="","",INDEX('REGISTRE ELEVES'!$B$10:$B$250,BA115))</f>
        <v/>
      </c>
      <c r="BC115" s="51" t="str">
        <f aca="false">IF(BA115="","",INDEX('REGISTRE ELEVES'!$D$10:$D$250,BA115))</f>
        <v/>
      </c>
      <c r="BD115" s="51" t="str">
        <f aca="false">IF(BA115="","",INDEX('REGISTRE ELEVES'!$E$10:$E$250,BA115))</f>
        <v/>
      </c>
      <c r="BE115" s="51" t="str">
        <f aca="false">IF(BB115="","",IFERROR(CHOOSE($C$9,INDEX('NOTES CE2-CM1'!$M$10:$M$250,MATCH(BB115,'NOTES CE2-CM1'!$B$10:$B$250,0)),INDEX('NOTES CE2-CM1'!$T$10:$T$250,MATCH(BB115,'NOTES CE2-CM1'!$B$10:$B$250,0)),INDEX('NOTES CE2-CM1'!$AA$10:$AA$250,MATCH(BB115,'NOTES CE2-CM1'!$B$10:$B$250,0)),INDEX('NOTES CE2-CM1'!$AH$10:$AH$250,MATCH(BB115,'NOTES CE2-CM1'!$B$10:$B$250,0))),""))</f>
        <v/>
      </c>
      <c r="BF115" s="51" t="str">
        <f aca="false">IF(ISNUMBER(BE115),BE115+(1000-75)/1000000,"")</f>
        <v/>
      </c>
      <c r="BG115" s="51" t="str">
        <f aca="false">IF(BB115="","",IFERROR(CHOOSE($C$9,INDEX('NOTES CE2-CM1'!$G$10:$G$250,MATCH(BB115,'NOTES CE2-CM1'!$B$10:$B$250,0)),INDEX('NOTES CE2-CM1'!$N$10:$N$250,MATCH(BB115,'NOTES CE2-CM1'!$B$10:$B$250,0)),INDEX('NOTES CE2-CM1'!$U$10:$U$250,MATCH(BB115,'NOTES CE2-CM1'!$B$10:$B$250,0)),INDEX('NOTES CE2-CM1'!$AB$10:$AB$250,MATCH(BB115,'NOTES CE2-CM1'!$B$10:$B$250,0))),""))</f>
        <v/>
      </c>
      <c r="BH115" s="51" t="str">
        <f aca="false">IFERROR(MATCH("CM2-75",'REGISTRE ELEVES'!$AG$10:$AG$250,0),"")</f>
        <v/>
      </c>
      <c r="BI115" s="51" t="str">
        <f aca="false">IF(BH115="","",INDEX('REGISTRE ELEVES'!$B$10:$B$250,BH115))</f>
        <v/>
      </c>
      <c r="BJ115" s="51" t="str">
        <f aca="false">IF(BH115="","",INDEX('REGISTRE ELEVES'!$D$10:$D$250,BH115))</f>
        <v/>
      </c>
      <c r="BK115" s="51" t="str">
        <f aca="false">IF(BH115="","",INDEX('REGISTRE ELEVES'!$E$10:$E$250,BH115))</f>
        <v/>
      </c>
      <c r="BL115" s="51" t="str">
        <f aca="false">IF(BI115="","",IFERROR(CHOOSE($C$9,INDEX('NOTES CM2'!$M$10:$M$250,MATCH(BI115,'NOTES CM2'!$B$10:$B$250,0)),INDEX('NOTES CM2'!$T$10:$T$250,MATCH(BI115,'NOTES CM2'!$B$10:$B$250,0)),INDEX('NOTES CM2'!$AB$10:$AB$250,MATCH(BI115,'NOTES CM2'!$B$10:$B$250,0)),INDEX('NOTES CM2'!$AJ$10:$AJ$250,MATCH(BI115,'NOTES CM2'!$B$10:$B$250,0))),""))</f>
        <v/>
      </c>
      <c r="BM115" s="51" t="str">
        <f aca="false">IF(ISNUMBER(BL115),BL115+(1000-75)/1000000,"")</f>
        <v/>
      </c>
      <c r="BN115" s="51" t="str">
        <f aca="false">IF(BI115="","",IFERROR(CHOOSE($C$9,INDEX('NOTES CM2'!$G$10:$G$250,MATCH(BI115,'NOTES CM2'!$B$10:$B$250,0)),INDEX('NOTES CM2'!$N$10:$N$250,MATCH(BI115,'NOTES CM2'!$B$10:$B$250,0)),INDEX('NOTES CM2'!$U$10:$U$250,MATCH(BI115,'NOTES CM2'!$B$10:$B$250,0)),INDEX('NOTES CM2'!$AC$10:$AC$250,MATCH(BI115,'NOTES CM2'!$B$10:$B$250,0))),""))</f>
        <v/>
      </c>
    </row>
    <row r="116" customFormat="false" ht="15" hidden="false" customHeight="false" outlineLevel="0" collapsed="false">
      <c r="Y116" s="51" t="str">
        <f aca="false">IFERROR(MATCH("CP1-76",'REGISTRE ELEVES'!$AG$10:$AG$250,0),"")</f>
        <v/>
      </c>
      <c r="Z116" s="51" t="str">
        <f aca="false">IF(Y116="","",INDEX('REGISTRE ELEVES'!$B$10:$B$250,Y116))</f>
        <v/>
      </c>
      <c r="AA116" s="51" t="str">
        <f aca="false">IF(Y116="","",INDEX('REGISTRE ELEVES'!$D$10:$D$250,Y116))</f>
        <v/>
      </c>
      <c r="AB116" s="51" t="str">
        <f aca="false">IF(Y116="","",INDEX('REGISTRE ELEVES'!$E$10:$E$250,Y116))</f>
        <v/>
      </c>
      <c r="AC116" s="51" t="str">
        <f aca="false">IF(Z116="","",IFERROR(CHOOSE($C$9,INDEX('NOTES CP'!$P$10:$P$250,MATCH(Z116,'NOTES CP'!$B$10:$B$250,0)),INDEX('NOTES CP'!$Z$10:$Z$250,MATCH(Z116,'NOTES CP'!$B$10:$B$250,0)),INDEX('NOTES CP'!$AJ$10:$AJ$250,MATCH(Z116,'NOTES CP'!$B$10:$B$250,0)),INDEX('NOTES CP'!$AT$10:$AT$250,MATCH(Z116,'NOTES CP'!$B$10:$B$250,0))),""))</f>
        <v/>
      </c>
      <c r="AD116" s="51" t="str">
        <f aca="false">IF(ISNUMBER(AC116),AC116+(1000-76)/1000000,"")</f>
        <v/>
      </c>
      <c r="AE116" s="51" t="str">
        <f aca="false">IF(Z116="","",IFERROR(CHOOSE($C$9,INDEX('NOTES CP'!$G$10:$G$250,MATCH(Z116,'NOTES CP'!$B$10:$B$250,0)),INDEX('NOTES CP'!$Q$10:$Q$250,MATCH(Z116,'NOTES CP'!$B$10:$B$250,0)),INDEX('NOTES CP'!$AA$10:$AA$250,MATCH(Z116,'NOTES CP'!$B$10:$B$250,0)),INDEX('NOTES CP'!$AK$10:$AK$250,MATCH(Z116,'NOTES CP'!$B$10:$B$250,0))),""))</f>
        <v/>
      </c>
      <c r="AF116" s="51" t="str">
        <f aca="false">IFERROR(MATCH("CP2-76",'REGISTRE ELEVES'!$AG$10:$AG$250,0),"")</f>
        <v/>
      </c>
      <c r="AG116" s="51" t="str">
        <f aca="false">IF(AF116="","",INDEX('REGISTRE ELEVES'!$B$10:$B$250,AF116))</f>
        <v/>
      </c>
      <c r="AH116" s="51" t="str">
        <f aca="false">IF(AF116="","",INDEX('REGISTRE ELEVES'!$D$10:$D$250,AF116))</f>
        <v/>
      </c>
      <c r="AI116" s="51" t="str">
        <f aca="false">IF(AF116="","",INDEX('REGISTRE ELEVES'!$E$10:$E$250,AF116))</f>
        <v/>
      </c>
      <c r="AJ116" s="51" t="str">
        <f aca="false">IF(AG116="","",IFERROR(CHOOSE($C$9,INDEX('NOTES CP'!$P$10:$P$250,MATCH(AG116,'NOTES CP'!$B$10:$B$250,0)),INDEX('NOTES CP'!$Z$10:$Z$250,MATCH(AG116,'NOTES CP'!$B$10:$B$250,0)),INDEX('NOTES CP'!$AJ$10:$AJ$250,MATCH(AG116,'NOTES CP'!$B$10:$B$250,0)),INDEX('NOTES CP'!$AT$10:$AT$250,MATCH(AG116,'NOTES CP'!$B$10:$B$250,0))),""))</f>
        <v/>
      </c>
      <c r="AK116" s="51" t="str">
        <f aca="false">IF(ISNUMBER(AJ116),AJ116+(1000-76)/1000000,"")</f>
        <v/>
      </c>
      <c r="AL116" s="51" t="str">
        <f aca="false">IF(AG116="","",IFERROR(CHOOSE($C$9,INDEX('NOTES CP'!$G$10:$G$250,MATCH(AG116,'NOTES CP'!$B$10:$B$250,0)),INDEX('NOTES CP'!$Q$10:$Q$250,MATCH(AG116,'NOTES CP'!$B$10:$B$250,0)),INDEX('NOTES CP'!$AA$10:$AA$250,MATCH(AG116,'NOTES CP'!$B$10:$B$250,0)),INDEX('NOTES CP'!$AK$10:$AK$250,MATCH(AG116,'NOTES CP'!$B$10:$B$250,0))),""))</f>
        <v/>
      </c>
      <c r="AM116" s="51" t="str">
        <f aca="false">IFERROR(MATCH("CE1-76",'REGISTRE ELEVES'!$AG$10:$AG$250,0),"")</f>
        <v/>
      </c>
      <c r="AN116" s="51" t="str">
        <f aca="false">IF(AM116="","",INDEX('REGISTRE ELEVES'!$B$10:$B$250,AM116))</f>
        <v/>
      </c>
      <c r="AO116" s="51" t="str">
        <f aca="false">IF(AM116="","",INDEX('REGISTRE ELEVES'!$D$10:$D$250,AM116))</f>
        <v/>
      </c>
      <c r="AP116" s="51" t="str">
        <f aca="false">IF(AM116="","",INDEX('REGISTRE ELEVES'!$E$10:$E$250,AM116))</f>
        <v/>
      </c>
      <c r="AQ116" s="51" t="str">
        <f aca="false">IF(AN116="","",IFERROR(CHOOSE($C$9,INDEX('NOTES CE1'!$M$10:$M$250,MATCH(AN116,'NOTES CE1'!$B$10:$B$250,0)),INDEX('NOTES CE1'!$T$10:$T$250,MATCH(AN116,'NOTES CE1'!$B$10:$B$250,0)),INDEX('NOTES CE1'!$AA$10:$AA$250,MATCH(AN116,'NOTES CE1'!$B$10:$B$250,0)),INDEX('NOTES CE1'!$AH$10:$AH$250,MATCH(AN116,'NOTES CE1'!$B$10:$B$250,0))),""))</f>
        <v/>
      </c>
      <c r="AR116" s="51" t="str">
        <f aca="false">IF(ISNUMBER(AQ116),AQ116+(1000-76)/1000000,"")</f>
        <v/>
      </c>
      <c r="AS116" s="51" t="str">
        <f aca="false">IF(AN116="","",IFERROR(CHOOSE($C$9,INDEX('NOTES CE1'!$G$10:$G$250,MATCH(AN116,'NOTES CE1'!$B$10:$B$250,0)),INDEX('NOTES CE1'!$N$10:$N$250,MATCH(AN116,'NOTES CE1'!$B$10:$B$250,0)),INDEX('NOTES CE1'!$U$10:$U$250,MATCH(AN116,'NOTES CE1'!$B$10:$B$250,0)),INDEX('NOTES CE1'!$AB$10:$AB$250,MATCH(AN116,'NOTES CE1'!$B$10:$B$250,0))),""))</f>
        <v/>
      </c>
      <c r="AT116" s="51" t="str">
        <f aca="false">IFERROR(MATCH("CE2-76",'REGISTRE ELEVES'!$AG$10:$AG$250,0),"")</f>
        <v/>
      </c>
      <c r="AU116" s="51" t="str">
        <f aca="false">IF(AT116="","",INDEX('REGISTRE ELEVES'!$B$10:$B$250,AT116))</f>
        <v/>
      </c>
      <c r="AV116" s="51" t="str">
        <f aca="false">IF(AT116="","",INDEX('REGISTRE ELEVES'!$D$10:$D$250,AT116))</f>
        <v/>
      </c>
      <c r="AW116" s="51" t="str">
        <f aca="false">IF(AT116="","",INDEX('REGISTRE ELEVES'!$E$10:$E$250,AT116))</f>
        <v/>
      </c>
      <c r="AX116" s="51" t="str">
        <f aca="false">IF(AU116="","",IFERROR(CHOOSE($C$9,INDEX('NOTES CE2-CM1'!$M$10:$M$250,MATCH(AU116,'NOTES CE2-CM1'!$B$10:$B$250,0)),INDEX('NOTES CE2-CM1'!$T$10:$T$250,MATCH(AU116,'NOTES CE2-CM1'!$B$10:$B$250,0)),INDEX('NOTES CE2-CM1'!$AA$10:$AA$250,MATCH(AU116,'NOTES CE2-CM1'!$B$10:$B$250,0)),INDEX('NOTES CE2-CM1'!$AH$10:$AH$250,MATCH(AU116,'NOTES CE2-CM1'!$B$10:$B$250,0))),""))</f>
        <v/>
      </c>
      <c r="AY116" s="51" t="str">
        <f aca="false">IF(ISNUMBER(AX116),AX116+(1000-76)/1000000,"")</f>
        <v/>
      </c>
      <c r="AZ116" s="51" t="str">
        <f aca="false">IF(AU116="","",IFERROR(CHOOSE($C$9,INDEX('NOTES CE2-CM1'!$G$10:$G$250,MATCH(AU116,'NOTES CE2-CM1'!$B$10:$B$250,0)),INDEX('NOTES CE2-CM1'!$N$10:$N$250,MATCH(AU116,'NOTES CE2-CM1'!$B$10:$B$250,0)),INDEX('NOTES CE2-CM1'!$U$10:$U$250,MATCH(AU116,'NOTES CE2-CM1'!$B$10:$B$250,0)),INDEX('NOTES CE2-CM1'!$AB$10:$AB$250,MATCH(AU116,'NOTES CE2-CM1'!$B$10:$B$250,0))),""))</f>
        <v/>
      </c>
      <c r="BA116" s="51" t="str">
        <f aca="false">IFERROR(MATCH("CM1-76",'REGISTRE ELEVES'!$AG$10:$AG$250,0),"")</f>
        <v/>
      </c>
      <c r="BB116" s="51" t="str">
        <f aca="false">IF(BA116="","",INDEX('REGISTRE ELEVES'!$B$10:$B$250,BA116))</f>
        <v/>
      </c>
      <c r="BC116" s="51" t="str">
        <f aca="false">IF(BA116="","",INDEX('REGISTRE ELEVES'!$D$10:$D$250,BA116))</f>
        <v/>
      </c>
      <c r="BD116" s="51" t="str">
        <f aca="false">IF(BA116="","",INDEX('REGISTRE ELEVES'!$E$10:$E$250,BA116))</f>
        <v/>
      </c>
      <c r="BE116" s="51" t="str">
        <f aca="false">IF(BB116="","",IFERROR(CHOOSE($C$9,INDEX('NOTES CE2-CM1'!$M$10:$M$250,MATCH(BB116,'NOTES CE2-CM1'!$B$10:$B$250,0)),INDEX('NOTES CE2-CM1'!$T$10:$T$250,MATCH(BB116,'NOTES CE2-CM1'!$B$10:$B$250,0)),INDEX('NOTES CE2-CM1'!$AA$10:$AA$250,MATCH(BB116,'NOTES CE2-CM1'!$B$10:$B$250,0)),INDEX('NOTES CE2-CM1'!$AH$10:$AH$250,MATCH(BB116,'NOTES CE2-CM1'!$B$10:$B$250,0))),""))</f>
        <v/>
      </c>
      <c r="BF116" s="51" t="str">
        <f aca="false">IF(ISNUMBER(BE116),BE116+(1000-76)/1000000,"")</f>
        <v/>
      </c>
      <c r="BG116" s="51" t="str">
        <f aca="false">IF(BB116="","",IFERROR(CHOOSE($C$9,INDEX('NOTES CE2-CM1'!$G$10:$G$250,MATCH(BB116,'NOTES CE2-CM1'!$B$10:$B$250,0)),INDEX('NOTES CE2-CM1'!$N$10:$N$250,MATCH(BB116,'NOTES CE2-CM1'!$B$10:$B$250,0)),INDEX('NOTES CE2-CM1'!$U$10:$U$250,MATCH(BB116,'NOTES CE2-CM1'!$B$10:$B$250,0)),INDEX('NOTES CE2-CM1'!$AB$10:$AB$250,MATCH(BB116,'NOTES CE2-CM1'!$B$10:$B$250,0))),""))</f>
        <v/>
      </c>
      <c r="BH116" s="51" t="str">
        <f aca="false">IFERROR(MATCH("CM2-76",'REGISTRE ELEVES'!$AG$10:$AG$250,0),"")</f>
        <v/>
      </c>
      <c r="BI116" s="51" t="str">
        <f aca="false">IF(BH116="","",INDEX('REGISTRE ELEVES'!$B$10:$B$250,BH116))</f>
        <v/>
      </c>
      <c r="BJ116" s="51" t="str">
        <f aca="false">IF(BH116="","",INDEX('REGISTRE ELEVES'!$D$10:$D$250,BH116))</f>
        <v/>
      </c>
      <c r="BK116" s="51" t="str">
        <f aca="false">IF(BH116="","",INDEX('REGISTRE ELEVES'!$E$10:$E$250,BH116))</f>
        <v/>
      </c>
      <c r="BL116" s="51" t="str">
        <f aca="false">IF(BI116="","",IFERROR(CHOOSE($C$9,INDEX('NOTES CM2'!$M$10:$M$250,MATCH(BI116,'NOTES CM2'!$B$10:$B$250,0)),INDEX('NOTES CM2'!$T$10:$T$250,MATCH(BI116,'NOTES CM2'!$B$10:$B$250,0)),INDEX('NOTES CM2'!$AB$10:$AB$250,MATCH(BI116,'NOTES CM2'!$B$10:$B$250,0)),INDEX('NOTES CM2'!$AJ$10:$AJ$250,MATCH(BI116,'NOTES CM2'!$B$10:$B$250,0))),""))</f>
        <v/>
      </c>
      <c r="BM116" s="51" t="str">
        <f aca="false">IF(ISNUMBER(BL116),BL116+(1000-76)/1000000,"")</f>
        <v/>
      </c>
      <c r="BN116" s="51" t="str">
        <f aca="false">IF(BI116="","",IFERROR(CHOOSE($C$9,INDEX('NOTES CM2'!$G$10:$G$250,MATCH(BI116,'NOTES CM2'!$B$10:$B$250,0)),INDEX('NOTES CM2'!$N$10:$N$250,MATCH(BI116,'NOTES CM2'!$B$10:$B$250,0)),INDEX('NOTES CM2'!$U$10:$U$250,MATCH(BI116,'NOTES CM2'!$B$10:$B$250,0)),INDEX('NOTES CM2'!$AC$10:$AC$250,MATCH(BI116,'NOTES CM2'!$B$10:$B$250,0))),""))</f>
        <v/>
      </c>
    </row>
    <row r="117" customFormat="false" ht="15" hidden="false" customHeight="false" outlineLevel="0" collapsed="false">
      <c r="Y117" s="51" t="str">
        <f aca="false">IFERROR(MATCH("CP1-77",'REGISTRE ELEVES'!$AG$10:$AG$250,0),"")</f>
        <v/>
      </c>
      <c r="Z117" s="51" t="str">
        <f aca="false">IF(Y117="","",INDEX('REGISTRE ELEVES'!$B$10:$B$250,Y117))</f>
        <v/>
      </c>
      <c r="AA117" s="51" t="str">
        <f aca="false">IF(Y117="","",INDEX('REGISTRE ELEVES'!$D$10:$D$250,Y117))</f>
        <v/>
      </c>
      <c r="AB117" s="51" t="str">
        <f aca="false">IF(Y117="","",INDEX('REGISTRE ELEVES'!$E$10:$E$250,Y117))</f>
        <v/>
      </c>
      <c r="AC117" s="51" t="str">
        <f aca="false">IF(Z117="","",IFERROR(CHOOSE($C$9,INDEX('NOTES CP'!$P$10:$P$250,MATCH(Z117,'NOTES CP'!$B$10:$B$250,0)),INDEX('NOTES CP'!$Z$10:$Z$250,MATCH(Z117,'NOTES CP'!$B$10:$B$250,0)),INDEX('NOTES CP'!$AJ$10:$AJ$250,MATCH(Z117,'NOTES CP'!$B$10:$B$250,0)),INDEX('NOTES CP'!$AT$10:$AT$250,MATCH(Z117,'NOTES CP'!$B$10:$B$250,0))),""))</f>
        <v/>
      </c>
      <c r="AD117" s="51" t="str">
        <f aca="false">IF(ISNUMBER(AC117),AC117+(1000-77)/1000000,"")</f>
        <v/>
      </c>
      <c r="AE117" s="51" t="str">
        <f aca="false">IF(Z117="","",IFERROR(CHOOSE($C$9,INDEX('NOTES CP'!$G$10:$G$250,MATCH(Z117,'NOTES CP'!$B$10:$B$250,0)),INDEX('NOTES CP'!$Q$10:$Q$250,MATCH(Z117,'NOTES CP'!$B$10:$B$250,0)),INDEX('NOTES CP'!$AA$10:$AA$250,MATCH(Z117,'NOTES CP'!$B$10:$B$250,0)),INDEX('NOTES CP'!$AK$10:$AK$250,MATCH(Z117,'NOTES CP'!$B$10:$B$250,0))),""))</f>
        <v/>
      </c>
      <c r="AF117" s="51" t="str">
        <f aca="false">IFERROR(MATCH("CP2-77",'REGISTRE ELEVES'!$AG$10:$AG$250,0),"")</f>
        <v/>
      </c>
      <c r="AG117" s="51" t="str">
        <f aca="false">IF(AF117="","",INDEX('REGISTRE ELEVES'!$B$10:$B$250,AF117))</f>
        <v/>
      </c>
      <c r="AH117" s="51" t="str">
        <f aca="false">IF(AF117="","",INDEX('REGISTRE ELEVES'!$D$10:$D$250,AF117))</f>
        <v/>
      </c>
      <c r="AI117" s="51" t="str">
        <f aca="false">IF(AF117="","",INDEX('REGISTRE ELEVES'!$E$10:$E$250,AF117))</f>
        <v/>
      </c>
      <c r="AJ117" s="51" t="str">
        <f aca="false">IF(AG117="","",IFERROR(CHOOSE($C$9,INDEX('NOTES CP'!$P$10:$P$250,MATCH(AG117,'NOTES CP'!$B$10:$B$250,0)),INDEX('NOTES CP'!$Z$10:$Z$250,MATCH(AG117,'NOTES CP'!$B$10:$B$250,0)),INDEX('NOTES CP'!$AJ$10:$AJ$250,MATCH(AG117,'NOTES CP'!$B$10:$B$250,0)),INDEX('NOTES CP'!$AT$10:$AT$250,MATCH(AG117,'NOTES CP'!$B$10:$B$250,0))),""))</f>
        <v/>
      </c>
      <c r="AK117" s="51" t="str">
        <f aca="false">IF(ISNUMBER(AJ117),AJ117+(1000-77)/1000000,"")</f>
        <v/>
      </c>
      <c r="AL117" s="51" t="str">
        <f aca="false">IF(AG117="","",IFERROR(CHOOSE($C$9,INDEX('NOTES CP'!$G$10:$G$250,MATCH(AG117,'NOTES CP'!$B$10:$B$250,0)),INDEX('NOTES CP'!$Q$10:$Q$250,MATCH(AG117,'NOTES CP'!$B$10:$B$250,0)),INDEX('NOTES CP'!$AA$10:$AA$250,MATCH(AG117,'NOTES CP'!$B$10:$B$250,0)),INDEX('NOTES CP'!$AK$10:$AK$250,MATCH(AG117,'NOTES CP'!$B$10:$B$250,0))),""))</f>
        <v/>
      </c>
      <c r="AM117" s="51" t="str">
        <f aca="false">IFERROR(MATCH("CE1-77",'REGISTRE ELEVES'!$AG$10:$AG$250,0),"")</f>
        <v/>
      </c>
      <c r="AN117" s="51" t="str">
        <f aca="false">IF(AM117="","",INDEX('REGISTRE ELEVES'!$B$10:$B$250,AM117))</f>
        <v/>
      </c>
      <c r="AO117" s="51" t="str">
        <f aca="false">IF(AM117="","",INDEX('REGISTRE ELEVES'!$D$10:$D$250,AM117))</f>
        <v/>
      </c>
      <c r="AP117" s="51" t="str">
        <f aca="false">IF(AM117="","",INDEX('REGISTRE ELEVES'!$E$10:$E$250,AM117))</f>
        <v/>
      </c>
      <c r="AQ117" s="51" t="str">
        <f aca="false">IF(AN117="","",IFERROR(CHOOSE($C$9,INDEX('NOTES CE1'!$M$10:$M$250,MATCH(AN117,'NOTES CE1'!$B$10:$B$250,0)),INDEX('NOTES CE1'!$T$10:$T$250,MATCH(AN117,'NOTES CE1'!$B$10:$B$250,0)),INDEX('NOTES CE1'!$AA$10:$AA$250,MATCH(AN117,'NOTES CE1'!$B$10:$B$250,0)),INDEX('NOTES CE1'!$AH$10:$AH$250,MATCH(AN117,'NOTES CE1'!$B$10:$B$250,0))),""))</f>
        <v/>
      </c>
      <c r="AR117" s="51" t="str">
        <f aca="false">IF(ISNUMBER(AQ117),AQ117+(1000-77)/1000000,"")</f>
        <v/>
      </c>
      <c r="AS117" s="51" t="str">
        <f aca="false">IF(AN117="","",IFERROR(CHOOSE($C$9,INDEX('NOTES CE1'!$G$10:$G$250,MATCH(AN117,'NOTES CE1'!$B$10:$B$250,0)),INDEX('NOTES CE1'!$N$10:$N$250,MATCH(AN117,'NOTES CE1'!$B$10:$B$250,0)),INDEX('NOTES CE1'!$U$10:$U$250,MATCH(AN117,'NOTES CE1'!$B$10:$B$250,0)),INDEX('NOTES CE1'!$AB$10:$AB$250,MATCH(AN117,'NOTES CE1'!$B$10:$B$250,0))),""))</f>
        <v/>
      </c>
      <c r="AT117" s="51" t="str">
        <f aca="false">IFERROR(MATCH("CE2-77",'REGISTRE ELEVES'!$AG$10:$AG$250,0),"")</f>
        <v/>
      </c>
      <c r="AU117" s="51" t="str">
        <f aca="false">IF(AT117="","",INDEX('REGISTRE ELEVES'!$B$10:$B$250,AT117))</f>
        <v/>
      </c>
      <c r="AV117" s="51" t="str">
        <f aca="false">IF(AT117="","",INDEX('REGISTRE ELEVES'!$D$10:$D$250,AT117))</f>
        <v/>
      </c>
      <c r="AW117" s="51" t="str">
        <f aca="false">IF(AT117="","",INDEX('REGISTRE ELEVES'!$E$10:$E$250,AT117))</f>
        <v/>
      </c>
      <c r="AX117" s="51" t="str">
        <f aca="false">IF(AU117="","",IFERROR(CHOOSE($C$9,INDEX('NOTES CE2-CM1'!$M$10:$M$250,MATCH(AU117,'NOTES CE2-CM1'!$B$10:$B$250,0)),INDEX('NOTES CE2-CM1'!$T$10:$T$250,MATCH(AU117,'NOTES CE2-CM1'!$B$10:$B$250,0)),INDEX('NOTES CE2-CM1'!$AA$10:$AA$250,MATCH(AU117,'NOTES CE2-CM1'!$B$10:$B$250,0)),INDEX('NOTES CE2-CM1'!$AH$10:$AH$250,MATCH(AU117,'NOTES CE2-CM1'!$B$10:$B$250,0))),""))</f>
        <v/>
      </c>
      <c r="AY117" s="51" t="str">
        <f aca="false">IF(ISNUMBER(AX117),AX117+(1000-77)/1000000,"")</f>
        <v/>
      </c>
      <c r="AZ117" s="51" t="str">
        <f aca="false">IF(AU117="","",IFERROR(CHOOSE($C$9,INDEX('NOTES CE2-CM1'!$G$10:$G$250,MATCH(AU117,'NOTES CE2-CM1'!$B$10:$B$250,0)),INDEX('NOTES CE2-CM1'!$N$10:$N$250,MATCH(AU117,'NOTES CE2-CM1'!$B$10:$B$250,0)),INDEX('NOTES CE2-CM1'!$U$10:$U$250,MATCH(AU117,'NOTES CE2-CM1'!$B$10:$B$250,0)),INDEX('NOTES CE2-CM1'!$AB$10:$AB$250,MATCH(AU117,'NOTES CE2-CM1'!$B$10:$B$250,0))),""))</f>
        <v/>
      </c>
      <c r="BA117" s="51" t="str">
        <f aca="false">IFERROR(MATCH("CM1-77",'REGISTRE ELEVES'!$AG$10:$AG$250,0),"")</f>
        <v/>
      </c>
      <c r="BB117" s="51" t="str">
        <f aca="false">IF(BA117="","",INDEX('REGISTRE ELEVES'!$B$10:$B$250,BA117))</f>
        <v/>
      </c>
      <c r="BC117" s="51" t="str">
        <f aca="false">IF(BA117="","",INDEX('REGISTRE ELEVES'!$D$10:$D$250,BA117))</f>
        <v/>
      </c>
      <c r="BD117" s="51" t="str">
        <f aca="false">IF(BA117="","",INDEX('REGISTRE ELEVES'!$E$10:$E$250,BA117))</f>
        <v/>
      </c>
      <c r="BE117" s="51" t="str">
        <f aca="false">IF(BB117="","",IFERROR(CHOOSE($C$9,INDEX('NOTES CE2-CM1'!$M$10:$M$250,MATCH(BB117,'NOTES CE2-CM1'!$B$10:$B$250,0)),INDEX('NOTES CE2-CM1'!$T$10:$T$250,MATCH(BB117,'NOTES CE2-CM1'!$B$10:$B$250,0)),INDEX('NOTES CE2-CM1'!$AA$10:$AA$250,MATCH(BB117,'NOTES CE2-CM1'!$B$10:$B$250,0)),INDEX('NOTES CE2-CM1'!$AH$10:$AH$250,MATCH(BB117,'NOTES CE2-CM1'!$B$10:$B$250,0))),""))</f>
        <v/>
      </c>
      <c r="BF117" s="51" t="str">
        <f aca="false">IF(ISNUMBER(BE117),BE117+(1000-77)/1000000,"")</f>
        <v/>
      </c>
      <c r="BG117" s="51" t="str">
        <f aca="false">IF(BB117="","",IFERROR(CHOOSE($C$9,INDEX('NOTES CE2-CM1'!$G$10:$G$250,MATCH(BB117,'NOTES CE2-CM1'!$B$10:$B$250,0)),INDEX('NOTES CE2-CM1'!$N$10:$N$250,MATCH(BB117,'NOTES CE2-CM1'!$B$10:$B$250,0)),INDEX('NOTES CE2-CM1'!$U$10:$U$250,MATCH(BB117,'NOTES CE2-CM1'!$B$10:$B$250,0)),INDEX('NOTES CE2-CM1'!$AB$10:$AB$250,MATCH(BB117,'NOTES CE2-CM1'!$B$10:$B$250,0))),""))</f>
        <v/>
      </c>
      <c r="BH117" s="51" t="str">
        <f aca="false">IFERROR(MATCH("CM2-77",'REGISTRE ELEVES'!$AG$10:$AG$250,0),"")</f>
        <v/>
      </c>
      <c r="BI117" s="51" t="str">
        <f aca="false">IF(BH117="","",INDEX('REGISTRE ELEVES'!$B$10:$B$250,BH117))</f>
        <v/>
      </c>
      <c r="BJ117" s="51" t="str">
        <f aca="false">IF(BH117="","",INDEX('REGISTRE ELEVES'!$D$10:$D$250,BH117))</f>
        <v/>
      </c>
      <c r="BK117" s="51" t="str">
        <f aca="false">IF(BH117="","",INDEX('REGISTRE ELEVES'!$E$10:$E$250,BH117))</f>
        <v/>
      </c>
      <c r="BL117" s="51" t="str">
        <f aca="false">IF(BI117="","",IFERROR(CHOOSE($C$9,INDEX('NOTES CM2'!$M$10:$M$250,MATCH(BI117,'NOTES CM2'!$B$10:$B$250,0)),INDEX('NOTES CM2'!$T$10:$T$250,MATCH(BI117,'NOTES CM2'!$B$10:$B$250,0)),INDEX('NOTES CM2'!$AB$10:$AB$250,MATCH(BI117,'NOTES CM2'!$B$10:$B$250,0)),INDEX('NOTES CM2'!$AJ$10:$AJ$250,MATCH(BI117,'NOTES CM2'!$B$10:$B$250,0))),""))</f>
        <v/>
      </c>
      <c r="BM117" s="51" t="str">
        <f aca="false">IF(ISNUMBER(BL117),BL117+(1000-77)/1000000,"")</f>
        <v/>
      </c>
      <c r="BN117" s="51" t="str">
        <f aca="false">IF(BI117="","",IFERROR(CHOOSE($C$9,INDEX('NOTES CM2'!$G$10:$G$250,MATCH(BI117,'NOTES CM2'!$B$10:$B$250,0)),INDEX('NOTES CM2'!$N$10:$N$250,MATCH(BI117,'NOTES CM2'!$B$10:$B$250,0)),INDEX('NOTES CM2'!$U$10:$U$250,MATCH(BI117,'NOTES CM2'!$B$10:$B$250,0)),INDEX('NOTES CM2'!$AC$10:$AC$250,MATCH(BI117,'NOTES CM2'!$B$10:$B$250,0))),""))</f>
        <v/>
      </c>
    </row>
    <row r="118" customFormat="false" ht="15" hidden="false" customHeight="false" outlineLevel="0" collapsed="false">
      <c r="Y118" s="51" t="str">
        <f aca="false">IFERROR(MATCH("CP1-78",'REGISTRE ELEVES'!$AG$10:$AG$250,0),"")</f>
        <v/>
      </c>
      <c r="Z118" s="51" t="str">
        <f aca="false">IF(Y118="","",INDEX('REGISTRE ELEVES'!$B$10:$B$250,Y118))</f>
        <v/>
      </c>
      <c r="AA118" s="51" t="str">
        <f aca="false">IF(Y118="","",INDEX('REGISTRE ELEVES'!$D$10:$D$250,Y118))</f>
        <v/>
      </c>
      <c r="AB118" s="51" t="str">
        <f aca="false">IF(Y118="","",INDEX('REGISTRE ELEVES'!$E$10:$E$250,Y118))</f>
        <v/>
      </c>
      <c r="AC118" s="51" t="str">
        <f aca="false">IF(Z118="","",IFERROR(CHOOSE($C$9,INDEX('NOTES CP'!$P$10:$P$250,MATCH(Z118,'NOTES CP'!$B$10:$B$250,0)),INDEX('NOTES CP'!$Z$10:$Z$250,MATCH(Z118,'NOTES CP'!$B$10:$B$250,0)),INDEX('NOTES CP'!$AJ$10:$AJ$250,MATCH(Z118,'NOTES CP'!$B$10:$B$250,0)),INDEX('NOTES CP'!$AT$10:$AT$250,MATCH(Z118,'NOTES CP'!$B$10:$B$250,0))),""))</f>
        <v/>
      </c>
      <c r="AD118" s="51" t="str">
        <f aca="false">IF(ISNUMBER(AC118),AC118+(1000-78)/1000000,"")</f>
        <v/>
      </c>
      <c r="AE118" s="51" t="str">
        <f aca="false">IF(Z118="","",IFERROR(CHOOSE($C$9,INDEX('NOTES CP'!$G$10:$G$250,MATCH(Z118,'NOTES CP'!$B$10:$B$250,0)),INDEX('NOTES CP'!$Q$10:$Q$250,MATCH(Z118,'NOTES CP'!$B$10:$B$250,0)),INDEX('NOTES CP'!$AA$10:$AA$250,MATCH(Z118,'NOTES CP'!$B$10:$B$250,0)),INDEX('NOTES CP'!$AK$10:$AK$250,MATCH(Z118,'NOTES CP'!$B$10:$B$250,0))),""))</f>
        <v/>
      </c>
      <c r="AF118" s="51" t="str">
        <f aca="false">IFERROR(MATCH("CP2-78",'REGISTRE ELEVES'!$AG$10:$AG$250,0),"")</f>
        <v/>
      </c>
      <c r="AG118" s="51" t="str">
        <f aca="false">IF(AF118="","",INDEX('REGISTRE ELEVES'!$B$10:$B$250,AF118))</f>
        <v/>
      </c>
      <c r="AH118" s="51" t="str">
        <f aca="false">IF(AF118="","",INDEX('REGISTRE ELEVES'!$D$10:$D$250,AF118))</f>
        <v/>
      </c>
      <c r="AI118" s="51" t="str">
        <f aca="false">IF(AF118="","",INDEX('REGISTRE ELEVES'!$E$10:$E$250,AF118))</f>
        <v/>
      </c>
      <c r="AJ118" s="51" t="str">
        <f aca="false">IF(AG118="","",IFERROR(CHOOSE($C$9,INDEX('NOTES CP'!$P$10:$P$250,MATCH(AG118,'NOTES CP'!$B$10:$B$250,0)),INDEX('NOTES CP'!$Z$10:$Z$250,MATCH(AG118,'NOTES CP'!$B$10:$B$250,0)),INDEX('NOTES CP'!$AJ$10:$AJ$250,MATCH(AG118,'NOTES CP'!$B$10:$B$250,0)),INDEX('NOTES CP'!$AT$10:$AT$250,MATCH(AG118,'NOTES CP'!$B$10:$B$250,0))),""))</f>
        <v/>
      </c>
      <c r="AK118" s="51" t="str">
        <f aca="false">IF(ISNUMBER(AJ118),AJ118+(1000-78)/1000000,"")</f>
        <v/>
      </c>
      <c r="AL118" s="51" t="str">
        <f aca="false">IF(AG118="","",IFERROR(CHOOSE($C$9,INDEX('NOTES CP'!$G$10:$G$250,MATCH(AG118,'NOTES CP'!$B$10:$B$250,0)),INDEX('NOTES CP'!$Q$10:$Q$250,MATCH(AG118,'NOTES CP'!$B$10:$B$250,0)),INDEX('NOTES CP'!$AA$10:$AA$250,MATCH(AG118,'NOTES CP'!$B$10:$B$250,0)),INDEX('NOTES CP'!$AK$10:$AK$250,MATCH(AG118,'NOTES CP'!$B$10:$B$250,0))),""))</f>
        <v/>
      </c>
      <c r="AM118" s="51" t="str">
        <f aca="false">IFERROR(MATCH("CE1-78",'REGISTRE ELEVES'!$AG$10:$AG$250,0),"")</f>
        <v/>
      </c>
      <c r="AN118" s="51" t="str">
        <f aca="false">IF(AM118="","",INDEX('REGISTRE ELEVES'!$B$10:$B$250,AM118))</f>
        <v/>
      </c>
      <c r="AO118" s="51" t="str">
        <f aca="false">IF(AM118="","",INDEX('REGISTRE ELEVES'!$D$10:$D$250,AM118))</f>
        <v/>
      </c>
      <c r="AP118" s="51" t="str">
        <f aca="false">IF(AM118="","",INDEX('REGISTRE ELEVES'!$E$10:$E$250,AM118))</f>
        <v/>
      </c>
      <c r="AQ118" s="51" t="str">
        <f aca="false">IF(AN118="","",IFERROR(CHOOSE($C$9,INDEX('NOTES CE1'!$M$10:$M$250,MATCH(AN118,'NOTES CE1'!$B$10:$B$250,0)),INDEX('NOTES CE1'!$T$10:$T$250,MATCH(AN118,'NOTES CE1'!$B$10:$B$250,0)),INDEX('NOTES CE1'!$AA$10:$AA$250,MATCH(AN118,'NOTES CE1'!$B$10:$B$250,0)),INDEX('NOTES CE1'!$AH$10:$AH$250,MATCH(AN118,'NOTES CE1'!$B$10:$B$250,0))),""))</f>
        <v/>
      </c>
      <c r="AR118" s="51" t="str">
        <f aca="false">IF(ISNUMBER(AQ118),AQ118+(1000-78)/1000000,"")</f>
        <v/>
      </c>
      <c r="AS118" s="51" t="str">
        <f aca="false">IF(AN118="","",IFERROR(CHOOSE($C$9,INDEX('NOTES CE1'!$G$10:$G$250,MATCH(AN118,'NOTES CE1'!$B$10:$B$250,0)),INDEX('NOTES CE1'!$N$10:$N$250,MATCH(AN118,'NOTES CE1'!$B$10:$B$250,0)),INDEX('NOTES CE1'!$U$10:$U$250,MATCH(AN118,'NOTES CE1'!$B$10:$B$250,0)),INDEX('NOTES CE1'!$AB$10:$AB$250,MATCH(AN118,'NOTES CE1'!$B$10:$B$250,0))),""))</f>
        <v/>
      </c>
      <c r="AT118" s="51" t="str">
        <f aca="false">IFERROR(MATCH("CE2-78",'REGISTRE ELEVES'!$AG$10:$AG$250,0),"")</f>
        <v/>
      </c>
      <c r="AU118" s="51" t="str">
        <f aca="false">IF(AT118="","",INDEX('REGISTRE ELEVES'!$B$10:$B$250,AT118))</f>
        <v/>
      </c>
      <c r="AV118" s="51" t="str">
        <f aca="false">IF(AT118="","",INDEX('REGISTRE ELEVES'!$D$10:$D$250,AT118))</f>
        <v/>
      </c>
      <c r="AW118" s="51" t="str">
        <f aca="false">IF(AT118="","",INDEX('REGISTRE ELEVES'!$E$10:$E$250,AT118))</f>
        <v/>
      </c>
      <c r="AX118" s="51" t="str">
        <f aca="false">IF(AU118="","",IFERROR(CHOOSE($C$9,INDEX('NOTES CE2-CM1'!$M$10:$M$250,MATCH(AU118,'NOTES CE2-CM1'!$B$10:$B$250,0)),INDEX('NOTES CE2-CM1'!$T$10:$T$250,MATCH(AU118,'NOTES CE2-CM1'!$B$10:$B$250,0)),INDEX('NOTES CE2-CM1'!$AA$10:$AA$250,MATCH(AU118,'NOTES CE2-CM1'!$B$10:$B$250,0)),INDEX('NOTES CE2-CM1'!$AH$10:$AH$250,MATCH(AU118,'NOTES CE2-CM1'!$B$10:$B$250,0))),""))</f>
        <v/>
      </c>
      <c r="AY118" s="51" t="str">
        <f aca="false">IF(ISNUMBER(AX118),AX118+(1000-78)/1000000,"")</f>
        <v/>
      </c>
      <c r="AZ118" s="51" t="str">
        <f aca="false">IF(AU118="","",IFERROR(CHOOSE($C$9,INDEX('NOTES CE2-CM1'!$G$10:$G$250,MATCH(AU118,'NOTES CE2-CM1'!$B$10:$B$250,0)),INDEX('NOTES CE2-CM1'!$N$10:$N$250,MATCH(AU118,'NOTES CE2-CM1'!$B$10:$B$250,0)),INDEX('NOTES CE2-CM1'!$U$10:$U$250,MATCH(AU118,'NOTES CE2-CM1'!$B$10:$B$250,0)),INDEX('NOTES CE2-CM1'!$AB$10:$AB$250,MATCH(AU118,'NOTES CE2-CM1'!$B$10:$B$250,0))),""))</f>
        <v/>
      </c>
      <c r="BA118" s="51" t="str">
        <f aca="false">IFERROR(MATCH("CM1-78",'REGISTRE ELEVES'!$AG$10:$AG$250,0),"")</f>
        <v/>
      </c>
      <c r="BB118" s="51" t="str">
        <f aca="false">IF(BA118="","",INDEX('REGISTRE ELEVES'!$B$10:$B$250,BA118))</f>
        <v/>
      </c>
      <c r="BC118" s="51" t="str">
        <f aca="false">IF(BA118="","",INDEX('REGISTRE ELEVES'!$D$10:$D$250,BA118))</f>
        <v/>
      </c>
      <c r="BD118" s="51" t="str">
        <f aca="false">IF(BA118="","",INDEX('REGISTRE ELEVES'!$E$10:$E$250,BA118))</f>
        <v/>
      </c>
      <c r="BE118" s="51" t="str">
        <f aca="false">IF(BB118="","",IFERROR(CHOOSE($C$9,INDEX('NOTES CE2-CM1'!$M$10:$M$250,MATCH(BB118,'NOTES CE2-CM1'!$B$10:$B$250,0)),INDEX('NOTES CE2-CM1'!$T$10:$T$250,MATCH(BB118,'NOTES CE2-CM1'!$B$10:$B$250,0)),INDEX('NOTES CE2-CM1'!$AA$10:$AA$250,MATCH(BB118,'NOTES CE2-CM1'!$B$10:$B$250,0)),INDEX('NOTES CE2-CM1'!$AH$10:$AH$250,MATCH(BB118,'NOTES CE2-CM1'!$B$10:$B$250,0))),""))</f>
        <v/>
      </c>
      <c r="BF118" s="51" t="str">
        <f aca="false">IF(ISNUMBER(BE118),BE118+(1000-78)/1000000,"")</f>
        <v/>
      </c>
      <c r="BG118" s="51" t="str">
        <f aca="false">IF(BB118="","",IFERROR(CHOOSE($C$9,INDEX('NOTES CE2-CM1'!$G$10:$G$250,MATCH(BB118,'NOTES CE2-CM1'!$B$10:$B$250,0)),INDEX('NOTES CE2-CM1'!$N$10:$N$250,MATCH(BB118,'NOTES CE2-CM1'!$B$10:$B$250,0)),INDEX('NOTES CE2-CM1'!$U$10:$U$250,MATCH(BB118,'NOTES CE2-CM1'!$B$10:$B$250,0)),INDEX('NOTES CE2-CM1'!$AB$10:$AB$250,MATCH(BB118,'NOTES CE2-CM1'!$B$10:$B$250,0))),""))</f>
        <v/>
      </c>
      <c r="BH118" s="51" t="str">
        <f aca="false">IFERROR(MATCH("CM2-78",'REGISTRE ELEVES'!$AG$10:$AG$250,0),"")</f>
        <v/>
      </c>
      <c r="BI118" s="51" t="str">
        <f aca="false">IF(BH118="","",INDEX('REGISTRE ELEVES'!$B$10:$B$250,BH118))</f>
        <v/>
      </c>
      <c r="BJ118" s="51" t="str">
        <f aca="false">IF(BH118="","",INDEX('REGISTRE ELEVES'!$D$10:$D$250,BH118))</f>
        <v/>
      </c>
      <c r="BK118" s="51" t="str">
        <f aca="false">IF(BH118="","",INDEX('REGISTRE ELEVES'!$E$10:$E$250,BH118))</f>
        <v/>
      </c>
      <c r="BL118" s="51" t="str">
        <f aca="false">IF(BI118="","",IFERROR(CHOOSE($C$9,INDEX('NOTES CM2'!$M$10:$M$250,MATCH(BI118,'NOTES CM2'!$B$10:$B$250,0)),INDEX('NOTES CM2'!$T$10:$T$250,MATCH(BI118,'NOTES CM2'!$B$10:$B$250,0)),INDEX('NOTES CM2'!$AB$10:$AB$250,MATCH(BI118,'NOTES CM2'!$B$10:$B$250,0)),INDEX('NOTES CM2'!$AJ$10:$AJ$250,MATCH(BI118,'NOTES CM2'!$B$10:$B$250,0))),""))</f>
        <v/>
      </c>
      <c r="BM118" s="51" t="str">
        <f aca="false">IF(ISNUMBER(BL118),BL118+(1000-78)/1000000,"")</f>
        <v/>
      </c>
      <c r="BN118" s="51" t="str">
        <f aca="false">IF(BI118="","",IFERROR(CHOOSE($C$9,INDEX('NOTES CM2'!$G$10:$G$250,MATCH(BI118,'NOTES CM2'!$B$10:$B$250,0)),INDEX('NOTES CM2'!$N$10:$N$250,MATCH(BI118,'NOTES CM2'!$B$10:$B$250,0)),INDEX('NOTES CM2'!$U$10:$U$250,MATCH(BI118,'NOTES CM2'!$B$10:$B$250,0)),INDEX('NOTES CM2'!$AC$10:$AC$250,MATCH(BI118,'NOTES CM2'!$B$10:$B$250,0))),""))</f>
        <v/>
      </c>
    </row>
    <row r="119" customFormat="false" ht="15" hidden="false" customHeight="false" outlineLevel="0" collapsed="false">
      <c r="Y119" s="51" t="str">
        <f aca="false">IFERROR(MATCH("CP1-79",'REGISTRE ELEVES'!$AG$10:$AG$250,0),"")</f>
        <v/>
      </c>
      <c r="Z119" s="51" t="str">
        <f aca="false">IF(Y119="","",INDEX('REGISTRE ELEVES'!$B$10:$B$250,Y119))</f>
        <v/>
      </c>
      <c r="AA119" s="51" t="str">
        <f aca="false">IF(Y119="","",INDEX('REGISTRE ELEVES'!$D$10:$D$250,Y119))</f>
        <v/>
      </c>
      <c r="AB119" s="51" t="str">
        <f aca="false">IF(Y119="","",INDEX('REGISTRE ELEVES'!$E$10:$E$250,Y119))</f>
        <v/>
      </c>
      <c r="AC119" s="51" t="str">
        <f aca="false">IF(Z119="","",IFERROR(CHOOSE($C$9,INDEX('NOTES CP'!$P$10:$P$250,MATCH(Z119,'NOTES CP'!$B$10:$B$250,0)),INDEX('NOTES CP'!$Z$10:$Z$250,MATCH(Z119,'NOTES CP'!$B$10:$B$250,0)),INDEX('NOTES CP'!$AJ$10:$AJ$250,MATCH(Z119,'NOTES CP'!$B$10:$B$250,0)),INDEX('NOTES CP'!$AT$10:$AT$250,MATCH(Z119,'NOTES CP'!$B$10:$B$250,0))),""))</f>
        <v/>
      </c>
      <c r="AD119" s="51" t="str">
        <f aca="false">IF(ISNUMBER(AC119),AC119+(1000-79)/1000000,"")</f>
        <v/>
      </c>
      <c r="AE119" s="51" t="str">
        <f aca="false">IF(Z119="","",IFERROR(CHOOSE($C$9,INDEX('NOTES CP'!$G$10:$G$250,MATCH(Z119,'NOTES CP'!$B$10:$B$250,0)),INDEX('NOTES CP'!$Q$10:$Q$250,MATCH(Z119,'NOTES CP'!$B$10:$B$250,0)),INDEX('NOTES CP'!$AA$10:$AA$250,MATCH(Z119,'NOTES CP'!$B$10:$B$250,0)),INDEX('NOTES CP'!$AK$10:$AK$250,MATCH(Z119,'NOTES CP'!$B$10:$B$250,0))),""))</f>
        <v/>
      </c>
      <c r="AF119" s="51" t="str">
        <f aca="false">IFERROR(MATCH("CP2-79",'REGISTRE ELEVES'!$AG$10:$AG$250,0),"")</f>
        <v/>
      </c>
      <c r="AG119" s="51" t="str">
        <f aca="false">IF(AF119="","",INDEX('REGISTRE ELEVES'!$B$10:$B$250,AF119))</f>
        <v/>
      </c>
      <c r="AH119" s="51" t="str">
        <f aca="false">IF(AF119="","",INDEX('REGISTRE ELEVES'!$D$10:$D$250,AF119))</f>
        <v/>
      </c>
      <c r="AI119" s="51" t="str">
        <f aca="false">IF(AF119="","",INDEX('REGISTRE ELEVES'!$E$10:$E$250,AF119))</f>
        <v/>
      </c>
      <c r="AJ119" s="51" t="str">
        <f aca="false">IF(AG119="","",IFERROR(CHOOSE($C$9,INDEX('NOTES CP'!$P$10:$P$250,MATCH(AG119,'NOTES CP'!$B$10:$B$250,0)),INDEX('NOTES CP'!$Z$10:$Z$250,MATCH(AG119,'NOTES CP'!$B$10:$B$250,0)),INDEX('NOTES CP'!$AJ$10:$AJ$250,MATCH(AG119,'NOTES CP'!$B$10:$B$250,0)),INDEX('NOTES CP'!$AT$10:$AT$250,MATCH(AG119,'NOTES CP'!$B$10:$B$250,0))),""))</f>
        <v/>
      </c>
      <c r="AK119" s="51" t="str">
        <f aca="false">IF(ISNUMBER(AJ119),AJ119+(1000-79)/1000000,"")</f>
        <v/>
      </c>
      <c r="AL119" s="51" t="str">
        <f aca="false">IF(AG119="","",IFERROR(CHOOSE($C$9,INDEX('NOTES CP'!$G$10:$G$250,MATCH(AG119,'NOTES CP'!$B$10:$B$250,0)),INDEX('NOTES CP'!$Q$10:$Q$250,MATCH(AG119,'NOTES CP'!$B$10:$B$250,0)),INDEX('NOTES CP'!$AA$10:$AA$250,MATCH(AG119,'NOTES CP'!$B$10:$B$250,0)),INDEX('NOTES CP'!$AK$10:$AK$250,MATCH(AG119,'NOTES CP'!$B$10:$B$250,0))),""))</f>
        <v/>
      </c>
      <c r="AM119" s="51" t="str">
        <f aca="false">IFERROR(MATCH("CE1-79",'REGISTRE ELEVES'!$AG$10:$AG$250,0),"")</f>
        <v/>
      </c>
      <c r="AN119" s="51" t="str">
        <f aca="false">IF(AM119="","",INDEX('REGISTRE ELEVES'!$B$10:$B$250,AM119))</f>
        <v/>
      </c>
      <c r="AO119" s="51" t="str">
        <f aca="false">IF(AM119="","",INDEX('REGISTRE ELEVES'!$D$10:$D$250,AM119))</f>
        <v/>
      </c>
      <c r="AP119" s="51" t="str">
        <f aca="false">IF(AM119="","",INDEX('REGISTRE ELEVES'!$E$10:$E$250,AM119))</f>
        <v/>
      </c>
      <c r="AQ119" s="51" t="str">
        <f aca="false">IF(AN119="","",IFERROR(CHOOSE($C$9,INDEX('NOTES CE1'!$M$10:$M$250,MATCH(AN119,'NOTES CE1'!$B$10:$B$250,0)),INDEX('NOTES CE1'!$T$10:$T$250,MATCH(AN119,'NOTES CE1'!$B$10:$B$250,0)),INDEX('NOTES CE1'!$AA$10:$AA$250,MATCH(AN119,'NOTES CE1'!$B$10:$B$250,0)),INDEX('NOTES CE1'!$AH$10:$AH$250,MATCH(AN119,'NOTES CE1'!$B$10:$B$250,0))),""))</f>
        <v/>
      </c>
      <c r="AR119" s="51" t="str">
        <f aca="false">IF(ISNUMBER(AQ119),AQ119+(1000-79)/1000000,"")</f>
        <v/>
      </c>
      <c r="AS119" s="51" t="str">
        <f aca="false">IF(AN119="","",IFERROR(CHOOSE($C$9,INDEX('NOTES CE1'!$G$10:$G$250,MATCH(AN119,'NOTES CE1'!$B$10:$B$250,0)),INDEX('NOTES CE1'!$N$10:$N$250,MATCH(AN119,'NOTES CE1'!$B$10:$B$250,0)),INDEX('NOTES CE1'!$U$10:$U$250,MATCH(AN119,'NOTES CE1'!$B$10:$B$250,0)),INDEX('NOTES CE1'!$AB$10:$AB$250,MATCH(AN119,'NOTES CE1'!$B$10:$B$250,0))),""))</f>
        <v/>
      </c>
      <c r="AT119" s="51" t="str">
        <f aca="false">IFERROR(MATCH("CE2-79",'REGISTRE ELEVES'!$AG$10:$AG$250,0),"")</f>
        <v/>
      </c>
      <c r="AU119" s="51" t="str">
        <f aca="false">IF(AT119="","",INDEX('REGISTRE ELEVES'!$B$10:$B$250,AT119))</f>
        <v/>
      </c>
      <c r="AV119" s="51" t="str">
        <f aca="false">IF(AT119="","",INDEX('REGISTRE ELEVES'!$D$10:$D$250,AT119))</f>
        <v/>
      </c>
      <c r="AW119" s="51" t="str">
        <f aca="false">IF(AT119="","",INDEX('REGISTRE ELEVES'!$E$10:$E$250,AT119))</f>
        <v/>
      </c>
      <c r="AX119" s="51" t="str">
        <f aca="false">IF(AU119="","",IFERROR(CHOOSE($C$9,INDEX('NOTES CE2-CM1'!$M$10:$M$250,MATCH(AU119,'NOTES CE2-CM1'!$B$10:$B$250,0)),INDEX('NOTES CE2-CM1'!$T$10:$T$250,MATCH(AU119,'NOTES CE2-CM1'!$B$10:$B$250,0)),INDEX('NOTES CE2-CM1'!$AA$10:$AA$250,MATCH(AU119,'NOTES CE2-CM1'!$B$10:$B$250,0)),INDEX('NOTES CE2-CM1'!$AH$10:$AH$250,MATCH(AU119,'NOTES CE2-CM1'!$B$10:$B$250,0))),""))</f>
        <v/>
      </c>
      <c r="AY119" s="51" t="str">
        <f aca="false">IF(ISNUMBER(AX119),AX119+(1000-79)/1000000,"")</f>
        <v/>
      </c>
      <c r="AZ119" s="51" t="str">
        <f aca="false">IF(AU119="","",IFERROR(CHOOSE($C$9,INDEX('NOTES CE2-CM1'!$G$10:$G$250,MATCH(AU119,'NOTES CE2-CM1'!$B$10:$B$250,0)),INDEX('NOTES CE2-CM1'!$N$10:$N$250,MATCH(AU119,'NOTES CE2-CM1'!$B$10:$B$250,0)),INDEX('NOTES CE2-CM1'!$U$10:$U$250,MATCH(AU119,'NOTES CE2-CM1'!$B$10:$B$250,0)),INDEX('NOTES CE2-CM1'!$AB$10:$AB$250,MATCH(AU119,'NOTES CE2-CM1'!$B$10:$B$250,0))),""))</f>
        <v/>
      </c>
      <c r="BA119" s="51" t="str">
        <f aca="false">IFERROR(MATCH("CM1-79",'REGISTRE ELEVES'!$AG$10:$AG$250,0),"")</f>
        <v/>
      </c>
      <c r="BB119" s="51" t="str">
        <f aca="false">IF(BA119="","",INDEX('REGISTRE ELEVES'!$B$10:$B$250,BA119))</f>
        <v/>
      </c>
      <c r="BC119" s="51" t="str">
        <f aca="false">IF(BA119="","",INDEX('REGISTRE ELEVES'!$D$10:$D$250,BA119))</f>
        <v/>
      </c>
      <c r="BD119" s="51" t="str">
        <f aca="false">IF(BA119="","",INDEX('REGISTRE ELEVES'!$E$10:$E$250,BA119))</f>
        <v/>
      </c>
      <c r="BE119" s="51" t="str">
        <f aca="false">IF(BB119="","",IFERROR(CHOOSE($C$9,INDEX('NOTES CE2-CM1'!$M$10:$M$250,MATCH(BB119,'NOTES CE2-CM1'!$B$10:$B$250,0)),INDEX('NOTES CE2-CM1'!$T$10:$T$250,MATCH(BB119,'NOTES CE2-CM1'!$B$10:$B$250,0)),INDEX('NOTES CE2-CM1'!$AA$10:$AA$250,MATCH(BB119,'NOTES CE2-CM1'!$B$10:$B$250,0)),INDEX('NOTES CE2-CM1'!$AH$10:$AH$250,MATCH(BB119,'NOTES CE2-CM1'!$B$10:$B$250,0))),""))</f>
        <v/>
      </c>
      <c r="BF119" s="51" t="str">
        <f aca="false">IF(ISNUMBER(BE119),BE119+(1000-79)/1000000,"")</f>
        <v/>
      </c>
      <c r="BG119" s="51" t="str">
        <f aca="false">IF(BB119="","",IFERROR(CHOOSE($C$9,INDEX('NOTES CE2-CM1'!$G$10:$G$250,MATCH(BB119,'NOTES CE2-CM1'!$B$10:$B$250,0)),INDEX('NOTES CE2-CM1'!$N$10:$N$250,MATCH(BB119,'NOTES CE2-CM1'!$B$10:$B$250,0)),INDEX('NOTES CE2-CM1'!$U$10:$U$250,MATCH(BB119,'NOTES CE2-CM1'!$B$10:$B$250,0)),INDEX('NOTES CE2-CM1'!$AB$10:$AB$250,MATCH(BB119,'NOTES CE2-CM1'!$B$10:$B$250,0))),""))</f>
        <v/>
      </c>
      <c r="BH119" s="51" t="str">
        <f aca="false">IFERROR(MATCH("CM2-79",'REGISTRE ELEVES'!$AG$10:$AG$250,0),"")</f>
        <v/>
      </c>
      <c r="BI119" s="51" t="str">
        <f aca="false">IF(BH119="","",INDEX('REGISTRE ELEVES'!$B$10:$B$250,BH119))</f>
        <v/>
      </c>
      <c r="BJ119" s="51" t="str">
        <f aca="false">IF(BH119="","",INDEX('REGISTRE ELEVES'!$D$10:$D$250,BH119))</f>
        <v/>
      </c>
      <c r="BK119" s="51" t="str">
        <f aca="false">IF(BH119="","",INDEX('REGISTRE ELEVES'!$E$10:$E$250,BH119))</f>
        <v/>
      </c>
      <c r="BL119" s="51" t="str">
        <f aca="false">IF(BI119="","",IFERROR(CHOOSE($C$9,INDEX('NOTES CM2'!$M$10:$M$250,MATCH(BI119,'NOTES CM2'!$B$10:$B$250,0)),INDEX('NOTES CM2'!$T$10:$T$250,MATCH(BI119,'NOTES CM2'!$B$10:$B$250,0)),INDEX('NOTES CM2'!$AB$10:$AB$250,MATCH(BI119,'NOTES CM2'!$B$10:$B$250,0)),INDEX('NOTES CM2'!$AJ$10:$AJ$250,MATCH(BI119,'NOTES CM2'!$B$10:$B$250,0))),""))</f>
        <v/>
      </c>
      <c r="BM119" s="51" t="str">
        <f aca="false">IF(ISNUMBER(BL119),BL119+(1000-79)/1000000,"")</f>
        <v/>
      </c>
      <c r="BN119" s="51" t="str">
        <f aca="false">IF(BI119="","",IFERROR(CHOOSE($C$9,INDEX('NOTES CM2'!$G$10:$G$250,MATCH(BI119,'NOTES CM2'!$B$10:$B$250,0)),INDEX('NOTES CM2'!$N$10:$N$250,MATCH(BI119,'NOTES CM2'!$B$10:$B$250,0)),INDEX('NOTES CM2'!$U$10:$U$250,MATCH(BI119,'NOTES CM2'!$B$10:$B$250,0)),INDEX('NOTES CM2'!$AC$10:$AC$250,MATCH(BI119,'NOTES CM2'!$B$10:$B$250,0))),""))</f>
        <v/>
      </c>
    </row>
    <row r="120" customFormat="false" ht="15" hidden="false" customHeight="false" outlineLevel="0" collapsed="false">
      <c r="Y120" s="51" t="str">
        <f aca="false">IFERROR(MATCH("CP1-80",'REGISTRE ELEVES'!$AG$10:$AG$250,0),"")</f>
        <v/>
      </c>
      <c r="Z120" s="51" t="str">
        <f aca="false">IF(Y120="","",INDEX('REGISTRE ELEVES'!$B$10:$B$250,Y120))</f>
        <v/>
      </c>
      <c r="AA120" s="51" t="str">
        <f aca="false">IF(Y120="","",INDEX('REGISTRE ELEVES'!$D$10:$D$250,Y120))</f>
        <v/>
      </c>
      <c r="AB120" s="51" t="str">
        <f aca="false">IF(Y120="","",INDEX('REGISTRE ELEVES'!$E$10:$E$250,Y120))</f>
        <v/>
      </c>
      <c r="AC120" s="51" t="str">
        <f aca="false">IF(Z120="","",IFERROR(CHOOSE($C$9,INDEX('NOTES CP'!$P$10:$P$250,MATCH(Z120,'NOTES CP'!$B$10:$B$250,0)),INDEX('NOTES CP'!$Z$10:$Z$250,MATCH(Z120,'NOTES CP'!$B$10:$B$250,0)),INDEX('NOTES CP'!$AJ$10:$AJ$250,MATCH(Z120,'NOTES CP'!$B$10:$B$250,0)),INDEX('NOTES CP'!$AT$10:$AT$250,MATCH(Z120,'NOTES CP'!$B$10:$B$250,0))),""))</f>
        <v/>
      </c>
      <c r="AD120" s="51" t="str">
        <f aca="false">IF(ISNUMBER(AC120),AC120+(1000-80)/1000000,"")</f>
        <v/>
      </c>
      <c r="AE120" s="51" t="str">
        <f aca="false">IF(Z120="","",IFERROR(CHOOSE($C$9,INDEX('NOTES CP'!$G$10:$G$250,MATCH(Z120,'NOTES CP'!$B$10:$B$250,0)),INDEX('NOTES CP'!$Q$10:$Q$250,MATCH(Z120,'NOTES CP'!$B$10:$B$250,0)),INDEX('NOTES CP'!$AA$10:$AA$250,MATCH(Z120,'NOTES CP'!$B$10:$B$250,0)),INDEX('NOTES CP'!$AK$10:$AK$250,MATCH(Z120,'NOTES CP'!$B$10:$B$250,0))),""))</f>
        <v/>
      </c>
      <c r="AF120" s="51" t="str">
        <f aca="false">IFERROR(MATCH("CP2-80",'REGISTRE ELEVES'!$AG$10:$AG$250,0),"")</f>
        <v/>
      </c>
      <c r="AG120" s="51" t="str">
        <f aca="false">IF(AF120="","",INDEX('REGISTRE ELEVES'!$B$10:$B$250,AF120))</f>
        <v/>
      </c>
      <c r="AH120" s="51" t="str">
        <f aca="false">IF(AF120="","",INDEX('REGISTRE ELEVES'!$D$10:$D$250,AF120))</f>
        <v/>
      </c>
      <c r="AI120" s="51" t="str">
        <f aca="false">IF(AF120="","",INDEX('REGISTRE ELEVES'!$E$10:$E$250,AF120))</f>
        <v/>
      </c>
      <c r="AJ120" s="51" t="str">
        <f aca="false">IF(AG120="","",IFERROR(CHOOSE($C$9,INDEX('NOTES CP'!$P$10:$P$250,MATCH(AG120,'NOTES CP'!$B$10:$B$250,0)),INDEX('NOTES CP'!$Z$10:$Z$250,MATCH(AG120,'NOTES CP'!$B$10:$B$250,0)),INDEX('NOTES CP'!$AJ$10:$AJ$250,MATCH(AG120,'NOTES CP'!$B$10:$B$250,0)),INDEX('NOTES CP'!$AT$10:$AT$250,MATCH(AG120,'NOTES CP'!$B$10:$B$250,0))),""))</f>
        <v/>
      </c>
      <c r="AK120" s="51" t="str">
        <f aca="false">IF(ISNUMBER(AJ120),AJ120+(1000-80)/1000000,"")</f>
        <v/>
      </c>
      <c r="AL120" s="51" t="str">
        <f aca="false">IF(AG120="","",IFERROR(CHOOSE($C$9,INDEX('NOTES CP'!$G$10:$G$250,MATCH(AG120,'NOTES CP'!$B$10:$B$250,0)),INDEX('NOTES CP'!$Q$10:$Q$250,MATCH(AG120,'NOTES CP'!$B$10:$B$250,0)),INDEX('NOTES CP'!$AA$10:$AA$250,MATCH(AG120,'NOTES CP'!$B$10:$B$250,0)),INDEX('NOTES CP'!$AK$10:$AK$250,MATCH(AG120,'NOTES CP'!$B$10:$B$250,0))),""))</f>
        <v/>
      </c>
      <c r="AM120" s="51" t="str">
        <f aca="false">IFERROR(MATCH("CE1-80",'REGISTRE ELEVES'!$AG$10:$AG$250,0),"")</f>
        <v/>
      </c>
      <c r="AN120" s="51" t="str">
        <f aca="false">IF(AM120="","",INDEX('REGISTRE ELEVES'!$B$10:$B$250,AM120))</f>
        <v/>
      </c>
      <c r="AO120" s="51" t="str">
        <f aca="false">IF(AM120="","",INDEX('REGISTRE ELEVES'!$D$10:$D$250,AM120))</f>
        <v/>
      </c>
      <c r="AP120" s="51" t="str">
        <f aca="false">IF(AM120="","",INDEX('REGISTRE ELEVES'!$E$10:$E$250,AM120))</f>
        <v/>
      </c>
      <c r="AQ120" s="51" t="str">
        <f aca="false">IF(AN120="","",IFERROR(CHOOSE($C$9,INDEX('NOTES CE1'!$M$10:$M$250,MATCH(AN120,'NOTES CE1'!$B$10:$B$250,0)),INDEX('NOTES CE1'!$T$10:$T$250,MATCH(AN120,'NOTES CE1'!$B$10:$B$250,0)),INDEX('NOTES CE1'!$AA$10:$AA$250,MATCH(AN120,'NOTES CE1'!$B$10:$B$250,0)),INDEX('NOTES CE1'!$AH$10:$AH$250,MATCH(AN120,'NOTES CE1'!$B$10:$B$250,0))),""))</f>
        <v/>
      </c>
      <c r="AR120" s="51" t="str">
        <f aca="false">IF(ISNUMBER(AQ120),AQ120+(1000-80)/1000000,"")</f>
        <v/>
      </c>
      <c r="AS120" s="51" t="str">
        <f aca="false">IF(AN120="","",IFERROR(CHOOSE($C$9,INDEX('NOTES CE1'!$G$10:$G$250,MATCH(AN120,'NOTES CE1'!$B$10:$B$250,0)),INDEX('NOTES CE1'!$N$10:$N$250,MATCH(AN120,'NOTES CE1'!$B$10:$B$250,0)),INDEX('NOTES CE1'!$U$10:$U$250,MATCH(AN120,'NOTES CE1'!$B$10:$B$250,0)),INDEX('NOTES CE1'!$AB$10:$AB$250,MATCH(AN120,'NOTES CE1'!$B$10:$B$250,0))),""))</f>
        <v/>
      </c>
      <c r="AT120" s="51" t="str">
        <f aca="false">IFERROR(MATCH("CE2-80",'REGISTRE ELEVES'!$AG$10:$AG$250,0),"")</f>
        <v/>
      </c>
      <c r="AU120" s="51" t="str">
        <f aca="false">IF(AT120="","",INDEX('REGISTRE ELEVES'!$B$10:$B$250,AT120))</f>
        <v/>
      </c>
      <c r="AV120" s="51" t="str">
        <f aca="false">IF(AT120="","",INDEX('REGISTRE ELEVES'!$D$10:$D$250,AT120))</f>
        <v/>
      </c>
      <c r="AW120" s="51" t="str">
        <f aca="false">IF(AT120="","",INDEX('REGISTRE ELEVES'!$E$10:$E$250,AT120))</f>
        <v/>
      </c>
      <c r="AX120" s="51" t="str">
        <f aca="false">IF(AU120="","",IFERROR(CHOOSE($C$9,INDEX('NOTES CE2-CM1'!$M$10:$M$250,MATCH(AU120,'NOTES CE2-CM1'!$B$10:$B$250,0)),INDEX('NOTES CE2-CM1'!$T$10:$T$250,MATCH(AU120,'NOTES CE2-CM1'!$B$10:$B$250,0)),INDEX('NOTES CE2-CM1'!$AA$10:$AA$250,MATCH(AU120,'NOTES CE2-CM1'!$B$10:$B$250,0)),INDEX('NOTES CE2-CM1'!$AH$10:$AH$250,MATCH(AU120,'NOTES CE2-CM1'!$B$10:$B$250,0))),""))</f>
        <v/>
      </c>
      <c r="AY120" s="51" t="str">
        <f aca="false">IF(ISNUMBER(AX120),AX120+(1000-80)/1000000,"")</f>
        <v/>
      </c>
      <c r="AZ120" s="51" t="str">
        <f aca="false">IF(AU120="","",IFERROR(CHOOSE($C$9,INDEX('NOTES CE2-CM1'!$G$10:$G$250,MATCH(AU120,'NOTES CE2-CM1'!$B$10:$B$250,0)),INDEX('NOTES CE2-CM1'!$N$10:$N$250,MATCH(AU120,'NOTES CE2-CM1'!$B$10:$B$250,0)),INDEX('NOTES CE2-CM1'!$U$10:$U$250,MATCH(AU120,'NOTES CE2-CM1'!$B$10:$B$250,0)),INDEX('NOTES CE2-CM1'!$AB$10:$AB$250,MATCH(AU120,'NOTES CE2-CM1'!$B$10:$B$250,0))),""))</f>
        <v/>
      </c>
      <c r="BA120" s="51" t="str">
        <f aca="false">IFERROR(MATCH("CM1-80",'REGISTRE ELEVES'!$AG$10:$AG$250,0),"")</f>
        <v/>
      </c>
      <c r="BB120" s="51" t="str">
        <f aca="false">IF(BA120="","",INDEX('REGISTRE ELEVES'!$B$10:$B$250,BA120))</f>
        <v/>
      </c>
      <c r="BC120" s="51" t="str">
        <f aca="false">IF(BA120="","",INDEX('REGISTRE ELEVES'!$D$10:$D$250,BA120))</f>
        <v/>
      </c>
      <c r="BD120" s="51" t="str">
        <f aca="false">IF(BA120="","",INDEX('REGISTRE ELEVES'!$E$10:$E$250,BA120))</f>
        <v/>
      </c>
      <c r="BE120" s="51" t="str">
        <f aca="false">IF(BB120="","",IFERROR(CHOOSE($C$9,INDEX('NOTES CE2-CM1'!$M$10:$M$250,MATCH(BB120,'NOTES CE2-CM1'!$B$10:$B$250,0)),INDEX('NOTES CE2-CM1'!$T$10:$T$250,MATCH(BB120,'NOTES CE2-CM1'!$B$10:$B$250,0)),INDEX('NOTES CE2-CM1'!$AA$10:$AA$250,MATCH(BB120,'NOTES CE2-CM1'!$B$10:$B$250,0)),INDEX('NOTES CE2-CM1'!$AH$10:$AH$250,MATCH(BB120,'NOTES CE2-CM1'!$B$10:$B$250,0))),""))</f>
        <v/>
      </c>
      <c r="BF120" s="51" t="str">
        <f aca="false">IF(ISNUMBER(BE120),BE120+(1000-80)/1000000,"")</f>
        <v/>
      </c>
      <c r="BG120" s="51" t="str">
        <f aca="false">IF(BB120="","",IFERROR(CHOOSE($C$9,INDEX('NOTES CE2-CM1'!$G$10:$G$250,MATCH(BB120,'NOTES CE2-CM1'!$B$10:$B$250,0)),INDEX('NOTES CE2-CM1'!$N$10:$N$250,MATCH(BB120,'NOTES CE2-CM1'!$B$10:$B$250,0)),INDEX('NOTES CE2-CM1'!$U$10:$U$250,MATCH(BB120,'NOTES CE2-CM1'!$B$10:$B$250,0)),INDEX('NOTES CE2-CM1'!$AB$10:$AB$250,MATCH(BB120,'NOTES CE2-CM1'!$B$10:$B$250,0))),""))</f>
        <v/>
      </c>
      <c r="BH120" s="51" t="str">
        <f aca="false">IFERROR(MATCH("CM2-80",'REGISTRE ELEVES'!$AG$10:$AG$250,0),"")</f>
        <v/>
      </c>
      <c r="BI120" s="51" t="str">
        <f aca="false">IF(BH120="","",INDEX('REGISTRE ELEVES'!$B$10:$B$250,BH120))</f>
        <v/>
      </c>
      <c r="BJ120" s="51" t="str">
        <f aca="false">IF(BH120="","",INDEX('REGISTRE ELEVES'!$D$10:$D$250,BH120))</f>
        <v/>
      </c>
      <c r="BK120" s="51" t="str">
        <f aca="false">IF(BH120="","",INDEX('REGISTRE ELEVES'!$E$10:$E$250,BH120))</f>
        <v/>
      </c>
      <c r="BL120" s="51" t="str">
        <f aca="false">IF(BI120="","",IFERROR(CHOOSE($C$9,INDEX('NOTES CM2'!$M$10:$M$250,MATCH(BI120,'NOTES CM2'!$B$10:$B$250,0)),INDEX('NOTES CM2'!$T$10:$T$250,MATCH(BI120,'NOTES CM2'!$B$10:$B$250,0)),INDEX('NOTES CM2'!$AB$10:$AB$250,MATCH(BI120,'NOTES CM2'!$B$10:$B$250,0)),INDEX('NOTES CM2'!$AJ$10:$AJ$250,MATCH(BI120,'NOTES CM2'!$B$10:$B$250,0))),""))</f>
        <v/>
      </c>
      <c r="BM120" s="51" t="str">
        <f aca="false">IF(ISNUMBER(BL120),BL120+(1000-80)/1000000,"")</f>
        <v/>
      </c>
      <c r="BN120" s="51" t="str">
        <f aca="false">IF(BI120="","",IFERROR(CHOOSE($C$9,INDEX('NOTES CM2'!$G$10:$G$250,MATCH(BI120,'NOTES CM2'!$B$10:$B$250,0)),INDEX('NOTES CM2'!$N$10:$N$250,MATCH(BI120,'NOTES CM2'!$B$10:$B$250,0)),INDEX('NOTES CM2'!$U$10:$U$250,MATCH(BI120,'NOTES CM2'!$B$10:$B$250,0)),INDEX('NOTES CM2'!$AC$10:$AC$250,MATCH(BI120,'NOTES CM2'!$B$10:$B$250,0))),""))</f>
        <v/>
      </c>
    </row>
  </sheetData>
  <mergeCells count="70">
    <mergeCell ref="A1:K1"/>
    <mergeCell ref="L1:V1"/>
    <mergeCell ref="A2:K2"/>
    <mergeCell ref="L2:V2"/>
    <mergeCell ref="A3:K3"/>
    <mergeCell ref="L3:V3"/>
    <mergeCell ref="A4:K4"/>
    <mergeCell ref="A6:V6"/>
    <mergeCell ref="A7:V7"/>
    <mergeCell ref="F9:H9"/>
    <mergeCell ref="J9:V9"/>
    <mergeCell ref="A11:V11"/>
    <mergeCell ref="A13:A14"/>
    <mergeCell ref="B13:D13"/>
    <mergeCell ref="E13:G13"/>
    <mergeCell ref="H13:J13"/>
    <mergeCell ref="K13:M13"/>
    <mergeCell ref="N13:P13"/>
    <mergeCell ref="Q13:S13"/>
    <mergeCell ref="T13:V13"/>
    <mergeCell ref="A22:V22"/>
    <mergeCell ref="B23:H23"/>
    <mergeCell ref="I23:O23"/>
    <mergeCell ref="P23:V23"/>
    <mergeCell ref="B24:F24"/>
    <mergeCell ref="G24:H24"/>
    <mergeCell ref="I24:M24"/>
    <mergeCell ref="N24:O24"/>
    <mergeCell ref="P24:T24"/>
    <mergeCell ref="U24:V24"/>
    <mergeCell ref="B25:F25"/>
    <mergeCell ref="G25:H25"/>
    <mergeCell ref="I25:M25"/>
    <mergeCell ref="N25:O25"/>
    <mergeCell ref="P25:T25"/>
    <mergeCell ref="U25:V25"/>
    <mergeCell ref="B26:F26"/>
    <mergeCell ref="G26:H26"/>
    <mergeCell ref="I26:M26"/>
    <mergeCell ref="N26:O26"/>
    <mergeCell ref="P26:T26"/>
    <mergeCell ref="U26:V26"/>
    <mergeCell ref="B27:F27"/>
    <mergeCell ref="G27:H27"/>
    <mergeCell ref="I27:M27"/>
    <mergeCell ref="N27:O27"/>
    <mergeCell ref="P27:T27"/>
    <mergeCell ref="U27:V27"/>
    <mergeCell ref="B28:F28"/>
    <mergeCell ref="G28:H28"/>
    <mergeCell ref="I28:M28"/>
    <mergeCell ref="N28:O28"/>
    <mergeCell ref="P28:T28"/>
    <mergeCell ref="U28:V28"/>
    <mergeCell ref="B29:F29"/>
    <mergeCell ref="G29:H29"/>
    <mergeCell ref="I29:M29"/>
    <mergeCell ref="N29:O29"/>
    <mergeCell ref="P29:T29"/>
    <mergeCell ref="U29:V29"/>
    <mergeCell ref="B30:F30"/>
    <mergeCell ref="G30:H30"/>
    <mergeCell ref="I30:M30"/>
    <mergeCell ref="N30:O30"/>
    <mergeCell ref="P30:T30"/>
    <mergeCell ref="U30:V30"/>
    <mergeCell ref="A33:V36"/>
    <mergeCell ref="B38:P38"/>
    <mergeCell ref="Q38:V38"/>
    <mergeCell ref="Q42:V42"/>
  </mergeCells>
  <conditionalFormatting sqref="B19:V19">
    <cfRule type="cellIs" priority="2" operator="lessThan" aboveAverage="0" equalAverage="0" bottom="0" percent="0" rank="0" text="" dxfId="27">
      <formula>0.5</formula>
    </cfRule>
    <cfRule type="cellIs" priority="3" operator="greaterThanOrEqual" aboveAverage="0" equalAverage="0" bottom="0" percent="0" rank="0" text="" dxfId="44">
      <formula>0.75</formula>
    </cfRule>
  </conditionalFormatting>
  <conditionalFormatting sqref="B17:V17">
    <cfRule type="cellIs" priority="4" operator="greaterThan" aboveAverage="0" equalAverage="0" bottom="0" percent="0" rank="0" text="" dxfId="27">
      <formula>0</formula>
    </cfRule>
  </conditionalFormatting>
  <dataValidations count="1">
    <dataValidation allowBlank="false" error="1, 2, 3 ou 4 (4 = composition de passage)" errorStyle="stop" errorTitle="Composition" operator="between" showDropDown="false" showErrorMessage="true" showInputMessage="false" sqref="C9" type="list">
      <formula1>"1,2,3,4"</formula1>
      <formula2>0</formula2>
    </dataValidation>
  </dataValidations>
  <printOptions headings="false" gridLines="false" gridLinesSet="true" horizontalCentered="true" verticalCentered="false"/>
  <pageMargins left="0.309722222222222" right="0.309722222222222" top="0.470138888888889" bottom="0.470138888888889"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drawing r:id="rIdBtn"/>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Feuil14" filterMode="false">
    <tabColor rgb="FF1E8449"/>
    <pageSetUpPr fitToPage="true"/>
  </sheetPr>
  <dimension ref="A1:V4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1" min="1" style="0" width="9"/>
    <col collapsed="false" customWidth="true" hidden="false" outlineLevel="0" max="22" min="2" style="0" width="5.4"/>
  </cols>
  <sheetData>
    <row r="1" customFormat="false" ht="15" hidden="false" customHeight="true" outlineLevel="0" collapsed="false">
      <c r="A1" s="47" t="str">
        <f aca="false">PARAMETRES!$C$4</f>
        <v>MINISTERE DE L'EDUCATION NATIONALE ET DE L'ALPHABETISATION</v>
      </c>
      <c r="B1" s="47"/>
      <c r="C1" s="47"/>
      <c r="D1" s="47"/>
      <c r="E1" s="47"/>
      <c r="F1" s="47"/>
      <c r="G1" s="47"/>
      <c r="H1" s="47"/>
      <c r="I1" s="47"/>
      <c r="J1" s="47"/>
      <c r="K1" s="47"/>
      <c r="L1" s="47" t="s">
        <v>115</v>
      </c>
      <c r="M1" s="47"/>
      <c r="N1" s="47"/>
      <c r="O1" s="47"/>
      <c r="P1" s="47"/>
      <c r="Q1" s="47"/>
      <c r="R1" s="47"/>
      <c r="S1" s="47"/>
      <c r="T1" s="47"/>
      <c r="U1" s="47"/>
      <c r="V1" s="47"/>
    </row>
    <row r="2" customFormat="false" ht="15" hidden="false" customHeight="true" outlineLevel="0" collapsed="false">
      <c r="A2" s="48" t="str">
        <f aca="false">PARAMETRES!$C$5</f>
        <v>DIRECTION REGIONALE DE L'EDUCATION NATIONALE DE GAGNOA</v>
      </c>
      <c r="B2" s="48"/>
      <c r="C2" s="48"/>
      <c r="D2" s="48"/>
      <c r="E2" s="48"/>
      <c r="F2" s="48"/>
      <c r="G2" s="48"/>
      <c r="H2" s="48"/>
      <c r="I2" s="48"/>
      <c r="J2" s="48"/>
      <c r="K2" s="48"/>
      <c r="L2" s="48" t="s">
        <v>116</v>
      </c>
      <c r="M2" s="48"/>
      <c r="N2" s="48"/>
      <c r="O2" s="48"/>
      <c r="P2" s="48"/>
      <c r="Q2" s="48"/>
      <c r="R2" s="48"/>
      <c r="S2" s="48"/>
      <c r="T2" s="48"/>
      <c r="U2" s="48"/>
      <c r="V2" s="48"/>
    </row>
    <row r="3" customFormat="false" ht="15" hidden="false" customHeight="false" outlineLevel="0" collapsed="false">
      <c r="A3" s="47" t="str">
        <f aca="false">PARAMETRES!$C$6</f>
        <v>IEPP GAGNOA 2</v>
      </c>
      <c r="B3" s="47"/>
      <c r="C3" s="47"/>
      <c r="D3" s="47"/>
      <c r="E3" s="47"/>
      <c r="F3" s="47"/>
      <c r="G3" s="47"/>
      <c r="H3" s="47"/>
      <c r="I3" s="47"/>
      <c r="J3" s="47"/>
      <c r="K3" s="47"/>
      <c r="L3" s="47" t="str">
        <f aca="false">"ANNEE SCOLAIRE : "&amp;PARAMETRES!$C$9</f>
        <v>ANNEE SCOLAIRE : 2026-2027</v>
      </c>
      <c r="M3" s="47"/>
      <c r="N3" s="47"/>
      <c r="O3" s="47"/>
      <c r="P3" s="47"/>
      <c r="Q3" s="47"/>
      <c r="R3" s="47"/>
      <c r="S3" s="47"/>
      <c r="T3" s="47"/>
      <c r="U3" s="47"/>
      <c r="V3" s="47"/>
    </row>
    <row r="4" customFormat="false" ht="15" hidden="false" customHeight="false" outlineLevel="0" collapsed="false">
      <c r="A4" s="48" t="str">
        <f aca="false">PARAMETRES!$C$7&amp;"  -  Code : "&amp;PARAMETRES!$C$8</f>
        <v>EPP LIGUIYO  -  Code : EPP-GAG-0123</v>
      </c>
      <c r="B4" s="48"/>
      <c r="C4" s="48"/>
      <c r="D4" s="48"/>
      <c r="E4" s="48"/>
      <c r="F4" s="48"/>
      <c r="G4" s="48"/>
      <c r="H4" s="48"/>
      <c r="I4" s="48"/>
      <c r="J4" s="48"/>
      <c r="K4" s="48"/>
      <c r="L4" s="49"/>
    </row>
    <row r="6" customFormat="false" ht="27.75" hidden="false" customHeight="true" outlineLevel="0" collapsed="false">
      <c r="A6" s="30" t="s">
        <v>711</v>
      </c>
      <c r="B6" s="30"/>
      <c r="C6" s="30"/>
      <c r="D6" s="30"/>
      <c r="E6" s="30"/>
      <c r="F6" s="30"/>
      <c r="G6" s="30"/>
      <c r="H6" s="30"/>
      <c r="I6" s="30"/>
      <c r="J6" s="30"/>
      <c r="K6" s="30"/>
      <c r="L6" s="30"/>
      <c r="M6" s="30"/>
      <c r="N6" s="30"/>
      <c r="O6" s="30"/>
      <c r="P6" s="30"/>
      <c r="Q6" s="30"/>
      <c r="R6" s="30"/>
      <c r="S6" s="30"/>
      <c r="T6" s="30"/>
      <c r="U6" s="30"/>
      <c r="V6" s="30"/>
    </row>
    <row r="7" customFormat="false" ht="15" hidden="false" customHeight="false" outlineLevel="0" collapsed="false">
      <c r="A7" s="91" t="str">
        <f aca="false">"SECTEUR : "&amp;PARAMETRES!$C$15&amp;"          ECOLE : "&amp;PARAMETRES!$C$7&amp;"          IEPP : "&amp;PARAMETRES!$C$6</f>
        <v>SECTEUR : SECTEUR 3          ECOLE : EPP LIGUIYO          IEPP : IEPP GAGNOA 2</v>
      </c>
      <c r="B7" s="91"/>
      <c r="C7" s="91"/>
      <c r="D7" s="91"/>
      <c r="E7" s="91"/>
      <c r="F7" s="91"/>
      <c r="G7" s="91"/>
      <c r="H7" s="91"/>
      <c r="I7" s="91"/>
      <c r="J7" s="91"/>
      <c r="K7" s="91"/>
      <c r="L7" s="91"/>
      <c r="M7" s="91"/>
      <c r="N7" s="91"/>
      <c r="O7" s="91"/>
      <c r="P7" s="91"/>
      <c r="Q7" s="91"/>
      <c r="R7" s="91"/>
      <c r="S7" s="91"/>
      <c r="T7" s="91"/>
      <c r="U7" s="91"/>
      <c r="V7" s="91"/>
    </row>
    <row r="9" customFormat="false" ht="19.5" hidden="false" customHeight="true" outlineLevel="0" collapsed="false">
      <c r="A9" s="111" t="s">
        <v>712</v>
      </c>
      <c r="B9" s="111"/>
      <c r="C9" s="111"/>
      <c r="D9" s="111"/>
      <c r="E9" s="111"/>
      <c r="F9" s="111"/>
      <c r="G9" s="111"/>
      <c r="H9" s="111"/>
      <c r="I9" s="111"/>
      <c r="J9" s="111"/>
      <c r="K9" s="111"/>
      <c r="L9" s="111"/>
      <c r="M9" s="111"/>
      <c r="N9" s="111"/>
      <c r="O9" s="111"/>
      <c r="P9" s="111"/>
      <c r="Q9" s="111"/>
      <c r="R9" s="111"/>
      <c r="S9" s="111"/>
      <c r="T9" s="111"/>
      <c r="U9" s="111"/>
      <c r="V9" s="111"/>
    </row>
    <row r="10" customFormat="false" ht="30" hidden="false" customHeight="true" outlineLevel="0" collapsed="false">
      <c r="A10" s="93" t="s">
        <v>120</v>
      </c>
      <c r="B10" s="93" t="s">
        <v>713</v>
      </c>
      <c r="C10" s="93"/>
      <c r="D10" s="93"/>
      <c r="E10" s="93"/>
      <c r="F10" s="93"/>
      <c r="G10" s="93" t="s">
        <v>714</v>
      </c>
      <c r="H10" s="93"/>
      <c r="I10" s="93" t="s">
        <v>715</v>
      </c>
      <c r="J10" s="93"/>
      <c r="K10" s="93"/>
      <c r="L10" s="93"/>
      <c r="M10" s="93" t="s">
        <v>716</v>
      </c>
      <c r="N10" s="93" t="s">
        <v>717</v>
      </c>
      <c r="O10" s="93"/>
      <c r="P10" s="93"/>
      <c r="Q10" s="93" t="s">
        <v>718</v>
      </c>
      <c r="R10" s="93"/>
      <c r="S10" s="93" t="s">
        <v>719</v>
      </c>
      <c r="T10" s="93"/>
      <c r="U10" s="93"/>
      <c r="V10" s="93"/>
    </row>
    <row r="11" customFormat="false" ht="15" hidden="false" customHeight="false" outlineLevel="0" collapsed="false">
      <c r="A11" s="45" t="n">
        <f aca="false">IF(PERSONNEL!C10="","",1)</f>
        <v>1</v>
      </c>
      <c r="B11" s="74" t="str">
        <f aca="false">IF(PERSONNEL!C10="","",PERSONNEL!C10)</f>
        <v>KOUAME Kouadio Ernest</v>
      </c>
      <c r="C11" s="74"/>
      <c r="D11" s="74"/>
      <c r="E11" s="74"/>
      <c r="F11" s="74"/>
      <c r="G11" s="45" t="str">
        <f aca="false">IF(PERSONNEL!C10="","",PERSONNEL!B10)</f>
        <v>860627D</v>
      </c>
      <c r="H11" s="45"/>
      <c r="I11" s="74" t="str">
        <f aca="false">IF(PERSONNEL!C10="","",PERSONNEL!G10)</f>
        <v>DIRECTEUR</v>
      </c>
      <c r="J11" s="74"/>
      <c r="K11" s="74"/>
      <c r="L11" s="74"/>
      <c r="M11" s="45" t="str">
        <f aca="false">IF(PERSONNEL!C10="","",IF(PERSONNEL!D10="M","H","F"))</f>
        <v>H</v>
      </c>
      <c r="N11" s="74" t="str">
        <f aca="false">IF(PERSONNEL!C10="","",PERSONNEL!H10)</f>
        <v>IO / A3</v>
      </c>
      <c r="O11" s="74"/>
      <c r="P11" s="74"/>
      <c r="Q11" s="45" t="str">
        <f aca="false">IF(PERSONNEL!C10="","",PERSONNEL!I10)</f>
        <v>-</v>
      </c>
      <c r="R11" s="45"/>
      <c r="S11" s="45" t="str">
        <f aca="false">IF(PERSONNEL!C10="","",PERSONNEL!N10)</f>
        <v>07 30 90 80 35</v>
      </c>
      <c r="T11" s="45"/>
      <c r="U11" s="45"/>
      <c r="V11" s="45"/>
    </row>
    <row r="12" customFormat="false" ht="22.35" hidden="false" customHeight="false" outlineLevel="0" collapsed="false">
      <c r="A12" s="45" t="n">
        <f aca="false">IF(PERSONNEL!C11="","",2)</f>
        <v>2</v>
      </c>
      <c r="B12" s="74" t="str">
        <f aca="false">IF(PERSONNEL!C11="","",PERSONNEL!C11)</f>
        <v>N'DRI Affoué Solange</v>
      </c>
      <c r="C12" s="74"/>
      <c r="D12" s="74"/>
      <c r="E12" s="74"/>
      <c r="F12" s="74"/>
      <c r="G12" s="45" t="str">
        <f aca="false">IF(PERSONNEL!C11="","",PERSONNEL!B11)</f>
        <v>820344G</v>
      </c>
      <c r="H12" s="45"/>
      <c r="I12" s="74" t="str">
        <f aca="false">IF(PERSONNEL!C11="","",PERSONNEL!G11)</f>
        <v>INSTITUTEUR ORDINAIRE</v>
      </c>
      <c r="J12" s="74"/>
      <c r="K12" s="74"/>
      <c r="L12" s="74"/>
      <c r="M12" s="45" t="str">
        <f aca="false">IF(PERSONNEL!C11="","",IF(PERSONNEL!D11="M","H","F"))</f>
        <v>F</v>
      </c>
      <c r="N12" s="74" t="str">
        <f aca="false">IF(PERSONNEL!C11="","",PERSONNEL!H11)</f>
        <v>IO / A3</v>
      </c>
      <c r="O12" s="74"/>
      <c r="P12" s="74"/>
      <c r="Q12" s="45" t="str">
        <f aca="false">IF(PERSONNEL!C11="","",PERSONNEL!I11)</f>
        <v>CP1</v>
      </c>
      <c r="R12" s="45"/>
      <c r="S12" s="45" t="str">
        <f aca="false">IF(PERSONNEL!C11="","",PERSONNEL!N11)</f>
        <v>07 71 87 20 63</v>
      </c>
      <c r="T12" s="45"/>
      <c r="U12" s="45"/>
      <c r="V12" s="45"/>
    </row>
    <row r="13" customFormat="false" ht="15" hidden="false" customHeight="false" outlineLevel="0" collapsed="false">
      <c r="A13" s="45" t="n">
        <f aca="false">IF(PERSONNEL!C12="","",3)</f>
        <v>3</v>
      </c>
      <c r="B13" s="74" t="str">
        <f aca="false">IF(PERSONNEL!C12="","",PERSONNEL!C12)</f>
        <v>BAKAYOKO Issouf</v>
      </c>
      <c r="C13" s="74"/>
      <c r="D13" s="74"/>
      <c r="E13" s="74"/>
      <c r="F13" s="74"/>
      <c r="G13" s="45" t="str">
        <f aca="false">IF(PERSONNEL!C12="","",PERSONNEL!B12)</f>
        <v>149704B</v>
      </c>
      <c r="H13" s="45"/>
      <c r="I13" s="74" t="str">
        <f aca="false">IF(PERSONNEL!C12="","",PERSONNEL!G12)</f>
        <v>INSTITUTEUR ADJOINT</v>
      </c>
      <c r="J13" s="74"/>
      <c r="K13" s="74"/>
      <c r="L13" s="74"/>
      <c r="M13" s="45" t="str">
        <f aca="false">IF(PERSONNEL!C12="","",IF(PERSONNEL!D12="M","H","F"))</f>
        <v>H</v>
      </c>
      <c r="N13" s="74" t="str">
        <f aca="false">IF(PERSONNEL!C12="","",PERSONNEL!H12)</f>
        <v>IA / B3</v>
      </c>
      <c r="O13" s="74"/>
      <c r="P13" s="74"/>
      <c r="Q13" s="45" t="str">
        <f aca="false">IF(PERSONNEL!C12="","",PERSONNEL!I12)</f>
        <v>CP2</v>
      </c>
      <c r="R13" s="45"/>
      <c r="S13" s="45" t="str">
        <f aca="false">IF(PERSONNEL!C12="","",PERSONNEL!N12)</f>
        <v>07 23 14 75 42</v>
      </c>
      <c r="T13" s="45"/>
      <c r="U13" s="45"/>
      <c r="V13" s="45"/>
    </row>
    <row r="14" customFormat="false" ht="22.35" hidden="false" customHeight="false" outlineLevel="0" collapsed="false">
      <c r="A14" s="45" t="n">
        <f aca="false">IF(PERSONNEL!C13="","",4)</f>
        <v>4</v>
      </c>
      <c r="B14" s="74" t="str">
        <f aca="false">IF(PERSONNEL!C13="","",PERSONNEL!C13)</f>
        <v>GNAGNE Marie-Louise</v>
      </c>
      <c r="C14" s="74"/>
      <c r="D14" s="74"/>
      <c r="E14" s="74"/>
      <c r="F14" s="74"/>
      <c r="G14" s="45" t="str">
        <f aca="false">IF(PERSONNEL!C13="","",PERSONNEL!B13)</f>
        <v>349988G</v>
      </c>
      <c r="H14" s="45"/>
      <c r="I14" s="74" t="str">
        <f aca="false">IF(PERSONNEL!C13="","",PERSONNEL!G13)</f>
        <v>INSTITUTEUR ORDINAIRE</v>
      </c>
      <c r="J14" s="74"/>
      <c r="K14" s="74"/>
      <c r="L14" s="74"/>
      <c r="M14" s="45" t="str">
        <f aca="false">IF(PERSONNEL!C13="","",IF(PERSONNEL!D13="M","H","F"))</f>
        <v>F</v>
      </c>
      <c r="N14" s="74" t="str">
        <f aca="false">IF(PERSONNEL!C13="","",PERSONNEL!H13)</f>
        <v>IO / A3</v>
      </c>
      <c r="O14" s="74"/>
      <c r="P14" s="74"/>
      <c r="Q14" s="45" t="str">
        <f aca="false">IF(PERSONNEL!C13="","",PERSONNEL!I13)</f>
        <v>CE1</v>
      </c>
      <c r="R14" s="45"/>
      <c r="S14" s="45" t="str">
        <f aca="false">IF(PERSONNEL!C13="","",PERSONNEL!N13)</f>
        <v>07 42 63 86 72</v>
      </c>
      <c r="T14" s="45"/>
      <c r="U14" s="45"/>
      <c r="V14" s="45"/>
    </row>
    <row r="15" customFormat="false" ht="15" hidden="false" customHeight="false" outlineLevel="0" collapsed="false">
      <c r="A15" s="45" t="n">
        <f aca="false">IF(PERSONNEL!C14="","",5)</f>
        <v>5</v>
      </c>
      <c r="B15" s="74" t="str">
        <f aca="false">IF(PERSONNEL!C14="","",PERSONNEL!C14)</f>
        <v>YAPO Jean-Baptiste</v>
      </c>
      <c r="C15" s="74"/>
      <c r="D15" s="74"/>
      <c r="E15" s="74"/>
      <c r="F15" s="74"/>
      <c r="G15" s="45" t="str">
        <f aca="false">IF(PERSONNEL!C14="","",PERSONNEL!B14)</f>
        <v>407689C</v>
      </c>
      <c r="H15" s="45"/>
      <c r="I15" s="74" t="str">
        <f aca="false">IF(PERSONNEL!C14="","",PERSONNEL!G14)</f>
        <v>INSTITUTEUR ADJOINT</v>
      </c>
      <c r="J15" s="74"/>
      <c r="K15" s="74"/>
      <c r="L15" s="74"/>
      <c r="M15" s="45" t="str">
        <f aca="false">IF(PERSONNEL!C14="","",IF(PERSONNEL!D14="M","H","F"))</f>
        <v>H</v>
      </c>
      <c r="N15" s="74" t="str">
        <f aca="false">IF(PERSONNEL!C14="","",PERSONNEL!H14)</f>
        <v>IA / B3</v>
      </c>
      <c r="O15" s="74"/>
      <c r="P15" s="74"/>
      <c r="Q15" s="45" t="str">
        <f aca="false">IF(PERSONNEL!C14="","",PERSONNEL!I14)</f>
        <v>CE2</v>
      </c>
      <c r="R15" s="45"/>
      <c r="S15" s="45" t="str">
        <f aca="false">IF(PERSONNEL!C14="","",PERSONNEL!N14)</f>
        <v>07 18 26 39 71</v>
      </c>
      <c r="T15" s="45"/>
      <c r="U15" s="45"/>
      <c r="V15" s="45"/>
    </row>
    <row r="16" customFormat="false" ht="15" hidden="false" customHeight="false" outlineLevel="0" collapsed="false">
      <c r="A16" s="45" t="n">
        <f aca="false">IF(PERSONNEL!C15="","",6)</f>
        <v>6</v>
      </c>
      <c r="B16" s="74" t="str">
        <f aca="false">IF(PERSONNEL!C15="","",PERSONNEL!C15)</f>
        <v>TRAORE Mariam</v>
      </c>
      <c r="C16" s="74"/>
      <c r="D16" s="74"/>
      <c r="E16" s="74"/>
      <c r="F16" s="74"/>
      <c r="G16" s="45" t="str">
        <f aca="false">IF(PERSONNEL!C15="","",PERSONNEL!B15)</f>
        <v>686538B</v>
      </c>
      <c r="H16" s="45"/>
      <c r="I16" s="74" t="str">
        <f aca="false">IF(PERSONNEL!C15="","",PERSONNEL!G15)</f>
        <v>INSTITUTEUR STAGIAIRE</v>
      </c>
      <c r="J16" s="74"/>
      <c r="K16" s="74"/>
      <c r="L16" s="74"/>
      <c r="M16" s="45" t="str">
        <f aca="false">IF(PERSONNEL!C15="","",IF(PERSONNEL!D15="M","H","F"))</f>
        <v>F</v>
      </c>
      <c r="N16" s="74" t="str">
        <f aca="false">IF(PERSONNEL!C15="","",PERSONNEL!H15)</f>
        <v>IS</v>
      </c>
      <c r="O16" s="74"/>
      <c r="P16" s="74"/>
      <c r="Q16" s="45" t="str">
        <f aca="false">IF(PERSONNEL!C15="","",PERSONNEL!I15)</f>
        <v>CM1</v>
      </c>
      <c r="R16" s="45"/>
      <c r="S16" s="45" t="str">
        <f aca="false">IF(PERSONNEL!C15="","",PERSONNEL!N15)</f>
        <v>07 45 37 36 12</v>
      </c>
      <c r="T16" s="45"/>
      <c r="U16" s="45"/>
      <c r="V16" s="45"/>
    </row>
    <row r="17" customFormat="false" ht="22.35" hidden="false" customHeight="false" outlineLevel="0" collapsed="false">
      <c r="A17" s="45" t="n">
        <f aca="false">IF(PERSONNEL!C16="","",7)</f>
        <v>7</v>
      </c>
      <c r="B17" s="74" t="str">
        <f aca="false">IF(PERSONNEL!C16="","",PERSONNEL!C16)</f>
        <v>ZADI Serge Pacôme</v>
      </c>
      <c r="C17" s="74"/>
      <c r="D17" s="74"/>
      <c r="E17" s="74"/>
      <c r="F17" s="74"/>
      <c r="G17" s="45" t="str">
        <f aca="false">IF(PERSONNEL!C16="","",PERSONNEL!B16)</f>
        <v>172513E</v>
      </c>
      <c r="H17" s="45"/>
      <c r="I17" s="74" t="str">
        <f aca="false">IF(PERSONNEL!C16="","",PERSONNEL!G16)</f>
        <v>INSTITUTEUR ORDINAIRE</v>
      </c>
      <c r="J17" s="74"/>
      <c r="K17" s="74"/>
      <c r="L17" s="74"/>
      <c r="M17" s="45" t="str">
        <f aca="false">IF(PERSONNEL!C16="","",IF(PERSONNEL!D16="M","H","F"))</f>
        <v>H</v>
      </c>
      <c r="N17" s="74" t="str">
        <f aca="false">IF(PERSONNEL!C16="","",PERSONNEL!H16)</f>
        <v>IO / A3</v>
      </c>
      <c r="O17" s="74"/>
      <c r="P17" s="74"/>
      <c r="Q17" s="45" t="str">
        <f aca="false">IF(PERSONNEL!C16="","",PERSONNEL!I16)</f>
        <v>CM2</v>
      </c>
      <c r="R17" s="45"/>
      <c r="S17" s="45" t="str">
        <f aca="false">IF(PERSONNEL!C16="","",PERSONNEL!N16)</f>
        <v>07 62 67 41 17</v>
      </c>
      <c r="T17" s="45"/>
      <c r="U17" s="45"/>
      <c r="V17" s="45"/>
    </row>
    <row r="18" customFormat="false" ht="15" hidden="false" customHeight="false" outlineLevel="0" collapsed="false">
      <c r="A18" s="45" t="n">
        <f aca="false">IF(PERSONNEL!C17="","",8)</f>
        <v>8</v>
      </c>
      <c r="B18" s="74" t="str">
        <f aca="false">IF(PERSONNEL!C17="","",PERSONNEL!C17)</f>
        <v>KONE Drissa</v>
      </c>
      <c r="C18" s="74"/>
      <c r="D18" s="74"/>
      <c r="E18" s="74"/>
      <c r="F18" s="74"/>
      <c r="G18" s="45" t="str">
        <f aca="false">IF(PERSONNEL!C17="","",PERSONNEL!B17)</f>
        <v>148861C</v>
      </c>
      <c r="H18" s="45"/>
      <c r="I18" s="74" t="str">
        <f aca="false">IF(PERSONNEL!C17="","",PERSONNEL!G17)</f>
        <v>GARDIEN</v>
      </c>
      <c r="J18" s="74"/>
      <c r="K18" s="74"/>
      <c r="L18" s="74"/>
      <c r="M18" s="45" t="str">
        <f aca="false">IF(PERSONNEL!C17="","",IF(PERSONNEL!D17="M","H","F"))</f>
        <v>H</v>
      </c>
      <c r="N18" s="74" t="str">
        <f aca="false">IF(PERSONNEL!C17="","",PERSONNEL!H17)</f>
        <v>-</v>
      </c>
      <c r="O18" s="74"/>
      <c r="P18" s="74"/>
      <c r="Q18" s="45" t="str">
        <f aca="false">IF(PERSONNEL!C17="","",PERSONNEL!I17)</f>
        <v>-</v>
      </c>
      <c r="R18" s="45"/>
      <c r="S18" s="45" t="str">
        <f aca="false">IF(PERSONNEL!C17="","",PERSONNEL!N17)</f>
        <v>07 46 57 77 83</v>
      </c>
      <c r="T18" s="45"/>
      <c r="U18" s="45"/>
      <c r="V18" s="45"/>
    </row>
    <row r="19" customFormat="false" ht="15" hidden="false" customHeight="false" outlineLevel="0" collapsed="false">
      <c r="A19" s="45" t="str">
        <f aca="false">IF(PERSONNEL!C18="","",9)</f>
        <v/>
      </c>
      <c r="B19" s="74" t="str">
        <f aca="false">IF(PERSONNEL!C18="","",PERSONNEL!C18)</f>
        <v/>
      </c>
      <c r="C19" s="74"/>
      <c r="D19" s="74"/>
      <c r="E19" s="74"/>
      <c r="F19" s="74"/>
      <c r="G19" s="45" t="str">
        <f aca="false">IF(PERSONNEL!C18="","",PERSONNEL!B18)</f>
        <v/>
      </c>
      <c r="H19" s="45"/>
      <c r="I19" s="74" t="str">
        <f aca="false">IF(PERSONNEL!C18="","",PERSONNEL!G18)</f>
        <v/>
      </c>
      <c r="J19" s="74"/>
      <c r="K19" s="74"/>
      <c r="L19" s="74"/>
      <c r="M19" s="45" t="str">
        <f aca="false">IF(PERSONNEL!C18="","",IF(PERSONNEL!D18="M","H","F"))</f>
        <v/>
      </c>
      <c r="N19" s="74" t="str">
        <f aca="false">IF(PERSONNEL!C18="","",PERSONNEL!H18)</f>
        <v/>
      </c>
      <c r="O19" s="74"/>
      <c r="P19" s="74"/>
      <c r="Q19" s="45" t="str">
        <f aca="false">IF(PERSONNEL!C18="","",PERSONNEL!I18)</f>
        <v/>
      </c>
      <c r="R19" s="45"/>
      <c r="S19" s="45" t="str">
        <f aca="false">IF(PERSONNEL!C18="","",PERSONNEL!N18)</f>
        <v/>
      </c>
      <c r="T19" s="45"/>
      <c r="U19" s="45"/>
      <c r="V19" s="45"/>
    </row>
    <row r="20" customFormat="false" ht="15" hidden="false" customHeight="false" outlineLevel="0" collapsed="false">
      <c r="A20" s="45" t="str">
        <f aca="false">IF(PERSONNEL!C19="","",10)</f>
        <v/>
      </c>
      <c r="B20" s="74" t="str">
        <f aca="false">IF(PERSONNEL!C19="","",PERSONNEL!C19)</f>
        <v/>
      </c>
      <c r="C20" s="74"/>
      <c r="D20" s="74"/>
      <c r="E20" s="74"/>
      <c r="F20" s="74"/>
      <c r="G20" s="45" t="str">
        <f aca="false">IF(PERSONNEL!C19="","",PERSONNEL!B19)</f>
        <v/>
      </c>
      <c r="H20" s="45"/>
      <c r="I20" s="74" t="str">
        <f aca="false">IF(PERSONNEL!C19="","",PERSONNEL!G19)</f>
        <v/>
      </c>
      <c r="J20" s="74"/>
      <c r="K20" s="74"/>
      <c r="L20" s="74"/>
      <c r="M20" s="45" t="str">
        <f aca="false">IF(PERSONNEL!C19="","",IF(PERSONNEL!D19="M","H","F"))</f>
        <v/>
      </c>
      <c r="N20" s="74" t="str">
        <f aca="false">IF(PERSONNEL!C19="","",PERSONNEL!H19)</f>
        <v/>
      </c>
      <c r="O20" s="74"/>
      <c r="P20" s="74"/>
      <c r="Q20" s="45" t="str">
        <f aca="false">IF(PERSONNEL!C19="","",PERSONNEL!I19)</f>
        <v/>
      </c>
      <c r="R20" s="45"/>
      <c r="S20" s="45" t="str">
        <f aca="false">IF(PERSONNEL!C19="","",PERSONNEL!N19)</f>
        <v/>
      </c>
      <c r="T20" s="45"/>
      <c r="U20" s="45"/>
      <c r="V20" s="45"/>
    </row>
    <row r="21" customFormat="false" ht="15" hidden="false" customHeight="false" outlineLevel="0" collapsed="false">
      <c r="A21" s="45" t="str">
        <f aca="false">IF(PERSONNEL!C20="","",11)</f>
        <v/>
      </c>
      <c r="B21" s="74" t="str">
        <f aca="false">IF(PERSONNEL!C20="","",PERSONNEL!C20)</f>
        <v/>
      </c>
      <c r="C21" s="74"/>
      <c r="D21" s="74"/>
      <c r="E21" s="74"/>
      <c r="F21" s="74"/>
      <c r="G21" s="45" t="str">
        <f aca="false">IF(PERSONNEL!C20="","",PERSONNEL!B20)</f>
        <v/>
      </c>
      <c r="H21" s="45"/>
      <c r="I21" s="74" t="str">
        <f aca="false">IF(PERSONNEL!C20="","",PERSONNEL!G20)</f>
        <v/>
      </c>
      <c r="J21" s="74"/>
      <c r="K21" s="74"/>
      <c r="L21" s="74"/>
      <c r="M21" s="45" t="str">
        <f aca="false">IF(PERSONNEL!C20="","",IF(PERSONNEL!D20="M","H","F"))</f>
        <v/>
      </c>
      <c r="N21" s="74" t="str">
        <f aca="false">IF(PERSONNEL!C20="","",PERSONNEL!H20)</f>
        <v/>
      </c>
      <c r="O21" s="74"/>
      <c r="P21" s="74"/>
      <c r="Q21" s="45" t="str">
        <f aca="false">IF(PERSONNEL!C20="","",PERSONNEL!I20)</f>
        <v/>
      </c>
      <c r="R21" s="45"/>
      <c r="S21" s="45" t="str">
        <f aca="false">IF(PERSONNEL!C20="","",PERSONNEL!N20)</f>
        <v/>
      </c>
      <c r="T21" s="45"/>
      <c r="U21" s="45"/>
      <c r="V21" s="45"/>
    </row>
    <row r="22" customFormat="false" ht="15" hidden="false" customHeight="false" outlineLevel="0" collapsed="false">
      <c r="A22" s="45" t="str">
        <f aca="false">IF(PERSONNEL!C21="","",12)</f>
        <v/>
      </c>
      <c r="B22" s="74" t="str">
        <f aca="false">IF(PERSONNEL!C21="","",PERSONNEL!C21)</f>
        <v/>
      </c>
      <c r="C22" s="74"/>
      <c r="D22" s="74"/>
      <c r="E22" s="74"/>
      <c r="F22" s="74"/>
      <c r="G22" s="45" t="str">
        <f aca="false">IF(PERSONNEL!C21="","",PERSONNEL!B21)</f>
        <v/>
      </c>
      <c r="H22" s="45"/>
      <c r="I22" s="74" t="str">
        <f aca="false">IF(PERSONNEL!C21="","",PERSONNEL!G21)</f>
        <v/>
      </c>
      <c r="J22" s="74"/>
      <c r="K22" s="74"/>
      <c r="L22" s="74"/>
      <c r="M22" s="45" t="str">
        <f aca="false">IF(PERSONNEL!C21="","",IF(PERSONNEL!D21="M","H","F"))</f>
        <v/>
      </c>
      <c r="N22" s="74" t="str">
        <f aca="false">IF(PERSONNEL!C21="","",PERSONNEL!H21)</f>
        <v/>
      </c>
      <c r="O22" s="74"/>
      <c r="P22" s="74"/>
      <c r="Q22" s="45" t="str">
        <f aca="false">IF(PERSONNEL!C21="","",PERSONNEL!I21)</f>
        <v/>
      </c>
      <c r="R22" s="45"/>
      <c r="S22" s="45" t="str">
        <f aca="false">IF(PERSONNEL!C21="","",PERSONNEL!N21)</f>
        <v/>
      </c>
      <c r="T22" s="45"/>
      <c r="U22" s="45"/>
      <c r="V22" s="45"/>
    </row>
    <row r="23" customFormat="false" ht="15" hidden="false" customHeight="false" outlineLevel="0" collapsed="false">
      <c r="A23" s="45" t="str">
        <f aca="false">IF(PERSONNEL!C22="","",13)</f>
        <v/>
      </c>
      <c r="B23" s="74" t="str">
        <f aca="false">IF(PERSONNEL!C22="","",PERSONNEL!C22)</f>
        <v/>
      </c>
      <c r="C23" s="74"/>
      <c r="D23" s="74"/>
      <c r="E23" s="74"/>
      <c r="F23" s="74"/>
      <c r="G23" s="45" t="str">
        <f aca="false">IF(PERSONNEL!C22="","",PERSONNEL!B22)</f>
        <v/>
      </c>
      <c r="H23" s="45"/>
      <c r="I23" s="74" t="str">
        <f aca="false">IF(PERSONNEL!C22="","",PERSONNEL!G22)</f>
        <v/>
      </c>
      <c r="J23" s="74"/>
      <c r="K23" s="74"/>
      <c r="L23" s="74"/>
      <c r="M23" s="45" t="str">
        <f aca="false">IF(PERSONNEL!C22="","",IF(PERSONNEL!D22="M","H","F"))</f>
        <v/>
      </c>
      <c r="N23" s="74" t="str">
        <f aca="false">IF(PERSONNEL!C22="","",PERSONNEL!H22)</f>
        <v/>
      </c>
      <c r="O23" s="74"/>
      <c r="P23" s="74"/>
      <c r="Q23" s="45" t="str">
        <f aca="false">IF(PERSONNEL!C22="","",PERSONNEL!I22)</f>
        <v/>
      </c>
      <c r="R23" s="45"/>
      <c r="S23" s="45" t="str">
        <f aca="false">IF(PERSONNEL!C22="","",PERSONNEL!N22)</f>
        <v/>
      </c>
      <c r="T23" s="45"/>
      <c r="U23" s="45"/>
      <c r="V23" s="45"/>
    </row>
    <row r="24" customFormat="false" ht="15" hidden="false" customHeight="false" outlineLevel="0" collapsed="false">
      <c r="A24" s="45" t="str">
        <f aca="false">IF(PERSONNEL!C23="","",14)</f>
        <v/>
      </c>
      <c r="B24" s="74" t="str">
        <f aca="false">IF(PERSONNEL!C23="","",PERSONNEL!C23)</f>
        <v/>
      </c>
      <c r="C24" s="74"/>
      <c r="D24" s="74"/>
      <c r="E24" s="74"/>
      <c r="F24" s="74"/>
      <c r="G24" s="45" t="str">
        <f aca="false">IF(PERSONNEL!C23="","",PERSONNEL!B23)</f>
        <v/>
      </c>
      <c r="H24" s="45"/>
      <c r="I24" s="74" t="str">
        <f aca="false">IF(PERSONNEL!C23="","",PERSONNEL!G23)</f>
        <v/>
      </c>
      <c r="J24" s="74"/>
      <c r="K24" s="74"/>
      <c r="L24" s="74"/>
      <c r="M24" s="45" t="str">
        <f aca="false">IF(PERSONNEL!C23="","",IF(PERSONNEL!D23="M","H","F"))</f>
        <v/>
      </c>
      <c r="N24" s="74" t="str">
        <f aca="false">IF(PERSONNEL!C23="","",PERSONNEL!H23)</f>
        <v/>
      </c>
      <c r="O24" s="74"/>
      <c r="P24" s="74"/>
      <c r="Q24" s="45" t="str">
        <f aca="false">IF(PERSONNEL!C23="","",PERSONNEL!I23)</f>
        <v/>
      </c>
      <c r="R24" s="45"/>
      <c r="S24" s="45" t="str">
        <f aca="false">IF(PERSONNEL!C23="","",PERSONNEL!N23)</f>
        <v/>
      </c>
      <c r="T24" s="45"/>
      <c r="U24" s="45"/>
      <c r="V24" s="45"/>
    </row>
    <row r="25" customFormat="false" ht="15" hidden="false" customHeight="false" outlineLevel="0" collapsed="false">
      <c r="A25" s="45" t="str">
        <f aca="false">IF(PERSONNEL!C24="","",15)</f>
        <v/>
      </c>
      <c r="B25" s="74" t="str">
        <f aca="false">IF(PERSONNEL!C24="","",PERSONNEL!C24)</f>
        <v/>
      </c>
      <c r="C25" s="74"/>
      <c r="D25" s="74"/>
      <c r="E25" s="74"/>
      <c r="F25" s="74"/>
      <c r="G25" s="45" t="str">
        <f aca="false">IF(PERSONNEL!C24="","",PERSONNEL!B24)</f>
        <v/>
      </c>
      <c r="H25" s="45"/>
      <c r="I25" s="74" t="str">
        <f aca="false">IF(PERSONNEL!C24="","",PERSONNEL!G24)</f>
        <v/>
      </c>
      <c r="J25" s="74"/>
      <c r="K25" s="74"/>
      <c r="L25" s="74"/>
      <c r="M25" s="45" t="str">
        <f aca="false">IF(PERSONNEL!C24="","",IF(PERSONNEL!D24="M","H","F"))</f>
        <v/>
      </c>
      <c r="N25" s="74" t="str">
        <f aca="false">IF(PERSONNEL!C24="","",PERSONNEL!H24)</f>
        <v/>
      </c>
      <c r="O25" s="74"/>
      <c r="P25" s="74"/>
      <c r="Q25" s="45" t="str">
        <f aca="false">IF(PERSONNEL!C24="","",PERSONNEL!I24)</f>
        <v/>
      </c>
      <c r="R25" s="45"/>
      <c r="S25" s="45" t="str">
        <f aca="false">IF(PERSONNEL!C24="","",PERSONNEL!N24)</f>
        <v/>
      </c>
      <c r="T25" s="45"/>
      <c r="U25" s="45"/>
      <c r="V25" s="45"/>
    </row>
    <row r="26" customFormat="false" ht="15" hidden="false" customHeight="false" outlineLevel="0" collapsed="false">
      <c r="A26" s="94" t="s">
        <v>720</v>
      </c>
      <c r="C26" s="99" t="str">
        <f aca="false">COUNTIF(PERSONNEL!$G$10:$G$69,"INSTITUTEUR*")+COUNTIF(PERSONNEL!$G$10:$G$69,"DIRECTEUR*")&amp;" enseignant(s), dont "&amp;COUNTIFS(PERSONNEL!$G$10:$G$69,"INSTITUTEUR*",PERSONNEL!$D$10:$D$69,"F")+COUNTIFS(PERSONNEL!$G$10:$G$69,"DIRECTEUR*",PERSONNEL!$D$10:$D$69,"F")&amp;" femme(s) – Personnel total : "&amp;COUNTA(PERSONNEL!$C$10:$C$69)</f>
        <v>7 enseignant(s), dont 3 femme(s) – Personnel total : 8</v>
      </c>
      <c r="D26" s="99"/>
      <c r="E26" s="99"/>
      <c r="F26" s="99"/>
      <c r="G26" s="99"/>
      <c r="H26" s="99"/>
      <c r="I26" s="99"/>
      <c r="J26" s="99"/>
      <c r="K26" s="99"/>
      <c r="L26" s="99"/>
      <c r="M26" s="99"/>
      <c r="N26" s="99"/>
      <c r="O26" s="99"/>
      <c r="P26" s="99"/>
      <c r="Q26" s="99"/>
      <c r="R26" s="99"/>
      <c r="S26" s="99"/>
      <c r="T26" s="99"/>
      <c r="U26" s="99"/>
      <c r="V26" s="99"/>
    </row>
    <row r="28" customFormat="false" ht="19.5" hidden="false" customHeight="true" outlineLevel="0" collapsed="false">
      <c r="A28" s="111" t="s">
        <v>721</v>
      </c>
      <c r="B28" s="111"/>
      <c r="C28" s="111"/>
      <c r="D28" s="111"/>
      <c r="E28" s="111"/>
      <c r="F28" s="111"/>
      <c r="G28" s="111"/>
      <c r="H28" s="111"/>
      <c r="I28" s="111"/>
      <c r="J28" s="111"/>
      <c r="K28" s="111"/>
      <c r="L28" s="111"/>
      <c r="M28" s="111"/>
      <c r="N28" s="111"/>
      <c r="O28" s="111"/>
      <c r="P28" s="111"/>
      <c r="Q28" s="111"/>
      <c r="R28" s="111"/>
      <c r="S28" s="111"/>
      <c r="T28" s="111"/>
      <c r="U28" s="111"/>
      <c r="V28" s="111"/>
    </row>
    <row r="29" customFormat="false" ht="15" hidden="false" customHeight="true" outlineLevel="0" collapsed="false">
      <c r="A29" s="93" t="s">
        <v>643</v>
      </c>
      <c r="B29" s="93" t="s">
        <v>18</v>
      </c>
      <c r="C29" s="93"/>
      <c r="D29" s="93"/>
      <c r="E29" s="93" t="s">
        <v>19</v>
      </c>
      <c r="F29" s="93"/>
      <c r="G29" s="93"/>
      <c r="H29" s="93" t="s">
        <v>20</v>
      </c>
      <c r="I29" s="93"/>
      <c r="J29" s="93"/>
      <c r="K29" s="93" t="s">
        <v>21</v>
      </c>
      <c r="L29" s="93"/>
      <c r="M29" s="93"/>
      <c r="N29" s="93" t="s">
        <v>22</v>
      </c>
      <c r="O29" s="93"/>
      <c r="P29" s="93"/>
      <c r="Q29" s="93" t="s">
        <v>23</v>
      </c>
      <c r="R29" s="93"/>
      <c r="S29" s="93"/>
      <c r="T29" s="93" t="s">
        <v>24</v>
      </c>
      <c r="U29" s="93"/>
      <c r="V29" s="93"/>
    </row>
    <row r="30" customFormat="false" ht="15" hidden="false" customHeight="false" outlineLevel="0" collapsed="false">
      <c r="A30" s="93"/>
      <c r="B30" s="42" t="s">
        <v>639</v>
      </c>
      <c r="C30" s="42" t="s">
        <v>44</v>
      </c>
      <c r="D30" s="42" t="s">
        <v>640</v>
      </c>
      <c r="E30" s="42" t="s">
        <v>639</v>
      </c>
      <c r="F30" s="42" t="s">
        <v>44</v>
      </c>
      <c r="G30" s="42" t="s">
        <v>640</v>
      </c>
      <c r="H30" s="42" t="s">
        <v>639</v>
      </c>
      <c r="I30" s="42" t="s">
        <v>44</v>
      </c>
      <c r="J30" s="42" t="s">
        <v>640</v>
      </c>
      <c r="K30" s="42" t="s">
        <v>639</v>
      </c>
      <c r="L30" s="42" t="s">
        <v>44</v>
      </c>
      <c r="M30" s="42" t="s">
        <v>640</v>
      </c>
      <c r="N30" s="42" t="s">
        <v>639</v>
      </c>
      <c r="O30" s="42" t="s">
        <v>44</v>
      </c>
      <c r="P30" s="42" t="s">
        <v>640</v>
      </c>
      <c r="Q30" s="42" t="s">
        <v>639</v>
      </c>
      <c r="R30" s="42" t="s">
        <v>44</v>
      </c>
      <c r="S30" s="42" t="s">
        <v>640</v>
      </c>
      <c r="T30" s="42" t="s">
        <v>639</v>
      </c>
      <c r="U30" s="42" t="s">
        <v>44</v>
      </c>
      <c r="V30" s="42" t="s">
        <v>640</v>
      </c>
    </row>
    <row r="31" customFormat="false" ht="15" hidden="false" customHeight="false" outlineLevel="0" collapsed="false">
      <c r="A31" s="74" t="s">
        <v>722</v>
      </c>
      <c r="B31" s="45" t="n">
        <f aca="false">COUNTIFS('REGISTRE ELEVES'!$F$10:$F$250,"CP1",'REGISTRE ELEVES'!$E$10:$E$250,"M",'REGISTRE ELEVES'!$AD$10:$AD$250,"&lt;&gt;OUI")</f>
        <v>4</v>
      </c>
      <c r="C31" s="45" t="n">
        <f aca="false">COUNTIFS('REGISTRE ELEVES'!$F$10:$F$250,"CP1",'REGISTRE ELEVES'!$E$10:$E$250,"F",'REGISTRE ELEVES'!$AD$10:$AD$250,"&lt;&gt;OUI")</f>
        <v>4</v>
      </c>
      <c r="D31" s="89" t="n">
        <f aca="false">B31+C31</f>
        <v>8</v>
      </c>
      <c r="E31" s="45" t="n">
        <f aca="false">COUNTIFS('REGISTRE ELEVES'!$F$10:$F$250,"CP2",'REGISTRE ELEVES'!$E$10:$E$250,"M",'REGISTRE ELEVES'!$AD$10:$AD$250,"&lt;&gt;OUI")</f>
        <v>4</v>
      </c>
      <c r="F31" s="45" t="n">
        <f aca="false">COUNTIFS('REGISTRE ELEVES'!$F$10:$F$250,"CP2",'REGISTRE ELEVES'!$E$10:$E$250,"F",'REGISTRE ELEVES'!$AD$10:$AD$250,"&lt;&gt;OUI")</f>
        <v>3</v>
      </c>
      <c r="G31" s="89" t="n">
        <f aca="false">E31+F31</f>
        <v>7</v>
      </c>
      <c r="H31" s="45" t="n">
        <f aca="false">COUNTIFS('REGISTRE ELEVES'!$F$10:$F$250,"CE1",'REGISTRE ELEVES'!$E$10:$E$250,"M",'REGISTRE ELEVES'!$AD$10:$AD$250,"&lt;&gt;OUI")</f>
        <v>4</v>
      </c>
      <c r="I31" s="45" t="n">
        <f aca="false">COUNTIFS('REGISTRE ELEVES'!$F$10:$F$250,"CE1",'REGISTRE ELEVES'!$E$10:$E$250,"F",'REGISTRE ELEVES'!$AD$10:$AD$250,"&lt;&gt;OUI")</f>
        <v>3</v>
      </c>
      <c r="J31" s="89" t="n">
        <f aca="false">H31+I31</f>
        <v>7</v>
      </c>
      <c r="K31" s="45" t="n">
        <f aca="false">COUNTIFS('REGISTRE ELEVES'!$F$10:$F$250,"CE2",'REGISTRE ELEVES'!$E$10:$E$250,"M",'REGISTRE ELEVES'!$AD$10:$AD$250,"&lt;&gt;OUI")</f>
        <v>4</v>
      </c>
      <c r="L31" s="45" t="n">
        <f aca="false">COUNTIFS('REGISTRE ELEVES'!$F$10:$F$250,"CE2",'REGISTRE ELEVES'!$E$10:$E$250,"F",'REGISTRE ELEVES'!$AD$10:$AD$250,"&lt;&gt;OUI")</f>
        <v>6</v>
      </c>
      <c r="M31" s="89" t="n">
        <f aca="false">K31+L31</f>
        <v>10</v>
      </c>
      <c r="N31" s="45" t="n">
        <f aca="false">COUNTIFS('REGISTRE ELEVES'!$F$10:$F$250,"CM1",'REGISTRE ELEVES'!$E$10:$E$250,"M",'REGISTRE ELEVES'!$AD$10:$AD$250,"&lt;&gt;OUI")</f>
        <v>5</v>
      </c>
      <c r="O31" s="45" t="n">
        <f aca="false">COUNTIFS('REGISTRE ELEVES'!$F$10:$F$250,"CM1",'REGISTRE ELEVES'!$E$10:$E$250,"F",'REGISTRE ELEVES'!$AD$10:$AD$250,"&lt;&gt;OUI")</f>
        <v>2</v>
      </c>
      <c r="P31" s="89" t="n">
        <f aca="false">N31+O31</f>
        <v>7</v>
      </c>
      <c r="Q31" s="45" t="n">
        <f aca="false">COUNTIFS('REGISTRE ELEVES'!$F$10:$F$250,"CM2",'REGISTRE ELEVES'!$E$10:$E$250,"M",'REGISTRE ELEVES'!$AD$10:$AD$250,"&lt;&gt;OUI")</f>
        <v>3</v>
      </c>
      <c r="R31" s="45" t="n">
        <f aca="false">COUNTIFS('REGISTRE ELEVES'!$F$10:$F$250,"CM2",'REGISTRE ELEVES'!$E$10:$E$250,"F",'REGISTRE ELEVES'!$AD$10:$AD$250,"&lt;&gt;OUI")</f>
        <v>5</v>
      </c>
      <c r="S31" s="89" t="n">
        <f aca="false">Q31+R31</f>
        <v>8</v>
      </c>
      <c r="T31" s="102" t="n">
        <f aca="false">B31+E31+H31+K31+N31+Q31</f>
        <v>24</v>
      </c>
      <c r="U31" s="102" t="n">
        <f aca="false">C31+F31+I31+L31+O31+R31</f>
        <v>23</v>
      </c>
      <c r="V31" s="103" t="n">
        <f aca="false">D31+G31+J31+M31+P31+S31</f>
        <v>47</v>
      </c>
    </row>
    <row r="32" customFormat="false" ht="15" hidden="false" customHeight="false" outlineLevel="0" collapsed="false">
      <c r="A32" s="74" t="s">
        <v>723</v>
      </c>
      <c r="B32" s="45" t="n">
        <f aca="false">COUNTIFS('REGISTRE ELEVES'!$F$10:$F$250,"CP1",'REGISTRE ELEVES'!$E$10:$E$250,"M",'REGISTRE ELEVES'!$AD$10:$AD$250,"OUI")</f>
        <v>1</v>
      </c>
      <c r="C32" s="45" t="n">
        <f aca="false">COUNTIFS('REGISTRE ELEVES'!$F$10:$F$250,"CP1",'REGISTRE ELEVES'!$E$10:$E$250,"F",'REGISTRE ELEVES'!$AD$10:$AD$250,"OUI")</f>
        <v>2</v>
      </c>
      <c r="D32" s="89" t="n">
        <f aca="false">B32+C32</f>
        <v>3</v>
      </c>
      <c r="E32" s="45" t="n">
        <f aca="false">COUNTIFS('REGISTRE ELEVES'!$F$10:$F$250,"CP2",'REGISTRE ELEVES'!$E$10:$E$250,"M",'REGISTRE ELEVES'!$AD$10:$AD$250,"OUI")</f>
        <v>3</v>
      </c>
      <c r="F32" s="45" t="n">
        <f aca="false">COUNTIFS('REGISTRE ELEVES'!$F$10:$F$250,"CP2",'REGISTRE ELEVES'!$E$10:$E$250,"F",'REGISTRE ELEVES'!$AD$10:$AD$250,"OUI")</f>
        <v>2</v>
      </c>
      <c r="G32" s="89" t="n">
        <f aca="false">E32+F32</f>
        <v>5</v>
      </c>
      <c r="H32" s="45" t="n">
        <f aca="false">COUNTIFS('REGISTRE ELEVES'!$F$10:$F$250,"CE1",'REGISTRE ELEVES'!$E$10:$E$250,"M",'REGISTRE ELEVES'!$AD$10:$AD$250,"OUI")</f>
        <v>2</v>
      </c>
      <c r="I32" s="45" t="n">
        <f aca="false">COUNTIFS('REGISTRE ELEVES'!$F$10:$F$250,"CE1",'REGISTRE ELEVES'!$E$10:$E$250,"F",'REGISTRE ELEVES'!$AD$10:$AD$250,"OUI")</f>
        <v>0</v>
      </c>
      <c r="J32" s="89" t="n">
        <f aca="false">H32+I32</f>
        <v>2</v>
      </c>
      <c r="K32" s="45" t="n">
        <f aca="false">COUNTIFS('REGISTRE ELEVES'!$F$10:$F$250,"CE2",'REGISTRE ELEVES'!$E$10:$E$250,"M",'REGISTRE ELEVES'!$AD$10:$AD$250,"OUI")</f>
        <v>2</v>
      </c>
      <c r="L32" s="45" t="n">
        <f aca="false">COUNTIFS('REGISTRE ELEVES'!$F$10:$F$250,"CE2",'REGISTRE ELEVES'!$E$10:$E$250,"F",'REGISTRE ELEVES'!$AD$10:$AD$250,"OUI")</f>
        <v>0</v>
      </c>
      <c r="M32" s="89" t="n">
        <f aca="false">K32+L32</f>
        <v>2</v>
      </c>
      <c r="N32" s="45" t="n">
        <f aca="false">COUNTIFS('REGISTRE ELEVES'!$F$10:$F$250,"CM1",'REGISTRE ELEVES'!$E$10:$E$250,"M",'REGISTRE ELEVES'!$AD$10:$AD$250,"OUI")</f>
        <v>3</v>
      </c>
      <c r="O32" s="45" t="n">
        <f aca="false">COUNTIFS('REGISTRE ELEVES'!$F$10:$F$250,"CM1",'REGISTRE ELEVES'!$E$10:$E$250,"F",'REGISTRE ELEVES'!$AD$10:$AD$250,"OUI")</f>
        <v>1</v>
      </c>
      <c r="P32" s="89" t="n">
        <f aca="false">N32+O32</f>
        <v>4</v>
      </c>
      <c r="Q32" s="45" t="n">
        <f aca="false">COUNTIFS('REGISTRE ELEVES'!$F$10:$F$250,"CM2",'REGISTRE ELEVES'!$E$10:$E$250,"M",'REGISTRE ELEVES'!$AD$10:$AD$250,"OUI")</f>
        <v>0</v>
      </c>
      <c r="R32" s="45" t="n">
        <f aca="false">COUNTIFS('REGISTRE ELEVES'!$F$10:$F$250,"CM2",'REGISTRE ELEVES'!$E$10:$E$250,"F",'REGISTRE ELEVES'!$AD$10:$AD$250,"OUI")</f>
        <v>1</v>
      </c>
      <c r="S32" s="89" t="n">
        <f aca="false">Q32+R32</f>
        <v>1</v>
      </c>
      <c r="T32" s="102" t="n">
        <f aca="false">B32+E32+H32+K32+N32+Q32</f>
        <v>11</v>
      </c>
      <c r="U32" s="102" t="n">
        <f aca="false">C32+F32+I32+L32+O32+R32</f>
        <v>6</v>
      </c>
      <c r="V32" s="103" t="n">
        <f aca="false">D32+G32+J32+M32+P32+S32</f>
        <v>17</v>
      </c>
    </row>
    <row r="33" customFormat="false" ht="15" hidden="false" customHeight="false" outlineLevel="0" collapsed="false">
      <c r="A33" s="112" t="s">
        <v>24</v>
      </c>
      <c r="B33" s="103" t="n">
        <f aca="false">B31+B32</f>
        <v>5</v>
      </c>
      <c r="C33" s="103" t="n">
        <f aca="false">C31+C32</f>
        <v>6</v>
      </c>
      <c r="D33" s="103" t="n">
        <f aca="false">B33+C33</f>
        <v>11</v>
      </c>
      <c r="E33" s="103" t="n">
        <f aca="false">E31+E32</f>
        <v>7</v>
      </c>
      <c r="F33" s="103" t="n">
        <f aca="false">F31+F32</f>
        <v>5</v>
      </c>
      <c r="G33" s="103" t="n">
        <f aca="false">E33+F33</f>
        <v>12</v>
      </c>
      <c r="H33" s="103" t="n">
        <f aca="false">H31+H32</f>
        <v>6</v>
      </c>
      <c r="I33" s="103" t="n">
        <f aca="false">I31+I32</f>
        <v>3</v>
      </c>
      <c r="J33" s="103" t="n">
        <f aca="false">H33+I33</f>
        <v>9</v>
      </c>
      <c r="K33" s="103" t="n">
        <f aca="false">K31+K32</f>
        <v>6</v>
      </c>
      <c r="L33" s="103" t="n">
        <f aca="false">L31+L32</f>
        <v>6</v>
      </c>
      <c r="M33" s="103" t="n">
        <f aca="false">K33+L33</f>
        <v>12</v>
      </c>
      <c r="N33" s="103" t="n">
        <f aca="false">N31+N32</f>
        <v>8</v>
      </c>
      <c r="O33" s="103" t="n">
        <f aca="false">O31+O32</f>
        <v>3</v>
      </c>
      <c r="P33" s="103" t="n">
        <f aca="false">N33+O33</f>
        <v>11</v>
      </c>
      <c r="Q33" s="103" t="n">
        <f aca="false">Q31+Q32</f>
        <v>3</v>
      </c>
      <c r="R33" s="103" t="n">
        <f aca="false">R31+R32</f>
        <v>6</v>
      </c>
      <c r="S33" s="103" t="n">
        <f aca="false">Q33+R33</f>
        <v>9</v>
      </c>
      <c r="T33" s="103" t="n">
        <f aca="false">B33+E33+H33+K33+N33+Q33</f>
        <v>35</v>
      </c>
      <c r="U33" s="103" t="n">
        <f aca="false">C33+F33+I33+L33+O33+R33</f>
        <v>29</v>
      </c>
      <c r="V33" s="103" t="n">
        <f aca="false">D33+G33+J33+M33+P33+S33</f>
        <v>64</v>
      </c>
    </row>
    <row r="35" customFormat="false" ht="15" hidden="false" customHeight="false" outlineLevel="0" collapsed="false">
      <c r="A35" s="94" t="s">
        <v>641</v>
      </c>
      <c r="B35" s="95" t="str">
        <f aca="false">IF(V33=COUNTA('REGISTRE ELEVES'!$D$10:$D$250),"OK – total = nombre d'élèves du registre ("&amp;V33&amp;")","ECART avec le registre : vérifier les classes non renseignées")</f>
        <v>OK – total = nombre d'élèves du registre (64)</v>
      </c>
      <c r="C35" s="95"/>
      <c r="D35" s="95"/>
      <c r="E35" s="95"/>
      <c r="F35" s="95"/>
      <c r="G35" s="95"/>
      <c r="H35" s="95"/>
      <c r="I35" s="95"/>
      <c r="J35" s="95"/>
      <c r="K35" s="95"/>
      <c r="L35" s="95"/>
      <c r="M35" s="95"/>
      <c r="N35" s="95"/>
      <c r="O35" s="95"/>
      <c r="P35" s="95"/>
      <c r="Q35" s="95"/>
      <c r="R35" s="95"/>
      <c r="S35" s="95"/>
      <c r="T35" s="95"/>
      <c r="U35" s="95"/>
      <c r="V35" s="95"/>
    </row>
    <row r="37" customFormat="false" ht="15" hidden="false" customHeight="false" outlineLevel="0" collapsed="false">
      <c r="A37" s="94" t="s">
        <v>724</v>
      </c>
    </row>
    <row r="38" customFormat="false" ht="15" hidden="false" customHeight="false" outlineLevel="0" collapsed="false">
      <c r="A38" s="113"/>
      <c r="B38" s="113"/>
      <c r="C38" s="113"/>
      <c r="D38" s="113"/>
      <c r="E38" s="113"/>
      <c r="F38" s="113"/>
      <c r="G38" s="113"/>
      <c r="H38" s="113"/>
      <c r="I38" s="113"/>
      <c r="J38" s="113"/>
      <c r="K38" s="113"/>
      <c r="L38" s="113"/>
      <c r="M38" s="113"/>
      <c r="N38" s="113"/>
      <c r="O38" s="113"/>
      <c r="P38" s="113"/>
      <c r="Q38" s="113"/>
      <c r="R38" s="113"/>
      <c r="S38" s="113"/>
      <c r="T38" s="113"/>
      <c r="U38" s="113"/>
      <c r="V38" s="113"/>
    </row>
    <row r="39" customFormat="false" ht="15" hidden="false" customHeight="false" outlineLevel="0" collapsed="false">
      <c r="A39" s="113"/>
      <c r="B39" s="113"/>
      <c r="C39" s="113"/>
      <c r="D39" s="113"/>
      <c r="E39" s="113"/>
      <c r="F39" s="113"/>
      <c r="G39" s="113"/>
      <c r="H39" s="113"/>
      <c r="I39" s="113"/>
      <c r="J39" s="113"/>
      <c r="K39" s="113"/>
      <c r="L39" s="113"/>
      <c r="M39" s="113"/>
      <c r="N39" s="113"/>
      <c r="O39" s="113"/>
      <c r="P39" s="113"/>
      <c r="Q39" s="113"/>
      <c r="R39" s="113"/>
      <c r="S39" s="113"/>
      <c r="T39" s="113"/>
      <c r="U39" s="113"/>
      <c r="V39" s="113"/>
    </row>
    <row r="40" customFormat="false" ht="15" hidden="false" customHeight="false" outlineLevel="0" collapsed="false">
      <c r="A40" s="113"/>
      <c r="B40" s="113"/>
      <c r="C40" s="113"/>
      <c r="D40" s="113"/>
      <c r="E40" s="113"/>
      <c r="F40" s="113"/>
      <c r="G40" s="113"/>
      <c r="H40" s="113"/>
      <c r="I40" s="113"/>
      <c r="J40" s="113"/>
      <c r="K40" s="113"/>
      <c r="L40" s="113"/>
      <c r="M40" s="113"/>
      <c r="N40" s="113"/>
      <c r="O40" s="113"/>
      <c r="P40" s="113"/>
      <c r="Q40" s="113"/>
      <c r="R40" s="113"/>
      <c r="S40" s="113"/>
      <c r="T40" s="113"/>
      <c r="U40" s="113"/>
      <c r="V40" s="113"/>
    </row>
    <row r="42" customFormat="false" ht="15" hidden="false" customHeight="true" outlineLevel="0" collapsed="false">
      <c r="B42" s="90" t="str">
        <f aca="false">"Fait à "&amp;PARAMETRES!$C$10&amp;", le "&amp;TEXT(DAY(PARAMETRES!$C$12),"00")&amp;"/"&amp;TEXT(MONTH(PARAMETRES!$C$12),"00")&amp;"/"&amp;YEAR(PARAMETRES!$C$12)</f>
        <v>Fait à LIGUIYO, le 30/06/2027</v>
      </c>
      <c r="C42" s="90"/>
      <c r="D42" s="90"/>
      <c r="E42" s="90"/>
      <c r="F42" s="90"/>
      <c r="G42" s="90"/>
      <c r="H42" s="90"/>
      <c r="I42" s="90"/>
      <c r="J42" s="90"/>
      <c r="K42" s="90"/>
      <c r="L42" s="90"/>
      <c r="M42" s="90"/>
      <c r="N42" s="90"/>
      <c r="O42" s="90"/>
      <c r="P42" s="90"/>
      <c r="Q42" s="91" t="s">
        <v>635</v>
      </c>
      <c r="R42" s="91"/>
      <c r="S42" s="91"/>
      <c r="T42" s="91"/>
      <c r="U42" s="91"/>
      <c r="V42" s="91"/>
    </row>
    <row r="46" customFormat="false" ht="15" hidden="false" customHeight="false" outlineLevel="0" collapsed="false">
      <c r="Q46" s="92" t="str">
        <f aca="false">PARAMETRES!$C$11</f>
        <v>M. KOUAME Kouadio Ernest</v>
      </c>
      <c r="R46" s="92"/>
      <c r="S46" s="92"/>
      <c r="T46" s="92"/>
      <c r="U46" s="92"/>
      <c r="V46" s="92"/>
    </row>
  </sheetData>
  <mergeCells count="121">
    <mergeCell ref="A1:K1"/>
    <mergeCell ref="L1:V1"/>
    <mergeCell ref="A2:K2"/>
    <mergeCell ref="L2:V2"/>
    <mergeCell ref="A3:K3"/>
    <mergeCell ref="L3:V3"/>
    <mergeCell ref="A4:K4"/>
    <mergeCell ref="A6:V6"/>
    <mergeCell ref="A7:V7"/>
    <mergeCell ref="A9:V9"/>
    <mergeCell ref="B10:F10"/>
    <mergeCell ref="G10:H10"/>
    <mergeCell ref="I10:L10"/>
    <mergeCell ref="N10:P10"/>
    <mergeCell ref="Q10:R10"/>
    <mergeCell ref="S10:V10"/>
    <mergeCell ref="B11:F11"/>
    <mergeCell ref="G11:H11"/>
    <mergeCell ref="I11:L11"/>
    <mergeCell ref="N11:P11"/>
    <mergeCell ref="Q11:R11"/>
    <mergeCell ref="S11:V11"/>
    <mergeCell ref="B12:F12"/>
    <mergeCell ref="G12:H12"/>
    <mergeCell ref="I12:L12"/>
    <mergeCell ref="N12:P12"/>
    <mergeCell ref="Q12:R12"/>
    <mergeCell ref="S12:V12"/>
    <mergeCell ref="B13:F13"/>
    <mergeCell ref="G13:H13"/>
    <mergeCell ref="I13:L13"/>
    <mergeCell ref="N13:P13"/>
    <mergeCell ref="Q13:R13"/>
    <mergeCell ref="S13:V13"/>
    <mergeCell ref="B14:F14"/>
    <mergeCell ref="G14:H14"/>
    <mergeCell ref="I14:L14"/>
    <mergeCell ref="N14:P14"/>
    <mergeCell ref="Q14:R14"/>
    <mergeCell ref="S14:V14"/>
    <mergeCell ref="B15:F15"/>
    <mergeCell ref="G15:H15"/>
    <mergeCell ref="I15:L15"/>
    <mergeCell ref="N15:P15"/>
    <mergeCell ref="Q15:R15"/>
    <mergeCell ref="S15:V15"/>
    <mergeCell ref="B16:F16"/>
    <mergeCell ref="G16:H16"/>
    <mergeCell ref="I16:L16"/>
    <mergeCell ref="N16:P16"/>
    <mergeCell ref="Q16:R16"/>
    <mergeCell ref="S16:V16"/>
    <mergeCell ref="B17:F17"/>
    <mergeCell ref="G17:H17"/>
    <mergeCell ref="I17:L17"/>
    <mergeCell ref="N17:P17"/>
    <mergeCell ref="Q17:R17"/>
    <mergeCell ref="S17:V17"/>
    <mergeCell ref="B18:F18"/>
    <mergeCell ref="G18:H18"/>
    <mergeCell ref="I18:L18"/>
    <mergeCell ref="N18:P18"/>
    <mergeCell ref="Q18:R18"/>
    <mergeCell ref="S18:V18"/>
    <mergeCell ref="B19:F19"/>
    <mergeCell ref="G19:H19"/>
    <mergeCell ref="I19:L19"/>
    <mergeCell ref="N19:P19"/>
    <mergeCell ref="Q19:R19"/>
    <mergeCell ref="S19:V19"/>
    <mergeCell ref="B20:F20"/>
    <mergeCell ref="G20:H20"/>
    <mergeCell ref="I20:L20"/>
    <mergeCell ref="N20:P20"/>
    <mergeCell ref="Q20:R20"/>
    <mergeCell ref="S20:V20"/>
    <mergeCell ref="B21:F21"/>
    <mergeCell ref="G21:H21"/>
    <mergeCell ref="I21:L21"/>
    <mergeCell ref="N21:P21"/>
    <mergeCell ref="Q21:R21"/>
    <mergeCell ref="S21:V21"/>
    <mergeCell ref="B22:F22"/>
    <mergeCell ref="G22:H22"/>
    <mergeCell ref="I22:L22"/>
    <mergeCell ref="N22:P22"/>
    <mergeCell ref="Q22:R22"/>
    <mergeCell ref="S22:V22"/>
    <mergeCell ref="B23:F23"/>
    <mergeCell ref="G23:H23"/>
    <mergeCell ref="I23:L23"/>
    <mergeCell ref="N23:P23"/>
    <mergeCell ref="Q23:R23"/>
    <mergeCell ref="S23:V23"/>
    <mergeCell ref="B24:F24"/>
    <mergeCell ref="G24:H24"/>
    <mergeCell ref="I24:L24"/>
    <mergeCell ref="N24:P24"/>
    <mergeCell ref="Q24:R24"/>
    <mergeCell ref="S24:V24"/>
    <mergeCell ref="B25:F25"/>
    <mergeCell ref="G25:H25"/>
    <mergeCell ref="I25:L25"/>
    <mergeCell ref="N25:P25"/>
    <mergeCell ref="Q25:R25"/>
    <mergeCell ref="S25:V25"/>
    <mergeCell ref="C26:V26"/>
    <mergeCell ref="A28:V28"/>
    <mergeCell ref="A29:A30"/>
    <mergeCell ref="B29:D29"/>
    <mergeCell ref="E29:G29"/>
    <mergeCell ref="H29:J29"/>
    <mergeCell ref="K29:M29"/>
    <mergeCell ref="N29:P29"/>
    <mergeCell ref="Q29:S29"/>
    <mergeCell ref="T29:V29"/>
    <mergeCell ref="B35:V35"/>
    <mergeCell ref="A38:V40"/>
    <mergeCell ref="B42:P42"/>
    <mergeCell ref="Q42:V42"/>
    <mergeCell ref="Q46:V46"/>
  </mergeCells>
  <printOptions headings="false" gridLines="false" gridLinesSet="true" horizontalCentered="true" verticalCentered="false"/>
  <pageMargins left="0.309722222222222" right="0.309722222222222" top="0.470138888888889" bottom="0.470138888888889"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drawing r:id="rIdBtn"/>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Feuil15" filterMode="false">
    <tabColor rgb="FFF2A900"/>
    <pageSetUpPr fitToPage="true"/>
  </sheetPr>
  <dimension ref="A1:O25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3" ySplit="9" topLeftCell="D10" activePane="bottomRight" state="frozen"/>
      <selection pane="topLeft" activeCell="A1" activeCellId="0" sqref="A1"/>
      <selection pane="topRight" activeCell="D1" activeCellId="0" sqref="D1"/>
      <selection pane="bottomLeft" activeCell="A10" activeCellId="0" sqref="A10"/>
      <selection pane="bottomRight" activeCell="A1" activeCellId="0" sqref="A1"/>
    </sheetView>
  </sheetViews>
  <sheetFormatPr defaultColWidth="8.6796875" defaultRowHeight="15" zeroHeight="false" outlineLevelRow="0" outlineLevelCol="0"/>
  <cols>
    <col collapsed="false" customWidth="true" hidden="false" outlineLevel="0" max="1" min="1" style="0" width="5"/>
    <col collapsed="false" customWidth="true" hidden="false" outlineLevel="0" max="2" min="2" style="0" width="12"/>
    <col collapsed="false" customWidth="true" hidden="false" outlineLevel="0" max="3" min="3" style="0" width="14"/>
    <col collapsed="false" customWidth="true" hidden="false" outlineLevel="0" max="4" min="4" style="0" width="30"/>
    <col collapsed="false" customWidth="true" hidden="false" outlineLevel="0" max="5" min="5" style="0" width="12"/>
    <col collapsed="false" customWidth="true" hidden="false" outlineLevel="0" max="6" min="6" style="0" width="6"/>
    <col collapsed="false" customWidth="true" hidden="false" outlineLevel="0" max="7" min="7" style="0" width="11"/>
    <col collapsed="false" customWidth="true" hidden="false" outlineLevel="0" max="9" min="8" style="0" width="10"/>
    <col collapsed="false" customWidth="true" hidden="false" outlineLevel="0" max="10" min="10" style="0" width="26"/>
    <col collapsed="false" customWidth="true" hidden="false" outlineLevel="0" max="11" min="11" style="0" width="9"/>
    <col collapsed="false" customWidth="true" hidden="false" outlineLevel="0" max="12" min="12" style="0" width="24"/>
    <col collapsed="false" customWidth="true" hidden="true" outlineLevel="0" max="15" min="13" style="0" width="13"/>
  </cols>
  <sheetData>
    <row r="1" customFormat="false" ht="15" hidden="false" customHeight="true" outlineLevel="0" collapsed="false">
      <c r="A1" s="47" t="str">
        <f aca="false">PARAMETRES!$C$4</f>
        <v>MINISTERE DE L'EDUCATION NATIONALE ET DE L'ALPHABETISATION</v>
      </c>
      <c r="B1" s="47"/>
      <c r="C1" s="47"/>
      <c r="D1" s="47"/>
      <c r="E1" s="47"/>
      <c r="F1" s="47"/>
      <c r="G1" s="47" t="s">
        <v>115</v>
      </c>
      <c r="H1" s="47"/>
      <c r="I1" s="47"/>
      <c r="J1" s="47"/>
      <c r="K1" s="47"/>
      <c r="L1" s="47"/>
    </row>
    <row r="2" customFormat="false" ht="15" hidden="false" customHeight="true" outlineLevel="0" collapsed="false">
      <c r="A2" s="48" t="str">
        <f aca="false">PARAMETRES!$C$5</f>
        <v>DIRECTION REGIONALE DE L'EDUCATION NATIONALE DE GAGNOA</v>
      </c>
      <c r="B2" s="48"/>
      <c r="C2" s="48"/>
      <c r="D2" s="48"/>
      <c r="E2" s="48"/>
      <c r="F2" s="48"/>
      <c r="G2" s="48" t="s">
        <v>116</v>
      </c>
      <c r="H2" s="48"/>
      <c r="I2" s="48"/>
      <c r="J2" s="48"/>
      <c r="K2" s="48"/>
      <c r="L2" s="48"/>
    </row>
    <row r="3" customFormat="false" ht="15" hidden="false" customHeight="false" outlineLevel="0" collapsed="false">
      <c r="A3" s="47" t="str">
        <f aca="false">PARAMETRES!$C$6</f>
        <v>IEPP GAGNOA 2</v>
      </c>
      <c r="B3" s="47"/>
      <c r="C3" s="47"/>
      <c r="D3" s="47"/>
      <c r="E3" s="47"/>
      <c r="F3" s="47"/>
      <c r="G3" s="47" t="str">
        <f aca="false">"ANNEE SCOLAIRE : "&amp;PARAMETRES!$C$9</f>
        <v>ANNEE SCOLAIRE : 2026-2027</v>
      </c>
      <c r="H3" s="47"/>
      <c r="I3" s="47"/>
      <c r="J3" s="47"/>
      <c r="K3" s="47"/>
      <c r="L3" s="47"/>
    </row>
    <row r="4" customFormat="false" ht="15" hidden="false" customHeight="false" outlineLevel="0" collapsed="false">
      <c r="A4" s="48" t="str">
        <f aca="false">PARAMETRES!$C$7&amp;"  -  Code : "&amp;PARAMETRES!$C$8</f>
        <v>EPP LIGUIYO  -  Code : EPP-GAG-0123</v>
      </c>
      <c r="B4" s="48"/>
      <c r="C4" s="48"/>
      <c r="D4" s="48"/>
      <c r="E4" s="48"/>
      <c r="F4" s="48"/>
      <c r="G4" s="49"/>
    </row>
    <row r="6" customFormat="false" ht="27.75" hidden="false" customHeight="true" outlineLevel="0" collapsed="false">
      <c r="A6" s="30" t="s">
        <v>725</v>
      </c>
      <c r="B6" s="30"/>
      <c r="C6" s="30"/>
      <c r="D6" s="30"/>
      <c r="E6" s="30"/>
      <c r="F6" s="30"/>
      <c r="G6" s="30"/>
      <c r="H6" s="30"/>
      <c r="I6" s="30"/>
      <c r="J6" s="30"/>
      <c r="K6" s="30"/>
      <c r="L6" s="30"/>
    </row>
    <row r="7" customFormat="false" ht="15" hidden="false" customHeight="true" outlineLevel="0" collapsed="false">
      <c r="A7" s="2" t="s">
        <v>726</v>
      </c>
      <c r="B7" s="2"/>
      <c r="C7" s="2"/>
      <c r="D7" s="2"/>
      <c r="E7" s="2"/>
      <c r="F7" s="2"/>
      <c r="G7" s="2"/>
      <c r="H7" s="2"/>
      <c r="I7" s="2"/>
      <c r="J7" s="2"/>
      <c r="K7" s="2"/>
      <c r="L7" s="2"/>
    </row>
    <row r="8" customFormat="false" ht="15" hidden="false" customHeight="false" outlineLevel="0" collapsed="false">
      <c r="A8" s="114" t="str">
        <f aca="false">"Total enregistré : "&amp;COUNTA(B10:B250)&amp;" événement(s) – "&amp;SUM(H10:H250)&amp;" jour(s) d'absence – "&amp;COUNTIF(G10:G250,"RETARD")&amp;" retard(s). Utiliser le filtre de la colonne Date pour un mois donné ; le RAPPORT MENSUEL fait le calcul par mois."</f>
        <v>Total enregistré : 22 événement(s) – 29.5 jour(s) d'absence – 5 retard(s). Utiliser le filtre de la colonne Date pour un mois donné ; le RAPPORT MENSUEL fait le calcul par mois.</v>
      </c>
      <c r="B8" s="114"/>
      <c r="C8" s="114"/>
      <c r="D8" s="114"/>
      <c r="E8" s="114"/>
      <c r="F8" s="114"/>
      <c r="G8" s="114"/>
      <c r="H8" s="114"/>
      <c r="I8" s="114"/>
      <c r="J8" s="114"/>
      <c r="K8" s="114"/>
      <c r="L8" s="114"/>
    </row>
    <row r="9" customFormat="false" ht="36" hidden="false" customHeight="true" outlineLevel="0" collapsed="false">
      <c r="A9" s="50" t="s">
        <v>120</v>
      </c>
      <c r="B9" s="50" t="s">
        <v>727</v>
      </c>
      <c r="C9" s="50" t="s">
        <v>121</v>
      </c>
      <c r="D9" s="50" t="s">
        <v>123</v>
      </c>
      <c r="E9" s="50" t="s">
        <v>12</v>
      </c>
      <c r="F9" s="50" t="s">
        <v>32</v>
      </c>
      <c r="G9" s="50" t="s">
        <v>728</v>
      </c>
      <c r="H9" s="50" t="s">
        <v>729</v>
      </c>
      <c r="I9" s="50" t="s">
        <v>730</v>
      </c>
      <c r="J9" s="50" t="s">
        <v>731</v>
      </c>
      <c r="K9" s="50" t="s">
        <v>732</v>
      </c>
      <c r="L9" s="50" t="s">
        <v>145</v>
      </c>
      <c r="M9" s="51" t="s">
        <v>733</v>
      </c>
      <c r="N9" s="51" t="s">
        <v>734</v>
      </c>
      <c r="O9" s="51" t="s">
        <v>146</v>
      </c>
    </row>
    <row r="10" customFormat="false" ht="15" hidden="false" customHeight="false" outlineLevel="0" collapsed="false">
      <c r="A10" s="73" t="n">
        <f aca="false">IF(B10="","",ROW()-9)</f>
        <v>1</v>
      </c>
      <c r="B10" s="115" t="n">
        <v>46296</v>
      </c>
      <c r="C10" s="116" t="str">
        <f aca="false">'REGISTRE ELEVES'!B22</f>
        <v>CP2-002-26</v>
      </c>
      <c r="D10" s="74" t="str">
        <f aca="false">IF(C10="","",IFERROR(INDEX('REGISTRE ELEVES'!$D$10:$D$250,MATCH(C10,'REGISTRE ELEVES'!$B$10:$B$250,0)),"Matricule inconnu"))</f>
        <v>GBOGOU Amenan Rebecca</v>
      </c>
      <c r="E10" s="73" t="str">
        <f aca="false">IF(C10="","",IFERROR(INDEX('REGISTRE ELEVES'!$F$10:$F$250,MATCH(C10,'REGISTRE ELEVES'!$B$10:$B$250,0)),""))</f>
        <v>CP2</v>
      </c>
      <c r="F10" s="73" t="str">
        <f aca="false">IF(C10="","",IFERROR(INDEX('REGISTRE ELEVES'!$E$10:$E$250,MATCH(C10,'REGISTRE ELEVES'!$B$10:$B$250,0)),""))</f>
        <v>F</v>
      </c>
      <c r="G10" s="116" t="s">
        <v>735</v>
      </c>
      <c r="H10" s="117"/>
      <c r="I10" s="116" t="n">
        <v>15</v>
      </c>
      <c r="J10" s="118" t="s">
        <v>736</v>
      </c>
      <c r="K10" s="116" t="s">
        <v>39</v>
      </c>
      <c r="L10" s="118"/>
      <c r="M10" s="51" t="n">
        <f aca="false">IF(B10="","",MONTH(B10))</f>
        <v>10</v>
      </c>
      <c r="N10" s="51" t="n">
        <f aca="false">IF(B10="","",YEAR(B10))</f>
        <v>2026</v>
      </c>
      <c r="O10" s="51" t="str">
        <f aca="false">IF(B10="","",C10&amp;"|"&amp;M10&amp;"|"&amp;N10)</f>
        <v>CP2-002-26|10|2026</v>
      </c>
    </row>
    <row r="11" customFormat="false" ht="15" hidden="false" customHeight="false" outlineLevel="0" collapsed="false">
      <c r="A11" s="73" t="n">
        <f aca="false">IF(B11="","",ROW()-9)</f>
        <v>2</v>
      </c>
      <c r="B11" s="115" t="n">
        <v>46296</v>
      </c>
      <c r="C11" s="116" t="str">
        <f aca="false">'REGISTRE ELEVES'!B37</f>
        <v>CE1-005-26</v>
      </c>
      <c r="D11" s="74" t="str">
        <f aca="false">IF(C11="","",IFERROR(INDEX('REGISTRE ELEVES'!$D$10:$D$250,MATCH(C11,'REGISTRE ELEVES'!$B$10:$B$250,0)),"Matricule inconnu"))</f>
        <v>YAO Kouakou Konan</v>
      </c>
      <c r="E11" s="73" t="str">
        <f aca="false">IF(C11="","",IFERROR(INDEX('REGISTRE ELEVES'!$F$10:$F$250,MATCH(C11,'REGISTRE ELEVES'!$B$10:$B$250,0)),""))</f>
        <v>CE1</v>
      </c>
      <c r="F11" s="73" t="str">
        <f aca="false">IF(C11="","",IFERROR(INDEX('REGISTRE ELEVES'!$E$10:$E$250,MATCH(C11,'REGISTRE ELEVES'!$B$10:$B$250,0)),""))</f>
        <v>M</v>
      </c>
      <c r="G11" s="116" t="s">
        <v>737</v>
      </c>
      <c r="H11" s="117" t="n">
        <v>1</v>
      </c>
      <c r="I11" s="116"/>
      <c r="J11" s="118" t="s">
        <v>738</v>
      </c>
      <c r="K11" s="116" t="s">
        <v>39</v>
      </c>
      <c r="L11" s="118"/>
      <c r="M11" s="51" t="n">
        <f aca="false">IF(B11="","",MONTH(B11))</f>
        <v>10</v>
      </c>
      <c r="N11" s="51" t="n">
        <f aca="false">IF(B11="","",YEAR(B11))</f>
        <v>2026</v>
      </c>
      <c r="O11" s="51" t="str">
        <f aca="false">IF(B11="","",C11&amp;"|"&amp;M11&amp;"|"&amp;N11)</f>
        <v>CE1-005-26|10|2026</v>
      </c>
    </row>
    <row r="12" customFormat="false" ht="15" hidden="false" customHeight="false" outlineLevel="0" collapsed="false">
      <c r="A12" s="73" t="n">
        <f aca="false">IF(B12="","",ROW()-9)</f>
        <v>3</v>
      </c>
      <c r="B12" s="115" t="n">
        <v>46297</v>
      </c>
      <c r="C12" s="116" t="str">
        <f aca="false">'REGISTRE ELEVES'!B36</f>
        <v>CE1-004-26</v>
      </c>
      <c r="D12" s="74" t="str">
        <f aca="false">IF(C12="","",IFERROR(INDEX('REGISTRE ELEVES'!$D$10:$D$250,MATCH(C12,'REGISTRE ELEVES'!$B$10:$B$250,0)),"Matricule inconnu"))</f>
        <v>KOFFI Grâce Akissi</v>
      </c>
      <c r="E12" s="73" t="str">
        <f aca="false">IF(C12="","",IFERROR(INDEX('REGISTRE ELEVES'!$F$10:$F$250,MATCH(C12,'REGISTRE ELEVES'!$B$10:$B$250,0)),""))</f>
        <v>CE1</v>
      </c>
      <c r="F12" s="73" t="str">
        <f aca="false">IF(C12="","",IFERROR(INDEX('REGISTRE ELEVES'!$E$10:$E$250,MATCH(C12,'REGISTRE ELEVES'!$B$10:$B$250,0)),""))</f>
        <v>F</v>
      </c>
      <c r="G12" s="116" t="s">
        <v>737</v>
      </c>
      <c r="H12" s="117" t="n">
        <v>2</v>
      </c>
      <c r="I12" s="116"/>
      <c r="J12" s="118" t="s">
        <v>736</v>
      </c>
      <c r="K12" s="116" t="s">
        <v>46</v>
      </c>
      <c r="L12" s="118"/>
      <c r="M12" s="51" t="n">
        <f aca="false">IF(B12="","",MONTH(B12))</f>
        <v>10</v>
      </c>
      <c r="N12" s="51" t="n">
        <f aca="false">IF(B12="","",YEAR(B12))</f>
        <v>2026</v>
      </c>
      <c r="O12" s="51" t="str">
        <f aca="false">IF(B12="","",C12&amp;"|"&amp;M12&amp;"|"&amp;N12)</f>
        <v>CE1-004-26|10|2026</v>
      </c>
    </row>
    <row r="13" customFormat="false" ht="15" hidden="false" customHeight="false" outlineLevel="0" collapsed="false">
      <c r="A13" s="73" t="n">
        <f aca="false">IF(B13="","",ROW()-9)</f>
        <v>4</v>
      </c>
      <c r="B13" s="115" t="n">
        <v>46297</v>
      </c>
      <c r="C13" s="116" t="str">
        <f aca="false">'REGISTRE ELEVES'!B22</f>
        <v>CP2-002-26</v>
      </c>
      <c r="D13" s="74" t="str">
        <f aca="false">IF(C13="","",IFERROR(INDEX('REGISTRE ELEVES'!$D$10:$D$250,MATCH(C13,'REGISTRE ELEVES'!$B$10:$B$250,0)),"Matricule inconnu"))</f>
        <v>GBOGOU Amenan Rebecca</v>
      </c>
      <c r="E13" s="73" t="str">
        <f aca="false">IF(C13="","",IFERROR(INDEX('REGISTRE ELEVES'!$F$10:$F$250,MATCH(C13,'REGISTRE ELEVES'!$B$10:$B$250,0)),""))</f>
        <v>CP2</v>
      </c>
      <c r="F13" s="73" t="str">
        <f aca="false">IF(C13="","",IFERROR(INDEX('REGISTRE ELEVES'!$E$10:$E$250,MATCH(C13,'REGISTRE ELEVES'!$B$10:$B$250,0)),""))</f>
        <v>F</v>
      </c>
      <c r="G13" s="116" t="s">
        <v>735</v>
      </c>
      <c r="H13" s="117"/>
      <c r="I13" s="116" t="n">
        <v>20</v>
      </c>
      <c r="J13" s="118" t="s">
        <v>739</v>
      </c>
      <c r="K13" s="116" t="s">
        <v>39</v>
      </c>
      <c r="L13" s="118"/>
      <c r="M13" s="51" t="n">
        <f aca="false">IF(B13="","",MONTH(B13))</f>
        <v>10</v>
      </c>
      <c r="N13" s="51" t="n">
        <f aca="false">IF(B13="","",YEAR(B13))</f>
        <v>2026</v>
      </c>
      <c r="O13" s="51" t="str">
        <f aca="false">IF(B13="","",C13&amp;"|"&amp;M13&amp;"|"&amp;N13)</f>
        <v>CP2-002-26|10|2026</v>
      </c>
    </row>
    <row r="14" customFormat="false" ht="15" hidden="false" customHeight="false" outlineLevel="0" collapsed="false">
      <c r="A14" s="73" t="n">
        <f aca="false">IF(B14="","",ROW()-9)</f>
        <v>5</v>
      </c>
      <c r="B14" s="115" t="n">
        <v>46300</v>
      </c>
      <c r="C14" s="116" t="str">
        <f aca="false">'REGISTRE ELEVES'!B59</f>
        <v>CM1-006-26</v>
      </c>
      <c r="D14" s="74" t="str">
        <f aca="false">IF(C14="","",IFERROR(INDEX('REGISTRE ELEVES'!$D$10:$D$250,MATCH(C14,'REGISTRE ELEVES'!$B$10:$B$250,0)),"Matricule inconnu"))</f>
        <v>N'GUESSAN Jean-Marc Junior</v>
      </c>
      <c r="E14" s="73" t="str">
        <f aca="false">IF(C14="","",IFERROR(INDEX('REGISTRE ELEVES'!$F$10:$F$250,MATCH(C14,'REGISTRE ELEVES'!$B$10:$B$250,0)),""))</f>
        <v>CM1</v>
      </c>
      <c r="F14" s="73" t="str">
        <f aca="false">IF(C14="","",IFERROR(INDEX('REGISTRE ELEVES'!$E$10:$E$250,MATCH(C14,'REGISTRE ELEVES'!$B$10:$B$250,0)),""))</f>
        <v>M</v>
      </c>
      <c r="G14" s="116" t="s">
        <v>737</v>
      </c>
      <c r="H14" s="117" t="n">
        <v>0.5</v>
      </c>
      <c r="I14" s="116"/>
      <c r="J14" s="118" t="s">
        <v>740</v>
      </c>
      <c r="K14" s="116" t="s">
        <v>39</v>
      </c>
      <c r="L14" s="118"/>
      <c r="M14" s="51" t="n">
        <f aca="false">IF(B14="","",MONTH(B14))</f>
        <v>10</v>
      </c>
      <c r="N14" s="51" t="n">
        <f aca="false">IF(B14="","",YEAR(B14))</f>
        <v>2026</v>
      </c>
      <c r="O14" s="51" t="str">
        <f aca="false">IF(B14="","",C14&amp;"|"&amp;M14&amp;"|"&amp;N14)</f>
        <v>CM1-006-26|10|2026</v>
      </c>
    </row>
    <row r="15" customFormat="false" ht="15" hidden="false" customHeight="false" outlineLevel="0" collapsed="false">
      <c r="A15" s="73" t="n">
        <f aca="false">IF(B15="","",ROW()-9)</f>
        <v>6</v>
      </c>
      <c r="B15" s="115" t="n">
        <v>46300</v>
      </c>
      <c r="C15" s="116" t="str">
        <f aca="false">'REGISTRE ELEVES'!B63</f>
        <v>CM1-010-26</v>
      </c>
      <c r="D15" s="74" t="str">
        <f aca="false">IF(C15="","",IFERROR(INDEX('REGISTRE ELEVES'!$D$10:$D$250,MATCH(C15,'REGISTRE ELEVES'!$B$10:$B$250,0)),"Matricule inconnu"))</f>
        <v>YAO Sylvain Kouakou</v>
      </c>
      <c r="E15" s="73" t="str">
        <f aca="false">IF(C15="","",IFERROR(INDEX('REGISTRE ELEVES'!$F$10:$F$250,MATCH(C15,'REGISTRE ELEVES'!$B$10:$B$250,0)),""))</f>
        <v>CM1</v>
      </c>
      <c r="F15" s="73" t="str">
        <f aca="false">IF(C15="","",IFERROR(INDEX('REGISTRE ELEVES'!$E$10:$E$250,MATCH(C15,'REGISTRE ELEVES'!$B$10:$B$250,0)),""))</f>
        <v>M</v>
      </c>
      <c r="G15" s="116" t="s">
        <v>737</v>
      </c>
      <c r="H15" s="117" t="n">
        <v>3</v>
      </c>
      <c r="I15" s="116"/>
      <c r="J15" s="118" t="s">
        <v>740</v>
      </c>
      <c r="K15" s="116" t="s">
        <v>39</v>
      </c>
      <c r="L15" s="118"/>
      <c r="M15" s="51" t="n">
        <f aca="false">IF(B15="","",MONTH(B15))</f>
        <v>10</v>
      </c>
      <c r="N15" s="51" t="n">
        <f aca="false">IF(B15="","",YEAR(B15))</f>
        <v>2026</v>
      </c>
      <c r="O15" s="51" t="str">
        <f aca="false">IF(B15="","",C15&amp;"|"&amp;M15&amp;"|"&amp;N15)</f>
        <v>CM1-010-26|10|2026</v>
      </c>
    </row>
    <row r="16" customFormat="false" ht="15" hidden="false" customHeight="false" outlineLevel="0" collapsed="false">
      <c r="A16" s="73" t="n">
        <f aca="false">IF(B16="","",ROW()-9)</f>
        <v>7</v>
      </c>
      <c r="B16" s="115" t="n">
        <v>46304</v>
      </c>
      <c r="C16" s="116" t="str">
        <f aca="false">'REGISTRE ELEVES'!B48</f>
        <v>CE2-007-26</v>
      </c>
      <c r="D16" s="74" t="str">
        <f aca="false">IF(C16="","",IFERROR(INDEX('REGISTRE ELEVES'!$D$10:$D$250,MATCH(C16,'REGISTRE ELEVES'!$B$10:$B$250,0)),"Matricule inconnu"))</f>
        <v>AKA Franck Moussa</v>
      </c>
      <c r="E16" s="73" t="str">
        <f aca="false">IF(C16="","",IFERROR(INDEX('REGISTRE ELEVES'!$F$10:$F$250,MATCH(C16,'REGISTRE ELEVES'!$B$10:$B$250,0)),""))</f>
        <v>CE2</v>
      </c>
      <c r="F16" s="73" t="str">
        <f aca="false">IF(C16="","",IFERROR(INDEX('REGISTRE ELEVES'!$E$10:$E$250,MATCH(C16,'REGISTRE ELEVES'!$B$10:$B$250,0)),""))</f>
        <v>M</v>
      </c>
      <c r="G16" s="116" t="s">
        <v>737</v>
      </c>
      <c r="H16" s="117" t="n">
        <v>0.5</v>
      </c>
      <c r="I16" s="116"/>
      <c r="J16" s="118" t="s">
        <v>738</v>
      </c>
      <c r="K16" s="116" t="s">
        <v>46</v>
      </c>
      <c r="L16" s="118"/>
      <c r="M16" s="51" t="n">
        <f aca="false">IF(B16="","",MONTH(B16))</f>
        <v>10</v>
      </c>
      <c r="N16" s="51" t="n">
        <f aca="false">IF(B16="","",YEAR(B16))</f>
        <v>2026</v>
      </c>
      <c r="O16" s="51" t="str">
        <f aca="false">IF(B16="","",C16&amp;"|"&amp;M16&amp;"|"&amp;N16)</f>
        <v>CE2-007-26|10|2026</v>
      </c>
    </row>
    <row r="17" customFormat="false" ht="15" hidden="false" customHeight="false" outlineLevel="0" collapsed="false">
      <c r="A17" s="73" t="n">
        <f aca="false">IF(B17="","",ROW()-9)</f>
        <v>8</v>
      </c>
      <c r="B17" s="115" t="n">
        <v>46307</v>
      </c>
      <c r="C17" s="116" t="str">
        <f aca="false">'REGISTRE ELEVES'!B36</f>
        <v>CE1-004-26</v>
      </c>
      <c r="D17" s="74" t="str">
        <f aca="false">IF(C17="","",IFERROR(INDEX('REGISTRE ELEVES'!$D$10:$D$250,MATCH(C17,'REGISTRE ELEVES'!$B$10:$B$250,0)),"Matricule inconnu"))</f>
        <v>KOFFI Grâce Akissi</v>
      </c>
      <c r="E17" s="73" t="str">
        <f aca="false">IF(C17="","",IFERROR(INDEX('REGISTRE ELEVES'!$F$10:$F$250,MATCH(C17,'REGISTRE ELEVES'!$B$10:$B$250,0)),""))</f>
        <v>CE1</v>
      </c>
      <c r="F17" s="73" t="str">
        <f aca="false">IF(C17="","",IFERROR(INDEX('REGISTRE ELEVES'!$E$10:$E$250,MATCH(C17,'REGISTRE ELEVES'!$B$10:$B$250,0)),""))</f>
        <v>F</v>
      </c>
      <c r="G17" s="116" t="s">
        <v>737</v>
      </c>
      <c r="H17" s="117" t="n">
        <v>2</v>
      </c>
      <c r="I17" s="116"/>
      <c r="J17" s="118" t="s">
        <v>738</v>
      </c>
      <c r="K17" s="116" t="s">
        <v>46</v>
      </c>
      <c r="L17" s="118"/>
      <c r="M17" s="51" t="n">
        <f aca="false">IF(B17="","",MONTH(B17))</f>
        <v>10</v>
      </c>
      <c r="N17" s="51" t="n">
        <f aca="false">IF(B17="","",YEAR(B17))</f>
        <v>2026</v>
      </c>
      <c r="O17" s="51" t="str">
        <f aca="false">IF(B17="","",C17&amp;"|"&amp;M17&amp;"|"&amp;N17)</f>
        <v>CE1-004-26|10|2026</v>
      </c>
    </row>
    <row r="18" customFormat="false" ht="15" hidden="false" customHeight="false" outlineLevel="0" collapsed="false">
      <c r="A18" s="73" t="n">
        <f aca="false">IF(B18="","",ROW()-9)</f>
        <v>9</v>
      </c>
      <c r="B18" s="115" t="n">
        <v>46308</v>
      </c>
      <c r="C18" s="116" t="str">
        <f aca="false">'REGISTRE ELEVES'!B14</f>
        <v>CP1-005-26</v>
      </c>
      <c r="D18" s="74" t="str">
        <f aca="false">IF(C18="","",IFERROR(INDEX('REGISTRE ELEVES'!$D$10:$D$250,MATCH(C18,'REGISTRE ELEVES'!$B$10:$B$250,0)),"Matricule inconnu"))</f>
        <v>KOFFI Awa Akissi</v>
      </c>
      <c r="E18" s="73" t="str">
        <f aca="false">IF(C18="","",IFERROR(INDEX('REGISTRE ELEVES'!$F$10:$F$250,MATCH(C18,'REGISTRE ELEVES'!$B$10:$B$250,0)),""))</f>
        <v>CP1</v>
      </c>
      <c r="F18" s="73" t="str">
        <f aca="false">IF(C18="","",IFERROR(INDEX('REGISTRE ELEVES'!$E$10:$E$250,MATCH(C18,'REGISTRE ELEVES'!$B$10:$B$250,0)),""))</f>
        <v>F</v>
      </c>
      <c r="G18" s="116" t="s">
        <v>737</v>
      </c>
      <c r="H18" s="117" t="n">
        <v>1</v>
      </c>
      <c r="I18" s="116"/>
      <c r="J18" s="118" t="s">
        <v>738</v>
      </c>
      <c r="K18" s="116" t="s">
        <v>39</v>
      </c>
      <c r="L18" s="118"/>
      <c r="M18" s="51" t="n">
        <f aca="false">IF(B18="","",MONTH(B18))</f>
        <v>10</v>
      </c>
      <c r="N18" s="51" t="n">
        <f aca="false">IF(B18="","",YEAR(B18))</f>
        <v>2026</v>
      </c>
      <c r="O18" s="51" t="str">
        <f aca="false">IF(B18="","",C18&amp;"|"&amp;M18&amp;"|"&amp;N18)</f>
        <v>CP1-005-26|10|2026</v>
      </c>
    </row>
    <row r="19" customFormat="false" ht="15" hidden="false" customHeight="false" outlineLevel="0" collapsed="false">
      <c r="A19" s="73" t="n">
        <f aca="false">IF(B19="","",ROW()-9)</f>
        <v>10</v>
      </c>
      <c r="B19" s="115" t="n">
        <v>46317</v>
      </c>
      <c r="C19" s="116" t="str">
        <f aca="false">'REGISTRE ELEVES'!B44</f>
        <v>CE2-003-26</v>
      </c>
      <c r="D19" s="74" t="str">
        <f aca="false">IF(C19="","",IFERROR(INDEX('REGISTRE ELEVES'!$D$10:$D$250,MATCH(C19,'REGISTRE ELEVES'!$B$10:$B$250,0)),"Matricule inconnu"))</f>
        <v>KOFFI Estelle Akissi</v>
      </c>
      <c r="E19" s="73" t="str">
        <f aca="false">IF(C19="","",IFERROR(INDEX('REGISTRE ELEVES'!$F$10:$F$250,MATCH(C19,'REGISTRE ELEVES'!$B$10:$B$250,0)),""))</f>
        <v>CE2</v>
      </c>
      <c r="F19" s="73" t="str">
        <f aca="false">IF(C19="","",IFERROR(INDEX('REGISTRE ELEVES'!$E$10:$E$250,MATCH(C19,'REGISTRE ELEVES'!$B$10:$B$250,0)),""))</f>
        <v>F</v>
      </c>
      <c r="G19" s="116" t="s">
        <v>735</v>
      </c>
      <c r="H19" s="117"/>
      <c r="I19" s="116" t="n">
        <v>15</v>
      </c>
      <c r="J19" s="118" t="s">
        <v>741</v>
      </c>
      <c r="K19" s="116" t="s">
        <v>39</v>
      </c>
      <c r="L19" s="118"/>
      <c r="M19" s="51" t="n">
        <f aca="false">IF(B19="","",MONTH(B19))</f>
        <v>10</v>
      </c>
      <c r="N19" s="51" t="n">
        <f aca="false">IF(B19="","",YEAR(B19))</f>
        <v>2026</v>
      </c>
      <c r="O19" s="51" t="str">
        <f aca="false">IF(B19="","",C19&amp;"|"&amp;M19&amp;"|"&amp;N19)</f>
        <v>CE2-003-26|10|2026</v>
      </c>
    </row>
    <row r="20" customFormat="false" ht="15" hidden="false" customHeight="false" outlineLevel="0" collapsed="false">
      <c r="A20" s="73" t="n">
        <f aca="false">IF(B20="","",ROW()-9)</f>
        <v>11</v>
      </c>
      <c r="B20" s="115" t="n">
        <v>46322</v>
      </c>
      <c r="C20" s="116" t="str">
        <f aca="false">'REGISTRE ELEVES'!B45</f>
        <v>CE2-004-26</v>
      </c>
      <c r="D20" s="74" t="str">
        <f aca="false">IF(C20="","",IFERROR(INDEX('REGISTRE ELEVES'!$D$10:$D$250,MATCH(C20,'REGISTRE ELEVES'!$B$10:$B$250,0)),"Matricule inconnu"))</f>
        <v>BOHOUSSOU Adjoua Akissi</v>
      </c>
      <c r="E20" s="73" t="str">
        <f aca="false">IF(C20="","",IFERROR(INDEX('REGISTRE ELEVES'!$F$10:$F$250,MATCH(C20,'REGISTRE ELEVES'!$B$10:$B$250,0)),""))</f>
        <v>CE2</v>
      </c>
      <c r="F20" s="73" t="str">
        <f aca="false">IF(C20="","",IFERROR(INDEX('REGISTRE ELEVES'!$E$10:$E$250,MATCH(C20,'REGISTRE ELEVES'!$B$10:$B$250,0)),""))</f>
        <v>F</v>
      </c>
      <c r="G20" s="116" t="s">
        <v>737</v>
      </c>
      <c r="H20" s="117" t="n">
        <v>3</v>
      </c>
      <c r="I20" s="116"/>
      <c r="J20" s="118" t="s">
        <v>742</v>
      </c>
      <c r="K20" s="116" t="s">
        <v>46</v>
      </c>
      <c r="L20" s="118"/>
      <c r="M20" s="51" t="n">
        <f aca="false">IF(B20="","",MONTH(B20))</f>
        <v>10</v>
      </c>
      <c r="N20" s="51" t="n">
        <f aca="false">IF(B20="","",YEAR(B20))</f>
        <v>2026</v>
      </c>
      <c r="O20" s="51" t="str">
        <f aca="false">IF(B20="","",C20&amp;"|"&amp;M20&amp;"|"&amp;N20)</f>
        <v>CE2-004-26|10|2026</v>
      </c>
    </row>
    <row r="21" customFormat="false" ht="15" hidden="false" customHeight="false" outlineLevel="0" collapsed="false">
      <c r="A21" s="73" t="n">
        <f aca="false">IF(B21="","",ROW()-9)</f>
        <v>12</v>
      </c>
      <c r="B21" s="115" t="n">
        <v>46324</v>
      </c>
      <c r="C21" s="116" t="str">
        <f aca="false">'REGISTRE ELEVES'!B69</f>
        <v>CM2-005-26</v>
      </c>
      <c r="D21" s="74" t="str">
        <f aca="false">IF(C21="","",IFERROR(INDEX('REGISTRE ELEVES'!$D$10:$D$250,MATCH(C21,'REGISTRE ELEVES'!$B$10:$B$250,0)),"Matricule inconnu"))</f>
        <v>SERI Awa Mariam</v>
      </c>
      <c r="E21" s="73" t="str">
        <f aca="false">IF(C21="","",IFERROR(INDEX('REGISTRE ELEVES'!$F$10:$F$250,MATCH(C21,'REGISTRE ELEVES'!$B$10:$B$250,0)),""))</f>
        <v>CM2</v>
      </c>
      <c r="F21" s="73" t="str">
        <f aca="false">IF(C21="","",IFERROR(INDEX('REGISTRE ELEVES'!$E$10:$E$250,MATCH(C21,'REGISTRE ELEVES'!$B$10:$B$250,0)),""))</f>
        <v>F</v>
      </c>
      <c r="G21" s="116" t="s">
        <v>737</v>
      </c>
      <c r="H21" s="117" t="n">
        <v>3</v>
      </c>
      <c r="I21" s="116"/>
      <c r="J21" s="118" t="s">
        <v>738</v>
      </c>
      <c r="K21" s="116" t="s">
        <v>39</v>
      </c>
      <c r="L21" s="118"/>
      <c r="M21" s="51" t="n">
        <f aca="false">IF(B21="","",MONTH(B21))</f>
        <v>10</v>
      </c>
      <c r="N21" s="51" t="n">
        <f aca="false">IF(B21="","",YEAR(B21))</f>
        <v>2026</v>
      </c>
      <c r="O21" s="51" t="str">
        <f aca="false">IF(B21="","",C21&amp;"|"&amp;M21&amp;"|"&amp;N21)</f>
        <v>CM2-005-26|10|2026</v>
      </c>
    </row>
    <row r="22" customFormat="false" ht="15" hidden="false" customHeight="false" outlineLevel="0" collapsed="false">
      <c r="A22" s="73" t="n">
        <f aca="false">IF(B22="","",ROW()-9)</f>
        <v>13</v>
      </c>
      <c r="B22" s="115" t="n">
        <v>46324</v>
      </c>
      <c r="C22" s="116" t="str">
        <f aca="false">'REGISTRE ELEVES'!B51</f>
        <v>CE2-010-26</v>
      </c>
      <c r="D22" s="74" t="str">
        <f aca="false">IF(C22="","",IFERROR(INDEX('REGISTRE ELEVES'!$D$10:$D$250,MATCH(C22,'REGISTRE ELEVES'!$B$10:$B$250,0)),"Matricule inconnu"))</f>
        <v>COULIBALY Cédric Jean-Marc</v>
      </c>
      <c r="E22" s="73" t="str">
        <f aca="false">IF(C22="","",IFERROR(INDEX('REGISTRE ELEVES'!$F$10:$F$250,MATCH(C22,'REGISTRE ELEVES'!$B$10:$B$250,0)),""))</f>
        <v>CE2</v>
      </c>
      <c r="F22" s="73" t="str">
        <f aca="false">IF(C22="","",IFERROR(INDEX('REGISTRE ELEVES'!$E$10:$E$250,MATCH(C22,'REGISTRE ELEVES'!$B$10:$B$250,0)),""))</f>
        <v>M</v>
      </c>
      <c r="G22" s="116" t="s">
        <v>737</v>
      </c>
      <c r="H22" s="117" t="n">
        <v>3</v>
      </c>
      <c r="I22" s="116"/>
      <c r="J22" s="118" t="s">
        <v>739</v>
      </c>
      <c r="K22" s="116" t="s">
        <v>46</v>
      </c>
      <c r="L22" s="118"/>
      <c r="M22" s="51" t="n">
        <f aca="false">IF(B22="","",MONTH(B22))</f>
        <v>10</v>
      </c>
      <c r="N22" s="51" t="n">
        <f aca="false">IF(B22="","",YEAR(B22))</f>
        <v>2026</v>
      </c>
      <c r="O22" s="51" t="str">
        <f aca="false">IF(B22="","",C22&amp;"|"&amp;M22&amp;"|"&amp;N22)</f>
        <v>CE2-010-26|10|2026</v>
      </c>
    </row>
    <row r="23" customFormat="false" ht="15" hidden="false" customHeight="false" outlineLevel="0" collapsed="false">
      <c r="A23" s="73" t="n">
        <f aca="false">IF(B23="","",ROW()-9)</f>
        <v>14</v>
      </c>
      <c r="B23" s="115" t="n">
        <v>46324</v>
      </c>
      <c r="C23" s="116" t="str">
        <f aca="false">'REGISTRE ELEVES'!B34</f>
        <v>CE1-002-26</v>
      </c>
      <c r="D23" s="74" t="str">
        <f aca="false">IF(C23="","",IFERROR(INDEX('REGISTRE ELEVES'!$D$10:$D$250,MATCH(C23,'REGISTRE ELEVES'!$B$10:$B$250,0)),"Matricule inconnu"))</f>
        <v>KONE Clarisse Amenan</v>
      </c>
      <c r="E23" s="73" t="str">
        <f aca="false">IF(C23="","",IFERROR(INDEX('REGISTRE ELEVES'!$F$10:$F$250,MATCH(C23,'REGISTRE ELEVES'!$B$10:$B$250,0)),""))</f>
        <v>CE1</v>
      </c>
      <c r="F23" s="73" t="str">
        <f aca="false">IF(C23="","",IFERROR(INDEX('REGISTRE ELEVES'!$E$10:$E$250,MATCH(C23,'REGISTRE ELEVES'!$B$10:$B$250,0)),""))</f>
        <v>F</v>
      </c>
      <c r="G23" s="116" t="s">
        <v>737</v>
      </c>
      <c r="H23" s="117" t="n">
        <v>3</v>
      </c>
      <c r="I23" s="116"/>
      <c r="J23" s="118" t="s">
        <v>739</v>
      </c>
      <c r="K23" s="116" t="s">
        <v>46</v>
      </c>
      <c r="L23" s="118"/>
      <c r="M23" s="51" t="n">
        <f aca="false">IF(B23="","",MONTH(B23))</f>
        <v>10</v>
      </c>
      <c r="N23" s="51" t="n">
        <f aca="false">IF(B23="","",YEAR(B23))</f>
        <v>2026</v>
      </c>
      <c r="O23" s="51" t="str">
        <f aca="false">IF(B23="","",C23&amp;"|"&amp;M23&amp;"|"&amp;N23)</f>
        <v>CE1-002-26|10|2026</v>
      </c>
    </row>
    <row r="24" customFormat="false" ht="15" hidden="false" customHeight="false" outlineLevel="0" collapsed="false">
      <c r="A24" s="73" t="n">
        <f aca="false">IF(B24="","",ROW()-9)</f>
        <v>15</v>
      </c>
      <c r="B24" s="115" t="n">
        <v>46325</v>
      </c>
      <c r="C24" s="116" t="str">
        <f aca="false">'REGISTRE ELEVES'!B47</f>
        <v>CE2-006-26</v>
      </c>
      <c r="D24" s="74" t="str">
        <f aca="false">IF(C24="","",IFERROR(INDEX('REGISTRE ELEVES'!$D$10:$D$250,MATCH(C24,'REGISTRE ELEVES'!$B$10:$B$250,0)),"Matricule inconnu"))</f>
        <v>LOBA Aya Rebecca</v>
      </c>
      <c r="E24" s="73" t="str">
        <f aca="false">IF(C24="","",IFERROR(INDEX('REGISTRE ELEVES'!$F$10:$F$250,MATCH(C24,'REGISTRE ELEVES'!$B$10:$B$250,0)),""))</f>
        <v>CE2</v>
      </c>
      <c r="F24" s="73" t="str">
        <f aca="false">IF(C24="","",IFERROR(INDEX('REGISTRE ELEVES'!$E$10:$E$250,MATCH(C24,'REGISTRE ELEVES'!$B$10:$B$250,0)),""))</f>
        <v>F</v>
      </c>
      <c r="G24" s="116" t="s">
        <v>737</v>
      </c>
      <c r="H24" s="117" t="n">
        <v>0.5</v>
      </c>
      <c r="I24" s="116"/>
      <c r="J24" s="118" t="s">
        <v>740</v>
      </c>
      <c r="K24" s="116" t="s">
        <v>39</v>
      </c>
      <c r="L24" s="118"/>
      <c r="M24" s="51" t="n">
        <f aca="false">IF(B24="","",MONTH(B24))</f>
        <v>10</v>
      </c>
      <c r="N24" s="51" t="n">
        <f aca="false">IF(B24="","",YEAR(B24))</f>
        <v>2026</v>
      </c>
      <c r="O24" s="51" t="str">
        <f aca="false">IF(B24="","",C24&amp;"|"&amp;M24&amp;"|"&amp;N24)</f>
        <v>CE2-006-26|10|2026</v>
      </c>
    </row>
    <row r="25" customFormat="false" ht="15" hidden="false" customHeight="false" outlineLevel="0" collapsed="false">
      <c r="A25" s="73" t="n">
        <f aca="false">IF(B25="","",ROW()-9)</f>
        <v>16</v>
      </c>
      <c r="B25" s="115" t="n">
        <v>46332</v>
      </c>
      <c r="C25" s="116" t="str">
        <f aca="false">'REGISTRE ELEVES'!B15</f>
        <v>CP1-006-26</v>
      </c>
      <c r="D25" s="74" t="str">
        <f aca="false">IF(C25="","",IFERROR(INDEX('REGISTRE ELEVES'!$D$10:$D$250,MATCH(C25,'REGISTRE ELEVES'!$B$10:$B$250,0)),"Matricule inconnu"))</f>
        <v>GBOGOU Marie-Ange Estelle</v>
      </c>
      <c r="E25" s="73" t="str">
        <f aca="false">IF(C25="","",IFERROR(INDEX('REGISTRE ELEVES'!$F$10:$F$250,MATCH(C25,'REGISTRE ELEVES'!$B$10:$B$250,0)),""))</f>
        <v>CP1</v>
      </c>
      <c r="F25" s="73" t="str">
        <f aca="false">IF(C25="","",IFERROR(INDEX('REGISTRE ELEVES'!$E$10:$E$250,MATCH(C25,'REGISTRE ELEVES'!$B$10:$B$250,0)),""))</f>
        <v>F</v>
      </c>
      <c r="G25" s="116" t="s">
        <v>735</v>
      </c>
      <c r="H25" s="117"/>
      <c r="I25" s="116" t="n">
        <v>45</v>
      </c>
      <c r="J25" s="118" t="s">
        <v>736</v>
      </c>
      <c r="K25" s="116" t="s">
        <v>46</v>
      </c>
      <c r="L25" s="118"/>
      <c r="M25" s="51" t="n">
        <f aca="false">IF(B25="","",MONTH(B25))</f>
        <v>11</v>
      </c>
      <c r="N25" s="51" t="n">
        <f aca="false">IF(B25="","",YEAR(B25))</f>
        <v>2026</v>
      </c>
      <c r="O25" s="51" t="str">
        <f aca="false">IF(B25="","",C25&amp;"|"&amp;M25&amp;"|"&amp;N25)</f>
        <v>CP1-006-26|11|2026</v>
      </c>
    </row>
    <row r="26" customFormat="false" ht="15" hidden="false" customHeight="false" outlineLevel="0" collapsed="false">
      <c r="A26" s="73" t="n">
        <f aca="false">IF(B26="","",ROW()-9)</f>
        <v>17</v>
      </c>
      <c r="B26" s="115" t="n">
        <v>46332</v>
      </c>
      <c r="C26" s="116" t="str">
        <f aca="false">'REGISTRE ELEVES'!B18</f>
        <v>CP1-009-26</v>
      </c>
      <c r="D26" s="74" t="str">
        <f aca="false">IF(C26="","",IFERROR(INDEX('REGISTRE ELEVES'!$D$10:$D$250,MATCH(C26,'REGISTRE ELEVES'!$B$10:$B$250,0)),"Matricule inconnu"))</f>
        <v>BAMBA Cédric Abdoulaye</v>
      </c>
      <c r="E26" s="73" t="str">
        <f aca="false">IF(C26="","",IFERROR(INDEX('REGISTRE ELEVES'!$F$10:$F$250,MATCH(C26,'REGISTRE ELEVES'!$B$10:$B$250,0)),""))</f>
        <v>CP1</v>
      </c>
      <c r="F26" s="73" t="str">
        <f aca="false">IF(C26="","",IFERROR(INDEX('REGISTRE ELEVES'!$E$10:$E$250,MATCH(C26,'REGISTRE ELEVES'!$B$10:$B$250,0)),""))</f>
        <v>M</v>
      </c>
      <c r="G26" s="116" t="s">
        <v>737</v>
      </c>
      <c r="H26" s="117" t="n">
        <v>0.5</v>
      </c>
      <c r="I26" s="116"/>
      <c r="J26" s="118" t="s">
        <v>736</v>
      </c>
      <c r="K26" s="116" t="s">
        <v>39</v>
      </c>
      <c r="L26" s="118"/>
      <c r="M26" s="51" t="n">
        <f aca="false">IF(B26="","",MONTH(B26))</f>
        <v>11</v>
      </c>
      <c r="N26" s="51" t="n">
        <f aca="false">IF(B26="","",YEAR(B26))</f>
        <v>2026</v>
      </c>
      <c r="O26" s="51" t="str">
        <f aca="false">IF(B26="","",C26&amp;"|"&amp;M26&amp;"|"&amp;N26)</f>
        <v>CP1-009-26|11|2026</v>
      </c>
    </row>
    <row r="27" customFormat="false" ht="15" hidden="false" customHeight="false" outlineLevel="0" collapsed="false">
      <c r="A27" s="73" t="n">
        <f aca="false">IF(B27="","",ROW()-9)</f>
        <v>18</v>
      </c>
      <c r="B27" s="115" t="n">
        <v>46335</v>
      </c>
      <c r="C27" s="116" t="str">
        <f aca="false">'REGISTRE ELEVES'!B30</f>
        <v>CP2-010-26</v>
      </c>
      <c r="D27" s="74" t="str">
        <f aca="false">IF(C27="","",IFERROR(INDEX('REGISTRE ELEVES'!$D$10:$D$250,MATCH(C27,'REGISTRE ELEVES'!$B$10:$B$250,0)),"Matricule inconnu"))</f>
        <v>YAO Kouadio Cédric</v>
      </c>
      <c r="E27" s="73" t="str">
        <f aca="false">IF(C27="","",IFERROR(INDEX('REGISTRE ELEVES'!$F$10:$F$250,MATCH(C27,'REGISTRE ELEVES'!$B$10:$B$250,0)),""))</f>
        <v>CP2</v>
      </c>
      <c r="F27" s="73" t="str">
        <f aca="false">IF(C27="","",IFERROR(INDEX('REGISTRE ELEVES'!$E$10:$E$250,MATCH(C27,'REGISTRE ELEVES'!$B$10:$B$250,0)),""))</f>
        <v>M</v>
      </c>
      <c r="G27" s="116" t="s">
        <v>735</v>
      </c>
      <c r="H27" s="117"/>
      <c r="I27" s="116" t="n">
        <v>15</v>
      </c>
      <c r="J27" s="118" t="s">
        <v>738</v>
      </c>
      <c r="K27" s="116" t="s">
        <v>39</v>
      </c>
      <c r="L27" s="118"/>
      <c r="M27" s="51" t="n">
        <f aca="false">IF(B27="","",MONTH(B27))</f>
        <v>11</v>
      </c>
      <c r="N27" s="51" t="n">
        <f aca="false">IF(B27="","",YEAR(B27))</f>
        <v>2026</v>
      </c>
      <c r="O27" s="51" t="str">
        <f aca="false">IF(B27="","",C27&amp;"|"&amp;M27&amp;"|"&amp;N27)</f>
        <v>CP2-010-26|11|2026</v>
      </c>
    </row>
    <row r="28" customFormat="false" ht="15" hidden="false" customHeight="false" outlineLevel="0" collapsed="false">
      <c r="A28" s="73" t="n">
        <f aca="false">IF(B28="","",ROW()-9)</f>
        <v>19</v>
      </c>
      <c r="B28" s="115" t="n">
        <v>46336</v>
      </c>
      <c r="C28" s="116" t="str">
        <f aca="false">'REGISTRE ELEVES'!B70</f>
        <v>CM2-006-26</v>
      </c>
      <c r="D28" s="74" t="str">
        <f aca="false">IF(C28="","",IFERROR(INDEX('REGISTRE ELEVES'!$D$10:$D$250,MATCH(C28,'REGISTRE ELEVES'!$B$10:$B$250,0)),"Matricule inconnu"))</f>
        <v>TANOH Akissi Rebecca</v>
      </c>
      <c r="E28" s="73" t="str">
        <f aca="false">IF(C28="","",IFERROR(INDEX('REGISTRE ELEVES'!$F$10:$F$250,MATCH(C28,'REGISTRE ELEVES'!$B$10:$B$250,0)),""))</f>
        <v>CM2</v>
      </c>
      <c r="F28" s="73" t="str">
        <f aca="false">IF(C28="","",IFERROR(INDEX('REGISTRE ELEVES'!$E$10:$E$250,MATCH(C28,'REGISTRE ELEVES'!$B$10:$B$250,0)),""))</f>
        <v>F</v>
      </c>
      <c r="G28" s="116" t="s">
        <v>737</v>
      </c>
      <c r="H28" s="117" t="n">
        <v>3</v>
      </c>
      <c r="I28" s="116"/>
      <c r="J28" s="118" t="s">
        <v>739</v>
      </c>
      <c r="K28" s="116" t="s">
        <v>39</v>
      </c>
      <c r="L28" s="118"/>
      <c r="M28" s="51" t="n">
        <f aca="false">IF(B28="","",MONTH(B28))</f>
        <v>11</v>
      </c>
      <c r="N28" s="51" t="n">
        <f aca="false">IF(B28="","",YEAR(B28))</f>
        <v>2026</v>
      </c>
      <c r="O28" s="51" t="str">
        <f aca="false">IF(B28="","",C28&amp;"|"&amp;M28&amp;"|"&amp;N28)</f>
        <v>CM2-006-26|11|2026</v>
      </c>
    </row>
    <row r="29" customFormat="false" ht="15" hidden="false" customHeight="false" outlineLevel="0" collapsed="false">
      <c r="A29" s="73" t="n">
        <f aca="false">IF(B29="","",ROW()-9)</f>
        <v>20</v>
      </c>
      <c r="B29" s="115" t="n">
        <v>46337</v>
      </c>
      <c r="C29" s="116" t="str">
        <f aca="false">'REGISTRE ELEVES'!B63</f>
        <v>CM1-010-26</v>
      </c>
      <c r="D29" s="74" t="str">
        <f aca="false">IF(C29="","",IFERROR(INDEX('REGISTRE ELEVES'!$D$10:$D$250,MATCH(C29,'REGISTRE ELEVES'!$B$10:$B$250,0)),"Matricule inconnu"))</f>
        <v>YAO Sylvain Kouakou</v>
      </c>
      <c r="E29" s="73" t="str">
        <f aca="false">IF(C29="","",IFERROR(INDEX('REGISTRE ELEVES'!$F$10:$F$250,MATCH(C29,'REGISTRE ELEVES'!$B$10:$B$250,0)),""))</f>
        <v>CM1</v>
      </c>
      <c r="F29" s="73" t="str">
        <f aca="false">IF(C29="","",IFERROR(INDEX('REGISTRE ELEVES'!$E$10:$E$250,MATCH(C29,'REGISTRE ELEVES'!$B$10:$B$250,0)),""))</f>
        <v>M</v>
      </c>
      <c r="G29" s="116" t="s">
        <v>737</v>
      </c>
      <c r="H29" s="117" t="n">
        <v>2</v>
      </c>
      <c r="I29" s="116"/>
      <c r="J29" s="118" t="s">
        <v>742</v>
      </c>
      <c r="K29" s="116" t="s">
        <v>39</v>
      </c>
      <c r="L29" s="118"/>
      <c r="M29" s="51" t="n">
        <f aca="false">IF(B29="","",MONTH(B29))</f>
        <v>11</v>
      </c>
      <c r="N29" s="51" t="n">
        <f aca="false">IF(B29="","",YEAR(B29))</f>
        <v>2026</v>
      </c>
      <c r="O29" s="51" t="str">
        <f aca="false">IF(B29="","",C29&amp;"|"&amp;M29&amp;"|"&amp;N29)</f>
        <v>CM1-010-26|11|2026</v>
      </c>
    </row>
    <row r="30" customFormat="false" ht="15" hidden="false" customHeight="false" outlineLevel="0" collapsed="false">
      <c r="A30" s="73" t="n">
        <f aca="false">IF(B30="","",ROW()-9)</f>
        <v>21</v>
      </c>
      <c r="B30" s="115" t="n">
        <v>46344</v>
      </c>
      <c r="C30" s="116" t="str">
        <f aca="false">'REGISTRE ELEVES'!B50</f>
        <v>CE2-009-26</v>
      </c>
      <c r="D30" s="74" t="str">
        <f aca="false">IF(C30="","",IFERROR(INDEX('REGISTRE ELEVES'!$D$10:$D$250,MATCH(C30,'REGISTRE ELEVES'!$B$10:$B$250,0)),"Matricule inconnu"))</f>
        <v>YAO Awa Estelle</v>
      </c>
      <c r="E30" s="73" t="str">
        <f aca="false">IF(C30="","",IFERROR(INDEX('REGISTRE ELEVES'!$F$10:$F$250,MATCH(C30,'REGISTRE ELEVES'!$B$10:$B$250,0)),""))</f>
        <v>CE2</v>
      </c>
      <c r="F30" s="73" t="str">
        <f aca="false">IF(C30="","",IFERROR(INDEX('REGISTRE ELEVES'!$E$10:$E$250,MATCH(C30,'REGISTRE ELEVES'!$B$10:$B$250,0)),""))</f>
        <v>F</v>
      </c>
      <c r="G30" s="116" t="s">
        <v>737</v>
      </c>
      <c r="H30" s="117" t="n">
        <v>1</v>
      </c>
      <c r="I30" s="116"/>
      <c r="J30" s="118" t="s">
        <v>738</v>
      </c>
      <c r="K30" s="116" t="s">
        <v>39</v>
      </c>
      <c r="L30" s="118"/>
      <c r="M30" s="51" t="n">
        <f aca="false">IF(B30="","",MONTH(B30))</f>
        <v>11</v>
      </c>
      <c r="N30" s="51" t="n">
        <f aca="false">IF(B30="","",YEAR(B30))</f>
        <v>2026</v>
      </c>
      <c r="O30" s="51" t="str">
        <f aca="false">IF(B30="","",C30&amp;"|"&amp;M30&amp;"|"&amp;N30)</f>
        <v>CE2-009-26|11|2026</v>
      </c>
    </row>
    <row r="31" customFormat="false" ht="15" hidden="false" customHeight="false" outlineLevel="0" collapsed="false">
      <c r="A31" s="73" t="n">
        <f aca="false">IF(B31="","",ROW()-9)</f>
        <v>22</v>
      </c>
      <c r="B31" s="115" t="n">
        <v>46344</v>
      </c>
      <c r="C31" s="116" t="str">
        <f aca="false">'REGISTRE ELEVES'!B62</f>
        <v>CM1-009-26</v>
      </c>
      <c r="D31" s="74" t="str">
        <f aca="false">IF(C31="","",IFERROR(INDEX('REGISTRE ELEVES'!$D$10:$D$250,MATCH(C31,'REGISTRE ELEVES'!$B$10:$B$250,0)),"Matricule inconnu"))</f>
        <v>DIABATE Jean-Marc Cédric</v>
      </c>
      <c r="E31" s="73" t="str">
        <f aca="false">IF(C31="","",IFERROR(INDEX('REGISTRE ELEVES'!$F$10:$F$250,MATCH(C31,'REGISTRE ELEVES'!$B$10:$B$250,0)),""))</f>
        <v>CM1</v>
      </c>
      <c r="F31" s="73" t="str">
        <f aca="false">IF(C31="","",IFERROR(INDEX('REGISTRE ELEVES'!$E$10:$E$250,MATCH(C31,'REGISTRE ELEVES'!$B$10:$B$250,0)),""))</f>
        <v>M</v>
      </c>
      <c r="G31" s="116" t="s">
        <v>737</v>
      </c>
      <c r="H31" s="117" t="n">
        <v>0.5</v>
      </c>
      <c r="I31" s="116"/>
      <c r="J31" s="118" t="s">
        <v>739</v>
      </c>
      <c r="K31" s="116" t="s">
        <v>39</v>
      </c>
      <c r="L31" s="118"/>
      <c r="M31" s="51" t="n">
        <f aca="false">IF(B31="","",MONTH(B31))</f>
        <v>11</v>
      </c>
      <c r="N31" s="51" t="n">
        <f aca="false">IF(B31="","",YEAR(B31))</f>
        <v>2026</v>
      </c>
      <c r="O31" s="51" t="str">
        <f aca="false">IF(B31="","",C31&amp;"|"&amp;M31&amp;"|"&amp;N31)</f>
        <v>CM1-009-26|11|2026</v>
      </c>
    </row>
    <row r="32" customFormat="false" ht="15" hidden="false" customHeight="false" outlineLevel="0" collapsed="false">
      <c r="A32" s="73" t="str">
        <f aca="false">IF(B32="","",ROW()-9)</f>
        <v/>
      </c>
      <c r="B32" s="115"/>
      <c r="C32" s="116"/>
      <c r="D32" s="74" t="str">
        <f aca="false">IF(C32="","",IFERROR(INDEX('REGISTRE ELEVES'!$D$10:$D$250,MATCH(C32,'REGISTRE ELEVES'!$B$10:$B$250,0)),"Matricule inconnu"))</f>
        <v/>
      </c>
      <c r="E32" s="73" t="str">
        <f aca="false">IF(C32="","",IFERROR(INDEX('REGISTRE ELEVES'!$F$10:$F$250,MATCH(C32,'REGISTRE ELEVES'!$B$10:$B$250,0)),""))</f>
        <v/>
      </c>
      <c r="F32" s="73" t="str">
        <f aca="false">IF(C32="","",IFERROR(INDEX('REGISTRE ELEVES'!$E$10:$E$250,MATCH(C32,'REGISTRE ELEVES'!$B$10:$B$250,0)),""))</f>
        <v/>
      </c>
      <c r="G32" s="116"/>
      <c r="H32" s="117"/>
      <c r="I32" s="116"/>
      <c r="J32" s="118"/>
      <c r="K32" s="116"/>
      <c r="L32" s="118"/>
      <c r="M32" s="51" t="str">
        <f aca="false">IF(B32="","",MONTH(B32))</f>
        <v/>
      </c>
      <c r="N32" s="51" t="str">
        <f aca="false">IF(B32="","",YEAR(B32))</f>
        <v/>
      </c>
      <c r="O32" s="51" t="str">
        <f aca="false">IF(B32="","",C32&amp;"|"&amp;M32&amp;"|"&amp;N32)</f>
        <v/>
      </c>
    </row>
    <row r="33" customFormat="false" ht="15" hidden="false" customHeight="false" outlineLevel="0" collapsed="false">
      <c r="A33" s="73" t="str">
        <f aca="false">IF(B33="","",ROW()-9)</f>
        <v/>
      </c>
      <c r="B33" s="115"/>
      <c r="C33" s="116"/>
      <c r="D33" s="74" t="str">
        <f aca="false">IF(C33="","",IFERROR(INDEX('REGISTRE ELEVES'!$D$10:$D$250,MATCH(C33,'REGISTRE ELEVES'!$B$10:$B$250,0)),"Matricule inconnu"))</f>
        <v/>
      </c>
      <c r="E33" s="73" t="str">
        <f aca="false">IF(C33="","",IFERROR(INDEX('REGISTRE ELEVES'!$F$10:$F$250,MATCH(C33,'REGISTRE ELEVES'!$B$10:$B$250,0)),""))</f>
        <v/>
      </c>
      <c r="F33" s="73" t="str">
        <f aca="false">IF(C33="","",IFERROR(INDEX('REGISTRE ELEVES'!$E$10:$E$250,MATCH(C33,'REGISTRE ELEVES'!$B$10:$B$250,0)),""))</f>
        <v/>
      </c>
      <c r="G33" s="116"/>
      <c r="H33" s="117"/>
      <c r="I33" s="116"/>
      <c r="J33" s="118"/>
      <c r="K33" s="116"/>
      <c r="L33" s="118"/>
      <c r="M33" s="51" t="str">
        <f aca="false">IF(B33="","",MONTH(B33))</f>
        <v/>
      </c>
      <c r="N33" s="51" t="str">
        <f aca="false">IF(B33="","",YEAR(B33))</f>
        <v/>
      </c>
      <c r="O33" s="51" t="str">
        <f aca="false">IF(B33="","",C33&amp;"|"&amp;M33&amp;"|"&amp;N33)</f>
        <v/>
      </c>
    </row>
    <row r="34" customFormat="false" ht="15" hidden="false" customHeight="false" outlineLevel="0" collapsed="false">
      <c r="A34" s="73" t="str">
        <f aca="false">IF(B34="","",ROW()-9)</f>
        <v/>
      </c>
      <c r="B34" s="115"/>
      <c r="C34" s="116"/>
      <c r="D34" s="74" t="str">
        <f aca="false">IF(C34="","",IFERROR(INDEX('REGISTRE ELEVES'!$D$10:$D$250,MATCH(C34,'REGISTRE ELEVES'!$B$10:$B$250,0)),"Matricule inconnu"))</f>
        <v/>
      </c>
      <c r="E34" s="73" t="str">
        <f aca="false">IF(C34="","",IFERROR(INDEX('REGISTRE ELEVES'!$F$10:$F$250,MATCH(C34,'REGISTRE ELEVES'!$B$10:$B$250,0)),""))</f>
        <v/>
      </c>
      <c r="F34" s="73" t="str">
        <f aca="false">IF(C34="","",IFERROR(INDEX('REGISTRE ELEVES'!$E$10:$E$250,MATCH(C34,'REGISTRE ELEVES'!$B$10:$B$250,0)),""))</f>
        <v/>
      </c>
      <c r="G34" s="116"/>
      <c r="H34" s="117"/>
      <c r="I34" s="116"/>
      <c r="J34" s="118"/>
      <c r="K34" s="116"/>
      <c r="L34" s="118"/>
      <c r="M34" s="51" t="str">
        <f aca="false">IF(B34="","",MONTH(B34))</f>
        <v/>
      </c>
      <c r="N34" s="51" t="str">
        <f aca="false">IF(B34="","",YEAR(B34))</f>
        <v/>
      </c>
      <c r="O34" s="51" t="str">
        <f aca="false">IF(B34="","",C34&amp;"|"&amp;M34&amp;"|"&amp;N34)</f>
        <v/>
      </c>
    </row>
    <row r="35" customFormat="false" ht="15" hidden="false" customHeight="false" outlineLevel="0" collapsed="false">
      <c r="A35" s="73" t="str">
        <f aca="false">IF(B35="","",ROW()-9)</f>
        <v/>
      </c>
      <c r="B35" s="115"/>
      <c r="C35" s="116"/>
      <c r="D35" s="74" t="str">
        <f aca="false">IF(C35="","",IFERROR(INDEX('REGISTRE ELEVES'!$D$10:$D$250,MATCH(C35,'REGISTRE ELEVES'!$B$10:$B$250,0)),"Matricule inconnu"))</f>
        <v/>
      </c>
      <c r="E35" s="73" t="str">
        <f aca="false">IF(C35="","",IFERROR(INDEX('REGISTRE ELEVES'!$F$10:$F$250,MATCH(C35,'REGISTRE ELEVES'!$B$10:$B$250,0)),""))</f>
        <v/>
      </c>
      <c r="F35" s="73" t="str">
        <f aca="false">IF(C35="","",IFERROR(INDEX('REGISTRE ELEVES'!$E$10:$E$250,MATCH(C35,'REGISTRE ELEVES'!$B$10:$B$250,0)),""))</f>
        <v/>
      </c>
      <c r="G35" s="116"/>
      <c r="H35" s="117"/>
      <c r="I35" s="116"/>
      <c r="J35" s="118"/>
      <c r="K35" s="116"/>
      <c r="L35" s="118"/>
      <c r="M35" s="51" t="str">
        <f aca="false">IF(B35="","",MONTH(B35))</f>
        <v/>
      </c>
      <c r="N35" s="51" t="str">
        <f aca="false">IF(B35="","",YEAR(B35))</f>
        <v/>
      </c>
      <c r="O35" s="51" t="str">
        <f aca="false">IF(B35="","",C35&amp;"|"&amp;M35&amp;"|"&amp;N35)</f>
        <v/>
      </c>
    </row>
    <row r="36" customFormat="false" ht="15" hidden="false" customHeight="false" outlineLevel="0" collapsed="false">
      <c r="A36" s="73" t="str">
        <f aca="false">IF(B36="","",ROW()-9)</f>
        <v/>
      </c>
      <c r="B36" s="115"/>
      <c r="C36" s="116"/>
      <c r="D36" s="74" t="str">
        <f aca="false">IF(C36="","",IFERROR(INDEX('REGISTRE ELEVES'!$D$10:$D$250,MATCH(C36,'REGISTRE ELEVES'!$B$10:$B$250,0)),"Matricule inconnu"))</f>
        <v/>
      </c>
      <c r="E36" s="73" t="str">
        <f aca="false">IF(C36="","",IFERROR(INDEX('REGISTRE ELEVES'!$F$10:$F$250,MATCH(C36,'REGISTRE ELEVES'!$B$10:$B$250,0)),""))</f>
        <v/>
      </c>
      <c r="F36" s="73" t="str">
        <f aca="false">IF(C36="","",IFERROR(INDEX('REGISTRE ELEVES'!$E$10:$E$250,MATCH(C36,'REGISTRE ELEVES'!$B$10:$B$250,0)),""))</f>
        <v/>
      </c>
      <c r="G36" s="116"/>
      <c r="H36" s="117"/>
      <c r="I36" s="116"/>
      <c r="J36" s="118"/>
      <c r="K36" s="116"/>
      <c r="L36" s="118"/>
      <c r="M36" s="51" t="str">
        <f aca="false">IF(B36="","",MONTH(B36))</f>
        <v/>
      </c>
      <c r="N36" s="51" t="str">
        <f aca="false">IF(B36="","",YEAR(B36))</f>
        <v/>
      </c>
      <c r="O36" s="51" t="str">
        <f aca="false">IF(B36="","",C36&amp;"|"&amp;M36&amp;"|"&amp;N36)</f>
        <v/>
      </c>
    </row>
    <row r="37" customFormat="false" ht="15" hidden="false" customHeight="false" outlineLevel="0" collapsed="false">
      <c r="A37" s="73" t="str">
        <f aca="false">IF(B37="","",ROW()-9)</f>
        <v/>
      </c>
      <c r="B37" s="115"/>
      <c r="C37" s="116"/>
      <c r="D37" s="74" t="str">
        <f aca="false">IF(C37="","",IFERROR(INDEX('REGISTRE ELEVES'!$D$10:$D$250,MATCH(C37,'REGISTRE ELEVES'!$B$10:$B$250,0)),"Matricule inconnu"))</f>
        <v/>
      </c>
      <c r="E37" s="73" t="str">
        <f aca="false">IF(C37="","",IFERROR(INDEX('REGISTRE ELEVES'!$F$10:$F$250,MATCH(C37,'REGISTRE ELEVES'!$B$10:$B$250,0)),""))</f>
        <v/>
      </c>
      <c r="F37" s="73" t="str">
        <f aca="false">IF(C37="","",IFERROR(INDEX('REGISTRE ELEVES'!$E$10:$E$250,MATCH(C37,'REGISTRE ELEVES'!$B$10:$B$250,0)),""))</f>
        <v/>
      </c>
      <c r="G37" s="116"/>
      <c r="H37" s="117"/>
      <c r="I37" s="116"/>
      <c r="J37" s="118"/>
      <c r="K37" s="116"/>
      <c r="L37" s="118"/>
      <c r="M37" s="51" t="str">
        <f aca="false">IF(B37="","",MONTH(B37))</f>
        <v/>
      </c>
      <c r="N37" s="51" t="str">
        <f aca="false">IF(B37="","",YEAR(B37))</f>
        <v/>
      </c>
      <c r="O37" s="51" t="str">
        <f aca="false">IF(B37="","",C37&amp;"|"&amp;M37&amp;"|"&amp;N37)</f>
        <v/>
      </c>
    </row>
    <row r="38" customFormat="false" ht="15" hidden="false" customHeight="false" outlineLevel="0" collapsed="false">
      <c r="A38" s="73" t="str">
        <f aca="false">IF(B38="","",ROW()-9)</f>
        <v/>
      </c>
      <c r="B38" s="115"/>
      <c r="C38" s="116"/>
      <c r="D38" s="74" t="str">
        <f aca="false">IF(C38="","",IFERROR(INDEX('REGISTRE ELEVES'!$D$10:$D$250,MATCH(C38,'REGISTRE ELEVES'!$B$10:$B$250,0)),"Matricule inconnu"))</f>
        <v/>
      </c>
      <c r="E38" s="73" t="str">
        <f aca="false">IF(C38="","",IFERROR(INDEX('REGISTRE ELEVES'!$F$10:$F$250,MATCH(C38,'REGISTRE ELEVES'!$B$10:$B$250,0)),""))</f>
        <v/>
      </c>
      <c r="F38" s="73" t="str">
        <f aca="false">IF(C38="","",IFERROR(INDEX('REGISTRE ELEVES'!$E$10:$E$250,MATCH(C38,'REGISTRE ELEVES'!$B$10:$B$250,0)),""))</f>
        <v/>
      </c>
      <c r="G38" s="116"/>
      <c r="H38" s="117"/>
      <c r="I38" s="116"/>
      <c r="J38" s="118"/>
      <c r="K38" s="116"/>
      <c r="L38" s="118"/>
      <c r="M38" s="51" t="str">
        <f aca="false">IF(B38="","",MONTH(B38))</f>
        <v/>
      </c>
      <c r="N38" s="51" t="str">
        <f aca="false">IF(B38="","",YEAR(B38))</f>
        <v/>
      </c>
      <c r="O38" s="51" t="str">
        <f aca="false">IF(B38="","",C38&amp;"|"&amp;M38&amp;"|"&amp;N38)</f>
        <v/>
      </c>
    </row>
    <row r="39" customFormat="false" ht="15" hidden="false" customHeight="false" outlineLevel="0" collapsed="false">
      <c r="A39" s="73" t="str">
        <f aca="false">IF(B39="","",ROW()-9)</f>
        <v/>
      </c>
      <c r="B39" s="115"/>
      <c r="C39" s="116"/>
      <c r="D39" s="74" t="str">
        <f aca="false">IF(C39="","",IFERROR(INDEX('REGISTRE ELEVES'!$D$10:$D$250,MATCH(C39,'REGISTRE ELEVES'!$B$10:$B$250,0)),"Matricule inconnu"))</f>
        <v/>
      </c>
      <c r="E39" s="73" t="str">
        <f aca="false">IF(C39="","",IFERROR(INDEX('REGISTRE ELEVES'!$F$10:$F$250,MATCH(C39,'REGISTRE ELEVES'!$B$10:$B$250,0)),""))</f>
        <v/>
      </c>
      <c r="F39" s="73" t="str">
        <f aca="false">IF(C39="","",IFERROR(INDEX('REGISTRE ELEVES'!$E$10:$E$250,MATCH(C39,'REGISTRE ELEVES'!$B$10:$B$250,0)),""))</f>
        <v/>
      </c>
      <c r="G39" s="116"/>
      <c r="H39" s="117"/>
      <c r="I39" s="116"/>
      <c r="J39" s="118"/>
      <c r="K39" s="116"/>
      <c r="L39" s="118"/>
      <c r="M39" s="51" t="str">
        <f aca="false">IF(B39="","",MONTH(B39))</f>
        <v/>
      </c>
      <c r="N39" s="51" t="str">
        <f aca="false">IF(B39="","",YEAR(B39))</f>
        <v/>
      </c>
      <c r="O39" s="51" t="str">
        <f aca="false">IF(B39="","",C39&amp;"|"&amp;M39&amp;"|"&amp;N39)</f>
        <v/>
      </c>
    </row>
    <row r="40" customFormat="false" ht="15" hidden="false" customHeight="false" outlineLevel="0" collapsed="false">
      <c r="A40" s="73" t="str">
        <f aca="false">IF(B40="","",ROW()-9)</f>
        <v/>
      </c>
      <c r="B40" s="115"/>
      <c r="C40" s="116"/>
      <c r="D40" s="74" t="str">
        <f aca="false">IF(C40="","",IFERROR(INDEX('REGISTRE ELEVES'!$D$10:$D$250,MATCH(C40,'REGISTRE ELEVES'!$B$10:$B$250,0)),"Matricule inconnu"))</f>
        <v/>
      </c>
      <c r="E40" s="73" t="str">
        <f aca="false">IF(C40="","",IFERROR(INDEX('REGISTRE ELEVES'!$F$10:$F$250,MATCH(C40,'REGISTRE ELEVES'!$B$10:$B$250,0)),""))</f>
        <v/>
      </c>
      <c r="F40" s="73" t="str">
        <f aca="false">IF(C40="","",IFERROR(INDEX('REGISTRE ELEVES'!$E$10:$E$250,MATCH(C40,'REGISTRE ELEVES'!$B$10:$B$250,0)),""))</f>
        <v/>
      </c>
      <c r="G40" s="116"/>
      <c r="H40" s="117"/>
      <c r="I40" s="116"/>
      <c r="J40" s="118"/>
      <c r="K40" s="116"/>
      <c r="L40" s="118"/>
      <c r="M40" s="51" t="str">
        <f aca="false">IF(B40="","",MONTH(B40))</f>
        <v/>
      </c>
      <c r="N40" s="51" t="str">
        <f aca="false">IF(B40="","",YEAR(B40))</f>
        <v/>
      </c>
      <c r="O40" s="51" t="str">
        <f aca="false">IF(B40="","",C40&amp;"|"&amp;M40&amp;"|"&amp;N40)</f>
        <v/>
      </c>
    </row>
    <row r="41" customFormat="false" ht="15" hidden="false" customHeight="false" outlineLevel="0" collapsed="false">
      <c r="A41" s="73" t="str">
        <f aca="false">IF(B41="","",ROW()-9)</f>
        <v/>
      </c>
      <c r="B41" s="115"/>
      <c r="C41" s="116"/>
      <c r="D41" s="74" t="str">
        <f aca="false">IF(C41="","",IFERROR(INDEX('REGISTRE ELEVES'!$D$10:$D$250,MATCH(C41,'REGISTRE ELEVES'!$B$10:$B$250,0)),"Matricule inconnu"))</f>
        <v/>
      </c>
      <c r="E41" s="73" t="str">
        <f aca="false">IF(C41="","",IFERROR(INDEX('REGISTRE ELEVES'!$F$10:$F$250,MATCH(C41,'REGISTRE ELEVES'!$B$10:$B$250,0)),""))</f>
        <v/>
      </c>
      <c r="F41" s="73" t="str">
        <f aca="false">IF(C41="","",IFERROR(INDEX('REGISTRE ELEVES'!$E$10:$E$250,MATCH(C41,'REGISTRE ELEVES'!$B$10:$B$250,0)),""))</f>
        <v/>
      </c>
      <c r="G41" s="116"/>
      <c r="H41" s="117"/>
      <c r="I41" s="116"/>
      <c r="J41" s="118"/>
      <c r="K41" s="116"/>
      <c r="L41" s="118"/>
      <c r="M41" s="51" t="str">
        <f aca="false">IF(B41="","",MONTH(B41))</f>
        <v/>
      </c>
      <c r="N41" s="51" t="str">
        <f aca="false">IF(B41="","",YEAR(B41))</f>
        <v/>
      </c>
      <c r="O41" s="51" t="str">
        <f aca="false">IF(B41="","",C41&amp;"|"&amp;M41&amp;"|"&amp;N41)</f>
        <v/>
      </c>
    </row>
    <row r="42" customFormat="false" ht="15" hidden="false" customHeight="false" outlineLevel="0" collapsed="false">
      <c r="A42" s="73" t="str">
        <f aca="false">IF(B42="","",ROW()-9)</f>
        <v/>
      </c>
      <c r="B42" s="115"/>
      <c r="C42" s="116"/>
      <c r="D42" s="74" t="str">
        <f aca="false">IF(C42="","",IFERROR(INDEX('REGISTRE ELEVES'!$D$10:$D$250,MATCH(C42,'REGISTRE ELEVES'!$B$10:$B$250,0)),"Matricule inconnu"))</f>
        <v/>
      </c>
      <c r="E42" s="73" t="str">
        <f aca="false">IF(C42="","",IFERROR(INDEX('REGISTRE ELEVES'!$F$10:$F$250,MATCH(C42,'REGISTRE ELEVES'!$B$10:$B$250,0)),""))</f>
        <v/>
      </c>
      <c r="F42" s="73" t="str">
        <f aca="false">IF(C42="","",IFERROR(INDEX('REGISTRE ELEVES'!$E$10:$E$250,MATCH(C42,'REGISTRE ELEVES'!$B$10:$B$250,0)),""))</f>
        <v/>
      </c>
      <c r="G42" s="116"/>
      <c r="H42" s="117"/>
      <c r="I42" s="116"/>
      <c r="J42" s="118"/>
      <c r="K42" s="116"/>
      <c r="L42" s="118"/>
      <c r="M42" s="51" t="str">
        <f aca="false">IF(B42="","",MONTH(B42))</f>
        <v/>
      </c>
      <c r="N42" s="51" t="str">
        <f aca="false">IF(B42="","",YEAR(B42))</f>
        <v/>
      </c>
      <c r="O42" s="51" t="str">
        <f aca="false">IF(B42="","",C42&amp;"|"&amp;M42&amp;"|"&amp;N42)</f>
        <v/>
      </c>
    </row>
    <row r="43" customFormat="false" ht="15" hidden="false" customHeight="false" outlineLevel="0" collapsed="false">
      <c r="A43" s="73" t="str">
        <f aca="false">IF(B43="","",ROW()-9)</f>
        <v/>
      </c>
      <c r="B43" s="115"/>
      <c r="C43" s="116"/>
      <c r="D43" s="74" t="str">
        <f aca="false">IF(C43="","",IFERROR(INDEX('REGISTRE ELEVES'!$D$10:$D$250,MATCH(C43,'REGISTRE ELEVES'!$B$10:$B$250,0)),"Matricule inconnu"))</f>
        <v/>
      </c>
      <c r="E43" s="73" t="str">
        <f aca="false">IF(C43="","",IFERROR(INDEX('REGISTRE ELEVES'!$F$10:$F$250,MATCH(C43,'REGISTRE ELEVES'!$B$10:$B$250,0)),""))</f>
        <v/>
      </c>
      <c r="F43" s="73" t="str">
        <f aca="false">IF(C43="","",IFERROR(INDEX('REGISTRE ELEVES'!$E$10:$E$250,MATCH(C43,'REGISTRE ELEVES'!$B$10:$B$250,0)),""))</f>
        <v/>
      </c>
      <c r="G43" s="116"/>
      <c r="H43" s="117"/>
      <c r="I43" s="116"/>
      <c r="J43" s="118"/>
      <c r="K43" s="116"/>
      <c r="L43" s="118"/>
      <c r="M43" s="51" t="str">
        <f aca="false">IF(B43="","",MONTH(B43))</f>
        <v/>
      </c>
      <c r="N43" s="51" t="str">
        <f aca="false">IF(B43="","",YEAR(B43))</f>
        <v/>
      </c>
      <c r="O43" s="51" t="str">
        <f aca="false">IF(B43="","",C43&amp;"|"&amp;M43&amp;"|"&amp;N43)</f>
        <v/>
      </c>
    </row>
    <row r="44" customFormat="false" ht="15" hidden="false" customHeight="false" outlineLevel="0" collapsed="false">
      <c r="A44" s="73" t="str">
        <f aca="false">IF(B44="","",ROW()-9)</f>
        <v/>
      </c>
      <c r="B44" s="115"/>
      <c r="C44" s="116"/>
      <c r="D44" s="74" t="str">
        <f aca="false">IF(C44="","",IFERROR(INDEX('REGISTRE ELEVES'!$D$10:$D$250,MATCH(C44,'REGISTRE ELEVES'!$B$10:$B$250,0)),"Matricule inconnu"))</f>
        <v/>
      </c>
      <c r="E44" s="73" t="str">
        <f aca="false">IF(C44="","",IFERROR(INDEX('REGISTRE ELEVES'!$F$10:$F$250,MATCH(C44,'REGISTRE ELEVES'!$B$10:$B$250,0)),""))</f>
        <v/>
      </c>
      <c r="F44" s="73" t="str">
        <f aca="false">IF(C44="","",IFERROR(INDEX('REGISTRE ELEVES'!$E$10:$E$250,MATCH(C44,'REGISTRE ELEVES'!$B$10:$B$250,0)),""))</f>
        <v/>
      </c>
      <c r="G44" s="116"/>
      <c r="H44" s="117"/>
      <c r="I44" s="116"/>
      <c r="J44" s="118"/>
      <c r="K44" s="116"/>
      <c r="L44" s="118"/>
      <c r="M44" s="51" t="str">
        <f aca="false">IF(B44="","",MONTH(B44))</f>
        <v/>
      </c>
      <c r="N44" s="51" t="str">
        <f aca="false">IF(B44="","",YEAR(B44))</f>
        <v/>
      </c>
      <c r="O44" s="51" t="str">
        <f aca="false">IF(B44="","",C44&amp;"|"&amp;M44&amp;"|"&amp;N44)</f>
        <v/>
      </c>
    </row>
    <row r="45" customFormat="false" ht="15" hidden="false" customHeight="false" outlineLevel="0" collapsed="false">
      <c r="A45" s="73" t="str">
        <f aca="false">IF(B45="","",ROW()-9)</f>
        <v/>
      </c>
      <c r="B45" s="115"/>
      <c r="C45" s="116"/>
      <c r="D45" s="74" t="str">
        <f aca="false">IF(C45="","",IFERROR(INDEX('REGISTRE ELEVES'!$D$10:$D$250,MATCH(C45,'REGISTRE ELEVES'!$B$10:$B$250,0)),"Matricule inconnu"))</f>
        <v/>
      </c>
      <c r="E45" s="73" t="str">
        <f aca="false">IF(C45="","",IFERROR(INDEX('REGISTRE ELEVES'!$F$10:$F$250,MATCH(C45,'REGISTRE ELEVES'!$B$10:$B$250,0)),""))</f>
        <v/>
      </c>
      <c r="F45" s="73" t="str">
        <f aca="false">IF(C45="","",IFERROR(INDEX('REGISTRE ELEVES'!$E$10:$E$250,MATCH(C45,'REGISTRE ELEVES'!$B$10:$B$250,0)),""))</f>
        <v/>
      </c>
      <c r="G45" s="116"/>
      <c r="H45" s="117"/>
      <c r="I45" s="116"/>
      <c r="J45" s="118"/>
      <c r="K45" s="116"/>
      <c r="L45" s="118"/>
      <c r="M45" s="51" t="str">
        <f aca="false">IF(B45="","",MONTH(B45))</f>
        <v/>
      </c>
      <c r="N45" s="51" t="str">
        <f aca="false">IF(B45="","",YEAR(B45))</f>
        <v/>
      </c>
      <c r="O45" s="51" t="str">
        <f aca="false">IF(B45="","",C45&amp;"|"&amp;M45&amp;"|"&amp;N45)</f>
        <v/>
      </c>
    </row>
    <row r="46" customFormat="false" ht="15" hidden="false" customHeight="false" outlineLevel="0" collapsed="false">
      <c r="A46" s="73" t="str">
        <f aca="false">IF(B46="","",ROW()-9)</f>
        <v/>
      </c>
      <c r="B46" s="115"/>
      <c r="C46" s="116"/>
      <c r="D46" s="74" t="str">
        <f aca="false">IF(C46="","",IFERROR(INDEX('REGISTRE ELEVES'!$D$10:$D$250,MATCH(C46,'REGISTRE ELEVES'!$B$10:$B$250,0)),"Matricule inconnu"))</f>
        <v/>
      </c>
      <c r="E46" s="73" t="str">
        <f aca="false">IF(C46="","",IFERROR(INDEX('REGISTRE ELEVES'!$F$10:$F$250,MATCH(C46,'REGISTRE ELEVES'!$B$10:$B$250,0)),""))</f>
        <v/>
      </c>
      <c r="F46" s="73" t="str">
        <f aca="false">IF(C46="","",IFERROR(INDEX('REGISTRE ELEVES'!$E$10:$E$250,MATCH(C46,'REGISTRE ELEVES'!$B$10:$B$250,0)),""))</f>
        <v/>
      </c>
      <c r="G46" s="116"/>
      <c r="H46" s="117"/>
      <c r="I46" s="116"/>
      <c r="J46" s="118"/>
      <c r="K46" s="116"/>
      <c r="L46" s="118"/>
      <c r="M46" s="51" t="str">
        <f aca="false">IF(B46="","",MONTH(B46))</f>
        <v/>
      </c>
      <c r="N46" s="51" t="str">
        <f aca="false">IF(B46="","",YEAR(B46))</f>
        <v/>
      </c>
      <c r="O46" s="51" t="str">
        <f aca="false">IF(B46="","",C46&amp;"|"&amp;M46&amp;"|"&amp;N46)</f>
        <v/>
      </c>
    </row>
    <row r="47" customFormat="false" ht="15" hidden="false" customHeight="false" outlineLevel="0" collapsed="false">
      <c r="A47" s="73" t="str">
        <f aca="false">IF(B47="","",ROW()-9)</f>
        <v/>
      </c>
      <c r="B47" s="115"/>
      <c r="C47" s="116"/>
      <c r="D47" s="74" t="str">
        <f aca="false">IF(C47="","",IFERROR(INDEX('REGISTRE ELEVES'!$D$10:$D$250,MATCH(C47,'REGISTRE ELEVES'!$B$10:$B$250,0)),"Matricule inconnu"))</f>
        <v/>
      </c>
      <c r="E47" s="73" t="str">
        <f aca="false">IF(C47="","",IFERROR(INDEX('REGISTRE ELEVES'!$F$10:$F$250,MATCH(C47,'REGISTRE ELEVES'!$B$10:$B$250,0)),""))</f>
        <v/>
      </c>
      <c r="F47" s="73" t="str">
        <f aca="false">IF(C47="","",IFERROR(INDEX('REGISTRE ELEVES'!$E$10:$E$250,MATCH(C47,'REGISTRE ELEVES'!$B$10:$B$250,0)),""))</f>
        <v/>
      </c>
      <c r="G47" s="116"/>
      <c r="H47" s="117"/>
      <c r="I47" s="116"/>
      <c r="J47" s="118"/>
      <c r="K47" s="116"/>
      <c r="L47" s="118"/>
      <c r="M47" s="51" t="str">
        <f aca="false">IF(B47="","",MONTH(B47))</f>
        <v/>
      </c>
      <c r="N47" s="51" t="str">
        <f aca="false">IF(B47="","",YEAR(B47))</f>
        <v/>
      </c>
      <c r="O47" s="51" t="str">
        <f aca="false">IF(B47="","",C47&amp;"|"&amp;M47&amp;"|"&amp;N47)</f>
        <v/>
      </c>
    </row>
    <row r="48" customFormat="false" ht="15" hidden="false" customHeight="false" outlineLevel="0" collapsed="false">
      <c r="A48" s="73" t="str">
        <f aca="false">IF(B48="","",ROW()-9)</f>
        <v/>
      </c>
      <c r="B48" s="115"/>
      <c r="C48" s="116"/>
      <c r="D48" s="74" t="str">
        <f aca="false">IF(C48="","",IFERROR(INDEX('REGISTRE ELEVES'!$D$10:$D$250,MATCH(C48,'REGISTRE ELEVES'!$B$10:$B$250,0)),"Matricule inconnu"))</f>
        <v/>
      </c>
      <c r="E48" s="73" t="str">
        <f aca="false">IF(C48="","",IFERROR(INDEX('REGISTRE ELEVES'!$F$10:$F$250,MATCH(C48,'REGISTRE ELEVES'!$B$10:$B$250,0)),""))</f>
        <v/>
      </c>
      <c r="F48" s="73" t="str">
        <f aca="false">IF(C48="","",IFERROR(INDEX('REGISTRE ELEVES'!$E$10:$E$250,MATCH(C48,'REGISTRE ELEVES'!$B$10:$B$250,0)),""))</f>
        <v/>
      </c>
      <c r="G48" s="116"/>
      <c r="H48" s="117"/>
      <c r="I48" s="116"/>
      <c r="J48" s="118"/>
      <c r="K48" s="116"/>
      <c r="L48" s="118"/>
      <c r="M48" s="51" t="str">
        <f aca="false">IF(B48="","",MONTH(B48))</f>
        <v/>
      </c>
      <c r="N48" s="51" t="str">
        <f aca="false">IF(B48="","",YEAR(B48))</f>
        <v/>
      </c>
      <c r="O48" s="51" t="str">
        <f aca="false">IF(B48="","",C48&amp;"|"&amp;M48&amp;"|"&amp;N48)</f>
        <v/>
      </c>
    </row>
    <row r="49" customFormat="false" ht="15" hidden="false" customHeight="false" outlineLevel="0" collapsed="false">
      <c r="A49" s="73" t="str">
        <f aca="false">IF(B49="","",ROW()-9)</f>
        <v/>
      </c>
      <c r="B49" s="115"/>
      <c r="C49" s="116"/>
      <c r="D49" s="74" t="str">
        <f aca="false">IF(C49="","",IFERROR(INDEX('REGISTRE ELEVES'!$D$10:$D$250,MATCH(C49,'REGISTRE ELEVES'!$B$10:$B$250,0)),"Matricule inconnu"))</f>
        <v/>
      </c>
      <c r="E49" s="73" t="str">
        <f aca="false">IF(C49="","",IFERROR(INDEX('REGISTRE ELEVES'!$F$10:$F$250,MATCH(C49,'REGISTRE ELEVES'!$B$10:$B$250,0)),""))</f>
        <v/>
      </c>
      <c r="F49" s="73" t="str">
        <f aca="false">IF(C49="","",IFERROR(INDEX('REGISTRE ELEVES'!$E$10:$E$250,MATCH(C49,'REGISTRE ELEVES'!$B$10:$B$250,0)),""))</f>
        <v/>
      </c>
      <c r="G49" s="116"/>
      <c r="H49" s="117"/>
      <c r="I49" s="116"/>
      <c r="J49" s="118"/>
      <c r="K49" s="116"/>
      <c r="L49" s="118"/>
      <c r="M49" s="51" t="str">
        <f aca="false">IF(B49="","",MONTH(B49))</f>
        <v/>
      </c>
      <c r="N49" s="51" t="str">
        <f aca="false">IF(B49="","",YEAR(B49))</f>
        <v/>
      </c>
      <c r="O49" s="51" t="str">
        <f aca="false">IF(B49="","",C49&amp;"|"&amp;M49&amp;"|"&amp;N49)</f>
        <v/>
      </c>
    </row>
    <row r="50" customFormat="false" ht="15" hidden="false" customHeight="false" outlineLevel="0" collapsed="false">
      <c r="A50" s="73" t="str">
        <f aca="false">IF(B50="","",ROW()-9)</f>
        <v/>
      </c>
      <c r="B50" s="115"/>
      <c r="C50" s="116"/>
      <c r="D50" s="74" t="str">
        <f aca="false">IF(C50="","",IFERROR(INDEX('REGISTRE ELEVES'!$D$10:$D$250,MATCH(C50,'REGISTRE ELEVES'!$B$10:$B$250,0)),"Matricule inconnu"))</f>
        <v/>
      </c>
      <c r="E50" s="73" t="str">
        <f aca="false">IF(C50="","",IFERROR(INDEX('REGISTRE ELEVES'!$F$10:$F$250,MATCH(C50,'REGISTRE ELEVES'!$B$10:$B$250,0)),""))</f>
        <v/>
      </c>
      <c r="F50" s="73" t="str">
        <f aca="false">IF(C50="","",IFERROR(INDEX('REGISTRE ELEVES'!$E$10:$E$250,MATCH(C50,'REGISTRE ELEVES'!$B$10:$B$250,0)),""))</f>
        <v/>
      </c>
      <c r="G50" s="116"/>
      <c r="H50" s="117"/>
      <c r="I50" s="116"/>
      <c r="J50" s="118"/>
      <c r="K50" s="116"/>
      <c r="L50" s="118"/>
      <c r="M50" s="51" t="str">
        <f aca="false">IF(B50="","",MONTH(B50))</f>
        <v/>
      </c>
      <c r="N50" s="51" t="str">
        <f aca="false">IF(B50="","",YEAR(B50))</f>
        <v/>
      </c>
      <c r="O50" s="51" t="str">
        <f aca="false">IF(B50="","",C50&amp;"|"&amp;M50&amp;"|"&amp;N50)</f>
        <v/>
      </c>
    </row>
    <row r="51" customFormat="false" ht="15" hidden="false" customHeight="false" outlineLevel="0" collapsed="false">
      <c r="A51" s="73" t="str">
        <f aca="false">IF(B51="","",ROW()-9)</f>
        <v/>
      </c>
      <c r="B51" s="115"/>
      <c r="C51" s="116"/>
      <c r="D51" s="74" t="str">
        <f aca="false">IF(C51="","",IFERROR(INDEX('REGISTRE ELEVES'!$D$10:$D$250,MATCH(C51,'REGISTRE ELEVES'!$B$10:$B$250,0)),"Matricule inconnu"))</f>
        <v/>
      </c>
      <c r="E51" s="73" t="str">
        <f aca="false">IF(C51="","",IFERROR(INDEX('REGISTRE ELEVES'!$F$10:$F$250,MATCH(C51,'REGISTRE ELEVES'!$B$10:$B$250,0)),""))</f>
        <v/>
      </c>
      <c r="F51" s="73" t="str">
        <f aca="false">IF(C51="","",IFERROR(INDEX('REGISTRE ELEVES'!$E$10:$E$250,MATCH(C51,'REGISTRE ELEVES'!$B$10:$B$250,0)),""))</f>
        <v/>
      </c>
      <c r="G51" s="116"/>
      <c r="H51" s="117"/>
      <c r="I51" s="116"/>
      <c r="J51" s="118"/>
      <c r="K51" s="116"/>
      <c r="L51" s="118"/>
      <c r="M51" s="51" t="str">
        <f aca="false">IF(B51="","",MONTH(B51))</f>
        <v/>
      </c>
      <c r="N51" s="51" t="str">
        <f aca="false">IF(B51="","",YEAR(B51))</f>
        <v/>
      </c>
      <c r="O51" s="51" t="str">
        <f aca="false">IF(B51="","",C51&amp;"|"&amp;M51&amp;"|"&amp;N51)</f>
        <v/>
      </c>
    </row>
    <row r="52" customFormat="false" ht="15" hidden="false" customHeight="false" outlineLevel="0" collapsed="false">
      <c r="A52" s="73" t="str">
        <f aca="false">IF(B52="","",ROW()-9)</f>
        <v/>
      </c>
      <c r="B52" s="115"/>
      <c r="C52" s="116"/>
      <c r="D52" s="74" t="str">
        <f aca="false">IF(C52="","",IFERROR(INDEX('REGISTRE ELEVES'!$D$10:$D$250,MATCH(C52,'REGISTRE ELEVES'!$B$10:$B$250,0)),"Matricule inconnu"))</f>
        <v/>
      </c>
      <c r="E52" s="73" t="str">
        <f aca="false">IF(C52="","",IFERROR(INDEX('REGISTRE ELEVES'!$F$10:$F$250,MATCH(C52,'REGISTRE ELEVES'!$B$10:$B$250,0)),""))</f>
        <v/>
      </c>
      <c r="F52" s="73" t="str">
        <f aca="false">IF(C52="","",IFERROR(INDEX('REGISTRE ELEVES'!$E$10:$E$250,MATCH(C52,'REGISTRE ELEVES'!$B$10:$B$250,0)),""))</f>
        <v/>
      </c>
      <c r="G52" s="116"/>
      <c r="H52" s="117"/>
      <c r="I52" s="116"/>
      <c r="J52" s="118"/>
      <c r="K52" s="116"/>
      <c r="L52" s="118"/>
      <c r="M52" s="51" t="str">
        <f aca="false">IF(B52="","",MONTH(B52))</f>
        <v/>
      </c>
      <c r="N52" s="51" t="str">
        <f aca="false">IF(B52="","",YEAR(B52))</f>
        <v/>
      </c>
      <c r="O52" s="51" t="str">
        <f aca="false">IF(B52="","",C52&amp;"|"&amp;M52&amp;"|"&amp;N52)</f>
        <v/>
      </c>
    </row>
    <row r="53" customFormat="false" ht="15" hidden="false" customHeight="false" outlineLevel="0" collapsed="false">
      <c r="A53" s="73" t="str">
        <f aca="false">IF(B53="","",ROW()-9)</f>
        <v/>
      </c>
      <c r="B53" s="115"/>
      <c r="C53" s="116"/>
      <c r="D53" s="74" t="str">
        <f aca="false">IF(C53="","",IFERROR(INDEX('REGISTRE ELEVES'!$D$10:$D$250,MATCH(C53,'REGISTRE ELEVES'!$B$10:$B$250,0)),"Matricule inconnu"))</f>
        <v/>
      </c>
      <c r="E53" s="73" t="str">
        <f aca="false">IF(C53="","",IFERROR(INDEX('REGISTRE ELEVES'!$F$10:$F$250,MATCH(C53,'REGISTRE ELEVES'!$B$10:$B$250,0)),""))</f>
        <v/>
      </c>
      <c r="F53" s="73" t="str">
        <f aca="false">IF(C53="","",IFERROR(INDEX('REGISTRE ELEVES'!$E$10:$E$250,MATCH(C53,'REGISTRE ELEVES'!$B$10:$B$250,0)),""))</f>
        <v/>
      </c>
      <c r="G53" s="116"/>
      <c r="H53" s="117"/>
      <c r="I53" s="116"/>
      <c r="J53" s="118"/>
      <c r="K53" s="116"/>
      <c r="L53" s="118"/>
      <c r="M53" s="51" t="str">
        <f aca="false">IF(B53="","",MONTH(B53))</f>
        <v/>
      </c>
      <c r="N53" s="51" t="str">
        <f aca="false">IF(B53="","",YEAR(B53))</f>
        <v/>
      </c>
      <c r="O53" s="51" t="str">
        <f aca="false">IF(B53="","",C53&amp;"|"&amp;M53&amp;"|"&amp;N53)</f>
        <v/>
      </c>
    </row>
    <row r="54" customFormat="false" ht="15" hidden="false" customHeight="false" outlineLevel="0" collapsed="false">
      <c r="A54" s="73" t="str">
        <f aca="false">IF(B54="","",ROW()-9)</f>
        <v/>
      </c>
      <c r="B54" s="115"/>
      <c r="C54" s="116"/>
      <c r="D54" s="74" t="str">
        <f aca="false">IF(C54="","",IFERROR(INDEX('REGISTRE ELEVES'!$D$10:$D$250,MATCH(C54,'REGISTRE ELEVES'!$B$10:$B$250,0)),"Matricule inconnu"))</f>
        <v/>
      </c>
      <c r="E54" s="73" t="str">
        <f aca="false">IF(C54="","",IFERROR(INDEX('REGISTRE ELEVES'!$F$10:$F$250,MATCH(C54,'REGISTRE ELEVES'!$B$10:$B$250,0)),""))</f>
        <v/>
      </c>
      <c r="F54" s="73" t="str">
        <f aca="false">IF(C54="","",IFERROR(INDEX('REGISTRE ELEVES'!$E$10:$E$250,MATCH(C54,'REGISTRE ELEVES'!$B$10:$B$250,0)),""))</f>
        <v/>
      </c>
      <c r="G54" s="116"/>
      <c r="H54" s="117"/>
      <c r="I54" s="116"/>
      <c r="J54" s="118"/>
      <c r="K54" s="116"/>
      <c r="L54" s="118"/>
      <c r="M54" s="51" t="str">
        <f aca="false">IF(B54="","",MONTH(B54))</f>
        <v/>
      </c>
      <c r="N54" s="51" t="str">
        <f aca="false">IF(B54="","",YEAR(B54))</f>
        <v/>
      </c>
      <c r="O54" s="51" t="str">
        <f aca="false">IF(B54="","",C54&amp;"|"&amp;M54&amp;"|"&amp;N54)</f>
        <v/>
      </c>
    </row>
    <row r="55" customFormat="false" ht="15" hidden="false" customHeight="false" outlineLevel="0" collapsed="false">
      <c r="A55" s="73" t="str">
        <f aca="false">IF(B55="","",ROW()-9)</f>
        <v/>
      </c>
      <c r="B55" s="115"/>
      <c r="C55" s="116"/>
      <c r="D55" s="74" t="str">
        <f aca="false">IF(C55="","",IFERROR(INDEX('REGISTRE ELEVES'!$D$10:$D$250,MATCH(C55,'REGISTRE ELEVES'!$B$10:$B$250,0)),"Matricule inconnu"))</f>
        <v/>
      </c>
      <c r="E55" s="73" t="str">
        <f aca="false">IF(C55="","",IFERROR(INDEX('REGISTRE ELEVES'!$F$10:$F$250,MATCH(C55,'REGISTRE ELEVES'!$B$10:$B$250,0)),""))</f>
        <v/>
      </c>
      <c r="F55" s="73" t="str">
        <f aca="false">IF(C55="","",IFERROR(INDEX('REGISTRE ELEVES'!$E$10:$E$250,MATCH(C55,'REGISTRE ELEVES'!$B$10:$B$250,0)),""))</f>
        <v/>
      </c>
      <c r="G55" s="116"/>
      <c r="H55" s="117"/>
      <c r="I55" s="116"/>
      <c r="J55" s="118"/>
      <c r="K55" s="116"/>
      <c r="L55" s="118"/>
      <c r="M55" s="51" t="str">
        <f aca="false">IF(B55="","",MONTH(B55))</f>
        <v/>
      </c>
      <c r="N55" s="51" t="str">
        <f aca="false">IF(B55="","",YEAR(B55))</f>
        <v/>
      </c>
      <c r="O55" s="51" t="str">
        <f aca="false">IF(B55="","",C55&amp;"|"&amp;M55&amp;"|"&amp;N55)</f>
        <v/>
      </c>
    </row>
    <row r="56" customFormat="false" ht="15" hidden="false" customHeight="false" outlineLevel="0" collapsed="false">
      <c r="A56" s="73" t="str">
        <f aca="false">IF(B56="","",ROW()-9)</f>
        <v/>
      </c>
      <c r="B56" s="115"/>
      <c r="C56" s="116"/>
      <c r="D56" s="74" t="str">
        <f aca="false">IF(C56="","",IFERROR(INDEX('REGISTRE ELEVES'!$D$10:$D$250,MATCH(C56,'REGISTRE ELEVES'!$B$10:$B$250,0)),"Matricule inconnu"))</f>
        <v/>
      </c>
      <c r="E56" s="73" t="str">
        <f aca="false">IF(C56="","",IFERROR(INDEX('REGISTRE ELEVES'!$F$10:$F$250,MATCH(C56,'REGISTRE ELEVES'!$B$10:$B$250,0)),""))</f>
        <v/>
      </c>
      <c r="F56" s="73" t="str">
        <f aca="false">IF(C56="","",IFERROR(INDEX('REGISTRE ELEVES'!$E$10:$E$250,MATCH(C56,'REGISTRE ELEVES'!$B$10:$B$250,0)),""))</f>
        <v/>
      </c>
      <c r="G56" s="116"/>
      <c r="H56" s="117"/>
      <c r="I56" s="116"/>
      <c r="J56" s="118"/>
      <c r="K56" s="116"/>
      <c r="L56" s="118"/>
      <c r="M56" s="51" t="str">
        <f aca="false">IF(B56="","",MONTH(B56))</f>
        <v/>
      </c>
      <c r="N56" s="51" t="str">
        <f aca="false">IF(B56="","",YEAR(B56))</f>
        <v/>
      </c>
      <c r="O56" s="51" t="str">
        <f aca="false">IF(B56="","",C56&amp;"|"&amp;M56&amp;"|"&amp;N56)</f>
        <v/>
      </c>
    </row>
    <row r="57" customFormat="false" ht="15" hidden="false" customHeight="false" outlineLevel="0" collapsed="false">
      <c r="A57" s="73" t="str">
        <f aca="false">IF(B57="","",ROW()-9)</f>
        <v/>
      </c>
      <c r="B57" s="115"/>
      <c r="C57" s="116"/>
      <c r="D57" s="74" t="str">
        <f aca="false">IF(C57="","",IFERROR(INDEX('REGISTRE ELEVES'!$D$10:$D$250,MATCH(C57,'REGISTRE ELEVES'!$B$10:$B$250,0)),"Matricule inconnu"))</f>
        <v/>
      </c>
      <c r="E57" s="73" t="str">
        <f aca="false">IF(C57="","",IFERROR(INDEX('REGISTRE ELEVES'!$F$10:$F$250,MATCH(C57,'REGISTRE ELEVES'!$B$10:$B$250,0)),""))</f>
        <v/>
      </c>
      <c r="F57" s="73" t="str">
        <f aca="false">IF(C57="","",IFERROR(INDEX('REGISTRE ELEVES'!$E$10:$E$250,MATCH(C57,'REGISTRE ELEVES'!$B$10:$B$250,0)),""))</f>
        <v/>
      </c>
      <c r="G57" s="116"/>
      <c r="H57" s="117"/>
      <c r="I57" s="116"/>
      <c r="J57" s="118"/>
      <c r="K57" s="116"/>
      <c r="L57" s="118"/>
      <c r="M57" s="51" t="str">
        <f aca="false">IF(B57="","",MONTH(B57))</f>
        <v/>
      </c>
      <c r="N57" s="51" t="str">
        <f aca="false">IF(B57="","",YEAR(B57))</f>
        <v/>
      </c>
      <c r="O57" s="51" t="str">
        <f aca="false">IF(B57="","",C57&amp;"|"&amp;M57&amp;"|"&amp;N57)</f>
        <v/>
      </c>
    </row>
    <row r="58" customFormat="false" ht="15" hidden="false" customHeight="false" outlineLevel="0" collapsed="false">
      <c r="A58" s="73" t="str">
        <f aca="false">IF(B58="","",ROW()-9)</f>
        <v/>
      </c>
      <c r="B58" s="115"/>
      <c r="C58" s="116"/>
      <c r="D58" s="74" t="str">
        <f aca="false">IF(C58="","",IFERROR(INDEX('REGISTRE ELEVES'!$D$10:$D$250,MATCH(C58,'REGISTRE ELEVES'!$B$10:$B$250,0)),"Matricule inconnu"))</f>
        <v/>
      </c>
      <c r="E58" s="73" t="str">
        <f aca="false">IF(C58="","",IFERROR(INDEX('REGISTRE ELEVES'!$F$10:$F$250,MATCH(C58,'REGISTRE ELEVES'!$B$10:$B$250,0)),""))</f>
        <v/>
      </c>
      <c r="F58" s="73" t="str">
        <f aca="false">IF(C58="","",IFERROR(INDEX('REGISTRE ELEVES'!$E$10:$E$250,MATCH(C58,'REGISTRE ELEVES'!$B$10:$B$250,0)),""))</f>
        <v/>
      </c>
      <c r="G58" s="116"/>
      <c r="H58" s="117"/>
      <c r="I58" s="116"/>
      <c r="J58" s="118"/>
      <c r="K58" s="116"/>
      <c r="L58" s="118"/>
      <c r="M58" s="51" t="str">
        <f aca="false">IF(B58="","",MONTH(B58))</f>
        <v/>
      </c>
      <c r="N58" s="51" t="str">
        <f aca="false">IF(B58="","",YEAR(B58))</f>
        <v/>
      </c>
      <c r="O58" s="51" t="str">
        <f aca="false">IF(B58="","",C58&amp;"|"&amp;M58&amp;"|"&amp;N58)</f>
        <v/>
      </c>
    </row>
    <row r="59" customFormat="false" ht="15" hidden="false" customHeight="false" outlineLevel="0" collapsed="false">
      <c r="A59" s="73" t="str">
        <f aca="false">IF(B59="","",ROW()-9)</f>
        <v/>
      </c>
      <c r="B59" s="115"/>
      <c r="C59" s="116"/>
      <c r="D59" s="74" t="str">
        <f aca="false">IF(C59="","",IFERROR(INDEX('REGISTRE ELEVES'!$D$10:$D$250,MATCH(C59,'REGISTRE ELEVES'!$B$10:$B$250,0)),"Matricule inconnu"))</f>
        <v/>
      </c>
      <c r="E59" s="73" t="str">
        <f aca="false">IF(C59="","",IFERROR(INDEX('REGISTRE ELEVES'!$F$10:$F$250,MATCH(C59,'REGISTRE ELEVES'!$B$10:$B$250,0)),""))</f>
        <v/>
      </c>
      <c r="F59" s="73" t="str">
        <f aca="false">IF(C59="","",IFERROR(INDEX('REGISTRE ELEVES'!$E$10:$E$250,MATCH(C59,'REGISTRE ELEVES'!$B$10:$B$250,0)),""))</f>
        <v/>
      </c>
      <c r="G59" s="116"/>
      <c r="H59" s="117"/>
      <c r="I59" s="116"/>
      <c r="J59" s="118"/>
      <c r="K59" s="116"/>
      <c r="L59" s="118"/>
      <c r="M59" s="51" t="str">
        <f aca="false">IF(B59="","",MONTH(B59))</f>
        <v/>
      </c>
      <c r="N59" s="51" t="str">
        <f aca="false">IF(B59="","",YEAR(B59))</f>
        <v/>
      </c>
      <c r="O59" s="51" t="str">
        <f aca="false">IF(B59="","",C59&amp;"|"&amp;M59&amp;"|"&amp;N59)</f>
        <v/>
      </c>
    </row>
    <row r="60" customFormat="false" ht="15" hidden="false" customHeight="false" outlineLevel="0" collapsed="false">
      <c r="A60" s="73" t="str">
        <f aca="false">IF(B60="","",ROW()-9)</f>
        <v/>
      </c>
      <c r="B60" s="115"/>
      <c r="C60" s="116"/>
      <c r="D60" s="74" t="str">
        <f aca="false">IF(C60="","",IFERROR(INDEX('REGISTRE ELEVES'!$D$10:$D$250,MATCH(C60,'REGISTRE ELEVES'!$B$10:$B$250,0)),"Matricule inconnu"))</f>
        <v/>
      </c>
      <c r="E60" s="73" t="str">
        <f aca="false">IF(C60="","",IFERROR(INDEX('REGISTRE ELEVES'!$F$10:$F$250,MATCH(C60,'REGISTRE ELEVES'!$B$10:$B$250,0)),""))</f>
        <v/>
      </c>
      <c r="F60" s="73" t="str">
        <f aca="false">IF(C60="","",IFERROR(INDEX('REGISTRE ELEVES'!$E$10:$E$250,MATCH(C60,'REGISTRE ELEVES'!$B$10:$B$250,0)),""))</f>
        <v/>
      </c>
      <c r="G60" s="116"/>
      <c r="H60" s="117"/>
      <c r="I60" s="116"/>
      <c r="J60" s="118"/>
      <c r="K60" s="116"/>
      <c r="L60" s="118"/>
      <c r="M60" s="51" t="str">
        <f aca="false">IF(B60="","",MONTH(B60))</f>
        <v/>
      </c>
      <c r="N60" s="51" t="str">
        <f aca="false">IF(B60="","",YEAR(B60))</f>
        <v/>
      </c>
      <c r="O60" s="51" t="str">
        <f aca="false">IF(B60="","",C60&amp;"|"&amp;M60&amp;"|"&amp;N60)</f>
        <v/>
      </c>
    </row>
    <row r="61" customFormat="false" ht="15" hidden="false" customHeight="false" outlineLevel="0" collapsed="false">
      <c r="A61" s="73" t="str">
        <f aca="false">IF(B61="","",ROW()-9)</f>
        <v/>
      </c>
      <c r="B61" s="115"/>
      <c r="C61" s="116"/>
      <c r="D61" s="74" t="str">
        <f aca="false">IF(C61="","",IFERROR(INDEX('REGISTRE ELEVES'!$D$10:$D$250,MATCH(C61,'REGISTRE ELEVES'!$B$10:$B$250,0)),"Matricule inconnu"))</f>
        <v/>
      </c>
      <c r="E61" s="73" t="str">
        <f aca="false">IF(C61="","",IFERROR(INDEX('REGISTRE ELEVES'!$F$10:$F$250,MATCH(C61,'REGISTRE ELEVES'!$B$10:$B$250,0)),""))</f>
        <v/>
      </c>
      <c r="F61" s="73" t="str">
        <f aca="false">IF(C61="","",IFERROR(INDEX('REGISTRE ELEVES'!$E$10:$E$250,MATCH(C61,'REGISTRE ELEVES'!$B$10:$B$250,0)),""))</f>
        <v/>
      </c>
      <c r="G61" s="116"/>
      <c r="H61" s="117"/>
      <c r="I61" s="116"/>
      <c r="J61" s="118"/>
      <c r="K61" s="116"/>
      <c r="L61" s="118"/>
      <c r="M61" s="51" t="str">
        <f aca="false">IF(B61="","",MONTH(B61))</f>
        <v/>
      </c>
      <c r="N61" s="51" t="str">
        <f aca="false">IF(B61="","",YEAR(B61))</f>
        <v/>
      </c>
      <c r="O61" s="51" t="str">
        <f aca="false">IF(B61="","",C61&amp;"|"&amp;M61&amp;"|"&amp;N61)</f>
        <v/>
      </c>
    </row>
    <row r="62" customFormat="false" ht="15" hidden="false" customHeight="false" outlineLevel="0" collapsed="false">
      <c r="A62" s="73" t="str">
        <f aca="false">IF(B62="","",ROW()-9)</f>
        <v/>
      </c>
      <c r="B62" s="115"/>
      <c r="C62" s="116"/>
      <c r="D62" s="74" t="str">
        <f aca="false">IF(C62="","",IFERROR(INDEX('REGISTRE ELEVES'!$D$10:$D$250,MATCH(C62,'REGISTRE ELEVES'!$B$10:$B$250,0)),"Matricule inconnu"))</f>
        <v/>
      </c>
      <c r="E62" s="73" t="str">
        <f aca="false">IF(C62="","",IFERROR(INDEX('REGISTRE ELEVES'!$F$10:$F$250,MATCH(C62,'REGISTRE ELEVES'!$B$10:$B$250,0)),""))</f>
        <v/>
      </c>
      <c r="F62" s="73" t="str">
        <f aca="false">IF(C62="","",IFERROR(INDEX('REGISTRE ELEVES'!$E$10:$E$250,MATCH(C62,'REGISTRE ELEVES'!$B$10:$B$250,0)),""))</f>
        <v/>
      </c>
      <c r="G62" s="116"/>
      <c r="H62" s="117"/>
      <c r="I62" s="116"/>
      <c r="J62" s="118"/>
      <c r="K62" s="116"/>
      <c r="L62" s="118"/>
      <c r="M62" s="51" t="str">
        <f aca="false">IF(B62="","",MONTH(B62))</f>
        <v/>
      </c>
      <c r="N62" s="51" t="str">
        <f aca="false">IF(B62="","",YEAR(B62))</f>
        <v/>
      </c>
      <c r="O62" s="51" t="str">
        <f aca="false">IF(B62="","",C62&amp;"|"&amp;M62&amp;"|"&amp;N62)</f>
        <v/>
      </c>
    </row>
    <row r="63" customFormat="false" ht="15" hidden="false" customHeight="false" outlineLevel="0" collapsed="false">
      <c r="A63" s="73" t="str">
        <f aca="false">IF(B63="","",ROW()-9)</f>
        <v/>
      </c>
      <c r="B63" s="115"/>
      <c r="C63" s="116"/>
      <c r="D63" s="74" t="str">
        <f aca="false">IF(C63="","",IFERROR(INDEX('REGISTRE ELEVES'!$D$10:$D$250,MATCH(C63,'REGISTRE ELEVES'!$B$10:$B$250,0)),"Matricule inconnu"))</f>
        <v/>
      </c>
      <c r="E63" s="73" t="str">
        <f aca="false">IF(C63="","",IFERROR(INDEX('REGISTRE ELEVES'!$F$10:$F$250,MATCH(C63,'REGISTRE ELEVES'!$B$10:$B$250,0)),""))</f>
        <v/>
      </c>
      <c r="F63" s="73" t="str">
        <f aca="false">IF(C63="","",IFERROR(INDEX('REGISTRE ELEVES'!$E$10:$E$250,MATCH(C63,'REGISTRE ELEVES'!$B$10:$B$250,0)),""))</f>
        <v/>
      </c>
      <c r="G63" s="116"/>
      <c r="H63" s="117"/>
      <c r="I63" s="116"/>
      <c r="J63" s="118"/>
      <c r="K63" s="116"/>
      <c r="L63" s="118"/>
      <c r="M63" s="51" t="str">
        <f aca="false">IF(B63="","",MONTH(B63))</f>
        <v/>
      </c>
      <c r="N63" s="51" t="str">
        <f aca="false">IF(B63="","",YEAR(B63))</f>
        <v/>
      </c>
      <c r="O63" s="51" t="str">
        <f aca="false">IF(B63="","",C63&amp;"|"&amp;M63&amp;"|"&amp;N63)</f>
        <v/>
      </c>
    </row>
    <row r="64" customFormat="false" ht="15" hidden="false" customHeight="false" outlineLevel="0" collapsed="false">
      <c r="A64" s="73" t="str">
        <f aca="false">IF(B64="","",ROW()-9)</f>
        <v/>
      </c>
      <c r="B64" s="115"/>
      <c r="C64" s="116"/>
      <c r="D64" s="74" t="str">
        <f aca="false">IF(C64="","",IFERROR(INDEX('REGISTRE ELEVES'!$D$10:$D$250,MATCH(C64,'REGISTRE ELEVES'!$B$10:$B$250,0)),"Matricule inconnu"))</f>
        <v/>
      </c>
      <c r="E64" s="73" t="str">
        <f aca="false">IF(C64="","",IFERROR(INDEX('REGISTRE ELEVES'!$F$10:$F$250,MATCH(C64,'REGISTRE ELEVES'!$B$10:$B$250,0)),""))</f>
        <v/>
      </c>
      <c r="F64" s="73" t="str">
        <f aca="false">IF(C64="","",IFERROR(INDEX('REGISTRE ELEVES'!$E$10:$E$250,MATCH(C64,'REGISTRE ELEVES'!$B$10:$B$250,0)),""))</f>
        <v/>
      </c>
      <c r="G64" s="116"/>
      <c r="H64" s="117"/>
      <c r="I64" s="116"/>
      <c r="J64" s="118"/>
      <c r="K64" s="116"/>
      <c r="L64" s="118"/>
      <c r="M64" s="51" t="str">
        <f aca="false">IF(B64="","",MONTH(B64))</f>
        <v/>
      </c>
      <c r="N64" s="51" t="str">
        <f aca="false">IF(B64="","",YEAR(B64))</f>
        <v/>
      </c>
      <c r="O64" s="51" t="str">
        <f aca="false">IF(B64="","",C64&amp;"|"&amp;M64&amp;"|"&amp;N64)</f>
        <v/>
      </c>
    </row>
    <row r="65" customFormat="false" ht="15" hidden="false" customHeight="false" outlineLevel="0" collapsed="false">
      <c r="A65" s="73" t="str">
        <f aca="false">IF(B65="","",ROW()-9)</f>
        <v/>
      </c>
      <c r="B65" s="115"/>
      <c r="C65" s="116"/>
      <c r="D65" s="74" t="str">
        <f aca="false">IF(C65="","",IFERROR(INDEX('REGISTRE ELEVES'!$D$10:$D$250,MATCH(C65,'REGISTRE ELEVES'!$B$10:$B$250,0)),"Matricule inconnu"))</f>
        <v/>
      </c>
      <c r="E65" s="73" t="str">
        <f aca="false">IF(C65="","",IFERROR(INDEX('REGISTRE ELEVES'!$F$10:$F$250,MATCH(C65,'REGISTRE ELEVES'!$B$10:$B$250,0)),""))</f>
        <v/>
      </c>
      <c r="F65" s="73" t="str">
        <f aca="false">IF(C65="","",IFERROR(INDEX('REGISTRE ELEVES'!$E$10:$E$250,MATCH(C65,'REGISTRE ELEVES'!$B$10:$B$250,0)),""))</f>
        <v/>
      </c>
      <c r="G65" s="116"/>
      <c r="H65" s="117"/>
      <c r="I65" s="116"/>
      <c r="J65" s="118"/>
      <c r="K65" s="116"/>
      <c r="L65" s="118"/>
      <c r="M65" s="51" t="str">
        <f aca="false">IF(B65="","",MONTH(B65))</f>
        <v/>
      </c>
      <c r="N65" s="51" t="str">
        <f aca="false">IF(B65="","",YEAR(B65))</f>
        <v/>
      </c>
      <c r="O65" s="51" t="str">
        <f aca="false">IF(B65="","",C65&amp;"|"&amp;M65&amp;"|"&amp;N65)</f>
        <v/>
      </c>
    </row>
    <row r="66" customFormat="false" ht="15" hidden="false" customHeight="false" outlineLevel="0" collapsed="false">
      <c r="A66" s="73" t="str">
        <f aca="false">IF(B66="","",ROW()-9)</f>
        <v/>
      </c>
      <c r="B66" s="115"/>
      <c r="C66" s="116"/>
      <c r="D66" s="74" t="str">
        <f aca="false">IF(C66="","",IFERROR(INDEX('REGISTRE ELEVES'!$D$10:$D$250,MATCH(C66,'REGISTRE ELEVES'!$B$10:$B$250,0)),"Matricule inconnu"))</f>
        <v/>
      </c>
      <c r="E66" s="73" t="str">
        <f aca="false">IF(C66="","",IFERROR(INDEX('REGISTRE ELEVES'!$F$10:$F$250,MATCH(C66,'REGISTRE ELEVES'!$B$10:$B$250,0)),""))</f>
        <v/>
      </c>
      <c r="F66" s="73" t="str">
        <f aca="false">IF(C66="","",IFERROR(INDEX('REGISTRE ELEVES'!$E$10:$E$250,MATCH(C66,'REGISTRE ELEVES'!$B$10:$B$250,0)),""))</f>
        <v/>
      </c>
      <c r="G66" s="116"/>
      <c r="H66" s="117"/>
      <c r="I66" s="116"/>
      <c r="J66" s="118"/>
      <c r="K66" s="116"/>
      <c r="L66" s="118"/>
      <c r="M66" s="51" t="str">
        <f aca="false">IF(B66="","",MONTH(B66))</f>
        <v/>
      </c>
      <c r="N66" s="51" t="str">
        <f aca="false">IF(B66="","",YEAR(B66))</f>
        <v/>
      </c>
      <c r="O66" s="51" t="str">
        <f aca="false">IF(B66="","",C66&amp;"|"&amp;M66&amp;"|"&amp;N66)</f>
        <v/>
      </c>
    </row>
    <row r="67" customFormat="false" ht="15" hidden="false" customHeight="false" outlineLevel="0" collapsed="false">
      <c r="A67" s="73" t="str">
        <f aca="false">IF(B67="","",ROW()-9)</f>
        <v/>
      </c>
      <c r="B67" s="115"/>
      <c r="C67" s="116"/>
      <c r="D67" s="74" t="str">
        <f aca="false">IF(C67="","",IFERROR(INDEX('REGISTRE ELEVES'!$D$10:$D$250,MATCH(C67,'REGISTRE ELEVES'!$B$10:$B$250,0)),"Matricule inconnu"))</f>
        <v/>
      </c>
      <c r="E67" s="73" t="str">
        <f aca="false">IF(C67="","",IFERROR(INDEX('REGISTRE ELEVES'!$F$10:$F$250,MATCH(C67,'REGISTRE ELEVES'!$B$10:$B$250,0)),""))</f>
        <v/>
      </c>
      <c r="F67" s="73" t="str">
        <f aca="false">IF(C67="","",IFERROR(INDEX('REGISTRE ELEVES'!$E$10:$E$250,MATCH(C67,'REGISTRE ELEVES'!$B$10:$B$250,0)),""))</f>
        <v/>
      </c>
      <c r="G67" s="116"/>
      <c r="H67" s="117"/>
      <c r="I67" s="116"/>
      <c r="J67" s="118"/>
      <c r="K67" s="116"/>
      <c r="L67" s="118"/>
      <c r="M67" s="51" t="str">
        <f aca="false">IF(B67="","",MONTH(B67))</f>
        <v/>
      </c>
      <c r="N67" s="51" t="str">
        <f aca="false">IF(B67="","",YEAR(B67))</f>
        <v/>
      </c>
      <c r="O67" s="51" t="str">
        <f aca="false">IF(B67="","",C67&amp;"|"&amp;M67&amp;"|"&amp;N67)</f>
        <v/>
      </c>
    </row>
    <row r="68" customFormat="false" ht="15" hidden="false" customHeight="false" outlineLevel="0" collapsed="false">
      <c r="A68" s="73" t="str">
        <f aca="false">IF(B68="","",ROW()-9)</f>
        <v/>
      </c>
      <c r="B68" s="115"/>
      <c r="C68" s="116"/>
      <c r="D68" s="74" t="str">
        <f aca="false">IF(C68="","",IFERROR(INDEX('REGISTRE ELEVES'!$D$10:$D$250,MATCH(C68,'REGISTRE ELEVES'!$B$10:$B$250,0)),"Matricule inconnu"))</f>
        <v/>
      </c>
      <c r="E68" s="73" t="str">
        <f aca="false">IF(C68="","",IFERROR(INDEX('REGISTRE ELEVES'!$F$10:$F$250,MATCH(C68,'REGISTRE ELEVES'!$B$10:$B$250,0)),""))</f>
        <v/>
      </c>
      <c r="F68" s="73" t="str">
        <f aca="false">IF(C68="","",IFERROR(INDEX('REGISTRE ELEVES'!$E$10:$E$250,MATCH(C68,'REGISTRE ELEVES'!$B$10:$B$250,0)),""))</f>
        <v/>
      </c>
      <c r="G68" s="116"/>
      <c r="H68" s="117"/>
      <c r="I68" s="116"/>
      <c r="J68" s="118"/>
      <c r="K68" s="116"/>
      <c r="L68" s="118"/>
      <c r="M68" s="51" t="str">
        <f aca="false">IF(B68="","",MONTH(B68))</f>
        <v/>
      </c>
      <c r="N68" s="51" t="str">
        <f aca="false">IF(B68="","",YEAR(B68))</f>
        <v/>
      </c>
      <c r="O68" s="51" t="str">
        <f aca="false">IF(B68="","",C68&amp;"|"&amp;M68&amp;"|"&amp;N68)</f>
        <v/>
      </c>
    </row>
    <row r="69" customFormat="false" ht="15" hidden="false" customHeight="false" outlineLevel="0" collapsed="false">
      <c r="A69" s="73" t="str">
        <f aca="false">IF(B69="","",ROW()-9)</f>
        <v/>
      </c>
      <c r="B69" s="115"/>
      <c r="C69" s="116"/>
      <c r="D69" s="74" t="str">
        <f aca="false">IF(C69="","",IFERROR(INDEX('REGISTRE ELEVES'!$D$10:$D$250,MATCH(C69,'REGISTRE ELEVES'!$B$10:$B$250,0)),"Matricule inconnu"))</f>
        <v/>
      </c>
      <c r="E69" s="73" t="str">
        <f aca="false">IF(C69="","",IFERROR(INDEX('REGISTRE ELEVES'!$F$10:$F$250,MATCH(C69,'REGISTRE ELEVES'!$B$10:$B$250,0)),""))</f>
        <v/>
      </c>
      <c r="F69" s="73" t="str">
        <f aca="false">IF(C69="","",IFERROR(INDEX('REGISTRE ELEVES'!$E$10:$E$250,MATCH(C69,'REGISTRE ELEVES'!$B$10:$B$250,0)),""))</f>
        <v/>
      </c>
      <c r="G69" s="116"/>
      <c r="H69" s="117"/>
      <c r="I69" s="116"/>
      <c r="J69" s="118"/>
      <c r="K69" s="116"/>
      <c r="L69" s="118"/>
      <c r="M69" s="51" t="str">
        <f aca="false">IF(B69="","",MONTH(B69))</f>
        <v/>
      </c>
      <c r="N69" s="51" t="str">
        <f aca="false">IF(B69="","",YEAR(B69))</f>
        <v/>
      </c>
      <c r="O69" s="51" t="str">
        <f aca="false">IF(B69="","",C69&amp;"|"&amp;M69&amp;"|"&amp;N69)</f>
        <v/>
      </c>
    </row>
    <row r="70" customFormat="false" ht="15" hidden="false" customHeight="false" outlineLevel="0" collapsed="false">
      <c r="A70" s="73" t="str">
        <f aca="false">IF(B70="","",ROW()-9)</f>
        <v/>
      </c>
      <c r="B70" s="115"/>
      <c r="C70" s="116"/>
      <c r="D70" s="74" t="str">
        <f aca="false">IF(C70="","",IFERROR(INDEX('REGISTRE ELEVES'!$D$10:$D$250,MATCH(C70,'REGISTRE ELEVES'!$B$10:$B$250,0)),"Matricule inconnu"))</f>
        <v/>
      </c>
      <c r="E70" s="73" t="str">
        <f aca="false">IF(C70="","",IFERROR(INDEX('REGISTRE ELEVES'!$F$10:$F$250,MATCH(C70,'REGISTRE ELEVES'!$B$10:$B$250,0)),""))</f>
        <v/>
      </c>
      <c r="F70" s="73" t="str">
        <f aca="false">IF(C70="","",IFERROR(INDEX('REGISTRE ELEVES'!$E$10:$E$250,MATCH(C70,'REGISTRE ELEVES'!$B$10:$B$250,0)),""))</f>
        <v/>
      </c>
      <c r="G70" s="116"/>
      <c r="H70" s="117"/>
      <c r="I70" s="116"/>
      <c r="J70" s="118"/>
      <c r="K70" s="116"/>
      <c r="L70" s="118"/>
      <c r="M70" s="51" t="str">
        <f aca="false">IF(B70="","",MONTH(B70))</f>
        <v/>
      </c>
      <c r="N70" s="51" t="str">
        <f aca="false">IF(B70="","",YEAR(B70))</f>
        <v/>
      </c>
      <c r="O70" s="51" t="str">
        <f aca="false">IF(B70="","",C70&amp;"|"&amp;M70&amp;"|"&amp;N70)</f>
        <v/>
      </c>
    </row>
    <row r="71" customFormat="false" ht="15" hidden="false" customHeight="false" outlineLevel="0" collapsed="false">
      <c r="A71" s="73" t="str">
        <f aca="false">IF(B71="","",ROW()-9)</f>
        <v/>
      </c>
      <c r="B71" s="115"/>
      <c r="C71" s="116"/>
      <c r="D71" s="74" t="str">
        <f aca="false">IF(C71="","",IFERROR(INDEX('REGISTRE ELEVES'!$D$10:$D$250,MATCH(C71,'REGISTRE ELEVES'!$B$10:$B$250,0)),"Matricule inconnu"))</f>
        <v/>
      </c>
      <c r="E71" s="73" t="str">
        <f aca="false">IF(C71="","",IFERROR(INDEX('REGISTRE ELEVES'!$F$10:$F$250,MATCH(C71,'REGISTRE ELEVES'!$B$10:$B$250,0)),""))</f>
        <v/>
      </c>
      <c r="F71" s="73" t="str">
        <f aca="false">IF(C71="","",IFERROR(INDEX('REGISTRE ELEVES'!$E$10:$E$250,MATCH(C71,'REGISTRE ELEVES'!$B$10:$B$250,0)),""))</f>
        <v/>
      </c>
      <c r="G71" s="116"/>
      <c r="H71" s="117"/>
      <c r="I71" s="116"/>
      <c r="J71" s="118"/>
      <c r="K71" s="116"/>
      <c r="L71" s="118"/>
      <c r="M71" s="51" t="str">
        <f aca="false">IF(B71="","",MONTH(B71))</f>
        <v/>
      </c>
      <c r="N71" s="51" t="str">
        <f aca="false">IF(B71="","",YEAR(B71))</f>
        <v/>
      </c>
      <c r="O71" s="51" t="str">
        <f aca="false">IF(B71="","",C71&amp;"|"&amp;M71&amp;"|"&amp;N71)</f>
        <v/>
      </c>
    </row>
    <row r="72" customFormat="false" ht="15" hidden="false" customHeight="false" outlineLevel="0" collapsed="false">
      <c r="A72" s="73" t="str">
        <f aca="false">IF(B72="","",ROW()-9)</f>
        <v/>
      </c>
      <c r="B72" s="115"/>
      <c r="C72" s="116"/>
      <c r="D72" s="74" t="str">
        <f aca="false">IF(C72="","",IFERROR(INDEX('REGISTRE ELEVES'!$D$10:$D$250,MATCH(C72,'REGISTRE ELEVES'!$B$10:$B$250,0)),"Matricule inconnu"))</f>
        <v/>
      </c>
      <c r="E72" s="73" t="str">
        <f aca="false">IF(C72="","",IFERROR(INDEX('REGISTRE ELEVES'!$F$10:$F$250,MATCH(C72,'REGISTRE ELEVES'!$B$10:$B$250,0)),""))</f>
        <v/>
      </c>
      <c r="F72" s="73" t="str">
        <f aca="false">IF(C72="","",IFERROR(INDEX('REGISTRE ELEVES'!$E$10:$E$250,MATCH(C72,'REGISTRE ELEVES'!$B$10:$B$250,0)),""))</f>
        <v/>
      </c>
      <c r="G72" s="116"/>
      <c r="H72" s="117"/>
      <c r="I72" s="116"/>
      <c r="J72" s="118"/>
      <c r="K72" s="116"/>
      <c r="L72" s="118"/>
      <c r="M72" s="51" t="str">
        <f aca="false">IF(B72="","",MONTH(B72))</f>
        <v/>
      </c>
      <c r="N72" s="51" t="str">
        <f aca="false">IF(B72="","",YEAR(B72))</f>
        <v/>
      </c>
      <c r="O72" s="51" t="str">
        <f aca="false">IF(B72="","",C72&amp;"|"&amp;M72&amp;"|"&amp;N72)</f>
        <v/>
      </c>
    </row>
    <row r="73" customFormat="false" ht="15" hidden="false" customHeight="false" outlineLevel="0" collapsed="false">
      <c r="A73" s="73" t="str">
        <f aca="false">IF(B73="","",ROW()-9)</f>
        <v/>
      </c>
      <c r="B73" s="115"/>
      <c r="C73" s="116"/>
      <c r="D73" s="74" t="str">
        <f aca="false">IF(C73="","",IFERROR(INDEX('REGISTRE ELEVES'!$D$10:$D$250,MATCH(C73,'REGISTRE ELEVES'!$B$10:$B$250,0)),"Matricule inconnu"))</f>
        <v/>
      </c>
      <c r="E73" s="73" t="str">
        <f aca="false">IF(C73="","",IFERROR(INDEX('REGISTRE ELEVES'!$F$10:$F$250,MATCH(C73,'REGISTRE ELEVES'!$B$10:$B$250,0)),""))</f>
        <v/>
      </c>
      <c r="F73" s="73" t="str">
        <f aca="false">IF(C73="","",IFERROR(INDEX('REGISTRE ELEVES'!$E$10:$E$250,MATCH(C73,'REGISTRE ELEVES'!$B$10:$B$250,0)),""))</f>
        <v/>
      </c>
      <c r="G73" s="116"/>
      <c r="H73" s="117"/>
      <c r="I73" s="116"/>
      <c r="J73" s="118"/>
      <c r="K73" s="116"/>
      <c r="L73" s="118"/>
      <c r="M73" s="51" t="str">
        <f aca="false">IF(B73="","",MONTH(B73))</f>
        <v/>
      </c>
      <c r="N73" s="51" t="str">
        <f aca="false">IF(B73="","",YEAR(B73))</f>
        <v/>
      </c>
      <c r="O73" s="51" t="str">
        <f aca="false">IF(B73="","",C73&amp;"|"&amp;M73&amp;"|"&amp;N73)</f>
        <v/>
      </c>
    </row>
    <row r="74" customFormat="false" ht="15" hidden="false" customHeight="false" outlineLevel="0" collapsed="false">
      <c r="A74" s="73" t="str">
        <f aca="false">IF(B74="","",ROW()-9)</f>
        <v/>
      </c>
      <c r="B74" s="115"/>
      <c r="C74" s="116"/>
      <c r="D74" s="74" t="str">
        <f aca="false">IF(C74="","",IFERROR(INDEX('REGISTRE ELEVES'!$D$10:$D$250,MATCH(C74,'REGISTRE ELEVES'!$B$10:$B$250,0)),"Matricule inconnu"))</f>
        <v/>
      </c>
      <c r="E74" s="73" t="str">
        <f aca="false">IF(C74="","",IFERROR(INDEX('REGISTRE ELEVES'!$F$10:$F$250,MATCH(C74,'REGISTRE ELEVES'!$B$10:$B$250,0)),""))</f>
        <v/>
      </c>
      <c r="F74" s="73" t="str">
        <f aca="false">IF(C74="","",IFERROR(INDEX('REGISTRE ELEVES'!$E$10:$E$250,MATCH(C74,'REGISTRE ELEVES'!$B$10:$B$250,0)),""))</f>
        <v/>
      </c>
      <c r="G74" s="116"/>
      <c r="H74" s="117"/>
      <c r="I74" s="116"/>
      <c r="J74" s="118"/>
      <c r="K74" s="116"/>
      <c r="L74" s="118"/>
      <c r="M74" s="51" t="str">
        <f aca="false">IF(B74="","",MONTH(B74))</f>
        <v/>
      </c>
      <c r="N74" s="51" t="str">
        <f aca="false">IF(B74="","",YEAR(B74))</f>
        <v/>
      </c>
      <c r="O74" s="51" t="str">
        <f aca="false">IF(B74="","",C74&amp;"|"&amp;M74&amp;"|"&amp;N74)</f>
        <v/>
      </c>
    </row>
    <row r="75" customFormat="false" ht="15" hidden="false" customHeight="false" outlineLevel="0" collapsed="false">
      <c r="A75" s="73" t="str">
        <f aca="false">IF(B75="","",ROW()-9)</f>
        <v/>
      </c>
      <c r="B75" s="115"/>
      <c r="C75" s="116"/>
      <c r="D75" s="74" t="str">
        <f aca="false">IF(C75="","",IFERROR(INDEX('REGISTRE ELEVES'!$D$10:$D$250,MATCH(C75,'REGISTRE ELEVES'!$B$10:$B$250,0)),"Matricule inconnu"))</f>
        <v/>
      </c>
      <c r="E75" s="73" t="str">
        <f aca="false">IF(C75="","",IFERROR(INDEX('REGISTRE ELEVES'!$F$10:$F$250,MATCH(C75,'REGISTRE ELEVES'!$B$10:$B$250,0)),""))</f>
        <v/>
      </c>
      <c r="F75" s="73" t="str">
        <f aca="false">IF(C75="","",IFERROR(INDEX('REGISTRE ELEVES'!$E$10:$E$250,MATCH(C75,'REGISTRE ELEVES'!$B$10:$B$250,0)),""))</f>
        <v/>
      </c>
      <c r="G75" s="116"/>
      <c r="H75" s="117"/>
      <c r="I75" s="116"/>
      <c r="J75" s="118"/>
      <c r="K75" s="116"/>
      <c r="L75" s="118"/>
      <c r="M75" s="51" t="str">
        <f aca="false">IF(B75="","",MONTH(B75))</f>
        <v/>
      </c>
      <c r="N75" s="51" t="str">
        <f aca="false">IF(B75="","",YEAR(B75))</f>
        <v/>
      </c>
      <c r="O75" s="51" t="str">
        <f aca="false">IF(B75="","",C75&amp;"|"&amp;M75&amp;"|"&amp;N75)</f>
        <v/>
      </c>
    </row>
    <row r="76" customFormat="false" ht="15" hidden="false" customHeight="false" outlineLevel="0" collapsed="false">
      <c r="A76" s="73" t="str">
        <f aca="false">IF(B76="","",ROW()-9)</f>
        <v/>
      </c>
      <c r="B76" s="115"/>
      <c r="C76" s="116"/>
      <c r="D76" s="74" t="str">
        <f aca="false">IF(C76="","",IFERROR(INDEX('REGISTRE ELEVES'!$D$10:$D$250,MATCH(C76,'REGISTRE ELEVES'!$B$10:$B$250,0)),"Matricule inconnu"))</f>
        <v/>
      </c>
      <c r="E76" s="73" t="str">
        <f aca="false">IF(C76="","",IFERROR(INDEX('REGISTRE ELEVES'!$F$10:$F$250,MATCH(C76,'REGISTRE ELEVES'!$B$10:$B$250,0)),""))</f>
        <v/>
      </c>
      <c r="F76" s="73" t="str">
        <f aca="false">IF(C76="","",IFERROR(INDEX('REGISTRE ELEVES'!$E$10:$E$250,MATCH(C76,'REGISTRE ELEVES'!$B$10:$B$250,0)),""))</f>
        <v/>
      </c>
      <c r="G76" s="116"/>
      <c r="H76" s="117"/>
      <c r="I76" s="116"/>
      <c r="J76" s="118"/>
      <c r="K76" s="116"/>
      <c r="L76" s="118"/>
      <c r="M76" s="51" t="str">
        <f aca="false">IF(B76="","",MONTH(B76))</f>
        <v/>
      </c>
      <c r="N76" s="51" t="str">
        <f aca="false">IF(B76="","",YEAR(B76))</f>
        <v/>
      </c>
      <c r="O76" s="51" t="str">
        <f aca="false">IF(B76="","",C76&amp;"|"&amp;M76&amp;"|"&amp;N76)</f>
        <v/>
      </c>
    </row>
    <row r="77" customFormat="false" ht="15" hidden="false" customHeight="false" outlineLevel="0" collapsed="false">
      <c r="A77" s="73" t="str">
        <f aca="false">IF(B77="","",ROW()-9)</f>
        <v/>
      </c>
      <c r="B77" s="115"/>
      <c r="C77" s="116"/>
      <c r="D77" s="74" t="str">
        <f aca="false">IF(C77="","",IFERROR(INDEX('REGISTRE ELEVES'!$D$10:$D$250,MATCH(C77,'REGISTRE ELEVES'!$B$10:$B$250,0)),"Matricule inconnu"))</f>
        <v/>
      </c>
      <c r="E77" s="73" t="str">
        <f aca="false">IF(C77="","",IFERROR(INDEX('REGISTRE ELEVES'!$F$10:$F$250,MATCH(C77,'REGISTRE ELEVES'!$B$10:$B$250,0)),""))</f>
        <v/>
      </c>
      <c r="F77" s="73" t="str">
        <f aca="false">IF(C77="","",IFERROR(INDEX('REGISTRE ELEVES'!$E$10:$E$250,MATCH(C77,'REGISTRE ELEVES'!$B$10:$B$250,0)),""))</f>
        <v/>
      </c>
      <c r="G77" s="116"/>
      <c r="H77" s="117"/>
      <c r="I77" s="116"/>
      <c r="J77" s="118"/>
      <c r="K77" s="116"/>
      <c r="L77" s="118"/>
      <c r="M77" s="51" t="str">
        <f aca="false">IF(B77="","",MONTH(B77))</f>
        <v/>
      </c>
      <c r="N77" s="51" t="str">
        <f aca="false">IF(B77="","",YEAR(B77))</f>
        <v/>
      </c>
      <c r="O77" s="51" t="str">
        <f aca="false">IF(B77="","",C77&amp;"|"&amp;M77&amp;"|"&amp;N77)</f>
        <v/>
      </c>
    </row>
    <row r="78" customFormat="false" ht="15" hidden="false" customHeight="false" outlineLevel="0" collapsed="false">
      <c r="A78" s="73" t="str">
        <f aca="false">IF(B78="","",ROW()-9)</f>
        <v/>
      </c>
      <c r="B78" s="115"/>
      <c r="C78" s="116"/>
      <c r="D78" s="74" t="str">
        <f aca="false">IF(C78="","",IFERROR(INDEX('REGISTRE ELEVES'!$D$10:$D$250,MATCH(C78,'REGISTRE ELEVES'!$B$10:$B$250,0)),"Matricule inconnu"))</f>
        <v/>
      </c>
      <c r="E78" s="73" t="str">
        <f aca="false">IF(C78="","",IFERROR(INDEX('REGISTRE ELEVES'!$F$10:$F$250,MATCH(C78,'REGISTRE ELEVES'!$B$10:$B$250,0)),""))</f>
        <v/>
      </c>
      <c r="F78" s="73" t="str">
        <f aca="false">IF(C78="","",IFERROR(INDEX('REGISTRE ELEVES'!$E$10:$E$250,MATCH(C78,'REGISTRE ELEVES'!$B$10:$B$250,0)),""))</f>
        <v/>
      </c>
      <c r="G78" s="116"/>
      <c r="H78" s="117"/>
      <c r="I78" s="116"/>
      <c r="J78" s="118"/>
      <c r="K78" s="116"/>
      <c r="L78" s="118"/>
      <c r="M78" s="51" t="str">
        <f aca="false">IF(B78="","",MONTH(B78))</f>
        <v/>
      </c>
      <c r="N78" s="51" t="str">
        <f aca="false">IF(B78="","",YEAR(B78))</f>
        <v/>
      </c>
      <c r="O78" s="51" t="str">
        <f aca="false">IF(B78="","",C78&amp;"|"&amp;M78&amp;"|"&amp;N78)</f>
        <v/>
      </c>
    </row>
    <row r="79" customFormat="false" ht="15" hidden="false" customHeight="false" outlineLevel="0" collapsed="false">
      <c r="A79" s="73" t="str">
        <f aca="false">IF(B79="","",ROW()-9)</f>
        <v/>
      </c>
      <c r="B79" s="115"/>
      <c r="C79" s="116"/>
      <c r="D79" s="74" t="str">
        <f aca="false">IF(C79="","",IFERROR(INDEX('REGISTRE ELEVES'!$D$10:$D$250,MATCH(C79,'REGISTRE ELEVES'!$B$10:$B$250,0)),"Matricule inconnu"))</f>
        <v/>
      </c>
      <c r="E79" s="73" t="str">
        <f aca="false">IF(C79="","",IFERROR(INDEX('REGISTRE ELEVES'!$F$10:$F$250,MATCH(C79,'REGISTRE ELEVES'!$B$10:$B$250,0)),""))</f>
        <v/>
      </c>
      <c r="F79" s="73" t="str">
        <f aca="false">IF(C79="","",IFERROR(INDEX('REGISTRE ELEVES'!$E$10:$E$250,MATCH(C79,'REGISTRE ELEVES'!$B$10:$B$250,0)),""))</f>
        <v/>
      </c>
      <c r="G79" s="116"/>
      <c r="H79" s="117"/>
      <c r="I79" s="116"/>
      <c r="J79" s="118"/>
      <c r="K79" s="116"/>
      <c r="L79" s="118"/>
      <c r="M79" s="51" t="str">
        <f aca="false">IF(B79="","",MONTH(B79))</f>
        <v/>
      </c>
      <c r="N79" s="51" t="str">
        <f aca="false">IF(B79="","",YEAR(B79))</f>
        <v/>
      </c>
      <c r="O79" s="51" t="str">
        <f aca="false">IF(B79="","",C79&amp;"|"&amp;M79&amp;"|"&amp;N79)</f>
        <v/>
      </c>
    </row>
    <row r="80" customFormat="false" ht="15" hidden="false" customHeight="false" outlineLevel="0" collapsed="false">
      <c r="A80" s="73" t="str">
        <f aca="false">IF(B80="","",ROW()-9)</f>
        <v/>
      </c>
      <c r="B80" s="115"/>
      <c r="C80" s="116"/>
      <c r="D80" s="74" t="str">
        <f aca="false">IF(C80="","",IFERROR(INDEX('REGISTRE ELEVES'!$D$10:$D$250,MATCH(C80,'REGISTRE ELEVES'!$B$10:$B$250,0)),"Matricule inconnu"))</f>
        <v/>
      </c>
      <c r="E80" s="73" t="str">
        <f aca="false">IF(C80="","",IFERROR(INDEX('REGISTRE ELEVES'!$F$10:$F$250,MATCH(C80,'REGISTRE ELEVES'!$B$10:$B$250,0)),""))</f>
        <v/>
      </c>
      <c r="F80" s="73" t="str">
        <f aca="false">IF(C80="","",IFERROR(INDEX('REGISTRE ELEVES'!$E$10:$E$250,MATCH(C80,'REGISTRE ELEVES'!$B$10:$B$250,0)),""))</f>
        <v/>
      </c>
      <c r="G80" s="116"/>
      <c r="H80" s="117"/>
      <c r="I80" s="116"/>
      <c r="J80" s="118"/>
      <c r="K80" s="116"/>
      <c r="L80" s="118"/>
      <c r="M80" s="51" t="str">
        <f aca="false">IF(B80="","",MONTH(B80))</f>
        <v/>
      </c>
      <c r="N80" s="51" t="str">
        <f aca="false">IF(B80="","",YEAR(B80))</f>
        <v/>
      </c>
      <c r="O80" s="51" t="str">
        <f aca="false">IF(B80="","",C80&amp;"|"&amp;M80&amp;"|"&amp;N80)</f>
        <v/>
      </c>
    </row>
    <row r="81" customFormat="false" ht="15" hidden="false" customHeight="false" outlineLevel="0" collapsed="false">
      <c r="A81" s="73" t="str">
        <f aca="false">IF(B81="","",ROW()-9)</f>
        <v/>
      </c>
      <c r="B81" s="115"/>
      <c r="C81" s="116"/>
      <c r="D81" s="74" t="str">
        <f aca="false">IF(C81="","",IFERROR(INDEX('REGISTRE ELEVES'!$D$10:$D$250,MATCH(C81,'REGISTRE ELEVES'!$B$10:$B$250,0)),"Matricule inconnu"))</f>
        <v/>
      </c>
      <c r="E81" s="73" t="str">
        <f aca="false">IF(C81="","",IFERROR(INDEX('REGISTRE ELEVES'!$F$10:$F$250,MATCH(C81,'REGISTRE ELEVES'!$B$10:$B$250,0)),""))</f>
        <v/>
      </c>
      <c r="F81" s="73" t="str">
        <f aca="false">IF(C81="","",IFERROR(INDEX('REGISTRE ELEVES'!$E$10:$E$250,MATCH(C81,'REGISTRE ELEVES'!$B$10:$B$250,0)),""))</f>
        <v/>
      </c>
      <c r="G81" s="116"/>
      <c r="H81" s="117"/>
      <c r="I81" s="116"/>
      <c r="J81" s="118"/>
      <c r="K81" s="116"/>
      <c r="L81" s="118"/>
      <c r="M81" s="51" t="str">
        <f aca="false">IF(B81="","",MONTH(B81))</f>
        <v/>
      </c>
      <c r="N81" s="51" t="str">
        <f aca="false">IF(B81="","",YEAR(B81))</f>
        <v/>
      </c>
      <c r="O81" s="51" t="str">
        <f aca="false">IF(B81="","",C81&amp;"|"&amp;M81&amp;"|"&amp;N81)</f>
        <v/>
      </c>
    </row>
    <row r="82" customFormat="false" ht="15" hidden="false" customHeight="false" outlineLevel="0" collapsed="false">
      <c r="A82" s="73" t="str">
        <f aca="false">IF(B82="","",ROW()-9)</f>
        <v/>
      </c>
      <c r="B82" s="115"/>
      <c r="C82" s="116"/>
      <c r="D82" s="74" t="str">
        <f aca="false">IF(C82="","",IFERROR(INDEX('REGISTRE ELEVES'!$D$10:$D$250,MATCH(C82,'REGISTRE ELEVES'!$B$10:$B$250,0)),"Matricule inconnu"))</f>
        <v/>
      </c>
      <c r="E82" s="73" t="str">
        <f aca="false">IF(C82="","",IFERROR(INDEX('REGISTRE ELEVES'!$F$10:$F$250,MATCH(C82,'REGISTRE ELEVES'!$B$10:$B$250,0)),""))</f>
        <v/>
      </c>
      <c r="F82" s="73" t="str">
        <f aca="false">IF(C82="","",IFERROR(INDEX('REGISTRE ELEVES'!$E$10:$E$250,MATCH(C82,'REGISTRE ELEVES'!$B$10:$B$250,0)),""))</f>
        <v/>
      </c>
      <c r="G82" s="116"/>
      <c r="H82" s="117"/>
      <c r="I82" s="116"/>
      <c r="J82" s="118"/>
      <c r="K82" s="116"/>
      <c r="L82" s="118"/>
      <c r="M82" s="51" t="str">
        <f aca="false">IF(B82="","",MONTH(B82))</f>
        <v/>
      </c>
      <c r="N82" s="51" t="str">
        <f aca="false">IF(B82="","",YEAR(B82))</f>
        <v/>
      </c>
      <c r="O82" s="51" t="str">
        <f aca="false">IF(B82="","",C82&amp;"|"&amp;M82&amp;"|"&amp;N82)</f>
        <v/>
      </c>
    </row>
    <row r="83" customFormat="false" ht="15" hidden="false" customHeight="false" outlineLevel="0" collapsed="false">
      <c r="A83" s="73" t="str">
        <f aca="false">IF(B83="","",ROW()-9)</f>
        <v/>
      </c>
      <c r="B83" s="115"/>
      <c r="C83" s="116"/>
      <c r="D83" s="74" t="str">
        <f aca="false">IF(C83="","",IFERROR(INDEX('REGISTRE ELEVES'!$D$10:$D$250,MATCH(C83,'REGISTRE ELEVES'!$B$10:$B$250,0)),"Matricule inconnu"))</f>
        <v/>
      </c>
      <c r="E83" s="73" t="str">
        <f aca="false">IF(C83="","",IFERROR(INDEX('REGISTRE ELEVES'!$F$10:$F$250,MATCH(C83,'REGISTRE ELEVES'!$B$10:$B$250,0)),""))</f>
        <v/>
      </c>
      <c r="F83" s="73" t="str">
        <f aca="false">IF(C83="","",IFERROR(INDEX('REGISTRE ELEVES'!$E$10:$E$250,MATCH(C83,'REGISTRE ELEVES'!$B$10:$B$250,0)),""))</f>
        <v/>
      </c>
      <c r="G83" s="116"/>
      <c r="H83" s="117"/>
      <c r="I83" s="116"/>
      <c r="J83" s="118"/>
      <c r="K83" s="116"/>
      <c r="L83" s="118"/>
      <c r="M83" s="51" t="str">
        <f aca="false">IF(B83="","",MONTH(B83))</f>
        <v/>
      </c>
      <c r="N83" s="51" t="str">
        <f aca="false">IF(B83="","",YEAR(B83))</f>
        <v/>
      </c>
      <c r="O83" s="51" t="str">
        <f aca="false">IF(B83="","",C83&amp;"|"&amp;M83&amp;"|"&amp;N83)</f>
        <v/>
      </c>
    </row>
    <row r="84" customFormat="false" ht="15" hidden="false" customHeight="false" outlineLevel="0" collapsed="false">
      <c r="A84" s="73" t="str">
        <f aca="false">IF(B84="","",ROW()-9)</f>
        <v/>
      </c>
      <c r="B84" s="115"/>
      <c r="C84" s="116"/>
      <c r="D84" s="74" t="str">
        <f aca="false">IF(C84="","",IFERROR(INDEX('REGISTRE ELEVES'!$D$10:$D$250,MATCH(C84,'REGISTRE ELEVES'!$B$10:$B$250,0)),"Matricule inconnu"))</f>
        <v/>
      </c>
      <c r="E84" s="73" t="str">
        <f aca="false">IF(C84="","",IFERROR(INDEX('REGISTRE ELEVES'!$F$10:$F$250,MATCH(C84,'REGISTRE ELEVES'!$B$10:$B$250,0)),""))</f>
        <v/>
      </c>
      <c r="F84" s="73" t="str">
        <f aca="false">IF(C84="","",IFERROR(INDEX('REGISTRE ELEVES'!$E$10:$E$250,MATCH(C84,'REGISTRE ELEVES'!$B$10:$B$250,0)),""))</f>
        <v/>
      </c>
      <c r="G84" s="116"/>
      <c r="H84" s="117"/>
      <c r="I84" s="116"/>
      <c r="J84" s="118"/>
      <c r="K84" s="116"/>
      <c r="L84" s="118"/>
      <c r="M84" s="51" t="str">
        <f aca="false">IF(B84="","",MONTH(B84))</f>
        <v/>
      </c>
      <c r="N84" s="51" t="str">
        <f aca="false">IF(B84="","",YEAR(B84))</f>
        <v/>
      </c>
      <c r="O84" s="51" t="str">
        <f aca="false">IF(B84="","",C84&amp;"|"&amp;M84&amp;"|"&amp;N84)</f>
        <v/>
      </c>
    </row>
    <row r="85" customFormat="false" ht="15" hidden="false" customHeight="false" outlineLevel="0" collapsed="false">
      <c r="A85" s="73" t="str">
        <f aca="false">IF(B85="","",ROW()-9)</f>
        <v/>
      </c>
      <c r="B85" s="115"/>
      <c r="C85" s="116"/>
      <c r="D85" s="74" t="str">
        <f aca="false">IF(C85="","",IFERROR(INDEX('REGISTRE ELEVES'!$D$10:$D$250,MATCH(C85,'REGISTRE ELEVES'!$B$10:$B$250,0)),"Matricule inconnu"))</f>
        <v/>
      </c>
      <c r="E85" s="73" t="str">
        <f aca="false">IF(C85="","",IFERROR(INDEX('REGISTRE ELEVES'!$F$10:$F$250,MATCH(C85,'REGISTRE ELEVES'!$B$10:$B$250,0)),""))</f>
        <v/>
      </c>
      <c r="F85" s="73" t="str">
        <f aca="false">IF(C85="","",IFERROR(INDEX('REGISTRE ELEVES'!$E$10:$E$250,MATCH(C85,'REGISTRE ELEVES'!$B$10:$B$250,0)),""))</f>
        <v/>
      </c>
      <c r="G85" s="116"/>
      <c r="H85" s="117"/>
      <c r="I85" s="116"/>
      <c r="J85" s="118"/>
      <c r="K85" s="116"/>
      <c r="L85" s="118"/>
      <c r="M85" s="51" t="str">
        <f aca="false">IF(B85="","",MONTH(B85))</f>
        <v/>
      </c>
      <c r="N85" s="51" t="str">
        <f aca="false">IF(B85="","",YEAR(B85))</f>
        <v/>
      </c>
      <c r="O85" s="51" t="str">
        <f aca="false">IF(B85="","",C85&amp;"|"&amp;M85&amp;"|"&amp;N85)</f>
        <v/>
      </c>
    </row>
    <row r="86" customFormat="false" ht="15" hidden="false" customHeight="false" outlineLevel="0" collapsed="false">
      <c r="A86" s="73" t="str">
        <f aca="false">IF(B86="","",ROW()-9)</f>
        <v/>
      </c>
      <c r="B86" s="115"/>
      <c r="C86" s="116"/>
      <c r="D86" s="74" t="str">
        <f aca="false">IF(C86="","",IFERROR(INDEX('REGISTRE ELEVES'!$D$10:$D$250,MATCH(C86,'REGISTRE ELEVES'!$B$10:$B$250,0)),"Matricule inconnu"))</f>
        <v/>
      </c>
      <c r="E86" s="73" t="str">
        <f aca="false">IF(C86="","",IFERROR(INDEX('REGISTRE ELEVES'!$F$10:$F$250,MATCH(C86,'REGISTRE ELEVES'!$B$10:$B$250,0)),""))</f>
        <v/>
      </c>
      <c r="F86" s="73" t="str">
        <f aca="false">IF(C86="","",IFERROR(INDEX('REGISTRE ELEVES'!$E$10:$E$250,MATCH(C86,'REGISTRE ELEVES'!$B$10:$B$250,0)),""))</f>
        <v/>
      </c>
      <c r="G86" s="116"/>
      <c r="H86" s="117"/>
      <c r="I86" s="116"/>
      <c r="J86" s="118"/>
      <c r="K86" s="116"/>
      <c r="L86" s="118"/>
      <c r="M86" s="51" t="str">
        <f aca="false">IF(B86="","",MONTH(B86))</f>
        <v/>
      </c>
      <c r="N86" s="51" t="str">
        <f aca="false">IF(B86="","",YEAR(B86))</f>
        <v/>
      </c>
      <c r="O86" s="51" t="str">
        <f aca="false">IF(B86="","",C86&amp;"|"&amp;M86&amp;"|"&amp;N86)</f>
        <v/>
      </c>
    </row>
    <row r="87" customFormat="false" ht="15" hidden="false" customHeight="false" outlineLevel="0" collapsed="false">
      <c r="A87" s="73" t="str">
        <f aca="false">IF(B87="","",ROW()-9)</f>
        <v/>
      </c>
      <c r="B87" s="115"/>
      <c r="C87" s="116"/>
      <c r="D87" s="74" t="str">
        <f aca="false">IF(C87="","",IFERROR(INDEX('REGISTRE ELEVES'!$D$10:$D$250,MATCH(C87,'REGISTRE ELEVES'!$B$10:$B$250,0)),"Matricule inconnu"))</f>
        <v/>
      </c>
      <c r="E87" s="73" t="str">
        <f aca="false">IF(C87="","",IFERROR(INDEX('REGISTRE ELEVES'!$F$10:$F$250,MATCH(C87,'REGISTRE ELEVES'!$B$10:$B$250,0)),""))</f>
        <v/>
      </c>
      <c r="F87" s="73" t="str">
        <f aca="false">IF(C87="","",IFERROR(INDEX('REGISTRE ELEVES'!$E$10:$E$250,MATCH(C87,'REGISTRE ELEVES'!$B$10:$B$250,0)),""))</f>
        <v/>
      </c>
      <c r="G87" s="116"/>
      <c r="H87" s="117"/>
      <c r="I87" s="116"/>
      <c r="J87" s="118"/>
      <c r="K87" s="116"/>
      <c r="L87" s="118"/>
      <c r="M87" s="51" t="str">
        <f aca="false">IF(B87="","",MONTH(B87))</f>
        <v/>
      </c>
      <c r="N87" s="51" t="str">
        <f aca="false">IF(B87="","",YEAR(B87))</f>
        <v/>
      </c>
      <c r="O87" s="51" t="str">
        <f aca="false">IF(B87="","",C87&amp;"|"&amp;M87&amp;"|"&amp;N87)</f>
        <v/>
      </c>
    </row>
    <row r="88" customFormat="false" ht="15" hidden="false" customHeight="false" outlineLevel="0" collapsed="false">
      <c r="A88" s="73" t="str">
        <f aca="false">IF(B88="","",ROW()-9)</f>
        <v/>
      </c>
      <c r="B88" s="115"/>
      <c r="C88" s="116"/>
      <c r="D88" s="74" t="str">
        <f aca="false">IF(C88="","",IFERROR(INDEX('REGISTRE ELEVES'!$D$10:$D$250,MATCH(C88,'REGISTRE ELEVES'!$B$10:$B$250,0)),"Matricule inconnu"))</f>
        <v/>
      </c>
      <c r="E88" s="73" t="str">
        <f aca="false">IF(C88="","",IFERROR(INDEX('REGISTRE ELEVES'!$F$10:$F$250,MATCH(C88,'REGISTRE ELEVES'!$B$10:$B$250,0)),""))</f>
        <v/>
      </c>
      <c r="F88" s="73" t="str">
        <f aca="false">IF(C88="","",IFERROR(INDEX('REGISTRE ELEVES'!$E$10:$E$250,MATCH(C88,'REGISTRE ELEVES'!$B$10:$B$250,0)),""))</f>
        <v/>
      </c>
      <c r="G88" s="116"/>
      <c r="H88" s="117"/>
      <c r="I88" s="116"/>
      <c r="J88" s="118"/>
      <c r="K88" s="116"/>
      <c r="L88" s="118"/>
      <c r="M88" s="51" t="str">
        <f aca="false">IF(B88="","",MONTH(B88))</f>
        <v/>
      </c>
      <c r="N88" s="51" t="str">
        <f aca="false">IF(B88="","",YEAR(B88))</f>
        <v/>
      </c>
      <c r="O88" s="51" t="str">
        <f aca="false">IF(B88="","",C88&amp;"|"&amp;M88&amp;"|"&amp;N88)</f>
        <v/>
      </c>
    </row>
    <row r="89" customFormat="false" ht="15" hidden="false" customHeight="false" outlineLevel="0" collapsed="false">
      <c r="A89" s="73" t="str">
        <f aca="false">IF(B89="","",ROW()-9)</f>
        <v/>
      </c>
      <c r="B89" s="115"/>
      <c r="C89" s="116"/>
      <c r="D89" s="74" t="str">
        <f aca="false">IF(C89="","",IFERROR(INDEX('REGISTRE ELEVES'!$D$10:$D$250,MATCH(C89,'REGISTRE ELEVES'!$B$10:$B$250,0)),"Matricule inconnu"))</f>
        <v/>
      </c>
      <c r="E89" s="73" t="str">
        <f aca="false">IF(C89="","",IFERROR(INDEX('REGISTRE ELEVES'!$F$10:$F$250,MATCH(C89,'REGISTRE ELEVES'!$B$10:$B$250,0)),""))</f>
        <v/>
      </c>
      <c r="F89" s="73" t="str">
        <f aca="false">IF(C89="","",IFERROR(INDEX('REGISTRE ELEVES'!$E$10:$E$250,MATCH(C89,'REGISTRE ELEVES'!$B$10:$B$250,0)),""))</f>
        <v/>
      </c>
      <c r="G89" s="116"/>
      <c r="H89" s="117"/>
      <c r="I89" s="116"/>
      <c r="J89" s="118"/>
      <c r="K89" s="116"/>
      <c r="L89" s="118"/>
      <c r="M89" s="51" t="str">
        <f aca="false">IF(B89="","",MONTH(B89))</f>
        <v/>
      </c>
      <c r="N89" s="51" t="str">
        <f aca="false">IF(B89="","",YEAR(B89))</f>
        <v/>
      </c>
      <c r="O89" s="51" t="str">
        <f aca="false">IF(B89="","",C89&amp;"|"&amp;M89&amp;"|"&amp;N89)</f>
        <v/>
      </c>
    </row>
    <row r="90" customFormat="false" ht="15" hidden="false" customHeight="false" outlineLevel="0" collapsed="false">
      <c r="A90" s="73" t="str">
        <f aca="false">IF(B90="","",ROW()-9)</f>
        <v/>
      </c>
      <c r="B90" s="115"/>
      <c r="C90" s="116"/>
      <c r="D90" s="74" t="str">
        <f aca="false">IF(C90="","",IFERROR(INDEX('REGISTRE ELEVES'!$D$10:$D$250,MATCH(C90,'REGISTRE ELEVES'!$B$10:$B$250,0)),"Matricule inconnu"))</f>
        <v/>
      </c>
      <c r="E90" s="73" t="str">
        <f aca="false">IF(C90="","",IFERROR(INDEX('REGISTRE ELEVES'!$F$10:$F$250,MATCH(C90,'REGISTRE ELEVES'!$B$10:$B$250,0)),""))</f>
        <v/>
      </c>
      <c r="F90" s="73" t="str">
        <f aca="false">IF(C90="","",IFERROR(INDEX('REGISTRE ELEVES'!$E$10:$E$250,MATCH(C90,'REGISTRE ELEVES'!$B$10:$B$250,0)),""))</f>
        <v/>
      </c>
      <c r="G90" s="116"/>
      <c r="H90" s="117"/>
      <c r="I90" s="116"/>
      <c r="J90" s="118"/>
      <c r="K90" s="116"/>
      <c r="L90" s="118"/>
      <c r="M90" s="51" t="str">
        <f aca="false">IF(B90="","",MONTH(B90))</f>
        <v/>
      </c>
      <c r="N90" s="51" t="str">
        <f aca="false">IF(B90="","",YEAR(B90))</f>
        <v/>
      </c>
      <c r="O90" s="51" t="str">
        <f aca="false">IF(B90="","",C90&amp;"|"&amp;M90&amp;"|"&amp;N90)</f>
        <v/>
      </c>
    </row>
    <row r="91" customFormat="false" ht="15" hidden="false" customHeight="false" outlineLevel="0" collapsed="false">
      <c r="A91" s="73" t="str">
        <f aca="false">IF(B91="","",ROW()-9)</f>
        <v/>
      </c>
      <c r="B91" s="115"/>
      <c r="C91" s="116"/>
      <c r="D91" s="74" t="str">
        <f aca="false">IF(C91="","",IFERROR(INDEX('REGISTRE ELEVES'!$D$10:$D$250,MATCH(C91,'REGISTRE ELEVES'!$B$10:$B$250,0)),"Matricule inconnu"))</f>
        <v/>
      </c>
      <c r="E91" s="73" t="str">
        <f aca="false">IF(C91="","",IFERROR(INDEX('REGISTRE ELEVES'!$F$10:$F$250,MATCH(C91,'REGISTRE ELEVES'!$B$10:$B$250,0)),""))</f>
        <v/>
      </c>
      <c r="F91" s="73" t="str">
        <f aca="false">IF(C91="","",IFERROR(INDEX('REGISTRE ELEVES'!$E$10:$E$250,MATCH(C91,'REGISTRE ELEVES'!$B$10:$B$250,0)),""))</f>
        <v/>
      </c>
      <c r="G91" s="116"/>
      <c r="H91" s="117"/>
      <c r="I91" s="116"/>
      <c r="J91" s="118"/>
      <c r="K91" s="116"/>
      <c r="L91" s="118"/>
      <c r="M91" s="51" t="str">
        <f aca="false">IF(B91="","",MONTH(B91))</f>
        <v/>
      </c>
      <c r="N91" s="51" t="str">
        <f aca="false">IF(B91="","",YEAR(B91))</f>
        <v/>
      </c>
      <c r="O91" s="51" t="str">
        <f aca="false">IF(B91="","",C91&amp;"|"&amp;M91&amp;"|"&amp;N91)</f>
        <v/>
      </c>
    </row>
    <row r="92" customFormat="false" ht="15" hidden="false" customHeight="false" outlineLevel="0" collapsed="false">
      <c r="A92" s="73" t="str">
        <f aca="false">IF(B92="","",ROW()-9)</f>
        <v/>
      </c>
      <c r="B92" s="115"/>
      <c r="C92" s="116"/>
      <c r="D92" s="74" t="str">
        <f aca="false">IF(C92="","",IFERROR(INDEX('REGISTRE ELEVES'!$D$10:$D$250,MATCH(C92,'REGISTRE ELEVES'!$B$10:$B$250,0)),"Matricule inconnu"))</f>
        <v/>
      </c>
      <c r="E92" s="73" t="str">
        <f aca="false">IF(C92="","",IFERROR(INDEX('REGISTRE ELEVES'!$F$10:$F$250,MATCH(C92,'REGISTRE ELEVES'!$B$10:$B$250,0)),""))</f>
        <v/>
      </c>
      <c r="F92" s="73" t="str">
        <f aca="false">IF(C92="","",IFERROR(INDEX('REGISTRE ELEVES'!$E$10:$E$250,MATCH(C92,'REGISTRE ELEVES'!$B$10:$B$250,0)),""))</f>
        <v/>
      </c>
      <c r="G92" s="116"/>
      <c r="H92" s="117"/>
      <c r="I92" s="116"/>
      <c r="J92" s="118"/>
      <c r="K92" s="116"/>
      <c r="L92" s="118"/>
      <c r="M92" s="51" t="str">
        <f aca="false">IF(B92="","",MONTH(B92))</f>
        <v/>
      </c>
      <c r="N92" s="51" t="str">
        <f aca="false">IF(B92="","",YEAR(B92))</f>
        <v/>
      </c>
      <c r="O92" s="51" t="str">
        <f aca="false">IF(B92="","",C92&amp;"|"&amp;M92&amp;"|"&amp;N92)</f>
        <v/>
      </c>
    </row>
    <row r="93" customFormat="false" ht="15" hidden="false" customHeight="false" outlineLevel="0" collapsed="false">
      <c r="A93" s="73" t="str">
        <f aca="false">IF(B93="","",ROW()-9)</f>
        <v/>
      </c>
      <c r="B93" s="115"/>
      <c r="C93" s="116"/>
      <c r="D93" s="74" t="str">
        <f aca="false">IF(C93="","",IFERROR(INDEX('REGISTRE ELEVES'!$D$10:$D$250,MATCH(C93,'REGISTRE ELEVES'!$B$10:$B$250,0)),"Matricule inconnu"))</f>
        <v/>
      </c>
      <c r="E93" s="73" t="str">
        <f aca="false">IF(C93="","",IFERROR(INDEX('REGISTRE ELEVES'!$F$10:$F$250,MATCH(C93,'REGISTRE ELEVES'!$B$10:$B$250,0)),""))</f>
        <v/>
      </c>
      <c r="F93" s="73" t="str">
        <f aca="false">IF(C93="","",IFERROR(INDEX('REGISTRE ELEVES'!$E$10:$E$250,MATCH(C93,'REGISTRE ELEVES'!$B$10:$B$250,0)),""))</f>
        <v/>
      </c>
      <c r="G93" s="116"/>
      <c r="H93" s="117"/>
      <c r="I93" s="116"/>
      <c r="J93" s="118"/>
      <c r="K93" s="116"/>
      <c r="L93" s="118"/>
      <c r="M93" s="51" t="str">
        <f aca="false">IF(B93="","",MONTH(B93))</f>
        <v/>
      </c>
      <c r="N93" s="51" t="str">
        <f aca="false">IF(B93="","",YEAR(B93))</f>
        <v/>
      </c>
      <c r="O93" s="51" t="str">
        <f aca="false">IF(B93="","",C93&amp;"|"&amp;M93&amp;"|"&amp;N93)</f>
        <v/>
      </c>
    </row>
    <row r="94" customFormat="false" ht="15" hidden="false" customHeight="false" outlineLevel="0" collapsed="false">
      <c r="A94" s="73" t="str">
        <f aca="false">IF(B94="","",ROW()-9)</f>
        <v/>
      </c>
      <c r="B94" s="115"/>
      <c r="C94" s="116"/>
      <c r="D94" s="74" t="str">
        <f aca="false">IF(C94="","",IFERROR(INDEX('REGISTRE ELEVES'!$D$10:$D$250,MATCH(C94,'REGISTRE ELEVES'!$B$10:$B$250,0)),"Matricule inconnu"))</f>
        <v/>
      </c>
      <c r="E94" s="73" t="str">
        <f aca="false">IF(C94="","",IFERROR(INDEX('REGISTRE ELEVES'!$F$10:$F$250,MATCH(C94,'REGISTRE ELEVES'!$B$10:$B$250,0)),""))</f>
        <v/>
      </c>
      <c r="F94" s="73" t="str">
        <f aca="false">IF(C94="","",IFERROR(INDEX('REGISTRE ELEVES'!$E$10:$E$250,MATCH(C94,'REGISTRE ELEVES'!$B$10:$B$250,0)),""))</f>
        <v/>
      </c>
      <c r="G94" s="116"/>
      <c r="H94" s="117"/>
      <c r="I94" s="116"/>
      <c r="J94" s="118"/>
      <c r="K94" s="116"/>
      <c r="L94" s="118"/>
      <c r="M94" s="51" t="str">
        <f aca="false">IF(B94="","",MONTH(B94))</f>
        <v/>
      </c>
      <c r="N94" s="51" t="str">
        <f aca="false">IF(B94="","",YEAR(B94))</f>
        <v/>
      </c>
      <c r="O94" s="51" t="str">
        <f aca="false">IF(B94="","",C94&amp;"|"&amp;M94&amp;"|"&amp;N94)</f>
        <v/>
      </c>
    </row>
    <row r="95" customFormat="false" ht="15" hidden="false" customHeight="false" outlineLevel="0" collapsed="false">
      <c r="A95" s="73" t="str">
        <f aca="false">IF(B95="","",ROW()-9)</f>
        <v/>
      </c>
      <c r="B95" s="115"/>
      <c r="C95" s="116"/>
      <c r="D95" s="74" t="str">
        <f aca="false">IF(C95="","",IFERROR(INDEX('REGISTRE ELEVES'!$D$10:$D$250,MATCH(C95,'REGISTRE ELEVES'!$B$10:$B$250,0)),"Matricule inconnu"))</f>
        <v/>
      </c>
      <c r="E95" s="73" t="str">
        <f aca="false">IF(C95="","",IFERROR(INDEX('REGISTRE ELEVES'!$F$10:$F$250,MATCH(C95,'REGISTRE ELEVES'!$B$10:$B$250,0)),""))</f>
        <v/>
      </c>
      <c r="F95" s="73" t="str">
        <f aca="false">IF(C95="","",IFERROR(INDEX('REGISTRE ELEVES'!$E$10:$E$250,MATCH(C95,'REGISTRE ELEVES'!$B$10:$B$250,0)),""))</f>
        <v/>
      </c>
      <c r="G95" s="116"/>
      <c r="H95" s="117"/>
      <c r="I95" s="116"/>
      <c r="J95" s="118"/>
      <c r="K95" s="116"/>
      <c r="L95" s="118"/>
      <c r="M95" s="51" t="str">
        <f aca="false">IF(B95="","",MONTH(B95))</f>
        <v/>
      </c>
      <c r="N95" s="51" t="str">
        <f aca="false">IF(B95="","",YEAR(B95))</f>
        <v/>
      </c>
      <c r="O95" s="51" t="str">
        <f aca="false">IF(B95="","",C95&amp;"|"&amp;M95&amp;"|"&amp;N95)</f>
        <v/>
      </c>
    </row>
    <row r="96" customFormat="false" ht="15" hidden="false" customHeight="false" outlineLevel="0" collapsed="false">
      <c r="A96" s="73" t="str">
        <f aca="false">IF(B96="","",ROW()-9)</f>
        <v/>
      </c>
      <c r="B96" s="115"/>
      <c r="C96" s="116"/>
      <c r="D96" s="74" t="str">
        <f aca="false">IF(C96="","",IFERROR(INDEX('REGISTRE ELEVES'!$D$10:$D$250,MATCH(C96,'REGISTRE ELEVES'!$B$10:$B$250,0)),"Matricule inconnu"))</f>
        <v/>
      </c>
      <c r="E96" s="73" t="str">
        <f aca="false">IF(C96="","",IFERROR(INDEX('REGISTRE ELEVES'!$F$10:$F$250,MATCH(C96,'REGISTRE ELEVES'!$B$10:$B$250,0)),""))</f>
        <v/>
      </c>
      <c r="F96" s="73" t="str">
        <f aca="false">IF(C96="","",IFERROR(INDEX('REGISTRE ELEVES'!$E$10:$E$250,MATCH(C96,'REGISTRE ELEVES'!$B$10:$B$250,0)),""))</f>
        <v/>
      </c>
      <c r="G96" s="116"/>
      <c r="H96" s="117"/>
      <c r="I96" s="116"/>
      <c r="J96" s="118"/>
      <c r="K96" s="116"/>
      <c r="L96" s="118"/>
      <c r="M96" s="51" t="str">
        <f aca="false">IF(B96="","",MONTH(B96))</f>
        <v/>
      </c>
      <c r="N96" s="51" t="str">
        <f aca="false">IF(B96="","",YEAR(B96))</f>
        <v/>
      </c>
      <c r="O96" s="51" t="str">
        <f aca="false">IF(B96="","",C96&amp;"|"&amp;M96&amp;"|"&amp;N96)</f>
        <v/>
      </c>
    </row>
    <row r="97" customFormat="false" ht="15" hidden="false" customHeight="false" outlineLevel="0" collapsed="false">
      <c r="A97" s="73" t="str">
        <f aca="false">IF(B97="","",ROW()-9)</f>
        <v/>
      </c>
      <c r="B97" s="115"/>
      <c r="C97" s="116"/>
      <c r="D97" s="74" t="str">
        <f aca="false">IF(C97="","",IFERROR(INDEX('REGISTRE ELEVES'!$D$10:$D$250,MATCH(C97,'REGISTRE ELEVES'!$B$10:$B$250,0)),"Matricule inconnu"))</f>
        <v/>
      </c>
      <c r="E97" s="73" t="str">
        <f aca="false">IF(C97="","",IFERROR(INDEX('REGISTRE ELEVES'!$F$10:$F$250,MATCH(C97,'REGISTRE ELEVES'!$B$10:$B$250,0)),""))</f>
        <v/>
      </c>
      <c r="F97" s="73" t="str">
        <f aca="false">IF(C97="","",IFERROR(INDEX('REGISTRE ELEVES'!$E$10:$E$250,MATCH(C97,'REGISTRE ELEVES'!$B$10:$B$250,0)),""))</f>
        <v/>
      </c>
      <c r="G97" s="116"/>
      <c r="H97" s="117"/>
      <c r="I97" s="116"/>
      <c r="J97" s="118"/>
      <c r="K97" s="116"/>
      <c r="L97" s="118"/>
      <c r="M97" s="51" t="str">
        <f aca="false">IF(B97="","",MONTH(B97))</f>
        <v/>
      </c>
      <c r="N97" s="51" t="str">
        <f aca="false">IF(B97="","",YEAR(B97))</f>
        <v/>
      </c>
      <c r="O97" s="51" t="str">
        <f aca="false">IF(B97="","",C97&amp;"|"&amp;M97&amp;"|"&amp;N97)</f>
        <v/>
      </c>
    </row>
    <row r="98" customFormat="false" ht="15" hidden="false" customHeight="false" outlineLevel="0" collapsed="false">
      <c r="A98" s="73" t="str">
        <f aca="false">IF(B98="","",ROW()-9)</f>
        <v/>
      </c>
      <c r="B98" s="115"/>
      <c r="C98" s="116"/>
      <c r="D98" s="74" t="str">
        <f aca="false">IF(C98="","",IFERROR(INDEX('REGISTRE ELEVES'!$D$10:$D$250,MATCH(C98,'REGISTRE ELEVES'!$B$10:$B$250,0)),"Matricule inconnu"))</f>
        <v/>
      </c>
      <c r="E98" s="73" t="str">
        <f aca="false">IF(C98="","",IFERROR(INDEX('REGISTRE ELEVES'!$F$10:$F$250,MATCH(C98,'REGISTRE ELEVES'!$B$10:$B$250,0)),""))</f>
        <v/>
      </c>
      <c r="F98" s="73" t="str">
        <f aca="false">IF(C98="","",IFERROR(INDEX('REGISTRE ELEVES'!$E$10:$E$250,MATCH(C98,'REGISTRE ELEVES'!$B$10:$B$250,0)),""))</f>
        <v/>
      </c>
      <c r="G98" s="116"/>
      <c r="H98" s="117"/>
      <c r="I98" s="116"/>
      <c r="J98" s="118"/>
      <c r="K98" s="116"/>
      <c r="L98" s="118"/>
      <c r="M98" s="51" t="str">
        <f aca="false">IF(B98="","",MONTH(B98))</f>
        <v/>
      </c>
      <c r="N98" s="51" t="str">
        <f aca="false">IF(B98="","",YEAR(B98))</f>
        <v/>
      </c>
      <c r="O98" s="51" t="str">
        <f aca="false">IF(B98="","",C98&amp;"|"&amp;M98&amp;"|"&amp;N98)</f>
        <v/>
      </c>
    </row>
    <row r="99" customFormat="false" ht="15" hidden="false" customHeight="false" outlineLevel="0" collapsed="false">
      <c r="A99" s="73" t="str">
        <f aca="false">IF(B99="","",ROW()-9)</f>
        <v/>
      </c>
      <c r="B99" s="115"/>
      <c r="C99" s="116"/>
      <c r="D99" s="74" t="str">
        <f aca="false">IF(C99="","",IFERROR(INDEX('REGISTRE ELEVES'!$D$10:$D$250,MATCH(C99,'REGISTRE ELEVES'!$B$10:$B$250,0)),"Matricule inconnu"))</f>
        <v/>
      </c>
      <c r="E99" s="73" t="str">
        <f aca="false">IF(C99="","",IFERROR(INDEX('REGISTRE ELEVES'!$F$10:$F$250,MATCH(C99,'REGISTRE ELEVES'!$B$10:$B$250,0)),""))</f>
        <v/>
      </c>
      <c r="F99" s="73" t="str">
        <f aca="false">IF(C99="","",IFERROR(INDEX('REGISTRE ELEVES'!$E$10:$E$250,MATCH(C99,'REGISTRE ELEVES'!$B$10:$B$250,0)),""))</f>
        <v/>
      </c>
      <c r="G99" s="116"/>
      <c r="H99" s="117"/>
      <c r="I99" s="116"/>
      <c r="J99" s="118"/>
      <c r="K99" s="116"/>
      <c r="L99" s="118"/>
      <c r="M99" s="51" t="str">
        <f aca="false">IF(B99="","",MONTH(B99))</f>
        <v/>
      </c>
      <c r="N99" s="51" t="str">
        <f aca="false">IF(B99="","",YEAR(B99))</f>
        <v/>
      </c>
      <c r="O99" s="51" t="str">
        <f aca="false">IF(B99="","",C99&amp;"|"&amp;M99&amp;"|"&amp;N99)</f>
        <v/>
      </c>
    </row>
    <row r="100" customFormat="false" ht="15" hidden="false" customHeight="false" outlineLevel="0" collapsed="false">
      <c r="A100" s="73" t="str">
        <f aca="false">IF(B100="","",ROW()-9)</f>
        <v/>
      </c>
      <c r="B100" s="115"/>
      <c r="C100" s="116"/>
      <c r="D100" s="74" t="str">
        <f aca="false">IF(C100="","",IFERROR(INDEX('REGISTRE ELEVES'!$D$10:$D$250,MATCH(C100,'REGISTRE ELEVES'!$B$10:$B$250,0)),"Matricule inconnu"))</f>
        <v/>
      </c>
      <c r="E100" s="73" t="str">
        <f aca="false">IF(C100="","",IFERROR(INDEX('REGISTRE ELEVES'!$F$10:$F$250,MATCH(C100,'REGISTRE ELEVES'!$B$10:$B$250,0)),""))</f>
        <v/>
      </c>
      <c r="F100" s="73" t="str">
        <f aca="false">IF(C100="","",IFERROR(INDEX('REGISTRE ELEVES'!$E$10:$E$250,MATCH(C100,'REGISTRE ELEVES'!$B$10:$B$250,0)),""))</f>
        <v/>
      </c>
      <c r="G100" s="116"/>
      <c r="H100" s="117"/>
      <c r="I100" s="116"/>
      <c r="J100" s="118"/>
      <c r="K100" s="116"/>
      <c r="L100" s="118"/>
      <c r="M100" s="51" t="str">
        <f aca="false">IF(B100="","",MONTH(B100))</f>
        <v/>
      </c>
      <c r="N100" s="51" t="str">
        <f aca="false">IF(B100="","",YEAR(B100))</f>
        <v/>
      </c>
      <c r="O100" s="51" t="str">
        <f aca="false">IF(B100="","",C100&amp;"|"&amp;M100&amp;"|"&amp;N100)</f>
        <v/>
      </c>
    </row>
    <row r="101" customFormat="false" ht="15" hidden="false" customHeight="false" outlineLevel="0" collapsed="false">
      <c r="A101" s="73" t="str">
        <f aca="false">IF(B101="","",ROW()-9)</f>
        <v/>
      </c>
      <c r="B101" s="115"/>
      <c r="C101" s="116"/>
      <c r="D101" s="74" t="str">
        <f aca="false">IF(C101="","",IFERROR(INDEX('REGISTRE ELEVES'!$D$10:$D$250,MATCH(C101,'REGISTRE ELEVES'!$B$10:$B$250,0)),"Matricule inconnu"))</f>
        <v/>
      </c>
      <c r="E101" s="73" t="str">
        <f aca="false">IF(C101="","",IFERROR(INDEX('REGISTRE ELEVES'!$F$10:$F$250,MATCH(C101,'REGISTRE ELEVES'!$B$10:$B$250,0)),""))</f>
        <v/>
      </c>
      <c r="F101" s="73" t="str">
        <f aca="false">IF(C101="","",IFERROR(INDEX('REGISTRE ELEVES'!$E$10:$E$250,MATCH(C101,'REGISTRE ELEVES'!$B$10:$B$250,0)),""))</f>
        <v/>
      </c>
      <c r="G101" s="116"/>
      <c r="H101" s="117"/>
      <c r="I101" s="116"/>
      <c r="J101" s="118"/>
      <c r="K101" s="116"/>
      <c r="L101" s="118"/>
      <c r="M101" s="51" t="str">
        <f aca="false">IF(B101="","",MONTH(B101))</f>
        <v/>
      </c>
      <c r="N101" s="51" t="str">
        <f aca="false">IF(B101="","",YEAR(B101))</f>
        <v/>
      </c>
      <c r="O101" s="51" t="str">
        <f aca="false">IF(B101="","",C101&amp;"|"&amp;M101&amp;"|"&amp;N101)</f>
        <v/>
      </c>
    </row>
    <row r="102" customFormat="false" ht="15" hidden="false" customHeight="false" outlineLevel="0" collapsed="false">
      <c r="A102" s="73" t="str">
        <f aca="false">IF(B102="","",ROW()-9)</f>
        <v/>
      </c>
      <c r="B102" s="115"/>
      <c r="C102" s="116"/>
      <c r="D102" s="74" t="str">
        <f aca="false">IF(C102="","",IFERROR(INDEX('REGISTRE ELEVES'!$D$10:$D$250,MATCH(C102,'REGISTRE ELEVES'!$B$10:$B$250,0)),"Matricule inconnu"))</f>
        <v/>
      </c>
      <c r="E102" s="73" t="str">
        <f aca="false">IF(C102="","",IFERROR(INDEX('REGISTRE ELEVES'!$F$10:$F$250,MATCH(C102,'REGISTRE ELEVES'!$B$10:$B$250,0)),""))</f>
        <v/>
      </c>
      <c r="F102" s="73" t="str">
        <f aca="false">IF(C102="","",IFERROR(INDEX('REGISTRE ELEVES'!$E$10:$E$250,MATCH(C102,'REGISTRE ELEVES'!$B$10:$B$250,0)),""))</f>
        <v/>
      </c>
      <c r="G102" s="116"/>
      <c r="H102" s="117"/>
      <c r="I102" s="116"/>
      <c r="J102" s="118"/>
      <c r="K102" s="116"/>
      <c r="L102" s="118"/>
      <c r="M102" s="51" t="str">
        <f aca="false">IF(B102="","",MONTH(B102))</f>
        <v/>
      </c>
      <c r="N102" s="51" t="str">
        <f aca="false">IF(B102="","",YEAR(B102))</f>
        <v/>
      </c>
      <c r="O102" s="51" t="str">
        <f aca="false">IF(B102="","",C102&amp;"|"&amp;M102&amp;"|"&amp;N102)</f>
        <v/>
      </c>
    </row>
    <row r="103" customFormat="false" ht="15" hidden="false" customHeight="false" outlineLevel="0" collapsed="false">
      <c r="A103" s="73" t="str">
        <f aca="false">IF(B103="","",ROW()-9)</f>
        <v/>
      </c>
      <c r="B103" s="115"/>
      <c r="C103" s="116"/>
      <c r="D103" s="74" t="str">
        <f aca="false">IF(C103="","",IFERROR(INDEX('REGISTRE ELEVES'!$D$10:$D$250,MATCH(C103,'REGISTRE ELEVES'!$B$10:$B$250,0)),"Matricule inconnu"))</f>
        <v/>
      </c>
      <c r="E103" s="73" t="str">
        <f aca="false">IF(C103="","",IFERROR(INDEX('REGISTRE ELEVES'!$F$10:$F$250,MATCH(C103,'REGISTRE ELEVES'!$B$10:$B$250,0)),""))</f>
        <v/>
      </c>
      <c r="F103" s="73" t="str">
        <f aca="false">IF(C103="","",IFERROR(INDEX('REGISTRE ELEVES'!$E$10:$E$250,MATCH(C103,'REGISTRE ELEVES'!$B$10:$B$250,0)),""))</f>
        <v/>
      </c>
      <c r="G103" s="116"/>
      <c r="H103" s="117"/>
      <c r="I103" s="116"/>
      <c r="J103" s="118"/>
      <c r="K103" s="116"/>
      <c r="L103" s="118"/>
      <c r="M103" s="51" t="str">
        <f aca="false">IF(B103="","",MONTH(B103))</f>
        <v/>
      </c>
      <c r="N103" s="51" t="str">
        <f aca="false">IF(B103="","",YEAR(B103))</f>
        <v/>
      </c>
      <c r="O103" s="51" t="str">
        <f aca="false">IF(B103="","",C103&amp;"|"&amp;M103&amp;"|"&amp;N103)</f>
        <v/>
      </c>
    </row>
    <row r="104" customFormat="false" ht="15" hidden="false" customHeight="false" outlineLevel="0" collapsed="false">
      <c r="A104" s="73" t="str">
        <f aca="false">IF(B104="","",ROW()-9)</f>
        <v/>
      </c>
      <c r="B104" s="115"/>
      <c r="C104" s="116"/>
      <c r="D104" s="74" t="str">
        <f aca="false">IF(C104="","",IFERROR(INDEX('REGISTRE ELEVES'!$D$10:$D$250,MATCH(C104,'REGISTRE ELEVES'!$B$10:$B$250,0)),"Matricule inconnu"))</f>
        <v/>
      </c>
      <c r="E104" s="73" t="str">
        <f aca="false">IF(C104="","",IFERROR(INDEX('REGISTRE ELEVES'!$F$10:$F$250,MATCH(C104,'REGISTRE ELEVES'!$B$10:$B$250,0)),""))</f>
        <v/>
      </c>
      <c r="F104" s="73" t="str">
        <f aca="false">IF(C104="","",IFERROR(INDEX('REGISTRE ELEVES'!$E$10:$E$250,MATCH(C104,'REGISTRE ELEVES'!$B$10:$B$250,0)),""))</f>
        <v/>
      </c>
      <c r="G104" s="116"/>
      <c r="H104" s="117"/>
      <c r="I104" s="116"/>
      <c r="J104" s="118"/>
      <c r="K104" s="116"/>
      <c r="L104" s="118"/>
      <c r="M104" s="51" t="str">
        <f aca="false">IF(B104="","",MONTH(B104))</f>
        <v/>
      </c>
      <c r="N104" s="51" t="str">
        <f aca="false">IF(B104="","",YEAR(B104))</f>
        <v/>
      </c>
      <c r="O104" s="51" t="str">
        <f aca="false">IF(B104="","",C104&amp;"|"&amp;M104&amp;"|"&amp;N104)</f>
        <v/>
      </c>
    </row>
    <row r="105" customFormat="false" ht="15" hidden="false" customHeight="false" outlineLevel="0" collapsed="false">
      <c r="A105" s="73" t="str">
        <f aca="false">IF(B105="","",ROW()-9)</f>
        <v/>
      </c>
      <c r="B105" s="115"/>
      <c r="C105" s="116"/>
      <c r="D105" s="74" t="str">
        <f aca="false">IF(C105="","",IFERROR(INDEX('REGISTRE ELEVES'!$D$10:$D$250,MATCH(C105,'REGISTRE ELEVES'!$B$10:$B$250,0)),"Matricule inconnu"))</f>
        <v/>
      </c>
      <c r="E105" s="73" t="str">
        <f aca="false">IF(C105="","",IFERROR(INDEX('REGISTRE ELEVES'!$F$10:$F$250,MATCH(C105,'REGISTRE ELEVES'!$B$10:$B$250,0)),""))</f>
        <v/>
      </c>
      <c r="F105" s="73" t="str">
        <f aca="false">IF(C105="","",IFERROR(INDEX('REGISTRE ELEVES'!$E$10:$E$250,MATCH(C105,'REGISTRE ELEVES'!$B$10:$B$250,0)),""))</f>
        <v/>
      </c>
      <c r="G105" s="116"/>
      <c r="H105" s="117"/>
      <c r="I105" s="116"/>
      <c r="J105" s="118"/>
      <c r="K105" s="116"/>
      <c r="L105" s="118"/>
      <c r="M105" s="51" t="str">
        <f aca="false">IF(B105="","",MONTH(B105))</f>
        <v/>
      </c>
      <c r="N105" s="51" t="str">
        <f aca="false">IF(B105="","",YEAR(B105))</f>
        <v/>
      </c>
      <c r="O105" s="51" t="str">
        <f aca="false">IF(B105="","",C105&amp;"|"&amp;M105&amp;"|"&amp;N105)</f>
        <v/>
      </c>
    </row>
    <row r="106" customFormat="false" ht="15" hidden="false" customHeight="false" outlineLevel="0" collapsed="false">
      <c r="A106" s="73" t="str">
        <f aca="false">IF(B106="","",ROW()-9)</f>
        <v/>
      </c>
      <c r="B106" s="115"/>
      <c r="C106" s="116"/>
      <c r="D106" s="74" t="str">
        <f aca="false">IF(C106="","",IFERROR(INDEX('REGISTRE ELEVES'!$D$10:$D$250,MATCH(C106,'REGISTRE ELEVES'!$B$10:$B$250,0)),"Matricule inconnu"))</f>
        <v/>
      </c>
      <c r="E106" s="73" t="str">
        <f aca="false">IF(C106="","",IFERROR(INDEX('REGISTRE ELEVES'!$F$10:$F$250,MATCH(C106,'REGISTRE ELEVES'!$B$10:$B$250,0)),""))</f>
        <v/>
      </c>
      <c r="F106" s="73" t="str">
        <f aca="false">IF(C106="","",IFERROR(INDEX('REGISTRE ELEVES'!$E$10:$E$250,MATCH(C106,'REGISTRE ELEVES'!$B$10:$B$250,0)),""))</f>
        <v/>
      </c>
      <c r="G106" s="116"/>
      <c r="H106" s="117"/>
      <c r="I106" s="116"/>
      <c r="J106" s="118"/>
      <c r="K106" s="116"/>
      <c r="L106" s="118"/>
      <c r="M106" s="51" t="str">
        <f aca="false">IF(B106="","",MONTH(B106))</f>
        <v/>
      </c>
      <c r="N106" s="51" t="str">
        <f aca="false">IF(B106="","",YEAR(B106))</f>
        <v/>
      </c>
      <c r="O106" s="51" t="str">
        <f aca="false">IF(B106="","",C106&amp;"|"&amp;M106&amp;"|"&amp;N106)</f>
        <v/>
      </c>
    </row>
    <row r="107" customFormat="false" ht="15" hidden="false" customHeight="false" outlineLevel="0" collapsed="false">
      <c r="A107" s="73" t="str">
        <f aca="false">IF(B107="","",ROW()-9)</f>
        <v/>
      </c>
      <c r="B107" s="115"/>
      <c r="C107" s="116"/>
      <c r="D107" s="74" t="str">
        <f aca="false">IF(C107="","",IFERROR(INDEX('REGISTRE ELEVES'!$D$10:$D$250,MATCH(C107,'REGISTRE ELEVES'!$B$10:$B$250,0)),"Matricule inconnu"))</f>
        <v/>
      </c>
      <c r="E107" s="73" t="str">
        <f aca="false">IF(C107="","",IFERROR(INDEX('REGISTRE ELEVES'!$F$10:$F$250,MATCH(C107,'REGISTRE ELEVES'!$B$10:$B$250,0)),""))</f>
        <v/>
      </c>
      <c r="F107" s="73" t="str">
        <f aca="false">IF(C107="","",IFERROR(INDEX('REGISTRE ELEVES'!$E$10:$E$250,MATCH(C107,'REGISTRE ELEVES'!$B$10:$B$250,0)),""))</f>
        <v/>
      </c>
      <c r="G107" s="116"/>
      <c r="H107" s="117"/>
      <c r="I107" s="116"/>
      <c r="J107" s="118"/>
      <c r="K107" s="116"/>
      <c r="L107" s="118"/>
      <c r="M107" s="51" t="str">
        <f aca="false">IF(B107="","",MONTH(B107))</f>
        <v/>
      </c>
      <c r="N107" s="51" t="str">
        <f aca="false">IF(B107="","",YEAR(B107))</f>
        <v/>
      </c>
      <c r="O107" s="51" t="str">
        <f aca="false">IF(B107="","",C107&amp;"|"&amp;M107&amp;"|"&amp;N107)</f>
        <v/>
      </c>
    </row>
    <row r="108" customFormat="false" ht="15" hidden="false" customHeight="false" outlineLevel="0" collapsed="false">
      <c r="A108" s="73" t="str">
        <f aca="false">IF(B108="","",ROW()-9)</f>
        <v/>
      </c>
      <c r="B108" s="115"/>
      <c r="C108" s="116"/>
      <c r="D108" s="74" t="str">
        <f aca="false">IF(C108="","",IFERROR(INDEX('REGISTRE ELEVES'!$D$10:$D$250,MATCH(C108,'REGISTRE ELEVES'!$B$10:$B$250,0)),"Matricule inconnu"))</f>
        <v/>
      </c>
      <c r="E108" s="73" t="str">
        <f aca="false">IF(C108="","",IFERROR(INDEX('REGISTRE ELEVES'!$F$10:$F$250,MATCH(C108,'REGISTRE ELEVES'!$B$10:$B$250,0)),""))</f>
        <v/>
      </c>
      <c r="F108" s="73" t="str">
        <f aca="false">IF(C108="","",IFERROR(INDEX('REGISTRE ELEVES'!$E$10:$E$250,MATCH(C108,'REGISTRE ELEVES'!$B$10:$B$250,0)),""))</f>
        <v/>
      </c>
      <c r="G108" s="116"/>
      <c r="H108" s="117"/>
      <c r="I108" s="116"/>
      <c r="J108" s="118"/>
      <c r="K108" s="116"/>
      <c r="L108" s="118"/>
      <c r="M108" s="51" t="str">
        <f aca="false">IF(B108="","",MONTH(B108))</f>
        <v/>
      </c>
      <c r="N108" s="51" t="str">
        <f aca="false">IF(B108="","",YEAR(B108))</f>
        <v/>
      </c>
      <c r="O108" s="51" t="str">
        <f aca="false">IF(B108="","",C108&amp;"|"&amp;M108&amp;"|"&amp;N108)</f>
        <v/>
      </c>
    </row>
    <row r="109" customFormat="false" ht="15" hidden="false" customHeight="false" outlineLevel="0" collapsed="false">
      <c r="A109" s="73" t="str">
        <f aca="false">IF(B109="","",ROW()-9)</f>
        <v/>
      </c>
      <c r="B109" s="115"/>
      <c r="C109" s="116"/>
      <c r="D109" s="74" t="str">
        <f aca="false">IF(C109="","",IFERROR(INDEX('REGISTRE ELEVES'!$D$10:$D$250,MATCH(C109,'REGISTRE ELEVES'!$B$10:$B$250,0)),"Matricule inconnu"))</f>
        <v/>
      </c>
      <c r="E109" s="73" t="str">
        <f aca="false">IF(C109="","",IFERROR(INDEX('REGISTRE ELEVES'!$F$10:$F$250,MATCH(C109,'REGISTRE ELEVES'!$B$10:$B$250,0)),""))</f>
        <v/>
      </c>
      <c r="F109" s="73" t="str">
        <f aca="false">IF(C109="","",IFERROR(INDEX('REGISTRE ELEVES'!$E$10:$E$250,MATCH(C109,'REGISTRE ELEVES'!$B$10:$B$250,0)),""))</f>
        <v/>
      </c>
      <c r="G109" s="116"/>
      <c r="H109" s="117"/>
      <c r="I109" s="116"/>
      <c r="J109" s="118"/>
      <c r="K109" s="116"/>
      <c r="L109" s="118"/>
      <c r="M109" s="51" t="str">
        <f aca="false">IF(B109="","",MONTH(B109))</f>
        <v/>
      </c>
      <c r="N109" s="51" t="str">
        <f aca="false">IF(B109="","",YEAR(B109))</f>
        <v/>
      </c>
      <c r="O109" s="51" t="str">
        <f aca="false">IF(B109="","",C109&amp;"|"&amp;M109&amp;"|"&amp;N109)</f>
        <v/>
      </c>
    </row>
    <row r="110" customFormat="false" ht="15" hidden="false" customHeight="false" outlineLevel="0" collapsed="false">
      <c r="A110" s="73" t="str">
        <f aca="false">IF(B110="","",ROW()-9)</f>
        <v/>
      </c>
      <c r="B110" s="115"/>
      <c r="C110" s="116"/>
      <c r="D110" s="74" t="str">
        <f aca="false">IF(C110="","",IFERROR(INDEX('REGISTRE ELEVES'!$D$10:$D$250,MATCH(C110,'REGISTRE ELEVES'!$B$10:$B$250,0)),"Matricule inconnu"))</f>
        <v/>
      </c>
      <c r="E110" s="73" t="str">
        <f aca="false">IF(C110="","",IFERROR(INDEX('REGISTRE ELEVES'!$F$10:$F$250,MATCH(C110,'REGISTRE ELEVES'!$B$10:$B$250,0)),""))</f>
        <v/>
      </c>
      <c r="F110" s="73" t="str">
        <f aca="false">IF(C110="","",IFERROR(INDEX('REGISTRE ELEVES'!$E$10:$E$250,MATCH(C110,'REGISTRE ELEVES'!$B$10:$B$250,0)),""))</f>
        <v/>
      </c>
      <c r="G110" s="116"/>
      <c r="H110" s="117"/>
      <c r="I110" s="116"/>
      <c r="J110" s="118"/>
      <c r="K110" s="116"/>
      <c r="L110" s="118"/>
      <c r="M110" s="51" t="str">
        <f aca="false">IF(B110="","",MONTH(B110))</f>
        <v/>
      </c>
      <c r="N110" s="51" t="str">
        <f aca="false">IF(B110="","",YEAR(B110))</f>
        <v/>
      </c>
      <c r="O110" s="51" t="str">
        <f aca="false">IF(B110="","",C110&amp;"|"&amp;M110&amp;"|"&amp;N110)</f>
        <v/>
      </c>
    </row>
    <row r="111" customFormat="false" ht="15" hidden="false" customHeight="false" outlineLevel="0" collapsed="false">
      <c r="A111" s="73" t="str">
        <f aca="false">IF(B111="","",ROW()-9)</f>
        <v/>
      </c>
      <c r="B111" s="115"/>
      <c r="C111" s="116"/>
      <c r="D111" s="74" t="str">
        <f aca="false">IF(C111="","",IFERROR(INDEX('REGISTRE ELEVES'!$D$10:$D$250,MATCH(C111,'REGISTRE ELEVES'!$B$10:$B$250,0)),"Matricule inconnu"))</f>
        <v/>
      </c>
      <c r="E111" s="73" t="str">
        <f aca="false">IF(C111="","",IFERROR(INDEX('REGISTRE ELEVES'!$F$10:$F$250,MATCH(C111,'REGISTRE ELEVES'!$B$10:$B$250,0)),""))</f>
        <v/>
      </c>
      <c r="F111" s="73" t="str">
        <f aca="false">IF(C111="","",IFERROR(INDEX('REGISTRE ELEVES'!$E$10:$E$250,MATCH(C111,'REGISTRE ELEVES'!$B$10:$B$250,0)),""))</f>
        <v/>
      </c>
      <c r="G111" s="116"/>
      <c r="H111" s="117"/>
      <c r="I111" s="116"/>
      <c r="J111" s="118"/>
      <c r="K111" s="116"/>
      <c r="L111" s="118"/>
      <c r="M111" s="51" t="str">
        <f aca="false">IF(B111="","",MONTH(B111))</f>
        <v/>
      </c>
      <c r="N111" s="51" t="str">
        <f aca="false">IF(B111="","",YEAR(B111))</f>
        <v/>
      </c>
      <c r="O111" s="51" t="str">
        <f aca="false">IF(B111="","",C111&amp;"|"&amp;M111&amp;"|"&amp;N111)</f>
        <v/>
      </c>
    </row>
    <row r="112" customFormat="false" ht="15" hidden="false" customHeight="false" outlineLevel="0" collapsed="false">
      <c r="A112" s="73" t="str">
        <f aca="false">IF(B112="","",ROW()-9)</f>
        <v/>
      </c>
      <c r="B112" s="115"/>
      <c r="C112" s="116"/>
      <c r="D112" s="74" t="str">
        <f aca="false">IF(C112="","",IFERROR(INDEX('REGISTRE ELEVES'!$D$10:$D$250,MATCH(C112,'REGISTRE ELEVES'!$B$10:$B$250,0)),"Matricule inconnu"))</f>
        <v/>
      </c>
      <c r="E112" s="73" t="str">
        <f aca="false">IF(C112="","",IFERROR(INDEX('REGISTRE ELEVES'!$F$10:$F$250,MATCH(C112,'REGISTRE ELEVES'!$B$10:$B$250,0)),""))</f>
        <v/>
      </c>
      <c r="F112" s="73" t="str">
        <f aca="false">IF(C112="","",IFERROR(INDEX('REGISTRE ELEVES'!$E$10:$E$250,MATCH(C112,'REGISTRE ELEVES'!$B$10:$B$250,0)),""))</f>
        <v/>
      </c>
      <c r="G112" s="116"/>
      <c r="H112" s="117"/>
      <c r="I112" s="116"/>
      <c r="J112" s="118"/>
      <c r="K112" s="116"/>
      <c r="L112" s="118"/>
      <c r="M112" s="51" t="str">
        <f aca="false">IF(B112="","",MONTH(B112))</f>
        <v/>
      </c>
      <c r="N112" s="51" t="str">
        <f aca="false">IF(B112="","",YEAR(B112))</f>
        <v/>
      </c>
      <c r="O112" s="51" t="str">
        <f aca="false">IF(B112="","",C112&amp;"|"&amp;M112&amp;"|"&amp;N112)</f>
        <v/>
      </c>
    </row>
    <row r="113" customFormat="false" ht="15" hidden="false" customHeight="false" outlineLevel="0" collapsed="false">
      <c r="A113" s="73" t="str">
        <f aca="false">IF(B113="","",ROW()-9)</f>
        <v/>
      </c>
      <c r="B113" s="115"/>
      <c r="C113" s="116"/>
      <c r="D113" s="74" t="str">
        <f aca="false">IF(C113="","",IFERROR(INDEX('REGISTRE ELEVES'!$D$10:$D$250,MATCH(C113,'REGISTRE ELEVES'!$B$10:$B$250,0)),"Matricule inconnu"))</f>
        <v/>
      </c>
      <c r="E113" s="73" t="str">
        <f aca="false">IF(C113="","",IFERROR(INDEX('REGISTRE ELEVES'!$F$10:$F$250,MATCH(C113,'REGISTRE ELEVES'!$B$10:$B$250,0)),""))</f>
        <v/>
      </c>
      <c r="F113" s="73" t="str">
        <f aca="false">IF(C113="","",IFERROR(INDEX('REGISTRE ELEVES'!$E$10:$E$250,MATCH(C113,'REGISTRE ELEVES'!$B$10:$B$250,0)),""))</f>
        <v/>
      </c>
      <c r="G113" s="116"/>
      <c r="H113" s="117"/>
      <c r="I113" s="116"/>
      <c r="J113" s="118"/>
      <c r="K113" s="116"/>
      <c r="L113" s="118"/>
      <c r="M113" s="51" t="str">
        <f aca="false">IF(B113="","",MONTH(B113))</f>
        <v/>
      </c>
      <c r="N113" s="51" t="str">
        <f aca="false">IF(B113="","",YEAR(B113))</f>
        <v/>
      </c>
      <c r="O113" s="51" t="str">
        <f aca="false">IF(B113="","",C113&amp;"|"&amp;M113&amp;"|"&amp;N113)</f>
        <v/>
      </c>
    </row>
    <row r="114" customFormat="false" ht="15" hidden="false" customHeight="false" outlineLevel="0" collapsed="false">
      <c r="A114" s="73" t="str">
        <f aca="false">IF(B114="","",ROW()-9)</f>
        <v/>
      </c>
      <c r="B114" s="115"/>
      <c r="C114" s="116"/>
      <c r="D114" s="74" t="str">
        <f aca="false">IF(C114="","",IFERROR(INDEX('REGISTRE ELEVES'!$D$10:$D$250,MATCH(C114,'REGISTRE ELEVES'!$B$10:$B$250,0)),"Matricule inconnu"))</f>
        <v/>
      </c>
      <c r="E114" s="73" t="str">
        <f aca="false">IF(C114="","",IFERROR(INDEX('REGISTRE ELEVES'!$F$10:$F$250,MATCH(C114,'REGISTRE ELEVES'!$B$10:$B$250,0)),""))</f>
        <v/>
      </c>
      <c r="F114" s="73" t="str">
        <f aca="false">IF(C114="","",IFERROR(INDEX('REGISTRE ELEVES'!$E$10:$E$250,MATCH(C114,'REGISTRE ELEVES'!$B$10:$B$250,0)),""))</f>
        <v/>
      </c>
      <c r="G114" s="116"/>
      <c r="H114" s="117"/>
      <c r="I114" s="116"/>
      <c r="J114" s="118"/>
      <c r="K114" s="116"/>
      <c r="L114" s="118"/>
      <c r="M114" s="51" t="str">
        <f aca="false">IF(B114="","",MONTH(B114))</f>
        <v/>
      </c>
      <c r="N114" s="51" t="str">
        <f aca="false">IF(B114="","",YEAR(B114))</f>
        <v/>
      </c>
      <c r="O114" s="51" t="str">
        <f aca="false">IF(B114="","",C114&amp;"|"&amp;M114&amp;"|"&amp;N114)</f>
        <v/>
      </c>
    </row>
    <row r="115" customFormat="false" ht="15" hidden="false" customHeight="false" outlineLevel="0" collapsed="false">
      <c r="A115" s="73" t="str">
        <f aca="false">IF(B115="","",ROW()-9)</f>
        <v/>
      </c>
      <c r="B115" s="115"/>
      <c r="C115" s="116"/>
      <c r="D115" s="74" t="str">
        <f aca="false">IF(C115="","",IFERROR(INDEX('REGISTRE ELEVES'!$D$10:$D$250,MATCH(C115,'REGISTRE ELEVES'!$B$10:$B$250,0)),"Matricule inconnu"))</f>
        <v/>
      </c>
      <c r="E115" s="73" t="str">
        <f aca="false">IF(C115="","",IFERROR(INDEX('REGISTRE ELEVES'!$F$10:$F$250,MATCH(C115,'REGISTRE ELEVES'!$B$10:$B$250,0)),""))</f>
        <v/>
      </c>
      <c r="F115" s="73" t="str">
        <f aca="false">IF(C115="","",IFERROR(INDEX('REGISTRE ELEVES'!$E$10:$E$250,MATCH(C115,'REGISTRE ELEVES'!$B$10:$B$250,0)),""))</f>
        <v/>
      </c>
      <c r="G115" s="116"/>
      <c r="H115" s="117"/>
      <c r="I115" s="116"/>
      <c r="J115" s="118"/>
      <c r="K115" s="116"/>
      <c r="L115" s="118"/>
      <c r="M115" s="51" t="str">
        <f aca="false">IF(B115="","",MONTH(B115))</f>
        <v/>
      </c>
      <c r="N115" s="51" t="str">
        <f aca="false">IF(B115="","",YEAR(B115))</f>
        <v/>
      </c>
      <c r="O115" s="51" t="str">
        <f aca="false">IF(B115="","",C115&amp;"|"&amp;M115&amp;"|"&amp;N115)</f>
        <v/>
      </c>
    </row>
    <row r="116" customFormat="false" ht="15" hidden="false" customHeight="false" outlineLevel="0" collapsed="false">
      <c r="A116" s="73" t="str">
        <f aca="false">IF(B116="","",ROW()-9)</f>
        <v/>
      </c>
      <c r="B116" s="115"/>
      <c r="C116" s="116"/>
      <c r="D116" s="74" t="str">
        <f aca="false">IF(C116="","",IFERROR(INDEX('REGISTRE ELEVES'!$D$10:$D$250,MATCH(C116,'REGISTRE ELEVES'!$B$10:$B$250,0)),"Matricule inconnu"))</f>
        <v/>
      </c>
      <c r="E116" s="73" t="str">
        <f aca="false">IF(C116="","",IFERROR(INDEX('REGISTRE ELEVES'!$F$10:$F$250,MATCH(C116,'REGISTRE ELEVES'!$B$10:$B$250,0)),""))</f>
        <v/>
      </c>
      <c r="F116" s="73" t="str">
        <f aca="false">IF(C116="","",IFERROR(INDEX('REGISTRE ELEVES'!$E$10:$E$250,MATCH(C116,'REGISTRE ELEVES'!$B$10:$B$250,0)),""))</f>
        <v/>
      </c>
      <c r="G116" s="116"/>
      <c r="H116" s="117"/>
      <c r="I116" s="116"/>
      <c r="J116" s="118"/>
      <c r="K116" s="116"/>
      <c r="L116" s="118"/>
      <c r="M116" s="51" t="str">
        <f aca="false">IF(B116="","",MONTH(B116))</f>
        <v/>
      </c>
      <c r="N116" s="51" t="str">
        <f aca="false">IF(B116="","",YEAR(B116))</f>
        <v/>
      </c>
      <c r="O116" s="51" t="str">
        <f aca="false">IF(B116="","",C116&amp;"|"&amp;M116&amp;"|"&amp;N116)</f>
        <v/>
      </c>
    </row>
    <row r="117" customFormat="false" ht="15" hidden="false" customHeight="false" outlineLevel="0" collapsed="false">
      <c r="A117" s="73" t="str">
        <f aca="false">IF(B117="","",ROW()-9)</f>
        <v/>
      </c>
      <c r="B117" s="115"/>
      <c r="C117" s="116"/>
      <c r="D117" s="74" t="str">
        <f aca="false">IF(C117="","",IFERROR(INDEX('REGISTRE ELEVES'!$D$10:$D$250,MATCH(C117,'REGISTRE ELEVES'!$B$10:$B$250,0)),"Matricule inconnu"))</f>
        <v/>
      </c>
      <c r="E117" s="73" t="str">
        <f aca="false">IF(C117="","",IFERROR(INDEX('REGISTRE ELEVES'!$F$10:$F$250,MATCH(C117,'REGISTRE ELEVES'!$B$10:$B$250,0)),""))</f>
        <v/>
      </c>
      <c r="F117" s="73" t="str">
        <f aca="false">IF(C117="","",IFERROR(INDEX('REGISTRE ELEVES'!$E$10:$E$250,MATCH(C117,'REGISTRE ELEVES'!$B$10:$B$250,0)),""))</f>
        <v/>
      </c>
      <c r="G117" s="116"/>
      <c r="H117" s="117"/>
      <c r="I117" s="116"/>
      <c r="J117" s="118"/>
      <c r="K117" s="116"/>
      <c r="L117" s="118"/>
      <c r="M117" s="51" t="str">
        <f aca="false">IF(B117="","",MONTH(B117))</f>
        <v/>
      </c>
      <c r="N117" s="51" t="str">
        <f aca="false">IF(B117="","",YEAR(B117))</f>
        <v/>
      </c>
      <c r="O117" s="51" t="str">
        <f aca="false">IF(B117="","",C117&amp;"|"&amp;M117&amp;"|"&amp;N117)</f>
        <v/>
      </c>
    </row>
    <row r="118" customFormat="false" ht="15" hidden="false" customHeight="false" outlineLevel="0" collapsed="false">
      <c r="A118" s="73" t="str">
        <f aca="false">IF(B118="","",ROW()-9)</f>
        <v/>
      </c>
      <c r="B118" s="115"/>
      <c r="C118" s="116"/>
      <c r="D118" s="74" t="str">
        <f aca="false">IF(C118="","",IFERROR(INDEX('REGISTRE ELEVES'!$D$10:$D$250,MATCH(C118,'REGISTRE ELEVES'!$B$10:$B$250,0)),"Matricule inconnu"))</f>
        <v/>
      </c>
      <c r="E118" s="73" t="str">
        <f aca="false">IF(C118="","",IFERROR(INDEX('REGISTRE ELEVES'!$F$10:$F$250,MATCH(C118,'REGISTRE ELEVES'!$B$10:$B$250,0)),""))</f>
        <v/>
      </c>
      <c r="F118" s="73" t="str">
        <f aca="false">IF(C118="","",IFERROR(INDEX('REGISTRE ELEVES'!$E$10:$E$250,MATCH(C118,'REGISTRE ELEVES'!$B$10:$B$250,0)),""))</f>
        <v/>
      </c>
      <c r="G118" s="116"/>
      <c r="H118" s="117"/>
      <c r="I118" s="116"/>
      <c r="J118" s="118"/>
      <c r="K118" s="116"/>
      <c r="L118" s="118"/>
      <c r="M118" s="51" t="str">
        <f aca="false">IF(B118="","",MONTH(B118))</f>
        <v/>
      </c>
      <c r="N118" s="51" t="str">
        <f aca="false">IF(B118="","",YEAR(B118))</f>
        <v/>
      </c>
      <c r="O118" s="51" t="str">
        <f aca="false">IF(B118="","",C118&amp;"|"&amp;M118&amp;"|"&amp;N118)</f>
        <v/>
      </c>
    </row>
    <row r="119" customFormat="false" ht="15" hidden="false" customHeight="false" outlineLevel="0" collapsed="false">
      <c r="A119" s="73" t="str">
        <f aca="false">IF(B119="","",ROW()-9)</f>
        <v/>
      </c>
      <c r="B119" s="115"/>
      <c r="C119" s="116"/>
      <c r="D119" s="74" t="str">
        <f aca="false">IF(C119="","",IFERROR(INDEX('REGISTRE ELEVES'!$D$10:$D$250,MATCH(C119,'REGISTRE ELEVES'!$B$10:$B$250,0)),"Matricule inconnu"))</f>
        <v/>
      </c>
      <c r="E119" s="73" t="str">
        <f aca="false">IF(C119="","",IFERROR(INDEX('REGISTRE ELEVES'!$F$10:$F$250,MATCH(C119,'REGISTRE ELEVES'!$B$10:$B$250,0)),""))</f>
        <v/>
      </c>
      <c r="F119" s="73" t="str">
        <f aca="false">IF(C119="","",IFERROR(INDEX('REGISTRE ELEVES'!$E$10:$E$250,MATCH(C119,'REGISTRE ELEVES'!$B$10:$B$250,0)),""))</f>
        <v/>
      </c>
      <c r="G119" s="116"/>
      <c r="H119" s="117"/>
      <c r="I119" s="116"/>
      <c r="J119" s="118"/>
      <c r="K119" s="116"/>
      <c r="L119" s="118"/>
      <c r="M119" s="51" t="str">
        <f aca="false">IF(B119="","",MONTH(B119))</f>
        <v/>
      </c>
      <c r="N119" s="51" t="str">
        <f aca="false">IF(B119="","",YEAR(B119))</f>
        <v/>
      </c>
      <c r="O119" s="51" t="str">
        <f aca="false">IF(B119="","",C119&amp;"|"&amp;M119&amp;"|"&amp;N119)</f>
        <v/>
      </c>
    </row>
    <row r="120" customFormat="false" ht="15" hidden="false" customHeight="false" outlineLevel="0" collapsed="false">
      <c r="A120" s="73" t="str">
        <f aca="false">IF(B120="","",ROW()-9)</f>
        <v/>
      </c>
      <c r="B120" s="115"/>
      <c r="C120" s="116"/>
      <c r="D120" s="74" t="str">
        <f aca="false">IF(C120="","",IFERROR(INDEX('REGISTRE ELEVES'!$D$10:$D$250,MATCH(C120,'REGISTRE ELEVES'!$B$10:$B$250,0)),"Matricule inconnu"))</f>
        <v/>
      </c>
      <c r="E120" s="73" t="str">
        <f aca="false">IF(C120="","",IFERROR(INDEX('REGISTRE ELEVES'!$F$10:$F$250,MATCH(C120,'REGISTRE ELEVES'!$B$10:$B$250,0)),""))</f>
        <v/>
      </c>
      <c r="F120" s="73" t="str">
        <f aca="false">IF(C120="","",IFERROR(INDEX('REGISTRE ELEVES'!$E$10:$E$250,MATCH(C120,'REGISTRE ELEVES'!$B$10:$B$250,0)),""))</f>
        <v/>
      </c>
      <c r="G120" s="116"/>
      <c r="H120" s="117"/>
      <c r="I120" s="116"/>
      <c r="J120" s="118"/>
      <c r="K120" s="116"/>
      <c r="L120" s="118"/>
      <c r="M120" s="51" t="str">
        <f aca="false">IF(B120="","",MONTH(B120))</f>
        <v/>
      </c>
      <c r="N120" s="51" t="str">
        <f aca="false">IF(B120="","",YEAR(B120))</f>
        <v/>
      </c>
      <c r="O120" s="51" t="str">
        <f aca="false">IF(B120="","",C120&amp;"|"&amp;M120&amp;"|"&amp;N120)</f>
        <v/>
      </c>
    </row>
    <row r="121" customFormat="false" ht="15" hidden="false" customHeight="false" outlineLevel="0" collapsed="false">
      <c r="A121" s="73" t="str">
        <f aca="false">IF(B121="","",ROW()-9)</f>
        <v/>
      </c>
      <c r="B121" s="115"/>
      <c r="C121" s="116"/>
      <c r="D121" s="74" t="str">
        <f aca="false">IF(C121="","",IFERROR(INDEX('REGISTRE ELEVES'!$D$10:$D$250,MATCH(C121,'REGISTRE ELEVES'!$B$10:$B$250,0)),"Matricule inconnu"))</f>
        <v/>
      </c>
      <c r="E121" s="73" t="str">
        <f aca="false">IF(C121="","",IFERROR(INDEX('REGISTRE ELEVES'!$F$10:$F$250,MATCH(C121,'REGISTRE ELEVES'!$B$10:$B$250,0)),""))</f>
        <v/>
      </c>
      <c r="F121" s="73" t="str">
        <f aca="false">IF(C121="","",IFERROR(INDEX('REGISTRE ELEVES'!$E$10:$E$250,MATCH(C121,'REGISTRE ELEVES'!$B$10:$B$250,0)),""))</f>
        <v/>
      </c>
      <c r="G121" s="116"/>
      <c r="H121" s="117"/>
      <c r="I121" s="116"/>
      <c r="J121" s="118"/>
      <c r="K121" s="116"/>
      <c r="L121" s="118"/>
      <c r="M121" s="51" t="str">
        <f aca="false">IF(B121="","",MONTH(B121))</f>
        <v/>
      </c>
      <c r="N121" s="51" t="str">
        <f aca="false">IF(B121="","",YEAR(B121))</f>
        <v/>
      </c>
      <c r="O121" s="51" t="str">
        <f aca="false">IF(B121="","",C121&amp;"|"&amp;M121&amp;"|"&amp;N121)</f>
        <v/>
      </c>
    </row>
    <row r="122" customFormat="false" ht="15" hidden="false" customHeight="false" outlineLevel="0" collapsed="false">
      <c r="A122" s="73" t="str">
        <f aca="false">IF(B122="","",ROW()-9)</f>
        <v/>
      </c>
      <c r="B122" s="115"/>
      <c r="C122" s="116"/>
      <c r="D122" s="74" t="str">
        <f aca="false">IF(C122="","",IFERROR(INDEX('REGISTRE ELEVES'!$D$10:$D$250,MATCH(C122,'REGISTRE ELEVES'!$B$10:$B$250,0)),"Matricule inconnu"))</f>
        <v/>
      </c>
      <c r="E122" s="73" t="str">
        <f aca="false">IF(C122="","",IFERROR(INDEX('REGISTRE ELEVES'!$F$10:$F$250,MATCH(C122,'REGISTRE ELEVES'!$B$10:$B$250,0)),""))</f>
        <v/>
      </c>
      <c r="F122" s="73" t="str">
        <f aca="false">IF(C122="","",IFERROR(INDEX('REGISTRE ELEVES'!$E$10:$E$250,MATCH(C122,'REGISTRE ELEVES'!$B$10:$B$250,0)),""))</f>
        <v/>
      </c>
      <c r="G122" s="116"/>
      <c r="H122" s="117"/>
      <c r="I122" s="116"/>
      <c r="J122" s="118"/>
      <c r="K122" s="116"/>
      <c r="L122" s="118"/>
      <c r="M122" s="51" t="str">
        <f aca="false">IF(B122="","",MONTH(B122))</f>
        <v/>
      </c>
      <c r="N122" s="51" t="str">
        <f aca="false">IF(B122="","",YEAR(B122))</f>
        <v/>
      </c>
      <c r="O122" s="51" t="str">
        <f aca="false">IF(B122="","",C122&amp;"|"&amp;M122&amp;"|"&amp;N122)</f>
        <v/>
      </c>
    </row>
    <row r="123" customFormat="false" ht="15" hidden="false" customHeight="false" outlineLevel="0" collapsed="false">
      <c r="A123" s="73" t="str">
        <f aca="false">IF(B123="","",ROW()-9)</f>
        <v/>
      </c>
      <c r="B123" s="115"/>
      <c r="C123" s="116"/>
      <c r="D123" s="74" t="str">
        <f aca="false">IF(C123="","",IFERROR(INDEX('REGISTRE ELEVES'!$D$10:$D$250,MATCH(C123,'REGISTRE ELEVES'!$B$10:$B$250,0)),"Matricule inconnu"))</f>
        <v/>
      </c>
      <c r="E123" s="73" t="str">
        <f aca="false">IF(C123="","",IFERROR(INDEX('REGISTRE ELEVES'!$F$10:$F$250,MATCH(C123,'REGISTRE ELEVES'!$B$10:$B$250,0)),""))</f>
        <v/>
      </c>
      <c r="F123" s="73" t="str">
        <f aca="false">IF(C123="","",IFERROR(INDEX('REGISTRE ELEVES'!$E$10:$E$250,MATCH(C123,'REGISTRE ELEVES'!$B$10:$B$250,0)),""))</f>
        <v/>
      </c>
      <c r="G123" s="116"/>
      <c r="H123" s="117"/>
      <c r="I123" s="116"/>
      <c r="J123" s="118"/>
      <c r="K123" s="116"/>
      <c r="L123" s="118"/>
      <c r="M123" s="51" t="str">
        <f aca="false">IF(B123="","",MONTH(B123))</f>
        <v/>
      </c>
      <c r="N123" s="51" t="str">
        <f aca="false">IF(B123="","",YEAR(B123))</f>
        <v/>
      </c>
      <c r="O123" s="51" t="str">
        <f aca="false">IF(B123="","",C123&amp;"|"&amp;M123&amp;"|"&amp;N123)</f>
        <v/>
      </c>
    </row>
    <row r="124" customFormat="false" ht="15" hidden="false" customHeight="false" outlineLevel="0" collapsed="false">
      <c r="A124" s="73" t="str">
        <f aca="false">IF(B124="","",ROW()-9)</f>
        <v/>
      </c>
      <c r="B124" s="115"/>
      <c r="C124" s="116"/>
      <c r="D124" s="74" t="str">
        <f aca="false">IF(C124="","",IFERROR(INDEX('REGISTRE ELEVES'!$D$10:$D$250,MATCH(C124,'REGISTRE ELEVES'!$B$10:$B$250,0)),"Matricule inconnu"))</f>
        <v/>
      </c>
      <c r="E124" s="73" t="str">
        <f aca="false">IF(C124="","",IFERROR(INDEX('REGISTRE ELEVES'!$F$10:$F$250,MATCH(C124,'REGISTRE ELEVES'!$B$10:$B$250,0)),""))</f>
        <v/>
      </c>
      <c r="F124" s="73" t="str">
        <f aca="false">IF(C124="","",IFERROR(INDEX('REGISTRE ELEVES'!$E$10:$E$250,MATCH(C124,'REGISTRE ELEVES'!$B$10:$B$250,0)),""))</f>
        <v/>
      </c>
      <c r="G124" s="116"/>
      <c r="H124" s="117"/>
      <c r="I124" s="116"/>
      <c r="J124" s="118"/>
      <c r="K124" s="116"/>
      <c r="L124" s="118"/>
      <c r="M124" s="51" t="str">
        <f aca="false">IF(B124="","",MONTH(B124))</f>
        <v/>
      </c>
      <c r="N124" s="51" t="str">
        <f aca="false">IF(B124="","",YEAR(B124))</f>
        <v/>
      </c>
      <c r="O124" s="51" t="str">
        <f aca="false">IF(B124="","",C124&amp;"|"&amp;M124&amp;"|"&amp;N124)</f>
        <v/>
      </c>
    </row>
    <row r="125" customFormat="false" ht="15" hidden="false" customHeight="false" outlineLevel="0" collapsed="false">
      <c r="A125" s="73" t="str">
        <f aca="false">IF(B125="","",ROW()-9)</f>
        <v/>
      </c>
      <c r="B125" s="115"/>
      <c r="C125" s="116"/>
      <c r="D125" s="74" t="str">
        <f aca="false">IF(C125="","",IFERROR(INDEX('REGISTRE ELEVES'!$D$10:$D$250,MATCH(C125,'REGISTRE ELEVES'!$B$10:$B$250,0)),"Matricule inconnu"))</f>
        <v/>
      </c>
      <c r="E125" s="73" t="str">
        <f aca="false">IF(C125="","",IFERROR(INDEX('REGISTRE ELEVES'!$F$10:$F$250,MATCH(C125,'REGISTRE ELEVES'!$B$10:$B$250,0)),""))</f>
        <v/>
      </c>
      <c r="F125" s="73" t="str">
        <f aca="false">IF(C125="","",IFERROR(INDEX('REGISTRE ELEVES'!$E$10:$E$250,MATCH(C125,'REGISTRE ELEVES'!$B$10:$B$250,0)),""))</f>
        <v/>
      </c>
      <c r="G125" s="116"/>
      <c r="H125" s="117"/>
      <c r="I125" s="116"/>
      <c r="J125" s="118"/>
      <c r="K125" s="116"/>
      <c r="L125" s="118"/>
      <c r="M125" s="51" t="str">
        <f aca="false">IF(B125="","",MONTH(B125))</f>
        <v/>
      </c>
      <c r="N125" s="51" t="str">
        <f aca="false">IF(B125="","",YEAR(B125))</f>
        <v/>
      </c>
      <c r="O125" s="51" t="str">
        <f aca="false">IF(B125="","",C125&amp;"|"&amp;M125&amp;"|"&amp;N125)</f>
        <v/>
      </c>
    </row>
    <row r="126" customFormat="false" ht="15" hidden="false" customHeight="false" outlineLevel="0" collapsed="false">
      <c r="A126" s="73" t="str">
        <f aca="false">IF(B126="","",ROW()-9)</f>
        <v/>
      </c>
      <c r="B126" s="115"/>
      <c r="C126" s="116"/>
      <c r="D126" s="74" t="str">
        <f aca="false">IF(C126="","",IFERROR(INDEX('REGISTRE ELEVES'!$D$10:$D$250,MATCH(C126,'REGISTRE ELEVES'!$B$10:$B$250,0)),"Matricule inconnu"))</f>
        <v/>
      </c>
      <c r="E126" s="73" t="str">
        <f aca="false">IF(C126="","",IFERROR(INDEX('REGISTRE ELEVES'!$F$10:$F$250,MATCH(C126,'REGISTRE ELEVES'!$B$10:$B$250,0)),""))</f>
        <v/>
      </c>
      <c r="F126" s="73" t="str">
        <f aca="false">IF(C126="","",IFERROR(INDEX('REGISTRE ELEVES'!$E$10:$E$250,MATCH(C126,'REGISTRE ELEVES'!$B$10:$B$250,0)),""))</f>
        <v/>
      </c>
      <c r="G126" s="116"/>
      <c r="H126" s="117"/>
      <c r="I126" s="116"/>
      <c r="J126" s="118"/>
      <c r="K126" s="116"/>
      <c r="L126" s="118"/>
      <c r="M126" s="51" t="str">
        <f aca="false">IF(B126="","",MONTH(B126))</f>
        <v/>
      </c>
      <c r="N126" s="51" t="str">
        <f aca="false">IF(B126="","",YEAR(B126))</f>
        <v/>
      </c>
      <c r="O126" s="51" t="str">
        <f aca="false">IF(B126="","",C126&amp;"|"&amp;M126&amp;"|"&amp;N126)</f>
        <v/>
      </c>
    </row>
    <row r="127" customFormat="false" ht="15" hidden="false" customHeight="false" outlineLevel="0" collapsed="false">
      <c r="A127" s="73" t="str">
        <f aca="false">IF(B127="","",ROW()-9)</f>
        <v/>
      </c>
      <c r="B127" s="115"/>
      <c r="C127" s="116"/>
      <c r="D127" s="74" t="str">
        <f aca="false">IF(C127="","",IFERROR(INDEX('REGISTRE ELEVES'!$D$10:$D$250,MATCH(C127,'REGISTRE ELEVES'!$B$10:$B$250,0)),"Matricule inconnu"))</f>
        <v/>
      </c>
      <c r="E127" s="73" t="str">
        <f aca="false">IF(C127="","",IFERROR(INDEX('REGISTRE ELEVES'!$F$10:$F$250,MATCH(C127,'REGISTRE ELEVES'!$B$10:$B$250,0)),""))</f>
        <v/>
      </c>
      <c r="F127" s="73" t="str">
        <f aca="false">IF(C127="","",IFERROR(INDEX('REGISTRE ELEVES'!$E$10:$E$250,MATCH(C127,'REGISTRE ELEVES'!$B$10:$B$250,0)),""))</f>
        <v/>
      </c>
      <c r="G127" s="116"/>
      <c r="H127" s="117"/>
      <c r="I127" s="116"/>
      <c r="J127" s="118"/>
      <c r="K127" s="116"/>
      <c r="L127" s="118"/>
      <c r="M127" s="51" t="str">
        <f aca="false">IF(B127="","",MONTH(B127))</f>
        <v/>
      </c>
      <c r="N127" s="51" t="str">
        <f aca="false">IF(B127="","",YEAR(B127))</f>
        <v/>
      </c>
      <c r="O127" s="51" t="str">
        <f aca="false">IF(B127="","",C127&amp;"|"&amp;M127&amp;"|"&amp;N127)</f>
        <v/>
      </c>
    </row>
    <row r="128" customFormat="false" ht="15" hidden="false" customHeight="false" outlineLevel="0" collapsed="false">
      <c r="A128" s="73" t="str">
        <f aca="false">IF(B128="","",ROW()-9)</f>
        <v/>
      </c>
      <c r="B128" s="115"/>
      <c r="C128" s="116"/>
      <c r="D128" s="74" t="str">
        <f aca="false">IF(C128="","",IFERROR(INDEX('REGISTRE ELEVES'!$D$10:$D$250,MATCH(C128,'REGISTRE ELEVES'!$B$10:$B$250,0)),"Matricule inconnu"))</f>
        <v/>
      </c>
      <c r="E128" s="73" t="str">
        <f aca="false">IF(C128="","",IFERROR(INDEX('REGISTRE ELEVES'!$F$10:$F$250,MATCH(C128,'REGISTRE ELEVES'!$B$10:$B$250,0)),""))</f>
        <v/>
      </c>
      <c r="F128" s="73" t="str">
        <f aca="false">IF(C128="","",IFERROR(INDEX('REGISTRE ELEVES'!$E$10:$E$250,MATCH(C128,'REGISTRE ELEVES'!$B$10:$B$250,0)),""))</f>
        <v/>
      </c>
      <c r="G128" s="116"/>
      <c r="H128" s="117"/>
      <c r="I128" s="116"/>
      <c r="J128" s="118"/>
      <c r="K128" s="116"/>
      <c r="L128" s="118"/>
      <c r="M128" s="51" t="str">
        <f aca="false">IF(B128="","",MONTH(B128))</f>
        <v/>
      </c>
      <c r="N128" s="51" t="str">
        <f aca="false">IF(B128="","",YEAR(B128))</f>
        <v/>
      </c>
      <c r="O128" s="51" t="str">
        <f aca="false">IF(B128="","",C128&amp;"|"&amp;M128&amp;"|"&amp;N128)</f>
        <v/>
      </c>
    </row>
    <row r="129" customFormat="false" ht="15" hidden="false" customHeight="false" outlineLevel="0" collapsed="false">
      <c r="A129" s="73" t="str">
        <f aca="false">IF(B129="","",ROW()-9)</f>
        <v/>
      </c>
      <c r="B129" s="115"/>
      <c r="C129" s="116"/>
      <c r="D129" s="74" t="str">
        <f aca="false">IF(C129="","",IFERROR(INDEX('REGISTRE ELEVES'!$D$10:$D$250,MATCH(C129,'REGISTRE ELEVES'!$B$10:$B$250,0)),"Matricule inconnu"))</f>
        <v/>
      </c>
      <c r="E129" s="73" t="str">
        <f aca="false">IF(C129="","",IFERROR(INDEX('REGISTRE ELEVES'!$F$10:$F$250,MATCH(C129,'REGISTRE ELEVES'!$B$10:$B$250,0)),""))</f>
        <v/>
      </c>
      <c r="F129" s="73" t="str">
        <f aca="false">IF(C129="","",IFERROR(INDEX('REGISTRE ELEVES'!$E$10:$E$250,MATCH(C129,'REGISTRE ELEVES'!$B$10:$B$250,0)),""))</f>
        <v/>
      </c>
      <c r="G129" s="116"/>
      <c r="H129" s="117"/>
      <c r="I129" s="116"/>
      <c r="J129" s="118"/>
      <c r="K129" s="116"/>
      <c r="L129" s="118"/>
      <c r="M129" s="51" t="str">
        <f aca="false">IF(B129="","",MONTH(B129))</f>
        <v/>
      </c>
      <c r="N129" s="51" t="str">
        <f aca="false">IF(B129="","",YEAR(B129))</f>
        <v/>
      </c>
      <c r="O129" s="51" t="str">
        <f aca="false">IF(B129="","",C129&amp;"|"&amp;M129&amp;"|"&amp;N129)</f>
        <v/>
      </c>
    </row>
    <row r="130" customFormat="false" ht="15" hidden="false" customHeight="false" outlineLevel="0" collapsed="false">
      <c r="A130" s="73" t="str">
        <f aca="false">IF(B130="","",ROW()-9)</f>
        <v/>
      </c>
      <c r="B130" s="115"/>
      <c r="C130" s="116"/>
      <c r="D130" s="74" t="str">
        <f aca="false">IF(C130="","",IFERROR(INDEX('REGISTRE ELEVES'!$D$10:$D$250,MATCH(C130,'REGISTRE ELEVES'!$B$10:$B$250,0)),"Matricule inconnu"))</f>
        <v/>
      </c>
      <c r="E130" s="73" t="str">
        <f aca="false">IF(C130="","",IFERROR(INDEX('REGISTRE ELEVES'!$F$10:$F$250,MATCH(C130,'REGISTRE ELEVES'!$B$10:$B$250,0)),""))</f>
        <v/>
      </c>
      <c r="F130" s="73" t="str">
        <f aca="false">IF(C130="","",IFERROR(INDEX('REGISTRE ELEVES'!$E$10:$E$250,MATCH(C130,'REGISTRE ELEVES'!$B$10:$B$250,0)),""))</f>
        <v/>
      </c>
      <c r="G130" s="116"/>
      <c r="H130" s="117"/>
      <c r="I130" s="116"/>
      <c r="J130" s="118"/>
      <c r="K130" s="116"/>
      <c r="L130" s="118"/>
      <c r="M130" s="51" t="str">
        <f aca="false">IF(B130="","",MONTH(B130))</f>
        <v/>
      </c>
      <c r="N130" s="51" t="str">
        <f aca="false">IF(B130="","",YEAR(B130))</f>
        <v/>
      </c>
      <c r="O130" s="51" t="str">
        <f aca="false">IF(B130="","",C130&amp;"|"&amp;M130&amp;"|"&amp;N130)</f>
        <v/>
      </c>
    </row>
    <row r="131" customFormat="false" ht="15" hidden="false" customHeight="false" outlineLevel="0" collapsed="false">
      <c r="A131" s="73" t="str">
        <f aca="false">IF(B131="","",ROW()-9)</f>
        <v/>
      </c>
      <c r="B131" s="115"/>
      <c r="C131" s="116"/>
      <c r="D131" s="74" t="str">
        <f aca="false">IF(C131="","",IFERROR(INDEX('REGISTRE ELEVES'!$D$10:$D$250,MATCH(C131,'REGISTRE ELEVES'!$B$10:$B$250,0)),"Matricule inconnu"))</f>
        <v/>
      </c>
      <c r="E131" s="73" t="str">
        <f aca="false">IF(C131="","",IFERROR(INDEX('REGISTRE ELEVES'!$F$10:$F$250,MATCH(C131,'REGISTRE ELEVES'!$B$10:$B$250,0)),""))</f>
        <v/>
      </c>
      <c r="F131" s="73" t="str">
        <f aca="false">IF(C131="","",IFERROR(INDEX('REGISTRE ELEVES'!$E$10:$E$250,MATCH(C131,'REGISTRE ELEVES'!$B$10:$B$250,0)),""))</f>
        <v/>
      </c>
      <c r="G131" s="116"/>
      <c r="H131" s="117"/>
      <c r="I131" s="116"/>
      <c r="J131" s="118"/>
      <c r="K131" s="116"/>
      <c r="L131" s="118"/>
      <c r="M131" s="51" t="str">
        <f aca="false">IF(B131="","",MONTH(B131))</f>
        <v/>
      </c>
      <c r="N131" s="51" t="str">
        <f aca="false">IF(B131="","",YEAR(B131))</f>
        <v/>
      </c>
      <c r="O131" s="51" t="str">
        <f aca="false">IF(B131="","",C131&amp;"|"&amp;M131&amp;"|"&amp;N131)</f>
        <v/>
      </c>
    </row>
    <row r="132" customFormat="false" ht="15" hidden="false" customHeight="false" outlineLevel="0" collapsed="false">
      <c r="A132" s="73" t="str">
        <f aca="false">IF(B132="","",ROW()-9)</f>
        <v/>
      </c>
      <c r="B132" s="115"/>
      <c r="C132" s="116"/>
      <c r="D132" s="74" t="str">
        <f aca="false">IF(C132="","",IFERROR(INDEX('REGISTRE ELEVES'!$D$10:$D$250,MATCH(C132,'REGISTRE ELEVES'!$B$10:$B$250,0)),"Matricule inconnu"))</f>
        <v/>
      </c>
      <c r="E132" s="73" t="str">
        <f aca="false">IF(C132="","",IFERROR(INDEX('REGISTRE ELEVES'!$F$10:$F$250,MATCH(C132,'REGISTRE ELEVES'!$B$10:$B$250,0)),""))</f>
        <v/>
      </c>
      <c r="F132" s="73" t="str">
        <f aca="false">IF(C132="","",IFERROR(INDEX('REGISTRE ELEVES'!$E$10:$E$250,MATCH(C132,'REGISTRE ELEVES'!$B$10:$B$250,0)),""))</f>
        <v/>
      </c>
      <c r="G132" s="116"/>
      <c r="H132" s="117"/>
      <c r="I132" s="116"/>
      <c r="J132" s="118"/>
      <c r="K132" s="116"/>
      <c r="L132" s="118"/>
      <c r="M132" s="51" t="str">
        <f aca="false">IF(B132="","",MONTH(B132))</f>
        <v/>
      </c>
      <c r="N132" s="51" t="str">
        <f aca="false">IF(B132="","",YEAR(B132))</f>
        <v/>
      </c>
      <c r="O132" s="51" t="str">
        <f aca="false">IF(B132="","",C132&amp;"|"&amp;M132&amp;"|"&amp;N132)</f>
        <v/>
      </c>
    </row>
    <row r="133" customFormat="false" ht="15" hidden="false" customHeight="false" outlineLevel="0" collapsed="false">
      <c r="A133" s="73" t="str">
        <f aca="false">IF(B133="","",ROW()-9)</f>
        <v/>
      </c>
      <c r="B133" s="115"/>
      <c r="C133" s="116"/>
      <c r="D133" s="74" t="str">
        <f aca="false">IF(C133="","",IFERROR(INDEX('REGISTRE ELEVES'!$D$10:$D$250,MATCH(C133,'REGISTRE ELEVES'!$B$10:$B$250,0)),"Matricule inconnu"))</f>
        <v/>
      </c>
      <c r="E133" s="73" t="str">
        <f aca="false">IF(C133="","",IFERROR(INDEX('REGISTRE ELEVES'!$F$10:$F$250,MATCH(C133,'REGISTRE ELEVES'!$B$10:$B$250,0)),""))</f>
        <v/>
      </c>
      <c r="F133" s="73" t="str">
        <f aca="false">IF(C133="","",IFERROR(INDEX('REGISTRE ELEVES'!$E$10:$E$250,MATCH(C133,'REGISTRE ELEVES'!$B$10:$B$250,0)),""))</f>
        <v/>
      </c>
      <c r="G133" s="116"/>
      <c r="H133" s="117"/>
      <c r="I133" s="116"/>
      <c r="J133" s="118"/>
      <c r="K133" s="116"/>
      <c r="L133" s="118"/>
      <c r="M133" s="51" t="str">
        <f aca="false">IF(B133="","",MONTH(B133))</f>
        <v/>
      </c>
      <c r="N133" s="51" t="str">
        <f aca="false">IF(B133="","",YEAR(B133))</f>
        <v/>
      </c>
      <c r="O133" s="51" t="str">
        <f aca="false">IF(B133="","",C133&amp;"|"&amp;M133&amp;"|"&amp;N133)</f>
        <v/>
      </c>
    </row>
    <row r="134" customFormat="false" ht="15" hidden="false" customHeight="false" outlineLevel="0" collapsed="false">
      <c r="A134" s="73" t="str">
        <f aca="false">IF(B134="","",ROW()-9)</f>
        <v/>
      </c>
      <c r="B134" s="115"/>
      <c r="C134" s="116"/>
      <c r="D134" s="74" t="str">
        <f aca="false">IF(C134="","",IFERROR(INDEX('REGISTRE ELEVES'!$D$10:$D$250,MATCH(C134,'REGISTRE ELEVES'!$B$10:$B$250,0)),"Matricule inconnu"))</f>
        <v/>
      </c>
      <c r="E134" s="73" t="str">
        <f aca="false">IF(C134="","",IFERROR(INDEX('REGISTRE ELEVES'!$F$10:$F$250,MATCH(C134,'REGISTRE ELEVES'!$B$10:$B$250,0)),""))</f>
        <v/>
      </c>
      <c r="F134" s="73" t="str">
        <f aca="false">IF(C134="","",IFERROR(INDEX('REGISTRE ELEVES'!$E$10:$E$250,MATCH(C134,'REGISTRE ELEVES'!$B$10:$B$250,0)),""))</f>
        <v/>
      </c>
      <c r="G134" s="116"/>
      <c r="H134" s="117"/>
      <c r="I134" s="116"/>
      <c r="J134" s="118"/>
      <c r="K134" s="116"/>
      <c r="L134" s="118"/>
      <c r="M134" s="51" t="str">
        <f aca="false">IF(B134="","",MONTH(B134))</f>
        <v/>
      </c>
      <c r="N134" s="51" t="str">
        <f aca="false">IF(B134="","",YEAR(B134))</f>
        <v/>
      </c>
      <c r="O134" s="51" t="str">
        <f aca="false">IF(B134="","",C134&amp;"|"&amp;M134&amp;"|"&amp;N134)</f>
        <v/>
      </c>
    </row>
    <row r="135" customFormat="false" ht="15" hidden="false" customHeight="false" outlineLevel="0" collapsed="false">
      <c r="A135" s="73" t="str">
        <f aca="false">IF(B135="","",ROW()-9)</f>
        <v/>
      </c>
      <c r="B135" s="115"/>
      <c r="C135" s="116"/>
      <c r="D135" s="74" t="str">
        <f aca="false">IF(C135="","",IFERROR(INDEX('REGISTRE ELEVES'!$D$10:$D$250,MATCH(C135,'REGISTRE ELEVES'!$B$10:$B$250,0)),"Matricule inconnu"))</f>
        <v/>
      </c>
      <c r="E135" s="73" t="str">
        <f aca="false">IF(C135="","",IFERROR(INDEX('REGISTRE ELEVES'!$F$10:$F$250,MATCH(C135,'REGISTRE ELEVES'!$B$10:$B$250,0)),""))</f>
        <v/>
      </c>
      <c r="F135" s="73" t="str">
        <f aca="false">IF(C135="","",IFERROR(INDEX('REGISTRE ELEVES'!$E$10:$E$250,MATCH(C135,'REGISTRE ELEVES'!$B$10:$B$250,0)),""))</f>
        <v/>
      </c>
      <c r="G135" s="116"/>
      <c r="H135" s="117"/>
      <c r="I135" s="116"/>
      <c r="J135" s="118"/>
      <c r="K135" s="116"/>
      <c r="L135" s="118"/>
      <c r="M135" s="51" t="str">
        <f aca="false">IF(B135="","",MONTH(B135))</f>
        <v/>
      </c>
      <c r="N135" s="51" t="str">
        <f aca="false">IF(B135="","",YEAR(B135))</f>
        <v/>
      </c>
      <c r="O135" s="51" t="str">
        <f aca="false">IF(B135="","",C135&amp;"|"&amp;M135&amp;"|"&amp;N135)</f>
        <v/>
      </c>
    </row>
    <row r="136" customFormat="false" ht="15" hidden="false" customHeight="false" outlineLevel="0" collapsed="false">
      <c r="A136" s="73" t="str">
        <f aca="false">IF(B136="","",ROW()-9)</f>
        <v/>
      </c>
      <c r="B136" s="115"/>
      <c r="C136" s="116"/>
      <c r="D136" s="74" t="str">
        <f aca="false">IF(C136="","",IFERROR(INDEX('REGISTRE ELEVES'!$D$10:$D$250,MATCH(C136,'REGISTRE ELEVES'!$B$10:$B$250,0)),"Matricule inconnu"))</f>
        <v/>
      </c>
      <c r="E136" s="73" t="str">
        <f aca="false">IF(C136="","",IFERROR(INDEX('REGISTRE ELEVES'!$F$10:$F$250,MATCH(C136,'REGISTRE ELEVES'!$B$10:$B$250,0)),""))</f>
        <v/>
      </c>
      <c r="F136" s="73" t="str">
        <f aca="false">IF(C136="","",IFERROR(INDEX('REGISTRE ELEVES'!$E$10:$E$250,MATCH(C136,'REGISTRE ELEVES'!$B$10:$B$250,0)),""))</f>
        <v/>
      </c>
      <c r="G136" s="116"/>
      <c r="H136" s="117"/>
      <c r="I136" s="116"/>
      <c r="J136" s="118"/>
      <c r="K136" s="116"/>
      <c r="L136" s="118"/>
      <c r="M136" s="51" t="str">
        <f aca="false">IF(B136="","",MONTH(B136))</f>
        <v/>
      </c>
      <c r="N136" s="51" t="str">
        <f aca="false">IF(B136="","",YEAR(B136))</f>
        <v/>
      </c>
      <c r="O136" s="51" t="str">
        <f aca="false">IF(B136="","",C136&amp;"|"&amp;M136&amp;"|"&amp;N136)</f>
        <v/>
      </c>
    </row>
    <row r="137" customFormat="false" ht="15" hidden="false" customHeight="false" outlineLevel="0" collapsed="false">
      <c r="A137" s="73" t="str">
        <f aca="false">IF(B137="","",ROW()-9)</f>
        <v/>
      </c>
      <c r="B137" s="115"/>
      <c r="C137" s="116"/>
      <c r="D137" s="74" t="str">
        <f aca="false">IF(C137="","",IFERROR(INDEX('REGISTRE ELEVES'!$D$10:$D$250,MATCH(C137,'REGISTRE ELEVES'!$B$10:$B$250,0)),"Matricule inconnu"))</f>
        <v/>
      </c>
      <c r="E137" s="73" t="str">
        <f aca="false">IF(C137="","",IFERROR(INDEX('REGISTRE ELEVES'!$F$10:$F$250,MATCH(C137,'REGISTRE ELEVES'!$B$10:$B$250,0)),""))</f>
        <v/>
      </c>
      <c r="F137" s="73" t="str">
        <f aca="false">IF(C137="","",IFERROR(INDEX('REGISTRE ELEVES'!$E$10:$E$250,MATCH(C137,'REGISTRE ELEVES'!$B$10:$B$250,0)),""))</f>
        <v/>
      </c>
      <c r="G137" s="116"/>
      <c r="H137" s="117"/>
      <c r="I137" s="116"/>
      <c r="J137" s="118"/>
      <c r="K137" s="116"/>
      <c r="L137" s="118"/>
      <c r="M137" s="51" t="str">
        <f aca="false">IF(B137="","",MONTH(B137))</f>
        <v/>
      </c>
      <c r="N137" s="51" t="str">
        <f aca="false">IF(B137="","",YEAR(B137))</f>
        <v/>
      </c>
      <c r="O137" s="51" t="str">
        <f aca="false">IF(B137="","",C137&amp;"|"&amp;M137&amp;"|"&amp;N137)</f>
        <v/>
      </c>
    </row>
    <row r="138" customFormat="false" ht="15" hidden="false" customHeight="false" outlineLevel="0" collapsed="false">
      <c r="A138" s="73" t="str">
        <f aca="false">IF(B138="","",ROW()-9)</f>
        <v/>
      </c>
      <c r="B138" s="115"/>
      <c r="C138" s="116"/>
      <c r="D138" s="74" t="str">
        <f aca="false">IF(C138="","",IFERROR(INDEX('REGISTRE ELEVES'!$D$10:$D$250,MATCH(C138,'REGISTRE ELEVES'!$B$10:$B$250,0)),"Matricule inconnu"))</f>
        <v/>
      </c>
      <c r="E138" s="73" t="str">
        <f aca="false">IF(C138="","",IFERROR(INDEX('REGISTRE ELEVES'!$F$10:$F$250,MATCH(C138,'REGISTRE ELEVES'!$B$10:$B$250,0)),""))</f>
        <v/>
      </c>
      <c r="F138" s="73" t="str">
        <f aca="false">IF(C138="","",IFERROR(INDEX('REGISTRE ELEVES'!$E$10:$E$250,MATCH(C138,'REGISTRE ELEVES'!$B$10:$B$250,0)),""))</f>
        <v/>
      </c>
      <c r="G138" s="116"/>
      <c r="H138" s="117"/>
      <c r="I138" s="116"/>
      <c r="J138" s="118"/>
      <c r="K138" s="116"/>
      <c r="L138" s="118"/>
      <c r="M138" s="51" t="str">
        <f aca="false">IF(B138="","",MONTH(B138))</f>
        <v/>
      </c>
      <c r="N138" s="51" t="str">
        <f aca="false">IF(B138="","",YEAR(B138))</f>
        <v/>
      </c>
      <c r="O138" s="51" t="str">
        <f aca="false">IF(B138="","",C138&amp;"|"&amp;M138&amp;"|"&amp;N138)</f>
        <v/>
      </c>
    </row>
    <row r="139" customFormat="false" ht="15" hidden="false" customHeight="false" outlineLevel="0" collapsed="false">
      <c r="A139" s="73" t="str">
        <f aca="false">IF(B139="","",ROW()-9)</f>
        <v/>
      </c>
      <c r="B139" s="115"/>
      <c r="C139" s="116"/>
      <c r="D139" s="74" t="str">
        <f aca="false">IF(C139="","",IFERROR(INDEX('REGISTRE ELEVES'!$D$10:$D$250,MATCH(C139,'REGISTRE ELEVES'!$B$10:$B$250,0)),"Matricule inconnu"))</f>
        <v/>
      </c>
      <c r="E139" s="73" t="str">
        <f aca="false">IF(C139="","",IFERROR(INDEX('REGISTRE ELEVES'!$F$10:$F$250,MATCH(C139,'REGISTRE ELEVES'!$B$10:$B$250,0)),""))</f>
        <v/>
      </c>
      <c r="F139" s="73" t="str">
        <f aca="false">IF(C139="","",IFERROR(INDEX('REGISTRE ELEVES'!$E$10:$E$250,MATCH(C139,'REGISTRE ELEVES'!$B$10:$B$250,0)),""))</f>
        <v/>
      </c>
      <c r="G139" s="116"/>
      <c r="H139" s="117"/>
      <c r="I139" s="116"/>
      <c r="J139" s="118"/>
      <c r="K139" s="116"/>
      <c r="L139" s="118"/>
      <c r="M139" s="51" t="str">
        <f aca="false">IF(B139="","",MONTH(B139))</f>
        <v/>
      </c>
      <c r="N139" s="51" t="str">
        <f aca="false">IF(B139="","",YEAR(B139))</f>
        <v/>
      </c>
      <c r="O139" s="51" t="str">
        <f aca="false">IF(B139="","",C139&amp;"|"&amp;M139&amp;"|"&amp;N139)</f>
        <v/>
      </c>
    </row>
    <row r="140" customFormat="false" ht="15" hidden="false" customHeight="false" outlineLevel="0" collapsed="false">
      <c r="A140" s="73" t="str">
        <f aca="false">IF(B140="","",ROW()-9)</f>
        <v/>
      </c>
      <c r="B140" s="115"/>
      <c r="C140" s="116"/>
      <c r="D140" s="74" t="str">
        <f aca="false">IF(C140="","",IFERROR(INDEX('REGISTRE ELEVES'!$D$10:$D$250,MATCH(C140,'REGISTRE ELEVES'!$B$10:$B$250,0)),"Matricule inconnu"))</f>
        <v/>
      </c>
      <c r="E140" s="73" t="str">
        <f aca="false">IF(C140="","",IFERROR(INDEX('REGISTRE ELEVES'!$F$10:$F$250,MATCH(C140,'REGISTRE ELEVES'!$B$10:$B$250,0)),""))</f>
        <v/>
      </c>
      <c r="F140" s="73" t="str">
        <f aca="false">IF(C140="","",IFERROR(INDEX('REGISTRE ELEVES'!$E$10:$E$250,MATCH(C140,'REGISTRE ELEVES'!$B$10:$B$250,0)),""))</f>
        <v/>
      </c>
      <c r="G140" s="116"/>
      <c r="H140" s="117"/>
      <c r="I140" s="116"/>
      <c r="J140" s="118"/>
      <c r="K140" s="116"/>
      <c r="L140" s="118"/>
      <c r="M140" s="51" t="str">
        <f aca="false">IF(B140="","",MONTH(B140))</f>
        <v/>
      </c>
      <c r="N140" s="51" t="str">
        <f aca="false">IF(B140="","",YEAR(B140))</f>
        <v/>
      </c>
      <c r="O140" s="51" t="str">
        <f aca="false">IF(B140="","",C140&amp;"|"&amp;M140&amp;"|"&amp;N140)</f>
        <v/>
      </c>
    </row>
    <row r="141" customFormat="false" ht="15" hidden="false" customHeight="false" outlineLevel="0" collapsed="false">
      <c r="A141" s="73" t="str">
        <f aca="false">IF(B141="","",ROW()-9)</f>
        <v/>
      </c>
      <c r="B141" s="115"/>
      <c r="C141" s="116"/>
      <c r="D141" s="74" t="str">
        <f aca="false">IF(C141="","",IFERROR(INDEX('REGISTRE ELEVES'!$D$10:$D$250,MATCH(C141,'REGISTRE ELEVES'!$B$10:$B$250,0)),"Matricule inconnu"))</f>
        <v/>
      </c>
      <c r="E141" s="73" t="str">
        <f aca="false">IF(C141="","",IFERROR(INDEX('REGISTRE ELEVES'!$F$10:$F$250,MATCH(C141,'REGISTRE ELEVES'!$B$10:$B$250,0)),""))</f>
        <v/>
      </c>
      <c r="F141" s="73" t="str">
        <f aca="false">IF(C141="","",IFERROR(INDEX('REGISTRE ELEVES'!$E$10:$E$250,MATCH(C141,'REGISTRE ELEVES'!$B$10:$B$250,0)),""))</f>
        <v/>
      </c>
      <c r="G141" s="116"/>
      <c r="H141" s="117"/>
      <c r="I141" s="116"/>
      <c r="J141" s="118"/>
      <c r="K141" s="116"/>
      <c r="L141" s="118"/>
      <c r="M141" s="51" t="str">
        <f aca="false">IF(B141="","",MONTH(B141))</f>
        <v/>
      </c>
      <c r="N141" s="51" t="str">
        <f aca="false">IF(B141="","",YEAR(B141))</f>
        <v/>
      </c>
      <c r="O141" s="51" t="str">
        <f aca="false">IF(B141="","",C141&amp;"|"&amp;M141&amp;"|"&amp;N141)</f>
        <v/>
      </c>
    </row>
    <row r="142" customFormat="false" ht="15" hidden="false" customHeight="false" outlineLevel="0" collapsed="false">
      <c r="A142" s="73" t="str">
        <f aca="false">IF(B142="","",ROW()-9)</f>
        <v/>
      </c>
      <c r="B142" s="115"/>
      <c r="C142" s="116"/>
      <c r="D142" s="74" t="str">
        <f aca="false">IF(C142="","",IFERROR(INDEX('REGISTRE ELEVES'!$D$10:$D$250,MATCH(C142,'REGISTRE ELEVES'!$B$10:$B$250,0)),"Matricule inconnu"))</f>
        <v/>
      </c>
      <c r="E142" s="73" t="str">
        <f aca="false">IF(C142="","",IFERROR(INDEX('REGISTRE ELEVES'!$F$10:$F$250,MATCH(C142,'REGISTRE ELEVES'!$B$10:$B$250,0)),""))</f>
        <v/>
      </c>
      <c r="F142" s="73" t="str">
        <f aca="false">IF(C142="","",IFERROR(INDEX('REGISTRE ELEVES'!$E$10:$E$250,MATCH(C142,'REGISTRE ELEVES'!$B$10:$B$250,0)),""))</f>
        <v/>
      </c>
      <c r="G142" s="116"/>
      <c r="H142" s="117"/>
      <c r="I142" s="116"/>
      <c r="J142" s="118"/>
      <c r="K142" s="116"/>
      <c r="L142" s="118"/>
      <c r="M142" s="51" t="str">
        <f aca="false">IF(B142="","",MONTH(B142))</f>
        <v/>
      </c>
      <c r="N142" s="51" t="str">
        <f aca="false">IF(B142="","",YEAR(B142))</f>
        <v/>
      </c>
      <c r="O142" s="51" t="str">
        <f aca="false">IF(B142="","",C142&amp;"|"&amp;M142&amp;"|"&amp;N142)</f>
        <v/>
      </c>
    </row>
    <row r="143" customFormat="false" ht="15" hidden="false" customHeight="false" outlineLevel="0" collapsed="false">
      <c r="A143" s="73" t="str">
        <f aca="false">IF(B143="","",ROW()-9)</f>
        <v/>
      </c>
      <c r="B143" s="115"/>
      <c r="C143" s="116"/>
      <c r="D143" s="74" t="str">
        <f aca="false">IF(C143="","",IFERROR(INDEX('REGISTRE ELEVES'!$D$10:$D$250,MATCH(C143,'REGISTRE ELEVES'!$B$10:$B$250,0)),"Matricule inconnu"))</f>
        <v/>
      </c>
      <c r="E143" s="73" t="str">
        <f aca="false">IF(C143="","",IFERROR(INDEX('REGISTRE ELEVES'!$F$10:$F$250,MATCH(C143,'REGISTRE ELEVES'!$B$10:$B$250,0)),""))</f>
        <v/>
      </c>
      <c r="F143" s="73" t="str">
        <f aca="false">IF(C143="","",IFERROR(INDEX('REGISTRE ELEVES'!$E$10:$E$250,MATCH(C143,'REGISTRE ELEVES'!$B$10:$B$250,0)),""))</f>
        <v/>
      </c>
      <c r="G143" s="116"/>
      <c r="H143" s="117"/>
      <c r="I143" s="116"/>
      <c r="J143" s="118"/>
      <c r="K143" s="116"/>
      <c r="L143" s="118"/>
      <c r="M143" s="51" t="str">
        <f aca="false">IF(B143="","",MONTH(B143))</f>
        <v/>
      </c>
      <c r="N143" s="51" t="str">
        <f aca="false">IF(B143="","",YEAR(B143))</f>
        <v/>
      </c>
      <c r="O143" s="51" t="str">
        <f aca="false">IF(B143="","",C143&amp;"|"&amp;M143&amp;"|"&amp;N143)</f>
        <v/>
      </c>
    </row>
    <row r="144" customFormat="false" ht="15" hidden="false" customHeight="false" outlineLevel="0" collapsed="false">
      <c r="A144" s="73" t="str">
        <f aca="false">IF(B144="","",ROW()-9)</f>
        <v/>
      </c>
      <c r="B144" s="115"/>
      <c r="C144" s="116"/>
      <c r="D144" s="74" t="str">
        <f aca="false">IF(C144="","",IFERROR(INDEX('REGISTRE ELEVES'!$D$10:$D$250,MATCH(C144,'REGISTRE ELEVES'!$B$10:$B$250,0)),"Matricule inconnu"))</f>
        <v/>
      </c>
      <c r="E144" s="73" t="str">
        <f aca="false">IF(C144="","",IFERROR(INDEX('REGISTRE ELEVES'!$F$10:$F$250,MATCH(C144,'REGISTRE ELEVES'!$B$10:$B$250,0)),""))</f>
        <v/>
      </c>
      <c r="F144" s="73" t="str">
        <f aca="false">IF(C144="","",IFERROR(INDEX('REGISTRE ELEVES'!$E$10:$E$250,MATCH(C144,'REGISTRE ELEVES'!$B$10:$B$250,0)),""))</f>
        <v/>
      </c>
      <c r="G144" s="116"/>
      <c r="H144" s="117"/>
      <c r="I144" s="116"/>
      <c r="J144" s="118"/>
      <c r="K144" s="116"/>
      <c r="L144" s="118"/>
      <c r="M144" s="51" t="str">
        <f aca="false">IF(B144="","",MONTH(B144))</f>
        <v/>
      </c>
      <c r="N144" s="51" t="str">
        <f aca="false">IF(B144="","",YEAR(B144))</f>
        <v/>
      </c>
      <c r="O144" s="51" t="str">
        <f aca="false">IF(B144="","",C144&amp;"|"&amp;M144&amp;"|"&amp;N144)</f>
        <v/>
      </c>
    </row>
    <row r="145" customFormat="false" ht="15" hidden="false" customHeight="false" outlineLevel="0" collapsed="false">
      <c r="A145" s="73" t="str">
        <f aca="false">IF(B145="","",ROW()-9)</f>
        <v/>
      </c>
      <c r="B145" s="115"/>
      <c r="C145" s="116"/>
      <c r="D145" s="74" t="str">
        <f aca="false">IF(C145="","",IFERROR(INDEX('REGISTRE ELEVES'!$D$10:$D$250,MATCH(C145,'REGISTRE ELEVES'!$B$10:$B$250,0)),"Matricule inconnu"))</f>
        <v/>
      </c>
      <c r="E145" s="73" t="str">
        <f aca="false">IF(C145="","",IFERROR(INDEX('REGISTRE ELEVES'!$F$10:$F$250,MATCH(C145,'REGISTRE ELEVES'!$B$10:$B$250,0)),""))</f>
        <v/>
      </c>
      <c r="F145" s="73" t="str">
        <f aca="false">IF(C145="","",IFERROR(INDEX('REGISTRE ELEVES'!$E$10:$E$250,MATCH(C145,'REGISTRE ELEVES'!$B$10:$B$250,0)),""))</f>
        <v/>
      </c>
      <c r="G145" s="116"/>
      <c r="H145" s="117"/>
      <c r="I145" s="116"/>
      <c r="J145" s="118"/>
      <c r="K145" s="116"/>
      <c r="L145" s="118"/>
      <c r="M145" s="51" t="str">
        <f aca="false">IF(B145="","",MONTH(B145))</f>
        <v/>
      </c>
      <c r="N145" s="51" t="str">
        <f aca="false">IF(B145="","",YEAR(B145))</f>
        <v/>
      </c>
      <c r="O145" s="51" t="str">
        <f aca="false">IF(B145="","",C145&amp;"|"&amp;M145&amp;"|"&amp;N145)</f>
        <v/>
      </c>
    </row>
    <row r="146" customFormat="false" ht="15" hidden="false" customHeight="false" outlineLevel="0" collapsed="false">
      <c r="A146" s="73" t="str">
        <f aca="false">IF(B146="","",ROW()-9)</f>
        <v/>
      </c>
      <c r="B146" s="115"/>
      <c r="C146" s="116"/>
      <c r="D146" s="74" t="str">
        <f aca="false">IF(C146="","",IFERROR(INDEX('REGISTRE ELEVES'!$D$10:$D$250,MATCH(C146,'REGISTRE ELEVES'!$B$10:$B$250,0)),"Matricule inconnu"))</f>
        <v/>
      </c>
      <c r="E146" s="73" t="str">
        <f aca="false">IF(C146="","",IFERROR(INDEX('REGISTRE ELEVES'!$F$10:$F$250,MATCH(C146,'REGISTRE ELEVES'!$B$10:$B$250,0)),""))</f>
        <v/>
      </c>
      <c r="F146" s="73" t="str">
        <f aca="false">IF(C146="","",IFERROR(INDEX('REGISTRE ELEVES'!$E$10:$E$250,MATCH(C146,'REGISTRE ELEVES'!$B$10:$B$250,0)),""))</f>
        <v/>
      </c>
      <c r="G146" s="116"/>
      <c r="H146" s="117"/>
      <c r="I146" s="116"/>
      <c r="J146" s="118"/>
      <c r="K146" s="116"/>
      <c r="L146" s="118"/>
      <c r="M146" s="51" t="str">
        <f aca="false">IF(B146="","",MONTH(B146))</f>
        <v/>
      </c>
      <c r="N146" s="51" t="str">
        <f aca="false">IF(B146="","",YEAR(B146))</f>
        <v/>
      </c>
      <c r="O146" s="51" t="str">
        <f aca="false">IF(B146="","",C146&amp;"|"&amp;M146&amp;"|"&amp;N146)</f>
        <v/>
      </c>
    </row>
    <row r="147" customFormat="false" ht="15" hidden="false" customHeight="false" outlineLevel="0" collapsed="false">
      <c r="A147" s="73" t="str">
        <f aca="false">IF(B147="","",ROW()-9)</f>
        <v/>
      </c>
      <c r="B147" s="115"/>
      <c r="C147" s="116"/>
      <c r="D147" s="74" t="str">
        <f aca="false">IF(C147="","",IFERROR(INDEX('REGISTRE ELEVES'!$D$10:$D$250,MATCH(C147,'REGISTRE ELEVES'!$B$10:$B$250,0)),"Matricule inconnu"))</f>
        <v/>
      </c>
      <c r="E147" s="73" t="str">
        <f aca="false">IF(C147="","",IFERROR(INDEX('REGISTRE ELEVES'!$F$10:$F$250,MATCH(C147,'REGISTRE ELEVES'!$B$10:$B$250,0)),""))</f>
        <v/>
      </c>
      <c r="F147" s="73" t="str">
        <f aca="false">IF(C147="","",IFERROR(INDEX('REGISTRE ELEVES'!$E$10:$E$250,MATCH(C147,'REGISTRE ELEVES'!$B$10:$B$250,0)),""))</f>
        <v/>
      </c>
      <c r="G147" s="116"/>
      <c r="H147" s="117"/>
      <c r="I147" s="116"/>
      <c r="J147" s="118"/>
      <c r="K147" s="116"/>
      <c r="L147" s="118"/>
      <c r="M147" s="51" t="str">
        <f aca="false">IF(B147="","",MONTH(B147))</f>
        <v/>
      </c>
      <c r="N147" s="51" t="str">
        <f aca="false">IF(B147="","",YEAR(B147))</f>
        <v/>
      </c>
      <c r="O147" s="51" t="str">
        <f aca="false">IF(B147="","",C147&amp;"|"&amp;M147&amp;"|"&amp;N147)</f>
        <v/>
      </c>
    </row>
    <row r="148" customFormat="false" ht="15" hidden="false" customHeight="false" outlineLevel="0" collapsed="false">
      <c r="A148" s="73" t="str">
        <f aca="false">IF(B148="","",ROW()-9)</f>
        <v/>
      </c>
      <c r="B148" s="115"/>
      <c r="C148" s="116"/>
      <c r="D148" s="74" t="str">
        <f aca="false">IF(C148="","",IFERROR(INDEX('REGISTRE ELEVES'!$D$10:$D$250,MATCH(C148,'REGISTRE ELEVES'!$B$10:$B$250,0)),"Matricule inconnu"))</f>
        <v/>
      </c>
      <c r="E148" s="73" t="str">
        <f aca="false">IF(C148="","",IFERROR(INDEX('REGISTRE ELEVES'!$F$10:$F$250,MATCH(C148,'REGISTRE ELEVES'!$B$10:$B$250,0)),""))</f>
        <v/>
      </c>
      <c r="F148" s="73" t="str">
        <f aca="false">IF(C148="","",IFERROR(INDEX('REGISTRE ELEVES'!$E$10:$E$250,MATCH(C148,'REGISTRE ELEVES'!$B$10:$B$250,0)),""))</f>
        <v/>
      </c>
      <c r="G148" s="116"/>
      <c r="H148" s="117"/>
      <c r="I148" s="116"/>
      <c r="J148" s="118"/>
      <c r="K148" s="116"/>
      <c r="L148" s="118"/>
      <c r="M148" s="51" t="str">
        <f aca="false">IF(B148="","",MONTH(B148))</f>
        <v/>
      </c>
      <c r="N148" s="51" t="str">
        <f aca="false">IF(B148="","",YEAR(B148))</f>
        <v/>
      </c>
      <c r="O148" s="51" t="str">
        <f aca="false">IF(B148="","",C148&amp;"|"&amp;M148&amp;"|"&amp;N148)</f>
        <v/>
      </c>
    </row>
    <row r="149" customFormat="false" ht="15" hidden="false" customHeight="false" outlineLevel="0" collapsed="false">
      <c r="A149" s="73" t="str">
        <f aca="false">IF(B149="","",ROW()-9)</f>
        <v/>
      </c>
      <c r="B149" s="115"/>
      <c r="C149" s="116"/>
      <c r="D149" s="74" t="str">
        <f aca="false">IF(C149="","",IFERROR(INDEX('REGISTRE ELEVES'!$D$10:$D$250,MATCH(C149,'REGISTRE ELEVES'!$B$10:$B$250,0)),"Matricule inconnu"))</f>
        <v/>
      </c>
      <c r="E149" s="73" t="str">
        <f aca="false">IF(C149="","",IFERROR(INDEX('REGISTRE ELEVES'!$F$10:$F$250,MATCH(C149,'REGISTRE ELEVES'!$B$10:$B$250,0)),""))</f>
        <v/>
      </c>
      <c r="F149" s="73" t="str">
        <f aca="false">IF(C149="","",IFERROR(INDEX('REGISTRE ELEVES'!$E$10:$E$250,MATCH(C149,'REGISTRE ELEVES'!$B$10:$B$250,0)),""))</f>
        <v/>
      </c>
      <c r="G149" s="116"/>
      <c r="H149" s="117"/>
      <c r="I149" s="116"/>
      <c r="J149" s="118"/>
      <c r="K149" s="116"/>
      <c r="L149" s="118"/>
      <c r="M149" s="51" t="str">
        <f aca="false">IF(B149="","",MONTH(B149))</f>
        <v/>
      </c>
      <c r="N149" s="51" t="str">
        <f aca="false">IF(B149="","",YEAR(B149))</f>
        <v/>
      </c>
      <c r="O149" s="51" t="str">
        <f aca="false">IF(B149="","",C149&amp;"|"&amp;M149&amp;"|"&amp;N149)</f>
        <v/>
      </c>
    </row>
    <row r="150" customFormat="false" ht="15" hidden="false" customHeight="false" outlineLevel="0" collapsed="false">
      <c r="A150" s="73" t="str">
        <f aca="false">IF(B150="","",ROW()-9)</f>
        <v/>
      </c>
      <c r="B150" s="115"/>
      <c r="C150" s="116"/>
      <c r="D150" s="74" t="str">
        <f aca="false">IF(C150="","",IFERROR(INDEX('REGISTRE ELEVES'!$D$10:$D$250,MATCH(C150,'REGISTRE ELEVES'!$B$10:$B$250,0)),"Matricule inconnu"))</f>
        <v/>
      </c>
      <c r="E150" s="73" t="str">
        <f aca="false">IF(C150="","",IFERROR(INDEX('REGISTRE ELEVES'!$F$10:$F$250,MATCH(C150,'REGISTRE ELEVES'!$B$10:$B$250,0)),""))</f>
        <v/>
      </c>
      <c r="F150" s="73" t="str">
        <f aca="false">IF(C150="","",IFERROR(INDEX('REGISTRE ELEVES'!$E$10:$E$250,MATCH(C150,'REGISTRE ELEVES'!$B$10:$B$250,0)),""))</f>
        <v/>
      </c>
      <c r="G150" s="116"/>
      <c r="H150" s="117"/>
      <c r="I150" s="116"/>
      <c r="J150" s="118"/>
      <c r="K150" s="116"/>
      <c r="L150" s="118"/>
      <c r="M150" s="51" t="str">
        <f aca="false">IF(B150="","",MONTH(B150))</f>
        <v/>
      </c>
      <c r="N150" s="51" t="str">
        <f aca="false">IF(B150="","",YEAR(B150))</f>
        <v/>
      </c>
      <c r="O150" s="51" t="str">
        <f aca="false">IF(B150="","",C150&amp;"|"&amp;M150&amp;"|"&amp;N150)</f>
        <v/>
      </c>
    </row>
    <row r="151" customFormat="false" ht="15" hidden="false" customHeight="false" outlineLevel="0" collapsed="false">
      <c r="A151" s="73" t="str">
        <f aca="false">IF(B151="","",ROW()-9)</f>
        <v/>
      </c>
      <c r="B151" s="115"/>
      <c r="C151" s="116"/>
      <c r="D151" s="74" t="str">
        <f aca="false">IF(C151="","",IFERROR(INDEX('REGISTRE ELEVES'!$D$10:$D$250,MATCH(C151,'REGISTRE ELEVES'!$B$10:$B$250,0)),"Matricule inconnu"))</f>
        <v/>
      </c>
      <c r="E151" s="73" t="str">
        <f aca="false">IF(C151="","",IFERROR(INDEX('REGISTRE ELEVES'!$F$10:$F$250,MATCH(C151,'REGISTRE ELEVES'!$B$10:$B$250,0)),""))</f>
        <v/>
      </c>
      <c r="F151" s="73" t="str">
        <f aca="false">IF(C151="","",IFERROR(INDEX('REGISTRE ELEVES'!$E$10:$E$250,MATCH(C151,'REGISTRE ELEVES'!$B$10:$B$250,0)),""))</f>
        <v/>
      </c>
      <c r="G151" s="116"/>
      <c r="H151" s="117"/>
      <c r="I151" s="116"/>
      <c r="J151" s="118"/>
      <c r="K151" s="116"/>
      <c r="L151" s="118"/>
      <c r="M151" s="51" t="str">
        <f aca="false">IF(B151="","",MONTH(B151))</f>
        <v/>
      </c>
      <c r="N151" s="51" t="str">
        <f aca="false">IF(B151="","",YEAR(B151))</f>
        <v/>
      </c>
      <c r="O151" s="51" t="str">
        <f aca="false">IF(B151="","",C151&amp;"|"&amp;M151&amp;"|"&amp;N151)</f>
        <v/>
      </c>
    </row>
    <row r="152" customFormat="false" ht="15" hidden="false" customHeight="false" outlineLevel="0" collapsed="false">
      <c r="A152" s="73" t="str">
        <f aca="false">IF(B152="","",ROW()-9)</f>
        <v/>
      </c>
      <c r="B152" s="115"/>
      <c r="C152" s="116"/>
      <c r="D152" s="74" t="str">
        <f aca="false">IF(C152="","",IFERROR(INDEX('REGISTRE ELEVES'!$D$10:$D$250,MATCH(C152,'REGISTRE ELEVES'!$B$10:$B$250,0)),"Matricule inconnu"))</f>
        <v/>
      </c>
      <c r="E152" s="73" t="str">
        <f aca="false">IF(C152="","",IFERROR(INDEX('REGISTRE ELEVES'!$F$10:$F$250,MATCH(C152,'REGISTRE ELEVES'!$B$10:$B$250,0)),""))</f>
        <v/>
      </c>
      <c r="F152" s="73" t="str">
        <f aca="false">IF(C152="","",IFERROR(INDEX('REGISTRE ELEVES'!$E$10:$E$250,MATCH(C152,'REGISTRE ELEVES'!$B$10:$B$250,0)),""))</f>
        <v/>
      </c>
      <c r="G152" s="116"/>
      <c r="H152" s="117"/>
      <c r="I152" s="116"/>
      <c r="J152" s="118"/>
      <c r="K152" s="116"/>
      <c r="L152" s="118"/>
      <c r="M152" s="51" t="str">
        <f aca="false">IF(B152="","",MONTH(B152))</f>
        <v/>
      </c>
      <c r="N152" s="51" t="str">
        <f aca="false">IF(B152="","",YEAR(B152))</f>
        <v/>
      </c>
      <c r="O152" s="51" t="str">
        <f aca="false">IF(B152="","",C152&amp;"|"&amp;M152&amp;"|"&amp;N152)</f>
        <v/>
      </c>
    </row>
    <row r="153" customFormat="false" ht="15" hidden="false" customHeight="false" outlineLevel="0" collapsed="false">
      <c r="A153" s="73" t="str">
        <f aca="false">IF(B153="","",ROW()-9)</f>
        <v/>
      </c>
      <c r="B153" s="115"/>
      <c r="C153" s="116"/>
      <c r="D153" s="74" t="str">
        <f aca="false">IF(C153="","",IFERROR(INDEX('REGISTRE ELEVES'!$D$10:$D$250,MATCH(C153,'REGISTRE ELEVES'!$B$10:$B$250,0)),"Matricule inconnu"))</f>
        <v/>
      </c>
      <c r="E153" s="73" t="str">
        <f aca="false">IF(C153="","",IFERROR(INDEX('REGISTRE ELEVES'!$F$10:$F$250,MATCH(C153,'REGISTRE ELEVES'!$B$10:$B$250,0)),""))</f>
        <v/>
      </c>
      <c r="F153" s="73" t="str">
        <f aca="false">IF(C153="","",IFERROR(INDEX('REGISTRE ELEVES'!$E$10:$E$250,MATCH(C153,'REGISTRE ELEVES'!$B$10:$B$250,0)),""))</f>
        <v/>
      </c>
      <c r="G153" s="116"/>
      <c r="H153" s="117"/>
      <c r="I153" s="116"/>
      <c r="J153" s="118"/>
      <c r="K153" s="116"/>
      <c r="L153" s="118"/>
      <c r="M153" s="51" t="str">
        <f aca="false">IF(B153="","",MONTH(B153))</f>
        <v/>
      </c>
      <c r="N153" s="51" t="str">
        <f aca="false">IF(B153="","",YEAR(B153))</f>
        <v/>
      </c>
      <c r="O153" s="51" t="str">
        <f aca="false">IF(B153="","",C153&amp;"|"&amp;M153&amp;"|"&amp;N153)</f>
        <v/>
      </c>
    </row>
    <row r="154" customFormat="false" ht="15" hidden="false" customHeight="false" outlineLevel="0" collapsed="false">
      <c r="A154" s="73" t="str">
        <f aca="false">IF(B154="","",ROW()-9)</f>
        <v/>
      </c>
      <c r="B154" s="115"/>
      <c r="C154" s="116"/>
      <c r="D154" s="74" t="str">
        <f aca="false">IF(C154="","",IFERROR(INDEX('REGISTRE ELEVES'!$D$10:$D$250,MATCH(C154,'REGISTRE ELEVES'!$B$10:$B$250,0)),"Matricule inconnu"))</f>
        <v/>
      </c>
      <c r="E154" s="73" t="str">
        <f aca="false">IF(C154="","",IFERROR(INDEX('REGISTRE ELEVES'!$F$10:$F$250,MATCH(C154,'REGISTRE ELEVES'!$B$10:$B$250,0)),""))</f>
        <v/>
      </c>
      <c r="F154" s="73" t="str">
        <f aca="false">IF(C154="","",IFERROR(INDEX('REGISTRE ELEVES'!$E$10:$E$250,MATCH(C154,'REGISTRE ELEVES'!$B$10:$B$250,0)),""))</f>
        <v/>
      </c>
      <c r="G154" s="116"/>
      <c r="H154" s="117"/>
      <c r="I154" s="116"/>
      <c r="J154" s="118"/>
      <c r="K154" s="116"/>
      <c r="L154" s="118"/>
      <c r="M154" s="51" t="str">
        <f aca="false">IF(B154="","",MONTH(B154))</f>
        <v/>
      </c>
      <c r="N154" s="51" t="str">
        <f aca="false">IF(B154="","",YEAR(B154))</f>
        <v/>
      </c>
      <c r="O154" s="51" t="str">
        <f aca="false">IF(B154="","",C154&amp;"|"&amp;M154&amp;"|"&amp;N154)</f>
        <v/>
      </c>
    </row>
    <row r="155" customFormat="false" ht="15" hidden="false" customHeight="false" outlineLevel="0" collapsed="false">
      <c r="A155" s="73" t="str">
        <f aca="false">IF(B155="","",ROW()-9)</f>
        <v/>
      </c>
      <c r="B155" s="115"/>
      <c r="C155" s="116"/>
      <c r="D155" s="74" t="str">
        <f aca="false">IF(C155="","",IFERROR(INDEX('REGISTRE ELEVES'!$D$10:$D$250,MATCH(C155,'REGISTRE ELEVES'!$B$10:$B$250,0)),"Matricule inconnu"))</f>
        <v/>
      </c>
      <c r="E155" s="73" t="str">
        <f aca="false">IF(C155="","",IFERROR(INDEX('REGISTRE ELEVES'!$F$10:$F$250,MATCH(C155,'REGISTRE ELEVES'!$B$10:$B$250,0)),""))</f>
        <v/>
      </c>
      <c r="F155" s="73" t="str">
        <f aca="false">IF(C155="","",IFERROR(INDEX('REGISTRE ELEVES'!$E$10:$E$250,MATCH(C155,'REGISTRE ELEVES'!$B$10:$B$250,0)),""))</f>
        <v/>
      </c>
      <c r="G155" s="116"/>
      <c r="H155" s="117"/>
      <c r="I155" s="116"/>
      <c r="J155" s="118"/>
      <c r="K155" s="116"/>
      <c r="L155" s="118"/>
      <c r="M155" s="51" t="str">
        <f aca="false">IF(B155="","",MONTH(B155))</f>
        <v/>
      </c>
      <c r="N155" s="51" t="str">
        <f aca="false">IF(B155="","",YEAR(B155))</f>
        <v/>
      </c>
      <c r="O155" s="51" t="str">
        <f aca="false">IF(B155="","",C155&amp;"|"&amp;M155&amp;"|"&amp;N155)</f>
        <v/>
      </c>
    </row>
    <row r="156" customFormat="false" ht="15" hidden="false" customHeight="false" outlineLevel="0" collapsed="false">
      <c r="A156" s="73" t="str">
        <f aca="false">IF(B156="","",ROW()-9)</f>
        <v/>
      </c>
      <c r="B156" s="115"/>
      <c r="C156" s="116"/>
      <c r="D156" s="74" t="str">
        <f aca="false">IF(C156="","",IFERROR(INDEX('REGISTRE ELEVES'!$D$10:$D$250,MATCH(C156,'REGISTRE ELEVES'!$B$10:$B$250,0)),"Matricule inconnu"))</f>
        <v/>
      </c>
      <c r="E156" s="73" t="str">
        <f aca="false">IF(C156="","",IFERROR(INDEX('REGISTRE ELEVES'!$F$10:$F$250,MATCH(C156,'REGISTRE ELEVES'!$B$10:$B$250,0)),""))</f>
        <v/>
      </c>
      <c r="F156" s="73" t="str">
        <f aca="false">IF(C156="","",IFERROR(INDEX('REGISTRE ELEVES'!$E$10:$E$250,MATCH(C156,'REGISTRE ELEVES'!$B$10:$B$250,0)),""))</f>
        <v/>
      </c>
      <c r="G156" s="116"/>
      <c r="H156" s="117"/>
      <c r="I156" s="116"/>
      <c r="J156" s="118"/>
      <c r="K156" s="116"/>
      <c r="L156" s="118"/>
      <c r="M156" s="51" t="str">
        <f aca="false">IF(B156="","",MONTH(B156))</f>
        <v/>
      </c>
      <c r="N156" s="51" t="str">
        <f aca="false">IF(B156="","",YEAR(B156))</f>
        <v/>
      </c>
      <c r="O156" s="51" t="str">
        <f aca="false">IF(B156="","",C156&amp;"|"&amp;M156&amp;"|"&amp;N156)</f>
        <v/>
      </c>
    </row>
    <row r="157" customFormat="false" ht="15" hidden="false" customHeight="false" outlineLevel="0" collapsed="false">
      <c r="A157" s="73" t="str">
        <f aca="false">IF(B157="","",ROW()-9)</f>
        <v/>
      </c>
      <c r="B157" s="115"/>
      <c r="C157" s="116"/>
      <c r="D157" s="74" t="str">
        <f aca="false">IF(C157="","",IFERROR(INDEX('REGISTRE ELEVES'!$D$10:$D$250,MATCH(C157,'REGISTRE ELEVES'!$B$10:$B$250,0)),"Matricule inconnu"))</f>
        <v/>
      </c>
      <c r="E157" s="73" t="str">
        <f aca="false">IF(C157="","",IFERROR(INDEX('REGISTRE ELEVES'!$F$10:$F$250,MATCH(C157,'REGISTRE ELEVES'!$B$10:$B$250,0)),""))</f>
        <v/>
      </c>
      <c r="F157" s="73" t="str">
        <f aca="false">IF(C157="","",IFERROR(INDEX('REGISTRE ELEVES'!$E$10:$E$250,MATCH(C157,'REGISTRE ELEVES'!$B$10:$B$250,0)),""))</f>
        <v/>
      </c>
      <c r="G157" s="116"/>
      <c r="H157" s="117"/>
      <c r="I157" s="116"/>
      <c r="J157" s="118"/>
      <c r="K157" s="116"/>
      <c r="L157" s="118"/>
      <c r="M157" s="51" t="str">
        <f aca="false">IF(B157="","",MONTH(B157))</f>
        <v/>
      </c>
      <c r="N157" s="51" t="str">
        <f aca="false">IF(B157="","",YEAR(B157))</f>
        <v/>
      </c>
      <c r="O157" s="51" t="str">
        <f aca="false">IF(B157="","",C157&amp;"|"&amp;M157&amp;"|"&amp;N157)</f>
        <v/>
      </c>
    </row>
    <row r="158" customFormat="false" ht="15" hidden="false" customHeight="false" outlineLevel="0" collapsed="false">
      <c r="A158" s="73" t="str">
        <f aca="false">IF(B158="","",ROW()-9)</f>
        <v/>
      </c>
      <c r="B158" s="115"/>
      <c r="C158" s="116"/>
      <c r="D158" s="74" t="str">
        <f aca="false">IF(C158="","",IFERROR(INDEX('REGISTRE ELEVES'!$D$10:$D$250,MATCH(C158,'REGISTRE ELEVES'!$B$10:$B$250,0)),"Matricule inconnu"))</f>
        <v/>
      </c>
      <c r="E158" s="73" t="str">
        <f aca="false">IF(C158="","",IFERROR(INDEX('REGISTRE ELEVES'!$F$10:$F$250,MATCH(C158,'REGISTRE ELEVES'!$B$10:$B$250,0)),""))</f>
        <v/>
      </c>
      <c r="F158" s="73" t="str">
        <f aca="false">IF(C158="","",IFERROR(INDEX('REGISTRE ELEVES'!$E$10:$E$250,MATCH(C158,'REGISTRE ELEVES'!$B$10:$B$250,0)),""))</f>
        <v/>
      </c>
      <c r="G158" s="116"/>
      <c r="H158" s="117"/>
      <c r="I158" s="116"/>
      <c r="J158" s="118"/>
      <c r="K158" s="116"/>
      <c r="L158" s="118"/>
      <c r="M158" s="51" t="str">
        <f aca="false">IF(B158="","",MONTH(B158))</f>
        <v/>
      </c>
      <c r="N158" s="51" t="str">
        <f aca="false">IF(B158="","",YEAR(B158))</f>
        <v/>
      </c>
      <c r="O158" s="51" t="str">
        <f aca="false">IF(B158="","",C158&amp;"|"&amp;M158&amp;"|"&amp;N158)</f>
        <v/>
      </c>
    </row>
    <row r="159" customFormat="false" ht="15" hidden="false" customHeight="false" outlineLevel="0" collapsed="false">
      <c r="A159" s="73" t="str">
        <f aca="false">IF(B159="","",ROW()-9)</f>
        <v/>
      </c>
      <c r="B159" s="115"/>
      <c r="C159" s="116"/>
      <c r="D159" s="74" t="str">
        <f aca="false">IF(C159="","",IFERROR(INDEX('REGISTRE ELEVES'!$D$10:$D$250,MATCH(C159,'REGISTRE ELEVES'!$B$10:$B$250,0)),"Matricule inconnu"))</f>
        <v/>
      </c>
      <c r="E159" s="73" t="str">
        <f aca="false">IF(C159="","",IFERROR(INDEX('REGISTRE ELEVES'!$F$10:$F$250,MATCH(C159,'REGISTRE ELEVES'!$B$10:$B$250,0)),""))</f>
        <v/>
      </c>
      <c r="F159" s="73" t="str">
        <f aca="false">IF(C159="","",IFERROR(INDEX('REGISTRE ELEVES'!$E$10:$E$250,MATCH(C159,'REGISTRE ELEVES'!$B$10:$B$250,0)),""))</f>
        <v/>
      </c>
      <c r="G159" s="116"/>
      <c r="H159" s="117"/>
      <c r="I159" s="116"/>
      <c r="J159" s="118"/>
      <c r="K159" s="116"/>
      <c r="L159" s="118"/>
      <c r="M159" s="51" t="str">
        <f aca="false">IF(B159="","",MONTH(B159))</f>
        <v/>
      </c>
      <c r="N159" s="51" t="str">
        <f aca="false">IF(B159="","",YEAR(B159))</f>
        <v/>
      </c>
      <c r="O159" s="51" t="str">
        <f aca="false">IF(B159="","",C159&amp;"|"&amp;M159&amp;"|"&amp;N159)</f>
        <v/>
      </c>
    </row>
    <row r="160" customFormat="false" ht="15" hidden="false" customHeight="false" outlineLevel="0" collapsed="false">
      <c r="A160" s="73" t="str">
        <f aca="false">IF(B160="","",ROW()-9)</f>
        <v/>
      </c>
      <c r="B160" s="115"/>
      <c r="C160" s="116"/>
      <c r="D160" s="74" t="str">
        <f aca="false">IF(C160="","",IFERROR(INDEX('REGISTRE ELEVES'!$D$10:$D$250,MATCH(C160,'REGISTRE ELEVES'!$B$10:$B$250,0)),"Matricule inconnu"))</f>
        <v/>
      </c>
      <c r="E160" s="73" t="str">
        <f aca="false">IF(C160="","",IFERROR(INDEX('REGISTRE ELEVES'!$F$10:$F$250,MATCH(C160,'REGISTRE ELEVES'!$B$10:$B$250,0)),""))</f>
        <v/>
      </c>
      <c r="F160" s="73" t="str">
        <f aca="false">IF(C160="","",IFERROR(INDEX('REGISTRE ELEVES'!$E$10:$E$250,MATCH(C160,'REGISTRE ELEVES'!$B$10:$B$250,0)),""))</f>
        <v/>
      </c>
      <c r="G160" s="116"/>
      <c r="H160" s="117"/>
      <c r="I160" s="116"/>
      <c r="J160" s="118"/>
      <c r="K160" s="116"/>
      <c r="L160" s="118"/>
      <c r="M160" s="51" t="str">
        <f aca="false">IF(B160="","",MONTH(B160))</f>
        <v/>
      </c>
      <c r="N160" s="51" t="str">
        <f aca="false">IF(B160="","",YEAR(B160))</f>
        <v/>
      </c>
      <c r="O160" s="51" t="str">
        <f aca="false">IF(B160="","",C160&amp;"|"&amp;M160&amp;"|"&amp;N160)</f>
        <v/>
      </c>
    </row>
    <row r="161" customFormat="false" ht="15" hidden="false" customHeight="false" outlineLevel="0" collapsed="false">
      <c r="A161" s="73" t="str">
        <f aca="false">IF(B161="","",ROW()-9)</f>
        <v/>
      </c>
      <c r="B161" s="115"/>
      <c r="C161" s="116"/>
      <c r="D161" s="74" t="str">
        <f aca="false">IF(C161="","",IFERROR(INDEX('REGISTRE ELEVES'!$D$10:$D$250,MATCH(C161,'REGISTRE ELEVES'!$B$10:$B$250,0)),"Matricule inconnu"))</f>
        <v/>
      </c>
      <c r="E161" s="73" t="str">
        <f aca="false">IF(C161="","",IFERROR(INDEX('REGISTRE ELEVES'!$F$10:$F$250,MATCH(C161,'REGISTRE ELEVES'!$B$10:$B$250,0)),""))</f>
        <v/>
      </c>
      <c r="F161" s="73" t="str">
        <f aca="false">IF(C161="","",IFERROR(INDEX('REGISTRE ELEVES'!$E$10:$E$250,MATCH(C161,'REGISTRE ELEVES'!$B$10:$B$250,0)),""))</f>
        <v/>
      </c>
      <c r="G161" s="116"/>
      <c r="H161" s="117"/>
      <c r="I161" s="116"/>
      <c r="J161" s="118"/>
      <c r="K161" s="116"/>
      <c r="L161" s="118"/>
      <c r="M161" s="51" t="str">
        <f aca="false">IF(B161="","",MONTH(B161))</f>
        <v/>
      </c>
      <c r="N161" s="51" t="str">
        <f aca="false">IF(B161="","",YEAR(B161))</f>
        <v/>
      </c>
      <c r="O161" s="51" t="str">
        <f aca="false">IF(B161="","",C161&amp;"|"&amp;M161&amp;"|"&amp;N161)</f>
        <v/>
      </c>
    </row>
    <row r="162" customFormat="false" ht="15" hidden="false" customHeight="false" outlineLevel="0" collapsed="false">
      <c r="A162" s="73" t="str">
        <f aca="false">IF(B162="","",ROW()-9)</f>
        <v/>
      </c>
      <c r="B162" s="115"/>
      <c r="C162" s="116"/>
      <c r="D162" s="74" t="str">
        <f aca="false">IF(C162="","",IFERROR(INDEX('REGISTRE ELEVES'!$D$10:$D$250,MATCH(C162,'REGISTRE ELEVES'!$B$10:$B$250,0)),"Matricule inconnu"))</f>
        <v/>
      </c>
      <c r="E162" s="73" t="str">
        <f aca="false">IF(C162="","",IFERROR(INDEX('REGISTRE ELEVES'!$F$10:$F$250,MATCH(C162,'REGISTRE ELEVES'!$B$10:$B$250,0)),""))</f>
        <v/>
      </c>
      <c r="F162" s="73" t="str">
        <f aca="false">IF(C162="","",IFERROR(INDEX('REGISTRE ELEVES'!$E$10:$E$250,MATCH(C162,'REGISTRE ELEVES'!$B$10:$B$250,0)),""))</f>
        <v/>
      </c>
      <c r="G162" s="116"/>
      <c r="H162" s="117"/>
      <c r="I162" s="116"/>
      <c r="J162" s="118"/>
      <c r="K162" s="116"/>
      <c r="L162" s="118"/>
      <c r="M162" s="51" t="str">
        <f aca="false">IF(B162="","",MONTH(B162))</f>
        <v/>
      </c>
      <c r="N162" s="51" t="str">
        <f aca="false">IF(B162="","",YEAR(B162))</f>
        <v/>
      </c>
      <c r="O162" s="51" t="str">
        <f aca="false">IF(B162="","",C162&amp;"|"&amp;M162&amp;"|"&amp;N162)</f>
        <v/>
      </c>
    </row>
    <row r="163" customFormat="false" ht="15" hidden="false" customHeight="false" outlineLevel="0" collapsed="false">
      <c r="A163" s="73" t="str">
        <f aca="false">IF(B163="","",ROW()-9)</f>
        <v/>
      </c>
      <c r="B163" s="115"/>
      <c r="C163" s="116"/>
      <c r="D163" s="74" t="str">
        <f aca="false">IF(C163="","",IFERROR(INDEX('REGISTRE ELEVES'!$D$10:$D$250,MATCH(C163,'REGISTRE ELEVES'!$B$10:$B$250,0)),"Matricule inconnu"))</f>
        <v/>
      </c>
      <c r="E163" s="73" t="str">
        <f aca="false">IF(C163="","",IFERROR(INDEX('REGISTRE ELEVES'!$F$10:$F$250,MATCH(C163,'REGISTRE ELEVES'!$B$10:$B$250,0)),""))</f>
        <v/>
      </c>
      <c r="F163" s="73" t="str">
        <f aca="false">IF(C163="","",IFERROR(INDEX('REGISTRE ELEVES'!$E$10:$E$250,MATCH(C163,'REGISTRE ELEVES'!$B$10:$B$250,0)),""))</f>
        <v/>
      </c>
      <c r="G163" s="116"/>
      <c r="H163" s="117"/>
      <c r="I163" s="116"/>
      <c r="J163" s="118"/>
      <c r="K163" s="116"/>
      <c r="L163" s="118"/>
      <c r="M163" s="51" t="str">
        <f aca="false">IF(B163="","",MONTH(B163))</f>
        <v/>
      </c>
      <c r="N163" s="51" t="str">
        <f aca="false">IF(B163="","",YEAR(B163))</f>
        <v/>
      </c>
      <c r="O163" s="51" t="str">
        <f aca="false">IF(B163="","",C163&amp;"|"&amp;M163&amp;"|"&amp;N163)</f>
        <v/>
      </c>
    </row>
    <row r="164" customFormat="false" ht="15" hidden="false" customHeight="false" outlineLevel="0" collapsed="false">
      <c r="A164" s="73" t="str">
        <f aca="false">IF(B164="","",ROW()-9)</f>
        <v/>
      </c>
      <c r="B164" s="115"/>
      <c r="C164" s="116"/>
      <c r="D164" s="74" t="str">
        <f aca="false">IF(C164="","",IFERROR(INDEX('REGISTRE ELEVES'!$D$10:$D$250,MATCH(C164,'REGISTRE ELEVES'!$B$10:$B$250,0)),"Matricule inconnu"))</f>
        <v/>
      </c>
      <c r="E164" s="73" t="str">
        <f aca="false">IF(C164="","",IFERROR(INDEX('REGISTRE ELEVES'!$F$10:$F$250,MATCH(C164,'REGISTRE ELEVES'!$B$10:$B$250,0)),""))</f>
        <v/>
      </c>
      <c r="F164" s="73" t="str">
        <f aca="false">IF(C164="","",IFERROR(INDEX('REGISTRE ELEVES'!$E$10:$E$250,MATCH(C164,'REGISTRE ELEVES'!$B$10:$B$250,0)),""))</f>
        <v/>
      </c>
      <c r="G164" s="116"/>
      <c r="H164" s="117"/>
      <c r="I164" s="116"/>
      <c r="J164" s="118"/>
      <c r="K164" s="116"/>
      <c r="L164" s="118"/>
      <c r="M164" s="51" t="str">
        <f aca="false">IF(B164="","",MONTH(B164))</f>
        <v/>
      </c>
      <c r="N164" s="51" t="str">
        <f aca="false">IF(B164="","",YEAR(B164))</f>
        <v/>
      </c>
      <c r="O164" s="51" t="str">
        <f aca="false">IF(B164="","",C164&amp;"|"&amp;M164&amp;"|"&amp;N164)</f>
        <v/>
      </c>
    </row>
    <row r="165" customFormat="false" ht="15" hidden="false" customHeight="false" outlineLevel="0" collapsed="false">
      <c r="A165" s="73" t="str">
        <f aca="false">IF(B165="","",ROW()-9)</f>
        <v/>
      </c>
      <c r="B165" s="115"/>
      <c r="C165" s="116"/>
      <c r="D165" s="74" t="str">
        <f aca="false">IF(C165="","",IFERROR(INDEX('REGISTRE ELEVES'!$D$10:$D$250,MATCH(C165,'REGISTRE ELEVES'!$B$10:$B$250,0)),"Matricule inconnu"))</f>
        <v/>
      </c>
      <c r="E165" s="73" t="str">
        <f aca="false">IF(C165="","",IFERROR(INDEX('REGISTRE ELEVES'!$F$10:$F$250,MATCH(C165,'REGISTRE ELEVES'!$B$10:$B$250,0)),""))</f>
        <v/>
      </c>
      <c r="F165" s="73" t="str">
        <f aca="false">IF(C165="","",IFERROR(INDEX('REGISTRE ELEVES'!$E$10:$E$250,MATCH(C165,'REGISTRE ELEVES'!$B$10:$B$250,0)),""))</f>
        <v/>
      </c>
      <c r="G165" s="116"/>
      <c r="H165" s="117"/>
      <c r="I165" s="116"/>
      <c r="J165" s="118"/>
      <c r="K165" s="116"/>
      <c r="L165" s="118"/>
      <c r="M165" s="51" t="str">
        <f aca="false">IF(B165="","",MONTH(B165))</f>
        <v/>
      </c>
      <c r="N165" s="51" t="str">
        <f aca="false">IF(B165="","",YEAR(B165))</f>
        <v/>
      </c>
      <c r="O165" s="51" t="str">
        <f aca="false">IF(B165="","",C165&amp;"|"&amp;M165&amp;"|"&amp;N165)</f>
        <v/>
      </c>
    </row>
    <row r="166" customFormat="false" ht="15" hidden="false" customHeight="false" outlineLevel="0" collapsed="false">
      <c r="A166" s="73" t="str">
        <f aca="false">IF(B166="","",ROW()-9)</f>
        <v/>
      </c>
      <c r="B166" s="115"/>
      <c r="C166" s="116"/>
      <c r="D166" s="74" t="str">
        <f aca="false">IF(C166="","",IFERROR(INDEX('REGISTRE ELEVES'!$D$10:$D$250,MATCH(C166,'REGISTRE ELEVES'!$B$10:$B$250,0)),"Matricule inconnu"))</f>
        <v/>
      </c>
      <c r="E166" s="73" t="str">
        <f aca="false">IF(C166="","",IFERROR(INDEX('REGISTRE ELEVES'!$F$10:$F$250,MATCH(C166,'REGISTRE ELEVES'!$B$10:$B$250,0)),""))</f>
        <v/>
      </c>
      <c r="F166" s="73" t="str">
        <f aca="false">IF(C166="","",IFERROR(INDEX('REGISTRE ELEVES'!$E$10:$E$250,MATCH(C166,'REGISTRE ELEVES'!$B$10:$B$250,0)),""))</f>
        <v/>
      </c>
      <c r="G166" s="116"/>
      <c r="H166" s="117"/>
      <c r="I166" s="116"/>
      <c r="J166" s="118"/>
      <c r="K166" s="116"/>
      <c r="L166" s="118"/>
      <c r="M166" s="51" t="str">
        <f aca="false">IF(B166="","",MONTH(B166))</f>
        <v/>
      </c>
      <c r="N166" s="51" t="str">
        <f aca="false">IF(B166="","",YEAR(B166))</f>
        <v/>
      </c>
      <c r="O166" s="51" t="str">
        <f aca="false">IF(B166="","",C166&amp;"|"&amp;M166&amp;"|"&amp;N166)</f>
        <v/>
      </c>
    </row>
    <row r="167" customFormat="false" ht="15" hidden="false" customHeight="false" outlineLevel="0" collapsed="false">
      <c r="A167" s="73" t="str">
        <f aca="false">IF(B167="","",ROW()-9)</f>
        <v/>
      </c>
      <c r="B167" s="115"/>
      <c r="C167" s="116"/>
      <c r="D167" s="74" t="str">
        <f aca="false">IF(C167="","",IFERROR(INDEX('REGISTRE ELEVES'!$D$10:$D$250,MATCH(C167,'REGISTRE ELEVES'!$B$10:$B$250,0)),"Matricule inconnu"))</f>
        <v/>
      </c>
      <c r="E167" s="73" t="str">
        <f aca="false">IF(C167="","",IFERROR(INDEX('REGISTRE ELEVES'!$F$10:$F$250,MATCH(C167,'REGISTRE ELEVES'!$B$10:$B$250,0)),""))</f>
        <v/>
      </c>
      <c r="F167" s="73" t="str">
        <f aca="false">IF(C167="","",IFERROR(INDEX('REGISTRE ELEVES'!$E$10:$E$250,MATCH(C167,'REGISTRE ELEVES'!$B$10:$B$250,0)),""))</f>
        <v/>
      </c>
      <c r="G167" s="116"/>
      <c r="H167" s="117"/>
      <c r="I167" s="116"/>
      <c r="J167" s="118"/>
      <c r="K167" s="116"/>
      <c r="L167" s="118"/>
      <c r="M167" s="51" t="str">
        <f aca="false">IF(B167="","",MONTH(B167))</f>
        <v/>
      </c>
      <c r="N167" s="51" t="str">
        <f aca="false">IF(B167="","",YEAR(B167))</f>
        <v/>
      </c>
      <c r="O167" s="51" t="str">
        <f aca="false">IF(B167="","",C167&amp;"|"&amp;M167&amp;"|"&amp;N167)</f>
        <v/>
      </c>
    </row>
    <row r="168" customFormat="false" ht="15" hidden="false" customHeight="false" outlineLevel="0" collapsed="false">
      <c r="A168" s="73" t="str">
        <f aca="false">IF(B168="","",ROW()-9)</f>
        <v/>
      </c>
      <c r="B168" s="115"/>
      <c r="C168" s="116"/>
      <c r="D168" s="74" t="str">
        <f aca="false">IF(C168="","",IFERROR(INDEX('REGISTRE ELEVES'!$D$10:$D$250,MATCH(C168,'REGISTRE ELEVES'!$B$10:$B$250,0)),"Matricule inconnu"))</f>
        <v/>
      </c>
      <c r="E168" s="73" t="str">
        <f aca="false">IF(C168="","",IFERROR(INDEX('REGISTRE ELEVES'!$F$10:$F$250,MATCH(C168,'REGISTRE ELEVES'!$B$10:$B$250,0)),""))</f>
        <v/>
      </c>
      <c r="F168" s="73" t="str">
        <f aca="false">IF(C168="","",IFERROR(INDEX('REGISTRE ELEVES'!$E$10:$E$250,MATCH(C168,'REGISTRE ELEVES'!$B$10:$B$250,0)),""))</f>
        <v/>
      </c>
      <c r="G168" s="116"/>
      <c r="H168" s="117"/>
      <c r="I168" s="116"/>
      <c r="J168" s="118"/>
      <c r="K168" s="116"/>
      <c r="L168" s="118"/>
      <c r="M168" s="51" t="str">
        <f aca="false">IF(B168="","",MONTH(B168))</f>
        <v/>
      </c>
      <c r="N168" s="51" t="str">
        <f aca="false">IF(B168="","",YEAR(B168))</f>
        <v/>
      </c>
      <c r="O168" s="51" t="str">
        <f aca="false">IF(B168="","",C168&amp;"|"&amp;M168&amp;"|"&amp;N168)</f>
        <v/>
      </c>
    </row>
    <row r="169" customFormat="false" ht="15" hidden="false" customHeight="false" outlineLevel="0" collapsed="false">
      <c r="A169" s="73" t="str">
        <f aca="false">IF(B169="","",ROW()-9)</f>
        <v/>
      </c>
      <c r="B169" s="115"/>
      <c r="C169" s="116"/>
      <c r="D169" s="74" t="str">
        <f aca="false">IF(C169="","",IFERROR(INDEX('REGISTRE ELEVES'!$D$10:$D$250,MATCH(C169,'REGISTRE ELEVES'!$B$10:$B$250,0)),"Matricule inconnu"))</f>
        <v/>
      </c>
      <c r="E169" s="73" t="str">
        <f aca="false">IF(C169="","",IFERROR(INDEX('REGISTRE ELEVES'!$F$10:$F$250,MATCH(C169,'REGISTRE ELEVES'!$B$10:$B$250,0)),""))</f>
        <v/>
      </c>
      <c r="F169" s="73" t="str">
        <f aca="false">IF(C169="","",IFERROR(INDEX('REGISTRE ELEVES'!$E$10:$E$250,MATCH(C169,'REGISTRE ELEVES'!$B$10:$B$250,0)),""))</f>
        <v/>
      </c>
      <c r="G169" s="116"/>
      <c r="H169" s="117"/>
      <c r="I169" s="116"/>
      <c r="J169" s="118"/>
      <c r="K169" s="116"/>
      <c r="L169" s="118"/>
      <c r="M169" s="51" t="str">
        <f aca="false">IF(B169="","",MONTH(B169))</f>
        <v/>
      </c>
      <c r="N169" s="51" t="str">
        <f aca="false">IF(B169="","",YEAR(B169))</f>
        <v/>
      </c>
      <c r="O169" s="51" t="str">
        <f aca="false">IF(B169="","",C169&amp;"|"&amp;M169&amp;"|"&amp;N169)</f>
        <v/>
      </c>
    </row>
    <row r="170" customFormat="false" ht="15" hidden="false" customHeight="false" outlineLevel="0" collapsed="false">
      <c r="A170" s="73" t="str">
        <f aca="false">IF(B170="","",ROW()-9)</f>
        <v/>
      </c>
      <c r="B170" s="115"/>
      <c r="C170" s="116"/>
      <c r="D170" s="74" t="str">
        <f aca="false">IF(C170="","",IFERROR(INDEX('REGISTRE ELEVES'!$D$10:$D$250,MATCH(C170,'REGISTRE ELEVES'!$B$10:$B$250,0)),"Matricule inconnu"))</f>
        <v/>
      </c>
      <c r="E170" s="73" t="str">
        <f aca="false">IF(C170="","",IFERROR(INDEX('REGISTRE ELEVES'!$F$10:$F$250,MATCH(C170,'REGISTRE ELEVES'!$B$10:$B$250,0)),""))</f>
        <v/>
      </c>
      <c r="F170" s="73" t="str">
        <f aca="false">IF(C170="","",IFERROR(INDEX('REGISTRE ELEVES'!$E$10:$E$250,MATCH(C170,'REGISTRE ELEVES'!$B$10:$B$250,0)),""))</f>
        <v/>
      </c>
      <c r="G170" s="116"/>
      <c r="H170" s="117"/>
      <c r="I170" s="116"/>
      <c r="J170" s="118"/>
      <c r="K170" s="116"/>
      <c r="L170" s="118"/>
      <c r="M170" s="51" t="str">
        <f aca="false">IF(B170="","",MONTH(B170))</f>
        <v/>
      </c>
      <c r="N170" s="51" t="str">
        <f aca="false">IF(B170="","",YEAR(B170))</f>
        <v/>
      </c>
      <c r="O170" s="51" t="str">
        <f aca="false">IF(B170="","",C170&amp;"|"&amp;M170&amp;"|"&amp;N170)</f>
        <v/>
      </c>
    </row>
    <row r="171" customFormat="false" ht="15" hidden="false" customHeight="false" outlineLevel="0" collapsed="false">
      <c r="A171" s="73" t="str">
        <f aca="false">IF(B171="","",ROW()-9)</f>
        <v/>
      </c>
      <c r="B171" s="115"/>
      <c r="C171" s="116"/>
      <c r="D171" s="74" t="str">
        <f aca="false">IF(C171="","",IFERROR(INDEX('REGISTRE ELEVES'!$D$10:$D$250,MATCH(C171,'REGISTRE ELEVES'!$B$10:$B$250,0)),"Matricule inconnu"))</f>
        <v/>
      </c>
      <c r="E171" s="73" t="str">
        <f aca="false">IF(C171="","",IFERROR(INDEX('REGISTRE ELEVES'!$F$10:$F$250,MATCH(C171,'REGISTRE ELEVES'!$B$10:$B$250,0)),""))</f>
        <v/>
      </c>
      <c r="F171" s="73" t="str">
        <f aca="false">IF(C171="","",IFERROR(INDEX('REGISTRE ELEVES'!$E$10:$E$250,MATCH(C171,'REGISTRE ELEVES'!$B$10:$B$250,0)),""))</f>
        <v/>
      </c>
      <c r="G171" s="116"/>
      <c r="H171" s="117"/>
      <c r="I171" s="116"/>
      <c r="J171" s="118"/>
      <c r="K171" s="116"/>
      <c r="L171" s="118"/>
      <c r="M171" s="51" t="str">
        <f aca="false">IF(B171="","",MONTH(B171))</f>
        <v/>
      </c>
      <c r="N171" s="51" t="str">
        <f aca="false">IF(B171="","",YEAR(B171))</f>
        <v/>
      </c>
      <c r="O171" s="51" t="str">
        <f aca="false">IF(B171="","",C171&amp;"|"&amp;M171&amp;"|"&amp;N171)</f>
        <v/>
      </c>
    </row>
    <row r="172" customFormat="false" ht="15" hidden="false" customHeight="false" outlineLevel="0" collapsed="false">
      <c r="A172" s="73" t="str">
        <f aca="false">IF(B172="","",ROW()-9)</f>
        <v/>
      </c>
      <c r="B172" s="115"/>
      <c r="C172" s="116"/>
      <c r="D172" s="74" t="str">
        <f aca="false">IF(C172="","",IFERROR(INDEX('REGISTRE ELEVES'!$D$10:$D$250,MATCH(C172,'REGISTRE ELEVES'!$B$10:$B$250,0)),"Matricule inconnu"))</f>
        <v/>
      </c>
      <c r="E172" s="73" t="str">
        <f aca="false">IF(C172="","",IFERROR(INDEX('REGISTRE ELEVES'!$F$10:$F$250,MATCH(C172,'REGISTRE ELEVES'!$B$10:$B$250,0)),""))</f>
        <v/>
      </c>
      <c r="F172" s="73" t="str">
        <f aca="false">IF(C172="","",IFERROR(INDEX('REGISTRE ELEVES'!$E$10:$E$250,MATCH(C172,'REGISTRE ELEVES'!$B$10:$B$250,0)),""))</f>
        <v/>
      </c>
      <c r="G172" s="116"/>
      <c r="H172" s="117"/>
      <c r="I172" s="116"/>
      <c r="J172" s="118"/>
      <c r="K172" s="116"/>
      <c r="L172" s="118"/>
      <c r="M172" s="51" t="str">
        <f aca="false">IF(B172="","",MONTH(B172))</f>
        <v/>
      </c>
      <c r="N172" s="51" t="str">
        <f aca="false">IF(B172="","",YEAR(B172))</f>
        <v/>
      </c>
      <c r="O172" s="51" t="str">
        <f aca="false">IF(B172="","",C172&amp;"|"&amp;M172&amp;"|"&amp;N172)</f>
        <v/>
      </c>
    </row>
    <row r="173" customFormat="false" ht="15" hidden="false" customHeight="false" outlineLevel="0" collapsed="false">
      <c r="A173" s="73" t="str">
        <f aca="false">IF(B173="","",ROW()-9)</f>
        <v/>
      </c>
      <c r="B173" s="115"/>
      <c r="C173" s="116"/>
      <c r="D173" s="74" t="str">
        <f aca="false">IF(C173="","",IFERROR(INDEX('REGISTRE ELEVES'!$D$10:$D$250,MATCH(C173,'REGISTRE ELEVES'!$B$10:$B$250,0)),"Matricule inconnu"))</f>
        <v/>
      </c>
      <c r="E173" s="73" t="str">
        <f aca="false">IF(C173="","",IFERROR(INDEX('REGISTRE ELEVES'!$F$10:$F$250,MATCH(C173,'REGISTRE ELEVES'!$B$10:$B$250,0)),""))</f>
        <v/>
      </c>
      <c r="F173" s="73" t="str">
        <f aca="false">IF(C173="","",IFERROR(INDEX('REGISTRE ELEVES'!$E$10:$E$250,MATCH(C173,'REGISTRE ELEVES'!$B$10:$B$250,0)),""))</f>
        <v/>
      </c>
      <c r="G173" s="116"/>
      <c r="H173" s="117"/>
      <c r="I173" s="116"/>
      <c r="J173" s="118"/>
      <c r="K173" s="116"/>
      <c r="L173" s="118"/>
      <c r="M173" s="51" t="str">
        <f aca="false">IF(B173="","",MONTH(B173))</f>
        <v/>
      </c>
      <c r="N173" s="51" t="str">
        <f aca="false">IF(B173="","",YEAR(B173))</f>
        <v/>
      </c>
      <c r="O173" s="51" t="str">
        <f aca="false">IF(B173="","",C173&amp;"|"&amp;M173&amp;"|"&amp;N173)</f>
        <v/>
      </c>
    </row>
    <row r="174" customFormat="false" ht="15" hidden="false" customHeight="false" outlineLevel="0" collapsed="false">
      <c r="A174" s="73" t="str">
        <f aca="false">IF(B174="","",ROW()-9)</f>
        <v/>
      </c>
      <c r="B174" s="115"/>
      <c r="C174" s="116"/>
      <c r="D174" s="74" t="str">
        <f aca="false">IF(C174="","",IFERROR(INDEX('REGISTRE ELEVES'!$D$10:$D$250,MATCH(C174,'REGISTRE ELEVES'!$B$10:$B$250,0)),"Matricule inconnu"))</f>
        <v/>
      </c>
      <c r="E174" s="73" t="str">
        <f aca="false">IF(C174="","",IFERROR(INDEX('REGISTRE ELEVES'!$F$10:$F$250,MATCH(C174,'REGISTRE ELEVES'!$B$10:$B$250,0)),""))</f>
        <v/>
      </c>
      <c r="F174" s="73" t="str">
        <f aca="false">IF(C174="","",IFERROR(INDEX('REGISTRE ELEVES'!$E$10:$E$250,MATCH(C174,'REGISTRE ELEVES'!$B$10:$B$250,0)),""))</f>
        <v/>
      </c>
      <c r="G174" s="116"/>
      <c r="H174" s="117"/>
      <c r="I174" s="116"/>
      <c r="J174" s="118"/>
      <c r="K174" s="116"/>
      <c r="L174" s="118"/>
      <c r="M174" s="51" t="str">
        <f aca="false">IF(B174="","",MONTH(B174))</f>
        <v/>
      </c>
      <c r="N174" s="51" t="str">
        <f aca="false">IF(B174="","",YEAR(B174))</f>
        <v/>
      </c>
      <c r="O174" s="51" t="str">
        <f aca="false">IF(B174="","",C174&amp;"|"&amp;M174&amp;"|"&amp;N174)</f>
        <v/>
      </c>
    </row>
    <row r="175" customFormat="false" ht="15" hidden="false" customHeight="false" outlineLevel="0" collapsed="false">
      <c r="A175" s="73" t="str">
        <f aca="false">IF(B175="","",ROW()-9)</f>
        <v/>
      </c>
      <c r="B175" s="115"/>
      <c r="C175" s="116"/>
      <c r="D175" s="74" t="str">
        <f aca="false">IF(C175="","",IFERROR(INDEX('REGISTRE ELEVES'!$D$10:$D$250,MATCH(C175,'REGISTRE ELEVES'!$B$10:$B$250,0)),"Matricule inconnu"))</f>
        <v/>
      </c>
      <c r="E175" s="73" t="str">
        <f aca="false">IF(C175="","",IFERROR(INDEX('REGISTRE ELEVES'!$F$10:$F$250,MATCH(C175,'REGISTRE ELEVES'!$B$10:$B$250,0)),""))</f>
        <v/>
      </c>
      <c r="F175" s="73" t="str">
        <f aca="false">IF(C175="","",IFERROR(INDEX('REGISTRE ELEVES'!$E$10:$E$250,MATCH(C175,'REGISTRE ELEVES'!$B$10:$B$250,0)),""))</f>
        <v/>
      </c>
      <c r="G175" s="116"/>
      <c r="H175" s="117"/>
      <c r="I175" s="116"/>
      <c r="J175" s="118"/>
      <c r="K175" s="116"/>
      <c r="L175" s="118"/>
      <c r="M175" s="51" t="str">
        <f aca="false">IF(B175="","",MONTH(B175))</f>
        <v/>
      </c>
      <c r="N175" s="51" t="str">
        <f aca="false">IF(B175="","",YEAR(B175))</f>
        <v/>
      </c>
      <c r="O175" s="51" t="str">
        <f aca="false">IF(B175="","",C175&amp;"|"&amp;M175&amp;"|"&amp;N175)</f>
        <v/>
      </c>
    </row>
    <row r="176" customFormat="false" ht="15" hidden="false" customHeight="false" outlineLevel="0" collapsed="false">
      <c r="A176" s="73" t="str">
        <f aca="false">IF(B176="","",ROW()-9)</f>
        <v/>
      </c>
      <c r="B176" s="115"/>
      <c r="C176" s="116"/>
      <c r="D176" s="74" t="str">
        <f aca="false">IF(C176="","",IFERROR(INDEX('REGISTRE ELEVES'!$D$10:$D$250,MATCH(C176,'REGISTRE ELEVES'!$B$10:$B$250,0)),"Matricule inconnu"))</f>
        <v/>
      </c>
      <c r="E176" s="73" t="str">
        <f aca="false">IF(C176="","",IFERROR(INDEX('REGISTRE ELEVES'!$F$10:$F$250,MATCH(C176,'REGISTRE ELEVES'!$B$10:$B$250,0)),""))</f>
        <v/>
      </c>
      <c r="F176" s="73" t="str">
        <f aca="false">IF(C176="","",IFERROR(INDEX('REGISTRE ELEVES'!$E$10:$E$250,MATCH(C176,'REGISTRE ELEVES'!$B$10:$B$250,0)),""))</f>
        <v/>
      </c>
      <c r="G176" s="116"/>
      <c r="H176" s="117"/>
      <c r="I176" s="116"/>
      <c r="J176" s="118"/>
      <c r="K176" s="116"/>
      <c r="L176" s="118"/>
      <c r="M176" s="51" t="str">
        <f aca="false">IF(B176="","",MONTH(B176))</f>
        <v/>
      </c>
      <c r="N176" s="51" t="str">
        <f aca="false">IF(B176="","",YEAR(B176))</f>
        <v/>
      </c>
      <c r="O176" s="51" t="str">
        <f aca="false">IF(B176="","",C176&amp;"|"&amp;M176&amp;"|"&amp;N176)</f>
        <v/>
      </c>
    </row>
    <row r="177" customFormat="false" ht="15" hidden="false" customHeight="false" outlineLevel="0" collapsed="false">
      <c r="A177" s="73" t="str">
        <f aca="false">IF(B177="","",ROW()-9)</f>
        <v/>
      </c>
      <c r="B177" s="115"/>
      <c r="C177" s="116"/>
      <c r="D177" s="74" t="str">
        <f aca="false">IF(C177="","",IFERROR(INDEX('REGISTRE ELEVES'!$D$10:$D$250,MATCH(C177,'REGISTRE ELEVES'!$B$10:$B$250,0)),"Matricule inconnu"))</f>
        <v/>
      </c>
      <c r="E177" s="73" t="str">
        <f aca="false">IF(C177="","",IFERROR(INDEX('REGISTRE ELEVES'!$F$10:$F$250,MATCH(C177,'REGISTRE ELEVES'!$B$10:$B$250,0)),""))</f>
        <v/>
      </c>
      <c r="F177" s="73" t="str">
        <f aca="false">IF(C177="","",IFERROR(INDEX('REGISTRE ELEVES'!$E$10:$E$250,MATCH(C177,'REGISTRE ELEVES'!$B$10:$B$250,0)),""))</f>
        <v/>
      </c>
      <c r="G177" s="116"/>
      <c r="H177" s="117"/>
      <c r="I177" s="116"/>
      <c r="J177" s="118"/>
      <c r="K177" s="116"/>
      <c r="L177" s="118"/>
      <c r="M177" s="51" t="str">
        <f aca="false">IF(B177="","",MONTH(B177))</f>
        <v/>
      </c>
      <c r="N177" s="51" t="str">
        <f aca="false">IF(B177="","",YEAR(B177))</f>
        <v/>
      </c>
      <c r="O177" s="51" t="str">
        <f aca="false">IF(B177="","",C177&amp;"|"&amp;M177&amp;"|"&amp;N177)</f>
        <v/>
      </c>
    </row>
    <row r="178" customFormat="false" ht="15" hidden="false" customHeight="false" outlineLevel="0" collapsed="false">
      <c r="A178" s="73" t="str">
        <f aca="false">IF(B178="","",ROW()-9)</f>
        <v/>
      </c>
      <c r="B178" s="115"/>
      <c r="C178" s="116"/>
      <c r="D178" s="74" t="str">
        <f aca="false">IF(C178="","",IFERROR(INDEX('REGISTRE ELEVES'!$D$10:$D$250,MATCH(C178,'REGISTRE ELEVES'!$B$10:$B$250,0)),"Matricule inconnu"))</f>
        <v/>
      </c>
      <c r="E178" s="73" t="str">
        <f aca="false">IF(C178="","",IFERROR(INDEX('REGISTRE ELEVES'!$F$10:$F$250,MATCH(C178,'REGISTRE ELEVES'!$B$10:$B$250,0)),""))</f>
        <v/>
      </c>
      <c r="F178" s="73" t="str">
        <f aca="false">IF(C178="","",IFERROR(INDEX('REGISTRE ELEVES'!$E$10:$E$250,MATCH(C178,'REGISTRE ELEVES'!$B$10:$B$250,0)),""))</f>
        <v/>
      </c>
      <c r="G178" s="116"/>
      <c r="H178" s="117"/>
      <c r="I178" s="116"/>
      <c r="J178" s="118"/>
      <c r="K178" s="116"/>
      <c r="L178" s="118"/>
      <c r="M178" s="51" t="str">
        <f aca="false">IF(B178="","",MONTH(B178))</f>
        <v/>
      </c>
      <c r="N178" s="51" t="str">
        <f aca="false">IF(B178="","",YEAR(B178))</f>
        <v/>
      </c>
      <c r="O178" s="51" t="str">
        <f aca="false">IF(B178="","",C178&amp;"|"&amp;M178&amp;"|"&amp;N178)</f>
        <v/>
      </c>
    </row>
    <row r="179" customFormat="false" ht="15" hidden="false" customHeight="false" outlineLevel="0" collapsed="false">
      <c r="A179" s="73" t="str">
        <f aca="false">IF(B179="","",ROW()-9)</f>
        <v/>
      </c>
      <c r="B179" s="115"/>
      <c r="C179" s="116"/>
      <c r="D179" s="74" t="str">
        <f aca="false">IF(C179="","",IFERROR(INDEX('REGISTRE ELEVES'!$D$10:$D$250,MATCH(C179,'REGISTRE ELEVES'!$B$10:$B$250,0)),"Matricule inconnu"))</f>
        <v/>
      </c>
      <c r="E179" s="73" t="str">
        <f aca="false">IF(C179="","",IFERROR(INDEX('REGISTRE ELEVES'!$F$10:$F$250,MATCH(C179,'REGISTRE ELEVES'!$B$10:$B$250,0)),""))</f>
        <v/>
      </c>
      <c r="F179" s="73" t="str">
        <f aca="false">IF(C179="","",IFERROR(INDEX('REGISTRE ELEVES'!$E$10:$E$250,MATCH(C179,'REGISTRE ELEVES'!$B$10:$B$250,0)),""))</f>
        <v/>
      </c>
      <c r="G179" s="116"/>
      <c r="H179" s="117"/>
      <c r="I179" s="116"/>
      <c r="J179" s="118"/>
      <c r="K179" s="116"/>
      <c r="L179" s="118"/>
      <c r="M179" s="51" t="str">
        <f aca="false">IF(B179="","",MONTH(B179))</f>
        <v/>
      </c>
      <c r="N179" s="51" t="str">
        <f aca="false">IF(B179="","",YEAR(B179))</f>
        <v/>
      </c>
      <c r="O179" s="51" t="str">
        <f aca="false">IF(B179="","",C179&amp;"|"&amp;M179&amp;"|"&amp;N179)</f>
        <v/>
      </c>
    </row>
    <row r="180" customFormat="false" ht="15" hidden="false" customHeight="false" outlineLevel="0" collapsed="false">
      <c r="A180" s="73" t="str">
        <f aca="false">IF(B180="","",ROW()-9)</f>
        <v/>
      </c>
      <c r="B180" s="115"/>
      <c r="C180" s="116"/>
      <c r="D180" s="74" t="str">
        <f aca="false">IF(C180="","",IFERROR(INDEX('REGISTRE ELEVES'!$D$10:$D$250,MATCH(C180,'REGISTRE ELEVES'!$B$10:$B$250,0)),"Matricule inconnu"))</f>
        <v/>
      </c>
      <c r="E180" s="73" t="str">
        <f aca="false">IF(C180="","",IFERROR(INDEX('REGISTRE ELEVES'!$F$10:$F$250,MATCH(C180,'REGISTRE ELEVES'!$B$10:$B$250,0)),""))</f>
        <v/>
      </c>
      <c r="F180" s="73" t="str">
        <f aca="false">IF(C180="","",IFERROR(INDEX('REGISTRE ELEVES'!$E$10:$E$250,MATCH(C180,'REGISTRE ELEVES'!$B$10:$B$250,0)),""))</f>
        <v/>
      </c>
      <c r="G180" s="116"/>
      <c r="H180" s="117"/>
      <c r="I180" s="116"/>
      <c r="J180" s="118"/>
      <c r="K180" s="116"/>
      <c r="L180" s="118"/>
      <c r="M180" s="51" t="str">
        <f aca="false">IF(B180="","",MONTH(B180))</f>
        <v/>
      </c>
      <c r="N180" s="51" t="str">
        <f aca="false">IF(B180="","",YEAR(B180))</f>
        <v/>
      </c>
      <c r="O180" s="51" t="str">
        <f aca="false">IF(B180="","",C180&amp;"|"&amp;M180&amp;"|"&amp;N180)</f>
        <v/>
      </c>
    </row>
    <row r="181" customFormat="false" ht="15" hidden="false" customHeight="false" outlineLevel="0" collapsed="false">
      <c r="A181" s="73" t="str">
        <f aca="false">IF(B181="","",ROW()-9)</f>
        <v/>
      </c>
      <c r="B181" s="115"/>
      <c r="C181" s="116"/>
      <c r="D181" s="74" t="str">
        <f aca="false">IF(C181="","",IFERROR(INDEX('REGISTRE ELEVES'!$D$10:$D$250,MATCH(C181,'REGISTRE ELEVES'!$B$10:$B$250,0)),"Matricule inconnu"))</f>
        <v/>
      </c>
      <c r="E181" s="73" t="str">
        <f aca="false">IF(C181="","",IFERROR(INDEX('REGISTRE ELEVES'!$F$10:$F$250,MATCH(C181,'REGISTRE ELEVES'!$B$10:$B$250,0)),""))</f>
        <v/>
      </c>
      <c r="F181" s="73" t="str">
        <f aca="false">IF(C181="","",IFERROR(INDEX('REGISTRE ELEVES'!$E$10:$E$250,MATCH(C181,'REGISTRE ELEVES'!$B$10:$B$250,0)),""))</f>
        <v/>
      </c>
      <c r="G181" s="116"/>
      <c r="H181" s="117"/>
      <c r="I181" s="116"/>
      <c r="J181" s="118"/>
      <c r="K181" s="116"/>
      <c r="L181" s="118"/>
      <c r="M181" s="51" t="str">
        <f aca="false">IF(B181="","",MONTH(B181))</f>
        <v/>
      </c>
      <c r="N181" s="51" t="str">
        <f aca="false">IF(B181="","",YEAR(B181))</f>
        <v/>
      </c>
      <c r="O181" s="51" t="str">
        <f aca="false">IF(B181="","",C181&amp;"|"&amp;M181&amp;"|"&amp;N181)</f>
        <v/>
      </c>
    </row>
    <row r="182" customFormat="false" ht="15" hidden="false" customHeight="false" outlineLevel="0" collapsed="false">
      <c r="A182" s="73" t="str">
        <f aca="false">IF(B182="","",ROW()-9)</f>
        <v/>
      </c>
      <c r="B182" s="115"/>
      <c r="C182" s="116"/>
      <c r="D182" s="74" t="str">
        <f aca="false">IF(C182="","",IFERROR(INDEX('REGISTRE ELEVES'!$D$10:$D$250,MATCH(C182,'REGISTRE ELEVES'!$B$10:$B$250,0)),"Matricule inconnu"))</f>
        <v/>
      </c>
      <c r="E182" s="73" t="str">
        <f aca="false">IF(C182="","",IFERROR(INDEX('REGISTRE ELEVES'!$F$10:$F$250,MATCH(C182,'REGISTRE ELEVES'!$B$10:$B$250,0)),""))</f>
        <v/>
      </c>
      <c r="F182" s="73" t="str">
        <f aca="false">IF(C182="","",IFERROR(INDEX('REGISTRE ELEVES'!$E$10:$E$250,MATCH(C182,'REGISTRE ELEVES'!$B$10:$B$250,0)),""))</f>
        <v/>
      </c>
      <c r="G182" s="116"/>
      <c r="H182" s="117"/>
      <c r="I182" s="116"/>
      <c r="J182" s="118"/>
      <c r="K182" s="116"/>
      <c r="L182" s="118"/>
      <c r="M182" s="51" t="str">
        <f aca="false">IF(B182="","",MONTH(B182))</f>
        <v/>
      </c>
      <c r="N182" s="51" t="str">
        <f aca="false">IF(B182="","",YEAR(B182))</f>
        <v/>
      </c>
      <c r="O182" s="51" t="str">
        <f aca="false">IF(B182="","",C182&amp;"|"&amp;M182&amp;"|"&amp;N182)</f>
        <v/>
      </c>
    </row>
    <row r="183" customFormat="false" ht="15" hidden="false" customHeight="false" outlineLevel="0" collapsed="false">
      <c r="A183" s="73" t="str">
        <f aca="false">IF(B183="","",ROW()-9)</f>
        <v/>
      </c>
      <c r="B183" s="115"/>
      <c r="C183" s="116"/>
      <c r="D183" s="74" t="str">
        <f aca="false">IF(C183="","",IFERROR(INDEX('REGISTRE ELEVES'!$D$10:$D$250,MATCH(C183,'REGISTRE ELEVES'!$B$10:$B$250,0)),"Matricule inconnu"))</f>
        <v/>
      </c>
      <c r="E183" s="73" t="str">
        <f aca="false">IF(C183="","",IFERROR(INDEX('REGISTRE ELEVES'!$F$10:$F$250,MATCH(C183,'REGISTRE ELEVES'!$B$10:$B$250,0)),""))</f>
        <v/>
      </c>
      <c r="F183" s="73" t="str">
        <f aca="false">IF(C183="","",IFERROR(INDEX('REGISTRE ELEVES'!$E$10:$E$250,MATCH(C183,'REGISTRE ELEVES'!$B$10:$B$250,0)),""))</f>
        <v/>
      </c>
      <c r="G183" s="116"/>
      <c r="H183" s="117"/>
      <c r="I183" s="116"/>
      <c r="J183" s="118"/>
      <c r="K183" s="116"/>
      <c r="L183" s="118"/>
      <c r="M183" s="51" t="str">
        <f aca="false">IF(B183="","",MONTH(B183))</f>
        <v/>
      </c>
      <c r="N183" s="51" t="str">
        <f aca="false">IF(B183="","",YEAR(B183))</f>
        <v/>
      </c>
      <c r="O183" s="51" t="str">
        <f aca="false">IF(B183="","",C183&amp;"|"&amp;M183&amp;"|"&amp;N183)</f>
        <v/>
      </c>
    </row>
    <row r="184" customFormat="false" ht="15" hidden="false" customHeight="false" outlineLevel="0" collapsed="false">
      <c r="A184" s="73" t="str">
        <f aca="false">IF(B184="","",ROW()-9)</f>
        <v/>
      </c>
      <c r="B184" s="115"/>
      <c r="C184" s="116"/>
      <c r="D184" s="74" t="str">
        <f aca="false">IF(C184="","",IFERROR(INDEX('REGISTRE ELEVES'!$D$10:$D$250,MATCH(C184,'REGISTRE ELEVES'!$B$10:$B$250,0)),"Matricule inconnu"))</f>
        <v/>
      </c>
      <c r="E184" s="73" t="str">
        <f aca="false">IF(C184="","",IFERROR(INDEX('REGISTRE ELEVES'!$F$10:$F$250,MATCH(C184,'REGISTRE ELEVES'!$B$10:$B$250,0)),""))</f>
        <v/>
      </c>
      <c r="F184" s="73" t="str">
        <f aca="false">IF(C184="","",IFERROR(INDEX('REGISTRE ELEVES'!$E$10:$E$250,MATCH(C184,'REGISTRE ELEVES'!$B$10:$B$250,0)),""))</f>
        <v/>
      </c>
      <c r="G184" s="116"/>
      <c r="H184" s="117"/>
      <c r="I184" s="116"/>
      <c r="J184" s="118"/>
      <c r="K184" s="116"/>
      <c r="L184" s="118"/>
      <c r="M184" s="51" t="str">
        <f aca="false">IF(B184="","",MONTH(B184))</f>
        <v/>
      </c>
      <c r="N184" s="51" t="str">
        <f aca="false">IF(B184="","",YEAR(B184))</f>
        <v/>
      </c>
      <c r="O184" s="51" t="str">
        <f aca="false">IF(B184="","",C184&amp;"|"&amp;M184&amp;"|"&amp;N184)</f>
        <v/>
      </c>
    </row>
    <row r="185" customFormat="false" ht="15" hidden="false" customHeight="false" outlineLevel="0" collapsed="false">
      <c r="A185" s="73" t="str">
        <f aca="false">IF(B185="","",ROW()-9)</f>
        <v/>
      </c>
      <c r="B185" s="115"/>
      <c r="C185" s="116"/>
      <c r="D185" s="74" t="str">
        <f aca="false">IF(C185="","",IFERROR(INDEX('REGISTRE ELEVES'!$D$10:$D$250,MATCH(C185,'REGISTRE ELEVES'!$B$10:$B$250,0)),"Matricule inconnu"))</f>
        <v/>
      </c>
      <c r="E185" s="73" t="str">
        <f aca="false">IF(C185="","",IFERROR(INDEX('REGISTRE ELEVES'!$F$10:$F$250,MATCH(C185,'REGISTRE ELEVES'!$B$10:$B$250,0)),""))</f>
        <v/>
      </c>
      <c r="F185" s="73" t="str">
        <f aca="false">IF(C185="","",IFERROR(INDEX('REGISTRE ELEVES'!$E$10:$E$250,MATCH(C185,'REGISTRE ELEVES'!$B$10:$B$250,0)),""))</f>
        <v/>
      </c>
      <c r="G185" s="116"/>
      <c r="H185" s="117"/>
      <c r="I185" s="116"/>
      <c r="J185" s="118"/>
      <c r="K185" s="116"/>
      <c r="L185" s="118"/>
      <c r="M185" s="51" t="str">
        <f aca="false">IF(B185="","",MONTH(B185))</f>
        <v/>
      </c>
      <c r="N185" s="51" t="str">
        <f aca="false">IF(B185="","",YEAR(B185))</f>
        <v/>
      </c>
      <c r="O185" s="51" t="str">
        <f aca="false">IF(B185="","",C185&amp;"|"&amp;M185&amp;"|"&amp;N185)</f>
        <v/>
      </c>
    </row>
    <row r="186" customFormat="false" ht="15" hidden="false" customHeight="false" outlineLevel="0" collapsed="false">
      <c r="A186" s="73" t="str">
        <f aca="false">IF(B186="","",ROW()-9)</f>
        <v/>
      </c>
      <c r="B186" s="115"/>
      <c r="C186" s="116"/>
      <c r="D186" s="74" t="str">
        <f aca="false">IF(C186="","",IFERROR(INDEX('REGISTRE ELEVES'!$D$10:$D$250,MATCH(C186,'REGISTRE ELEVES'!$B$10:$B$250,0)),"Matricule inconnu"))</f>
        <v/>
      </c>
      <c r="E186" s="73" t="str">
        <f aca="false">IF(C186="","",IFERROR(INDEX('REGISTRE ELEVES'!$F$10:$F$250,MATCH(C186,'REGISTRE ELEVES'!$B$10:$B$250,0)),""))</f>
        <v/>
      </c>
      <c r="F186" s="73" t="str">
        <f aca="false">IF(C186="","",IFERROR(INDEX('REGISTRE ELEVES'!$E$10:$E$250,MATCH(C186,'REGISTRE ELEVES'!$B$10:$B$250,0)),""))</f>
        <v/>
      </c>
      <c r="G186" s="116"/>
      <c r="H186" s="117"/>
      <c r="I186" s="116"/>
      <c r="J186" s="118"/>
      <c r="K186" s="116"/>
      <c r="L186" s="118"/>
      <c r="M186" s="51" t="str">
        <f aca="false">IF(B186="","",MONTH(B186))</f>
        <v/>
      </c>
      <c r="N186" s="51" t="str">
        <f aca="false">IF(B186="","",YEAR(B186))</f>
        <v/>
      </c>
      <c r="O186" s="51" t="str">
        <f aca="false">IF(B186="","",C186&amp;"|"&amp;M186&amp;"|"&amp;N186)</f>
        <v/>
      </c>
    </row>
    <row r="187" customFormat="false" ht="15" hidden="false" customHeight="false" outlineLevel="0" collapsed="false">
      <c r="A187" s="73" t="str">
        <f aca="false">IF(B187="","",ROW()-9)</f>
        <v/>
      </c>
      <c r="B187" s="115"/>
      <c r="C187" s="116"/>
      <c r="D187" s="74" t="str">
        <f aca="false">IF(C187="","",IFERROR(INDEX('REGISTRE ELEVES'!$D$10:$D$250,MATCH(C187,'REGISTRE ELEVES'!$B$10:$B$250,0)),"Matricule inconnu"))</f>
        <v/>
      </c>
      <c r="E187" s="73" t="str">
        <f aca="false">IF(C187="","",IFERROR(INDEX('REGISTRE ELEVES'!$F$10:$F$250,MATCH(C187,'REGISTRE ELEVES'!$B$10:$B$250,0)),""))</f>
        <v/>
      </c>
      <c r="F187" s="73" t="str">
        <f aca="false">IF(C187="","",IFERROR(INDEX('REGISTRE ELEVES'!$E$10:$E$250,MATCH(C187,'REGISTRE ELEVES'!$B$10:$B$250,0)),""))</f>
        <v/>
      </c>
      <c r="G187" s="116"/>
      <c r="H187" s="117"/>
      <c r="I187" s="116"/>
      <c r="J187" s="118"/>
      <c r="K187" s="116"/>
      <c r="L187" s="118"/>
      <c r="M187" s="51" t="str">
        <f aca="false">IF(B187="","",MONTH(B187))</f>
        <v/>
      </c>
      <c r="N187" s="51" t="str">
        <f aca="false">IF(B187="","",YEAR(B187))</f>
        <v/>
      </c>
      <c r="O187" s="51" t="str">
        <f aca="false">IF(B187="","",C187&amp;"|"&amp;M187&amp;"|"&amp;N187)</f>
        <v/>
      </c>
    </row>
    <row r="188" customFormat="false" ht="15" hidden="false" customHeight="false" outlineLevel="0" collapsed="false">
      <c r="A188" s="73" t="str">
        <f aca="false">IF(B188="","",ROW()-9)</f>
        <v/>
      </c>
      <c r="B188" s="115"/>
      <c r="C188" s="116"/>
      <c r="D188" s="74" t="str">
        <f aca="false">IF(C188="","",IFERROR(INDEX('REGISTRE ELEVES'!$D$10:$D$250,MATCH(C188,'REGISTRE ELEVES'!$B$10:$B$250,0)),"Matricule inconnu"))</f>
        <v/>
      </c>
      <c r="E188" s="73" t="str">
        <f aca="false">IF(C188="","",IFERROR(INDEX('REGISTRE ELEVES'!$F$10:$F$250,MATCH(C188,'REGISTRE ELEVES'!$B$10:$B$250,0)),""))</f>
        <v/>
      </c>
      <c r="F188" s="73" t="str">
        <f aca="false">IF(C188="","",IFERROR(INDEX('REGISTRE ELEVES'!$E$10:$E$250,MATCH(C188,'REGISTRE ELEVES'!$B$10:$B$250,0)),""))</f>
        <v/>
      </c>
      <c r="G188" s="116"/>
      <c r="H188" s="117"/>
      <c r="I188" s="116"/>
      <c r="J188" s="118"/>
      <c r="K188" s="116"/>
      <c r="L188" s="118"/>
      <c r="M188" s="51" t="str">
        <f aca="false">IF(B188="","",MONTH(B188))</f>
        <v/>
      </c>
      <c r="N188" s="51" t="str">
        <f aca="false">IF(B188="","",YEAR(B188))</f>
        <v/>
      </c>
      <c r="O188" s="51" t="str">
        <f aca="false">IF(B188="","",C188&amp;"|"&amp;M188&amp;"|"&amp;N188)</f>
        <v/>
      </c>
    </row>
    <row r="189" customFormat="false" ht="15" hidden="false" customHeight="false" outlineLevel="0" collapsed="false">
      <c r="A189" s="73" t="str">
        <f aca="false">IF(B189="","",ROW()-9)</f>
        <v/>
      </c>
      <c r="B189" s="115"/>
      <c r="C189" s="116"/>
      <c r="D189" s="74" t="str">
        <f aca="false">IF(C189="","",IFERROR(INDEX('REGISTRE ELEVES'!$D$10:$D$250,MATCH(C189,'REGISTRE ELEVES'!$B$10:$B$250,0)),"Matricule inconnu"))</f>
        <v/>
      </c>
      <c r="E189" s="73" t="str">
        <f aca="false">IF(C189="","",IFERROR(INDEX('REGISTRE ELEVES'!$F$10:$F$250,MATCH(C189,'REGISTRE ELEVES'!$B$10:$B$250,0)),""))</f>
        <v/>
      </c>
      <c r="F189" s="73" t="str">
        <f aca="false">IF(C189="","",IFERROR(INDEX('REGISTRE ELEVES'!$E$10:$E$250,MATCH(C189,'REGISTRE ELEVES'!$B$10:$B$250,0)),""))</f>
        <v/>
      </c>
      <c r="G189" s="116"/>
      <c r="H189" s="117"/>
      <c r="I189" s="116"/>
      <c r="J189" s="118"/>
      <c r="K189" s="116"/>
      <c r="L189" s="118"/>
      <c r="M189" s="51" t="str">
        <f aca="false">IF(B189="","",MONTH(B189))</f>
        <v/>
      </c>
      <c r="N189" s="51" t="str">
        <f aca="false">IF(B189="","",YEAR(B189))</f>
        <v/>
      </c>
      <c r="O189" s="51" t="str">
        <f aca="false">IF(B189="","",C189&amp;"|"&amp;M189&amp;"|"&amp;N189)</f>
        <v/>
      </c>
    </row>
    <row r="190" customFormat="false" ht="15" hidden="false" customHeight="false" outlineLevel="0" collapsed="false">
      <c r="A190" s="73" t="str">
        <f aca="false">IF(B190="","",ROW()-9)</f>
        <v/>
      </c>
      <c r="B190" s="115"/>
      <c r="C190" s="116"/>
      <c r="D190" s="74" t="str">
        <f aca="false">IF(C190="","",IFERROR(INDEX('REGISTRE ELEVES'!$D$10:$D$250,MATCH(C190,'REGISTRE ELEVES'!$B$10:$B$250,0)),"Matricule inconnu"))</f>
        <v/>
      </c>
      <c r="E190" s="73" t="str">
        <f aca="false">IF(C190="","",IFERROR(INDEX('REGISTRE ELEVES'!$F$10:$F$250,MATCH(C190,'REGISTRE ELEVES'!$B$10:$B$250,0)),""))</f>
        <v/>
      </c>
      <c r="F190" s="73" t="str">
        <f aca="false">IF(C190="","",IFERROR(INDEX('REGISTRE ELEVES'!$E$10:$E$250,MATCH(C190,'REGISTRE ELEVES'!$B$10:$B$250,0)),""))</f>
        <v/>
      </c>
      <c r="G190" s="116"/>
      <c r="H190" s="117"/>
      <c r="I190" s="116"/>
      <c r="J190" s="118"/>
      <c r="K190" s="116"/>
      <c r="L190" s="118"/>
      <c r="M190" s="51" t="str">
        <f aca="false">IF(B190="","",MONTH(B190))</f>
        <v/>
      </c>
      <c r="N190" s="51" t="str">
        <f aca="false">IF(B190="","",YEAR(B190))</f>
        <v/>
      </c>
      <c r="O190" s="51" t="str">
        <f aca="false">IF(B190="","",C190&amp;"|"&amp;M190&amp;"|"&amp;N190)</f>
        <v/>
      </c>
    </row>
    <row r="191" customFormat="false" ht="15" hidden="false" customHeight="false" outlineLevel="0" collapsed="false">
      <c r="A191" s="73" t="str">
        <f aca="false">IF(B191="","",ROW()-9)</f>
        <v/>
      </c>
      <c r="B191" s="115"/>
      <c r="C191" s="116"/>
      <c r="D191" s="74" t="str">
        <f aca="false">IF(C191="","",IFERROR(INDEX('REGISTRE ELEVES'!$D$10:$D$250,MATCH(C191,'REGISTRE ELEVES'!$B$10:$B$250,0)),"Matricule inconnu"))</f>
        <v/>
      </c>
      <c r="E191" s="73" t="str">
        <f aca="false">IF(C191="","",IFERROR(INDEX('REGISTRE ELEVES'!$F$10:$F$250,MATCH(C191,'REGISTRE ELEVES'!$B$10:$B$250,0)),""))</f>
        <v/>
      </c>
      <c r="F191" s="73" t="str">
        <f aca="false">IF(C191="","",IFERROR(INDEX('REGISTRE ELEVES'!$E$10:$E$250,MATCH(C191,'REGISTRE ELEVES'!$B$10:$B$250,0)),""))</f>
        <v/>
      </c>
      <c r="G191" s="116"/>
      <c r="H191" s="117"/>
      <c r="I191" s="116"/>
      <c r="J191" s="118"/>
      <c r="K191" s="116"/>
      <c r="L191" s="118"/>
      <c r="M191" s="51" t="str">
        <f aca="false">IF(B191="","",MONTH(B191))</f>
        <v/>
      </c>
      <c r="N191" s="51" t="str">
        <f aca="false">IF(B191="","",YEAR(B191))</f>
        <v/>
      </c>
      <c r="O191" s="51" t="str">
        <f aca="false">IF(B191="","",C191&amp;"|"&amp;M191&amp;"|"&amp;N191)</f>
        <v/>
      </c>
    </row>
    <row r="192" customFormat="false" ht="15" hidden="false" customHeight="false" outlineLevel="0" collapsed="false">
      <c r="A192" s="73" t="str">
        <f aca="false">IF(B192="","",ROW()-9)</f>
        <v/>
      </c>
      <c r="B192" s="115"/>
      <c r="C192" s="116"/>
      <c r="D192" s="74" t="str">
        <f aca="false">IF(C192="","",IFERROR(INDEX('REGISTRE ELEVES'!$D$10:$D$250,MATCH(C192,'REGISTRE ELEVES'!$B$10:$B$250,0)),"Matricule inconnu"))</f>
        <v/>
      </c>
      <c r="E192" s="73" t="str">
        <f aca="false">IF(C192="","",IFERROR(INDEX('REGISTRE ELEVES'!$F$10:$F$250,MATCH(C192,'REGISTRE ELEVES'!$B$10:$B$250,0)),""))</f>
        <v/>
      </c>
      <c r="F192" s="73" t="str">
        <f aca="false">IF(C192="","",IFERROR(INDEX('REGISTRE ELEVES'!$E$10:$E$250,MATCH(C192,'REGISTRE ELEVES'!$B$10:$B$250,0)),""))</f>
        <v/>
      </c>
      <c r="G192" s="116"/>
      <c r="H192" s="117"/>
      <c r="I192" s="116"/>
      <c r="J192" s="118"/>
      <c r="K192" s="116"/>
      <c r="L192" s="118"/>
      <c r="M192" s="51" t="str">
        <f aca="false">IF(B192="","",MONTH(B192))</f>
        <v/>
      </c>
      <c r="N192" s="51" t="str">
        <f aca="false">IF(B192="","",YEAR(B192))</f>
        <v/>
      </c>
      <c r="O192" s="51" t="str">
        <f aca="false">IF(B192="","",C192&amp;"|"&amp;M192&amp;"|"&amp;N192)</f>
        <v/>
      </c>
    </row>
    <row r="193" customFormat="false" ht="15" hidden="false" customHeight="false" outlineLevel="0" collapsed="false">
      <c r="A193" s="73" t="str">
        <f aca="false">IF(B193="","",ROW()-9)</f>
        <v/>
      </c>
      <c r="B193" s="115"/>
      <c r="C193" s="116"/>
      <c r="D193" s="74" t="str">
        <f aca="false">IF(C193="","",IFERROR(INDEX('REGISTRE ELEVES'!$D$10:$D$250,MATCH(C193,'REGISTRE ELEVES'!$B$10:$B$250,0)),"Matricule inconnu"))</f>
        <v/>
      </c>
      <c r="E193" s="73" t="str">
        <f aca="false">IF(C193="","",IFERROR(INDEX('REGISTRE ELEVES'!$F$10:$F$250,MATCH(C193,'REGISTRE ELEVES'!$B$10:$B$250,0)),""))</f>
        <v/>
      </c>
      <c r="F193" s="73" t="str">
        <f aca="false">IF(C193="","",IFERROR(INDEX('REGISTRE ELEVES'!$E$10:$E$250,MATCH(C193,'REGISTRE ELEVES'!$B$10:$B$250,0)),""))</f>
        <v/>
      </c>
      <c r="G193" s="116"/>
      <c r="H193" s="117"/>
      <c r="I193" s="116"/>
      <c r="J193" s="118"/>
      <c r="K193" s="116"/>
      <c r="L193" s="118"/>
      <c r="M193" s="51" t="str">
        <f aca="false">IF(B193="","",MONTH(B193))</f>
        <v/>
      </c>
      <c r="N193" s="51" t="str">
        <f aca="false">IF(B193="","",YEAR(B193))</f>
        <v/>
      </c>
      <c r="O193" s="51" t="str">
        <f aca="false">IF(B193="","",C193&amp;"|"&amp;M193&amp;"|"&amp;N193)</f>
        <v/>
      </c>
    </row>
    <row r="194" customFormat="false" ht="15" hidden="false" customHeight="false" outlineLevel="0" collapsed="false">
      <c r="A194" s="73" t="str">
        <f aca="false">IF(B194="","",ROW()-9)</f>
        <v/>
      </c>
      <c r="B194" s="115"/>
      <c r="C194" s="116"/>
      <c r="D194" s="74" t="str">
        <f aca="false">IF(C194="","",IFERROR(INDEX('REGISTRE ELEVES'!$D$10:$D$250,MATCH(C194,'REGISTRE ELEVES'!$B$10:$B$250,0)),"Matricule inconnu"))</f>
        <v/>
      </c>
      <c r="E194" s="73" t="str">
        <f aca="false">IF(C194="","",IFERROR(INDEX('REGISTRE ELEVES'!$F$10:$F$250,MATCH(C194,'REGISTRE ELEVES'!$B$10:$B$250,0)),""))</f>
        <v/>
      </c>
      <c r="F194" s="73" t="str">
        <f aca="false">IF(C194="","",IFERROR(INDEX('REGISTRE ELEVES'!$E$10:$E$250,MATCH(C194,'REGISTRE ELEVES'!$B$10:$B$250,0)),""))</f>
        <v/>
      </c>
      <c r="G194" s="116"/>
      <c r="H194" s="117"/>
      <c r="I194" s="116"/>
      <c r="J194" s="118"/>
      <c r="K194" s="116"/>
      <c r="L194" s="118"/>
      <c r="M194" s="51" t="str">
        <f aca="false">IF(B194="","",MONTH(B194))</f>
        <v/>
      </c>
      <c r="N194" s="51" t="str">
        <f aca="false">IF(B194="","",YEAR(B194))</f>
        <v/>
      </c>
      <c r="O194" s="51" t="str">
        <f aca="false">IF(B194="","",C194&amp;"|"&amp;M194&amp;"|"&amp;N194)</f>
        <v/>
      </c>
    </row>
    <row r="195" customFormat="false" ht="15" hidden="false" customHeight="false" outlineLevel="0" collapsed="false">
      <c r="A195" s="73" t="str">
        <f aca="false">IF(B195="","",ROW()-9)</f>
        <v/>
      </c>
      <c r="B195" s="115"/>
      <c r="C195" s="116"/>
      <c r="D195" s="74" t="str">
        <f aca="false">IF(C195="","",IFERROR(INDEX('REGISTRE ELEVES'!$D$10:$D$250,MATCH(C195,'REGISTRE ELEVES'!$B$10:$B$250,0)),"Matricule inconnu"))</f>
        <v/>
      </c>
      <c r="E195" s="73" t="str">
        <f aca="false">IF(C195="","",IFERROR(INDEX('REGISTRE ELEVES'!$F$10:$F$250,MATCH(C195,'REGISTRE ELEVES'!$B$10:$B$250,0)),""))</f>
        <v/>
      </c>
      <c r="F195" s="73" t="str">
        <f aca="false">IF(C195="","",IFERROR(INDEX('REGISTRE ELEVES'!$E$10:$E$250,MATCH(C195,'REGISTRE ELEVES'!$B$10:$B$250,0)),""))</f>
        <v/>
      </c>
      <c r="G195" s="116"/>
      <c r="H195" s="117"/>
      <c r="I195" s="116"/>
      <c r="J195" s="118"/>
      <c r="K195" s="116"/>
      <c r="L195" s="118"/>
      <c r="M195" s="51" t="str">
        <f aca="false">IF(B195="","",MONTH(B195))</f>
        <v/>
      </c>
      <c r="N195" s="51" t="str">
        <f aca="false">IF(B195="","",YEAR(B195))</f>
        <v/>
      </c>
      <c r="O195" s="51" t="str">
        <f aca="false">IF(B195="","",C195&amp;"|"&amp;M195&amp;"|"&amp;N195)</f>
        <v/>
      </c>
    </row>
    <row r="196" customFormat="false" ht="15" hidden="false" customHeight="false" outlineLevel="0" collapsed="false">
      <c r="A196" s="73" t="str">
        <f aca="false">IF(B196="","",ROW()-9)</f>
        <v/>
      </c>
      <c r="B196" s="115"/>
      <c r="C196" s="116"/>
      <c r="D196" s="74" t="str">
        <f aca="false">IF(C196="","",IFERROR(INDEX('REGISTRE ELEVES'!$D$10:$D$250,MATCH(C196,'REGISTRE ELEVES'!$B$10:$B$250,0)),"Matricule inconnu"))</f>
        <v/>
      </c>
      <c r="E196" s="73" t="str">
        <f aca="false">IF(C196="","",IFERROR(INDEX('REGISTRE ELEVES'!$F$10:$F$250,MATCH(C196,'REGISTRE ELEVES'!$B$10:$B$250,0)),""))</f>
        <v/>
      </c>
      <c r="F196" s="73" t="str">
        <f aca="false">IF(C196="","",IFERROR(INDEX('REGISTRE ELEVES'!$E$10:$E$250,MATCH(C196,'REGISTRE ELEVES'!$B$10:$B$250,0)),""))</f>
        <v/>
      </c>
      <c r="G196" s="116"/>
      <c r="H196" s="117"/>
      <c r="I196" s="116"/>
      <c r="J196" s="118"/>
      <c r="K196" s="116"/>
      <c r="L196" s="118"/>
      <c r="M196" s="51" t="str">
        <f aca="false">IF(B196="","",MONTH(B196))</f>
        <v/>
      </c>
      <c r="N196" s="51" t="str">
        <f aca="false">IF(B196="","",YEAR(B196))</f>
        <v/>
      </c>
      <c r="O196" s="51" t="str">
        <f aca="false">IF(B196="","",C196&amp;"|"&amp;M196&amp;"|"&amp;N196)</f>
        <v/>
      </c>
    </row>
    <row r="197" customFormat="false" ht="15" hidden="false" customHeight="false" outlineLevel="0" collapsed="false">
      <c r="A197" s="73" t="str">
        <f aca="false">IF(B197="","",ROW()-9)</f>
        <v/>
      </c>
      <c r="B197" s="115"/>
      <c r="C197" s="116"/>
      <c r="D197" s="74" t="str">
        <f aca="false">IF(C197="","",IFERROR(INDEX('REGISTRE ELEVES'!$D$10:$D$250,MATCH(C197,'REGISTRE ELEVES'!$B$10:$B$250,0)),"Matricule inconnu"))</f>
        <v/>
      </c>
      <c r="E197" s="73" t="str">
        <f aca="false">IF(C197="","",IFERROR(INDEX('REGISTRE ELEVES'!$F$10:$F$250,MATCH(C197,'REGISTRE ELEVES'!$B$10:$B$250,0)),""))</f>
        <v/>
      </c>
      <c r="F197" s="73" t="str">
        <f aca="false">IF(C197="","",IFERROR(INDEX('REGISTRE ELEVES'!$E$10:$E$250,MATCH(C197,'REGISTRE ELEVES'!$B$10:$B$250,0)),""))</f>
        <v/>
      </c>
      <c r="G197" s="116"/>
      <c r="H197" s="117"/>
      <c r="I197" s="116"/>
      <c r="J197" s="118"/>
      <c r="K197" s="116"/>
      <c r="L197" s="118"/>
      <c r="M197" s="51" t="str">
        <f aca="false">IF(B197="","",MONTH(B197))</f>
        <v/>
      </c>
      <c r="N197" s="51" t="str">
        <f aca="false">IF(B197="","",YEAR(B197))</f>
        <v/>
      </c>
      <c r="O197" s="51" t="str">
        <f aca="false">IF(B197="","",C197&amp;"|"&amp;M197&amp;"|"&amp;N197)</f>
        <v/>
      </c>
    </row>
    <row r="198" customFormat="false" ht="15" hidden="false" customHeight="false" outlineLevel="0" collapsed="false">
      <c r="A198" s="73" t="str">
        <f aca="false">IF(B198="","",ROW()-9)</f>
        <v/>
      </c>
      <c r="B198" s="115"/>
      <c r="C198" s="116"/>
      <c r="D198" s="74" t="str">
        <f aca="false">IF(C198="","",IFERROR(INDEX('REGISTRE ELEVES'!$D$10:$D$250,MATCH(C198,'REGISTRE ELEVES'!$B$10:$B$250,0)),"Matricule inconnu"))</f>
        <v/>
      </c>
      <c r="E198" s="73" t="str">
        <f aca="false">IF(C198="","",IFERROR(INDEX('REGISTRE ELEVES'!$F$10:$F$250,MATCH(C198,'REGISTRE ELEVES'!$B$10:$B$250,0)),""))</f>
        <v/>
      </c>
      <c r="F198" s="73" t="str">
        <f aca="false">IF(C198="","",IFERROR(INDEX('REGISTRE ELEVES'!$E$10:$E$250,MATCH(C198,'REGISTRE ELEVES'!$B$10:$B$250,0)),""))</f>
        <v/>
      </c>
      <c r="G198" s="116"/>
      <c r="H198" s="117"/>
      <c r="I198" s="116"/>
      <c r="J198" s="118"/>
      <c r="K198" s="116"/>
      <c r="L198" s="118"/>
      <c r="M198" s="51" t="str">
        <f aca="false">IF(B198="","",MONTH(B198))</f>
        <v/>
      </c>
      <c r="N198" s="51" t="str">
        <f aca="false">IF(B198="","",YEAR(B198))</f>
        <v/>
      </c>
      <c r="O198" s="51" t="str">
        <f aca="false">IF(B198="","",C198&amp;"|"&amp;M198&amp;"|"&amp;N198)</f>
        <v/>
      </c>
    </row>
    <row r="199" customFormat="false" ht="15" hidden="false" customHeight="false" outlineLevel="0" collapsed="false">
      <c r="A199" s="73" t="str">
        <f aca="false">IF(B199="","",ROW()-9)</f>
        <v/>
      </c>
      <c r="B199" s="115"/>
      <c r="C199" s="116"/>
      <c r="D199" s="74" t="str">
        <f aca="false">IF(C199="","",IFERROR(INDEX('REGISTRE ELEVES'!$D$10:$D$250,MATCH(C199,'REGISTRE ELEVES'!$B$10:$B$250,0)),"Matricule inconnu"))</f>
        <v/>
      </c>
      <c r="E199" s="73" t="str">
        <f aca="false">IF(C199="","",IFERROR(INDEX('REGISTRE ELEVES'!$F$10:$F$250,MATCH(C199,'REGISTRE ELEVES'!$B$10:$B$250,0)),""))</f>
        <v/>
      </c>
      <c r="F199" s="73" t="str">
        <f aca="false">IF(C199="","",IFERROR(INDEX('REGISTRE ELEVES'!$E$10:$E$250,MATCH(C199,'REGISTRE ELEVES'!$B$10:$B$250,0)),""))</f>
        <v/>
      </c>
      <c r="G199" s="116"/>
      <c r="H199" s="117"/>
      <c r="I199" s="116"/>
      <c r="J199" s="118"/>
      <c r="K199" s="116"/>
      <c r="L199" s="118"/>
      <c r="M199" s="51" t="str">
        <f aca="false">IF(B199="","",MONTH(B199))</f>
        <v/>
      </c>
      <c r="N199" s="51" t="str">
        <f aca="false">IF(B199="","",YEAR(B199))</f>
        <v/>
      </c>
      <c r="O199" s="51" t="str">
        <f aca="false">IF(B199="","",C199&amp;"|"&amp;M199&amp;"|"&amp;N199)</f>
        <v/>
      </c>
    </row>
    <row r="200" customFormat="false" ht="15" hidden="false" customHeight="false" outlineLevel="0" collapsed="false">
      <c r="A200" s="73" t="str">
        <f aca="false">IF(B200="","",ROW()-9)</f>
        <v/>
      </c>
      <c r="B200" s="115"/>
      <c r="C200" s="116"/>
      <c r="D200" s="74" t="str">
        <f aca="false">IF(C200="","",IFERROR(INDEX('REGISTRE ELEVES'!$D$10:$D$250,MATCH(C200,'REGISTRE ELEVES'!$B$10:$B$250,0)),"Matricule inconnu"))</f>
        <v/>
      </c>
      <c r="E200" s="73" t="str">
        <f aca="false">IF(C200="","",IFERROR(INDEX('REGISTRE ELEVES'!$F$10:$F$250,MATCH(C200,'REGISTRE ELEVES'!$B$10:$B$250,0)),""))</f>
        <v/>
      </c>
      <c r="F200" s="73" t="str">
        <f aca="false">IF(C200="","",IFERROR(INDEX('REGISTRE ELEVES'!$E$10:$E$250,MATCH(C200,'REGISTRE ELEVES'!$B$10:$B$250,0)),""))</f>
        <v/>
      </c>
      <c r="G200" s="116"/>
      <c r="H200" s="117"/>
      <c r="I200" s="116"/>
      <c r="J200" s="118"/>
      <c r="K200" s="116"/>
      <c r="L200" s="118"/>
      <c r="M200" s="51" t="str">
        <f aca="false">IF(B200="","",MONTH(B200))</f>
        <v/>
      </c>
      <c r="N200" s="51" t="str">
        <f aca="false">IF(B200="","",YEAR(B200))</f>
        <v/>
      </c>
      <c r="O200" s="51" t="str">
        <f aca="false">IF(B200="","",C200&amp;"|"&amp;M200&amp;"|"&amp;N200)</f>
        <v/>
      </c>
    </row>
    <row r="201" customFormat="false" ht="15" hidden="false" customHeight="false" outlineLevel="0" collapsed="false">
      <c r="A201" s="73" t="str">
        <f aca="false">IF(B201="","",ROW()-9)</f>
        <v/>
      </c>
      <c r="B201" s="115"/>
      <c r="C201" s="116"/>
      <c r="D201" s="74" t="str">
        <f aca="false">IF(C201="","",IFERROR(INDEX('REGISTRE ELEVES'!$D$10:$D$250,MATCH(C201,'REGISTRE ELEVES'!$B$10:$B$250,0)),"Matricule inconnu"))</f>
        <v/>
      </c>
      <c r="E201" s="73" t="str">
        <f aca="false">IF(C201="","",IFERROR(INDEX('REGISTRE ELEVES'!$F$10:$F$250,MATCH(C201,'REGISTRE ELEVES'!$B$10:$B$250,0)),""))</f>
        <v/>
      </c>
      <c r="F201" s="73" t="str">
        <f aca="false">IF(C201="","",IFERROR(INDEX('REGISTRE ELEVES'!$E$10:$E$250,MATCH(C201,'REGISTRE ELEVES'!$B$10:$B$250,0)),""))</f>
        <v/>
      </c>
      <c r="G201" s="116"/>
      <c r="H201" s="117"/>
      <c r="I201" s="116"/>
      <c r="J201" s="118"/>
      <c r="K201" s="116"/>
      <c r="L201" s="118"/>
      <c r="M201" s="51" t="str">
        <f aca="false">IF(B201="","",MONTH(B201))</f>
        <v/>
      </c>
      <c r="N201" s="51" t="str">
        <f aca="false">IF(B201="","",YEAR(B201))</f>
        <v/>
      </c>
      <c r="O201" s="51" t="str">
        <f aca="false">IF(B201="","",C201&amp;"|"&amp;M201&amp;"|"&amp;N201)</f>
        <v/>
      </c>
    </row>
    <row r="202" customFormat="false" ht="15" hidden="false" customHeight="false" outlineLevel="0" collapsed="false">
      <c r="A202" s="73" t="str">
        <f aca="false">IF(B202="","",ROW()-9)</f>
        <v/>
      </c>
      <c r="B202" s="115"/>
      <c r="C202" s="116"/>
      <c r="D202" s="74" t="str">
        <f aca="false">IF(C202="","",IFERROR(INDEX('REGISTRE ELEVES'!$D$10:$D$250,MATCH(C202,'REGISTRE ELEVES'!$B$10:$B$250,0)),"Matricule inconnu"))</f>
        <v/>
      </c>
      <c r="E202" s="73" t="str">
        <f aca="false">IF(C202="","",IFERROR(INDEX('REGISTRE ELEVES'!$F$10:$F$250,MATCH(C202,'REGISTRE ELEVES'!$B$10:$B$250,0)),""))</f>
        <v/>
      </c>
      <c r="F202" s="73" t="str">
        <f aca="false">IF(C202="","",IFERROR(INDEX('REGISTRE ELEVES'!$E$10:$E$250,MATCH(C202,'REGISTRE ELEVES'!$B$10:$B$250,0)),""))</f>
        <v/>
      </c>
      <c r="G202" s="116"/>
      <c r="H202" s="117"/>
      <c r="I202" s="116"/>
      <c r="J202" s="118"/>
      <c r="K202" s="116"/>
      <c r="L202" s="118"/>
      <c r="M202" s="51" t="str">
        <f aca="false">IF(B202="","",MONTH(B202))</f>
        <v/>
      </c>
      <c r="N202" s="51" t="str">
        <f aca="false">IF(B202="","",YEAR(B202))</f>
        <v/>
      </c>
      <c r="O202" s="51" t="str">
        <f aca="false">IF(B202="","",C202&amp;"|"&amp;M202&amp;"|"&amp;N202)</f>
        <v/>
      </c>
    </row>
    <row r="203" customFormat="false" ht="15" hidden="false" customHeight="false" outlineLevel="0" collapsed="false">
      <c r="A203" s="73" t="str">
        <f aca="false">IF(B203="","",ROW()-9)</f>
        <v/>
      </c>
      <c r="B203" s="115"/>
      <c r="C203" s="116"/>
      <c r="D203" s="74" t="str">
        <f aca="false">IF(C203="","",IFERROR(INDEX('REGISTRE ELEVES'!$D$10:$D$250,MATCH(C203,'REGISTRE ELEVES'!$B$10:$B$250,0)),"Matricule inconnu"))</f>
        <v/>
      </c>
      <c r="E203" s="73" t="str">
        <f aca="false">IF(C203="","",IFERROR(INDEX('REGISTRE ELEVES'!$F$10:$F$250,MATCH(C203,'REGISTRE ELEVES'!$B$10:$B$250,0)),""))</f>
        <v/>
      </c>
      <c r="F203" s="73" t="str">
        <f aca="false">IF(C203="","",IFERROR(INDEX('REGISTRE ELEVES'!$E$10:$E$250,MATCH(C203,'REGISTRE ELEVES'!$B$10:$B$250,0)),""))</f>
        <v/>
      </c>
      <c r="G203" s="116"/>
      <c r="H203" s="117"/>
      <c r="I203" s="116"/>
      <c r="J203" s="118"/>
      <c r="K203" s="116"/>
      <c r="L203" s="118"/>
      <c r="M203" s="51" t="str">
        <f aca="false">IF(B203="","",MONTH(B203))</f>
        <v/>
      </c>
      <c r="N203" s="51" t="str">
        <f aca="false">IF(B203="","",YEAR(B203))</f>
        <v/>
      </c>
      <c r="O203" s="51" t="str">
        <f aca="false">IF(B203="","",C203&amp;"|"&amp;M203&amp;"|"&amp;N203)</f>
        <v/>
      </c>
    </row>
    <row r="204" customFormat="false" ht="15" hidden="false" customHeight="false" outlineLevel="0" collapsed="false">
      <c r="A204" s="73" t="str">
        <f aca="false">IF(B204="","",ROW()-9)</f>
        <v/>
      </c>
      <c r="B204" s="115"/>
      <c r="C204" s="116"/>
      <c r="D204" s="74" t="str">
        <f aca="false">IF(C204="","",IFERROR(INDEX('REGISTRE ELEVES'!$D$10:$D$250,MATCH(C204,'REGISTRE ELEVES'!$B$10:$B$250,0)),"Matricule inconnu"))</f>
        <v/>
      </c>
      <c r="E204" s="73" t="str">
        <f aca="false">IF(C204="","",IFERROR(INDEX('REGISTRE ELEVES'!$F$10:$F$250,MATCH(C204,'REGISTRE ELEVES'!$B$10:$B$250,0)),""))</f>
        <v/>
      </c>
      <c r="F204" s="73" t="str">
        <f aca="false">IF(C204="","",IFERROR(INDEX('REGISTRE ELEVES'!$E$10:$E$250,MATCH(C204,'REGISTRE ELEVES'!$B$10:$B$250,0)),""))</f>
        <v/>
      </c>
      <c r="G204" s="116"/>
      <c r="H204" s="117"/>
      <c r="I204" s="116"/>
      <c r="J204" s="118"/>
      <c r="K204" s="116"/>
      <c r="L204" s="118"/>
      <c r="M204" s="51" t="str">
        <f aca="false">IF(B204="","",MONTH(B204))</f>
        <v/>
      </c>
      <c r="N204" s="51" t="str">
        <f aca="false">IF(B204="","",YEAR(B204))</f>
        <v/>
      </c>
      <c r="O204" s="51" t="str">
        <f aca="false">IF(B204="","",C204&amp;"|"&amp;M204&amp;"|"&amp;N204)</f>
        <v/>
      </c>
    </row>
    <row r="205" customFormat="false" ht="15" hidden="false" customHeight="false" outlineLevel="0" collapsed="false">
      <c r="A205" s="73" t="str">
        <f aca="false">IF(B205="","",ROW()-9)</f>
        <v/>
      </c>
      <c r="B205" s="115"/>
      <c r="C205" s="116"/>
      <c r="D205" s="74" t="str">
        <f aca="false">IF(C205="","",IFERROR(INDEX('REGISTRE ELEVES'!$D$10:$D$250,MATCH(C205,'REGISTRE ELEVES'!$B$10:$B$250,0)),"Matricule inconnu"))</f>
        <v/>
      </c>
      <c r="E205" s="73" t="str">
        <f aca="false">IF(C205="","",IFERROR(INDEX('REGISTRE ELEVES'!$F$10:$F$250,MATCH(C205,'REGISTRE ELEVES'!$B$10:$B$250,0)),""))</f>
        <v/>
      </c>
      <c r="F205" s="73" t="str">
        <f aca="false">IF(C205="","",IFERROR(INDEX('REGISTRE ELEVES'!$E$10:$E$250,MATCH(C205,'REGISTRE ELEVES'!$B$10:$B$250,0)),""))</f>
        <v/>
      </c>
      <c r="G205" s="116"/>
      <c r="H205" s="117"/>
      <c r="I205" s="116"/>
      <c r="J205" s="118"/>
      <c r="K205" s="116"/>
      <c r="L205" s="118"/>
      <c r="M205" s="51" t="str">
        <f aca="false">IF(B205="","",MONTH(B205))</f>
        <v/>
      </c>
      <c r="N205" s="51" t="str">
        <f aca="false">IF(B205="","",YEAR(B205))</f>
        <v/>
      </c>
      <c r="O205" s="51" t="str">
        <f aca="false">IF(B205="","",C205&amp;"|"&amp;M205&amp;"|"&amp;N205)</f>
        <v/>
      </c>
    </row>
    <row r="206" customFormat="false" ht="15" hidden="false" customHeight="false" outlineLevel="0" collapsed="false">
      <c r="A206" s="73" t="str">
        <f aca="false">IF(B206="","",ROW()-9)</f>
        <v/>
      </c>
      <c r="B206" s="115"/>
      <c r="C206" s="116"/>
      <c r="D206" s="74" t="str">
        <f aca="false">IF(C206="","",IFERROR(INDEX('REGISTRE ELEVES'!$D$10:$D$250,MATCH(C206,'REGISTRE ELEVES'!$B$10:$B$250,0)),"Matricule inconnu"))</f>
        <v/>
      </c>
      <c r="E206" s="73" t="str">
        <f aca="false">IF(C206="","",IFERROR(INDEX('REGISTRE ELEVES'!$F$10:$F$250,MATCH(C206,'REGISTRE ELEVES'!$B$10:$B$250,0)),""))</f>
        <v/>
      </c>
      <c r="F206" s="73" t="str">
        <f aca="false">IF(C206="","",IFERROR(INDEX('REGISTRE ELEVES'!$E$10:$E$250,MATCH(C206,'REGISTRE ELEVES'!$B$10:$B$250,0)),""))</f>
        <v/>
      </c>
      <c r="G206" s="116"/>
      <c r="H206" s="117"/>
      <c r="I206" s="116"/>
      <c r="J206" s="118"/>
      <c r="K206" s="116"/>
      <c r="L206" s="118"/>
      <c r="M206" s="51" t="str">
        <f aca="false">IF(B206="","",MONTH(B206))</f>
        <v/>
      </c>
      <c r="N206" s="51" t="str">
        <f aca="false">IF(B206="","",YEAR(B206))</f>
        <v/>
      </c>
      <c r="O206" s="51" t="str">
        <f aca="false">IF(B206="","",C206&amp;"|"&amp;M206&amp;"|"&amp;N206)</f>
        <v/>
      </c>
    </row>
    <row r="207" customFormat="false" ht="15" hidden="false" customHeight="false" outlineLevel="0" collapsed="false">
      <c r="A207" s="73" t="str">
        <f aca="false">IF(B207="","",ROW()-9)</f>
        <v/>
      </c>
      <c r="B207" s="115"/>
      <c r="C207" s="116"/>
      <c r="D207" s="74" t="str">
        <f aca="false">IF(C207="","",IFERROR(INDEX('REGISTRE ELEVES'!$D$10:$D$250,MATCH(C207,'REGISTRE ELEVES'!$B$10:$B$250,0)),"Matricule inconnu"))</f>
        <v/>
      </c>
      <c r="E207" s="73" t="str">
        <f aca="false">IF(C207="","",IFERROR(INDEX('REGISTRE ELEVES'!$F$10:$F$250,MATCH(C207,'REGISTRE ELEVES'!$B$10:$B$250,0)),""))</f>
        <v/>
      </c>
      <c r="F207" s="73" t="str">
        <f aca="false">IF(C207="","",IFERROR(INDEX('REGISTRE ELEVES'!$E$10:$E$250,MATCH(C207,'REGISTRE ELEVES'!$B$10:$B$250,0)),""))</f>
        <v/>
      </c>
      <c r="G207" s="116"/>
      <c r="H207" s="117"/>
      <c r="I207" s="116"/>
      <c r="J207" s="118"/>
      <c r="K207" s="116"/>
      <c r="L207" s="118"/>
      <c r="M207" s="51" t="str">
        <f aca="false">IF(B207="","",MONTH(B207))</f>
        <v/>
      </c>
      <c r="N207" s="51" t="str">
        <f aca="false">IF(B207="","",YEAR(B207))</f>
        <v/>
      </c>
      <c r="O207" s="51" t="str">
        <f aca="false">IF(B207="","",C207&amp;"|"&amp;M207&amp;"|"&amp;N207)</f>
        <v/>
      </c>
    </row>
    <row r="208" customFormat="false" ht="15" hidden="false" customHeight="false" outlineLevel="0" collapsed="false">
      <c r="A208" s="73" t="str">
        <f aca="false">IF(B208="","",ROW()-9)</f>
        <v/>
      </c>
      <c r="B208" s="115"/>
      <c r="C208" s="116"/>
      <c r="D208" s="74" t="str">
        <f aca="false">IF(C208="","",IFERROR(INDEX('REGISTRE ELEVES'!$D$10:$D$250,MATCH(C208,'REGISTRE ELEVES'!$B$10:$B$250,0)),"Matricule inconnu"))</f>
        <v/>
      </c>
      <c r="E208" s="73" t="str">
        <f aca="false">IF(C208="","",IFERROR(INDEX('REGISTRE ELEVES'!$F$10:$F$250,MATCH(C208,'REGISTRE ELEVES'!$B$10:$B$250,0)),""))</f>
        <v/>
      </c>
      <c r="F208" s="73" t="str">
        <f aca="false">IF(C208="","",IFERROR(INDEX('REGISTRE ELEVES'!$E$10:$E$250,MATCH(C208,'REGISTRE ELEVES'!$B$10:$B$250,0)),""))</f>
        <v/>
      </c>
      <c r="G208" s="116"/>
      <c r="H208" s="117"/>
      <c r="I208" s="116"/>
      <c r="J208" s="118"/>
      <c r="K208" s="116"/>
      <c r="L208" s="118"/>
      <c r="M208" s="51" t="str">
        <f aca="false">IF(B208="","",MONTH(B208))</f>
        <v/>
      </c>
      <c r="N208" s="51" t="str">
        <f aca="false">IF(B208="","",YEAR(B208))</f>
        <v/>
      </c>
      <c r="O208" s="51" t="str">
        <f aca="false">IF(B208="","",C208&amp;"|"&amp;M208&amp;"|"&amp;N208)</f>
        <v/>
      </c>
    </row>
    <row r="209" customFormat="false" ht="15" hidden="false" customHeight="false" outlineLevel="0" collapsed="false">
      <c r="A209" s="73" t="str">
        <f aca="false">IF(B209="","",ROW()-9)</f>
        <v/>
      </c>
      <c r="B209" s="115"/>
      <c r="C209" s="116"/>
      <c r="D209" s="74" t="str">
        <f aca="false">IF(C209="","",IFERROR(INDEX('REGISTRE ELEVES'!$D$10:$D$250,MATCH(C209,'REGISTRE ELEVES'!$B$10:$B$250,0)),"Matricule inconnu"))</f>
        <v/>
      </c>
      <c r="E209" s="73" t="str">
        <f aca="false">IF(C209="","",IFERROR(INDEX('REGISTRE ELEVES'!$F$10:$F$250,MATCH(C209,'REGISTRE ELEVES'!$B$10:$B$250,0)),""))</f>
        <v/>
      </c>
      <c r="F209" s="73" t="str">
        <f aca="false">IF(C209="","",IFERROR(INDEX('REGISTRE ELEVES'!$E$10:$E$250,MATCH(C209,'REGISTRE ELEVES'!$B$10:$B$250,0)),""))</f>
        <v/>
      </c>
      <c r="G209" s="116"/>
      <c r="H209" s="117"/>
      <c r="I209" s="116"/>
      <c r="J209" s="118"/>
      <c r="K209" s="116"/>
      <c r="L209" s="118"/>
      <c r="M209" s="51" t="str">
        <f aca="false">IF(B209="","",MONTH(B209))</f>
        <v/>
      </c>
      <c r="N209" s="51" t="str">
        <f aca="false">IF(B209="","",YEAR(B209))</f>
        <v/>
      </c>
      <c r="O209" s="51" t="str">
        <f aca="false">IF(B209="","",C209&amp;"|"&amp;M209&amp;"|"&amp;N209)</f>
        <v/>
      </c>
    </row>
    <row r="210" customFormat="false" ht="15" hidden="false" customHeight="false" outlineLevel="0" collapsed="false">
      <c r="A210" s="73" t="str">
        <f aca="false">IF(B210="","",ROW()-9)</f>
        <v/>
      </c>
      <c r="B210" s="115"/>
      <c r="C210" s="116"/>
      <c r="D210" s="74" t="str">
        <f aca="false">IF(C210="","",IFERROR(INDEX('REGISTRE ELEVES'!$D$10:$D$250,MATCH(C210,'REGISTRE ELEVES'!$B$10:$B$250,0)),"Matricule inconnu"))</f>
        <v/>
      </c>
      <c r="E210" s="73" t="str">
        <f aca="false">IF(C210="","",IFERROR(INDEX('REGISTRE ELEVES'!$F$10:$F$250,MATCH(C210,'REGISTRE ELEVES'!$B$10:$B$250,0)),""))</f>
        <v/>
      </c>
      <c r="F210" s="73" t="str">
        <f aca="false">IF(C210="","",IFERROR(INDEX('REGISTRE ELEVES'!$E$10:$E$250,MATCH(C210,'REGISTRE ELEVES'!$B$10:$B$250,0)),""))</f>
        <v/>
      </c>
      <c r="G210" s="116"/>
      <c r="H210" s="117"/>
      <c r="I210" s="116"/>
      <c r="J210" s="118"/>
      <c r="K210" s="116"/>
      <c r="L210" s="118"/>
      <c r="M210" s="51" t="str">
        <f aca="false">IF(B210="","",MONTH(B210))</f>
        <v/>
      </c>
      <c r="N210" s="51" t="str">
        <f aca="false">IF(B210="","",YEAR(B210))</f>
        <v/>
      </c>
      <c r="O210" s="51" t="str">
        <f aca="false">IF(B210="","",C210&amp;"|"&amp;M210&amp;"|"&amp;N210)</f>
        <v/>
      </c>
    </row>
    <row r="211" customFormat="false" ht="15" hidden="false" customHeight="false" outlineLevel="0" collapsed="false">
      <c r="A211" s="73" t="str">
        <f aca="false">IF(B211="","",ROW()-9)</f>
        <v/>
      </c>
      <c r="B211" s="115"/>
      <c r="C211" s="116"/>
      <c r="D211" s="74" t="str">
        <f aca="false">IF(C211="","",IFERROR(INDEX('REGISTRE ELEVES'!$D$10:$D$250,MATCH(C211,'REGISTRE ELEVES'!$B$10:$B$250,0)),"Matricule inconnu"))</f>
        <v/>
      </c>
      <c r="E211" s="73" t="str">
        <f aca="false">IF(C211="","",IFERROR(INDEX('REGISTRE ELEVES'!$F$10:$F$250,MATCH(C211,'REGISTRE ELEVES'!$B$10:$B$250,0)),""))</f>
        <v/>
      </c>
      <c r="F211" s="73" t="str">
        <f aca="false">IF(C211="","",IFERROR(INDEX('REGISTRE ELEVES'!$E$10:$E$250,MATCH(C211,'REGISTRE ELEVES'!$B$10:$B$250,0)),""))</f>
        <v/>
      </c>
      <c r="G211" s="116"/>
      <c r="H211" s="117"/>
      <c r="I211" s="116"/>
      <c r="J211" s="118"/>
      <c r="K211" s="116"/>
      <c r="L211" s="118"/>
      <c r="M211" s="51" t="str">
        <f aca="false">IF(B211="","",MONTH(B211))</f>
        <v/>
      </c>
      <c r="N211" s="51" t="str">
        <f aca="false">IF(B211="","",YEAR(B211))</f>
        <v/>
      </c>
      <c r="O211" s="51" t="str">
        <f aca="false">IF(B211="","",C211&amp;"|"&amp;M211&amp;"|"&amp;N211)</f>
        <v/>
      </c>
    </row>
    <row r="212" customFormat="false" ht="15" hidden="false" customHeight="false" outlineLevel="0" collapsed="false">
      <c r="A212" s="73" t="str">
        <f aca="false">IF(B212="","",ROW()-9)</f>
        <v/>
      </c>
      <c r="B212" s="115"/>
      <c r="C212" s="116"/>
      <c r="D212" s="74" t="str">
        <f aca="false">IF(C212="","",IFERROR(INDEX('REGISTRE ELEVES'!$D$10:$D$250,MATCH(C212,'REGISTRE ELEVES'!$B$10:$B$250,0)),"Matricule inconnu"))</f>
        <v/>
      </c>
      <c r="E212" s="73" t="str">
        <f aca="false">IF(C212="","",IFERROR(INDEX('REGISTRE ELEVES'!$F$10:$F$250,MATCH(C212,'REGISTRE ELEVES'!$B$10:$B$250,0)),""))</f>
        <v/>
      </c>
      <c r="F212" s="73" t="str">
        <f aca="false">IF(C212="","",IFERROR(INDEX('REGISTRE ELEVES'!$E$10:$E$250,MATCH(C212,'REGISTRE ELEVES'!$B$10:$B$250,0)),""))</f>
        <v/>
      </c>
      <c r="G212" s="116"/>
      <c r="H212" s="117"/>
      <c r="I212" s="116"/>
      <c r="J212" s="118"/>
      <c r="K212" s="116"/>
      <c r="L212" s="118"/>
      <c r="M212" s="51" t="str">
        <f aca="false">IF(B212="","",MONTH(B212))</f>
        <v/>
      </c>
      <c r="N212" s="51" t="str">
        <f aca="false">IF(B212="","",YEAR(B212))</f>
        <v/>
      </c>
      <c r="O212" s="51" t="str">
        <f aca="false">IF(B212="","",C212&amp;"|"&amp;M212&amp;"|"&amp;N212)</f>
        <v/>
      </c>
    </row>
    <row r="213" customFormat="false" ht="15" hidden="false" customHeight="false" outlineLevel="0" collapsed="false">
      <c r="A213" s="73" t="str">
        <f aca="false">IF(B213="","",ROW()-9)</f>
        <v/>
      </c>
      <c r="B213" s="115"/>
      <c r="C213" s="116"/>
      <c r="D213" s="74" t="str">
        <f aca="false">IF(C213="","",IFERROR(INDEX('REGISTRE ELEVES'!$D$10:$D$250,MATCH(C213,'REGISTRE ELEVES'!$B$10:$B$250,0)),"Matricule inconnu"))</f>
        <v/>
      </c>
      <c r="E213" s="73" t="str">
        <f aca="false">IF(C213="","",IFERROR(INDEX('REGISTRE ELEVES'!$F$10:$F$250,MATCH(C213,'REGISTRE ELEVES'!$B$10:$B$250,0)),""))</f>
        <v/>
      </c>
      <c r="F213" s="73" t="str">
        <f aca="false">IF(C213="","",IFERROR(INDEX('REGISTRE ELEVES'!$E$10:$E$250,MATCH(C213,'REGISTRE ELEVES'!$B$10:$B$250,0)),""))</f>
        <v/>
      </c>
      <c r="G213" s="116"/>
      <c r="H213" s="117"/>
      <c r="I213" s="116"/>
      <c r="J213" s="118"/>
      <c r="K213" s="116"/>
      <c r="L213" s="118"/>
      <c r="M213" s="51" t="str">
        <f aca="false">IF(B213="","",MONTH(B213))</f>
        <v/>
      </c>
      <c r="N213" s="51" t="str">
        <f aca="false">IF(B213="","",YEAR(B213))</f>
        <v/>
      </c>
      <c r="O213" s="51" t="str">
        <f aca="false">IF(B213="","",C213&amp;"|"&amp;M213&amp;"|"&amp;N213)</f>
        <v/>
      </c>
    </row>
    <row r="214" customFormat="false" ht="15" hidden="false" customHeight="false" outlineLevel="0" collapsed="false">
      <c r="A214" s="73" t="str">
        <f aca="false">IF(B214="","",ROW()-9)</f>
        <v/>
      </c>
      <c r="B214" s="115"/>
      <c r="C214" s="116"/>
      <c r="D214" s="74" t="str">
        <f aca="false">IF(C214="","",IFERROR(INDEX('REGISTRE ELEVES'!$D$10:$D$250,MATCH(C214,'REGISTRE ELEVES'!$B$10:$B$250,0)),"Matricule inconnu"))</f>
        <v/>
      </c>
      <c r="E214" s="73" t="str">
        <f aca="false">IF(C214="","",IFERROR(INDEX('REGISTRE ELEVES'!$F$10:$F$250,MATCH(C214,'REGISTRE ELEVES'!$B$10:$B$250,0)),""))</f>
        <v/>
      </c>
      <c r="F214" s="73" t="str">
        <f aca="false">IF(C214="","",IFERROR(INDEX('REGISTRE ELEVES'!$E$10:$E$250,MATCH(C214,'REGISTRE ELEVES'!$B$10:$B$250,0)),""))</f>
        <v/>
      </c>
      <c r="G214" s="116"/>
      <c r="H214" s="117"/>
      <c r="I214" s="116"/>
      <c r="J214" s="118"/>
      <c r="K214" s="116"/>
      <c r="L214" s="118"/>
      <c r="M214" s="51" t="str">
        <f aca="false">IF(B214="","",MONTH(B214))</f>
        <v/>
      </c>
      <c r="N214" s="51" t="str">
        <f aca="false">IF(B214="","",YEAR(B214))</f>
        <v/>
      </c>
      <c r="O214" s="51" t="str">
        <f aca="false">IF(B214="","",C214&amp;"|"&amp;M214&amp;"|"&amp;N214)</f>
        <v/>
      </c>
    </row>
    <row r="215" customFormat="false" ht="15" hidden="false" customHeight="false" outlineLevel="0" collapsed="false">
      <c r="A215" s="73" t="str">
        <f aca="false">IF(B215="","",ROW()-9)</f>
        <v/>
      </c>
      <c r="B215" s="115"/>
      <c r="C215" s="116"/>
      <c r="D215" s="74" t="str">
        <f aca="false">IF(C215="","",IFERROR(INDEX('REGISTRE ELEVES'!$D$10:$D$250,MATCH(C215,'REGISTRE ELEVES'!$B$10:$B$250,0)),"Matricule inconnu"))</f>
        <v/>
      </c>
      <c r="E215" s="73" t="str">
        <f aca="false">IF(C215="","",IFERROR(INDEX('REGISTRE ELEVES'!$F$10:$F$250,MATCH(C215,'REGISTRE ELEVES'!$B$10:$B$250,0)),""))</f>
        <v/>
      </c>
      <c r="F215" s="73" t="str">
        <f aca="false">IF(C215="","",IFERROR(INDEX('REGISTRE ELEVES'!$E$10:$E$250,MATCH(C215,'REGISTRE ELEVES'!$B$10:$B$250,0)),""))</f>
        <v/>
      </c>
      <c r="G215" s="116"/>
      <c r="H215" s="117"/>
      <c r="I215" s="116"/>
      <c r="J215" s="118"/>
      <c r="K215" s="116"/>
      <c r="L215" s="118"/>
      <c r="M215" s="51" t="str">
        <f aca="false">IF(B215="","",MONTH(B215))</f>
        <v/>
      </c>
      <c r="N215" s="51" t="str">
        <f aca="false">IF(B215="","",YEAR(B215))</f>
        <v/>
      </c>
      <c r="O215" s="51" t="str">
        <f aca="false">IF(B215="","",C215&amp;"|"&amp;M215&amp;"|"&amp;N215)</f>
        <v/>
      </c>
    </row>
    <row r="216" customFormat="false" ht="15" hidden="false" customHeight="false" outlineLevel="0" collapsed="false">
      <c r="A216" s="73" t="str">
        <f aca="false">IF(B216="","",ROW()-9)</f>
        <v/>
      </c>
      <c r="B216" s="115"/>
      <c r="C216" s="116"/>
      <c r="D216" s="74" t="str">
        <f aca="false">IF(C216="","",IFERROR(INDEX('REGISTRE ELEVES'!$D$10:$D$250,MATCH(C216,'REGISTRE ELEVES'!$B$10:$B$250,0)),"Matricule inconnu"))</f>
        <v/>
      </c>
      <c r="E216" s="73" t="str">
        <f aca="false">IF(C216="","",IFERROR(INDEX('REGISTRE ELEVES'!$F$10:$F$250,MATCH(C216,'REGISTRE ELEVES'!$B$10:$B$250,0)),""))</f>
        <v/>
      </c>
      <c r="F216" s="73" t="str">
        <f aca="false">IF(C216="","",IFERROR(INDEX('REGISTRE ELEVES'!$E$10:$E$250,MATCH(C216,'REGISTRE ELEVES'!$B$10:$B$250,0)),""))</f>
        <v/>
      </c>
      <c r="G216" s="116"/>
      <c r="H216" s="117"/>
      <c r="I216" s="116"/>
      <c r="J216" s="118"/>
      <c r="K216" s="116"/>
      <c r="L216" s="118"/>
      <c r="M216" s="51" t="str">
        <f aca="false">IF(B216="","",MONTH(B216))</f>
        <v/>
      </c>
      <c r="N216" s="51" t="str">
        <f aca="false">IF(B216="","",YEAR(B216))</f>
        <v/>
      </c>
      <c r="O216" s="51" t="str">
        <f aca="false">IF(B216="","",C216&amp;"|"&amp;M216&amp;"|"&amp;N216)</f>
        <v/>
      </c>
    </row>
    <row r="217" customFormat="false" ht="15" hidden="false" customHeight="false" outlineLevel="0" collapsed="false">
      <c r="A217" s="73" t="str">
        <f aca="false">IF(B217="","",ROW()-9)</f>
        <v/>
      </c>
      <c r="B217" s="115"/>
      <c r="C217" s="116"/>
      <c r="D217" s="74" t="str">
        <f aca="false">IF(C217="","",IFERROR(INDEX('REGISTRE ELEVES'!$D$10:$D$250,MATCH(C217,'REGISTRE ELEVES'!$B$10:$B$250,0)),"Matricule inconnu"))</f>
        <v/>
      </c>
      <c r="E217" s="73" t="str">
        <f aca="false">IF(C217="","",IFERROR(INDEX('REGISTRE ELEVES'!$F$10:$F$250,MATCH(C217,'REGISTRE ELEVES'!$B$10:$B$250,0)),""))</f>
        <v/>
      </c>
      <c r="F217" s="73" t="str">
        <f aca="false">IF(C217="","",IFERROR(INDEX('REGISTRE ELEVES'!$E$10:$E$250,MATCH(C217,'REGISTRE ELEVES'!$B$10:$B$250,0)),""))</f>
        <v/>
      </c>
      <c r="G217" s="116"/>
      <c r="H217" s="117"/>
      <c r="I217" s="116"/>
      <c r="J217" s="118"/>
      <c r="K217" s="116"/>
      <c r="L217" s="118"/>
      <c r="M217" s="51" t="str">
        <f aca="false">IF(B217="","",MONTH(B217))</f>
        <v/>
      </c>
      <c r="N217" s="51" t="str">
        <f aca="false">IF(B217="","",YEAR(B217))</f>
        <v/>
      </c>
      <c r="O217" s="51" t="str">
        <f aca="false">IF(B217="","",C217&amp;"|"&amp;M217&amp;"|"&amp;N217)</f>
        <v/>
      </c>
    </row>
    <row r="218" customFormat="false" ht="15" hidden="false" customHeight="false" outlineLevel="0" collapsed="false">
      <c r="A218" s="73" t="str">
        <f aca="false">IF(B218="","",ROW()-9)</f>
        <v/>
      </c>
      <c r="B218" s="115"/>
      <c r="C218" s="116"/>
      <c r="D218" s="74" t="str">
        <f aca="false">IF(C218="","",IFERROR(INDEX('REGISTRE ELEVES'!$D$10:$D$250,MATCH(C218,'REGISTRE ELEVES'!$B$10:$B$250,0)),"Matricule inconnu"))</f>
        <v/>
      </c>
      <c r="E218" s="73" t="str">
        <f aca="false">IF(C218="","",IFERROR(INDEX('REGISTRE ELEVES'!$F$10:$F$250,MATCH(C218,'REGISTRE ELEVES'!$B$10:$B$250,0)),""))</f>
        <v/>
      </c>
      <c r="F218" s="73" t="str">
        <f aca="false">IF(C218="","",IFERROR(INDEX('REGISTRE ELEVES'!$E$10:$E$250,MATCH(C218,'REGISTRE ELEVES'!$B$10:$B$250,0)),""))</f>
        <v/>
      </c>
      <c r="G218" s="116"/>
      <c r="H218" s="117"/>
      <c r="I218" s="116"/>
      <c r="J218" s="118"/>
      <c r="K218" s="116"/>
      <c r="L218" s="118"/>
      <c r="M218" s="51" t="str">
        <f aca="false">IF(B218="","",MONTH(B218))</f>
        <v/>
      </c>
      <c r="N218" s="51" t="str">
        <f aca="false">IF(B218="","",YEAR(B218))</f>
        <v/>
      </c>
      <c r="O218" s="51" t="str">
        <f aca="false">IF(B218="","",C218&amp;"|"&amp;M218&amp;"|"&amp;N218)</f>
        <v/>
      </c>
    </row>
    <row r="219" customFormat="false" ht="15" hidden="false" customHeight="false" outlineLevel="0" collapsed="false">
      <c r="A219" s="73" t="str">
        <f aca="false">IF(B219="","",ROW()-9)</f>
        <v/>
      </c>
      <c r="B219" s="115"/>
      <c r="C219" s="116"/>
      <c r="D219" s="74" t="str">
        <f aca="false">IF(C219="","",IFERROR(INDEX('REGISTRE ELEVES'!$D$10:$D$250,MATCH(C219,'REGISTRE ELEVES'!$B$10:$B$250,0)),"Matricule inconnu"))</f>
        <v/>
      </c>
      <c r="E219" s="73" t="str">
        <f aca="false">IF(C219="","",IFERROR(INDEX('REGISTRE ELEVES'!$F$10:$F$250,MATCH(C219,'REGISTRE ELEVES'!$B$10:$B$250,0)),""))</f>
        <v/>
      </c>
      <c r="F219" s="73" t="str">
        <f aca="false">IF(C219="","",IFERROR(INDEX('REGISTRE ELEVES'!$E$10:$E$250,MATCH(C219,'REGISTRE ELEVES'!$B$10:$B$250,0)),""))</f>
        <v/>
      </c>
      <c r="G219" s="116"/>
      <c r="H219" s="117"/>
      <c r="I219" s="116"/>
      <c r="J219" s="118"/>
      <c r="K219" s="116"/>
      <c r="L219" s="118"/>
      <c r="M219" s="51" t="str">
        <f aca="false">IF(B219="","",MONTH(B219))</f>
        <v/>
      </c>
      <c r="N219" s="51" t="str">
        <f aca="false">IF(B219="","",YEAR(B219))</f>
        <v/>
      </c>
      <c r="O219" s="51" t="str">
        <f aca="false">IF(B219="","",C219&amp;"|"&amp;M219&amp;"|"&amp;N219)</f>
        <v/>
      </c>
    </row>
    <row r="220" customFormat="false" ht="15" hidden="false" customHeight="false" outlineLevel="0" collapsed="false">
      <c r="A220" s="73" t="str">
        <f aca="false">IF(B220="","",ROW()-9)</f>
        <v/>
      </c>
      <c r="B220" s="115"/>
      <c r="C220" s="116"/>
      <c r="D220" s="74" t="str">
        <f aca="false">IF(C220="","",IFERROR(INDEX('REGISTRE ELEVES'!$D$10:$D$250,MATCH(C220,'REGISTRE ELEVES'!$B$10:$B$250,0)),"Matricule inconnu"))</f>
        <v/>
      </c>
      <c r="E220" s="73" t="str">
        <f aca="false">IF(C220="","",IFERROR(INDEX('REGISTRE ELEVES'!$F$10:$F$250,MATCH(C220,'REGISTRE ELEVES'!$B$10:$B$250,0)),""))</f>
        <v/>
      </c>
      <c r="F220" s="73" t="str">
        <f aca="false">IF(C220="","",IFERROR(INDEX('REGISTRE ELEVES'!$E$10:$E$250,MATCH(C220,'REGISTRE ELEVES'!$B$10:$B$250,0)),""))</f>
        <v/>
      </c>
      <c r="G220" s="116"/>
      <c r="H220" s="117"/>
      <c r="I220" s="116"/>
      <c r="J220" s="118"/>
      <c r="K220" s="116"/>
      <c r="L220" s="118"/>
      <c r="M220" s="51" t="str">
        <f aca="false">IF(B220="","",MONTH(B220))</f>
        <v/>
      </c>
      <c r="N220" s="51" t="str">
        <f aca="false">IF(B220="","",YEAR(B220))</f>
        <v/>
      </c>
      <c r="O220" s="51" t="str">
        <f aca="false">IF(B220="","",C220&amp;"|"&amp;M220&amp;"|"&amp;N220)</f>
        <v/>
      </c>
    </row>
    <row r="221" customFormat="false" ht="15" hidden="false" customHeight="false" outlineLevel="0" collapsed="false">
      <c r="A221" s="73" t="str">
        <f aca="false">IF(B221="","",ROW()-9)</f>
        <v/>
      </c>
      <c r="B221" s="115"/>
      <c r="C221" s="116"/>
      <c r="D221" s="74" t="str">
        <f aca="false">IF(C221="","",IFERROR(INDEX('REGISTRE ELEVES'!$D$10:$D$250,MATCH(C221,'REGISTRE ELEVES'!$B$10:$B$250,0)),"Matricule inconnu"))</f>
        <v/>
      </c>
      <c r="E221" s="73" t="str">
        <f aca="false">IF(C221="","",IFERROR(INDEX('REGISTRE ELEVES'!$F$10:$F$250,MATCH(C221,'REGISTRE ELEVES'!$B$10:$B$250,0)),""))</f>
        <v/>
      </c>
      <c r="F221" s="73" t="str">
        <f aca="false">IF(C221="","",IFERROR(INDEX('REGISTRE ELEVES'!$E$10:$E$250,MATCH(C221,'REGISTRE ELEVES'!$B$10:$B$250,0)),""))</f>
        <v/>
      </c>
      <c r="G221" s="116"/>
      <c r="H221" s="117"/>
      <c r="I221" s="116"/>
      <c r="J221" s="118"/>
      <c r="K221" s="116"/>
      <c r="L221" s="118"/>
      <c r="M221" s="51" t="str">
        <f aca="false">IF(B221="","",MONTH(B221))</f>
        <v/>
      </c>
      <c r="N221" s="51" t="str">
        <f aca="false">IF(B221="","",YEAR(B221))</f>
        <v/>
      </c>
      <c r="O221" s="51" t="str">
        <f aca="false">IF(B221="","",C221&amp;"|"&amp;M221&amp;"|"&amp;N221)</f>
        <v/>
      </c>
    </row>
    <row r="222" customFormat="false" ht="15" hidden="false" customHeight="false" outlineLevel="0" collapsed="false">
      <c r="A222" s="73" t="str">
        <f aca="false">IF(B222="","",ROW()-9)</f>
        <v/>
      </c>
      <c r="B222" s="115"/>
      <c r="C222" s="116"/>
      <c r="D222" s="74" t="str">
        <f aca="false">IF(C222="","",IFERROR(INDEX('REGISTRE ELEVES'!$D$10:$D$250,MATCH(C222,'REGISTRE ELEVES'!$B$10:$B$250,0)),"Matricule inconnu"))</f>
        <v/>
      </c>
      <c r="E222" s="73" t="str">
        <f aca="false">IF(C222="","",IFERROR(INDEX('REGISTRE ELEVES'!$F$10:$F$250,MATCH(C222,'REGISTRE ELEVES'!$B$10:$B$250,0)),""))</f>
        <v/>
      </c>
      <c r="F222" s="73" t="str">
        <f aca="false">IF(C222="","",IFERROR(INDEX('REGISTRE ELEVES'!$E$10:$E$250,MATCH(C222,'REGISTRE ELEVES'!$B$10:$B$250,0)),""))</f>
        <v/>
      </c>
      <c r="G222" s="116"/>
      <c r="H222" s="117"/>
      <c r="I222" s="116"/>
      <c r="J222" s="118"/>
      <c r="K222" s="116"/>
      <c r="L222" s="118"/>
      <c r="M222" s="51" t="str">
        <f aca="false">IF(B222="","",MONTH(B222))</f>
        <v/>
      </c>
      <c r="N222" s="51" t="str">
        <f aca="false">IF(B222="","",YEAR(B222))</f>
        <v/>
      </c>
      <c r="O222" s="51" t="str">
        <f aca="false">IF(B222="","",C222&amp;"|"&amp;M222&amp;"|"&amp;N222)</f>
        <v/>
      </c>
    </row>
    <row r="223" customFormat="false" ht="15" hidden="false" customHeight="false" outlineLevel="0" collapsed="false">
      <c r="A223" s="73" t="str">
        <f aca="false">IF(B223="","",ROW()-9)</f>
        <v/>
      </c>
      <c r="B223" s="115"/>
      <c r="C223" s="116"/>
      <c r="D223" s="74" t="str">
        <f aca="false">IF(C223="","",IFERROR(INDEX('REGISTRE ELEVES'!$D$10:$D$250,MATCH(C223,'REGISTRE ELEVES'!$B$10:$B$250,0)),"Matricule inconnu"))</f>
        <v/>
      </c>
      <c r="E223" s="73" t="str">
        <f aca="false">IF(C223="","",IFERROR(INDEX('REGISTRE ELEVES'!$F$10:$F$250,MATCH(C223,'REGISTRE ELEVES'!$B$10:$B$250,0)),""))</f>
        <v/>
      </c>
      <c r="F223" s="73" t="str">
        <f aca="false">IF(C223="","",IFERROR(INDEX('REGISTRE ELEVES'!$E$10:$E$250,MATCH(C223,'REGISTRE ELEVES'!$B$10:$B$250,0)),""))</f>
        <v/>
      </c>
      <c r="G223" s="116"/>
      <c r="H223" s="117"/>
      <c r="I223" s="116"/>
      <c r="J223" s="118"/>
      <c r="K223" s="116"/>
      <c r="L223" s="118"/>
      <c r="M223" s="51" t="str">
        <f aca="false">IF(B223="","",MONTH(B223))</f>
        <v/>
      </c>
      <c r="N223" s="51" t="str">
        <f aca="false">IF(B223="","",YEAR(B223))</f>
        <v/>
      </c>
      <c r="O223" s="51" t="str">
        <f aca="false">IF(B223="","",C223&amp;"|"&amp;M223&amp;"|"&amp;N223)</f>
        <v/>
      </c>
    </row>
    <row r="224" customFormat="false" ht="15" hidden="false" customHeight="false" outlineLevel="0" collapsed="false">
      <c r="A224" s="73" t="str">
        <f aca="false">IF(B224="","",ROW()-9)</f>
        <v/>
      </c>
      <c r="B224" s="115"/>
      <c r="C224" s="116"/>
      <c r="D224" s="74" t="str">
        <f aca="false">IF(C224="","",IFERROR(INDEX('REGISTRE ELEVES'!$D$10:$D$250,MATCH(C224,'REGISTRE ELEVES'!$B$10:$B$250,0)),"Matricule inconnu"))</f>
        <v/>
      </c>
      <c r="E224" s="73" t="str">
        <f aca="false">IF(C224="","",IFERROR(INDEX('REGISTRE ELEVES'!$F$10:$F$250,MATCH(C224,'REGISTRE ELEVES'!$B$10:$B$250,0)),""))</f>
        <v/>
      </c>
      <c r="F224" s="73" t="str">
        <f aca="false">IF(C224="","",IFERROR(INDEX('REGISTRE ELEVES'!$E$10:$E$250,MATCH(C224,'REGISTRE ELEVES'!$B$10:$B$250,0)),""))</f>
        <v/>
      </c>
      <c r="G224" s="116"/>
      <c r="H224" s="117"/>
      <c r="I224" s="116"/>
      <c r="J224" s="118"/>
      <c r="K224" s="116"/>
      <c r="L224" s="118"/>
      <c r="M224" s="51" t="str">
        <f aca="false">IF(B224="","",MONTH(B224))</f>
        <v/>
      </c>
      <c r="N224" s="51" t="str">
        <f aca="false">IF(B224="","",YEAR(B224))</f>
        <v/>
      </c>
      <c r="O224" s="51" t="str">
        <f aca="false">IF(B224="","",C224&amp;"|"&amp;M224&amp;"|"&amp;N224)</f>
        <v/>
      </c>
    </row>
    <row r="225" customFormat="false" ht="15" hidden="false" customHeight="false" outlineLevel="0" collapsed="false">
      <c r="A225" s="73" t="str">
        <f aca="false">IF(B225="","",ROW()-9)</f>
        <v/>
      </c>
      <c r="B225" s="115"/>
      <c r="C225" s="116"/>
      <c r="D225" s="74" t="str">
        <f aca="false">IF(C225="","",IFERROR(INDEX('REGISTRE ELEVES'!$D$10:$D$250,MATCH(C225,'REGISTRE ELEVES'!$B$10:$B$250,0)),"Matricule inconnu"))</f>
        <v/>
      </c>
      <c r="E225" s="73" t="str">
        <f aca="false">IF(C225="","",IFERROR(INDEX('REGISTRE ELEVES'!$F$10:$F$250,MATCH(C225,'REGISTRE ELEVES'!$B$10:$B$250,0)),""))</f>
        <v/>
      </c>
      <c r="F225" s="73" t="str">
        <f aca="false">IF(C225="","",IFERROR(INDEX('REGISTRE ELEVES'!$E$10:$E$250,MATCH(C225,'REGISTRE ELEVES'!$B$10:$B$250,0)),""))</f>
        <v/>
      </c>
      <c r="G225" s="116"/>
      <c r="H225" s="117"/>
      <c r="I225" s="116"/>
      <c r="J225" s="118"/>
      <c r="K225" s="116"/>
      <c r="L225" s="118"/>
      <c r="M225" s="51" t="str">
        <f aca="false">IF(B225="","",MONTH(B225))</f>
        <v/>
      </c>
      <c r="N225" s="51" t="str">
        <f aca="false">IF(B225="","",YEAR(B225))</f>
        <v/>
      </c>
      <c r="O225" s="51" t="str">
        <f aca="false">IF(B225="","",C225&amp;"|"&amp;M225&amp;"|"&amp;N225)</f>
        <v/>
      </c>
    </row>
    <row r="226" customFormat="false" ht="15" hidden="false" customHeight="false" outlineLevel="0" collapsed="false">
      <c r="A226" s="73" t="str">
        <f aca="false">IF(B226="","",ROW()-9)</f>
        <v/>
      </c>
      <c r="B226" s="115"/>
      <c r="C226" s="116"/>
      <c r="D226" s="74" t="str">
        <f aca="false">IF(C226="","",IFERROR(INDEX('REGISTRE ELEVES'!$D$10:$D$250,MATCH(C226,'REGISTRE ELEVES'!$B$10:$B$250,0)),"Matricule inconnu"))</f>
        <v/>
      </c>
      <c r="E226" s="73" t="str">
        <f aca="false">IF(C226="","",IFERROR(INDEX('REGISTRE ELEVES'!$F$10:$F$250,MATCH(C226,'REGISTRE ELEVES'!$B$10:$B$250,0)),""))</f>
        <v/>
      </c>
      <c r="F226" s="73" t="str">
        <f aca="false">IF(C226="","",IFERROR(INDEX('REGISTRE ELEVES'!$E$10:$E$250,MATCH(C226,'REGISTRE ELEVES'!$B$10:$B$250,0)),""))</f>
        <v/>
      </c>
      <c r="G226" s="116"/>
      <c r="H226" s="117"/>
      <c r="I226" s="116"/>
      <c r="J226" s="118"/>
      <c r="K226" s="116"/>
      <c r="L226" s="118"/>
      <c r="M226" s="51" t="str">
        <f aca="false">IF(B226="","",MONTH(B226))</f>
        <v/>
      </c>
      <c r="N226" s="51" t="str">
        <f aca="false">IF(B226="","",YEAR(B226))</f>
        <v/>
      </c>
      <c r="O226" s="51" t="str">
        <f aca="false">IF(B226="","",C226&amp;"|"&amp;M226&amp;"|"&amp;N226)</f>
        <v/>
      </c>
    </row>
    <row r="227" customFormat="false" ht="15" hidden="false" customHeight="false" outlineLevel="0" collapsed="false">
      <c r="A227" s="73" t="str">
        <f aca="false">IF(B227="","",ROW()-9)</f>
        <v/>
      </c>
      <c r="B227" s="115"/>
      <c r="C227" s="116"/>
      <c r="D227" s="74" t="str">
        <f aca="false">IF(C227="","",IFERROR(INDEX('REGISTRE ELEVES'!$D$10:$D$250,MATCH(C227,'REGISTRE ELEVES'!$B$10:$B$250,0)),"Matricule inconnu"))</f>
        <v/>
      </c>
      <c r="E227" s="73" t="str">
        <f aca="false">IF(C227="","",IFERROR(INDEX('REGISTRE ELEVES'!$F$10:$F$250,MATCH(C227,'REGISTRE ELEVES'!$B$10:$B$250,0)),""))</f>
        <v/>
      </c>
      <c r="F227" s="73" t="str">
        <f aca="false">IF(C227="","",IFERROR(INDEX('REGISTRE ELEVES'!$E$10:$E$250,MATCH(C227,'REGISTRE ELEVES'!$B$10:$B$250,0)),""))</f>
        <v/>
      </c>
      <c r="G227" s="116"/>
      <c r="H227" s="117"/>
      <c r="I227" s="116"/>
      <c r="J227" s="118"/>
      <c r="K227" s="116"/>
      <c r="L227" s="118"/>
      <c r="M227" s="51" t="str">
        <f aca="false">IF(B227="","",MONTH(B227))</f>
        <v/>
      </c>
      <c r="N227" s="51" t="str">
        <f aca="false">IF(B227="","",YEAR(B227))</f>
        <v/>
      </c>
      <c r="O227" s="51" t="str">
        <f aca="false">IF(B227="","",C227&amp;"|"&amp;M227&amp;"|"&amp;N227)</f>
        <v/>
      </c>
    </row>
    <row r="228" customFormat="false" ht="15" hidden="false" customHeight="false" outlineLevel="0" collapsed="false">
      <c r="A228" s="73" t="str">
        <f aca="false">IF(B228="","",ROW()-9)</f>
        <v/>
      </c>
      <c r="B228" s="115"/>
      <c r="C228" s="116"/>
      <c r="D228" s="74" t="str">
        <f aca="false">IF(C228="","",IFERROR(INDEX('REGISTRE ELEVES'!$D$10:$D$250,MATCH(C228,'REGISTRE ELEVES'!$B$10:$B$250,0)),"Matricule inconnu"))</f>
        <v/>
      </c>
      <c r="E228" s="73" t="str">
        <f aca="false">IF(C228="","",IFERROR(INDEX('REGISTRE ELEVES'!$F$10:$F$250,MATCH(C228,'REGISTRE ELEVES'!$B$10:$B$250,0)),""))</f>
        <v/>
      </c>
      <c r="F228" s="73" t="str">
        <f aca="false">IF(C228="","",IFERROR(INDEX('REGISTRE ELEVES'!$E$10:$E$250,MATCH(C228,'REGISTRE ELEVES'!$B$10:$B$250,0)),""))</f>
        <v/>
      </c>
      <c r="G228" s="116"/>
      <c r="H228" s="117"/>
      <c r="I228" s="116"/>
      <c r="J228" s="118"/>
      <c r="K228" s="116"/>
      <c r="L228" s="118"/>
      <c r="M228" s="51" t="str">
        <f aca="false">IF(B228="","",MONTH(B228))</f>
        <v/>
      </c>
      <c r="N228" s="51" t="str">
        <f aca="false">IF(B228="","",YEAR(B228))</f>
        <v/>
      </c>
      <c r="O228" s="51" t="str">
        <f aca="false">IF(B228="","",C228&amp;"|"&amp;M228&amp;"|"&amp;N228)</f>
        <v/>
      </c>
    </row>
    <row r="229" customFormat="false" ht="15" hidden="false" customHeight="false" outlineLevel="0" collapsed="false">
      <c r="A229" s="73" t="str">
        <f aca="false">IF(B229="","",ROW()-9)</f>
        <v/>
      </c>
      <c r="B229" s="115"/>
      <c r="C229" s="116"/>
      <c r="D229" s="74" t="str">
        <f aca="false">IF(C229="","",IFERROR(INDEX('REGISTRE ELEVES'!$D$10:$D$250,MATCH(C229,'REGISTRE ELEVES'!$B$10:$B$250,0)),"Matricule inconnu"))</f>
        <v/>
      </c>
      <c r="E229" s="73" t="str">
        <f aca="false">IF(C229="","",IFERROR(INDEX('REGISTRE ELEVES'!$F$10:$F$250,MATCH(C229,'REGISTRE ELEVES'!$B$10:$B$250,0)),""))</f>
        <v/>
      </c>
      <c r="F229" s="73" t="str">
        <f aca="false">IF(C229="","",IFERROR(INDEX('REGISTRE ELEVES'!$E$10:$E$250,MATCH(C229,'REGISTRE ELEVES'!$B$10:$B$250,0)),""))</f>
        <v/>
      </c>
      <c r="G229" s="116"/>
      <c r="H229" s="117"/>
      <c r="I229" s="116"/>
      <c r="J229" s="118"/>
      <c r="K229" s="116"/>
      <c r="L229" s="118"/>
      <c r="M229" s="51" t="str">
        <f aca="false">IF(B229="","",MONTH(B229))</f>
        <v/>
      </c>
      <c r="N229" s="51" t="str">
        <f aca="false">IF(B229="","",YEAR(B229))</f>
        <v/>
      </c>
      <c r="O229" s="51" t="str">
        <f aca="false">IF(B229="","",C229&amp;"|"&amp;M229&amp;"|"&amp;N229)</f>
        <v/>
      </c>
    </row>
    <row r="230" customFormat="false" ht="15" hidden="false" customHeight="false" outlineLevel="0" collapsed="false">
      <c r="A230" s="73" t="str">
        <f aca="false">IF(B230="","",ROW()-9)</f>
        <v/>
      </c>
      <c r="B230" s="115"/>
      <c r="C230" s="116"/>
      <c r="D230" s="74" t="str">
        <f aca="false">IF(C230="","",IFERROR(INDEX('REGISTRE ELEVES'!$D$10:$D$250,MATCH(C230,'REGISTRE ELEVES'!$B$10:$B$250,0)),"Matricule inconnu"))</f>
        <v/>
      </c>
      <c r="E230" s="73" t="str">
        <f aca="false">IF(C230="","",IFERROR(INDEX('REGISTRE ELEVES'!$F$10:$F$250,MATCH(C230,'REGISTRE ELEVES'!$B$10:$B$250,0)),""))</f>
        <v/>
      </c>
      <c r="F230" s="73" t="str">
        <f aca="false">IF(C230="","",IFERROR(INDEX('REGISTRE ELEVES'!$E$10:$E$250,MATCH(C230,'REGISTRE ELEVES'!$B$10:$B$250,0)),""))</f>
        <v/>
      </c>
      <c r="G230" s="116"/>
      <c r="H230" s="117"/>
      <c r="I230" s="116"/>
      <c r="J230" s="118"/>
      <c r="K230" s="116"/>
      <c r="L230" s="118"/>
      <c r="M230" s="51" t="str">
        <f aca="false">IF(B230="","",MONTH(B230))</f>
        <v/>
      </c>
      <c r="N230" s="51" t="str">
        <f aca="false">IF(B230="","",YEAR(B230))</f>
        <v/>
      </c>
      <c r="O230" s="51" t="str">
        <f aca="false">IF(B230="","",C230&amp;"|"&amp;M230&amp;"|"&amp;N230)</f>
        <v/>
      </c>
    </row>
    <row r="231" customFormat="false" ht="15" hidden="false" customHeight="false" outlineLevel="0" collapsed="false">
      <c r="A231" s="73" t="str">
        <f aca="false">IF(B231="","",ROW()-9)</f>
        <v/>
      </c>
      <c r="B231" s="115"/>
      <c r="C231" s="116"/>
      <c r="D231" s="74" t="str">
        <f aca="false">IF(C231="","",IFERROR(INDEX('REGISTRE ELEVES'!$D$10:$D$250,MATCH(C231,'REGISTRE ELEVES'!$B$10:$B$250,0)),"Matricule inconnu"))</f>
        <v/>
      </c>
      <c r="E231" s="73" t="str">
        <f aca="false">IF(C231="","",IFERROR(INDEX('REGISTRE ELEVES'!$F$10:$F$250,MATCH(C231,'REGISTRE ELEVES'!$B$10:$B$250,0)),""))</f>
        <v/>
      </c>
      <c r="F231" s="73" t="str">
        <f aca="false">IF(C231="","",IFERROR(INDEX('REGISTRE ELEVES'!$E$10:$E$250,MATCH(C231,'REGISTRE ELEVES'!$B$10:$B$250,0)),""))</f>
        <v/>
      </c>
      <c r="G231" s="116"/>
      <c r="H231" s="117"/>
      <c r="I231" s="116"/>
      <c r="J231" s="118"/>
      <c r="K231" s="116"/>
      <c r="L231" s="118"/>
      <c r="M231" s="51" t="str">
        <f aca="false">IF(B231="","",MONTH(B231))</f>
        <v/>
      </c>
      <c r="N231" s="51" t="str">
        <f aca="false">IF(B231="","",YEAR(B231))</f>
        <v/>
      </c>
      <c r="O231" s="51" t="str">
        <f aca="false">IF(B231="","",C231&amp;"|"&amp;M231&amp;"|"&amp;N231)</f>
        <v/>
      </c>
    </row>
    <row r="232" customFormat="false" ht="15" hidden="false" customHeight="false" outlineLevel="0" collapsed="false">
      <c r="A232" s="73" t="str">
        <f aca="false">IF(B232="","",ROW()-9)</f>
        <v/>
      </c>
      <c r="B232" s="115"/>
      <c r="C232" s="116"/>
      <c r="D232" s="74" t="str">
        <f aca="false">IF(C232="","",IFERROR(INDEX('REGISTRE ELEVES'!$D$10:$D$250,MATCH(C232,'REGISTRE ELEVES'!$B$10:$B$250,0)),"Matricule inconnu"))</f>
        <v/>
      </c>
      <c r="E232" s="73" t="str">
        <f aca="false">IF(C232="","",IFERROR(INDEX('REGISTRE ELEVES'!$F$10:$F$250,MATCH(C232,'REGISTRE ELEVES'!$B$10:$B$250,0)),""))</f>
        <v/>
      </c>
      <c r="F232" s="73" t="str">
        <f aca="false">IF(C232="","",IFERROR(INDEX('REGISTRE ELEVES'!$E$10:$E$250,MATCH(C232,'REGISTRE ELEVES'!$B$10:$B$250,0)),""))</f>
        <v/>
      </c>
      <c r="G232" s="116"/>
      <c r="H232" s="117"/>
      <c r="I232" s="116"/>
      <c r="J232" s="118"/>
      <c r="K232" s="116"/>
      <c r="L232" s="118"/>
      <c r="M232" s="51" t="str">
        <f aca="false">IF(B232="","",MONTH(B232))</f>
        <v/>
      </c>
      <c r="N232" s="51" t="str">
        <f aca="false">IF(B232="","",YEAR(B232))</f>
        <v/>
      </c>
      <c r="O232" s="51" t="str">
        <f aca="false">IF(B232="","",C232&amp;"|"&amp;M232&amp;"|"&amp;N232)</f>
        <v/>
      </c>
    </row>
    <row r="233" customFormat="false" ht="15" hidden="false" customHeight="false" outlineLevel="0" collapsed="false">
      <c r="A233" s="73" t="str">
        <f aca="false">IF(B233="","",ROW()-9)</f>
        <v/>
      </c>
      <c r="B233" s="115"/>
      <c r="C233" s="116"/>
      <c r="D233" s="74" t="str">
        <f aca="false">IF(C233="","",IFERROR(INDEX('REGISTRE ELEVES'!$D$10:$D$250,MATCH(C233,'REGISTRE ELEVES'!$B$10:$B$250,0)),"Matricule inconnu"))</f>
        <v/>
      </c>
      <c r="E233" s="73" t="str">
        <f aca="false">IF(C233="","",IFERROR(INDEX('REGISTRE ELEVES'!$F$10:$F$250,MATCH(C233,'REGISTRE ELEVES'!$B$10:$B$250,0)),""))</f>
        <v/>
      </c>
      <c r="F233" s="73" t="str">
        <f aca="false">IF(C233="","",IFERROR(INDEX('REGISTRE ELEVES'!$E$10:$E$250,MATCH(C233,'REGISTRE ELEVES'!$B$10:$B$250,0)),""))</f>
        <v/>
      </c>
      <c r="G233" s="116"/>
      <c r="H233" s="117"/>
      <c r="I233" s="116"/>
      <c r="J233" s="118"/>
      <c r="K233" s="116"/>
      <c r="L233" s="118"/>
      <c r="M233" s="51" t="str">
        <f aca="false">IF(B233="","",MONTH(B233))</f>
        <v/>
      </c>
      <c r="N233" s="51" t="str">
        <f aca="false">IF(B233="","",YEAR(B233))</f>
        <v/>
      </c>
      <c r="O233" s="51" t="str">
        <f aca="false">IF(B233="","",C233&amp;"|"&amp;M233&amp;"|"&amp;N233)</f>
        <v/>
      </c>
    </row>
    <row r="234" customFormat="false" ht="15" hidden="false" customHeight="false" outlineLevel="0" collapsed="false">
      <c r="A234" s="73" t="str">
        <f aca="false">IF(B234="","",ROW()-9)</f>
        <v/>
      </c>
      <c r="B234" s="115"/>
      <c r="C234" s="116"/>
      <c r="D234" s="74" t="str">
        <f aca="false">IF(C234="","",IFERROR(INDEX('REGISTRE ELEVES'!$D$10:$D$250,MATCH(C234,'REGISTRE ELEVES'!$B$10:$B$250,0)),"Matricule inconnu"))</f>
        <v/>
      </c>
      <c r="E234" s="73" t="str">
        <f aca="false">IF(C234="","",IFERROR(INDEX('REGISTRE ELEVES'!$F$10:$F$250,MATCH(C234,'REGISTRE ELEVES'!$B$10:$B$250,0)),""))</f>
        <v/>
      </c>
      <c r="F234" s="73" t="str">
        <f aca="false">IF(C234="","",IFERROR(INDEX('REGISTRE ELEVES'!$E$10:$E$250,MATCH(C234,'REGISTRE ELEVES'!$B$10:$B$250,0)),""))</f>
        <v/>
      </c>
      <c r="G234" s="116"/>
      <c r="H234" s="117"/>
      <c r="I234" s="116"/>
      <c r="J234" s="118"/>
      <c r="K234" s="116"/>
      <c r="L234" s="118"/>
      <c r="M234" s="51" t="str">
        <f aca="false">IF(B234="","",MONTH(B234))</f>
        <v/>
      </c>
      <c r="N234" s="51" t="str">
        <f aca="false">IF(B234="","",YEAR(B234))</f>
        <v/>
      </c>
      <c r="O234" s="51" t="str">
        <f aca="false">IF(B234="","",C234&amp;"|"&amp;M234&amp;"|"&amp;N234)</f>
        <v/>
      </c>
    </row>
    <row r="235" customFormat="false" ht="15" hidden="false" customHeight="false" outlineLevel="0" collapsed="false">
      <c r="A235" s="73" t="str">
        <f aca="false">IF(B235="","",ROW()-9)</f>
        <v/>
      </c>
      <c r="B235" s="115"/>
      <c r="C235" s="116"/>
      <c r="D235" s="74" t="str">
        <f aca="false">IF(C235="","",IFERROR(INDEX('REGISTRE ELEVES'!$D$10:$D$250,MATCH(C235,'REGISTRE ELEVES'!$B$10:$B$250,0)),"Matricule inconnu"))</f>
        <v/>
      </c>
      <c r="E235" s="73" t="str">
        <f aca="false">IF(C235="","",IFERROR(INDEX('REGISTRE ELEVES'!$F$10:$F$250,MATCH(C235,'REGISTRE ELEVES'!$B$10:$B$250,0)),""))</f>
        <v/>
      </c>
      <c r="F235" s="73" t="str">
        <f aca="false">IF(C235="","",IFERROR(INDEX('REGISTRE ELEVES'!$E$10:$E$250,MATCH(C235,'REGISTRE ELEVES'!$B$10:$B$250,0)),""))</f>
        <v/>
      </c>
      <c r="G235" s="116"/>
      <c r="H235" s="117"/>
      <c r="I235" s="116"/>
      <c r="J235" s="118"/>
      <c r="K235" s="116"/>
      <c r="L235" s="118"/>
      <c r="M235" s="51" t="str">
        <f aca="false">IF(B235="","",MONTH(B235))</f>
        <v/>
      </c>
      <c r="N235" s="51" t="str">
        <f aca="false">IF(B235="","",YEAR(B235))</f>
        <v/>
      </c>
      <c r="O235" s="51" t="str">
        <f aca="false">IF(B235="","",C235&amp;"|"&amp;M235&amp;"|"&amp;N235)</f>
        <v/>
      </c>
    </row>
    <row r="236" customFormat="false" ht="15" hidden="false" customHeight="false" outlineLevel="0" collapsed="false">
      <c r="A236" s="73" t="str">
        <f aca="false">IF(B236="","",ROW()-9)</f>
        <v/>
      </c>
      <c r="B236" s="115"/>
      <c r="C236" s="116"/>
      <c r="D236" s="74" t="str">
        <f aca="false">IF(C236="","",IFERROR(INDEX('REGISTRE ELEVES'!$D$10:$D$250,MATCH(C236,'REGISTRE ELEVES'!$B$10:$B$250,0)),"Matricule inconnu"))</f>
        <v/>
      </c>
      <c r="E236" s="73" t="str">
        <f aca="false">IF(C236="","",IFERROR(INDEX('REGISTRE ELEVES'!$F$10:$F$250,MATCH(C236,'REGISTRE ELEVES'!$B$10:$B$250,0)),""))</f>
        <v/>
      </c>
      <c r="F236" s="73" t="str">
        <f aca="false">IF(C236="","",IFERROR(INDEX('REGISTRE ELEVES'!$E$10:$E$250,MATCH(C236,'REGISTRE ELEVES'!$B$10:$B$250,0)),""))</f>
        <v/>
      </c>
      <c r="G236" s="116"/>
      <c r="H236" s="117"/>
      <c r="I236" s="116"/>
      <c r="J236" s="118"/>
      <c r="K236" s="116"/>
      <c r="L236" s="118"/>
      <c r="M236" s="51" t="str">
        <f aca="false">IF(B236="","",MONTH(B236))</f>
        <v/>
      </c>
      <c r="N236" s="51" t="str">
        <f aca="false">IF(B236="","",YEAR(B236))</f>
        <v/>
      </c>
      <c r="O236" s="51" t="str">
        <f aca="false">IF(B236="","",C236&amp;"|"&amp;M236&amp;"|"&amp;N236)</f>
        <v/>
      </c>
    </row>
    <row r="237" customFormat="false" ht="15" hidden="false" customHeight="false" outlineLevel="0" collapsed="false">
      <c r="A237" s="73" t="str">
        <f aca="false">IF(B237="","",ROW()-9)</f>
        <v/>
      </c>
      <c r="B237" s="115"/>
      <c r="C237" s="116"/>
      <c r="D237" s="74" t="str">
        <f aca="false">IF(C237="","",IFERROR(INDEX('REGISTRE ELEVES'!$D$10:$D$250,MATCH(C237,'REGISTRE ELEVES'!$B$10:$B$250,0)),"Matricule inconnu"))</f>
        <v/>
      </c>
      <c r="E237" s="73" t="str">
        <f aca="false">IF(C237="","",IFERROR(INDEX('REGISTRE ELEVES'!$F$10:$F$250,MATCH(C237,'REGISTRE ELEVES'!$B$10:$B$250,0)),""))</f>
        <v/>
      </c>
      <c r="F237" s="73" t="str">
        <f aca="false">IF(C237="","",IFERROR(INDEX('REGISTRE ELEVES'!$E$10:$E$250,MATCH(C237,'REGISTRE ELEVES'!$B$10:$B$250,0)),""))</f>
        <v/>
      </c>
      <c r="G237" s="116"/>
      <c r="H237" s="117"/>
      <c r="I237" s="116"/>
      <c r="J237" s="118"/>
      <c r="K237" s="116"/>
      <c r="L237" s="118"/>
      <c r="M237" s="51" t="str">
        <f aca="false">IF(B237="","",MONTH(B237))</f>
        <v/>
      </c>
      <c r="N237" s="51" t="str">
        <f aca="false">IF(B237="","",YEAR(B237))</f>
        <v/>
      </c>
      <c r="O237" s="51" t="str">
        <f aca="false">IF(B237="","",C237&amp;"|"&amp;M237&amp;"|"&amp;N237)</f>
        <v/>
      </c>
    </row>
    <row r="238" customFormat="false" ht="15" hidden="false" customHeight="false" outlineLevel="0" collapsed="false">
      <c r="A238" s="73" t="str">
        <f aca="false">IF(B238="","",ROW()-9)</f>
        <v/>
      </c>
      <c r="B238" s="115"/>
      <c r="C238" s="116"/>
      <c r="D238" s="74" t="str">
        <f aca="false">IF(C238="","",IFERROR(INDEX('REGISTRE ELEVES'!$D$10:$D$250,MATCH(C238,'REGISTRE ELEVES'!$B$10:$B$250,0)),"Matricule inconnu"))</f>
        <v/>
      </c>
      <c r="E238" s="73" t="str">
        <f aca="false">IF(C238="","",IFERROR(INDEX('REGISTRE ELEVES'!$F$10:$F$250,MATCH(C238,'REGISTRE ELEVES'!$B$10:$B$250,0)),""))</f>
        <v/>
      </c>
      <c r="F238" s="73" t="str">
        <f aca="false">IF(C238="","",IFERROR(INDEX('REGISTRE ELEVES'!$E$10:$E$250,MATCH(C238,'REGISTRE ELEVES'!$B$10:$B$250,0)),""))</f>
        <v/>
      </c>
      <c r="G238" s="116"/>
      <c r="H238" s="117"/>
      <c r="I238" s="116"/>
      <c r="J238" s="118"/>
      <c r="K238" s="116"/>
      <c r="L238" s="118"/>
      <c r="M238" s="51" t="str">
        <f aca="false">IF(B238="","",MONTH(B238))</f>
        <v/>
      </c>
      <c r="N238" s="51" t="str">
        <f aca="false">IF(B238="","",YEAR(B238))</f>
        <v/>
      </c>
      <c r="O238" s="51" t="str">
        <f aca="false">IF(B238="","",C238&amp;"|"&amp;M238&amp;"|"&amp;N238)</f>
        <v/>
      </c>
    </row>
    <row r="239" customFormat="false" ht="15" hidden="false" customHeight="false" outlineLevel="0" collapsed="false">
      <c r="A239" s="73" t="str">
        <f aca="false">IF(B239="","",ROW()-9)</f>
        <v/>
      </c>
      <c r="B239" s="115"/>
      <c r="C239" s="116"/>
      <c r="D239" s="74" t="str">
        <f aca="false">IF(C239="","",IFERROR(INDEX('REGISTRE ELEVES'!$D$10:$D$250,MATCH(C239,'REGISTRE ELEVES'!$B$10:$B$250,0)),"Matricule inconnu"))</f>
        <v/>
      </c>
      <c r="E239" s="73" t="str">
        <f aca="false">IF(C239="","",IFERROR(INDEX('REGISTRE ELEVES'!$F$10:$F$250,MATCH(C239,'REGISTRE ELEVES'!$B$10:$B$250,0)),""))</f>
        <v/>
      </c>
      <c r="F239" s="73" t="str">
        <f aca="false">IF(C239="","",IFERROR(INDEX('REGISTRE ELEVES'!$E$10:$E$250,MATCH(C239,'REGISTRE ELEVES'!$B$10:$B$250,0)),""))</f>
        <v/>
      </c>
      <c r="G239" s="116"/>
      <c r="H239" s="117"/>
      <c r="I239" s="116"/>
      <c r="J239" s="118"/>
      <c r="K239" s="116"/>
      <c r="L239" s="118"/>
      <c r="M239" s="51" t="str">
        <f aca="false">IF(B239="","",MONTH(B239))</f>
        <v/>
      </c>
      <c r="N239" s="51" t="str">
        <f aca="false">IF(B239="","",YEAR(B239))</f>
        <v/>
      </c>
      <c r="O239" s="51" t="str">
        <f aca="false">IF(B239="","",C239&amp;"|"&amp;M239&amp;"|"&amp;N239)</f>
        <v/>
      </c>
    </row>
    <row r="240" customFormat="false" ht="15" hidden="false" customHeight="false" outlineLevel="0" collapsed="false">
      <c r="A240" s="73" t="str">
        <f aca="false">IF(B240="","",ROW()-9)</f>
        <v/>
      </c>
      <c r="B240" s="115"/>
      <c r="C240" s="116"/>
      <c r="D240" s="74" t="str">
        <f aca="false">IF(C240="","",IFERROR(INDEX('REGISTRE ELEVES'!$D$10:$D$250,MATCH(C240,'REGISTRE ELEVES'!$B$10:$B$250,0)),"Matricule inconnu"))</f>
        <v/>
      </c>
      <c r="E240" s="73" t="str">
        <f aca="false">IF(C240="","",IFERROR(INDEX('REGISTRE ELEVES'!$F$10:$F$250,MATCH(C240,'REGISTRE ELEVES'!$B$10:$B$250,0)),""))</f>
        <v/>
      </c>
      <c r="F240" s="73" t="str">
        <f aca="false">IF(C240="","",IFERROR(INDEX('REGISTRE ELEVES'!$E$10:$E$250,MATCH(C240,'REGISTRE ELEVES'!$B$10:$B$250,0)),""))</f>
        <v/>
      </c>
      <c r="G240" s="116"/>
      <c r="H240" s="117"/>
      <c r="I240" s="116"/>
      <c r="J240" s="118"/>
      <c r="K240" s="116"/>
      <c r="L240" s="118"/>
      <c r="M240" s="51" t="str">
        <f aca="false">IF(B240="","",MONTH(B240))</f>
        <v/>
      </c>
      <c r="N240" s="51" t="str">
        <f aca="false">IF(B240="","",YEAR(B240))</f>
        <v/>
      </c>
      <c r="O240" s="51" t="str">
        <f aca="false">IF(B240="","",C240&amp;"|"&amp;M240&amp;"|"&amp;N240)</f>
        <v/>
      </c>
    </row>
    <row r="241" customFormat="false" ht="15" hidden="false" customHeight="false" outlineLevel="0" collapsed="false">
      <c r="A241" s="73" t="str">
        <f aca="false">IF(B241="","",ROW()-9)</f>
        <v/>
      </c>
      <c r="B241" s="115"/>
      <c r="C241" s="116"/>
      <c r="D241" s="74" t="str">
        <f aca="false">IF(C241="","",IFERROR(INDEX('REGISTRE ELEVES'!$D$10:$D$250,MATCH(C241,'REGISTRE ELEVES'!$B$10:$B$250,0)),"Matricule inconnu"))</f>
        <v/>
      </c>
      <c r="E241" s="73" t="str">
        <f aca="false">IF(C241="","",IFERROR(INDEX('REGISTRE ELEVES'!$F$10:$F$250,MATCH(C241,'REGISTRE ELEVES'!$B$10:$B$250,0)),""))</f>
        <v/>
      </c>
      <c r="F241" s="73" t="str">
        <f aca="false">IF(C241="","",IFERROR(INDEX('REGISTRE ELEVES'!$E$10:$E$250,MATCH(C241,'REGISTRE ELEVES'!$B$10:$B$250,0)),""))</f>
        <v/>
      </c>
      <c r="G241" s="116"/>
      <c r="H241" s="117"/>
      <c r="I241" s="116"/>
      <c r="J241" s="118"/>
      <c r="K241" s="116"/>
      <c r="L241" s="118"/>
      <c r="M241" s="51" t="str">
        <f aca="false">IF(B241="","",MONTH(B241))</f>
        <v/>
      </c>
      <c r="N241" s="51" t="str">
        <f aca="false">IF(B241="","",YEAR(B241))</f>
        <v/>
      </c>
      <c r="O241" s="51" t="str">
        <f aca="false">IF(B241="","",C241&amp;"|"&amp;M241&amp;"|"&amp;N241)</f>
        <v/>
      </c>
    </row>
    <row r="242" customFormat="false" ht="15" hidden="false" customHeight="false" outlineLevel="0" collapsed="false">
      <c r="A242" s="73" t="str">
        <f aca="false">IF(B242="","",ROW()-9)</f>
        <v/>
      </c>
      <c r="B242" s="115"/>
      <c r="C242" s="116"/>
      <c r="D242" s="74" t="str">
        <f aca="false">IF(C242="","",IFERROR(INDEX('REGISTRE ELEVES'!$D$10:$D$250,MATCH(C242,'REGISTRE ELEVES'!$B$10:$B$250,0)),"Matricule inconnu"))</f>
        <v/>
      </c>
      <c r="E242" s="73" t="str">
        <f aca="false">IF(C242="","",IFERROR(INDEX('REGISTRE ELEVES'!$F$10:$F$250,MATCH(C242,'REGISTRE ELEVES'!$B$10:$B$250,0)),""))</f>
        <v/>
      </c>
      <c r="F242" s="73" t="str">
        <f aca="false">IF(C242="","",IFERROR(INDEX('REGISTRE ELEVES'!$E$10:$E$250,MATCH(C242,'REGISTRE ELEVES'!$B$10:$B$250,0)),""))</f>
        <v/>
      </c>
      <c r="G242" s="116"/>
      <c r="H242" s="117"/>
      <c r="I242" s="116"/>
      <c r="J242" s="118"/>
      <c r="K242" s="116"/>
      <c r="L242" s="118"/>
      <c r="M242" s="51" t="str">
        <f aca="false">IF(B242="","",MONTH(B242))</f>
        <v/>
      </c>
      <c r="N242" s="51" t="str">
        <f aca="false">IF(B242="","",YEAR(B242))</f>
        <v/>
      </c>
      <c r="O242" s="51" t="str">
        <f aca="false">IF(B242="","",C242&amp;"|"&amp;M242&amp;"|"&amp;N242)</f>
        <v/>
      </c>
    </row>
    <row r="243" customFormat="false" ht="15" hidden="false" customHeight="false" outlineLevel="0" collapsed="false">
      <c r="A243" s="73" t="str">
        <f aca="false">IF(B243="","",ROW()-9)</f>
        <v/>
      </c>
      <c r="B243" s="115"/>
      <c r="C243" s="116"/>
      <c r="D243" s="74" t="str">
        <f aca="false">IF(C243="","",IFERROR(INDEX('REGISTRE ELEVES'!$D$10:$D$250,MATCH(C243,'REGISTRE ELEVES'!$B$10:$B$250,0)),"Matricule inconnu"))</f>
        <v/>
      </c>
      <c r="E243" s="73" t="str">
        <f aca="false">IF(C243="","",IFERROR(INDEX('REGISTRE ELEVES'!$F$10:$F$250,MATCH(C243,'REGISTRE ELEVES'!$B$10:$B$250,0)),""))</f>
        <v/>
      </c>
      <c r="F243" s="73" t="str">
        <f aca="false">IF(C243="","",IFERROR(INDEX('REGISTRE ELEVES'!$E$10:$E$250,MATCH(C243,'REGISTRE ELEVES'!$B$10:$B$250,0)),""))</f>
        <v/>
      </c>
      <c r="G243" s="116"/>
      <c r="H243" s="117"/>
      <c r="I243" s="116"/>
      <c r="J243" s="118"/>
      <c r="K243" s="116"/>
      <c r="L243" s="118"/>
      <c r="M243" s="51" t="str">
        <f aca="false">IF(B243="","",MONTH(B243))</f>
        <v/>
      </c>
      <c r="N243" s="51" t="str">
        <f aca="false">IF(B243="","",YEAR(B243))</f>
        <v/>
      </c>
      <c r="O243" s="51" t="str">
        <f aca="false">IF(B243="","",C243&amp;"|"&amp;M243&amp;"|"&amp;N243)</f>
        <v/>
      </c>
    </row>
    <row r="244" customFormat="false" ht="15" hidden="false" customHeight="false" outlineLevel="0" collapsed="false">
      <c r="A244" s="73" t="str">
        <f aca="false">IF(B244="","",ROW()-9)</f>
        <v/>
      </c>
      <c r="B244" s="115"/>
      <c r="C244" s="116"/>
      <c r="D244" s="74" t="str">
        <f aca="false">IF(C244="","",IFERROR(INDEX('REGISTRE ELEVES'!$D$10:$D$250,MATCH(C244,'REGISTRE ELEVES'!$B$10:$B$250,0)),"Matricule inconnu"))</f>
        <v/>
      </c>
      <c r="E244" s="73" t="str">
        <f aca="false">IF(C244="","",IFERROR(INDEX('REGISTRE ELEVES'!$F$10:$F$250,MATCH(C244,'REGISTRE ELEVES'!$B$10:$B$250,0)),""))</f>
        <v/>
      </c>
      <c r="F244" s="73" t="str">
        <f aca="false">IF(C244="","",IFERROR(INDEX('REGISTRE ELEVES'!$E$10:$E$250,MATCH(C244,'REGISTRE ELEVES'!$B$10:$B$250,0)),""))</f>
        <v/>
      </c>
      <c r="G244" s="116"/>
      <c r="H244" s="117"/>
      <c r="I244" s="116"/>
      <c r="J244" s="118"/>
      <c r="K244" s="116"/>
      <c r="L244" s="118"/>
      <c r="M244" s="51" t="str">
        <f aca="false">IF(B244="","",MONTH(B244))</f>
        <v/>
      </c>
      <c r="N244" s="51" t="str">
        <f aca="false">IF(B244="","",YEAR(B244))</f>
        <v/>
      </c>
      <c r="O244" s="51" t="str">
        <f aca="false">IF(B244="","",C244&amp;"|"&amp;M244&amp;"|"&amp;N244)</f>
        <v/>
      </c>
    </row>
    <row r="245" customFormat="false" ht="15" hidden="false" customHeight="false" outlineLevel="0" collapsed="false">
      <c r="A245" s="73" t="str">
        <f aca="false">IF(B245="","",ROW()-9)</f>
        <v/>
      </c>
      <c r="B245" s="115"/>
      <c r="C245" s="116"/>
      <c r="D245" s="74" t="str">
        <f aca="false">IF(C245="","",IFERROR(INDEX('REGISTRE ELEVES'!$D$10:$D$250,MATCH(C245,'REGISTRE ELEVES'!$B$10:$B$250,0)),"Matricule inconnu"))</f>
        <v/>
      </c>
      <c r="E245" s="73" t="str">
        <f aca="false">IF(C245="","",IFERROR(INDEX('REGISTRE ELEVES'!$F$10:$F$250,MATCH(C245,'REGISTRE ELEVES'!$B$10:$B$250,0)),""))</f>
        <v/>
      </c>
      <c r="F245" s="73" t="str">
        <f aca="false">IF(C245="","",IFERROR(INDEX('REGISTRE ELEVES'!$E$10:$E$250,MATCH(C245,'REGISTRE ELEVES'!$B$10:$B$250,0)),""))</f>
        <v/>
      </c>
      <c r="G245" s="116"/>
      <c r="H245" s="117"/>
      <c r="I245" s="116"/>
      <c r="J245" s="118"/>
      <c r="K245" s="116"/>
      <c r="L245" s="118"/>
      <c r="M245" s="51" t="str">
        <f aca="false">IF(B245="","",MONTH(B245))</f>
        <v/>
      </c>
      <c r="N245" s="51" t="str">
        <f aca="false">IF(B245="","",YEAR(B245))</f>
        <v/>
      </c>
      <c r="O245" s="51" t="str">
        <f aca="false">IF(B245="","",C245&amp;"|"&amp;M245&amp;"|"&amp;N245)</f>
        <v/>
      </c>
    </row>
    <row r="246" customFormat="false" ht="15" hidden="false" customHeight="false" outlineLevel="0" collapsed="false">
      <c r="A246" s="73" t="str">
        <f aca="false">IF(B246="","",ROW()-9)</f>
        <v/>
      </c>
      <c r="B246" s="115"/>
      <c r="C246" s="116"/>
      <c r="D246" s="74" t="str">
        <f aca="false">IF(C246="","",IFERROR(INDEX('REGISTRE ELEVES'!$D$10:$D$250,MATCH(C246,'REGISTRE ELEVES'!$B$10:$B$250,0)),"Matricule inconnu"))</f>
        <v/>
      </c>
      <c r="E246" s="73" t="str">
        <f aca="false">IF(C246="","",IFERROR(INDEX('REGISTRE ELEVES'!$F$10:$F$250,MATCH(C246,'REGISTRE ELEVES'!$B$10:$B$250,0)),""))</f>
        <v/>
      </c>
      <c r="F246" s="73" t="str">
        <f aca="false">IF(C246="","",IFERROR(INDEX('REGISTRE ELEVES'!$E$10:$E$250,MATCH(C246,'REGISTRE ELEVES'!$B$10:$B$250,0)),""))</f>
        <v/>
      </c>
      <c r="G246" s="116"/>
      <c r="H246" s="117"/>
      <c r="I246" s="116"/>
      <c r="J246" s="118"/>
      <c r="K246" s="116"/>
      <c r="L246" s="118"/>
      <c r="M246" s="51" t="str">
        <f aca="false">IF(B246="","",MONTH(B246))</f>
        <v/>
      </c>
      <c r="N246" s="51" t="str">
        <f aca="false">IF(B246="","",YEAR(B246))</f>
        <v/>
      </c>
      <c r="O246" s="51" t="str">
        <f aca="false">IF(B246="","",C246&amp;"|"&amp;M246&amp;"|"&amp;N246)</f>
        <v/>
      </c>
    </row>
    <row r="247" customFormat="false" ht="15" hidden="false" customHeight="false" outlineLevel="0" collapsed="false">
      <c r="A247" s="73" t="str">
        <f aca="false">IF(B247="","",ROW()-9)</f>
        <v/>
      </c>
      <c r="B247" s="115"/>
      <c r="C247" s="116"/>
      <c r="D247" s="74" t="str">
        <f aca="false">IF(C247="","",IFERROR(INDEX('REGISTRE ELEVES'!$D$10:$D$250,MATCH(C247,'REGISTRE ELEVES'!$B$10:$B$250,0)),"Matricule inconnu"))</f>
        <v/>
      </c>
      <c r="E247" s="73" t="str">
        <f aca="false">IF(C247="","",IFERROR(INDEX('REGISTRE ELEVES'!$F$10:$F$250,MATCH(C247,'REGISTRE ELEVES'!$B$10:$B$250,0)),""))</f>
        <v/>
      </c>
      <c r="F247" s="73" t="str">
        <f aca="false">IF(C247="","",IFERROR(INDEX('REGISTRE ELEVES'!$E$10:$E$250,MATCH(C247,'REGISTRE ELEVES'!$B$10:$B$250,0)),""))</f>
        <v/>
      </c>
      <c r="G247" s="116"/>
      <c r="H247" s="117"/>
      <c r="I247" s="116"/>
      <c r="J247" s="118"/>
      <c r="K247" s="116"/>
      <c r="L247" s="118"/>
      <c r="M247" s="51" t="str">
        <f aca="false">IF(B247="","",MONTH(B247))</f>
        <v/>
      </c>
      <c r="N247" s="51" t="str">
        <f aca="false">IF(B247="","",YEAR(B247))</f>
        <v/>
      </c>
      <c r="O247" s="51" t="str">
        <f aca="false">IF(B247="","",C247&amp;"|"&amp;M247&amp;"|"&amp;N247)</f>
        <v/>
      </c>
    </row>
    <row r="248" customFormat="false" ht="15" hidden="false" customHeight="false" outlineLevel="0" collapsed="false">
      <c r="A248" s="73" t="str">
        <f aca="false">IF(B248="","",ROW()-9)</f>
        <v/>
      </c>
      <c r="B248" s="115"/>
      <c r="C248" s="116"/>
      <c r="D248" s="74" t="str">
        <f aca="false">IF(C248="","",IFERROR(INDEX('REGISTRE ELEVES'!$D$10:$D$250,MATCH(C248,'REGISTRE ELEVES'!$B$10:$B$250,0)),"Matricule inconnu"))</f>
        <v/>
      </c>
      <c r="E248" s="73" t="str">
        <f aca="false">IF(C248="","",IFERROR(INDEX('REGISTRE ELEVES'!$F$10:$F$250,MATCH(C248,'REGISTRE ELEVES'!$B$10:$B$250,0)),""))</f>
        <v/>
      </c>
      <c r="F248" s="73" t="str">
        <f aca="false">IF(C248="","",IFERROR(INDEX('REGISTRE ELEVES'!$E$10:$E$250,MATCH(C248,'REGISTRE ELEVES'!$B$10:$B$250,0)),""))</f>
        <v/>
      </c>
      <c r="G248" s="116"/>
      <c r="H248" s="117"/>
      <c r="I248" s="116"/>
      <c r="J248" s="118"/>
      <c r="K248" s="116"/>
      <c r="L248" s="118"/>
      <c r="M248" s="51" t="str">
        <f aca="false">IF(B248="","",MONTH(B248))</f>
        <v/>
      </c>
      <c r="N248" s="51" t="str">
        <f aca="false">IF(B248="","",YEAR(B248))</f>
        <v/>
      </c>
      <c r="O248" s="51" t="str">
        <f aca="false">IF(B248="","",C248&amp;"|"&amp;M248&amp;"|"&amp;N248)</f>
        <v/>
      </c>
    </row>
    <row r="249" customFormat="false" ht="15" hidden="false" customHeight="false" outlineLevel="0" collapsed="false">
      <c r="A249" s="73" t="str">
        <f aca="false">IF(B249="","",ROW()-9)</f>
        <v/>
      </c>
      <c r="B249" s="115"/>
      <c r="C249" s="116"/>
      <c r="D249" s="74" t="str">
        <f aca="false">IF(C249="","",IFERROR(INDEX('REGISTRE ELEVES'!$D$10:$D$250,MATCH(C249,'REGISTRE ELEVES'!$B$10:$B$250,0)),"Matricule inconnu"))</f>
        <v/>
      </c>
      <c r="E249" s="73" t="str">
        <f aca="false">IF(C249="","",IFERROR(INDEX('REGISTRE ELEVES'!$F$10:$F$250,MATCH(C249,'REGISTRE ELEVES'!$B$10:$B$250,0)),""))</f>
        <v/>
      </c>
      <c r="F249" s="73" t="str">
        <f aca="false">IF(C249="","",IFERROR(INDEX('REGISTRE ELEVES'!$E$10:$E$250,MATCH(C249,'REGISTRE ELEVES'!$B$10:$B$250,0)),""))</f>
        <v/>
      </c>
      <c r="G249" s="116"/>
      <c r="H249" s="117"/>
      <c r="I249" s="116"/>
      <c r="J249" s="118"/>
      <c r="K249" s="116"/>
      <c r="L249" s="118"/>
      <c r="M249" s="51" t="str">
        <f aca="false">IF(B249="","",MONTH(B249))</f>
        <v/>
      </c>
      <c r="N249" s="51" t="str">
        <f aca="false">IF(B249="","",YEAR(B249))</f>
        <v/>
      </c>
      <c r="O249" s="51" t="str">
        <f aca="false">IF(B249="","",C249&amp;"|"&amp;M249&amp;"|"&amp;N249)</f>
        <v/>
      </c>
    </row>
    <row r="250" customFormat="false" ht="15" hidden="false" customHeight="false" outlineLevel="0" collapsed="false">
      <c r="A250" s="73" t="str">
        <f aca="false">IF(B250="","",ROW()-9)</f>
        <v/>
      </c>
      <c r="B250" s="115"/>
      <c r="C250" s="116"/>
      <c r="D250" s="74" t="str">
        <f aca="false">IF(C250="","",IFERROR(INDEX('REGISTRE ELEVES'!$D$10:$D$250,MATCH(C250,'REGISTRE ELEVES'!$B$10:$B$250,0)),"Matricule inconnu"))</f>
        <v/>
      </c>
      <c r="E250" s="73" t="str">
        <f aca="false">IF(C250="","",IFERROR(INDEX('REGISTRE ELEVES'!$F$10:$F$250,MATCH(C250,'REGISTRE ELEVES'!$B$10:$B$250,0)),""))</f>
        <v/>
      </c>
      <c r="F250" s="73" t="str">
        <f aca="false">IF(C250="","",IFERROR(INDEX('REGISTRE ELEVES'!$E$10:$E$250,MATCH(C250,'REGISTRE ELEVES'!$B$10:$B$250,0)),""))</f>
        <v/>
      </c>
      <c r="G250" s="116"/>
      <c r="H250" s="117"/>
      <c r="I250" s="116"/>
      <c r="J250" s="118"/>
      <c r="K250" s="116"/>
      <c r="L250" s="118"/>
      <c r="M250" s="51" t="str">
        <f aca="false">IF(B250="","",MONTH(B250))</f>
        <v/>
      </c>
      <c r="N250" s="51" t="str">
        <f aca="false">IF(B250="","",YEAR(B250))</f>
        <v/>
      </c>
      <c r="O250" s="51" t="str">
        <f aca="false">IF(B250="","",C250&amp;"|"&amp;M250&amp;"|"&amp;N250)</f>
        <v/>
      </c>
    </row>
  </sheetData>
  <autoFilter ref="A9:L250"/>
  <mergeCells count="10">
    <mergeCell ref="A1:F1"/>
    <mergeCell ref="G1:L1"/>
    <mergeCell ref="A2:F2"/>
    <mergeCell ref="G2:L2"/>
    <mergeCell ref="A3:F3"/>
    <mergeCell ref="G3:L3"/>
    <mergeCell ref="A4:F4"/>
    <mergeCell ref="A6:L6"/>
    <mergeCell ref="A7:L7"/>
    <mergeCell ref="A8:L8"/>
  </mergeCells>
  <conditionalFormatting sqref="D10:D250">
    <cfRule type="cellIs" priority="2" operator="equal" aboveAverage="0" equalAverage="0" bottom="0" percent="0" rank="0" text="" dxfId="29">
      <formula>"Matricule inconnu"</formula>
    </cfRule>
  </conditionalFormatting>
  <conditionalFormatting sqref="A10:L250">
    <cfRule type="expression" priority="3" aboveAverage="0" equalAverage="0" bottom="0" percent="0" rank="0" text="" dxfId="27">
      <formula>AND($G10="ABSENCE",$K10="NON")</formula>
    </cfRule>
    <cfRule type="expression" priority="4" aboveAverage="0" equalAverage="0" bottom="0" percent="0" rank="0" text="" dxfId="45">
      <formula>$G10="RETARD"</formula>
    </cfRule>
  </conditionalFormatting>
  <dataValidations count="5">
    <dataValidation allowBlank="true" error="RETARD ou ABSENCE" errorStyle="stop" errorTitle="Valeur non autorisée" operator="between" showDropDown="false" showErrorMessage="true" showInputMessage="false" sqref="G10:G250" type="list">
      <formula1>"RETARD,ABSENCE"</formula1>
      <formula2>0</formula2>
    </dataValidation>
    <dataValidation allowBlank="true" error="OUI ou NON" errorStyle="stop" errorTitle="Valeur non autorisée" operator="between" showDropDown="false" showErrorMessage="true" showInputMessage="false" sqref="K10:K250" type="list">
      <formula1>PARAMETRES!$H$3:$H$4</formula1>
      <formula2>0</formula2>
    </dataValidation>
    <dataValidation allowBlank="false" error="Nombre de jours d'absence (0,5 = demi-journée)" errorStyle="stop" errorTitle="Jours" operator="between" showDropDown="false" showErrorMessage="true" showInputMessage="false" sqref="H10:H250" type="decimal">
      <formula1>0</formula1>
      <formula2>31</formula2>
    </dataValidation>
    <dataValidation allowBlank="false" error="Retard en minutes (0 à 600)" errorStyle="stop" errorTitle="Retard" operator="between" showDropDown="false" showErrorMessage="true" showInputMessage="false" sqref="I10:I250" type="whole">
      <formula1>0</formula1>
      <formula2>600</formula2>
    </dataValidation>
    <dataValidation allowBlank="false" error="Date comprise dans l'année scolaire 2026-2027" errorStyle="stop" errorTitle="Date" operator="between" showDropDown="false" showErrorMessage="true" showInputMessage="false" sqref="B10:B250" type="date">
      <formula1>DATE(2026,9,1)</formula1>
      <formula2>DATE(2027,8,31)</formula2>
    </dataValidation>
  </dataValidations>
  <printOptions headings="false" gridLines="false" gridLinesSet="true" horizontalCentered="true" verticalCentered="false"/>
  <pageMargins left="0.309722222222222" right="0.309722222222222" top="0.470138888888889" bottom="0.470138888888889" header="0.511811023622047" footer="0.511811023622047"/>
  <pageSetup paperSize="9" scale="100" fitToWidth="1" fitToHeight="0" pageOrder="downThenOver" orientation="landscape" blackAndWhite="false" draft="false" cellComments="none" horizontalDpi="300" verticalDpi="300" copies="1"/>
  <headerFooter differentFirst="false" differentOddEven="false">
    <oddHeader/>
    <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Feuil16" filterMode="false">
    <tabColor rgb="FF7030A0"/>
    <pageSetUpPr fitToPage="true"/>
  </sheetPr>
  <dimension ref="A1:O25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3" ySplit="9" topLeftCell="D10" activePane="bottomRight" state="frozen"/>
      <selection pane="topLeft" activeCell="A1" activeCellId="0" sqref="A1"/>
      <selection pane="topRight" activeCell="D1" activeCellId="0" sqref="D1"/>
      <selection pane="bottomLeft" activeCell="A10" activeCellId="0" sqref="A10"/>
      <selection pane="bottomRight" activeCell="A1" activeCellId="0" sqref="A1"/>
    </sheetView>
  </sheetViews>
  <sheetFormatPr defaultColWidth="8.6796875" defaultRowHeight="15" zeroHeight="false" outlineLevelRow="0" outlineLevelCol="0"/>
  <cols>
    <col collapsed="false" customWidth="true" hidden="false" outlineLevel="0" max="1" min="1" style="0" width="5"/>
    <col collapsed="false" customWidth="true" hidden="false" outlineLevel="0" max="2" min="2" style="0" width="12"/>
    <col collapsed="false" customWidth="true" hidden="false" outlineLevel="0" max="3" min="3" style="0" width="14"/>
    <col collapsed="false" customWidth="true" hidden="false" outlineLevel="0" max="4" min="4" style="0" width="30"/>
    <col collapsed="false" customWidth="true" hidden="false" outlineLevel="0" max="5" min="5" style="0" width="12"/>
    <col collapsed="false" customWidth="true" hidden="false" outlineLevel="0" max="6" min="6" style="0" width="6"/>
    <col collapsed="false" customWidth="true" hidden="false" outlineLevel="0" max="7" min="7" style="0" width="11"/>
    <col collapsed="false" customWidth="true" hidden="false" outlineLevel="0" max="9" min="8" style="0" width="10"/>
    <col collapsed="false" customWidth="true" hidden="false" outlineLevel="0" max="10" min="10" style="0" width="26"/>
    <col collapsed="false" customWidth="true" hidden="false" outlineLevel="0" max="11" min="11" style="0" width="9"/>
    <col collapsed="false" customWidth="true" hidden="false" outlineLevel="0" max="12" min="12" style="0" width="24"/>
    <col collapsed="false" customWidth="true" hidden="true" outlineLevel="0" max="15" min="13" style="0" width="13"/>
  </cols>
  <sheetData>
    <row r="1" customFormat="false" ht="15" hidden="false" customHeight="true" outlineLevel="0" collapsed="false">
      <c r="A1" s="47" t="str">
        <f aca="false">PARAMETRES!$C$4</f>
        <v>MINISTERE DE L'EDUCATION NATIONALE ET DE L'ALPHABETISATION</v>
      </c>
      <c r="B1" s="47"/>
      <c r="C1" s="47"/>
      <c r="D1" s="47"/>
      <c r="E1" s="47"/>
      <c r="F1" s="47"/>
      <c r="G1" s="47" t="s">
        <v>115</v>
      </c>
      <c r="H1" s="47"/>
      <c r="I1" s="47"/>
      <c r="J1" s="47"/>
      <c r="K1" s="47"/>
      <c r="L1" s="47"/>
    </row>
    <row r="2" customFormat="false" ht="15" hidden="false" customHeight="true" outlineLevel="0" collapsed="false">
      <c r="A2" s="48" t="str">
        <f aca="false">PARAMETRES!$C$5</f>
        <v>DIRECTION REGIONALE DE L'EDUCATION NATIONALE DE GAGNOA</v>
      </c>
      <c r="B2" s="48"/>
      <c r="C2" s="48"/>
      <c r="D2" s="48"/>
      <c r="E2" s="48"/>
      <c r="F2" s="48"/>
      <c r="G2" s="48" t="s">
        <v>116</v>
      </c>
      <c r="H2" s="48"/>
      <c r="I2" s="48"/>
      <c r="J2" s="48"/>
      <c r="K2" s="48"/>
      <c r="L2" s="48"/>
    </row>
    <row r="3" customFormat="false" ht="15" hidden="false" customHeight="false" outlineLevel="0" collapsed="false">
      <c r="A3" s="47" t="str">
        <f aca="false">PARAMETRES!$C$6</f>
        <v>IEPP GAGNOA 2</v>
      </c>
      <c r="B3" s="47"/>
      <c r="C3" s="47"/>
      <c r="D3" s="47"/>
      <c r="E3" s="47"/>
      <c r="F3" s="47"/>
      <c r="G3" s="47" t="str">
        <f aca="false">"ANNEE SCOLAIRE : "&amp;PARAMETRES!$C$9</f>
        <v>ANNEE SCOLAIRE : 2026-2027</v>
      </c>
      <c r="H3" s="47"/>
      <c r="I3" s="47"/>
      <c r="J3" s="47"/>
      <c r="K3" s="47"/>
      <c r="L3" s="47"/>
    </row>
    <row r="4" customFormat="false" ht="15" hidden="false" customHeight="false" outlineLevel="0" collapsed="false">
      <c r="A4" s="48" t="str">
        <f aca="false">PARAMETRES!$C$7&amp;"  -  Code : "&amp;PARAMETRES!$C$8</f>
        <v>EPP LIGUIYO  -  Code : EPP-GAG-0123</v>
      </c>
      <c r="B4" s="48"/>
      <c r="C4" s="48"/>
      <c r="D4" s="48"/>
      <c r="E4" s="48"/>
      <c r="F4" s="48"/>
      <c r="G4" s="49"/>
    </row>
    <row r="6" customFormat="false" ht="27.75" hidden="false" customHeight="true" outlineLevel="0" collapsed="false">
      <c r="A6" s="30" t="s">
        <v>743</v>
      </c>
      <c r="B6" s="30"/>
      <c r="C6" s="30"/>
      <c r="D6" s="30"/>
      <c r="E6" s="30"/>
      <c r="F6" s="30"/>
      <c r="G6" s="30"/>
      <c r="H6" s="30"/>
      <c r="I6" s="30"/>
      <c r="J6" s="30"/>
      <c r="K6" s="30"/>
      <c r="L6" s="30"/>
    </row>
    <row r="7" customFormat="false" ht="15" hidden="false" customHeight="true" outlineLevel="0" collapsed="false">
      <c r="A7" s="2" t="s">
        <v>744</v>
      </c>
      <c r="B7" s="2"/>
      <c r="C7" s="2"/>
      <c r="D7" s="2"/>
      <c r="E7" s="2"/>
      <c r="F7" s="2"/>
      <c r="G7" s="2"/>
      <c r="H7" s="2"/>
      <c r="I7" s="2"/>
      <c r="J7" s="2"/>
      <c r="K7" s="2"/>
      <c r="L7" s="2"/>
    </row>
    <row r="8" customFormat="false" ht="15" hidden="false" customHeight="false" outlineLevel="0" collapsed="false">
      <c r="A8" s="114" t="str">
        <f aca="false">"Total enregistré : "&amp;COUNTA(B10:B250)&amp;" événement(s) – "&amp;SUM(H10:H250)&amp;" jour(s) d'absence – "&amp;COUNTIF(G10:G250,"RETARD")&amp;" retard(s). Utiliser le filtre de la colonne Date pour un mois donné ; le RAPPORT MENSUEL fait le calcul par mois."</f>
        <v>Total enregistré : 6 événement(s) – 2.5 jour(s) d'absence – 4 retard(s). Utiliser le filtre de la colonne Date pour un mois donné ; le RAPPORT MENSUEL fait le calcul par mois.</v>
      </c>
      <c r="B8" s="114"/>
      <c r="C8" s="114"/>
      <c r="D8" s="114"/>
      <c r="E8" s="114"/>
      <c r="F8" s="114"/>
      <c r="G8" s="114"/>
      <c r="H8" s="114"/>
      <c r="I8" s="114"/>
      <c r="J8" s="114"/>
      <c r="K8" s="114"/>
      <c r="L8" s="114"/>
    </row>
    <row r="9" customFormat="false" ht="36" hidden="false" customHeight="true" outlineLevel="0" collapsed="false">
      <c r="A9" s="50" t="s">
        <v>120</v>
      </c>
      <c r="B9" s="50" t="s">
        <v>727</v>
      </c>
      <c r="C9" s="50" t="s">
        <v>745</v>
      </c>
      <c r="D9" s="50" t="s">
        <v>123</v>
      </c>
      <c r="E9" s="50" t="s">
        <v>746</v>
      </c>
      <c r="F9" s="50" t="s">
        <v>32</v>
      </c>
      <c r="G9" s="50" t="s">
        <v>728</v>
      </c>
      <c r="H9" s="50" t="s">
        <v>729</v>
      </c>
      <c r="I9" s="50" t="s">
        <v>730</v>
      </c>
      <c r="J9" s="50" t="s">
        <v>731</v>
      </c>
      <c r="K9" s="50" t="s">
        <v>732</v>
      </c>
      <c r="L9" s="50" t="s">
        <v>145</v>
      </c>
      <c r="M9" s="51" t="s">
        <v>733</v>
      </c>
      <c r="N9" s="51" t="s">
        <v>734</v>
      </c>
      <c r="O9" s="51" t="s">
        <v>146</v>
      </c>
    </row>
    <row r="10" customFormat="false" ht="15" hidden="false" customHeight="false" outlineLevel="0" collapsed="false">
      <c r="A10" s="73" t="n">
        <f aca="false">IF(B10="","",ROW()-9)</f>
        <v>1</v>
      </c>
      <c r="B10" s="115" t="n">
        <v>46300</v>
      </c>
      <c r="C10" s="116" t="str">
        <f aca="false">PERSONNEL!B14</f>
        <v>407689C</v>
      </c>
      <c r="D10" s="74" t="str">
        <f aca="false">IF(C10="","",IFERROR(INDEX(PERSONNEL!$C$10:$C$69,MATCH(C10,PERSONNEL!$B$10:$B$69,0)),"Matricule inconnu"))</f>
        <v>YAPO Jean-Baptiste</v>
      </c>
      <c r="E10" s="73" t="str">
        <f aca="false">IF(C10="","",IFERROR(INDEX(PERSONNEL!$I$10:$I$69,MATCH(C10,PERSONNEL!$B$10:$B$69,0)),""))</f>
        <v>CE2</v>
      </c>
      <c r="F10" s="73" t="str">
        <f aca="false">IF(C10="","",IFERROR(INDEX(PERSONNEL!$D$10:$D$69,MATCH(C10,PERSONNEL!$B$10:$B$69,0)),""))</f>
        <v>M</v>
      </c>
      <c r="G10" s="116" t="s">
        <v>735</v>
      </c>
      <c r="H10" s="117"/>
      <c r="I10" s="116" t="n">
        <v>10</v>
      </c>
      <c r="J10" s="118" t="s">
        <v>742</v>
      </c>
      <c r="K10" s="116" t="s">
        <v>39</v>
      </c>
      <c r="L10" s="118"/>
      <c r="M10" s="51" t="n">
        <f aca="false">IF(B10="","",MONTH(B10))</f>
        <v>10</v>
      </c>
      <c r="N10" s="51" t="n">
        <f aca="false">IF(B10="","",YEAR(B10))</f>
        <v>2026</v>
      </c>
      <c r="O10" s="51" t="str">
        <f aca="false">IF(B10="","",C10&amp;"|"&amp;M10&amp;"|"&amp;N10)</f>
        <v>407689C|10|2026</v>
      </c>
    </row>
    <row r="11" customFormat="false" ht="15" hidden="false" customHeight="false" outlineLevel="0" collapsed="false">
      <c r="A11" s="73" t="n">
        <f aca="false">IF(B11="","",ROW()-9)</f>
        <v>2</v>
      </c>
      <c r="B11" s="115" t="n">
        <v>46304</v>
      </c>
      <c r="C11" s="116" t="str">
        <f aca="false">PERSONNEL!B15</f>
        <v>686538B</v>
      </c>
      <c r="D11" s="74" t="str">
        <f aca="false">IF(C11="","",IFERROR(INDEX(PERSONNEL!$C$10:$C$69,MATCH(C11,PERSONNEL!$B$10:$B$69,0)),"Matricule inconnu"))</f>
        <v>TRAORE Mariam</v>
      </c>
      <c r="E11" s="73" t="str">
        <f aca="false">IF(C11="","",IFERROR(INDEX(PERSONNEL!$I$10:$I$69,MATCH(C11,PERSONNEL!$B$10:$B$69,0)),""))</f>
        <v>CM1</v>
      </c>
      <c r="F11" s="73" t="str">
        <f aca="false">IF(C11="","",IFERROR(INDEX(PERSONNEL!$D$10:$D$69,MATCH(C11,PERSONNEL!$B$10:$B$69,0)),""))</f>
        <v>F</v>
      </c>
      <c r="G11" s="116" t="s">
        <v>735</v>
      </c>
      <c r="H11" s="117"/>
      <c r="I11" s="116" t="n">
        <v>20</v>
      </c>
      <c r="J11" s="118" t="s">
        <v>747</v>
      </c>
      <c r="K11" s="116" t="s">
        <v>39</v>
      </c>
      <c r="L11" s="118"/>
      <c r="M11" s="51" t="n">
        <f aca="false">IF(B11="","",MONTH(B11))</f>
        <v>10</v>
      </c>
      <c r="N11" s="51" t="n">
        <f aca="false">IF(B11="","",YEAR(B11))</f>
        <v>2026</v>
      </c>
      <c r="O11" s="51" t="str">
        <f aca="false">IF(B11="","",C11&amp;"|"&amp;M11&amp;"|"&amp;N11)</f>
        <v>686538B|10|2026</v>
      </c>
    </row>
    <row r="12" customFormat="false" ht="15" hidden="false" customHeight="false" outlineLevel="0" collapsed="false">
      <c r="A12" s="73" t="n">
        <f aca="false">IF(B12="","",ROW()-9)</f>
        <v>3</v>
      </c>
      <c r="B12" s="115" t="n">
        <v>46310</v>
      </c>
      <c r="C12" s="116" t="str">
        <f aca="false">PERSONNEL!B13</f>
        <v>349988G</v>
      </c>
      <c r="D12" s="74" t="str">
        <f aca="false">IF(C12="","",IFERROR(INDEX(PERSONNEL!$C$10:$C$69,MATCH(C12,PERSONNEL!$B$10:$B$69,0)),"Matricule inconnu"))</f>
        <v>GNAGNE Marie-Louise</v>
      </c>
      <c r="E12" s="73" t="str">
        <f aca="false">IF(C12="","",IFERROR(INDEX(PERSONNEL!$I$10:$I$69,MATCH(C12,PERSONNEL!$B$10:$B$69,0)),""))</f>
        <v>CE1</v>
      </c>
      <c r="F12" s="73" t="str">
        <f aca="false">IF(C12="","",IFERROR(INDEX(PERSONNEL!$D$10:$D$69,MATCH(C12,PERSONNEL!$B$10:$B$69,0)),""))</f>
        <v>F</v>
      </c>
      <c r="G12" s="116" t="s">
        <v>737</v>
      </c>
      <c r="H12" s="117" t="n">
        <v>2</v>
      </c>
      <c r="I12" s="116"/>
      <c r="J12" s="118" t="s">
        <v>747</v>
      </c>
      <c r="K12" s="116" t="s">
        <v>39</v>
      </c>
      <c r="L12" s="118"/>
      <c r="M12" s="51" t="n">
        <f aca="false">IF(B12="","",MONTH(B12))</f>
        <v>10</v>
      </c>
      <c r="N12" s="51" t="n">
        <f aca="false">IF(B12="","",YEAR(B12))</f>
        <v>2026</v>
      </c>
      <c r="O12" s="51" t="str">
        <f aca="false">IF(B12="","",C12&amp;"|"&amp;M12&amp;"|"&amp;N12)</f>
        <v>349988G|10|2026</v>
      </c>
    </row>
    <row r="13" customFormat="false" ht="15" hidden="false" customHeight="false" outlineLevel="0" collapsed="false">
      <c r="A13" s="73" t="n">
        <f aca="false">IF(B13="","",ROW()-9)</f>
        <v>4</v>
      </c>
      <c r="B13" s="115" t="n">
        <v>46335</v>
      </c>
      <c r="C13" s="116" t="str">
        <f aca="false">PERSONNEL!B13</f>
        <v>349988G</v>
      </c>
      <c r="D13" s="74" t="str">
        <f aca="false">IF(C13="","",IFERROR(INDEX(PERSONNEL!$C$10:$C$69,MATCH(C13,PERSONNEL!$B$10:$B$69,0)),"Matricule inconnu"))</f>
        <v>GNAGNE Marie-Louise</v>
      </c>
      <c r="E13" s="73" t="str">
        <f aca="false">IF(C13="","",IFERROR(INDEX(PERSONNEL!$I$10:$I$69,MATCH(C13,PERSONNEL!$B$10:$B$69,0)),""))</f>
        <v>CE1</v>
      </c>
      <c r="F13" s="73" t="str">
        <f aca="false">IF(C13="","",IFERROR(INDEX(PERSONNEL!$D$10:$D$69,MATCH(C13,PERSONNEL!$B$10:$B$69,0)),""))</f>
        <v>F</v>
      </c>
      <c r="G13" s="116" t="s">
        <v>735</v>
      </c>
      <c r="H13" s="117"/>
      <c r="I13" s="116" t="n">
        <v>20</v>
      </c>
      <c r="J13" s="118" t="s">
        <v>747</v>
      </c>
      <c r="K13" s="116" t="s">
        <v>39</v>
      </c>
      <c r="L13" s="118"/>
      <c r="M13" s="51" t="n">
        <f aca="false">IF(B13="","",MONTH(B13))</f>
        <v>11</v>
      </c>
      <c r="N13" s="51" t="n">
        <f aca="false">IF(B13="","",YEAR(B13))</f>
        <v>2026</v>
      </c>
      <c r="O13" s="51" t="str">
        <f aca="false">IF(B13="","",C13&amp;"|"&amp;M13&amp;"|"&amp;N13)</f>
        <v>349988G|11|2026</v>
      </c>
    </row>
    <row r="14" customFormat="false" ht="15" hidden="false" customHeight="false" outlineLevel="0" collapsed="false">
      <c r="A14" s="73" t="n">
        <f aca="false">IF(B14="","",ROW()-9)</f>
        <v>5</v>
      </c>
      <c r="B14" s="115" t="n">
        <v>46336</v>
      </c>
      <c r="C14" s="116" t="str">
        <f aca="false">PERSONNEL!B15</f>
        <v>686538B</v>
      </c>
      <c r="D14" s="74" t="str">
        <f aca="false">IF(C14="","",IFERROR(INDEX(PERSONNEL!$C$10:$C$69,MATCH(C14,PERSONNEL!$B$10:$B$69,0)),"Matricule inconnu"))</f>
        <v>TRAORE Mariam</v>
      </c>
      <c r="E14" s="73" t="str">
        <f aca="false">IF(C14="","",IFERROR(INDEX(PERSONNEL!$I$10:$I$69,MATCH(C14,PERSONNEL!$B$10:$B$69,0)),""))</f>
        <v>CM1</v>
      </c>
      <c r="F14" s="73" t="str">
        <f aca="false">IF(C14="","",IFERROR(INDEX(PERSONNEL!$D$10:$D$69,MATCH(C14,PERSONNEL!$B$10:$B$69,0)),""))</f>
        <v>F</v>
      </c>
      <c r="G14" s="116" t="s">
        <v>737</v>
      </c>
      <c r="H14" s="117" t="n">
        <v>0.5</v>
      </c>
      <c r="I14" s="116"/>
      <c r="J14" s="118" t="s">
        <v>742</v>
      </c>
      <c r="K14" s="116" t="s">
        <v>39</v>
      </c>
      <c r="L14" s="118"/>
      <c r="M14" s="51" t="n">
        <f aca="false">IF(B14="","",MONTH(B14))</f>
        <v>11</v>
      </c>
      <c r="N14" s="51" t="n">
        <f aca="false">IF(B14="","",YEAR(B14))</f>
        <v>2026</v>
      </c>
      <c r="O14" s="51" t="str">
        <f aca="false">IF(B14="","",C14&amp;"|"&amp;M14&amp;"|"&amp;N14)</f>
        <v>686538B|11|2026</v>
      </c>
    </row>
    <row r="15" customFormat="false" ht="15" hidden="false" customHeight="false" outlineLevel="0" collapsed="false">
      <c r="A15" s="73" t="n">
        <f aca="false">IF(B15="","",ROW()-9)</f>
        <v>6</v>
      </c>
      <c r="B15" s="115" t="n">
        <v>46345</v>
      </c>
      <c r="C15" s="116" t="str">
        <f aca="false">PERSONNEL!B11</f>
        <v>820344G</v>
      </c>
      <c r="D15" s="74" t="str">
        <f aca="false">IF(C15="","",IFERROR(INDEX(PERSONNEL!$C$10:$C$69,MATCH(C15,PERSONNEL!$B$10:$B$69,0)),"Matricule inconnu"))</f>
        <v>N'DRI Affoué Solange</v>
      </c>
      <c r="E15" s="73" t="str">
        <f aca="false">IF(C15="","",IFERROR(INDEX(PERSONNEL!$I$10:$I$69,MATCH(C15,PERSONNEL!$B$10:$B$69,0)),""))</f>
        <v>CP1</v>
      </c>
      <c r="F15" s="73" t="str">
        <f aca="false">IF(C15="","",IFERROR(INDEX(PERSONNEL!$D$10:$D$69,MATCH(C15,PERSONNEL!$B$10:$B$69,0)),""))</f>
        <v>F</v>
      </c>
      <c r="G15" s="116" t="s">
        <v>735</v>
      </c>
      <c r="H15" s="117"/>
      <c r="I15" s="116" t="n">
        <v>30</v>
      </c>
      <c r="J15" s="118" t="s">
        <v>748</v>
      </c>
      <c r="K15" s="116" t="s">
        <v>39</v>
      </c>
      <c r="L15" s="118"/>
      <c r="M15" s="51" t="n">
        <f aca="false">IF(B15="","",MONTH(B15))</f>
        <v>11</v>
      </c>
      <c r="N15" s="51" t="n">
        <f aca="false">IF(B15="","",YEAR(B15))</f>
        <v>2026</v>
      </c>
      <c r="O15" s="51" t="str">
        <f aca="false">IF(B15="","",C15&amp;"|"&amp;M15&amp;"|"&amp;N15)</f>
        <v>820344G|11|2026</v>
      </c>
    </row>
    <row r="16" customFormat="false" ht="15" hidden="false" customHeight="false" outlineLevel="0" collapsed="false">
      <c r="A16" s="73" t="str">
        <f aca="false">IF(B16="","",ROW()-9)</f>
        <v/>
      </c>
      <c r="B16" s="115"/>
      <c r="C16" s="116"/>
      <c r="D16" s="74" t="str">
        <f aca="false">IF(C16="","",IFERROR(INDEX(PERSONNEL!$C$10:$C$69,MATCH(C16,PERSONNEL!$B$10:$B$69,0)),"Matricule inconnu"))</f>
        <v/>
      </c>
      <c r="E16" s="73" t="str">
        <f aca="false">IF(C16="","",IFERROR(INDEX(PERSONNEL!$I$10:$I$69,MATCH(C16,PERSONNEL!$B$10:$B$69,0)),""))</f>
        <v/>
      </c>
      <c r="F16" s="73" t="str">
        <f aca="false">IF(C16="","",IFERROR(INDEX(PERSONNEL!$D$10:$D$69,MATCH(C16,PERSONNEL!$B$10:$B$69,0)),""))</f>
        <v/>
      </c>
      <c r="G16" s="116"/>
      <c r="H16" s="117"/>
      <c r="I16" s="116"/>
      <c r="J16" s="118"/>
      <c r="K16" s="116"/>
      <c r="L16" s="118"/>
      <c r="M16" s="51" t="str">
        <f aca="false">IF(B16="","",MONTH(B16))</f>
        <v/>
      </c>
      <c r="N16" s="51" t="str">
        <f aca="false">IF(B16="","",YEAR(B16))</f>
        <v/>
      </c>
      <c r="O16" s="51" t="str">
        <f aca="false">IF(B16="","",C16&amp;"|"&amp;M16&amp;"|"&amp;N16)</f>
        <v/>
      </c>
    </row>
    <row r="17" customFormat="false" ht="15" hidden="false" customHeight="false" outlineLevel="0" collapsed="false">
      <c r="A17" s="73" t="str">
        <f aca="false">IF(B17="","",ROW()-9)</f>
        <v/>
      </c>
      <c r="B17" s="115"/>
      <c r="C17" s="116"/>
      <c r="D17" s="74" t="str">
        <f aca="false">IF(C17="","",IFERROR(INDEX(PERSONNEL!$C$10:$C$69,MATCH(C17,PERSONNEL!$B$10:$B$69,0)),"Matricule inconnu"))</f>
        <v/>
      </c>
      <c r="E17" s="73" t="str">
        <f aca="false">IF(C17="","",IFERROR(INDEX(PERSONNEL!$I$10:$I$69,MATCH(C17,PERSONNEL!$B$10:$B$69,0)),""))</f>
        <v/>
      </c>
      <c r="F17" s="73" t="str">
        <f aca="false">IF(C17="","",IFERROR(INDEX(PERSONNEL!$D$10:$D$69,MATCH(C17,PERSONNEL!$B$10:$B$69,0)),""))</f>
        <v/>
      </c>
      <c r="G17" s="116"/>
      <c r="H17" s="117"/>
      <c r="I17" s="116"/>
      <c r="J17" s="118"/>
      <c r="K17" s="116"/>
      <c r="L17" s="118"/>
      <c r="M17" s="51" t="str">
        <f aca="false">IF(B17="","",MONTH(B17))</f>
        <v/>
      </c>
      <c r="N17" s="51" t="str">
        <f aca="false">IF(B17="","",YEAR(B17))</f>
        <v/>
      </c>
      <c r="O17" s="51" t="str">
        <f aca="false">IF(B17="","",C17&amp;"|"&amp;M17&amp;"|"&amp;N17)</f>
        <v/>
      </c>
    </row>
    <row r="18" customFormat="false" ht="15" hidden="false" customHeight="false" outlineLevel="0" collapsed="false">
      <c r="A18" s="73" t="str">
        <f aca="false">IF(B18="","",ROW()-9)</f>
        <v/>
      </c>
      <c r="B18" s="115"/>
      <c r="C18" s="116"/>
      <c r="D18" s="74" t="str">
        <f aca="false">IF(C18="","",IFERROR(INDEX(PERSONNEL!$C$10:$C$69,MATCH(C18,PERSONNEL!$B$10:$B$69,0)),"Matricule inconnu"))</f>
        <v/>
      </c>
      <c r="E18" s="73" t="str">
        <f aca="false">IF(C18="","",IFERROR(INDEX(PERSONNEL!$I$10:$I$69,MATCH(C18,PERSONNEL!$B$10:$B$69,0)),""))</f>
        <v/>
      </c>
      <c r="F18" s="73" t="str">
        <f aca="false">IF(C18="","",IFERROR(INDEX(PERSONNEL!$D$10:$D$69,MATCH(C18,PERSONNEL!$B$10:$B$69,0)),""))</f>
        <v/>
      </c>
      <c r="G18" s="116"/>
      <c r="H18" s="117"/>
      <c r="I18" s="116"/>
      <c r="J18" s="118"/>
      <c r="K18" s="116"/>
      <c r="L18" s="118"/>
      <c r="M18" s="51" t="str">
        <f aca="false">IF(B18="","",MONTH(B18))</f>
        <v/>
      </c>
      <c r="N18" s="51" t="str">
        <f aca="false">IF(B18="","",YEAR(B18))</f>
        <v/>
      </c>
      <c r="O18" s="51" t="str">
        <f aca="false">IF(B18="","",C18&amp;"|"&amp;M18&amp;"|"&amp;N18)</f>
        <v/>
      </c>
    </row>
    <row r="19" customFormat="false" ht="15" hidden="false" customHeight="false" outlineLevel="0" collapsed="false">
      <c r="A19" s="73" t="str">
        <f aca="false">IF(B19="","",ROW()-9)</f>
        <v/>
      </c>
      <c r="B19" s="115"/>
      <c r="C19" s="116"/>
      <c r="D19" s="74" t="str">
        <f aca="false">IF(C19="","",IFERROR(INDEX(PERSONNEL!$C$10:$C$69,MATCH(C19,PERSONNEL!$B$10:$B$69,0)),"Matricule inconnu"))</f>
        <v/>
      </c>
      <c r="E19" s="73" t="str">
        <f aca="false">IF(C19="","",IFERROR(INDEX(PERSONNEL!$I$10:$I$69,MATCH(C19,PERSONNEL!$B$10:$B$69,0)),""))</f>
        <v/>
      </c>
      <c r="F19" s="73" t="str">
        <f aca="false">IF(C19="","",IFERROR(INDEX(PERSONNEL!$D$10:$D$69,MATCH(C19,PERSONNEL!$B$10:$B$69,0)),""))</f>
        <v/>
      </c>
      <c r="G19" s="116"/>
      <c r="H19" s="117"/>
      <c r="I19" s="116"/>
      <c r="J19" s="118"/>
      <c r="K19" s="116"/>
      <c r="L19" s="118"/>
      <c r="M19" s="51" t="str">
        <f aca="false">IF(B19="","",MONTH(B19))</f>
        <v/>
      </c>
      <c r="N19" s="51" t="str">
        <f aca="false">IF(B19="","",YEAR(B19))</f>
        <v/>
      </c>
      <c r="O19" s="51" t="str">
        <f aca="false">IF(B19="","",C19&amp;"|"&amp;M19&amp;"|"&amp;N19)</f>
        <v/>
      </c>
    </row>
    <row r="20" customFormat="false" ht="15" hidden="false" customHeight="false" outlineLevel="0" collapsed="false">
      <c r="A20" s="73" t="str">
        <f aca="false">IF(B20="","",ROW()-9)</f>
        <v/>
      </c>
      <c r="B20" s="115"/>
      <c r="C20" s="116"/>
      <c r="D20" s="74" t="str">
        <f aca="false">IF(C20="","",IFERROR(INDEX(PERSONNEL!$C$10:$C$69,MATCH(C20,PERSONNEL!$B$10:$B$69,0)),"Matricule inconnu"))</f>
        <v/>
      </c>
      <c r="E20" s="73" t="str">
        <f aca="false">IF(C20="","",IFERROR(INDEX(PERSONNEL!$I$10:$I$69,MATCH(C20,PERSONNEL!$B$10:$B$69,0)),""))</f>
        <v/>
      </c>
      <c r="F20" s="73" t="str">
        <f aca="false">IF(C20="","",IFERROR(INDEX(PERSONNEL!$D$10:$D$69,MATCH(C20,PERSONNEL!$B$10:$B$69,0)),""))</f>
        <v/>
      </c>
      <c r="G20" s="116"/>
      <c r="H20" s="117"/>
      <c r="I20" s="116"/>
      <c r="J20" s="118"/>
      <c r="K20" s="116"/>
      <c r="L20" s="118"/>
      <c r="M20" s="51" t="str">
        <f aca="false">IF(B20="","",MONTH(B20))</f>
        <v/>
      </c>
      <c r="N20" s="51" t="str">
        <f aca="false">IF(B20="","",YEAR(B20))</f>
        <v/>
      </c>
      <c r="O20" s="51" t="str">
        <f aca="false">IF(B20="","",C20&amp;"|"&amp;M20&amp;"|"&amp;N20)</f>
        <v/>
      </c>
    </row>
    <row r="21" customFormat="false" ht="15" hidden="false" customHeight="false" outlineLevel="0" collapsed="false">
      <c r="A21" s="73" t="str">
        <f aca="false">IF(B21="","",ROW()-9)</f>
        <v/>
      </c>
      <c r="B21" s="115"/>
      <c r="C21" s="116"/>
      <c r="D21" s="74" t="str">
        <f aca="false">IF(C21="","",IFERROR(INDEX(PERSONNEL!$C$10:$C$69,MATCH(C21,PERSONNEL!$B$10:$B$69,0)),"Matricule inconnu"))</f>
        <v/>
      </c>
      <c r="E21" s="73" t="str">
        <f aca="false">IF(C21="","",IFERROR(INDEX(PERSONNEL!$I$10:$I$69,MATCH(C21,PERSONNEL!$B$10:$B$69,0)),""))</f>
        <v/>
      </c>
      <c r="F21" s="73" t="str">
        <f aca="false">IF(C21="","",IFERROR(INDEX(PERSONNEL!$D$10:$D$69,MATCH(C21,PERSONNEL!$B$10:$B$69,0)),""))</f>
        <v/>
      </c>
      <c r="G21" s="116"/>
      <c r="H21" s="117"/>
      <c r="I21" s="116"/>
      <c r="J21" s="118"/>
      <c r="K21" s="116"/>
      <c r="L21" s="118"/>
      <c r="M21" s="51" t="str">
        <f aca="false">IF(B21="","",MONTH(B21))</f>
        <v/>
      </c>
      <c r="N21" s="51" t="str">
        <f aca="false">IF(B21="","",YEAR(B21))</f>
        <v/>
      </c>
      <c r="O21" s="51" t="str">
        <f aca="false">IF(B21="","",C21&amp;"|"&amp;M21&amp;"|"&amp;N21)</f>
        <v/>
      </c>
    </row>
    <row r="22" customFormat="false" ht="15" hidden="false" customHeight="false" outlineLevel="0" collapsed="false">
      <c r="A22" s="73" t="str">
        <f aca="false">IF(B22="","",ROW()-9)</f>
        <v/>
      </c>
      <c r="B22" s="115"/>
      <c r="C22" s="116"/>
      <c r="D22" s="74" t="str">
        <f aca="false">IF(C22="","",IFERROR(INDEX(PERSONNEL!$C$10:$C$69,MATCH(C22,PERSONNEL!$B$10:$B$69,0)),"Matricule inconnu"))</f>
        <v/>
      </c>
      <c r="E22" s="73" t="str">
        <f aca="false">IF(C22="","",IFERROR(INDEX(PERSONNEL!$I$10:$I$69,MATCH(C22,PERSONNEL!$B$10:$B$69,0)),""))</f>
        <v/>
      </c>
      <c r="F22" s="73" t="str">
        <f aca="false">IF(C22="","",IFERROR(INDEX(PERSONNEL!$D$10:$D$69,MATCH(C22,PERSONNEL!$B$10:$B$69,0)),""))</f>
        <v/>
      </c>
      <c r="G22" s="116"/>
      <c r="H22" s="117"/>
      <c r="I22" s="116"/>
      <c r="J22" s="118"/>
      <c r="K22" s="116"/>
      <c r="L22" s="118"/>
      <c r="M22" s="51" t="str">
        <f aca="false">IF(B22="","",MONTH(B22))</f>
        <v/>
      </c>
      <c r="N22" s="51" t="str">
        <f aca="false">IF(B22="","",YEAR(B22))</f>
        <v/>
      </c>
      <c r="O22" s="51" t="str">
        <f aca="false">IF(B22="","",C22&amp;"|"&amp;M22&amp;"|"&amp;N22)</f>
        <v/>
      </c>
    </row>
    <row r="23" customFormat="false" ht="15" hidden="false" customHeight="false" outlineLevel="0" collapsed="false">
      <c r="A23" s="73" t="str">
        <f aca="false">IF(B23="","",ROW()-9)</f>
        <v/>
      </c>
      <c r="B23" s="115"/>
      <c r="C23" s="116"/>
      <c r="D23" s="74" t="str">
        <f aca="false">IF(C23="","",IFERROR(INDEX(PERSONNEL!$C$10:$C$69,MATCH(C23,PERSONNEL!$B$10:$B$69,0)),"Matricule inconnu"))</f>
        <v/>
      </c>
      <c r="E23" s="73" t="str">
        <f aca="false">IF(C23="","",IFERROR(INDEX(PERSONNEL!$I$10:$I$69,MATCH(C23,PERSONNEL!$B$10:$B$69,0)),""))</f>
        <v/>
      </c>
      <c r="F23" s="73" t="str">
        <f aca="false">IF(C23="","",IFERROR(INDEX(PERSONNEL!$D$10:$D$69,MATCH(C23,PERSONNEL!$B$10:$B$69,0)),""))</f>
        <v/>
      </c>
      <c r="G23" s="116"/>
      <c r="H23" s="117"/>
      <c r="I23" s="116"/>
      <c r="J23" s="118"/>
      <c r="K23" s="116"/>
      <c r="L23" s="118"/>
      <c r="M23" s="51" t="str">
        <f aca="false">IF(B23="","",MONTH(B23))</f>
        <v/>
      </c>
      <c r="N23" s="51" t="str">
        <f aca="false">IF(B23="","",YEAR(B23))</f>
        <v/>
      </c>
      <c r="O23" s="51" t="str">
        <f aca="false">IF(B23="","",C23&amp;"|"&amp;M23&amp;"|"&amp;N23)</f>
        <v/>
      </c>
    </row>
    <row r="24" customFormat="false" ht="15" hidden="false" customHeight="false" outlineLevel="0" collapsed="false">
      <c r="A24" s="73" t="str">
        <f aca="false">IF(B24="","",ROW()-9)</f>
        <v/>
      </c>
      <c r="B24" s="115"/>
      <c r="C24" s="116"/>
      <c r="D24" s="74" t="str">
        <f aca="false">IF(C24="","",IFERROR(INDEX(PERSONNEL!$C$10:$C$69,MATCH(C24,PERSONNEL!$B$10:$B$69,0)),"Matricule inconnu"))</f>
        <v/>
      </c>
      <c r="E24" s="73" t="str">
        <f aca="false">IF(C24="","",IFERROR(INDEX(PERSONNEL!$I$10:$I$69,MATCH(C24,PERSONNEL!$B$10:$B$69,0)),""))</f>
        <v/>
      </c>
      <c r="F24" s="73" t="str">
        <f aca="false">IF(C24="","",IFERROR(INDEX(PERSONNEL!$D$10:$D$69,MATCH(C24,PERSONNEL!$B$10:$B$69,0)),""))</f>
        <v/>
      </c>
      <c r="G24" s="116"/>
      <c r="H24" s="117"/>
      <c r="I24" s="116"/>
      <c r="J24" s="118"/>
      <c r="K24" s="116"/>
      <c r="L24" s="118"/>
      <c r="M24" s="51" t="str">
        <f aca="false">IF(B24="","",MONTH(B24))</f>
        <v/>
      </c>
      <c r="N24" s="51" t="str">
        <f aca="false">IF(B24="","",YEAR(B24))</f>
        <v/>
      </c>
      <c r="O24" s="51" t="str">
        <f aca="false">IF(B24="","",C24&amp;"|"&amp;M24&amp;"|"&amp;N24)</f>
        <v/>
      </c>
    </row>
    <row r="25" customFormat="false" ht="15" hidden="false" customHeight="false" outlineLevel="0" collapsed="false">
      <c r="A25" s="73" t="str">
        <f aca="false">IF(B25="","",ROW()-9)</f>
        <v/>
      </c>
      <c r="B25" s="115"/>
      <c r="C25" s="116"/>
      <c r="D25" s="74" t="str">
        <f aca="false">IF(C25="","",IFERROR(INDEX(PERSONNEL!$C$10:$C$69,MATCH(C25,PERSONNEL!$B$10:$B$69,0)),"Matricule inconnu"))</f>
        <v/>
      </c>
      <c r="E25" s="73" t="str">
        <f aca="false">IF(C25="","",IFERROR(INDEX(PERSONNEL!$I$10:$I$69,MATCH(C25,PERSONNEL!$B$10:$B$69,0)),""))</f>
        <v/>
      </c>
      <c r="F25" s="73" t="str">
        <f aca="false">IF(C25="","",IFERROR(INDEX(PERSONNEL!$D$10:$D$69,MATCH(C25,PERSONNEL!$B$10:$B$69,0)),""))</f>
        <v/>
      </c>
      <c r="G25" s="116"/>
      <c r="H25" s="117"/>
      <c r="I25" s="116"/>
      <c r="J25" s="118"/>
      <c r="K25" s="116"/>
      <c r="L25" s="118"/>
      <c r="M25" s="51" t="str">
        <f aca="false">IF(B25="","",MONTH(B25))</f>
        <v/>
      </c>
      <c r="N25" s="51" t="str">
        <f aca="false">IF(B25="","",YEAR(B25))</f>
        <v/>
      </c>
      <c r="O25" s="51" t="str">
        <f aca="false">IF(B25="","",C25&amp;"|"&amp;M25&amp;"|"&amp;N25)</f>
        <v/>
      </c>
    </row>
    <row r="26" customFormat="false" ht="15" hidden="false" customHeight="false" outlineLevel="0" collapsed="false">
      <c r="A26" s="73" t="str">
        <f aca="false">IF(B26="","",ROW()-9)</f>
        <v/>
      </c>
      <c r="B26" s="115"/>
      <c r="C26" s="116"/>
      <c r="D26" s="74" t="str">
        <f aca="false">IF(C26="","",IFERROR(INDEX(PERSONNEL!$C$10:$C$69,MATCH(C26,PERSONNEL!$B$10:$B$69,0)),"Matricule inconnu"))</f>
        <v/>
      </c>
      <c r="E26" s="73" t="str">
        <f aca="false">IF(C26="","",IFERROR(INDEX(PERSONNEL!$I$10:$I$69,MATCH(C26,PERSONNEL!$B$10:$B$69,0)),""))</f>
        <v/>
      </c>
      <c r="F26" s="73" t="str">
        <f aca="false">IF(C26="","",IFERROR(INDEX(PERSONNEL!$D$10:$D$69,MATCH(C26,PERSONNEL!$B$10:$B$69,0)),""))</f>
        <v/>
      </c>
      <c r="G26" s="116"/>
      <c r="H26" s="117"/>
      <c r="I26" s="116"/>
      <c r="J26" s="118"/>
      <c r="K26" s="116"/>
      <c r="L26" s="118"/>
      <c r="M26" s="51" t="str">
        <f aca="false">IF(B26="","",MONTH(B26))</f>
        <v/>
      </c>
      <c r="N26" s="51" t="str">
        <f aca="false">IF(B26="","",YEAR(B26))</f>
        <v/>
      </c>
      <c r="O26" s="51" t="str">
        <f aca="false">IF(B26="","",C26&amp;"|"&amp;M26&amp;"|"&amp;N26)</f>
        <v/>
      </c>
    </row>
    <row r="27" customFormat="false" ht="15" hidden="false" customHeight="false" outlineLevel="0" collapsed="false">
      <c r="A27" s="73" t="str">
        <f aca="false">IF(B27="","",ROW()-9)</f>
        <v/>
      </c>
      <c r="B27" s="115"/>
      <c r="C27" s="116"/>
      <c r="D27" s="74" t="str">
        <f aca="false">IF(C27="","",IFERROR(INDEX(PERSONNEL!$C$10:$C$69,MATCH(C27,PERSONNEL!$B$10:$B$69,0)),"Matricule inconnu"))</f>
        <v/>
      </c>
      <c r="E27" s="73" t="str">
        <f aca="false">IF(C27="","",IFERROR(INDEX(PERSONNEL!$I$10:$I$69,MATCH(C27,PERSONNEL!$B$10:$B$69,0)),""))</f>
        <v/>
      </c>
      <c r="F27" s="73" t="str">
        <f aca="false">IF(C27="","",IFERROR(INDEX(PERSONNEL!$D$10:$D$69,MATCH(C27,PERSONNEL!$B$10:$B$69,0)),""))</f>
        <v/>
      </c>
      <c r="G27" s="116"/>
      <c r="H27" s="117"/>
      <c r="I27" s="116"/>
      <c r="J27" s="118"/>
      <c r="K27" s="116"/>
      <c r="L27" s="118"/>
      <c r="M27" s="51" t="str">
        <f aca="false">IF(B27="","",MONTH(B27))</f>
        <v/>
      </c>
      <c r="N27" s="51" t="str">
        <f aca="false">IF(B27="","",YEAR(B27))</f>
        <v/>
      </c>
      <c r="O27" s="51" t="str">
        <f aca="false">IF(B27="","",C27&amp;"|"&amp;M27&amp;"|"&amp;N27)</f>
        <v/>
      </c>
    </row>
    <row r="28" customFormat="false" ht="15" hidden="false" customHeight="false" outlineLevel="0" collapsed="false">
      <c r="A28" s="73" t="str">
        <f aca="false">IF(B28="","",ROW()-9)</f>
        <v/>
      </c>
      <c r="B28" s="115"/>
      <c r="C28" s="116"/>
      <c r="D28" s="74" t="str">
        <f aca="false">IF(C28="","",IFERROR(INDEX(PERSONNEL!$C$10:$C$69,MATCH(C28,PERSONNEL!$B$10:$B$69,0)),"Matricule inconnu"))</f>
        <v/>
      </c>
      <c r="E28" s="73" t="str">
        <f aca="false">IF(C28="","",IFERROR(INDEX(PERSONNEL!$I$10:$I$69,MATCH(C28,PERSONNEL!$B$10:$B$69,0)),""))</f>
        <v/>
      </c>
      <c r="F28" s="73" t="str">
        <f aca="false">IF(C28="","",IFERROR(INDEX(PERSONNEL!$D$10:$D$69,MATCH(C28,PERSONNEL!$B$10:$B$69,0)),""))</f>
        <v/>
      </c>
      <c r="G28" s="116"/>
      <c r="H28" s="117"/>
      <c r="I28" s="116"/>
      <c r="J28" s="118"/>
      <c r="K28" s="116"/>
      <c r="L28" s="118"/>
      <c r="M28" s="51" t="str">
        <f aca="false">IF(B28="","",MONTH(B28))</f>
        <v/>
      </c>
      <c r="N28" s="51" t="str">
        <f aca="false">IF(B28="","",YEAR(B28))</f>
        <v/>
      </c>
      <c r="O28" s="51" t="str">
        <f aca="false">IF(B28="","",C28&amp;"|"&amp;M28&amp;"|"&amp;N28)</f>
        <v/>
      </c>
    </row>
    <row r="29" customFormat="false" ht="15" hidden="false" customHeight="false" outlineLevel="0" collapsed="false">
      <c r="A29" s="73" t="str">
        <f aca="false">IF(B29="","",ROW()-9)</f>
        <v/>
      </c>
      <c r="B29" s="115"/>
      <c r="C29" s="116"/>
      <c r="D29" s="74" t="str">
        <f aca="false">IF(C29="","",IFERROR(INDEX(PERSONNEL!$C$10:$C$69,MATCH(C29,PERSONNEL!$B$10:$B$69,0)),"Matricule inconnu"))</f>
        <v/>
      </c>
      <c r="E29" s="73" t="str">
        <f aca="false">IF(C29="","",IFERROR(INDEX(PERSONNEL!$I$10:$I$69,MATCH(C29,PERSONNEL!$B$10:$B$69,0)),""))</f>
        <v/>
      </c>
      <c r="F29" s="73" t="str">
        <f aca="false">IF(C29="","",IFERROR(INDEX(PERSONNEL!$D$10:$D$69,MATCH(C29,PERSONNEL!$B$10:$B$69,0)),""))</f>
        <v/>
      </c>
      <c r="G29" s="116"/>
      <c r="H29" s="117"/>
      <c r="I29" s="116"/>
      <c r="J29" s="118"/>
      <c r="K29" s="116"/>
      <c r="L29" s="118"/>
      <c r="M29" s="51" t="str">
        <f aca="false">IF(B29="","",MONTH(B29))</f>
        <v/>
      </c>
      <c r="N29" s="51" t="str">
        <f aca="false">IF(B29="","",YEAR(B29))</f>
        <v/>
      </c>
      <c r="O29" s="51" t="str">
        <f aca="false">IF(B29="","",C29&amp;"|"&amp;M29&amp;"|"&amp;N29)</f>
        <v/>
      </c>
    </row>
    <row r="30" customFormat="false" ht="15" hidden="false" customHeight="false" outlineLevel="0" collapsed="false">
      <c r="A30" s="73" t="str">
        <f aca="false">IF(B30="","",ROW()-9)</f>
        <v/>
      </c>
      <c r="B30" s="115"/>
      <c r="C30" s="116"/>
      <c r="D30" s="74" t="str">
        <f aca="false">IF(C30="","",IFERROR(INDEX(PERSONNEL!$C$10:$C$69,MATCH(C30,PERSONNEL!$B$10:$B$69,0)),"Matricule inconnu"))</f>
        <v/>
      </c>
      <c r="E30" s="73" t="str">
        <f aca="false">IF(C30="","",IFERROR(INDEX(PERSONNEL!$I$10:$I$69,MATCH(C30,PERSONNEL!$B$10:$B$69,0)),""))</f>
        <v/>
      </c>
      <c r="F30" s="73" t="str">
        <f aca="false">IF(C30="","",IFERROR(INDEX(PERSONNEL!$D$10:$D$69,MATCH(C30,PERSONNEL!$B$10:$B$69,0)),""))</f>
        <v/>
      </c>
      <c r="G30" s="116"/>
      <c r="H30" s="117"/>
      <c r="I30" s="116"/>
      <c r="J30" s="118"/>
      <c r="K30" s="116"/>
      <c r="L30" s="118"/>
      <c r="M30" s="51" t="str">
        <f aca="false">IF(B30="","",MONTH(B30))</f>
        <v/>
      </c>
      <c r="N30" s="51" t="str">
        <f aca="false">IF(B30="","",YEAR(B30))</f>
        <v/>
      </c>
      <c r="O30" s="51" t="str">
        <f aca="false">IF(B30="","",C30&amp;"|"&amp;M30&amp;"|"&amp;N30)</f>
        <v/>
      </c>
    </row>
    <row r="31" customFormat="false" ht="15" hidden="false" customHeight="false" outlineLevel="0" collapsed="false">
      <c r="A31" s="73" t="str">
        <f aca="false">IF(B31="","",ROW()-9)</f>
        <v/>
      </c>
      <c r="B31" s="115"/>
      <c r="C31" s="116"/>
      <c r="D31" s="74" t="str">
        <f aca="false">IF(C31="","",IFERROR(INDEX(PERSONNEL!$C$10:$C$69,MATCH(C31,PERSONNEL!$B$10:$B$69,0)),"Matricule inconnu"))</f>
        <v/>
      </c>
      <c r="E31" s="73" t="str">
        <f aca="false">IF(C31="","",IFERROR(INDEX(PERSONNEL!$I$10:$I$69,MATCH(C31,PERSONNEL!$B$10:$B$69,0)),""))</f>
        <v/>
      </c>
      <c r="F31" s="73" t="str">
        <f aca="false">IF(C31="","",IFERROR(INDEX(PERSONNEL!$D$10:$D$69,MATCH(C31,PERSONNEL!$B$10:$B$69,0)),""))</f>
        <v/>
      </c>
      <c r="G31" s="116"/>
      <c r="H31" s="117"/>
      <c r="I31" s="116"/>
      <c r="J31" s="118"/>
      <c r="K31" s="116"/>
      <c r="L31" s="118"/>
      <c r="M31" s="51" t="str">
        <f aca="false">IF(B31="","",MONTH(B31))</f>
        <v/>
      </c>
      <c r="N31" s="51" t="str">
        <f aca="false">IF(B31="","",YEAR(B31))</f>
        <v/>
      </c>
      <c r="O31" s="51" t="str">
        <f aca="false">IF(B31="","",C31&amp;"|"&amp;M31&amp;"|"&amp;N31)</f>
        <v/>
      </c>
    </row>
    <row r="32" customFormat="false" ht="15" hidden="false" customHeight="false" outlineLevel="0" collapsed="false">
      <c r="A32" s="73" t="str">
        <f aca="false">IF(B32="","",ROW()-9)</f>
        <v/>
      </c>
      <c r="B32" s="115"/>
      <c r="C32" s="116"/>
      <c r="D32" s="74" t="str">
        <f aca="false">IF(C32="","",IFERROR(INDEX(PERSONNEL!$C$10:$C$69,MATCH(C32,PERSONNEL!$B$10:$B$69,0)),"Matricule inconnu"))</f>
        <v/>
      </c>
      <c r="E32" s="73" t="str">
        <f aca="false">IF(C32="","",IFERROR(INDEX(PERSONNEL!$I$10:$I$69,MATCH(C32,PERSONNEL!$B$10:$B$69,0)),""))</f>
        <v/>
      </c>
      <c r="F32" s="73" t="str">
        <f aca="false">IF(C32="","",IFERROR(INDEX(PERSONNEL!$D$10:$D$69,MATCH(C32,PERSONNEL!$B$10:$B$69,0)),""))</f>
        <v/>
      </c>
      <c r="G32" s="116"/>
      <c r="H32" s="117"/>
      <c r="I32" s="116"/>
      <c r="J32" s="118"/>
      <c r="K32" s="116"/>
      <c r="L32" s="118"/>
      <c r="M32" s="51" t="str">
        <f aca="false">IF(B32="","",MONTH(B32))</f>
        <v/>
      </c>
      <c r="N32" s="51" t="str">
        <f aca="false">IF(B32="","",YEAR(B32))</f>
        <v/>
      </c>
      <c r="O32" s="51" t="str">
        <f aca="false">IF(B32="","",C32&amp;"|"&amp;M32&amp;"|"&amp;N32)</f>
        <v/>
      </c>
    </row>
    <row r="33" customFormat="false" ht="15" hidden="false" customHeight="false" outlineLevel="0" collapsed="false">
      <c r="A33" s="73" t="str">
        <f aca="false">IF(B33="","",ROW()-9)</f>
        <v/>
      </c>
      <c r="B33" s="115"/>
      <c r="C33" s="116"/>
      <c r="D33" s="74" t="str">
        <f aca="false">IF(C33="","",IFERROR(INDEX(PERSONNEL!$C$10:$C$69,MATCH(C33,PERSONNEL!$B$10:$B$69,0)),"Matricule inconnu"))</f>
        <v/>
      </c>
      <c r="E33" s="73" t="str">
        <f aca="false">IF(C33="","",IFERROR(INDEX(PERSONNEL!$I$10:$I$69,MATCH(C33,PERSONNEL!$B$10:$B$69,0)),""))</f>
        <v/>
      </c>
      <c r="F33" s="73" t="str">
        <f aca="false">IF(C33="","",IFERROR(INDEX(PERSONNEL!$D$10:$D$69,MATCH(C33,PERSONNEL!$B$10:$B$69,0)),""))</f>
        <v/>
      </c>
      <c r="G33" s="116"/>
      <c r="H33" s="117"/>
      <c r="I33" s="116"/>
      <c r="J33" s="118"/>
      <c r="K33" s="116"/>
      <c r="L33" s="118"/>
      <c r="M33" s="51" t="str">
        <f aca="false">IF(B33="","",MONTH(B33))</f>
        <v/>
      </c>
      <c r="N33" s="51" t="str">
        <f aca="false">IF(B33="","",YEAR(B33))</f>
        <v/>
      </c>
      <c r="O33" s="51" t="str">
        <f aca="false">IF(B33="","",C33&amp;"|"&amp;M33&amp;"|"&amp;N33)</f>
        <v/>
      </c>
    </row>
    <row r="34" customFormat="false" ht="15" hidden="false" customHeight="false" outlineLevel="0" collapsed="false">
      <c r="A34" s="73" t="str">
        <f aca="false">IF(B34="","",ROW()-9)</f>
        <v/>
      </c>
      <c r="B34" s="115"/>
      <c r="C34" s="116"/>
      <c r="D34" s="74" t="str">
        <f aca="false">IF(C34="","",IFERROR(INDEX(PERSONNEL!$C$10:$C$69,MATCH(C34,PERSONNEL!$B$10:$B$69,0)),"Matricule inconnu"))</f>
        <v/>
      </c>
      <c r="E34" s="73" t="str">
        <f aca="false">IF(C34="","",IFERROR(INDEX(PERSONNEL!$I$10:$I$69,MATCH(C34,PERSONNEL!$B$10:$B$69,0)),""))</f>
        <v/>
      </c>
      <c r="F34" s="73" t="str">
        <f aca="false">IF(C34="","",IFERROR(INDEX(PERSONNEL!$D$10:$D$69,MATCH(C34,PERSONNEL!$B$10:$B$69,0)),""))</f>
        <v/>
      </c>
      <c r="G34" s="116"/>
      <c r="H34" s="117"/>
      <c r="I34" s="116"/>
      <c r="J34" s="118"/>
      <c r="K34" s="116"/>
      <c r="L34" s="118"/>
      <c r="M34" s="51" t="str">
        <f aca="false">IF(B34="","",MONTH(B34))</f>
        <v/>
      </c>
      <c r="N34" s="51" t="str">
        <f aca="false">IF(B34="","",YEAR(B34))</f>
        <v/>
      </c>
      <c r="O34" s="51" t="str">
        <f aca="false">IF(B34="","",C34&amp;"|"&amp;M34&amp;"|"&amp;N34)</f>
        <v/>
      </c>
    </row>
    <row r="35" customFormat="false" ht="15" hidden="false" customHeight="false" outlineLevel="0" collapsed="false">
      <c r="A35" s="73" t="str">
        <f aca="false">IF(B35="","",ROW()-9)</f>
        <v/>
      </c>
      <c r="B35" s="115"/>
      <c r="C35" s="116"/>
      <c r="D35" s="74" t="str">
        <f aca="false">IF(C35="","",IFERROR(INDEX(PERSONNEL!$C$10:$C$69,MATCH(C35,PERSONNEL!$B$10:$B$69,0)),"Matricule inconnu"))</f>
        <v/>
      </c>
      <c r="E35" s="73" t="str">
        <f aca="false">IF(C35="","",IFERROR(INDEX(PERSONNEL!$I$10:$I$69,MATCH(C35,PERSONNEL!$B$10:$B$69,0)),""))</f>
        <v/>
      </c>
      <c r="F35" s="73" t="str">
        <f aca="false">IF(C35="","",IFERROR(INDEX(PERSONNEL!$D$10:$D$69,MATCH(C35,PERSONNEL!$B$10:$B$69,0)),""))</f>
        <v/>
      </c>
      <c r="G35" s="116"/>
      <c r="H35" s="117"/>
      <c r="I35" s="116"/>
      <c r="J35" s="118"/>
      <c r="K35" s="116"/>
      <c r="L35" s="118"/>
      <c r="M35" s="51" t="str">
        <f aca="false">IF(B35="","",MONTH(B35))</f>
        <v/>
      </c>
      <c r="N35" s="51" t="str">
        <f aca="false">IF(B35="","",YEAR(B35))</f>
        <v/>
      </c>
      <c r="O35" s="51" t="str">
        <f aca="false">IF(B35="","",C35&amp;"|"&amp;M35&amp;"|"&amp;N35)</f>
        <v/>
      </c>
    </row>
    <row r="36" customFormat="false" ht="15" hidden="false" customHeight="false" outlineLevel="0" collapsed="false">
      <c r="A36" s="73" t="str">
        <f aca="false">IF(B36="","",ROW()-9)</f>
        <v/>
      </c>
      <c r="B36" s="115"/>
      <c r="C36" s="116"/>
      <c r="D36" s="74" t="str">
        <f aca="false">IF(C36="","",IFERROR(INDEX(PERSONNEL!$C$10:$C$69,MATCH(C36,PERSONNEL!$B$10:$B$69,0)),"Matricule inconnu"))</f>
        <v/>
      </c>
      <c r="E36" s="73" t="str">
        <f aca="false">IF(C36="","",IFERROR(INDEX(PERSONNEL!$I$10:$I$69,MATCH(C36,PERSONNEL!$B$10:$B$69,0)),""))</f>
        <v/>
      </c>
      <c r="F36" s="73" t="str">
        <f aca="false">IF(C36="","",IFERROR(INDEX(PERSONNEL!$D$10:$D$69,MATCH(C36,PERSONNEL!$B$10:$B$69,0)),""))</f>
        <v/>
      </c>
      <c r="G36" s="116"/>
      <c r="H36" s="117"/>
      <c r="I36" s="116"/>
      <c r="J36" s="118"/>
      <c r="K36" s="116"/>
      <c r="L36" s="118"/>
      <c r="M36" s="51" t="str">
        <f aca="false">IF(B36="","",MONTH(B36))</f>
        <v/>
      </c>
      <c r="N36" s="51" t="str">
        <f aca="false">IF(B36="","",YEAR(B36))</f>
        <v/>
      </c>
      <c r="O36" s="51" t="str">
        <f aca="false">IF(B36="","",C36&amp;"|"&amp;M36&amp;"|"&amp;N36)</f>
        <v/>
      </c>
    </row>
    <row r="37" customFormat="false" ht="15" hidden="false" customHeight="false" outlineLevel="0" collapsed="false">
      <c r="A37" s="73" t="str">
        <f aca="false">IF(B37="","",ROW()-9)</f>
        <v/>
      </c>
      <c r="B37" s="115"/>
      <c r="C37" s="116"/>
      <c r="D37" s="74" t="str">
        <f aca="false">IF(C37="","",IFERROR(INDEX(PERSONNEL!$C$10:$C$69,MATCH(C37,PERSONNEL!$B$10:$B$69,0)),"Matricule inconnu"))</f>
        <v/>
      </c>
      <c r="E37" s="73" t="str">
        <f aca="false">IF(C37="","",IFERROR(INDEX(PERSONNEL!$I$10:$I$69,MATCH(C37,PERSONNEL!$B$10:$B$69,0)),""))</f>
        <v/>
      </c>
      <c r="F37" s="73" t="str">
        <f aca="false">IF(C37="","",IFERROR(INDEX(PERSONNEL!$D$10:$D$69,MATCH(C37,PERSONNEL!$B$10:$B$69,0)),""))</f>
        <v/>
      </c>
      <c r="G37" s="116"/>
      <c r="H37" s="117"/>
      <c r="I37" s="116"/>
      <c r="J37" s="118"/>
      <c r="K37" s="116"/>
      <c r="L37" s="118"/>
      <c r="M37" s="51" t="str">
        <f aca="false">IF(B37="","",MONTH(B37))</f>
        <v/>
      </c>
      <c r="N37" s="51" t="str">
        <f aca="false">IF(B37="","",YEAR(B37))</f>
        <v/>
      </c>
      <c r="O37" s="51" t="str">
        <f aca="false">IF(B37="","",C37&amp;"|"&amp;M37&amp;"|"&amp;N37)</f>
        <v/>
      </c>
    </row>
    <row r="38" customFormat="false" ht="15" hidden="false" customHeight="false" outlineLevel="0" collapsed="false">
      <c r="A38" s="73" t="str">
        <f aca="false">IF(B38="","",ROW()-9)</f>
        <v/>
      </c>
      <c r="B38" s="115"/>
      <c r="C38" s="116"/>
      <c r="D38" s="74" t="str">
        <f aca="false">IF(C38="","",IFERROR(INDEX(PERSONNEL!$C$10:$C$69,MATCH(C38,PERSONNEL!$B$10:$B$69,0)),"Matricule inconnu"))</f>
        <v/>
      </c>
      <c r="E38" s="73" t="str">
        <f aca="false">IF(C38="","",IFERROR(INDEX(PERSONNEL!$I$10:$I$69,MATCH(C38,PERSONNEL!$B$10:$B$69,0)),""))</f>
        <v/>
      </c>
      <c r="F38" s="73" t="str">
        <f aca="false">IF(C38="","",IFERROR(INDEX(PERSONNEL!$D$10:$D$69,MATCH(C38,PERSONNEL!$B$10:$B$69,0)),""))</f>
        <v/>
      </c>
      <c r="G38" s="116"/>
      <c r="H38" s="117"/>
      <c r="I38" s="116"/>
      <c r="J38" s="118"/>
      <c r="K38" s="116"/>
      <c r="L38" s="118"/>
      <c r="M38" s="51" t="str">
        <f aca="false">IF(B38="","",MONTH(B38))</f>
        <v/>
      </c>
      <c r="N38" s="51" t="str">
        <f aca="false">IF(B38="","",YEAR(B38))</f>
        <v/>
      </c>
      <c r="O38" s="51" t="str">
        <f aca="false">IF(B38="","",C38&amp;"|"&amp;M38&amp;"|"&amp;N38)</f>
        <v/>
      </c>
    </row>
    <row r="39" customFormat="false" ht="15" hidden="false" customHeight="false" outlineLevel="0" collapsed="false">
      <c r="A39" s="73" t="str">
        <f aca="false">IF(B39="","",ROW()-9)</f>
        <v/>
      </c>
      <c r="B39" s="115"/>
      <c r="C39" s="116"/>
      <c r="D39" s="74" t="str">
        <f aca="false">IF(C39="","",IFERROR(INDEX(PERSONNEL!$C$10:$C$69,MATCH(C39,PERSONNEL!$B$10:$B$69,0)),"Matricule inconnu"))</f>
        <v/>
      </c>
      <c r="E39" s="73" t="str">
        <f aca="false">IF(C39="","",IFERROR(INDEX(PERSONNEL!$I$10:$I$69,MATCH(C39,PERSONNEL!$B$10:$B$69,0)),""))</f>
        <v/>
      </c>
      <c r="F39" s="73" t="str">
        <f aca="false">IF(C39="","",IFERROR(INDEX(PERSONNEL!$D$10:$D$69,MATCH(C39,PERSONNEL!$B$10:$B$69,0)),""))</f>
        <v/>
      </c>
      <c r="G39" s="116"/>
      <c r="H39" s="117"/>
      <c r="I39" s="116"/>
      <c r="J39" s="118"/>
      <c r="K39" s="116"/>
      <c r="L39" s="118"/>
      <c r="M39" s="51" t="str">
        <f aca="false">IF(B39="","",MONTH(B39))</f>
        <v/>
      </c>
      <c r="N39" s="51" t="str">
        <f aca="false">IF(B39="","",YEAR(B39))</f>
        <v/>
      </c>
      <c r="O39" s="51" t="str">
        <f aca="false">IF(B39="","",C39&amp;"|"&amp;M39&amp;"|"&amp;N39)</f>
        <v/>
      </c>
    </row>
    <row r="40" customFormat="false" ht="15" hidden="false" customHeight="false" outlineLevel="0" collapsed="false">
      <c r="A40" s="73" t="str">
        <f aca="false">IF(B40="","",ROW()-9)</f>
        <v/>
      </c>
      <c r="B40" s="115"/>
      <c r="C40" s="116"/>
      <c r="D40" s="74" t="str">
        <f aca="false">IF(C40="","",IFERROR(INDEX(PERSONNEL!$C$10:$C$69,MATCH(C40,PERSONNEL!$B$10:$B$69,0)),"Matricule inconnu"))</f>
        <v/>
      </c>
      <c r="E40" s="73" t="str">
        <f aca="false">IF(C40="","",IFERROR(INDEX(PERSONNEL!$I$10:$I$69,MATCH(C40,PERSONNEL!$B$10:$B$69,0)),""))</f>
        <v/>
      </c>
      <c r="F40" s="73" t="str">
        <f aca="false">IF(C40="","",IFERROR(INDEX(PERSONNEL!$D$10:$D$69,MATCH(C40,PERSONNEL!$B$10:$B$69,0)),""))</f>
        <v/>
      </c>
      <c r="G40" s="116"/>
      <c r="H40" s="117"/>
      <c r="I40" s="116"/>
      <c r="J40" s="118"/>
      <c r="K40" s="116"/>
      <c r="L40" s="118"/>
      <c r="M40" s="51" t="str">
        <f aca="false">IF(B40="","",MONTH(B40))</f>
        <v/>
      </c>
      <c r="N40" s="51" t="str">
        <f aca="false">IF(B40="","",YEAR(B40))</f>
        <v/>
      </c>
      <c r="O40" s="51" t="str">
        <f aca="false">IF(B40="","",C40&amp;"|"&amp;M40&amp;"|"&amp;N40)</f>
        <v/>
      </c>
    </row>
    <row r="41" customFormat="false" ht="15" hidden="false" customHeight="false" outlineLevel="0" collapsed="false">
      <c r="A41" s="73" t="str">
        <f aca="false">IF(B41="","",ROW()-9)</f>
        <v/>
      </c>
      <c r="B41" s="115"/>
      <c r="C41" s="116"/>
      <c r="D41" s="74" t="str">
        <f aca="false">IF(C41="","",IFERROR(INDEX(PERSONNEL!$C$10:$C$69,MATCH(C41,PERSONNEL!$B$10:$B$69,0)),"Matricule inconnu"))</f>
        <v/>
      </c>
      <c r="E41" s="73" t="str">
        <f aca="false">IF(C41="","",IFERROR(INDEX(PERSONNEL!$I$10:$I$69,MATCH(C41,PERSONNEL!$B$10:$B$69,0)),""))</f>
        <v/>
      </c>
      <c r="F41" s="73" t="str">
        <f aca="false">IF(C41="","",IFERROR(INDEX(PERSONNEL!$D$10:$D$69,MATCH(C41,PERSONNEL!$B$10:$B$69,0)),""))</f>
        <v/>
      </c>
      <c r="G41" s="116"/>
      <c r="H41" s="117"/>
      <c r="I41" s="116"/>
      <c r="J41" s="118"/>
      <c r="K41" s="116"/>
      <c r="L41" s="118"/>
      <c r="M41" s="51" t="str">
        <f aca="false">IF(B41="","",MONTH(B41))</f>
        <v/>
      </c>
      <c r="N41" s="51" t="str">
        <f aca="false">IF(B41="","",YEAR(B41))</f>
        <v/>
      </c>
      <c r="O41" s="51" t="str">
        <f aca="false">IF(B41="","",C41&amp;"|"&amp;M41&amp;"|"&amp;N41)</f>
        <v/>
      </c>
    </row>
    <row r="42" customFormat="false" ht="15" hidden="false" customHeight="false" outlineLevel="0" collapsed="false">
      <c r="A42" s="73" t="str">
        <f aca="false">IF(B42="","",ROW()-9)</f>
        <v/>
      </c>
      <c r="B42" s="115"/>
      <c r="C42" s="116"/>
      <c r="D42" s="74" t="str">
        <f aca="false">IF(C42="","",IFERROR(INDEX(PERSONNEL!$C$10:$C$69,MATCH(C42,PERSONNEL!$B$10:$B$69,0)),"Matricule inconnu"))</f>
        <v/>
      </c>
      <c r="E42" s="73" t="str">
        <f aca="false">IF(C42="","",IFERROR(INDEX(PERSONNEL!$I$10:$I$69,MATCH(C42,PERSONNEL!$B$10:$B$69,0)),""))</f>
        <v/>
      </c>
      <c r="F42" s="73" t="str">
        <f aca="false">IF(C42="","",IFERROR(INDEX(PERSONNEL!$D$10:$D$69,MATCH(C42,PERSONNEL!$B$10:$B$69,0)),""))</f>
        <v/>
      </c>
      <c r="G42" s="116"/>
      <c r="H42" s="117"/>
      <c r="I42" s="116"/>
      <c r="J42" s="118"/>
      <c r="K42" s="116"/>
      <c r="L42" s="118"/>
      <c r="M42" s="51" t="str">
        <f aca="false">IF(B42="","",MONTH(B42))</f>
        <v/>
      </c>
      <c r="N42" s="51" t="str">
        <f aca="false">IF(B42="","",YEAR(B42))</f>
        <v/>
      </c>
      <c r="O42" s="51" t="str">
        <f aca="false">IF(B42="","",C42&amp;"|"&amp;M42&amp;"|"&amp;N42)</f>
        <v/>
      </c>
    </row>
    <row r="43" customFormat="false" ht="15" hidden="false" customHeight="false" outlineLevel="0" collapsed="false">
      <c r="A43" s="73" t="str">
        <f aca="false">IF(B43="","",ROW()-9)</f>
        <v/>
      </c>
      <c r="B43" s="115"/>
      <c r="C43" s="116"/>
      <c r="D43" s="74" t="str">
        <f aca="false">IF(C43="","",IFERROR(INDEX(PERSONNEL!$C$10:$C$69,MATCH(C43,PERSONNEL!$B$10:$B$69,0)),"Matricule inconnu"))</f>
        <v/>
      </c>
      <c r="E43" s="73" t="str">
        <f aca="false">IF(C43="","",IFERROR(INDEX(PERSONNEL!$I$10:$I$69,MATCH(C43,PERSONNEL!$B$10:$B$69,0)),""))</f>
        <v/>
      </c>
      <c r="F43" s="73" t="str">
        <f aca="false">IF(C43="","",IFERROR(INDEX(PERSONNEL!$D$10:$D$69,MATCH(C43,PERSONNEL!$B$10:$B$69,0)),""))</f>
        <v/>
      </c>
      <c r="G43" s="116"/>
      <c r="H43" s="117"/>
      <c r="I43" s="116"/>
      <c r="J43" s="118"/>
      <c r="K43" s="116"/>
      <c r="L43" s="118"/>
      <c r="M43" s="51" t="str">
        <f aca="false">IF(B43="","",MONTH(B43))</f>
        <v/>
      </c>
      <c r="N43" s="51" t="str">
        <f aca="false">IF(B43="","",YEAR(B43))</f>
        <v/>
      </c>
      <c r="O43" s="51" t="str">
        <f aca="false">IF(B43="","",C43&amp;"|"&amp;M43&amp;"|"&amp;N43)</f>
        <v/>
      </c>
    </row>
    <row r="44" customFormat="false" ht="15" hidden="false" customHeight="false" outlineLevel="0" collapsed="false">
      <c r="A44" s="73" t="str">
        <f aca="false">IF(B44="","",ROW()-9)</f>
        <v/>
      </c>
      <c r="B44" s="115"/>
      <c r="C44" s="116"/>
      <c r="D44" s="74" t="str">
        <f aca="false">IF(C44="","",IFERROR(INDEX(PERSONNEL!$C$10:$C$69,MATCH(C44,PERSONNEL!$B$10:$B$69,0)),"Matricule inconnu"))</f>
        <v/>
      </c>
      <c r="E44" s="73" t="str">
        <f aca="false">IF(C44="","",IFERROR(INDEX(PERSONNEL!$I$10:$I$69,MATCH(C44,PERSONNEL!$B$10:$B$69,0)),""))</f>
        <v/>
      </c>
      <c r="F44" s="73" t="str">
        <f aca="false">IF(C44="","",IFERROR(INDEX(PERSONNEL!$D$10:$D$69,MATCH(C44,PERSONNEL!$B$10:$B$69,0)),""))</f>
        <v/>
      </c>
      <c r="G44" s="116"/>
      <c r="H44" s="117"/>
      <c r="I44" s="116"/>
      <c r="J44" s="118"/>
      <c r="K44" s="116"/>
      <c r="L44" s="118"/>
      <c r="M44" s="51" t="str">
        <f aca="false">IF(B44="","",MONTH(B44))</f>
        <v/>
      </c>
      <c r="N44" s="51" t="str">
        <f aca="false">IF(B44="","",YEAR(B44))</f>
        <v/>
      </c>
      <c r="O44" s="51" t="str">
        <f aca="false">IF(B44="","",C44&amp;"|"&amp;M44&amp;"|"&amp;N44)</f>
        <v/>
      </c>
    </row>
    <row r="45" customFormat="false" ht="15" hidden="false" customHeight="false" outlineLevel="0" collapsed="false">
      <c r="A45" s="73" t="str">
        <f aca="false">IF(B45="","",ROW()-9)</f>
        <v/>
      </c>
      <c r="B45" s="115"/>
      <c r="C45" s="116"/>
      <c r="D45" s="74" t="str">
        <f aca="false">IF(C45="","",IFERROR(INDEX(PERSONNEL!$C$10:$C$69,MATCH(C45,PERSONNEL!$B$10:$B$69,0)),"Matricule inconnu"))</f>
        <v/>
      </c>
      <c r="E45" s="73" t="str">
        <f aca="false">IF(C45="","",IFERROR(INDEX(PERSONNEL!$I$10:$I$69,MATCH(C45,PERSONNEL!$B$10:$B$69,0)),""))</f>
        <v/>
      </c>
      <c r="F45" s="73" t="str">
        <f aca="false">IF(C45="","",IFERROR(INDEX(PERSONNEL!$D$10:$D$69,MATCH(C45,PERSONNEL!$B$10:$B$69,0)),""))</f>
        <v/>
      </c>
      <c r="G45" s="116"/>
      <c r="H45" s="117"/>
      <c r="I45" s="116"/>
      <c r="J45" s="118"/>
      <c r="K45" s="116"/>
      <c r="L45" s="118"/>
      <c r="M45" s="51" t="str">
        <f aca="false">IF(B45="","",MONTH(B45))</f>
        <v/>
      </c>
      <c r="N45" s="51" t="str">
        <f aca="false">IF(B45="","",YEAR(B45))</f>
        <v/>
      </c>
      <c r="O45" s="51" t="str">
        <f aca="false">IF(B45="","",C45&amp;"|"&amp;M45&amp;"|"&amp;N45)</f>
        <v/>
      </c>
    </row>
    <row r="46" customFormat="false" ht="15" hidden="false" customHeight="false" outlineLevel="0" collapsed="false">
      <c r="A46" s="73" t="str">
        <f aca="false">IF(B46="","",ROW()-9)</f>
        <v/>
      </c>
      <c r="B46" s="115"/>
      <c r="C46" s="116"/>
      <c r="D46" s="74" t="str">
        <f aca="false">IF(C46="","",IFERROR(INDEX(PERSONNEL!$C$10:$C$69,MATCH(C46,PERSONNEL!$B$10:$B$69,0)),"Matricule inconnu"))</f>
        <v/>
      </c>
      <c r="E46" s="73" t="str">
        <f aca="false">IF(C46="","",IFERROR(INDEX(PERSONNEL!$I$10:$I$69,MATCH(C46,PERSONNEL!$B$10:$B$69,0)),""))</f>
        <v/>
      </c>
      <c r="F46" s="73" t="str">
        <f aca="false">IF(C46="","",IFERROR(INDEX(PERSONNEL!$D$10:$D$69,MATCH(C46,PERSONNEL!$B$10:$B$69,0)),""))</f>
        <v/>
      </c>
      <c r="G46" s="116"/>
      <c r="H46" s="117"/>
      <c r="I46" s="116"/>
      <c r="J46" s="118"/>
      <c r="K46" s="116"/>
      <c r="L46" s="118"/>
      <c r="M46" s="51" t="str">
        <f aca="false">IF(B46="","",MONTH(B46))</f>
        <v/>
      </c>
      <c r="N46" s="51" t="str">
        <f aca="false">IF(B46="","",YEAR(B46))</f>
        <v/>
      </c>
      <c r="O46" s="51" t="str">
        <f aca="false">IF(B46="","",C46&amp;"|"&amp;M46&amp;"|"&amp;N46)</f>
        <v/>
      </c>
    </row>
    <row r="47" customFormat="false" ht="15" hidden="false" customHeight="false" outlineLevel="0" collapsed="false">
      <c r="A47" s="73" t="str">
        <f aca="false">IF(B47="","",ROW()-9)</f>
        <v/>
      </c>
      <c r="B47" s="115"/>
      <c r="C47" s="116"/>
      <c r="D47" s="74" t="str">
        <f aca="false">IF(C47="","",IFERROR(INDEX(PERSONNEL!$C$10:$C$69,MATCH(C47,PERSONNEL!$B$10:$B$69,0)),"Matricule inconnu"))</f>
        <v/>
      </c>
      <c r="E47" s="73" t="str">
        <f aca="false">IF(C47="","",IFERROR(INDEX(PERSONNEL!$I$10:$I$69,MATCH(C47,PERSONNEL!$B$10:$B$69,0)),""))</f>
        <v/>
      </c>
      <c r="F47" s="73" t="str">
        <f aca="false">IF(C47="","",IFERROR(INDEX(PERSONNEL!$D$10:$D$69,MATCH(C47,PERSONNEL!$B$10:$B$69,0)),""))</f>
        <v/>
      </c>
      <c r="G47" s="116"/>
      <c r="H47" s="117"/>
      <c r="I47" s="116"/>
      <c r="J47" s="118"/>
      <c r="K47" s="116"/>
      <c r="L47" s="118"/>
      <c r="M47" s="51" t="str">
        <f aca="false">IF(B47="","",MONTH(B47))</f>
        <v/>
      </c>
      <c r="N47" s="51" t="str">
        <f aca="false">IF(B47="","",YEAR(B47))</f>
        <v/>
      </c>
      <c r="O47" s="51" t="str">
        <f aca="false">IF(B47="","",C47&amp;"|"&amp;M47&amp;"|"&amp;N47)</f>
        <v/>
      </c>
    </row>
    <row r="48" customFormat="false" ht="15" hidden="false" customHeight="false" outlineLevel="0" collapsed="false">
      <c r="A48" s="73" t="str">
        <f aca="false">IF(B48="","",ROW()-9)</f>
        <v/>
      </c>
      <c r="B48" s="115"/>
      <c r="C48" s="116"/>
      <c r="D48" s="74" t="str">
        <f aca="false">IF(C48="","",IFERROR(INDEX(PERSONNEL!$C$10:$C$69,MATCH(C48,PERSONNEL!$B$10:$B$69,0)),"Matricule inconnu"))</f>
        <v/>
      </c>
      <c r="E48" s="73" t="str">
        <f aca="false">IF(C48="","",IFERROR(INDEX(PERSONNEL!$I$10:$I$69,MATCH(C48,PERSONNEL!$B$10:$B$69,0)),""))</f>
        <v/>
      </c>
      <c r="F48" s="73" t="str">
        <f aca="false">IF(C48="","",IFERROR(INDEX(PERSONNEL!$D$10:$D$69,MATCH(C48,PERSONNEL!$B$10:$B$69,0)),""))</f>
        <v/>
      </c>
      <c r="G48" s="116"/>
      <c r="H48" s="117"/>
      <c r="I48" s="116"/>
      <c r="J48" s="118"/>
      <c r="K48" s="116"/>
      <c r="L48" s="118"/>
      <c r="M48" s="51" t="str">
        <f aca="false">IF(B48="","",MONTH(B48))</f>
        <v/>
      </c>
      <c r="N48" s="51" t="str">
        <f aca="false">IF(B48="","",YEAR(B48))</f>
        <v/>
      </c>
      <c r="O48" s="51" t="str">
        <f aca="false">IF(B48="","",C48&amp;"|"&amp;M48&amp;"|"&amp;N48)</f>
        <v/>
      </c>
    </row>
    <row r="49" customFormat="false" ht="15" hidden="false" customHeight="false" outlineLevel="0" collapsed="false">
      <c r="A49" s="73" t="str">
        <f aca="false">IF(B49="","",ROW()-9)</f>
        <v/>
      </c>
      <c r="B49" s="115"/>
      <c r="C49" s="116"/>
      <c r="D49" s="74" t="str">
        <f aca="false">IF(C49="","",IFERROR(INDEX(PERSONNEL!$C$10:$C$69,MATCH(C49,PERSONNEL!$B$10:$B$69,0)),"Matricule inconnu"))</f>
        <v/>
      </c>
      <c r="E49" s="73" t="str">
        <f aca="false">IF(C49="","",IFERROR(INDEX(PERSONNEL!$I$10:$I$69,MATCH(C49,PERSONNEL!$B$10:$B$69,0)),""))</f>
        <v/>
      </c>
      <c r="F49" s="73" t="str">
        <f aca="false">IF(C49="","",IFERROR(INDEX(PERSONNEL!$D$10:$D$69,MATCH(C49,PERSONNEL!$B$10:$B$69,0)),""))</f>
        <v/>
      </c>
      <c r="G49" s="116"/>
      <c r="H49" s="117"/>
      <c r="I49" s="116"/>
      <c r="J49" s="118"/>
      <c r="K49" s="116"/>
      <c r="L49" s="118"/>
      <c r="M49" s="51" t="str">
        <f aca="false">IF(B49="","",MONTH(B49))</f>
        <v/>
      </c>
      <c r="N49" s="51" t="str">
        <f aca="false">IF(B49="","",YEAR(B49))</f>
        <v/>
      </c>
      <c r="O49" s="51" t="str">
        <f aca="false">IF(B49="","",C49&amp;"|"&amp;M49&amp;"|"&amp;N49)</f>
        <v/>
      </c>
    </row>
    <row r="50" customFormat="false" ht="15" hidden="false" customHeight="false" outlineLevel="0" collapsed="false">
      <c r="A50" s="73" t="str">
        <f aca="false">IF(B50="","",ROW()-9)</f>
        <v/>
      </c>
      <c r="B50" s="115"/>
      <c r="C50" s="116"/>
      <c r="D50" s="74" t="str">
        <f aca="false">IF(C50="","",IFERROR(INDEX(PERSONNEL!$C$10:$C$69,MATCH(C50,PERSONNEL!$B$10:$B$69,0)),"Matricule inconnu"))</f>
        <v/>
      </c>
      <c r="E50" s="73" t="str">
        <f aca="false">IF(C50="","",IFERROR(INDEX(PERSONNEL!$I$10:$I$69,MATCH(C50,PERSONNEL!$B$10:$B$69,0)),""))</f>
        <v/>
      </c>
      <c r="F50" s="73" t="str">
        <f aca="false">IF(C50="","",IFERROR(INDEX(PERSONNEL!$D$10:$D$69,MATCH(C50,PERSONNEL!$B$10:$B$69,0)),""))</f>
        <v/>
      </c>
      <c r="G50" s="116"/>
      <c r="H50" s="117"/>
      <c r="I50" s="116"/>
      <c r="J50" s="118"/>
      <c r="K50" s="116"/>
      <c r="L50" s="118"/>
      <c r="M50" s="51" t="str">
        <f aca="false">IF(B50="","",MONTH(B50))</f>
        <v/>
      </c>
      <c r="N50" s="51" t="str">
        <f aca="false">IF(B50="","",YEAR(B50))</f>
        <v/>
      </c>
      <c r="O50" s="51" t="str">
        <f aca="false">IF(B50="","",C50&amp;"|"&amp;M50&amp;"|"&amp;N50)</f>
        <v/>
      </c>
    </row>
    <row r="51" customFormat="false" ht="15" hidden="false" customHeight="false" outlineLevel="0" collapsed="false">
      <c r="A51" s="73" t="str">
        <f aca="false">IF(B51="","",ROW()-9)</f>
        <v/>
      </c>
      <c r="B51" s="115"/>
      <c r="C51" s="116"/>
      <c r="D51" s="74" t="str">
        <f aca="false">IF(C51="","",IFERROR(INDEX(PERSONNEL!$C$10:$C$69,MATCH(C51,PERSONNEL!$B$10:$B$69,0)),"Matricule inconnu"))</f>
        <v/>
      </c>
      <c r="E51" s="73" t="str">
        <f aca="false">IF(C51="","",IFERROR(INDEX(PERSONNEL!$I$10:$I$69,MATCH(C51,PERSONNEL!$B$10:$B$69,0)),""))</f>
        <v/>
      </c>
      <c r="F51" s="73" t="str">
        <f aca="false">IF(C51="","",IFERROR(INDEX(PERSONNEL!$D$10:$D$69,MATCH(C51,PERSONNEL!$B$10:$B$69,0)),""))</f>
        <v/>
      </c>
      <c r="G51" s="116"/>
      <c r="H51" s="117"/>
      <c r="I51" s="116"/>
      <c r="J51" s="118"/>
      <c r="K51" s="116"/>
      <c r="L51" s="118"/>
      <c r="M51" s="51" t="str">
        <f aca="false">IF(B51="","",MONTH(B51))</f>
        <v/>
      </c>
      <c r="N51" s="51" t="str">
        <f aca="false">IF(B51="","",YEAR(B51))</f>
        <v/>
      </c>
      <c r="O51" s="51" t="str">
        <f aca="false">IF(B51="","",C51&amp;"|"&amp;M51&amp;"|"&amp;N51)</f>
        <v/>
      </c>
    </row>
    <row r="52" customFormat="false" ht="15" hidden="false" customHeight="false" outlineLevel="0" collapsed="false">
      <c r="A52" s="73" t="str">
        <f aca="false">IF(B52="","",ROW()-9)</f>
        <v/>
      </c>
      <c r="B52" s="115"/>
      <c r="C52" s="116"/>
      <c r="D52" s="74" t="str">
        <f aca="false">IF(C52="","",IFERROR(INDEX(PERSONNEL!$C$10:$C$69,MATCH(C52,PERSONNEL!$B$10:$B$69,0)),"Matricule inconnu"))</f>
        <v/>
      </c>
      <c r="E52" s="73" t="str">
        <f aca="false">IF(C52="","",IFERROR(INDEX(PERSONNEL!$I$10:$I$69,MATCH(C52,PERSONNEL!$B$10:$B$69,0)),""))</f>
        <v/>
      </c>
      <c r="F52" s="73" t="str">
        <f aca="false">IF(C52="","",IFERROR(INDEX(PERSONNEL!$D$10:$D$69,MATCH(C52,PERSONNEL!$B$10:$B$69,0)),""))</f>
        <v/>
      </c>
      <c r="G52" s="116"/>
      <c r="H52" s="117"/>
      <c r="I52" s="116"/>
      <c r="J52" s="118"/>
      <c r="K52" s="116"/>
      <c r="L52" s="118"/>
      <c r="M52" s="51" t="str">
        <f aca="false">IF(B52="","",MONTH(B52))</f>
        <v/>
      </c>
      <c r="N52" s="51" t="str">
        <f aca="false">IF(B52="","",YEAR(B52))</f>
        <v/>
      </c>
      <c r="O52" s="51" t="str">
        <f aca="false">IF(B52="","",C52&amp;"|"&amp;M52&amp;"|"&amp;N52)</f>
        <v/>
      </c>
    </row>
    <row r="53" customFormat="false" ht="15" hidden="false" customHeight="false" outlineLevel="0" collapsed="false">
      <c r="A53" s="73" t="str">
        <f aca="false">IF(B53="","",ROW()-9)</f>
        <v/>
      </c>
      <c r="B53" s="115"/>
      <c r="C53" s="116"/>
      <c r="D53" s="74" t="str">
        <f aca="false">IF(C53="","",IFERROR(INDEX(PERSONNEL!$C$10:$C$69,MATCH(C53,PERSONNEL!$B$10:$B$69,0)),"Matricule inconnu"))</f>
        <v/>
      </c>
      <c r="E53" s="73" t="str">
        <f aca="false">IF(C53="","",IFERROR(INDEX(PERSONNEL!$I$10:$I$69,MATCH(C53,PERSONNEL!$B$10:$B$69,0)),""))</f>
        <v/>
      </c>
      <c r="F53" s="73" t="str">
        <f aca="false">IF(C53="","",IFERROR(INDEX(PERSONNEL!$D$10:$D$69,MATCH(C53,PERSONNEL!$B$10:$B$69,0)),""))</f>
        <v/>
      </c>
      <c r="G53" s="116"/>
      <c r="H53" s="117"/>
      <c r="I53" s="116"/>
      <c r="J53" s="118"/>
      <c r="K53" s="116"/>
      <c r="L53" s="118"/>
      <c r="M53" s="51" t="str">
        <f aca="false">IF(B53="","",MONTH(B53))</f>
        <v/>
      </c>
      <c r="N53" s="51" t="str">
        <f aca="false">IF(B53="","",YEAR(B53))</f>
        <v/>
      </c>
      <c r="O53" s="51" t="str">
        <f aca="false">IF(B53="","",C53&amp;"|"&amp;M53&amp;"|"&amp;N53)</f>
        <v/>
      </c>
    </row>
    <row r="54" customFormat="false" ht="15" hidden="false" customHeight="false" outlineLevel="0" collapsed="false">
      <c r="A54" s="73" t="str">
        <f aca="false">IF(B54="","",ROW()-9)</f>
        <v/>
      </c>
      <c r="B54" s="115"/>
      <c r="C54" s="116"/>
      <c r="D54" s="74" t="str">
        <f aca="false">IF(C54="","",IFERROR(INDEX(PERSONNEL!$C$10:$C$69,MATCH(C54,PERSONNEL!$B$10:$B$69,0)),"Matricule inconnu"))</f>
        <v/>
      </c>
      <c r="E54" s="73" t="str">
        <f aca="false">IF(C54="","",IFERROR(INDEX(PERSONNEL!$I$10:$I$69,MATCH(C54,PERSONNEL!$B$10:$B$69,0)),""))</f>
        <v/>
      </c>
      <c r="F54" s="73" t="str">
        <f aca="false">IF(C54="","",IFERROR(INDEX(PERSONNEL!$D$10:$D$69,MATCH(C54,PERSONNEL!$B$10:$B$69,0)),""))</f>
        <v/>
      </c>
      <c r="G54" s="116"/>
      <c r="H54" s="117"/>
      <c r="I54" s="116"/>
      <c r="J54" s="118"/>
      <c r="K54" s="116"/>
      <c r="L54" s="118"/>
      <c r="M54" s="51" t="str">
        <f aca="false">IF(B54="","",MONTH(B54))</f>
        <v/>
      </c>
      <c r="N54" s="51" t="str">
        <f aca="false">IF(B54="","",YEAR(B54))</f>
        <v/>
      </c>
      <c r="O54" s="51" t="str">
        <f aca="false">IF(B54="","",C54&amp;"|"&amp;M54&amp;"|"&amp;N54)</f>
        <v/>
      </c>
    </row>
    <row r="55" customFormat="false" ht="15" hidden="false" customHeight="false" outlineLevel="0" collapsed="false">
      <c r="A55" s="73" t="str">
        <f aca="false">IF(B55="","",ROW()-9)</f>
        <v/>
      </c>
      <c r="B55" s="115"/>
      <c r="C55" s="116"/>
      <c r="D55" s="74" t="str">
        <f aca="false">IF(C55="","",IFERROR(INDEX(PERSONNEL!$C$10:$C$69,MATCH(C55,PERSONNEL!$B$10:$B$69,0)),"Matricule inconnu"))</f>
        <v/>
      </c>
      <c r="E55" s="73" t="str">
        <f aca="false">IF(C55="","",IFERROR(INDEX(PERSONNEL!$I$10:$I$69,MATCH(C55,PERSONNEL!$B$10:$B$69,0)),""))</f>
        <v/>
      </c>
      <c r="F55" s="73" t="str">
        <f aca="false">IF(C55="","",IFERROR(INDEX(PERSONNEL!$D$10:$D$69,MATCH(C55,PERSONNEL!$B$10:$B$69,0)),""))</f>
        <v/>
      </c>
      <c r="G55" s="116"/>
      <c r="H55" s="117"/>
      <c r="I55" s="116"/>
      <c r="J55" s="118"/>
      <c r="K55" s="116"/>
      <c r="L55" s="118"/>
      <c r="M55" s="51" t="str">
        <f aca="false">IF(B55="","",MONTH(B55))</f>
        <v/>
      </c>
      <c r="N55" s="51" t="str">
        <f aca="false">IF(B55="","",YEAR(B55))</f>
        <v/>
      </c>
      <c r="O55" s="51" t="str">
        <f aca="false">IF(B55="","",C55&amp;"|"&amp;M55&amp;"|"&amp;N55)</f>
        <v/>
      </c>
    </row>
    <row r="56" customFormat="false" ht="15" hidden="false" customHeight="false" outlineLevel="0" collapsed="false">
      <c r="A56" s="73" t="str">
        <f aca="false">IF(B56="","",ROW()-9)</f>
        <v/>
      </c>
      <c r="B56" s="115"/>
      <c r="C56" s="116"/>
      <c r="D56" s="74" t="str">
        <f aca="false">IF(C56="","",IFERROR(INDEX(PERSONNEL!$C$10:$C$69,MATCH(C56,PERSONNEL!$B$10:$B$69,0)),"Matricule inconnu"))</f>
        <v/>
      </c>
      <c r="E56" s="73" t="str">
        <f aca="false">IF(C56="","",IFERROR(INDEX(PERSONNEL!$I$10:$I$69,MATCH(C56,PERSONNEL!$B$10:$B$69,0)),""))</f>
        <v/>
      </c>
      <c r="F56" s="73" t="str">
        <f aca="false">IF(C56="","",IFERROR(INDEX(PERSONNEL!$D$10:$D$69,MATCH(C56,PERSONNEL!$B$10:$B$69,0)),""))</f>
        <v/>
      </c>
      <c r="G56" s="116"/>
      <c r="H56" s="117"/>
      <c r="I56" s="116"/>
      <c r="J56" s="118"/>
      <c r="K56" s="116"/>
      <c r="L56" s="118"/>
      <c r="M56" s="51" t="str">
        <f aca="false">IF(B56="","",MONTH(B56))</f>
        <v/>
      </c>
      <c r="N56" s="51" t="str">
        <f aca="false">IF(B56="","",YEAR(B56))</f>
        <v/>
      </c>
      <c r="O56" s="51" t="str">
        <f aca="false">IF(B56="","",C56&amp;"|"&amp;M56&amp;"|"&amp;N56)</f>
        <v/>
      </c>
    </row>
    <row r="57" customFormat="false" ht="15" hidden="false" customHeight="false" outlineLevel="0" collapsed="false">
      <c r="A57" s="73" t="str">
        <f aca="false">IF(B57="","",ROW()-9)</f>
        <v/>
      </c>
      <c r="B57" s="115"/>
      <c r="C57" s="116"/>
      <c r="D57" s="74" t="str">
        <f aca="false">IF(C57="","",IFERROR(INDEX(PERSONNEL!$C$10:$C$69,MATCH(C57,PERSONNEL!$B$10:$B$69,0)),"Matricule inconnu"))</f>
        <v/>
      </c>
      <c r="E57" s="73" t="str">
        <f aca="false">IF(C57="","",IFERROR(INDEX(PERSONNEL!$I$10:$I$69,MATCH(C57,PERSONNEL!$B$10:$B$69,0)),""))</f>
        <v/>
      </c>
      <c r="F57" s="73" t="str">
        <f aca="false">IF(C57="","",IFERROR(INDEX(PERSONNEL!$D$10:$D$69,MATCH(C57,PERSONNEL!$B$10:$B$69,0)),""))</f>
        <v/>
      </c>
      <c r="G57" s="116"/>
      <c r="H57" s="117"/>
      <c r="I57" s="116"/>
      <c r="J57" s="118"/>
      <c r="K57" s="116"/>
      <c r="L57" s="118"/>
      <c r="M57" s="51" t="str">
        <f aca="false">IF(B57="","",MONTH(B57))</f>
        <v/>
      </c>
      <c r="N57" s="51" t="str">
        <f aca="false">IF(B57="","",YEAR(B57))</f>
        <v/>
      </c>
      <c r="O57" s="51" t="str">
        <f aca="false">IF(B57="","",C57&amp;"|"&amp;M57&amp;"|"&amp;N57)</f>
        <v/>
      </c>
    </row>
    <row r="58" customFormat="false" ht="15" hidden="false" customHeight="false" outlineLevel="0" collapsed="false">
      <c r="A58" s="73" t="str">
        <f aca="false">IF(B58="","",ROW()-9)</f>
        <v/>
      </c>
      <c r="B58" s="115"/>
      <c r="C58" s="116"/>
      <c r="D58" s="74" t="str">
        <f aca="false">IF(C58="","",IFERROR(INDEX(PERSONNEL!$C$10:$C$69,MATCH(C58,PERSONNEL!$B$10:$B$69,0)),"Matricule inconnu"))</f>
        <v/>
      </c>
      <c r="E58" s="73" t="str">
        <f aca="false">IF(C58="","",IFERROR(INDEX(PERSONNEL!$I$10:$I$69,MATCH(C58,PERSONNEL!$B$10:$B$69,0)),""))</f>
        <v/>
      </c>
      <c r="F58" s="73" t="str">
        <f aca="false">IF(C58="","",IFERROR(INDEX(PERSONNEL!$D$10:$D$69,MATCH(C58,PERSONNEL!$B$10:$B$69,0)),""))</f>
        <v/>
      </c>
      <c r="G58" s="116"/>
      <c r="H58" s="117"/>
      <c r="I58" s="116"/>
      <c r="J58" s="118"/>
      <c r="K58" s="116"/>
      <c r="L58" s="118"/>
      <c r="M58" s="51" t="str">
        <f aca="false">IF(B58="","",MONTH(B58))</f>
        <v/>
      </c>
      <c r="N58" s="51" t="str">
        <f aca="false">IF(B58="","",YEAR(B58))</f>
        <v/>
      </c>
      <c r="O58" s="51" t="str">
        <f aca="false">IF(B58="","",C58&amp;"|"&amp;M58&amp;"|"&amp;N58)</f>
        <v/>
      </c>
    </row>
    <row r="59" customFormat="false" ht="15" hidden="false" customHeight="false" outlineLevel="0" collapsed="false">
      <c r="A59" s="73" t="str">
        <f aca="false">IF(B59="","",ROW()-9)</f>
        <v/>
      </c>
      <c r="B59" s="115"/>
      <c r="C59" s="116"/>
      <c r="D59" s="74" t="str">
        <f aca="false">IF(C59="","",IFERROR(INDEX(PERSONNEL!$C$10:$C$69,MATCH(C59,PERSONNEL!$B$10:$B$69,0)),"Matricule inconnu"))</f>
        <v/>
      </c>
      <c r="E59" s="73" t="str">
        <f aca="false">IF(C59="","",IFERROR(INDEX(PERSONNEL!$I$10:$I$69,MATCH(C59,PERSONNEL!$B$10:$B$69,0)),""))</f>
        <v/>
      </c>
      <c r="F59" s="73" t="str">
        <f aca="false">IF(C59="","",IFERROR(INDEX(PERSONNEL!$D$10:$D$69,MATCH(C59,PERSONNEL!$B$10:$B$69,0)),""))</f>
        <v/>
      </c>
      <c r="G59" s="116"/>
      <c r="H59" s="117"/>
      <c r="I59" s="116"/>
      <c r="J59" s="118"/>
      <c r="K59" s="116"/>
      <c r="L59" s="118"/>
      <c r="M59" s="51" t="str">
        <f aca="false">IF(B59="","",MONTH(B59))</f>
        <v/>
      </c>
      <c r="N59" s="51" t="str">
        <f aca="false">IF(B59="","",YEAR(B59))</f>
        <v/>
      </c>
      <c r="O59" s="51" t="str">
        <f aca="false">IF(B59="","",C59&amp;"|"&amp;M59&amp;"|"&amp;N59)</f>
        <v/>
      </c>
    </row>
    <row r="60" customFormat="false" ht="15" hidden="false" customHeight="false" outlineLevel="0" collapsed="false">
      <c r="A60" s="73" t="str">
        <f aca="false">IF(B60="","",ROW()-9)</f>
        <v/>
      </c>
      <c r="B60" s="115"/>
      <c r="C60" s="116"/>
      <c r="D60" s="74" t="str">
        <f aca="false">IF(C60="","",IFERROR(INDEX(PERSONNEL!$C$10:$C$69,MATCH(C60,PERSONNEL!$B$10:$B$69,0)),"Matricule inconnu"))</f>
        <v/>
      </c>
      <c r="E60" s="73" t="str">
        <f aca="false">IF(C60="","",IFERROR(INDEX(PERSONNEL!$I$10:$I$69,MATCH(C60,PERSONNEL!$B$10:$B$69,0)),""))</f>
        <v/>
      </c>
      <c r="F60" s="73" t="str">
        <f aca="false">IF(C60="","",IFERROR(INDEX(PERSONNEL!$D$10:$D$69,MATCH(C60,PERSONNEL!$B$10:$B$69,0)),""))</f>
        <v/>
      </c>
      <c r="G60" s="116"/>
      <c r="H60" s="117"/>
      <c r="I60" s="116"/>
      <c r="J60" s="118"/>
      <c r="K60" s="116"/>
      <c r="L60" s="118"/>
      <c r="M60" s="51" t="str">
        <f aca="false">IF(B60="","",MONTH(B60))</f>
        <v/>
      </c>
      <c r="N60" s="51" t="str">
        <f aca="false">IF(B60="","",YEAR(B60))</f>
        <v/>
      </c>
      <c r="O60" s="51" t="str">
        <f aca="false">IF(B60="","",C60&amp;"|"&amp;M60&amp;"|"&amp;N60)</f>
        <v/>
      </c>
    </row>
    <row r="61" customFormat="false" ht="15" hidden="false" customHeight="false" outlineLevel="0" collapsed="false">
      <c r="A61" s="73" t="str">
        <f aca="false">IF(B61="","",ROW()-9)</f>
        <v/>
      </c>
      <c r="B61" s="115"/>
      <c r="C61" s="116"/>
      <c r="D61" s="74" t="str">
        <f aca="false">IF(C61="","",IFERROR(INDEX(PERSONNEL!$C$10:$C$69,MATCH(C61,PERSONNEL!$B$10:$B$69,0)),"Matricule inconnu"))</f>
        <v/>
      </c>
      <c r="E61" s="73" t="str">
        <f aca="false">IF(C61="","",IFERROR(INDEX(PERSONNEL!$I$10:$I$69,MATCH(C61,PERSONNEL!$B$10:$B$69,0)),""))</f>
        <v/>
      </c>
      <c r="F61" s="73" t="str">
        <f aca="false">IF(C61="","",IFERROR(INDEX(PERSONNEL!$D$10:$D$69,MATCH(C61,PERSONNEL!$B$10:$B$69,0)),""))</f>
        <v/>
      </c>
      <c r="G61" s="116"/>
      <c r="H61" s="117"/>
      <c r="I61" s="116"/>
      <c r="J61" s="118"/>
      <c r="K61" s="116"/>
      <c r="L61" s="118"/>
      <c r="M61" s="51" t="str">
        <f aca="false">IF(B61="","",MONTH(B61))</f>
        <v/>
      </c>
      <c r="N61" s="51" t="str">
        <f aca="false">IF(B61="","",YEAR(B61))</f>
        <v/>
      </c>
      <c r="O61" s="51" t="str">
        <f aca="false">IF(B61="","",C61&amp;"|"&amp;M61&amp;"|"&amp;N61)</f>
        <v/>
      </c>
    </row>
    <row r="62" customFormat="false" ht="15" hidden="false" customHeight="false" outlineLevel="0" collapsed="false">
      <c r="A62" s="73" t="str">
        <f aca="false">IF(B62="","",ROW()-9)</f>
        <v/>
      </c>
      <c r="B62" s="115"/>
      <c r="C62" s="116"/>
      <c r="D62" s="74" t="str">
        <f aca="false">IF(C62="","",IFERROR(INDEX(PERSONNEL!$C$10:$C$69,MATCH(C62,PERSONNEL!$B$10:$B$69,0)),"Matricule inconnu"))</f>
        <v/>
      </c>
      <c r="E62" s="73" t="str">
        <f aca="false">IF(C62="","",IFERROR(INDEX(PERSONNEL!$I$10:$I$69,MATCH(C62,PERSONNEL!$B$10:$B$69,0)),""))</f>
        <v/>
      </c>
      <c r="F62" s="73" t="str">
        <f aca="false">IF(C62="","",IFERROR(INDEX(PERSONNEL!$D$10:$D$69,MATCH(C62,PERSONNEL!$B$10:$B$69,0)),""))</f>
        <v/>
      </c>
      <c r="G62" s="116"/>
      <c r="H62" s="117"/>
      <c r="I62" s="116"/>
      <c r="J62" s="118"/>
      <c r="K62" s="116"/>
      <c r="L62" s="118"/>
      <c r="M62" s="51" t="str">
        <f aca="false">IF(B62="","",MONTH(B62))</f>
        <v/>
      </c>
      <c r="N62" s="51" t="str">
        <f aca="false">IF(B62="","",YEAR(B62))</f>
        <v/>
      </c>
      <c r="O62" s="51" t="str">
        <f aca="false">IF(B62="","",C62&amp;"|"&amp;M62&amp;"|"&amp;N62)</f>
        <v/>
      </c>
    </row>
    <row r="63" customFormat="false" ht="15" hidden="false" customHeight="false" outlineLevel="0" collapsed="false">
      <c r="A63" s="73" t="str">
        <f aca="false">IF(B63="","",ROW()-9)</f>
        <v/>
      </c>
      <c r="B63" s="115"/>
      <c r="C63" s="116"/>
      <c r="D63" s="74" t="str">
        <f aca="false">IF(C63="","",IFERROR(INDEX(PERSONNEL!$C$10:$C$69,MATCH(C63,PERSONNEL!$B$10:$B$69,0)),"Matricule inconnu"))</f>
        <v/>
      </c>
      <c r="E63" s="73" t="str">
        <f aca="false">IF(C63="","",IFERROR(INDEX(PERSONNEL!$I$10:$I$69,MATCH(C63,PERSONNEL!$B$10:$B$69,0)),""))</f>
        <v/>
      </c>
      <c r="F63" s="73" t="str">
        <f aca="false">IF(C63="","",IFERROR(INDEX(PERSONNEL!$D$10:$D$69,MATCH(C63,PERSONNEL!$B$10:$B$69,0)),""))</f>
        <v/>
      </c>
      <c r="G63" s="116"/>
      <c r="H63" s="117"/>
      <c r="I63" s="116"/>
      <c r="J63" s="118"/>
      <c r="K63" s="116"/>
      <c r="L63" s="118"/>
      <c r="M63" s="51" t="str">
        <f aca="false">IF(B63="","",MONTH(B63))</f>
        <v/>
      </c>
      <c r="N63" s="51" t="str">
        <f aca="false">IF(B63="","",YEAR(B63))</f>
        <v/>
      </c>
      <c r="O63" s="51" t="str">
        <f aca="false">IF(B63="","",C63&amp;"|"&amp;M63&amp;"|"&amp;N63)</f>
        <v/>
      </c>
    </row>
    <row r="64" customFormat="false" ht="15" hidden="false" customHeight="false" outlineLevel="0" collapsed="false">
      <c r="A64" s="73" t="str">
        <f aca="false">IF(B64="","",ROW()-9)</f>
        <v/>
      </c>
      <c r="B64" s="115"/>
      <c r="C64" s="116"/>
      <c r="D64" s="74" t="str">
        <f aca="false">IF(C64="","",IFERROR(INDEX(PERSONNEL!$C$10:$C$69,MATCH(C64,PERSONNEL!$B$10:$B$69,0)),"Matricule inconnu"))</f>
        <v/>
      </c>
      <c r="E64" s="73" t="str">
        <f aca="false">IF(C64="","",IFERROR(INDEX(PERSONNEL!$I$10:$I$69,MATCH(C64,PERSONNEL!$B$10:$B$69,0)),""))</f>
        <v/>
      </c>
      <c r="F64" s="73" t="str">
        <f aca="false">IF(C64="","",IFERROR(INDEX(PERSONNEL!$D$10:$D$69,MATCH(C64,PERSONNEL!$B$10:$B$69,0)),""))</f>
        <v/>
      </c>
      <c r="G64" s="116"/>
      <c r="H64" s="117"/>
      <c r="I64" s="116"/>
      <c r="J64" s="118"/>
      <c r="K64" s="116"/>
      <c r="L64" s="118"/>
      <c r="M64" s="51" t="str">
        <f aca="false">IF(B64="","",MONTH(B64))</f>
        <v/>
      </c>
      <c r="N64" s="51" t="str">
        <f aca="false">IF(B64="","",YEAR(B64))</f>
        <v/>
      </c>
      <c r="O64" s="51" t="str">
        <f aca="false">IF(B64="","",C64&amp;"|"&amp;M64&amp;"|"&amp;N64)</f>
        <v/>
      </c>
    </row>
    <row r="65" customFormat="false" ht="15" hidden="false" customHeight="false" outlineLevel="0" collapsed="false">
      <c r="A65" s="73" t="str">
        <f aca="false">IF(B65="","",ROW()-9)</f>
        <v/>
      </c>
      <c r="B65" s="115"/>
      <c r="C65" s="116"/>
      <c r="D65" s="74" t="str">
        <f aca="false">IF(C65="","",IFERROR(INDEX(PERSONNEL!$C$10:$C$69,MATCH(C65,PERSONNEL!$B$10:$B$69,0)),"Matricule inconnu"))</f>
        <v/>
      </c>
      <c r="E65" s="73" t="str">
        <f aca="false">IF(C65="","",IFERROR(INDEX(PERSONNEL!$I$10:$I$69,MATCH(C65,PERSONNEL!$B$10:$B$69,0)),""))</f>
        <v/>
      </c>
      <c r="F65" s="73" t="str">
        <f aca="false">IF(C65="","",IFERROR(INDEX(PERSONNEL!$D$10:$D$69,MATCH(C65,PERSONNEL!$B$10:$B$69,0)),""))</f>
        <v/>
      </c>
      <c r="G65" s="116"/>
      <c r="H65" s="117"/>
      <c r="I65" s="116"/>
      <c r="J65" s="118"/>
      <c r="K65" s="116"/>
      <c r="L65" s="118"/>
      <c r="M65" s="51" t="str">
        <f aca="false">IF(B65="","",MONTH(B65))</f>
        <v/>
      </c>
      <c r="N65" s="51" t="str">
        <f aca="false">IF(B65="","",YEAR(B65))</f>
        <v/>
      </c>
      <c r="O65" s="51" t="str">
        <f aca="false">IF(B65="","",C65&amp;"|"&amp;M65&amp;"|"&amp;N65)</f>
        <v/>
      </c>
    </row>
    <row r="66" customFormat="false" ht="15" hidden="false" customHeight="false" outlineLevel="0" collapsed="false">
      <c r="A66" s="73" t="str">
        <f aca="false">IF(B66="","",ROW()-9)</f>
        <v/>
      </c>
      <c r="B66" s="115"/>
      <c r="C66" s="116"/>
      <c r="D66" s="74" t="str">
        <f aca="false">IF(C66="","",IFERROR(INDEX(PERSONNEL!$C$10:$C$69,MATCH(C66,PERSONNEL!$B$10:$B$69,0)),"Matricule inconnu"))</f>
        <v/>
      </c>
      <c r="E66" s="73" t="str">
        <f aca="false">IF(C66="","",IFERROR(INDEX(PERSONNEL!$I$10:$I$69,MATCH(C66,PERSONNEL!$B$10:$B$69,0)),""))</f>
        <v/>
      </c>
      <c r="F66" s="73" t="str">
        <f aca="false">IF(C66="","",IFERROR(INDEX(PERSONNEL!$D$10:$D$69,MATCH(C66,PERSONNEL!$B$10:$B$69,0)),""))</f>
        <v/>
      </c>
      <c r="G66" s="116"/>
      <c r="H66" s="117"/>
      <c r="I66" s="116"/>
      <c r="J66" s="118"/>
      <c r="K66" s="116"/>
      <c r="L66" s="118"/>
      <c r="M66" s="51" t="str">
        <f aca="false">IF(B66="","",MONTH(B66))</f>
        <v/>
      </c>
      <c r="N66" s="51" t="str">
        <f aca="false">IF(B66="","",YEAR(B66))</f>
        <v/>
      </c>
      <c r="O66" s="51" t="str">
        <f aca="false">IF(B66="","",C66&amp;"|"&amp;M66&amp;"|"&amp;N66)</f>
        <v/>
      </c>
    </row>
    <row r="67" customFormat="false" ht="15" hidden="false" customHeight="false" outlineLevel="0" collapsed="false">
      <c r="A67" s="73" t="str">
        <f aca="false">IF(B67="","",ROW()-9)</f>
        <v/>
      </c>
      <c r="B67" s="115"/>
      <c r="C67" s="116"/>
      <c r="D67" s="74" t="str">
        <f aca="false">IF(C67="","",IFERROR(INDEX(PERSONNEL!$C$10:$C$69,MATCH(C67,PERSONNEL!$B$10:$B$69,0)),"Matricule inconnu"))</f>
        <v/>
      </c>
      <c r="E67" s="73" t="str">
        <f aca="false">IF(C67="","",IFERROR(INDEX(PERSONNEL!$I$10:$I$69,MATCH(C67,PERSONNEL!$B$10:$B$69,0)),""))</f>
        <v/>
      </c>
      <c r="F67" s="73" t="str">
        <f aca="false">IF(C67="","",IFERROR(INDEX(PERSONNEL!$D$10:$D$69,MATCH(C67,PERSONNEL!$B$10:$B$69,0)),""))</f>
        <v/>
      </c>
      <c r="G67" s="116"/>
      <c r="H67" s="117"/>
      <c r="I67" s="116"/>
      <c r="J67" s="118"/>
      <c r="K67" s="116"/>
      <c r="L67" s="118"/>
      <c r="M67" s="51" t="str">
        <f aca="false">IF(B67="","",MONTH(B67))</f>
        <v/>
      </c>
      <c r="N67" s="51" t="str">
        <f aca="false">IF(B67="","",YEAR(B67))</f>
        <v/>
      </c>
      <c r="O67" s="51" t="str">
        <f aca="false">IF(B67="","",C67&amp;"|"&amp;M67&amp;"|"&amp;N67)</f>
        <v/>
      </c>
    </row>
    <row r="68" customFormat="false" ht="15" hidden="false" customHeight="false" outlineLevel="0" collapsed="false">
      <c r="A68" s="73" t="str">
        <f aca="false">IF(B68="","",ROW()-9)</f>
        <v/>
      </c>
      <c r="B68" s="115"/>
      <c r="C68" s="116"/>
      <c r="D68" s="74" t="str">
        <f aca="false">IF(C68="","",IFERROR(INDEX(PERSONNEL!$C$10:$C$69,MATCH(C68,PERSONNEL!$B$10:$B$69,0)),"Matricule inconnu"))</f>
        <v/>
      </c>
      <c r="E68" s="73" t="str">
        <f aca="false">IF(C68="","",IFERROR(INDEX(PERSONNEL!$I$10:$I$69,MATCH(C68,PERSONNEL!$B$10:$B$69,0)),""))</f>
        <v/>
      </c>
      <c r="F68" s="73" t="str">
        <f aca="false">IF(C68="","",IFERROR(INDEX(PERSONNEL!$D$10:$D$69,MATCH(C68,PERSONNEL!$B$10:$B$69,0)),""))</f>
        <v/>
      </c>
      <c r="G68" s="116"/>
      <c r="H68" s="117"/>
      <c r="I68" s="116"/>
      <c r="J68" s="118"/>
      <c r="K68" s="116"/>
      <c r="L68" s="118"/>
      <c r="M68" s="51" t="str">
        <f aca="false">IF(B68="","",MONTH(B68))</f>
        <v/>
      </c>
      <c r="N68" s="51" t="str">
        <f aca="false">IF(B68="","",YEAR(B68))</f>
        <v/>
      </c>
      <c r="O68" s="51" t="str">
        <f aca="false">IF(B68="","",C68&amp;"|"&amp;M68&amp;"|"&amp;N68)</f>
        <v/>
      </c>
    </row>
    <row r="69" customFormat="false" ht="15" hidden="false" customHeight="false" outlineLevel="0" collapsed="false">
      <c r="A69" s="73" t="str">
        <f aca="false">IF(B69="","",ROW()-9)</f>
        <v/>
      </c>
      <c r="B69" s="115"/>
      <c r="C69" s="116"/>
      <c r="D69" s="74" t="str">
        <f aca="false">IF(C69="","",IFERROR(INDEX(PERSONNEL!$C$10:$C$69,MATCH(C69,PERSONNEL!$B$10:$B$69,0)),"Matricule inconnu"))</f>
        <v/>
      </c>
      <c r="E69" s="73" t="str">
        <f aca="false">IF(C69="","",IFERROR(INDEX(PERSONNEL!$I$10:$I$69,MATCH(C69,PERSONNEL!$B$10:$B$69,0)),""))</f>
        <v/>
      </c>
      <c r="F69" s="73" t="str">
        <f aca="false">IF(C69="","",IFERROR(INDEX(PERSONNEL!$D$10:$D$69,MATCH(C69,PERSONNEL!$B$10:$B$69,0)),""))</f>
        <v/>
      </c>
      <c r="G69" s="116"/>
      <c r="H69" s="117"/>
      <c r="I69" s="116"/>
      <c r="J69" s="118"/>
      <c r="K69" s="116"/>
      <c r="L69" s="118"/>
      <c r="M69" s="51" t="str">
        <f aca="false">IF(B69="","",MONTH(B69))</f>
        <v/>
      </c>
      <c r="N69" s="51" t="str">
        <f aca="false">IF(B69="","",YEAR(B69))</f>
        <v/>
      </c>
      <c r="O69" s="51" t="str">
        <f aca="false">IF(B69="","",C69&amp;"|"&amp;M69&amp;"|"&amp;N69)</f>
        <v/>
      </c>
    </row>
    <row r="70" customFormat="false" ht="15" hidden="false" customHeight="false" outlineLevel="0" collapsed="false">
      <c r="A70" s="73" t="str">
        <f aca="false">IF(B70="","",ROW()-9)</f>
        <v/>
      </c>
      <c r="B70" s="115"/>
      <c r="C70" s="116"/>
      <c r="D70" s="74" t="str">
        <f aca="false">IF(C70="","",IFERROR(INDEX(PERSONNEL!$C$10:$C$69,MATCH(C70,PERSONNEL!$B$10:$B$69,0)),"Matricule inconnu"))</f>
        <v/>
      </c>
      <c r="E70" s="73" t="str">
        <f aca="false">IF(C70="","",IFERROR(INDEX(PERSONNEL!$I$10:$I$69,MATCH(C70,PERSONNEL!$B$10:$B$69,0)),""))</f>
        <v/>
      </c>
      <c r="F70" s="73" t="str">
        <f aca="false">IF(C70="","",IFERROR(INDEX(PERSONNEL!$D$10:$D$69,MATCH(C70,PERSONNEL!$B$10:$B$69,0)),""))</f>
        <v/>
      </c>
      <c r="G70" s="116"/>
      <c r="H70" s="117"/>
      <c r="I70" s="116"/>
      <c r="J70" s="118"/>
      <c r="K70" s="116"/>
      <c r="L70" s="118"/>
      <c r="M70" s="51" t="str">
        <f aca="false">IF(B70="","",MONTH(B70))</f>
        <v/>
      </c>
      <c r="N70" s="51" t="str">
        <f aca="false">IF(B70="","",YEAR(B70))</f>
        <v/>
      </c>
      <c r="O70" s="51" t="str">
        <f aca="false">IF(B70="","",C70&amp;"|"&amp;M70&amp;"|"&amp;N70)</f>
        <v/>
      </c>
    </row>
    <row r="71" customFormat="false" ht="15" hidden="false" customHeight="false" outlineLevel="0" collapsed="false">
      <c r="A71" s="73" t="str">
        <f aca="false">IF(B71="","",ROW()-9)</f>
        <v/>
      </c>
      <c r="B71" s="115"/>
      <c r="C71" s="116"/>
      <c r="D71" s="74" t="str">
        <f aca="false">IF(C71="","",IFERROR(INDEX(PERSONNEL!$C$10:$C$69,MATCH(C71,PERSONNEL!$B$10:$B$69,0)),"Matricule inconnu"))</f>
        <v/>
      </c>
      <c r="E71" s="73" t="str">
        <f aca="false">IF(C71="","",IFERROR(INDEX(PERSONNEL!$I$10:$I$69,MATCH(C71,PERSONNEL!$B$10:$B$69,0)),""))</f>
        <v/>
      </c>
      <c r="F71" s="73" t="str">
        <f aca="false">IF(C71="","",IFERROR(INDEX(PERSONNEL!$D$10:$D$69,MATCH(C71,PERSONNEL!$B$10:$B$69,0)),""))</f>
        <v/>
      </c>
      <c r="G71" s="116"/>
      <c r="H71" s="117"/>
      <c r="I71" s="116"/>
      <c r="J71" s="118"/>
      <c r="K71" s="116"/>
      <c r="L71" s="118"/>
      <c r="M71" s="51" t="str">
        <f aca="false">IF(B71="","",MONTH(B71))</f>
        <v/>
      </c>
      <c r="N71" s="51" t="str">
        <f aca="false">IF(B71="","",YEAR(B71))</f>
        <v/>
      </c>
      <c r="O71" s="51" t="str">
        <f aca="false">IF(B71="","",C71&amp;"|"&amp;M71&amp;"|"&amp;N71)</f>
        <v/>
      </c>
    </row>
    <row r="72" customFormat="false" ht="15" hidden="false" customHeight="false" outlineLevel="0" collapsed="false">
      <c r="A72" s="73" t="str">
        <f aca="false">IF(B72="","",ROW()-9)</f>
        <v/>
      </c>
      <c r="B72" s="115"/>
      <c r="C72" s="116"/>
      <c r="D72" s="74" t="str">
        <f aca="false">IF(C72="","",IFERROR(INDEX(PERSONNEL!$C$10:$C$69,MATCH(C72,PERSONNEL!$B$10:$B$69,0)),"Matricule inconnu"))</f>
        <v/>
      </c>
      <c r="E72" s="73" t="str">
        <f aca="false">IF(C72="","",IFERROR(INDEX(PERSONNEL!$I$10:$I$69,MATCH(C72,PERSONNEL!$B$10:$B$69,0)),""))</f>
        <v/>
      </c>
      <c r="F72" s="73" t="str">
        <f aca="false">IF(C72="","",IFERROR(INDEX(PERSONNEL!$D$10:$D$69,MATCH(C72,PERSONNEL!$B$10:$B$69,0)),""))</f>
        <v/>
      </c>
      <c r="G72" s="116"/>
      <c r="H72" s="117"/>
      <c r="I72" s="116"/>
      <c r="J72" s="118"/>
      <c r="K72" s="116"/>
      <c r="L72" s="118"/>
      <c r="M72" s="51" t="str">
        <f aca="false">IF(B72="","",MONTH(B72))</f>
        <v/>
      </c>
      <c r="N72" s="51" t="str">
        <f aca="false">IF(B72="","",YEAR(B72))</f>
        <v/>
      </c>
      <c r="O72" s="51" t="str">
        <f aca="false">IF(B72="","",C72&amp;"|"&amp;M72&amp;"|"&amp;N72)</f>
        <v/>
      </c>
    </row>
    <row r="73" customFormat="false" ht="15" hidden="false" customHeight="false" outlineLevel="0" collapsed="false">
      <c r="A73" s="73" t="str">
        <f aca="false">IF(B73="","",ROW()-9)</f>
        <v/>
      </c>
      <c r="B73" s="115"/>
      <c r="C73" s="116"/>
      <c r="D73" s="74" t="str">
        <f aca="false">IF(C73="","",IFERROR(INDEX(PERSONNEL!$C$10:$C$69,MATCH(C73,PERSONNEL!$B$10:$B$69,0)),"Matricule inconnu"))</f>
        <v/>
      </c>
      <c r="E73" s="73" t="str">
        <f aca="false">IF(C73="","",IFERROR(INDEX(PERSONNEL!$I$10:$I$69,MATCH(C73,PERSONNEL!$B$10:$B$69,0)),""))</f>
        <v/>
      </c>
      <c r="F73" s="73" t="str">
        <f aca="false">IF(C73="","",IFERROR(INDEX(PERSONNEL!$D$10:$D$69,MATCH(C73,PERSONNEL!$B$10:$B$69,0)),""))</f>
        <v/>
      </c>
      <c r="G73" s="116"/>
      <c r="H73" s="117"/>
      <c r="I73" s="116"/>
      <c r="J73" s="118"/>
      <c r="K73" s="116"/>
      <c r="L73" s="118"/>
      <c r="M73" s="51" t="str">
        <f aca="false">IF(B73="","",MONTH(B73))</f>
        <v/>
      </c>
      <c r="N73" s="51" t="str">
        <f aca="false">IF(B73="","",YEAR(B73))</f>
        <v/>
      </c>
      <c r="O73" s="51" t="str">
        <f aca="false">IF(B73="","",C73&amp;"|"&amp;M73&amp;"|"&amp;N73)</f>
        <v/>
      </c>
    </row>
    <row r="74" customFormat="false" ht="15" hidden="false" customHeight="false" outlineLevel="0" collapsed="false">
      <c r="A74" s="73" t="str">
        <f aca="false">IF(B74="","",ROW()-9)</f>
        <v/>
      </c>
      <c r="B74" s="115"/>
      <c r="C74" s="116"/>
      <c r="D74" s="74" t="str">
        <f aca="false">IF(C74="","",IFERROR(INDEX(PERSONNEL!$C$10:$C$69,MATCH(C74,PERSONNEL!$B$10:$B$69,0)),"Matricule inconnu"))</f>
        <v/>
      </c>
      <c r="E74" s="73" t="str">
        <f aca="false">IF(C74="","",IFERROR(INDEX(PERSONNEL!$I$10:$I$69,MATCH(C74,PERSONNEL!$B$10:$B$69,0)),""))</f>
        <v/>
      </c>
      <c r="F74" s="73" t="str">
        <f aca="false">IF(C74="","",IFERROR(INDEX(PERSONNEL!$D$10:$D$69,MATCH(C74,PERSONNEL!$B$10:$B$69,0)),""))</f>
        <v/>
      </c>
      <c r="G74" s="116"/>
      <c r="H74" s="117"/>
      <c r="I74" s="116"/>
      <c r="J74" s="118"/>
      <c r="K74" s="116"/>
      <c r="L74" s="118"/>
      <c r="M74" s="51" t="str">
        <f aca="false">IF(B74="","",MONTH(B74))</f>
        <v/>
      </c>
      <c r="N74" s="51" t="str">
        <f aca="false">IF(B74="","",YEAR(B74))</f>
        <v/>
      </c>
      <c r="O74" s="51" t="str">
        <f aca="false">IF(B74="","",C74&amp;"|"&amp;M74&amp;"|"&amp;N74)</f>
        <v/>
      </c>
    </row>
    <row r="75" customFormat="false" ht="15" hidden="false" customHeight="false" outlineLevel="0" collapsed="false">
      <c r="A75" s="73" t="str">
        <f aca="false">IF(B75="","",ROW()-9)</f>
        <v/>
      </c>
      <c r="B75" s="115"/>
      <c r="C75" s="116"/>
      <c r="D75" s="74" t="str">
        <f aca="false">IF(C75="","",IFERROR(INDEX(PERSONNEL!$C$10:$C$69,MATCH(C75,PERSONNEL!$B$10:$B$69,0)),"Matricule inconnu"))</f>
        <v/>
      </c>
      <c r="E75" s="73" t="str">
        <f aca="false">IF(C75="","",IFERROR(INDEX(PERSONNEL!$I$10:$I$69,MATCH(C75,PERSONNEL!$B$10:$B$69,0)),""))</f>
        <v/>
      </c>
      <c r="F75" s="73" t="str">
        <f aca="false">IF(C75="","",IFERROR(INDEX(PERSONNEL!$D$10:$D$69,MATCH(C75,PERSONNEL!$B$10:$B$69,0)),""))</f>
        <v/>
      </c>
      <c r="G75" s="116"/>
      <c r="H75" s="117"/>
      <c r="I75" s="116"/>
      <c r="J75" s="118"/>
      <c r="K75" s="116"/>
      <c r="L75" s="118"/>
      <c r="M75" s="51" t="str">
        <f aca="false">IF(B75="","",MONTH(B75))</f>
        <v/>
      </c>
      <c r="N75" s="51" t="str">
        <f aca="false">IF(B75="","",YEAR(B75))</f>
        <v/>
      </c>
      <c r="O75" s="51" t="str">
        <f aca="false">IF(B75="","",C75&amp;"|"&amp;M75&amp;"|"&amp;N75)</f>
        <v/>
      </c>
    </row>
    <row r="76" customFormat="false" ht="15" hidden="false" customHeight="false" outlineLevel="0" collapsed="false">
      <c r="A76" s="73" t="str">
        <f aca="false">IF(B76="","",ROW()-9)</f>
        <v/>
      </c>
      <c r="B76" s="115"/>
      <c r="C76" s="116"/>
      <c r="D76" s="74" t="str">
        <f aca="false">IF(C76="","",IFERROR(INDEX(PERSONNEL!$C$10:$C$69,MATCH(C76,PERSONNEL!$B$10:$B$69,0)),"Matricule inconnu"))</f>
        <v/>
      </c>
      <c r="E76" s="73" t="str">
        <f aca="false">IF(C76="","",IFERROR(INDEX(PERSONNEL!$I$10:$I$69,MATCH(C76,PERSONNEL!$B$10:$B$69,0)),""))</f>
        <v/>
      </c>
      <c r="F76" s="73" t="str">
        <f aca="false">IF(C76="","",IFERROR(INDEX(PERSONNEL!$D$10:$D$69,MATCH(C76,PERSONNEL!$B$10:$B$69,0)),""))</f>
        <v/>
      </c>
      <c r="G76" s="116"/>
      <c r="H76" s="117"/>
      <c r="I76" s="116"/>
      <c r="J76" s="118"/>
      <c r="K76" s="116"/>
      <c r="L76" s="118"/>
      <c r="M76" s="51" t="str">
        <f aca="false">IF(B76="","",MONTH(B76))</f>
        <v/>
      </c>
      <c r="N76" s="51" t="str">
        <f aca="false">IF(B76="","",YEAR(B76))</f>
        <v/>
      </c>
      <c r="O76" s="51" t="str">
        <f aca="false">IF(B76="","",C76&amp;"|"&amp;M76&amp;"|"&amp;N76)</f>
        <v/>
      </c>
    </row>
    <row r="77" customFormat="false" ht="15" hidden="false" customHeight="false" outlineLevel="0" collapsed="false">
      <c r="A77" s="73" t="str">
        <f aca="false">IF(B77="","",ROW()-9)</f>
        <v/>
      </c>
      <c r="B77" s="115"/>
      <c r="C77" s="116"/>
      <c r="D77" s="74" t="str">
        <f aca="false">IF(C77="","",IFERROR(INDEX(PERSONNEL!$C$10:$C$69,MATCH(C77,PERSONNEL!$B$10:$B$69,0)),"Matricule inconnu"))</f>
        <v/>
      </c>
      <c r="E77" s="73" t="str">
        <f aca="false">IF(C77="","",IFERROR(INDEX(PERSONNEL!$I$10:$I$69,MATCH(C77,PERSONNEL!$B$10:$B$69,0)),""))</f>
        <v/>
      </c>
      <c r="F77" s="73" t="str">
        <f aca="false">IF(C77="","",IFERROR(INDEX(PERSONNEL!$D$10:$D$69,MATCH(C77,PERSONNEL!$B$10:$B$69,0)),""))</f>
        <v/>
      </c>
      <c r="G77" s="116"/>
      <c r="H77" s="117"/>
      <c r="I77" s="116"/>
      <c r="J77" s="118"/>
      <c r="K77" s="116"/>
      <c r="L77" s="118"/>
      <c r="M77" s="51" t="str">
        <f aca="false">IF(B77="","",MONTH(B77))</f>
        <v/>
      </c>
      <c r="N77" s="51" t="str">
        <f aca="false">IF(B77="","",YEAR(B77))</f>
        <v/>
      </c>
      <c r="O77" s="51" t="str">
        <f aca="false">IF(B77="","",C77&amp;"|"&amp;M77&amp;"|"&amp;N77)</f>
        <v/>
      </c>
    </row>
    <row r="78" customFormat="false" ht="15" hidden="false" customHeight="false" outlineLevel="0" collapsed="false">
      <c r="A78" s="73" t="str">
        <f aca="false">IF(B78="","",ROW()-9)</f>
        <v/>
      </c>
      <c r="B78" s="115"/>
      <c r="C78" s="116"/>
      <c r="D78" s="74" t="str">
        <f aca="false">IF(C78="","",IFERROR(INDEX(PERSONNEL!$C$10:$C$69,MATCH(C78,PERSONNEL!$B$10:$B$69,0)),"Matricule inconnu"))</f>
        <v/>
      </c>
      <c r="E78" s="73" t="str">
        <f aca="false">IF(C78="","",IFERROR(INDEX(PERSONNEL!$I$10:$I$69,MATCH(C78,PERSONNEL!$B$10:$B$69,0)),""))</f>
        <v/>
      </c>
      <c r="F78" s="73" t="str">
        <f aca="false">IF(C78="","",IFERROR(INDEX(PERSONNEL!$D$10:$D$69,MATCH(C78,PERSONNEL!$B$10:$B$69,0)),""))</f>
        <v/>
      </c>
      <c r="G78" s="116"/>
      <c r="H78" s="117"/>
      <c r="I78" s="116"/>
      <c r="J78" s="118"/>
      <c r="K78" s="116"/>
      <c r="L78" s="118"/>
      <c r="M78" s="51" t="str">
        <f aca="false">IF(B78="","",MONTH(B78))</f>
        <v/>
      </c>
      <c r="N78" s="51" t="str">
        <f aca="false">IF(B78="","",YEAR(B78))</f>
        <v/>
      </c>
      <c r="O78" s="51" t="str">
        <f aca="false">IF(B78="","",C78&amp;"|"&amp;M78&amp;"|"&amp;N78)</f>
        <v/>
      </c>
    </row>
    <row r="79" customFormat="false" ht="15" hidden="false" customHeight="false" outlineLevel="0" collapsed="false">
      <c r="A79" s="73" t="str">
        <f aca="false">IF(B79="","",ROW()-9)</f>
        <v/>
      </c>
      <c r="B79" s="115"/>
      <c r="C79" s="116"/>
      <c r="D79" s="74" t="str">
        <f aca="false">IF(C79="","",IFERROR(INDEX(PERSONNEL!$C$10:$C$69,MATCH(C79,PERSONNEL!$B$10:$B$69,0)),"Matricule inconnu"))</f>
        <v/>
      </c>
      <c r="E79" s="73" t="str">
        <f aca="false">IF(C79="","",IFERROR(INDEX(PERSONNEL!$I$10:$I$69,MATCH(C79,PERSONNEL!$B$10:$B$69,0)),""))</f>
        <v/>
      </c>
      <c r="F79" s="73" t="str">
        <f aca="false">IF(C79="","",IFERROR(INDEX(PERSONNEL!$D$10:$D$69,MATCH(C79,PERSONNEL!$B$10:$B$69,0)),""))</f>
        <v/>
      </c>
      <c r="G79" s="116"/>
      <c r="H79" s="117"/>
      <c r="I79" s="116"/>
      <c r="J79" s="118"/>
      <c r="K79" s="116"/>
      <c r="L79" s="118"/>
      <c r="M79" s="51" t="str">
        <f aca="false">IF(B79="","",MONTH(B79))</f>
        <v/>
      </c>
      <c r="N79" s="51" t="str">
        <f aca="false">IF(B79="","",YEAR(B79))</f>
        <v/>
      </c>
      <c r="O79" s="51" t="str">
        <f aca="false">IF(B79="","",C79&amp;"|"&amp;M79&amp;"|"&amp;N79)</f>
        <v/>
      </c>
    </row>
    <row r="80" customFormat="false" ht="15" hidden="false" customHeight="false" outlineLevel="0" collapsed="false">
      <c r="A80" s="73" t="str">
        <f aca="false">IF(B80="","",ROW()-9)</f>
        <v/>
      </c>
      <c r="B80" s="115"/>
      <c r="C80" s="116"/>
      <c r="D80" s="74" t="str">
        <f aca="false">IF(C80="","",IFERROR(INDEX(PERSONNEL!$C$10:$C$69,MATCH(C80,PERSONNEL!$B$10:$B$69,0)),"Matricule inconnu"))</f>
        <v/>
      </c>
      <c r="E80" s="73" t="str">
        <f aca="false">IF(C80="","",IFERROR(INDEX(PERSONNEL!$I$10:$I$69,MATCH(C80,PERSONNEL!$B$10:$B$69,0)),""))</f>
        <v/>
      </c>
      <c r="F80" s="73" t="str">
        <f aca="false">IF(C80="","",IFERROR(INDEX(PERSONNEL!$D$10:$D$69,MATCH(C80,PERSONNEL!$B$10:$B$69,0)),""))</f>
        <v/>
      </c>
      <c r="G80" s="116"/>
      <c r="H80" s="117"/>
      <c r="I80" s="116"/>
      <c r="J80" s="118"/>
      <c r="K80" s="116"/>
      <c r="L80" s="118"/>
      <c r="M80" s="51" t="str">
        <f aca="false">IF(B80="","",MONTH(B80))</f>
        <v/>
      </c>
      <c r="N80" s="51" t="str">
        <f aca="false">IF(B80="","",YEAR(B80))</f>
        <v/>
      </c>
      <c r="O80" s="51" t="str">
        <f aca="false">IF(B80="","",C80&amp;"|"&amp;M80&amp;"|"&amp;N80)</f>
        <v/>
      </c>
    </row>
    <row r="81" customFormat="false" ht="15" hidden="false" customHeight="false" outlineLevel="0" collapsed="false">
      <c r="A81" s="73" t="str">
        <f aca="false">IF(B81="","",ROW()-9)</f>
        <v/>
      </c>
      <c r="B81" s="115"/>
      <c r="C81" s="116"/>
      <c r="D81" s="74" t="str">
        <f aca="false">IF(C81="","",IFERROR(INDEX(PERSONNEL!$C$10:$C$69,MATCH(C81,PERSONNEL!$B$10:$B$69,0)),"Matricule inconnu"))</f>
        <v/>
      </c>
      <c r="E81" s="73" t="str">
        <f aca="false">IF(C81="","",IFERROR(INDEX(PERSONNEL!$I$10:$I$69,MATCH(C81,PERSONNEL!$B$10:$B$69,0)),""))</f>
        <v/>
      </c>
      <c r="F81" s="73" t="str">
        <f aca="false">IF(C81="","",IFERROR(INDEX(PERSONNEL!$D$10:$D$69,MATCH(C81,PERSONNEL!$B$10:$B$69,0)),""))</f>
        <v/>
      </c>
      <c r="G81" s="116"/>
      <c r="H81" s="117"/>
      <c r="I81" s="116"/>
      <c r="J81" s="118"/>
      <c r="K81" s="116"/>
      <c r="L81" s="118"/>
      <c r="M81" s="51" t="str">
        <f aca="false">IF(B81="","",MONTH(B81))</f>
        <v/>
      </c>
      <c r="N81" s="51" t="str">
        <f aca="false">IF(B81="","",YEAR(B81))</f>
        <v/>
      </c>
      <c r="O81" s="51" t="str">
        <f aca="false">IF(B81="","",C81&amp;"|"&amp;M81&amp;"|"&amp;N81)</f>
        <v/>
      </c>
    </row>
    <row r="82" customFormat="false" ht="15" hidden="false" customHeight="false" outlineLevel="0" collapsed="false">
      <c r="A82" s="73" t="str">
        <f aca="false">IF(B82="","",ROW()-9)</f>
        <v/>
      </c>
      <c r="B82" s="115"/>
      <c r="C82" s="116"/>
      <c r="D82" s="74" t="str">
        <f aca="false">IF(C82="","",IFERROR(INDEX(PERSONNEL!$C$10:$C$69,MATCH(C82,PERSONNEL!$B$10:$B$69,0)),"Matricule inconnu"))</f>
        <v/>
      </c>
      <c r="E82" s="73" t="str">
        <f aca="false">IF(C82="","",IFERROR(INDEX(PERSONNEL!$I$10:$I$69,MATCH(C82,PERSONNEL!$B$10:$B$69,0)),""))</f>
        <v/>
      </c>
      <c r="F82" s="73" t="str">
        <f aca="false">IF(C82="","",IFERROR(INDEX(PERSONNEL!$D$10:$D$69,MATCH(C82,PERSONNEL!$B$10:$B$69,0)),""))</f>
        <v/>
      </c>
      <c r="G82" s="116"/>
      <c r="H82" s="117"/>
      <c r="I82" s="116"/>
      <c r="J82" s="118"/>
      <c r="K82" s="116"/>
      <c r="L82" s="118"/>
      <c r="M82" s="51" t="str">
        <f aca="false">IF(B82="","",MONTH(B82))</f>
        <v/>
      </c>
      <c r="N82" s="51" t="str">
        <f aca="false">IF(B82="","",YEAR(B82))</f>
        <v/>
      </c>
      <c r="O82" s="51" t="str">
        <f aca="false">IF(B82="","",C82&amp;"|"&amp;M82&amp;"|"&amp;N82)</f>
        <v/>
      </c>
    </row>
    <row r="83" customFormat="false" ht="15" hidden="false" customHeight="false" outlineLevel="0" collapsed="false">
      <c r="A83" s="73" t="str">
        <f aca="false">IF(B83="","",ROW()-9)</f>
        <v/>
      </c>
      <c r="B83" s="115"/>
      <c r="C83" s="116"/>
      <c r="D83" s="74" t="str">
        <f aca="false">IF(C83="","",IFERROR(INDEX(PERSONNEL!$C$10:$C$69,MATCH(C83,PERSONNEL!$B$10:$B$69,0)),"Matricule inconnu"))</f>
        <v/>
      </c>
      <c r="E83" s="73" t="str">
        <f aca="false">IF(C83="","",IFERROR(INDEX(PERSONNEL!$I$10:$I$69,MATCH(C83,PERSONNEL!$B$10:$B$69,0)),""))</f>
        <v/>
      </c>
      <c r="F83" s="73" t="str">
        <f aca="false">IF(C83="","",IFERROR(INDEX(PERSONNEL!$D$10:$D$69,MATCH(C83,PERSONNEL!$B$10:$B$69,0)),""))</f>
        <v/>
      </c>
      <c r="G83" s="116"/>
      <c r="H83" s="117"/>
      <c r="I83" s="116"/>
      <c r="J83" s="118"/>
      <c r="K83" s="116"/>
      <c r="L83" s="118"/>
      <c r="M83" s="51" t="str">
        <f aca="false">IF(B83="","",MONTH(B83))</f>
        <v/>
      </c>
      <c r="N83" s="51" t="str">
        <f aca="false">IF(B83="","",YEAR(B83))</f>
        <v/>
      </c>
      <c r="O83" s="51" t="str">
        <f aca="false">IF(B83="","",C83&amp;"|"&amp;M83&amp;"|"&amp;N83)</f>
        <v/>
      </c>
    </row>
    <row r="84" customFormat="false" ht="15" hidden="false" customHeight="false" outlineLevel="0" collapsed="false">
      <c r="A84" s="73" t="str">
        <f aca="false">IF(B84="","",ROW()-9)</f>
        <v/>
      </c>
      <c r="B84" s="115"/>
      <c r="C84" s="116"/>
      <c r="D84" s="74" t="str">
        <f aca="false">IF(C84="","",IFERROR(INDEX(PERSONNEL!$C$10:$C$69,MATCH(C84,PERSONNEL!$B$10:$B$69,0)),"Matricule inconnu"))</f>
        <v/>
      </c>
      <c r="E84" s="73" t="str">
        <f aca="false">IF(C84="","",IFERROR(INDEX(PERSONNEL!$I$10:$I$69,MATCH(C84,PERSONNEL!$B$10:$B$69,0)),""))</f>
        <v/>
      </c>
      <c r="F84" s="73" t="str">
        <f aca="false">IF(C84="","",IFERROR(INDEX(PERSONNEL!$D$10:$D$69,MATCH(C84,PERSONNEL!$B$10:$B$69,0)),""))</f>
        <v/>
      </c>
      <c r="G84" s="116"/>
      <c r="H84" s="117"/>
      <c r="I84" s="116"/>
      <c r="J84" s="118"/>
      <c r="K84" s="116"/>
      <c r="L84" s="118"/>
      <c r="M84" s="51" t="str">
        <f aca="false">IF(B84="","",MONTH(B84))</f>
        <v/>
      </c>
      <c r="N84" s="51" t="str">
        <f aca="false">IF(B84="","",YEAR(B84))</f>
        <v/>
      </c>
      <c r="O84" s="51" t="str">
        <f aca="false">IF(B84="","",C84&amp;"|"&amp;M84&amp;"|"&amp;N84)</f>
        <v/>
      </c>
    </row>
    <row r="85" customFormat="false" ht="15" hidden="false" customHeight="false" outlineLevel="0" collapsed="false">
      <c r="A85" s="73" t="str">
        <f aca="false">IF(B85="","",ROW()-9)</f>
        <v/>
      </c>
      <c r="B85" s="115"/>
      <c r="C85" s="116"/>
      <c r="D85" s="74" t="str">
        <f aca="false">IF(C85="","",IFERROR(INDEX(PERSONNEL!$C$10:$C$69,MATCH(C85,PERSONNEL!$B$10:$B$69,0)),"Matricule inconnu"))</f>
        <v/>
      </c>
      <c r="E85" s="73" t="str">
        <f aca="false">IF(C85="","",IFERROR(INDEX(PERSONNEL!$I$10:$I$69,MATCH(C85,PERSONNEL!$B$10:$B$69,0)),""))</f>
        <v/>
      </c>
      <c r="F85" s="73" t="str">
        <f aca="false">IF(C85="","",IFERROR(INDEX(PERSONNEL!$D$10:$D$69,MATCH(C85,PERSONNEL!$B$10:$B$69,0)),""))</f>
        <v/>
      </c>
      <c r="G85" s="116"/>
      <c r="H85" s="117"/>
      <c r="I85" s="116"/>
      <c r="J85" s="118"/>
      <c r="K85" s="116"/>
      <c r="L85" s="118"/>
      <c r="M85" s="51" t="str">
        <f aca="false">IF(B85="","",MONTH(B85))</f>
        <v/>
      </c>
      <c r="N85" s="51" t="str">
        <f aca="false">IF(B85="","",YEAR(B85))</f>
        <v/>
      </c>
      <c r="O85" s="51" t="str">
        <f aca="false">IF(B85="","",C85&amp;"|"&amp;M85&amp;"|"&amp;N85)</f>
        <v/>
      </c>
    </row>
    <row r="86" customFormat="false" ht="15" hidden="false" customHeight="false" outlineLevel="0" collapsed="false">
      <c r="A86" s="73" t="str">
        <f aca="false">IF(B86="","",ROW()-9)</f>
        <v/>
      </c>
      <c r="B86" s="115"/>
      <c r="C86" s="116"/>
      <c r="D86" s="74" t="str">
        <f aca="false">IF(C86="","",IFERROR(INDEX(PERSONNEL!$C$10:$C$69,MATCH(C86,PERSONNEL!$B$10:$B$69,0)),"Matricule inconnu"))</f>
        <v/>
      </c>
      <c r="E86" s="73" t="str">
        <f aca="false">IF(C86="","",IFERROR(INDEX(PERSONNEL!$I$10:$I$69,MATCH(C86,PERSONNEL!$B$10:$B$69,0)),""))</f>
        <v/>
      </c>
      <c r="F86" s="73" t="str">
        <f aca="false">IF(C86="","",IFERROR(INDEX(PERSONNEL!$D$10:$D$69,MATCH(C86,PERSONNEL!$B$10:$B$69,0)),""))</f>
        <v/>
      </c>
      <c r="G86" s="116"/>
      <c r="H86" s="117"/>
      <c r="I86" s="116"/>
      <c r="J86" s="118"/>
      <c r="K86" s="116"/>
      <c r="L86" s="118"/>
      <c r="M86" s="51" t="str">
        <f aca="false">IF(B86="","",MONTH(B86))</f>
        <v/>
      </c>
      <c r="N86" s="51" t="str">
        <f aca="false">IF(B86="","",YEAR(B86))</f>
        <v/>
      </c>
      <c r="O86" s="51" t="str">
        <f aca="false">IF(B86="","",C86&amp;"|"&amp;M86&amp;"|"&amp;N86)</f>
        <v/>
      </c>
    </row>
    <row r="87" customFormat="false" ht="15" hidden="false" customHeight="false" outlineLevel="0" collapsed="false">
      <c r="A87" s="73" t="str">
        <f aca="false">IF(B87="","",ROW()-9)</f>
        <v/>
      </c>
      <c r="B87" s="115"/>
      <c r="C87" s="116"/>
      <c r="D87" s="74" t="str">
        <f aca="false">IF(C87="","",IFERROR(INDEX(PERSONNEL!$C$10:$C$69,MATCH(C87,PERSONNEL!$B$10:$B$69,0)),"Matricule inconnu"))</f>
        <v/>
      </c>
      <c r="E87" s="73" t="str">
        <f aca="false">IF(C87="","",IFERROR(INDEX(PERSONNEL!$I$10:$I$69,MATCH(C87,PERSONNEL!$B$10:$B$69,0)),""))</f>
        <v/>
      </c>
      <c r="F87" s="73" t="str">
        <f aca="false">IF(C87="","",IFERROR(INDEX(PERSONNEL!$D$10:$D$69,MATCH(C87,PERSONNEL!$B$10:$B$69,0)),""))</f>
        <v/>
      </c>
      <c r="G87" s="116"/>
      <c r="H87" s="117"/>
      <c r="I87" s="116"/>
      <c r="J87" s="118"/>
      <c r="K87" s="116"/>
      <c r="L87" s="118"/>
      <c r="M87" s="51" t="str">
        <f aca="false">IF(B87="","",MONTH(B87))</f>
        <v/>
      </c>
      <c r="N87" s="51" t="str">
        <f aca="false">IF(B87="","",YEAR(B87))</f>
        <v/>
      </c>
      <c r="O87" s="51" t="str">
        <f aca="false">IF(B87="","",C87&amp;"|"&amp;M87&amp;"|"&amp;N87)</f>
        <v/>
      </c>
    </row>
    <row r="88" customFormat="false" ht="15" hidden="false" customHeight="false" outlineLevel="0" collapsed="false">
      <c r="A88" s="73" t="str">
        <f aca="false">IF(B88="","",ROW()-9)</f>
        <v/>
      </c>
      <c r="B88" s="115"/>
      <c r="C88" s="116"/>
      <c r="D88" s="74" t="str">
        <f aca="false">IF(C88="","",IFERROR(INDEX(PERSONNEL!$C$10:$C$69,MATCH(C88,PERSONNEL!$B$10:$B$69,0)),"Matricule inconnu"))</f>
        <v/>
      </c>
      <c r="E88" s="73" t="str">
        <f aca="false">IF(C88="","",IFERROR(INDEX(PERSONNEL!$I$10:$I$69,MATCH(C88,PERSONNEL!$B$10:$B$69,0)),""))</f>
        <v/>
      </c>
      <c r="F88" s="73" t="str">
        <f aca="false">IF(C88="","",IFERROR(INDEX(PERSONNEL!$D$10:$D$69,MATCH(C88,PERSONNEL!$B$10:$B$69,0)),""))</f>
        <v/>
      </c>
      <c r="G88" s="116"/>
      <c r="H88" s="117"/>
      <c r="I88" s="116"/>
      <c r="J88" s="118"/>
      <c r="K88" s="116"/>
      <c r="L88" s="118"/>
      <c r="M88" s="51" t="str">
        <f aca="false">IF(B88="","",MONTH(B88))</f>
        <v/>
      </c>
      <c r="N88" s="51" t="str">
        <f aca="false">IF(B88="","",YEAR(B88))</f>
        <v/>
      </c>
      <c r="O88" s="51" t="str">
        <f aca="false">IF(B88="","",C88&amp;"|"&amp;M88&amp;"|"&amp;N88)</f>
        <v/>
      </c>
    </row>
    <row r="89" customFormat="false" ht="15" hidden="false" customHeight="false" outlineLevel="0" collapsed="false">
      <c r="A89" s="73" t="str">
        <f aca="false">IF(B89="","",ROW()-9)</f>
        <v/>
      </c>
      <c r="B89" s="115"/>
      <c r="C89" s="116"/>
      <c r="D89" s="74" t="str">
        <f aca="false">IF(C89="","",IFERROR(INDEX(PERSONNEL!$C$10:$C$69,MATCH(C89,PERSONNEL!$B$10:$B$69,0)),"Matricule inconnu"))</f>
        <v/>
      </c>
      <c r="E89" s="73" t="str">
        <f aca="false">IF(C89="","",IFERROR(INDEX(PERSONNEL!$I$10:$I$69,MATCH(C89,PERSONNEL!$B$10:$B$69,0)),""))</f>
        <v/>
      </c>
      <c r="F89" s="73" t="str">
        <f aca="false">IF(C89="","",IFERROR(INDEX(PERSONNEL!$D$10:$D$69,MATCH(C89,PERSONNEL!$B$10:$B$69,0)),""))</f>
        <v/>
      </c>
      <c r="G89" s="116"/>
      <c r="H89" s="117"/>
      <c r="I89" s="116"/>
      <c r="J89" s="118"/>
      <c r="K89" s="116"/>
      <c r="L89" s="118"/>
      <c r="M89" s="51" t="str">
        <f aca="false">IF(B89="","",MONTH(B89))</f>
        <v/>
      </c>
      <c r="N89" s="51" t="str">
        <f aca="false">IF(B89="","",YEAR(B89))</f>
        <v/>
      </c>
      <c r="O89" s="51" t="str">
        <f aca="false">IF(B89="","",C89&amp;"|"&amp;M89&amp;"|"&amp;N89)</f>
        <v/>
      </c>
    </row>
    <row r="90" customFormat="false" ht="15" hidden="false" customHeight="false" outlineLevel="0" collapsed="false">
      <c r="A90" s="73" t="str">
        <f aca="false">IF(B90="","",ROW()-9)</f>
        <v/>
      </c>
      <c r="B90" s="115"/>
      <c r="C90" s="116"/>
      <c r="D90" s="74" t="str">
        <f aca="false">IF(C90="","",IFERROR(INDEX(PERSONNEL!$C$10:$C$69,MATCH(C90,PERSONNEL!$B$10:$B$69,0)),"Matricule inconnu"))</f>
        <v/>
      </c>
      <c r="E90" s="73" t="str">
        <f aca="false">IF(C90="","",IFERROR(INDEX(PERSONNEL!$I$10:$I$69,MATCH(C90,PERSONNEL!$B$10:$B$69,0)),""))</f>
        <v/>
      </c>
      <c r="F90" s="73" t="str">
        <f aca="false">IF(C90="","",IFERROR(INDEX(PERSONNEL!$D$10:$D$69,MATCH(C90,PERSONNEL!$B$10:$B$69,0)),""))</f>
        <v/>
      </c>
      <c r="G90" s="116"/>
      <c r="H90" s="117"/>
      <c r="I90" s="116"/>
      <c r="J90" s="118"/>
      <c r="K90" s="116"/>
      <c r="L90" s="118"/>
      <c r="M90" s="51" t="str">
        <f aca="false">IF(B90="","",MONTH(B90))</f>
        <v/>
      </c>
      <c r="N90" s="51" t="str">
        <f aca="false">IF(B90="","",YEAR(B90))</f>
        <v/>
      </c>
      <c r="O90" s="51" t="str">
        <f aca="false">IF(B90="","",C90&amp;"|"&amp;M90&amp;"|"&amp;N90)</f>
        <v/>
      </c>
    </row>
    <row r="91" customFormat="false" ht="15" hidden="false" customHeight="false" outlineLevel="0" collapsed="false">
      <c r="A91" s="73" t="str">
        <f aca="false">IF(B91="","",ROW()-9)</f>
        <v/>
      </c>
      <c r="B91" s="115"/>
      <c r="C91" s="116"/>
      <c r="D91" s="74" t="str">
        <f aca="false">IF(C91="","",IFERROR(INDEX(PERSONNEL!$C$10:$C$69,MATCH(C91,PERSONNEL!$B$10:$B$69,0)),"Matricule inconnu"))</f>
        <v/>
      </c>
      <c r="E91" s="73" t="str">
        <f aca="false">IF(C91="","",IFERROR(INDEX(PERSONNEL!$I$10:$I$69,MATCH(C91,PERSONNEL!$B$10:$B$69,0)),""))</f>
        <v/>
      </c>
      <c r="F91" s="73" t="str">
        <f aca="false">IF(C91="","",IFERROR(INDEX(PERSONNEL!$D$10:$D$69,MATCH(C91,PERSONNEL!$B$10:$B$69,0)),""))</f>
        <v/>
      </c>
      <c r="G91" s="116"/>
      <c r="H91" s="117"/>
      <c r="I91" s="116"/>
      <c r="J91" s="118"/>
      <c r="K91" s="116"/>
      <c r="L91" s="118"/>
      <c r="M91" s="51" t="str">
        <f aca="false">IF(B91="","",MONTH(B91))</f>
        <v/>
      </c>
      <c r="N91" s="51" t="str">
        <f aca="false">IF(B91="","",YEAR(B91))</f>
        <v/>
      </c>
      <c r="O91" s="51" t="str">
        <f aca="false">IF(B91="","",C91&amp;"|"&amp;M91&amp;"|"&amp;N91)</f>
        <v/>
      </c>
    </row>
    <row r="92" customFormat="false" ht="15" hidden="false" customHeight="false" outlineLevel="0" collapsed="false">
      <c r="A92" s="73" t="str">
        <f aca="false">IF(B92="","",ROW()-9)</f>
        <v/>
      </c>
      <c r="B92" s="115"/>
      <c r="C92" s="116"/>
      <c r="D92" s="74" t="str">
        <f aca="false">IF(C92="","",IFERROR(INDEX(PERSONNEL!$C$10:$C$69,MATCH(C92,PERSONNEL!$B$10:$B$69,0)),"Matricule inconnu"))</f>
        <v/>
      </c>
      <c r="E92" s="73" t="str">
        <f aca="false">IF(C92="","",IFERROR(INDEX(PERSONNEL!$I$10:$I$69,MATCH(C92,PERSONNEL!$B$10:$B$69,0)),""))</f>
        <v/>
      </c>
      <c r="F92" s="73" t="str">
        <f aca="false">IF(C92="","",IFERROR(INDEX(PERSONNEL!$D$10:$D$69,MATCH(C92,PERSONNEL!$B$10:$B$69,0)),""))</f>
        <v/>
      </c>
      <c r="G92" s="116"/>
      <c r="H92" s="117"/>
      <c r="I92" s="116"/>
      <c r="J92" s="118"/>
      <c r="K92" s="116"/>
      <c r="L92" s="118"/>
      <c r="M92" s="51" t="str">
        <f aca="false">IF(B92="","",MONTH(B92))</f>
        <v/>
      </c>
      <c r="N92" s="51" t="str">
        <f aca="false">IF(B92="","",YEAR(B92))</f>
        <v/>
      </c>
      <c r="O92" s="51" t="str">
        <f aca="false">IF(B92="","",C92&amp;"|"&amp;M92&amp;"|"&amp;N92)</f>
        <v/>
      </c>
    </row>
    <row r="93" customFormat="false" ht="15" hidden="false" customHeight="false" outlineLevel="0" collapsed="false">
      <c r="A93" s="73" t="str">
        <f aca="false">IF(B93="","",ROW()-9)</f>
        <v/>
      </c>
      <c r="B93" s="115"/>
      <c r="C93" s="116"/>
      <c r="D93" s="74" t="str">
        <f aca="false">IF(C93="","",IFERROR(INDEX(PERSONNEL!$C$10:$C$69,MATCH(C93,PERSONNEL!$B$10:$B$69,0)),"Matricule inconnu"))</f>
        <v/>
      </c>
      <c r="E93" s="73" t="str">
        <f aca="false">IF(C93="","",IFERROR(INDEX(PERSONNEL!$I$10:$I$69,MATCH(C93,PERSONNEL!$B$10:$B$69,0)),""))</f>
        <v/>
      </c>
      <c r="F93" s="73" t="str">
        <f aca="false">IF(C93="","",IFERROR(INDEX(PERSONNEL!$D$10:$D$69,MATCH(C93,PERSONNEL!$B$10:$B$69,0)),""))</f>
        <v/>
      </c>
      <c r="G93" s="116"/>
      <c r="H93" s="117"/>
      <c r="I93" s="116"/>
      <c r="J93" s="118"/>
      <c r="K93" s="116"/>
      <c r="L93" s="118"/>
      <c r="M93" s="51" t="str">
        <f aca="false">IF(B93="","",MONTH(B93))</f>
        <v/>
      </c>
      <c r="N93" s="51" t="str">
        <f aca="false">IF(B93="","",YEAR(B93))</f>
        <v/>
      </c>
      <c r="O93" s="51" t="str">
        <f aca="false">IF(B93="","",C93&amp;"|"&amp;M93&amp;"|"&amp;N93)</f>
        <v/>
      </c>
    </row>
    <row r="94" customFormat="false" ht="15" hidden="false" customHeight="false" outlineLevel="0" collapsed="false">
      <c r="A94" s="73" t="str">
        <f aca="false">IF(B94="","",ROW()-9)</f>
        <v/>
      </c>
      <c r="B94" s="115"/>
      <c r="C94" s="116"/>
      <c r="D94" s="74" t="str">
        <f aca="false">IF(C94="","",IFERROR(INDEX(PERSONNEL!$C$10:$C$69,MATCH(C94,PERSONNEL!$B$10:$B$69,0)),"Matricule inconnu"))</f>
        <v/>
      </c>
      <c r="E94" s="73" t="str">
        <f aca="false">IF(C94="","",IFERROR(INDEX(PERSONNEL!$I$10:$I$69,MATCH(C94,PERSONNEL!$B$10:$B$69,0)),""))</f>
        <v/>
      </c>
      <c r="F94" s="73" t="str">
        <f aca="false">IF(C94="","",IFERROR(INDEX(PERSONNEL!$D$10:$D$69,MATCH(C94,PERSONNEL!$B$10:$B$69,0)),""))</f>
        <v/>
      </c>
      <c r="G94" s="116"/>
      <c r="H94" s="117"/>
      <c r="I94" s="116"/>
      <c r="J94" s="118"/>
      <c r="K94" s="116"/>
      <c r="L94" s="118"/>
      <c r="M94" s="51" t="str">
        <f aca="false">IF(B94="","",MONTH(B94))</f>
        <v/>
      </c>
      <c r="N94" s="51" t="str">
        <f aca="false">IF(B94="","",YEAR(B94))</f>
        <v/>
      </c>
      <c r="O94" s="51" t="str">
        <f aca="false">IF(B94="","",C94&amp;"|"&amp;M94&amp;"|"&amp;N94)</f>
        <v/>
      </c>
    </row>
    <row r="95" customFormat="false" ht="15" hidden="false" customHeight="false" outlineLevel="0" collapsed="false">
      <c r="A95" s="73" t="str">
        <f aca="false">IF(B95="","",ROW()-9)</f>
        <v/>
      </c>
      <c r="B95" s="115"/>
      <c r="C95" s="116"/>
      <c r="D95" s="74" t="str">
        <f aca="false">IF(C95="","",IFERROR(INDEX(PERSONNEL!$C$10:$C$69,MATCH(C95,PERSONNEL!$B$10:$B$69,0)),"Matricule inconnu"))</f>
        <v/>
      </c>
      <c r="E95" s="73" t="str">
        <f aca="false">IF(C95="","",IFERROR(INDEX(PERSONNEL!$I$10:$I$69,MATCH(C95,PERSONNEL!$B$10:$B$69,0)),""))</f>
        <v/>
      </c>
      <c r="F95" s="73" t="str">
        <f aca="false">IF(C95="","",IFERROR(INDEX(PERSONNEL!$D$10:$D$69,MATCH(C95,PERSONNEL!$B$10:$B$69,0)),""))</f>
        <v/>
      </c>
      <c r="G95" s="116"/>
      <c r="H95" s="117"/>
      <c r="I95" s="116"/>
      <c r="J95" s="118"/>
      <c r="K95" s="116"/>
      <c r="L95" s="118"/>
      <c r="M95" s="51" t="str">
        <f aca="false">IF(B95="","",MONTH(B95))</f>
        <v/>
      </c>
      <c r="N95" s="51" t="str">
        <f aca="false">IF(B95="","",YEAR(B95))</f>
        <v/>
      </c>
      <c r="O95" s="51" t="str">
        <f aca="false">IF(B95="","",C95&amp;"|"&amp;M95&amp;"|"&amp;N95)</f>
        <v/>
      </c>
    </row>
    <row r="96" customFormat="false" ht="15" hidden="false" customHeight="false" outlineLevel="0" collapsed="false">
      <c r="A96" s="73" t="str">
        <f aca="false">IF(B96="","",ROW()-9)</f>
        <v/>
      </c>
      <c r="B96" s="115"/>
      <c r="C96" s="116"/>
      <c r="D96" s="74" t="str">
        <f aca="false">IF(C96="","",IFERROR(INDEX(PERSONNEL!$C$10:$C$69,MATCH(C96,PERSONNEL!$B$10:$B$69,0)),"Matricule inconnu"))</f>
        <v/>
      </c>
      <c r="E96" s="73" t="str">
        <f aca="false">IF(C96="","",IFERROR(INDEX(PERSONNEL!$I$10:$I$69,MATCH(C96,PERSONNEL!$B$10:$B$69,0)),""))</f>
        <v/>
      </c>
      <c r="F96" s="73" t="str">
        <f aca="false">IF(C96="","",IFERROR(INDEX(PERSONNEL!$D$10:$D$69,MATCH(C96,PERSONNEL!$B$10:$B$69,0)),""))</f>
        <v/>
      </c>
      <c r="G96" s="116"/>
      <c r="H96" s="117"/>
      <c r="I96" s="116"/>
      <c r="J96" s="118"/>
      <c r="K96" s="116"/>
      <c r="L96" s="118"/>
      <c r="M96" s="51" t="str">
        <f aca="false">IF(B96="","",MONTH(B96))</f>
        <v/>
      </c>
      <c r="N96" s="51" t="str">
        <f aca="false">IF(B96="","",YEAR(B96))</f>
        <v/>
      </c>
      <c r="O96" s="51" t="str">
        <f aca="false">IF(B96="","",C96&amp;"|"&amp;M96&amp;"|"&amp;N96)</f>
        <v/>
      </c>
    </row>
    <row r="97" customFormat="false" ht="15" hidden="false" customHeight="false" outlineLevel="0" collapsed="false">
      <c r="A97" s="73" t="str">
        <f aca="false">IF(B97="","",ROW()-9)</f>
        <v/>
      </c>
      <c r="B97" s="115"/>
      <c r="C97" s="116"/>
      <c r="D97" s="74" t="str">
        <f aca="false">IF(C97="","",IFERROR(INDEX(PERSONNEL!$C$10:$C$69,MATCH(C97,PERSONNEL!$B$10:$B$69,0)),"Matricule inconnu"))</f>
        <v/>
      </c>
      <c r="E97" s="73" t="str">
        <f aca="false">IF(C97="","",IFERROR(INDEX(PERSONNEL!$I$10:$I$69,MATCH(C97,PERSONNEL!$B$10:$B$69,0)),""))</f>
        <v/>
      </c>
      <c r="F97" s="73" t="str">
        <f aca="false">IF(C97="","",IFERROR(INDEX(PERSONNEL!$D$10:$D$69,MATCH(C97,PERSONNEL!$B$10:$B$69,0)),""))</f>
        <v/>
      </c>
      <c r="G97" s="116"/>
      <c r="H97" s="117"/>
      <c r="I97" s="116"/>
      <c r="J97" s="118"/>
      <c r="K97" s="116"/>
      <c r="L97" s="118"/>
      <c r="M97" s="51" t="str">
        <f aca="false">IF(B97="","",MONTH(B97))</f>
        <v/>
      </c>
      <c r="N97" s="51" t="str">
        <f aca="false">IF(B97="","",YEAR(B97))</f>
        <v/>
      </c>
      <c r="O97" s="51" t="str">
        <f aca="false">IF(B97="","",C97&amp;"|"&amp;M97&amp;"|"&amp;N97)</f>
        <v/>
      </c>
    </row>
    <row r="98" customFormat="false" ht="15" hidden="false" customHeight="false" outlineLevel="0" collapsed="false">
      <c r="A98" s="73" t="str">
        <f aca="false">IF(B98="","",ROW()-9)</f>
        <v/>
      </c>
      <c r="B98" s="115"/>
      <c r="C98" s="116"/>
      <c r="D98" s="74" t="str">
        <f aca="false">IF(C98="","",IFERROR(INDEX(PERSONNEL!$C$10:$C$69,MATCH(C98,PERSONNEL!$B$10:$B$69,0)),"Matricule inconnu"))</f>
        <v/>
      </c>
      <c r="E98" s="73" t="str">
        <f aca="false">IF(C98="","",IFERROR(INDEX(PERSONNEL!$I$10:$I$69,MATCH(C98,PERSONNEL!$B$10:$B$69,0)),""))</f>
        <v/>
      </c>
      <c r="F98" s="73" t="str">
        <f aca="false">IF(C98="","",IFERROR(INDEX(PERSONNEL!$D$10:$D$69,MATCH(C98,PERSONNEL!$B$10:$B$69,0)),""))</f>
        <v/>
      </c>
      <c r="G98" s="116"/>
      <c r="H98" s="117"/>
      <c r="I98" s="116"/>
      <c r="J98" s="118"/>
      <c r="K98" s="116"/>
      <c r="L98" s="118"/>
      <c r="M98" s="51" t="str">
        <f aca="false">IF(B98="","",MONTH(B98))</f>
        <v/>
      </c>
      <c r="N98" s="51" t="str">
        <f aca="false">IF(B98="","",YEAR(B98))</f>
        <v/>
      </c>
      <c r="O98" s="51" t="str">
        <f aca="false">IF(B98="","",C98&amp;"|"&amp;M98&amp;"|"&amp;N98)</f>
        <v/>
      </c>
    </row>
    <row r="99" customFormat="false" ht="15" hidden="false" customHeight="false" outlineLevel="0" collapsed="false">
      <c r="A99" s="73" t="str">
        <f aca="false">IF(B99="","",ROW()-9)</f>
        <v/>
      </c>
      <c r="B99" s="115"/>
      <c r="C99" s="116"/>
      <c r="D99" s="74" t="str">
        <f aca="false">IF(C99="","",IFERROR(INDEX(PERSONNEL!$C$10:$C$69,MATCH(C99,PERSONNEL!$B$10:$B$69,0)),"Matricule inconnu"))</f>
        <v/>
      </c>
      <c r="E99" s="73" t="str">
        <f aca="false">IF(C99="","",IFERROR(INDEX(PERSONNEL!$I$10:$I$69,MATCH(C99,PERSONNEL!$B$10:$B$69,0)),""))</f>
        <v/>
      </c>
      <c r="F99" s="73" t="str">
        <f aca="false">IF(C99="","",IFERROR(INDEX(PERSONNEL!$D$10:$D$69,MATCH(C99,PERSONNEL!$B$10:$B$69,0)),""))</f>
        <v/>
      </c>
      <c r="G99" s="116"/>
      <c r="H99" s="117"/>
      <c r="I99" s="116"/>
      <c r="J99" s="118"/>
      <c r="K99" s="116"/>
      <c r="L99" s="118"/>
      <c r="M99" s="51" t="str">
        <f aca="false">IF(B99="","",MONTH(B99))</f>
        <v/>
      </c>
      <c r="N99" s="51" t="str">
        <f aca="false">IF(B99="","",YEAR(B99))</f>
        <v/>
      </c>
      <c r="O99" s="51" t="str">
        <f aca="false">IF(B99="","",C99&amp;"|"&amp;M99&amp;"|"&amp;N99)</f>
        <v/>
      </c>
    </row>
    <row r="100" customFormat="false" ht="15" hidden="false" customHeight="false" outlineLevel="0" collapsed="false">
      <c r="A100" s="73" t="str">
        <f aca="false">IF(B100="","",ROW()-9)</f>
        <v/>
      </c>
      <c r="B100" s="115"/>
      <c r="C100" s="116"/>
      <c r="D100" s="74" t="str">
        <f aca="false">IF(C100="","",IFERROR(INDEX(PERSONNEL!$C$10:$C$69,MATCH(C100,PERSONNEL!$B$10:$B$69,0)),"Matricule inconnu"))</f>
        <v/>
      </c>
      <c r="E100" s="73" t="str">
        <f aca="false">IF(C100="","",IFERROR(INDEX(PERSONNEL!$I$10:$I$69,MATCH(C100,PERSONNEL!$B$10:$B$69,0)),""))</f>
        <v/>
      </c>
      <c r="F100" s="73" t="str">
        <f aca="false">IF(C100="","",IFERROR(INDEX(PERSONNEL!$D$10:$D$69,MATCH(C100,PERSONNEL!$B$10:$B$69,0)),""))</f>
        <v/>
      </c>
      <c r="G100" s="116"/>
      <c r="H100" s="117"/>
      <c r="I100" s="116"/>
      <c r="J100" s="118"/>
      <c r="K100" s="116"/>
      <c r="L100" s="118"/>
      <c r="M100" s="51" t="str">
        <f aca="false">IF(B100="","",MONTH(B100))</f>
        <v/>
      </c>
      <c r="N100" s="51" t="str">
        <f aca="false">IF(B100="","",YEAR(B100))</f>
        <v/>
      </c>
      <c r="O100" s="51" t="str">
        <f aca="false">IF(B100="","",C100&amp;"|"&amp;M100&amp;"|"&amp;N100)</f>
        <v/>
      </c>
    </row>
    <row r="101" customFormat="false" ht="15" hidden="false" customHeight="false" outlineLevel="0" collapsed="false">
      <c r="A101" s="73" t="str">
        <f aca="false">IF(B101="","",ROW()-9)</f>
        <v/>
      </c>
      <c r="B101" s="115"/>
      <c r="C101" s="116"/>
      <c r="D101" s="74" t="str">
        <f aca="false">IF(C101="","",IFERROR(INDEX(PERSONNEL!$C$10:$C$69,MATCH(C101,PERSONNEL!$B$10:$B$69,0)),"Matricule inconnu"))</f>
        <v/>
      </c>
      <c r="E101" s="73" t="str">
        <f aca="false">IF(C101="","",IFERROR(INDEX(PERSONNEL!$I$10:$I$69,MATCH(C101,PERSONNEL!$B$10:$B$69,0)),""))</f>
        <v/>
      </c>
      <c r="F101" s="73" t="str">
        <f aca="false">IF(C101="","",IFERROR(INDEX(PERSONNEL!$D$10:$D$69,MATCH(C101,PERSONNEL!$B$10:$B$69,0)),""))</f>
        <v/>
      </c>
      <c r="G101" s="116"/>
      <c r="H101" s="117"/>
      <c r="I101" s="116"/>
      <c r="J101" s="118"/>
      <c r="K101" s="116"/>
      <c r="L101" s="118"/>
      <c r="M101" s="51" t="str">
        <f aca="false">IF(B101="","",MONTH(B101))</f>
        <v/>
      </c>
      <c r="N101" s="51" t="str">
        <f aca="false">IF(B101="","",YEAR(B101))</f>
        <v/>
      </c>
      <c r="O101" s="51" t="str">
        <f aca="false">IF(B101="","",C101&amp;"|"&amp;M101&amp;"|"&amp;N101)</f>
        <v/>
      </c>
    </row>
    <row r="102" customFormat="false" ht="15" hidden="false" customHeight="false" outlineLevel="0" collapsed="false">
      <c r="A102" s="73" t="str">
        <f aca="false">IF(B102="","",ROW()-9)</f>
        <v/>
      </c>
      <c r="B102" s="115"/>
      <c r="C102" s="116"/>
      <c r="D102" s="74" t="str">
        <f aca="false">IF(C102="","",IFERROR(INDEX(PERSONNEL!$C$10:$C$69,MATCH(C102,PERSONNEL!$B$10:$B$69,0)),"Matricule inconnu"))</f>
        <v/>
      </c>
      <c r="E102" s="73" t="str">
        <f aca="false">IF(C102="","",IFERROR(INDEX(PERSONNEL!$I$10:$I$69,MATCH(C102,PERSONNEL!$B$10:$B$69,0)),""))</f>
        <v/>
      </c>
      <c r="F102" s="73" t="str">
        <f aca="false">IF(C102="","",IFERROR(INDEX(PERSONNEL!$D$10:$D$69,MATCH(C102,PERSONNEL!$B$10:$B$69,0)),""))</f>
        <v/>
      </c>
      <c r="G102" s="116"/>
      <c r="H102" s="117"/>
      <c r="I102" s="116"/>
      <c r="J102" s="118"/>
      <c r="K102" s="116"/>
      <c r="L102" s="118"/>
      <c r="M102" s="51" t="str">
        <f aca="false">IF(B102="","",MONTH(B102))</f>
        <v/>
      </c>
      <c r="N102" s="51" t="str">
        <f aca="false">IF(B102="","",YEAR(B102))</f>
        <v/>
      </c>
      <c r="O102" s="51" t="str">
        <f aca="false">IF(B102="","",C102&amp;"|"&amp;M102&amp;"|"&amp;N102)</f>
        <v/>
      </c>
    </row>
    <row r="103" customFormat="false" ht="15" hidden="false" customHeight="false" outlineLevel="0" collapsed="false">
      <c r="A103" s="73" t="str">
        <f aca="false">IF(B103="","",ROW()-9)</f>
        <v/>
      </c>
      <c r="B103" s="115"/>
      <c r="C103" s="116"/>
      <c r="D103" s="74" t="str">
        <f aca="false">IF(C103="","",IFERROR(INDEX(PERSONNEL!$C$10:$C$69,MATCH(C103,PERSONNEL!$B$10:$B$69,0)),"Matricule inconnu"))</f>
        <v/>
      </c>
      <c r="E103" s="73" t="str">
        <f aca="false">IF(C103="","",IFERROR(INDEX(PERSONNEL!$I$10:$I$69,MATCH(C103,PERSONNEL!$B$10:$B$69,0)),""))</f>
        <v/>
      </c>
      <c r="F103" s="73" t="str">
        <f aca="false">IF(C103="","",IFERROR(INDEX(PERSONNEL!$D$10:$D$69,MATCH(C103,PERSONNEL!$B$10:$B$69,0)),""))</f>
        <v/>
      </c>
      <c r="G103" s="116"/>
      <c r="H103" s="117"/>
      <c r="I103" s="116"/>
      <c r="J103" s="118"/>
      <c r="K103" s="116"/>
      <c r="L103" s="118"/>
      <c r="M103" s="51" t="str">
        <f aca="false">IF(B103="","",MONTH(B103))</f>
        <v/>
      </c>
      <c r="N103" s="51" t="str">
        <f aca="false">IF(B103="","",YEAR(B103))</f>
        <v/>
      </c>
      <c r="O103" s="51" t="str">
        <f aca="false">IF(B103="","",C103&amp;"|"&amp;M103&amp;"|"&amp;N103)</f>
        <v/>
      </c>
    </row>
    <row r="104" customFormat="false" ht="15" hidden="false" customHeight="false" outlineLevel="0" collapsed="false">
      <c r="A104" s="73" t="str">
        <f aca="false">IF(B104="","",ROW()-9)</f>
        <v/>
      </c>
      <c r="B104" s="115"/>
      <c r="C104" s="116"/>
      <c r="D104" s="74" t="str">
        <f aca="false">IF(C104="","",IFERROR(INDEX(PERSONNEL!$C$10:$C$69,MATCH(C104,PERSONNEL!$B$10:$B$69,0)),"Matricule inconnu"))</f>
        <v/>
      </c>
      <c r="E104" s="73" t="str">
        <f aca="false">IF(C104="","",IFERROR(INDEX(PERSONNEL!$I$10:$I$69,MATCH(C104,PERSONNEL!$B$10:$B$69,0)),""))</f>
        <v/>
      </c>
      <c r="F104" s="73" t="str">
        <f aca="false">IF(C104="","",IFERROR(INDEX(PERSONNEL!$D$10:$D$69,MATCH(C104,PERSONNEL!$B$10:$B$69,0)),""))</f>
        <v/>
      </c>
      <c r="G104" s="116"/>
      <c r="H104" s="117"/>
      <c r="I104" s="116"/>
      <c r="J104" s="118"/>
      <c r="K104" s="116"/>
      <c r="L104" s="118"/>
      <c r="M104" s="51" t="str">
        <f aca="false">IF(B104="","",MONTH(B104))</f>
        <v/>
      </c>
      <c r="N104" s="51" t="str">
        <f aca="false">IF(B104="","",YEAR(B104))</f>
        <v/>
      </c>
      <c r="O104" s="51" t="str">
        <f aca="false">IF(B104="","",C104&amp;"|"&amp;M104&amp;"|"&amp;N104)</f>
        <v/>
      </c>
    </row>
    <row r="105" customFormat="false" ht="15" hidden="false" customHeight="false" outlineLevel="0" collapsed="false">
      <c r="A105" s="73" t="str">
        <f aca="false">IF(B105="","",ROW()-9)</f>
        <v/>
      </c>
      <c r="B105" s="115"/>
      <c r="C105" s="116"/>
      <c r="D105" s="74" t="str">
        <f aca="false">IF(C105="","",IFERROR(INDEX(PERSONNEL!$C$10:$C$69,MATCH(C105,PERSONNEL!$B$10:$B$69,0)),"Matricule inconnu"))</f>
        <v/>
      </c>
      <c r="E105" s="73" t="str">
        <f aca="false">IF(C105="","",IFERROR(INDEX(PERSONNEL!$I$10:$I$69,MATCH(C105,PERSONNEL!$B$10:$B$69,0)),""))</f>
        <v/>
      </c>
      <c r="F105" s="73" t="str">
        <f aca="false">IF(C105="","",IFERROR(INDEX(PERSONNEL!$D$10:$D$69,MATCH(C105,PERSONNEL!$B$10:$B$69,0)),""))</f>
        <v/>
      </c>
      <c r="G105" s="116"/>
      <c r="H105" s="117"/>
      <c r="I105" s="116"/>
      <c r="J105" s="118"/>
      <c r="K105" s="116"/>
      <c r="L105" s="118"/>
      <c r="M105" s="51" t="str">
        <f aca="false">IF(B105="","",MONTH(B105))</f>
        <v/>
      </c>
      <c r="N105" s="51" t="str">
        <f aca="false">IF(B105="","",YEAR(B105))</f>
        <v/>
      </c>
      <c r="O105" s="51" t="str">
        <f aca="false">IF(B105="","",C105&amp;"|"&amp;M105&amp;"|"&amp;N105)</f>
        <v/>
      </c>
    </row>
    <row r="106" customFormat="false" ht="15" hidden="false" customHeight="false" outlineLevel="0" collapsed="false">
      <c r="A106" s="73" t="str">
        <f aca="false">IF(B106="","",ROW()-9)</f>
        <v/>
      </c>
      <c r="B106" s="115"/>
      <c r="C106" s="116"/>
      <c r="D106" s="74" t="str">
        <f aca="false">IF(C106="","",IFERROR(INDEX(PERSONNEL!$C$10:$C$69,MATCH(C106,PERSONNEL!$B$10:$B$69,0)),"Matricule inconnu"))</f>
        <v/>
      </c>
      <c r="E106" s="73" t="str">
        <f aca="false">IF(C106="","",IFERROR(INDEX(PERSONNEL!$I$10:$I$69,MATCH(C106,PERSONNEL!$B$10:$B$69,0)),""))</f>
        <v/>
      </c>
      <c r="F106" s="73" t="str">
        <f aca="false">IF(C106="","",IFERROR(INDEX(PERSONNEL!$D$10:$D$69,MATCH(C106,PERSONNEL!$B$10:$B$69,0)),""))</f>
        <v/>
      </c>
      <c r="G106" s="116"/>
      <c r="H106" s="117"/>
      <c r="I106" s="116"/>
      <c r="J106" s="118"/>
      <c r="K106" s="116"/>
      <c r="L106" s="118"/>
      <c r="M106" s="51" t="str">
        <f aca="false">IF(B106="","",MONTH(B106))</f>
        <v/>
      </c>
      <c r="N106" s="51" t="str">
        <f aca="false">IF(B106="","",YEAR(B106))</f>
        <v/>
      </c>
      <c r="O106" s="51" t="str">
        <f aca="false">IF(B106="","",C106&amp;"|"&amp;M106&amp;"|"&amp;N106)</f>
        <v/>
      </c>
    </row>
    <row r="107" customFormat="false" ht="15" hidden="false" customHeight="false" outlineLevel="0" collapsed="false">
      <c r="A107" s="73" t="str">
        <f aca="false">IF(B107="","",ROW()-9)</f>
        <v/>
      </c>
      <c r="B107" s="115"/>
      <c r="C107" s="116"/>
      <c r="D107" s="74" t="str">
        <f aca="false">IF(C107="","",IFERROR(INDEX(PERSONNEL!$C$10:$C$69,MATCH(C107,PERSONNEL!$B$10:$B$69,0)),"Matricule inconnu"))</f>
        <v/>
      </c>
      <c r="E107" s="73" t="str">
        <f aca="false">IF(C107="","",IFERROR(INDEX(PERSONNEL!$I$10:$I$69,MATCH(C107,PERSONNEL!$B$10:$B$69,0)),""))</f>
        <v/>
      </c>
      <c r="F107" s="73" t="str">
        <f aca="false">IF(C107="","",IFERROR(INDEX(PERSONNEL!$D$10:$D$69,MATCH(C107,PERSONNEL!$B$10:$B$69,0)),""))</f>
        <v/>
      </c>
      <c r="G107" s="116"/>
      <c r="H107" s="117"/>
      <c r="I107" s="116"/>
      <c r="J107" s="118"/>
      <c r="K107" s="116"/>
      <c r="L107" s="118"/>
      <c r="M107" s="51" t="str">
        <f aca="false">IF(B107="","",MONTH(B107))</f>
        <v/>
      </c>
      <c r="N107" s="51" t="str">
        <f aca="false">IF(B107="","",YEAR(B107))</f>
        <v/>
      </c>
      <c r="O107" s="51" t="str">
        <f aca="false">IF(B107="","",C107&amp;"|"&amp;M107&amp;"|"&amp;N107)</f>
        <v/>
      </c>
    </row>
    <row r="108" customFormat="false" ht="15" hidden="false" customHeight="false" outlineLevel="0" collapsed="false">
      <c r="A108" s="73" t="str">
        <f aca="false">IF(B108="","",ROW()-9)</f>
        <v/>
      </c>
      <c r="B108" s="115"/>
      <c r="C108" s="116"/>
      <c r="D108" s="74" t="str">
        <f aca="false">IF(C108="","",IFERROR(INDEX(PERSONNEL!$C$10:$C$69,MATCH(C108,PERSONNEL!$B$10:$B$69,0)),"Matricule inconnu"))</f>
        <v/>
      </c>
      <c r="E108" s="73" t="str">
        <f aca="false">IF(C108="","",IFERROR(INDEX(PERSONNEL!$I$10:$I$69,MATCH(C108,PERSONNEL!$B$10:$B$69,0)),""))</f>
        <v/>
      </c>
      <c r="F108" s="73" t="str">
        <f aca="false">IF(C108="","",IFERROR(INDEX(PERSONNEL!$D$10:$D$69,MATCH(C108,PERSONNEL!$B$10:$B$69,0)),""))</f>
        <v/>
      </c>
      <c r="G108" s="116"/>
      <c r="H108" s="117"/>
      <c r="I108" s="116"/>
      <c r="J108" s="118"/>
      <c r="K108" s="116"/>
      <c r="L108" s="118"/>
      <c r="M108" s="51" t="str">
        <f aca="false">IF(B108="","",MONTH(B108))</f>
        <v/>
      </c>
      <c r="N108" s="51" t="str">
        <f aca="false">IF(B108="","",YEAR(B108))</f>
        <v/>
      </c>
      <c r="O108" s="51" t="str">
        <f aca="false">IF(B108="","",C108&amp;"|"&amp;M108&amp;"|"&amp;N108)</f>
        <v/>
      </c>
    </row>
    <row r="109" customFormat="false" ht="15" hidden="false" customHeight="false" outlineLevel="0" collapsed="false">
      <c r="A109" s="73" t="str">
        <f aca="false">IF(B109="","",ROW()-9)</f>
        <v/>
      </c>
      <c r="B109" s="115"/>
      <c r="C109" s="116"/>
      <c r="D109" s="74" t="str">
        <f aca="false">IF(C109="","",IFERROR(INDEX(PERSONNEL!$C$10:$C$69,MATCH(C109,PERSONNEL!$B$10:$B$69,0)),"Matricule inconnu"))</f>
        <v/>
      </c>
      <c r="E109" s="73" t="str">
        <f aca="false">IF(C109="","",IFERROR(INDEX(PERSONNEL!$I$10:$I$69,MATCH(C109,PERSONNEL!$B$10:$B$69,0)),""))</f>
        <v/>
      </c>
      <c r="F109" s="73" t="str">
        <f aca="false">IF(C109="","",IFERROR(INDEX(PERSONNEL!$D$10:$D$69,MATCH(C109,PERSONNEL!$B$10:$B$69,0)),""))</f>
        <v/>
      </c>
      <c r="G109" s="116"/>
      <c r="H109" s="117"/>
      <c r="I109" s="116"/>
      <c r="J109" s="118"/>
      <c r="K109" s="116"/>
      <c r="L109" s="118"/>
      <c r="M109" s="51" t="str">
        <f aca="false">IF(B109="","",MONTH(B109))</f>
        <v/>
      </c>
      <c r="N109" s="51" t="str">
        <f aca="false">IF(B109="","",YEAR(B109))</f>
        <v/>
      </c>
      <c r="O109" s="51" t="str">
        <f aca="false">IF(B109="","",C109&amp;"|"&amp;M109&amp;"|"&amp;N109)</f>
        <v/>
      </c>
    </row>
    <row r="110" customFormat="false" ht="15" hidden="false" customHeight="false" outlineLevel="0" collapsed="false">
      <c r="A110" s="73" t="str">
        <f aca="false">IF(B110="","",ROW()-9)</f>
        <v/>
      </c>
      <c r="B110" s="115"/>
      <c r="C110" s="116"/>
      <c r="D110" s="74" t="str">
        <f aca="false">IF(C110="","",IFERROR(INDEX(PERSONNEL!$C$10:$C$69,MATCH(C110,PERSONNEL!$B$10:$B$69,0)),"Matricule inconnu"))</f>
        <v/>
      </c>
      <c r="E110" s="73" t="str">
        <f aca="false">IF(C110="","",IFERROR(INDEX(PERSONNEL!$I$10:$I$69,MATCH(C110,PERSONNEL!$B$10:$B$69,0)),""))</f>
        <v/>
      </c>
      <c r="F110" s="73" t="str">
        <f aca="false">IF(C110="","",IFERROR(INDEX(PERSONNEL!$D$10:$D$69,MATCH(C110,PERSONNEL!$B$10:$B$69,0)),""))</f>
        <v/>
      </c>
      <c r="G110" s="116"/>
      <c r="H110" s="117"/>
      <c r="I110" s="116"/>
      <c r="J110" s="118"/>
      <c r="K110" s="116"/>
      <c r="L110" s="118"/>
      <c r="M110" s="51" t="str">
        <f aca="false">IF(B110="","",MONTH(B110))</f>
        <v/>
      </c>
      <c r="N110" s="51" t="str">
        <f aca="false">IF(B110="","",YEAR(B110))</f>
        <v/>
      </c>
      <c r="O110" s="51" t="str">
        <f aca="false">IF(B110="","",C110&amp;"|"&amp;M110&amp;"|"&amp;N110)</f>
        <v/>
      </c>
    </row>
    <row r="111" customFormat="false" ht="15" hidden="false" customHeight="false" outlineLevel="0" collapsed="false">
      <c r="A111" s="73" t="str">
        <f aca="false">IF(B111="","",ROW()-9)</f>
        <v/>
      </c>
      <c r="B111" s="115"/>
      <c r="C111" s="116"/>
      <c r="D111" s="74" t="str">
        <f aca="false">IF(C111="","",IFERROR(INDEX(PERSONNEL!$C$10:$C$69,MATCH(C111,PERSONNEL!$B$10:$B$69,0)),"Matricule inconnu"))</f>
        <v/>
      </c>
      <c r="E111" s="73" t="str">
        <f aca="false">IF(C111="","",IFERROR(INDEX(PERSONNEL!$I$10:$I$69,MATCH(C111,PERSONNEL!$B$10:$B$69,0)),""))</f>
        <v/>
      </c>
      <c r="F111" s="73" t="str">
        <f aca="false">IF(C111="","",IFERROR(INDEX(PERSONNEL!$D$10:$D$69,MATCH(C111,PERSONNEL!$B$10:$B$69,0)),""))</f>
        <v/>
      </c>
      <c r="G111" s="116"/>
      <c r="H111" s="117"/>
      <c r="I111" s="116"/>
      <c r="J111" s="118"/>
      <c r="K111" s="116"/>
      <c r="L111" s="118"/>
      <c r="M111" s="51" t="str">
        <f aca="false">IF(B111="","",MONTH(B111))</f>
        <v/>
      </c>
      <c r="N111" s="51" t="str">
        <f aca="false">IF(B111="","",YEAR(B111))</f>
        <v/>
      </c>
      <c r="O111" s="51" t="str">
        <f aca="false">IF(B111="","",C111&amp;"|"&amp;M111&amp;"|"&amp;N111)</f>
        <v/>
      </c>
    </row>
    <row r="112" customFormat="false" ht="15" hidden="false" customHeight="false" outlineLevel="0" collapsed="false">
      <c r="A112" s="73" t="str">
        <f aca="false">IF(B112="","",ROW()-9)</f>
        <v/>
      </c>
      <c r="B112" s="115"/>
      <c r="C112" s="116"/>
      <c r="D112" s="74" t="str">
        <f aca="false">IF(C112="","",IFERROR(INDEX(PERSONNEL!$C$10:$C$69,MATCH(C112,PERSONNEL!$B$10:$B$69,0)),"Matricule inconnu"))</f>
        <v/>
      </c>
      <c r="E112" s="73" t="str">
        <f aca="false">IF(C112="","",IFERROR(INDEX(PERSONNEL!$I$10:$I$69,MATCH(C112,PERSONNEL!$B$10:$B$69,0)),""))</f>
        <v/>
      </c>
      <c r="F112" s="73" t="str">
        <f aca="false">IF(C112="","",IFERROR(INDEX(PERSONNEL!$D$10:$D$69,MATCH(C112,PERSONNEL!$B$10:$B$69,0)),""))</f>
        <v/>
      </c>
      <c r="G112" s="116"/>
      <c r="H112" s="117"/>
      <c r="I112" s="116"/>
      <c r="J112" s="118"/>
      <c r="K112" s="116"/>
      <c r="L112" s="118"/>
      <c r="M112" s="51" t="str">
        <f aca="false">IF(B112="","",MONTH(B112))</f>
        <v/>
      </c>
      <c r="N112" s="51" t="str">
        <f aca="false">IF(B112="","",YEAR(B112))</f>
        <v/>
      </c>
      <c r="O112" s="51" t="str">
        <f aca="false">IF(B112="","",C112&amp;"|"&amp;M112&amp;"|"&amp;N112)</f>
        <v/>
      </c>
    </row>
    <row r="113" customFormat="false" ht="15" hidden="false" customHeight="false" outlineLevel="0" collapsed="false">
      <c r="A113" s="73" t="str">
        <f aca="false">IF(B113="","",ROW()-9)</f>
        <v/>
      </c>
      <c r="B113" s="115"/>
      <c r="C113" s="116"/>
      <c r="D113" s="74" t="str">
        <f aca="false">IF(C113="","",IFERROR(INDEX(PERSONNEL!$C$10:$C$69,MATCH(C113,PERSONNEL!$B$10:$B$69,0)),"Matricule inconnu"))</f>
        <v/>
      </c>
      <c r="E113" s="73" t="str">
        <f aca="false">IF(C113="","",IFERROR(INDEX(PERSONNEL!$I$10:$I$69,MATCH(C113,PERSONNEL!$B$10:$B$69,0)),""))</f>
        <v/>
      </c>
      <c r="F113" s="73" t="str">
        <f aca="false">IF(C113="","",IFERROR(INDEX(PERSONNEL!$D$10:$D$69,MATCH(C113,PERSONNEL!$B$10:$B$69,0)),""))</f>
        <v/>
      </c>
      <c r="G113" s="116"/>
      <c r="H113" s="117"/>
      <c r="I113" s="116"/>
      <c r="J113" s="118"/>
      <c r="K113" s="116"/>
      <c r="L113" s="118"/>
      <c r="M113" s="51" t="str">
        <f aca="false">IF(B113="","",MONTH(B113))</f>
        <v/>
      </c>
      <c r="N113" s="51" t="str">
        <f aca="false">IF(B113="","",YEAR(B113))</f>
        <v/>
      </c>
      <c r="O113" s="51" t="str">
        <f aca="false">IF(B113="","",C113&amp;"|"&amp;M113&amp;"|"&amp;N113)</f>
        <v/>
      </c>
    </row>
    <row r="114" customFormat="false" ht="15" hidden="false" customHeight="false" outlineLevel="0" collapsed="false">
      <c r="A114" s="73" t="str">
        <f aca="false">IF(B114="","",ROW()-9)</f>
        <v/>
      </c>
      <c r="B114" s="115"/>
      <c r="C114" s="116"/>
      <c r="D114" s="74" t="str">
        <f aca="false">IF(C114="","",IFERROR(INDEX(PERSONNEL!$C$10:$C$69,MATCH(C114,PERSONNEL!$B$10:$B$69,0)),"Matricule inconnu"))</f>
        <v/>
      </c>
      <c r="E114" s="73" t="str">
        <f aca="false">IF(C114="","",IFERROR(INDEX(PERSONNEL!$I$10:$I$69,MATCH(C114,PERSONNEL!$B$10:$B$69,0)),""))</f>
        <v/>
      </c>
      <c r="F114" s="73" t="str">
        <f aca="false">IF(C114="","",IFERROR(INDEX(PERSONNEL!$D$10:$D$69,MATCH(C114,PERSONNEL!$B$10:$B$69,0)),""))</f>
        <v/>
      </c>
      <c r="G114" s="116"/>
      <c r="H114" s="117"/>
      <c r="I114" s="116"/>
      <c r="J114" s="118"/>
      <c r="K114" s="116"/>
      <c r="L114" s="118"/>
      <c r="M114" s="51" t="str">
        <f aca="false">IF(B114="","",MONTH(B114))</f>
        <v/>
      </c>
      <c r="N114" s="51" t="str">
        <f aca="false">IF(B114="","",YEAR(B114))</f>
        <v/>
      </c>
      <c r="O114" s="51" t="str">
        <f aca="false">IF(B114="","",C114&amp;"|"&amp;M114&amp;"|"&amp;N114)</f>
        <v/>
      </c>
    </row>
    <row r="115" customFormat="false" ht="15" hidden="false" customHeight="false" outlineLevel="0" collapsed="false">
      <c r="A115" s="73" t="str">
        <f aca="false">IF(B115="","",ROW()-9)</f>
        <v/>
      </c>
      <c r="B115" s="115"/>
      <c r="C115" s="116"/>
      <c r="D115" s="74" t="str">
        <f aca="false">IF(C115="","",IFERROR(INDEX(PERSONNEL!$C$10:$C$69,MATCH(C115,PERSONNEL!$B$10:$B$69,0)),"Matricule inconnu"))</f>
        <v/>
      </c>
      <c r="E115" s="73" t="str">
        <f aca="false">IF(C115="","",IFERROR(INDEX(PERSONNEL!$I$10:$I$69,MATCH(C115,PERSONNEL!$B$10:$B$69,0)),""))</f>
        <v/>
      </c>
      <c r="F115" s="73" t="str">
        <f aca="false">IF(C115="","",IFERROR(INDEX(PERSONNEL!$D$10:$D$69,MATCH(C115,PERSONNEL!$B$10:$B$69,0)),""))</f>
        <v/>
      </c>
      <c r="G115" s="116"/>
      <c r="H115" s="117"/>
      <c r="I115" s="116"/>
      <c r="J115" s="118"/>
      <c r="K115" s="116"/>
      <c r="L115" s="118"/>
      <c r="M115" s="51" t="str">
        <f aca="false">IF(B115="","",MONTH(B115))</f>
        <v/>
      </c>
      <c r="N115" s="51" t="str">
        <f aca="false">IF(B115="","",YEAR(B115))</f>
        <v/>
      </c>
      <c r="O115" s="51" t="str">
        <f aca="false">IF(B115="","",C115&amp;"|"&amp;M115&amp;"|"&amp;N115)</f>
        <v/>
      </c>
    </row>
    <row r="116" customFormat="false" ht="15" hidden="false" customHeight="false" outlineLevel="0" collapsed="false">
      <c r="A116" s="73" t="str">
        <f aca="false">IF(B116="","",ROW()-9)</f>
        <v/>
      </c>
      <c r="B116" s="115"/>
      <c r="C116" s="116"/>
      <c r="D116" s="74" t="str">
        <f aca="false">IF(C116="","",IFERROR(INDEX(PERSONNEL!$C$10:$C$69,MATCH(C116,PERSONNEL!$B$10:$B$69,0)),"Matricule inconnu"))</f>
        <v/>
      </c>
      <c r="E116" s="73" t="str">
        <f aca="false">IF(C116="","",IFERROR(INDEX(PERSONNEL!$I$10:$I$69,MATCH(C116,PERSONNEL!$B$10:$B$69,0)),""))</f>
        <v/>
      </c>
      <c r="F116" s="73" t="str">
        <f aca="false">IF(C116="","",IFERROR(INDEX(PERSONNEL!$D$10:$D$69,MATCH(C116,PERSONNEL!$B$10:$B$69,0)),""))</f>
        <v/>
      </c>
      <c r="G116" s="116"/>
      <c r="H116" s="117"/>
      <c r="I116" s="116"/>
      <c r="J116" s="118"/>
      <c r="K116" s="116"/>
      <c r="L116" s="118"/>
      <c r="M116" s="51" t="str">
        <f aca="false">IF(B116="","",MONTH(B116))</f>
        <v/>
      </c>
      <c r="N116" s="51" t="str">
        <f aca="false">IF(B116="","",YEAR(B116))</f>
        <v/>
      </c>
      <c r="O116" s="51" t="str">
        <f aca="false">IF(B116="","",C116&amp;"|"&amp;M116&amp;"|"&amp;N116)</f>
        <v/>
      </c>
    </row>
    <row r="117" customFormat="false" ht="15" hidden="false" customHeight="false" outlineLevel="0" collapsed="false">
      <c r="A117" s="73" t="str">
        <f aca="false">IF(B117="","",ROW()-9)</f>
        <v/>
      </c>
      <c r="B117" s="115"/>
      <c r="C117" s="116"/>
      <c r="D117" s="74" t="str">
        <f aca="false">IF(C117="","",IFERROR(INDEX(PERSONNEL!$C$10:$C$69,MATCH(C117,PERSONNEL!$B$10:$B$69,0)),"Matricule inconnu"))</f>
        <v/>
      </c>
      <c r="E117" s="73" t="str">
        <f aca="false">IF(C117="","",IFERROR(INDEX(PERSONNEL!$I$10:$I$69,MATCH(C117,PERSONNEL!$B$10:$B$69,0)),""))</f>
        <v/>
      </c>
      <c r="F117" s="73" t="str">
        <f aca="false">IF(C117="","",IFERROR(INDEX(PERSONNEL!$D$10:$D$69,MATCH(C117,PERSONNEL!$B$10:$B$69,0)),""))</f>
        <v/>
      </c>
      <c r="G117" s="116"/>
      <c r="H117" s="117"/>
      <c r="I117" s="116"/>
      <c r="J117" s="118"/>
      <c r="K117" s="116"/>
      <c r="L117" s="118"/>
      <c r="M117" s="51" t="str">
        <f aca="false">IF(B117="","",MONTH(B117))</f>
        <v/>
      </c>
      <c r="N117" s="51" t="str">
        <f aca="false">IF(B117="","",YEAR(B117))</f>
        <v/>
      </c>
      <c r="O117" s="51" t="str">
        <f aca="false">IF(B117="","",C117&amp;"|"&amp;M117&amp;"|"&amp;N117)</f>
        <v/>
      </c>
    </row>
    <row r="118" customFormat="false" ht="15" hidden="false" customHeight="false" outlineLevel="0" collapsed="false">
      <c r="A118" s="73" t="str">
        <f aca="false">IF(B118="","",ROW()-9)</f>
        <v/>
      </c>
      <c r="B118" s="115"/>
      <c r="C118" s="116"/>
      <c r="D118" s="74" t="str">
        <f aca="false">IF(C118="","",IFERROR(INDEX(PERSONNEL!$C$10:$C$69,MATCH(C118,PERSONNEL!$B$10:$B$69,0)),"Matricule inconnu"))</f>
        <v/>
      </c>
      <c r="E118" s="73" t="str">
        <f aca="false">IF(C118="","",IFERROR(INDEX(PERSONNEL!$I$10:$I$69,MATCH(C118,PERSONNEL!$B$10:$B$69,0)),""))</f>
        <v/>
      </c>
      <c r="F118" s="73" t="str">
        <f aca="false">IF(C118="","",IFERROR(INDEX(PERSONNEL!$D$10:$D$69,MATCH(C118,PERSONNEL!$B$10:$B$69,0)),""))</f>
        <v/>
      </c>
      <c r="G118" s="116"/>
      <c r="H118" s="117"/>
      <c r="I118" s="116"/>
      <c r="J118" s="118"/>
      <c r="K118" s="116"/>
      <c r="L118" s="118"/>
      <c r="M118" s="51" t="str">
        <f aca="false">IF(B118="","",MONTH(B118))</f>
        <v/>
      </c>
      <c r="N118" s="51" t="str">
        <f aca="false">IF(B118="","",YEAR(B118))</f>
        <v/>
      </c>
      <c r="O118" s="51" t="str">
        <f aca="false">IF(B118="","",C118&amp;"|"&amp;M118&amp;"|"&amp;N118)</f>
        <v/>
      </c>
    </row>
    <row r="119" customFormat="false" ht="15" hidden="false" customHeight="false" outlineLevel="0" collapsed="false">
      <c r="A119" s="73" t="str">
        <f aca="false">IF(B119="","",ROW()-9)</f>
        <v/>
      </c>
      <c r="B119" s="115"/>
      <c r="C119" s="116"/>
      <c r="D119" s="74" t="str">
        <f aca="false">IF(C119="","",IFERROR(INDEX(PERSONNEL!$C$10:$C$69,MATCH(C119,PERSONNEL!$B$10:$B$69,0)),"Matricule inconnu"))</f>
        <v/>
      </c>
      <c r="E119" s="73" t="str">
        <f aca="false">IF(C119="","",IFERROR(INDEX(PERSONNEL!$I$10:$I$69,MATCH(C119,PERSONNEL!$B$10:$B$69,0)),""))</f>
        <v/>
      </c>
      <c r="F119" s="73" t="str">
        <f aca="false">IF(C119="","",IFERROR(INDEX(PERSONNEL!$D$10:$D$69,MATCH(C119,PERSONNEL!$B$10:$B$69,0)),""))</f>
        <v/>
      </c>
      <c r="G119" s="116"/>
      <c r="H119" s="117"/>
      <c r="I119" s="116"/>
      <c r="J119" s="118"/>
      <c r="K119" s="116"/>
      <c r="L119" s="118"/>
      <c r="M119" s="51" t="str">
        <f aca="false">IF(B119="","",MONTH(B119))</f>
        <v/>
      </c>
      <c r="N119" s="51" t="str">
        <f aca="false">IF(B119="","",YEAR(B119))</f>
        <v/>
      </c>
      <c r="O119" s="51" t="str">
        <f aca="false">IF(B119="","",C119&amp;"|"&amp;M119&amp;"|"&amp;N119)</f>
        <v/>
      </c>
    </row>
    <row r="120" customFormat="false" ht="15" hidden="false" customHeight="false" outlineLevel="0" collapsed="false">
      <c r="A120" s="73" t="str">
        <f aca="false">IF(B120="","",ROW()-9)</f>
        <v/>
      </c>
      <c r="B120" s="115"/>
      <c r="C120" s="116"/>
      <c r="D120" s="74" t="str">
        <f aca="false">IF(C120="","",IFERROR(INDEX(PERSONNEL!$C$10:$C$69,MATCH(C120,PERSONNEL!$B$10:$B$69,0)),"Matricule inconnu"))</f>
        <v/>
      </c>
      <c r="E120" s="73" t="str">
        <f aca="false">IF(C120="","",IFERROR(INDEX(PERSONNEL!$I$10:$I$69,MATCH(C120,PERSONNEL!$B$10:$B$69,0)),""))</f>
        <v/>
      </c>
      <c r="F120" s="73" t="str">
        <f aca="false">IF(C120="","",IFERROR(INDEX(PERSONNEL!$D$10:$D$69,MATCH(C120,PERSONNEL!$B$10:$B$69,0)),""))</f>
        <v/>
      </c>
      <c r="G120" s="116"/>
      <c r="H120" s="117"/>
      <c r="I120" s="116"/>
      <c r="J120" s="118"/>
      <c r="K120" s="116"/>
      <c r="L120" s="118"/>
      <c r="M120" s="51" t="str">
        <f aca="false">IF(B120="","",MONTH(B120))</f>
        <v/>
      </c>
      <c r="N120" s="51" t="str">
        <f aca="false">IF(B120="","",YEAR(B120))</f>
        <v/>
      </c>
      <c r="O120" s="51" t="str">
        <f aca="false">IF(B120="","",C120&amp;"|"&amp;M120&amp;"|"&amp;N120)</f>
        <v/>
      </c>
    </row>
    <row r="121" customFormat="false" ht="15" hidden="false" customHeight="false" outlineLevel="0" collapsed="false">
      <c r="A121" s="73" t="str">
        <f aca="false">IF(B121="","",ROW()-9)</f>
        <v/>
      </c>
      <c r="B121" s="115"/>
      <c r="C121" s="116"/>
      <c r="D121" s="74" t="str">
        <f aca="false">IF(C121="","",IFERROR(INDEX(PERSONNEL!$C$10:$C$69,MATCH(C121,PERSONNEL!$B$10:$B$69,0)),"Matricule inconnu"))</f>
        <v/>
      </c>
      <c r="E121" s="73" t="str">
        <f aca="false">IF(C121="","",IFERROR(INDEX(PERSONNEL!$I$10:$I$69,MATCH(C121,PERSONNEL!$B$10:$B$69,0)),""))</f>
        <v/>
      </c>
      <c r="F121" s="73" t="str">
        <f aca="false">IF(C121="","",IFERROR(INDEX(PERSONNEL!$D$10:$D$69,MATCH(C121,PERSONNEL!$B$10:$B$69,0)),""))</f>
        <v/>
      </c>
      <c r="G121" s="116"/>
      <c r="H121" s="117"/>
      <c r="I121" s="116"/>
      <c r="J121" s="118"/>
      <c r="K121" s="116"/>
      <c r="L121" s="118"/>
      <c r="M121" s="51" t="str">
        <f aca="false">IF(B121="","",MONTH(B121))</f>
        <v/>
      </c>
      <c r="N121" s="51" t="str">
        <f aca="false">IF(B121="","",YEAR(B121))</f>
        <v/>
      </c>
      <c r="O121" s="51" t="str">
        <f aca="false">IF(B121="","",C121&amp;"|"&amp;M121&amp;"|"&amp;N121)</f>
        <v/>
      </c>
    </row>
    <row r="122" customFormat="false" ht="15" hidden="false" customHeight="false" outlineLevel="0" collapsed="false">
      <c r="A122" s="73" t="str">
        <f aca="false">IF(B122="","",ROW()-9)</f>
        <v/>
      </c>
      <c r="B122" s="115"/>
      <c r="C122" s="116"/>
      <c r="D122" s="74" t="str">
        <f aca="false">IF(C122="","",IFERROR(INDEX(PERSONNEL!$C$10:$C$69,MATCH(C122,PERSONNEL!$B$10:$B$69,0)),"Matricule inconnu"))</f>
        <v/>
      </c>
      <c r="E122" s="73" t="str">
        <f aca="false">IF(C122="","",IFERROR(INDEX(PERSONNEL!$I$10:$I$69,MATCH(C122,PERSONNEL!$B$10:$B$69,0)),""))</f>
        <v/>
      </c>
      <c r="F122" s="73" t="str">
        <f aca="false">IF(C122="","",IFERROR(INDEX(PERSONNEL!$D$10:$D$69,MATCH(C122,PERSONNEL!$B$10:$B$69,0)),""))</f>
        <v/>
      </c>
      <c r="G122" s="116"/>
      <c r="H122" s="117"/>
      <c r="I122" s="116"/>
      <c r="J122" s="118"/>
      <c r="K122" s="116"/>
      <c r="L122" s="118"/>
      <c r="M122" s="51" t="str">
        <f aca="false">IF(B122="","",MONTH(B122))</f>
        <v/>
      </c>
      <c r="N122" s="51" t="str">
        <f aca="false">IF(B122="","",YEAR(B122))</f>
        <v/>
      </c>
      <c r="O122" s="51" t="str">
        <f aca="false">IF(B122="","",C122&amp;"|"&amp;M122&amp;"|"&amp;N122)</f>
        <v/>
      </c>
    </row>
    <row r="123" customFormat="false" ht="15" hidden="false" customHeight="false" outlineLevel="0" collapsed="false">
      <c r="A123" s="73" t="str">
        <f aca="false">IF(B123="","",ROW()-9)</f>
        <v/>
      </c>
      <c r="B123" s="115"/>
      <c r="C123" s="116"/>
      <c r="D123" s="74" t="str">
        <f aca="false">IF(C123="","",IFERROR(INDEX(PERSONNEL!$C$10:$C$69,MATCH(C123,PERSONNEL!$B$10:$B$69,0)),"Matricule inconnu"))</f>
        <v/>
      </c>
      <c r="E123" s="73" t="str">
        <f aca="false">IF(C123="","",IFERROR(INDEX(PERSONNEL!$I$10:$I$69,MATCH(C123,PERSONNEL!$B$10:$B$69,0)),""))</f>
        <v/>
      </c>
      <c r="F123" s="73" t="str">
        <f aca="false">IF(C123="","",IFERROR(INDEX(PERSONNEL!$D$10:$D$69,MATCH(C123,PERSONNEL!$B$10:$B$69,0)),""))</f>
        <v/>
      </c>
      <c r="G123" s="116"/>
      <c r="H123" s="117"/>
      <c r="I123" s="116"/>
      <c r="J123" s="118"/>
      <c r="K123" s="116"/>
      <c r="L123" s="118"/>
      <c r="M123" s="51" t="str">
        <f aca="false">IF(B123="","",MONTH(B123))</f>
        <v/>
      </c>
      <c r="N123" s="51" t="str">
        <f aca="false">IF(B123="","",YEAR(B123))</f>
        <v/>
      </c>
      <c r="O123" s="51" t="str">
        <f aca="false">IF(B123="","",C123&amp;"|"&amp;M123&amp;"|"&amp;N123)</f>
        <v/>
      </c>
    </row>
    <row r="124" customFormat="false" ht="15" hidden="false" customHeight="false" outlineLevel="0" collapsed="false">
      <c r="A124" s="73" t="str">
        <f aca="false">IF(B124="","",ROW()-9)</f>
        <v/>
      </c>
      <c r="B124" s="115"/>
      <c r="C124" s="116"/>
      <c r="D124" s="74" t="str">
        <f aca="false">IF(C124="","",IFERROR(INDEX(PERSONNEL!$C$10:$C$69,MATCH(C124,PERSONNEL!$B$10:$B$69,0)),"Matricule inconnu"))</f>
        <v/>
      </c>
      <c r="E124" s="73" t="str">
        <f aca="false">IF(C124="","",IFERROR(INDEX(PERSONNEL!$I$10:$I$69,MATCH(C124,PERSONNEL!$B$10:$B$69,0)),""))</f>
        <v/>
      </c>
      <c r="F124" s="73" t="str">
        <f aca="false">IF(C124="","",IFERROR(INDEX(PERSONNEL!$D$10:$D$69,MATCH(C124,PERSONNEL!$B$10:$B$69,0)),""))</f>
        <v/>
      </c>
      <c r="G124" s="116"/>
      <c r="H124" s="117"/>
      <c r="I124" s="116"/>
      <c r="J124" s="118"/>
      <c r="K124" s="116"/>
      <c r="L124" s="118"/>
      <c r="M124" s="51" t="str">
        <f aca="false">IF(B124="","",MONTH(B124))</f>
        <v/>
      </c>
      <c r="N124" s="51" t="str">
        <f aca="false">IF(B124="","",YEAR(B124))</f>
        <v/>
      </c>
      <c r="O124" s="51" t="str">
        <f aca="false">IF(B124="","",C124&amp;"|"&amp;M124&amp;"|"&amp;N124)</f>
        <v/>
      </c>
    </row>
    <row r="125" customFormat="false" ht="15" hidden="false" customHeight="false" outlineLevel="0" collapsed="false">
      <c r="A125" s="73" t="str">
        <f aca="false">IF(B125="","",ROW()-9)</f>
        <v/>
      </c>
      <c r="B125" s="115"/>
      <c r="C125" s="116"/>
      <c r="D125" s="74" t="str">
        <f aca="false">IF(C125="","",IFERROR(INDEX(PERSONNEL!$C$10:$C$69,MATCH(C125,PERSONNEL!$B$10:$B$69,0)),"Matricule inconnu"))</f>
        <v/>
      </c>
      <c r="E125" s="73" t="str">
        <f aca="false">IF(C125="","",IFERROR(INDEX(PERSONNEL!$I$10:$I$69,MATCH(C125,PERSONNEL!$B$10:$B$69,0)),""))</f>
        <v/>
      </c>
      <c r="F125" s="73" t="str">
        <f aca="false">IF(C125="","",IFERROR(INDEX(PERSONNEL!$D$10:$D$69,MATCH(C125,PERSONNEL!$B$10:$B$69,0)),""))</f>
        <v/>
      </c>
      <c r="G125" s="116"/>
      <c r="H125" s="117"/>
      <c r="I125" s="116"/>
      <c r="J125" s="118"/>
      <c r="K125" s="116"/>
      <c r="L125" s="118"/>
      <c r="M125" s="51" t="str">
        <f aca="false">IF(B125="","",MONTH(B125))</f>
        <v/>
      </c>
      <c r="N125" s="51" t="str">
        <f aca="false">IF(B125="","",YEAR(B125))</f>
        <v/>
      </c>
      <c r="O125" s="51" t="str">
        <f aca="false">IF(B125="","",C125&amp;"|"&amp;M125&amp;"|"&amp;N125)</f>
        <v/>
      </c>
    </row>
    <row r="126" customFormat="false" ht="15" hidden="false" customHeight="false" outlineLevel="0" collapsed="false">
      <c r="A126" s="73" t="str">
        <f aca="false">IF(B126="","",ROW()-9)</f>
        <v/>
      </c>
      <c r="B126" s="115"/>
      <c r="C126" s="116"/>
      <c r="D126" s="74" t="str">
        <f aca="false">IF(C126="","",IFERROR(INDEX(PERSONNEL!$C$10:$C$69,MATCH(C126,PERSONNEL!$B$10:$B$69,0)),"Matricule inconnu"))</f>
        <v/>
      </c>
      <c r="E126" s="73" t="str">
        <f aca="false">IF(C126="","",IFERROR(INDEX(PERSONNEL!$I$10:$I$69,MATCH(C126,PERSONNEL!$B$10:$B$69,0)),""))</f>
        <v/>
      </c>
      <c r="F126" s="73" t="str">
        <f aca="false">IF(C126="","",IFERROR(INDEX(PERSONNEL!$D$10:$D$69,MATCH(C126,PERSONNEL!$B$10:$B$69,0)),""))</f>
        <v/>
      </c>
      <c r="G126" s="116"/>
      <c r="H126" s="117"/>
      <c r="I126" s="116"/>
      <c r="J126" s="118"/>
      <c r="K126" s="116"/>
      <c r="L126" s="118"/>
      <c r="M126" s="51" t="str">
        <f aca="false">IF(B126="","",MONTH(B126))</f>
        <v/>
      </c>
      <c r="N126" s="51" t="str">
        <f aca="false">IF(B126="","",YEAR(B126))</f>
        <v/>
      </c>
      <c r="O126" s="51" t="str">
        <f aca="false">IF(B126="","",C126&amp;"|"&amp;M126&amp;"|"&amp;N126)</f>
        <v/>
      </c>
    </row>
    <row r="127" customFormat="false" ht="15" hidden="false" customHeight="false" outlineLevel="0" collapsed="false">
      <c r="A127" s="73" t="str">
        <f aca="false">IF(B127="","",ROW()-9)</f>
        <v/>
      </c>
      <c r="B127" s="115"/>
      <c r="C127" s="116"/>
      <c r="D127" s="74" t="str">
        <f aca="false">IF(C127="","",IFERROR(INDEX(PERSONNEL!$C$10:$C$69,MATCH(C127,PERSONNEL!$B$10:$B$69,0)),"Matricule inconnu"))</f>
        <v/>
      </c>
      <c r="E127" s="73" t="str">
        <f aca="false">IF(C127="","",IFERROR(INDEX(PERSONNEL!$I$10:$I$69,MATCH(C127,PERSONNEL!$B$10:$B$69,0)),""))</f>
        <v/>
      </c>
      <c r="F127" s="73" t="str">
        <f aca="false">IF(C127="","",IFERROR(INDEX(PERSONNEL!$D$10:$D$69,MATCH(C127,PERSONNEL!$B$10:$B$69,0)),""))</f>
        <v/>
      </c>
      <c r="G127" s="116"/>
      <c r="H127" s="117"/>
      <c r="I127" s="116"/>
      <c r="J127" s="118"/>
      <c r="K127" s="116"/>
      <c r="L127" s="118"/>
      <c r="M127" s="51" t="str">
        <f aca="false">IF(B127="","",MONTH(B127))</f>
        <v/>
      </c>
      <c r="N127" s="51" t="str">
        <f aca="false">IF(B127="","",YEAR(B127))</f>
        <v/>
      </c>
      <c r="O127" s="51" t="str">
        <f aca="false">IF(B127="","",C127&amp;"|"&amp;M127&amp;"|"&amp;N127)</f>
        <v/>
      </c>
    </row>
    <row r="128" customFormat="false" ht="15" hidden="false" customHeight="false" outlineLevel="0" collapsed="false">
      <c r="A128" s="73" t="str">
        <f aca="false">IF(B128="","",ROW()-9)</f>
        <v/>
      </c>
      <c r="B128" s="115"/>
      <c r="C128" s="116"/>
      <c r="D128" s="74" t="str">
        <f aca="false">IF(C128="","",IFERROR(INDEX(PERSONNEL!$C$10:$C$69,MATCH(C128,PERSONNEL!$B$10:$B$69,0)),"Matricule inconnu"))</f>
        <v/>
      </c>
      <c r="E128" s="73" t="str">
        <f aca="false">IF(C128="","",IFERROR(INDEX(PERSONNEL!$I$10:$I$69,MATCH(C128,PERSONNEL!$B$10:$B$69,0)),""))</f>
        <v/>
      </c>
      <c r="F128" s="73" t="str">
        <f aca="false">IF(C128="","",IFERROR(INDEX(PERSONNEL!$D$10:$D$69,MATCH(C128,PERSONNEL!$B$10:$B$69,0)),""))</f>
        <v/>
      </c>
      <c r="G128" s="116"/>
      <c r="H128" s="117"/>
      <c r="I128" s="116"/>
      <c r="J128" s="118"/>
      <c r="K128" s="116"/>
      <c r="L128" s="118"/>
      <c r="M128" s="51" t="str">
        <f aca="false">IF(B128="","",MONTH(B128))</f>
        <v/>
      </c>
      <c r="N128" s="51" t="str">
        <f aca="false">IF(B128="","",YEAR(B128))</f>
        <v/>
      </c>
      <c r="O128" s="51" t="str">
        <f aca="false">IF(B128="","",C128&amp;"|"&amp;M128&amp;"|"&amp;N128)</f>
        <v/>
      </c>
    </row>
    <row r="129" customFormat="false" ht="15" hidden="false" customHeight="false" outlineLevel="0" collapsed="false">
      <c r="A129" s="73" t="str">
        <f aca="false">IF(B129="","",ROW()-9)</f>
        <v/>
      </c>
      <c r="B129" s="115"/>
      <c r="C129" s="116"/>
      <c r="D129" s="74" t="str">
        <f aca="false">IF(C129="","",IFERROR(INDEX(PERSONNEL!$C$10:$C$69,MATCH(C129,PERSONNEL!$B$10:$B$69,0)),"Matricule inconnu"))</f>
        <v/>
      </c>
      <c r="E129" s="73" t="str">
        <f aca="false">IF(C129="","",IFERROR(INDEX(PERSONNEL!$I$10:$I$69,MATCH(C129,PERSONNEL!$B$10:$B$69,0)),""))</f>
        <v/>
      </c>
      <c r="F129" s="73" t="str">
        <f aca="false">IF(C129="","",IFERROR(INDEX(PERSONNEL!$D$10:$D$69,MATCH(C129,PERSONNEL!$B$10:$B$69,0)),""))</f>
        <v/>
      </c>
      <c r="G129" s="116"/>
      <c r="H129" s="117"/>
      <c r="I129" s="116"/>
      <c r="J129" s="118"/>
      <c r="K129" s="116"/>
      <c r="L129" s="118"/>
      <c r="M129" s="51" t="str">
        <f aca="false">IF(B129="","",MONTH(B129))</f>
        <v/>
      </c>
      <c r="N129" s="51" t="str">
        <f aca="false">IF(B129="","",YEAR(B129))</f>
        <v/>
      </c>
      <c r="O129" s="51" t="str">
        <f aca="false">IF(B129="","",C129&amp;"|"&amp;M129&amp;"|"&amp;N129)</f>
        <v/>
      </c>
    </row>
    <row r="130" customFormat="false" ht="15" hidden="false" customHeight="false" outlineLevel="0" collapsed="false">
      <c r="A130" s="73" t="str">
        <f aca="false">IF(B130="","",ROW()-9)</f>
        <v/>
      </c>
      <c r="B130" s="115"/>
      <c r="C130" s="116"/>
      <c r="D130" s="74" t="str">
        <f aca="false">IF(C130="","",IFERROR(INDEX(PERSONNEL!$C$10:$C$69,MATCH(C130,PERSONNEL!$B$10:$B$69,0)),"Matricule inconnu"))</f>
        <v/>
      </c>
      <c r="E130" s="73" t="str">
        <f aca="false">IF(C130="","",IFERROR(INDEX(PERSONNEL!$I$10:$I$69,MATCH(C130,PERSONNEL!$B$10:$B$69,0)),""))</f>
        <v/>
      </c>
      <c r="F130" s="73" t="str">
        <f aca="false">IF(C130="","",IFERROR(INDEX(PERSONNEL!$D$10:$D$69,MATCH(C130,PERSONNEL!$B$10:$B$69,0)),""))</f>
        <v/>
      </c>
      <c r="G130" s="116"/>
      <c r="H130" s="117"/>
      <c r="I130" s="116"/>
      <c r="J130" s="118"/>
      <c r="K130" s="116"/>
      <c r="L130" s="118"/>
      <c r="M130" s="51" t="str">
        <f aca="false">IF(B130="","",MONTH(B130))</f>
        <v/>
      </c>
      <c r="N130" s="51" t="str">
        <f aca="false">IF(B130="","",YEAR(B130))</f>
        <v/>
      </c>
      <c r="O130" s="51" t="str">
        <f aca="false">IF(B130="","",C130&amp;"|"&amp;M130&amp;"|"&amp;N130)</f>
        <v/>
      </c>
    </row>
    <row r="131" customFormat="false" ht="15" hidden="false" customHeight="false" outlineLevel="0" collapsed="false">
      <c r="A131" s="73" t="str">
        <f aca="false">IF(B131="","",ROW()-9)</f>
        <v/>
      </c>
      <c r="B131" s="115"/>
      <c r="C131" s="116"/>
      <c r="D131" s="74" t="str">
        <f aca="false">IF(C131="","",IFERROR(INDEX(PERSONNEL!$C$10:$C$69,MATCH(C131,PERSONNEL!$B$10:$B$69,0)),"Matricule inconnu"))</f>
        <v/>
      </c>
      <c r="E131" s="73" t="str">
        <f aca="false">IF(C131="","",IFERROR(INDEX(PERSONNEL!$I$10:$I$69,MATCH(C131,PERSONNEL!$B$10:$B$69,0)),""))</f>
        <v/>
      </c>
      <c r="F131" s="73" t="str">
        <f aca="false">IF(C131="","",IFERROR(INDEX(PERSONNEL!$D$10:$D$69,MATCH(C131,PERSONNEL!$B$10:$B$69,0)),""))</f>
        <v/>
      </c>
      <c r="G131" s="116"/>
      <c r="H131" s="117"/>
      <c r="I131" s="116"/>
      <c r="J131" s="118"/>
      <c r="K131" s="116"/>
      <c r="L131" s="118"/>
      <c r="M131" s="51" t="str">
        <f aca="false">IF(B131="","",MONTH(B131))</f>
        <v/>
      </c>
      <c r="N131" s="51" t="str">
        <f aca="false">IF(B131="","",YEAR(B131))</f>
        <v/>
      </c>
      <c r="O131" s="51" t="str">
        <f aca="false">IF(B131="","",C131&amp;"|"&amp;M131&amp;"|"&amp;N131)</f>
        <v/>
      </c>
    </row>
    <row r="132" customFormat="false" ht="15" hidden="false" customHeight="false" outlineLevel="0" collapsed="false">
      <c r="A132" s="73" t="str">
        <f aca="false">IF(B132="","",ROW()-9)</f>
        <v/>
      </c>
      <c r="B132" s="115"/>
      <c r="C132" s="116"/>
      <c r="D132" s="74" t="str">
        <f aca="false">IF(C132="","",IFERROR(INDEX(PERSONNEL!$C$10:$C$69,MATCH(C132,PERSONNEL!$B$10:$B$69,0)),"Matricule inconnu"))</f>
        <v/>
      </c>
      <c r="E132" s="73" t="str">
        <f aca="false">IF(C132="","",IFERROR(INDEX(PERSONNEL!$I$10:$I$69,MATCH(C132,PERSONNEL!$B$10:$B$69,0)),""))</f>
        <v/>
      </c>
      <c r="F132" s="73" t="str">
        <f aca="false">IF(C132="","",IFERROR(INDEX(PERSONNEL!$D$10:$D$69,MATCH(C132,PERSONNEL!$B$10:$B$69,0)),""))</f>
        <v/>
      </c>
      <c r="G132" s="116"/>
      <c r="H132" s="117"/>
      <c r="I132" s="116"/>
      <c r="J132" s="118"/>
      <c r="K132" s="116"/>
      <c r="L132" s="118"/>
      <c r="M132" s="51" t="str">
        <f aca="false">IF(B132="","",MONTH(B132))</f>
        <v/>
      </c>
      <c r="N132" s="51" t="str">
        <f aca="false">IF(B132="","",YEAR(B132))</f>
        <v/>
      </c>
      <c r="O132" s="51" t="str">
        <f aca="false">IF(B132="","",C132&amp;"|"&amp;M132&amp;"|"&amp;N132)</f>
        <v/>
      </c>
    </row>
    <row r="133" customFormat="false" ht="15" hidden="false" customHeight="false" outlineLevel="0" collapsed="false">
      <c r="A133" s="73" t="str">
        <f aca="false">IF(B133="","",ROW()-9)</f>
        <v/>
      </c>
      <c r="B133" s="115"/>
      <c r="C133" s="116"/>
      <c r="D133" s="74" t="str">
        <f aca="false">IF(C133="","",IFERROR(INDEX(PERSONNEL!$C$10:$C$69,MATCH(C133,PERSONNEL!$B$10:$B$69,0)),"Matricule inconnu"))</f>
        <v/>
      </c>
      <c r="E133" s="73" t="str">
        <f aca="false">IF(C133="","",IFERROR(INDEX(PERSONNEL!$I$10:$I$69,MATCH(C133,PERSONNEL!$B$10:$B$69,0)),""))</f>
        <v/>
      </c>
      <c r="F133" s="73" t="str">
        <f aca="false">IF(C133="","",IFERROR(INDEX(PERSONNEL!$D$10:$D$69,MATCH(C133,PERSONNEL!$B$10:$B$69,0)),""))</f>
        <v/>
      </c>
      <c r="G133" s="116"/>
      <c r="H133" s="117"/>
      <c r="I133" s="116"/>
      <c r="J133" s="118"/>
      <c r="K133" s="116"/>
      <c r="L133" s="118"/>
      <c r="M133" s="51" t="str">
        <f aca="false">IF(B133="","",MONTH(B133))</f>
        <v/>
      </c>
      <c r="N133" s="51" t="str">
        <f aca="false">IF(B133="","",YEAR(B133))</f>
        <v/>
      </c>
      <c r="O133" s="51" t="str">
        <f aca="false">IF(B133="","",C133&amp;"|"&amp;M133&amp;"|"&amp;N133)</f>
        <v/>
      </c>
    </row>
    <row r="134" customFormat="false" ht="15" hidden="false" customHeight="false" outlineLevel="0" collapsed="false">
      <c r="A134" s="73" t="str">
        <f aca="false">IF(B134="","",ROW()-9)</f>
        <v/>
      </c>
      <c r="B134" s="115"/>
      <c r="C134" s="116"/>
      <c r="D134" s="74" t="str">
        <f aca="false">IF(C134="","",IFERROR(INDEX(PERSONNEL!$C$10:$C$69,MATCH(C134,PERSONNEL!$B$10:$B$69,0)),"Matricule inconnu"))</f>
        <v/>
      </c>
      <c r="E134" s="73" t="str">
        <f aca="false">IF(C134="","",IFERROR(INDEX(PERSONNEL!$I$10:$I$69,MATCH(C134,PERSONNEL!$B$10:$B$69,0)),""))</f>
        <v/>
      </c>
      <c r="F134" s="73" t="str">
        <f aca="false">IF(C134="","",IFERROR(INDEX(PERSONNEL!$D$10:$D$69,MATCH(C134,PERSONNEL!$B$10:$B$69,0)),""))</f>
        <v/>
      </c>
      <c r="G134" s="116"/>
      <c r="H134" s="117"/>
      <c r="I134" s="116"/>
      <c r="J134" s="118"/>
      <c r="K134" s="116"/>
      <c r="L134" s="118"/>
      <c r="M134" s="51" t="str">
        <f aca="false">IF(B134="","",MONTH(B134))</f>
        <v/>
      </c>
      <c r="N134" s="51" t="str">
        <f aca="false">IF(B134="","",YEAR(B134))</f>
        <v/>
      </c>
      <c r="O134" s="51" t="str">
        <f aca="false">IF(B134="","",C134&amp;"|"&amp;M134&amp;"|"&amp;N134)</f>
        <v/>
      </c>
    </row>
    <row r="135" customFormat="false" ht="15" hidden="false" customHeight="false" outlineLevel="0" collapsed="false">
      <c r="A135" s="73" t="str">
        <f aca="false">IF(B135="","",ROW()-9)</f>
        <v/>
      </c>
      <c r="B135" s="115"/>
      <c r="C135" s="116"/>
      <c r="D135" s="74" t="str">
        <f aca="false">IF(C135="","",IFERROR(INDEX(PERSONNEL!$C$10:$C$69,MATCH(C135,PERSONNEL!$B$10:$B$69,0)),"Matricule inconnu"))</f>
        <v/>
      </c>
      <c r="E135" s="73" t="str">
        <f aca="false">IF(C135="","",IFERROR(INDEX(PERSONNEL!$I$10:$I$69,MATCH(C135,PERSONNEL!$B$10:$B$69,0)),""))</f>
        <v/>
      </c>
      <c r="F135" s="73" t="str">
        <f aca="false">IF(C135="","",IFERROR(INDEX(PERSONNEL!$D$10:$D$69,MATCH(C135,PERSONNEL!$B$10:$B$69,0)),""))</f>
        <v/>
      </c>
      <c r="G135" s="116"/>
      <c r="H135" s="117"/>
      <c r="I135" s="116"/>
      <c r="J135" s="118"/>
      <c r="K135" s="116"/>
      <c r="L135" s="118"/>
      <c r="M135" s="51" t="str">
        <f aca="false">IF(B135="","",MONTH(B135))</f>
        <v/>
      </c>
      <c r="N135" s="51" t="str">
        <f aca="false">IF(B135="","",YEAR(B135))</f>
        <v/>
      </c>
      <c r="O135" s="51" t="str">
        <f aca="false">IF(B135="","",C135&amp;"|"&amp;M135&amp;"|"&amp;N135)</f>
        <v/>
      </c>
    </row>
    <row r="136" customFormat="false" ht="15" hidden="false" customHeight="false" outlineLevel="0" collapsed="false">
      <c r="A136" s="73" t="str">
        <f aca="false">IF(B136="","",ROW()-9)</f>
        <v/>
      </c>
      <c r="B136" s="115"/>
      <c r="C136" s="116"/>
      <c r="D136" s="74" t="str">
        <f aca="false">IF(C136="","",IFERROR(INDEX(PERSONNEL!$C$10:$C$69,MATCH(C136,PERSONNEL!$B$10:$B$69,0)),"Matricule inconnu"))</f>
        <v/>
      </c>
      <c r="E136" s="73" t="str">
        <f aca="false">IF(C136="","",IFERROR(INDEX(PERSONNEL!$I$10:$I$69,MATCH(C136,PERSONNEL!$B$10:$B$69,0)),""))</f>
        <v/>
      </c>
      <c r="F136" s="73" t="str">
        <f aca="false">IF(C136="","",IFERROR(INDEX(PERSONNEL!$D$10:$D$69,MATCH(C136,PERSONNEL!$B$10:$B$69,0)),""))</f>
        <v/>
      </c>
      <c r="G136" s="116"/>
      <c r="H136" s="117"/>
      <c r="I136" s="116"/>
      <c r="J136" s="118"/>
      <c r="K136" s="116"/>
      <c r="L136" s="118"/>
      <c r="M136" s="51" t="str">
        <f aca="false">IF(B136="","",MONTH(B136))</f>
        <v/>
      </c>
      <c r="N136" s="51" t="str">
        <f aca="false">IF(B136="","",YEAR(B136))</f>
        <v/>
      </c>
      <c r="O136" s="51" t="str">
        <f aca="false">IF(B136="","",C136&amp;"|"&amp;M136&amp;"|"&amp;N136)</f>
        <v/>
      </c>
    </row>
    <row r="137" customFormat="false" ht="15" hidden="false" customHeight="false" outlineLevel="0" collapsed="false">
      <c r="A137" s="73" t="str">
        <f aca="false">IF(B137="","",ROW()-9)</f>
        <v/>
      </c>
      <c r="B137" s="115"/>
      <c r="C137" s="116"/>
      <c r="D137" s="74" t="str">
        <f aca="false">IF(C137="","",IFERROR(INDEX(PERSONNEL!$C$10:$C$69,MATCH(C137,PERSONNEL!$B$10:$B$69,0)),"Matricule inconnu"))</f>
        <v/>
      </c>
      <c r="E137" s="73" t="str">
        <f aca="false">IF(C137="","",IFERROR(INDEX(PERSONNEL!$I$10:$I$69,MATCH(C137,PERSONNEL!$B$10:$B$69,0)),""))</f>
        <v/>
      </c>
      <c r="F137" s="73" t="str">
        <f aca="false">IF(C137="","",IFERROR(INDEX(PERSONNEL!$D$10:$D$69,MATCH(C137,PERSONNEL!$B$10:$B$69,0)),""))</f>
        <v/>
      </c>
      <c r="G137" s="116"/>
      <c r="H137" s="117"/>
      <c r="I137" s="116"/>
      <c r="J137" s="118"/>
      <c r="K137" s="116"/>
      <c r="L137" s="118"/>
      <c r="M137" s="51" t="str">
        <f aca="false">IF(B137="","",MONTH(B137))</f>
        <v/>
      </c>
      <c r="N137" s="51" t="str">
        <f aca="false">IF(B137="","",YEAR(B137))</f>
        <v/>
      </c>
      <c r="O137" s="51" t="str">
        <f aca="false">IF(B137="","",C137&amp;"|"&amp;M137&amp;"|"&amp;N137)</f>
        <v/>
      </c>
    </row>
    <row r="138" customFormat="false" ht="15" hidden="false" customHeight="false" outlineLevel="0" collapsed="false">
      <c r="A138" s="73" t="str">
        <f aca="false">IF(B138="","",ROW()-9)</f>
        <v/>
      </c>
      <c r="B138" s="115"/>
      <c r="C138" s="116"/>
      <c r="D138" s="74" t="str">
        <f aca="false">IF(C138="","",IFERROR(INDEX(PERSONNEL!$C$10:$C$69,MATCH(C138,PERSONNEL!$B$10:$B$69,0)),"Matricule inconnu"))</f>
        <v/>
      </c>
      <c r="E138" s="73" t="str">
        <f aca="false">IF(C138="","",IFERROR(INDEX(PERSONNEL!$I$10:$I$69,MATCH(C138,PERSONNEL!$B$10:$B$69,0)),""))</f>
        <v/>
      </c>
      <c r="F138" s="73" t="str">
        <f aca="false">IF(C138="","",IFERROR(INDEX(PERSONNEL!$D$10:$D$69,MATCH(C138,PERSONNEL!$B$10:$B$69,0)),""))</f>
        <v/>
      </c>
      <c r="G138" s="116"/>
      <c r="H138" s="117"/>
      <c r="I138" s="116"/>
      <c r="J138" s="118"/>
      <c r="K138" s="116"/>
      <c r="L138" s="118"/>
      <c r="M138" s="51" t="str">
        <f aca="false">IF(B138="","",MONTH(B138))</f>
        <v/>
      </c>
      <c r="N138" s="51" t="str">
        <f aca="false">IF(B138="","",YEAR(B138))</f>
        <v/>
      </c>
      <c r="O138" s="51" t="str">
        <f aca="false">IF(B138="","",C138&amp;"|"&amp;M138&amp;"|"&amp;N138)</f>
        <v/>
      </c>
    </row>
    <row r="139" customFormat="false" ht="15" hidden="false" customHeight="false" outlineLevel="0" collapsed="false">
      <c r="A139" s="73" t="str">
        <f aca="false">IF(B139="","",ROW()-9)</f>
        <v/>
      </c>
      <c r="B139" s="115"/>
      <c r="C139" s="116"/>
      <c r="D139" s="74" t="str">
        <f aca="false">IF(C139="","",IFERROR(INDEX(PERSONNEL!$C$10:$C$69,MATCH(C139,PERSONNEL!$B$10:$B$69,0)),"Matricule inconnu"))</f>
        <v/>
      </c>
      <c r="E139" s="73" t="str">
        <f aca="false">IF(C139="","",IFERROR(INDEX(PERSONNEL!$I$10:$I$69,MATCH(C139,PERSONNEL!$B$10:$B$69,0)),""))</f>
        <v/>
      </c>
      <c r="F139" s="73" t="str">
        <f aca="false">IF(C139="","",IFERROR(INDEX(PERSONNEL!$D$10:$D$69,MATCH(C139,PERSONNEL!$B$10:$B$69,0)),""))</f>
        <v/>
      </c>
      <c r="G139" s="116"/>
      <c r="H139" s="117"/>
      <c r="I139" s="116"/>
      <c r="J139" s="118"/>
      <c r="K139" s="116"/>
      <c r="L139" s="118"/>
      <c r="M139" s="51" t="str">
        <f aca="false">IF(B139="","",MONTH(B139))</f>
        <v/>
      </c>
      <c r="N139" s="51" t="str">
        <f aca="false">IF(B139="","",YEAR(B139))</f>
        <v/>
      </c>
      <c r="O139" s="51" t="str">
        <f aca="false">IF(B139="","",C139&amp;"|"&amp;M139&amp;"|"&amp;N139)</f>
        <v/>
      </c>
    </row>
    <row r="140" customFormat="false" ht="15" hidden="false" customHeight="false" outlineLevel="0" collapsed="false">
      <c r="A140" s="73" t="str">
        <f aca="false">IF(B140="","",ROW()-9)</f>
        <v/>
      </c>
      <c r="B140" s="115"/>
      <c r="C140" s="116"/>
      <c r="D140" s="74" t="str">
        <f aca="false">IF(C140="","",IFERROR(INDEX(PERSONNEL!$C$10:$C$69,MATCH(C140,PERSONNEL!$B$10:$B$69,0)),"Matricule inconnu"))</f>
        <v/>
      </c>
      <c r="E140" s="73" t="str">
        <f aca="false">IF(C140="","",IFERROR(INDEX(PERSONNEL!$I$10:$I$69,MATCH(C140,PERSONNEL!$B$10:$B$69,0)),""))</f>
        <v/>
      </c>
      <c r="F140" s="73" t="str">
        <f aca="false">IF(C140="","",IFERROR(INDEX(PERSONNEL!$D$10:$D$69,MATCH(C140,PERSONNEL!$B$10:$B$69,0)),""))</f>
        <v/>
      </c>
      <c r="G140" s="116"/>
      <c r="H140" s="117"/>
      <c r="I140" s="116"/>
      <c r="J140" s="118"/>
      <c r="K140" s="116"/>
      <c r="L140" s="118"/>
      <c r="M140" s="51" t="str">
        <f aca="false">IF(B140="","",MONTH(B140))</f>
        <v/>
      </c>
      <c r="N140" s="51" t="str">
        <f aca="false">IF(B140="","",YEAR(B140))</f>
        <v/>
      </c>
      <c r="O140" s="51" t="str">
        <f aca="false">IF(B140="","",C140&amp;"|"&amp;M140&amp;"|"&amp;N140)</f>
        <v/>
      </c>
    </row>
    <row r="141" customFormat="false" ht="15" hidden="false" customHeight="false" outlineLevel="0" collapsed="false">
      <c r="A141" s="73" t="str">
        <f aca="false">IF(B141="","",ROW()-9)</f>
        <v/>
      </c>
      <c r="B141" s="115"/>
      <c r="C141" s="116"/>
      <c r="D141" s="74" t="str">
        <f aca="false">IF(C141="","",IFERROR(INDEX(PERSONNEL!$C$10:$C$69,MATCH(C141,PERSONNEL!$B$10:$B$69,0)),"Matricule inconnu"))</f>
        <v/>
      </c>
      <c r="E141" s="73" t="str">
        <f aca="false">IF(C141="","",IFERROR(INDEX(PERSONNEL!$I$10:$I$69,MATCH(C141,PERSONNEL!$B$10:$B$69,0)),""))</f>
        <v/>
      </c>
      <c r="F141" s="73" t="str">
        <f aca="false">IF(C141="","",IFERROR(INDEX(PERSONNEL!$D$10:$D$69,MATCH(C141,PERSONNEL!$B$10:$B$69,0)),""))</f>
        <v/>
      </c>
      <c r="G141" s="116"/>
      <c r="H141" s="117"/>
      <c r="I141" s="116"/>
      <c r="J141" s="118"/>
      <c r="K141" s="116"/>
      <c r="L141" s="118"/>
      <c r="M141" s="51" t="str">
        <f aca="false">IF(B141="","",MONTH(B141))</f>
        <v/>
      </c>
      <c r="N141" s="51" t="str">
        <f aca="false">IF(B141="","",YEAR(B141))</f>
        <v/>
      </c>
      <c r="O141" s="51" t="str">
        <f aca="false">IF(B141="","",C141&amp;"|"&amp;M141&amp;"|"&amp;N141)</f>
        <v/>
      </c>
    </row>
    <row r="142" customFormat="false" ht="15" hidden="false" customHeight="false" outlineLevel="0" collapsed="false">
      <c r="A142" s="73" t="str">
        <f aca="false">IF(B142="","",ROW()-9)</f>
        <v/>
      </c>
      <c r="B142" s="115"/>
      <c r="C142" s="116"/>
      <c r="D142" s="74" t="str">
        <f aca="false">IF(C142="","",IFERROR(INDEX(PERSONNEL!$C$10:$C$69,MATCH(C142,PERSONNEL!$B$10:$B$69,0)),"Matricule inconnu"))</f>
        <v/>
      </c>
      <c r="E142" s="73" t="str">
        <f aca="false">IF(C142="","",IFERROR(INDEX(PERSONNEL!$I$10:$I$69,MATCH(C142,PERSONNEL!$B$10:$B$69,0)),""))</f>
        <v/>
      </c>
      <c r="F142" s="73" t="str">
        <f aca="false">IF(C142="","",IFERROR(INDEX(PERSONNEL!$D$10:$D$69,MATCH(C142,PERSONNEL!$B$10:$B$69,0)),""))</f>
        <v/>
      </c>
      <c r="G142" s="116"/>
      <c r="H142" s="117"/>
      <c r="I142" s="116"/>
      <c r="J142" s="118"/>
      <c r="K142" s="116"/>
      <c r="L142" s="118"/>
      <c r="M142" s="51" t="str">
        <f aca="false">IF(B142="","",MONTH(B142))</f>
        <v/>
      </c>
      <c r="N142" s="51" t="str">
        <f aca="false">IF(B142="","",YEAR(B142))</f>
        <v/>
      </c>
      <c r="O142" s="51" t="str">
        <f aca="false">IF(B142="","",C142&amp;"|"&amp;M142&amp;"|"&amp;N142)</f>
        <v/>
      </c>
    </row>
    <row r="143" customFormat="false" ht="15" hidden="false" customHeight="false" outlineLevel="0" collapsed="false">
      <c r="A143" s="73" t="str">
        <f aca="false">IF(B143="","",ROW()-9)</f>
        <v/>
      </c>
      <c r="B143" s="115"/>
      <c r="C143" s="116"/>
      <c r="D143" s="74" t="str">
        <f aca="false">IF(C143="","",IFERROR(INDEX(PERSONNEL!$C$10:$C$69,MATCH(C143,PERSONNEL!$B$10:$B$69,0)),"Matricule inconnu"))</f>
        <v/>
      </c>
      <c r="E143" s="73" t="str">
        <f aca="false">IF(C143="","",IFERROR(INDEX(PERSONNEL!$I$10:$I$69,MATCH(C143,PERSONNEL!$B$10:$B$69,0)),""))</f>
        <v/>
      </c>
      <c r="F143" s="73" t="str">
        <f aca="false">IF(C143="","",IFERROR(INDEX(PERSONNEL!$D$10:$D$69,MATCH(C143,PERSONNEL!$B$10:$B$69,0)),""))</f>
        <v/>
      </c>
      <c r="G143" s="116"/>
      <c r="H143" s="117"/>
      <c r="I143" s="116"/>
      <c r="J143" s="118"/>
      <c r="K143" s="116"/>
      <c r="L143" s="118"/>
      <c r="M143" s="51" t="str">
        <f aca="false">IF(B143="","",MONTH(B143))</f>
        <v/>
      </c>
      <c r="N143" s="51" t="str">
        <f aca="false">IF(B143="","",YEAR(B143))</f>
        <v/>
      </c>
      <c r="O143" s="51" t="str">
        <f aca="false">IF(B143="","",C143&amp;"|"&amp;M143&amp;"|"&amp;N143)</f>
        <v/>
      </c>
    </row>
    <row r="144" customFormat="false" ht="15" hidden="false" customHeight="false" outlineLevel="0" collapsed="false">
      <c r="A144" s="73" t="str">
        <f aca="false">IF(B144="","",ROW()-9)</f>
        <v/>
      </c>
      <c r="B144" s="115"/>
      <c r="C144" s="116"/>
      <c r="D144" s="74" t="str">
        <f aca="false">IF(C144="","",IFERROR(INDEX(PERSONNEL!$C$10:$C$69,MATCH(C144,PERSONNEL!$B$10:$B$69,0)),"Matricule inconnu"))</f>
        <v/>
      </c>
      <c r="E144" s="73" t="str">
        <f aca="false">IF(C144="","",IFERROR(INDEX(PERSONNEL!$I$10:$I$69,MATCH(C144,PERSONNEL!$B$10:$B$69,0)),""))</f>
        <v/>
      </c>
      <c r="F144" s="73" t="str">
        <f aca="false">IF(C144="","",IFERROR(INDEX(PERSONNEL!$D$10:$D$69,MATCH(C144,PERSONNEL!$B$10:$B$69,0)),""))</f>
        <v/>
      </c>
      <c r="G144" s="116"/>
      <c r="H144" s="117"/>
      <c r="I144" s="116"/>
      <c r="J144" s="118"/>
      <c r="K144" s="116"/>
      <c r="L144" s="118"/>
      <c r="M144" s="51" t="str">
        <f aca="false">IF(B144="","",MONTH(B144))</f>
        <v/>
      </c>
      <c r="N144" s="51" t="str">
        <f aca="false">IF(B144="","",YEAR(B144))</f>
        <v/>
      </c>
      <c r="O144" s="51" t="str">
        <f aca="false">IF(B144="","",C144&amp;"|"&amp;M144&amp;"|"&amp;N144)</f>
        <v/>
      </c>
    </row>
    <row r="145" customFormat="false" ht="15" hidden="false" customHeight="false" outlineLevel="0" collapsed="false">
      <c r="A145" s="73" t="str">
        <f aca="false">IF(B145="","",ROW()-9)</f>
        <v/>
      </c>
      <c r="B145" s="115"/>
      <c r="C145" s="116"/>
      <c r="D145" s="74" t="str">
        <f aca="false">IF(C145="","",IFERROR(INDEX(PERSONNEL!$C$10:$C$69,MATCH(C145,PERSONNEL!$B$10:$B$69,0)),"Matricule inconnu"))</f>
        <v/>
      </c>
      <c r="E145" s="73" t="str">
        <f aca="false">IF(C145="","",IFERROR(INDEX(PERSONNEL!$I$10:$I$69,MATCH(C145,PERSONNEL!$B$10:$B$69,0)),""))</f>
        <v/>
      </c>
      <c r="F145" s="73" t="str">
        <f aca="false">IF(C145="","",IFERROR(INDEX(PERSONNEL!$D$10:$D$69,MATCH(C145,PERSONNEL!$B$10:$B$69,0)),""))</f>
        <v/>
      </c>
      <c r="G145" s="116"/>
      <c r="H145" s="117"/>
      <c r="I145" s="116"/>
      <c r="J145" s="118"/>
      <c r="K145" s="116"/>
      <c r="L145" s="118"/>
      <c r="M145" s="51" t="str">
        <f aca="false">IF(B145="","",MONTH(B145))</f>
        <v/>
      </c>
      <c r="N145" s="51" t="str">
        <f aca="false">IF(B145="","",YEAR(B145))</f>
        <v/>
      </c>
      <c r="O145" s="51" t="str">
        <f aca="false">IF(B145="","",C145&amp;"|"&amp;M145&amp;"|"&amp;N145)</f>
        <v/>
      </c>
    </row>
    <row r="146" customFormat="false" ht="15" hidden="false" customHeight="false" outlineLevel="0" collapsed="false">
      <c r="A146" s="73" t="str">
        <f aca="false">IF(B146="","",ROW()-9)</f>
        <v/>
      </c>
      <c r="B146" s="115"/>
      <c r="C146" s="116"/>
      <c r="D146" s="74" t="str">
        <f aca="false">IF(C146="","",IFERROR(INDEX(PERSONNEL!$C$10:$C$69,MATCH(C146,PERSONNEL!$B$10:$B$69,0)),"Matricule inconnu"))</f>
        <v/>
      </c>
      <c r="E146" s="73" t="str">
        <f aca="false">IF(C146="","",IFERROR(INDEX(PERSONNEL!$I$10:$I$69,MATCH(C146,PERSONNEL!$B$10:$B$69,0)),""))</f>
        <v/>
      </c>
      <c r="F146" s="73" t="str">
        <f aca="false">IF(C146="","",IFERROR(INDEX(PERSONNEL!$D$10:$D$69,MATCH(C146,PERSONNEL!$B$10:$B$69,0)),""))</f>
        <v/>
      </c>
      <c r="G146" s="116"/>
      <c r="H146" s="117"/>
      <c r="I146" s="116"/>
      <c r="J146" s="118"/>
      <c r="K146" s="116"/>
      <c r="L146" s="118"/>
      <c r="M146" s="51" t="str">
        <f aca="false">IF(B146="","",MONTH(B146))</f>
        <v/>
      </c>
      <c r="N146" s="51" t="str">
        <f aca="false">IF(B146="","",YEAR(B146))</f>
        <v/>
      </c>
      <c r="O146" s="51" t="str">
        <f aca="false">IF(B146="","",C146&amp;"|"&amp;M146&amp;"|"&amp;N146)</f>
        <v/>
      </c>
    </row>
    <row r="147" customFormat="false" ht="15" hidden="false" customHeight="false" outlineLevel="0" collapsed="false">
      <c r="A147" s="73" t="str">
        <f aca="false">IF(B147="","",ROW()-9)</f>
        <v/>
      </c>
      <c r="B147" s="115"/>
      <c r="C147" s="116"/>
      <c r="D147" s="74" t="str">
        <f aca="false">IF(C147="","",IFERROR(INDEX(PERSONNEL!$C$10:$C$69,MATCH(C147,PERSONNEL!$B$10:$B$69,0)),"Matricule inconnu"))</f>
        <v/>
      </c>
      <c r="E147" s="73" t="str">
        <f aca="false">IF(C147="","",IFERROR(INDEX(PERSONNEL!$I$10:$I$69,MATCH(C147,PERSONNEL!$B$10:$B$69,0)),""))</f>
        <v/>
      </c>
      <c r="F147" s="73" t="str">
        <f aca="false">IF(C147="","",IFERROR(INDEX(PERSONNEL!$D$10:$D$69,MATCH(C147,PERSONNEL!$B$10:$B$69,0)),""))</f>
        <v/>
      </c>
      <c r="G147" s="116"/>
      <c r="H147" s="117"/>
      <c r="I147" s="116"/>
      <c r="J147" s="118"/>
      <c r="K147" s="116"/>
      <c r="L147" s="118"/>
      <c r="M147" s="51" t="str">
        <f aca="false">IF(B147="","",MONTH(B147))</f>
        <v/>
      </c>
      <c r="N147" s="51" t="str">
        <f aca="false">IF(B147="","",YEAR(B147))</f>
        <v/>
      </c>
      <c r="O147" s="51" t="str">
        <f aca="false">IF(B147="","",C147&amp;"|"&amp;M147&amp;"|"&amp;N147)</f>
        <v/>
      </c>
    </row>
    <row r="148" customFormat="false" ht="15" hidden="false" customHeight="false" outlineLevel="0" collapsed="false">
      <c r="A148" s="73" t="str">
        <f aca="false">IF(B148="","",ROW()-9)</f>
        <v/>
      </c>
      <c r="B148" s="115"/>
      <c r="C148" s="116"/>
      <c r="D148" s="74" t="str">
        <f aca="false">IF(C148="","",IFERROR(INDEX(PERSONNEL!$C$10:$C$69,MATCH(C148,PERSONNEL!$B$10:$B$69,0)),"Matricule inconnu"))</f>
        <v/>
      </c>
      <c r="E148" s="73" t="str">
        <f aca="false">IF(C148="","",IFERROR(INDEX(PERSONNEL!$I$10:$I$69,MATCH(C148,PERSONNEL!$B$10:$B$69,0)),""))</f>
        <v/>
      </c>
      <c r="F148" s="73" t="str">
        <f aca="false">IF(C148="","",IFERROR(INDEX(PERSONNEL!$D$10:$D$69,MATCH(C148,PERSONNEL!$B$10:$B$69,0)),""))</f>
        <v/>
      </c>
      <c r="G148" s="116"/>
      <c r="H148" s="117"/>
      <c r="I148" s="116"/>
      <c r="J148" s="118"/>
      <c r="K148" s="116"/>
      <c r="L148" s="118"/>
      <c r="M148" s="51" t="str">
        <f aca="false">IF(B148="","",MONTH(B148))</f>
        <v/>
      </c>
      <c r="N148" s="51" t="str">
        <f aca="false">IF(B148="","",YEAR(B148))</f>
        <v/>
      </c>
      <c r="O148" s="51" t="str">
        <f aca="false">IF(B148="","",C148&amp;"|"&amp;M148&amp;"|"&amp;N148)</f>
        <v/>
      </c>
    </row>
    <row r="149" customFormat="false" ht="15" hidden="false" customHeight="false" outlineLevel="0" collapsed="false">
      <c r="A149" s="73" t="str">
        <f aca="false">IF(B149="","",ROW()-9)</f>
        <v/>
      </c>
      <c r="B149" s="115"/>
      <c r="C149" s="116"/>
      <c r="D149" s="74" t="str">
        <f aca="false">IF(C149="","",IFERROR(INDEX(PERSONNEL!$C$10:$C$69,MATCH(C149,PERSONNEL!$B$10:$B$69,0)),"Matricule inconnu"))</f>
        <v/>
      </c>
      <c r="E149" s="73" t="str">
        <f aca="false">IF(C149="","",IFERROR(INDEX(PERSONNEL!$I$10:$I$69,MATCH(C149,PERSONNEL!$B$10:$B$69,0)),""))</f>
        <v/>
      </c>
      <c r="F149" s="73" t="str">
        <f aca="false">IF(C149="","",IFERROR(INDEX(PERSONNEL!$D$10:$D$69,MATCH(C149,PERSONNEL!$B$10:$B$69,0)),""))</f>
        <v/>
      </c>
      <c r="G149" s="116"/>
      <c r="H149" s="117"/>
      <c r="I149" s="116"/>
      <c r="J149" s="118"/>
      <c r="K149" s="116"/>
      <c r="L149" s="118"/>
      <c r="M149" s="51" t="str">
        <f aca="false">IF(B149="","",MONTH(B149))</f>
        <v/>
      </c>
      <c r="N149" s="51" t="str">
        <f aca="false">IF(B149="","",YEAR(B149))</f>
        <v/>
      </c>
      <c r="O149" s="51" t="str">
        <f aca="false">IF(B149="","",C149&amp;"|"&amp;M149&amp;"|"&amp;N149)</f>
        <v/>
      </c>
    </row>
    <row r="150" customFormat="false" ht="15" hidden="false" customHeight="false" outlineLevel="0" collapsed="false">
      <c r="A150" s="73" t="str">
        <f aca="false">IF(B150="","",ROW()-9)</f>
        <v/>
      </c>
      <c r="B150" s="115"/>
      <c r="C150" s="116"/>
      <c r="D150" s="74" t="str">
        <f aca="false">IF(C150="","",IFERROR(INDEX(PERSONNEL!$C$10:$C$69,MATCH(C150,PERSONNEL!$B$10:$B$69,0)),"Matricule inconnu"))</f>
        <v/>
      </c>
      <c r="E150" s="73" t="str">
        <f aca="false">IF(C150="","",IFERROR(INDEX(PERSONNEL!$I$10:$I$69,MATCH(C150,PERSONNEL!$B$10:$B$69,0)),""))</f>
        <v/>
      </c>
      <c r="F150" s="73" t="str">
        <f aca="false">IF(C150="","",IFERROR(INDEX(PERSONNEL!$D$10:$D$69,MATCH(C150,PERSONNEL!$B$10:$B$69,0)),""))</f>
        <v/>
      </c>
      <c r="G150" s="116"/>
      <c r="H150" s="117"/>
      <c r="I150" s="116"/>
      <c r="J150" s="118"/>
      <c r="K150" s="116"/>
      <c r="L150" s="118"/>
      <c r="M150" s="51" t="str">
        <f aca="false">IF(B150="","",MONTH(B150))</f>
        <v/>
      </c>
      <c r="N150" s="51" t="str">
        <f aca="false">IF(B150="","",YEAR(B150))</f>
        <v/>
      </c>
      <c r="O150" s="51" t="str">
        <f aca="false">IF(B150="","",C150&amp;"|"&amp;M150&amp;"|"&amp;N150)</f>
        <v/>
      </c>
    </row>
    <row r="151" customFormat="false" ht="15" hidden="false" customHeight="false" outlineLevel="0" collapsed="false">
      <c r="A151" s="73" t="str">
        <f aca="false">IF(B151="","",ROW()-9)</f>
        <v/>
      </c>
      <c r="B151" s="115"/>
      <c r="C151" s="116"/>
      <c r="D151" s="74" t="str">
        <f aca="false">IF(C151="","",IFERROR(INDEX(PERSONNEL!$C$10:$C$69,MATCH(C151,PERSONNEL!$B$10:$B$69,0)),"Matricule inconnu"))</f>
        <v/>
      </c>
      <c r="E151" s="73" t="str">
        <f aca="false">IF(C151="","",IFERROR(INDEX(PERSONNEL!$I$10:$I$69,MATCH(C151,PERSONNEL!$B$10:$B$69,0)),""))</f>
        <v/>
      </c>
      <c r="F151" s="73" t="str">
        <f aca="false">IF(C151="","",IFERROR(INDEX(PERSONNEL!$D$10:$D$69,MATCH(C151,PERSONNEL!$B$10:$B$69,0)),""))</f>
        <v/>
      </c>
      <c r="G151" s="116"/>
      <c r="H151" s="117"/>
      <c r="I151" s="116"/>
      <c r="J151" s="118"/>
      <c r="K151" s="116"/>
      <c r="L151" s="118"/>
      <c r="M151" s="51" t="str">
        <f aca="false">IF(B151="","",MONTH(B151))</f>
        <v/>
      </c>
      <c r="N151" s="51" t="str">
        <f aca="false">IF(B151="","",YEAR(B151))</f>
        <v/>
      </c>
      <c r="O151" s="51" t="str">
        <f aca="false">IF(B151="","",C151&amp;"|"&amp;M151&amp;"|"&amp;N151)</f>
        <v/>
      </c>
    </row>
    <row r="152" customFormat="false" ht="15" hidden="false" customHeight="false" outlineLevel="0" collapsed="false">
      <c r="A152" s="73" t="str">
        <f aca="false">IF(B152="","",ROW()-9)</f>
        <v/>
      </c>
      <c r="B152" s="115"/>
      <c r="C152" s="116"/>
      <c r="D152" s="74" t="str">
        <f aca="false">IF(C152="","",IFERROR(INDEX(PERSONNEL!$C$10:$C$69,MATCH(C152,PERSONNEL!$B$10:$B$69,0)),"Matricule inconnu"))</f>
        <v/>
      </c>
      <c r="E152" s="73" t="str">
        <f aca="false">IF(C152="","",IFERROR(INDEX(PERSONNEL!$I$10:$I$69,MATCH(C152,PERSONNEL!$B$10:$B$69,0)),""))</f>
        <v/>
      </c>
      <c r="F152" s="73" t="str">
        <f aca="false">IF(C152="","",IFERROR(INDEX(PERSONNEL!$D$10:$D$69,MATCH(C152,PERSONNEL!$B$10:$B$69,0)),""))</f>
        <v/>
      </c>
      <c r="G152" s="116"/>
      <c r="H152" s="117"/>
      <c r="I152" s="116"/>
      <c r="J152" s="118"/>
      <c r="K152" s="116"/>
      <c r="L152" s="118"/>
      <c r="M152" s="51" t="str">
        <f aca="false">IF(B152="","",MONTH(B152))</f>
        <v/>
      </c>
      <c r="N152" s="51" t="str">
        <f aca="false">IF(B152="","",YEAR(B152))</f>
        <v/>
      </c>
      <c r="O152" s="51" t="str">
        <f aca="false">IF(B152="","",C152&amp;"|"&amp;M152&amp;"|"&amp;N152)</f>
        <v/>
      </c>
    </row>
    <row r="153" customFormat="false" ht="15" hidden="false" customHeight="false" outlineLevel="0" collapsed="false">
      <c r="A153" s="73" t="str">
        <f aca="false">IF(B153="","",ROW()-9)</f>
        <v/>
      </c>
      <c r="B153" s="115"/>
      <c r="C153" s="116"/>
      <c r="D153" s="74" t="str">
        <f aca="false">IF(C153="","",IFERROR(INDEX(PERSONNEL!$C$10:$C$69,MATCH(C153,PERSONNEL!$B$10:$B$69,0)),"Matricule inconnu"))</f>
        <v/>
      </c>
      <c r="E153" s="73" t="str">
        <f aca="false">IF(C153="","",IFERROR(INDEX(PERSONNEL!$I$10:$I$69,MATCH(C153,PERSONNEL!$B$10:$B$69,0)),""))</f>
        <v/>
      </c>
      <c r="F153" s="73" t="str">
        <f aca="false">IF(C153="","",IFERROR(INDEX(PERSONNEL!$D$10:$D$69,MATCH(C153,PERSONNEL!$B$10:$B$69,0)),""))</f>
        <v/>
      </c>
      <c r="G153" s="116"/>
      <c r="H153" s="117"/>
      <c r="I153" s="116"/>
      <c r="J153" s="118"/>
      <c r="K153" s="116"/>
      <c r="L153" s="118"/>
      <c r="M153" s="51" t="str">
        <f aca="false">IF(B153="","",MONTH(B153))</f>
        <v/>
      </c>
      <c r="N153" s="51" t="str">
        <f aca="false">IF(B153="","",YEAR(B153))</f>
        <v/>
      </c>
      <c r="O153" s="51" t="str">
        <f aca="false">IF(B153="","",C153&amp;"|"&amp;M153&amp;"|"&amp;N153)</f>
        <v/>
      </c>
    </row>
    <row r="154" customFormat="false" ht="15" hidden="false" customHeight="false" outlineLevel="0" collapsed="false">
      <c r="A154" s="73" t="str">
        <f aca="false">IF(B154="","",ROW()-9)</f>
        <v/>
      </c>
      <c r="B154" s="115"/>
      <c r="C154" s="116"/>
      <c r="D154" s="74" t="str">
        <f aca="false">IF(C154="","",IFERROR(INDEX(PERSONNEL!$C$10:$C$69,MATCH(C154,PERSONNEL!$B$10:$B$69,0)),"Matricule inconnu"))</f>
        <v/>
      </c>
      <c r="E154" s="73" t="str">
        <f aca="false">IF(C154="","",IFERROR(INDEX(PERSONNEL!$I$10:$I$69,MATCH(C154,PERSONNEL!$B$10:$B$69,0)),""))</f>
        <v/>
      </c>
      <c r="F154" s="73" t="str">
        <f aca="false">IF(C154="","",IFERROR(INDEX(PERSONNEL!$D$10:$D$69,MATCH(C154,PERSONNEL!$B$10:$B$69,0)),""))</f>
        <v/>
      </c>
      <c r="G154" s="116"/>
      <c r="H154" s="117"/>
      <c r="I154" s="116"/>
      <c r="J154" s="118"/>
      <c r="K154" s="116"/>
      <c r="L154" s="118"/>
      <c r="M154" s="51" t="str">
        <f aca="false">IF(B154="","",MONTH(B154))</f>
        <v/>
      </c>
      <c r="N154" s="51" t="str">
        <f aca="false">IF(B154="","",YEAR(B154))</f>
        <v/>
      </c>
      <c r="O154" s="51" t="str">
        <f aca="false">IF(B154="","",C154&amp;"|"&amp;M154&amp;"|"&amp;N154)</f>
        <v/>
      </c>
    </row>
    <row r="155" customFormat="false" ht="15" hidden="false" customHeight="false" outlineLevel="0" collapsed="false">
      <c r="A155" s="73" t="str">
        <f aca="false">IF(B155="","",ROW()-9)</f>
        <v/>
      </c>
      <c r="B155" s="115"/>
      <c r="C155" s="116"/>
      <c r="D155" s="74" t="str">
        <f aca="false">IF(C155="","",IFERROR(INDEX(PERSONNEL!$C$10:$C$69,MATCH(C155,PERSONNEL!$B$10:$B$69,0)),"Matricule inconnu"))</f>
        <v/>
      </c>
      <c r="E155" s="73" t="str">
        <f aca="false">IF(C155="","",IFERROR(INDEX(PERSONNEL!$I$10:$I$69,MATCH(C155,PERSONNEL!$B$10:$B$69,0)),""))</f>
        <v/>
      </c>
      <c r="F155" s="73" t="str">
        <f aca="false">IF(C155="","",IFERROR(INDEX(PERSONNEL!$D$10:$D$69,MATCH(C155,PERSONNEL!$B$10:$B$69,0)),""))</f>
        <v/>
      </c>
      <c r="G155" s="116"/>
      <c r="H155" s="117"/>
      <c r="I155" s="116"/>
      <c r="J155" s="118"/>
      <c r="K155" s="116"/>
      <c r="L155" s="118"/>
      <c r="M155" s="51" t="str">
        <f aca="false">IF(B155="","",MONTH(B155))</f>
        <v/>
      </c>
      <c r="N155" s="51" t="str">
        <f aca="false">IF(B155="","",YEAR(B155))</f>
        <v/>
      </c>
      <c r="O155" s="51" t="str">
        <f aca="false">IF(B155="","",C155&amp;"|"&amp;M155&amp;"|"&amp;N155)</f>
        <v/>
      </c>
    </row>
    <row r="156" customFormat="false" ht="15" hidden="false" customHeight="false" outlineLevel="0" collapsed="false">
      <c r="A156" s="73" t="str">
        <f aca="false">IF(B156="","",ROW()-9)</f>
        <v/>
      </c>
      <c r="B156" s="115"/>
      <c r="C156" s="116"/>
      <c r="D156" s="74" t="str">
        <f aca="false">IF(C156="","",IFERROR(INDEX(PERSONNEL!$C$10:$C$69,MATCH(C156,PERSONNEL!$B$10:$B$69,0)),"Matricule inconnu"))</f>
        <v/>
      </c>
      <c r="E156" s="73" t="str">
        <f aca="false">IF(C156="","",IFERROR(INDEX(PERSONNEL!$I$10:$I$69,MATCH(C156,PERSONNEL!$B$10:$B$69,0)),""))</f>
        <v/>
      </c>
      <c r="F156" s="73" t="str">
        <f aca="false">IF(C156="","",IFERROR(INDEX(PERSONNEL!$D$10:$D$69,MATCH(C156,PERSONNEL!$B$10:$B$69,0)),""))</f>
        <v/>
      </c>
      <c r="G156" s="116"/>
      <c r="H156" s="117"/>
      <c r="I156" s="116"/>
      <c r="J156" s="118"/>
      <c r="K156" s="116"/>
      <c r="L156" s="118"/>
      <c r="M156" s="51" t="str">
        <f aca="false">IF(B156="","",MONTH(B156))</f>
        <v/>
      </c>
      <c r="N156" s="51" t="str">
        <f aca="false">IF(B156="","",YEAR(B156))</f>
        <v/>
      </c>
      <c r="O156" s="51" t="str">
        <f aca="false">IF(B156="","",C156&amp;"|"&amp;M156&amp;"|"&amp;N156)</f>
        <v/>
      </c>
    </row>
    <row r="157" customFormat="false" ht="15" hidden="false" customHeight="false" outlineLevel="0" collapsed="false">
      <c r="A157" s="73" t="str">
        <f aca="false">IF(B157="","",ROW()-9)</f>
        <v/>
      </c>
      <c r="B157" s="115"/>
      <c r="C157" s="116"/>
      <c r="D157" s="74" t="str">
        <f aca="false">IF(C157="","",IFERROR(INDEX(PERSONNEL!$C$10:$C$69,MATCH(C157,PERSONNEL!$B$10:$B$69,0)),"Matricule inconnu"))</f>
        <v/>
      </c>
      <c r="E157" s="73" t="str">
        <f aca="false">IF(C157="","",IFERROR(INDEX(PERSONNEL!$I$10:$I$69,MATCH(C157,PERSONNEL!$B$10:$B$69,0)),""))</f>
        <v/>
      </c>
      <c r="F157" s="73" t="str">
        <f aca="false">IF(C157="","",IFERROR(INDEX(PERSONNEL!$D$10:$D$69,MATCH(C157,PERSONNEL!$B$10:$B$69,0)),""))</f>
        <v/>
      </c>
      <c r="G157" s="116"/>
      <c r="H157" s="117"/>
      <c r="I157" s="116"/>
      <c r="J157" s="118"/>
      <c r="K157" s="116"/>
      <c r="L157" s="118"/>
      <c r="M157" s="51" t="str">
        <f aca="false">IF(B157="","",MONTH(B157))</f>
        <v/>
      </c>
      <c r="N157" s="51" t="str">
        <f aca="false">IF(B157="","",YEAR(B157))</f>
        <v/>
      </c>
      <c r="O157" s="51" t="str">
        <f aca="false">IF(B157="","",C157&amp;"|"&amp;M157&amp;"|"&amp;N157)</f>
        <v/>
      </c>
    </row>
    <row r="158" customFormat="false" ht="15" hidden="false" customHeight="false" outlineLevel="0" collapsed="false">
      <c r="A158" s="73" t="str">
        <f aca="false">IF(B158="","",ROW()-9)</f>
        <v/>
      </c>
      <c r="B158" s="115"/>
      <c r="C158" s="116"/>
      <c r="D158" s="74" t="str">
        <f aca="false">IF(C158="","",IFERROR(INDEX(PERSONNEL!$C$10:$C$69,MATCH(C158,PERSONNEL!$B$10:$B$69,0)),"Matricule inconnu"))</f>
        <v/>
      </c>
      <c r="E158" s="73" t="str">
        <f aca="false">IF(C158="","",IFERROR(INDEX(PERSONNEL!$I$10:$I$69,MATCH(C158,PERSONNEL!$B$10:$B$69,0)),""))</f>
        <v/>
      </c>
      <c r="F158" s="73" t="str">
        <f aca="false">IF(C158="","",IFERROR(INDEX(PERSONNEL!$D$10:$D$69,MATCH(C158,PERSONNEL!$B$10:$B$69,0)),""))</f>
        <v/>
      </c>
      <c r="G158" s="116"/>
      <c r="H158" s="117"/>
      <c r="I158" s="116"/>
      <c r="J158" s="118"/>
      <c r="K158" s="116"/>
      <c r="L158" s="118"/>
      <c r="M158" s="51" t="str">
        <f aca="false">IF(B158="","",MONTH(B158))</f>
        <v/>
      </c>
      <c r="N158" s="51" t="str">
        <f aca="false">IF(B158="","",YEAR(B158))</f>
        <v/>
      </c>
      <c r="O158" s="51" t="str">
        <f aca="false">IF(B158="","",C158&amp;"|"&amp;M158&amp;"|"&amp;N158)</f>
        <v/>
      </c>
    </row>
    <row r="159" customFormat="false" ht="15" hidden="false" customHeight="false" outlineLevel="0" collapsed="false">
      <c r="A159" s="73" t="str">
        <f aca="false">IF(B159="","",ROW()-9)</f>
        <v/>
      </c>
      <c r="B159" s="115"/>
      <c r="C159" s="116"/>
      <c r="D159" s="74" t="str">
        <f aca="false">IF(C159="","",IFERROR(INDEX(PERSONNEL!$C$10:$C$69,MATCH(C159,PERSONNEL!$B$10:$B$69,0)),"Matricule inconnu"))</f>
        <v/>
      </c>
      <c r="E159" s="73" t="str">
        <f aca="false">IF(C159="","",IFERROR(INDEX(PERSONNEL!$I$10:$I$69,MATCH(C159,PERSONNEL!$B$10:$B$69,0)),""))</f>
        <v/>
      </c>
      <c r="F159" s="73" t="str">
        <f aca="false">IF(C159="","",IFERROR(INDEX(PERSONNEL!$D$10:$D$69,MATCH(C159,PERSONNEL!$B$10:$B$69,0)),""))</f>
        <v/>
      </c>
      <c r="G159" s="116"/>
      <c r="H159" s="117"/>
      <c r="I159" s="116"/>
      <c r="J159" s="118"/>
      <c r="K159" s="116"/>
      <c r="L159" s="118"/>
      <c r="M159" s="51" t="str">
        <f aca="false">IF(B159="","",MONTH(B159))</f>
        <v/>
      </c>
      <c r="N159" s="51" t="str">
        <f aca="false">IF(B159="","",YEAR(B159))</f>
        <v/>
      </c>
      <c r="O159" s="51" t="str">
        <f aca="false">IF(B159="","",C159&amp;"|"&amp;M159&amp;"|"&amp;N159)</f>
        <v/>
      </c>
    </row>
    <row r="160" customFormat="false" ht="15" hidden="false" customHeight="false" outlineLevel="0" collapsed="false">
      <c r="A160" s="73" t="str">
        <f aca="false">IF(B160="","",ROW()-9)</f>
        <v/>
      </c>
      <c r="B160" s="115"/>
      <c r="C160" s="116"/>
      <c r="D160" s="74" t="str">
        <f aca="false">IF(C160="","",IFERROR(INDEX(PERSONNEL!$C$10:$C$69,MATCH(C160,PERSONNEL!$B$10:$B$69,0)),"Matricule inconnu"))</f>
        <v/>
      </c>
      <c r="E160" s="73" t="str">
        <f aca="false">IF(C160="","",IFERROR(INDEX(PERSONNEL!$I$10:$I$69,MATCH(C160,PERSONNEL!$B$10:$B$69,0)),""))</f>
        <v/>
      </c>
      <c r="F160" s="73" t="str">
        <f aca="false">IF(C160="","",IFERROR(INDEX(PERSONNEL!$D$10:$D$69,MATCH(C160,PERSONNEL!$B$10:$B$69,0)),""))</f>
        <v/>
      </c>
      <c r="G160" s="116"/>
      <c r="H160" s="117"/>
      <c r="I160" s="116"/>
      <c r="J160" s="118"/>
      <c r="K160" s="116"/>
      <c r="L160" s="118"/>
      <c r="M160" s="51" t="str">
        <f aca="false">IF(B160="","",MONTH(B160))</f>
        <v/>
      </c>
      <c r="N160" s="51" t="str">
        <f aca="false">IF(B160="","",YEAR(B160))</f>
        <v/>
      </c>
      <c r="O160" s="51" t="str">
        <f aca="false">IF(B160="","",C160&amp;"|"&amp;M160&amp;"|"&amp;N160)</f>
        <v/>
      </c>
    </row>
    <row r="161" customFormat="false" ht="15" hidden="false" customHeight="false" outlineLevel="0" collapsed="false">
      <c r="A161" s="73" t="str">
        <f aca="false">IF(B161="","",ROW()-9)</f>
        <v/>
      </c>
      <c r="B161" s="115"/>
      <c r="C161" s="116"/>
      <c r="D161" s="74" t="str">
        <f aca="false">IF(C161="","",IFERROR(INDEX(PERSONNEL!$C$10:$C$69,MATCH(C161,PERSONNEL!$B$10:$B$69,0)),"Matricule inconnu"))</f>
        <v/>
      </c>
      <c r="E161" s="73" t="str">
        <f aca="false">IF(C161="","",IFERROR(INDEX(PERSONNEL!$I$10:$I$69,MATCH(C161,PERSONNEL!$B$10:$B$69,0)),""))</f>
        <v/>
      </c>
      <c r="F161" s="73" t="str">
        <f aca="false">IF(C161="","",IFERROR(INDEX(PERSONNEL!$D$10:$D$69,MATCH(C161,PERSONNEL!$B$10:$B$69,0)),""))</f>
        <v/>
      </c>
      <c r="G161" s="116"/>
      <c r="H161" s="117"/>
      <c r="I161" s="116"/>
      <c r="J161" s="118"/>
      <c r="K161" s="116"/>
      <c r="L161" s="118"/>
      <c r="M161" s="51" t="str">
        <f aca="false">IF(B161="","",MONTH(B161))</f>
        <v/>
      </c>
      <c r="N161" s="51" t="str">
        <f aca="false">IF(B161="","",YEAR(B161))</f>
        <v/>
      </c>
      <c r="O161" s="51" t="str">
        <f aca="false">IF(B161="","",C161&amp;"|"&amp;M161&amp;"|"&amp;N161)</f>
        <v/>
      </c>
    </row>
    <row r="162" customFormat="false" ht="15" hidden="false" customHeight="false" outlineLevel="0" collapsed="false">
      <c r="A162" s="73" t="str">
        <f aca="false">IF(B162="","",ROW()-9)</f>
        <v/>
      </c>
      <c r="B162" s="115"/>
      <c r="C162" s="116"/>
      <c r="D162" s="74" t="str">
        <f aca="false">IF(C162="","",IFERROR(INDEX(PERSONNEL!$C$10:$C$69,MATCH(C162,PERSONNEL!$B$10:$B$69,0)),"Matricule inconnu"))</f>
        <v/>
      </c>
      <c r="E162" s="73" t="str">
        <f aca="false">IF(C162="","",IFERROR(INDEX(PERSONNEL!$I$10:$I$69,MATCH(C162,PERSONNEL!$B$10:$B$69,0)),""))</f>
        <v/>
      </c>
      <c r="F162" s="73" t="str">
        <f aca="false">IF(C162="","",IFERROR(INDEX(PERSONNEL!$D$10:$D$69,MATCH(C162,PERSONNEL!$B$10:$B$69,0)),""))</f>
        <v/>
      </c>
      <c r="G162" s="116"/>
      <c r="H162" s="117"/>
      <c r="I162" s="116"/>
      <c r="J162" s="118"/>
      <c r="K162" s="116"/>
      <c r="L162" s="118"/>
      <c r="M162" s="51" t="str">
        <f aca="false">IF(B162="","",MONTH(B162))</f>
        <v/>
      </c>
      <c r="N162" s="51" t="str">
        <f aca="false">IF(B162="","",YEAR(B162))</f>
        <v/>
      </c>
      <c r="O162" s="51" t="str">
        <f aca="false">IF(B162="","",C162&amp;"|"&amp;M162&amp;"|"&amp;N162)</f>
        <v/>
      </c>
    </row>
    <row r="163" customFormat="false" ht="15" hidden="false" customHeight="false" outlineLevel="0" collapsed="false">
      <c r="A163" s="73" t="str">
        <f aca="false">IF(B163="","",ROW()-9)</f>
        <v/>
      </c>
      <c r="B163" s="115"/>
      <c r="C163" s="116"/>
      <c r="D163" s="74" t="str">
        <f aca="false">IF(C163="","",IFERROR(INDEX(PERSONNEL!$C$10:$C$69,MATCH(C163,PERSONNEL!$B$10:$B$69,0)),"Matricule inconnu"))</f>
        <v/>
      </c>
      <c r="E163" s="73" t="str">
        <f aca="false">IF(C163="","",IFERROR(INDEX(PERSONNEL!$I$10:$I$69,MATCH(C163,PERSONNEL!$B$10:$B$69,0)),""))</f>
        <v/>
      </c>
      <c r="F163" s="73" t="str">
        <f aca="false">IF(C163="","",IFERROR(INDEX(PERSONNEL!$D$10:$D$69,MATCH(C163,PERSONNEL!$B$10:$B$69,0)),""))</f>
        <v/>
      </c>
      <c r="G163" s="116"/>
      <c r="H163" s="117"/>
      <c r="I163" s="116"/>
      <c r="J163" s="118"/>
      <c r="K163" s="116"/>
      <c r="L163" s="118"/>
      <c r="M163" s="51" t="str">
        <f aca="false">IF(B163="","",MONTH(B163))</f>
        <v/>
      </c>
      <c r="N163" s="51" t="str">
        <f aca="false">IF(B163="","",YEAR(B163))</f>
        <v/>
      </c>
      <c r="O163" s="51" t="str">
        <f aca="false">IF(B163="","",C163&amp;"|"&amp;M163&amp;"|"&amp;N163)</f>
        <v/>
      </c>
    </row>
    <row r="164" customFormat="false" ht="15" hidden="false" customHeight="false" outlineLevel="0" collapsed="false">
      <c r="A164" s="73" t="str">
        <f aca="false">IF(B164="","",ROW()-9)</f>
        <v/>
      </c>
      <c r="B164" s="115"/>
      <c r="C164" s="116"/>
      <c r="D164" s="74" t="str">
        <f aca="false">IF(C164="","",IFERROR(INDEX(PERSONNEL!$C$10:$C$69,MATCH(C164,PERSONNEL!$B$10:$B$69,0)),"Matricule inconnu"))</f>
        <v/>
      </c>
      <c r="E164" s="73" t="str">
        <f aca="false">IF(C164="","",IFERROR(INDEX(PERSONNEL!$I$10:$I$69,MATCH(C164,PERSONNEL!$B$10:$B$69,0)),""))</f>
        <v/>
      </c>
      <c r="F164" s="73" t="str">
        <f aca="false">IF(C164="","",IFERROR(INDEX(PERSONNEL!$D$10:$D$69,MATCH(C164,PERSONNEL!$B$10:$B$69,0)),""))</f>
        <v/>
      </c>
      <c r="G164" s="116"/>
      <c r="H164" s="117"/>
      <c r="I164" s="116"/>
      <c r="J164" s="118"/>
      <c r="K164" s="116"/>
      <c r="L164" s="118"/>
      <c r="M164" s="51" t="str">
        <f aca="false">IF(B164="","",MONTH(B164))</f>
        <v/>
      </c>
      <c r="N164" s="51" t="str">
        <f aca="false">IF(B164="","",YEAR(B164))</f>
        <v/>
      </c>
      <c r="O164" s="51" t="str">
        <f aca="false">IF(B164="","",C164&amp;"|"&amp;M164&amp;"|"&amp;N164)</f>
        <v/>
      </c>
    </row>
    <row r="165" customFormat="false" ht="15" hidden="false" customHeight="false" outlineLevel="0" collapsed="false">
      <c r="A165" s="73" t="str">
        <f aca="false">IF(B165="","",ROW()-9)</f>
        <v/>
      </c>
      <c r="B165" s="115"/>
      <c r="C165" s="116"/>
      <c r="D165" s="74" t="str">
        <f aca="false">IF(C165="","",IFERROR(INDEX(PERSONNEL!$C$10:$C$69,MATCH(C165,PERSONNEL!$B$10:$B$69,0)),"Matricule inconnu"))</f>
        <v/>
      </c>
      <c r="E165" s="73" t="str">
        <f aca="false">IF(C165="","",IFERROR(INDEX(PERSONNEL!$I$10:$I$69,MATCH(C165,PERSONNEL!$B$10:$B$69,0)),""))</f>
        <v/>
      </c>
      <c r="F165" s="73" t="str">
        <f aca="false">IF(C165="","",IFERROR(INDEX(PERSONNEL!$D$10:$D$69,MATCH(C165,PERSONNEL!$B$10:$B$69,0)),""))</f>
        <v/>
      </c>
      <c r="G165" s="116"/>
      <c r="H165" s="117"/>
      <c r="I165" s="116"/>
      <c r="J165" s="118"/>
      <c r="K165" s="116"/>
      <c r="L165" s="118"/>
      <c r="M165" s="51" t="str">
        <f aca="false">IF(B165="","",MONTH(B165))</f>
        <v/>
      </c>
      <c r="N165" s="51" t="str">
        <f aca="false">IF(B165="","",YEAR(B165))</f>
        <v/>
      </c>
      <c r="O165" s="51" t="str">
        <f aca="false">IF(B165="","",C165&amp;"|"&amp;M165&amp;"|"&amp;N165)</f>
        <v/>
      </c>
    </row>
    <row r="166" customFormat="false" ht="15" hidden="false" customHeight="false" outlineLevel="0" collapsed="false">
      <c r="A166" s="73" t="str">
        <f aca="false">IF(B166="","",ROW()-9)</f>
        <v/>
      </c>
      <c r="B166" s="115"/>
      <c r="C166" s="116"/>
      <c r="D166" s="74" t="str">
        <f aca="false">IF(C166="","",IFERROR(INDEX(PERSONNEL!$C$10:$C$69,MATCH(C166,PERSONNEL!$B$10:$B$69,0)),"Matricule inconnu"))</f>
        <v/>
      </c>
      <c r="E166" s="73" t="str">
        <f aca="false">IF(C166="","",IFERROR(INDEX(PERSONNEL!$I$10:$I$69,MATCH(C166,PERSONNEL!$B$10:$B$69,0)),""))</f>
        <v/>
      </c>
      <c r="F166" s="73" t="str">
        <f aca="false">IF(C166="","",IFERROR(INDEX(PERSONNEL!$D$10:$D$69,MATCH(C166,PERSONNEL!$B$10:$B$69,0)),""))</f>
        <v/>
      </c>
      <c r="G166" s="116"/>
      <c r="H166" s="117"/>
      <c r="I166" s="116"/>
      <c r="J166" s="118"/>
      <c r="K166" s="116"/>
      <c r="L166" s="118"/>
      <c r="M166" s="51" t="str">
        <f aca="false">IF(B166="","",MONTH(B166))</f>
        <v/>
      </c>
      <c r="N166" s="51" t="str">
        <f aca="false">IF(B166="","",YEAR(B166))</f>
        <v/>
      </c>
      <c r="O166" s="51" t="str">
        <f aca="false">IF(B166="","",C166&amp;"|"&amp;M166&amp;"|"&amp;N166)</f>
        <v/>
      </c>
    </row>
    <row r="167" customFormat="false" ht="15" hidden="false" customHeight="false" outlineLevel="0" collapsed="false">
      <c r="A167" s="73" t="str">
        <f aca="false">IF(B167="","",ROW()-9)</f>
        <v/>
      </c>
      <c r="B167" s="115"/>
      <c r="C167" s="116"/>
      <c r="D167" s="74" t="str">
        <f aca="false">IF(C167="","",IFERROR(INDEX(PERSONNEL!$C$10:$C$69,MATCH(C167,PERSONNEL!$B$10:$B$69,0)),"Matricule inconnu"))</f>
        <v/>
      </c>
      <c r="E167" s="73" t="str">
        <f aca="false">IF(C167="","",IFERROR(INDEX(PERSONNEL!$I$10:$I$69,MATCH(C167,PERSONNEL!$B$10:$B$69,0)),""))</f>
        <v/>
      </c>
      <c r="F167" s="73" t="str">
        <f aca="false">IF(C167="","",IFERROR(INDEX(PERSONNEL!$D$10:$D$69,MATCH(C167,PERSONNEL!$B$10:$B$69,0)),""))</f>
        <v/>
      </c>
      <c r="G167" s="116"/>
      <c r="H167" s="117"/>
      <c r="I167" s="116"/>
      <c r="J167" s="118"/>
      <c r="K167" s="116"/>
      <c r="L167" s="118"/>
      <c r="M167" s="51" t="str">
        <f aca="false">IF(B167="","",MONTH(B167))</f>
        <v/>
      </c>
      <c r="N167" s="51" t="str">
        <f aca="false">IF(B167="","",YEAR(B167))</f>
        <v/>
      </c>
      <c r="O167" s="51" t="str">
        <f aca="false">IF(B167="","",C167&amp;"|"&amp;M167&amp;"|"&amp;N167)</f>
        <v/>
      </c>
    </row>
    <row r="168" customFormat="false" ht="15" hidden="false" customHeight="false" outlineLevel="0" collapsed="false">
      <c r="A168" s="73" t="str">
        <f aca="false">IF(B168="","",ROW()-9)</f>
        <v/>
      </c>
      <c r="B168" s="115"/>
      <c r="C168" s="116"/>
      <c r="D168" s="74" t="str">
        <f aca="false">IF(C168="","",IFERROR(INDEX(PERSONNEL!$C$10:$C$69,MATCH(C168,PERSONNEL!$B$10:$B$69,0)),"Matricule inconnu"))</f>
        <v/>
      </c>
      <c r="E168" s="73" t="str">
        <f aca="false">IF(C168="","",IFERROR(INDEX(PERSONNEL!$I$10:$I$69,MATCH(C168,PERSONNEL!$B$10:$B$69,0)),""))</f>
        <v/>
      </c>
      <c r="F168" s="73" t="str">
        <f aca="false">IF(C168="","",IFERROR(INDEX(PERSONNEL!$D$10:$D$69,MATCH(C168,PERSONNEL!$B$10:$B$69,0)),""))</f>
        <v/>
      </c>
      <c r="G168" s="116"/>
      <c r="H168" s="117"/>
      <c r="I168" s="116"/>
      <c r="J168" s="118"/>
      <c r="K168" s="116"/>
      <c r="L168" s="118"/>
      <c r="M168" s="51" t="str">
        <f aca="false">IF(B168="","",MONTH(B168))</f>
        <v/>
      </c>
      <c r="N168" s="51" t="str">
        <f aca="false">IF(B168="","",YEAR(B168))</f>
        <v/>
      </c>
      <c r="O168" s="51" t="str">
        <f aca="false">IF(B168="","",C168&amp;"|"&amp;M168&amp;"|"&amp;N168)</f>
        <v/>
      </c>
    </row>
    <row r="169" customFormat="false" ht="15" hidden="false" customHeight="false" outlineLevel="0" collapsed="false">
      <c r="A169" s="73" t="str">
        <f aca="false">IF(B169="","",ROW()-9)</f>
        <v/>
      </c>
      <c r="B169" s="115"/>
      <c r="C169" s="116"/>
      <c r="D169" s="74" t="str">
        <f aca="false">IF(C169="","",IFERROR(INDEX(PERSONNEL!$C$10:$C$69,MATCH(C169,PERSONNEL!$B$10:$B$69,0)),"Matricule inconnu"))</f>
        <v/>
      </c>
      <c r="E169" s="73" t="str">
        <f aca="false">IF(C169="","",IFERROR(INDEX(PERSONNEL!$I$10:$I$69,MATCH(C169,PERSONNEL!$B$10:$B$69,0)),""))</f>
        <v/>
      </c>
      <c r="F169" s="73" t="str">
        <f aca="false">IF(C169="","",IFERROR(INDEX(PERSONNEL!$D$10:$D$69,MATCH(C169,PERSONNEL!$B$10:$B$69,0)),""))</f>
        <v/>
      </c>
      <c r="G169" s="116"/>
      <c r="H169" s="117"/>
      <c r="I169" s="116"/>
      <c r="J169" s="118"/>
      <c r="K169" s="116"/>
      <c r="L169" s="118"/>
      <c r="M169" s="51" t="str">
        <f aca="false">IF(B169="","",MONTH(B169))</f>
        <v/>
      </c>
      <c r="N169" s="51" t="str">
        <f aca="false">IF(B169="","",YEAR(B169))</f>
        <v/>
      </c>
      <c r="O169" s="51" t="str">
        <f aca="false">IF(B169="","",C169&amp;"|"&amp;M169&amp;"|"&amp;N169)</f>
        <v/>
      </c>
    </row>
    <row r="170" customFormat="false" ht="15" hidden="false" customHeight="false" outlineLevel="0" collapsed="false">
      <c r="A170" s="73" t="str">
        <f aca="false">IF(B170="","",ROW()-9)</f>
        <v/>
      </c>
      <c r="B170" s="115"/>
      <c r="C170" s="116"/>
      <c r="D170" s="74" t="str">
        <f aca="false">IF(C170="","",IFERROR(INDEX(PERSONNEL!$C$10:$C$69,MATCH(C170,PERSONNEL!$B$10:$B$69,0)),"Matricule inconnu"))</f>
        <v/>
      </c>
      <c r="E170" s="73" t="str">
        <f aca="false">IF(C170="","",IFERROR(INDEX(PERSONNEL!$I$10:$I$69,MATCH(C170,PERSONNEL!$B$10:$B$69,0)),""))</f>
        <v/>
      </c>
      <c r="F170" s="73" t="str">
        <f aca="false">IF(C170="","",IFERROR(INDEX(PERSONNEL!$D$10:$D$69,MATCH(C170,PERSONNEL!$B$10:$B$69,0)),""))</f>
        <v/>
      </c>
      <c r="G170" s="116"/>
      <c r="H170" s="117"/>
      <c r="I170" s="116"/>
      <c r="J170" s="118"/>
      <c r="K170" s="116"/>
      <c r="L170" s="118"/>
      <c r="M170" s="51" t="str">
        <f aca="false">IF(B170="","",MONTH(B170))</f>
        <v/>
      </c>
      <c r="N170" s="51" t="str">
        <f aca="false">IF(B170="","",YEAR(B170))</f>
        <v/>
      </c>
      <c r="O170" s="51" t="str">
        <f aca="false">IF(B170="","",C170&amp;"|"&amp;M170&amp;"|"&amp;N170)</f>
        <v/>
      </c>
    </row>
    <row r="171" customFormat="false" ht="15" hidden="false" customHeight="false" outlineLevel="0" collapsed="false">
      <c r="A171" s="73" t="str">
        <f aca="false">IF(B171="","",ROW()-9)</f>
        <v/>
      </c>
      <c r="B171" s="115"/>
      <c r="C171" s="116"/>
      <c r="D171" s="74" t="str">
        <f aca="false">IF(C171="","",IFERROR(INDEX(PERSONNEL!$C$10:$C$69,MATCH(C171,PERSONNEL!$B$10:$B$69,0)),"Matricule inconnu"))</f>
        <v/>
      </c>
      <c r="E171" s="73" t="str">
        <f aca="false">IF(C171="","",IFERROR(INDEX(PERSONNEL!$I$10:$I$69,MATCH(C171,PERSONNEL!$B$10:$B$69,0)),""))</f>
        <v/>
      </c>
      <c r="F171" s="73" t="str">
        <f aca="false">IF(C171="","",IFERROR(INDEX(PERSONNEL!$D$10:$D$69,MATCH(C171,PERSONNEL!$B$10:$B$69,0)),""))</f>
        <v/>
      </c>
      <c r="G171" s="116"/>
      <c r="H171" s="117"/>
      <c r="I171" s="116"/>
      <c r="J171" s="118"/>
      <c r="K171" s="116"/>
      <c r="L171" s="118"/>
      <c r="M171" s="51" t="str">
        <f aca="false">IF(B171="","",MONTH(B171))</f>
        <v/>
      </c>
      <c r="N171" s="51" t="str">
        <f aca="false">IF(B171="","",YEAR(B171))</f>
        <v/>
      </c>
      <c r="O171" s="51" t="str">
        <f aca="false">IF(B171="","",C171&amp;"|"&amp;M171&amp;"|"&amp;N171)</f>
        <v/>
      </c>
    </row>
    <row r="172" customFormat="false" ht="15" hidden="false" customHeight="false" outlineLevel="0" collapsed="false">
      <c r="A172" s="73" t="str">
        <f aca="false">IF(B172="","",ROW()-9)</f>
        <v/>
      </c>
      <c r="B172" s="115"/>
      <c r="C172" s="116"/>
      <c r="D172" s="74" t="str">
        <f aca="false">IF(C172="","",IFERROR(INDEX(PERSONNEL!$C$10:$C$69,MATCH(C172,PERSONNEL!$B$10:$B$69,0)),"Matricule inconnu"))</f>
        <v/>
      </c>
      <c r="E172" s="73" t="str">
        <f aca="false">IF(C172="","",IFERROR(INDEX(PERSONNEL!$I$10:$I$69,MATCH(C172,PERSONNEL!$B$10:$B$69,0)),""))</f>
        <v/>
      </c>
      <c r="F172" s="73" t="str">
        <f aca="false">IF(C172="","",IFERROR(INDEX(PERSONNEL!$D$10:$D$69,MATCH(C172,PERSONNEL!$B$10:$B$69,0)),""))</f>
        <v/>
      </c>
      <c r="G172" s="116"/>
      <c r="H172" s="117"/>
      <c r="I172" s="116"/>
      <c r="J172" s="118"/>
      <c r="K172" s="116"/>
      <c r="L172" s="118"/>
      <c r="M172" s="51" t="str">
        <f aca="false">IF(B172="","",MONTH(B172))</f>
        <v/>
      </c>
      <c r="N172" s="51" t="str">
        <f aca="false">IF(B172="","",YEAR(B172))</f>
        <v/>
      </c>
      <c r="O172" s="51" t="str">
        <f aca="false">IF(B172="","",C172&amp;"|"&amp;M172&amp;"|"&amp;N172)</f>
        <v/>
      </c>
    </row>
    <row r="173" customFormat="false" ht="15" hidden="false" customHeight="false" outlineLevel="0" collapsed="false">
      <c r="A173" s="73" t="str">
        <f aca="false">IF(B173="","",ROW()-9)</f>
        <v/>
      </c>
      <c r="B173" s="115"/>
      <c r="C173" s="116"/>
      <c r="D173" s="74" t="str">
        <f aca="false">IF(C173="","",IFERROR(INDEX(PERSONNEL!$C$10:$C$69,MATCH(C173,PERSONNEL!$B$10:$B$69,0)),"Matricule inconnu"))</f>
        <v/>
      </c>
      <c r="E173" s="73" t="str">
        <f aca="false">IF(C173="","",IFERROR(INDEX(PERSONNEL!$I$10:$I$69,MATCH(C173,PERSONNEL!$B$10:$B$69,0)),""))</f>
        <v/>
      </c>
      <c r="F173" s="73" t="str">
        <f aca="false">IF(C173="","",IFERROR(INDEX(PERSONNEL!$D$10:$D$69,MATCH(C173,PERSONNEL!$B$10:$B$69,0)),""))</f>
        <v/>
      </c>
      <c r="G173" s="116"/>
      <c r="H173" s="117"/>
      <c r="I173" s="116"/>
      <c r="J173" s="118"/>
      <c r="K173" s="116"/>
      <c r="L173" s="118"/>
      <c r="M173" s="51" t="str">
        <f aca="false">IF(B173="","",MONTH(B173))</f>
        <v/>
      </c>
      <c r="N173" s="51" t="str">
        <f aca="false">IF(B173="","",YEAR(B173))</f>
        <v/>
      </c>
      <c r="O173" s="51" t="str">
        <f aca="false">IF(B173="","",C173&amp;"|"&amp;M173&amp;"|"&amp;N173)</f>
        <v/>
      </c>
    </row>
    <row r="174" customFormat="false" ht="15" hidden="false" customHeight="false" outlineLevel="0" collapsed="false">
      <c r="A174" s="73" t="str">
        <f aca="false">IF(B174="","",ROW()-9)</f>
        <v/>
      </c>
      <c r="B174" s="115"/>
      <c r="C174" s="116"/>
      <c r="D174" s="74" t="str">
        <f aca="false">IF(C174="","",IFERROR(INDEX(PERSONNEL!$C$10:$C$69,MATCH(C174,PERSONNEL!$B$10:$B$69,0)),"Matricule inconnu"))</f>
        <v/>
      </c>
      <c r="E174" s="73" t="str">
        <f aca="false">IF(C174="","",IFERROR(INDEX(PERSONNEL!$I$10:$I$69,MATCH(C174,PERSONNEL!$B$10:$B$69,0)),""))</f>
        <v/>
      </c>
      <c r="F174" s="73" t="str">
        <f aca="false">IF(C174="","",IFERROR(INDEX(PERSONNEL!$D$10:$D$69,MATCH(C174,PERSONNEL!$B$10:$B$69,0)),""))</f>
        <v/>
      </c>
      <c r="G174" s="116"/>
      <c r="H174" s="117"/>
      <c r="I174" s="116"/>
      <c r="J174" s="118"/>
      <c r="K174" s="116"/>
      <c r="L174" s="118"/>
      <c r="M174" s="51" t="str">
        <f aca="false">IF(B174="","",MONTH(B174))</f>
        <v/>
      </c>
      <c r="N174" s="51" t="str">
        <f aca="false">IF(B174="","",YEAR(B174))</f>
        <v/>
      </c>
      <c r="O174" s="51" t="str">
        <f aca="false">IF(B174="","",C174&amp;"|"&amp;M174&amp;"|"&amp;N174)</f>
        <v/>
      </c>
    </row>
    <row r="175" customFormat="false" ht="15" hidden="false" customHeight="false" outlineLevel="0" collapsed="false">
      <c r="A175" s="73" t="str">
        <f aca="false">IF(B175="","",ROW()-9)</f>
        <v/>
      </c>
      <c r="B175" s="115"/>
      <c r="C175" s="116"/>
      <c r="D175" s="74" t="str">
        <f aca="false">IF(C175="","",IFERROR(INDEX(PERSONNEL!$C$10:$C$69,MATCH(C175,PERSONNEL!$B$10:$B$69,0)),"Matricule inconnu"))</f>
        <v/>
      </c>
      <c r="E175" s="73" t="str">
        <f aca="false">IF(C175="","",IFERROR(INDEX(PERSONNEL!$I$10:$I$69,MATCH(C175,PERSONNEL!$B$10:$B$69,0)),""))</f>
        <v/>
      </c>
      <c r="F175" s="73" t="str">
        <f aca="false">IF(C175="","",IFERROR(INDEX(PERSONNEL!$D$10:$D$69,MATCH(C175,PERSONNEL!$B$10:$B$69,0)),""))</f>
        <v/>
      </c>
      <c r="G175" s="116"/>
      <c r="H175" s="117"/>
      <c r="I175" s="116"/>
      <c r="J175" s="118"/>
      <c r="K175" s="116"/>
      <c r="L175" s="118"/>
      <c r="M175" s="51" t="str">
        <f aca="false">IF(B175="","",MONTH(B175))</f>
        <v/>
      </c>
      <c r="N175" s="51" t="str">
        <f aca="false">IF(B175="","",YEAR(B175))</f>
        <v/>
      </c>
      <c r="O175" s="51" t="str">
        <f aca="false">IF(B175="","",C175&amp;"|"&amp;M175&amp;"|"&amp;N175)</f>
        <v/>
      </c>
    </row>
    <row r="176" customFormat="false" ht="15" hidden="false" customHeight="false" outlineLevel="0" collapsed="false">
      <c r="A176" s="73" t="str">
        <f aca="false">IF(B176="","",ROW()-9)</f>
        <v/>
      </c>
      <c r="B176" s="115"/>
      <c r="C176" s="116"/>
      <c r="D176" s="74" t="str">
        <f aca="false">IF(C176="","",IFERROR(INDEX(PERSONNEL!$C$10:$C$69,MATCH(C176,PERSONNEL!$B$10:$B$69,0)),"Matricule inconnu"))</f>
        <v/>
      </c>
      <c r="E176" s="73" t="str">
        <f aca="false">IF(C176="","",IFERROR(INDEX(PERSONNEL!$I$10:$I$69,MATCH(C176,PERSONNEL!$B$10:$B$69,0)),""))</f>
        <v/>
      </c>
      <c r="F176" s="73" t="str">
        <f aca="false">IF(C176="","",IFERROR(INDEX(PERSONNEL!$D$10:$D$69,MATCH(C176,PERSONNEL!$B$10:$B$69,0)),""))</f>
        <v/>
      </c>
      <c r="G176" s="116"/>
      <c r="H176" s="117"/>
      <c r="I176" s="116"/>
      <c r="J176" s="118"/>
      <c r="K176" s="116"/>
      <c r="L176" s="118"/>
      <c r="M176" s="51" t="str">
        <f aca="false">IF(B176="","",MONTH(B176))</f>
        <v/>
      </c>
      <c r="N176" s="51" t="str">
        <f aca="false">IF(B176="","",YEAR(B176))</f>
        <v/>
      </c>
      <c r="O176" s="51" t="str">
        <f aca="false">IF(B176="","",C176&amp;"|"&amp;M176&amp;"|"&amp;N176)</f>
        <v/>
      </c>
    </row>
    <row r="177" customFormat="false" ht="15" hidden="false" customHeight="false" outlineLevel="0" collapsed="false">
      <c r="A177" s="73" t="str">
        <f aca="false">IF(B177="","",ROW()-9)</f>
        <v/>
      </c>
      <c r="B177" s="115"/>
      <c r="C177" s="116"/>
      <c r="D177" s="74" t="str">
        <f aca="false">IF(C177="","",IFERROR(INDEX(PERSONNEL!$C$10:$C$69,MATCH(C177,PERSONNEL!$B$10:$B$69,0)),"Matricule inconnu"))</f>
        <v/>
      </c>
      <c r="E177" s="73" t="str">
        <f aca="false">IF(C177="","",IFERROR(INDEX(PERSONNEL!$I$10:$I$69,MATCH(C177,PERSONNEL!$B$10:$B$69,0)),""))</f>
        <v/>
      </c>
      <c r="F177" s="73" t="str">
        <f aca="false">IF(C177="","",IFERROR(INDEX(PERSONNEL!$D$10:$D$69,MATCH(C177,PERSONNEL!$B$10:$B$69,0)),""))</f>
        <v/>
      </c>
      <c r="G177" s="116"/>
      <c r="H177" s="117"/>
      <c r="I177" s="116"/>
      <c r="J177" s="118"/>
      <c r="K177" s="116"/>
      <c r="L177" s="118"/>
      <c r="M177" s="51" t="str">
        <f aca="false">IF(B177="","",MONTH(B177))</f>
        <v/>
      </c>
      <c r="N177" s="51" t="str">
        <f aca="false">IF(B177="","",YEAR(B177))</f>
        <v/>
      </c>
      <c r="O177" s="51" t="str">
        <f aca="false">IF(B177="","",C177&amp;"|"&amp;M177&amp;"|"&amp;N177)</f>
        <v/>
      </c>
    </row>
    <row r="178" customFormat="false" ht="15" hidden="false" customHeight="false" outlineLevel="0" collapsed="false">
      <c r="A178" s="73" t="str">
        <f aca="false">IF(B178="","",ROW()-9)</f>
        <v/>
      </c>
      <c r="B178" s="115"/>
      <c r="C178" s="116"/>
      <c r="D178" s="74" t="str">
        <f aca="false">IF(C178="","",IFERROR(INDEX(PERSONNEL!$C$10:$C$69,MATCH(C178,PERSONNEL!$B$10:$B$69,0)),"Matricule inconnu"))</f>
        <v/>
      </c>
      <c r="E178" s="73" t="str">
        <f aca="false">IF(C178="","",IFERROR(INDEX(PERSONNEL!$I$10:$I$69,MATCH(C178,PERSONNEL!$B$10:$B$69,0)),""))</f>
        <v/>
      </c>
      <c r="F178" s="73" t="str">
        <f aca="false">IF(C178="","",IFERROR(INDEX(PERSONNEL!$D$10:$D$69,MATCH(C178,PERSONNEL!$B$10:$B$69,0)),""))</f>
        <v/>
      </c>
      <c r="G178" s="116"/>
      <c r="H178" s="117"/>
      <c r="I178" s="116"/>
      <c r="J178" s="118"/>
      <c r="K178" s="116"/>
      <c r="L178" s="118"/>
      <c r="M178" s="51" t="str">
        <f aca="false">IF(B178="","",MONTH(B178))</f>
        <v/>
      </c>
      <c r="N178" s="51" t="str">
        <f aca="false">IF(B178="","",YEAR(B178))</f>
        <v/>
      </c>
      <c r="O178" s="51" t="str">
        <f aca="false">IF(B178="","",C178&amp;"|"&amp;M178&amp;"|"&amp;N178)</f>
        <v/>
      </c>
    </row>
    <row r="179" customFormat="false" ht="15" hidden="false" customHeight="false" outlineLevel="0" collapsed="false">
      <c r="A179" s="73" t="str">
        <f aca="false">IF(B179="","",ROW()-9)</f>
        <v/>
      </c>
      <c r="B179" s="115"/>
      <c r="C179" s="116"/>
      <c r="D179" s="74" t="str">
        <f aca="false">IF(C179="","",IFERROR(INDEX(PERSONNEL!$C$10:$C$69,MATCH(C179,PERSONNEL!$B$10:$B$69,0)),"Matricule inconnu"))</f>
        <v/>
      </c>
      <c r="E179" s="73" t="str">
        <f aca="false">IF(C179="","",IFERROR(INDEX(PERSONNEL!$I$10:$I$69,MATCH(C179,PERSONNEL!$B$10:$B$69,0)),""))</f>
        <v/>
      </c>
      <c r="F179" s="73" t="str">
        <f aca="false">IF(C179="","",IFERROR(INDEX(PERSONNEL!$D$10:$D$69,MATCH(C179,PERSONNEL!$B$10:$B$69,0)),""))</f>
        <v/>
      </c>
      <c r="G179" s="116"/>
      <c r="H179" s="117"/>
      <c r="I179" s="116"/>
      <c r="J179" s="118"/>
      <c r="K179" s="116"/>
      <c r="L179" s="118"/>
      <c r="M179" s="51" t="str">
        <f aca="false">IF(B179="","",MONTH(B179))</f>
        <v/>
      </c>
      <c r="N179" s="51" t="str">
        <f aca="false">IF(B179="","",YEAR(B179))</f>
        <v/>
      </c>
      <c r="O179" s="51" t="str">
        <f aca="false">IF(B179="","",C179&amp;"|"&amp;M179&amp;"|"&amp;N179)</f>
        <v/>
      </c>
    </row>
    <row r="180" customFormat="false" ht="15" hidden="false" customHeight="false" outlineLevel="0" collapsed="false">
      <c r="A180" s="73" t="str">
        <f aca="false">IF(B180="","",ROW()-9)</f>
        <v/>
      </c>
      <c r="B180" s="115"/>
      <c r="C180" s="116"/>
      <c r="D180" s="74" t="str">
        <f aca="false">IF(C180="","",IFERROR(INDEX(PERSONNEL!$C$10:$C$69,MATCH(C180,PERSONNEL!$B$10:$B$69,0)),"Matricule inconnu"))</f>
        <v/>
      </c>
      <c r="E180" s="73" t="str">
        <f aca="false">IF(C180="","",IFERROR(INDEX(PERSONNEL!$I$10:$I$69,MATCH(C180,PERSONNEL!$B$10:$B$69,0)),""))</f>
        <v/>
      </c>
      <c r="F180" s="73" t="str">
        <f aca="false">IF(C180="","",IFERROR(INDEX(PERSONNEL!$D$10:$D$69,MATCH(C180,PERSONNEL!$B$10:$B$69,0)),""))</f>
        <v/>
      </c>
      <c r="G180" s="116"/>
      <c r="H180" s="117"/>
      <c r="I180" s="116"/>
      <c r="J180" s="118"/>
      <c r="K180" s="116"/>
      <c r="L180" s="118"/>
      <c r="M180" s="51" t="str">
        <f aca="false">IF(B180="","",MONTH(B180))</f>
        <v/>
      </c>
      <c r="N180" s="51" t="str">
        <f aca="false">IF(B180="","",YEAR(B180))</f>
        <v/>
      </c>
      <c r="O180" s="51" t="str">
        <f aca="false">IF(B180="","",C180&amp;"|"&amp;M180&amp;"|"&amp;N180)</f>
        <v/>
      </c>
    </row>
    <row r="181" customFormat="false" ht="15" hidden="false" customHeight="false" outlineLevel="0" collapsed="false">
      <c r="A181" s="73" t="str">
        <f aca="false">IF(B181="","",ROW()-9)</f>
        <v/>
      </c>
      <c r="B181" s="115"/>
      <c r="C181" s="116"/>
      <c r="D181" s="74" t="str">
        <f aca="false">IF(C181="","",IFERROR(INDEX(PERSONNEL!$C$10:$C$69,MATCH(C181,PERSONNEL!$B$10:$B$69,0)),"Matricule inconnu"))</f>
        <v/>
      </c>
      <c r="E181" s="73" t="str">
        <f aca="false">IF(C181="","",IFERROR(INDEX(PERSONNEL!$I$10:$I$69,MATCH(C181,PERSONNEL!$B$10:$B$69,0)),""))</f>
        <v/>
      </c>
      <c r="F181" s="73" t="str">
        <f aca="false">IF(C181="","",IFERROR(INDEX(PERSONNEL!$D$10:$D$69,MATCH(C181,PERSONNEL!$B$10:$B$69,0)),""))</f>
        <v/>
      </c>
      <c r="G181" s="116"/>
      <c r="H181" s="117"/>
      <c r="I181" s="116"/>
      <c r="J181" s="118"/>
      <c r="K181" s="116"/>
      <c r="L181" s="118"/>
      <c r="M181" s="51" t="str">
        <f aca="false">IF(B181="","",MONTH(B181))</f>
        <v/>
      </c>
      <c r="N181" s="51" t="str">
        <f aca="false">IF(B181="","",YEAR(B181))</f>
        <v/>
      </c>
      <c r="O181" s="51" t="str">
        <f aca="false">IF(B181="","",C181&amp;"|"&amp;M181&amp;"|"&amp;N181)</f>
        <v/>
      </c>
    </row>
    <row r="182" customFormat="false" ht="15" hidden="false" customHeight="false" outlineLevel="0" collapsed="false">
      <c r="A182" s="73" t="str">
        <f aca="false">IF(B182="","",ROW()-9)</f>
        <v/>
      </c>
      <c r="B182" s="115"/>
      <c r="C182" s="116"/>
      <c r="D182" s="74" t="str">
        <f aca="false">IF(C182="","",IFERROR(INDEX(PERSONNEL!$C$10:$C$69,MATCH(C182,PERSONNEL!$B$10:$B$69,0)),"Matricule inconnu"))</f>
        <v/>
      </c>
      <c r="E182" s="73" t="str">
        <f aca="false">IF(C182="","",IFERROR(INDEX(PERSONNEL!$I$10:$I$69,MATCH(C182,PERSONNEL!$B$10:$B$69,0)),""))</f>
        <v/>
      </c>
      <c r="F182" s="73" t="str">
        <f aca="false">IF(C182="","",IFERROR(INDEX(PERSONNEL!$D$10:$D$69,MATCH(C182,PERSONNEL!$B$10:$B$69,0)),""))</f>
        <v/>
      </c>
      <c r="G182" s="116"/>
      <c r="H182" s="117"/>
      <c r="I182" s="116"/>
      <c r="J182" s="118"/>
      <c r="K182" s="116"/>
      <c r="L182" s="118"/>
      <c r="M182" s="51" t="str">
        <f aca="false">IF(B182="","",MONTH(B182))</f>
        <v/>
      </c>
      <c r="N182" s="51" t="str">
        <f aca="false">IF(B182="","",YEAR(B182))</f>
        <v/>
      </c>
      <c r="O182" s="51" t="str">
        <f aca="false">IF(B182="","",C182&amp;"|"&amp;M182&amp;"|"&amp;N182)</f>
        <v/>
      </c>
    </row>
    <row r="183" customFormat="false" ht="15" hidden="false" customHeight="false" outlineLevel="0" collapsed="false">
      <c r="A183" s="73" t="str">
        <f aca="false">IF(B183="","",ROW()-9)</f>
        <v/>
      </c>
      <c r="B183" s="115"/>
      <c r="C183" s="116"/>
      <c r="D183" s="74" t="str">
        <f aca="false">IF(C183="","",IFERROR(INDEX(PERSONNEL!$C$10:$C$69,MATCH(C183,PERSONNEL!$B$10:$B$69,0)),"Matricule inconnu"))</f>
        <v/>
      </c>
      <c r="E183" s="73" t="str">
        <f aca="false">IF(C183="","",IFERROR(INDEX(PERSONNEL!$I$10:$I$69,MATCH(C183,PERSONNEL!$B$10:$B$69,0)),""))</f>
        <v/>
      </c>
      <c r="F183" s="73" t="str">
        <f aca="false">IF(C183="","",IFERROR(INDEX(PERSONNEL!$D$10:$D$69,MATCH(C183,PERSONNEL!$B$10:$B$69,0)),""))</f>
        <v/>
      </c>
      <c r="G183" s="116"/>
      <c r="H183" s="117"/>
      <c r="I183" s="116"/>
      <c r="J183" s="118"/>
      <c r="K183" s="116"/>
      <c r="L183" s="118"/>
      <c r="M183" s="51" t="str">
        <f aca="false">IF(B183="","",MONTH(B183))</f>
        <v/>
      </c>
      <c r="N183" s="51" t="str">
        <f aca="false">IF(B183="","",YEAR(B183))</f>
        <v/>
      </c>
      <c r="O183" s="51" t="str">
        <f aca="false">IF(B183="","",C183&amp;"|"&amp;M183&amp;"|"&amp;N183)</f>
        <v/>
      </c>
    </row>
    <row r="184" customFormat="false" ht="15" hidden="false" customHeight="false" outlineLevel="0" collapsed="false">
      <c r="A184" s="73" t="str">
        <f aca="false">IF(B184="","",ROW()-9)</f>
        <v/>
      </c>
      <c r="B184" s="115"/>
      <c r="C184" s="116"/>
      <c r="D184" s="74" t="str">
        <f aca="false">IF(C184="","",IFERROR(INDEX(PERSONNEL!$C$10:$C$69,MATCH(C184,PERSONNEL!$B$10:$B$69,0)),"Matricule inconnu"))</f>
        <v/>
      </c>
      <c r="E184" s="73" t="str">
        <f aca="false">IF(C184="","",IFERROR(INDEX(PERSONNEL!$I$10:$I$69,MATCH(C184,PERSONNEL!$B$10:$B$69,0)),""))</f>
        <v/>
      </c>
      <c r="F184" s="73" t="str">
        <f aca="false">IF(C184="","",IFERROR(INDEX(PERSONNEL!$D$10:$D$69,MATCH(C184,PERSONNEL!$B$10:$B$69,0)),""))</f>
        <v/>
      </c>
      <c r="G184" s="116"/>
      <c r="H184" s="117"/>
      <c r="I184" s="116"/>
      <c r="J184" s="118"/>
      <c r="K184" s="116"/>
      <c r="L184" s="118"/>
      <c r="M184" s="51" t="str">
        <f aca="false">IF(B184="","",MONTH(B184))</f>
        <v/>
      </c>
      <c r="N184" s="51" t="str">
        <f aca="false">IF(B184="","",YEAR(B184))</f>
        <v/>
      </c>
      <c r="O184" s="51" t="str">
        <f aca="false">IF(B184="","",C184&amp;"|"&amp;M184&amp;"|"&amp;N184)</f>
        <v/>
      </c>
    </row>
    <row r="185" customFormat="false" ht="15" hidden="false" customHeight="false" outlineLevel="0" collapsed="false">
      <c r="A185" s="73" t="str">
        <f aca="false">IF(B185="","",ROW()-9)</f>
        <v/>
      </c>
      <c r="B185" s="115"/>
      <c r="C185" s="116"/>
      <c r="D185" s="74" t="str">
        <f aca="false">IF(C185="","",IFERROR(INDEX(PERSONNEL!$C$10:$C$69,MATCH(C185,PERSONNEL!$B$10:$B$69,0)),"Matricule inconnu"))</f>
        <v/>
      </c>
      <c r="E185" s="73" t="str">
        <f aca="false">IF(C185="","",IFERROR(INDEX(PERSONNEL!$I$10:$I$69,MATCH(C185,PERSONNEL!$B$10:$B$69,0)),""))</f>
        <v/>
      </c>
      <c r="F185" s="73" t="str">
        <f aca="false">IF(C185="","",IFERROR(INDEX(PERSONNEL!$D$10:$D$69,MATCH(C185,PERSONNEL!$B$10:$B$69,0)),""))</f>
        <v/>
      </c>
      <c r="G185" s="116"/>
      <c r="H185" s="117"/>
      <c r="I185" s="116"/>
      <c r="J185" s="118"/>
      <c r="K185" s="116"/>
      <c r="L185" s="118"/>
      <c r="M185" s="51" t="str">
        <f aca="false">IF(B185="","",MONTH(B185))</f>
        <v/>
      </c>
      <c r="N185" s="51" t="str">
        <f aca="false">IF(B185="","",YEAR(B185))</f>
        <v/>
      </c>
      <c r="O185" s="51" t="str">
        <f aca="false">IF(B185="","",C185&amp;"|"&amp;M185&amp;"|"&amp;N185)</f>
        <v/>
      </c>
    </row>
    <row r="186" customFormat="false" ht="15" hidden="false" customHeight="false" outlineLevel="0" collapsed="false">
      <c r="A186" s="73" t="str">
        <f aca="false">IF(B186="","",ROW()-9)</f>
        <v/>
      </c>
      <c r="B186" s="115"/>
      <c r="C186" s="116"/>
      <c r="D186" s="74" t="str">
        <f aca="false">IF(C186="","",IFERROR(INDEX(PERSONNEL!$C$10:$C$69,MATCH(C186,PERSONNEL!$B$10:$B$69,0)),"Matricule inconnu"))</f>
        <v/>
      </c>
      <c r="E186" s="73" t="str">
        <f aca="false">IF(C186="","",IFERROR(INDEX(PERSONNEL!$I$10:$I$69,MATCH(C186,PERSONNEL!$B$10:$B$69,0)),""))</f>
        <v/>
      </c>
      <c r="F186" s="73" t="str">
        <f aca="false">IF(C186="","",IFERROR(INDEX(PERSONNEL!$D$10:$D$69,MATCH(C186,PERSONNEL!$B$10:$B$69,0)),""))</f>
        <v/>
      </c>
      <c r="G186" s="116"/>
      <c r="H186" s="117"/>
      <c r="I186" s="116"/>
      <c r="J186" s="118"/>
      <c r="K186" s="116"/>
      <c r="L186" s="118"/>
      <c r="M186" s="51" t="str">
        <f aca="false">IF(B186="","",MONTH(B186))</f>
        <v/>
      </c>
      <c r="N186" s="51" t="str">
        <f aca="false">IF(B186="","",YEAR(B186))</f>
        <v/>
      </c>
      <c r="O186" s="51" t="str">
        <f aca="false">IF(B186="","",C186&amp;"|"&amp;M186&amp;"|"&amp;N186)</f>
        <v/>
      </c>
    </row>
    <row r="187" customFormat="false" ht="15" hidden="false" customHeight="false" outlineLevel="0" collapsed="false">
      <c r="A187" s="73" t="str">
        <f aca="false">IF(B187="","",ROW()-9)</f>
        <v/>
      </c>
      <c r="B187" s="115"/>
      <c r="C187" s="116"/>
      <c r="D187" s="74" t="str">
        <f aca="false">IF(C187="","",IFERROR(INDEX(PERSONNEL!$C$10:$C$69,MATCH(C187,PERSONNEL!$B$10:$B$69,0)),"Matricule inconnu"))</f>
        <v/>
      </c>
      <c r="E187" s="73" t="str">
        <f aca="false">IF(C187="","",IFERROR(INDEX(PERSONNEL!$I$10:$I$69,MATCH(C187,PERSONNEL!$B$10:$B$69,0)),""))</f>
        <v/>
      </c>
      <c r="F187" s="73" t="str">
        <f aca="false">IF(C187="","",IFERROR(INDEX(PERSONNEL!$D$10:$D$69,MATCH(C187,PERSONNEL!$B$10:$B$69,0)),""))</f>
        <v/>
      </c>
      <c r="G187" s="116"/>
      <c r="H187" s="117"/>
      <c r="I187" s="116"/>
      <c r="J187" s="118"/>
      <c r="K187" s="116"/>
      <c r="L187" s="118"/>
      <c r="M187" s="51" t="str">
        <f aca="false">IF(B187="","",MONTH(B187))</f>
        <v/>
      </c>
      <c r="N187" s="51" t="str">
        <f aca="false">IF(B187="","",YEAR(B187))</f>
        <v/>
      </c>
      <c r="O187" s="51" t="str">
        <f aca="false">IF(B187="","",C187&amp;"|"&amp;M187&amp;"|"&amp;N187)</f>
        <v/>
      </c>
    </row>
    <row r="188" customFormat="false" ht="15" hidden="false" customHeight="false" outlineLevel="0" collapsed="false">
      <c r="A188" s="73" t="str">
        <f aca="false">IF(B188="","",ROW()-9)</f>
        <v/>
      </c>
      <c r="B188" s="115"/>
      <c r="C188" s="116"/>
      <c r="D188" s="74" t="str">
        <f aca="false">IF(C188="","",IFERROR(INDEX(PERSONNEL!$C$10:$C$69,MATCH(C188,PERSONNEL!$B$10:$B$69,0)),"Matricule inconnu"))</f>
        <v/>
      </c>
      <c r="E188" s="73" t="str">
        <f aca="false">IF(C188="","",IFERROR(INDEX(PERSONNEL!$I$10:$I$69,MATCH(C188,PERSONNEL!$B$10:$B$69,0)),""))</f>
        <v/>
      </c>
      <c r="F188" s="73" t="str">
        <f aca="false">IF(C188="","",IFERROR(INDEX(PERSONNEL!$D$10:$D$69,MATCH(C188,PERSONNEL!$B$10:$B$69,0)),""))</f>
        <v/>
      </c>
      <c r="G188" s="116"/>
      <c r="H188" s="117"/>
      <c r="I188" s="116"/>
      <c r="J188" s="118"/>
      <c r="K188" s="116"/>
      <c r="L188" s="118"/>
      <c r="M188" s="51" t="str">
        <f aca="false">IF(B188="","",MONTH(B188))</f>
        <v/>
      </c>
      <c r="N188" s="51" t="str">
        <f aca="false">IF(B188="","",YEAR(B188))</f>
        <v/>
      </c>
      <c r="O188" s="51" t="str">
        <f aca="false">IF(B188="","",C188&amp;"|"&amp;M188&amp;"|"&amp;N188)</f>
        <v/>
      </c>
    </row>
    <row r="189" customFormat="false" ht="15" hidden="false" customHeight="false" outlineLevel="0" collapsed="false">
      <c r="A189" s="73" t="str">
        <f aca="false">IF(B189="","",ROW()-9)</f>
        <v/>
      </c>
      <c r="B189" s="115"/>
      <c r="C189" s="116"/>
      <c r="D189" s="74" t="str">
        <f aca="false">IF(C189="","",IFERROR(INDEX(PERSONNEL!$C$10:$C$69,MATCH(C189,PERSONNEL!$B$10:$B$69,0)),"Matricule inconnu"))</f>
        <v/>
      </c>
      <c r="E189" s="73" t="str">
        <f aca="false">IF(C189="","",IFERROR(INDEX(PERSONNEL!$I$10:$I$69,MATCH(C189,PERSONNEL!$B$10:$B$69,0)),""))</f>
        <v/>
      </c>
      <c r="F189" s="73" t="str">
        <f aca="false">IF(C189="","",IFERROR(INDEX(PERSONNEL!$D$10:$D$69,MATCH(C189,PERSONNEL!$B$10:$B$69,0)),""))</f>
        <v/>
      </c>
      <c r="G189" s="116"/>
      <c r="H189" s="117"/>
      <c r="I189" s="116"/>
      <c r="J189" s="118"/>
      <c r="K189" s="116"/>
      <c r="L189" s="118"/>
      <c r="M189" s="51" t="str">
        <f aca="false">IF(B189="","",MONTH(B189))</f>
        <v/>
      </c>
      <c r="N189" s="51" t="str">
        <f aca="false">IF(B189="","",YEAR(B189))</f>
        <v/>
      </c>
      <c r="O189" s="51" t="str">
        <f aca="false">IF(B189="","",C189&amp;"|"&amp;M189&amp;"|"&amp;N189)</f>
        <v/>
      </c>
    </row>
    <row r="190" customFormat="false" ht="15" hidden="false" customHeight="false" outlineLevel="0" collapsed="false">
      <c r="A190" s="73" t="str">
        <f aca="false">IF(B190="","",ROW()-9)</f>
        <v/>
      </c>
      <c r="B190" s="115"/>
      <c r="C190" s="116"/>
      <c r="D190" s="74" t="str">
        <f aca="false">IF(C190="","",IFERROR(INDEX(PERSONNEL!$C$10:$C$69,MATCH(C190,PERSONNEL!$B$10:$B$69,0)),"Matricule inconnu"))</f>
        <v/>
      </c>
      <c r="E190" s="73" t="str">
        <f aca="false">IF(C190="","",IFERROR(INDEX(PERSONNEL!$I$10:$I$69,MATCH(C190,PERSONNEL!$B$10:$B$69,0)),""))</f>
        <v/>
      </c>
      <c r="F190" s="73" t="str">
        <f aca="false">IF(C190="","",IFERROR(INDEX(PERSONNEL!$D$10:$D$69,MATCH(C190,PERSONNEL!$B$10:$B$69,0)),""))</f>
        <v/>
      </c>
      <c r="G190" s="116"/>
      <c r="H190" s="117"/>
      <c r="I190" s="116"/>
      <c r="J190" s="118"/>
      <c r="K190" s="116"/>
      <c r="L190" s="118"/>
      <c r="M190" s="51" t="str">
        <f aca="false">IF(B190="","",MONTH(B190))</f>
        <v/>
      </c>
      <c r="N190" s="51" t="str">
        <f aca="false">IF(B190="","",YEAR(B190))</f>
        <v/>
      </c>
      <c r="O190" s="51" t="str">
        <f aca="false">IF(B190="","",C190&amp;"|"&amp;M190&amp;"|"&amp;N190)</f>
        <v/>
      </c>
    </row>
    <row r="191" customFormat="false" ht="15" hidden="false" customHeight="false" outlineLevel="0" collapsed="false">
      <c r="A191" s="73" t="str">
        <f aca="false">IF(B191="","",ROW()-9)</f>
        <v/>
      </c>
      <c r="B191" s="115"/>
      <c r="C191" s="116"/>
      <c r="D191" s="74" t="str">
        <f aca="false">IF(C191="","",IFERROR(INDEX(PERSONNEL!$C$10:$C$69,MATCH(C191,PERSONNEL!$B$10:$B$69,0)),"Matricule inconnu"))</f>
        <v/>
      </c>
      <c r="E191" s="73" t="str">
        <f aca="false">IF(C191="","",IFERROR(INDEX(PERSONNEL!$I$10:$I$69,MATCH(C191,PERSONNEL!$B$10:$B$69,0)),""))</f>
        <v/>
      </c>
      <c r="F191" s="73" t="str">
        <f aca="false">IF(C191="","",IFERROR(INDEX(PERSONNEL!$D$10:$D$69,MATCH(C191,PERSONNEL!$B$10:$B$69,0)),""))</f>
        <v/>
      </c>
      <c r="G191" s="116"/>
      <c r="H191" s="117"/>
      <c r="I191" s="116"/>
      <c r="J191" s="118"/>
      <c r="K191" s="116"/>
      <c r="L191" s="118"/>
      <c r="M191" s="51" t="str">
        <f aca="false">IF(B191="","",MONTH(B191))</f>
        <v/>
      </c>
      <c r="N191" s="51" t="str">
        <f aca="false">IF(B191="","",YEAR(B191))</f>
        <v/>
      </c>
      <c r="O191" s="51" t="str">
        <f aca="false">IF(B191="","",C191&amp;"|"&amp;M191&amp;"|"&amp;N191)</f>
        <v/>
      </c>
    </row>
    <row r="192" customFormat="false" ht="15" hidden="false" customHeight="false" outlineLevel="0" collapsed="false">
      <c r="A192" s="73" t="str">
        <f aca="false">IF(B192="","",ROW()-9)</f>
        <v/>
      </c>
      <c r="B192" s="115"/>
      <c r="C192" s="116"/>
      <c r="D192" s="74" t="str">
        <f aca="false">IF(C192="","",IFERROR(INDEX(PERSONNEL!$C$10:$C$69,MATCH(C192,PERSONNEL!$B$10:$B$69,0)),"Matricule inconnu"))</f>
        <v/>
      </c>
      <c r="E192" s="73" t="str">
        <f aca="false">IF(C192="","",IFERROR(INDEX(PERSONNEL!$I$10:$I$69,MATCH(C192,PERSONNEL!$B$10:$B$69,0)),""))</f>
        <v/>
      </c>
      <c r="F192" s="73" t="str">
        <f aca="false">IF(C192="","",IFERROR(INDEX(PERSONNEL!$D$10:$D$69,MATCH(C192,PERSONNEL!$B$10:$B$69,0)),""))</f>
        <v/>
      </c>
      <c r="G192" s="116"/>
      <c r="H192" s="117"/>
      <c r="I192" s="116"/>
      <c r="J192" s="118"/>
      <c r="K192" s="116"/>
      <c r="L192" s="118"/>
      <c r="M192" s="51" t="str">
        <f aca="false">IF(B192="","",MONTH(B192))</f>
        <v/>
      </c>
      <c r="N192" s="51" t="str">
        <f aca="false">IF(B192="","",YEAR(B192))</f>
        <v/>
      </c>
      <c r="O192" s="51" t="str">
        <f aca="false">IF(B192="","",C192&amp;"|"&amp;M192&amp;"|"&amp;N192)</f>
        <v/>
      </c>
    </row>
    <row r="193" customFormat="false" ht="15" hidden="false" customHeight="false" outlineLevel="0" collapsed="false">
      <c r="A193" s="73" t="str">
        <f aca="false">IF(B193="","",ROW()-9)</f>
        <v/>
      </c>
      <c r="B193" s="115"/>
      <c r="C193" s="116"/>
      <c r="D193" s="74" t="str">
        <f aca="false">IF(C193="","",IFERROR(INDEX(PERSONNEL!$C$10:$C$69,MATCH(C193,PERSONNEL!$B$10:$B$69,0)),"Matricule inconnu"))</f>
        <v/>
      </c>
      <c r="E193" s="73" t="str">
        <f aca="false">IF(C193="","",IFERROR(INDEX(PERSONNEL!$I$10:$I$69,MATCH(C193,PERSONNEL!$B$10:$B$69,0)),""))</f>
        <v/>
      </c>
      <c r="F193" s="73" t="str">
        <f aca="false">IF(C193="","",IFERROR(INDEX(PERSONNEL!$D$10:$D$69,MATCH(C193,PERSONNEL!$B$10:$B$69,0)),""))</f>
        <v/>
      </c>
      <c r="G193" s="116"/>
      <c r="H193" s="117"/>
      <c r="I193" s="116"/>
      <c r="J193" s="118"/>
      <c r="K193" s="116"/>
      <c r="L193" s="118"/>
      <c r="M193" s="51" t="str">
        <f aca="false">IF(B193="","",MONTH(B193))</f>
        <v/>
      </c>
      <c r="N193" s="51" t="str">
        <f aca="false">IF(B193="","",YEAR(B193))</f>
        <v/>
      </c>
      <c r="O193" s="51" t="str">
        <f aca="false">IF(B193="","",C193&amp;"|"&amp;M193&amp;"|"&amp;N193)</f>
        <v/>
      </c>
    </row>
    <row r="194" customFormat="false" ht="15" hidden="false" customHeight="false" outlineLevel="0" collapsed="false">
      <c r="A194" s="73" t="str">
        <f aca="false">IF(B194="","",ROW()-9)</f>
        <v/>
      </c>
      <c r="B194" s="115"/>
      <c r="C194" s="116"/>
      <c r="D194" s="74" t="str">
        <f aca="false">IF(C194="","",IFERROR(INDEX(PERSONNEL!$C$10:$C$69,MATCH(C194,PERSONNEL!$B$10:$B$69,0)),"Matricule inconnu"))</f>
        <v/>
      </c>
      <c r="E194" s="73" t="str">
        <f aca="false">IF(C194="","",IFERROR(INDEX(PERSONNEL!$I$10:$I$69,MATCH(C194,PERSONNEL!$B$10:$B$69,0)),""))</f>
        <v/>
      </c>
      <c r="F194" s="73" t="str">
        <f aca="false">IF(C194="","",IFERROR(INDEX(PERSONNEL!$D$10:$D$69,MATCH(C194,PERSONNEL!$B$10:$B$69,0)),""))</f>
        <v/>
      </c>
      <c r="G194" s="116"/>
      <c r="H194" s="117"/>
      <c r="I194" s="116"/>
      <c r="J194" s="118"/>
      <c r="K194" s="116"/>
      <c r="L194" s="118"/>
      <c r="M194" s="51" t="str">
        <f aca="false">IF(B194="","",MONTH(B194))</f>
        <v/>
      </c>
      <c r="N194" s="51" t="str">
        <f aca="false">IF(B194="","",YEAR(B194))</f>
        <v/>
      </c>
      <c r="O194" s="51" t="str">
        <f aca="false">IF(B194="","",C194&amp;"|"&amp;M194&amp;"|"&amp;N194)</f>
        <v/>
      </c>
    </row>
    <row r="195" customFormat="false" ht="15" hidden="false" customHeight="false" outlineLevel="0" collapsed="false">
      <c r="A195" s="73" t="str">
        <f aca="false">IF(B195="","",ROW()-9)</f>
        <v/>
      </c>
      <c r="B195" s="115"/>
      <c r="C195" s="116"/>
      <c r="D195" s="74" t="str">
        <f aca="false">IF(C195="","",IFERROR(INDEX(PERSONNEL!$C$10:$C$69,MATCH(C195,PERSONNEL!$B$10:$B$69,0)),"Matricule inconnu"))</f>
        <v/>
      </c>
      <c r="E195" s="73" t="str">
        <f aca="false">IF(C195="","",IFERROR(INDEX(PERSONNEL!$I$10:$I$69,MATCH(C195,PERSONNEL!$B$10:$B$69,0)),""))</f>
        <v/>
      </c>
      <c r="F195" s="73" t="str">
        <f aca="false">IF(C195="","",IFERROR(INDEX(PERSONNEL!$D$10:$D$69,MATCH(C195,PERSONNEL!$B$10:$B$69,0)),""))</f>
        <v/>
      </c>
      <c r="G195" s="116"/>
      <c r="H195" s="117"/>
      <c r="I195" s="116"/>
      <c r="J195" s="118"/>
      <c r="K195" s="116"/>
      <c r="L195" s="118"/>
      <c r="M195" s="51" t="str">
        <f aca="false">IF(B195="","",MONTH(B195))</f>
        <v/>
      </c>
      <c r="N195" s="51" t="str">
        <f aca="false">IF(B195="","",YEAR(B195))</f>
        <v/>
      </c>
      <c r="O195" s="51" t="str">
        <f aca="false">IF(B195="","",C195&amp;"|"&amp;M195&amp;"|"&amp;N195)</f>
        <v/>
      </c>
    </row>
    <row r="196" customFormat="false" ht="15" hidden="false" customHeight="false" outlineLevel="0" collapsed="false">
      <c r="A196" s="73" t="str">
        <f aca="false">IF(B196="","",ROW()-9)</f>
        <v/>
      </c>
      <c r="B196" s="115"/>
      <c r="C196" s="116"/>
      <c r="D196" s="74" t="str">
        <f aca="false">IF(C196="","",IFERROR(INDEX(PERSONNEL!$C$10:$C$69,MATCH(C196,PERSONNEL!$B$10:$B$69,0)),"Matricule inconnu"))</f>
        <v/>
      </c>
      <c r="E196" s="73" t="str">
        <f aca="false">IF(C196="","",IFERROR(INDEX(PERSONNEL!$I$10:$I$69,MATCH(C196,PERSONNEL!$B$10:$B$69,0)),""))</f>
        <v/>
      </c>
      <c r="F196" s="73" t="str">
        <f aca="false">IF(C196="","",IFERROR(INDEX(PERSONNEL!$D$10:$D$69,MATCH(C196,PERSONNEL!$B$10:$B$69,0)),""))</f>
        <v/>
      </c>
      <c r="G196" s="116"/>
      <c r="H196" s="117"/>
      <c r="I196" s="116"/>
      <c r="J196" s="118"/>
      <c r="K196" s="116"/>
      <c r="L196" s="118"/>
      <c r="M196" s="51" t="str">
        <f aca="false">IF(B196="","",MONTH(B196))</f>
        <v/>
      </c>
      <c r="N196" s="51" t="str">
        <f aca="false">IF(B196="","",YEAR(B196))</f>
        <v/>
      </c>
      <c r="O196" s="51" t="str">
        <f aca="false">IF(B196="","",C196&amp;"|"&amp;M196&amp;"|"&amp;N196)</f>
        <v/>
      </c>
    </row>
    <row r="197" customFormat="false" ht="15" hidden="false" customHeight="false" outlineLevel="0" collapsed="false">
      <c r="A197" s="73" t="str">
        <f aca="false">IF(B197="","",ROW()-9)</f>
        <v/>
      </c>
      <c r="B197" s="115"/>
      <c r="C197" s="116"/>
      <c r="D197" s="74" t="str">
        <f aca="false">IF(C197="","",IFERROR(INDEX(PERSONNEL!$C$10:$C$69,MATCH(C197,PERSONNEL!$B$10:$B$69,0)),"Matricule inconnu"))</f>
        <v/>
      </c>
      <c r="E197" s="73" t="str">
        <f aca="false">IF(C197="","",IFERROR(INDEX(PERSONNEL!$I$10:$I$69,MATCH(C197,PERSONNEL!$B$10:$B$69,0)),""))</f>
        <v/>
      </c>
      <c r="F197" s="73" t="str">
        <f aca="false">IF(C197="","",IFERROR(INDEX(PERSONNEL!$D$10:$D$69,MATCH(C197,PERSONNEL!$B$10:$B$69,0)),""))</f>
        <v/>
      </c>
      <c r="G197" s="116"/>
      <c r="H197" s="117"/>
      <c r="I197" s="116"/>
      <c r="J197" s="118"/>
      <c r="K197" s="116"/>
      <c r="L197" s="118"/>
      <c r="M197" s="51" t="str">
        <f aca="false">IF(B197="","",MONTH(B197))</f>
        <v/>
      </c>
      <c r="N197" s="51" t="str">
        <f aca="false">IF(B197="","",YEAR(B197))</f>
        <v/>
      </c>
      <c r="O197" s="51" t="str">
        <f aca="false">IF(B197="","",C197&amp;"|"&amp;M197&amp;"|"&amp;N197)</f>
        <v/>
      </c>
    </row>
    <row r="198" customFormat="false" ht="15" hidden="false" customHeight="false" outlineLevel="0" collapsed="false">
      <c r="A198" s="73" t="str">
        <f aca="false">IF(B198="","",ROW()-9)</f>
        <v/>
      </c>
      <c r="B198" s="115"/>
      <c r="C198" s="116"/>
      <c r="D198" s="74" t="str">
        <f aca="false">IF(C198="","",IFERROR(INDEX(PERSONNEL!$C$10:$C$69,MATCH(C198,PERSONNEL!$B$10:$B$69,0)),"Matricule inconnu"))</f>
        <v/>
      </c>
      <c r="E198" s="73" t="str">
        <f aca="false">IF(C198="","",IFERROR(INDEX(PERSONNEL!$I$10:$I$69,MATCH(C198,PERSONNEL!$B$10:$B$69,0)),""))</f>
        <v/>
      </c>
      <c r="F198" s="73" t="str">
        <f aca="false">IF(C198="","",IFERROR(INDEX(PERSONNEL!$D$10:$D$69,MATCH(C198,PERSONNEL!$B$10:$B$69,0)),""))</f>
        <v/>
      </c>
      <c r="G198" s="116"/>
      <c r="H198" s="117"/>
      <c r="I198" s="116"/>
      <c r="J198" s="118"/>
      <c r="K198" s="116"/>
      <c r="L198" s="118"/>
      <c r="M198" s="51" t="str">
        <f aca="false">IF(B198="","",MONTH(B198))</f>
        <v/>
      </c>
      <c r="N198" s="51" t="str">
        <f aca="false">IF(B198="","",YEAR(B198))</f>
        <v/>
      </c>
      <c r="O198" s="51" t="str">
        <f aca="false">IF(B198="","",C198&amp;"|"&amp;M198&amp;"|"&amp;N198)</f>
        <v/>
      </c>
    </row>
    <row r="199" customFormat="false" ht="15" hidden="false" customHeight="false" outlineLevel="0" collapsed="false">
      <c r="A199" s="73" t="str">
        <f aca="false">IF(B199="","",ROW()-9)</f>
        <v/>
      </c>
      <c r="B199" s="115"/>
      <c r="C199" s="116"/>
      <c r="D199" s="74" t="str">
        <f aca="false">IF(C199="","",IFERROR(INDEX(PERSONNEL!$C$10:$C$69,MATCH(C199,PERSONNEL!$B$10:$B$69,0)),"Matricule inconnu"))</f>
        <v/>
      </c>
      <c r="E199" s="73" t="str">
        <f aca="false">IF(C199="","",IFERROR(INDEX(PERSONNEL!$I$10:$I$69,MATCH(C199,PERSONNEL!$B$10:$B$69,0)),""))</f>
        <v/>
      </c>
      <c r="F199" s="73" t="str">
        <f aca="false">IF(C199="","",IFERROR(INDEX(PERSONNEL!$D$10:$D$69,MATCH(C199,PERSONNEL!$B$10:$B$69,0)),""))</f>
        <v/>
      </c>
      <c r="G199" s="116"/>
      <c r="H199" s="117"/>
      <c r="I199" s="116"/>
      <c r="J199" s="118"/>
      <c r="K199" s="116"/>
      <c r="L199" s="118"/>
      <c r="M199" s="51" t="str">
        <f aca="false">IF(B199="","",MONTH(B199))</f>
        <v/>
      </c>
      <c r="N199" s="51" t="str">
        <f aca="false">IF(B199="","",YEAR(B199))</f>
        <v/>
      </c>
      <c r="O199" s="51" t="str">
        <f aca="false">IF(B199="","",C199&amp;"|"&amp;M199&amp;"|"&amp;N199)</f>
        <v/>
      </c>
    </row>
    <row r="200" customFormat="false" ht="15" hidden="false" customHeight="false" outlineLevel="0" collapsed="false">
      <c r="A200" s="73" t="str">
        <f aca="false">IF(B200="","",ROW()-9)</f>
        <v/>
      </c>
      <c r="B200" s="115"/>
      <c r="C200" s="116"/>
      <c r="D200" s="74" t="str">
        <f aca="false">IF(C200="","",IFERROR(INDEX(PERSONNEL!$C$10:$C$69,MATCH(C200,PERSONNEL!$B$10:$B$69,0)),"Matricule inconnu"))</f>
        <v/>
      </c>
      <c r="E200" s="73" t="str">
        <f aca="false">IF(C200="","",IFERROR(INDEX(PERSONNEL!$I$10:$I$69,MATCH(C200,PERSONNEL!$B$10:$B$69,0)),""))</f>
        <v/>
      </c>
      <c r="F200" s="73" t="str">
        <f aca="false">IF(C200="","",IFERROR(INDEX(PERSONNEL!$D$10:$D$69,MATCH(C200,PERSONNEL!$B$10:$B$69,0)),""))</f>
        <v/>
      </c>
      <c r="G200" s="116"/>
      <c r="H200" s="117"/>
      <c r="I200" s="116"/>
      <c r="J200" s="118"/>
      <c r="K200" s="116"/>
      <c r="L200" s="118"/>
      <c r="M200" s="51" t="str">
        <f aca="false">IF(B200="","",MONTH(B200))</f>
        <v/>
      </c>
      <c r="N200" s="51" t="str">
        <f aca="false">IF(B200="","",YEAR(B200))</f>
        <v/>
      </c>
      <c r="O200" s="51" t="str">
        <f aca="false">IF(B200="","",C200&amp;"|"&amp;M200&amp;"|"&amp;N200)</f>
        <v/>
      </c>
    </row>
    <row r="201" customFormat="false" ht="15" hidden="false" customHeight="false" outlineLevel="0" collapsed="false">
      <c r="A201" s="73" t="str">
        <f aca="false">IF(B201="","",ROW()-9)</f>
        <v/>
      </c>
      <c r="B201" s="115"/>
      <c r="C201" s="116"/>
      <c r="D201" s="74" t="str">
        <f aca="false">IF(C201="","",IFERROR(INDEX(PERSONNEL!$C$10:$C$69,MATCH(C201,PERSONNEL!$B$10:$B$69,0)),"Matricule inconnu"))</f>
        <v/>
      </c>
      <c r="E201" s="73" t="str">
        <f aca="false">IF(C201="","",IFERROR(INDEX(PERSONNEL!$I$10:$I$69,MATCH(C201,PERSONNEL!$B$10:$B$69,0)),""))</f>
        <v/>
      </c>
      <c r="F201" s="73" t="str">
        <f aca="false">IF(C201="","",IFERROR(INDEX(PERSONNEL!$D$10:$D$69,MATCH(C201,PERSONNEL!$B$10:$B$69,0)),""))</f>
        <v/>
      </c>
      <c r="G201" s="116"/>
      <c r="H201" s="117"/>
      <c r="I201" s="116"/>
      <c r="J201" s="118"/>
      <c r="K201" s="116"/>
      <c r="L201" s="118"/>
      <c r="M201" s="51" t="str">
        <f aca="false">IF(B201="","",MONTH(B201))</f>
        <v/>
      </c>
      <c r="N201" s="51" t="str">
        <f aca="false">IF(B201="","",YEAR(B201))</f>
        <v/>
      </c>
      <c r="O201" s="51" t="str">
        <f aca="false">IF(B201="","",C201&amp;"|"&amp;M201&amp;"|"&amp;N201)</f>
        <v/>
      </c>
    </row>
    <row r="202" customFormat="false" ht="15" hidden="false" customHeight="false" outlineLevel="0" collapsed="false">
      <c r="A202" s="73" t="str">
        <f aca="false">IF(B202="","",ROW()-9)</f>
        <v/>
      </c>
      <c r="B202" s="115"/>
      <c r="C202" s="116"/>
      <c r="D202" s="74" t="str">
        <f aca="false">IF(C202="","",IFERROR(INDEX(PERSONNEL!$C$10:$C$69,MATCH(C202,PERSONNEL!$B$10:$B$69,0)),"Matricule inconnu"))</f>
        <v/>
      </c>
      <c r="E202" s="73" t="str">
        <f aca="false">IF(C202="","",IFERROR(INDEX(PERSONNEL!$I$10:$I$69,MATCH(C202,PERSONNEL!$B$10:$B$69,0)),""))</f>
        <v/>
      </c>
      <c r="F202" s="73" t="str">
        <f aca="false">IF(C202="","",IFERROR(INDEX(PERSONNEL!$D$10:$D$69,MATCH(C202,PERSONNEL!$B$10:$B$69,0)),""))</f>
        <v/>
      </c>
      <c r="G202" s="116"/>
      <c r="H202" s="117"/>
      <c r="I202" s="116"/>
      <c r="J202" s="118"/>
      <c r="K202" s="116"/>
      <c r="L202" s="118"/>
      <c r="M202" s="51" t="str">
        <f aca="false">IF(B202="","",MONTH(B202))</f>
        <v/>
      </c>
      <c r="N202" s="51" t="str">
        <f aca="false">IF(B202="","",YEAR(B202))</f>
        <v/>
      </c>
      <c r="O202" s="51" t="str">
        <f aca="false">IF(B202="","",C202&amp;"|"&amp;M202&amp;"|"&amp;N202)</f>
        <v/>
      </c>
    </row>
    <row r="203" customFormat="false" ht="15" hidden="false" customHeight="false" outlineLevel="0" collapsed="false">
      <c r="A203" s="73" t="str">
        <f aca="false">IF(B203="","",ROW()-9)</f>
        <v/>
      </c>
      <c r="B203" s="115"/>
      <c r="C203" s="116"/>
      <c r="D203" s="74" t="str">
        <f aca="false">IF(C203="","",IFERROR(INDEX(PERSONNEL!$C$10:$C$69,MATCH(C203,PERSONNEL!$B$10:$B$69,0)),"Matricule inconnu"))</f>
        <v/>
      </c>
      <c r="E203" s="73" t="str">
        <f aca="false">IF(C203="","",IFERROR(INDEX(PERSONNEL!$I$10:$I$69,MATCH(C203,PERSONNEL!$B$10:$B$69,0)),""))</f>
        <v/>
      </c>
      <c r="F203" s="73" t="str">
        <f aca="false">IF(C203="","",IFERROR(INDEX(PERSONNEL!$D$10:$D$69,MATCH(C203,PERSONNEL!$B$10:$B$69,0)),""))</f>
        <v/>
      </c>
      <c r="G203" s="116"/>
      <c r="H203" s="117"/>
      <c r="I203" s="116"/>
      <c r="J203" s="118"/>
      <c r="K203" s="116"/>
      <c r="L203" s="118"/>
      <c r="M203" s="51" t="str">
        <f aca="false">IF(B203="","",MONTH(B203))</f>
        <v/>
      </c>
      <c r="N203" s="51" t="str">
        <f aca="false">IF(B203="","",YEAR(B203))</f>
        <v/>
      </c>
      <c r="O203" s="51" t="str">
        <f aca="false">IF(B203="","",C203&amp;"|"&amp;M203&amp;"|"&amp;N203)</f>
        <v/>
      </c>
    </row>
    <row r="204" customFormat="false" ht="15" hidden="false" customHeight="false" outlineLevel="0" collapsed="false">
      <c r="A204" s="73" t="str">
        <f aca="false">IF(B204="","",ROW()-9)</f>
        <v/>
      </c>
      <c r="B204" s="115"/>
      <c r="C204" s="116"/>
      <c r="D204" s="74" t="str">
        <f aca="false">IF(C204="","",IFERROR(INDEX(PERSONNEL!$C$10:$C$69,MATCH(C204,PERSONNEL!$B$10:$B$69,0)),"Matricule inconnu"))</f>
        <v/>
      </c>
      <c r="E204" s="73" t="str">
        <f aca="false">IF(C204="","",IFERROR(INDEX(PERSONNEL!$I$10:$I$69,MATCH(C204,PERSONNEL!$B$10:$B$69,0)),""))</f>
        <v/>
      </c>
      <c r="F204" s="73" t="str">
        <f aca="false">IF(C204="","",IFERROR(INDEX(PERSONNEL!$D$10:$D$69,MATCH(C204,PERSONNEL!$B$10:$B$69,0)),""))</f>
        <v/>
      </c>
      <c r="G204" s="116"/>
      <c r="H204" s="117"/>
      <c r="I204" s="116"/>
      <c r="J204" s="118"/>
      <c r="K204" s="116"/>
      <c r="L204" s="118"/>
      <c r="M204" s="51" t="str">
        <f aca="false">IF(B204="","",MONTH(B204))</f>
        <v/>
      </c>
      <c r="N204" s="51" t="str">
        <f aca="false">IF(B204="","",YEAR(B204))</f>
        <v/>
      </c>
      <c r="O204" s="51" t="str">
        <f aca="false">IF(B204="","",C204&amp;"|"&amp;M204&amp;"|"&amp;N204)</f>
        <v/>
      </c>
    </row>
    <row r="205" customFormat="false" ht="15" hidden="false" customHeight="false" outlineLevel="0" collapsed="false">
      <c r="A205" s="73" t="str">
        <f aca="false">IF(B205="","",ROW()-9)</f>
        <v/>
      </c>
      <c r="B205" s="115"/>
      <c r="C205" s="116"/>
      <c r="D205" s="74" t="str">
        <f aca="false">IF(C205="","",IFERROR(INDEX(PERSONNEL!$C$10:$C$69,MATCH(C205,PERSONNEL!$B$10:$B$69,0)),"Matricule inconnu"))</f>
        <v/>
      </c>
      <c r="E205" s="73" t="str">
        <f aca="false">IF(C205="","",IFERROR(INDEX(PERSONNEL!$I$10:$I$69,MATCH(C205,PERSONNEL!$B$10:$B$69,0)),""))</f>
        <v/>
      </c>
      <c r="F205" s="73" t="str">
        <f aca="false">IF(C205="","",IFERROR(INDEX(PERSONNEL!$D$10:$D$69,MATCH(C205,PERSONNEL!$B$10:$B$69,0)),""))</f>
        <v/>
      </c>
      <c r="G205" s="116"/>
      <c r="H205" s="117"/>
      <c r="I205" s="116"/>
      <c r="J205" s="118"/>
      <c r="K205" s="116"/>
      <c r="L205" s="118"/>
      <c r="M205" s="51" t="str">
        <f aca="false">IF(B205="","",MONTH(B205))</f>
        <v/>
      </c>
      <c r="N205" s="51" t="str">
        <f aca="false">IF(B205="","",YEAR(B205))</f>
        <v/>
      </c>
      <c r="O205" s="51" t="str">
        <f aca="false">IF(B205="","",C205&amp;"|"&amp;M205&amp;"|"&amp;N205)</f>
        <v/>
      </c>
    </row>
    <row r="206" customFormat="false" ht="15" hidden="false" customHeight="false" outlineLevel="0" collapsed="false">
      <c r="A206" s="73" t="str">
        <f aca="false">IF(B206="","",ROW()-9)</f>
        <v/>
      </c>
      <c r="B206" s="115"/>
      <c r="C206" s="116"/>
      <c r="D206" s="74" t="str">
        <f aca="false">IF(C206="","",IFERROR(INDEX(PERSONNEL!$C$10:$C$69,MATCH(C206,PERSONNEL!$B$10:$B$69,0)),"Matricule inconnu"))</f>
        <v/>
      </c>
      <c r="E206" s="73" t="str">
        <f aca="false">IF(C206="","",IFERROR(INDEX(PERSONNEL!$I$10:$I$69,MATCH(C206,PERSONNEL!$B$10:$B$69,0)),""))</f>
        <v/>
      </c>
      <c r="F206" s="73" t="str">
        <f aca="false">IF(C206="","",IFERROR(INDEX(PERSONNEL!$D$10:$D$69,MATCH(C206,PERSONNEL!$B$10:$B$69,0)),""))</f>
        <v/>
      </c>
      <c r="G206" s="116"/>
      <c r="H206" s="117"/>
      <c r="I206" s="116"/>
      <c r="J206" s="118"/>
      <c r="K206" s="116"/>
      <c r="L206" s="118"/>
      <c r="M206" s="51" t="str">
        <f aca="false">IF(B206="","",MONTH(B206))</f>
        <v/>
      </c>
      <c r="N206" s="51" t="str">
        <f aca="false">IF(B206="","",YEAR(B206))</f>
        <v/>
      </c>
      <c r="O206" s="51" t="str">
        <f aca="false">IF(B206="","",C206&amp;"|"&amp;M206&amp;"|"&amp;N206)</f>
        <v/>
      </c>
    </row>
    <row r="207" customFormat="false" ht="15" hidden="false" customHeight="false" outlineLevel="0" collapsed="false">
      <c r="A207" s="73" t="str">
        <f aca="false">IF(B207="","",ROW()-9)</f>
        <v/>
      </c>
      <c r="B207" s="115"/>
      <c r="C207" s="116"/>
      <c r="D207" s="74" t="str">
        <f aca="false">IF(C207="","",IFERROR(INDEX(PERSONNEL!$C$10:$C$69,MATCH(C207,PERSONNEL!$B$10:$B$69,0)),"Matricule inconnu"))</f>
        <v/>
      </c>
      <c r="E207" s="73" t="str">
        <f aca="false">IF(C207="","",IFERROR(INDEX(PERSONNEL!$I$10:$I$69,MATCH(C207,PERSONNEL!$B$10:$B$69,0)),""))</f>
        <v/>
      </c>
      <c r="F207" s="73" t="str">
        <f aca="false">IF(C207="","",IFERROR(INDEX(PERSONNEL!$D$10:$D$69,MATCH(C207,PERSONNEL!$B$10:$B$69,0)),""))</f>
        <v/>
      </c>
      <c r="G207" s="116"/>
      <c r="H207" s="117"/>
      <c r="I207" s="116"/>
      <c r="J207" s="118"/>
      <c r="K207" s="116"/>
      <c r="L207" s="118"/>
      <c r="M207" s="51" t="str">
        <f aca="false">IF(B207="","",MONTH(B207))</f>
        <v/>
      </c>
      <c r="N207" s="51" t="str">
        <f aca="false">IF(B207="","",YEAR(B207))</f>
        <v/>
      </c>
      <c r="O207" s="51" t="str">
        <f aca="false">IF(B207="","",C207&amp;"|"&amp;M207&amp;"|"&amp;N207)</f>
        <v/>
      </c>
    </row>
    <row r="208" customFormat="false" ht="15" hidden="false" customHeight="false" outlineLevel="0" collapsed="false">
      <c r="A208" s="73" t="str">
        <f aca="false">IF(B208="","",ROW()-9)</f>
        <v/>
      </c>
      <c r="B208" s="115"/>
      <c r="C208" s="116"/>
      <c r="D208" s="74" t="str">
        <f aca="false">IF(C208="","",IFERROR(INDEX(PERSONNEL!$C$10:$C$69,MATCH(C208,PERSONNEL!$B$10:$B$69,0)),"Matricule inconnu"))</f>
        <v/>
      </c>
      <c r="E208" s="73" t="str">
        <f aca="false">IF(C208="","",IFERROR(INDEX(PERSONNEL!$I$10:$I$69,MATCH(C208,PERSONNEL!$B$10:$B$69,0)),""))</f>
        <v/>
      </c>
      <c r="F208" s="73" t="str">
        <f aca="false">IF(C208="","",IFERROR(INDEX(PERSONNEL!$D$10:$D$69,MATCH(C208,PERSONNEL!$B$10:$B$69,0)),""))</f>
        <v/>
      </c>
      <c r="G208" s="116"/>
      <c r="H208" s="117"/>
      <c r="I208" s="116"/>
      <c r="J208" s="118"/>
      <c r="K208" s="116"/>
      <c r="L208" s="118"/>
      <c r="M208" s="51" t="str">
        <f aca="false">IF(B208="","",MONTH(B208))</f>
        <v/>
      </c>
      <c r="N208" s="51" t="str">
        <f aca="false">IF(B208="","",YEAR(B208))</f>
        <v/>
      </c>
      <c r="O208" s="51" t="str">
        <f aca="false">IF(B208="","",C208&amp;"|"&amp;M208&amp;"|"&amp;N208)</f>
        <v/>
      </c>
    </row>
    <row r="209" customFormat="false" ht="15" hidden="false" customHeight="false" outlineLevel="0" collapsed="false">
      <c r="A209" s="73" t="str">
        <f aca="false">IF(B209="","",ROW()-9)</f>
        <v/>
      </c>
      <c r="B209" s="115"/>
      <c r="C209" s="116"/>
      <c r="D209" s="74" t="str">
        <f aca="false">IF(C209="","",IFERROR(INDEX(PERSONNEL!$C$10:$C$69,MATCH(C209,PERSONNEL!$B$10:$B$69,0)),"Matricule inconnu"))</f>
        <v/>
      </c>
      <c r="E209" s="73" t="str">
        <f aca="false">IF(C209="","",IFERROR(INDEX(PERSONNEL!$I$10:$I$69,MATCH(C209,PERSONNEL!$B$10:$B$69,0)),""))</f>
        <v/>
      </c>
      <c r="F209" s="73" t="str">
        <f aca="false">IF(C209="","",IFERROR(INDEX(PERSONNEL!$D$10:$D$69,MATCH(C209,PERSONNEL!$B$10:$B$69,0)),""))</f>
        <v/>
      </c>
      <c r="G209" s="116"/>
      <c r="H209" s="117"/>
      <c r="I209" s="116"/>
      <c r="J209" s="118"/>
      <c r="K209" s="116"/>
      <c r="L209" s="118"/>
      <c r="M209" s="51" t="str">
        <f aca="false">IF(B209="","",MONTH(B209))</f>
        <v/>
      </c>
      <c r="N209" s="51" t="str">
        <f aca="false">IF(B209="","",YEAR(B209))</f>
        <v/>
      </c>
      <c r="O209" s="51" t="str">
        <f aca="false">IF(B209="","",C209&amp;"|"&amp;M209&amp;"|"&amp;N209)</f>
        <v/>
      </c>
    </row>
    <row r="210" customFormat="false" ht="15" hidden="false" customHeight="false" outlineLevel="0" collapsed="false">
      <c r="A210" s="73" t="str">
        <f aca="false">IF(B210="","",ROW()-9)</f>
        <v/>
      </c>
      <c r="B210" s="115"/>
      <c r="C210" s="116"/>
      <c r="D210" s="74" t="str">
        <f aca="false">IF(C210="","",IFERROR(INDEX(PERSONNEL!$C$10:$C$69,MATCH(C210,PERSONNEL!$B$10:$B$69,0)),"Matricule inconnu"))</f>
        <v/>
      </c>
      <c r="E210" s="73" t="str">
        <f aca="false">IF(C210="","",IFERROR(INDEX(PERSONNEL!$I$10:$I$69,MATCH(C210,PERSONNEL!$B$10:$B$69,0)),""))</f>
        <v/>
      </c>
      <c r="F210" s="73" t="str">
        <f aca="false">IF(C210="","",IFERROR(INDEX(PERSONNEL!$D$10:$D$69,MATCH(C210,PERSONNEL!$B$10:$B$69,0)),""))</f>
        <v/>
      </c>
      <c r="G210" s="116"/>
      <c r="H210" s="117"/>
      <c r="I210" s="116"/>
      <c r="J210" s="118"/>
      <c r="K210" s="116"/>
      <c r="L210" s="118"/>
      <c r="M210" s="51" t="str">
        <f aca="false">IF(B210="","",MONTH(B210))</f>
        <v/>
      </c>
      <c r="N210" s="51" t="str">
        <f aca="false">IF(B210="","",YEAR(B210))</f>
        <v/>
      </c>
      <c r="O210" s="51" t="str">
        <f aca="false">IF(B210="","",C210&amp;"|"&amp;M210&amp;"|"&amp;N210)</f>
        <v/>
      </c>
    </row>
    <row r="211" customFormat="false" ht="15" hidden="false" customHeight="false" outlineLevel="0" collapsed="false">
      <c r="A211" s="73" t="str">
        <f aca="false">IF(B211="","",ROW()-9)</f>
        <v/>
      </c>
      <c r="B211" s="115"/>
      <c r="C211" s="116"/>
      <c r="D211" s="74" t="str">
        <f aca="false">IF(C211="","",IFERROR(INDEX(PERSONNEL!$C$10:$C$69,MATCH(C211,PERSONNEL!$B$10:$B$69,0)),"Matricule inconnu"))</f>
        <v/>
      </c>
      <c r="E211" s="73" t="str">
        <f aca="false">IF(C211="","",IFERROR(INDEX(PERSONNEL!$I$10:$I$69,MATCH(C211,PERSONNEL!$B$10:$B$69,0)),""))</f>
        <v/>
      </c>
      <c r="F211" s="73" t="str">
        <f aca="false">IF(C211="","",IFERROR(INDEX(PERSONNEL!$D$10:$D$69,MATCH(C211,PERSONNEL!$B$10:$B$69,0)),""))</f>
        <v/>
      </c>
      <c r="G211" s="116"/>
      <c r="H211" s="117"/>
      <c r="I211" s="116"/>
      <c r="J211" s="118"/>
      <c r="K211" s="116"/>
      <c r="L211" s="118"/>
      <c r="M211" s="51" t="str">
        <f aca="false">IF(B211="","",MONTH(B211))</f>
        <v/>
      </c>
      <c r="N211" s="51" t="str">
        <f aca="false">IF(B211="","",YEAR(B211))</f>
        <v/>
      </c>
      <c r="O211" s="51" t="str">
        <f aca="false">IF(B211="","",C211&amp;"|"&amp;M211&amp;"|"&amp;N211)</f>
        <v/>
      </c>
    </row>
    <row r="212" customFormat="false" ht="15" hidden="false" customHeight="false" outlineLevel="0" collapsed="false">
      <c r="A212" s="73" t="str">
        <f aca="false">IF(B212="","",ROW()-9)</f>
        <v/>
      </c>
      <c r="B212" s="115"/>
      <c r="C212" s="116"/>
      <c r="D212" s="74" t="str">
        <f aca="false">IF(C212="","",IFERROR(INDEX(PERSONNEL!$C$10:$C$69,MATCH(C212,PERSONNEL!$B$10:$B$69,0)),"Matricule inconnu"))</f>
        <v/>
      </c>
      <c r="E212" s="73" t="str">
        <f aca="false">IF(C212="","",IFERROR(INDEX(PERSONNEL!$I$10:$I$69,MATCH(C212,PERSONNEL!$B$10:$B$69,0)),""))</f>
        <v/>
      </c>
      <c r="F212" s="73" t="str">
        <f aca="false">IF(C212="","",IFERROR(INDEX(PERSONNEL!$D$10:$D$69,MATCH(C212,PERSONNEL!$B$10:$B$69,0)),""))</f>
        <v/>
      </c>
      <c r="G212" s="116"/>
      <c r="H212" s="117"/>
      <c r="I212" s="116"/>
      <c r="J212" s="118"/>
      <c r="K212" s="116"/>
      <c r="L212" s="118"/>
      <c r="M212" s="51" t="str">
        <f aca="false">IF(B212="","",MONTH(B212))</f>
        <v/>
      </c>
      <c r="N212" s="51" t="str">
        <f aca="false">IF(B212="","",YEAR(B212))</f>
        <v/>
      </c>
      <c r="O212" s="51" t="str">
        <f aca="false">IF(B212="","",C212&amp;"|"&amp;M212&amp;"|"&amp;N212)</f>
        <v/>
      </c>
    </row>
    <row r="213" customFormat="false" ht="15" hidden="false" customHeight="false" outlineLevel="0" collapsed="false">
      <c r="A213" s="73" t="str">
        <f aca="false">IF(B213="","",ROW()-9)</f>
        <v/>
      </c>
      <c r="B213" s="115"/>
      <c r="C213" s="116"/>
      <c r="D213" s="74" t="str">
        <f aca="false">IF(C213="","",IFERROR(INDEX(PERSONNEL!$C$10:$C$69,MATCH(C213,PERSONNEL!$B$10:$B$69,0)),"Matricule inconnu"))</f>
        <v/>
      </c>
      <c r="E213" s="73" t="str">
        <f aca="false">IF(C213="","",IFERROR(INDEX(PERSONNEL!$I$10:$I$69,MATCH(C213,PERSONNEL!$B$10:$B$69,0)),""))</f>
        <v/>
      </c>
      <c r="F213" s="73" t="str">
        <f aca="false">IF(C213="","",IFERROR(INDEX(PERSONNEL!$D$10:$D$69,MATCH(C213,PERSONNEL!$B$10:$B$69,0)),""))</f>
        <v/>
      </c>
      <c r="G213" s="116"/>
      <c r="H213" s="117"/>
      <c r="I213" s="116"/>
      <c r="J213" s="118"/>
      <c r="K213" s="116"/>
      <c r="L213" s="118"/>
      <c r="M213" s="51" t="str">
        <f aca="false">IF(B213="","",MONTH(B213))</f>
        <v/>
      </c>
      <c r="N213" s="51" t="str">
        <f aca="false">IF(B213="","",YEAR(B213))</f>
        <v/>
      </c>
      <c r="O213" s="51" t="str">
        <f aca="false">IF(B213="","",C213&amp;"|"&amp;M213&amp;"|"&amp;N213)</f>
        <v/>
      </c>
    </row>
    <row r="214" customFormat="false" ht="15" hidden="false" customHeight="false" outlineLevel="0" collapsed="false">
      <c r="A214" s="73" t="str">
        <f aca="false">IF(B214="","",ROW()-9)</f>
        <v/>
      </c>
      <c r="B214" s="115"/>
      <c r="C214" s="116"/>
      <c r="D214" s="74" t="str">
        <f aca="false">IF(C214="","",IFERROR(INDEX(PERSONNEL!$C$10:$C$69,MATCH(C214,PERSONNEL!$B$10:$B$69,0)),"Matricule inconnu"))</f>
        <v/>
      </c>
      <c r="E214" s="73" t="str">
        <f aca="false">IF(C214="","",IFERROR(INDEX(PERSONNEL!$I$10:$I$69,MATCH(C214,PERSONNEL!$B$10:$B$69,0)),""))</f>
        <v/>
      </c>
      <c r="F214" s="73" t="str">
        <f aca="false">IF(C214="","",IFERROR(INDEX(PERSONNEL!$D$10:$D$69,MATCH(C214,PERSONNEL!$B$10:$B$69,0)),""))</f>
        <v/>
      </c>
      <c r="G214" s="116"/>
      <c r="H214" s="117"/>
      <c r="I214" s="116"/>
      <c r="J214" s="118"/>
      <c r="K214" s="116"/>
      <c r="L214" s="118"/>
      <c r="M214" s="51" t="str">
        <f aca="false">IF(B214="","",MONTH(B214))</f>
        <v/>
      </c>
      <c r="N214" s="51" t="str">
        <f aca="false">IF(B214="","",YEAR(B214))</f>
        <v/>
      </c>
      <c r="O214" s="51" t="str">
        <f aca="false">IF(B214="","",C214&amp;"|"&amp;M214&amp;"|"&amp;N214)</f>
        <v/>
      </c>
    </row>
    <row r="215" customFormat="false" ht="15" hidden="false" customHeight="false" outlineLevel="0" collapsed="false">
      <c r="A215" s="73" t="str">
        <f aca="false">IF(B215="","",ROW()-9)</f>
        <v/>
      </c>
      <c r="B215" s="115"/>
      <c r="C215" s="116"/>
      <c r="D215" s="74" t="str">
        <f aca="false">IF(C215="","",IFERROR(INDEX(PERSONNEL!$C$10:$C$69,MATCH(C215,PERSONNEL!$B$10:$B$69,0)),"Matricule inconnu"))</f>
        <v/>
      </c>
      <c r="E215" s="73" t="str">
        <f aca="false">IF(C215="","",IFERROR(INDEX(PERSONNEL!$I$10:$I$69,MATCH(C215,PERSONNEL!$B$10:$B$69,0)),""))</f>
        <v/>
      </c>
      <c r="F215" s="73" t="str">
        <f aca="false">IF(C215="","",IFERROR(INDEX(PERSONNEL!$D$10:$D$69,MATCH(C215,PERSONNEL!$B$10:$B$69,0)),""))</f>
        <v/>
      </c>
      <c r="G215" s="116"/>
      <c r="H215" s="117"/>
      <c r="I215" s="116"/>
      <c r="J215" s="118"/>
      <c r="K215" s="116"/>
      <c r="L215" s="118"/>
      <c r="M215" s="51" t="str">
        <f aca="false">IF(B215="","",MONTH(B215))</f>
        <v/>
      </c>
      <c r="N215" s="51" t="str">
        <f aca="false">IF(B215="","",YEAR(B215))</f>
        <v/>
      </c>
      <c r="O215" s="51" t="str">
        <f aca="false">IF(B215="","",C215&amp;"|"&amp;M215&amp;"|"&amp;N215)</f>
        <v/>
      </c>
    </row>
    <row r="216" customFormat="false" ht="15" hidden="false" customHeight="false" outlineLevel="0" collapsed="false">
      <c r="A216" s="73" t="str">
        <f aca="false">IF(B216="","",ROW()-9)</f>
        <v/>
      </c>
      <c r="B216" s="115"/>
      <c r="C216" s="116"/>
      <c r="D216" s="74" t="str">
        <f aca="false">IF(C216="","",IFERROR(INDEX(PERSONNEL!$C$10:$C$69,MATCH(C216,PERSONNEL!$B$10:$B$69,0)),"Matricule inconnu"))</f>
        <v/>
      </c>
      <c r="E216" s="73" t="str">
        <f aca="false">IF(C216="","",IFERROR(INDEX(PERSONNEL!$I$10:$I$69,MATCH(C216,PERSONNEL!$B$10:$B$69,0)),""))</f>
        <v/>
      </c>
      <c r="F216" s="73" t="str">
        <f aca="false">IF(C216="","",IFERROR(INDEX(PERSONNEL!$D$10:$D$69,MATCH(C216,PERSONNEL!$B$10:$B$69,0)),""))</f>
        <v/>
      </c>
      <c r="G216" s="116"/>
      <c r="H216" s="117"/>
      <c r="I216" s="116"/>
      <c r="J216" s="118"/>
      <c r="K216" s="116"/>
      <c r="L216" s="118"/>
      <c r="M216" s="51" t="str">
        <f aca="false">IF(B216="","",MONTH(B216))</f>
        <v/>
      </c>
      <c r="N216" s="51" t="str">
        <f aca="false">IF(B216="","",YEAR(B216))</f>
        <v/>
      </c>
      <c r="O216" s="51" t="str">
        <f aca="false">IF(B216="","",C216&amp;"|"&amp;M216&amp;"|"&amp;N216)</f>
        <v/>
      </c>
    </row>
    <row r="217" customFormat="false" ht="15" hidden="false" customHeight="false" outlineLevel="0" collapsed="false">
      <c r="A217" s="73" t="str">
        <f aca="false">IF(B217="","",ROW()-9)</f>
        <v/>
      </c>
      <c r="B217" s="115"/>
      <c r="C217" s="116"/>
      <c r="D217" s="74" t="str">
        <f aca="false">IF(C217="","",IFERROR(INDEX(PERSONNEL!$C$10:$C$69,MATCH(C217,PERSONNEL!$B$10:$B$69,0)),"Matricule inconnu"))</f>
        <v/>
      </c>
      <c r="E217" s="73" t="str">
        <f aca="false">IF(C217="","",IFERROR(INDEX(PERSONNEL!$I$10:$I$69,MATCH(C217,PERSONNEL!$B$10:$B$69,0)),""))</f>
        <v/>
      </c>
      <c r="F217" s="73" t="str">
        <f aca="false">IF(C217="","",IFERROR(INDEX(PERSONNEL!$D$10:$D$69,MATCH(C217,PERSONNEL!$B$10:$B$69,0)),""))</f>
        <v/>
      </c>
      <c r="G217" s="116"/>
      <c r="H217" s="117"/>
      <c r="I217" s="116"/>
      <c r="J217" s="118"/>
      <c r="K217" s="116"/>
      <c r="L217" s="118"/>
      <c r="M217" s="51" t="str">
        <f aca="false">IF(B217="","",MONTH(B217))</f>
        <v/>
      </c>
      <c r="N217" s="51" t="str">
        <f aca="false">IF(B217="","",YEAR(B217))</f>
        <v/>
      </c>
      <c r="O217" s="51" t="str">
        <f aca="false">IF(B217="","",C217&amp;"|"&amp;M217&amp;"|"&amp;N217)</f>
        <v/>
      </c>
    </row>
    <row r="218" customFormat="false" ht="15" hidden="false" customHeight="false" outlineLevel="0" collapsed="false">
      <c r="A218" s="73" t="str">
        <f aca="false">IF(B218="","",ROW()-9)</f>
        <v/>
      </c>
      <c r="B218" s="115"/>
      <c r="C218" s="116"/>
      <c r="D218" s="74" t="str">
        <f aca="false">IF(C218="","",IFERROR(INDEX(PERSONNEL!$C$10:$C$69,MATCH(C218,PERSONNEL!$B$10:$B$69,0)),"Matricule inconnu"))</f>
        <v/>
      </c>
      <c r="E218" s="73" t="str">
        <f aca="false">IF(C218="","",IFERROR(INDEX(PERSONNEL!$I$10:$I$69,MATCH(C218,PERSONNEL!$B$10:$B$69,0)),""))</f>
        <v/>
      </c>
      <c r="F218" s="73" t="str">
        <f aca="false">IF(C218="","",IFERROR(INDEX(PERSONNEL!$D$10:$D$69,MATCH(C218,PERSONNEL!$B$10:$B$69,0)),""))</f>
        <v/>
      </c>
      <c r="G218" s="116"/>
      <c r="H218" s="117"/>
      <c r="I218" s="116"/>
      <c r="J218" s="118"/>
      <c r="K218" s="116"/>
      <c r="L218" s="118"/>
      <c r="M218" s="51" t="str">
        <f aca="false">IF(B218="","",MONTH(B218))</f>
        <v/>
      </c>
      <c r="N218" s="51" t="str">
        <f aca="false">IF(B218="","",YEAR(B218))</f>
        <v/>
      </c>
      <c r="O218" s="51" t="str">
        <f aca="false">IF(B218="","",C218&amp;"|"&amp;M218&amp;"|"&amp;N218)</f>
        <v/>
      </c>
    </row>
    <row r="219" customFormat="false" ht="15" hidden="false" customHeight="false" outlineLevel="0" collapsed="false">
      <c r="A219" s="73" t="str">
        <f aca="false">IF(B219="","",ROW()-9)</f>
        <v/>
      </c>
      <c r="B219" s="115"/>
      <c r="C219" s="116"/>
      <c r="D219" s="74" t="str">
        <f aca="false">IF(C219="","",IFERROR(INDEX(PERSONNEL!$C$10:$C$69,MATCH(C219,PERSONNEL!$B$10:$B$69,0)),"Matricule inconnu"))</f>
        <v/>
      </c>
      <c r="E219" s="73" t="str">
        <f aca="false">IF(C219="","",IFERROR(INDEX(PERSONNEL!$I$10:$I$69,MATCH(C219,PERSONNEL!$B$10:$B$69,0)),""))</f>
        <v/>
      </c>
      <c r="F219" s="73" t="str">
        <f aca="false">IF(C219="","",IFERROR(INDEX(PERSONNEL!$D$10:$D$69,MATCH(C219,PERSONNEL!$B$10:$B$69,0)),""))</f>
        <v/>
      </c>
      <c r="G219" s="116"/>
      <c r="H219" s="117"/>
      <c r="I219" s="116"/>
      <c r="J219" s="118"/>
      <c r="K219" s="116"/>
      <c r="L219" s="118"/>
      <c r="M219" s="51" t="str">
        <f aca="false">IF(B219="","",MONTH(B219))</f>
        <v/>
      </c>
      <c r="N219" s="51" t="str">
        <f aca="false">IF(B219="","",YEAR(B219))</f>
        <v/>
      </c>
      <c r="O219" s="51" t="str">
        <f aca="false">IF(B219="","",C219&amp;"|"&amp;M219&amp;"|"&amp;N219)</f>
        <v/>
      </c>
    </row>
    <row r="220" customFormat="false" ht="15" hidden="false" customHeight="false" outlineLevel="0" collapsed="false">
      <c r="A220" s="73" t="str">
        <f aca="false">IF(B220="","",ROW()-9)</f>
        <v/>
      </c>
      <c r="B220" s="115"/>
      <c r="C220" s="116"/>
      <c r="D220" s="74" t="str">
        <f aca="false">IF(C220="","",IFERROR(INDEX(PERSONNEL!$C$10:$C$69,MATCH(C220,PERSONNEL!$B$10:$B$69,0)),"Matricule inconnu"))</f>
        <v/>
      </c>
      <c r="E220" s="73" t="str">
        <f aca="false">IF(C220="","",IFERROR(INDEX(PERSONNEL!$I$10:$I$69,MATCH(C220,PERSONNEL!$B$10:$B$69,0)),""))</f>
        <v/>
      </c>
      <c r="F220" s="73" t="str">
        <f aca="false">IF(C220="","",IFERROR(INDEX(PERSONNEL!$D$10:$D$69,MATCH(C220,PERSONNEL!$B$10:$B$69,0)),""))</f>
        <v/>
      </c>
      <c r="G220" s="116"/>
      <c r="H220" s="117"/>
      <c r="I220" s="116"/>
      <c r="J220" s="118"/>
      <c r="K220" s="116"/>
      <c r="L220" s="118"/>
      <c r="M220" s="51" t="str">
        <f aca="false">IF(B220="","",MONTH(B220))</f>
        <v/>
      </c>
      <c r="N220" s="51" t="str">
        <f aca="false">IF(B220="","",YEAR(B220))</f>
        <v/>
      </c>
      <c r="O220" s="51" t="str">
        <f aca="false">IF(B220="","",C220&amp;"|"&amp;M220&amp;"|"&amp;N220)</f>
        <v/>
      </c>
    </row>
    <row r="221" customFormat="false" ht="15" hidden="false" customHeight="false" outlineLevel="0" collapsed="false">
      <c r="A221" s="73" t="str">
        <f aca="false">IF(B221="","",ROW()-9)</f>
        <v/>
      </c>
      <c r="B221" s="115"/>
      <c r="C221" s="116"/>
      <c r="D221" s="74" t="str">
        <f aca="false">IF(C221="","",IFERROR(INDEX(PERSONNEL!$C$10:$C$69,MATCH(C221,PERSONNEL!$B$10:$B$69,0)),"Matricule inconnu"))</f>
        <v/>
      </c>
      <c r="E221" s="73" t="str">
        <f aca="false">IF(C221="","",IFERROR(INDEX(PERSONNEL!$I$10:$I$69,MATCH(C221,PERSONNEL!$B$10:$B$69,0)),""))</f>
        <v/>
      </c>
      <c r="F221" s="73" t="str">
        <f aca="false">IF(C221="","",IFERROR(INDEX(PERSONNEL!$D$10:$D$69,MATCH(C221,PERSONNEL!$B$10:$B$69,0)),""))</f>
        <v/>
      </c>
      <c r="G221" s="116"/>
      <c r="H221" s="117"/>
      <c r="I221" s="116"/>
      <c r="J221" s="118"/>
      <c r="K221" s="116"/>
      <c r="L221" s="118"/>
      <c r="M221" s="51" t="str">
        <f aca="false">IF(B221="","",MONTH(B221))</f>
        <v/>
      </c>
      <c r="N221" s="51" t="str">
        <f aca="false">IF(B221="","",YEAR(B221))</f>
        <v/>
      </c>
      <c r="O221" s="51" t="str">
        <f aca="false">IF(B221="","",C221&amp;"|"&amp;M221&amp;"|"&amp;N221)</f>
        <v/>
      </c>
    </row>
    <row r="222" customFormat="false" ht="15" hidden="false" customHeight="false" outlineLevel="0" collapsed="false">
      <c r="A222" s="73" t="str">
        <f aca="false">IF(B222="","",ROW()-9)</f>
        <v/>
      </c>
      <c r="B222" s="115"/>
      <c r="C222" s="116"/>
      <c r="D222" s="74" t="str">
        <f aca="false">IF(C222="","",IFERROR(INDEX(PERSONNEL!$C$10:$C$69,MATCH(C222,PERSONNEL!$B$10:$B$69,0)),"Matricule inconnu"))</f>
        <v/>
      </c>
      <c r="E222" s="73" t="str">
        <f aca="false">IF(C222="","",IFERROR(INDEX(PERSONNEL!$I$10:$I$69,MATCH(C222,PERSONNEL!$B$10:$B$69,0)),""))</f>
        <v/>
      </c>
      <c r="F222" s="73" t="str">
        <f aca="false">IF(C222="","",IFERROR(INDEX(PERSONNEL!$D$10:$D$69,MATCH(C222,PERSONNEL!$B$10:$B$69,0)),""))</f>
        <v/>
      </c>
      <c r="G222" s="116"/>
      <c r="H222" s="117"/>
      <c r="I222" s="116"/>
      <c r="J222" s="118"/>
      <c r="K222" s="116"/>
      <c r="L222" s="118"/>
      <c r="M222" s="51" t="str">
        <f aca="false">IF(B222="","",MONTH(B222))</f>
        <v/>
      </c>
      <c r="N222" s="51" t="str">
        <f aca="false">IF(B222="","",YEAR(B222))</f>
        <v/>
      </c>
      <c r="O222" s="51" t="str">
        <f aca="false">IF(B222="","",C222&amp;"|"&amp;M222&amp;"|"&amp;N222)</f>
        <v/>
      </c>
    </row>
    <row r="223" customFormat="false" ht="15" hidden="false" customHeight="false" outlineLevel="0" collapsed="false">
      <c r="A223" s="73" t="str">
        <f aca="false">IF(B223="","",ROW()-9)</f>
        <v/>
      </c>
      <c r="B223" s="115"/>
      <c r="C223" s="116"/>
      <c r="D223" s="74" t="str">
        <f aca="false">IF(C223="","",IFERROR(INDEX(PERSONNEL!$C$10:$C$69,MATCH(C223,PERSONNEL!$B$10:$B$69,0)),"Matricule inconnu"))</f>
        <v/>
      </c>
      <c r="E223" s="73" t="str">
        <f aca="false">IF(C223="","",IFERROR(INDEX(PERSONNEL!$I$10:$I$69,MATCH(C223,PERSONNEL!$B$10:$B$69,0)),""))</f>
        <v/>
      </c>
      <c r="F223" s="73" t="str">
        <f aca="false">IF(C223="","",IFERROR(INDEX(PERSONNEL!$D$10:$D$69,MATCH(C223,PERSONNEL!$B$10:$B$69,0)),""))</f>
        <v/>
      </c>
      <c r="G223" s="116"/>
      <c r="H223" s="117"/>
      <c r="I223" s="116"/>
      <c r="J223" s="118"/>
      <c r="K223" s="116"/>
      <c r="L223" s="118"/>
      <c r="M223" s="51" t="str">
        <f aca="false">IF(B223="","",MONTH(B223))</f>
        <v/>
      </c>
      <c r="N223" s="51" t="str">
        <f aca="false">IF(B223="","",YEAR(B223))</f>
        <v/>
      </c>
      <c r="O223" s="51" t="str">
        <f aca="false">IF(B223="","",C223&amp;"|"&amp;M223&amp;"|"&amp;N223)</f>
        <v/>
      </c>
    </row>
    <row r="224" customFormat="false" ht="15" hidden="false" customHeight="false" outlineLevel="0" collapsed="false">
      <c r="A224" s="73" t="str">
        <f aca="false">IF(B224="","",ROW()-9)</f>
        <v/>
      </c>
      <c r="B224" s="115"/>
      <c r="C224" s="116"/>
      <c r="D224" s="74" t="str">
        <f aca="false">IF(C224="","",IFERROR(INDEX(PERSONNEL!$C$10:$C$69,MATCH(C224,PERSONNEL!$B$10:$B$69,0)),"Matricule inconnu"))</f>
        <v/>
      </c>
      <c r="E224" s="73" t="str">
        <f aca="false">IF(C224="","",IFERROR(INDEX(PERSONNEL!$I$10:$I$69,MATCH(C224,PERSONNEL!$B$10:$B$69,0)),""))</f>
        <v/>
      </c>
      <c r="F224" s="73" t="str">
        <f aca="false">IF(C224="","",IFERROR(INDEX(PERSONNEL!$D$10:$D$69,MATCH(C224,PERSONNEL!$B$10:$B$69,0)),""))</f>
        <v/>
      </c>
      <c r="G224" s="116"/>
      <c r="H224" s="117"/>
      <c r="I224" s="116"/>
      <c r="J224" s="118"/>
      <c r="K224" s="116"/>
      <c r="L224" s="118"/>
      <c r="M224" s="51" t="str">
        <f aca="false">IF(B224="","",MONTH(B224))</f>
        <v/>
      </c>
      <c r="N224" s="51" t="str">
        <f aca="false">IF(B224="","",YEAR(B224))</f>
        <v/>
      </c>
      <c r="O224" s="51" t="str">
        <f aca="false">IF(B224="","",C224&amp;"|"&amp;M224&amp;"|"&amp;N224)</f>
        <v/>
      </c>
    </row>
    <row r="225" customFormat="false" ht="15" hidden="false" customHeight="false" outlineLevel="0" collapsed="false">
      <c r="A225" s="73" t="str">
        <f aca="false">IF(B225="","",ROW()-9)</f>
        <v/>
      </c>
      <c r="B225" s="115"/>
      <c r="C225" s="116"/>
      <c r="D225" s="74" t="str">
        <f aca="false">IF(C225="","",IFERROR(INDEX(PERSONNEL!$C$10:$C$69,MATCH(C225,PERSONNEL!$B$10:$B$69,0)),"Matricule inconnu"))</f>
        <v/>
      </c>
      <c r="E225" s="73" t="str">
        <f aca="false">IF(C225="","",IFERROR(INDEX(PERSONNEL!$I$10:$I$69,MATCH(C225,PERSONNEL!$B$10:$B$69,0)),""))</f>
        <v/>
      </c>
      <c r="F225" s="73" t="str">
        <f aca="false">IF(C225="","",IFERROR(INDEX(PERSONNEL!$D$10:$D$69,MATCH(C225,PERSONNEL!$B$10:$B$69,0)),""))</f>
        <v/>
      </c>
      <c r="G225" s="116"/>
      <c r="H225" s="117"/>
      <c r="I225" s="116"/>
      <c r="J225" s="118"/>
      <c r="K225" s="116"/>
      <c r="L225" s="118"/>
      <c r="M225" s="51" t="str">
        <f aca="false">IF(B225="","",MONTH(B225))</f>
        <v/>
      </c>
      <c r="N225" s="51" t="str">
        <f aca="false">IF(B225="","",YEAR(B225))</f>
        <v/>
      </c>
      <c r="O225" s="51" t="str">
        <f aca="false">IF(B225="","",C225&amp;"|"&amp;M225&amp;"|"&amp;N225)</f>
        <v/>
      </c>
    </row>
    <row r="226" customFormat="false" ht="15" hidden="false" customHeight="false" outlineLevel="0" collapsed="false">
      <c r="A226" s="73" t="str">
        <f aca="false">IF(B226="","",ROW()-9)</f>
        <v/>
      </c>
      <c r="B226" s="115"/>
      <c r="C226" s="116"/>
      <c r="D226" s="74" t="str">
        <f aca="false">IF(C226="","",IFERROR(INDEX(PERSONNEL!$C$10:$C$69,MATCH(C226,PERSONNEL!$B$10:$B$69,0)),"Matricule inconnu"))</f>
        <v/>
      </c>
      <c r="E226" s="73" t="str">
        <f aca="false">IF(C226="","",IFERROR(INDEX(PERSONNEL!$I$10:$I$69,MATCH(C226,PERSONNEL!$B$10:$B$69,0)),""))</f>
        <v/>
      </c>
      <c r="F226" s="73" t="str">
        <f aca="false">IF(C226="","",IFERROR(INDEX(PERSONNEL!$D$10:$D$69,MATCH(C226,PERSONNEL!$B$10:$B$69,0)),""))</f>
        <v/>
      </c>
      <c r="G226" s="116"/>
      <c r="H226" s="117"/>
      <c r="I226" s="116"/>
      <c r="J226" s="118"/>
      <c r="K226" s="116"/>
      <c r="L226" s="118"/>
      <c r="M226" s="51" t="str">
        <f aca="false">IF(B226="","",MONTH(B226))</f>
        <v/>
      </c>
      <c r="N226" s="51" t="str">
        <f aca="false">IF(B226="","",YEAR(B226))</f>
        <v/>
      </c>
      <c r="O226" s="51" t="str">
        <f aca="false">IF(B226="","",C226&amp;"|"&amp;M226&amp;"|"&amp;N226)</f>
        <v/>
      </c>
    </row>
    <row r="227" customFormat="false" ht="15" hidden="false" customHeight="false" outlineLevel="0" collapsed="false">
      <c r="A227" s="73" t="str">
        <f aca="false">IF(B227="","",ROW()-9)</f>
        <v/>
      </c>
      <c r="B227" s="115"/>
      <c r="C227" s="116"/>
      <c r="D227" s="74" t="str">
        <f aca="false">IF(C227="","",IFERROR(INDEX(PERSONNEL!$C$10:$C$69,MATCH(C227,PERSONNEL!$B$10:$B$69,0)),"Matricule inconnu"))</f>
        <v/>
      </c>
      <c r="E227" s="73" t="str">
        <f aca="false">IF(C227="","",IFERROR(INDEX(PERSONNEL!$I$10:$I$69,MATCH(C227,PERSONNEL!$B$10:$B$69,0)),""))</f>
        <v/>
      </c>
      <c r="F227" s="73" t="str">
        <f aca="false">IF(C227="","",IFERROR(INDEX(PERSONNEL!$D$10:$D$69,MATCH(C227,PERSONNEL!$B$10:$B$69,0)),""))</f>
        <v/>
      </c>
      <c r="G227" s="116"/>
      <c r="H227" s="117"/>
      <c r="I227" s="116"/>
      <c r="J227" s="118"/>
      <c r="K227" s="116"/>
      <c r="L227" s="118"/>
      <c r="M227" s="51" t="str">
        <f aca="false">IF(B227="","",MONTH(B227))</f>
        <v/>
      </c>
      <c r="N227" s="51" t="str">
        <f aca="false">IF(B227="","",YEAR(B227))</f>
        <v/>
      </c>
      <c r="O227" s="51" t="str">
        <f aca="false">IF(B227="","",C227&amp;"|"&amp;M227&amp;"|"&amp;N227)</f>
        <v/>
      </c>
    </row>
    <row r="228" customFormat="false" ht="15" hidden="false" customHeight="false" outlineLevel="0" collapsed="false">
      <c r="A228" s="73" t="str">
        <f aca="false">IF(B228="","",ROW()-9)</f>
        <v/>
      </c>
      <c r="B228" s="115"/>
      <c r="C228" s="116"/>
      <c r="D228" s="74" t="str">
        <f aca="false">IF(C228="","",IFERROR(INDEX(PERSONNEL!$C$10:$C$69,MATCH(C228,PERSONNEL!$B$10:$B$69,0)),"Matricule inconnu"))</f>
        <v/>
      </c>
      <c r="E228" s="73" t="str">
        <f aca="false">IF(C228="","",IFERROR(INDEX(PERSONNEL!$I$10:$I$69,MATCH(C228,PERSONNEL!$B$10:$B$69,0)),""))</f>
        <v/>
      </c>
      <c r="F228" s="73" t="str">
        <f aca="false">IF(C228="","",IFERROR(INDEX(PERSONNEL!$D$10:$D$69,MATCH(C228,PERSONNEL!$B$10:$B$69,0)),""))</f>
        <v/>
      </c>
      <c r="G228" s="116"/>
      <c r="H228" s="117"/>
      <c r="I228" s="116"/>
      <c r="J228" s="118"/>
      <c r="K228" s="116"/>
      <c r="L228" s="118"/>
      <c r="M228" s="51" t="str">
        <f aca="false">IF(B228="","",MONTH(B228))</f>
        <v/>
      </c>
      <c r="N228" s="51" t="str">
        <f aca="false">IF(B228="","",YEAR(B228))</f>
        <v/>
      </c>
      <c r="O228" s="51" t="str">
        <f aca="false">IF(B228="","",C228&amp;"|"&amp;M228&amp;"|"&amp;N228)</f>
        <v/>
      </c>
    </row>
    <row r="229" customFormat="false" ht="15" hidden="false" customHeight="false" outlineLevel="0" collapsed="false">
      <c r="A229" s="73" t="str">
        <f aca="false">IF(B229="","",ROW()-9)</f>
        <v/>
      </c>
      <c r="B229" s="115"/>
      <c r="C229" s="116"/>
      <c r="D229" s="74" t="str">
        <f aca="false">IF(C229="","",IFERROR(INDEX(PERSONNEL!$C$10:$C$69,MATCH(C229,PERSONNEL!$B$10:$B$69,0)),"Matricule inconnu"))</f>
        <v/>
      </c>
      <c r="E229" s="73" t="str">
        <f aca="false">IF(C229="","",IFERROR(INDEX(PERSONNEL!$I$10:$I$69,MATCH(C229,PERSONNEL!$B$10:$B$69,0)),""))</f>
        <v/>
      </c>
      <c r="F229" s="73" t="str">
        <f aca="false">IF(C229="","",IFERROR(INDEX(PERSONNEL!$D$10:$D$69,MATCH(C229,PERSONNEL!$B$10:$B$69,0)),""))</f>
        <v/>
      </c>
      <c r="G229" s="116"/>
      <c r="H229" s="117"/>
      <c r="I229" s="116"/>
      <c r="J229" s="118"/>
      <c r="K229" s="116"/>
      <c r="L229" s="118"/>
      <c r="M229" s="51" t="str">
        <f aca="false">IF(B229="","",MONTH(B229))</f>
        <v/>
      </c>
      <c r="N229" s="51" t="str">
        <f aca="false">IF(B229="","",YEAR(B229))</f>
        <v/>
      </c>
      <c r="O229" s="51" t="str">
        <f aca="false">IF(B229="","",C229&amp;"|"&amp;M229&amp;"|"&amp;N229)</f>
        <v/>
      </c>
    </row>
    <row r="230" customFormat="false" ht="15" hidden="false" customHeight="false" outlineLevel="0" collapsed="false">
      <c r="A230" s="73" t="str">
        <f aca="false">IF(B230="","",ROW()-9)</f>
        <v/>
      </c>
      <c r="B230" s="115"/>
      <c r="C230" s="116"/>
      <c r="D230" s="74" t="str">
        <f aca="false">IF(C230="","",IFERROR(INDEX(PERSONNEL!$C$10:$C$69,MATCH(C230,PERSONNEL!$B$10:$B$69,0)),"Matricule inconnu"))</f>
        <v/>
      </c>
      <c r="E230" s="73" t="str">
        <f aca="false">IF(C230="","",IFERROR(INDEX(PERSONNEL!$I$10:$I$69,MATCH(C230,PERSONNEL!$B$10:$B$69,0)),""))</f>
        <v/>
      </c>
      <c r="F230" s="73" t="str">
        <f aca="false">IF(C230="","",IFERROR(INDEX(PERSONNEL!$D$10:$D$69,MATCH(C230,PERSONNEL!$B$10:$B$69,0)),""))</f>
        <v/>
      </c>
      <c r="G230" s="116"/>
      <c r="H230" s="117"/>
      <c r="I230" s="116"/>
      <c r="J230" s="118"/>
      <c r="K230" s="116"/>
      <c r="L230" s="118"/>
      <c r="M230" s="51" t="str">
        <f aca="false">IF(B230="","",MONTH(B230))</f>
        <v/>
      </c>
      <c r="N230" s="51" t="str">
        <f aca="false">IF(B230="","",YEAR(B230))</f>
        <v/>
      </c>
      <c r="O230" s="51" t="str">
        <f aca="false">IF(B230="","",C230&amp;"|"&amp;M230&amp;"|"&amp;N230)</f>
        <v/>
      </c>
    </row>
    <row r="231" customFormat="false" ht="15" hidden="false" customHeight="false" outlineLevel="0" collapsed="false">
      <c r="A231" s="73" t="str">
        <f aca="false">IF(B231="","",ROW()-9)</f>
        <v/>
      </c>
      <c r="B231" s="115"/>
      <c r="C231" s="116"/>
      <c r="D231" s="74" t="str">
        <f aca="false">IF(C231="","",IFERROR(INDEX(PERSONNEL!$C$10:$C$69,MATCH(C231,PERSONNEL!$B$10:$B$69,0)),"Matricule inconnu"))</f>
        <v/>
      </c>
      <c r="E231" s="73" t="str">
        <f aca="false">IF(C231="","",IFERROR(INDEX(PERSONNEL!$I$10:$I$69,MATCH(C231,PERSONNEL!$B$10:$B$69,0)),""))</f>
        <v/>
      </c>
      <c r="F231" s="73" t="str">
        <f aca="false">IF(C231="","",IFERROR(INDEX(PERSONNEL!$D$10:$D$69,MATCH(C231,PERSONNEL!$B$10:$B$69,0)),""))</f>
        <v/>
      </c>
      <c r="G231" s="116"/>
      <c r="H231" s="117"/>
      <c r="I231" s="116"/>
      <c r="J231" s="118"/>
      <c r="K231" s="116"/>
      <c r="L231" s="118"/>
      <c r="M231" s="51" t="str">
        <f aca="false">IF(B231="","",MONTH(B231))</f>
        <v/>
      </c>
      <c r="N231" s="51" t="str">
        <f aca="false">IF(B231="","",YEAR(B231))</f>
        <v/>
      </c>
      <c r="O231" s="51" t="str">
        <f aca="false">IF(B231="","",C231&amp;"|"&amp;M231&amp;"|"&amp;N231)</f>
        <v/>
      </c>
    </row>
    <row r="232" customFormat="false" ht="15" hidden="false" customHeight="false" outlineLevel="0" collapsed="false">
      <c r="A232" s="73" t="str">
        <f aca="false">IF(B232="","",ROW()-9)</f>
        <v/>
      </c>
      <c r="B232" s="115"/>
      <c r="C232" s="116"/>
      <c r="D232" s="74" t="str">
        <f aca="false">IF(C232="","",IFERROR(INDEX(PERSONNEL!$C$10:$C$69,MATCH(C232,PERSONNEL!$B$10:$B$69,0)),"Matricule inconnu"))</f>
        <v/>
      </c>
      <c r="E232" s="73" t="str">
        <f aca="false">IF(C232="","",IFERROR(INDEX(PERSONNEL!$I$10:$I$69,MATCH(C232,PERSONNEL!$B$10:$B$69,0)),""))</f>
        <v/>
      </c>
      <c r="F232" s="73" t="str">
        <f aca="false">IF(C232="","",IFERROR(INDEX(PERSONNEL!$D$10:$D$69,MATCH(C232,PERSONNEL!$B$10:$B$69,0)),""))</f>
        <v/>
      </c>
      <c r="G232" s="116"/>
      <c r="H232" s="117"/>
      <c r="I232" s="116"/>
      <c r="J232" s="118"/>
      <c r="K232" s="116"/>
      <c r="L232" s="118"/>
      <c r="M232" s="51" t="str">
        <f aca="false">IF(B232="","",MONTH(B232))</f>
        <v/>
      </c>
      <c r="N232" s="51" t="str">
        <f aca="false">IF(B232="","",YEAR(B232))</f>
        <v/>
      </c>
      <c r="O232" s="51" t="str">
        <f aca="false">IF(B232="","",C232&amp;"|"&amp;M232&amp;"|"&amp;N232)</f>
        <v/>
      </c>
    </row>
    <row r="233" customFormat="false" ht="15" hidden="false" customHeight="false" outlineLevel="0" collapsed="false">
      <c r="A233" s="73" t="str">
        <f aca="false">IF(B233="","",ROW()-9)</f>
        <v/>
      </c>
      <c r="B233" s="115"/>
      <c r="C233" s="116"/>
      <c r="D233" s="74" t="str">
        <f aca="false">IF(C233="","",IFERROR(INDEX(PERSONNEL!$C$10:$C$69,MATCH(C233,PERSONNEL!$B$10:$B$69,0)),"Matricule inconnu"))</f>
        <v/>
      </c>
      <c r="E233" s="73" t="str">
        <f aca="false">IF(C233="","",IFERROR(INDEX(PERSONNEL!$I$10:$I$69,MATCH(C233,PERSONNEL!$B$10:$B$69,0)),""))</f>
        <v/>
      </c>
      <c r="F233" s="73" t="str">
        <f aca="false">IF(C233="","",IFERROR(INDEX(PERSONNEL!$D$10:$D$69,MATCH(C233,PERSONNEL!$B$10:$B$69,0)),""))</f>
        <v/>
      </c>
      <c r="G233" s="116"/>
      <c r="H233" s="117"/>
      <c r="I233" s="116"/>
      <c r="J233" s="118"/>
      <c r="K233" s="116"/>
      <c r="L233" s="118"/>
      <c r="M233" s="51" t="str">
        <f aca="false">IF(B233="","",MONTH(B233))</f>
        <v/>
      </c>
      <c r="N233" s="51" t="str">
        <f aca="false">IF(B233="","",YEAR(B233))</f>
        <v/>
      </c>
      <c r="O233" s="51" t="str">
        <f aca="false">IF(B233="","",C233&amp;"|"&amp;M233&amp;"|"&amp;N233)</f>
        <v/>
      </c>
    </row>
    <row r="234" customFormat="false" ht="15" hidden="false" customHeight="false" outlineLevel="0" collapsed="false">
      <c r="A234" s="73" t="str">
        <f aca="false">IF(B234="","",ROW()-9)</f>
        <v/>
      </c>
      <c r="B234" s="115"/>
      <c r="C234" s="116"/>
      <c r="D234" s="74" t="str">
        <f aca="false">IF(C234="","",IFERROR(INDEX(PERSONNEL!$C$10:$C$69,MATCH(C234,PERSONNEL!$B$10:$B$69,0)),"Matricule inconnu"))</f>
        <v/>
      </c>
      <c r="E234" s="73" t="str">
        <f aca="false">IF(C234="","",IFERROR(INDEX(PERSONNEL!$I$10:$I$69,MATCH(C234,PERSONNEL!$B$10:$B$69,0)),""))</f>
        <v/>
      </c>
      <c r="F234" s="73" t="str">
        <f aca="false">IF(C234="","",IFERROR(INDEX(PERSONNEL!$D$10:$D$69,MATCH(C234,PERSONNEL!$B$10:$B$69,0)),""))</f>
        <v/>
      </c>
      <c r="G234" s="116"/>
      <c r="H234" s="117"/>
      <c r="I234" s="116"/>
      <c r="J234" s="118"/>
      <c r="K234" s="116"/>
      <c r="L234" s="118"/>
      <c r="M234" s="51" t="str">
        <f aca="false">IF(B234="","",MONTH(B234))</f>
        <v/>
      </c>
      <c r="N234" s="51" t="str">
        <f aca="false">IF(B234="","",YEAR(B234))</f>
        <v/>
      </c>
      <c r="O234" s="51" t="str">
        <f aca="false">IF(B234="","",C234&amp;"|"&amp;M234&amp;"|"&amp;N234)</f>
        <v/>
      </c>
    </row>
    <row r="235" customFormat="false" ht="15" hidden="false" customHeight="false" outlineLevel="0" collapsed="false">
      <c r="A235" s="73" t="str">
        <f aca="false">IF(B235="","",ROW()-9)</f>
        <v/>
      </c>
      <c r="B235" s="115"/>
      <c r="C235" s="116"/>
      <c r="D235" s="74" t="str">
        <f aca="false">IF(C235="","",IFERROR(INDEX(PERSONNEL!$C$10:$C$69,MATCH(C235,PERSONNEL!$B$10:$B$69,0)),"Matricule inconnu"))</f>
        <v/>
      </c>
      <c r="E235" s="73" t="str">
        <f aca="false">IF(C235="","",IFERROR(INDEX(PERSONNEL!$I$10:$I$69,MATCH(C235,PERSONNEL!$B$10:$B$69,0)),""))</f>
        <v/>
      </c>
      <c r="F235" s="73" t="str">
        <f aca="false">IF(C235="","",IFERROR(INDEX(PERSONNEL!$D$10:$D$69,MATCH(C235,PERSONNEL!$B$10:$B$69,0)),""))</f>
        <v/>
      </c>
      <c r="G235" s="116"/>
      <c r="H235" s="117"/>
      <c r="I235" s="116"/>
      <c r="J235" s="118"/>
      <c r="K235" s="116"/>
      <c r="L235" s="118"/>
      <c r="M235" s="51" t="str">
        <f aca="false">IF(B235="","",MONTH(B235))</f>
        <v/>
      </c>
      <c r="N235" s="51" t="str">
        <f aca="false">IF(B235="","",YEAR(B235))</f>
        <v/>
      </c>
      <c r="O235" s="51" t="str">
        <f aca="false">IF(B235="","",C235&amp;"|"&amp;M235&amp;"|"&amp;N235)</f>
        <v/>
      </c>
    </row>
    <row r="236" customFormat="false" ht="15" hidden="false" customHeight="false" outlineLevel="0" collapsed="false">
      <c r="A236" s="73" t="str">
        <f aca="false">IF(B236="","",ROW()-9)</f>
        <v/>
      </c>
      <c r="B236" s="115"/>
      <c r="C236" s="116"/>
      <c r="D236" s="74" t="str">
        <f aca="false">IF(C236="","",IFERROR(INDEX(PERSONNEL!$C$10:$C$69,MATCH(C236,PERSONNEL!$B$10:$B$69,0)),"Matricule inconnu"))</f>
        <v/>
      </c>
      <c r="E236" s="73" t="str">
        <f aca="false">IF(C236="","",IFERROR(INDEX(PERSONNEL!$I$10:$I$69,MATCH(C236,PERSONNEL!$B$10:$B$69,0)),""))</f>
        <v/>
      </c>
      <c r="F236" s="73" t="str">
        <f aca="false">IF(C236="","",IFERROR(INDEX(PERSONNEL!$D$10:$D$69,MATCH(C236,PERSONNEL!$B$10:$B$69,0)),""))</f>
        <v/>
      </c>
      <c r="G236" s="116"/>
      <c r="H236" s="117"/>
      <c r="I236" s="116"/>
      <c r="J236" s="118"/>
      <c r="K236" s="116"/>
      <c r="L236" s="118"/>
      <c r="M236" s="51" t="str">
        <f aca="false">IF(B236="","",MONTH(B236))</f>
        <v/>
      </c>
      <c r="N236" s="51" t="str">
        <f aca="false">IF(B236="","",YEAR(B236))</f>
        <v/>
      </c>
      <c r="O236" s="51" t="str">
        <f aca="false">IF(B236="","",C236&amp;"|"&amp;M236&amp;"|"&amp;N236)</f>
        <v/>
      </c>
    </row>
    <row r="237" customFormat="false" ht="15" hidden="false" customHeight="false" outlineLevel="0" collapsed="false">
      <c r="A237" s="73" t="str">
        <f aca="false">IF(B237="","",ROW()-9)</f>
        <v/>
      </c>
      <c r="B237" s="115"/>
      <c r="C237" s="116"/>
      <c r="D237" s="74" t="str">
        <f aca="false">IF(C237="","",IFERROR(INDEX(PERSONNEL!$C$10:$C$69,MATCH(C237,PERSONNEL!$B$10:$B$69,0)),"Matricule inconnu"))</f>
        <v/>
      </c>
      <c r="E237" s="73" t="str">
        <f aca="false">IF(C237="","",IFERROR(INDEX(PERSONNEL!$I$10:$I$69,MATCH(C237,PERSONNEL!$B$10:$B$69,0)),""))</f>
        <v/>
      </c>
      <c r="F237" s="73" t="str">
        <f aca="false">IF(C237="","",IFERROR(INDEX(PERSONNEL!$D$10:$D$69,MATCH(C237,PERSONNEL!$B$10:$B$69,0)),""))</f>
        <v/>
      </c>
      <c r="G237" s="116"/>
      <c r="H237" s="117"/>
      <c r="I237" s="116"/>
      <c r="J237" s="118"/>
      <c r="K237" s="116"/>
      <c r="L237" s="118"/>
      <c r="M237" s="51" t="str">
        <f aca="false">IF(B237="","",MONTH(B237))</f>
        <v/>
      </c>
      <c r="N237" s="51" t="str">
        <f aca="false">IF(B237="","",YEAR(B237))</f>
        <v/>
      </c>
      <c r="O237" s="51" t="str">
        <f aca="false">IF(B237="","",C237&amp;"|"&amp;M237&amp;"|"&amp;N237)</f>
        <v/>
      </c>
    </row>
    <row r="238" customFormat="false" ht="15" hidden="false" customHeight="false" outlineLevel="0" collapsed="false">
      <c r="A238" s="73" t="str">
        <f aca="false">IF(B238="","",ROW()-9)</f>
        <v/>
      </c>
      <c r="B238" s="115"/>
      <c r="C238" s="116"/>
      <c r="D238" s="74" t="str">
        <f aca="false">IF(C238="","",IFERROR(INDEX(PERSONNEL!$C$10:$C$69,MATCH(C238,PERSONNEL!$B$10:$B$69,0)),"Matricule inconnu"))</f>
        <v/>
      </c>
      <c r="E238" s="73" t="str">
        <f aca="false">IF(C238="","",IFERROR(INDEX(PERSONNEL!$I$10:$I$69,MATCH(C238,PERSONNEL!$B$10:$B$69,0)),""))</f>
        <v/>
      </c>
      <c r="F238" s="73" t="str">
        <f aca="false">IF(C238="","",IFERROR(INDEX(PERSONNEL!$D$10:$D$69,MATCH(C238,PERSONNEL!$B$10:$B$69,0)),""))</f>
        <v/>
      </c>
      <c r="G238" s="116"/>
      <c r="H238" s="117"/>
      <c r="I238" s="116"/>
      <c r="J238" s="118"/>
      <c r="K238" s="116"/>
      <c r="L238" s="118"/>
      <c r="M238" s="51" t="str">
        <f aca="false">IF(B238="","",MONTH(B238))</f>
        <v/>
      </c>
      <c r="N238" s="51" t="str">
        <f aca="false">IF(B238="","",YEAR(B238))</f>
        <v/>
      </c>
      <c r="O238" s="51" t="str">
        <f aca="false">IF(B238="","",C238&amp;"|"&amp;M238&amp;"|"&amp;N238)</f>
        <v/>
      </c>
    </row>
    <row r="239" customFormat="false" ht="15" hidden="false" customHeight="false" outlineLevel="0" collapsed="false">
      <c r="A239" s="73" t="str">
        <f aca="false">IF(B239="","",ROW()-9)</f>
        <v/>
      </c>
      <c r="B239" s="115"/>
      <c r="C239" s="116"/>
      <c r="D239" s="74" t="str">
        <f aca="false">IF(C239="","",IFERROR(INDEX(PERSONNEL!$C$10:$C$69,MATCH(C239,PERSONNEL!$B$10:$B$69,0)),"Matricule inconnu"))</f>
        <v/>
      </c>
      <c r="E239" s="73" t="str">
        <f aca="false">IF(C239="","",IFERROR(INDEX(PERSONNEL!$I$10:$I$69,MATCH(C239,PERSONNEL!$B$10:$B$69,0)),""))</f>
        <v/>
      </c>
      <c r="F239" s="73" t="str">
        <f aca="false">IF(C239="","",IFERROR(INDEX(PERSONNEL!$D$10:$D$69,MATCH(C239,PERSONNEL!$B$10:$B$69,0)),""))</f>
        <v/>
      </c>
      <c r="G239" s="116"/>
      <c r="H239" s="117"/>
      <c r="I239" s="116"/>
      <c r="J239" s="118"/>
      <c r="K239" s="116"/>
      <c r="L239" s="118"/>
      <c r="M239" s="51" t="str">
        <f aca="false">IF(B239="","",MONTH(B239))</f>
        <v/>
      </c>
      <c r="N239" s="51" t="str">
        <f aca="false">IF(B239="","",YEAR(B239))</f>
        <v/>
      </c>
      <c r="O239" s="51" t="str">
        <f aca="false">IF(B239="","",C239&amp;"|"&amp;M239&amp;"|"&amp;N239)</f>
        <v/>
      </c>
    </row>
    <row r="240" customFormat="false" ht="15" hidden="false" customHeight="false" outlineLevel="0" collapsed="false">
      <c r="A240" s="73" t="str">
        <f aca="false">IF(B240="","",ROW()-9)</f>
        <v/>
      </c>
      <c r="B240" s="115"/>
      <c r="C240" s="116"/>
      <c r="D240" s="74" t="str">
        <f aca="false">IF(C240="","",IFERROR(INDEX(PERSONNEL!$C$10:$C$69,MATCH(C240,PERSONNEL!$B$10:$B$69,0)),"Matricule inconnu"))</f>
        <v/>
      </c>
      <c r="E240" s="73" t="str">
        <f aca="false">IF(C240="","",IFERROR(INDEX(PERSONNEL!$I$10:$I$69,MATCH(C240,PERSONNEL!$B$10:$B$69,0)),""))</f>
        <v/>
      </c>
      <c r="F240" s="73" t="str">
        <f aca="false">IF(C240="","",IFERROR(INDEX(PERSONNEL!$D$10:$D$69,MATCH(C240,PERSONNEL!$B$10:$B$69,0)),""))</f>
        <v/>
      </c>
      <c r="G240" s="116"/>
      <c r="H240" s="117"/>
      <c r="I240" s="116"/>
      <c r="J240" s="118"/>
      <c r="K240" s="116"/>
      <c r="L240" s="118"/>
      <c r="M240" s="51" t="str">
        <f aca="false">IF(B240="","",MONTH(B240))</f>
        <v/>
      </c>
      <c r="N240" s="51" t="str">
        <f aca="false">IF(B240="","",YEAR(B240))</f>
        <v/>
      </c>
      <c r="O240" s="51" t="str">
        <f aca="false">IF(B240="","",C240&amp;"|"&amp;M240&amp;"|"&amp;N240)</f>
        <v/>
      </c>
    </row>
    <row r="241" customFormat="false" ht="15" hidden="false" customHeight="false" outlineLevel="0" collapsed="false">
      <c r="A241" s="73" t="str">
        <f aca="false">IF(B241="","",ROW()-9)</f>
        <v/>
      </c>
      <c r="B241" s="115"/>
      <c r="C241" s="116"/>
      <c r="D241" s="74" t="str">
        <f aca="false">IF(C241="","",IFERROR(INDEX(PERSONNEL!$C$10:$C$69,MATCH(C241,PERSONNEL!$B$10:$B$69,0)),"Matricule inconnu"))</f>
        <v/>
      </c>
      <c r="E241" s="73" t="str">
        <f aca="false">IF(C241="","",IFERROR(INDEX(PERSONNEL!$I$10:$I$69,MATCH(C241,PERSONNEL!$B$10:$B$69,0)),""))</f>
        <v/>
      </c>
      <c r="F241" s="73" t="str">
        <f aca="false">IF(C241="","",IFERROR(INDEX(PERSONNEL!$D$10:$D$69,MATCH(C241,PERSONNEL!$B$10:$B$69,0)),""))</f>
        <v/>
      </c>
      <c r="G241" s="116"/>
      <c r="H241" s="117"/>
      <c r="I241" s="116"/>
      <c r="J241" s="118"/>
      <c r="K241" s="116"/>
      <c r="L241" s="118"/>
      <c r="M241" s="51" t="str">
        <f aca="false">IF(B241="","",MONTH(B241))</f>
        <v/>
      </c>
      <c r="N241" s="51" t="str">
        <f aca="false">IF(B241="","",YEAR(B241))</f>
        <v/>
      </c>
      <c r="O241" s="51" t="str">
        <f aca="false">IF(B241="","",C241&amp;"|"&amp;M241&amp;"|"&amp;N241)</f>
        <v/>
      </c>
    </row>
    <row r="242" customFormat="false" ht="15" hidden="false" customHeight="false" outlineLevel="0" collapsed="false">
      <c r="A242" s="73" t="str">
        <f aca="false">IF(B242="","",ROW()-9)</f>
        <v/>
      </c>
      <c r="B242" s="115"/>
      <c r="C242" s="116"/>
      <c r="D242" s="74" t="str">
        <f aca="false">IF(C242="","",IFERROR(INDEX(PERSONNEL!$C$10:$C$69,MATCH(C242,PERSONNEL!$B$10:$B$69,0)),"Matricule inconnu"))</f>
        <v/>
      </c>
      <c r="E242" s="73" t="str">
        <f aca="false">IF(C242="","",IFERROR(INDEX(PERSONNEL!$I$10:$I$69,MATCH(C242,PERSONNEL!$B$10:$B$69,0)),""))</f>
        <v/>
      </c>
      <c r="F242" s="73" t="str">
        <f aca="false">IF(C242="","",IFERROR(INDEX(PERSONNEL!$D$10:$D$69,MATCH(C242,PERSONNEL!$B$10:$B$69,0)),""))</f>
        <v/>
      </c>
      <c r="G242" s="116"/>
      <c r="H242" s="117"/>
      <c r="I242" s="116"/>
      <c r="J242" s="118"/>
      <c r="K242" s="116"/>
      <c r="L242" s="118"/>
      <c r="M242" s="51" t="str">
        <f aca="false">IF(B242="","",MONTH(B242))</f>
        <v/>
      </c>
      <c r="N242" s="51" t="str">
        <f aca="false">IF(B242="","",YEAR(B242))</f>
        <v/>
      </c>
      <c r="O242" s="51" t="str">
        <f aca="false">IF(B242="","",C242&amp;"|"&amp;M242&amp;"|"&amp;N242)</f>
        <v/>
      </c>
    </row>
    <row r="243" customFormat="false" ht="15" hidden="false" customHeight="false" outlineLevel="0" collapsed="false">
      <c r="A243" s="73" t="str">
        <f aca="false">IF(B243="","",ROW()-9)</f>
        <v/>
      </c>
      <c r="B243" s="115"/>
      <c r="C243" s="116"/>
      <c r="D243" s="74" t="str">
        <f aca="false">IF(C243="","",IFERROR(INDEX(PERSONNEL!$C$10:$C$69,MATCH(C243,PERSONNEL!$B$10:$B$69,0)),"Matricule inconnu"))</f>
        <v/>
      </c>
      <c r="E243" s="73" t="str">
        <f aca="false">IF(C243="","",IFERROR(INDEX(PERSONNEL!$I$10:$I$69,MATCH(C243,PERSONNEL!$B$10:$B$69,0)),""))</f>
        <v/>
      </c>
      <c r="F243" s="73" t="str">
        <f aca="false">IF(C243="","",IFERROR(INDEX(PERSONNEL!$D$10:$D$69,MATCH(C243,PERSONNEL!$B$10:$B$69,0)),""))</f>
        <v/>
      </c>
      <c r="G243" s="116"/>
      <c r="H243" s="117"/>
      <c r="I243" s="116"/>
      <c r="J243" s="118"/>
      <c r="K243" s="116"/>
      <c r="L243" s="118"/>
      <c r="M243" s="51" t="str">
        <f aca="false">IF(B243="","",MONTH(B243))</f>
        <v/>
      </c>
      <c r="N243" s="51" t="str">
        <f aca="false">IF(B243="","",YEAR(B243))</f>
        <v/>
      </c>
      <c r="O243" s="51" t="str">
        <f aca="false">IF(B243="","",C243&amp;"|"&amp;M243&amp;"|"&amp;N243)</f>
        <v/>
      </c>
    </row>
    <row r="244" customFormat="false" ht="15" hidden="false" customHeight="false" outlineLevel="0" collapsed="false">
      <c r="A244" s="73" t="str">
        <f aca="false">IF(B244="","",ROW()-9)</f>
        <v/>
      </c>
      <c r="B244" s="115"/>
      <c r="C244" s="116"/>
      <c r="D244" s="74" t="str">
        <f aca="false">IF(C244="","",IFERROR(INDEX(PERSONNEL!$C$10:$C$69,MATCH(C244,PERSONNEL!$B$10:$B$69,0)),"Matricule inconnu"))</f>
        <v/>
      </c>
      <c r="E244" s="73" t="str">
        <f aca="false">IF(C244="","",IFERROR(INDEX(PERSONNEL!$I$10:$I$69,MATCH(C244,PERSONNEL!$B$10:$B$69,0)),""))</f>
        <v/>
      </c>
      <c r="F244" s="73" t="str">
        <f aca="false">IF(C244="","",IFERROR(INDEX(PERSONNEL!$D$10:$D$69,MATCH(C244,PERSONNEL!$B$10:$B$69,0)),""))</f>
        <v/>
      </c>
      <c r="G244" s="116"/>
      <c r="H244" s="117"/>
      <c r="I244" s="116"/>
      <c r="J244" s="118"/>
      <c r="K244" s="116"/>
      <c r="L244" s="118"/>
      <c r="M244" s="51" t="str">
        <f aca="false">IF(B244="","",MONTH(B244))</f>
        <v/>
      </c>
      <c r="N244" s="51" t="str">
        <f aca="false">IF(B244="","",YEAR(B244))</f>
        <v/>
      </c>
      <c r="O244" s="51" t="str">
        <f aca="false">IF(B244="","",C244&amp;"|"&amp;M244&amp;"|"&amp;N244)</f>
        <v/>
      </c>
    </row>
    <row r="245" customFormat="false" ht="15" hidden="false" customHeight="false" outlineLevel="0" collapsed="false">
      <c r="A245" s="73" t="str">
        <f aca="false">IF(B245="","",ROW()-9)</f>
        <v/>
      </c>
      <c r="B245" s="115"/>
      <c r="C245" s="116"/>
      <c r="D245" s="74" t="str">
        <f aca="false">IF(C245="","",IFERROR(INDEX(PERSONNEL!$C$10:$C$69,MATCH(C245,PERSONNEL!$B$10:$B$69,0)),"Matricule inconnu"))</f>
        <v/>
      </c>
      <c r="E245" s="73" t="str">
        <f aca="false">IF(C245="","",IFERROR(INDEX(PERSONNEL!$I$10:$I$69,MATCH(C245,PERSONNEL!$B$10:$B$69,0)),""))</f>
        <v/>
      </c>
      <c r="F245" s="73" t="str">
        <f aca="false">IF(C245="","",IFERROR(INDEX(PERSONNEL!$D$10:$D$69,MATCH(C245,PERSONNEL!$B$10:$B$69,0)),""))</f>
        <v/>
      </c>
      <c r="G245" s="116"/>
      <c r="H245" s="117"/>
      <c r="I245" s="116"/>
      <c r="J245" s="118"/>
      <c r="K245" s="116"/>
      <c r="L245" s="118"/>
      <c r="M245" s="51" t="str">
        <f aca="false">IF(B245="","",MONTH(B245))</f>
        <v/>
      </c>
      <c r="N245" s="51" t="str">
        <f aca="false">IF(B245="","",YEAR(B245))</f>
        <v/>
      </c>
      <c r="O245" s="51" t="str">
        <f aca="false">IF(B245="","",C245&amp;"|"&amp;M245&amp;"|"&amp;N245)</f>
        <v/>
      </c>
    </row>
    <row r="246" customFormat="false" ht="15" hidden="false" customHeight="false" outlineLevel="0" collapsed="false">
      <c r="A246" s="73" t="str">
        <f aca="false">IF(B246="","",ROW()-9)</f>
        <v/>
      </c>
      <c r="B246" s="115"/>
      <c r="C246" s="116"/>
      <c r="D246" s="74" t="str">
        <f aca="false">IF(C246="","",IFERROR(INDEX(PERSONNEL!$C$10:$C$69,MATCH(C246,PERSONNEL!$B$10:$B$69,0)),"Matricule inconnu"))</f>
        <v/>
      </c>
      <c r="E246" s="73" t="str">
        <f aca="false">IF(C246="","",IFERROR(INDEX(PERSONNEL!$I$10:$I$69,MATCH(C246,PERSONNEL!$B$10:$B$69,0)),""))</f>
        <v/>
      </c>
      <c r="F246" s="73" t="str">
        <f aca="false">IF(C246="","",IFERROR(INDEX(PERSONNEL!$D$10:$D$69,MATCH(C246,PERSONNEL!$B$10:$B$69,0)),""))</f>
        <v/>
      </c>
      <c r="G246" s="116"/>
      <c r="H246" s="117"/>
      <c r="I246" s="116"/>
      <c r="J246" s="118"/>
      <c r="K246" s="116"/>
      <c r="L246" s="118"/>
      <c r="M246" s="51" t="str">
        <f aca="false">IF(B246="","",MONTH(B246))</f>
        <v/>
      </c>
      <c r="N246" s="51" t="str">
        <f aca="false">IF(B246="","",YEAR(B246))</f>
        <v/>
      </c>
      <c r="O246" s="51" t="str">
        <f aca="false">IF(B246="","",C246&amp;"|"&amp;M246&amp;"|"&amp;N246)</f>
        <v/>
      </c>
    </row>
    <row r="247" customFormat="false" ht="15" hidden="false" customHeight="false" outlineLevel="0" collapsed="false">
      <c r="A247" s="73" t="str">
        <f aca="false">IF(B247="","",ROW()-9)</f>
        <v/>
      </c>
      <c r="B247" s="115"/>
      <c r="C247" s="116"/>
      <c r="D247" s="74" t="str">
        <f aca="false">IF(C247="","",IFERROR(INDEX(PERSONNEL!$C$10:$C$69,MATCH(C247,PERSONNEL!$B$10:$B$69,0)),"Matricule inconnu"))</f>
        <v/>
      </c>
      <c r="E247" s="73" t="str">
        <f aca="false">IF(C247="","",IFERROR(INDEX(PERSONNEL!$I$10:$I$69,MATCH(C247,PERSONNEL!$B$10:$B$69,0)),""))</f>
        <v/>
      </c>
      <c r="F247" s="73" t="str">
        <f aca="false">IF(C247="","",IFERROR(INDEX(PERSONNEL!$D$10:$D$69,MATCH(C247,PERSONNEL!$B$10:$B$69,0)),""))</f>
        <v/>
      </c>
      <c r="G247" s="116"/>
      <c r="H247" s="117"/>
      <c r="I247" s="116"/>
      <c r="J247" s="118"/>
      <c r="K247" s="116"/>
      <c r="L247" s="118"/>
      <c r="M247" s="51" t="str">
        <f aca="false">IF(B247="","",MONTH(B247))</f>
        <v/>
      </c>
      <c r="N247" s="51" t="str">
        <f aca="false">IF(B247="","",YEAR(B247))</f>
        <v/>
      </c>
      <c r="O247" s="51" t="str">
        <f aca="false">IF(B247="","",C247&amp;"|"&amp;M247&amp;"|"&amp;N247)</f>
        <v/>
      </c>
    </row>
    <row r="248" customFormat="false" ht="15" hidden="false" customHeight="false" outlineLevel="0" collapsed="false">
      <c r="A248" s="73" t="str">
        <f aca="false">IF(B248="","",ROW()-9)</f>
        <v/>
      </c>
      <c r="B248" s="115"/>
      <c r="C248" s="116"/>
      <c r="D248" s="74" t="str">
        <f aca="false">IF(C248="","",IFERROR(INDEX(PERSONNEL!$C$10:$C$69,MATCH(C248,PERSONNEL!$B$10:$B$69,0)),"Matricule inconnu"))</f>
        <v/>
      </c>
      <c r="E248" s="73" t="str">
        <f aca="false">IF(C248="","",IFERROR(INDEX(PERSONNEL!$I$10:$I$69,MATCH(C248,PERSONNEL!$B$10:$B$69,0)),""))</f>
        <v/>
      </c>
      <c r="F248" s="73" t="str">
        <f aca="false">IF(C248="","",IFERROR(INDEX(PERSONNEL!$D$10:$D$69,MATCH(C248,PERSONNEL!$B$10:$B$69,0)),""))</f>
        <v/>
      </c>
      <c r="G248" s="116"/>
      <c r="H248" s="117"/>
      <c r="I248" s="116"/>
      <c r="J248" s="118"/>
      <c r="K248" s="116"/>
      <c r="L248" s="118"/>
      <c r="M248" s="51" t="str">
        <f aca="false">IF(B248="","",MONTH(B248))</f>
        <v/>
      </c>
      <c r="N248" s="51" t="str">
        <f aca="false">IF(B248="","",YEAR(B248))</f>
        <v/>
      </c>
      <c r="O248" s="51" t="str">
        <f aca="false">IF(B248="","",C248&amp;"|"&amp;M248&amp;"|"&amp;N248)</f>
        <v/>
      </c>
    </row>
    <row r="249" customFormat="false" ht="15" hidden="false" customHeight="false" outlineLevel="0" collapsed="false">
      <c r="A249" s="73" t="str">
        <f aca="false">IF(B249="","",ROW()-9)</f>
        <v/>
      </c>
      <c r="B249" s="115"/>
      <c r="C249" s="116"/>
      <c r="D249" s="74" t="str">
        <f aca="false">IF(C249="","",IFERROR(INDEX(PERSONNEL!$C$10:$C$69,MATCH(C249,PERSONNEL!$B$10:$B$69,0)),"Matricule inconnu"))</f>
        <v/>
      </c>
      <c r="E249" s="73" t="str">
        <f aca="false">IF(C249="","",IFERROR(INDEX(PERSONNEL!$I$10:$I$69,MATCH(C249,PERSONNEL!$B$10:$B$69,0)),""))</f>
        <v/>
      </c>
      <c r="F249" s="73" t="str">
        <f aca="false">IF(C249="","",IFERROR(INDEX(PERSONNEL!$D$10:$D$69,MATCH(C249,PERSONNEL!$B$10:$B$69,0)),""))</f>
        <v/>
      </c>
      <c r="G249" s="116"/>
      <c r="H249" s="117"/>
      <c r="I249" s="116"/>
      <c r="J249" s="118"/>
      <c r="K249" s="116"/>
      <c r="L249" s="118"/>
      <c r="M249" s="51" t="str">
        <f aca="false">IF(B249="","",MONTH(B249))</f>
        <v/>
      </c>
      <c r="N249" s="51" t="str">
        <f aca="false">IF(B249="","",YEAR(B249))</f>
        <v/>
      </c>
      <c r="O249" s="51" t="str">
        <f aca="false">IF(B249="","",C249&amp;"|"&amp;M249&amp;"|"&amp;N249)</f>
        <v/>
      </c>
    </row>
    <row r="250" customFormat="false" ht="15" hidden="false" customHeight="false" outlineLevel="0" collapsed="false">
      <c r="A250" s="73" t="str">
        <f aca="false">IF(B250="","",ROW()-9)</f>
        <v/>
      </c>
      <c r="B250" s="115"/>
      <c r="C250" s="116"/>
      <c r="D250" s="74" t="str">
        <f aca="false">IF(C250="","",IFERROR(INDEX(PERSONNEL!$C$10:$C$69,MATCH(C250,PERSONNEL!$B$10:$B$69,0)),"Matricule inconnu"))</f>
        <v/>
      </c>
      <c r="E250" s="73" t="str">
        <f aca="false">IF(C250="","",IFERROR(INDEX(PERSONNEL!$I$10:$I$69,MATCH(C250,PERSONNEL!$B$10:$B$69,0)),""))</f>
        <v/>
      </c>
      <c r="F250" s="73" t="str">
        <f aca="false">IF(C250="","",IFERROR(INDEX(PERSONNEL!$D$10:$D$69,MATCH(C250,PERSONNEL!$B$10:$B$69,0)),""))</f>
        <v/>
      </c>
      <c r="G250" s="116"/>
      <c r="H250" s="117"/>
      <c r="I250" s="116"/>
      <c r="J250" s="118"/>
      <c r="K250" s="116"/>
      <c r="L250" s="118"/>
      <c r="M250" s="51" t="str">
        <f aca="false">IF(B250="","",MONTH(B250))</f>
        <v/>
      </c>
      <c r="N250" s="51" t="str">
        <f aca="false">IF(B250="","",YEAR(B250))</f>
        <v/>
      </c>
      <c r="O250" s="51" t="str">
        <f aca="false">IF(B250="","",C250&amp;"|"&amp;M250&amp;"|"&amp;N250)</f>
        <v/>
      </c>
    </row>
  </sheetData>
  <autoFilter ref="A9:L250"/>
  <mergeCells count="10">
    <mergeCell ref="A1:F1"/>
    <mergeCell ref="G1:L1"/>
    <mergeCell ref="A2:F2"/>
    <mergeCell ref="G2:L2"/>
    <mergeCell ref="A3:F3"/>
    <mergeCell ref="G3:L3"/>
    <mergeCell ref="A4:F4"/>
    <mergeCell ref="A6:L6"/>
    <mergeCell ref="A7:L7"/>
    <mergeCell ref="A8:L8"/>
  </mergeCells>
  <conditionalFormatting sqref="D10:D250">
    <cfRule type="cellIs" priority="2" operator="equal" aboveAverage="0" equalAverage="0" bottom="0" percent="0" rank="0" text="" dxfId="29">
      <formula>"Matricule inconnu"</formula>
    </cfRule>
  </conditionalFormatting>
  <conditionalFormatting sqref="A10:L250">
    <cfRule type="expression" priority="3" aboveAverage="0" equalAverage="0" bottom="0" percent="0" rank="0" text="" dxfId="27">
      <formula>AND($G10="ABSENCE",$K10="NON")</formula>
    </cfRule>
    <cfRule type="expression" priority="4" aboveAverage="0" equalAverage="0" bottom="0" percent="0" rank="0" text="" dxfId="45">
      <formula>$G10="RETARD"</formula>
    </cfRule>
  </conditionalFormatting>
  <dataValidations count="5">
    <dataValidation allowBlank="false" error="Nombre de jours d'absence (0,5 = demi-journée)" errorStyle="stop" errorTitle="Jours" operator="between" showDropDown="false" showErrorMessage="true" showInputMessage="false" sqref="H10:H250" type="decimal">
      <formula1>0</formula1>
      <formula2>31</formula2>
    </dataValidation>
    <dataValidation allowBlank="false" error="Retard en minutes (0 à 600)" errorStyle="stop" errorTitle="Retard" operator="between" showDropDown="false" showErrorMessage="true" showInputMessage="false" sqref="I10:I250" type="whole">
      <formula1>0</formula1>
      <formula2>600</formula2>
    </dataValidation>
    <dataValidation allowBlank="true" error="RETARD ou ABSENCE" errorStyle="stop" errorTitle="Valeur non autorisée" operator="between" showDropDown="false" showErrorMessage="true" showInputMessage="false" sqref="G10:G250" type="list">
      <formula1>"RETARD,ABSENCE"</formula1>
      <formula2>0</formula2>
    </dataValidation>
    <dataValidation allowBlank="true" error="OUI ou NON" errorStyle="stop" errorTitle="Valeur non autorisée" operator="between" showDropDown="false" showErrorMessage="true" showInputMessage="false" sqref="K10:K250" type="list">
      <formula1>PARAMETRES!$H$3:$H$4</formula1>
      <formula2>0</formula2>
    </dataValidation>
    <dataValidation allowBlank="false" error="Date comprise dans l'année scolaire 2026-2027" errorStyle="stop" errorTitle="Date" operator="between" showDropDown="false" showErrorMessage="true" showInputMessage="false" sqref="B10:B250" type="date">
      <formula1>DATE(2026,9,1)</formula1>
      <formula2>DATE(2027,8,31)</formula2>
    </dataValidation>
  </dataValidations>
  <printOptions headings="false" gridLines="false" gridLinesSet="true" horizontalCentered="true" verticalCentered="false"/>
  <pageMargins left="0.309722222222222" right="0.309722222222222" top="0.470138888888889" bottom="0.470138888888889" header="0.511811023622047" footer="0.511811023622047"/>
  <pageSetup paperSize="9" scale="100" fitToWidth="1" fitToHeight="0" pageOrder="downThenOver" orientation="landscape" blackAndWhite="false" draft="false" cellComments="none" horizontalDpi="300" verticalDpi="300" copies="1"/>
  <headerFooter differentFirst="false" differentOddEven="false">
    <oddHeader/>
    <oddFooter/>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Feuil17" filterMode="false">
    <tabColor rgb="FF1E8449"/>
    <pageSetUpPr fitToPage="true"/>
  </sheetPr>
  <dimension ref="A1:BG2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8" topLeftCell="A9" activePane="bottomLeft" state="frozen"/>
      <selection pane="topLeft" activeCell="A1" activeCellId="0" sqref="A1"/>
      <selection pane="bottomLeft" activeCell="A1" activeCellId="0" sqref="A1"/>
    </sheetView>
  </sheetViews>
  <sheetFormatPr defaultColWidth="8.6796875" defaultRowHeight="15" zeroHeight="false" outlineLevelRow="0" outlineLevelCol="0"/>
  <cols>
    <col collapsed="false" customWidth="true" hidden="false" outlineLevel="0" max="1" min="1" style="0" width="10"/>
    <col collapsed="false" customWidth="true" hidden="false" outlineLevel="0" max="14" min="2" style="0" width="8.2"/>
    <col collapsed="false" customWidth="true" hidden="false" outlineLevel="0" max="15" min="15" style="0" width="3"/>
    <col collapsed="false" customWidth="true" hidden="true" outlineLevel="0" max="16" min="16" style="0" width="13"/>
    <col collapsed="false" customWidth="true" hidden="true" outlineLevel="0" max="59" min="18" style="0" width="13"/>
  </cols>
  <sheetData>
    <row r="1" customFormat="false" ht="15" hidden="false" customHeight="true" outlineLevel="0" collapsed="false">
      <c r="A1" s="47" t="str">
        <f aca="false">PARAMETRES!$C$4</f>
        <v>MINISTERE DE L'EDUCATION NATIONALE ET DE L'ALPHABETISATION</v>
      </c>
      <c r="B1" s="47"/>
      <c r="C1" s="47"/>
      <c r="D1" s="47"/>
      <c r="E1" s="47"/>
      <c r="F1" s="47"/>
      <c r="G1" s="47"/>
      <c r="H1" s="47" t="s">
        <v>115</v>
      </c>
      <c r="I1" s="47"/>
      <c r="J1" s="47"/>
      <c r="K1" s="47"/>
      <c r="L1" s="47"/>
      <c r="M1" s="47"/>
      <c r="N1" s="47"/>
      <c r="P1" s="51" t="s">
        <v>749</v>
      </c>
    </row>
    <row r="2" customFormat="false" ht="15" hidden="false" customHeight="true" outlineLevel="0" collapsed="false">
      <c r="A2" s="48" t="str">
        <f aca="false">PARAMETRES!$C$5</f>
        <v>DIRECTION REGIONALE DE L'EDUCATION NATIONALE DE GAGNOA</v>
      </c>
      <c r="B2" s="48"/>
      <c r="C2" s="48"/>
      <c r="D2" s="48"/>
      <c r="E2" s="48"/>
      <c r="F2" s="48"/>
      <c r="G2" s="48"/>
      <c r="H2" s="48" t="s">
        <v>116</v>
      </c>
      <c r="I2" s="48"/>
      <c r="J2" s="48"/>
      <c r="K2" s="48"/>
      <c r="L2" s="48"/>
      <c r="M2" s="48"/>
      <c r="N2" s="48"/>
      <c r="P2" s="51" t="n">
        <f aca="false">IFERROR(INDEX(PARAMETRES!$C$38:$C$48,MATCH($C$8,PARAMETRES!$B$38:$B$48,0)),"")</f>
        <v>10</v>
      </c>
    </row>
    <row r="3" customFormat="false" ht="15" hidden="false" customHeight="false" outlineLevel="0" collapsed="false">
      <c r="A3" s="47" t="str">
        <f aca="false">PARAMETRES!$C$6</f>
        <v>IEPP GAGNOA 2</v>
      </c>
      <c r="B3" s="47"/>
      <c r="C3" s="47"/>
      <c r="D3" s="47"/>
      <c r="E3" s="47"/>
      <c r="F3" s="47"/>
      <c r="G3" s="47"/>
      <c r="H3" s="47" t="str">
        <f aca="false">"ANNEE SCOLAIRE : "&amp;PARAMETRES!$C$9</f>
        <v>ANNEE SCOLAIRE : 2026-2027</v>
      </c>
      <c r="I3" s="47"/>
      <c r="J3" s="47"/>
      <c r="K3" s="47"/>
      <c r="L3" s="47"/>
      <c r="M3" s="47"/>
      <c r="N3" s="47"/>
      <c r="P3" s="51" t="s">
        <v>734</v>
      </c>
    </row>
    <row r="4" customFormat="false" ht="15" hidden="false" customHeight="false" outlineLevel="0" collapsed="false">
      <c r="A4" s="48" t="str">
        <f aca="false">PARAMETRES!$C$7&amp;"  -  Code : "&amp;PARAMETRES!$C$8</f>
        <v>EPP LIGUIYO  -  Code : EPP-GAG-0123</v>
      </c>
      <c r="B4" s="48"/>
      <c r="C4" s="48"/>
      <c r="D4" s="48"/>
      <c r="E4" s="48"/>
      <c r="F4" s="48"/>
      <c r="G4" s="48"/>
      <c r="H4" s="49"/>
      <c r="P4" s="51" t="n">
        <f aca="false">IF(P2="","",IF(P2&gt;=9,VALUE(LEFT(PARAMETRES!$C$9,4)),VALUE(RIGHT(PARAMETRES!$C$9,4))))</f>
        <v>2026</v>
      </c>
    </row>
    <row r="5" customFormat="false" ht="15" hidden="false" customHeight="false" outlineLevel="0" collapsed="false">
      <c r="P5" s="51" t="s">
        <v>750</v>
      </c>
    </row>
    <row r="6" customFormat="false" ht="27.75" hidden="false" customHeight="true" outlineLevel="0" collapsed="false">
      <c r="A6" s="30" t="s">
        <v>751</v>
      </c>
      <c r="B6" s="30"/>
      <c r="C6" s="30"/>
      <c r="D6" s="30"/>
      <c r="E6" s="30"/>
      <c r="F6" s="30"/>
      <c r="G6" s="30"/>
      <c r="H6" s="30"/>
      <c r="I6" s="30"/>
      <c r="J6" s="30"/>
      <c r="K6" s="30"/>
      <c r="L6" s="30"/>
      <c r="M6" s="30"/>
      <c r="N6" s="30"/>
      <c r="P6" s="51" t="n">
        <f aca="false">IFERROR(INDEX(PARAMETRES!$D$38:$D$48,MATCH($C$8,PARAMETRES!$B$38:$B$48,0)),"")</f>
        <v>22</v>
      </c>
    </row>
    <row r="7" customFormat="false" ht="15" hidden="false" customHeight="false" outlineLevel="0" collapsed="false">
      <c r="P7" s="51" t="s">
        <v>752</v>
      </c>
    </row>
    <row r="8" customFormat="false" ht="21.75" hidden="false" customHeight="true" outlineLevel="0" collapsed="false">
      <c r="B8" s="84" t="s">
        <v>753</v>
      </c>
      <c r="C8" s="119" t="s">
        <v>104</v>
      </c>
      <c r="E8" s="120" t="str">
        <f aca="false">"ECOLE : "&amp;PARAMETRES!$C$7&amp;"        PERIODE : "&amp;$C$8&amp;" "&amp;$P$4&amp;"        Jours de classe : "&amp;$P$6</f>
        <v>ECOLE : EPP LIGUIYO        PERIODE : Octobre 2026        Jours de classe : 22</v>
      </c>
      <c r="F8" s="120"/>
      <c r="G8" s="120"/>
      <c r="H8" s="120"/>
      <c r="I8" s="120"/>
      <c r="J8" s="120"/>
      <c r="K8" s="120"/>
      <c r="L8" s="120"/>
      <c r="M8" s="120"/>
      <c r="N8" s="120"/>
      <c r="P8" s="51" t="n">
        <f aca="false">IF(P15=1,4,IF(P14=1,3,IF(P13=1,2,IF(P12=1,1,0))))</f>
        <v>0</v>
      </c>
    </row>
    <row r="9" customFormat="false" ht="15" hidden="false" customHeight="false" outlineLevel="0" collapsed="false">
      <c r="A9" s="121" t="s">
        <v>754</v>
      </c>
      <c r="P9" s="51" t="s">
        <v>755</v>
      </c>
    </row>
    <row r="10" customFormat="false" ht="19.5" hidden="false" customHeight="true" outlineLevel="0" collapsed="false">
      <c r="A10" s="111" t="s">
        <v>756</v>
      </c>
      <c r="B10" s="111"/>
      <c r="C10" s="111"/>
      <c r="D10" s="111"/>
      <c r="E10" s="111"/>
      <c r="F10" s="111"/>
      <c r="G10" s="111"/>
      <c r="H10" s="111"/>
      <c r="I10" s="111"/>
      <c r="J10" s="111"/>
      <c r="K10" s="111"/>
      <c r="L10" s="111"/>
      <c r="M10" s="111"/>
      <c r="N10" s="111"/>
      <c r="P10" s="51" t="n">
        <f aca="false">IF(P19=1,4,IF(P18=1,3,IF(P17=1,2,IF(P16=1,1,0))))</f>
        <v>0</v>
      </c>
    </row>
    <row r="11" customFormat="false" ht="25.5" hidden="false" customHeight="true" outlineLevel="0" collapsed="false">
      <c r="A11" s="68" t="s">
        <v>643</v>
      </c>
      <c r="B11" s="68" t="s">
        <v>757</v>
      </c>
      <c r="C11" s="68"/>
      <c r="D11" s="68"/>
      <c r="E11" s="68" t="s">
        <v>625</v>
      </c>
      <c r="F11" s="68"/>
      <c r="G11" s="68"/>
      <c r="H11" s="68" t="s">
        <v>758</v>
      </c>
      <c r="I11" s="68"/>
      <c r="J11" s="68"/>
      <c r="K11" s="68" t="s">
        <v>759</v>
      </c>
      <c r="L11" s="68"/>
      <c r="M11" s="68"/>
      <c r="N11" s="68"/>
      <c r="P11" s="51" t="str">
        <f aca="false">SUM(P12:P15)&amp;"|"&amp;SUM(P16:P19)</f>
        <v>0|0</v>
      </c>
    </row>
    <row r="12" customFormat="false" ht="15" hidden="false" customHeight="false" outlineLevel="0" collapsed="false">
      <c r="A12" s="68"/>
      <c r="B12" s="70" t="s">
        <v>639</v>
      </c>
      <c r="C12" s="70" t="s">
        <v>44</v>
      </c>
      <c r="D12" s="70" t="s">
        <v>640</v>
      </c>
      <c r="E12" s="70" t="s">
        <v>639</v>
      </c>
      <c r="F12" s="70" t="s">
        <v>44</v>
      </c>
      <c r="G12" s="70" t="s">
        <v>640</v>
      </c>
      <c r="H12" s="70" t="s">
        <v>639</v>
      </c>
      <c r="I12" s="70" t="s">
        <v>44</v>
      </c>
      <c r="J12" s="70" t="s">
        <v>640</v>
      </c>
      <c r="K12" s="68"/>
      <c r="L12" s="68"/>
      <c r="M12" s="68"/>
      <c r="N12" s="68"/>
      <c r="P12" s="51" t="n">
        <f aca="false">IF(P2="",0,(MONTH(INDEX(PARAMETRES!$C$29:$C$32,1))=P2)*(YEAR(INDEX(PARAMETRES!$C$29:$C$32,1))=P4))</f>
        <v>0</v>
      </c>
    </row>
    <row r="13" customFormat="false" ht="15" hidden="false" customHeight="false" outlineLevel="0" collapsed="false">
      <c r="A13" s="45" t="s">
        <v>760</v>
      </c>
      <c r="B13" s="45" t="n">
        <f aca="false">COUNTIFS('REGISTRE ELEVES'!$F$10:$F$250,"PS",'REGISTRE ELEVES'!$E$10:$E$250,"M")</f>
        <v>0</v>
      </c>
      <c r="C13" s="45" t="n">
        <f aca="false">COUNTIFS('REGISTRE ELEVES'!$F$10:$F$250,"PS",'REGISTRE ELEVES'!$E$10:$E$250,"F")</f>
        <v>0</v>
      </c>
      <c r="D13" s="89" t="n">
        <f aca="false">B13+C13</f>
        <v>0</v>
      </c>
      <c r="E13" s="45" t="n">
        <f aca="false">COUNTIFS('REGISTRE ELEVES'!$F$10:$F$250,"PS",'REGISTRE ELEVES'!$E$10:$E$250,"M",'REGISTRE ELEVES'!$AE$10:$AE$250,"ABANDON")</f>
        <v>0</v>
      </c>
      <c r="F13" s="45" t="n">
        <f aca="false">COUNTIFS('REGISTRE ELEVES'!$F$10:$F$250,"PS",'REGISTRE ELEVES'!$E$10:$E$250,"F",'REGISTRE ELEVES'!$AE$10:$AE$250,"ABANDON")</f>
        <v>0</v>
      </c>
      <c r="G13" s="89" t="n">
        <f aca="false">E13+F13</f>
        <v>0</v>
      </c>
      <c r="H13" s="105" t="str">
        <f aca="false">IF(OR(B13=0,$P$6="",$P$6=0),"",MAX(0,1-SUMIFS('ABSENCES ELEVES'!$H$10:$H$250,'ABSENCES ELEVES'!$M$10:$M$250,$P$2,'ABSENCES ELEVES'!$N$10:$N$250,$P$4,'ABSENCES ELEVES'!$E$10:$E$250,"PS",'ABSENCES ELEVES'!$F$10:$F$250,"M")/(B13*$P$6)))</f>
        <v/>
      </c>
      <c r="I13" s="105" t="str">
        <f aca="false">IF(OR(C13=0,$P$6="",$P$6=0),"",MAX(0,1-SUMIFS('ABSENCES ELEVES'!$H$10:$H$250,'ABSENCES ELEVES'!$M$10:$M$250,$P$2,'ABSENCES ELEVES'!$N$10:$N$250,$P$4,'ABSENCES ELEVES'!$E$10:$E$250,"PS",'ABSENCES ELEVES'!$F$10:$F$250,"F")/(C13*$P$6)))</f>
        <v/>
      </c>
      <c r="J13" s="106" t="str">
        <f aca="false">IF(OR(D13=0,$P$6="",$P$6=0),"",MAX(0,1-SUMIFS('ABSENCES ELEVES'!$H$10:$H$250,'ABSENCES ELEVES'!$M$10:$M$250,$P$2,'ABSENCES ELEVES'!$N$10:$N$250,$P$4,'ABSENCES ELEVES'!$E$10:$E$250,"PS")/(D13*$P$6)))</f>
        <v/>
      </c>
      <c r="K13" s="122" t="str">
        <f aca="false">IF(AND(SUMIFS('ABSENCES ELEVES'!$H$10:$H$250,'ABSENCES ELEVES'!$M$10:$M$250,$P$2,'ABSENCES ELEVES'!$N$10:$N$250,$P$4,'ABSENCES ELEVES'!$E$10:$E$250,"PS")=0,COUNTIFS('ABSENCES ELEVES'!$M$10:$M$250,$P$2,'ABSENCES ELEVES'!$N$10:$N$250,$P$4,'ABSENCES ELEVES'!$E$10:$E$250,"PS",'ABSENCES ELEVES'!$G$10:$G$250,"RETARD")=0),"",SUMIFS('ABSENCES ELEVES'!$H$10:$H$250,'ABSENCES ELEVES'!$M$10:$M$250,$P$2,'ABSENCES ELEVES'!$N$10:$N$250,$P$4,'ABSENCES ELEVES'!$E$10:$E$250,"PS")&amp;" jour(s) d'absence, "&amp;COUNTIFS('ABSENCES ELEVES'!$M$10:$M$250,$P$2,'ABSENCES ELEVES'!$N$10:$N$250,$P$4,'ABSENCES ELEVES'!$E$10:$E$250,"PS",'ABSENCES ELEVES'!$G$10:$G$250,"RETARD")&amp;" retard(s)")</f>
        <v/>
      </c>
      <c r="L13" s="122"/>
      <c r="M13" s="122"/>
      <c r="N13" s="122"/>
      <c r="P13" s="51" t="n">
        <f aca="false">IF(P2="",0,(MONTH(INDEX(PARAMETRES!$C$29:$C$32,2))=P2)*(YEAR(INDEX(PARAMETRES!$C$29:$C$32,2))=P4))</f>
        <v>0</v>
      </c>
    </row>
    <row r="14" customFormat="false" ht="15" hidden="false" customHeight="false" outlineLevel="0" collapsed="false">
      <c r="A14" s="45" t="s">
        <v>761</v>
      </c>
      <c r="B14" s="45" t="n">
        <f aca="false">COUNTIFS('REGISTRE ELEVES'!$F$10:$F$250,"MS",'REGISTRE ELEVES'!$E$10:$E$250,"M")</f>
        <v>0</v>
      </c>
      <c r="C14" s="45" t="n">
        <f aca="false">COUNTIFS('REGISTRE ELEVES'!$F$10:$F$250,"MS",'REGISTRE ELEVES'!$E$10:$E$250,"F")</f>
        <v>0</v>
      </c>
      <c r="D14" s="89" t="n">
        <f aca="false">B14+C14</f>
        <v>0</v>
      </c>
      <c r="E14" s="45" t="n">
        <f aca="false">COUNTIFS('REGISTRE ELEVES'!$F$10:$F$250,"MS",'REGISTRE ELEVES'!$E$10:$E$250,"M",'REGISTRE ELEVES'!$AE$10:$AE$250,"ABANDON")</f>
        <v>0</v>
      </c>
      <c r="F14" s="45" t="n">
        <f aca="false">COUNTIFS('REGISTRE ELEVES'!$F$10:$F$250,"MS",'REGISTRE ELEVES'!$E$10:$E$250,"F",'REGISTRE ELEVES'!$AE$10:$AE$250,"ABANDON")</f>
        <v>0</v>
      </c>
      <c r="G14" s="89" t="n">
        <f aca="false">E14+F14</f>
        <v>0</v>
      </c>
      <c r="H14" s="105" t="str">
        <f aca="false">IF(OR(B14=0,$P$6="",$P$6=0),"",MAX(0,1-SUMIFS('ABSENCES ELEVES'!$H$10:$H$250,'ABSENCES ELEVES'!$M$10:$M$250,$P$2,'ABSENCES ELEVES'!$N$10:$N$250,$P$4,'ABSENCES ELEVES'!$E$10:$E$250,"MS",'ABSENCES ELEVES'!$F$10:$F$250,"M")/(B14*$P$6)))</f>
        <v/>
      </c>
      <c r="I14" s="105" t="str">
        <f aca="false">IF(OR(C14=0,$P$6="",$P$6=0),"",MAX(0,1-SUMIFS('ABSENCES ELEVES'!$H$10:$H$250,'ABSENCES ELEVES'!$M$10:$M$250,$P$2,'ABSENCES ELEVES'!$N$10:$N$250,$P$4,'ABSENCES ELEVES'!$E$10:$E$250,"MS",'ABSENCES ELEVES'!$F$10:$F$250,"F")/(C14*$P$6)))</f>
        <v/>
      </c>
      <c r="J14" s="106" t="str">
        <f aca="false">IF(OR(D14=0,$P$6="",$P$6=0),"",MAX(0,1-SUMIFS('ABSENCES ELEVES'!$H$10:$H$250,'ABSENCES ELEVES'!$M$10:$M$250,$P$2,'ABSENCES ELEVES'!$N$10:$N$250,$P$4,'ABSENCES ELEVES'!$E$10:$E$250,"MS")/(D14*$P$6)))</f>
        <v/>
      </c>
      <c r="K14" s="122" t="str">
        <f aca="false">IF(AND(SUMIFS('ABSENCES ELEVES'!$H$10:$H$250,'ABSENCES ELEVES'!$M$10:$M$250,$P$2,'ABSENCES ELEVES'!$N$10:$N$250,$P$4,'ABSENCES ELEVES'!$E$10:$E$250,"MS")=0,COUNTIFS('ABSENCES ELEVES'!$M$10:$M$250,$P$2,'ABSENCES ELEVES'!$N$10:$N$250,$P$4,'ABSENCES ELEVES'!$E$10:$E$250,"MS",'ABSENCES ELEVES'!$G$10:$G$250,"RETARD")=0),"",SUMIFS('ABSENCES ELEVES'!$H$10:$H$250,'ABSENCES ELEVES'!$M$10:$M$250,$P$2,'ABSENCES ELEVES'!$N$10:$N$250,$P$4,'ABSENCES ELEVES'!$E$10:$E$250,"MS")&amp;" jour(s) d'absence, "&amp;COUNTIFS('ABSENCES ELEVES'!$M$10:$M$250,$P$2,'ABSENCES ELEVES'!$N$10:$N$250,$P$4,'ABSENCES ELEVES'!$E$10:$E$250,"MS",'ABSENCES ELEVES'!$G$10:$G$250,"RETARD")&amp;" retard(s)")</f>
        <v/>
      </c>
      <c r="L14" s="122"/>
      <c r="M14" s="122"/>
      <c r="N14" s="122"/>
      <c r="P14" s="51" t="n">
        <f aca="false">IF(P2="",0,(MONTH(INDEX(PARAMETRES!$C$29:$C$32,3))=P2)*(YEAR(INDEX(PARAMETRES!$C$29:$C$32,3))=P4))</f>
        <v>0</v>
      </c>
    </row>
    <row r="15" customFormat="false" ht="15" hidden="false" customHeight="false" outlineLevel="0" collapsed="false">
      <c r="A15" s="45" t="s">
        <v>762</v>
      </c>
      <c r="B15" s="45" t="n">
        <f aca="false">COUNTIFS('REGISTRE ELEVES'!$F$10:$F$250,"GS",'REGISTRE ELEVES'!$E$10:$E$250,"M")</f>
        <v>0</v>
      </c>
      <c r="C15" s="45" t="n">
        <f aca="false">COUNTIFS('REGISTRE ELEVES'!$F$10:$F$250,"GS",'REGISTRE ELEVES'!$E$10:$E$250,"F")</f>
        <v>0</v>
      </c>
      <c r="D15" s="89" t="n">
        <f aca="false">B15+C15</f>
        <v>0</v>
      </c>
      <c r="E15" s="45" t="n">
        <f aca="false">COUNTIFS('REGISTRE ELEVES'!$F$10:$F$250,"GS",'REGISTRE ELEVES'!$E$10:$E$250,"M",'REGISTRE ELEVES'!$AE$10:$AE$250,"ABANDON")</f>
        <v>0</v>
      </c>
      <c r="F15" s="45" t="n">
        <f aca="false">COUNTIFS('REGISTRE ELEVES'!$F$10:$F$250,"GS",'REGISTRE ELEVES'!$E$10:$E$250,"F",'REGISTRE ELEVES'!$AE$10:$AE$250,"ABANDON")</f>
        <v>0</v>
      </c>
      <c r="G15" s="89" t="n">
        <f aca="false">E15+F15</f>
        <v>0</v>
      </c>
      <c r="H15" s="105" t="str">
        <f aca="false">IF(OR(B15=0,$P$6="",$P$6=0),"",MAX(0,1-SUMIFS('ABSENCES ELEVES'!$H$10:$H$250,'ABSENCES ELEVES'!$M$10:$M$250,$P$2,'ABSENCES ELEVES'!$N$10:$N$250,$P$4,'ABSENCES ELEVES'!$E$10:$E$250,"GS",'ABSENCES ELEVES'!$F$10:$F$250,"M")/(B15*$P$6)))</f>
        <v/>
      </c>
      <c r="I15" s="105" t="str">
        <f aca="false">IF(OR(C15=0,$P$6="",$P$6=0),"",MAX(0,1-SUMIFS('ABSENCES ELEVES'!$H$10:$H$250,'ABSENCES ELEVES'!$M$10:$M$250,$P$2,'ABSENCES ELEVES'!$N$10:$N$250,$P$4,'ABSENCES ELEVES'!$E$10:$E$250,"GS",'ABSENCES ELEVES'!$F$10:$F$250,"F")/(C15*$P$6)))</f>
        <v/>
      </c>
      <c r="J15" s="106" t="str">
        <f aca="false">IF(OR(D15=0,$P$6="",$P$6=0),"",MAX(0,1-SUMIFS('ABSENCES ELEVES'!$H$10:$H$250,'ABSENCES ELEVES'!$M$10:$M$250,$P$2,'ABSENCES ELEVES'!$N$10:$N$250,$P$4,'ABSENCES ELEVES'!$E$10:$E$250,"GS")/(D15*$P$6)))</f>
        <v/>
      </c>
      <c r="K15" s="122" t="str">
        <f aca="false">IF(AND(SUMIFS('ABSENCES ELEVES'!$H$10:$H$250,'ABSENCES ELEVES'!$M$10:$M$250,$P$2,'ABSENCES ELEVES'!$N$10:$N$250,$P$4,'ABSENCES ELEVES'!$E$10:$E$250,"GS")=0,COUNTIFS('ABSENCES ELEVES'!$M$10:$M$250,$P$2,'ABSENCES ELEVES'!$N$10:$N$250,$P$4,'ABSENCES ELEVES'!$E$10:$E$250,"GS",'ABSENCES ELEVES'!$G$10:$G$250,"RETARD")=0),"",SUMIFS('ABSENCES ELEVES'!$H$10:$H$250,'ABSENCES ELEVES'!$M$10:$M$250,$P$2,'ABSENCES ELEVES'!$N$10:$N$250,$P$4,'ABSENCES ELEVES'!$E$10:$E$250,"GS")&amp;" jour(s) d'absence, "&amp;COUNTIFS('ABSENCES ELEVES'!$M$10:$M$250,$P$2,'ABSENCES ELEVES'!$N$10:$N$250,$P$4,'ABSENCES ELEVES'!$E$10:$E$250,"GS",'ABSENCES ELEVES'!$G$10:$G$250,"RETARD")&amp;" retard(s)")</f>
        <v/>
      </c>
      <c r="L15" s="122"/>
      <c r="M15" s="122"/>
      <c r="N15" s="122"/>
      <c r="P15" s="51" t="n">
        <f aca="false">IF(P2="",0,(MONTH(INDEX(PARAMETRES!$C$29:$C$32,4))=P2)*(YEAR(INDEX(PARAMETRES!$C$29:$C$32,4))=P4))</f>
        <v>0</v>
      </c>
    </row>
    <row r="16" customFormat="false" ht="15" hidden="false" customHeight="false" outlineLevel="0" collapsed="false">
      <c r="A16" s="45" t="s">
        <v>18</v>
      </c>
      <c r="B16" s="45" t="n">
        <f aca="false">COUNTIFS('REGISTRE ELEVES'!$F$10:$F$250,"CP1",'REGISTRE ELEVES'!$E$10:$E$250,"M")</f>
        <v>5</v>
      </c>
      <c r="C16" s="45" t="n">
        <f aca="false">COUNTIFS('REGISTRE ELEVES'!$F$10:$F$250,"CP1",'REGISTRE ELEVES'!$E$10:$E$250,"F")</f>
        <v>6</v>
      </c>
      <c r="D16" s="89" t="n">
        <f aca="false">B16+C16</f>
        <v>11</v>
      </c>
      <c r="E16" s="45" t="n">
        <f aca="false">COUNTIFS('REGISTRE ELEVES'!$F$10:$F$250,"CP1",'REGISTRE ELEVES'!$E$10:$E$250,"M",'REGISTRE ELEVES'!$AE$10:$AE$250,"ABANDON")</f>
        <v>0</v>
      </c>
      <c r="F16" s="45" t="n">
        <f aca="false">COUNTIFS('REGISTRE ELEVES'!$F$10:$F$250,"CP1",'REGISTRE ELEVES'!$E$10:$E$250,"F",'REGISTRE ELEVES'!$AE$10:$AE$250,"ABANDON")</f>
        <v>0</v>
      </c>
      <c r="G16" s="89" t="n">
        <f aca="false">E16+F16</f>
        <v>0</v>
      </c>
      <c r="H16" s="105" t="n">
        <f aca="false">IF(OR(B16=0,$P$6="",$P$6=0),"",MAX(0,1-SUMIFS('ABSENCES ELEVES'!$H$10:$H$250,'ABSENCES ELEVES'!$M$10:$M$250,$P$2,'ABSENCES ELEVES'!$N$10:$N$250,$P$4,'ABSENCES ELEVES'!$E$10:$E$250,"CP1",'ABSENCES ELEVES'!$F$10:$F$250,"M")/(B16*$P$6)))</f>
        <v>1</v>
      </c>
      <c r="I16" s="105" t="n">
        <f aca="false">IF(OR(C16=0,$P$6="",$P$6=0),"",MAX(0,1-SUMIFS('ABSENCES ELEVES'!$H$10:$H$250,'ABSENCES ELEVES'!$M$10:$M$250,$P$2,'ABSENCES ELEVES'!$N$10:$N$250,$P$4,'ABSENCES ELEVES'!$E$10:$E$250,"CP1",'ABSENCES ELEVES'!$F$10:$F$250,"F")/(C16*$P$6)))</f>
        <v>0.992424242424242</v>
      </c>
      <c r="J16" s="106" t="n">
        <f aca="false">IF(OR(D16=0,$P$6="",$P$6=0),"",MAX(0,1-SUMIFS('ABSENCES ELEVES'!$H$10:$H$250,'ABSENCES ELEVES'!$M$10:$M$250,$P$2,'ABSENCES ELEVES'!$N$10:$N$250,$P$4,'ABSENCES ELEVES'!$E$10:$E$250,"CP1")/(D16*$P$6)))</f>
        <v>0.995867768595041</v>
      </c>
      <c r="K16" s="122" t="str">
        <f aca="false">IF(AND(SUMIFS('ABSENCES ELEVES'!$H$10:$H$250,'ABSENCES ELEVES'!$M$10:$M$250,$P$2,'ABSENCES ELEVES'!$N$10:$N$250,$P$4,'ABSENCES ELEVES'!$E$10:$E$250,"CP1")=0,COUNTIFS('ABSENCES ELEVES'!$M$10:$M$250,$P$2,'ABSENCES ELEVES'!$N$10:$N$250,$P$4,'ABSENCES ELEVES'!$E$10:$E$250,"CP1",'ABSENCES ELEVES'!$G$10:$G$250,"RETARD")=0),"",SUMIFS('ABSENCES ELEVES'!$H$10:$H$250,'ABSENCES ELEVES'!$M$10:$M$250,$P$2,'ABSENCES ELEVES'!$N$10:$N$250,$P$4,'ABSENCES ELEVES'!$E$10:$E$250,"CP1")&amp;" jour(s) d'absence, "&amp;COUNTIFS('ABSENCES ELEVES'!$M$10:$M$250,$P$2,'ABSENCES ELEVES'!$N$10:$N$250,$P$4,'ABSENCES ELEVES'!$E$10:$E$250,"CP1",'ABSENCES ELEVES'!$G$10:$G$250,"RETARD")&amp;" retard(s)")</f>
        <v>1 jour(s) d'absence, 0 retard(s)</v>
      </c>
      <c r="L16" s="122"/>
      <c r="M16" s="122"/>
      <c r="N16" s="122"/>
      <c r="P16" s="51" t="n">
        <f aca="false">IF(P2="",0,(MONTH(INDEX(PARAMETRES!$D$29:$D$32,1))=P2)*(YEAR(INDEX(PARAMETRES!$D$29:$D$32,1))=P4))</f>
        <v>0</v>
      </c>
    </row>
    <row r="17" customFormat="false" ht="15" hidden="false" customHeight="false" outlineLevel="0" collapsed="false">
      <c r="A17" s="45" t="s">
        <v>19</v>
      </c>
      <c r="B17" s="45" t="n">
        <f aca="false">COUNTIFS('REGISTRE ELEVES'!$F$10:$F$250,"CP2",'REGISTRE ELEVES'!$E$10:$E$250,"M")</f>
        <v>7</v>
      </c>
      <c r="C17" s="45" t="n">
        <f aca="false">COUNTIFS('REGISTRE ELEVES'!$F$10:$F$250,"CP2",'REGISTRE ELEVES'!$E$10:$E$250,"F")</f>
        <v>5</v>
      </c>
      <c r="D17" s="89" t="n">
        <f aca="false">B17+C17</f>
        <v>12</v>
      </c>
      <c r="E17" s="45" t="n">
        <f aca="false">COUNTIFS('REGISTRE ELEVES'!$F$10:$F$250,"CP2",'REGISTRE ELEVES'!$E$10:$E$250,"M",'REGISTRE ELEVES'!$AE$10:$AE$250,"ABANDON")</f>
        <v>0</v>
      </c>
      <c r="F17" s="45" t="n">
        <f aca="false">COUNTIFS('REGISTRE ELEVES'!$F$10:$F$250,"CP2",'REGISTRE ELEVES'!$E$10:$E$250,"F",'REGISTRE ELEVES'!$AE$10:$AE$250,"ABANDON")</f>
        <v>1</v>
      </c>
      <c r="G17" s="89" t="n">
        <f aca="false">E17+F17</f>
        <v>1</v>
      </c>
      <c r="H17" s="105" t="n">
        <f aca="false">IF(OR(B17=0,$P$6="",$P$6=0),"",MAX(0,1-SUMIFS('ABSENCES ELEVES'!$H$10:$H$250,'ABSENCES ELEVES'!$M$10:$M$250,$P$2,'ABSENCES ELEVES'!$N$10:$N$250,$P$4,'ABSENCES ELEVES'!$E$10:$E$250,"CP2",'ABSENCES ELEVES'!$F$10:$F$250,"M")/(B17*$P$6)))</f>
        <v>1</v>
      </c>
      <c r="I17" s="105" t="n">
        <f aca="false">IF(OR(C17=0,$P$6="",$P$6=0),"",MAX(0,1-SUMIFS('ABSENCES ELEVES'!$H$10:$H$250,'ABSENCES ELEVES'!$M$10:$M$250,$P$2,'ABSENCES ELEVES'!$N$10:$N$250,$P$4,'ABSENCES ELEVES'!$E$10:$E$250,"CP2",'ABSENCES ELEVES'!$F$10:$F$250,"F")/(C17*$P$6)))</f>
        <v>1</v>
      </c>
      <c r="J17" s="106" t="n">
        <f aca="false">IF(OR(D17=0,$P$6="",$P$6=0),"",MAX(0,1-SUMIFS('ABSENCES ELEVES'!$H$10:$H$250,'ABSENCES ELEVES'!$M$10:$M$250,$P$2,'ABSENCES ELEVES'!$N$10:$N$250,$P$4,'ABSENCES ELEVES'!$E$10:$E$250,"CP2")/(D17*$P$6)))</f>
        <v>1</v>
      </c>
      <c r="K17" s="122" t="str">
        <f aca="false">IF(AND(SUMIFS('ABSENCES ELEVES'!$H$10:$H$250,'ABSENCES ELEVES'!$M$10:$M$250,$P$2,'ABSENCES ELEVES'!$N$10:$N$250,$P$4,'ABSENCES ELEVES'!$E$10:$E$250,"CP2")=0,COUNTIFS('ABSENCES ELEVES'!$M$10:$M$250,$P$2,'ABSENCES ELEVES'!$N$10:$N$250,$P$4,'ABSENCES ELEVES'!$E$10:$E$250,"CP2",'ABSENCES ELEVES'!$G$10:$G$250,"RETARD")=0),"",SUMIFS('ABSENCES ELEVES'!$H$10:$H$250,'ABSENCES ELEVES'!$M$10:$M$250,$P$2,'ABSENCES ELEVES'!$N$10:$N$250,$P$4,'ABSENCES ELEVES'!$E$10:$E$250,"CP2")&amp;" jour(s) d'absence, "&amp;COUNTIFS('ABSENCES ELEVES'!$M$10:$M$250,$P$2,'ABSENCES ELEVES'!$N$10:$N$250,$P$4,'ABSENCES ELEVES'!$E$10:$E$250,"CP2",'ABSENCES ELEVES'!$G$10:$G$250,"RETARD")&amp;" retard(s)")</f>
        <v>0 jour(s) d'absence, 2 retard(s)</v>
      </c>
      <c r="L17" s="122"/>
      <c r="M17" s="122"/>
      <c r="N17" s="122"/>
      <c r="P17" s="51" t="n">
        <f aca="false">IF(P2="",0,(MONTH(INDEX(PARAMETRES!$D$29:$D$32,2))=P2)*(YEAR(INDEX(PARAMETRES!$D$29:$D$32,2))=P4))</f>
        <v>0</v>
      </c>
    </row>
    <row r="18" customFormat="false" ht="15" hidden="false" customHeight="false" outlineLevel="0" collapsed="false">
      <c r="A18" s="45" t="s">
        <v>20</v>
      </c>
      <c r="B18" s="45" t="n">
        <f aca="false">COUNTIFS('REGISTRE ELEVES'!$F$10:$F$250,"CE1",'REGISTRE ELEVES'!$E$10:$E$250,"M")</f>
        <v>6</v>
      </c>
      <c r="C18" s="45" t="n">
        <f aca="false">COUNTIFS('REGISTRE ELEVES'!$F$10:$F$250,"CE1",'REGISTRE ELEVES'!$E$10:$E$250,"F")</f>
        <v>3</v>
      </c>
      <c r="D18" s="89" t="n">
        <f aca="false">B18+C18</f>
        <v>9</v>
      </c>
      <c r="E18" s="45" t="n">
        <f aca="false">COUNTIFS('REGISTRE ELEVES'!$F$10:$F$250,"CE1",'REGISTRE ELEVES'!$E$10:$E$250,"M",'REGISTRE ELEVES'!$AE$10:$AE$250,"ABANDON")</f>
        <v>0</v>
      </c>
      <c r="F18" s="45" t="n">
        <f aca="false">COUNTIFS('REGISTRE ELEVES'!$F$10:$F$250,"CE1",'REGISTRE ELEVES'!$E$10:$E$250,"F",'REGISTRE ELEVES'!$AE$10:$AE$250,"ABANDON")</f>
        <v>1</v>
      </c>
      <c r="G18" s="89" t="n">
        <f aca="false">E18+F18</f>
        <v>1</v>
      </c>
      <c r="H18" s="105" t="n">
        <f aca="false">IF(OR(B18=0,$P$6="",$P$6=0),"",MAX(0,1-SUMIFS('ABSENCES ELEVES'!$H$10:$H$250,'ABSENCES ELEVES'!$M$10:$M$250,$P$2,'ABSENCES ELEVES'!$N$10:$N$250,$P$4,'ABSENCES ELEVES'!$E$10:$E$250,"CE1",'ABSENCES ELEVES'!$F$10:$F$250,"M")/(B18*$P$6)))</f>
        <v>0.992424242424242</v>
      </c>
      <c r="I18" s="105" t="n">
        <f aca="false">IF(OR(C18=0,$P$6="",$P$6=0),"",MAX(0,1-SUMIFS('ABSENCES ELEVES'!$H$10:$H$250,'ABSENCES ELEVES'!$M$10:$M$250,$P$2,'ABSENCES ELEVES'!$N$10:$N$250,$P$4,'ABSENCES ELEVES'!$E$10:$E$250,"CE1",'ABSENCES ELEVES'!$F$10:$F$250,"F")/(C18*$P$6)))</f>
        <v>0.893939393939394</v>
      </c>
      <c r="J18" s="106" t="n">
        <f aca="false">IF(OR(D18=0,$P$6="",$P$6=0),"",MAX(0,1-SUMIFS('ABSENCES ELEVES'!$H$10:$H$250,'ABSENCES ELEVES'!$M$10:$M$250,$P$2,'ABSENCES ELEVES'!$N$10:$N$250,$P$4,'ABSENCES ELEVES'!$E$10:$E$250,"CE1")/(D18*$P$6)))</f>
        <v>0.95959595959596</v>
      </c>
      <c r="K18" s="122" t="str">
        <f aca="false">IF(AND(SUMIFS('ABSENCES ELEVES'!$H$10:$H$250,'ABSENCES ELEVES'!$M$10:$M$250,$P$2,'ABSENCES ELEVES'!$N$10:$N$250,$P$4,'ABSENCES ELEVES'!$E$10:$E$250,"CE1")=0,COUNTIFS('ABSENCES ELEVES'!$M$10:$M$250,$P$2,'ABSENCES ELEVES'!$N$10:$N$250,$P$4,'ABSENCES ELEVES'!$E$10:$E$250,"CE1",'ABSENCES ELEVES'!$G$10:$G$250,"RETARD")=0),"",SUMIFS('ABSENCES ELEVES'!$H$10:$H$250,'ABSENCES ELEVES'!$M$10:$M$250,$P$2,'ABSENCES ELEVES'!$N$10:$N$250,$P$4,'ABSENCES ELEVES'!$E$10:$E$250,"CE1")&amp;" jour(s) d'absence, "&amp;COUNTIFS('ABSENCES ELEVES'!$M$10:$M$250,$P$2,'ABSENCES ELEVES'!$N$10:$N$250,$P$4,'ABSENCES ELEVES'!$E$10:$E$250,"CE1",'ABSENCES ELEVES'!$G$10:$G$250,"RETARD")&amp;" retard(s)")</f>
        <v>8 jour(s) d'absence, 0 retard(s)</v>
      </c>
      <c r="L18" s="122"/>
      <c r="M18" s="122"/>
      <c r="N18" s="122"/>
      <c r="P18" s="51" t="n">
        <f aca="false">IF(P2="",0,(MONTH(INDEX(PARAMETRES!$D$29:$D$32,3))=P2)*(YEAR(INDEX(PARAMETRES!$D$29:$D$32,3))=P4))</f>
        <v>0</v>
      </c>
    </row>
    <row r="19" customFormat="false" ht="15" hidden="false" customHeight="false" outlineLevel="0" collapsed="false">
      <c r="A19" s="45" t="s">
        <v>21</v>
      </c>
      <c r="B19" s="45" t="n">
        <f aca="false">COUNTIFS('REGISTRE ELEVES'!$F$10:$F$250,"CE2",'REGISTRE ELEVES'!$E$10:$E$250,"M")</f>
        <v>6</v>
      </c>
      <c r="C19" s="45" t="n">
        <f aca="false">COUNTIFS('REGISTRE ELEVES'!$F$10:$F$250,"CE2",'REGISTRE ELEVES'!$E$10:$E$250,"F")</f>
        <v>6</v>
      </c>
      <c r="D19" s="89" t="n">
        <f aca="false">B19+C19</f>
        <v>12</v>
      </c>
      <c r="E19" s="45" t="n">
        <f aca="false">COUNTIFS('REGISTRE ELEVES'!$F$10:$F$250,"CE2",'REGISTRE ELEVES'!$E$10:$E$250,"M",'REGISTRE ELEVES'!$AE$10:$AE$250,"ABANDON")</f>
        <v>1</v>
      </c>
      <c r="F19" s="45" t="n">
        <f aca="false">COUNTIFS('REGISTRE ELEVES'!$F$10:$F$250,"CE2",'REGISTRE ELEVES'!$E$10:$E$250,"F",'REGISTRE ELEVES'!$AE$10:$AE$250,"ABANDON")</f>
        <v>0</v>
      </c>
      <c r="G19" s="89" t="n">
        <f aca="false">E19+F19</f>
        <v>1</v>
      </c>
      <c r="H19" s="105" t="n">
        <f aca="false">IF(OR(B19=0,$P$6="",$P$6=0),"",MAX(0,1-SUMIFS('ABSENCES ELEVES'!$H$10:$H$250,'ABSENCES ELEVES'!$M$10:$M$250,$P$2,'ABSENCES ELEVES'!$N$10:$N$250,$P$4,'ABSENCES ELEVES'!$E$10:$E$250,"CE2",'ABSENCES ELEVES'!$F$10:$F$250,"M")/(B19*$P$6)))</f>
        <v>0.973484848484849</v>
      </c>
      <c r="I19" s="105" t="n">
        <f aca="false">IF(OR(C19=0,$P$6="",$P$6=0),"",MAX(0,1-SUMIFS('ABSENCES ELEVES'!$H$10:$H$250,'ABSENCES ELEVES'!$M$10:$M$250,$P$2,'ABSENCES ELEVES'!$N$10:$N$250,$P$4,'ABSENCES ELEVES'!$E$10:$E$250,"CE2",'ABSENCES ELEVES'!$F$10:$F$250,"F")/(C19*$P$6)))</f>
        <v>0.973484848484849</v>
      </c>
      <c r="J19" s="106" t="n">
        <f aca="false">IF(OR(D19=0,$P$6="",$P$6=0),"",MAX(0,1-SUMIFS('ABSENCES ELEVES'!$H$10:$H$250,'ABSENCES ELEVES'!$M$10:$M$250,$P$2,'ABSENCES ELEVES'!$N$10:$N$250,$P$4,'ABSENCES ELEVES'!$E$10:$E$250,"CE2")/(D19*$P$6)))</f>
        <v>0.973484848484849</v>
      </c>
      <c r="K19" s="122" t="str">
        <f aca="false">IF(AND(SUMIFS('ABSENCES ELEVES'!$H$10:$H$250,'ABSENCES ELEVES'!$M$10:$M$250,$P$2,'ABSENCES ELEVES'!$N$10:$N$250,$P$4,'ABSENCES ELEVES'!$E$10:$E$250,"CE2")=0,COUNTIFS('ABSENCES ELEVES'!$M$10:$M$250,$P$2,'ABSENCES ELEVES'!$N$10:$N$250,$P$4,'ABSENCES ELEVES'!$E$10:$E$250,"CE2",'ABSENCES ELEVES'!$G$10:$G$250,"RETARD")=0),"",SUMIFS('ABSENCES ELEVES'!$H$10:$H$250,'ABSENCES ELEVES'!$M$10:$M$250,$P$2,'ABSENCES ELEVES'!$N$10:$N$250,$P$4,'ABSENCES ELEVES'!$E$10:$E$250,"CE2")&amp;" jour(s) d'absence, "&amp;COUNTIFS('ABSENCES ELEVES'!$M$10:$M$250,$P$2,'ABSENCES ELEVES'!$N$10:$N$250,$P$4,'ABSENCES ELEVES'!$E$10:$E$250,"CE2",'ABSENCES ELEVES'!$G$10:$G$250,"RETARD")&amp;" retard(s)")</f>
        <v>7 jour(s) d'absence, 1 retard(s)</v>
      </c>
      <c r="L19" s="122"/>
      <c r="M19" s="122"/>
      <c r="N19" s="122"/>
      <c r="P19" s="51" t="n">
        <f aca="false">IF(P2="",0,(MONTH(INDEX(PARAMETRES!$D$29:$D$32,4))=P2)*(YEAR(INDEX(PARAMETRES!$D$29:$D$32,4))=P4))</f>
        <v>0</v>
      </c>
    </row>
    <row r="20" customFormat="false" ht="15" hidden="false" customHeight="false" outlineLevel="0" collapsed="false">
      <c r="A20" s="45" t="s">
        <v>22</v>
      </c>
      <c r="B20" s="45" t="n">
        <f aca="false">COUNTIFS('REGISTRE ELEVES'!$F$10:$F$250,"CM1",'REGISTRE ELEVES'!$E$10:$E$250,"M")</f>
        <v>8</v>
      </c>
      <c r="C20" s="45" t="n">
        <f aca="false">COUNTIFS('REGISTRE ELEVES'!$F$10:$F$250,"CM1",'REGISTRE ELEVES'!$E$10:$E$250,"F")</f>
        <v>3</v>
      </c>
      <c r="D20" s="89" t="n">
        <f aca="false">B20+C20</f>
        <v>11</v>
      </c>
      <c r="E20" s="45" t="n">
        <f aca="false">COUNTIFS('REGISTRE ELEVES'!$F$10:$F$250,"CM1",'REGISTRE ELEVES'!$E$10:$E$250,"M",'REGISTRE ELEVES'!$AE$10:$AE$250,"ABANDON")</f>
        <v>0</v>
      </c>
      <c r="F20" s="45" t="n">
        <f aca="false">COUNTIFS('REGISTRE ELEVES'!$F$10:$F$250,"CM1",'REGISTRE ELEVES'!$E$10:$E$250,"F",'REGISTRE ELEVES'!$AE$10:$AE$250,"ABANDON")</f>
        <v>0</v>
      </c>
      <c r="G20" s="89" t="n">
        <f aca="false">E20+F20</f>
        <v>0</v>
      </c>
      <c r="H20" s="105" t="n">
        <f aca="false">IF(OR(B20=0,$P$6="",$P$6=0),"",MAX(0,1-SUMIFS('ABSENCES ELEVES'!$H$10:$H$250,'ABSENCES ELEVES'!$M$10:$M$250,$P$2,'ABSENCES ELEVES'!$N$10:$N$250,$P$4,'ABSENCES ELEVES'!$E$10:$E$250,"CM1",'ABSENCES ELEVES'!$F$10:$F$250,"M")/(B20*$P$6)))</f>
        <v>0.980113636363636</v>
      </c>
      <c r="I20" s="105" t="n">
        <f aca="false">IF(OR(C20=0,$P$6="",$P$6=0),"",MAX(0,1-SUMIFS('ABSENCES ELEVES'!$H$10:$H$250,'ABSENCES ELEVES'!$M$10:$M$250,$P$2,'ABSENCES ELEVES'!$N$10:$N$250,$P$4,'ABSENCES ELEVES'!$E$10:$E$250,"CM1",'ABSENCES ELEVES'!$F$10:$F$250,"F")/(C20*$P$6)))</f>
        <v>1</v>
      </c>
      <c r="J20" s="106" t="n">
        <f aca="false">IF(OR(D20=0,$P$6="",$P$6=0),"",MAX(0,1-SUMIFS('ABSENCES ELEVES'!$H$10:$H$250,'ABSENCES ELEVES'!$M$10:$M$250,$P$2,'ABSENCES ELEVES'!$N$10:$N$250,$P$4,'ABSENCES ELEVES'!$E$10:$E$250,"CM1")/(D20*$P$6)))</f>
        <v>0.985537190082645</v>
      </c>
      <c r="K20" s="122" t="str">
        <f aca="false">IF(AND(SUMIFS('ABSENCES ELEVES'!$H$10:$H$250,'ABSENCES ELEVES'!$M$10:$M$250,$P$2,'ABSENCES ELEVES'!$N$10:$N$250,$P$4,'ABSENCES ELEVES'!$E$10:$E$250,"CM1")=0,COUNTIFS('ABSENCES ELEVES'!$M$10:$M$250,$P$2,'ABSENCES ELEVES'!$N$10:$N$250,$P$4,'ABSENCES ELEVES'!$E$10:$E$250,"CM1",'ABSENCES ELEVES'!$G$10:$G$250,"RETARD")=0),"",SUMIFS('ABSENCES ELEVES'!$H$10:$H$250,'ABSENCES ELEVES'!$M$10:$M$250,$P$2,'ABSENCES ELEVES'!$N$10:$N$250,$P$4,'ABSENCES ELEVES'!$E$10:$E$250,"CM1")&amp;" jour(s) d'absence, "&amp;COUNTIFS('ABSENCES ELEVES'!$M$10:$M$250,$P$2,'ABSENCES ELEVES'!$N$10:$N$250,$P$4,'ABSENCES ELEVES'!$E$10:$E$250,"CM1",'ABSENCES ELEVES'!$G$10:$G$250,"RETARD")&amp;" retard(s)")</f>
        <v>3.5 jour(s) d'absence, 0 retard(s)</v>
      </c>
      <c r="L20" s="122"/>
      <c r="M20" s="122"/>
      <c r="N20" s="122"/>
    </row>
    <row r="21" customFormat="false" ht="15" hidden="false" customHeight="false" outlineLevel="0" collapsed="false">
      <c r="A21" s="45" t="s">
        <v>23</v>
      </c>
      <c r="B21" s="45" t="n">
        <f aca="false">COUNTIFS('REGISTRE ELEVES'!$F$10:$F$250,"CM2",'REGISTRE ELEVES'!$E$10:$E$250,"M")</f>
        <v>3</v>
      </c>
      <c r="C21" s="45" t="n">
        <f aca="false">COUNTIFS('REGISTRE ELEVES'!$F$10:$F$250,"CM2",'REGISTRE ELEVES'!$E$10:$E$250,"F")</f>
        <v>6</v>
      </c>
      <c r="D21" s="89" t="n">
        <f aca="false">B21+C21</f>
        <v>9</v>
      </c>
      <c r="E21" s="45" t="n">
        <f aca="false">COUNTIFS('REGISTRE ELEVES'!$F$10:$F$250,"CM2",'REGISTRE ELEVES'!$E$10:$E$250,"M",'REGISTRE ELEVES'!$AE$10:$AE$250,"ABANDON")</f>
        <v>1</v>
      </c>
      <c r="F21" s="45" t="n">
        <f aca="false">COUNTIFS('REGISTRE ELEVES'!$F$10:$F$250,"CM2",'REGISTRE ELEVES'!$E$10:$E$250,"F",'REGISTRE ELEVES'!$AE$10:$AE$250,"ABANDON")</f>
        <v>1</v>
      </c>
      <c r="G21" s="89" t="n">
        <f aca="false">E21+F21</f>
        <v>2</v>
      </c>
      <c r="H21" s="105" t="n">
        <f aca="false">IF(OR(B21=0,$P$6="",$P$6=0),"",MAX(0,1-SUMIFS('ABSENCES ELEVES'!$H$10:$H$250,'ABSENCES ELEVES'!$M$10:$M$250,$P$2,'ABSENCES ELEVES'!$N$10:$N$250,$P$4,'ABSENCES ELEVES'!$E$10:$E$250,"CM2",'ABSENCES ELEVES'!$F$10:$F$250,"M")/(B21*$P$6)))</f>
        <v>1</v>
      </c>
      <c r="I21" s="105" t="n">
        <f aca="false">IF(OR(C21=0,$P$6="",$P$6=0),"",MAX(0,1-SUMIFS('ABSENCES ELEVES'!$H$10:$H$250,'ABSENCES ELEVES'!$M$10:$M$250,$P$2,'ABSENCES ELEVES'!$N$10:$N$250,$P$4,'ABSENCES ELEVES'!$E$10:$E$250,"CM2",'ABSENCES ELEVES'!$F$10:$F$250,"F")/(C21*$P$6)))</f>
        <v>0.977272727272727</v>
      </c>
      <c r="J21" s="106" t="n">
        <f aca="false">IF(OR(D21=0,$P$6="",$P$6=0),"",MAX(0,1-SUMIFS('ABSENCES ELEVES'!$H$10:$H$250,'ABSENCES ELEVES'!$M$10:$M$250,$P$2,'ABSENCES ELEVES'!$N$10:$N$250,$P$4,'ABSENCES ELEVES'!$E$10:$E$250,"CM2")/(D21*$P$6)))</f>
        <v>0.984848484848485</v>
      </c>
      <c r="K21" s="122" t="str">
        <f aca="false">IF(AND(SUMIFS('ABSENCES ELEVES'!$H$10:$H$250,'ABSENCES ELEVES'!$M$10:$M$250,$P$2,'ABSENCES ELEVES'!$N$10:$N$250,$P$4,'ABSENCES ELEVES'!$E$10:$E$250,"CM2")=0,COUNTIFS('ABSENCES ELEVES'!$M$10:$M$250,$P$2,'ABSENCES ELEVES'!$N$10:$N$250,$P$4,'ABSENCES ELEVES'!$E$10:$E$250,"CM2",'ABSENCES ELEVES'!$G$10:$G$250,"RETARD")=0),"",SUMIFS('ABSENCES ELEVES'!$H$10:$H$250,'ABSENCES ELEVES'!$M$10:$M$250,$P$2,'ABSENCES ELEVES'!$N$10:$N$250,$P$4,'ABSENCES ELEVES'!$E$10:$E$250,"CM2")&amp;" jour(s) d'absence, "&amp;COUNTIFS('ABSENCES ELEVES'!$M$10:$M$250,$P$2,'ABSENCES ELEVES'!$N$10:$N$250,$P$4,'ABSENCES ELEVES'!$E$10:$E$250,"CM2",'ABSENCES ELEVES'!$G$10:$G$250,"RETARD")&amp;" retard(s)")</f>
        <v>3 jour(s) d'absence, 0 retard(s)</v>
      </c>
      <c r="L21" s="122"/>
      <c r="M21" s="122"/>
      <c r="N21" s="122"/>
    </row>
    <row r="22" customFormat="false" ht="15" hidden="false" customHeight="false" outlineLevel="0" collapsed="false">
      <c r="A22" s="103" t="s">
        <v>24</v>
      </c>
      <c r="B22" s="103" t="n">
        <f aca="false">SUM(B13:B21)</f>
        <v>35</v>
      </c>
      <c r="C22" s="103" t="n">
        <f aca="false">SUM(C13:C21)</f>
        <v>29</v>
      </c>
      <c r="D22" s="103" t="n">
        <f aca="false">SUM(D13:D21)</f>
        <v>64</v>
      </c>
      <c r="E22" s="103" t="n">
        <f aca="false">SUM(E13:E21)</f>
        <v>2</v>
      </c>
      <c r="F22" s="103" t="n">
        <f aca="false">SUM(F13:F21)</f>
        <v>3</v>
      </c>
      <c r="G22" s="103" t="n">
        <f aca="false">SUM(G13:G21)</f>
        <v>5</v>
      </c>
      <c r="H22" s="108" t="n">
        <f aca="false">IF(OR(B22=0,$P$6="",$P$6=0),"",MAX(0,1-SUMIFS('ABSENCES ELEVES'!$H$10:$H$250,'ABSENCES ELEVES'!$M$10:$M$250,$P$2,'ABSENCES ELEVES'!$N$10:$N$250,$P$4,'ABSENCES ELEVES'!$F$10:$F$250,"M")/(B22*$P$6)))</f>
        <v>0.98961038961039</v>
      </c>
      <c r="I22" s="108" t="n">
        <f aca="false">IF(OR(C22=0,$P$6="",$P$6=0),"",MAX(0,1-SUMIFS('ABSENCES ELEVES'!$H$10:$H$250,'ABSENCES ELEVES'!$M$10:$M$250,$P$2,'ABSENCES ELEVES'!$N$10:$N$250,$P$4,'ABSENCES ELEVES'!$F$10:$F$250,"F")/(C22*$P$6)))</f>
        <v>0.977272727272727</v>
      </c>
      <c r="J22" s="108" t="n">
        <f aca="false">IF(OR(D22=0,$P$6="",$P$6=0),"",MAX(0,1-SUMIFS('ABSENCES ELEVES'!$H$10:$H$250,'ABSENCES ELEVES'!$M$10:$M$250,$P$2,'ABSENCES ELEVES'!$N$10:$N$250,$P$4)/(D22*$P$6)))</f>
        <v>0.984019886363636</v>
      </c>
      <c r="K22" s="112" t="str">
        <f aca="false">IF(SUMIFS('ABSENCES ELEVES'!$H$10:$H$250,'ABSENCES ELEVES'!$M$10:$M$250,$P$2,'ABSENCES ELEVES'!$N$10:$N$250,$P$4)=0,"Aucune absence enregistrée ce mois",SUMIFS('ABSENCES ELEVES'!$H$10:$H$250,'ABSENCES ELEVES'!$M$10:$M$250,$P$2,'ABSENCES ELEVES'!$N$10:$N$250,$P$4)&amp;" jour(s) d'absence au total")</f>
        <v>22.5 jour(s) d'absence au total</v>
      </c>
      <c r="L22" s="112"/>
      <c r="M22" s="112"/>
      <c r="N22" s="112"/>
    </row>
    <row r="24" customFormat="false" ht="19.5" hidden="false" customHeight="true" outlineLevel="0" collapsed="false">
      <c r="A24" s="111" t="s">
        <v>763</v>
      </c>
      <c r="B24" s="111"/>
      <c r="C24" s="111"/>
      <c r="D24" s="111"/>
      <c r="E24" s="111"/>
      <c r="F24" s="111"/>
      <c r="G24" s="111"/>
      <c r="H24" s="111"/>
      <c r="I24" s="111"/>
      <c r="J24" s="111"/>
      <c r="K24" s="111"/>
      <c r="L24" s="111"/>
      <c r="M24" s="111"/>
      <c r="N24" s="111"/>
    </row>
    <row r="25" customFormat="false" ht="27.75" hidden="false" customHeight="true" outlineLevel="0" collapsed="false">
      <c r="A25" s="68" t="s">
        <v>120</v>
      </c>
      <c r="B25" s="68" t="s">
        <v>713</v>
      </c>
      <c r="C25" s="68"/>
      <c r="D25" s="68"/>
      <c r="E25" s="68" t="s">
        <v>718</v>
      </c>
      <c r="F25" s="68" t="s">
        <v>764</v>
      </c>
      <c r="G25" s="68"/>
      <c r="H25" s="68" t="s">
        <v>765</v>
      </c>
      <c r="I25" s="68"/>
      <c r="J25" s="68" t="s">
        <v>766</v>
      </c>
      <c r="K25" s="68"/>
      <c r="L25" s="68"/>
      <c r="M25" s="68" t="s">
        <v>767</v>
      </c>
      <c r="N25" s="68"/>
    </row>
    <row r="26" customFormat="false" ht="15" hidden="false" customHeight="false" outlineLevel="0" collapsed="false">
      <c r="A26" s="45" t="n">
        <f aca="false">IF(PERSONNEL!C10="","",1)</f>
        <v>1</v>
      </c>
      <c r="B26" s="74" t="str">
        <f aca="false">IF(PERSONNEL!C10="","",PERSONNEL!C10)</f>
        <v>KOUAME Kouadio Ernest</v>
      </c>
      <c r="C26" s="74"/>
      <c r="D26" s="74"/>
      <c r="E26" s="45" t="str">
        <f aca="false">IF(PERSONNEL!C10="","",PERSONNEL!I10)</f>
        <v>-</v>
      </c>
      <c r="F26" s="45" t="str">
        <f aca="false">IF(PERSONNEL!C10="","",IF(COUNTIFS('ABSENCES PERSONNEL'!$C$10:$C$250,PERSONNEL!$B$10,'ABSENCES PERSONNEL'!$M$10:$M$250,$P$2,'ABSENCES PERSONNEL'!$N$10:$N$250,$P$4,'ABSENCES PERSONNEL'!$G$10:$G$250,"RETARD")+COUNTIFS('ABSENCES PERSONNEL'!$C$10:$C$250,PERSONNEL!$B$10,'ABSENCES PERSONNEL'!$M$10:$M$250,$P$2,'ABSENCES PERSONNEL'!$N$10:$N$250,$P$4,'ABSENCES PERSONNEL'!$G$10:$G$250,"ABSENCE")=0,"-",IF(COUNTIFS('ABSENCES PERSONNEL'!$C$10:$C$250,PERSONNEL!$B$10,'ABSENCES PERSONNEL'!$M$10:$M$250,$P$2,'ABSENCES PERSONNEL'!$N$10:$N$250,$P$4,'ABSENCES PERSONNEL'!$G$10:$G$250,"RETARD")&gt;0,COUNTIFS('ABSENCES PERSONNEL'!$C$10:$C$250,PERSONNEL!$B$10,'ABSENCES PERSONNEL'!$M$10:$M$250,$P$2,'ABSENCES PERSONNEL'!$N$10:$N$250,$P$4,'ABSENCES PERSONNEL'!$G$10:$G$250,"RETARD")&amp;" retard(s)","")&amp;IF(AND(COUNTIFS('ABSENCES PERSONNEL'!$C$10:$C$250,PERSONNEL!$B$10,'ABSENCES PERSONNEL'!$M$10:$M$250,$P$2,'ABSENCES PERSONNEL'!$N$10:$N$250,$P$4,'ABSENCES PERSONNEL'!$G$10:$G$250,"RETARD")&gt;0,COUNTIFS('ABSENCES PERSONNEL'!$C$10:$C$250,PERSONNEL!$B$10,'ABSENCES PERSONNEL'!$M$10:$M$250,$P$2,'ABSENCES PERSONNEL'!$N$10:$N$250,$P$4,'ABSENCES PERSONNEL'!$G$10:$G$250,"ABSENCE")&gt;0)," / ","")&amp;IF(COUNTIFS('ABSENCES PERSONNEL'!$C$10:$C$250,PERSONNEL!$B$10,'ABSENCES PERSONNEL'!$M$10:$M$250,$P$2,'ABSENCES PERSONNEL'!$N$10:$N$250,$P$4,'ABSENCES PERSONNEL'!$G$10:$G$250,"ABSENCE")&gt;0,COUNTIFS('ABSENCES PERSONNEL'!$C$10:$C$250,PERSONNEL!$B$10,'ABSENCES PERSONNEL'!$M$10:$M$250,$P$2,'ABSENCES PERSONNEL'!$N$10:$N$250,$P$4,'ABSENCES PERSONNEL'!$G$10:$G$250,"ABSENCE")&amp;" absence(s)","")))</f>
        <v>-</v>
      </c>
      <c r="G26" s="45"/>
      <c r="H26" s="45" t="str">
        <f aca="false">IF(PERSONNEL!C10="","",IF(COUNTIFS('ABSENCES PERSONNEL'!$C$10:$C$250,PERSONNEL!$B$10,'ABSENCES PERSONNEL'!$M$10:$M$250,$P$2,'ABSENCES PERSONNEL'!$N$10:$N$250,$P$4,'ABSENCES PERSONNEL'!$G$10:$G$250,"RETARD")+COUNTIFS('ABSENCES PERSONNEL'!$C$10:$C$250,PERSONNEL!$B$10,'ABSENCES PERSONNEL'!$M$10:$M$250,$P$2,'ABSENCES PERSONNEL'!$N$10:$N$250,$P$4,'ABSENCES PERSONNEL'!$G$10:$G$250,"ABSENCE")=0,"-",IF(SUMIFS('ABSENCES PERSONNEL'!$H$10:$H$250,'ABSENCES PERSONNEL'!$C$10:$C$250,PERSONNEL!$B$10,'ABSENCES PERSONNEL'!$M$10:$M$250,$P$2,'ABSENCES PERSONNEL'!$N$10:$N$250,$P$4)&gt;0,SUMIFS('ABSENCES PERSONNEL'!$H$10:$H$250,'ABSENCES PERSONNEL'!$C$10:$C$250,PERSONNEL!$B$10,'ABSENCES PERSONNEL'!$M$10:$M$250,$P$2,'ABSENCES PERSONNEL'!$N$10:$N$250,$P$4)&amp;" j","")&amp;IF(AND(SUMIFS('ABSENCES PERSONNEL'!$H$10:$H$250,'ABSENCES PERSONNEL'!$C$10:$C$250,PERSONNEL!$B$10,'ABSENCES PERSONNEL'!$M$10:$M$250,$P$2,'ABSENCES PERSONNEL'!$N$10:$N$250,$P$4)&gt;0,SUMIFS('ABSENCES PERSONNEL'!$I$10:$I$250,'ABSENCES PERSONNEL'!$C$10:$C$250,PERSONNEL!$B$10,'ABSENCES PERSONNEL'!$M$10:$M$250,$P$2,'ABSENCES PERSONNEL'!$N$10:$N$250,$P$4)&gt;0)," / ","")&amp;IF(SUMIFS('ABSENCES PERSONNEL'!$I$10:$I$250,'ABSENCES PERSONNEL'!$C$10:$C$250,PERSONNEL!$B$10,'ABSENCES PERSONNEL'!$M$10:$M$250,$P$2,'ABSENCES PERSONNEL'!$N$10:$N$250,$P$4)&gt;0,SUMIFS('ABSENCES PERSONNEL'!$I$10:$I$250,'ABSENCES PERSONNEL'!$C$10:$C$250,PERSONNEL!$B$10,'ABSENCES PERSONNEL'!$M$10:$M$250,$P$2,'ABSENCES PERSONNEL'!$N$10:$N$250,$P$4)&amp;" min","")))</f>
        <v>-</v>
      </c>
      <c r="I26" s="45"/>
      <c r="J26" s="74" t="str">
        <f aca="false">IF(PERSONNEL!C10="","",IF(COUNTIFS('ABSENCES PERSONNEL'!$C$10:$C$250,PERSONNEL!$B$10,'ABSENCES PERSONNEL'!$M$10:$M$250,$P$2,'ABSENCES PERSONNEL'!$N$10:$N$250,$P$4,'ABSENCES PERSONNEL'!$G$10:$G$250,"RETARD")+COUNTIFS('ABSENCES PERSONNEL'!$C$10:$C$250,PERSONNEL!$B$10,'ABSENCES PERSONNEL'!$M$10:$M$250,$P$2,'ABSENCES PERSONNEL'!$N$10:$N$250,$P$4,'ABSENCES PERSONNEL'!$G$10:$G$250,"ABSENCE")=0,"-",IFERROR(INDEX('ABSENCES PERSONNEL'!$J$10:$J$250,MATCH(PERSONNEL!$B$10&amp;"|"&amp;$P$2&amp;"|"&amp;$P$4,'ABSENCES PERSONNEL'!$O$10:$O$250,0)),"")&amp;IF(COUNTIFS('ABSENCES PERSONNEL'!$C$10:$C$250,PERSONNEL!$B$10,'ABSENCES PERSONNEL'!$M$10:$M$250,$P$2,'ABSENCES PERSONNEL'!$N$10:$N$250,$P$4,'ABSENCES PERSONNEL'!$G$10:$G$250,"RETARD")+COUNTIFS('ABSENCES PERSONNEL'!$C$10:$C$250,PERSONNEL!$B$10,'ABSENCES PERSONNEL'!$M$10:$M$250,$P$2,'ABSENCES PERSONNEL'!$N$10:$N$250,$P$4,'ABSENCES PERSONNEL'!$G$10:$G$250,"ABSENCE")&gt;1," (+"&amp;(COUNTIFS('ABSENCES PERSONNEL'!$C$10:$C$250,PERSONNEL!$B$10,'ABSENCES PERSONNEL'!$M$10:$M$250,$P$2,'ABSENCES PERSONNEL'!$N$10:$N$250,$P$4,'ABSENCES PERSONNEL'!$G$10:$G$250,"RETARD")+COUNTIFS('ABSENCES PERSONNEL'!$C$10:$C$250,PERSONNEL!$B$10,'ABSENCES PERSONNEL'!$M$10:$M$250,$P$2,'ABSENCES PERSONNEL'!$N$10:$N$250,$P$4,'ABSENCES PERSONNEL'!$G$10:$G$250,"ABSENCE")-1)&amp;" autre(s))","")))</f>
        <v>-</v>
      </c>
      <c r="K26" s="74"/>
      <c r="L26" s="74"/>
      <c r="M26" s="123"/>
      <c r="N26" s="123"/>
    </row>
    <row r="27" customFormat="false" ht="15" hidden="false" customHeight="false" outlineLevel="0" collapsed="false">
      <c r="A27" s="45" t="n">
        <f aca="false">IF(PERSONNEL!C11="","",2)</f>
        <v>2</v>
      </c>
      <c r="B27" s="74" t="str">
        <f aca="false">IF(PERSONNEL!C11="","",PERSONNEL!C11)</f>
        <v>N'DRI Affoué Solange</v>
      </c>
      <c r="C27" s="74"/>
      <c r="D27" s="74"/>
      <c r="E27" s="45" t="str">
        <f aca="false">IF(PERSONNEL!C11="","",PERSONNEL!I11)</f>
        <v>CP1</v>
      </c>
      <c r="F27" s="45" t="str">
        <f aca="false">IF(PERSONNEL!C11="","",IF(COUNTIFS('ABSENCES PERSONNEL'!$C$10:$C$250,PERSONNEL!$B$11,'ABSENCES PERSONNEL'!$M$10:$M$250,$P$2,'ABSENCES PERSONNEL'!$N$10:$N$250,$P$4,'ABSENCES PERSONNEL'!$G$10:$G$250,"RETARD")+COUNTIFS('ABSENCES PERSONNEL'!$C$10:$C$250,PERSONNEL!$B$11,'ABSENCES PERSONNEL'!$M$10:$M$250,$P$2,'ABSENCES PERSONNEL'!$N$10:$N$250,$P$4,'ABSENCES PERSONNEL'!$G$10:$G$250,"ABSENCE")=0,"-",IF(COUNTIFS('ABSENCES PERSONNEL'!$C$10:$C$250,PERSONNEL!$B$11,'ABSENCES PERSONNEL'!$M$10:$M$250,$P$2,'ABSENCES PERSONNEL'!$N$10:$N$250,$P$4,'ABSENCES PERSONNEL'!$G$10:$G$250,"RETARD")&gt;0,COUNTIFS('ABSENCES PERSONNEL'!$C$10:$C$250,PERSONNEL!$B$11,'ABSENCES PERSONNEL'!$M$10:$M$250,$P$2,'ABSENCES PERSONNEL'!$N$10:$N$250,$P$4,'ABSENCES PERSONNEL'!$G$10:$G$250,"RETARD")&amp;" retard(s)","")&amp;IF(AND(COUNTIFS('ABSENCES PERSONNEL'!$C$10:$C$250,PERSONNEL!$B$11,'ABSENCES PERSONNEL'!$M$10:$M$250,$P$2,'ABSENCES PERSONNEL'!$N$10:$N$250,$P$4,'ABSENCES PERSONNEL'!$G$10:$G$250,"RETARD")&gt;0,COUNTIFS('ABSENCES PERSONNEL'!$C$10:$C$250,PERSONNEL!$B$11,'ABSENCES PERSONNEL'!$M$10:$M$250,$P$2,'ABSENCES PERSONNEL'!$N$10:$N$250,$P$4,'ABSENCES PERSONNEL'!$G$10:$G$250,"ABSENCE")&gt;0)," / ","")&amp;IF(COUNTIFS('ABSENCES PERSONNEL'!$C$10:$C$250,PERSONNEL!$B$11,'ABSENCES PERSONNEL'!$M$10:$M$250,$P$2,'ABSENCES PERSONNEL'!$N$10:$N$250,$P$4,'ABSENCES PERSONNEL'!$G$10:$G$250,"ABSENCE")&gt;0,COUNTIFS('ABSENCES PERSONNEL'!$C$10:$C$250,PERSONNEL!$B$11,'ABSENCES PERSONNEL'!$M$10:$M$250,$P$2,'ABSENCES PERSONNEL'!$N$10:$N$250,$P$4,'ABSENCES PERSONNEL'!$G$10:$G$250,"ABSENCE")&amp;" absence(s)","")))</f>
        <v>-</v>
      </c>
      <c r="G27" s="45"/>
      <c r="H27" s="45" t="str">
        <f aca="false">IF(PERSONNEL!C11="","",IF(COUNTIFS('ABSENCES PERSONNEL'!$C$10:$C$250,PERSONNEL!$B$11,'ABSENCES PERSONNEL'!$M$10:$M$250,$P$2,'ABSENCES PERSONNEL'!$N$10:$N$250,$P$4,'ABSENCES PERSONNEL'!$G$10:$G$250,"RETARD")+COUNTIFS('ABSENCES PERSONNEL'!$C$10:$C$250,PERSONNEL!$B$11,'ABSENCES PERSONNEL'!$M$10:$M$250,$P$2,'ABSENCES PERSONNEL'!$N$10:$N$250,$P$4,'ABSENCES PERSONNEL'!$G$10:$G$250,"ABSENCE")=0,"-",IF(SUMIFS('ABSENCES PERSONNEL'!$H$10:$H$250,'ABSENCES PERSONNEL'!$C$10:$C$250,PERSONNEL!$B$11,'ABSENCES PERSONNEL'!$M$10:$M$250,$P$2,'ABSENCES PERSONNEL'!$N$10:$N$250,$P$4)&gt;0,SUMIFS('ABSENCES PERSONNEL'!$H$10:$H$250,'ABSENCES PERSONNEL'!$C$10:$C$250,PERSONNEL!$B$11,'ABSENCES PERSONNEL'!$M$10:$M$250,$P$2,'ABSENCES PERSONNEL'!$N$10:$N$250,$P$4)&amp;" j","")&amp;IF(AND(SUMIFS('ABSENCES PERSONNEL'!$H$10:$H$250,'ABSENCES PERSONNEL'!$C$10:$C$250,PERSONNEL!$B$11,'ABSENCES PERSONNEL'!$M$10:$M$250,$P$2,'ABSENCES PERSONNEL'!$N$10:$N$250,$P$4)&gt;0,SUMIFS('ABSENCES PERSONNEL'!$I$10:$I$250,'ABSENCES PERSONNEL'!$C$10:$C$250,PERSONNEL!$B$11,'ABSENCES PERSONNEL'!$M$10:$M$250,$P$2,'ABSENCES PERSONNEL'!$N$10:$N$250,$P$4)&gt;0)," / ","")&amp;IF(SUMIFS('ABSENCES PERSONNEL'!$I$10:$I$250,'ABSENCES PERSONNEL'!$C$10:$C$250,PERSONNEL!$B$11,'ABSENCES PERSONNEL'!$M$10:$M$250,$P$2,'ABSENCES PERSONNEL'!$N$10:$N$250,$P$4)&gt;0,SUMIFS('ABSENCES PERSONNEL'!$I$10:$I$250,'ABSENCES PERSONNEL'!$C$10:$C$250,PERSONNEL!$B$11,'ABSENCES PERSONNEL'!$M$10:$M$250,$P$2,'ABSENCES PERSONNEL'!$N$10:$N$250,$P$4)&amp;" min","")))</f>
        <v>-</v>
      </c>
      <c r="I27" s="45"/>
      <c r="J27" s="74" t="str">
        <f aca="false">IF(PERSONNEL!C11="","",IF(COUNTIFS('ABSENCES PERSONNEL'!$C$10:$C$250,PERSONNEL!$B$11,'ABSENCES PERSONNEL'!$M$10:$M$250,$P$2,'ABSENCES PERSONNEL'!$N$10:$N$250,$P$4,'ABSENCES PERSONNEL'!$G$10:$G$250,"RETARD")+COUNTIFS('ABSENCES PERSONNEL'!$C$10:$C$250,PERSONNEL!$B$11,'ABSENCES PERSONNEL'!$M$10:$M$250,$P$2,'ABSENCES PERSONNEL'!$N$10:$N$250,$P$4,'ABSENCES PERSONNEL'!$G$10:$G$250,"ABSENCE")=0,"-",IFERROR(INDEX('ABSENCES PERSONNEL'!$J$10:$J$250,MATCH(PERSONNEL!$B$11&amp;"|"&amp;$P$2&amp;"|"&amp;$P$4,'ABSENCES PERSONNEL'!$O$10:$O$250,0)),"")&amp;IF(COUNTIFS('ABSENCES PERSONNEL'!$C$10:$C$250,PERSONNEL!$B$11,'ABSENCES PERSONNEL'!$M$10:$M$250,$P$2,'ABSENCES PERSONNEL'!$N$10:$N$250,$P$4,'ABSENCES PERSONNEL'!$G$10:$G$250,"RETARD")+COUNTIFS('ABSENCES PERSONNEL'!$C$10:$C$250,PERSONNEL!$B$11,'ABSENCES PERSONNEL'!$M$10:$M$250,$P$2,'ABSENCES PERSONNEL'!$N$10:$N$250,$P$4,'ABSENCES PERSONNEL'!$G$10:$G$250,"ABSENCE")&gt;1," (+"&amp;(COUNTIFS('ABSENCES PERSONNEL'!$C$10:$C$250,PERSONNEL!$B$11,'ABSENCES PERSONNEL'!$M$10:$M$250,$P$2,'ABSENCES PERSONNEL'!$N$10:$N$250,$P$4,'ABSENCES PERSONNEL'!$G$10:$G$250,"RETARD")+COUNTIFS('ABSENCES PERSONNEL'!$C$10:$C$250,PERSONNEL!$B$11,'ABSENCES PERSONNEL'!$M$10:$M$250,$P$2,'ABSENCES PERSONNEL'!$N$10:$N$250,$P$4,'ABSENCES PERSONNEL'!$G$10:$G$250,"ABSENCE")-1)&amp;" autre(s))","")))</f>
        <v>-</v>
      </c>
      <c r="K27" s="74"/>
      <c r="L27" s="74"/>
      <c r="M27" s="123"/>
      <c r="N27" s="123"/>
    </row>
    <row r="28" customFormat="false" ht="15" hidden="false" customHeight="false" outlineLevel="0" collapsed="false">
      <c r="A28" s="45" t="n">
        <f aca="false">IF(PERSONNEL!C12="","",3)</f>
        <v>3</v>
      </c>
      <c r="B28" s="74" t="str">
        <f aca="false">IF(PERSONNEL!C12="","",PERSONNEL!C12)</f>
        <v>BAKAYOKO Issouf</v>
      </c>
      <c r="C28" s="74"/>
      <c r="D28" s="74"/>
      <c r="E28" s="45" t="str">
        <f aca="false">IF(PERSONNEL!C12="","",PERSONNEL!I12)</f>
        <v>CP2</v>
      </c>
      <c r="F28" s="45" t="str">
        <f aca="false">IF(PERSONNEL!C12="","",IF(COUNTIFS('ABSENCES PERSONNEL'!$C$10:$C$250,PERSONNEL!$B$12,'ABSENCES PERSONNEL'!$M$10:$M$250,$P$2,'ABSENCES PERSONNEL'!$N$10:$N$250,$P$4,'ABSENCES PERSONNEL'!$G$10:$G$250,"RETARD")+COUNTIFS('ABSENCES PERSONNEL'!$C$10:$C$250,PERSONNEL!$B$12,'ABSENCES PERSONNEL'!$M$10:$M$250,$P$2,'ABSENCES PERSONNEL'!$N$10:$N$250,$P$4,'ABSENCES PERSONNEL'!$G$10:$G$250,"ABSENCE")=0,"-",IF(COUNTIFS('ABSENCES PERSONNEL'!$C$10:$C$250,PERSONNEL!$B$12,'ABSENCES PERSONNEL'!$M$10:$M$250,$P$2,'ABSENCES PERSONNEL'!$N$10:$N$250,$P$4,'ABSENCES PERSONNEL'!$G$10:$G$250,"RETARD")&gt;0,COUNTIFS('ABSENCES PERSONNEL'!$C$10:$C$250,PERSONNEL!$B$12,'ABSENCES PERSONNEL'!$M$10:$M$250,$P$2,'ABSENCES PERSONNEL'!$N$10:$N$250,$P$4,'ABSENCES PERSONNEL'!$G$10:$G$250,"RETARD")&amp;" retard(s)","")&amp;IF(AND(COUNTIFS('ABSENCES PERSONNEL'!$C$10:$C$250,PERSONNEL!$B$12,'ABSENCES PERSONNEL'!$M$10:$M$250,$P$2,'ABSENCES PERSONNEL'!$N$10:$N$250,$P$4,'ABSENCES PERSONNEL'!$G$10:$G$250,"RETARD")&gt;0,COUNTIFS('ABSENCES PERSONNEL'!$C$10:$C$250,PERSONNEL!$B$12,'ABSENCES PERSONNEL'!$M$10:$M$250,$P$2,'ABSENCES PERSONNEL'!$N$10:$N$250,$P$4,'ABSENCES PERSONNEL'!$G$10:$G$250,"ABSENCE")&gt;0)," / ","")&amp;IF(COUNTIFS('ABSENCES PERSONNEL'!$C$10:$C$250,PERSONNEL!$B$12,'ABSENCES PERSONNEL'!$M$10:$M$250,$P$2,'ABSENCES PERSONNEL'!$N$10:$N$250,$P$4,'ABSENCES PERSONNEL'!$G$10:$G$250,"ABSENCE")&gt;0,COUNTIFS('ABSENCES PERSONNEL'!$C$10:$C$250,PERSONNEL!$B$12,'ABSENCES PERSONNEL'!$M$10:$M$250,$P$2,'ABSENCES PERSONNEL'!$N$10:$N$250,$P$4,'ABSENCES PERSONNEL'!$G$10:$G$250,"ABSENCE")&amp;" absence(s)","")))</f>
        <v>-</v>
      </c>
      <c r="G28" s="45"/>
      <c r="H28" s="45" t="str">
        <f aca="false">IF(PERSONNEL!C12="","",IF(COUNTIFS('ABSENCES PERSONNEL'!$C$10:$C$250,PERSONNEL!$B$12,'ABSENCES PERSONNEL'!$M$10:$M$250,$P$2,'ABSENCES PERSONNEL'!$N$10:$N$250,$P$4,'ABSENCES PERSONNEL'!$G$10:$G$250,"RETARD")+COUNTIFS('ABSENCES PERSONNEL'!$C$10:$C$250,PERSONNEL!$B$12,'ABSENCES PERSONNEL'!$M$10:$M$250,$P$2,'ABSENCES PERSONNEL'!$N$10:$N$250,$P$4,'ABSENCES PERSONNEL'!$G$10:$G$250,"ABSENCE")=0,"-",IF(SUMIFS('ABSENCES PERSONNEL'!$H$10:$H$250,'ABSENCES PERSONNEL'!$C$10:$C$250,PERSONNEL!$B$12,'ABSENCES PERSONNEL'!$M$10:$M$250,$P$2,'ABSENCES PERSONNEL'!$N$10:$N$250,$P$4)&gt;0,SUMIFS('ABSENCES PERSONNEL'!$H$10:$H$250,'ABSENCES PERSONNEL'!$C$10:$C$250,PERSONNEL!$B$12,'ABSENCES PERSONNEL'!$M$10:$M$250,$P$2,'ABSENCES PERSONNEL'!$N$10:$N$250,$P$4)&amp;" j","")&amp;IF(AND(SUMIFS('ABSENCES PERSONNEL'!$H$10:$H$250,'ABSENCES PERSONNEL'!$C$10:$C$250,PERSONNEL!$B$12,'ABSENCES PERSONNEL'!$M$10:$M$250,$P$2,'ABSENCES PERSONNEL'!$N$10:$N$250,$P$4)&gt;0,SUMIFS('ABSENCES PERSONNEL'!$I$10:$I$250,'ABSENCES PERSONNEL'!$C$10:$C$250,PERSONNEL!$B$12,'ABSENCES PERSONNEL'!$M$10:$M$250,$P$2,'ABSENCES PERSONNEL'!$N$10:$N$250,$P$4)&gt;0)," / ","")&amp;IF(SUMIFS('ABSENCES PERSONNEL'!$I$10:$I$250,'ABSENCES PERSONNEL'!$C$10:$C$250,PERSONNEL!$B$12,'ABSENCES PERSONNEL'!$M$10:$M$250,$P$2,'ABSENCES PERSONNEL'!$N$10:$N$250,$P$4)&gt;0,SUMIFS('ABSENCES PERSONNEL'!$I$10:$I$250,'ABSENCES PERSONNEL'!$C$10:$C$250,PERSONNEL!$B$12,'ABSENCES PERSONNEL'!$M$10:$M$250,$P$2,'ABSENCES PERSONNEL'!$N$10:$N$250,$P$4)&amp;" min","")))</f>
        <v>-</v>
      </c>
      <c r="I28" s="45"/>
      <c r="J28" s="74" t="str">
        <f aca="false">IF(PERSONNEL!C12="","",IF(COUNTIFS('ABSENCES PERSONNEL'!$C$10:$C$250,PERSONNEL!$B$12,'ABSENCES PERSONNEL'!$M$10:$M$250,$P$2,'ABSENCES PERSONNEL'!$N$10:$N$250,$P$4,'ABSENCES PERSONNEL'!$G$10:$G$250,"RETARD")+COUNTIFS('ABSENCES PERSONNEL'!$C$10:$C$250,PERSONNEL!$B$12,'ABSENCES PERSONNEL'!$M$10:$M$250,$P$2,'ABSENCES PERSONNEL'!$N$10:$N$250,$P$4,'ABSENCES PERSONNEL'!$G$10:$G$250,"ABSENCE")=0,"-",IFERROR(INDEX('ABSENCES PERSONNEL'!$J$10:$J$250,MATCH(PERSONNEL!$B$12&amp;"|"&amp;$P$2&amp;"|"&amp;$P$4,'ABSENCES PERSONNEL'!$O$10:$O$250,0)),"")&amp;IF(COUNTIFS('ABSENCES PERSONNEL'!$C$10:$C$250,PERSONNEL!$B$12,'ABSENCES PERSONNEL'!$M$10:$M$250,$P$2,'ABSENCES PERSONNEL'!$N$10:$N$250,$P$4,'ABSENCES PERSONNEL'!$G$10:$G$250,"RETARD")+COUNTIFS('ABSENCES PERSONNEL'!$C$10:$C$250,PERSONNEL!$B$12,'ABSENCES PERSONNEL'!$M$10:$M$250,$P$2,'ABSENCES PERSONNEL'!$N$10:$N$250,$P$4,'ABSENCES PERSONNEL'!$G$10:$G$250,"ABSENCE")&gt;1," (+"&amp;(COUNTIFS('ABSENCES PERSONNEL'!$C$10:$C$250,PERSONNEL!$B$12,'ABSENCES PERSONNEL'!$M$10:$M$250,$P$2,'ABSENCES PERSONNEL'!$N$10:$N$250,$P$4,'ABSENCES PERSONNEL'!$G$10:$G$250,"RETARD")+COUNTIFS('ABSENCES PERSONNEL'!$C$10:$C$250,PERSONNEL!$B$12,'ABSENCES PERSONNEL'!$M$10:$M$250,$P$2,'ABSENCES PERSONNEL'!$N$10:$N$250,$P$4,'ABSENCES PERSONNEL'!$G$10:$G$250,"ABSENCE")-1)&amp;" autre(s))","")))</f>
        <v>-</v>
      </c>
      <c r="K28" s="74"/>
      <c r="L28" s="74"/>
      <c r="M28" s="123"/>
      <c r="N28" s="123"/>
    </row>
    <row r="29" customFormat="false" ht="15" hidden="false" customHeight="false" outlineLevel="0" collapsed="false">
      <c r="A29" s="45" t="n">
        <f aca="false">IF(PERSONNEL!C13="","",4)</f>
        <v>4</v>
      </c>
      <c r="B29" s="74" t="str">
        <f aca="false">IF(PERSONNEL!C13="","",PERSONNEL!C13)</f>
        <v>GNAGNE Marie-Louise</v>
      </c>
      <c r="C29" s="74"/>
      <c r="D29" s="74"/>
      <c r="E29" s="45" t="str">
        <f aca="false">IF(PERSONNEL!C13="","",PERSONNEL!I13)</f>
        <v>CE1</v>
      </c>
      <c r="F29" s="45" t="str">
        <f aca="false">IF(PERSONNEL!C13="","",IF(COUNTIFS('ABSENCES PERSONNEL'!$C$10:$C$250,PERSONNEL!$B$13,'ABSENCES PERSONNEL'!$M$10:$M$250,$P$2,'ABSENCES PERSONNEL'!$N$10:$N$250,$P$4,'ABSENCES PERSONNEL'!$G$10:$G$250,"RETARD")+COUNTIFS('ABSENCES PERSONNEL'!$C$10:$C$250,PERSONNEL!$B$13,'ABSENCES PERSONNEL'!$M$10:$M$250,$P$2,'ABSENCES PERSONNEL'!$N$10:$N$250,$P$4,'ABSENCES PERSONNEL'!$G$10:$G$250,"ABSENCE")=0,"-",IF(COUNTIFS('ABSENCES PERSONNEL'!$C$10:$C$250,PERSONNEL!$B$13,'ABSENCES PERSONNEL'!$M$10:$M$250,$P$2,'ABSENCES PERSONNEL'!$N$10:$N$250,$P$4,'ABSENCES PERSONNEL'!$G$10:$G$250,"RETARD")&gt;0,COUNTIFS('ABSENCES PERSONNEL'!$C$10:$C$250,PERSONNEL!$B$13,'ABSENCES PERSONNEL'!$M$10:$M$250,$P$2,'ABSENCES PERSONNEL'!$N$10:$N$250,$P$4,'ABSENCES PERSONNEL'!$G$10:$G$250,"RETARD")&amp;" retard(s)","")&amp;IF(AND(COUNTIFS('ABSENCES PERSONNEL'!$C$10:$C$250,PERSONNEL!$B$13,'ABSENCES PERSONNEL'!$M$10:$M$250,$P$2,'ABSENCES PERSONNEL'!$N$10:$N$250,$P$4,'ABSENCES PERSONNEL'!$G$10:$G$250,"RETARD")&gt;0,COUNTIFS('ABSENCES PERSONNEL'!$C$10:$C$250,PERSONNEL!$B$13,'ABSENCES PERSONNEL'!$M$10:$M$250,$P$2,'ABSENCES PERSONNEL'!$N$10:$N$250,$P$4,'ABSENCES PERSONNEL'!$G$10:$G$250,"ABSENCE")&gt;0)," / ","")&amp;IF(COUNTIFS('ABSENCES PERSONNEL'!$C$10:$C$250,PERSONNEL!$B$13,'ABSENCES PERSONNEL'!$M$10:$M$250,$P$2,'ABSENCES PERSONNEL'!$N$10:$N$250,$P$4,'ABSENCES PERSONNEL'!$G$10:$G$250,"ABSENCE")&gt;0,COUNTIFS('ABSENCES PERSONNEL'!$C$10:$C$250,PERSONNEL!$B$13,'ABSENCES PERSONNEL'!$M$10:$M$250,$P$2,'ABSENCES PERSONNEL'!$N$10:$N$250,$P$4,'ABSENCES PERSONNEL'!$G$10:$G$250,"ABSENCE")&amp;" absence(s)","")))</f>
        <v>1 absence(s)</v>
      </c>
      <c r="G29" s="45"/>
      <c r="H29" s="45" t="str">
        <f aca="false">IF(PERSONNEL!C13="","",IF(COUNTIFS('ABSENCES PERSONNEL'!$C$10:$C$250,PERSONNEL!$B$13,'ABSENCES PERSONNEL'!$M$10:$M$250,$P$2,'ABSENCES PERSONNEL'!$N$10:$N$250,$P$4,'ABSENCES PERSONNEL'!$G$10:$G$250,"RETARD")+COUNTIFS('ABSENCES PERSONNEL'!$C$10:$C$250,PERSONNEL!$B$13,'ABSENCES PERSONNEL'!$M$10:$M$250,$P$2,'ABSENCES PERSONNEL'!$N$10:$N$250,$P$4,'ABSENCES PERSONNEL'!$G$10:$G$250,"ABSENCE")=0,"-",IF(SUMIFS('ABSENCES PERSONNEL'!$H$10:$H$250,'ABSENCES PERSONNEL'!$C$10:$C$250,PERSONNEL!$B$13,'ABSENCES PERSONNEL'!$M$10:$M$250,$P$2,'ABSENCES PERSONNEL'!$N$10:$N$250,$P$4)&gt;0,SUMIFS('ABSENCES PERSONNEL'!$H$10:$H$250,'ABSENCES PERSONNEL'!$C$10:$C$250,PERSONNEL!$B$13,'ABSENCES PERSONNEL'!$M$10:$M$250,$P$2,'ABSENCES PERSONNEL'!$N$10:$N$250,$P$4)&amp;" j","")&amp;IF(AND(SUMIFS('ABSENCES PERSONNEL'!$H$10:$H$250,'ABSENCES PERSONNEL'!$C$10:$C$250,PERSONNEL!$B$13,'ABSENCES PERSONNEL'!$M$10:$M$250,$P$2,'ABSENCES PERSONNEL'!$N$10:$N$250,$P$4)&gt;0,SUMIFS('ABSENCES PERSONNEL'!$I$10:$I$250,'ABSENCES PERSONNEL'!$C$10:$C$250,PERSONNEL!$B$13,'ABSENCES PERSONNEL'!$M$10:$M$250,$P$2,'ABSENCES PERSONNEL'!$N$10:$N$250,$P$4)&gt;0)," / ","")&amp;IF(SUMIFS('ABSENCES PERSONNEL'!$I$10:$I$250,'ABSENCES PERSONNEL'!$C$10:$C$250,PERSONNEL!$B$13,'ABSENCES PERSONNEL'!$M$10:$M$250,$P$2,'ABSENCES PERSONNEL'!$N$10:$N$250,$P$4)&gt;0,SUMIFS('ABSENCES PERSONNEL'!$I$10:$I$250,'ABSENCES PERSONNEL'!$C$10:$C$250,PERSONNEL!$B$13,'ABSENCES PERSONNEL'!$M$10:$M$250,$P$2,'ABSENCES PERSONNEL'!$N$10:$N$250,$P$4)&amp;" min","")))</f>
        <v>2 j</v>
      </c>
      <c r="I29" s="45"/>
      <c r="J29" s="74" t="str">
        <f aca="false">IF(PERSONNEL!C13="","",IF(COUNTIFS('ABSENCES PERSONNEL'!$C$10:$C$250,PERSONNEL!$B$13,'ABSENCES PERSONNEL'!$M$10:$M$250,$P$2,'ABSENCES PERSONNEL'!$N$10:$N$250,$P$4,'ABSENCES PERSONNEL'!$G$10:$G$250,"RETARD")+COUNTIFS('ABSENCES PERSONNEL'!$C$10:$C$250,PERSONNEL!$B$13,'ABSENCES PERSONNEL'!$M$10:$M$250,$P$2,'ABSENCES PERSONNEL'!$N$10:$N$250,$P$4,'ABSENCES PERSONNEL'!$G$10:$G$250,"ABSENCE")=0,"-",IFERROR(INDEX('ABSENCES PERSONNEL'!$J$10:$J$250,MATCH(PERSONNEL!$B$13&amp;"|"&amp;$P$2&amp;"|"&amp;$P$4,'ABSENCES PERSONNEL'!$O$10:$O$250,0)),"")&amp;IF(COUNTIFS('ABSENCES PERSONNEL'!$C$10:$C$250,PERSONNEL!$B$13,'ABSENCES PERSONNEL'!$M$10:$M$250,$P$2,'ABSENCES PERSONNEL'!$N$10:$N$250,$P$4,'ABSENCES PERSONNEL'!$G$10:$G$250,"RETARD")+COUNTIFS('ABSENCES PERSONNEL'!$C$10:$C$250,PERSONNEL!$B$13,'ABSENCES PERSONNEL'!$M$10:$M$250,$P$2,'ABSENCES PERSONNEL'!$N$10:$N$250,$P$4,'ABSENCES PERSONNEL'!$G$10:$G$250,"ABSENCE")&gt;1," (+"&amp;(COUNTIFS('ABSENCES PERSONNEL'!$C$10:$C$250,PERSONNEL!$B$13,'ABSENCES PERSONNEL'!$M$10:$M$250,$P$2,'ABSENCES PERSONNEL'!$N$10:$N$250,$P$4,'ABSENCES PERSONNEL'!$G$10:$G$250,"RETARD")+COUNTIFS('ABSENCES PERSONNEL'!$C$10:$C$250,PERSONNEL!$B$13,'ABSENCES PERSONNEL'!$M$10:$M$250,$P$2,'ABSENCES PERSONNEL'!$N$10:$N$250,$P$4,'ABSENCES PERSONNEL'!$G$10:$G$250,"ABSENCE")-1)&amp;" autre(s))","")))</f>
        <v>Convocation IEPP</v>
      </c>
      <c r="K29" s="74"/>
      <c r="L29" s="74"/>
      <c r="M29" s="123"/>
      <c r="N29" s="123"/>
    </row>
    <row r="30" customFormat="false" ht="15" hidden="false" customHeight="false" outlineLevel="0" collapsed="false">
      <c r="A30" s="45" t="n">
        <f aca="false">IF(PERSONNEL!C14="","",5)</f>
        <v>5</v>
      </c>
      <c r="B30" s="74" t="str">
        <f aca="false">IF(PERSONNEL!C14="","",PERSONNEL!C14)</f>
        <v>YAPO Jean-Baptiste</v>
      </c>
      <c r="C30" s="74"/>
      <c r="D30" s="74"/>
      <c r="E30" s="45" t="str">
        <f aca="false">IF(PERSONNEL!C14="","",PERSONNEL!I14)</f>
        <v>CE2</v>
      </c>
      <c r="F30" s="45" t="str">
        <f aca="false">IF(PERSONNEL!C14="","",IF(COUNTIFS('ABSENCES PERSONNEL'!$C$10:$C$250,PERSONNEL!$B$14,'ABSENCES PERSONNEL'!$M$10:$M$250,$P$2,'ABSENCES PERSONNEL'!$N$10:$N$250,$P$4,'ABSENCES PERSONNEL'!$G$10:$G$250,"RETARD")+COUNTIFS('ABSENCES PERSONNEL'!$C$10:$C$250,PERSONNEL!$B$14,'ABSENCES PERSONNEL'!$M$10:$M$250,$P$2,'ABSENCES PERSONNEL'!$N$10:$N$250,$P$4,'ABSENCES PERSONNEL'!$G$10:$G$250,"ABSENCE")=0,"-",IF(COUNTIFS('ABSENCES PERSONNEL'!$C$10:$C$250,PERSONNEL!$B$14,'ABSENCES PERSONNEL'!$M$10:$M$250,$P$2,'ABSENCES PERSONNEL'!$N$10:$N$250,$P$4,'ABSENCES PERSONNEL'!$G$10:$G$250,"RETARD")&gt;0,COUNTIFS('ABSENCES PERSONNEL'!$C$10:$C$250,PERSONNEL!$B$14,'ABSENCES PERSONNEL'!$M$10:$M$250,$P$2,'ABSENCES PERSONNEL'!$N$10:$N$250,$P$4,'ABSENCES PERSONNEL'!$G$10:$G$250,"RETARD")&amp;" retard(s)","")&amp;IF(AND(COUNTIFS('ABSENCES PERSONNEL'!$C$10:$C$250,PERSONNEL!$B$14,'ABSENCES PERSONNEL'!$M$10:$M$250,$P$2,'ABSENCES PERSONNEL'!$N$10:$N$250,$P$4,'ABSENCES PERSONNEL'!$G$10:$G$250,"RETARD")&gt;0,COUNTIFS('ABSENCES PERSONNEL'!$C$10:$C$250,PERSONNEL!$B$14,'ABSENCES PERSONNEL'!$M$10:$M$250,$P$2,'ABSENCES PERSONNEL'!$N$10:$N$250,$P$4,'ABSENCES PERSONNEL'!$G$10:$G$250,"ABSENCE")&gt;0)," / ","")&amp;IF(COUNTIFS('ABSENCES PERSONNEL'!$C$10:$C$250,PERSONNEL!$B$14,'ABSENCES PERSONNEL'!$M$10:$M$250,$P$2,'ABSENCES PERSONNEL'!$N$10:$N$250,$P$4,'ABSENCES PERSONNEL'!$G$10:$G$250,"ABSENCE")&gt;0,COUNTIFS('ABSENCES PERSONNEL'!$C$10:$C$250,PERSONNEL!$B$14,'ABSENCES PERSONNEL'!$M$10:$M$250,$P$2,'ABSENCES PERSONNEL'!$N$10:$N$250,$P$4,'ABSENCES PERSONNEL'!$G$10:$G$250,"ABSENCE")&amp;" absence(s)","")))</f>
        <v>1 retard(s)</v>
      </c>
      <c r="G30" s="45"/>
      <c r="H30" s="45" t="str">
        <f aca="false">IF(PERSONNEL!C14="","",IF(COUNTIFS('ABSENCES PERSONNEL'!$C$10:$C$250,PERSONNEL!$B$14,'ABSENCES PERSONNEL'!$M$10:$M$250,$P$2,'ABSENCES PERSONNEL'!$N$10:$N$250,$P$4,'ABSENCES PERSONNEL'!$G$10:$G$250,"RETARD")+COUNTIFS('ABSENCES PERSONNEL'!$C$10:$C$250,PERSONNEL!$B$14,'ABSENCES PERSONNEL'!$M$10:$M$250,$P$2,'ABSENCES PERSONNEL'!$N$10:$N$250,$P$4,'ABSENCES PERSONNEL'!$G$10:$G$250,"ABSENCE")=0,"-",IF(SUMIFS('ABSENCES PERSONNEL'!$H$10:$H$250,'ABSENCES PERSONNEL'!$C$10:$C$250,PERSONNEL!$B$14,'ABSENCES PERSONNEL'!$M$10:$M$250,$P$2,'ABSENCES PERSONNEL'!$N$10:$N$250,$P$4)&gt;0,SUMIFS('ABSENCES PERSONNEL'!$H$10:$H$250,'ABSENCES PERSONNEL'!$C$10:$C$250,PERSONNEL!$B$14,'ABSENCES PERSONNEL'!$M$10:$M$250,$P$2,'ABSENCES PERSONNEL'!$N$10:$N$250,$P$4)&amp;" j","")&amp;IF(AND(SUMIFS('ABSENCES PERSONNEL'!$H$10:$H$250,'ABSENCES PERSONNEL'!$C$10:$C$250,PERSONNEL!$B$14,'ABSENCES PERSONNEL'!$M$10:$M$250,$P$2,'ABSENCES PERSONNEL'!$N$10:$N$250,$P$4)&gt;0,SUMIFS('ABSENCES PERSONNEL'!$I$10:$I$250,'ABSENCES PERSONNEL'!$C$10:$C$250,PERSONNEL!$B$14,'ABSENCES PERSONNEL'!$M$10:$M$250,$P$2,'ABSENCES PERSONNEL'!$N$10:$N$250,$P$4)&gt;0)," / ","")&amp;IF(SUMIFS('ABSENCES PERSONNEL'!$I$10:$I$250,'ABSENCES PERSONNEL'!$C$10:$C$250,PERSONNEL!$B$14,'ABSENCES PERSONNEL'!$M$10:$M$250,$P$2,'ABSENCES PERSONNEL'!$N$10:$N$250,$P$4)&gt;0,SUMIFS('ABSENCES PERSONNEL'!$I$10:$I$250,'ABSENCES PERSONNEL'!$C$10:$C$250,PERSONNEL!$B$14,'ABSENCES PERSONNEL'!$M$10:$M$250,$P$2,'ABSENCES PERSONNEL'!$N$10:$N$250,$P$4)&amp;" min","")))</f>
        <v>10 min</v>
      </c>
      <c r="I30" s="45"/>
      <c r="J30" s="74" t="str">
        <f aca="false">IF(PERSONNEL!C14="","",IF(COUNTIFS('ABSENCES PERSONNEL'!$C$10:$C$250,PERSONNEL!$B$14,'ABSENCES PERSONNEL'!$M$10:$M$250,$P$2,'ABSENCES PERSONNEL'!$N$10:$N$250,$P$4,'ABSENCES PERSONNEL'!$G$10:$G$250,"RETARD")+COUNTIFS('ABSENCES PERSONNEL'!$C$10:$C$250,PERSONNEL!$B$14,'ABSENCES PERSONNEL'!$M$10:$M$250,$P$2,'ABSENCES PERSONNEL'!$N$10:$N$250,$P$4,'ABSENCES PERSONNEL'!$G$10:$G$250,"ABSENCE")=0,"-",IFERROR(INDEX('ABSENCES PERSONNEL'!$J$10:$J$250,MATCH(PERSONNEL!$B$14&amp;"|"&amp;$P$2&amp;"|"&amp;$P$4,'ABSENCES PERSONNEL'!$O$10:$O$250,0)),"")&amp;IF(COUNTIFS('ABSENCES PERSONNEL'!$C$10:$C$250,PERSONNEL!$B$14,'ABSENCES PERSONNEL'!$M$10:$M$250,$P$2,'ABSENCES PERSONNEL'!$N$10:$N$250,$P$4,'ABSENCES PERSONNEL'!$G$10:$G$250,"RETARD")+COUNTIFS('ABSENCES PERSONNEL'!$C$10:$C$250,PERSONNEL!$B$14,'ABSENCES PERSONNEL'!$M$10:$M$250,$P$2,'ABSENCES PERSONNEL'!$N$10:$N$250,$P$4,'ABSENCES PERSONNEL'!$G$10:$G$250,"ABSENCE")&gt;1," (+"&amp;(COUNTIFS('ABSENCES PERSONNEL'!$C$10:$C$250,PERSONNEL!$B$14,'ABSENCES PERSONNEL'!$M$10:$M$250,$P$2,'ABSENCES PERSONNEL'!$N$10:$N$250,$P$4,'ABSENCES PERSONNEL'!$G$10:$G$250,"RETARD")+COUNTIFS('ABSENCES PERSONNEL'!$C$10:$C$250,PERSONNEL!$B$14,'ABSENCES PERSONNEL'!$M$10:$M$250,$P$2,'ABSENCES PERSONNEL'!$N$10:$N$250,$P$4,'ABSENCES PERSONNEL'!$G$10:$G$250,"ABSENCE")-1)&amp;" autre(s))","")))</f>
        <v>Maladie</v>
      </c>
      <c r="K30" s="74"/>
      <c r="L30" s="74"/>
      <c r="M30" s="123"/>
      <c r="N30" s="123"/>
    </row>
    <row r="31" customFormat="false" ht="15" hidden="false" customHeight="false" outlineLevel="0" collapsed="false">
      <c r="A31" s="45" t="n">
        <f aca="false">IF(PERSONNEL!C15="","",6)</f>
        <v>6</v>
      </c>
      <c r="B31" s="74" t="str">
        <f aca="false">IF(PERSONNEL!C15="","",PERSONNEL!C15)</f>
        <v>TRAORE Mariam</v>
      </c>
      <c r="C31" s="74"/>
      <c r="D31" s="74"/>
      <c r="E31" s="45" t="str">
        <f aca="false">IF(PERSONNEL!C15="","",PERSONNEL!I15)</f>
        <v>CM1</v>
      </c>
      <c r="F31" s="45" t="str">
        <f aca="false">IF(PERSONNEL!C15="","",IF(COUNTIFS('ABSENCES PERSONNEL'!$C$10:$C$250,PERSONNEL!$B$15,'ABSENCES PERSONNEL'!$M$10:$M$250,$P$2,'ABSENCES PERSONNEL'!$N$10:$N$250,$P$4,'ABSENCES PERSONNEL'!$G$10:$G$250,"RETARD")+COUNTIFS('ABSENCES PERSONNEL'!$C$10:$C$250,PERSONNEL!$B$15,'ABSENCES PERSONNEL'!$M$10:$M$250,$P$2,'ABSENCES PERSONNEL'!$N$10:$N$250,$P$4,'ABSENCES PERSONNEL'!$G$10:$G$250,"ABSENCE")=0,"-",IF(COUNTIFS('ABSENCES PERSONNEL'!$C$10:$C$250,PERSONNEL!$B$15,'ABSENCES PERSONNEL'!$M$10:$M$250,$P$2,'ABSENCES PERSONNEL'!$N$10:$N$250,$P$4,'ABSENCES PERSONNEL'!$G$10:$G$250,"RETARD")&gt;0,COUNTIFS('ABSENCES PERSONNEL'!$C$10:$C$250,PERSONNEL!$B$15,'ABSENCES PERSONNEL'!$M$10:$M$250,$P$2,'ABSENCES PERSONNEL'!$N$10:$N$250,$P$4,'ABSENCES PERSONNEL'!$G$10:$G$250,"RETARD")&amp;" retard(s)","")&amp;IF(AND(COUNTIFS('ABSENCES PERSONNEL'!$C$10:$C$250,PERSONNEL!$B$15,'ABSENCES PERSONNEL'!$M$10:$M$250,$P$2,'ABSENCES PERSONNEL'!$N$10:$N$250,$P$4,'ABSENCES PERSONNEL'!$G$10:$G$250,"RETARD")&gt;0,COUNTIFS('ABSENCES PERSONNEL'!$C$10:$C$250,PERSONNEL!$B$15,'ABSENCES PERSONNEL'!$M$10:$M$250,$P$2,'ABSENCES PERSONNEL'!$N$10:$N$250,$P$4,'ABSENCES PERSONNEL'!$G$10:$G$250,"ABSENCE")&gt;0)," / ","")&amp;IF(COUNTIFS('ABSENCES PERSONNEL'!$C$10:$C$250,PERSONNEL!$B$15,'ABSENCES PERSONNEL'!$M$10:$M$250,$P$2,'ABSENCES PERSONNEL'!$N$10:$N$250,$P$4,'ABSENCES PERSONNEL'!$G$10:$G$250,"ABSENCE")&gt;0,COUNTIFS('ABSENCES PERSONNEL'!$C$10:$C$250,PERSONNEL!$B$15,'ABSENCES PERSONNEL'!$M$10:$M$250,$P$2,'ABSENCES PERSONNEL'!$N$10:$N$250,$P$4,'ABSENCES PERSONNEL'!$G$10:$G$250,"ABSENCE")&amp;" absence(s)","")))</f>
        <v>1 retard(s)</v>
      </c>
      <c r="G31" s="45"/>
      <c r="H31" s="45" t="str">
        <f aca="false">IF(PERSONNEL!C15="","",IF(COUNTIFS('ABSENCES PERSONNEL'!$C$10:$C$250,PERSONNEL!$B$15,'ABSENCES PERSONNEL'!$M$10:$M$250,$P$2,'ABSENCES PERSONNEL'!$N$10:$N$250,$P$4,'ABSENCES PERSONNEL'!$G$10:$G$250,"RETARD")+COUNTIFS('ABSENCES PERSONNEL'!$C$10:$C$250,PERSONNEL!$B$15,'ABSENCES PERSONNEL'!$M$10:$M$250,$P$2,'ABSENCES PERSONNEL'!$N$10:$N$250,$P$4,'ABSENCES PERSONNEL'!$G$10:$G$250,"ABSENCE")=0,"-",IF(SUMIFS('ABSENCES PERSONNEL'!$H$10:$H$250,'ABSENCES PERSONNEL'!$C$10:$C$250,PERSONNEL!$B$15,'ABSENCES PERSONNEL'!$M$10:$M$250,$P$2,'ABSENCES PERSONNEL'!$N$10:$N$250,$P$4)&gt;0,SUMIFS('ABSENCES PERSONNEL'!$H$10:$H$250,'ABSENCES PERSONNEL'!$C$10:$C$250,PERSONNEL!$B$15,'ABSENCES PERSONNEL'!$M$10:$M$250,$P$2,'ABSENCES PERSONNEL'!$N$10:$N$250,$P$4)&amp;" j","")&amp;IF(AND(SUMIFS('ABSENCES PERSONNEL'!$H$10:$H$250,'ABSENCES PERSONNEL'!$C$10:$C$250,PERSONNEL!$B$15,'ABSENCES PERSONNEL'!$M$10:$M$250,$P$2,'ABSENCES PERSONNEL'!$N$10:$N$250,$P$4)&gt;0,SUMIFS('ABSENCES PERSONNEL'!$I$10:$I$250,'ABSENCES PERSONNEL'!$C$10:$C$250,PERSONNEL!$B$15,'ABSENCES PERSONNEL'!$M$10:$M$250,$P$2,'ABSENCES PERSONNEL'!$N$10:$N$250,$P$4)&gt;0)," / ","")&amp;IF(SUMIFS('ABSENCES PERSONNEL'!$I$10:$I$250,'ABSENCES PERSONNEL'!$C$10:$C$250,PERSONNEL!$B$15,'ABSENCES PERSONNEL'!$M$10:$M$250,$P$2,'ABSENCES PERSONNEL'!$N$10:$N$250,$P$4)&gt;0,SUMIFS('ABSENCES PERSONNEL'!$I$10:$I$250,'ABSENCES PERSONNEL'!$C$10:$C$250,PERSONNEL!$B$15,'ABSENCES PERSONNEL'!$M$10:$M$250,$P$2,'ABSENCES PERSONNEL'!$N$10:$N$250,$P$4)&amp;" min","")))</f>
        <v>20 min</v>
      </c>
      <c r="I31" s="45"/>
      <c r="J31" s="74" t="str">
        <f aca="false">IF(PERSONNEL!C15="","",IF(COUNTIFS('ABSENCES PERSONNEL'!$C$10:$C$250,PERSONNEL!$B$15,'ABSENCES PERSONNEL'!$M$10:$M$250,$P$2,'ABSENCES PERSONNEL'!$N$10:$N$250,$P$4,'ABSENCES PERSONNEL'!$G$10:$G$250,"RETARD")+COUNTIFS('ABSENCES PERSONNEL'!$C$10:$C$250,PERSONNEL!$B$15,'ABSENCES PERSONNEL'!$M$10:$M$250,$P$2,'ABSENCES PERSONNEL'!$N$10:$N$250,$P$4,'ABSENCES PERSONNEL'!$G$10:$G$250,"ABSENCE")=0,"-",IFERROR(INDEX('ABSENCES PERSONNEL'!$J$10:$J$250,MATCH(PERSONNEL!$B$15&amp;"|"&amp;$P$2&amp;"|"&amp;$P$4,'ABSENCES PERSONNEL'!$O$10:$O$250,0)),"")&amp;IF(COUNTIFS('ABSENCES PERSONNEL'!$C$10:$C$250,PERSONNEL!$B$15,'ABSENCES PERSONNEL'!$M$10:$M$250,$P$2,'ABSENCES PERSONNEL'!$N$10:$N$250,$P$4,'ABSENCES PERSONNEL'!$G$10:$G$250,"RETARD")+COUNTIFS('ABSENCES PERSONNEL'!$C$10:$C$250,PERSONNEL!$B$15,'ABSENCES PERSONNEL'!$M$10:$M$250,$P$2,'ABSENCES PERSONNEL'!$N$10:$N$250,$P$4,'ABSENCES PERSONNEL'!$G$10:$G$250,"ABSENCE")&gt;1," (+"&amp;(COUNTIFS('ABSENCES PERSONNEL'!$C$10:$C$250,PERSONNEL!$B$15,'ABSENCES PERSONNEL'!$M$10:$M$250,$P$2,'ABSENCES PERSONNEL'!$N$10:$N$250,$P$4,'ABSENCES PERSONNEL'!$G$10:$G$250,"RETARD")+COUNTIFS('ABSENCES PERSONNEL'!$C$10:$C$250,PERSONNEL!$B$15,'ABSENCES PERSONNEL'!$M$10:$M$250,$P$2,'ABSENCES PERSONNEL'!$N$10:$N$250,$P$4,'ABSENCES PERSONNEL'!$G$10:$G$250,"ABSENCE")-1)&amp;" autre(s))","")))</f>
        <v>Convocation IEPP</v>
      </c>
      <c r="K31" s="74"/>
      <c r="L31" s="74"/>
      <c r="M31" s="123"/>
      <c r="N31" s="123"/>
    </row>
    <row r="32" customFormat="false" ht="15" hidden="false" customHeight="false" outlineLevel="0" collapsed="false">
      <c r="A32" s="45" t="n">
        <f aca="false">IF(PERSONNEL!C16="","",7)</f>
        <v>7</v>
      </c>
      <c r="B32" s="74" t="str">
        <f aca="false">IF(PERSONNEL!C16="","",PERSONNEL!C16)</f>
        <v>ZADI Serge Pacôme</v>
      </c>
      <c r="C32" s="74"/>
      <c r="D32" s="74"/>
      <c r="E32" s="45" t="str">
        <f aca="false">IF(PERSONNEL!C16="","",PERSONNEL!I16)</f>
        <v>CM2</v>
      </c>
      <c r="F32" s="45" t="str">
        <f aca="false">IF(PERSONNEL!C16="","",IF(COUNTIFS('ABSENCES PERSONNEL'!$C$10:$C$250,PERSONNEL!$B$16,'ABSENCES PERSONNEL'!$M$10:$M$250,$P$2,'ABSENCES PERSONNEL'!$N$10:$N$250,$P$4,'ABSENCES PERSONNEL'!$G$10:$G$250,"RETARD")+COUNTIFS('ABSENCES PERSONNEL'!$C$10:$C$250,PERSONNEL!$B$16,'ABSENCES PERSONNEL'!$M$10:$M$250,$P$2,'ABSENCES PERSONNEL'!$N$10:$N$250,$P$4,'ABSENCES PERSONNEL'!$G$10:$G$250,"ABSENCE")=0,"-",IF(COUNTIFS('ABSENCES PERSONNEL'!$C$10:$C$250,PERSONNEL!$B$16,'ABSENCES PERSONNEL'!$M$10:$M$250,$P$2,'ABSENCES PERSONNEL'!$N$10:$N$250,$P$4,'ABSENCES PERSONNEL'!$G$10:$G$250,"RETARD")&gt;0,COUNTIFS('ABSENCES PERSONNEL'!$C$10:$C$250,PERSONNEL!$B$16,'ABSENCES PERSONNEL'!$M$10:$M$250,$P$2,'ABSENCES PERSONNEL'!$N$10:$N$250,$P$4,'ABSENCES PERSONNEL'!$G$10:$G$250,"RETARD")&amp;" retard(s)","")&amp;IF(AND(COUNTIFS('ABSENCES PERSONNEL'!$C$10:$C$250,PERSONNEL!$B$16,'ABSENCES PERSONNEL'!$M$10:$M$250,$P$2,'ABSENCES PERSONNEL'!$N$10:$N$250,$P$4,'ABSENCES PERSONNEL'!$G$10:$G$250,"RETARD")&gt;0,COUNTIFS('ABSENCES PERSONNEL'!$C$10:$C$250,PERSONNEL!$B$16,'ABSENCES PERSONNEL'!$M$10:$M$250,$P$2,'ABSENCES PERSONNEL'!$N$10:$N$250,$P$4,'ABSENCES PERSONNEL'!$G$10:$G$250,"ABSENCE")&gt;0)," / ","")&amp;IF(COUNTIFS('ABSENCES PERSONNEL'!$C$10:$C$250,PERSONNEL!$B$16,'ABSENCES PERSONNEL'!$M$10:$M$250,$P$2,'ABSENCES PERSONNEL'!$N$10:$N$250,$P$4,'ABSENCES PERSONNEL'!$G$10:$G$250,"ABSENCE")&gt;0,COUNTIFS('ABSENCES PERSONNEL'!$C$10:$C$250,PERSONNEL!$B$16,'ABSENCES PERSONNEL'!$M$10:$M$250,$P$2,'ABSENCES PERSONNEL'!$N$10:$N$250,$P$4,'ABSENCES PERSONNEL'!$G$10:$G$250,"ABSENCE")&amp;" absence(s)","")))</f>
        <v>-</v>
      </c>
      <c r="G32" s="45"/>
      <c r="H32" s="45" t="str">
        <f aca="false">IF(PERSONNEL!C16="","",IF(COUNTIFS('ABSENCES PERSONNEL'!$C$10:$C$250,PERSONNEL!$B$16,'ABSENCES PERSONNEL'!$M$10:$M$250,$P$2,'ABSENCES PERSONNEL'!$N$10:$N$250,$P$4,'ABSENCES PERSONNEL'!$G$10:$G$250,"RETARD")+COUNTIFS('ABSENCES PERSONNEL'!$C$10:$C$250,PERSONNEL!$B$16,'ABSENCES PERSONNEL'!$M$10:$M$250,$P$2,'ABSENCES PERSONNEL'!$N$10:$N$250,$P$4,'ABSENCES PERSONNEL'!$G$10:$G$250,"ABSENCE")=0,"-",IF(SUMIFS('ABSENCES PERSONNEL'!$H$10:$H$250,'ABSENCES PERSONNEL'!$C$10:$C$250,PERSONNEL!$B$16,'ABSENCES PERSONNEL'!$M$10:$M$250,$P$2,'ABSENCES PERSONNEL'!$N$10:$N$250,$P$4)&gt;0,SUMIFS('ABSENCES PERSONNEL'!$H$10:$H$250,'ABSENCES PERSONNEL'!$C$10:$C$250,PERSONNEL!$B$16,'ABSENCES PERSONNEL'!$M$10:$M$250,$P$2,'ABSENCES PERSONNEL'!$N$10:$N$250,$P$4)&amp;" j","")&amp;IF(AND(SUMIFS('ABSENCES PERSONNEL'!$H$10:$H$250,'ABSENCES PERSONNEL'!$C$10:$C$250,PERSONNEL!$B$16,'ABSENCES PERSONNEL'!$M$10:$M$250,$P$2,'ABSENCES PERSONNEL'!$N$10:$N$250,$P$4)&gt;0,SUMIFS('ABSENCES PERSONNEL'!$I$10:$I$250,'ABSENCES PERSONNEL'!$C$10:$C$250,PERSONNEL!$B$16,'ABSENCES PERSONNEL'!$M$10:$M$250,$P$2,'ABSENCES PERSONNEL'!$N$10:$N$250,$P$4)&gt;0)," / ","")&amp;IF(SUMIFS('ABSENCES PERSONNEL'!$I$10:$I$250,'ABSENCES PERSONNEL'!$C$10:$C$250,PERSONNEL!$B$16,'ABSENCES PERSONNEL'!$M$10:$M$250,$P$2,'ABSENCES PERSONNEL'!$N$10:$N$250,$P$4)&gt;0,SUMIFS('ABSENCES PERSONNEL'!$I$10:$I$250,'ABSENCES PERSONNEL'!$C$10:$C$250,PERSONNEL!$B$16,'ABSENCES PERSONNEL'!$M$10:$M$250,$P$2,'ABSENCES PERSONNEL'!$N$10:$N$250,$P$4)&amp;" min","")))</f>
        <v>-</v>
      </c>
      <c r="I32" s="45"/>
      <c r="J32" s="74" t="str">
        <f aca="false">IF(PERSONNEL!C16="","",IF(COUNTIFS('ABSENCES PERSONNEL'!$C$10:$C$250,PERSONNEL!$B$16,'ABSENCES PERSONNEL'!$M$10:$M$250,$P$2,'ABSENCES PERSONNEL'!$N$10:$N$250,$P$4,'ABSENCES PERSONNEL'!$G$10:$G$250,"RETARD")+COUNTIFS('ABSENCES PERSONNEL'!$C$10:$C$250,PERSONNEL!$B$16,'ABSENCES PERSONNEL'!$M$10:$M$250,$P$2,'ABSENCES PERSONNEL'!$N$10:$N$250,$P$4,'ABSENCES PERSONNEL'!$G$10:$G$250,"ABSENCE")=0,"-",IFERROR(INDEX('ABSENCES PERSONNEL'!$J$10:$J$250,MATCH(PERSONNEL!$B$16&amp;"|"&amp;$P$2&amp;"|"&amp;$P$4,'ABSENCES PERSONNEL'!$O$10:$O$250,0)),"")&amp;IF(COUNTIFS('ABSENCES PERSONNEL'!$C$10:$C$250,PERSONNEL!$B$16,'ABSENCES PERSONNEL'!$M$10:$M$250,$P$2,'ABSENCES PERSONNEL'!$N$10:$N$250,$P$4,'ABSENCES PERSONNEL'!$G$10:$G$250,"RETARD")+COUNTIFS('ABSENCES PERSONNEL'!$C$10:$C$250,PERSONNEL!$B$16,'ABSENCES PERSONNEL'!$M$10:$M$250,$P$2,'ABSENCES PERSONNEL'!$N$10:$N$250,$P$4,'ABSENCES PERSONNEL'!$G$10:$G$250,"ABSENCE")&gt;1," (+"&amp;(COUNTIFS('ABSENCES PERSONNEL'!$C$10:$C$250,PERSONNEL!$B$16,'ABSENCES PERSONNEL'!$M$10:$M$250,$P$2,'ABSENCES PERSONNEL'!$N$10:$N$250,$P$4,'ABSENCES PERSONNEL'!$G$10:$G$250,"RETARD")+COUNTIFS('ABSENCES PERSONNEL'!$C$10:$C$250,PERSONNEL!$B$16,'ABSENCES PERSONNEL'!$M$10:$M$250,$P$2,'ABSENCES PERSONNEL'!$N$10:$N$250,$P$4,'ABSENCES PERSONNEL'!$G$10:$G$250,"ABSENCE")-1)&amp;" autre(s))","")))</f>
        <v>-</v>
      </c>
      <c r="K32" s="74"/>
      <c r="L32" s="74"/>
      <c r="M32" s="123"/>
      <c r="N32" s="123"/>
    </row>
    <row r="33" customFormat="false" ht="15" hidden="false" customHeight="false" outlineLevel="0" collapsed="false">
      <c r="A33" s="45" t="n">
        <f aca="false">IF(PERSONNEL!C17="","",8)</f>
        <v>8</v>
      </c>
      <c r="B33" s="74" t="str">
        <f aca="false">IF(PERSONNEL!C17="","",PERSONNEL!C17)</f>
        <v>KONE Drissa</v>
      </c>
      <c r="C33" s="74"/>
      <c r="D33" s="74"/>
      <c r="E33" s="45" t="str">
        <f aca="false">IF(PERSONNEL!C17="","",PERSONNEL!I17)</f>
        <v>-</v>
      </c>
      <c r="F33" s="45" t="str">
        <f aca="false">IF(PERSONNEL!C17="","",IF(COUNTIFS('ABSENCES PERSONNEL'!$C$10:$C$250,PERSONNEL!$B$17,'ABSENCES PERSONNEL'!$M$10:$M$250,$P$2,'ABSENCES PERSONNEL'!$N$10:$N$250,$P$4,'ABSENCES PERSONNEL'!$G$10:$G$250,"RETARD")+COUNTIFS('ABSENCES PERSONNEL'!$C$10:$C$250,PERSONNEL!$B$17,'ABSENCES PERSONNEL'!$M$10:$M$250,$P$2,'ABSENCES PERSONNEL'!$N$10:$N$250,$P$4,'ABSENCES PERSONNEL'!$G$10:$G$250,"ABSENCE")=0,"-",IF(COUNTIFS('ABSENCES PERSONNEL'!$C$10:$C$250,PERSONNEL!$B$17,'ABSENCES PERSONNEL'!$M$10:$M$250,$P$2,'ABSENCES PERSONNEL'!$N$10:$N$250,$P$4,'ABSENCES PERSONNEL'!$G$10:$G$250,"RETARD")&gt;0,COUNTIFS('ABSENCES PERSONNEL'!$C$10:$C$250,PERSONNEL!$B$17,'ABSENCES PERSONNEL'!$M$10:$M$250,$P$2,'ABSENCES PERSONNEL'!$N$10:$N$250,$P$4,'ABSENCES PERSONNEL'!$G$10:$G$250,"RETARD")&amp;" retard(s)","")&amp;IF(AND(COUNTIFS('ABSENCES PERSONNEL'!$C$10:$C$250,PERSONNEL!$B$17,'ABSENCES PERSONNEL'!$M$10:$M$250,$P$2,'ABSENCES PERSONNEL'!$N$10:$N$250,$P$4,'ABSENCES PERSONNEL'!$G$10:$G$250,"RETARD")&gt;0,COUNTIFS('ABSENCES PERSONNEL'!$C$10:$C$250,PERSONNEL!$B$17,'ABSENCES PERSONNEL'!$M$10:$M$250,$P$2,'ABSENCES PERSONNEL'!$N$10:$N$250,$P$4,'ABSENCES PERSONNEL'!$G$10:$G$250,"ABSENCE")&gt;0)," / ","")&amp;IF(COUNTIFS('ABSENCES PERSONNEL'!$C$10:$C$250,PERSONNEL!$B$17,'ABSENCES PERSONNEL'!$M$10:$M$250,$P$2,'ABSENCES PERSONNEL'!$N$10:$N$250,$P$4,'ABSENCES PERSONNEL'!$G$10:$G$250,"ABSENCE")&gt;0,COUNTIFS('ABSENCES PERSONNEL'!$C$10:$C$250,PERSONNEL!$B$17,'ABSENCES PERSONNEL'!$M$10:$M$250,$P$2,'ABSENCES PERSONNEL'!$N$10:$N$250,$P$4,'ABSENCES PERSONNEL'!$G$10:$G$250,"ABSENCE")&amp;" absence(s)","")))</f>
        <v>-</v>
      </c>
      <c r="G33" s="45"/>
      <c r="H33" s="45" t="str">
        <f aca="false">IF(PERSONNEL!C17="","",IF(COUNTIFS('ABSENCES PERSONNEL'!$C$10:$C$250,PERSONNEL!$B$17,'ABSENCES PERSONNEL'!$M$10:$M$250,$P$2,'ABSENCES PERSONNEL'!$N$10:$N$250,$P$4,'ABSENCES PERSONNEL'!$G$10:$G$250,"RETARD")+COUNTIFS('ABSENCES PERSONNEL'!$C$10:$C$250,PERSONNEL!$B$17,'ABSENCES PERSONNEL'!$M$10:$M$250,$P$2,'ABSENCES PERSONNEL'!$N$10:$N$250,$P$4,'ABSENCES PERSONNEL'!$G$10:$G$250,"ABSENCE")=0,"-",IF(SUMIFS('ABSENCES PERSONNEL'!$H$10:$H$250,'ABSENCES PERSONNEL'!$C$10:$C$250,PERSONNEL!$B$17,'ABSENCES PERSONNEL'!$M$10:$M$250,$P$2,'ABSENCES PERSONNEL'!$N$10:$N$250,$P$4)&gt;0,SUMIFS('ABSENCES PERSONNEL'!$H$10:$H$250,'ABSENCES PERSONNEL'!$C$10:$C$250,PERSONNEL!$B$17,'ABSENCES PERSONNEL'!$M$10:$M$250,$P$2,'ABSENCES PERSONNEL'!$N$10:$N$250,$P$4)&amp;" j","")&amp;IF(AND(SUMIFS('ABSENCES PERSONNEL'!$H$10:$H$250,'ABSENCES PERSONNEL'!$C$10:$C$250,PERSONNEL!$B$17,'ABSENCES PERSONNEL'!$M$10:$M$250,$P$2,'ABSENCES PERSONNEL'!$N$10:$N$250,$P$4)&gt;0,SUMIFS('ABSENCES PERSONNEL'!$I$10:$I$250,'ABSENCES PERSONNEL'!$C$10:$C$250,PERSONNEL!$B$17,'ABSENCES PERSONNEL'!$M$10:$M$250,$P$2,'ABSENCES PERSONNEL'!$N$10:$N$250,$P$4)&gt;0)," / ","")&amp;IF(SUMIFS('ABSENCES PERSONNEL'!$I$10:$I$250,'ABSENCES PERSONNEL'!$C$10:$C$250,PERSONNEL!$B$17,'ABSENCES PERSONNEL'!$M$10:$M$250,$P$2,'ABSENCES PERSONNEL'!$N$10:$N$250,$P$4)&gt;0,SUMIFS('ABSENCES PERSONNEL'!$I$10:$I$250,'ABSENCES PERSONNEL'!$C$10:$C$250,PERSONNEL!$B$17,'ABSENCES PERSONNEL'!$M$10:$M$250,$P$2,'ABSENCES PERSONNEL'!$N$10:$N$250,$P$4)&amp;" min","")))</f>
        <v>-</v>
      </c>
      <c r="I33" s="45"/>
      <c r="J33" s="74" t="str">
        <f aca="false">IF(PERSONNEL!C17="","",IF(COUNTIFS('ABSENCES PERSONNEL'!$C$10:$C$250,PERSONNEL!$B$17,'ABSENCES PERSONNEL'!$M$10:$M$250,$P$2,'ABSENCES PERSONNEL'!$N$10:$N$250,$P$4,'ABSENCES PERSONNEL'!$G$10:$G$250,"RETARD")+COUNTIFS('ABSENCES PERSONNEL'!$C$10:$C$250,PERSONNEL!$B$17,'ABSENCES PERSONNEL'!$M$10:$M$250,$P$2,'ABSENCES PERSONNEL'!$N$10:$N$250,$P$4,'ABSENCES PERSONNEL'!$G$10:$G$250,"ABSENCE")=0,"-",IFERROR(INDEX('ABSENCES PERSONNEL'!$J$10:$J$250,MATCH(PERSONNEL!$B$17&amp;"|"&amp;$P$2&amp;"|"&amp;$P$4,'ABSENCES PERSONNEL'!$O$10:$O$250,0)),"")&amp;IF(COUNTIFS('ABSENCES PERSONNEL'!$C$10:$C$250,PERSONNEL!$B$17,'ABSENCES PERSONNEL'!$M$10:$M$250,$P$2,'ABSENCES PERSONNEL'!$N$10:$N$250,$P$4,'ABSENCES PERSONNEL'!$G$10:$G$250,"RETARD")+COUNTIFS('ABSENCES PERSONNEL'!$C$10:$C$250,PERSONNEL!$B$17,'ABSENCES PERSONNEL'!$M$10:$M$250,$P$2,'ABSENCES PERSONNEL'!$N$10:$N$250,$P$4,'ABSENCES PERSONNEL'!$G$10:$G$250,"ABSENCE")&gt;1," (+"&amp;(COUNTIFS('ABSENCES PERSONNEL'!$C$10:$C$250,PERSONNEL!$B$17,'ABSENCES PERSONNEL'!$M$10:$M$250,$P$2,'ABSENCES PERSONNEL'!$N$10:$N$250,$P$4,'ABSENCES PERSONNEL'!$G$10:$G$250,"RETARD")+COUNTIFS('ABSENCES PERSONNEL'!$C$10:$C$250,PERSONNEL!$B$17,'ABSENCES PERSONNEL'!$M$10:$M$250,$P$2,'ABSENCES PERSONNEL'!$N$10:$N$250,$P$4,'ABSENCES PERSONNEL'!$G$10:$G$250,"ABSENCE")-1)&amp;" autre(s))","")))</f>
        <v>-</v>
      </c>
      <c r="K33" s="74"/>
      <c r="L33" s="74"/>
      <c r="M33" s="123"/>
      <c r="N33" s="123"/>
    </row>
    <row r="34" customFormat="false" ht="15" hidden="false" customHeight="false" outlineLevel="0" collapsed="false">
      <c r="A34" s="45" t="str">
        <f aca="false">IF(PERSONNEL!C18="","",9)</f>
        <v/>
      </c>
      <c r="B34" s="74" t="str">
        <f aca="false">IF(PERSONNEL!C18="","",PERSONNEL!C18)</f>
        <v/>
      </c>
      <c r="C34" s="74"/>
      <c r="D34" s="74"/>
      <c r="E34" s="45" t="str">
        <f aca="false">IF(PERSONNEL!C18="","",PERSONNEL!I18)</f>
        <v/>
      </c>
      <c r="F34" s="45" t="str">
        <f aca="false">IF(PERSONNEL!C18="","",IF(COUNTIFS('ABSENCES PERSONNEL'!$C$10:$C$250,PERSONNEL!$B$18,'ABSENCES PERSONNEL'!$M$10:$M$250,$P$2,'ABSENCES PERSONNEL'!$N$10:$N$250,$P$4,'ABSENCES PERSONNEL'!$G$10:$G$250,"RETARD")+COUNTIFS('ABSENCES PERSONNEL'!$C$10:$C$250,PERSONNEL!$B$18,'ABSENCES PERSONNEL'!$M$10:$M$250,$P$2,'ABSENCES PERSONNEL'!$N$10:$N$250,$P$4,'ABSENCES PERSONNEL'!$G$10:$G$250,"ABSENCE")=0,"-",IF(COUNTIFS('ABSENCES PERSONNEL'!$C$10:$C$250,PERSONNEL!$B$18,'ABSENCES PERSONNEL'!$M$10:$M$250,$P$2,'ABSENCES PERSONNEL'!$N$10:$N$250,$P$4,'ABSENCES PERSONNEL'!$G$10:$G$250,"RETARD")&gt;0,COUNTIFS('ABSENCES PERSONNEL'!$C$10:$C$250,PERSONNEL!$B$18,'ABSENCES PERSONNEL'!$M$10:$M$250,$P$2,'ABSENCES PERSONNEL'!$N$10:$N$250,$P$4,'ABSENCES PERSONNEL'!$G$10:$G$250,"RETARD")&amp;" retard(s)","")&amp;IF(AND(COUNTIFS('ABSENCES PERSONNEL'!$C$10:$C$250,PERSONNEL!$B$18,'ABSENCES PERSONNEL'!$M$10:$M$250,$P$2,'ABSENCES PERSONNEL'!$N$10:$N$250,$P$4,'ABSENCES PERSONNEL'!$G$10:$G$250,"RETARD")&gt;0,COUNTIFS('ABSENCES PERSONNEL'!$C$10:$C$250,PERSONNEL!$B$18,'ABSENCES PERSONNEL'!$M$10:$M$250,$P$2,'ABSENCES PERSONNEL'!$N$10:$N$250,$P$4,'ABSENCES PERSONNEL'!$G$10:$G$250,"ABSENCE")&gt;0)," / ","")&amp;IF(COUNTIFS('ABSENCES PERSONNEL'!$C$10:$C$250,PERSONNEL!$B$18,'ABSENCES PERSONNEL'!$M$10:$M$250,$P$2,'ABSENCES PERSONNEL'!$N$10:$N$250,$P$4,'ABSENCES PERSONNEL'!$G$10:$G$250,"ABSENCE")&gt;0,COUNTIFS('ABSENCES PERSONNEL'!$C$10:$C$250,PERSONNEL!$B$18,'ABSENCES PERSONNEL'!$M$10:$M$250,$P$2,'ABSENCES PERSONNEL'!$N$10:$N$250,$P$4,'ABSENCES PERSONNEL'!$G$10:$G$250,"ABSENCE")&amp;" absence(s)","")))</f>
        <v/>
      </c>
      <c r="G34" s="45"/>
      <c r="H34" s="45" t="str">
        <f aca="false">IF(PERSONNEL!C18="","",IF(COUNTIFS('ABSENCES PERSONNEL'!$C$10:$C$250,PERSONNEL!$B$18,'ABSENCES PERSONNEL'!$M$10:$M$250,$P$2,'ABSENCES PERSONNEL'!$N$10:$N$250,$P$4,'ABSENCES PERSONNEL'!$G$10:$G$250,"RETARD")+COUNTIFS('ABSENCES PERSONNEL'!$C$10:$C$250,PERSONNEL!$B$18,'ABSENCES PERSONNEL'!$M$10:$M$250,$P$2,'ABSENCES PERSONNEL'!$N$10:$N$250,$P$4,'ABSENCES PERSONNEL'!$G$10:$G$250,"ABSENCE")=0,"-",IF(SUMIFS('ABSENCES PERSONNEL'!$H$10:$H$250,'ABSENCES PERSONNEL'!$C$10:$C$250,PERSONNEL!$B$18,'ABSENCES PERSONNEL'!$M$10:$M$250,$P$2,'ABSENCES PERSONNEL'!$N$10:$N$250,$P$4)&gt;0,SUMIFS('ABSENCES PERSONNEL'!$H$10:$H$250,'ABSENCES PERSONNEL'!$C$10:$C$250,PERSONNEL!$B$18,'ABSENCES PERSONNEL'!$M$10:$M$250,$P$2,'ABSENCES PERSONNEL'!$N$10:$N$250,$P$4)&amp;" j","")&amp;IF(AND(SUMIFS('ABSENCES PERSONNEL'!$H$10:$H$250,'ABSENCES PERSONNEL'!$C$10:$C$250,PERSONNEL!$B$18,'ABSENCES PERSONNEL'!$M$10:$M$250,$P$2,'ABSENCES PERSONNEL'!$N$10:$N$250,$P$4)&gt;0,SUMIFS('ABSENCES PERSONNEL'!$I$10:$I$250,'ABSENCES PERSONNEL'!$C$10:$C$250,PERSONNEL!$B$18,'ABSENCES PERSONNEL'!$M$10:$M$250,$P$2,'ABSENCES PERSONNEL'!$N$10:$N$250,$P$4)&gt;0)," / ","")&amp;IF(SUMIFS('ABSENCES PERSONNEL'!$I$10:$I$250,'ABSENCES PERSONNEL'!$C$10:$C$250,PERSONNEL!$B$18,'ABSENCES PERSONNEL'!$M$10:$M$250,$P$2,'ABSENCES PERSONNEL'!$N$10:$N$250,$P$4)&gt;0,SUMIFS('ABSENCES PERSONNEL'!$I$10:$I$250,'ABSENCES PERSONNEL'!$C$10:$C$250,PERSONNEL!$B$18,'ABSENCES PERSONNEL'!$M$10:$M$250,$P$2,'ABSENCES PERSONNEL'!$N$10:$N$250,$P$4)&amp;" min","")))</f>
        <v/>
      </c>
      <c r="I34" s="45"/>
      <c r="J34" s="74" t="str">
        <f aca="false">IF(PERSONNEL!C18="","",IF(COUNTIFS('ABSENCES PERSONNEL'!$C$10:$C$250,PERSONNEL!$B$18,'ABSENCES PERSONNEL'!$M$10:$M$250,$P$2,'ABSENCES PERSONNEL'!$N$10:$N$250,$P$4,'ABSENCES PERSONNEL'!$G$10:$G$250,"RETARD")+COUNTIFS('ABSENCES PERSONNEL'!$C$10:$C$250,PERSONNEL!$B$18,'ABSENCES PERSONNEL'!$M$10:$M$250,$P$2,'ABSENCES PERSONNEL'!$N$10:$N$250,$P$4,'ABSENCES PERSONNEL'!$G$10:$G$250,"ABSENCE")=0,"-",IFERROR(INDEX('ABSENCES PERSONNEL'!$J$10:$J$250,MATCH(PERSONNEL!$B$18&amp;"|"&amp;$P$2&amp;"|"&amp;$P$4,'ABSENCES PERSONNEL'!$O$10:$O$250,0)),"")&amp;IF(COUNTIFS('ABSENCES PERSONNEL'!$C$10:$C$250,PERSONNEL!$B$18,'ABSENCES PERSONNEL'!$M$10:$M$250,$P$2,'ABSENCES PERSONNEL'!$N$10:$N$250,$P$4,'ABSENCES PERSONNEL'!$G$10:$G$250,"RETARD")+COUNTIFS('ABSENCES PERSONNEL'!$C$10:$C$250,PERSONNEL!$B$18,'ABSENCES PERSONNEL'!$M$10:$M$250,$P$2,'ABSENCES PERSONNEL'!$N$10:$N$250,$P$4,'ABSENCES PERSONNEL'!$G$10:$G$250,"ABSENCE")&gt;1," (+"&amp;(COUNTIFS('ABSENCES PERSONNEL'!$C$10:$C$250,PERSONNEL!$B$18,'ABSENCES PERSONNEL'!$M$10:$M$250,$P$2,'ABSENCES PERSONNEL'!$N$10:$N$250,$P$4,'ABSENCES PERSONNEL'!$G$10:$G$250,"RETARD")+COUNTIFS('ABSENCES PERSONNEL'!$C$10:$C$250,PERSONNEL!$B$18,'ABSENCES PERSONNEL'!$M$10:$M$250,$P$2,'ABSENCES PERSONNEL'!$N$10:$N$250,$P$4,'ABSENCES PERSONNEL'!$G$10:$G$250,"ABSENCE")-1)&amp;" autre(s))","")))</f>
        <v/>
      </c>
      <c r="K34" s="74"/>
      <c r="L34" s="74"/>
      <c r="M34" s="123"/>
      <c r="N34" s="123"/>
    </row>
    <row r="35" customFormat="false" ht="15" hidden="false" customHeight="false" outlineLevel="0" collapsed="false">
      <c r="A35" s="45" t="str">
        <f aca="false">IF(PERSONNEL!C19="","",10)</f>
        <v/>
      </c>
      <c r="B35" s="74" t="str">
        <f aca="false">IF(PERSONNEL!C19="","",PERSONNEL!C19)</f>
        <v/>
      </c>
      <c r="C35" s="74"/>
      <c r="D35" s="74"/>
      <c r="E35" s="45" t="str">
        <f aca="false">IF(PERSONNEL!C19="","",PERSONNEL!I19)</f>
        <v/>
      </c>
      <c r="F35" s="45" t="str">
        <f aca="false">IF(PERSONNEL!C19="","",IF(COUNTIFS('ABSENCES PERSONNEL'!$C$10:$C$250,PERSONNEL!$B$19,'ABSENCES PERSONNEL'!$M$10:$M$250,$P$2,'ABSENCES PERSONNEL'!$N$10:$N$250,$P$4,'ABSENCES PERSONNEL'!$G$10:$G$250,"RETARD")+COUNTIFS('ABSENCES PERSONNEL'!$C$10:$C$250,PERSONNEL!$B$19,'ABSENCES PERSONNEL'!$M$10:$M$250,$P$2,'ABSENCES PERSONNEL'!$N$10:$N$250,$P$4,'ABSENCES PERSONNEL'!$G$10:$G$250,"ABSENCE")=0,"-",IF(COUNTIFS('ABSENCES PERSONNEL'!$C$10:$C$250,PERSONNEL!$B$19,'ABSENCES PERSONNEL'!$M$10:$M$250,$P$2,'ABSENCES PERSONNEL'!$N$10:$N$250,$P$4,'ABSENCES PERSONNEL'!$G$10:$G$250,"RETARD")&gt;0,COUNTIFS('ABSENCES PERSONNEL'!$C$10:$C$250,PERSONNEL!$B$19,'ABSENCES PERSONNEL'!$M$10:$M$250,$P$2,'ABSENCES PERSONNEL'!$N$10:$N$250,$P$4,'ABSENCES PERSONNEL'!$G$10:$G$250,"RETARD")&amp;" retard(s)","")&amp;IF(AND(COUNTIFS('ABSENCES PERSONNEL'!$C$10:$C$250,PERSONNEL!$B$19,'ABSENCES PERSONNEL'!$M$10:$M$250,$P$2,'ABSENCES PERSONNEL'!$N$10:$N$250,$P$4,'ABSENCES PERSONNEL'!$G$10:$G$250,"RETARD")&gt;0,COUNTIFS('ABSENCES PERSONNEL'!$C$10:$C$250,PERSONNEL!$B$19,'ABSENCES PERSONNEL'!$M$10:$M$250,$P$2,'ABSENCES PERSONNEL'!$N$10:$N$250,$P$4,'ABSENCES PERSONNEL'!$G$10:$G$250,"ABSENCE")&gt;0)," / ","")&amp;IF(COUNTIFS('ABSENCES PERSONNEL'!$C$10:$C$250,PERSONNEL!$B$19,'ABSENCES PERSONNEL'!$M$10:$M$250,$P$2,'ABSENCES PERSONNEL'!$N$10:$N$250,$P$4,'ABSENCES PERSONNEL'!$G$10:$G$250,"ABSENCE")&gt;0,COUNTIFS('ABSENCES PERSONNEL'!$C$10:$C$250,PERSONNEL!$B$19,'ABSENCES PERSONNEL'!$M$10:$M$250,$P$2,'ABSENCES PERSONNEL'!$N$10:$N$250,$P$4,'ABSENCES PERSONNEL'!$G$10:$G$250,"ABSENCE")&amp;" absence(s)","")))</f>
        <v/>
      </c>
      <c r="G35" s="45"/>
      <c r="H35" s="45" t="str">
        <f aca="false">IF(PERSONNEL!C19="","",IF(COUNTIFS('ABSENCES PERSONNEL'!$C$10:$C$250,PERSONNEL!$B$19,'ABSENCES PERSONNEL'!$M$10:$M$250,$P$2,'ABSENCES PERSONNEL'!$N$10:$N$250,$P$4,'ABSENCES PERSONNEL'!$G$10:$G$250,"RETARD")+COUNTIFS('ABSENCES PERSONNEL'!$C$10:$C$250,PERSONNEL!$B$19,'ABSENCES PERSONNEL'!$M$10:$M$250,$P$2,'ABSENCES PERSONNEL'!$N$10:$N$250,$P$4,'ABSENCES PERSONNEL'!$G$10:$G$250,"ABSENCE")=0,"-",IF(SUMIFS('ABSENCES PERSONNEL'!$H$10:$H$250,'ABSENCES PERSONNEL'!$C$10:$C$250,PERSONNEL!$B$19,'ABSENCES PERSONNEL'!$M$10:$M$250,$P$2,'ABSENCES PERSONNEL'!$N$10:$N$250,$P$4)&gt;0,SUMIFS('ABSENCES PERSONNEL'!$H$10:$H$250,'ABSENCES PERSONNEL'!$C$10:$C$250,PERSONNEL!$B$19,'ABSENCES PERSONNEL'!$M$10:$M$250,$P$2,'ABSENCES PERSONNEL'!$N$10:$N$250,$P$4)&amp;" j","")&amp;IF(AND(SUMIFS('ABSENCES PERSONNEL'!$H$10:$H$250,'ABSENCES PERSONNEL'!$C$10:$C$250,PERSONNEL!$B$19,'ABSENCES PERSONNEL'!$M$10:$M$250,$P$2,'ABSENCES PERSONNEL'!$N$10:$N$250,$P$4)&gt;0,SUMIFS('ABSENCES PERSONNEL'!$I$10:$I$250,'ABSENCES PERSONNEL'!$C$10:$C$250,PERSONNEL!$B$19,'ABSENCES PERSONNEL'!$M$10:$M$250,$P$2,'ABSENCES PERSONNEL'!$N$10:$N$250,$P$4)&gt;0)," / ","")&amp;IF(SUMIFS('ABSENCES PERSONNEL'!$I$10:$I$250,'ABSENCES PERSONNEL'!$C$10:$C$250,PERSONNEL!$B$19,'ABSENCES PERSONNEL'!$M$10:$M$250,$P$2,'ABSENCES PERSONNEL'!$N$10:$N$250,$P$4)&gt;0,SUMIFS('ABSENCES PERSONNEL'!$I$10:$I$250,'ABSENCES PERSONNEL'!$C$10:$C$250,PERSONNEL!$B$19,'ABSENCES PERSONNEL'!$M$10:$M$250,$P$2,'ABSENCES PERSONNEL'!$N$10:$N$250,$P$4)&amp;" min","")))</f>
        <v/>
      </c>
      <c r="I35" s="45"/>
      <c r="J35" s="74" t="str">
        <f aca="false">IF(PERSONNEL!C19="","",IF(COUNTIFS('ABSENCES PERSONNEL'!$C$10:$C$250,PERSONNEL!$B$19,'ABSENCES PERSONNEL'!$M$10:$M$250,$P$2,'ABSENCES PERSONNEL'!$N$10:$N$250,$P$4,'ABSENCES PERSONNEL'!$G$10:$G$250,"RETARD")+COUNTIFS('ABSENCES PERSONNEL'!$C$10:$C$250,PERSONNEL!$B$19,'ABSENCES PERSONNEL'!$M$10:$M$250,$P$2,'ABSENCES PERSONNEL'!$N$10:$N$250,$P$4,'ABSENCES PERSONNEL'!$G$10:$G$250,"ABSENCE")=0,"-",IFERROR(INDEX('ABSENCES PERSONNEL'!$J$10:$J$250,MATCH(PERSONNEL!$B$19&amp;"|"&amp;$P$2&amp;"|"&amp;$P$4,'ABSENCES PERSONNEL'!$O$10:$O$250,0)),"")&amp;IF(COUNTIFS('ABSENCES PERSONNEL'!$C$10:$C$250,PERSONNEL!$B$19,'ABSENCES PERSONNEL'!$M$10:$M$250,$P$2,'ABSENCES PERSONNEL'!$N$10:$N$250,$P$4,'ABSENCES PERSONNEL'!$G$10:$G$250,"RETARD")+COUNTIFS('ABSENCES PERSONNEL'!$C$10:$C$250,PERSONNEL!$B$19,'ABSENCES PERSONNEL'!$M$10:$M$250,$P$2,'ABSENCES PERSONNEL'!$N$10:$N$250,$P$4,'ABSENCES PERSONNEL'!$G$10:$G$250,"ABSENCE")&gt;1," (+"&amp;(COUNTIFS('ABSENCES PERSONNEL'!$C$10:$C$250,PERSONNEL!$B$19,'ABSENCES PERSONNEL'!$M$10:$M$250,$P$2,'ABSENCES PERSONNEL'!$N$10:$N$250,$P$4,'ABSENCES PERSONNEL'!$G$10:$G$250,"RETARD")+COUNTIFS('ABSENCES PERSONNEL'!$C$10:$C$250,PERSONNEL!$B$19,'ABSENCES PERSONNEL'!$M$10:$M$250,$P$2,'ABSENCES PERSONNEL'!$N$10:$N$250,$P$4,'ABSENCES PERSONNEL'!$G$10:$G$250,"ABSENCE")-1)&amp;" autre(s))","")))</f>
        <v/>
      </c>
      <c r="K35" s="74"/>
      <c r="L35" s="74"/>
      <c r="M35" s="123"/>
      <c r="N35" s="123"/>
    </row>
    <row r="36" customFormat="false" ht="15" hidden="false" customHeight="false" outlineLevel="0" collapsed="false">
      <c r="A36" s="45" t="str">
        <f aca="false">IF(PERSONNEL!C20="","",11)</f>
        <v/>
      </c>
      <c r="B36" s="74" t="str">
        <f aca="false">IF(PERSONNEL!C20="","",PERSONNEL!C20)</f>
        <v/>
      </c>
      <c r="C36" s="74"/>
      <c r="D36" s="74"/>
      <c r="E36" s="45" t="str">
        <f aca="false">IF(PERSONNEL!C20="","",PERSONNEL!I20)</f>
        <v/>
      </c>
      <c r="F36" s="45" t="str">
        <f aca="false">IF(PERSONNEL!C20="","",IF(COUNTIFS('ABSENCES PERSONNEL'!$C$10:$C$250,PERSONNEL!$B$20,'ABSENCES PERSONNEL'!$M$10:$M$250,$P$2,'ABSENCES PERSONNEL'!$N$10:$N$250,$P$4,'ABSENCES PERSONNEL'!$G$10:$G$250,"RETARD")+COUNTIFS('ABSENCES PERSONNEL'!$C$10:$C$250,PERSONNEL!$B$20,'ABSENCES PERSONNEL'!$M$10:$M$250,$P$2,'ABSENCES PERSONNEL'!$N$10:$N$250,$P$4,'ABSENCES PERSONNEL'!$G$10:$G$250,"ABSENCE")=0,"-",IF(COUNTIFS('ABSENCES PERSONNEL'!$C$10:$C$250,PERSONNEL!$B$20,'ABSENCES PERSONNEL'!$M$10:$M$250,$P$2,'ABSENCES PERSONNEL'!$N$10:$N$250,$P$4,'ABSENCES PERSONNEL'!$G$10:$G$250,"RETARD")&gt;0,COUNTIFS('ABSENCES PERSONNEL'!$C$10:$C$250,PERSONNEL!$B$20,'ABSENCES PERSONNEL'!$M$10:$M$250,$P$2,'ABSENCES PERSONNEL'!$N$10:$N$250,$P$4,'ABSENCES PERSONNEL'!$G$10:$G$250,"RETARD")&amp;" retard(s)","")&amp;IF(AND(COUNTIFS('ABSENCES PERSONNEL'!$C$10:$C$250,PERSONNEL!$B$20,'ABSENCES PERSONNEL'!$M$10:$M$250,$P$2,'ABSENCES PERSONNEL'!$N$10:$N$250,$P$4,'ABSENCES PERSONNEL'!$G$10:$G$250,"RETARD")&gt;0,COUNTIFS('ABSENCES PERSONNEL'!$C$10:$C$250,PERSONNEL!$B$20,'ABSENCES PERSONNEL'!$M$10:$M$250,$P$2,'ABSENCES PERSONNEL'!$N$10:$N$250,$P$4,'ABSENCES PERSONNEL'!$G$10:$G$250,"ABSENCE")&gt;0)," / ","")&amp;IF(COUNTIFS('ABSENCES PERSONNEL'!$C$10:$C$250,PERSONNEL!$B$20,'ABSENCES PERSONNEL'!$M$10:$M$250,$P$2,'ABSENCES PERSONNEL'!$N$10:$N$250,$P$4,'ABSENCES PERSONNEL'!$G$10:$G$250,"ABSENCE")&gt;0,COUNTIFS('ABSENCES PERSONNEL'!$C$10:$C$250,PERSONNEL!$B$20,'ABSENCES PERSONNEL'!$M$10:$M$250,$P$2,'ABSENCES PERSONNEL'!$N$10:$N$250,$P$4,'ABSENCES PERSONNEL'!$G$10:$G$250,"ABSENCE")&amp;" absence(s)","")))</f>
        <v/>
      </c>
      <c r="G36" s="45"/>
      <c r="H36" s="45" t="str">
        <f aca="false">IF(PERSONNEL!C20="","",IF(COUNTIFS('ABSENCES PERSONNEL'!$C$10:$C$250,PERSONNEL!$B$20,'ABSENCES PERSONNEL'!$M$10:$M$250,$P$2,'ABSENCES PERSONNEL'!$N$10:$N$250,$P$4,'ABSENCES PERSONNEL'!$G$10:$G$250,"RETARD")+COUNTIFS('ABSENCES PERSONNEL'!$C$10:$C$250,PERSONNEL!$B$20,'ABSENCES PERSONNEL'!$M$10:$M$250,$P$2,'ABSENCES PERSONNEL'!$N$10:$N$250,$P$4,'ABSENCES PERSONNEL'!$G$10:$G$250,"ABSENCE")=0,"-",IF(SUMIFS('ABSENCES PERSONNEL'!$H$10:$H$250,'ABSENCES PERSONNEL'!$C$10:$C$250,PERSONNEL!$B$20,'ABSENCES PERSONNEL'!$M$10:$M$250,$P$2,'ABSENCES PERSONNEL'!$N$10:$N$250,$P$4)&gt;0,SUMIFS('ABSENCES PERSONNEL'!$H$10:$H$250,'ABSENCES PERSONNEL'!$C$10:$C$250,PERSONNEL!$B$20,'ABSENCES PERSONNEL'!$M$10:$M$250,$P$2,'ABSENCES PERSONNEL'!$N$10:$N$250,$P$4)&amp;" j","")&amp;IF(AND(SUMIFS('ABSENCES PERSONNEL'!$H$10:$H$250,'ABSENCES PERSONNEL'!$C$10:$C$250,PERSONNEL!$B$20,'ABSENCES PERSONNEL'!$M$10:$M$250,$P$2,'ABSENCES PERSONNEL'!$N$10:$N$250,$P$4)&gt;0,SUMIFS('ABSENCES PERSONNEL'!$I$10:$I$250,'ABSENCES PERSONNEL'!$C$10:$C$250,PERSONNEL!$B$20,'ABSENCES PERSONNEL'!$M$10:$M$250,$P$2,'ABSENCES PERSONNEL'!$N$10:$N$250,$P$4)&gt;0)," / ","")&amp;IF(SUMIFS('ABSENCES PERSONNEL'!$I$10:$I$250,'ABSENCES PERSONNEL'!$C$10:$C$250,PERSONNEL!$B$20,'ABSENCES PERSONNEL'!$M$10:$M$250,$P$2,'ABSENCES PERSONNEL'!$N$10:$N$250,$P$4)&gt;0,SUMIFS('ABSENCES PERSONNEL'!$I$10:$I$250,'ABSENCES PERSONNEL'!$C$10:$C$250,PERSONNEL!$B$20,'ABSENCES PERSONNEL'!$M$10:$M$250,$P$2,'ABSENCES PERSONNEL'!$N$10:$N$250,$P$4)&amp;" min","")))</f>
        <v/>
      </c>
      <c r="I36" s="45"/>
      <c r="J36" s="74" t="str">
        <f aca="false">IF(PERSONNEL!C20="","",IF(COUNTIFS('ABSENCES PERSONNEL'!$C$10:$C$250,PERSONNEL!$B$20,'ABSENCES PERSONNEL'!$M$10:$M$250,$P$2,'ABSENCES PERSONNEL'!$N$10:$N$250,$P$4,'ABSENCES PERSONNEL'!$G$10:$G$250,"RETARD")+COUNTIFS('ABSENCES PERSONNEL'!$C$10:$C$250,PERSONNEL!$B$20,'ABSENCES PERSONNEL'!$M$10:$M$250,$P$2,'ABSENCES PERSONNEL'!$N$10:$N$250,$P$4,'ABSENCES PERSONNEL'!$G$10:$G$250,"ABSENCE")=0,"-",IFERROR(INDEX('ABSENCES PERSONNEL'!$J$10:$J$250,MATCH(PERSONNEL!$B$20&amp;"|"&amp;$P$2&amp;"|"&amp;$P$4,'ABSENCES PERSONNEL'!$O$10:$O$250,0)),"")&amp;IF(COUNTIFS('ABSENCES PERSONNEL'!$C$10:$C$250,PERSONNEL!$B$20,'ABSENCES PERSONNEL'!$M$10:$M$250,$P$2,'ABSENCES PERSONNEL'!$N$10:$N$250,$P$4,'ABSENCES PERSONNEL'!$G$10:$G$250,"RETARD")+COUNTIFS('ABSENCES PERSONNEL'!$C$10:$C$250,PERSONNEL!$B$20,'ABSENCES PERSONNEL'!$M$10:$M$250,$P$2,'ABSENCES PERSONNEL'!$N$10:$N$250,$P$4,'ABSENCES PERSONNEL'!$G$10:$G$250,"ABSENCE")&gt;1," (+"&amp;(COUNTIFS('ABSENCES PERSONNEL'!$C$10:$C$250,PERSONNEL!$B$20,'ABSENCES PERSONNEL'!$M$10:$M$250,$P$2,'ABSENCES PERSONNEL'!$N$10:$N$250,$P$4,'ABSENCES PERSONNEL'!$G$10:$G$250,"RETARD")+COUNTIFS('ABSENCES PERSONNEL'!$C$10:$C$250,PERSONNEL!$B$20,'ABSENCES PERSONNEL'!$M$10:$M$250,$P$2,'ABSENCES PERSONNEL'!$N$10:$N$250,$P$4,'ABSENCES PERSONNEL'!$G$10:$G$250,"ABSENCE")-1)&amp;" autre(s))","")))</f>
        <v/>
      </c>
      <c r="K36" s="74"/>
      <c r="L36" s="74"/>
      <c r="M36" s="123"/>
      <c r="N36" s="123"/>
    </row>
    <row r="37" customFormat="false" ht="15" hidden="false" customHeight="false" outlineLevel="0" collapsed="false">
      <c r="A37" s="45" t="str">
        <f aca="false">IF(PERSONNEL!C21="","",12)</f>
        <v/>
      </c>
      <c r="B37" s="74" t="str">
        <f aca="false">IF(PERSONNEL!C21="","",PERSONNEL!C21)</f>
        <v/>
      </c>
      <c r="C37" s="74"/>
      <c r="D37" s="74"/>
      <c r="E37" s="45" t="str">
        <f aca="false">IF(PERSONNEL!C21="","",PERSONNEL!I21)</f>
        <v/>
      </c>
      <c r="F37" s="45" t="str">
        <f aca="false">IF(PERSONNEL!C21="","",IF(COUNTIFS('ABSENCES PERSONNEL'!$C$10:$C$250,PERSONNEL!$B$21,'ABSENCES PERSONNEL'!$M$10:$M$250,$P$2,'ABSENCES PERSONNEL'!$N$10:$N$250,$P$4,'ABSENCES PERSONNEL'!$G$10:$G$250,"RETARD")+COUNTIFS('ABSENCES PERSONNEL'!$C$10:$C$250,PERSONNEL!$B$21,'ABSENCES PERSONNEL'!$M$10:$M$250,$P$2,'ABSENCES PERSONNEL'!$N$10:$N$250,$P$4,'ABSENCES PERSONNEL'!$G$10:$G$250,"ABSENCE")=0,"-",IF(COUNTIFS('ABSENCES PERSONNEL'!$C$10:$C$250,PERSONNEL!$B$21,'ABSENCES PERSONNEL'!$M$10:$M$250,$P$2,'ABSENCES PERSONNEL'!$N$10:$N$250,$P$4,'ABSENCES PERSONNEL'!$G$10:$G$250,"RETARD")&gt;0,COUNTIFS('ABSENCES PERSONNEL'!$C$10:$C$250,PERSONNEL!$B$21,'ABSENCES PERSONNEL'!$M$10:$M$250,$P$2,'ABSENCES PERSONNEL'!$N$10:$N$250,$P$4,'ABSENCES PERSONNEL'!$G$10:$G$250,"RETARD")&amp;" retard(s)","")&amp;IF(AND(COUNTIFS('ABSENCES PERSONNEL'!$C$10:$C$250,PERSONNEL!$B$21,'ABSENCES PERSONNEL'!$M$10:$M$250,$P$2,'ABSENCES PERSONNEL'!$N$10:$N$250,$P$4,'ABSENCES PERSONNEL'!$G$10:$G$250,"RETARD")&gt;0,COUNTIFS('ABSENCES PERSONNEL'!$C$10:$C$250,PERSONNEL!$B$21,'ABSENCES PERSONNEL'!$M$10:$M$250,$P$2,'ABSENCES PERSONNEL'!$N$10:$N$250,$P$4,'ABSENCES PERSONNEL'!$G$10:$G$250,"ABSENCE")&gt;0)," / ","")&amp;IF(COUNTIFS('ABSENCES PERSONNEL'!$C$10:$C$250,PERSONNEL!$B$21,'ABSENCES PERSONNEL'!$M$10:$M$250,$P$2,'ABSENCES PERSONNEL'!$N$10:$N$250,$P$4,'ABSENCES PERSONNEL'!$G$10:$G$250,"ABSENCE")&gt;0,COUNTIFS('ABSENCES PERSONNEL'!$C$10:$C$250,PERSONNEL!$B$21,'ABSENCES PERSONNEL'!$M$10:$M$250,$P$2,'ABSENCES PERSONNEL'!$N$10:$N$250,$P$4,'ABSENCES PERSONNEL'!$G$10:$G$250,"ABSENCE")&amp;" absence(s)","")))</f>
        <v/>
      </c>
      <c r="G37" s="45"/>
      <c r="H37" s="45" t="str">
        <f aca="false">IF(PERSONNEL!C21="","",IF(COUNTIFS('ABSENCES PERSONNEL'!$C$10:$C$250,PERSONNEL!$B$21,'ABSENCES PERSONNEL'!$M$10:$M$250,$P$2,'ABSENCES PERSONNEL'!$N$10:$N$250,$P$4,'ABSENCES PERSONNEL'!$G$10:$G$250,"RETARD")+COUNTIFS('ABSENCES PERSONNEL'!$C$10:$C$250,PERSONNEL!$B$21,'ABSENCES PERSONNEL'!$M$10:$M$250,$P$2,'ABSENCES PERSONNEL'!$N$10:$N$250,$P$4,'ABSENCES PERSONNEL'!$G$10:$G$250,"ABSENCE")=0,"-",IF(SUMIFS('ABSENCES PERSONNEL'!$H$10:$H$250,'ABSENCES PERSONNEL'!$C$10:$C$250,PERSONNEL!$B$21,'ABSENCES PERSONNEL'!$M$10:$M$250,$P$2,'ABSENCES PERSONNEL'!$N$10:$N$250,$P$4)&gt;0,SUMIFS('ABSENCES PERSONNEL'!$H$10:$H$250,'ABSENCES PERSONNEL'!$C$10:$C$250,PERSONNEL!$B$21,'ABSENCES PERSONNEL'!$M$10:$M$250,$P$2,'ABSENCES PERSONNEL'!$N$10:$N$250,$P$4)&amp;" j","")&amp;IF(AND(SUMIFS('ABSENCES PERSONNEL'!$H$10:$H$250,'ABSENCES PERSONNEL'!$C$10:$C$250,PERSONNEL!$B$21,'ABSENCES PERSONNEL'!$M$10:$M$250,$P$2,'ABSENCES PERSONNEL'!$N$10:$N$250,$P$4)&gt;0,SUMIFS('ABSENCES PERSONNEL'!$I$10:$I$250,'ABSENCES PERSONNEL'!$C$10:$C$250,PERSONNEL!$B$21,'ABSENCES PERSONNEL'!$M$10:$M$250,$P$2,'ABSENCES PERSONNEL'!$N$10:$N$250,$P$4)&gt;0)," / ","")&amp;IF(SUMIFS('ABSENCES PERSONNEL'!$I$10:$I$250,'ABSENCES PERSONNEL'!$C$10:$C$250,PERSONNEL!$B$21,'ABSENCES PERSONNEL'!$M$10:$M$250,$P$2,'ABSENCES PERSONNEL'!$N$10:$N$250,$P$4)&gt;0,SUMIFS('ABSENCES PERSONNEL'!$I$10:$I$250,'ABSENCES PERSONNEL'!$C$10:$C$250,PERSONNEL!$B$21,'ABSENCES PERSONNEL'!$M$10:$M$250,$P$2,'ABSENCES PERSONNEL'!$N$10:$N$250,$P$4)&amp;" min","")))</f>
        <v/>
      </c>
      <c r="I37" s="45"/>
      <c r="J37" s="74" t="str">
        <f aca="false">IF(PERSONNEL!C21="","",IF(COUNTIFS('ABSENCES PERSONNEL'!$C$10:$C$250,PERSONNEL!$B$21,'ABSENCES PERSONNEL'!$M$10:$M$250,$P$2,'ABSENCES PERSONNEL'!$N$10:$N$250,$P$4,'ABSENCES PERSONNEL'!$G$10:$G$250,"RETARD")+COUNTIFS('ABSENCES PERSONNEL'!$C$10:$C$250,PERSONNEL!$B$21,'ABSENCES PERSONNEL'!$M$10:$M$250,$P$2,'ABSENCES PERSONNEL'!$N$10:$N$250,$P$4,'ABSENCES PERSONNEL'!$G$10:$G$250,"ABSENCE")=0,"-",IFERROR(INDEX('ABSENCES PERSONNEL'!$J$10:$J$250,MATCH(PERSONNEL!$B$21&amp;"|"&amp;$P$2&amp;"|"&amp;$P$4,'ABSENCES PERSONNEL'!$O$10:$O$250,0)),"")&amp;IF(COUNTIFS('ABSENCES PERSONNEL'!$C$10:$C$250,PERSONNEL!$B$21,'ABSENCES PERSONNEL'!$M$10:$M$250,$P$2,'ABSENCES PERSONNEL'!$N$10:$N$250,$P$4,'ABSENCES PERSONNEL'!$G$10:$G$250,"RETARD")+COUNTIFS('ABSENCES PERSONNEL'!$C$10:$C$250,PERSONNEL!$B$21,'ABSENCES PERSONNEL'!$M$10:$M$250,$P$2,'ABSENCES PERSONNEL'!$N$10:$N$250,$P$4,'ABSENCES PERSONNEL'!$G$10:$G$250,"ABSENCE")&gt;1," (+"&amp;(COUNTIFS('ABSENCES PERSONNEL'!$C$10:$C$250,PERSONNEL!$B$21,'ABSENCES PERSONNEL'!$M$10:$M$250,$P$2,'ABSENCES PERSONNEL'!$N$10:$N$250,$P$4,'ABSENCES PERSONNEL'!$G$10:$G$250,"RETARD")+COUNTIFS('ABSENCES PERSONNEL'!$C$10:$C$250,PERSONNEL!$B$21,'ABSENCES PERSONNEL'!$M$10:$M$250,$P$2,'ABSENCES PERSONNEL'!$N$10:$N$250,$P$4,'ABSENCES PERSONNEL'!$G$10:$G$250,"ABSENCE")-1)&amp;" autre(s))","")))</f>
        <v/>
      </c>
      <c r="K37" s="74"/>
      <c r="L37" s="74"/>
      <c r="M37" s="123"/>
      <c r="N37" s="123"/>
    </row>
    <row r="39" customFormat="false" ht="19.5" hidden="false" customHeight="true" outlineLevel="0" collapsed="false">
      <c r="A39" s="111" t="s">
        <v>768</v>
      </c>
      <c r="B39" s="111"/>
      <c r="C39" s="111"/>
      <c r="D39" s="111"/>
      <c r="E39" s="111"/>
      <c r="F39" s="111"/>
      <c r="G39" s="111"/>
      <c r="H39" s="111"/>
      <c r="I39" s="111"/>
      <c r="J39" s="111"/>
      <c r="K39" s="111"/>
      <c r="L39" s="111"/>
      <c r="M39" s="111"/>
      <c r="N39" s="111"/>
    </row>
    <row r="40" customFormat="false" ht="15" hidden="false" customHeight="false" outlineLevel="0" collapsed="false">
      <c r="A40" s="94" t="s">
        <v>769</v>
      </c>
    </row>
    <row r="41" customFormat="false" ht="15" hidden="false" customHeight="false" outlineLevel="0" collapsed="false">
      <c r="A41" s="113"/>
      <c r="B41" s="113"/>
      <c r="C41" s="113"/>
      <c r="D41" s="113"/>
      <c r="E41" s="113"/>
      <c r="F41" s="113"/>
      <c r="G41" s="113"/>
      <c r="H41" s="113"/>
      <c r="I41" s="113"/>
      <c r="J41" s="113"/>
      <c r="K41" s="113"/>
      <c r="L41" s="113"/>
      <c r="M41" s="113"/>
      <c r="N41" s="113"/>
    </row>
    <row r="42" customFormat="false" ht="15" hidden="false" customHeight="false" outlineLevel="0" collapsed="false">
      <c r="A42" s="113"/>
      <c r="B42" s="113"/>
      <c r="C42" s="113"/>
      <c r="D42" s="113"/>
      <c r="E42" s="113"/>
      <c r="F42" s="113"/>
      <c r="G42" s="113"/>
      <c r="H42" s="113"/>
      <c r="I42" s="113"/>
      <c r="J42" s="113"/>
      <c r="K42" s="113"/>
      <c r="L42" s="113"/>
      <c r="M42" s="113"/>
      <c r="N42" s="113"/>
    </row>
    <row r="43" customFormat="false" ht="15" hidden="false" customHeight="false" outlineLevel="0" collapsed="false">
      <c r="A43" s="113"/>
      <c r="B43" s="113"/>
      <c r="C43" s="113"/>
      <c r="D43" s="113"/>
      <c r="E43" s="113"/>
      <c r="F43" s="113"/>
      <c r="G43" s="113"/>
      <c r="H43" s="113"/>
      <c r="I43" s="113"/>
      <c r="J43" s="113"/>
      <c r="K43" s="113"/>
      <c r="L43" s="113"/>
      <c r="M43" s="113"/>
      <c r="N43" s="113"/>
    </row>
    <row r="45" customFormat="false" ht="24" hidden="false" customHeight="true" outlineLevel="0" collapsed="false">
      <c r="A45" s="124" t="str">
        <f aca="false">IF(AND($P$8=0,$P$10=0),"b. Résultats des évaluations – aucune évaluation prévue au calendrier (PARAMETRES) pour "&amp;$C$8&amp;" "&amp;$P$4,"b. Résultats des évaluations du mois – CP1 à CM1 : "&amp;IF($P$8=0,"aucune",INDEX(PARAMETRES!$B$29:$B$32,$P$8))&amp;IF(SUM($P$12:$P$15)&gt;1," (dernière des "&amp;SUM($P$12:$P$15)&amp;" évaluations du mois)","")&amp;"  •  CM2 : "&amp;IF($P$10=0,"aucune",INDEX(PARAMETRES!$B$29:$B$32,$P$10))&amp;IF(SUM($P$16:$P$19)&gt;1," (dernière des "&amp;SUM($P$16:$P$19)&amp;" évaluations du mois)",""))</f>
        <v>b. Résultats des évaluations – aucune évaluation prévue au calendrier (PARAMETRES) pour Octobre 2026</v>
      </c>
      <c r="B45" s="124"/>
      <c r="C45" s="124"/>
      <c r="D45" s="124"/>
      <c r="E45" s="124"/>
      <c r="F45" s="124"/>
      <c r="G45" s="124"/>
      <c r="H45" s="124"/>
      <c r="I45" s="124"/>
      <c r="J45" s="124"/>
      <c r="K45" s="124"/>
      <c r="L45" s="124"/>
      <c r="M45" s="124"/>
      <c r="N45" s="124"/>
    </row>
    <row r="46" customFormat="false" ht="25.5" hidden="false" customHeight="true" outlineLevel="0" collapsed="false">
      <c r="A46" s="68" t="s">
        <v>643</v>
      </c>
      <c r="B46" s="68" t="s">
        <v>770</v>
      </c>
      <c r="C46" s="68"/>
      <c r="D46" s="68"/>
      <c r="E46" s="68" t="s">
        <v>771</v>
      </c>
      <c r="F46" s="68"/>
      <c r="G46" s="68"/>
      <c r="H46" s="68" t="s">
        <v>772</v>
      </c>
      <c r="I46" s="68"/>
      <c r="J46" s="68"/>
      <c r="K46" s="68" t="s">
        <v>773</v>
      </c>
      <c r="L46" s="68"/>
      <c r="M46" s="68"/>
      <c r="N46" s="68" t="s">
        <v>759</v>
      </c>
    </row>
    <row r="47" customFormat="false" ht="15" hidden="false" customHeight="false" outlineLevel="0" collapsed="false">
      <c r="A47" s="68"/>
      <c r="B47" s="70" t="s">
        <v>639</v>
      </c>
      <c r="C47" s="70" t="s">
        <v>44</v>
      </c>
      <c r="D47" s="70" t="s">
        <v>640</v>
      </c>
      <c r="E47" s="70" t="s">
        <v>639</v>
      </c>
      <c r="F47" s="70" t="s">
        <v>44</v>
      </c>
      <c r="G47" s="70" t="s">
        <v>640</v>
      </c>
      <c r="H47" s="70" t="s">
        <v>639</v>
      </c>
      <c r="I47" s="70" t="s">
        <v>44</v>
      </c>
      <c r="J47" s="70" t="s">
        <v>640</v>
      </c>
      <c r="K47" s="70" t="s">
        <v>639</v>
      </c>
      <c r="L47" s="70" t="s">
        <v>44</v>
      </c>
      <c r="M47" s="70" t="s">
        <v>640</v>
      </c>
      <c r="N47" s="68"/>
    </row>
    <row r="48" customFormat="false" ht="15" hidden="false" customHeight="false" outlineLevel="0" collapsed="false">
      <c r="A48" s="45" t="s">
        <v>18</v>
      </c>
      <c r="B48" s="45" t="n">
        <f aca="false">COUNTIFS('REGISTRE ELEVES'!$F$10:$F$250,"CP1",'REGISTRE ELEVES'!$E$10:$E$250,"M")</f>
        <v>5</v>
      </c>
      <c r="C48" s="45" t="n">
        <f aca="false">COUNTIFS('REGISTRE ELEVES'!$F$10:$F$250,"CP1",'REGISTRE ELEVES'!$E$10:$E$250,"F")</f>
        <v>6</v>
      </c>
      <c r="D48" s="89" t="n">
        <f aca="false">B48+C48</f>
        <v>11</v>
      </c>
      <c r="E48" s="45" t="n">
        <f aca="false">COUNTIFS($U$121:$U$200,"M",$V$121:$V$200,"&gt;=0",$X$121:$X$200,"&lt;&gt;NON")</f>
        <v>0</v>
      </c>
      <c r="F48" s="45" t="n">
        <f aca="false">COUNTIFS($U$121:$U$200,"F",$V$121:$V$200,"&gt;=0",$X$121:$X$200,"&lt;&gt;NON")</f>
        <v>0</v>
      </c>
      <c r="G48" s="89" t="n">
        <f aca="false">E48+F48</f>
        <v>0</v>
      </c>
      <c r="H48" s="45" t="n">
        <f aca="false">COUNTIFS($U$121:$U$200,"M",$V$121:$V$200,"&gt;="&amp;INDEX(PARAMETRES!$C$18:$C$23,MATCH("CP1",PARAMETRES!$B$18:$B$23,0)),$X$121:$X$200,"&lt;&gt;NON")</f>
        <v>0</v>
      </c>
      <c r="I48" s="45" t="n">
        <f aca="false">COUNTIFS($U$121:$U$200,"F",$V$121:$V$200,"&gt;="&amp;INDEX(PARAMETRES!$C$18:$C$23,MATCH("CP1",PARAMETRES!$B$18:$B$23,0)),$X$121:$X$200,"&lt;&gt;NON")</f>
        <v>0</v>
      </c>
      <c r="J48" s="89" t="n">
        <f aca="false">H48+I48</f>
        <v>0</v>
      </c>
      <c r="K48" s="105" t="n">
        <f aca="false">IF(E48=0,0,H48/E48)</f>
        <v>0</v>
      </c>
      <c r="L48" s="105" t="n">
        <f aca="false">IF(F48=0,0,I48/F48)</f>
        <v>0</v>
      </c>
      <c r="M48" s="106" t="n">
        <f aca="false">IF(G48=0,0,J48/G48)</f>
        <v>0</v>
      </c>
      <c r="N48" s="116"/>
    </row>
    <row r="49" customFormat="false" ht="15" hidden="false" customHeight="false" outlineLevel="0" collapsed="false">
      <c r="A49" s="45" t="s">
        <v>19</v>
      </c>
      <c r="B49" s="45" t="n">
        <f aca="false">COUNTIFS('REGISTRE ELEVES'!$F$10:$F$250,"CP2",'REGISTRE ELEVES'!$E$10:$E$250,"M")</f>
        <v>7</v>
      </c>
      <c r="C49" s="45" t="n">
        <f aca="false">COUNTIFS('REGISTRE ELEVES'!$F$10:$F$250,"CP2",'REGISTRE ELEVES'!$E$10:$E$250,"F")</f>
        <v>5</v>
      </c>
      <c r="D49" s="89" t="n">
        <f aca="false">B49+C49</f>
        <v>12</v>
      </c>
      <c r="E49" s="45" t="n">
        <f aca="false">COUNTIFS($AB$121:$AB$200,"M",$AC$121:$AC$200,"&gt;=0",$AE$121:$AE$200,"&lt;&gt;NON")</f>
        <v>0</v>
      </c>
      <c r="F49" s="45" t="n">
        <f aca="false">COUNTIFS($AB$121:$AB$200,"F",$AC$121:$AC$200,"&gt;=0",$AE$121:$AE$200,"&lt;&gt;NON")</f>
        <v>0</v>
      </c>
      <c r="G49" s="89" t="n">
        <f aca="false">E49+F49</f>
        <v>0</v>
      </c>
      <c r="H49" s="45" t="n">
        <f aca="false">COUNTIFS($AB$121:$AB$200,"M",$AC$121:$AC$200,"&gt;="&amp;INDEX(PARAMETRES!$C$18:$C$23,MATCH("CP2",PARAMETRES!$B$18:$B$23,0)),$AE$121:$AE$200,"&lt;&gt;NON")</f>
        <v>0</v>
      </c>
      <c r="I49" s="45" t="n">
        <f aca="false">COUNTIFS($AB$121:$AB$200,"F",$AC$121:$AC$200,"&gt;="&amp;INDEX(PARAMETRES!$C$18:$C$23,MATCH("CP2",PARAMETRES!$B$18:$B$23,0)),$AE$121:$AE$200,"&lt;&gt;NON")</f>
        <v>0</v>
      </c>
      <c r="J49" s="89" t="n">
        <f aca="false">H49+I49</f>
        <v>0</v>
      </c>
      <c r="K49" s="105" t="n">
        <f aca="false">IF(E49=0,0,H49/E49)</f>
        <v>0</v>
      </c>
      <c r="L49" s="105" t="n">
        <f aca="false">IF(F49=0,0,I49/F49)</f>
        <v>0</v>
      </c>
      <c r="M49" s="106" t="n">
        <f aca="false">IF(G49=0,0,J49/G49)</f>
        <v>0</v>
      </c>
      <c r="N49" s="116"/>
    </row>
    <row r="50" customFormat="false" ht="15" hidden="false" customHeight="false" outlineLevel="0" collapsed="false">
      <c r="A50" s="45" t="s">
        <v>20</v>
      </c>
      <c r="B50" s="45" t="n">
        <f aca="false">COUNTIFS('REGISTRE ELEVES'!$F$10:$F$250,"CE1",'REGISTRE ELEVES'!$E$10:$E$250,"M")</f>
        <v>6</v>
      </c>
      <c r="C50" s="45" t="n">
        <f aca="false">COUNTIFS('REGISTRE ELEVES'!$F$10:$F$250,"CE1",'REGISTRE ELEVES'!$E$10:$E$250,"F")</f>
        <v>3</v>
      </c>
      <c r="D50" s="89" t="n">
        <f aca="false">B50+C50</f>
        <v>9</v>
      </c>
      <c r="E50" s="45" t="n">
        <f aca="false">COUNTIFS($AI$121:$AI$200,"M",$AJ$121:$AJ$200,"&gt;=0",$AL$121:$AL$200,"&lt;&gt;NON")</f>
        <v>0</v>
      </c>
      <c r="F50" s="45" t="n">
        <f aca="false">COUNTIFS($AI$121:$AI$200,"F",$AJ$121:$AJ$200,"&gt;=0",$AL$121:$AL$200,"&lt;&gt;NON")</f>
        <v>0</v>
      </c>
      <c r="G50" s="89" t="n">
        <f aca="false">E50+F50</f>
        <v>0</v>
      </c>
      <c r="H50" s="45" t="n">
        <f aca="false">COUNTIFS($AI$121:$AI$200,"M",$AJ$121:$AJ$200,"&gt;="&amp;INDEX(PARAMETRES!$C$18:$C$23,MATCH("CE1",PARAMETRES!$B$18:$B$23,0)),$AL$121:$AL$200,"&lt;&gt;NON")</f>
        <v>0</v>
      </c>
      <c r="I50" s="45" t="n">
        <f aca="false">COUNTIFS($AI$121:$AI$200,"F",$AJ$121:$AJ$200,"&gt;="&amp;INDEX(PARAMETRES!$C$18:$C$23,MATCH("CE1",PARAMETRES!$B$18:$B$23,0)),$AL$121:$AL$200,"&lt;&gt;NON")</f>
        <v>0</v>
      </c>
      <c r="J50" s="89" t="n">
        <f aca="false">H50+I50</f>
        <v>0</v>
      </c>
      <c r="K50" s="105" t="n">
        <f aca="false">IF(E50=0,0,H50/E50)</f>
        <v>0</v>
      </c>
      <c r="L50" s="105" t="n">
        <f aca="false">IF(F50=0,0,I50/F50)</f>
        <v>0</v>
      </c>
      <c r="M50" s="106" t="n">
        <f aca="false">IF(G50=0,0,J50/G50)</f>
        <v>0</v>
      </c>
      <c r="N50" s="116"/>
    </row>
    <row r="51" customFormat="false" ht="15" hidden="false" customHeight="false" outlineLevel="0" collapsed="false">
      <c r="A51" s="45" t="s">
        <v>21</v>
      </c>
      <c r="B51" s="45" t="n">
        <f aca="false">COUNTIFS('REGISTRE ELEVES'!$F$10:$F$250,"CE2",'REGISTRE ELEVES'!$E$10:$E$250,"M")</f>
        <v>6</v>
      </c>
      <c r="C51" s="45" t="n">
        <f aca="false">COUNTIFS('REGISTRE ELEVES'!$F$10:$F$250,"CE2",'REGISTRE ELEVES'!$E$10:$E$250,"F")</f>
        <v>6</v>
      </c>
      <c r="D51" s="89" t="n">
        <f aca="false">B51+C51</f>
        <v>12</v>
      </c>
      <c r="E51" s="45" t="n">
        <f aca="false">COUNTIFS($AP$121:$AP$200,"M",$AQ$121:$AQ$200,"&gt;=0",$AS$121:$AS$200,"&lt;&gt;NON")</f>
        <v>0</v>
      </c>
      <c r="F51" s="45" t="n">
        <f aca="false">COUNTIFS($AP$121:$AP$200,"F",$AQ$121:$AQ$200,"&gt;=0",$AS$121:$AS$200,"&lt;&gt;NON")</f>
        <v>0</v>
      </c>
      <c r="G51" s="89" t="n">
        <f aca="false">E51+F51</f>
        <v>0</v>
      </c>
      <c r="H51" s="45" t="n">
        <f aca="false">COUNTIFS($AP$121:$AP$200,"M",$AQ$121:$AQ$200,"&gt;="&amp;INDEX(PARAMETRES!$C$18:$C$23,MATCH("CE2",PARAMETRES!$B$18:$B$23,0)),$AS$121:$AS$200,"&lt;&gt;NON")</f>
        <v>0</v>
      </c>
      <c r="I51" s="45" t="n">
        <f aca="false">COUNTIFS($AP$121:$AP$200,"F",$AQ$121:$AQ$200,"&gt;="&amp;INDEX(PARAMETRES!$C$18:$C$23,MATCH("CE2",PARAMETRES!$B$18:$B$23,0)),$AS$121:$AS$200,"&lt;&gt;NON")</f>
        <v>0</v>
      </c>
      <c r="J51" s="89" t="n">
        <f aca="false">H51+I51</f>
        <v>0</v>
      </c>
      <c r="K51" s="105" t="n">
        <f aca="false">IF(E51=0,0,H51/E51)</f>
        <v>0</v>
      </c>
      <c r="L51" s="105" t="n">
        <f aca="false">IF(F51=0,0,I51/F51)</f>
        <v>0</v>
      </c>
      <c r="M51" s="106" t="n">
        <f aca="false">IF(G51=0,0,J51/G51)</f>
        <v>0</v>
      </c>
      <c r="N51" s="116"/>
    </row>
    <row r="52" customFormat="false" ht="15" hidden="false" customHeight="false" outlineLevel="0" collapsed="false">
      <c r="A52" s="45" t="s">
        <v>22</v>
      </c>
      <c r="B52" s="45" t="n">
        <f aca="false">COUNTIFS('REGISTRE ELEVES'!$F$10:$F$250,"CM1",'REGISTRE ELEVES'!$E$10:$E$250,"M")</f>
        <v>8</v>
      </c>
      <c r="C52" s="45" t="n">
        <f aca="false">COUNTIFS('REGISTRE ELEVES'!$F$10:$F$250,"CM1",'REGISTRE ELEVES'!$E$10:$E$250,"F")</f>
        <v>3</v>
      </c>
      <c r="D52" s="89" t="n">
        <f aca="false">B52+C52</f>
        <v>11</v>
      </c>
      <c r="E52" s="45" t="n">
        <f aca="false">COUNTIFS($AW$121:$AW$200,"M",$AX$121:$AX$200,"&gt;=0",$AZ$121:$AZ$200,"&lt;&gt;NON")</f>
        <v>0</v>
      </c>
      <c r="F52" s="45" t="n">
        <f aca="false">COUNTIFS($AW$121:$AW$200,"F",$AX$121:$AX$200,"&gt;=0",$AZ$121:$AZ$200,"&lt;&gt;NON")</f>
        <v>0</v>
      </c>
      <c r="G52" s="89" t="n">
        <f aca="false">E52+F52</f>
        <v>0</v>
      </c>
      <c r="H52" s="45" t="n">
        <f aca="false">COUNTIFS($AW$121:$AW$200,"M",$AX$121:$AX$200,"&gt;="&amp;INDEX(PARAMETRES!$C$18:$C$23,MATCH("CM1",PARAMETRES!$B$18:$B$23,0)),$AZ$121:$AZ$200,"&lt;&gt;NON")</f>
        <v>0</v>
      </c>
      <c r="I52" s="45" t="n">
        <f aca="false">COUNTIFS($AW$121:$AW$200,"F",$AX$121:$AX$200,"&gt;="&amp;INDEX(PARAMETRES!$C$18:$C$23,MATCH("CM1",PARAMETRES!$B$18:$B$23,0)),$AZ$121:$AZ$200,"&lt;&gt;NON")</f>
        <v>0</v>
      </c>
      <c r="J52" s="89" t="n">
        <f aca="false">H52+I52</f>
        <v>0</v>
      </c>
      <c r="K52" s="105" t="n">
        <f aca="false">IF(E52=0,0,H52/E52)</f>
        <v>0</v>
      </c>
      <c r="L52" s="105" t="n">
        <f aca="false">IF(F52=0,0,I52/F52)</f>
        <v>0</v>
      </c>
      <c r="M52" s="106" t="n">
        <f aca="false">IF(G52=0,0,J52/G52)</f>
        <v>0</v>
      </c>
      <c r="N52" s="116"/>
    </row>
    <row r="53" customFormat="false" ht="15" hidden="false" customHeight="false" outlineLevel="0" collapsed="false">
      <c r="A53" s="45" t="s">
        <v>23</v>
      </c>
      <c r="B53" s="45" t="n">
        <f aca="false">COUNTIFS('REGISTRE ELEVES'!$F$10:$F$250,"CM2",'REGISTRE ELEVES'!$E$10:$E$250,"M")</f>
        <v>3</v>
      </c>
      <c r="C53" s="45" t="n">
        <f aca="false">COUNTIFS('REGISTRE ELEVES'!$F$10:$F$250,"CM2",'REGISTRE ELEVES'!$E$10:$E$250,"F")</f>
        <v>6</v>
      </c>
      <c r="D53" s="89" t="n">
        <f aca="false">B53+C53</f>
        <v>9</v>
      </c>
      <c r="E53" s="45" t="n">
        <f aca="false">COUNTIFS($BD$121:$BD$200,"M",$BE$121:$BE$200,"&gt;=0",$BG$121:$BG$200,"&lt;&gt;NON")</f>
        <v>0</v>
      </c>
      <c r="F53" s="45" t="n">
        <f aca="false">COUNTIFS($BD$121:$BD$200,"F",$BE$121:$BE$200,"&gt;=0",$BG$121:$BG$200,"&lt;&gt;NON")</f>
        <v>0</v>
      </c>
      <c r="G53" s="89" t="n">
        <f aca="false">E53+F53</f>
        <v>0</v>
      </c>
      <c r="H53" s="45" t="n">
        <f aca="false">COUNTIFS($BD$121:$BD$200,"M",$BE$121:$BE$200,"&gt;="&amp;INDEX(PARAMETRES!$C$18:$C$23,MATCH("CM2",PARAMETRES!$B$18:$B$23,0)),$BG$121:$BG$200,"&lt;&gt;NON")</f>
        <v>0</v>
      </c>
      <c r="I53" s="45" t="n">
        <f aca="false">COUNTIFS($BD$121:$BD$200,"F",$BE$121:$BE$200,"&gt;="&amp;INDEX(PARAMETRES!$C$18:$C$23,MATCH("CM2",PARAMETRES!$B$18:$B$23,0)),$BG$121:$BG$200,"&lt;&gt;NON")</f>
        <v>0</v>
      </c>
      <c r="J53" s="89" t="n">
        <f aca="false">H53+I53</f>
        <v>0</v>
      </c>
      <c r="K53" s="105" t="n">
        <f aca="false">IF(E53=0,0,H53/E53)</f>
        <v>0</v>
      </c>
      <c r="L53" s="105" t="n">
        <f aca="false">IF(F53=0,0,I53/F53)</f>
        <v>0</v>
      </c>
      <c r="M53" s="106" t="n">
        <f aca="false">IF(G53=0,0,J53/G53)</f>
        <v>0</v>
      </c>
      <c r="N53" s="116"/>
    </row>
    <row r="54" customFormat="false" ht="15" hidden="false" customHeight="false" outlineLevel="0" collapsed="false">
      <c r="A54" s="103" t="s">
        <v>24</v>
      </c>
      <c r="B54" s="103" t="n">
        <f aca="false">SUM(B48:B53)</f>
        <v>35</v>
      </c>
      <c r="C54" s="103" t="n">
        <f aca="false">SUM(C48:C53)</f>
        <v>29</v>
      </c>
      <c r="D54" s="103" t="n">
        <f aca="false">SUM(D48:D53)</f>
        <v>64</v>
      </c>
      <c r="E54" s="103" t="n">
        <f aca="false">SUM(E48:E53)</f>
        <v>0</v>
      </c>
      <c r="F54" s="103" t="n">
        <f aca="false">SUM(F48:F53)</f>
        <v>0</v>
      </c>
      <c r="G54" s="103" t="n">
        <f aca="false">SUM(G48:G53)</f>
        <v>0</v>
      </c>
      <c r="H54" s="103" t="n">
        <f aca="false">SUM(H48:H53)</f>
        <v>0</v>
      </c>
      <c r="I54" s="103" t="n">
        <f aca="false">SUM(I48:I53)</f>
        <v>0</v>
      </c>
      <c r="J54" s="103" t="n">
        <f aca="false">SUM(J48:J53)</f>
        <v>0</v>
      </c>
      <c r="K54" s="108" t="n">
        <f aca="false">IF(E54=0,0,H54/E54)</f>
        <v>0</v>
      </c>
      <c r="L54" s="108" t="n">
        <f aca="false">IF(F54=0,0,I54/F54)</f>
        <v>0</v>
      </c>
      <c r="M54" s="108" t="n">
        <f aca="false">IF(G54=0,0,J54/G54)</f>
        <v>0</v>
      </c>
      <c r="N54" s="125"/>
    </row>
    <row r="56" customFormat="false" ht="15" hidden="false" customHeight="false" outlineLevel="0" collapsed="false">
      <c r="A56" s="94" t="s">
        <v>774</v>
      </c>
    </row>
    <row r="57" customFormat="false" ht="15" hidden="false" customHeight="true" outlineLevel="0" collapsed="false">
      <c r="A57" s="70" t="s">
        <v>775</v>
      </c>
      <c r="B57" s="70"/>
      <c r="C57" s="70"/>
      <c r="D57" s="70"/>
      <c r="E57" s="70"/>
      <c r="F57" s="70" t="s">
        <v>776</v>
      </c>
      <c r="G57" s="70"/>
      <c r="H57" s="70"/>
      <c r="I57" s="70"/>
      <c r="J57" s="70" t="s">
        <v>777</v>
      </c>
      <c r="K57" s="70"/>
      <c r="L57" s="70"/>
      <c r="M57" s="70"/>
      <c r="N57" s="70"/>
    </row>
    <row r="58" customFormat="false" ht="15" hidden="false" customHeight="false" outlineLevel="0" collapsed="false">
      <c r="A58" s="113"/>
      <c r="B58" s="113"/>
      <c r="C58" s="113"/>
      <c r="D58" s="113"/>
      <c r="E58" s="113"/>
      <c r="F58" s="113"/>
      <c r="G58" s="113"/>
      <c r="H58" s="113"/>
      <c r="I58" s="113"/>
      <c r="J58" s="113"/>
      <c r="K58" s="113"/>
      <c r="L58" s="113"/>
      <c r="M58" s="113"/>
      <c r="N58" s="113"/>
    </row>
    <row r="59" customFormat="false" ht="15" hidden="false" customHeight="false" outlineLevel="0" collapsed="false">
      <c r="A59" s="113"/>
      <c r="B59" s="113"/>
      <c r="C59" s="113"/>
      <c r="D59" s="113"/>
      <c r="E59" s="113"/>
      <c r="F59" s="113"/>
      <c r="G59" s="113"/>
      <c r="H59" s="113"/>
      <c r="I59" s="113"/>
      <c r="J59" s="113"/>
      <c r="K59" s="113"/>
      <c r="L59" s="113"/>
      <c r="M59" s="113"/>
      <c r="N59" s="113"/>
    </row>
    <row r="60" customFormat="false" ht="15" hidden="false" customHeight="false" outlineLevel="0" collapsed="false">
      <c r="A60" s="113"/>
      <c r="B60" s="113"/>
      <c r="C60" s="113"/>
      <c r="D60" s="113"/>
      <c r="E60" s="113"/>
      <c r="F60" s="113"/>
      <c r="G60" s="113"/>
      <c r="H60" s="113"/>
      <c r="I60" s="113"/>
      <c r="J60" s="113"/>
      <c r="K60" s="113"/>
      <c r="L60" s="113"/>
      <c r="M60" s="113"/>
      <c r="N60" s="113"/>
    </row>
    <row r="62" customFormat="false" ht="19.5" hidden="false" customHeight="true" outlineLevel="0" collapsed="false">
      <c r="A62" s="111" t="s">
        <v>778</v>
      </c>
      <c r="B62" s="111"/>
      <c r="C62" s="111"/>
      <c r="D62" s="111"/>
      <c r="E62" s="111"/>
      <c r="F62" s="111"/>
      <c r="G62" s="111"/>
      <c r="H62" s="111"/>
      <c r="I62" s="111"/>
      <c r="J62" s="111"/>
      <c r="K62" s="111"/>
      <c r="L62" s="111"/>
      <c r="M62" s="111"/>
      <c r="N62" s="111"/>
    </row>
    <row r="63" customFormat="false" ht="15" hidden="false" customHeight="false" outlineLevel="0" collapsed="false">
      <c r="A63" s="126" t="s">
        <v>779</v>
      </c>
      <c r="B63" s="126"/>
      <c r="C63" s="126"/>
      <c r="D63" s="126"/>
      <c r="E63" s="126"/>
      <c r="F63" s="126"/>
      <c r="G63" s="126"/>
      <c r="H63" s="126"/>
      <c r="I63" s="126"/>
      <c r="J63" s="126"/>
      <c r="K63" s="126"/>
      <c r="L63" s="126"/>
      <c r="M63" s="126"/>
      <c r="N63" s="126"/>
    </row>
    <row r="64" customFormat="false" ht="15" hidden="false" customHeight="false" outlineLevel="0" collapsed="false">
      <c r="A64" s="113"/>
      <c r="B64" s="113"/>
      <c r="C64" s="113"/>
      <c r="D64" s="113"/>
      <c r="E64" s="113"/>
      <c r="F64" s="113"/>
      <c r="G64" s="113"/>
      <c r="H64" s="113"/>
      <c r="I64" s="113"/>
      <c r="J64" s="113"/>
      <c r="K64" s="113"/>
      <c r="L64" s="113"/>
      <c r="M64" s="113"/>
      <c r="N64" s="113"/>
    </row>
    <row r="65" customFormat="false" ht="15" hidden="false" customHeight="false" outlineLevel="0" collapsed="false">
      <c r="A65" s="113"/>
      <c r="B65" s="113"/>
      <c r="C65" s="113"/>
      <c r="D65" s="113"/>
      <c r="E65" s="113"/>
      <c r="F65" s="113"/>
      <c r="G65" s="113"/>
      <c r="H65" s="113"/>
      <c r="I65" s="113"/>
      <c r="J65" s="113"/>
      <c r="K65" s="113"/>
      <c r="L65" s="113"/>
      <c r="M65" s="113"/>
      <c r="N65" s="113"/>
    </row>
    <row r="66" customFormat="false" ht="15" hidden="false" customHeight="false" outlineLevel="0" collapsed="false">
      <c r="A66" s="113"/>
      <c r="B66" s="113"/>
      <c r="C66" s="113"/>
      <c r="D66" s="113"/>
      <c r="E66" s="113"/>
      <c r="F66" s="113"/>
      <c r="G66" s="113"/>
      <c r="H66" s="113"/>
      <c r="I66" s="113"/>
      <c r="J66" s="113"/>
      <c r="K66" s="113"/>
      <c r="L66" s="113"/>
      <c r="M66" s="113"/>
      <c r="N66" s="113"/>
    </row>
    <row r="68" customFormat="false" ht="15" hidden="false" customHeight="false" outlineLevel="0" collapsed="false">
      <c r="A68" s="126" t="s">
        <v>780</v>
      </c>
      <c r="B68" s="126"/>
      <c r="C68" s="126"/>
      <c r="D68" s="126"/>
      <c r="E68" s="126"/>
      <c r="F68" s="126"/>
      <c r="G68" s="126"/>
      <c r="H68" s="126"/>
      <c r="I68" s="126"/>
      <c r="J68" s="126"/>
      <c r="K68" s="126"/>
      <c r="L68" s="126"/>
      <c r="M68" s="126"/>
      <c r="N68" s="126"/>
    </row>
    <row r="69" customFormat="false" ht="15" hidden="false" customHeight="false" outlineLevel="0" collapsed="false">
      <c r="A69" s="113"/>
      <c r="B69" s="113"/>
      <c r="C69" s="113"/>
      <c r="D69" s="113"/>
      <c r="E69" s="113"/>
      <c r="F69" s="113"/>
      <c r="G69" s="113"/>
      <c r="H69" s="113"/>
      <c r="I69" s="113"/>
      <c r="J69" s="113"/>
      <c r="K69" s="113"/>
      <c r="L69" s="113"/>
      <c r="M69" s="113"/>
      <c r="N69" s="113"/>
    </row>
    <row r="70" customFormat="false" ht="15" hidden="false" customHeight="false" outlineLevel="0" collapsed="false">
      <c r="A70" s="113"/>
      <c r="B70" s="113"/>
      <c r="C70" s="113"/>
      <c r="D70" s="113"/>
      <c r="E70" s="113"/>
      <c r="F70" s="113"/>
      <c r="G70" s="113"/>
      <c r="H70" s="113"/>
      <c r="I70" s="113"/>
      <c r="J70" s="113"/>
      <c r="K70" s="113"/>
      <c r="L70" s="113"/>
      <c r="M70" s="113"/>
      <c r="N70" s="113"/>
    </row>
    <row r="71" customFormat="false" ht="15" hidden="false" customHeight="false" outlineLevel="0" collapsed="false">
      <c r="A71" s="113"/>
      <c r="B71" s="113"/>
      <c r="C71" s="113"/>
      <c r="D71" s="113"/>
      <c r="E71" s="113"/>
      <c r="F71" s="113"/>
      <c r="G71" s="113"/>
      <c r="H71" s="113"/>
      <c r="I71" s="113"/>
      <c r="J71" s="113"/>
      <c r="K71" s="113"/>
      <c r="L71" s="113"/>
      <c r="M71" s="113"/>
      <c r="N71" s="113"/>
    </row>
    <row r="73" customFormat="false" ht="15" hidden="false" customHeight="false" outlineLevel="0" collapsed="false">
      <c r="A73" s="126" t="s">
        <v>781</v>
      </c>
      <c r="B73" s="126"/>
      <c r="C73" s="126"/>
      <c r="D73" s="126"/>
      <c r="E73" s="126"/>
      <c r="F73" s="126"/>
      <c r="G73" s="126"/>
      <c r="H73" s="126"/>
      <c r="I73" s="126"/>
      <c r="J73" s="126"/>
      <c r="K73" s="126"/>
      <c r="L73" s="126"/>
      <c r="M73" s="126"/>
      <c r="N73" s="126"/>
    </row>
    <row r="74" customFormat="false" ht="15" hidden="false" customHeight="false" outlineLevel="0" collapsed="false">
      <c r="A74" s="113"/>
      <c r="B74" s="113"/>
      <c r="C74" s="113"/>
      <c r="D74" s="113"/>
      <c r="E74" s="113"/>
      <c r="F74" s="113"/>
      <c r="G74" s="113"/>
      <c r="H74" s="113"/>
      <c r="I74" s="113"/>
      <c r="J74" s="113"/>
      <c r="K74" s="113"/>
      <c r="L74" s="113"/>
      <c r="M74" s="113"/>
      <c r="N74" s="113"/>
    </row>
    <row r="75" customFormat="false" ht="15" hidden="false" customHeight="false" outlineLevel="0" collapsed="false">
      <c r="A75" s="113"/>
      <c r="B75" s="113"/>
      <c r="C75" s="113"/>
      <c r="D75" s="113"/>
      <c r="E75" s="113"/>
      <c r="F75" s="113"/>
      <c r="G75" s="113"/>
      <c r="H75" s="113"/>
      <c r="I75" s="113"/>
      <c r="J75" s="113"/>
      <c r="K75" s="113"/>
      <c r="L75" s="113"/>
      <c r="M75" s="113"/>
      <c r="N75" s="113"/>
    </row>
    <row r="76" customFormat="false" ht="15" hidden="false" customHeight="false" outlineLevel="0" collapsed="false">
      <c r="A76" s="113"/>
      <c r="B76" s="113"/>
      <c r="C76" s="113"/>
      <c r="D76" s="113"/>
      <c r="E76" s="113"/>
      <c r="F76" s="113"/>
      <c r="G76" s="113"/>
      <c r="H76" s="113"/>
      <c r="I76" s="113"/>
      <c r="J76" s="113"/>
      <c r="K76" s="113"/>
      <c r="L76" s="113"/>
      <c r="M76" s="113"/>
      <c r="N76" s="113"/>
    </row>
    <row r="78" customFormat="false" ht="19.5" hidden="false" customHeight="true" outlineLevel="0" collapsed="false">
      <c r="A78" s="111" t="s">
        <v>782</v>
      </c>
      <c r="B78" s="111"/>
      <c r="C78" s="111"/>
      <c r="D78" s="111"/>
      <c r="E78" s="111"/>
      <c r="F78" s="111"/>
      <c r="G78" s="111"/>
      <c r="H78" s="111"/>
      <c r="I78" s="111"/>
      <c r="J78" s="111"/>
      <c r="K78" s="111"/>
      <c r="L78" s="111"/>
      <c r="M78" s="111"/>
      <c r="N78" s="111"/>
    </row>
    <row r="79" customFormat="false" ht="15" hidden="false" customHeight="false" outlineLevel="0" collapsed="false">
      <c r="A79" s="113"/>
      <c r="B79" s="113"/>
      <c r="C79" s="113"/>
      <c r="D79" s="113"/>
      <c r="E79" s="113"/>
      <c r="F79" s="113"/>
      <c r="G79" s="113"/>
      <c r="H79" s="113"/>
      <c r="I79" s="113"/>
      <c r="J79" s="113"/>
      <c r="K79" s="113"/>
      <c r="L79" s="113"/>
      <c r="M79" s="113"/>
      <c r="N79" s="113"/>
    </row>
    <row r="80" customFormat="false" ht="15" hidden="false" customHeight="false" outlineLevel="0" collapsed="false">
      <c r="A80" s="113"/>
      <c r="B80" s="113"/>
      <c r="C80" s="113"/>
      <c r="D80" s="113"/>
      <c r="E80" s="113"/>
      <c r="F80" s="113"/>
      <c r="G80" s="113"/>
      <c r="H80" s="113"/>
      <c r="I80" s="113"/>
      <c r="J80" s="113"/>
      <c r="K80" s="113"/>
      <c r="L80" s="113"/>
      <c r="M80" s="113"/>
      <c r="N80" s="113"/>
    </row>
    <row r="81" customFormat="false" ht="15" hidden="false" customHeight="false" outlineLevel="0" collapsed="false">
      <c r="A81" s="113"/>
      <c r="B81" s="113"/>
      <c r="C81" s="113"/>
      <c r="D81" s="113"/>
      <c r="E81" s="113"/>
      <c r="F81" s="113"/>
      <c r="G81" s="113"/>
      <c r="H81" s="113"/>
      <c r="I81" s="113"/>
      <c r="J81" s="113"/>
      <c r="K81" s="113"/>
      <c r="L81" s="113"/>
      <c r="M81" s="113"/>
      <c r="N81" s="113"/>
    </row>
    <row r="83" customFormat="false" ht="19.5" hidden="false" customHeight="true" outlineLevel="0" collapsed="false">
      <c r="A83" s="111" t="s">
        <v>783</v>
      </c>
      <c r="B83" s="111"/>
      <c r="C83" s="111"/>
      <c r="D83" s="111"/>
      <c r="E83" s="111"/>
      <c r="F83" s="111"/>
      <c r="G83" s="111"/>
      <c r="H83" s="111"/>
      <c r="I83" s="111"/>
      <c r="J83" s="111"/>
      <c r="K83" s="111"/>
      <c r="L83" s="111"/>
      <c r="M83" s="111"/>
      <c r="N83" s="111"/>
    </row>
    <row r="84" customFormat="false" ht="15" hidden="false" customHeight="false" outlineLevel="0" collapsed="false">
      <c r="A84" s="126" t="s">
        <v>784</v>
      </c>
      <c r="B84" s="126"/>
      <c r="C84" s="126"/>
      <c r="D84" s="126"/>
      <c r="E84" s="126"/>
      <c r="F84" s="127" t="n">
        <v>0</v>
      </c>
      <c r="H84" s="126" t="s">
        <v>785</v>
      </c>
      <c r="I84" s="126"/>
      <c r="J84" s="126"/>
      <c r="K84" s="126"/>
      <c r="L84" s="126"/>
      <c r="M84" s="127" t="n">
        <v>0</v>
      </c>
    </row>
    <row r="85" customFormat="false" ht="15" hidden="false" customHeight="false" outlineLevel="0" collapsed="false">
      <c r="A85" s="94" t="s">
        <v>786</v>
      </c>
    </row>
    <row r="86" customFormat="false" ht="15" hidden="false" customHeight="false" outlineLevel="0" collapsed="false">
      <c r="A86" s="113"/>
      <c r="B86" s="113"/>
      <c r="C86" s="113"/>
      <c r="D86" s="113"/>
      <c r="E86" s="113"/>
      <c r="F86" s="113"/>
      <c r="G86" s="113"/>
      <c r="H86" s="113"/>
      <c r="I86" s="113"/>
      <c r="J86" s="113"/>
      <c r="K86" s="113"/>
      <c r="L86" s="113"/>
      <c r="M86" s="113"/>
      <c r="N86" s="113"/>
    </row>
    <row r="87" customFormat="false" ht="15" hidden="false" customHeight="false" outlineLevel="0" collapsed="false">
      <c r="A87" s="113"/>
      <c r="B87" s="113"/>
      <c r="C87" s="113"/>
      <c r="D87" s="113"/>
      <c r="E87" s="113"/>
      <c r="F87" s="113"/>
      <c r="G87" s="113"/>
      <c r="H87" s="113"/>
      <c r="I87" s="113"/>
      <c r="J87" s="113"/>
      <c r="K87" s="113"/>
      <c r="L87" s="113"/>
      <c r="M87" s="113"/>
      <c r="N87" s="113"/>
    </row>
    <row r="88" customFormat="false" ht="15" hidden="false" customHeight="false" outlineLevel="0" collapsed="false">
      <c r="A88" s="113"/>
      <c r="B88" s="113"/>
      <c r="C88" s="113"/>
      <c r="D88" s="113"/>
      <c r="E88" s="113"/>
      <c r="F88" s="113"/>
      <c r="G88" s="113"/>
      <c r="H88" s="113"/>
      <c r="I88" s="113"/>
      <c r="J88" s="113"/>
      <c r="K88" s="113"/>
      <c r="L88" s="113"/>
      <c r="M88" s="113"/>
      <c r="N88" s="113"/>
    </row>
    <row r="90" customFormat="false" ht="19.5" hidden="false" customHeight="true" outlineLevel="0" collapsed="false">
      <c r="A90" s="111" t="s">
        <v>787</v>
      </c>
      <c r="B90" s="111"/>
      <c r="C90" s="111"/>
      <c r="D90" s="111"/>
      <c r="E90" s="111"/>
      <c r="F90" s="111"/>
      <c r="G90" s="111"/>
      <c r="H90" s="111"/>
      <c r="I90" s="111"/>
      <c r="J90" s="111"/>
      <c r="K90" s="111"/>
      <c r="L90" s="111"/>
      <c r="M90" s="111"/>
      <c r="N90" s="111"/>
    </row>
    <row r="91" customFormat="false" ht="15" hidden="false" customHeight="false" outlineLevel="0" collapsed="false">
      <c r="A91" s="113"/>
      <c r="B91" s="113"/>
      <c r="C91" s="113"/>
      <c r="D91" s="113"/>
      <c r="E91" s="113"/>
      <c r="F91" s="113"/>
      <c r="G91" s="113"/>
      <c r="H91" s="113"/>
      <c r="I91" s="113"/>
      <c r="J91" s="113"/>
      <c r="K91" s="113"/>
      <c r="L91" s="113"/>
      <c r="M91" s="113"/>
      <c r="N91" s="113"/>
    </row>
    <row r="92" customFormat="false" ht="15" hidden="false" customHeight="false" outlineLevel="0" collapsed="false">
      <c r="A92" s="113"/>
      <c r="B92" s="113"/>
      <c r="C92" s="113"/>
      <c r="D92" s="113"/>
      <c r="E92" s="113"/>
      <c r="F92" s="113"/>
      <c r="G92" s="113"/>
      <c r="H92" s="113"/>
      <c r="I92" s="113"/>
      <c r="J92" s="113"/>
      <c r="K92" s="113"/>
      <c r="L92" s="113"/>
      <c r="M92" s="113"/>
      <c r="N92" s="113"/>
    </row>
    <row r="93" customFormat="false" ht="15" hidden="false" customHeight="false" outlineLevel="0" collapsed="false">
      <c r="A93" s="113"/>
      <c r="B93" s="113"/>
      <c r="C93" s="113"/>
      <c r="D93" s="113"/>
      <c r="E93" s="113"/>
      <c r="F93" s="113"/>
      <c r="G93" s="113"/>
      <c r="H93" s="113"/>
      <c r="I93" s="113"/>
      <c r="J93" s="113"/>
      <c r="K93" s="113"/>
      <c r="L93" s="113"/>
      <c r="M93" s="113"/>
      <c r="N93" s="113"/>
    </row>
    <row r="95" customFormat="false" ht="19.5" hidden="false" customHeight="true" outlineLevel="0" collapsed="false">
      <c r="A95" s="111" t="s">
        <v>788</v>
      </c>
      <c r="B95" s="111"/>
      <c r="C95" s="111"/>
      <c r="D95" s="111"/>
      <c r="E95" s="111"/>
      <c r="F95" s="111"/>
      <c r="G95" s="111"/>
      <c r="H95" s="111"/>
      <c r="I95" s="111"/>
      <c r="J95" s="111"/>
      <c r="K95" s="111"/>
      <c r="L95" s="111"/>
      <c r="M95" s="111"/>
      <c r="N95" s="111"/>
    </row>
    <row r="96" customFormat="false" ht="15" hidden="false" customHeight="false" outlineLevel="0" collapsed="false">
      <c r="A96" s="113"/>
      <c r="B96" s="113"/>
      <c r="C96" s="113"/>
      <c r="D96" s="113"/>
      <c r="E96" s="113"/>
      <c r="F96" s="113"/>
      <c r="G96" s="113"/>
      <c r="H96" s="113"/>
      <c r="I96" s="113"/>
      <c r="J96" s="113"/>
      <c r="K96" s="113"/>
      <c r="L96" s="113"/>
      <c r="M96" s="113"/>
      <c r="N96" s="113"/>
    </row>
    <row r="97" customFormat="false" ht="15" hidden="false" customHeight="false" outlineLevel="0" collapsed="false">
      <c r="A97" s="113"/>
      <c r="B97" s="113"/>
      <c r="C97" s="113"/>
      <c r="D97" s="113"/>
      <c r="E97" s="113"/>
      <c r="F97" s="113"/>
      <c r="G97" s="113"/>
      <c r="H97" s="113"/>
      <c r="I97" s="113"/>
      <c r="J97" s="113"/>
      <c r="K97" s="113"/>
      <c r="L97" s="113"/>
      <c r="M97" s="113"/>
      <c r="N97" s="113"/>
    </row>
    <row r="98" customFormat="false" ht="15" hidden="false" customHeight="false" outlineLevel="0" collapsed="false">
      <c r="A98" s="113"/>
      <c r="B98" s="113"/>
      <c r="C98" s="113"/>
      <c r="D98" s="113"/>
      <c r="E98" s="113"/>
      <c r="F98" s="113"/>
      <c r="G98" s="113"/>
      <c r="H98" s="113"/>
      <c r="I98" s="113"/>
      <c r="J98" s="113"/>
      <c r="K98" s="113"/>
      <c r="L98" s="113"/>
      <c r="M98" s="113"/>
      <c r="N98" s="113"/>
    </row>
    <row r="100" customFormat="false" ht="15" hidden="false" customHeight="true" outlineLevel="0" collapsed="false">
      <c r="B100" s="90" t="str">
        <f aca="false">"Fait à "&amp;PARAMETRES!$C$10&amp;", le "&amp;TEXT(DAY(PARAMETRES!$C$12),"00")&amp;"/"&amp;TEXT(MONTH(PARAMETRES!$C$12),"00")&amp;"/"&amp;YEAR(PARAMETRES!$C$12)</f>
        <v>Fait à LIGUIYO, le 30/06/2027</v>
      </c>
      <c r="C100" s="90"/>
      <c r="D100" s="90"/>
      <c r="E100" s="90"/>
      <c r="F100" s="90"/>
      <c r="G100" s="90"/>
      <c r="H100" s="90"/>
      <c r="I100" s="91" t="s">
        <v>635</v>
      </c>
      <c r="J100" s="91"/>
      <c r="K100" s="91"/>
      <c r="L100" s="91"/>
      <c r="M100" s="91"/>
      <c r="N100" s="91"/>
    </row>
    <row r="104" customFormat="false" ht="15" hidden="false" customHeight="false" outlineLevel="0" collapsed="false">
      <c r="I104" s="92" t="str">
        <f aca="false">PARAMETRES!$C$11</f>
        <v>M. KOUAME Kouadio Ernest</v>
      </c>
      <c r="J104" s="92"/>
      <c r="K104" s="92"/>
      <c r="L104" s="92"/>
      <c r="M104" s="92"/>
      <c r="N104" s="92"/>
    </row>
    <row r="120" customFormat="false" ht="15" hidden="false" customHeight="false" outlineLevel="0" collapsed="false">
      <c r="R120" s="51" t="s">
        <v>669</v>
      </c>
      <c r="S120" s="51" t="s">
        <v>670</v>
      </c>
      <c r="T120" s="51" t="s">
        <v>671</v>
      </c>
      <c r="U120" s="51" t="s">
        <v>672</v>
      </c>
      <c r="V120" s="51" t="s">
        <v>673</v>
      </c>
      <c r="W120" s="51" t="s">
        <v>674</v>
      </c>
      <c r="X120" s="51" t="s">
        <v>675</v>
      </c>
      <c r="Y120" s="51" t="s">
        <v>676</v>
      </c>
      <c r="Z120" s="51" t="s">
        <v>677</v>
      </c>
      <c r="AA120" s="51" t="s">
        <v>678</v>
      </c>
      <c r="AB120" s="51" t="s">
        <v>679</v>
      </c>
      <c r="AC120" s="51" t="s">
        <v>680</v>
      </c>
      <c r="AD120" s="51" t="s">
        <v>681</v>
      </c>
      <c r="AE120" s="51" t="s">
        <v>682</v>
      </c>
      <c r="AF120" s="51" t="s">
        <v>683</v>
      </c>
      <c r="AG120" s="51" t="s">
        <v>684</v>
      </c>
      <c r="AH120" s="51" t="s">
        <v>685</v>
      </c>
      <c r="AI120" s="51" t="s">
        <v>686</v>
      </c>
      <c r="AJ120" s="51" t="s">
        <v>687</v>
      </c>
      <c r="AK120" s="51" t="s">
        <v>688</v>
      </c>
      <c r="AL120" s="51" t="s">
        <v>689</v>
      </c>
      <c r="AM120" s="51" t="s">
        <v>690</v>
      </c>
      <c r="AN120" s="51" t="s">
        <v>691</v>
      </c>
      <c r="AO120" s="51" t="s">
        <v>692</v>
      </c>
      <c r="AP120" s="51" t="s">
        <v>693</v>
      </c>
      <c r="AQ120" s="51" t="s">
        <v>694</v>
      </c>
      <c r="AR120" s="51" t="s">
        <v>695</v>
      </c>
      <c r="AS120" s="51" t="s">
        <v>696</v>
      </c>
      <c r="AT120" s="51" t="s">
        <v>697</v>
      </c>
      <c r="AU120" s="51" t="s">
        <v>698</v>
      </c>
      <c r="AV120" s="51" t="s">
        <v>699</v>
      </c>
      <c r="AW120" s="51" t="s">
        <v>700</v>
      </c>
      <c r="AX120" s="51" t="s">
        <v>701</v>
      </c>
      <c r="AY120" s="51" t="s">
        <v>702</v>
      </c>
      <c r="AZ120" s="51" t="s">
        <v>703</v>
      </c>
      <c r="BA120" s="51" t="s">
        <v>704</v>
      </c>
      <c r="BB120" s="51" t="s">
        <v>705</v>
      </c>
      <c r="BC120" s="51" t="s">
        <v>706</v>
      </c>
      <c r="BD120" s="51" t="s">
        <v>707</v>
      </c>
      <c r="BE120" s="51" t="s">
        <v>708</v>
      </c>
      <c r="BF120" s="51" t="s">
        <v>709</v>
      </c>
      <c r="BG120" s="51" t="s">
        <v>710</v>
      </c>
    </row>
    <row r="121" customFormat="false" ht="15" hidden="false" customHeight="false" outlineLevel="0" collapsed="false">
      <c r="R121" s="51" t="n">
        <f aca="false">IFERROR(MATCH("CP1-1",'REGISTRE ELEVES'!$AG$10:$AG$250,0),"")</f>
        <v>1</v>
      </c>
      <c r="S121" s="51" t="str">
        <f aca="false">IF(R121="","",INDEX('REGISTRE ELEVES'!$B$10:$B$250,R121))</f>
        <v>CP1-001-26</v>
      </c>
      <c r="T121" s="51" t="str">
        <f aca="false">IF(R121="","",INDEX('REGISTRE ELEVES'!$D$10:$D$250,R121))</f>
        <v>DIGBEU Ismaël Kouadio</v>
      </c>
      <c r="U121" s="51" t="str">
        <f aca="false">IF(R121="","",INDEX('REGISTRE ELEVES'!$E$10:$E$250,R121))</f>
        <v>M</v>
      </c>
      <c r="V121" s="51" t="str">
        <f aca="false">IF(S121="","",IFERROR(CHOOSE($P$8,INDEX('NOTES CP'!$P$10:$P$250,MATCH(S121,'NOTES CP'!$B$10:$B$250,0)),INDEX('NOTES CP'!$Z$10:$Z$250,MATCH(S121,'NOTES CP'!$B$10:$B$250,0)),INDEX('NOTES CP'!$AJ$10:$AJ$250,MATCH(S121,'NOTES CP'!$B$10:$B$250,0)),INDEX('NOTES CP'!$AT$10:$AT$250,MATCH(S121,'NOTES CP'!$B$10:$B$250,0))),""))</f>
        <v/>
      </c>
      <c r="W121" s="51" t="str">
        <f aca="false">IF(ISNUMBER(V121),V121+(1000-1)/1000000,"")</f>
        <v/>
      </c>
      <c r="X121" s="51" t="str">
        <f aca="false">IF(S121="","",IFERROR(CHOOSE($P$8,INDEX('NOTES CP'!$G$10:$G$250,MATCH(S121,'NOTES CP'!$B$10:$B$250,0)),INDEX('NOTES CP'!$Q$10:$Q$250,MATCH(S121,'NOTES CP'!$B$10:$B$250,0)),INDEX('NOTES CP'!$AA$10:$AA$250,MATCH(S121,'NOTES CP'!$B$10:$B$250,0)),INDEX('NOTES CP'!$AK$10:$AK$250,MATCH(S121,'NOTES CP'!$B$10:$B$250,0))),""))</f>
        <v/>
      </c>
      <c r="Y121" s="51" t="n">
        <f aca="false">IFERROR(MATCH("CP2-1",'REGISTRE ELEVES'!$AG$10:$AG$250,0),"")</f>
        <v>12</v>
      </c>
      <c r="Z121" s="51" t="str">
        <f aca="false">IF(Y121="","",INDEX('REGISTRE ELEVES'!$B$10:$B$250,Y121))</f>
        <v>CP2-001-26</v>
      </c>
      <c r="AA121" s="51" t="str">
        <f aca="false">IF(Y121="","",INDEX('REGISTRE ELEVES'!$D$10:$D$250,Y121))</f>
        <v>GBOGOU Koffi Franck</v>
      </c>
      <c r="AB121" s="51" t="str">
        <f aca="false">IF(Y121="","",INDEX('REGISTRE ELEVES'!$E$10:$E$250,Y121))</f>
        <v>M</v>
      </c>
      <c r="AC121" s="51" t="str">
        <f aca="false">IF(Z121="","",IFERROR(CHOOSE($P$8,INDEX('NOTES CP'!$P$10:$P$250,MATCH(Z121,'NOTES CP'!$B$10:$B$250,0)),INDEX('NOTES CP'!$Z$10:$Z$250,MATCH(Z121,'NOTES CP'!$B$10:$B$250,0)),INDEX('NOTES CP'!$AJ$10:$AJ$250,MATCH(Z121,'NOTES CP'!$B$10:$B$250,0)),INDEX('NOTES CP'!$AT$10:$AT$250,MATCH(Z121,'NOTES CP'!$B$10:$B$250,0))),""))</f>
        <v/>
      </c>
      <c r="AD121" s="51" t="str">
        <f aca="false">IF(ISNUMBER(AC121),AC121+(1000-1)/1000000,"")</f>
        <v/>
      </c>
      <c r="AE121" s="51" t="str">
        <f aca="false">IF(Z121="","",IFERROR(CHOOSE($P$8,INDEX('NOTES CP'!$G$10:$G$250,MATCH(Z121,'NOTES CP'!$B$10:$B$250,0)),INDEX('NOTES CP'!$Q$10:$Q$250,MATCH(Z121,'NOTES CP'!$B$10:$B$250,0)),INDEX('NOTES CP'!$AA$10:$AA$250,MATCH(Z121,'NOTES CP'!$B$10:$B$250,0)),INDEX('NOTES CP'!$AK$10:$AK$250,MATCH(Z121,'NOTES CP'!$B$10:$B$250,0))),""))</f>
        <v/>
      </c>
      <c r="AF121" s="51" t="n">
        <f aca="false">IFERROR(MATCH("CE1-1",'REGISTRE ELEVES'!$AG$10:$AG$250,0),"")</f>
        <v>24</v>
      </c>
      <c r="AG121" s="51" t="str">
        <f aca="false">IF(AF121="","",INDEX('REGISTRE ELEVES'!$B$10:$B$250,AF121))</f>
        <v>CE1-001-26</v>
      </c>
      <c r="AH121" s="51" t="str">
        <f aca="false">IF(AF121="","",INDEX('REGISTRE ELEVES'!$D$10:$D$250,AF121))</f>
        <v>KOUASSI Moussa Ismaël</v>
      </c>
      <c r="AI121" s="51" t="str">
        <f aca="false">IF(AF121="","",INDEX('REGISTRE ELEVES'!$E$10:$E$250,AF121))</f>
        <v>M</v>
      </c>
      <c r="AJ121" s="51" t="str">
        <f aca="false">IF(AG121="","",IFERROR(CHOOSE($P$8,INDEX('NOTES CE1'!$M$10:$M$250,MATCH(AG121,'NOTES CE1'!$B$10:$B$250,0)),INDEX('NOTES CE1'!$T$10:$T$250,MATCH(AG121,'NOTES CE1'!$B$10:$B$250,0)),INDEX('NOTES CE1'!$AA$10:$AA$250,MATCH(AG121,'NOTES CE1'!$B$10:$B$250,0)),INDEX('NOTES CE1'!$AH$10:$AH$250,MATCH(AG121,'NOTES CE1'!$B$10:$B$250,0))),""))</f>
        <v/>
      </c>
      <c r="AK121" s="51" t="str">
        <f aca="false">IF(ISNUMBER(AJ121),AJ121+(1000-1)/1000000,"")</f>
        <v/>
      </c>
      <c r="AL121" s="51" t="str">
        <f aca="false">IF(AG121="","",IFERROR(CHOOSE($P$8,INDEX('NOTES CE1'!$G$10:$G$250,MATCH(AG121,'NOTES CE1'!$B$10:$B$250,0)),INDEX('NOTES CE1'!$N$10:$N$250,MATCH(AG121,'NOTES CE1'!$B$10:$B$250,0)),INDEX('NOTES CE1'!$U$10:$U$250,MATCH(AG121,'NOTES CE1'!$B$10:$B$250,0)),INDEX('NOTES CE1'!$AB$10:$AB$250,MATCH(AG121,'NOTES CE1'!$B$10:$B$250,0))),""))</f>
        <v/>
      </c>
      <c r="AM121" s="51" t="n">
        <f aca="false">IFERROR(MATCH("CE2-1",'REGISTRE ELEVES'!$AG$10:$AG$250,0),"")</f>
        <v>33</v>
      </c>
      <c r="AN121" s="51" t="str">
        <f aca="false">IF(AM121="","",INDEX('REGISTRE ELEVES'!$B$10:$B$250,AM121))</f>
        <v>CE2-001-26</v>
      </c>
      <c r="AO121" s="51" t="str">
        <f aca="false">IF(AM121="","",INDEX('REGISTRE ELEVES'!$D$10:$D$250,AM121))</f>
        <v>GBOGOU Emmanuel Konan</v>
      </c>
      <c r="AP121" s="51" t="str">
        <f aca="false">IF(AM121="","",INDEX('REGISTRE ELEVES'!$E$10:$E$250,AM121))</f>
        <v>M</v>
      </c>
      <c r="AQ121" s="51" t="str">
        <f aca="false">IF(AN121="","",IFERROR(CHOOSE($P$8,INDEX('NOTES CE2-CM1'!$M$10:$M$250,MATCH(AN121,'NOTES CE2-CM1'!$B$10:$B$250,0)),INDEX('NOTES CE2-CM1'!$T$10:$T$250,MATCH(AN121,'NOTES CE2-CM1'!$B$10:$B$250,0)),INDEX('NOTES CE2-CM1'!$AA$10:$AA$250,MATCH(AN121,'NOTES CE2-CM1'!$B$10:$B$250,0)),INDEX('NOTES CE2-CM1'!$AH$10:$AH$250,MATCH(AN121,'NOTES CE2-CM1'!$B$10:$B$250,0))),""))</f>
        <v/>
      </c>
      <c r="AR121" s="51" t="str">
        <f aca="false">IF(ISNUMBER(AQ121),AQ121+(1000-1)/1000000,"")</f>
        <v/>
      </c>
      <c r="AS121" s="51" t="str">
        <f aca="false">IF(AN121="","",IFERROR(CHOOSE($P$8,INDEX('NOTES CE2-CM1'!$G$10:$G$250,MATCH(AN121,'NOTES CE2-CM1'!$B$10:$B$250,0)),INDEX('NOTES CE2-CM1'!$N$10:$N$250,MATCH(AN121,'NOTES CE2-CM1'!$B$10:$B$250,0)),INDEX('NOTES CE2-CM1'!$U$10:$U$250,MATCH(AN121,'NOTES CE2-CM1'!$B$10:$B$250,0)),INDEX('NOTES CE2-CM1'!$AB$10:$AB$250,MATCH(AN121,'NOTES CE2-CM1'!$B$10:$B$250,0))),""))</f>
        <v/>
      </c>
      <c r="AT121" s="51" t="n">
        <f aca="false">IFERROR(MATCH("CM1-1",'REGISTRE ELEVES'!$AG$10:$AG$250,0),"")</f>
        <v>45</v>
      </c>
      <c r="AU121" s="51" t="str">
        <f aca="false">IF(AT121="","",INDEX('REGISTRE ELEVES'!$B$10:$B$250,AT121))</f>
        <v>CM1-001-26</v>
      </c>
      <c r="AV121" s="51" t="str">
        <f aca="false">IF(AT121="","",INDEX('REGISTRE ELEVES'!$D$10:$D$250,AT121))</f>
        <v>TRAORE Koffi Abdoulaye</v>
      </c>
      <c r="AW121" s="51" t="str">
        <f aca="false">IF(AT121="","",INDEX('REGISTRE ELEVES'!$E$10:$E$250,AT121))</f>
        <v>M</v>
      </c>
      <c r="AX121" s="51" t="str">
        <f aca="false">IF(AU121="","",IFERROR(CHOOSE($P$8,INDEX('NOTES CE2-CM1'!$M$10:$M$250,MATCH(AU121,'NOTES CE2-CM1'!$B$10:$B$250,0)),INDEX('NOTES CE2-CM1'!$T$10:$T$250,MATCH(AU121,'NOTES CE2-CM1'!$B$10:$B$250,0)),INDEX('NOTES CE2-CM1'!$AA$10:$AA$250,MATCH(AU121,'NOTES CE2-CM1'!$B$10:$B$250,0)),INDEX('NOTES CE2-CM1'!$AH$10:$AH$250,MATCH(AU121,'NOTES CE2-CM1'!$B$10:$B$250,0))),""))</f>
        <v/>
      </c>
      <c r="AY121" s="51" t="str">
        <f aca="false">IF(ISNUMBER(AX121),AX121+(1000-1)/1000000,"")</f>
        <v/>
      </c>
      <c r="AZ121" s="51" t="str">
        <f aca="false">IF(AU121="","",IFERROR(CHOOSE($P$8,INDEX('NOTES CE2-CM1'!$G$10:$G$250,MATCH(AU121,'NOTES CE2-CM1'!$B$10:$B$250,0)),INDEX('NOTES CE2-CM1'!$N$10:$N$250,MATCH(AU121,'NOTES CE2-CM1'!$B$10:$B$250,0)),INDEX('NOTES CE2-CM1'!$U$10:$U$250,MATCH(AU121,'NOTES CE2-CM1'!$B$10:$B$250,0)),INDEX('NOTES CE2-CM1'!$AB$10:$AB$250,MATCH(AU121,'NOTES CE2-CM1'!$B$10:$B$250,0))),""))</f>
        <v/>
      </c>
      <c r="BA121" s="51" t="n">
        <f aca="false">IFERROR(MATCH("CM2-1",'REGISTRE ELEVES'!$AG$10:$AG$250,0),"")</f>
        <v>56</v>
      </c>
      <c r="BB121" s="51" t="str">
        <f aca="false">IF(BA121="","",INDEX('REGISTRE ELEVES'!$B$10:$B$250,BA121))</f>
        <v>CM2-001-26</v>
      </c>
      <c r="BC121" s="51" t="str">
        <f aca="false">IF(BA121="","",INDEX('REGISTRE ELEVES'!$D$10:$D$250,BA121))</f>
        <v>DJEDJE Marie-Ange Grâce</v>
      </c>
      <c r="BD121" s="51" t="str">
        <f aca="false">IF(BA121="","",INDEX('REGISTRE ELEVES'!$E$10:$E$250,BA121))</f>
        <v>F</v>
      </c>
      <c r="BE121" s="51" t="str">
        <f aca="false">IF(BB121="","",IFERROR(CHOOSE($P$10,INDEX('NOTES CM2'!$M$10:$M$250,MATCH(BB121,'NOTES CM2'!$B$10:$B$250,0)),INDEX('NOTES CM2'!$T$10:$T$250,MATCH(BB121,'NOTES CM2'!$B$10:$B$250,0)),INDEX('NOTES CM2'!$AB$10:$AB$250,MATCH(BB121,'NOTES CM2'!$B$10:$B$250,0)),INDEX('NOTES CM2'!$AJ$10:$AJ$250,MATCH(BB121,'NOTES CM2'!$B$10:$B$250,0))),""))</f>
        <v/>
      </c>
      <c r="BF121" s="51" t="str">
        <f aca="false">IF(ISNUMBER(BE121),BE121+(1000-1)/1000000,"")</f>
        <v/>
      </c>
      <c r="BG121" s="51" t="str">
        <f aca="false">IF(BB121="","",IFERROR(CHOOSE($P$10,INDEX('NOTES CM2'!$G$10:$G$250,MATCH(BB121,'NOTES CM2'!$B$10:$B$250,0)),INDEX('NOTES CM2'!$N$10:$N$250,MATCH(BB121,'NOTES CM2'!$B$10:$B$250,0)),INDEX('NOTES CM2'!$U$10:$U$250,MATCH(BB121,'NOTES CM2'!$B$10:$B$250,0)),INDEX('NOTES CM2'!$AC$10:$AC$250,MATCH(BB121,'NOTES CM2'!$B$10:$B$250,0))),""))</f>
        <v/>
      </c>
    </row>
    <row r="122" customFormat="false" ht="15" hidden="false" customHeight="false" outlineLevel="0" collapsed="false">
      <c r="R122" s="51" t="n">
        <f aca="false">IFERROR(MATCH("CP1-2",'REGISTRE ELEVES'!$AG$10:$AG$250,0),"")</f>
        <v>2</v>
      </c>
      <c r="S122" s="51" t="str">
        <f aca="false">IF(R122="","",INDEX('REGISTRE ELEVES'!$B$10:$B$250,R122))</f>
        <v>CP1-002-26</v>
      </c>
      <c r="T122" s="51" t="str">
        <f aca="false">IF(R122="","",INDEX('REGISTRE ELEVES'!$D$10:$D$250,R122))</f>
        <v>KONAN Franck Koffi</v>
      </c>
      <c r="U122" s="51" t="str">
        <f aca="false">IF(R122="","",INDEX('REGISTRE ELEVES'!$E$10:$E$250,R122))</f>
        <v>M</v>
      </c>
      <c r="V122" s="51" t="str">
        <f aca="false">IF(S122="","",IFERROR(CHOOSE($P$8,INDEX('NOTES CP'!$P$10:$P$250,MATCH(S122,'NOTES CP'!$B$10:$B$250,0)),INDEX('NOTES CP'!$Z$10:$Z$250,MATCH(S122,'NOTES CP'!$B$10:$B$250,0)),INDEX('NOTES CP'!$AJ$10:$AJ$250,MATCH(S122,'NOTES CP'!$B$10:$B$250,0)),INDEX('NOTES CP'!$AT$10:$AT$250,MATCH(S122,'NOTES CP'!$B$10:$B$250,0))),""))</f>
        <v/>
      </c>
      <c r="W122" s="51" t="str">
        <f aca="false">IF(ISNUMBER(V122),V122+(1000-2)/1000000,"")</f>
        <v/>
      </c>
      <c r="X122" s="51" t="str">
        <f aca="false">IF(S122="","",IFERROR(CHOOSE($P$8,INDEX('NOTES CP'!$G$10:$G$250,MATCH(S122,'NOTES CP'!$B$10:$B$250,0)),INDEX('NOTES CP'!$Q$10:$Q$250,MATCH(S122,'NOTES CP'!$B$10:$B$250,0)),INDEX('NOTES CP'!$AA$10:$AA$250,MATCH(S122,'NOTES CP'!$B$10:$B$250,0)),INDEX('NOTES CP'!$AK$10:$AK$250,MATCH(S122,'NOTES CP'!$B$10:$B$250,0))),""))</f>
        <v/>
      </c>
      <c r="Y122" s="51" t="n">
        <f aca="false">IFERROR(MATCH("CP2-2",'REGISTRE ELEVES'!$AG$10:$AG$250,0),"")</f>
        <v>13</v>
      </c>
      <c r="Z122" s="51" t="str">
        <f aca="false">IF(Y122="","",INDEX('REGISTRE ELEVES'!$B$10:$B$250,Y122))</f>
        <v>CP2-002-26</v>
      </c>
      <c r="AA122" s="51" t="str">
        <f aca="false">IF(Y122="","",INDEX('REGISTRE ELEVES'!$D$10:$D$250,Y122))</f>
        <v>GBOGOU Amenan Rebecca</v>
      </c>
      <c r="AB122" s="51" t="str">
        <f aca="false">IF(Y122="","",INDEX('REGISTRE ELEVES'!$E$10:$E$250,Y122))</f>
        <v>F</v>
      </c>
      <c r="AC122" s="51" t="str">
        <f aca="false">IF(Z122="","",IFERROR(CHOOSE($P$8,INDEX('NOTES CP'!$P$10:$P$250,MATCH(Z122,'NOTES CP'!$B$10:$B$250,0)),INDEX('NOTES CP'!$Z$10:$Z$250,MATCH(Z122,'NOTES CP'!$B$10:$B$250,0)),INDEX('NOTES CP'!$AJ$10:$AJ$250,MATCH(Z122,'NOTES CP'!$B$10:$B$250,0)),INDEX('NOTES CP'!$AT$10:$AT$250,MATCH(Z122,'NOTES CP'!$B$10:$B$250,0))),""))</f>
        <v/>
      </c>
      <c r="AD122" s="51" t="str">
        <f aca="false">IF(ISNUMBER(AC122),AC122+(1000-2)/1000000,"")</f>
        <v/>
      </c>
      <c r="AE122" s="51" t="str">
        <f aca="false">IF(Z122="","",IFERROR(CHOOSE($P$8,INDEX('NOTES CP'!$G$10:$G$250,MATCH(Z122,'NOTES CP'!$B$10:$B$250,0)),INDEX('NOTES CP'!$Q$10:$Q$250,MATCH(Z122,'NOTES CP'!$B$10:$B$250,0)),INDEX('NOTES CP'!$AA$10:$AA$250,MATCH(Z122,'NOTES CP'!$B$10:$B$250,0)),INDEX('NOTES CP'!$AK$10:$AK$250,MATCH(Z122,'NOTES CP'!$B$10:$B$250,0))),""))</f>
        <v/>
      </c>
      <c r="AF122" s="51" t="n">
        <f aca="false">IFERROR(MATCH("CE1-2",'REGISTRE ELEVES'!$AG$10:$AG$250,0),"")</f>
        <v>25</v>
      </c>
      <c r="AG122" s="51" t="str">
        <f aca="false">IF(AF122="","",INDEX('REGISTRE ELEVES'!$B$10:$B$250,AF122))</f>
        <v>CE1-002-26</v>
      </c>
      <c r="AH122" s="51" t="str">
        <f aca="false">IF(AF122="","",INDEX('REGISTRE ELEVES'!$D$10:$D$250,AF122))</f>
        <v>KONE Clarisse Amenan</v>
      </c>
      <c r="AI122" s="51" t="str">
        <f aca="false">IF(AF122="","",INDEX('REGISTRE ELEVES'!$E$10:$E$250,AF122))</f>
        <v>F</v>
      </c>
      <c r="AJ122" s="51" t="str">
        <f aca="false">IF(AG122="","",IFERROR(CHOOSE($P$8,INDEX('NOTES CE1'!$M$10:$M$250,MATCH(AG122,'NOTES CE1'!$B$10:$B$250,0)),INDEX('NOTES CE1'!$T$10:$T$250,MATCH(AG122,'NOTES CE1'!$B$10:$B$250,0)),INDEX('NOTES CE1'!$AA$10:$AA$250,MATCH(AG122,'NOTES CE1'!$B$10:$B$250,0)),INDEX('NOTES CE1'!$AH$10:$AH$250,MATCH(AG122,'NOTES CE1'!$B$10:$B$250,0))),""))</f>
        <v/>
      </c>
      <c r="AK122" s="51" t="str">
        <f aca="false">IF(ISNUMBER(AJ122),AJ122+(1000-2)/1000000,"")</f>
        <v/>
      </c>
      <c r="AL122" s="51" t="str">
        <f aca="false">IF(AG122="","",IFERROR(CHOOSE($P$8,INDEX('NOTES CE1'!$G$10:$G$250,MATCH(AG122,'NOTES CE1'!$B$10:$B$250,0)),INDEX('NOTES CE1'!$N$10:$N$250,MATCH(AG122,'NOTES CE1'!$B$10:$B$250,0)),INDEX('NOTES CE1'!$U$10:$U$250,MATCH(AG122,'NOTES CE1'!$B$10:$B$250,0)),INDEX('NOTES CE1'!$AB$10:$AB$250,MATCH(AG122,'NOTES CE1'!$B$10:$B$250,0))),""))</f>
        <v/>
      </c>
      <c r="AM122" s="51" t="n">
        <f aca="false">IFERROR(MATCH("CE2-2",'REGISTRE ELEVES'!$AG$10:$AG$250,0),"")</f>
        <v>34</v>
      </c>
      <c r="AN122" s="51" t="str">
        <f aca="false">IF(AM122="","",INDEX('REGISTRE ELEVES'!$B$10:$B$250,AM122))</f>
        <v>CE2-002-26</v>
      </c>
      <c r="AO122" s="51" t="str">
        <f aca="false">IF(AM122="","",INDEX('REGISTRE ELEVES'!$D$10:$D$250,AM122))</f>
        <v>GNAGNE Estelle Amenan</v>
      </c>
      <c r="AP122" s="51" t="str">
        <f aca="false">IF(AM122="","",INDEX('REGISTRE ELEVES'!$E$10:$E$250,AM122))</f>
        <v>F</v>
      </c>
      <c r="AQ122" s="51" t="str">
        <f aca="false">IF(AN122="","",IFERROR(CHOOSE($P$8,INDEX('NOTES CE2-CM1'!$M$10:$M$250,MATCH(AN122,'NOTES CE2-CM1'!$B$10:$B$250,0)),INDEX('NOTES CE2-CM1'!$T$10:$T$250,MATCH(AN122,'NOTES CE2-CM1'!$B$10:$B$250,0)),INDEX('NOTES CE2-CM1'!$AA$10:$AA$250,MATCH(AN122,'NOTES CE2-CM1'!$B$10:$B$250,0)),INDEX('NOTES CE2-CM1'!$AH$10:$AH$250,MATCH(AN122,'NOTES CE2-CM1'!$B$10:$B$250,0))),""))</f>
        <v/>
      </c>
      <c r="AR122" s="51" t="str">
        <f aca="false">IF(ISNUMBER(AQ122),AQ122+(1000-2)/1000000,"")</f>
        <v/>
      </c>
      <c r="AS122" s="51" t="str">
        <f aca="false">IF(AN122="","",IFERROR(CHOOSE($P$8,INDEX('NOTES CE2-CM1'!$G$10:$G$250,MATCH(AN122,'NOTES CE2-CM1'!$B$10:$B$250,0)),INDEX('NOTES CE2-CM1'!$N$10:$N$250,MATCH(AN122,'NOTES CE2-CM1'!$B$10:$B$250,0)),INDEX('NOTES CE2-CM1'!$U$10:$U$250,MATCH(AN122,'NOTES CE2-CM1'!$B$10:$B$250,0)),INDEX('NOTES CE2-CM1'!$AB$10:$AB$250,MATCH(AN122,'NOTES CE2-CM1'!$B$10:$B$250,0))),""))</f>
        <v/>
      </c>
      <c r="AT122" s="51" t="n">
        <f aca="false">IFERROR(MATCH("CM1-2",'REGISTRE ELEVES'!$AG$10:$AG$250,0),"")</f>
        <v>46</v>
      </c>
      <c r="AU122" s="51" t="str">
        <f aca="false">IF(AT122="","",INDEX('REGISTRE ELEVES'!$B$10:$B$250,AT122))</f>
        <v>CM1-002-26</v>
      </c>
      <c r="AV122" s="51" t="str">
        <f aca="false">IF(AT122="","",INDEX('REGISTRE ELEVES'!$D$10:$D$250,AT122))</f>
        <v>KONE Fatoumata Marie-Ange</v>
      </c>
      <c r="AW122" s="51" t="str">
        <f aca="false">IF(AT122="","",INDEX('REGISTRE ELEVES'!$E$10:$E$250,AT122))</f>
        <v>F</v>
      </c>
      <c r="AX122" s="51" t="str">
        <f aca="false">IF(AU122="","",IFERROR(CHOOSE($P$8,INDEX('NOTES CE2-CM1'!$M$10:$M$250,MATCH(AU122,'NOTES CE2-CM1'!$B$10:$B$250,0)),INDEX('NOTES CE2-CM1'!$T$10:$T$250,MATCH(AU122,'NOTES CE2-CM1'!$B$10:$B$250,0)),INDEX('NOTES CE2-CM1'!$AA$10:$AA$250,MATCH(AU122,'NOTES CE2-CM1'!$B$10:$B$250,0)),INDEX('NOTES CE2-CM1'!$AH$10:$AH$250,MATCH(AU122,'NOTES CE2-CM1'!$B$10:$B$250,0))),""))</f>
        <v/>
      </c>
      <c r="AY122" s="51" t="str">
        <f aca="false">IF(ISNUMBER(AX122),AX122+(1000-2)/1000000,"")</f>
        <v/>
      </c>
      <c r="AZ122" s="51" t="str">
        <f aca="false">IF(AU122="","",IFERROR(CHOOSE($P$8,INDEX('NOTES CE2-CM1'!$G$10:$G$250,MATCH(AU122,'NOTES CE2-CM1'!$B$10:$B$250,0)),INDEX('NOTES CE2-CM1'!$N$10:$N$250,MATCH(AU122,'NOTES CE2-CM1'!$B$10:$B$250,0)),INDEX('NOTES CE2-CM1'!$U$10:$U$250,MATCH(AU122,'NOTES CE2-CM1'!$B$10:$B$250,0)),INDEX('NOTES CE2-CM1'!$AB$10:$AB$250,MATCH(AU122,'NOTES CE2-CM1'!$B$10:$B$250,0))),""))</f>
        <v/>
      </c>
      <c r="BA122" s="51" t="n">
        <f aca="false">IFERROR(MATCH("CM2-2",'REGISTRE ELEVES'!$AG$10:$AG$250,0),"")</f>
        <v>57</v>
      </c>
      <c r="BB122" s="51" t="str">
        <f aca="false">IF(BA122="","",INDEX('REGISTRE ELEVES'!$B$10:$B$250,BA122))</f>
        <v>CM2-002-26</v>
      </c>
      <c r="BC122" s="51" t="str">
        <f aca="false">IF(BA122="","",INDEX('REGISTRE ELEVES'!$D$10:$D$250,BA122))</f>
        <v>OUATTARA Akissi Marie-Ange</v>
      </c>
      <c r="BD122" s="51" t="str">
        <f aca="false">IF(BA122="","",INDEX('REGISTRE ELEVES'!$E$10:$E$250,BA122))</f>
        <v>F</v>
      </c>
      <c r="BE122" s="51" t="str">
        <f aca="false">IF(BB122="","",IFERROR(CHOOSE($P$10,INDEX('NOTES CM2'!$M$10:$M$250,MATCH(BB122,'NOTES CM2'!$B$10:$B$250,0)),INDEX('NOTES CM2'!$T$10:$T$250,MATCH(BB122,'NOTES CM2'!$B$10:$B$250,0)),INDEX('NOTES CM2'!$AB$10:$AB$250,MATCH(BB122,'NOTES CM2'!$B$10:$B$250,0)),INDEX('NOTES CM2'!$AJ$10:$AJ$250,MATCH(BB122,'NOTES CM2'!$B$10:$B$250,0))),""))</f>
        <v/>
      </c>
      <c r="BF122" s="51" t="str">
        <f aca="false">IF(ISNUMBER(BE122),BE122+(1000-2)/1000000,"")</f>
        <v/>
      </c>
      <c r="BG122" s="51" t="str">
        <f aca="false">IF(BB122="","",IFERROR(CHOOSE($P$10,INDEX('NOTES CM2'!$G$10:$G$250,MATCH(BB122,'NOTES CM2'!$B$10:$B$250,0)),INDEX('NOTES CM2'!$N$10:$N$250,MATCH(BB122,'NOTES CM2'!$B$10:$B$250,0)),INDEX('NOTES CM2'!$U$10:$U$250,MATCH(BB122,'NOTES CM2'!$B$10:$B$250,0)),INDEX('NOTES CM2'!$AC$10:$AC$250,MATCH(BB122,'NOTES CM2'!$B$10:$B$250,0))),""))</f>
        <v/>
      </c>
    </row>
    <row r="123" customFormat="false" ht="15" hidden="false" customHeight="false" outlineLevel="0" collapsed="false">
      <c r="R123" s="51" t="n">
        <f aca="false">IFERROR(MATCH("CP1-3",'REGISTRE ELEVES'!$AG$10:$AG$250,0),"")</f>
        <v>3</v>
      </c>
      <c r="S123" s="51" t="str">
        <f aca="false">IF(R123="","",INDEX('REGISTRE ELEVES'!$B$10:$B$250,R123))</f>
        <v>CP1-003-26</v>
      </c>
      <c r="T123" s="51" t="str">
        <f aca="false">IF(R123="","",INDEX('REGISTRE ELEVES'!$D$10:$D$250,R123))</f>
        <v>ZADI Aya Akissi</v>
      </c>
      <c r="U123" s="51" t="str">
        <f aca="false">IF(R123="","",INDEX('REGISTRE ELEVES'!$E$10:$E$250,R123))</f>
        <v>F</v>
      </c>
      <c r="V123" s="51" t="str">
        <f aca="false">IF(S123="","",IFERROR(CHOOSE($P$8,INDEX('NOTES CP'!$P$10:$P$250,MATCH(S123,'NOTES CP'!$B$10:$B$250,0)),INDEX('NOTES CP'!$Z$10:$Z$250,MATCH(S123,'NOTES CP'!$B$10:$B$250,0)),INDEX('NOTES CP'!$AJ$10:$AJ$250,MATCH(S123,'NOTES CP'!$B$10:$B$250,0)),INDEX('NOTES CP'!$AT$10:$AT$250,MATCH(S123,'NOTES CP'!$B$10:$B$250,0))),""))</f>
        <v/>
      </c>
      <c r="W123" s="51" t="str">
        <f aca="false">IF(ISNUMBER(V123),V123+(1000-3)/1000000,"")</f>
        <v/>
      </c>
      <c r="X123" s="51" t="str">
        <f aca="false">IF(S123="","",IFERROR(CHOOSE($P$8,INDEX('NOTES CP'!$G$10:$G$250,MATCH(S123,'NOTES CP'!$B$10:$B$250,0)),INDEX('NOTES CP'!$Q$10:$Q$250,MATCH(S123,'NOTES CP'!$B$10:$B$250,0)),INDEX('NOTES CP'!$AA$10:$AA$250,MATCH(S123,'NOTES CP'!$B$10:$B$250,0)),INDEX('NOTES CP'!$AK$10:$AK$250,MATCH(S123,'NOTES CP'!$B$10:$B$250,0))),""))</f>
        <v/>
      </c>
      <c r="Y123" s="51" t="n">
        <f aca="false">IFERROR(MATCH("CP2-3",'REGISTRE ELEVES'!$AG$10:$AG$250,0),"")</f>
        <v>14</v>
      </c>
      <c r="Z123" s="51" t="str">
        <f aca="false">IF(Y123="","",INDEX('REGISTRE ELEVES'!$B$10:$B$250,Y123))</f>
        <v>CP2-003-26</v>
      </c>
      <c r="AA123" s="51" t="str">
        <f aca="false">IF(Y123="","",INDEX('REGISTRE ELEVES'!$D$10:$D$250,Y123))</f>
        <v>KOFFI Junior Ismaël</v>
      </c>
      <c r="AB123" s="51" t="str">
        <f aca="false">IF(Y123="","",INDEX('REGISTRE ELEVES'!$E$10:$E$250,Y123))</f>
        <v>M</v>
      </c>
      <c r="AC123" s="51" t="str">
        <f aca="false">IF(Z123="","",IFERROR(CHOOSE($P$8,INDEX('NOTES CP'!$P$10:$P$250,MATCH(Z123,'NOTES CP'!$B$10:$B$250,0)),INDEX('NOTES CP'!$Z$10:$Z$250,MATCH(Z123,'NOTES CP'!$B$10:$B$250,0)),INDEX('NOTES CP'!$AJ$10:$AJ$250,MATCH(Z123,'NOTES CP'!$B$10:$B$250,0)),INDEX('NOTES CP'!$AT$10:$AT$250,MATCH(Z123,'NOTES CP'!$B$10:$B$250,0))),""))</f>
        <v/>
      </c>
      <c r="AD123" s="51" t="str">
        <f aca="false">IF(ISNUMBER(AC123),AC123+(1000-3)/1000000,"")</f>
        <v/>
      </c>
      <c r="AE123" s="51" t="str">
        <f aca="false">IF(Z123="","",IFERROR(CHOOSE($P$8,INDEX('NOTES CP'!$G$10:$G$250,MATCH(Z123,'NOTES CP'!$B$10:$B$250,0)),INDEX('NOTES CP'!$Q$10:$Q$250,MATCH(Z123,'NOTES CP'!$B$10:$B$250,0)),INDEX('NOTES CP'!$AA$10:$AA$250,MATCH(Z123,'NOTES CP'!$B$10:$B$250,0)),INDEX('NOTES CP'!$AK$10:$AK$250,MATCH(Z123,'NOTES CP'!$B$10:$B$250,0))),""))</f>
        <v/>
      </c>
      <c r="AF123" s="51" t="n">
        <f aca="false">IFERROR(MATCH("CE1-3",'REGISTRE ELEVES'!$AG$10:$AG$250,0),"")</f>
        <v>26</v>
      </c>
      <c r="AG123" s="51" t="str">
        <f aca="false">IF(AF123="","",INDEX('REGISTRE ELEVES'!$B$10:$B$250,AF123))</f>
        <v>CE1-003-26</v>
      </c>
      <c r="AH123" s="51" t="str">
        <f aca="false">IF(AF123="","",INDEX('REGISTRE ELEVES'!$D$10:$D$250,AF123))</f>
        <v>AKA Abdoulaye Jean-Marc</v>
      </c>
      <c r="AI123" s="51" t="str">
        <f aca="false">IF(AF123="","",INDEX('REGISTRE ELEVES'!$E$10:$E$250,AF123))</f>
        <v>M</v>
      </c>
      <c r="AJ123" s="51" t="str">
        <f aca="false">IF(AG123="","",IFERROR(CHOOSE($P$8,INDEX('NOTES CE1'!$M$10:$M$250,MATCH(AG123,'NOTES CE1'!$B$10:$B$250,0)),INDEX('NOTES CE1'!$T$10:$T$250,MATCH(AG123,'NOTES CE1'!$B$10:$B$250,0)),INDEX('NOTES CE1'!$AA$10:$AA$250,MATCH(AG123,'NOTES CE1'!$B$10:$B$250,0)),INDEX('NOTES CE1'!$AH$10:$AH$250,MATCH(AG123,'NOTES CE1'!$B$10:$B$250,0))),""))</f>
        <v/>
      </c>
      <c r="AK123" s="51" t="str">
        <f aca="false">IF(ISNUMBER(AJ123),AJ123+(1000-3)/1000000,"")</f>
        <v/>
      </c>
      <c r="AL123" s="51" t="str">
        <f aca="false">IF(AG123="","",IFERROR(CHOOSE($P$8,INDEX('NOTES CE1'!$G$10:$G$250,MATCH(AG123,'NOTES CE1'!$B$10:$B$250,0)),INDEX('NOTES CE1'!$N$10:$N$250,MATCH(AG123,'NOTES CE1'!$B$10:$B$250,0)),INDEX('NOTES CE1'!$U$10:$U$250,MATCH(AG123,'NOTES CE1'!$B$10:$B$250,0)),INDEX('NOTES CE1'!$AB$10:$AB$250,MATCH(AG123,'NOTES CE1'!$B$10:$B$250,0))),""))</f>
        <v/>
      </c>
      <c r="AM123" s="51" t="n">
        <f aca="false">IFERROR(MATCH("CE2-3",'REGISTRE ELEVES'!$AG$10:$AG$250,0),"")</f>
        <v>35</v>
      </c>
      <c r="AN123" s="51" t="str">
        <f aca="false">IF(AM123="","",INDEX('REGISTRE ELEVES'!$B$10:$B$250,AM123))</f>
        <v>CE2-003-26</v>
      </c>
      <c r="AO123" s="51" t="str">
        <f aca="false">IF(AM123="","",INDEX('REGISTRE ELEVES'!$D$10:$D$250,AM123))</f>
        <v>KOFFI Estelle Akissi</v>
      </c>
      <c r="AP123" s="51" t="str">
        <f aca="false">IF(AM123="","",INDEX('REGISTRE ELEVES'!$E$10:$E$250,AM123))</f>
        <v>F</v>
      </c>
      <c r="AQ123" s="51" t="str">
        <f aca="false">IF(AN123="","",IFERROR(CHOOSE($P$8,INDEX('NOTES CE2-CM1'!$M$10:$M$250,MATCH(AN123,'NOTES CE2-CM1'!$B$10:$B$250,0)),INDEX('NOTES CE2-CM1'!$T$10:$T$250,MATCH(AN123,'NOTES CE2-CM1'!$B$10:$B$250,0)),INDEX('NOTES CE2-CM1'!$AA$10:$AA$250,MATCH(AN123,'NOTES CE2-CM1'!$B$10:$B$250,0)),INDEX('NOTES CE2-CM1'!$AH$10:$AH$250,MATCH(AN123,'NOTES CE2-CM1'!$B$10:$B$250,0))),""))</f>
        <v/>
      </c>
      <c r="AR123" s="51" t="str">
        <f aca="false">IF(ISNUMBER(AQ123),AQ123+(1000-3)/1000000,"")</f>
        <v/>
      </c>
      <c r="AS123" s="51" t="str">
        <f aca="false">IF(AN123="","",IFERROR(CHOOSE($P$8,INDEX('NOTES CE2-CM1'!$G$10:$G$250,MATCH(AN123,'NOTES CE2-CM1'!$B$10:$B$250,0)),INDEX('NOTES CE2-CM1'!$N$10:$N$250,MATCH(AN123,'NOTES CE2-CM1'!$B$10:$B$250,0)),INDEX('NOTES CE2-CM1'!$U$10:$U$250,MATCH(AN123,'NOTES CE2-CM1'!$B$10:$B$250,0)),INDEX('NOTES CE2-CM1'!$AB$10:$AB$250,MATCH(AN123,'NOTES CE2-CM1'!$B$10:$B$250,0))),""))</f>
        <v/>
      </c>
      <c r="AT123" s="51" t="n">
        <f aca="false">IFERROR(MATCH("CM1-3",'REGISTRE ELEVES'!$AG$10:$AG$250,0),"")</f>
        <v>47</v>
      </c>
      <c r="AU123" s="51" t="str">
        <f aca="false">IF(AT123="","",INDEX('REGISTRE ELEVES'!$B$10:$B$250,AT123))</f>
        <v>CM1-003-26</v>
      </c>
      <c r="AV123" s="51" t="str">
        <f aca="false">IF(AT123="","",INDEX('REGISTRE ELEVES'!$D$10:$D$250,AT123))</f>
        <v>KONAN Adjoua Mariam</v>
      </c>
      <c r="AW123" s="51" t="str">
        <f aca="false">IF(AT123="","",INDEX('REGISTRE ELEVES'!$E$10:$E$250,AT123))</f>
        <v>F</v>
      </c>
      <c r="AX123" s="51" t="str">
        <f aca="false">IF(AU123="","",IFERROR(CHOOSE($P$8,INDEX('NOTES CE2-CM1'!$M$10:$M$250,MATCH(AU123,'NOTES CE2-CM1'!$B$10:$B$250,0)),INDEX('NOTES CE2-CM1'!$T$10:$T$250,MATCH(AU123,'NOTES CE2-CM1'!$B$10:$B$250,0)),INDEX('NOTES CE2-CM1'!$AA$10:$AA$250,MATCH(AU123,'NOTES CE2-CM1'!$B$10:$B$250,0)),INDEX('NOTES CE2-CM1'!$AH$10:$AH$250,MATCH(AU123,'NOTES CE2-CM1'!$B$10:$B$250,0))),""))</f>
        <v/>
      </c>
      <c r="AY123" s="51" t="str">
        <f aca="false">IF(ISNUMBER(AX123),AX123+(1000-3)/1000000,"")</f>
        <v/>
      </c>
      <c r="AZ123" s="51" t="str">
        <f aca="false">IF(AU123="","",IFERROR(CHOOSE($P$8,INDEX('NOTES CE2-CM1'!$G$10:$G$250,MATCH(AU123,'NOTES CE2-CM1'!$B$10:$B$250,0)),INDEX('NOTES CE2-CM1'!$N$10:$N$250,MATCH(AU123,'NOTES CE2-CM1'!$B$10:$B$250,0)),INDEX('NOTES CE2-CM1'!$U$10:$U$250,MATCH(AU123,'NOTES CE2-CM1'!$B$10:$B$250,0)),INDEX('NOTES CE2-CM1'!$AB$10:$AB$250,MATCH(AU123,'NOTES CE2-CM1'!$B$10:$B$250,0))),""))</f>
        <v/>
      </c>
      <c r="BA123" s="51" t="n">
        <f aca="false">IFERROR(MATCH("CM2-3",'REGISTRE ELEVES'!$AG$10:$AG$250,0),"")</f>
        <v>58</v>
      </c>
      <c r="BB123" s="51" t="str">
        <f aca="false">IF(BA123="","",INDEX('REGISTRE ELEVES'!$B$10:$B$250,BA123))</f>
        <v>CM2-003-26</v>
      </c>
      <c r="BC123" s="51" t="str">
        <f aca="false">IF(BA123="","",INDEX('REGISTRE ELEVES'!$D$10:$D$250,BA123))</f>
        <v>BAMBA Grâce Nadège</v>
      </c>
      <c r="BD123" s="51" t="str">
        <f aca="false">IF(BA123="","",INDEX('REGISTRE ELEVES'!$E$10:$E$250,BA123))</f>
        <v>F</v>
      </c>
      <c r="BE123" s="51" t="str">
        <f aca="false">IF(BB123="","",IFERROR(CHOOSE($P$10,INDEX('NOTES CM2'!$M$10:$M$250,MATCH(BB123,'NOTES CM2'!$B$10:$B$250,0)),INDEX('NOTES CM2'!$T$10:$T$250,MATCH(BB123,'NOTES CM2'!$B$10:$B$250,0)),INDEX('NOTES CM2'!$AB$10:$AB$250,MATCH(BB123,'NOTES CM2'!$B$10:$B$250,0)),INDEX('NOTES CM2'!$AJ$10:$AJ$250,MATCH(BB123,'NOTES CM2'!$B$10:$B$250,0))),""))</f>
        <v/>
      </c>
      <c r="BF123" s="51" t="str">
        <f aca="false">IF(ISNUMBER(BE123),BE123+(1000-3)/1000000,"")</f>
        <v/>
      </c>
      <c r="BG123" s="51" t="str">
        <f aca="false">IF(BB123="","",IFERROR(CHOOSE($P$10,INDEX('NOTES CM2'!$G$10:$G$250,MATCH(BB123,'NOTES CM2'!$B$10:$B$250,0)),INDEX('NOTES CM2'!$N$10:$N$250,MATCH(BB123,'NOTES CM2'!$B$10:$B$250,0)),INDEX('NOTES CM2'!$U$10:$U$250,MATCH(BB123,'NOTES CM2'!$B$10:$B$250,0)),INDEX('NOTES CM2'!$AC$10:$AC$250,MATCH(BB123,'NOTES CM2'!$B$10:$B$250,0))),""))</f>
        <v/>
      </c>
    </row>
    <row r="124" customFormat="false" ht="15" hidden="false" customHeight="false" outlineLevel="0" collapsed="false">
      <c r="R124" s="51" t="n">
        <f aca="false">IFERROR(MATCH("CP1-4",'REGISTRE ELEVES'!$AG$10:$AG$250,0),"")</f>
        <v>4</v>
      </c>
      <c r="S124" s="51" t="str">
        <f aca="false">IF(R124="","",INDEX('REGISTRE ELEVES'!$B$10:$B$250,R124))</f>
        <v>CP1-004-26</v>
      </c>
      <c r="T124" s="51" t="str">
        <f aca="false">IF(R124="","",INDEX('REGISTRE ELEVES'!$D$10:$D$250,R124))</f>
        <v>ZADI Estelle Mariam</v>
      </c>
      <c r="U124" s="51" t="str">
        <f aca="false">IF(R124="","",INDEX('REGISTRE ELEVES'!$E$10:$E$250,R124))</f>
        <v>F</v>
      </c>
      <c r="V124" s="51" t="str">
        <f aca="false">IF(S124="","",IFERROR(CHOOSE($P$8,INDEX('NOTES CP'!$P$10:$P$250,MATCH(S124,'NOTES CP'!$B$10:$B$250,0)),INDEX('NOTES CP'!$Z$10:$Z$250,MATCH(S124,'NOTES CP'!$B$10:$B$250,0)),INDEX('NOTES CP'!$AJ$10:$AJ$250,MATCH(S124,'NOTES CP'!$B$10:$B$250,0)),INDEX('NOTES CP'!$AT$10:$AT$250,MATCH(S124,'NOTES CP'!$B$10:$B$250,0))),""))</f>
        <v/>
      </c>
      <c r="W124" s="51" t="str">
        <f aca="false">IF(ISNUMBER(V124),V124+(1000-4)/1000000,"")</f>
        <v/>
      </c>
      <c r="X124" s="51" t="str">
        <f aca="false">IF(S124="","",IFERROR(CHOOSE($P$8,INDEX('NOTES CP'!$G$10:$G$250,MATCH(S124,'NOTES CP'!$B$10:$B$250,0)),INDEX('NOTES CP'!$Q$10:$Q$250,MATCH(S124,'NOTES CP'!$B$10:$B$250,0)),INDEX('NOTES CP'!$AA$10:$AA$250,MATCH(S124,'NOTES CP'!$B$10:$B$250,0)),INDEX('NOTES CP'!$AK$10:$AK$250,MATCH(S124,'NOTES CP'!$B$10:$B$250,0))),""))</f>
        <v/>
      </c>
      <c r="Y124" s="51" t="n">
        <f aca="false">IFERROR(MATCH("CP2-4",'REGISTRE ELEVES'!$AG$10:$AG$250,0),"")</f>
        <v>15</v>
      </c>
      <c r="Z124" s="51" t="str">
        <f aca="false">IF(Y124="","",INDEX('REGISTRE ELEVES'!$B$10:$B$250,Y124))</f>
        <v>CP2-004-26</v>
      </c>
      <c r="AA124" s="51" t="str">
        <f aca="false">IF(Y124="","",INDEX('REGISTRE ELEVES'!$D$10:$D$250,Y124))</f>
        <v>BOHOUSSOU Awa Amenan</v>
      </c>
      <c r="AB124" s="51" t="str">
        <f aca="false">IF(Y124="","",INDEX('REGISTRE ELEVES'!$E$10:$E$250,Y124))</f>
        <v>F</v>
      </c>
      <c r="AC124" s="51" t="str">
        <f aca="false">IF(Z124="","",IFERROR(CHOOSE($P$8,INDEX('NOTES CP'!$P$10:$P$250,MATCH(Z124,'NOTES CP'!$B$10:$B$250,0)),INDEX('NOTES CP'!$Z$10:$Z$250,MATCH(Z124,'NOTES CP'!$B$10:$B$250,0)),INDEX('NOTES CP'!$AJ$10:$AJ$250,MATCH(Z124,'NOTES CP'!$B$10:$B$250,0)),INDEX('NOTES CP'!$AT$10:$AT$250,MATCH(Z124,'NOTES CP'!$B$10:$B$250,0))),""))</f>
        <v/>
      </c>
      <c r="AD124" s="51" t="str">
        <f aca="false">IF(ISNUMBER(AC124),AC124+(1000-4)/1000000,"")</f>
        <v/>
      </c>
      <c r="AE124" s="51" t="str">
        <f aca="false">IF(Z124="","",IFERROR(CHOOSE($P$8,INDEX('NOTES CP'!$G$10:$G$250,MATCH(Z124,'NOTES CP'!$B$10:$B$250,0)),INDEX('NOTES CP'!$Q$10:$Q$250,MATCH(Z124,'NOTES CP'!$B$10:$B$250,0)),INDEX('NOTES CP'!$AA$10:$AA$250,MATCH(Z124,'NOTES CP'!$B$10:$B$250,0)),INDEX('NOTES CP'!$AK$10:$AK$250,MATCH(Z124,'NOTES CP'!$B$10:$B$250,0))),""))</f>
        <v/>
      </c>
      <c r="AF124" s="51" t="n">
        <f aca="false">IFERROR(MATCH("CE1-4",'REGISTRE ELEVES'!$AG$10:$AG$250,0),"")</f>
        <v>27</v>
      </c>
      <c r="AG124" s="51" t="str">
        <f aca="false">IF(AF124="","",INDEX('REGISTRE ELEVES'!$B$10:$B$250,AF124))</f>
        <v>CE1-004-26</v>
      </c>
      <c r="AH124" s="51" t="str">
        <f aca="false">IF(AF124="","",INDEX('REGISTRE ELEVES'!$D$10:$D$250,AF124))</f>
        <v>KOFFI Grâce Akissi</v>
      </c>
      <c r="AI124" s="51" t="str">
        <f aca="false">IF(AF124="","",INDEX('REGISTRE ELEVES'!$E$10:$E$250,AF124))</f>
        <v>F</v>
      </c>
      <c r="AJ124" s="51" t="str">
        <f aca="false">IF(AG124="","",IFERROR(CHOOSE($P$8,INDEX('NOTES CE1'!$M$10:$M$250,MATCH(AG124,'NOTES CE1'!$B$10:$B$250,0)),INDEX('NOTES CE1'!$T$10:$T$250,MATCH(AG124,'NOTES CE1'!$B$10:$B$250,0)),INDEX('NOTES CE1'!$AA$10:$AA$250,MATCH(AG124,'NOTES CE1'!$B$10:$B$250,0)),INDEX('NOTES CE1'!$AH$10:$AH$250,MATCH(AG124,'NOTES CE1'!$B$10:$B$250,0))),""))</f>
        <v/>
      </c>
      <c r="AK124" s="51" t="str">
        <f aca="false">IF(ISNUMBER(AJ124),AJ124+(1000-4)/1000000,"")</f>
        <v/>
      </c>
      <c r="AL124" s="51" t="str">
        <f aca="false">IF(AG124="","",IFERROR(CHOOSE($P$8,INDEX('NOTES CE1'!$G$10:$G$250,MATCH(AG124,'NOTES CE1'!$B$10:$B$250,0)),INDEX('NOTES CE1'!$N$10:$N$250,MATCH(AG124,'NOTES CE1'!$B$10:$B$250,0)),INDEX('NOTES CE1'!$U$10:$U$250,MATCH(AG124,'NOTES CE1'!$B$10:$B$250,0)),INDEX('NOTES CE1'!$AB$10:$AB$250,MATCH(AG124,'NOTES CE1'!$B$10:$B$250,0))),""))</f>
        <v/>
      </c>
      <c r="AM124" s="51" t="n">
        <f aca="false">IFERROR(MATCH("CE2-4",'REGISTRE ELEVES'!$AG$10:$AG$250,0),"")</f>
        <v>36</v>
      </c>
      <c r="AN124" s="51" t="str">
        <f aca="false">IF(AM124="","",INDEX('REGISTRE ELEVES'!$B$10:$B$250,AM124))</f>
        <v>CE2-004-26</v>
      </c>
      <c r="AO124" s="51" t="str">
        <f aca="false">IF(AM124="","",INDEX('REGISTRE ELEVES'!$D$10:$D$250,AM124))</f>
        <v>BOHOUSSOU Adjoua Akissi</v>
      </c>
      <c r="AP124" s="51" t="str">
        <f aca="false">IF(AM124="","",INDEX('REGISTRE ELEVES'!$E$10:$E$250,AM124))</f>
        <v>F</v>
      </c>
      <c r="AQ124" s="51" t="str">
        <f aca="false">IF(AN124="","",IFERROR(CHOOSE($P$8,INDEX('NOTES CE2-CM1'!$M$10:$M$250,MATCH(AN124,'NOTES CE2-CM1'!$B$10:$B$250,0)),INDEX('NOTES CE2-CM1'!$T$10:$T$250,MATCH(AN124,'NOTES CE2-CM1'!$B$10:$B$250,0)),INDEX('NOTES CE2-CM1'!$AA$10:$AA$250,MATCH(AN124,'NOTES CE2-CM1'!$B$10:$B$250,0)),INDEX('NOTES CE2-CM1'!$AH$10:$AH$250,MATCH(AN124,'NOTES CE2-CM1'!$B$10:$B$250,0))),""))</f>
        <v/>
      </c>
      <c r="AR124" s="51" t="str">
        <f aca="false">IF(ISNUMBER(AQ124),AQ124+(1000-4)/1000000,"")</f>
        <v/>
      </c>
      <c r="AS124" s="51" t="str">
        <f aca="false">IF(AN124="","",IFERROR(CHOOSE($P$8,INDEX('NOTES CE2-CM1'!$G$10:$G$250,MATCH(AN124,'NOTES CE2-CM1'!$B$10:$B$250,0)),INDEX('NOTES CE2-CM1'!$N$10:$N$250,MATCH(AN124,'NOTES CE2-CM1'!$B$10:$B$250,0)),INDEX('NOTES CE2-CM1'!$U$10:$U$250,MATCH(AN124,'NOTES CE2-CM1'!$B$10:$B$250,0)),INDEX('NOTES CE2-CM1'!$AB$10:$AB$250,MATCH(AN124,'NOTES CE2-CM1'!$B$10:$B$250,0))),""))</f>
        <v/>
      </c>
      <c r="AT124" s="51" t="n">
        <f aca="false">IFERROR(MATCH("CM1-4",'REGISTRE ELEVES'!$AG$10:$AG$250,0),"")</f>
        <v>48</v>
      </c>
      <c r="AU124" s="51" t="str">
        <f aca="false">IF(AT124="","",INDEX('REGISTRE ELEVES'!$B$10:$B$250,AT124))</f>
        <v>CM1-004-26</v>
      </c>
      <c r="AV124" s="51" t="str">
        <f aca="false">IF(AT124="","",INDEX('REGISTRE ELEVES'!$D$10:$D$250,AT124))</f>
        <v>SORO Koffi Ismaël</v>
      </c>
      <c r="AW124" s="51" t="str">
        <f aca="false">IF(AT124="","",INDEX('REGISTRE ELEVES'!$E$10:$E$250,AT124))</f>
        <v>M</v>
      </c>
      <c r="AX124" s="51" t="str">
        <f aca="false">IF(AU124="","",IFERROR(CHOOSE($P$8,INDEX('NOTES CE2-CM1'!$M$10:$M$250,MATCH(AU124,'NOTES CE2-CM1'!$B$10:$B$250,0)),INDEX('NOTES CE2-CM1'!$T$10:$T$250,MATCH(AU124,'NOTES CE2-CM1'!$B$10:$B$250,0)),INDEX('NOTES CE2-CM1'!$AA$10:$AA$250,MATCH(AU124,'NOTES CE2-CM1'!$B$10:$B$250,0)),INDEX('NOTES CE2-CM1'!$AH$10:$AH$250,MATCH(AU124,'NOTES CE2-CM1'!$B$10:$B$250,0))),""))</f>
        <v/>
      </c>
      <c r="AY124" s="51" t="str">
        <f aca="false">IF(ISNUMBER(AX124),AX124+(1000-4)/1000000,"")</f>
        <v/>
      </c>
      <c r="AZ124" s="51" t="str">
        <f aca="false">IF(AU124="","",IFERROR(CHOOSE($P$8,INDEX('NOTES CE2-CM1'!$G$10:$G$250,MATCH(AU124,'NOTES CE2-CM1'!$B$10:$B$250,0)),INDEX('NOTES CE2-CM1'!$N$10:$N$250,MATCH(AU124,'NOTES CE2-CM1'!$B$10:$B$250,0)),INDEX('NOTES CE2-CM1'!$U$10:$U$250,MATCH(AU124,'NOTES CE2-CM1'!$B$10:$B$250,0)),INDEX('NOTES CE2-CM1'!$AB$10:$AB$250,MATCH(AU124,'NOTES CE2-CM1'!$B$10:$B$250,0))),""))</f>
        <v/>
      </c>
      <c r="BA124" s="51" t="n">
        <f aca="false">IFERROR(MATCH("CM2-4",'REGISTRE ELEVES'!$AG$10:$AG$250,0),"")</f>
        <v>59</v>
      </c>
      <c r="BB124" s="51" t="str">
        <f aca="false">IF(BA124="","",INDEX('REGISTRE ELEVES'!$B$10:$B$250,BA124))</f>
        <v>CM2-004-26</v>
      </c>
      <c r="BC124" s="51" t="str">
        <f aca="false">IF(BA124="","",INDEX('REGISTRE ELEVES'!$D$10:$D$250,BA124))</f>
        <v>KONE Cédric Abdoulaye</v>
      </c>
      <c r="BD124" s="51" t="str">
        <f aca="false">IF(BA124="","",INDEX('REGISTRE ELEVES'!$E$10:$E$250,BA124))</f>
        <v>M</v>
      </c>
      <c r="BE124" s="51" t="str">
        <f aca="false">IF(BB124="","",IFERROR(CHOOSE($P$10,INDEX('NOTES CM2'!$M$10:$M$250,MATCH(BB124,'NOTES CM2'!$B$10:$B$250,0)),INDEX('NOTES CM2'!$T$10:$T$250,MATCH(BB124,'NOTES CM2'!$B$10:$B$250,0)),INDEX('NOTES CM2'!$AB$10:$AB$250,MATCH(BB124,'NOTES CM2'!$B$10:$B$250,0)),INDEX('NOTES CM2'!$AJ$10:$AJ$250,MATCH(BB124,'NOTES CM2'!$B$10:$B$250,0))),""))</f>
        <v/>
      </c>
      <c r="BF124" s="51" t="str">
        <f aca="false">IF(ISNUMBER(BE124),BE124+(1000-4)/1000000,"")</f>
        <v/>
      </c>
      <c r="BG124" s="51" t="str">
        <f aca="false">IF(BB124="","",IFERROR(CHOOSE($P$10,INDEX('NOTES CM2'!$G$10:$G$250,MATCH(BB124,'NOTES CM2'!$B$10:$B$250,0)),INDEX('NOTES CM2'!$N$10:$N$250,MATCH(BB124,'NOTES CM2'!$B$10:$B$250,0)),INDEX('NOTES CM2'!$U$10:$U$250,MATCH(BB124,'NOTES CM2'!$B$10:$B$250,0)),INDEX('NOTES CM2'!$AC$10:$AC$250,MATCH(BB124,'NOTES CM2'!$B$10:$B$250,0))),""))</f>
        <v/>
      </c>
    </row>
    <row r="125" customFormat="false" ht="15" hidden="false" customHeight="false" outlineLevel="0" collapsed="false">
      <c r="R125" s="51" t="n">
        <f aca="false">IFERROR(MATCH("CP1-5",'REGISTRE ELEVES'!$AG$10:$AG$250,0),"")</f>
        <v>5</v>
      </c>
      <c r="S125" s="51" t="str">
        <f aca="false">IF(R125="","",INDEX('REGISTRE ELEVES'!$B$10:$B$250,R125))</f>
        <v>CP1-005-26</v>
      </c>
      <c r="T125" s="51" t="str">
        <f aca="false">IF(R125="","",INDEX('REGISTRE ELEVES'!$D$10:$D$250,R125))</f>
        <v>KOFFI Awa Akissi</v>
      </c>
      <c r="U125" s="51" t="str">
        <f aca="false">IF(R125="","",INDEX('REGISTRE ELEVES'!$E$10:$E$250,R125))</f>
        <v>F</v>
      </c>
      <c r="V125" s="51" t="str">
        <f aca="false">IF(S125="","",IFERROR(CHOOSE($P$8,INDEX('NOTES CP'!$P$10:$P$250,MATCH(S125,'NOTES CP'!$B$10:$B$250,0)),INDEX('NOTES CP'!$Z$10:$Z$250,MATCH(S125,'NOTES CP'!$B$10:$B$250,0)),INDEX('NOTES CP'!$AJ$10:$AJ$250,MATCH(S125,'NOTES CP'!$B$10:$B$250,0)),INDEX('NOTES CP'!$AT$10:$AT$250,MATCH(S125,'NOTES CP'!$B$10:$B$250,0))),""))</f>
        <v/>
      </c>
      <c r="W125" s="51" t="str">
        <f aca="false">IF(ISNUMBER(V125),V125+(1000-5)/1000000,"")</f>
        <v/>
      </c>
      <c r="X125" s="51" t="str">
        <f aca="false">IF(S125="","",IFERROR(CHOOSE($P$8,INDEX('NOTES CP'!$G$10:$G$250,MATCH(S125,'NOTES CP'!$B$10:$B$250,0)),INDEX('NOTES CP'!$Q$10:$Q$250,MATCH(S125,'NOTES CP'!$B$10:$B$250,0)),INDEX('NOTES CP'!$AA$10:$AA$250,MATCH(S125,'NOTES CP'!$B$10:$B$250,0)),INDEX('NOTES CP'!$AK$10:$AK$250,MATCH(S125,'NOTES CP'!$B$10:$B$250,0))),""))</f>
        <v/>
      </c>
      <c r="Y125" s="51" t="n">
        <f aca="false">IFERROR(MATCH("CP2-5",'REGISTRE ELEVES'!$AG$10:$AG$250,0),"")</f>
        <v>16</v>
      </c>
      <c r="Z125" s="51" t="str">
        <f aca="false">IF(Y125="","",INDEX('REGISTRE ELEVES'!$B$10:$B$250,Y125))</f>
        <v>CP2-005-26</v>
      </c>
      <c r="AA125" s="51" t="str">
        <f aca="false">IF(Y125="","",INDEX('REGISTRE ELEVES'!$D$10:$D$250,Y125))</f>
        <v>KONE Kouadio Ismaël</v>
      </c>
      <c r="AB125" s="51" t="str">
        <f aca="false">IF(Y125="","",INDEX('REGISTRE ELEVES'!$E$10:$E$250,Y125))</f>
        <v>M</v>
      </c>
      <c r="AC125" s="51" t="str">
        <f aca="false">IF(Z125="","",IFERROR(CHOOSE($P$8,INDEX('NOTES CP'!$P$10:$P$250,MATCH(Z125,'NOTES CP'!$B$10:$B$250,0)),INDEX('NOTES CP'!$Z$10:$Z$250,MATCH(Z125,'NOTES CP'!$B$10:$B$250,0)),INDEX('NOTES CP'!$AJ$10:$AJ$250,MATCH(Z125,'NOTES CP'!$B$10:$B$250,0)),INDEX('NOTES CP'!$AT$10:$AT$250,MATCH(Z125,'NOTES CP'!$B$10:$B$250,0))),""))</f>
        <v/>
      </c>
      <c r="AD125" s="51" t="str">
        <f aca="false">IF(ISNUMBER(AC125),AC125+(1000-5)/1000000,"")</f>
        <v/>
      </c>
      <c r="AE125" s="51" t="str">
        <f aca="false">IF(Z125="","",IFERROR(CHOOSE($P$8,INDEX('NOTES CP'!$G$10:$G$250,MATCH(Z125,'NOTES CP'!$B$10:$B$250,0)),INDEX('NOTES CP'!$Q$10:$Q$250,MATCH(Z125,'NOTES CP'!$B$10:$B$250,0)),INDEX('NOTES CP'!$AA$10:$AA$250,MATCH(Z125,'NOTES CP'!$B$10:$B$250,0)),INDEX('NOTES CP'!$AK$10:$AK$250,MATCH(Z125,'NOTES CP'!$B$10:$B$250,0))),""))</f>
        <v/>
      </c>
      <c r="AF125" s="51" t="n">
        <f aca="false">IFERROR(MATCH("CE1-5",'REGISTRE ELEVES'!$AG$10:$AG$250,0),"")</f>
        <v>28</v>
      </c>
      <c r="AG125" s="51" t="str">
        <f aca="false">IF(AF125="","",INDEX('REGISTRE ELEVES'!$B$10:$B$250,AF125))</f>
        <v>CE1-005-26</v>
      </c>
      <c r="AH125" s="51" t="str">
        <f aca="false">IF(AF125="","",INDEX('REGISTRE ELEVES'!$D$10:$D$250,AF125))</f>
        <v>YAO Kouakou Konan</v>
      </c>
      <c r="AI125" s="51" t="str">
        <f aca="false">IF(AF125="","",INDEX('REGISTRE ELEVES'!$E$10:$E$250,AF125))</f>
        <v>M</v>
      </c>
      <c r="AJ125" s="51" t="str">
        <f aca="false">IF(AG125="","",IFERROR(CHOOSE($P$8,INDEX('NOTES CE1'!$M$10:$M$250,MATCH(AG125,'NOTES CE1'!$B$10:$B$250,0)),INDEX('NOTES CE1'!$T$10:$T$250,MATCH(AG125,'NOTES CE1'!$B$10:$B$250,0)),INDEX('NOTES CE1'!$AA$10:$AA$250,MATCH(AG125,'NOTES CE1'!$B$10:$B$250,0)),INDEX('NOTES CE1'!$AH$10:$AH$250,MATCH(AG125,'NOTES CE1'!$B$10:$B$250,0))),""))</f>
        <v/>
      </c>
      <c r="AK125" s="51" t="str">
        <f aca="false">IF(ISNUMBER(AJ125),AJ125+(1000-5)/1000000,"")</f>
        <v/>
      </c>
      <c r="AL125" s="51" t="str">
        <f aca="false">IF(AG125="","",IFERROR(CHOOSE($P$8,INDEX('NOTES CE1'!$G$10:$G$250,MATCH(AG125,'NOTES CE1'!$B$10:$B$250,0)),INDEX('NOTES CE1'!$N$10:$N$250,MATCH(AG125,'NOTES CE1'!$B$10:$B$250,0)),INDEX('NOTES CE1'!$U$10:$U$250,MATCH(AG125,'NOTES CE1'!$B$10:$B$250,0)),INDEX('NOTES CE1'!$AB$10:$AB$250,MATCH(AG125,'NOTES CE1'!$B$10:$B$250,0))),""))</f>
        <v/>
      </c>
      <c r="AM125" s="51" t="n">
        <f aca="false">IFERROR(MATCH("CE2-5",'REGISTRE ELEVES'!$AG$10:$AG$250,0),"")</f>
        <v>37</v>
      </c>
      <c r="AN125" s="51" t="str">
        <f aca="false">IF(AM125="","",INDEX('REGISTRE ELEVES'!$B$10:$B$250,AM125))</f>
        <v>CE2-005-26</v>
      </c>
      <c r="AO125" s="51" t="str">
        <f aca="false">IF(AM125="","",INDEX('REGISTRE ELEVES'!$D$10:$D$250,AM125))</f>
        <v>GNAGNE Yao Abdoulaye</v>
      </c>
      <c r="AP125" s="51" t="str">
        <f aca="false">IF(AM125="","",INDEX('REGISTRE ELEVES'!$E$10:$E$250,AM125))</f>
        <v>M</v>
      </c>
      <c r="AQ125" s="51" t="str">
        <f aca="false">IF(AN125="","",IFERROR(CHOOSE($P$8,INDEX('NOTES CE2-CM1'!$M$10:$M$250,MATCH(AN125,'NOTES CE2-CM1'!$B$10:$B$250,0)),INDEX('NOTES CE2-CM1'!$T$10:$T$250,MATCH(AN125,'NOTES CE2-CM1'!$B$10:$B$250,0)),INDEX('NOTES CE2-CM1'!$AA$10:$AA$250,MATCH(AN125,'NOTES CE2-CM1'!$B$10:$B$250,0)),INDEX('NOTES CE2-CM1'!$AH$10:$AH$250,MATCH(AN125,'NOTES CE2-CM1'!$B$10:$B$250,0))),""))</f>
        <v/>
      </c>
      <c r="AR125" s="51" t="str">
        <f aca="false">IF(ISNUMBER(AQ125),AQ125+(1000-5)/1000000,"")</f>
        <v/>
      </c>
      <c r="AS125" s="51" t="str">
        <f aca="false">IF(AN125="","",IFERROR(CHOOSE($P$8,INDEX('NOTES CE2-CM1'!$G$10:$G$250,MATCH(AN125,'NOTES CE2-CM1'!$B$10:$B$250,0)),INDEX('NOTES CE2-CM1'!$N$10:$N$250,MATCH(AN125,'NOTES CE2-CM1'!$B$10:$B$250,0)),INDEX('NOTES CE2-CM1'!$U$10:$U$250,MATCH(AN125,'NOTES CE2-CM1'!$B$10:$B$250,0)),INDEX('NOTES CE2-CM1'!$AB$10:$AB$250,MATCH(AN125,'NOTES CE2-CM1'!$B$10:$B$250,0))),""))</f>
        <v/>
      </c>
      <c r="AT125" s="51" t="n">
        <f aca="false">IFERROR(MATCH("CM1-5",'REGISTRE ELEVES'!$AG$10:$AG$250,0),"")</f>
        <v>49</v>
      </c>
      <c r="AU125" s="51" t="str">
        <f aca="false">IF(AT125="","",INDEX('REGISTRE ELEVES'!$B$10:$B$250,AT125))</f>
        <v>CM1-005-26</v>
      </c>
      <c r="AV125" s="51" t="str">
        <f aca="false">IF(AT125="","",INDEX('REGISTRE ELEVES'!$D$10:$D$250,AT125))</f>
        <v>SERI Konan Franck</v>
      </c>
      <c r="AW125" s="51" t="str">
        <f aca="false">IF(AT125="","",INDEX('REGISTRE ELEVES'!$E$10:$E$250,AT125))</f>
        <v>M</v>
      </c>
      <c r="AX125" s="51" t="str">
        <f aca="false">IF(AU125="","",IFERROR(CHOOSE($P$8,INDEX('NOTES CE2-CM1'!$M$10:$M$250,MATCH(AU125,'NOTES CE2-CM1'!$B$10:$B$250,0)),INDEX('NOTES CE2-CM1'!$T$10:$T$250,MATCH(AU125,'NOTES CE2-CM1'!$B$10:$B$250,0)),INDEX('NOTES CE2-CM1'!$AA$10:$AA$250,MATCH(AU125,'NOTES CE2-CM1'!$B$10:$B$250,0)),INDEX('NOTES CE2-CM1'!$AH$10:$AH$250,MATCH(AU125,'NOTES CE2-CM1'!$B$10:$B$250,0))),""))</f>
        <v/>
      </c>
      <c r="AY125" s="51" t="str">
        <f aca="false">IF(ISNUMBER(AX125),AX125+(1000-5)/1000000,"")</f>
        <v/>
      </c>
      <c r="AZ125" s="51" t="str">
        <f aca="false">IF(AU125="","",IFERROR(CHOOSE($P$8,INDEX('NOTES CE2-CM1'!$G$10:$G$250,MATCH(AU125,'NOTES CE2-CM1'!$B$10:$B$250,0)),INDEX('NOTES CE2-CM1'!$N$10:$N$250,MATCH(AU125,'NOTES CE2-CM1'!$B$10:$B$250,0)),INDEX('NOTES CE2-CM1'!$U$10:$U$250,MATCH(AU125,'NOTES CE2-CM1'!$B$10:$B$250,0)),INDEX('NOTES CE2-CM1'!$AB$10:$AB$250,MATCH(AU125,'NOTES CE2-CM1'!$B$10:$B$250,0))),""))</f>
        <v/>
      </c>
      <c r="BA125" s="51" t="n">
        <f aca="false">IFERROR(MATCH("CM2-5",'REGISTRE ELEVES'!$AG$10:$AG$250,0),"")</f>
        <v>60</v>
      </c>
      <c r="BB125" s="51" t="str">
        <f aca="false">IF(BA125="","",INDEX('REGISTRE ELEVES'!$B$10:$B$250,BA125))</f>
        <v>CM2-005-26</v>
      </c>
      <c r="BC125" s="51" t="str">
        <f aca="false">IF(BA125="","",INDEX('REGISTRE ELEVES'!$D$10:$D$250,BA125))</f>
        <v>SERI Awa Mariam</v>
      </c>
      <c r="BD125" s="51" t="str">
        <f aca="false">IF(BA125="","",INDEX('REGISTRE ELEVES'!$E$10:$E$250,BA125))</f>
        <v>F</v>
      </c>
      <c r="BE125" s="51" t="str">
        <f aca="false">IF(BB125="","",IFERROR(CHOOSE($P$10,INDEX('NOTES CM2'!$M$10:$M$250,MATCH(BB125,'NOTES CM2'!$B$10:$B$250,0)),INDEX('NOTES CM2'!$T$10:$T$250,MATCH(BB125,'NOTES CM2'!$B$10:$B$250,0)),INDEX('NOTES CM2'!$AB$10:$AB$250,MATCH(BB125,'NOTES CM2'!$B$10:$B$250,0)),INDEX('NOTES CM2'!$AJ$10:$AJ$250,MATCH(BB125,'NOTES CM2'!$B$10:$B$250,0))),""))</f>
        <v/>
      </c>
      <c r="BF125" s="51" t="str">
        <f aca="false">IF(ISNUMBER(BE125),BE125+(1000-5)/1000000,"")</f>
        <v/>
      </c>
      <c r="BG125" s="51" t="str">
        <f aca="false">IF(BB125="","",IFERROR(CHOOSE($P$10,INDEX('NOTES CM2'!$G$10:$G$250,MATCH(BB125,'NOTES CM2'!$B$10:$B$250,0)),INDEX('NOTES CM2'!$N$10:$N$250,MATCH(BB125,'NOTES CM2'!$B$10:$B$250,0)),INDEX('NOTES CM2'!$U$10:$U$250,MATCH(BB125,'NOTES CM2'!$B$10:$B$250,0)),INDEX('NOTES CM2'!$AC$10:$AC$250,MATCH(BB125,'NOTES CM2'!$B$10:$B$250,0))),""))</f>
        <v/>
      </c>
    </row>
    <row r="126" customFormat="false" ht="15" hidden="false" customHeight="false" outlineLevel="0" collapsed="false">
      <c r="R126" s="51" t="n">
        <f aca="false">IFERROR(MATCH("CP1-6",'REGISTRE ELEVES'!$AG$10:$AG$250,0),"")</f>
        <v>6</v>
      </c>
      <c r="S126" s="51" t="str">
        <f aca="false">IF(R126="","",INDEX('REGISTRE ELEVES'!$B$10:$B$250,R126))</f>
        <v>CP1-006-26</v>
      </c>
      <c r="T126" s="51" t="str">
        <f aca="false">IF(R126="","",INDEX('REGISTRE ELEVES'!$D$10:$D$250,R126))</f>
        <v>GBOGOU Marie-Ange Estelle</v>
      </c>
      <c r="U126" s="51" t="str">
        <f aca="false">IF(R126="","",INDEX('REGISTRE ELEVES'!$E$10:$E$250,R126))</f>
        <v>F</v>
      </c>
      <c r="V126" s="51" t="str">
        <f aca="false">IF(S126="","",IFERROR(CHOOSE($P$8,INDEX('NOTES CP'!$P$10:$P$250,MATCH(S126,'NOTES CP'!$B$10:$B$250,0)),INDEX('NOTES CP'!$Z$10:$Z$250,MATCH(S126,'NOTES CP'!$B$10:$B$250,0)),INDEX('NOTES CP'!$AJ$10:$AJ$250,MATCH(S126,'NOTES CP'!$B$10:$B$250,0)),INDEX('NOTES CP'!$AT$10:$AT$250,MATCH(S126,'NOTES CP'!$B$10:$B$250,0))),""))</f>
        <v/>
      </c>
      <c r="W126" s="51" t="str">
        <f aca="false">IF(ISNUMBER(V126),V126+(1000-6)/1000000,"")</f>
        <v/>
      </c>
      <c r="X126" s="51" t="str">
        <f aca="false">IF(S126="","",IFERROR(CHOOSE($P$8,INDEX('NOTES CP'!$G$10:$G$250,MATCH(S126,'NOTES CP'!$B$10:$B$250,0)),INDEX('NOTES CP'!$Q$10:$Q$250,MATCH(S126,'NOTES CP'!$B$10:$B$250,0)),INDEX('NOTES CP'!$AA$10:$AA$250,MATCH(S126,'NOTES CP'!$B$10:$B$250,0)),INDEX('NOTES CP'!$AK$10:$AK$250,MATCH(S126,'NOTES CP'!$B$10:$B$250,0))),""))</f>
        <v/>
      </c>
      <c r="Y126" s="51" t="n">
        <f aca="false">IFERROR(MATCH("CP2-6",'REGISTRE ELEVES'!$AG$10:$AG$250,0),"")</f>
        <v>17</v>
      </c>
      <c r="Z126" s="51" t="str">
        <f aca="false">IF(Y126="","",INDEX('REGISTRE ELEVES'!$B$10:$B$250,Y126))</f>
        <v>CP2-006-26</v>
      </c>
      <c r="AA126" s="51" t="str">
        <f aca="false">IF(Y126="","",INDEX('REGISTRE ELEVES'!$D$10:$D$250,Y126))</f>
        <v>DIABATE Moussa Franck</v>
      </c>
      <c r="AB126" s="51" t="str">
        <f aca="false">IF(Y126="","",INDEX('REGISTRE ELEVES'!$E$10:$E$250,Y126))</f>
        <v>M</v>
      </c>
      <c r="AC126" s="51" t="str">
        <f aca="false">IF(Z126="","",IFERROR(CHOOSE($P$8,INDEX('NOTES CP'!$P$10:$P$250,MATCH(Z126,'NOTES CP'!$B$10:$B$250,0)),INDEX('NOTES CP'!$Z$10:$Z$250,MATCH(Z126,'NOTES CP'!$B$10:$B$250,0)),INDEX('NOTES CP'!$AJ$10:$AJ$250,MATCH(Z126,'NOTES CP'!$B$10:$B$250,0)),INDEX('NOTES CP'!$AT$10:$AT$250,MATCH(Z126,'NOTES CP'!$B$10:$B$250,0))),""))</f>
        <v/>
      </c>
      <c r="AD126" s="51" t="str">
        <f aca="false">IF(ISNUMBER(AC126),AC126+(1000-6)/1000000,"")</f>
        <v/>
      </c>
      <c r="AE126" s="51" t="str">
        <f aca="false">IF(Z126="","",IFERROR(CHOOSE($P$8,INDEX('NOTES CP'!$G$10:$G$250,MATCH(Z126,'NOTES CP'!$B$10:$B$250,0)),INDEX('NOTES CP'!$Q$10:$Q$250,MATCH(Z126,'NOTES CP'!$B$10:$B$250,0)),INDEX('NOTES CP'!$AA$10:$AA$250,MATCH(Z126,'NOTES CP'!$B$10:$B$250,0)),INDEX('NOTES CP'!$AK$10:$AK$250,MATCH(Z126,'NOTES CP'!$B$10:$B$250,0))),""))</f>
        <v/>
      </c>
      <c r="AF126" s="51" t="n">
        <f aca="false">IFERROR(MATCH("CE1-6",'REGISTRE ELEVES'!$AG$10:$AG$250,0),"")</f>
        <v>29</v>
      </c>
      <c r="AG126" s="51" t="str">
        <f aca="false">IF(AF126="","",INDEX('REGISTRE ELEVES'!$B$10:$B$250,AF126))</f>
        <v>CE1-006-26</v>
      </c>
      <c r="AH126" s="51" t="str">
        <f aca="false">IF(AF126="","",INDEX('REGISTRE ELEVES'!$D$10:$D$250,AF126))</f>
        <v>SORO Cédric Emmanuel</v>
      </c>
      <c r="AI126" s="51" t="str">
        <f aca="false">IF(AF126="","",INDEX('REGISTRE ELEVES'!$E$10:$E$250,AF126))</f>
        <v>M</v>
      </c>
      <c r="AJ126" s="51" t="str">
        <f aca="false">IF(AG126="","",IFERROR(CHOOSE($P$8,INDEX('NOTES CE1'!$M$10:$M$250,MATCH(AG126,'NOTES CE1'!$B$10:$B$250,0)),INDEX('NOTES CE1'!$T$10:$T$250,MATCH(AG126,'NOTES CE1'!$B$10:$B$250,0)),INDEX('NOTES CE1'!$AA$10:$AA$250,MATCH(AG126,'NOTES CE1'!$B$10:$B$250,0)),INDEX('NOTES CE1'!$AH$10:$AH$250,MATCH(AG126,'NOTES CE1'!$B$10:$B$250,0))),""))</f>
        <v/>
      </c>
      <c r="AK126" s="51" t="str">
        <f aca="false">IF(ISNUMBER(AJ126),AJ126+(1000-6)/1000000,"")</f>
        <v/>
      </c>
      <c r="AL126" s="51" t="str">
        <f aca="false">IF(AG126="","",IFERROR(CHOOSE($P$8,INDEX('NOTES CE1'!$G$10:$G$250,MATCH(AG126,'NOTES CE1'!$B$10:$B$250,0)),INDEX('NOTES CE1'!$N$10:$N$250,MATCH(AG126,'NOTES CE1'!$B$10:$B$250,0)),INDEX('NOTES CE1'!$U$10:$U$250,MATCH(AG126,'NOTES CE1'!$B$10:$B$250,0)),INDEX('NOTES CE1'!$AB$10:$AB$250,MATCH(AG126,'NOTES CE1'!$B$10:$B$250,0))),""))</f>
        <v/>
      </c>
      <c r="AM126" s="51" t="n">
        <f aca="false">IFERROR(MATCH("CE2-6",'REGISTRE ELEVES'!$AG$10:$AG$250,0),"")</f>
        <v>38</v>
      </c>
      <c r="AN126" s="51" t="str">
        <f aca="false">IF(AM126="","",INDEX('REGISTRE ELEVES'!$B$10:$B$250,AM126))</f>
        <v>CE2-006-26</v>
      </c>
      <c r="AO126" s="51" t="str">
        <f aca="false">IF(AM126="","",INDEX('REGISTRE ELEVES'!$D$10:$D$250,AM126))</f>
        <v>LOBA Aya Rebecca</v>
      </c>
      <c r="AP126" s="51" t="str">
        <f aca="false">IF(AM126="","",INDEX('REGISTRE ELEVES'!$E$10:$E$250,AM126))</f>
        <v>F</v>
      </c>
      <c r="AQ126" s="51" t="str">
        <f aca="false">IF(AN126="","",IFERROR(CHOOSE($P$8,INDEX('NOTES CE2-CM1'!$M$10:$M$250,MATCH(AN126,'NOTES CE2-CM1'!$B$10:$B$250,0)),INDEX('NOTES CE2-CM1'!$T$10:$T$250,MATCH(AN126,'NOTES CE2-CM1'!$B$10:$B$250,0)),INDEX('NOTES CE2-CM1'!$AA$10:$AA$250,MATCH(AN126,'NOTES CE2-CM1'!$B$10:$B$250,0)),INDEX('NOTES CE2-CM1'!$AH$10:$AH$250,MATCH(AN126,'NOTES CE2-CM1'!$B$10:$B$250,0))),""))</f>
        <v/>
      </c>
      <c r="AR126" s="51" t="str">
        <f aca="false">IF(ISNUMBER(AQ126),AQ126+(1000-6)/1000000,"")</f>
        <v/>
      </c>
      <c r="AS126" s="51" t="str">
        <f aca="false">IF(AN126="","",IFERROR(CHOOSE($P$8,INDEX('NOTES CE2-CM1'!$G$10:$G$250,MATCH(AN126,'NOTES CE2-CM1'!$B$10:$B$250,0)),INDEX('NOTES CE2-CM1'!$N$10:$N$250,MATCH(AN126,'NOTES CE2-CM1'!$B$10:$B$250,0)),INDEX('NOTES CE2-CM1'!$U$10:$U$250,MATCH(AN126,'NOTES CE2-CM1'!$B$10:$B$250,0)),INDEX('NOTES CE2-CM1'!$AB$10:$AB$250,MATCH(AN126,'NOTES CE2-CM1'!$B$10:$B$250,0))),""))</f>
        <v/>
      </c>
      <c r="AT126" s="51" t="n">
        <f aca="false">IFERROR(MATCH("CM1-6",'REGISTRE ELEVES'!$AG$10:$AG$250,0),"")</f>
        <v>50</v>
      </c>
      <c r="AU126" s="51" t="str">
        <f aca="false">IF(AT126="","",INDEX('REGISTRE ELEVES'!$B$10:$B$250,AT126))</f>
        <v>CM1-006-26</v>
      </c>
      <c r="AV126" s="51" t="str">
        <f aca="false">IF(AT126="","",INDEX('REGISTRE ELEVES'!$D$10:$D$250,AT126))</f>
        <v>N'GUESSAN Jean-Marc Junior</v>
      </c>
      <c r="AW126" s="51" t="str">
        <f aca="false">IF(AT126="","",INDEX('REGISTRE ELEVES'!$E$10:$E$250,AT126))</f>
        <v>M</v>
      </c>
      <c r="AX126" s="51" t="str">
        <f aca="false">IF(AU126="","",IFERROR(CHOOSE($P$8,INDEX('NOTES CE2-CM1'!$M$10:$M$250,MATCH(AU126,'NOTES CE2-CM1'!$B$10:$B$250,0)),INDEX('NOTES CE2-CM1'!$T$10:$T$250,MATCH(AU126,'NOTES CE2-CM1'!$B$10:$B$250,0)),INDEX('NOTES CE2-CM1'!$AA$10:$AA$250,MATCH(AU126,'NOTES CE2-CM1'!$B$10:$B$250,0)),INDEX('NOTES CE2-CM1'!$AH$10:$AH$250,MATCH(AU126,'NOTES CE2-CM1'!$B$10:$B$250,0))),""))</f>
        <v/>
      </c>
      <c r="AY126" s="51" t="str">
        <f aca="false">IF(ISNUMBER(AX126),AX126+(1000-6)/1000000,"")</f>
        <v/>
      </c>
      <c r="AZ126" s="51" t="str">
        <f aca="false">IF(AU126="","",IFERROR(CHOOSE($P$8,INDEX('NOTES CE2-CM1'!$G$10:$G$250,MATCH(AU126,'NOTES CE2-CM1'!$B$10:$B$250,0)),INDEX('NOTES CE2-CM1'!$N$10:$N$250,MATCH(AU126,'NOTES CE2-CM1'!$B$10:$B$250,0)),INDEX('NOTES CE2-CM1'!$U$10:$U$250,MATCH(AU126,'NOTES CE2-CM1'!$B$10:$B$250,0)),INDEX('NOTES CE2-CM1'!$AB$10:$AB$250,MATCH(AU126,'NOTES CE2-CM1'!$B$10:$B$250,0))),""))</f>
        <v/>
      </c>
      <c r="BA126" s="51" t="n">
        <f aca="false">IFERROR(MATCH("CM2-6",'REGISTRE ELEVES'!$AG$10:$AG$250,0),"")</f>
        <v>61</v>
      </c>
      <c r="BB126" s="51" t="str">
        <f aca="false">IF(BA126="","",INDEX('REGISTRE ELEVES'!$B$10:$B$250,BA126))</f>
        <v>CM2-006-26</v>
      </c>
      <c r="BC126" s="51" t="str">
        <f aca="false">IF(BA126="","",INDEX('REGISTRE ELEVES'!$D$10:$D$250,BA126))</f>
        <v>TANOH Akissi Rebecca</v>
      </c>
      <c r="BD126" s="51" t="str">
        <f aca="false">IF(BA126="","",INDEX('REGISTRE ELEVES'!$E$10:$E$250,BA126))</f>
        <v>F</v>
      </c>
      <c r="BE126" s="51" t="str">
        <f aca="false">IF(BB126="","",IFERROR(CHOOSE($P$10,INDEX('NOTES CM2'!$M$10:$M$250,MATCH(BB126,'NOTES CM2'!$B$10:$B$250,0)),INDEX('NOTES CM2'!$T$10:$T$250,MATCH(BB126,'NOTES CM2'!$B$10:$B$250,0)),INDEX('NOTES CM2'!$AB$10:$AB$250,MATCH(BB126,'NOTES CM2'!$B$10:$B$250,0)),INDEX('NOTES CM2'!$AJ$10:$AJ$250,MATCH(BB126,'NOTES CM2'!$B$10:$B$250,0))),""))</f>
        <v/>
      </c>
      <c r="BF126" s="51" t="str">
        <f aca="false">IF(ISNUMBER(BE126),BE126+(1000-6)/1000000,"")</f>
        <v/>
      </c>
      <c r="BG126" s="51" t="str">
        <f aca="false">IF(BB126="","",IFERROR(CHOOSE($P$10,INDEX('NOTES CM2'!$G$10:$G$250,MATCH(BB126,'NOTES CM2'!$B$10:$B$250,0)),INDEX('NOTES CM2'!$N$10:$N$250,MATCH(BB126,'NOTES CM2'!$B$10:$B$250,0)),INDEX('NOTES CM2'!$U$10:$U$250,MATCH(BB126,'NOTES CM2'!$B$10:$B$250,0)),INDEX('NOTES CM2'!$AC$10:$AC$250,MATCH(BB126,'NOTES CM2'!$B$10:$B$250,0))),""))</f>
        <v/>
      </c>
    </row>
    <row r="127" customFormat="false" ht="15" hidden="false" customHeight="false" outlineLevel="0" collapsed="false">
      <c r="R127" s="51" t="n">
        <f aca="false">IFERROR(MATCH("CP1-7",'REGISTRE ELEVES'!$AG$10:$AG$250,0),"")</f>
        <v>7</v>
      </c>
      <c r="S127" s="51" t="str">
        <f aca="false">IF(R127="","",INDEX('REGISTRE ELEVES'!$B$10:$B$250,R127))</f>
        <v>CP1-007-26</v>
      </c>
      <c r="T127" s="51" t="str">
        <f aca="false">IF(R127="","",INDEX('REGISTRE ELEVES'!$D$10:$D$250,R127))</f>
        <v>LOBA Amenan Affoué</v>
      </c>
      <c r="U127" s="51" t="str">
        <f aca="false">IF(R127="","",INDEX('REGISTRE ELEVES'!$E$10:$E$250,R127))</f>
        <v>F</v>
      </c>
      <c r="V127" s="51" t="str">
        <f aca="false">IF(S127="","",IFERROR(CHOOSE($P$8,INDEX('NOTES CP'!$P$10:$P$250,MATCH(S127,'NOTES CP'!$B$10:$B$250,0)),INDEX('NOTES CP'!$Z$10:$Z$250,MATCH(S127,'NOTES CP'!$B$10:$B$250,0)),INDEX('NOTES CP'!$AJ$10:$AJ$250,MATCH(S127,'NOTES CP'!$B$10:$B$250,0)),INDEX('NOTES CP'!$AT$10:$AT$250,MATCH(S127,'NOTES CP'!$B$10:$B$250,0))),""))</f>
        <v/>
      </c>
      <c r="W127" s="51" t="str">
        <f aca="false">IF(ISNUMBER(V127),V127+(1000-7)/1000000,"")</f>
        <v/>
      </c>
      <c r="X127" s="51" t="str">
        <f aca="false">IF(S127="","",IFERROR(CHOOSE($P$8,INDEX('NOTES CP'!$G$10:$G$250,MATCH(S127,'NOTES CP'!$B$10:$B$250,0)),INDEX('NOTES CP'!$Q$10:$Q$250,MATCH(S127,'NOTES CP'!$B$10:$B$250,0)),INDEX('NOTES CP'!$AA$10:$AA$250,MATCH(S127,'NOTES CP'!$B$10:$B$250,0)),INDEX('NOTES CP'!$AK$10:$AK$250,MATCH(S127,'NOTES CP'!$B$10:$B$250,0))),""))</f>
        <v/>
      </c>
      <c r="Y127" s="51" t="n">
        <f aca="false">IFERROR(MATCH("CP2-7",'REGISTRE ELEVES'!$AG$10:$AG$250,0),"")</f>
        <v>18</v>
      </c>
      <c r="Z127" s="51" t="str">
        <f aca="false">IF(Y127="","",INDEX('REGISTRE ELEVES'!$B$10:$B$250,Y127))</f>
        <v>CP2-007-26</v>
      </c>
      <c r="AA127" s="51" t="str">
        <f aca="false">IF(Y127="","",INDEX('REGISTRE ELEVES'!$D$10:$D$250,Y127))</f>
        <v>TRAORE Clarisse Awa</v>
      </c>
      <c r="AB127" s="51" t="str">
        <f aca="false">IF(Y127="","",INDEX('REGISTRE ELEVES'!$E$10:$E$250,Y127))</f>
        <v>F</v>
      </c>
      <c r="AC127" s="51" t="str">
        <f aca="false">IF(Z127="","",IFERROR(CHOOSE($P$8,INDEX('NOTES CP'!$P$10:$P$250,MATCH(Z127,'NOTES CP'!$B$10:$B$250,0)),INDEX('NOTES CP'!$Z$10:$Z$250,MATCH(Z127,'NOTES CP'!$B$10:$B$250,0)),INDEX('NOTES CP'!$AJ$10:$AJ$250,MATCH(Z127,'NOTES CP'!$B$10:$B$250,0)),INDEX('NOTES CP'!$AT$10:$AT$250,MATCH(Z127,'NOTES CP'!$B$10:$B$250,0))),""))</f>
        <v/>
      </c>
      <c r="AD127" s="51" t="str">
        <f aca="false">IF(ISNUMBER(AC127),AC127+(1000-7)/1000000,"")</f>
        <v/>
      </c>
      <c r="AE127" s="51" t="str">
        <f aca="false">IF(Z127="","",IFERROR(CHOOSE($P$8,INDEX('NOTES CP'!$G$10:$G$250,MATCH(Z127,'NOTES CP'!$B$10:$B$250,0)),INDEX('NOTES CP'!$Q$10:$Q$250,MATCH(Z127,'NOTES CP'!$B$10:$B$250,0)),INDEX('NOTES CP'!$AA$10:$AA$250,MATCH(Z127,'NOTES CP'!$B$10:$B$250,0)),INDEX('NOTES CP'!$AK$10:$AK$250,MATCH(Z127,'NOTES CP'!$B$10:$B$250,0))),""))</f>
        <v/>
      </c>
      <c r="AF127" s="51" t="n">
        <f aca="false">IFERROR(MATCH("CE1-7",'REGISTRE ELEVES'!$AG$10:$AG$250,0),"")</f>
        <v>30</v>
      </c>
      <c r="AG127" s="51" t="str">
        <f aca="false">IF(AF127="","",INDEX('REGISTRE ELEVES'!$B$10:$B$250,AF127))</f>
        <v>CE1-007-26</v>
      </c>
      <c r="AH127" s="51" t="str">
        <f aca="false">IF(AF127="","",INDEX('REGISTRE ELEVES'!$D$10:$D$250,AF127))</f>
        <v>KOUASSI Franck Kouakou</v>
      </c>
      <c r="AI127" s="51" t="str">
        <f aca="false">IF(AF127="","",INDEX('REGISTRE ELEVES'!$E$10:$E$250,AF127))</f>
        <v>M</v>
      </c>
      <c r="AJ127" s="51" t="str">
        <f aca="false">IF(AG127="","",IFERROR(CHOOSE($P$8,INDEX('NOTES CE1'!$M$10:$M$250,MATCH(AG127,'NOTES CE1'!$B$10:$B$250,0)),INDEX('NOTES CE1'!$T$10:$T$250,MATCH(AG127,'NOTES CE1'!$B$10:$B$250,0)),INDEX('NOTES CE1'!$AA$10:$AA$250,MATCH(AG127,'NOTES CE1'!$B$10:$B$250,0)),INDEX('NOTES CE1'!$AH$10:$AH$250,MATCH(AG127,'NOTES CE1'!$B$10:$B$250,0))),""))</f>
        <v/>
      </c>
      <c r="AK127" s="51" t="str">
        <f aca="false">IF(ISNUMBER(AJ127),AJ127+(1000-7)/1000000,"")</f>
        <v/>
      </c>
      <c r="AL127" s="51" t="str">
        <f aca="false">IF(AG127="","",IFERROR(CHOOSE($P$8,INDEX('NOTES CE1'!$G$10:$G$250,MATCH(AG127,'NOTES CE1'!$B$10:$B$250,0)),INDEX('NOTES CE1'!$N$10:$N$250,MATCH(AG127,'NOTES CE1'!$B$10:$B$250,0)),INDEX('NOTES CE1'!$U$10:$U$250,MATCH(AG127,'NOTES CE1'!$B$10:$B$250,0)),INDEX('NOTES CE1'!$AB$10:$AB$250,MATCH(AG127,'NOTES CE1'!$B$10:$B$250,0))),""))</f>
        <v/>
      </c>
      <c r="AM127" s="51" t="n">
        <f aca="false">IFERROR(MATCH("CE2-7",'REGISTRE ELEVES'!$AG$10:$AG$250,0),"")</f>
        <v>39</v>
      </c>
      <c r="AN127" s="51" t="str">
        <f aca="false">IF(AM127="","",INDEX('REGISTRE ELEVES'!$B$10:$B$250,AM127))</f>
        <v>CE2-007-26</v>
      </c>
      <c r="AO127" s="51" t="str">
        <f aca="false">IF(AM127="","",INDEX('REGISTRE ELEVES'!$D$10:$D$250,AM127))</f>
        <v>AKA Franck Moussa</v>
      </c>
      <c r="AP127" s="51" t="str">
        <f aca="false">IF(AM127="","",INDEX('REGISTRE ELEVES'!$E$10:$E$250,AM127))</f>
        <v>M</v>
      </c>
      <c r="AQ127" s="51" t="str">
        <f aca="false">IF(AN127="","",IFERROR(CHOOSE($P$8,INDEX('NOTES CE2-CM1'!$M$10:$M$250,MATCH(AN127,'NOTES CE2-CM1'!$B$10:$B$250,0)),INDEX('NOTES CE2-CM1'!$T$10:$T$250,MATCH(AN127,'NOTES CE2-CM1'!$B$10:$B$250,0)),INDEX('NOTES CE2-CM1'!$AA$10:$AA$250,MATCH(AN127,'NOTES CE2-CM1'!$B$10:$B$250,0)),INDEX('NOTES CE2-CM1'!$AH$10:$AH$250,MATCH(AN127,'NOTES CE2-CM1'!$B$10:$B$250,0))),""))</f>
        <v/>
      </c>
      <c r="AR127" s="51" t="str">
        <f aca="false">IF(ISNUMBER(AQ127),AQ127+(1000-7)/1000000,"")</f>
        <v/>
      </c>
      <c r="AS127" s="51" t="str">
        <f aca="false">IF(AN127="","",IFERROR(CHOOSE($P$8,INDEX('NOTES CE2-CM1'!$G$10:$G$250,MATCH(AN127,'NOTES CE2-CM1'!$B$10:$B$250,0)),INDEX('NOTES CE2-CM1'!$N$10:$N$250,MATCH(AN127,'NOTES CE2-CM1'!$B$10:$B$250,0)),INDEX('NOTES CE2-CM1'!$U$10:$U$250,MATCH(AN127,'NOTES CE2-CM1'!$B$10:$B$250,0)),INDEX('NOTES CE2-CM1'!$AB$10:$AB$250,MATCH(AN127,'NOTES CE2-CM1'!$B$10:$B$250,0))),""))</f>
        <v/>
      </c>
      <c r="AT127" s="51" t="n">
        <f aca="false">IFERROR(MATCH("CM1-7",'REGISTRE ELEVES'!$AG$10:$AG$250,0),"")</f>
        <v>51</v>
      </c>
      <c r="AU127" s="51" t="str">
        <f aca="false">IF(AT127="","",INDEX('REGISTRE ELEVES'!$B$10:$B$250,AT127))</f>
        <v>CM1-007-26</v>
      </c>
      <c r="AV127" s="51" t="str">
        <f aca="false">IF(AT127="","",INDEX('REGISTRE ELEVES'!$D$10:$D$250,AT127))</f>
        <v>DIGBEU Cédric Ismaël</v>
      </c>
      <c r="AW127" s="51" t="str">
        <f aca="false">IF(AT127="","",INDEX('REGISTRE ELEVES'!$E$10:$E$250,AT127))</f>
        <v>M</v>
      </c>
      <c r="AX127" s="51" t="str">
        <f aca="false">IF(AU127="","",IFERROR(CHOOSE($P$8,INDEX('NOTES CE2-CM1'!$M$10:$M$250,MATCH(AU127,'NOTES CE2-CM1'!$B$10:$B$250,0)),INDEX('NOTES CE2-CM1'!$T$10:$T$250,MATCH(AU127,'NOTES CE2-CM1'!$B$10:$B$250,0)),INDEX('NOTES CE2-CM1'!$AA$10:$AA$250,MATCH(AU127,'NOTES CE2-CM1'!$B$10:$B$250,0)),INDEX('NOTES CE2-CM1'!$AH$10:$AH$250,MATCH(AU127,'NOTES CE2-CM1'!$B$10:$B$250,0))),""))</f>
        <v/>
      </c>
      <c r="AY127" s="51" t="str">
        <f aca="false">IF(ISNUMBER(AX127),AX127+(1000-7)/1000000,"")</f>
        <v/>
      </c>
      <c r="AZ127" s="51" t="str">
        <f aca="false">IF(AU127="","",IFERROR(CHOOSE($P$8,INDEX('NOTES CE2-CM1'!$G$10:$G$250,MATCH(AU127,'NOTES CE2-CM1'!$B$10:$B$250,0)),INDEX('NOTES CE2-CM1'!$N$10:$N$250,MATCH(AU127,'NOTES CE2-CM1'!$B$10:$B$250,0)),INDEX('NOTES CE2-CM1'!$U$10:$U$250,MATCH(AU127,'NOTES CE2-CM1'!$B$10:$B$250,0)),INDEX('NOTES CE2-CM1'!$AB$10:$AB$250,MATCH(AU127,'NOTES CE2-CM1'!$B$10:$B$250,0))),""))</f>
        <v/>
      </c>
      <c r="BA127" s="51" t="n">
        <f aca="false">IFERROR(MATCH("CM2-7",'REGISTRE ELEVES'!$AG$10:$AG$250,0),"")</f>
        <v>62</v>
      </c>
      <c r="BB127" s="51" t="str">
        <f aca="false">IF(BA127="","",INDEX('REGISTRE ELEVES'!$B$10:$B$250,BA127))</f>
        <v>CM2-007-26</v>
      </c>
      <c r="BC127" s="51" t="str">
        <f aca="false">IF(BA127="","",INDEX('REGISTRE ELEVES'!$D$10:$D$250,BA127))</f>
        <v>COULIBALY Aya Fatoumata</v>
      </c>
      <c r="BD127" s="51" t="str">
        <f aca="false">IF(BA127="","",INDEX('REGISTRE ELEVES'!$E$10:$E$250,BA127))</f>
        <v>F</v>
      </c>
      <c r="BE127" s="51" t="str">
        <f aca="false">IF(BB127="","",IFERROR(CHOOSE($P$10,INDEX('NOTES CM2'!$M$10:$M$250,MATCH(BB127,'NOTES CM2'!$B$10:$B$250,0)),INDEX('NOTES CM2'!$T$10:$T$250,MATCH(BB127,'NOTES CM2'!$B$10:$B$250,0)),INDEX('NOTES CM2'!$AB$10:$AB$250,MATCH(BB127,'NOTES CM2'!$B$10:$B$250,0)),INDEX('NOTES CM2'!$AJ$10:$AJ$250,MATCH(BB127,'NOTES CM2'!$B$10:$B$250,0))),""))</f>
        <v/>
      </c>
      <c r="BF127" s="51" t="str">
        <f aca="false">IF(ISNUMBER(BE127),BE127+(1000-7)/1000000,"")</f>
        <v/>
      </c>
      <c r="BG127" s="51" t="str">
        <f aca="false">IF(BB127="","",IFERROR(CHOOSE($P$10,INDEX('NOTES CM2'!$G$10:$G$250,MATCH(BB127,'NOTES CM2'!$B$10:$B$250,0)),INDEX('NOTES CM2'!$N$10:$N$250,MATCH(BB127,'NOTES CM2'!$B$10:$B$250,0)),INDEX('NOTES CM2'!$U$10:$U$250,MATCH(BB127,'NOTES CM2'!$B$10:$B$250,0)),INDEX('NOTES CM2'!$AC$10:$AC$250,MATCH(BB127,'NOTES CM2'!$B$10:$B$250,0))),""))</f>
        <v/>
      </c>
    </row>
    <row r="128" customFormat="false" ht="15" hidden="false" customHeight="false" outlineLevel="0" collapsed="false">
      <c r="R128" s="51" t="n">
        <f aca="false">IFERROR(MATCH("CP1-8",'REGISTRE ELEVES'!$AG$10:$AG$250,0),"")</f>
        <v>8</v>
      </c>
      <c r="S128" s="51" t="str">
        <f aca="false">IF(R128="","",INDEX('REGISTRE ELEVES'!$B$10:$B$250,R128))</f>
        <v>CP1-008-26</v>
      </c>
      <c r="T128" s="51" t="str">
        <f aca="false">IF(R128="","",INDEX('REGISTRE ELEVES'!$D$10:$D$250,R128))</f>
        <v>TANOH Kouadio Konan</v>
      </c>
      <c r="U128" s="51" t="str">
        <f aca="false">IF(R128="","",INDEX('REGISTRE ELEVES'!$E$10:$E$250,R128))</f>
        <v>M</v>
      </c>
      <c r="V128" s="51" t="str">
        <f aca="false">IF(S128="","",IFERROR(CHOOSE($P$8,INDEX('NOTES CP'!$P$10:$P$250,MATCH(S128,'NOTES CP'!$B$10:$B$250,0)),INDEX('NOTES CP'!$Z$10:$Z$250,MATCH(S128,'NOTES CP'!$B$10:$B$250,0)),INDEX('NOTES CP'!$AJ$10:$AJ$250,MATCH(S128,'NOTES CP'!$B$10:$B$250,0)),INDEX('NOTES CP'!$AT$10:$AT$250,MATCH(S128,'NOTES CP'!$B$10:$B$250,0))),""))</f>
        <v/>
      </c>
      <c r="W128" s="51" t="str">
        <f aca="false">IF(ISNUMBER(V128),V128+(1000-8)/1000000,"")</f>
        <v/>
      </c>
      <c r="X128" s="51" t="str">
        <f aca="false">IF(S128="","",IFERROR(CHOOSE($P$8,INDEX('NOTES CP'!$G$10:$G$250,MATCH(S128,'NOTES CP'!$B$10:$B$250,0)),INDEX('NOTES CP'!$Q$10:$Q$250,MATCH(S128,'NOTES CP'!$B$10:$B$250,0)),INDEX('NOTES CP'!$AA$10:$AA$250,MATCH(S128,'NOTES CP'!$B$10:$B$250,0)),INDEX('NOTES CP'!$AK$10:$AK$250,MATCH(S128,'NOTES CP'!$B$10:$B$250,0))),""))</f>
        <v/>
      </c>
      <c r="Y128" s="51" t="n">
        <f aca="false">IFERROR(MATCH("CP2-8",'REGISTRE ELEVES'!$AG$10:$AG$250,0),"")</f>
        <v>19</v>
      </c>
      <c r="Z128" s="51" t="str">
        <f aca="false">IF(Y128="","",INDEX('REGISTRE ELEVES'!$B$10:$B$250,Y128))</f>
        <v>CP2-008-26</v>
      </c>
      <c r="AA128" s="51" t="str">
        <f aca="false">IF(Y128="","",INDEX('REGISTRE ELEVES'!$D$10:$D$250,Y128))</f>
        <v>KOUASSI Aya Marie-Ange</v>
      </c>
      <c r="AB128" s="51" t="str">
        <f aca="false">IF(Y128="","",INDEX('REGISTRE ELEVES'!$E$10:$E$250,Y128))</f>
        <v>F</v>
      </c>
      <c r="AC128" s="51" t="str">
        <f aca="false">IF(Z128="","",IFERROR(CHOOSE($P$8,INDEX('NOTES CP'!$P$10:$P$250,MATCH(Z128,'NOTES CP'!$B$10:$B$250,0)),INDEX('NOTES CP'!$Z$10:$Z$250,MATCH(Z128,'NOTES CP'!$B$10:$B$250,0)),INDEX('NOTES CP'!$AJ$10:$AJ$250,MATCH(Z128,'NOTES CP'!$B$10:$B$250,0)),INDEX('NOTES CP'!$AT$10:$AT$250,MATCH(Z128,'NOTES CP'!$B$10:$B$250,0))),""))</f>
        <v/>
      </c>
      <c r="AD128" s="51" t="str">
        <f aca="false">IF(ISNUMBER(AC128),AC128+(1000-8)/1000000,"")</f>
        <v/>
      </c>
      <c r="AE128" s="51" t="str">
        <f aca="false">IF(Z128="","",IFERROR(CHOOSE($P$8,INDEX('NOTES CP'!$G$10:$G$250,MATCH(Z128,'NOTES CP'!$B$10:$B$250,0)),INDEX('NOTES CP'!$Q$10:$Q$250,MATCH(Z128,'NOTES CP'!$B$10:$B$250,0)),INDEX('NOTES CP'!$AA$10:$AA$250,MATCH(Z128,'NOTES CP'!$B$10:$B$250,0)),INDEX('NOTES CP'!$AK$10:$AK$250,MATCH(Z128,'NOTES CP'!$B$10:$B$250,0))),""))</f>
        <v/>
      </c>
      <c r="AF128" s="51" t="n">
        <f aca="false">IFERROR(MATCH("CE1-8",'REGISTRE ELEVES'!$AG$10:$AG$250,0),"")</f>
        <v>31</v>
      </c>
      <c r="AG128" s="51" t="str">
        <f aca="false">IF(AF128="","",INDEX('REGISTRE ELEVES'!$B$10:$B$250,AF128))</f>
        <v>CE1-008-26</v>
      </c>
      <c r="AH128" s="51" t="str">
        <f aca="false">IF(AF128="","",INDEX('REGISTRE ELEVES'!$D$10:$D$250,AF128))</f>
        <v>BAMBA Mariam Amenan</v>
      </c>
      <c r="AI128" s="51" t="str">
        <f aca="false">IF(AF128="","",INDEX('REGISTRE ELEVES'!$E$10:$E$250,AF128))</f>
        <v>F</v>
      </c>
      <c r="AJ128" s="51" t="str">
        <f aca="false">IF(AG128="","",IFERROR(CHOOSE($P$8,INDEX('NOTES CE1'!$M$10:$M$250,MATCH(AG128,'NOTES CE1'!$B$10:$B$250,0)),INDEX('NOTES CE1'!$T$10:$T$250,MATCH(AG128,'NOTES CE1'!$B$10:$B$250,0)),INDEX('NOTES CE1'!$AA$10:$AA$250,MATCH(AG128,'NOTES CE1'!$B$10:$B$250,0)),INDEX('NOTES CE1'!$AH$10:$AH$250,MATCH(AG128,'NOTES CE1'!$B$10:$B$250,0))),""))</f>
        <v/>
      </c>
      <c r="AK128" s="51" t="str">
        <f aca="false">IF(ISNUMBER(AJ128),AJ128+(1000-8)/1000000,"")</f>
        <v/>
      </c>
      <c r="AL128" s="51" t="str">
        <f aca="false">IF(AG128="","",IFERROR(CHOOSE($P$8,INDEX('NOTES CE1'!$G$10:$G$250,MATCH(AG128,'NOTES CE1'!$B$10:$B$250,0)),INDEX('NOTES CE1'!$N$10:$N$250,MATCH(AG128,'NOTES CE1'!$B$10:$B$250,0)),INDEX('NOTES CE1'!$U$10:$U$250,MATCH(AG128,'NOTES CE1'!$B$10:$B$250,0)),INDEX('NOTES CE1'!$AB$10:$AB$250,MATCH(AG128,'NOTES CE1'!$B$10:$B$250,0))),""))</f>
        <v/>
      </c>
      <c r="AM128" s="51" t="n">
        <f aca="false">IFERROR(MATCH("CE2-8",'REGISTRE ELEVES'!$AG$10:$AG$250,0),"")</f>
        <v>40</v>
      </c>
      <c r="AN128" s="51" t="str">
        <f aca="false">IF(AM128="","",INDEX('REGISTRE ELEVES'!$B$10:$B$250,AM128))</f>
        <v>CE2-008-26</v>
      </c>
      <c r="AO128" s="51" t="str">
        <f aca="false">IF(AM128="","",INDEX('REGISTRE ELEVES'!$D$10:$D$250,AM128))</f>
        <v>N'GUESSAN Clarisse Affoué</v>
      </c>
      <c r="AP128" s="51" t="str">
        <f aca="false">IF(AM128="","",INDEX('REGISTRE ELEVES'!$E$10:$E$250,AM128))</f>
        <v>F</v>
      </c>
      <c r="AQ128" s="51" t="str">
        <f aca="false">IF(AN128="","",IFERROR(CHOOSE($P$8,INDEX('NOTES CE2-CM1'!$M$10:$M$250,MATCH(AN128,'NOTES CE2-CM1'!$B$10:$B$250,0)),INDEX('NOTES CE2-CM1'!$T$10:$T$250,MATCH(AN128,'NOTES CE2-CM1'!$B$10:$B$250,0)),INDEX('NOTES CE2-CM1'!$AA$10:$AA$250,MATCH(AN128,'NOTES CE2-CM1'!$B$10:$B$250,0)),INDEX('NOTES CE2-CM1'!$AH$10:$AH$250,MATCH(AN128,'NOTES CE2-CM1'!$B$10:$B$250,0))),""))</f>
        <v/>
      </c>
      <c r="AR128" s="51" t="str">
        <f aca="false">IF(ISNUMBER(AQ128),AQ128+(1000-8)/1000000,"")</f>
        <v/>
      </c>
      <c r="AS128" s="51" t="str">
        <f aca="false">IF(AN128="","",IFERROR(CHOOSE($P$8,INDEX('NOTES CE2-CM1'!$G$10:$G$250,MATCH(AN128,'NOTES CE2-CM1'!$B$10:$B$250,0)),INDEX('NOTES CE2-CM1'!$N$10:$N$250,MATCH(AN128,'NOTES CE2-CM1'!$B$10:$B$250,0)),INDEX('NOTES CE2-CM1'!$U$10:$U$250,MATCH(AN128,'NOTES CE2-CM1'!$B$10:$B$250,0)),INDEX('NOTES CE2-CM1'!$AB$10:$AB$250,MATCH(AN128,'NOTES CE2-CM1'!$B$10:$B$250,0))),""))</f>
        <v/>
      </c>
      <c r="AT128" s="51" t="n">
        <f aca="false">IFERROR(MATCH("CM1-8",'REGISTRE ELEVES'!$AG$10:$AG$250,0),"")</f>
        <v>52</v>
      </c>
      <c r="AU128" s="51" t="str">
        <f aca="false">IF(AT128="","",INDEX('REGISTRE ELEVES'!$B$10:$B$250,AT128))</f>
        <v>CM1-008-26</v>
      </c>
      <c r="AV128" s="51" t="str">
        <f aca="false">IF(AT128="","",INDEX('REGISTRE ELEVES'!$D$10:$D$250,AT128))</f>
        <v>KOFFI Awa Amenan</v>
      </c>
      <c r="AW128" s="51" t="str">
        <f aca="false">IF(AT128="","",INDEX('REGISTRE ELEVES'!$E$10:$E$250,AT128))</f>
        <v>F</v>
      </c>
      <c r="AX128" s="51" t="str">
        <f aca="false">IF(AU128="","",IFERROR(CHOOSE($P$8,INDEX('NOTES CE2-CM1'!$M$10:$M$250,MATCH(AU128,'NOTES CE2-CM1'!$B$10:$B$250,0)),INDEX('NOTES CE2-CM1'!$T$10:$T$250,MATCH(AU128,'NOTES CE2-CM1'!$B$10:$B$250,0)),INDEX('NOTES CE2-CM1'!$AA$10:$AA$250,MATCH(AU128,'NOTES CE2-CM1'!$B$10:$B$250,0)),INDEX('NOTES CE2-CM1'!$AH$10:$AH$250,MATCH(AU128,'NOTES CE2-CM1'!$B$10:$B$250,0))),""))</f>
        <v/>
      </c>
      <c r="AY128" s="51" t="str">
        <f aca="false">IF(ISNUMBER(AX128),AX128+(1000-8)/1000000,"")</f>
        <v/>
      </c>
      <c r="AZ128" s="51" t="str">
        <f aca="false">IF(AU128="","",IFERROR(CHOOSE($P$8,INDEX('NOTES CE2-CM1'!$G$10:$G$250,MATCH(AU128,'NOTES CE2-CM1'!$B$10:$B$250,0)),INDEX('NOTES CE2-CM1'!$N$10:$N$250,MATCH(AU128,'NOTES CE2-CM1'!$B$10:$B$250,0)),INDEX('NOTES CE2-CM1'!$U$10:$U$250,MATCH(AU128,'NOTES CE2-CM1'!$B$10:$B$250,0)),INDEX('NOTES CE2-CM1'!$AB$10:$AB$250,MATCH(AU128,'NOTES CE2-CM1'!$B$10:$B$250,0))),""))</f>
        <v/>
      </c>
      <c r="BA128" s="51" t="n">
        <f aca="false">IFERROR(MATCH("CM2-8",'REGISTRE ELEVES'!$AG$10:$AG$250,0),"")</f>
        <v>63</v>
      </c>
      <c r="BB128" s="51" t="str">
        <f aca="false">IF(BA128="","",INDEX('REGISTRE ELEVES'!$B$10:$B$250,BA128))</f>
        <v>CM2-008-26</v>
      </c>
      <c r="BC128" s="51" t="str">
        <f aca="false">IF(BA128="","",INDEX('REGISTRE ELEVES'!$D$10:$D$250,BA128))</f>
        <v>COULIBALY Kouadio Konan</v>
      </c>
      <c r="BD128" s="51" t="str">
        <f aca="false">IF(BA128="","",INDEX('REGISTRE ELEVES'!$E$10:$E$250,BA128))</f>
        <v>M</v>
      </c>
      <c r="BE128" s="51" t="str">
        <f aca="false">IF(BB128="","",IFERROR(CHOOSE($P$10,INDEX('NOTES CM2'!$M$10:$M$250,MATCH(BB128,'NOTES CM2'!$B$10:$B$250,0)),INDEX('NOTES CM2'!$T$10:$T$250,MATCH(BB128,'NOTES CM2'!$B$10:$B$250,0)),INDEX('NOTES CM2'!$AB$10:$AB$250,MATCH(BB128,'NOTES CM2'!$B$10:$B$250,0)),INDEX('NOTES CM2'!$AJ$10:$AJ$250,MATCH(BB128,'NOTES CM2'!$B$10:$B$250,0))),""))</f>
        <v/>
      </c>
      <c r="BF128" s="51" t="str">
        <f aca="false">IF(ISNUMBER(BE128),BE128+(1000-8)/1000000,"")</f>
        <v/>
      </c>
      <c r="BG128" s="51" t="str">
        <f aca="false">IF(BB128="","",IFERROR(CHOOSE($P$10,INDEX('NOTES CM2'!$G$10:$G$250,MATCH(BB128,'NOTES CM2'!$B$10:$B$250,0)),INDEX('NOTES CM2'!$N$10:$N$250,MATCH(BB128,'NOTES CM2'!$B$10:$B$250,0)),INDEX('NOTES CM2'!$U$10:$U$250,MATCH(BB128,'NOTES CM2'!$B$10:$B$250,0)),INDEX('NOTES CM2'!$AC$10:$AC$250,MATCH(BB128,'NOTES CM2'!$B$10:$B$250,0))),""))</f>
        <v/>
      </c>
    </row>
    <row r="129" customFormat="false" ht="15" hidden="false" customHeight="false" outlineLevel="0" collapsed="false">
      <c r="R129" s="51" t="n">
        <f aca="false">IFERROR(MATCH("CP1-9",'REGISTRE ELEVES'!$AG$10:$AG$250,0),"")</f>
        <v>9</v>
      </c>
      <c r="S129" s="51" t="str">
        <f aca="false">IF(R129="","",INDEX('REGISTRE ELEVES'!$B$10:$B$250,R129))</f>
        <v>CP1-009-26</v>
      </c>
      <c r="T129" s="51" t="str">
        <f aca="false">IF(R129="","",INDEX('REGISTRE ELEVES'!$D$10:$D$250,R129))</f>
        <v>BAMBA Cédric Abdoulaye</v>
      </c>
      <c r="U129" s="51" t="str">
        <f aca="false">IF(R129="","",INDEX('REGISTRE ELEVES'!$E$10:$E$250,R129))</f>
        <v>M</v>
      </c>
      <c r="V129" s="51" t="str">
        <f aca="false">IF(S129="","",IFERROR(CHOOSE($P$8,INDEX('NOTES CP'!$P$10:$P$250,MATCH(S129,'NOTES CP'!$B$10:$B$250,0)),INDEX('NOTES CP'!$Z$10:$Z$250,MATCH(S129,'NOTES CP'!$B$10:$B$250,0)),INDEX('NOTES CP'!$AJ$10:$AJ$250,MATCH(S129,'NOTES CP'!$B$10:$B$250,0)),INDEX('NOTES CP'!$AT$10:$AT$250,MATCH(S129,'NOTES CP'!$B$10:$B$250,0))),""))</f>
        <v/>
      </c>
      <c r="W129" s="51" t="str">
        <f aca="false">IF(ISNUMBER(V129),V129+(1000-9)/1000000,"")</f>
        <v/>
      </c>
      <c r="X129" s="51" t="str">
        <f aca="false">IF(S129="","",IFERROR(CHOOSE($P$8,INDEX('NOTES CP'!$G$10:$G$250,MATCH(S129,'NOTES CP'!$B$10:$B$250,0)),INDEX('NOTES CP'!$Q$10:$Q$250,MATCH(S129,'NOTES CP'!$B$10:$B$250,0)),INDEX('NOTES CP'!$AA$10:$AA$250,MATCH(S129,'NOTES CP'!$B$10:$B$250,0)),INDEX('NOTES CP'!$AK$10:$AK$250,MATCH(S129,'NOTES CP'!$B$10:$B$250,0))),""))</f>
        <v/>
      </c>
      <c r="Y129" s="51" t="n">
        <f aca="false">IFERROR(MATCH("CP2-9",'REGISTRE ELEVES'!$AG$10:$AG$250,0),"")</f>
        <v>20</v>
      </c>
      <c r="Z129" s="51" t="str">
        <f aca="false">IF(Y129="","",INDEX('REGISTRE ELEVES'!$B$10:$B$250,Y129))</f>
        <v>CP2-009-26</v>
      </c>
      <c r="AA129" s="51" t="str">
        <f aca="false">IF(Y129="","",INDEX('REGISTRE ELEVES'!$D$10:$D$250,Y129))</f>
        <v>DIGBEU Kouadio Kouakou</v>
      </c>
      <c r="AB129" s="51" t="str">
        <f aca="false">IF(Y129="","",INDEX('REGISTRE ELEVES'!$E$10:$E$250,Y129))</f>
        <v>M</v>
      </c>
      <c r="AC129" s="51" t="str">
        <f aca="false">IF(Z129="","",IFERROR(CHOOSE($P$8,INDEX('NOTES CP'!$P$10:$P$250,MATCH(Z129,'NOTES CP'!$B$10:$B$250,0)),INDEX('NOTES CP'!$Z$10:$Z$250,MATCH(Z129,'NOTES CP'!$B$10:$B$250,0)),INDEX('NOTES CP'!$AJ$10:$AJ$250,MATCH(Z129,'NOTES CP'!$B$10:$B$250,0)),INDEX('NOTES CP'!$AT$10:$AT$250,MATCH(Z129,'NOTES CP'!$B$10:$B$250,0))),""))</f>
        <v/>
      </c>
      <c r="AD129" s="51" t="str">
        <f aca="false">IF(ISNUMBER(AC129),AC129+(1000-9)/1000000,"")</f>
        <v/>
      </c>
      <c r="AE129" s="51" t="str">
        <f aca="false">IF(Z129="","",IFERROR(CHOOSE($P$8,INDEX('NOTES CP'!$G$10:$G$250,MATCH(Z129,'NOTES CP'!$B$10:$B$250,0)),INDEX('NOTES CP'!$Q$10:$Q$250,MATCH(Z129,'NOTES CP'!$B$10:$B$250,0)),INDEX('NOTES CP'!$AA$10:$AA$250,MATCH(Z129,'NOTES CP'!$B$10:$B$250,0)),INDEX('NOTES CP'!$AK$10:$AK$250,MATCH(Z129,'NOTES CP'!$B$10:$B$250,0))),""))</f>
        <v/>
      </c>
      <c r="AF129" s="51" t="n">
        <f aca="false">IFERROR(MATCH("CE1-9",'REGISTRE ELEVES'!$AG$10:$AG$250,0),"")</f>
        <v>32</v>
      </c>
      <c r="AG129" s="51" t="str">
        <f aca="false">IF(AF129="","",INDEX('REGISTRE ELEVES'!$B$10:$B$250,AF129))</f>
        <v>CE1-009-26</v>
      </c>
      <c r="AH129" s="51" t="str">
        <f aca="false">IF(AF129="","",INDEX('REGISTRE ELEVES'!$D$10:$D$250,AF129))</f>
        <v>DIGBEU Kouadio Konan</v>
      </c>
      <c r="AI129" s="51" t="str">
        <f aca="false">IF(AF129="","",INDEX('REGISTRE ELEVES'!$E$10:$E$250,AF129))</f>
        <v>M</v>
      </c>
      <c r="AJ129" s="51" t="str">
        <f aca="false">IF(AG129="","",IFERROR(CHOOSE($P$8,INDEX('NOTES CE1'!$M$10:$M$250,MATCH(AG129,'NOTES CE1'!$B$10:$B$250,0)),INDEX('NOTES CE1'!$T$10:$T$250,MATCH(AG129,'NOTES CE1'!$B$10:$B$250,0)),INDEX('NOTES CE1'!$AA$10:$AA$250,MATCH(AG129,'NOTES CE1'!$B$10:$B$250,0)),INDEX('NOTES CE1'!$AH$10:$AH$250,MATCH(AG129,'NOTES CE1'!$B$10:$B$250,0))),""))</f>
        <v/>
      </c>
      <c r="AK129" s="51" t="str">
        <f aca="false">IF(ISNUMBER(AJ129),AJ129+(1000-9)/1000000,"")</f>
        <v/>
      </c>
      <c r="AL129" s="51" t="str">
        <f aca="false">IF(AG129="","",IFERROR(CHOOSE($P$8,INDEX('NOTES CE1'!$G$10:$G$250,MATCH(AG129,'NOTES CE1'!$B$10:$B$250,0)),INDEX('NOTES CE1'!$N$10:$N$250,MATCH(AG129,'NOTES CE1'!$B$10:$B$250,0)),INDEX('NOTES CE1'!$U$10:$U$250,MATCH(AG129,'NOTES CE1'!$B$10:$B$250,0)),INDEX('NOTES CE1'!$AB$10:$AB$250,MATCH(AG129,'NOTES CE1'!$B$10:$B$250,0))),""))</f>
        <v/>
      </c>
      <c r="AM129" s="51" t="n">
        <f aca="false">IFERROR(MATCH("CE2-9",'REGISTRE ELEVES'!$AG$10:$AG$250,0),"")</f>
        <v>41</v>
      </c>
      <c r="AN129" s="51" t="str">
        <f aca="false">IF(AM129="","",INDEX('REGISTRE ELEVES'!$B$10:$B$250,AM129))</f>
        <v>CE2-009-26</v>
      </c>
      <c r="AO129" s="51" t="str">
        <f aca="false">IF(AM129="","",INDEX('REGISTRE ELEVES'!$D$10:$D$250,AM129))</f>
        <v>YAO Awa Estelle</v>
      </c>
      <c r="AP129" s="51" t="str">
        <f aca="false">IF(AM129="","",INDEX('REGISTRE ELEVES'!$E$10:$E$250,AM129))</f>
        <v>F</v>
      </c>
      <c r="AQ129" s="51" t="str">
        <f aca="false">IF(AN129="","",IFERROR(CHOOSE($P$8,INDEX('NOTES CE2-CM1'!$M$10:$M$250,MATCH(AN129,'NOTES CE2-CM1'!$B$10:$B$250,0)),INDEX('NOTES CE2-CM1'!$T$10:$T$250,MATCH(AN129,'NOTES CE2-CM1'!$B$10:$B$250,0)),INDEX('NOTES CE2-CM1'!$AA$10:$AA$250,MATCH(AN129,'NOTES CE2-CM1'!$B$10:$B$250,0)),INDEX('NOTES CE2-CM1'!$AH$10:$AH$250,MATCH(AN129,'NOTES CE2-CM1'!$B$10:$B$250,0))),""))</f>
        <v/>
      </c>
      <c r="AR129" s="51" t="str">
        <f aca="false">IF(ISNUMBER(AQ129),AQ129+(1000-9)/1000000,"")</f>
        <v/>
      </c>
      <c r="AS129" s="51" t="str">
        <f aca="false">IF(AN129="","",IFERROR(CHOOSE($P$8,INDEX('NOTES CE2-CM1'!$G$10:$G$250,MATCH(AN129,'NOTES CE2-CM1'!$B$10:$B$250,0)),INDEX('NOTES CE2-CM1'!$N$10:$N$250,MATCH(AN129,'NOTES CE2-CM1'!$B$10:$B$250,0)),INDEX('NOTES CE2-CM1'!$U$10:$U$250,MATCH(AN129,'NOTES CE2-CM1'!$B$10:$B$250,0)),INDEX('NOTES CE2-CM1'!$AB$10:$AB$250,MATCH(AN129,'NOTES CE2-CM1'!$B$10:$B$250,0))),""))</f>
        <v/>
      </c>
      <c r="AT129" s="51" t="n">
        <f aca="false">IFERROR(MATCH("CM1-9",'REGISTRE ELEVES'!$AG$10:$AG$250,0),"")</f>
        <v>53</v>
      </c>
      <c r="AU129" s="51" t="str">
        <f aca="false">IF(AT129="","",INDEX('REGISTRE ELEVES'!$B$10:$B$250,AT129))</f>
        <v>CM1-009-26</v>
      </c>
      <c r="AV129" s="51" t="str">
        <f aca="false">IF(AT129="","",INDEX('REGISTRE ELEVES'!$D$10:$D$250,AT129))</f>
        <v>DIABATE Jean-Marc Cédric</v>
      </c>
      <c r="AW129" s="51" t="str">
        <f aca="false">IF(AT129="","",INDEX('REGISTRE ELEVES'!$E$10:$E$250,AT129))</f>
        <v>M</v>
      </c>
      <c r="AX129" s="51" t="str">
        <f aca="false">IF(AU129="","",IFERROR(CHOOSE($P$8,INDEX('NOTES CE2-CM1'!$M$10:$M$250,MATCH(AU129,'NOTES CE2-CM1'!$B$10:$B$250,0)),INDEX('NOTES CE2-CM1'!$T$10:$T$250,MATCH(AU129,'NOTES CE2-CM1'!$B$10:$B$250,0)),INDEX('NOTES CE2-CM1'!$AA$10:$AA$250,MATCH(AU129,'NOTES CE2-CM1'!$B$10:$B$250,0)),INDEX('NOTES CE2-CM1'!$AH$10:$AH$250,MATCH(AU129,'NOTES CE2-CM1'!$B$10:$B$250,0))),""))</f>
        <v/>
      </c>
      <c r="AY129" s="51" t="str">
        <f aca="false">IF(ISNUMBER(AX129),AX129+(1000-9)/1000000,"")</f>
        <v/>
      </c>
      <c r="AZ129" s="51" t="str">
        <f aca="false">IF(AU129="","",IFERROR(CHOOSE($P$8,INDEX('NOTES CE2-CM1'!$G$10:$G$250,MATCH(AU129,'NOTES CE2-CM1'!$B$10:$B$250,0)),INDEX('NOTES CE2-CM1'!$N$10:$N$250,MATCH(AU129,'NOTES CE2-CM1'!$B$10:$B$250,0)),INDEX('NOTES CE2-CM1'!$U$10:$U$250,MATCH(AU129,'NOTES CE2-CM1'!$B$10:$B$250,0)),INDEX('NOTES CE2-CM1'!$AB$10:$AB$250,MATCH(AU129,'NOTES CE2-CM1'!$B$10:$B$250,0))),""))</f>
        <v/>
      </c>
      <c r="BA129" s="51" t="n">
        <f aca="false">IFERROR(MATCH("CM2-9",'REGISTRE ELEVES'!$AG$10:$AG$250,0),"")</f>
        <v>64</v>
      </c>
      <c r="BB129" s="51" t="str">
        <f aca="false">IF(BA129="","",INDEX('REGISTRE ELEVES'!$B$10:$B$250,BA129))</f>
        <v>CM2-009-26</v>
      </c>
      <c r="BC129" s="51" t="str">
        <f aca="false">IF(BA129="","",INDEX('REGISTRE ELEVES'!$D$10:$D$250,BA129))</f>
        <v>KONE Abdoulaye Konan</v>
      </c>
      <c r="BD129" s="51" t="str">
        <f aca="false">IF(BA129="","",INDEX('REGISTRE ELEVES'!$E$10:$E$250,BA129))</f>
        <v>M</v>
      </c>
      <c r="BE129" s="51" t="str">
        <f aca="false">IF(BB129="","",IFERROR(CHOOSE($P$10,INDEX('NOTES CM2'!$M$10:$M$250,MATCH(BB129,'NOTES CM2'!$B$10:$B$250,0)),INDEX('NOTES CM2'!$T$10:$T$250,MATCH(BB129,'NOTES CM2'!$B$10:$B$250,0)),INDEX('NOTES CM2'!$AB$10:$AB$250,MATCH(BB129,'NOTES CM2'!$B$10:$B$250,0)),INDEX('NOTES CM2'!$AJ$10:$AJ$250,MATCH(BB129,'NOTES CM2'!$B$10:$B$250,0))),""))</f>
        <v/>
      </c>
      <c r="BF129" s="51" t="str">
        <f aca="false">IF(ISNUMBER(BE129),BE129+(1000-9)/1000000,"")</f>
        <v/>
      </c>
      <c r="BG129" s="51" t="str">
        <f aca="false">IF(BB129="","",IFERROR(CHOOSE($P$10,INDEX('NOTES CM2'!$G$10:$G$250,MATCH(BB129,'NOTES CM2'!$B$10:$B$250,0)),INDEX('NOTES CM2'!$N$10:$N$250,MATCH(BB129,'NOTES CM2'!$B$10:$B$250,0)),INDEX('NOTES CM2'!$U$10:$U$250,MATCH(BB129,'NOTES CM2'!$B$10:$B$250,0)),INDEX('NOTES CM2'!$AC$10:$AC$250,MATCH(BB129,'NOTES CM2'!$B$10:$B$250,0))),""))</f>
        <v/>
      </c>
    </row>
    <row r="130" customFormat="false" ht="15" hidden="false" customHeight="false" outlineLevel="0" collapsed="false">
      <c r="R130" s="51" t="n">
        <f aca="false">IFERROR(MATCH("CP1-10",'REGISTRE ELEVES'!$AG$10:$AG$250,0),"")</f>
        <v>10</v>
      </c>
      <c r="S130" s="51" t="str">
        <f aca="false">IF(R130="","",INDEX('REGISTRE ELEVES'!$B$10:$B$250,R130))</f>
        <v>CP1-010-26</v>
      </c>
      <c r="T130" s="51" t="str">
        <f aca="false">IF(R130="","",INDEX('REGISTRE ELEVES'!$D$10:$D$250,R130))</f>
        <v>AKA Ismaël Jean-Marc</v>
      </c>
      <c r="U130" s="51" t="str">
        <f aca="false">IF(R130="","",INDEX('REGISTRE ELEVES'!$E$10:$E$250,R130))</f>
        <v>M</v>
      </c>
      <c r="V130" s="51" t="str">
        <f aca="false">IF(S130="","",IFERROR(CHOOSE($P$8,INDEX('NOTES CP'!$P$10:$P$250,MATCH(S130,'NOTES CP'!$B$10:$B$250,0)),INDEX('NOTES CP'!$Z$10:$Z$250,MATCH(S130,'NOTES CP'!$B$10:$B$250,0)),INDEX('NOTES CP'!$AJ$10:$AJ$250,MATCH(S130,'NOTES CP'!$B$10:$B$250,0)),INDEX('NOTES CP'!$AT$10:$AT$250,MATCH(S130,'NOTES CP'!$B$10:$B$250,0))),""))</f>
        <v/>
      </c>
      <c r="W130" s="51" t="str">
        <f aca="false">IF(ISNUMBER(V130),V130+(1000-10)/1000000,"")</f>
        <v/>
      </c>
      <c r="X130" s="51" t="str">
        <f aca="false">IF(S130="","",IFERROR(CHOOSE($P$8,INDEX('NOTES CP'!$G$10:$G$250,MATCH(S130,'NOTES CP'!$B$10:$B$250,0)),INDEX('NOTES CP'!$Q$10:$Q$250,MATCH(S130,'NOTES CP'!$B$10:$B$250,0)),INDEX('NOTES CP'!$AA$10:$AA$250,MATCH(S130,'NOTES CP'!$B$10:$B$250,0)),INDEX('NOTES CP'!$AK$10:$AK$250,MATCH(S130,'NOTES CP'!$B$10:$B$250,0))),""))</f>
        <v/>
      </c>
      <c r="Y130" s="51" t="n">
        <f aca="false">IFERROR(MATCH("CP2-10",'REGISTRE ELEVES'!$AG$10:$AG$250,0),"")</f>
        <v>21</v>
      </c>
      <c r="Z130" s="51" t="str">
        <f aca="false">IF(Y130="","",INDEX('REGISTRE ELEVES'!$B$10:$B$250,Y130))</f>
        <v>CP2-010-26</v>
      </c>
      <c r="AA130" s="51" t="str">
        <f aca="false">IF(Y130="","",INDEX('REGISTRE ELEVES'!$D$10:$D$250,Y130))</f>
        <v>YAO Kouadio Cédric</v>
      </c>
      <c r="AB130" s="51" t="str">
        <f aca="false">IF(Y130="","",INDEX('REGISTRE ELEVES'!$E$10:$E$250,Y130))</f>
        <v>M</v>
      </c>
      <c r="AC130" s="51" t="str">
        <f aca="false">IF(Z130="","",IFERROR(CHOOSE($P$8,INDEX('NOTES CP'!$P$10:$P$250,MATCH(Z130,'NOTES CP'!$B$10:$B$250,0)),INDEX('NOTES CP'!$Z$10:$Z$250,MATCH(Z130,'NOTES CP'!$B$10:$B$250,0)),INDEX('NOTES CP'!$AJ$10:$AJ$250,MATCH(Z130,'NOTES CP'!$B$10:$B$250,0)),INDEX('NOTES CP'!$AT$10:$AT$250,MATCH(Z130,'NOTES CP'!$B$10:$B$250,0))),""))</f>
        <v/>
      </c>
      <c r="AD130" s="51" t="str">
        <f aca="false">IF(ISNUMBER(AC130),AC130+(1000-10)/1000000,"")</f>
        <v/>
      </c>
      <c r="AE130" s="51" t="str">
        <f aca="false">IF(Z130="","",IFERROR(CHOOSE($P$8,INDEX('NOTES CP'!$G$10:$G$250,MATCH(Z130,'NOTES CP'!$B$10:$B$250,0)),INDEX('NOTES CP'!$Q$10:$Q$250,MATCH(Z130,'NOTES CP'!$B$10:$B$250,0)),INDEX('NOTES CP'!$AA$10:$AA$250,MATCH(Z130,'NOTES CP'!$B$10:$B$250,0)),INDEX('NOTES CP'!$AK$10:$AK$250,MATCH(Z130,'NOTES CP'!$B$10:$B$250,0))),""))</f>
        <v/>
      </c>
      <c r="AF130" s="51" t="str">
        <f aca="false">IFERROR(MATCH("CE1-10",'REGISTRE ELEVES'!$AG$10:$AG$250,0),"")</f>
        <v/>
      </c>
      <c r="AG130" s="51" t="str">
        <f aca="false">IF(AF130="","",INDEX('REGISTRE ELEVES'!$B$10:$B$250,AF130))</f>
        <v/>
      </c>
      <c r="AH130" s="51" t="str">
        <f aca="false">IF(AF130="","",INDEX('REGISTRE ELEVES'!$D$10:$D$250,AF130))</f>
        <v/>
      </c>
      <c r="AI130" s="51" t="str">
        <f aca="false">IF(AF130="","",INDEX('REGISTRE ELEVES'!$E$10:$E$250,AF130))</f>
        <v/>
      </c>
      <c r="AJ130" s="51" t="str">
        <f aca="false">IF(AG130="","",IFERROR(CHOOSE($P$8,INDEX('NOTES CE1'!$M$10:$M$250,MATCH(AG130,'NOTES CE1'!$B$10:$B$250,0)),INDEX('NOTES CE1'!$T$10:$T$250,MATCH(AG130,'NOTES CE1'!$B$10:$B$250,0)),INDEX('NOTES CE1'!$AA$10:$AA$250,MATCH(AG130,'NOTES CE1'!$B$10:$B$250,0)),INDEX('NOTES CE1'!$AH$10:$AH$250,MATCH(AG130,'NOTES CE1'!$B$10:$B$250,0))),""))</f>
        <v/>
      </c>
      <c r="AK130" s="51" t="str">
        <f aca="false">IF(ISNUMBER(AJ130),AJ130+(1000-10)/1000000,"")</f>
        <v/>
      </c>
      <c r="AL130" s="51" t="str">
        <f aca="false">IF(AG130="","",IFERROR(CHOOSE($P$8,INDEX('NOTES CE1'!$G$10:$G$250,MATCH(AG130,'NOTES CE1'!$B$10:$B$250,0)),INDEX('NOTES CE1'!$N$10:$N$250,MATCH(AG130,'NOTES CE1'!$B$10:$B$250,0)),INDEX('NOTES CE1'!$U$10:$U$250,MATCH(AG130,'NOTES CE1'!$B$10:$B$250,0)),INDEX('NOTES CE1'!$AB$10:$AB$250,MATCH(AG130,'NOTES CE1'!$B$10:$B$250,0))),""))</f>
        <v/>
      </c>
      <c r="AM130" s="51" t="n">
        <f aca="false">IFERROR(MATCH("CE2-10",'REGISTRE ELEVES'!$AG$10:$AG$250,0),"")</f>
        <v>42</v>
      </c>
      <c r="AN130" s="51" t="str">
        <f aca="false">IF(AM130="","",INDEX('REGISTRE ELEVES'!$B$10:$B$250,AM130))</f>
        <v>CE2-010-26</v>
      </c>
      <c r="AO130" s="51" t="str">
        <f aca="false">IF(AM130="","",INDEX('REGISTRE ELEVES'!$D$10:$D$250,AM130))</f>
        <v>COULIBALY Cédric Jean-Marc</v>
      </c>
      <c r="AP130" s="51" t="str">
        <f aca="false">IF(AM130="","",INDEX('REGISTRE ELEVES'!$E$10:$E$250,AM130))</f>
        <v>M</v>
      </c>
      <c r="AQ130" s="51" t="str">
        <f aca="false">IF(AN130="","",IFERROR(CHOOSE($P$8,INDEX('NOTES CE2-CM1'!$M$10:$M$250,MATCH(AN130,'NOTES CE2-CM1'!$B$10:$B$250,0)),INDEX('NOTES CE2-CM1'!$T$10:$T$250,MATCH(AN130,'NOTES CE2-CM1'!$B$10:$B$250,0)),INDEX('NOTES CE2-CM1'!$AA$10:$AA$250,MATCH(AN130,'NOTES CE2-CM1'!$B$10:$B$250,0)),INDEX('NOTES CE2-CM1'!$AH$10:$AH$250,MATCH(AN130,'NOTES CE2-CM1'!$B$10:$B$250,0))),""))</f>
        <v/>
      </c>
      <c r="AR130" s="51" t="str">
        <f aca="false">IF(ISNUMBER(AQ130),AQ130+(1000-10)/1000000,"")</f>
        <v/>
      </c>
      <c r="AS130" s="51" t="str">
        <f aca="false">IF(AN130="","",IFERROR(CHOOSE($P$8,INDEX('NOTES CE2-CM1'!$G$10:$G$250,MATCH(AN130,'NOTES CE2-CM1'!$B$10:$B$250,0)),INDEX('NOTES CE2-CM1'!$N$10:$N$250,MATCH(AN130,'NOTES CE2-CM1'!$B$10:$B$250,0)),INDEX('NOTES CE2-CM1'!$U$10:$U$250,MATCH(AN130,'NOTES CE2-CM1'!$B$10:$B$250,0)),INDEX('NOTES CE2-CM1'!$AB$10:$AB$250,MATCH(AN130,'NOTES CE2-CM1'!$B$10:$B$250,0))),""))</f>
        <v/>
      </c>
      <c r="AT130" s="51" t="n">
        <f aca="false">IFERROR(MATCH("CM1-10",'REGISTRE ELEVES'!$AG$10:$AG$250,0),"")</f>
        <v>54</v>
      </c>
      <c r="AU130" s="51" t="str">
        <f aca="false">IF(AT130="","",INDEX('REGISTRE ELEVES'!$B$10:$B$250,AT130))</f>
        <v>CM1-010-26</v>
      </c>
      <c r="AV130" s="51" t="str">
        <f aca="false">IF(AT130="","",INDEX('REGISTRE ELEVES'!$D$10:$D$250,AT130))</f>
        <v>YAO Sylvain Kouakou</v>
      </c>
      <c r="AW130" s="51" t="str">
        <f aca="false">IF(AT130="","",INDEX('REGISTRE ELEVES'!$E$10:$E$250,AT130))</f>
        <v>M</v>
      </c>
      <c r="AX130" s="51" t="str">
        <f aca="false">IF(AU130="","",IFERROR(CHOOSE($P$8,INDEX('NOTES CE2-CM1'!$M$10:$M$250,MATCH(AU130,'NOTES CE2-CM1'!$B$10:$B$250,0)),INDEX('NOTES CE2-CM1'!$T$10:$T$250,MATCH(AU130,'NOTES CE2-CM1'!$B$10:$B$250,0)),INDEX('NOTES CE2-CM1'!$AA$10:$AA$250,MATCH(AU130,'NOTES CE2-CM1'!$B$10:$B$250,0)),INDEX('NOTES CE2-CM1'!$AH$10:$AH$250,MATCH(AU130,'NOTES CE2-CM1'!$B$10:$B$250,0))),""))</f>
        <v/>
      </c>
      <c r="AY130" s="51" t="str">
        <f aca="false">IF(ISNUMBER(AX130),AX130+(1000-10)/1000000,"")</f>
        <v/>
      </c>
      <c r="AZ130" s="51" t="str">
        <f aca="false">IF(AU130="","",IFERROR(CHOOSE($P$8,INDEX('NOTES CE2-CM1'!$G$10:$G$250,MATCH(AU130,'NOTES CE2-CM1'!$B$10:$B$250,0)),INDEX('NOTES CE2-CM1'!$N$10:$N$250,MATCH(AU130,'NOTES CE2-CM1'!$B$10:$B$250,0)),INDEX('NOTES CE2-CM1'!$U$10:$U$250,MATCH(AU130,'NOTES CE2-CM1'!$B$10:$B$250,0)),INDEX('NOTES CE2-CM1'!$AB$10:$AB$250,MATCH(AU130,'NOTES CE2-CM1'!$B$10:$B$250,0))),""))</f>
        <v/>
      </c>
      <c r="BA130" s="51" t="str">
        <f aca="false">IFERROR(MATCH("CM2-10",'REGISTRE ELEVES'!$AG$10:$AG$250,0),"")</f>
        <v/>
      </c>
      <c r="BB130" s="51" t="str">
        <f aca="false">IF(BA130="","",INDEX('REGISTRE ELEVES'!$B$10:$B$250,BA130))</f>
        <v/>
      </c>
      <c r="BC130" s="51" t="str">
        <f aca="false">IF(BA130="","",INDEX('REGISTRE ELEVES'!$D$10:$D$250,BA130))</f>
        <v/>
      </c>
      <c r="BD130" s="51" t="str">
        <f aca="false">IF(BA130="","",INDEX('REGISTRE ELEVES'!$E$10:$E$250,BA130))</f>
        <v/>
      </c>
      <c r="BE130" s="51" t="str">
        <f aca="false">IF(BB130="","",IFERROR(CHOOSE($P$10,INDEX('NOTES CM2'!$M$10:$M$250,MATCH(BB130,'NOTES CM2'!$B$10:$B$250,0)),INDEX('NOTES CM2'!$T$10:$T$250,MATCH(BB130,'NOTES CM2'!$B$10:$B$250,0)),INDEX('NOTES CM2'!$AB$10:$AB$250,MATCH(BB130,'NOTES CM2'!$B$10:$B$250,0)),INDEX('NOTES CM2'!$AJ$10:$AJ$250,MATCH(BB130,'NOTES CM2'!$B$10:$B$250,0))),""))</f>
        <v/>
      </c>
      <c r="BF130" s="51" t="str">
        <f aca="false">IF(ISNUMBER(BE130),BE130+(1000-10)/1000000,"")</f>
        <v/>
      </c>
      <c r="BG130" s="51" t="str">
        <f aca="false">IF(BB130="","",IFERROR(CHOOSE($P$10,INDEX('NOTES CM2'!$G$10:$G$250,MATCH(BB130,'NOTES CM2'!$B$10:$B$250,0)),INDEX('NOTES CM2'!$N$10:$N$250,MATCH(BB130,'NOTES CM2'!$B$10:$B$250,0)),INDEX('NOTES CM2'!$U$10:$U$250,MATCH(BB130,'NOTES CM2'!$B$10:$B$250,0)),INDEX('NOTES CM2'!$AC$10:$AC$250,MATCH(BB130,'NOTES CM2'!$B$10:$B$250,0))),""))</f>
        <v/>
      </c>
    </row>
    <row r="131" customFormat="false" ht="15" hidden="false" customHeight="false" outlineLevel="0" collapsed="false">
      <c r="R131" s="51" t="n">
        <f aca="false">IFERROR(MATCH("CP1-11",'REGISTRE ELEVES'!$AG$10:$AG$250,0),"")</f>
        <v>11</v>
      </c>
      <c r="S131" s="51" t="str">
        <f aca="false">IF(R131="","",INDEX('REGISTRE ELEVES'!$B$10:$B$250,R131))</f>
        <v>CP1-011-26</v>
      </c>
      <c r="T131" s="51" t="str">
        <f aca="false">IF(R131="","",INDEX('REGISTRE ELEVES'!$D$10:$D$250,R131))</f>
        <v>SORO Adjoua Estelle</v>
      </c>
      <c r="U131" s="51" t="str">
        <f aca="false">IF(R131="","",INDEX('REGISTRE ELEVES'!$E$10:$E$250,R131))</f>
        <v>F</v>
      </c>
      <c r="V131" s="51" t="str">
        <f aca="false">IF(S131="","",IFERROR(CHOOSE($P$8,INDEX('NOTES CP'!$P$10:$P$250,MATCH(S131,'NOTES CP'!$B$10:$B$250,0)),INDEX('NOTES CP'!$Z$10:$Z$250,MATCH(S131,'NOTES CP'!$B$10:$B$250,0)),INDEX('NOTES CP'!$AJ$10:$AJ$250,MATCH(S131,'NOTES CP'!$B$10:$B$250,0)),INDEX('NOTES CP'!$AT$10:$AT$250,MATCH(S131,'NOTES CP'!$B$10:$B$250,0))),""))</f>
        <v/>
      </c>
      <c r="W131" s="51" t="str">
        <f aca="false">IF(ISNUMBER(V131),V131+(1000-11)/1000000,"")</f>
        <v/>
      </c>
      <c r="X131" s="51" t="str">
        <f aca="false">IF(S131="","",IFERROR(CHOOSE($P$8,INDEX('NOTES CP'!$G$10:$G$250,MATCH(S131,'NOTES CP'!$B$10:$B$250,0)),INDEX('NOTES CP'!$Q$10:$Q$250,MATCH(S131,'NOTES CP'!$B$10:$B$250,0)),INDEX('NOTES CP'!$AA$10:$AA$250,MATCH(S131,'NOTES CP'!$B$10:$B$250,0)),INDEX('NOTES CP'!$AK$10:$AK$250,MATCH(S131,'NOTES CP'!$B$10:$B$250,0))),""))</f>
        <v/>
      </c>
      <c r="Y131" s="51" t="n">
        <f aca="false">IFERROR(MATCH("CP2-11",'REGISTRE ELEVES'!$AG$10:$AG$250,0),"")</f>
        <v>22</v>
      </c>
      <c r="Z131" s="51" t="str">
        <f aca="false">IF(Y131="","",INDEX('REGISTRE ELEVES'!$B$10:$B$250,Y131))</f>
        <v>CP2-011-26</v>
      </c>
      <c r="AA131" s="51" t="str">
        <f aca="false">IF(Y131="","",INDEX('REGISTRE ELEVES'!$D$10:$D$250,Y131))</f>
        <v>SORO Moussa Cédric</v>
      </c>
      <c r="AB131" s="51" t="str">
        <f aca="false">IF(Y131="","",INDEX('REGISTRE ELEVES'!$E$10:$E$250,Y131))</f>
        <v>M</v>
      </c>
      <c r="AC131" s="51" t="str">
        <f aca="false">IF(Z131="","",IFERROR(CHOOSE($P$8,INDEX('NOTES CP'!$P$10:$P$250,MATCH(Z131,'NOTES CP'!$B$10:$B$250,0)),INDEX('NOTES CP'!$Z$10:$Z$250,MATCH(Z131,'NOTES CP'!$B$10:$B$250,0)),INDEX('NOTES CP'!$AJ$10:$AJ$250,MATCH(Z131,'NOTES CP'!$B$10:$B$250,0)),INDEX('NOTES CP'!$AT$10:$AT$250,MATCH(Z131,'NOTES CP'!$B$10:$B$250,0))),""))</f>
        <v/>
      </c>
      <c r="AD131" s="51" t="str">
        <f aca="false">IF(ISNUMBER(AC131),AC131+(1000-11)/1000000,"")</f>
        <v/>
      </c>
      <c r="AE131" s="51" t="str">
        <f aca="false">IF(Z131="","",IFERROR(CHOOSE($P$8,INDEX('NOTES CP'!$G$10:$G$250,MATCH(Z131,'NOTES CP'!$B$10:$B$250,0)),INDEX('NOTES CP'!$Q$10:$Q$250,MATCH(Z131,'NOTES CP'!$B$10:$B$250,0)),INDEX('NOTES CP'!$AA$10:$AA$250,MATCH(Z131,'NOTES CP'!$B$10:$B$250,0)),INDEX('NOTES CP'!$AK$10:$AK$250,MATCH(Z131,'NOTES CP'!$B$10:$B$250,0))),""))</f>
        <v/>
      </c>
      <c r="AF131" s="51" t="str">
        <f aca="false">IFERROR(MATCH("CE1-11",'REGISTRE ELEVES'!$AG$10:$AG$250,0),"")</f>
        <v/>
      </c>
      <c r="AG131" s="51" t="str">
        <f aca="false">IF(AF131="","",INDEX('REGISTRE ELEVES'!$B$10:$B$250,AF131))</f>
        <v/>
      </c>
      <c r="AH131" s="51" t="str">
        <f aca="false">IF(AF131="","",INDEX('REGISTRE ELEVES'!$D$10:$D$250,AF131))</f>
        <v/>
      </c>
      <c r="AI131" s="51" t="str">
        <f aca="false">IF(AF131="","",INDEX('REGISTRE ELEVES'!$E$10:$E$250,AF131))</f>
        <v/>
      </c>
      <c r="AJ131" s="51" t="str">
        <f aca="false">IF(AG131="","",IFERROR(CHOOSE($P$8,INDEX('NOTES CE1'!$M$10:$M$250,MATCH(AG131,'NOTES CE1'!$B$10:$B$250,0)),INDEX('NOTES CE1'!$T$10:$T$250,MATCH(AG131,'NOTES CE1'!$B$10:$B$250,0)),INDEX('NOTES CE1'!$AA$10:$AA$250,MATCH(AG131,'NOTES CE1'!$B$10:$B$250,0)),INDEX('NOTES CE1'!$AH$10:$AH$250,MATCH(AG131,'NOTES CE1'!$B$10:$B$250,0))),""))</f>
        <v/>
      </c>
      <c r="AK131" s="51" t="str">
        <f aca="false">IF(ISNUMBER(AJ131),AJ131+(1000-11)/1000000,"")</f>
        <v/>
      </c>
      <c r="AL131" s="51" t="str">
        <f aca="false">IF(AG131="","",IFERROR(CHOOSE($P$8,INDEX('NOTES CE1'!$G$10:$G$250,MATCH(AG131,'NOTES CE1'!$B$10:$B$250,0)),INDEX('NOTES CE1'!$N$10:$N$250,MATCH(AG131,'NOTES CE1'!$B$10:$B$250,0)),INDEX('NOTES CE1'!$U$10:$U$250,MATCH(AG131,'NOTES CE1'!$B$10:$B$250,0)),INDEX('NOTES CE1'!$AB$10:$AB$250,MATCH(AG131,'NOTES CE1'!$B$10:$B$250,0))),""))</f>
        <v/>
      </c>
      <c r="AM131" s="51" t="n">
        <f aca="false">IFERROR(MATCH("CE2-11",'REGISTRE ELEVES'!$AG$10:$AG$250,0),"")</f>
        <v>43</v>
      </c>
      <c r="AN131" s="51" t="str">
        <f aca="false">IF(AM131="","",INDEX('REGISTRE ELEVES'!$B$10:$B$250,AM131))</f>
        <v>CE2-011-26</v>
      </c>
      <c r="AO131" s="51" t="str">
        <f aca="false">IF(AM131="","",INDEX('REGISTRE ELEVES'!$D$10:$D$250,AM131))</f>
        <v>AKA Abdoulaye Yao</v>
      </c>
      <c r="AP131" s="51" t="str">
        <f aca="false">IF(AM131="","",INDEX('REGISTRE ELEVES'!$E$10:$E$250,AM131))</f>
        <v>M</v>
      </c>
      <c r="AQ131" s="51" t="str">
        <f aca="false">IF(AN131="","",IFERROR(CHOOSE($P$8,INDEX('NOTES CE2-CM1'!$M$10:$M$250,MATCH(AN131,'NOTES CE2-CM1'!$B$10:$B$250,0)),INDEX('NOTES CE2-CM1'!$T$10:$T$250,MATCH(AN131,'NOTES CE2-CM1'!$B$10:$B$250,0)),INDEX('NOTES CE2-CM1'!$AA$10:$AA$250,MATCH(AN131,'NOTES CE2-CM1'!$B$10:$B$250,0)),INDEX('NOTES CE2-CM1'!$AH$10:$AH$250,MATCH(AN131,'NOTES CE2-CM1'!$B$10:$B$250,0))),""))</f>
        <v/>
      </c>
      <c r="AR131" s="51" t="str">
        <f aca="false">IF(ISNUMBER(AQ131),AQ131+(1000-11)/1000000,"")</f>
        <v/>
      </c>
      <c r="AS131" s="51" t="str">
        <f aca="false">IF(AN131="","",IFERROR(CHOOSE($P$8,INDEX('NOTES CE2-CM1'!$G$10:$G$250,MATCH(AN131,'NOTES CE2-CM1'!$B$10:$B$250,0)),INDEX('NOTES CE2-CM1'!$N$10:$N$250,MATCH(AN131,'NOTES CE2-CM1'!$B$10:$B$250,0)),INDEX('NOTES CE2-CM1'!$U$10:$U$250,MATCH(AN131,'NOTES CE2-CM1'!$B$10:$B$250,0)),INDEX('NOTES CE2-CM1'!$AB$10:$AB$250,MATCH(AN131,'NOTES CE2-CM1'!$B$10:$B$250,0))),""))</f>
        <v/>
      </c>
      <c r="AT131" s="51" t="n">
        <f aca="false">IFERROR(MATCH("CM1-11",'REGISTRE ELEVES'!$AG$10:$AG$250,0),"")</f>
        <v>55</v>
      </c>
      <c r="AU131" s="51" t="str">
        <f aca="false">IF(AT131="","",INDEX('REGISTRE ELEVES'!$B$10:$B$250,AT131))</f>
        <v>CM1-011-26</v>
      </c>
      <c r="AV131" s="51" t="str">
        <f aca="false">IF(AT131="","",INDEX('REGISTRE ELEVES'!$D$10:$D$250,AT131))</f>
        <v>AKA Emmanuel Junior</v>
      </c>
      <c r="AW131" s="51" t="str">
        <f aca="false">IF(AT131="","",INDEX('REGISTRE ELEVES'!$E$10:$E$250,AT131))</f>
        <v>M</v>
      </c>
      <c r="AX131" s="51" t="str">
        <f aca="false">IF(AU131="","",IFERROR(CHOOSE($P$8,INDEX('NOTES CE2-CM1'!$M$10:$M$250,MATCH(AU131,'NOTES CE2-CM1'!$B$10:$B$250,0)),INDEX('NOTES CE2-CM1'!$T$10:$T$250,MATCH(AU131,'NOTES CE2-CM1'!$B$10:$B$250,0)),INDEX('NOTES CE2-CM1'!$AA$10:$AA$250,MATCH(AU131,'NOTES CE2-CM1'!$B$10:$B$250,0)),INDEX('NOTES CE2-CM1'!$AH$10:$AH$250,MATCH(AU131,'NOTES CE2-CM1'!$B$10:$B$250,0))),""))</f>
        <v/>
      </c>
      <c r="AY131" s="51" t="str">
        <f aca="false">IF(ISNUMBER(AX131),AX131+(1000-11)/1000000,"")</f>
        <v/>
      </c>
      <c r="AZ131" s="51" t="str">
        <f aca="false">IF(AU131="","",IFERROR(CHOOSE($P$8,INDEX('NOTES CE2-CM1'!$G$10:$G$250,MATCH(AU131,'NOTES CE2-CM1'!$B$10:$B$250,0)),INDEX('NOTES CE2-CM1'!$N$10:$N$250,MATCH(AU131,'NOTES CE2-CM1'!$B$10:$B$250,0)),INDEX('NOTES CE2-CM1'!$U$10:$U$250,MATCH(AU131,'NOTES CE2-CM1'!$B$10:$B$250,0)),INDEX('NOTES CE2-CM1'!$AB$10:$AB$250,MATCH(AU131,'NOTES CE2-CM1'!$B$10:$B$250,0))),""))</f>
        <v/>
      </c>
      <c r="BA131" s="51" t="str">
        <f aca="false">IFERROR(MATCH("CM2-11",'REGISTRE ELEVES'!$AG$10:$AG$250,0),"")</f>
        <v/>
      </c>
      <c r="BB131" s="51" t="str">
        <f aca="false">IF(BA131="","",INDEX('REGISTRE ELEVES'!$B$10:$B$250,BA131))</f>
        <v/>
      </c>
      <c r="BC131" s="51" t="str">
        <f aca="false">IF(BA131="","",INDEX('REGISTRE ELEVES'!$D$10:$D$250,BA131))</f>
        <v/>
      </c>
      <c r="BD131" s="51" t="str">
        <f aca="false">IF(BA131="","",INDEX('REGISTRE ELEVES'!$E$10:$E$250,BA131))</f>
        <v/>
      </c>
      <c r="BE131" s="51" t="str">
        <f aca="false">IF(BB131="","",IFERROR(CHOOSE($P$10,INDEX('NOTES CM2'!$M$10:$M$250,MATCH(BB131,'NOTES CM2'!$B$10:$B$250,0)),INDEX('NOTES CM2'!$T$10:$T$250,MATCH(BB131,'NOTES CM2'!$B$10:$B$250,0)),INDEX('NOTES CM2'!$AB$10:$AB$250,MATCH(BB131,'NOTES CM2'!$B$10:$B$250,0)),INDEX('NOTES CM2'!$AJ$10:$AJ$250,MATCH(BB131,'NOTES CM2'!$B$10:$B$250,0))),""))</f>
        <v/>
      </c>
      <c r="BF131" s="51" t="str">
        <f aca="false">IF(ISNUMBER(BE131),BE131+(1000-11)/1000000,"")</f>
        <v/>
      </c>
      <c r="BG131" s="51" t="str">
        <f aca="false">IF(BB131="","",IFERROR(CHOOSE($P$10,INDEX('NOTES CM2'!$G$10:$G$250,MATCH(BB131,'NOTES CM2'!$B$10:$B$250,0)),INDEX('NOTES CM2'!$N$10:$N$250,MATCH(BB131,'NOTES CM2'!$B$10:$B$250,0)),INDEX('NOTES CM2'!$U$10:$U$250,MATCH(BB131,'NOTES CM2'!$B$10:$B$250,0)),INDEX('NOTES CM2'!$AC$10:$AC$250,MATCH(BB131,'NOTES CM2'!$B$10:$B$250,0))),""))</f>
        <v/>
      </c>
    </row>
    <row r="132" customFormat="false" ht="15" hidden="false" customHeight="false" outlineLevel="0" collapsed="false">
      <c r="R132" s="51" t="str">
        <f aca="false">IFERROR(MATCH("CP1-12",'REGISTRE ELEVES'!$AG$10:$AG$250,0),"")</f>
        <v/>
      </c>
      <c r="S132" s="51" t="str">
        <f aca="false">IF(R132="","",INDEX('REGISTRE ELEVES'!$B$10:$B$250,R132))</f>
        <v/>
      </c>
      <c r="T132" s="51" t="str">
        <f aca="false">IF(R132="","",INDEX('REGISTRE ELEVES'!$D$10:$D$250,R132))</f>
        <v/>
      </c>
      <c r="U132" s="51" t="str">
        <f aca="false">IF(R132="","",INDEX('REGISTRE ELEVES'!$E$10:$E$250,R132))</f>
        <v/>
      </c>
      <c r="V132" s="51" t="str">
        <f aca="false">IF(S132="","",IFERROR(CHOOSE($P$8,INDEX('NOTES CP'!$P$10:$P$250,MATCH(S132,'NOTES CP'!$B$10:$B$250,0)),INDEX('NOTES CP'!$Z$10:$Z$250,MATCH(S132,'NOTES CP'!$B$10:$B$250,0)),INDEX('NOTES CP'!$AJ$10:$AJ$250,MATCH(S132,'NOTES CP'!$B$10:$B$250,0)),INDEX('NOTES CP'!$AT$10:$AT$250,MATCH(S132,'NOTES CP'!$B$10:$B$250,0))),""))</f>
        <v/>
      </c>
      <c r="W132" s="51" t="str">
        <f aca="false">IF(ISNUMBER(V132),V132+(1000-12)/1000000,"")</f>
        <v/>
      </c>
      <c r="X132" s="51" t="str">
        <f aca="false">IF(S132="","",IFERROR(CHOOSE($P$8,INDEX('NOTES CP'!$G$10:$G$250,MATCH(S132,'NOTES CP'!$B$10:$B$250,0)),INDEX('NOTES CP'!$Q$10:$Q$250,MATCH(S132,'NOTES CP'!$B$10:$B$250,0)),INDEX('NOTES CP'!$AA$10:$AA$250,MATCH(S132,'NOTES CP'!$B$10:$B$250,0)),INDEX('NOTES CP'!$AK$10:$AK$250,MATCH(S132,'NOTES CP'!$B$10:$B$250,0))),""))</f>
        <v/>
      </c>
      <c r="Y132" s="51" t="n">
        <f aca="false">IFERROR(MATCH("CP2-12",'REGISTRE ELEVES'!$AG$10:$AG$250,0),"")</f>
        <v>23</v>
      </c>
      <c r="Z132" s="51" t="str">
        <f aca="false">IF(Y132="","",INDEX('REGISTRE ELEVES'!$B$10:$B$250,Y132))</f>
        <v>CP2-012-26</v>
      </c>
      <c r="AA132" s="51" t="str">
        <f aca="false">IF(Y132="","",INDEX('REGISTRE ELEVES'!$D$10:$D$250,Y132))</f>
        <v>BOHOUSSOU Rebecca Affoué</v>
      </c>
      <c r="AB132" s="51" t="str">
        <f aca="false">IF(Y132="","",INDEX('REGISTRE ELEVES'!$E$10:$E$250,Y132))</f>
        <v>F</v>
      </c>
      <c r="AC132" s="51" t="str">
        <f aca="false">IF(Z132="","",IFERROR(CHOOSE($P$8,INDEX('NOTES CP'!$P$10:$P$250,MATCH(Z132,'NOTES CP'!$B$10:$B$250,0)),INDEX('NOTES CP'!$Z$10:$Z$250,MATCH(Z132,'NOTES CP'!$B$10:$B$250,0)),INDEX('NOTES CP'!$AJ$10:$AJ$250,MATCH(Z132,'NOTES CP'!$B$10:$B$250,0)),INDEX('NOTES CP'!$AT$10:$AT$250,MATCH(Z132,'NOTES CP'!$B$10:$B$250,0))),""))</f>
        <v/>
      </c>
      <c r="AD132" s="51" t="str">
        <f aca="false">IF(ISNUMBER(AC132),AC132+(1000-12)/1000000,"")</f>
        <v/>
      </c>
      <c r="AE132" s="51" t="str">
        <f aca="false">IF(Z132="","",IFERROR(CHOOSE($P$8,INDEX('NOTES CP'!$G$10:$G$250,MATCH(Z132,'NOTES CP'!$B$10:$B$250,0)),INDEX('NOTES CP'!$Q$10:$Q$250,MATCH(Z132,'NOTES CP'!$B$10:$B$250,0)),INDEX('NOTES CP'!$AA$10:$AA$250,MATCH(Z132,'NOTES CP'!$B$10:$B$250,0)),INDEX('NOTES CP'!$AK$10:$AK$250,MATCH(Z132,'NOTES CP'!$B$10:$B$250,0))),""))</f>
        <v/>
      </c>
      <c r="AF132" s="51" t="str">
        <f aca="false">IFERROR(MATCH("CE1-12",'REGISTRE ELEVES'!$AG$10:$AG$250,0),"")</f>
        <v/>
      </c>
      <c r="AG132" s="51" t="str">
        <f aca="false">IF(AF132="","",INDEX('REGISTRE ELEVES'!$B$10:$B$250,AF132))</f>
        <v/>
      </c>
      <c r="AH132" s="51" t="str">
        <f aca="false">IF(AF132="","",INDEX('REGISTRE ELEVES'!$D$10:$D$250,AF132))</f>
        <v/>
      </c>
      <c r="AI132" s="51" t="str">
        <f aca="false">IF(AF132="","",INDEX('REGISTRE ELEVES'!$E$10:$E$250,AF132))</f>
        <v/>
      </c>
      <c r="AJ132" s="51" t="str">
        <f aca="false">IF(AG132="","",IFERROR(CHOOSE($P$8,INDEX('NOTES CE1'!$M$10:$M$250,MATCH(AG132,'NOTES CE1'!$B$10:$B$250,0)),INDEX('NOTES CE1'!$T$10:$T$250,MATCH(AG132,'NOTES CE1'!$B$10:$B$250,0)),INDEX('NOTES CE1'!$AA$10:$AA$250,MATCH(AG132,'NOTES CE1'!$B$10:$B$250,0)),INDEX('NOTES CE1'!$AH$10:$AH$250,MATCH(AG132,'NOTES CE1'!$B$10:$B$250,0))),""))</f>
        <v/>
      </c>
      <c r="AK132" s="51" t="str">
        <f aca="false">IF(ISNUMBER(AJ132),AJ132+(1000-12)/1000000,"")</f>
        <v/>
      </c>
      <c r="AL132" s="51" t="str">
        <f aca="false">IF(AG132="","",IFERROR(CHOOSE($P$8,INDEX('NOTES CE1'!$G$10:$G$250,MATCH(AG132,'NOTES CE1'!$B$10:$B$250,0)),INDEX('NOTES CE1'!$N$10:$N$250,MATCH(AG132,'NOTES CE1'!$B$10:$B$250,0)),INDEX('NOTES CE1'!$U$10:$U$250,MATCH(AG132,'NOTES CE1'!$B$10:$B$250,0)),INDEX('NOTES CE1'!$AB$10:$AB$250,MATCH(AG132,'NOTES CE1'!$B$10:$B$250,0))),""))</f>
        <v/>
      </c>
      <c r="AM132" s="51" t="n">
        <f aca="false">IFERROR(MATCH("CE2-12",'REGISTRE ELEVES'!$AG$10:$AG$250,0),"")</f>
        <v>44</v>
      </c>
      <c r="AN132" s="51" t="str">
        <f aca="false">IF(AM132="","",INDEX('REGISTRE ELEVES'!$B$10:$B$250,AM132))</f>
        <v>CE2-012-26</v>
      </c>
      <c r="AO132" s="51" t="str">
        <f aca="false">IF(AM132="","",INDEX('REGISTRE ELEVES'!$D$10:$D$250,AM132))</f>
        <v>TRAORE Koffi Moussa</v>
      </c>
      <c r="AP132" s="51" t="str">
        <f aca="false">IF(AM132="","",INDEX('REGISTRE ELEVES'!$E$10:$E$250,AM132))</f>
        <v>M</v>
      </c>
      <c r="AQ132" s="51" t="str">
        <f aca="false">IF(AN132="","",IFERROR(CHOOSE($P$8,INDEX('NOTES CE2-CM1'!$M$10:$M$250,MATCH(AN132,'NOTES CE2-CM1'!$B$10:$B$250,0)),INDEX('NOTES CE2-CM1'!$T$10:$T$250,MATCH(AN132,'NOTES CE2-CM1'!$B$10:$B$250,0)),INDEX('NOTES CE2-CM1'!$AA$10:$AA$250,MATCH(AN132,'NOTES CE2-CM1'!$B$10:$B$250,0)),INDEX('NOTES CE2-CM1'!$AH$10:$AH$250,MATCH(AN132,'NOTES CE2-CM1'!$B$10:$B$250,0))),""))</f>
        <v/>
      </c>
      <c r="AR132" s="51" t="str">
        <f aca="false">IF(ISNUMBER(AQ132),AQ132+(1000-12)/1000000,"")</f>
        <v/>
      </c>
      <c r="AS132" s="51" t="str">
        <f aca="false">IF(AN132="","",IFERROR(CHOOSE($P$8,INDEX('NOTES CE2-CM1'!$G$10:$G$250,MATCH(AN132,'NOTES CE2-CM1'!$B$10:$B$250,0)),INDEX('NOTES CE2-CM1'!$N$10:$N$250,MATCH(AN132,'NOTES CE2-CM1'!$B$10:$B$250,0)),INDEX('NOTES CE2-CM1'!$U$10:$U$250,MATCH(AN132,'NOTES CE2-CM1'!$B$10:$B$250,0)),INDEX('NOTES CE2-CM1'!$AB$10:$AB$250,MATCH(AN132,'NOTES CE2-CM1'!$B$10:$B$250,0))),""))</f>
        <v/>
      </c>
      <c r="AT132" s="51" t="str">
        <f aca="false">IFERROR(MATCH("CM1-12",'REGISTRE ELEVES'!$AG$10:$AG$250,0),"")</f>
        <v/>
      </c>
      <c r="AU132" s="51" t="str">
        <f aca="false">IF(AT132="","",INDEX('REGISTRE ELEVES'!$B$10:$B$250,AT132))</f>
        <v/>
      </c>
      <c r="AV132" s="51" t="str">
        <f aca="false">IF(AT132="","",INDEX('REGISTRE ELEVES'!$D$10:$D$250,AT132))</f>
        <v/>
      </c>
      <c r="AW132" s="51" t="str">
        <f aca="false">IF(AT132="","",INDEX('REGISTRE ELEVES'!$E$10:$E$250,AT132))</f>
        <v/>
      </c>
      <c r="AX132" s="51" t="str">
        <f aca="false">IF(AU132="","",IFERROR(CHOOSE($P$8,INDEX('NOTES CE2-CM1'!$M$10:$M$250,MATCH(AU132,'NOTES CE2-CM1'!$B$10:$B$250,0)),INDEX('NOTES CE2-CM1'!$T$10:$T$250,MATCH(AU132,'NOTES CE2-CM1'!$B$10:$B$250,0)),INDEX('NOTES CE2-CM1'!$AA$10:$AA$250,MATCH(AU132,'NOTES CE2-CM1'!$B$10:$B$250,0)),INDEX('NOTES CE2-CM1'!$AH$10:$AH$250,MATCH(AU132,'NOTES CE2-CM1'!$B$10:$B$250,0))),""))</f>
        <v/>
      </c>
      <c r="AY132" s="51" t="str">
        <f aca="false">IF(ISNUMBER(AX132),AX132+(1000-12)/1000000,"")</f>
        <v/>
      </c>
      <c r="AZ132" s="51" t="str">
        <f aca="false">IF(AU132="","",IFERROR(CHOOSE($P$8,INDEX('NOTES CE2-CM1'!$G$10:$G$250,MATCH(AU132,'NOTES CE2-CM1'!$B$10:$B$250,0)),INDEX('NOTES CE2-CM1'!$N$10:$N$250,MATCH(AU132,'NOTES CE2-CM1'!$B$10:$B$250,0)),INDEX('NOTES CE2-CM1'!$U$10:$U$250,MATCH(AU132,'NOTES CE2-CM1'!$B$10:$B$250,0)),INDEX('NOTES CE2-CM1'!$AB$10:$AB$250,MATCH(AU132,'NOTES CE2-CM1'!$B$10:$B$250,0))),""))</f>
        <v/>
      </c>
      <c r="BA132" s="51" t="str">
        <f aca="false">IFERROR(MATCH("CM2-12",'REGISTRE ELEVES'!$AG$10:$AG$250,0),"")</f>
        <v/>
      </c>
      <c r="BB132" s="51" t="str">
        <f aca="false">IF(BA132="","",INDEX('REGISTRE ELEVES'!$B$10:$B$250,BA132))</f>
        <v/>
      </c>
      <c r="BC132" s="51" t="str">
        <f aca="false">IF(BA132="","",INDEX('REGISTRE ELEVES'!$D$10:$D$250,BA132))</f>
        <v/>
      </c>
      <c r="BD132" s="51" t="str">
        <f aca="false">IF(BA132="","",INDEX('REGISTRE ELEVES'!$E$10:$E$250,BA132))</f>
        <v/>
      </c>
      <c r="BE132" s="51" t="str">
        <f aca="false">IF(BB132="","",IFERROR(CHOOSE($P$10,INDEX('NOTES CM2'!$M$10:$M$250,MATCH(BB132,'NOTES CM2'!$B$10:$B$250,0)),INDEX('NOTES CM2'!$T$10:$T$250,MATCH(BB132,'NOTES CM2'!$B$10:$B$250,0)),INDEX('NOTES CM2'!$AB$10:$AB$250,MATCH(BB132,'NOTES CM2'!$B$10:$B$250,0)),INDEX('NOTES CM2'!$AJ$10:$AJ$250,MATCH(BB132,'NOTES CM2'!$B$10:$B$250,0))),""))</f>
        <v/>
      </c>
      <c r="BF132" s="51" t="str">
        <f aca="false">IF(ISNUMBER(BE132),BE132+(1000-12)/1000000,"")</f>
        <v/>
      </c>
      <c r="BG132" s="51" t="str">
        <f aca="false">IF(BB132="","",IFERROR(CHOOSE($P$10,INDEX('NOTES CM2'!$G$10:$G$250,MATCH(BB132,'NOTES CM2'!$B$10:$B$250,0)),INDEX('NOTES CM2'!$N$10:$N$250,MATCH(BB132,'NOTES CM2'!$B$10:$B$250,0)),INDEX('NOTES CM2'!$U$10:$U$250,MATCH(BB132,'NOTES CM2'!$B$10:$B$250,0)),INDEX('NOTES CM2'!$AC$10:$AC$250,MATCH(BB132,'NOTES CM2'!$B$10:$B$250,0))),""))</f>
        <v/>
      </c>
    </row>
    <row r="133" customFormat="false" ht="15" hidden="false" customHeight="false" outlineLevel="0" collapsed="false">
      <c r="R133" s="51" t="str">
        <f aca="false">IFERROR(MATCH("CP1-13",'REGISTRE ELEVES'!$AG$10:$AG$250,0),"")</f>
        <v/>
      </c>
      <c r="S133" s="51" t="str">
        <f aca="false">IF(R133="","",INDEX('REGISTRE ELEVES'!$B$10:$B$250,R133))</f>
        <v/>
      </c>
      <c r="T133" s="51" t="str">
        <f aca="false">IF(R133="","",INDEX('REGISTRE ELEVES'!$D$10:$D$250,R133))</f>
        <v/>
      </c>
      <c r="U133" s="51" t="str">
        <f aca="false">IF(R133="","",INDEX('REGISTRE ELEVES'!$E$10:$E$250,R133))</f>
        <v/>
      </c>
      <c r="V133" s="51" t="str">
        <f aca="false">IF(S133="","",IFERROR(CHOOSE($P$8,INDEX('NOTES CP'!$P$10:$P$250,MATCH(S133,'NOTES CP'!$B$10:$B$250,0)),INDEX('NOTES CP'!$Z$10:$Z$250,MATCH(S133,'NOTES CP'!$B$10:$B$250,0)),INDEX('NOTES CP'!$AJ$10:$AJ$250,MATCH(S133,'NOTES CP'!$B$10:$B$250,0)),INDEX('NOTES CP'!$AT$10:$AT$250,MATCH(S133,'NOTES CP'!$B$10:$B$250,0))),""))</f>
        <v/>
      </c>
      <c r="W133" s="51" t="str">
        <f aca="false">IF(ISNUMBER(V133),V133+(1000-13)/1000000,"")</f>
        <v/>
      </c>
      <c r="X133" s="51" t="str">
        <f aca="false">IF(S133="","",IFERROR(CHOOSE($P$8,INDEX('NOTES CP'!$G$10:$G$250,MATCH(S133,'NOTES CP'!$B$10:$B$250,0)),INDEX('NOTES CP'!$Q$10:$Q$250,MATCH(S133,'NOTES CP'!$B$10:$B$250,0)),INDEX('NOTES CP'!$AA$10:$AA$250,MATCH(S133,'NOTES CP'!$B$10:$B$250,0)),INDEX('NOTES CP'!$AK$10:$AK$250,MATCH(S133,'NOTES CP'!$B$10:$B$250,0))),""))</f>
        <v/>
      </c>
      <c r="Y133" s="51" t="str">
        <f aca="false">IFERROR(MATCH("CP2-13",'REGISTRE ELEVES'!$AG$10:$AG$250,0),"")</f>
        <v/>
      </c>
      <c r="Z133" s="51" t="str">
        <f aca="false">IF(Y133="","",INDEX('REGISTRE ELEVES'!$B$10:$B$250,Y133))</f>
        <v/>
      </c>
      <c r="AA133" s="51" t="str">
        <f aca="false">IF(Y133="","",INDEX('REGISTRE ELEVES'!$D$10:$D$250,Y133))</f>
        <v/>
      </c>
      <c r="AB133" s="51" t="str">
        <f aca="false">IF(Y133="","",INDEX('REGISTRE ELEVES'!$E$10:$E$250,Y133))</f>
        <v/>
      </c>
      <c r="AC133" s="51" t="str">
        <f aca="false">IF(Z133="","",IFERROR(CHOOSE($P$8,INDEX('NOTES CP'!$P$10:$P$250,MATCH(Z133,'NOTES CP'!$B$10:$B$250,0)),INDEX('NOTES CP'!$Z$10:$Z$250,MATCH(Z133,'NOTES CP'!$B$10:$B$250,0)),INDEX('NOTES CP'!$AJ$10:$AJ$250,MATCH(Z133,'NOTES CP'!$B$10:$B$250,0)),INDEX('NOTES CP'!$AT$10:$AT$250,MATCH(Z133,'NOTES CP'!$B$10:$B$250,0))),""))</f>
        <v/>
      </c>
      <c r="AD133" s="51" t="str">
        <f aca="false">IF(ISNUMBER(AC133),AC133+(1000-13)/1000000,"")</f>
        <v/>
      </c>
      <c r="AE133" s="51" t="str">
        <f aca="false">IF(Z133="","",IFERROR(CHOOSE($P$8,INDEX('NOTES CP'!$G$10:$G$250,MATCH(Z133,'NOTES CP'!$B$10:$B$250,0)),INDEX('NOTES CP'!$Q$10:$Q$250,MATCH(Z133,'NOTES CP'!$B$10:$B$250,0)),INDEX('NOTES CP'!$AA$10:$AA$250,MATCH(Z133,'NOTES CP'!$B$10:$B$250,0)),INDEX('NOTES CP'!$AK$10:$AK$250,MATCH(Z133,'NOTES CP'!$B$10:$B$250,0))),""))</f>
        <v/>
      </c>
      <c r="AF133" s="51" t="str">
        <f aca="false">IFERROR(MATCH("CE1-13",'REGISTRE ELEVES'!$AG$10:$AG$250,0),"")</f>
        <v/>
      </c>
      <c r="AG133" s="51" t="str">
        <f aca="false">IF(AF133="","",INDEX('REGISTRE ELEVES'!$B$10:$B$250,AF133))</f>
        <v/>
      </c>
      <c r="AH133" s="51" t="str">
        <f aca="false">IF(AF133="","",INDEX('REGISTRE ELEVES'!$D$10:$D$250,AF133))</f>
        <v/>
      </c>
      <c r="AI133" s="51" t="str">
        <f aca="false">IF(AF133="","",INDEX('REGISTRE ELEVES'!$E$10:$E$250,AF133))</f>
        <v/>
      </c>
      <c r="AJ133" s="51" t="str">
        <f aca="false">IF(AG133="","",IFERROR(CHOOSE($P$8,INDEX('NOTES CE1'!$M$10:$M$250,MATCH(AG133,'NOTES CE1'!$B$10:$B$250,0)),INDEX('NOTES CE1'!$T$10:$T$250,MATCH(AG133,'NOTES CE1'!$B$10:$B$250,0)),INDEX('NOTES CE1'!$AA$10:$AA$250,MATCH(AG133,'NOTES CE1'!$B$10:$B$250,0)),INDEX('NOTES CE1'!$AH$10:$AH$250,MATCH(AG133,'NOTES CE1'!$B$10:$B$250,0))),""))</f>
        <v/>
      </c>
      <c r="AK133" s="51" t="str">
        <f aca="false">IF(ISNUMBER(AJ133),AJ133+(1000-13)/1000000,"")</f>
        <v/>
      </c>
      <c r="AL133" s="51" t="str">
        <f aca="false">IF(AG133="","",IFERROR(CHOOSE($P$8,INDEX('NOTES CE1'!$G$10:$G$250,MATCH(AG133,'NOTES CE1'!$B$10:$B$250,0)),INDEX('NOTES CE1'!$N$10:$N$250,MATCH(AG133,'NOTES CE1'!$B$10:$B$250,0)),INDEX('NOTES CE1'!$U$10:$U$250,MATCH(AG133,'NOTES CE1'!$B$10:$B$250,0)),INDEX('NOTES CE1'!$AB$10:$AB$250,MATCH(AG133,'NOTES CE1'!$B$10:$B$250,0))),""))</f>
        <v/>
      </c>
      <c r="AM133" s="51" t="str">
        <f aca="false">IFERROR(MATCH("CE2-13",'REGISTRE ELEVES'!$AG$10:$AG$250,0),"")</f>
        <v/>
      </c>
      <c r="AN133" s="51" t="str">
        <f aca="false">IF(AM133="","",INDEX('REGISTRE ELEVES'!$B$10:$B$250,AM133))</f>
        <v/>
      </c>
      <c r="AO133" s="51" t="str">
        <f aca="false">IF(AM133="","",INDEX('REGISTRE ELEVES'!$D$10:$D$250,AM133))</f>
        <v/>
      </c>
      <c r="AP133" s="51" t="str">
        <f aca="false">IF(AM133="","",INDEX('REGISTRE ELEVES'!$E$10:$E$250,AM133))</f>
        <v/>
      </c>
      <c r="AQ133" s="51" t="str">
        <f aca="false">IF(AN133="","",IFERROR(CHOOSE($P$8,INDEX('NOTES CE2-CM1'!$M$10:$M$250,MATCH(AN133,'NOTES CE2-CM1'!$B$10:$B$250,0)),INDEX('NOTES CE2-CM1'!$T$10:$T$250,MATCH(AN133,'NOTES CE2-CM1'!$B$10:$B$250,0)),INDEX('NOTES CE2-CM1'!$AA$10:$AA$250,MATCH(AN133,'NOTES CE2-CM1'!$B$10:$B$250,0)),INDEX('NOTES CE2-CM1'!$AH$10:$AH$250,MATCH(AN133,'NOTES CE2-CM1'!$B$10:$B$250,0))),""))</f>
        <v/>
      </c>
      <c r="AR133" s="51" t="str">
        <f aca="false">IF(ISNUMBER(AQ133),AQ133+(1000-13)/1000000,"")</f>
        <v/>
      </c>
      <c r="AS133" s="51" t="str">
        <f aca="false">IF(AN133="","",IFERROR(CHOOSE($P$8,INDEX('NOTES CE2-CM1'!$G$10:$G$250,MATCH(AN133,'NOTES CE2-CM1'!$B$10:$B$250,0)),INDEX('NOTES CE2-CM1'!$N$10:$N$250,MATCH(AN133,'NOTES CE2-CM1'!$B$10:$B$250,0)),INDEX('NOTES CE2-CM1'!$U$10:$U$250,MATCH(AN133,'NOTES CE2-CM1'!$B$10:$B$250,0)),INDEX('NOTES CE2-CM1'!$AB$10:$AB$250,MATCH(AN133,'NOTES CE2-CM1'!$B$10:$B$250,0))),""))</f>
        <v/>
      </c>
      <c r="AT133" s="51" t="str">
        <f aca="false">IFERROR(MATCH("CM1-13",'REGISTRE ELEVES'!$AG$10:$AG$250,0),"")</f>
        <v/>
      </c>
      <c r="AU133" s="51" t="str">
        <f aca="false">IF(AT133="","",INDEX('REGISTRE ELEVES'!$B$10:$B$250,AT133))</f>
        <v/>
      </c>
      <c r="AV133" s="51" t="str">
        <f aca="false">IF(AT133="","",INDEX('REGISTRE ELEVES'!$D$10:$D$250,AT133))</f>
        <v/>
      </c>
      <c r="AW133" s="51" t="str">
        <f aca="false">IF(AT133="","",INDEX('REGISTRE ELEVES'!$E$10:$E$250,AT133))</f>
        <v/>
      </c>
      <c r="AX133" s="51" t="str">
        <f aca="false">IF(AU133="","",IFERROR(CHOOSE($P$8,INDEX('NOTES CE2-CM1'!$M$10:$M$250,MATCH(AU133,'NOTES CE2-CM1'!$B$10:$B$250,0)),INDEX('NOTES CE2-CM1'!$T$10:$T$250,MATCH(AU133,'NOTES CE2-CM1'!$B$10:$B$250,0)),INDEX('NOTES CE2-CM1'!$AA$10:$AA$250,MATCH(AU133,'NOTES CE2-CM1'!$B$10:$B$250,0)),INDEX('NOTES CE2-CM1'!$AH$10:$AH$250,MATCH(AU133,'NOTES CE2-CM1'!$B$10:$B$250,0))),""))</f>
        <v/>
      </c>
      <c r="AY133" s="51" t="str">
        <f aca="false">IF(ISNUMBER(AX133),AX133+(1000-13)/1000000,"")</f>
        <v/>
      </c>
      <c r="AZ133" s="51" t="str">
        <f aca="false">IF(AU133="","",IFERROR(CHOOSE($P$8,INDEX('NOTES CE2-CM1'!$G$10:$G$250,MATCH(AU133,'NOTES CE2-CM1'!$B$10:$B$250,0)),INDEX('NOTES CE2-CM1'!$N$10:$N$250,MATCH(AU133,'NOTES CE2-CM1'!$B$10:$B$250,0)),INDEX('NOTES CE2-CM1'!$U$10:$U$250,MATCH(AU133,'NOTES CE2-CM1'!$B$10:$B$250,0)),INDEX('NOTES CE2-CM1'!$AB$10:$AB$250,MATCH(AU133,'NOTES CE2-CM1'!$B$10:$B$250,0))),""))</f>
        <v/>
      </c>
      <c r="BA133" s="51" t="str">
        <f aca="false">IFERROR(MATCH("CM2-13",'REGISTRE ELEVES'!$AG$10:$AG$250,0),"")</f>
        <v/>
      </c>
      <c r="BB133" s="51" t="str">
        <f aca="false">IF(BA133="","",INDEX('REGISTRE ELEVES'!$B$10:$B$250,BA133))</f>
        <v/>
      </c>
      <c r="BC133" s="51" t="str">
        <f aca="false">IF(BA133="","",INDEX('REGISTRE ELEVES'!$D$10:$D$250,BA133))</f>
        <v/>
      </c>
      <c r="BD133" s="51" t="str">
        <f aca="false">IF(BA133="","",INDEX('REGISTRE ELEVES'!$E$10:$E$250,BA133))</f>
        <v/>
      </c>
      <c r="BE133" s="51" t="str">
        <f aca="false">IF(BB133="","",IFERROR(CHOOSE($P$10,INDEX('NOTES CM2'!$M$10:$M$250,MATCH(BB133,'NOTES CM2'!$B$10:$B$250,0)),INDEX('NOTES CM2'!$T$10:$T$250,MATCH(BB133,'NOTES CM2'!$B$10:$B$250,0)),INDEX('NOTES CM2'!$AB$10:$AB$250,MATCH(BB133,'NOTES CM2'!$B$10:$B$250,0)),INDEX('NOTES CM2'!$AJ$10:$AJ$250,MATCH(BB133,'NOTES CM2'!$B$10:$B$250,0))),""))</f>
        <v/>
      </c>
      <c r="BF133" s="51" t="str">
        <f aca="false">IF(ISNUMBER(BE133),BE133+(1000-13)/1000000,"")</f>
        <v/>
      </c>
      <c r="BG133" s="51" t="str">
        <f aca="false">IF(BB133="","",IFERROR(CHOOSE($P$10,INDEX('NOTES CM2'!$G$10:$G$250,MATCH(BB133,'NOTES CM2'!$B$10:$B$250,0)),INDEX('NOTES CM2'!$N$10:$N$250,MATCH(BB133,'NOTES CM2'!$B$10:$B$250,0)),INDEX('NOTES CM2'!$U$10:$U$250,MATCH(BB133,'NOTES CM2'!$B$10:$B$250,0)),INDEX('NOTES CM2'!$AC$10:$AC$250,MATCH(BB133,'NOTES CM2'!$B$10:$B$250,0))),""))</f>
        <v/>
      </c>
    </row>
    <row r="134" customFormat="false" ht="15" hidden="false" customHeight="false" outlineLevel="0" collapsed="false">
      <c r="R134" s="51" t="str">
        <f aca="false">IFERROR(MATCH("CP1-14",'REGISTRE ELEVES'!$AG$10:$AG$250,0),"")</f>
        <v/>
      </c>
      <c r="S134" s="51" t="str">
        <f aca="false">IF(R134="","",INDEX('REGISTRE ELEVES'!$B$10:$B$250,R134))</f>
        <v/>
      </c>
      <c r="T134" s="51" t="str">
        <f aca="false">IF(R134="","",INDEX('REGISTRE ELEVES'!$D$10:$D$250,R134))</f>
        <v/>
      </c>
      <c r="U134" s="51" t="str">
        <f aca="false">IF(R134="","",INDEX('REGISTRE ELEVES'!$E$10:$E$250,R134))</f>
        <v/>
      </c>
      <c r="V134" s="51" t="str">
        <f aca="false">IF(S134="","",IFERROR(CHOOSE($P$8,INDEX('NOTES CP'!$P$10:$P$250,MATCH(S134,'NOTES CP'!$B$10:$B$250,0)),INDEX('NOTES CP'!$Z$10:$Z$250,MATCH(S134,'NOTES CP'!$B$10:$B$250,0)),INDEX('NOTES CP'!$AJ$10:$AJ$250,MATCH(S134,'NOTES CP'!$B$10:$B$250,0)),INDEX('NOTES CP'!$AT$10:$AT$250,MATCH(S134,'NOTES CP'!$B$10:$B$250,0))),""))</f>
        <v/>
      </c>
      <c r="W134" s="51" t="str">
        <f aca="false">IF(ISNUMBER(V134),V134+(1000-14)/1000000,"")</f>
        <v/>
      </c>
      <c r="X134" s="51" t="str">
        <f aca="false">IF(S134="","",IFERROR(CHOOSE($P$8,INDEX('NOTES CP'!$G$10:$G$250,MATCH(S134,'NOTES CP'!$B$10:$B$250,0)),INDEX('NOTES CP'!$Q$10:$Q$250,MATCH(S134,'NOTES CP'!$B$10:$B$250,0)),INDEX('NOTES CP'!$AA$10:$AA$250,MATCH(S134,'NOTES CP'!$B$10:$B$250,0)),INDEX('NOTES CP'!$AK$10:$AK$250,MATCH(S134,'NOTES CP'!$B$10:$B$250,0))),""))</f>
        <v/>
      </c>
      <c r="Y134" s="51" t="str">
        <f aca="false">IFERROR(MATCH("CP2-14",'REGISTRE ELEVES'!$AG$10:$AG$250,0),"")</f>
        <v/>
      </c>
      <c r="Z134" s="51" t="str">
        <f aca="false">IF(Y134="","",INDEX('REGISTRE ELEVES'!$B$10:$B$250,Y134))</f>
        <v/>
      </c>
      <c r="AA134" s="51" t="str">
        <f aca="false">IF(Y134="","",INDEX('REGISTRE ELEVES'!$D$10:$D$250,Y134))</f>
        <v/>
      </c>
      <c r="AB134" s="51" t="str">
        <f aca="false">IF(Y134="","",INDEX('REGISTRE ELEVES'!$E$10:$E$250,Y134))</f>
        <v/>
      </c>
      <c r="AC134" s="51" t="str">
        <f aca="false">IF(Z134="","",IFERROR(CHOOSE($P$8,INDEX('NOTES CP'!$P$10:$P$250,MATCH(Z134,'NOTES CP'!$B$10:$B$250,0)),INDEX('NOTES CP'!$Z$10:$Z$250,MATCH(Z134,'NOTES CP'!$B$10:$B$250,0)),INDEX('NOTES CP'!$AJ$10:$AJ$250,MATCH(Z134,'NOTES CP'!$B$10:$B$250,0)),INDEX('NOTES CP'!$AT$10:$AT$250,MATCH(Z134,'NOTES CP'!$B$10:$B$250,0))),""))</f>
        <v/>
      </c>
      <c r="AD134" s="51" t="str">
        <f aca="false">IF(ISNUMBER(AC134),AC134+(1000-14)/1000000,"")</f>
        <v/>
      </c>
      <c r="AE134" s="51" t="str">
        <f aca="false">IF(Z134="","",IFERROR(CHOOSE($P$8,INDEX('NOTES CP'!$G$10:$G$250,MATCH(Z134,'NOTES CP'!$B$10:$B$250,0)),INDEX('NOTES CP'!$Q$10:$Q$250,MATCH(Z134,'NOTES CP'!$B$10:$B$250,0)),INDEX('NOTES CP'!$AA$10:$AA$250,MATCH(Z134,'NOTES CP'!$B$10:$B$250,0)),INDEX('NOTES CP'!$AK$10:$AK$250,MATCH(Z134,'NOTES CP'!$B$10:$B$250,0))),""))</f>
        <v/>
      </c>
      <c r="AF134" s="51" t="str">
        <f aca="false">IFERROR(MATCH("CE1-14",'REGISTRE ELEVES'!$AG$10:$AG$250,0),"")</f>
        <v/>
      </c>
      <c r="AG134" s="51" t="str">
        <f aca="false">IF(AF134="","",INDEX('REGISTRE ELEVES'!$B$10:$B$250,AF134))</f>
        <v/>
      </c>
      <c r="AH134" s="51" t="str">
        <f aca="false">IF(AF134="","",INDEX('REGISTRE ELEVES'!$D$10:$D$250,AF134))</f>
        <v/>
      </c>
      <c r="AI134" s="51" t="str">
        <f aca="false">IF(AF134="","",INDEX('REGISTRE ELEVES'!$E$10:$E$250,AF134))</f>
        <v/>
      </c>
      <c r="AJ134" s="51" t="str">
        <f aca="false">IF(AG134="","",IFERROR(CHOOSE($P$8,INDEX('NOTES CE1'!$M$10:$M$250,MATCH(AG134,'NOTES CE1'!$B$10:$B$250,0)),INDEX('NOTES CE1'!$T$10:$T$250,MATCH(AG134,'NOTES CE1'!$B$10:$B$250,0)),INDEX('NOTES CE1'!$AA$10:$AA$250,MATCH(AG134,'NOTES CE1'!$B$10:$B$250,0)),INDEX('NOTES CE1'!$AH$10:$AH$250,MATCH(AG134,'NOTES CE1'!$B$10:$B$250,0))),""))</f>
        <v/>
      </c>
      <c r="AK134" s="51" t="str">
        <f aca="false">IF(ISNUMBER(AJ134),AJ134+(1000-14)/1000000,"")</f>
        <v/>
      </c>
      <c r="AL134" s="51" t="str">
        <f aca="false">IF(AG134="","",IFERROR(CHOOSE($P$8,INDEX('NOTES CE1'!$G$10:$G$250,MATCH(AG134,'NOTES CE1'!$B$10:$B$250,0)),INDEX('NOTES CE1'!$N$10:$N$250,MATCH(AG134,'NOTES CE1'!$B$10:$B$250,0)),INDEX('NOTES CE1'!$U$10:$U$250,MATCH(AG134,'NOTES CE1'!$B$10:$B$250,0)),INDEX('NOTES CE1'!$AB$10:$AB$250,MATCH(AG134,'NOTES CE1'!$B$10:$B$250,0))),""))</f>
        <v/>
      </c>
      <c r="AM134" s="51" t="str">
        <f aca="false">IFERROR(MATCH("CE2-14",'REGISTRE ELEVES'!$AG$10:$AG$250,0),"")</f>
        <v/>
      </c>
      <c r="AN134" s="51" t="str">
        <f aca="false">IF(AM134="","",INDEX('REGISTRE ELEVES'!$B$10:$B$250,AM134))</f>
        <v/>
      </c>
      <c r="AO134" s="51" t="str">
        <f aca="false">IF(AM134="","",INDEX('REGISTRE ELEVES'!$D$10:$D$250,AM134))</f>
        <v/>
      </c>
      <c r="AP134" s="51" t="str">
        <f aca="false">IF(AM134="","",INDEX('REGISTRE ELEVES'!$E$10:$E$250,AM134))</f>
        <v/>
      </c>
      <c r="AQ134" s="51" t="str">
        <f aca="false">IF(AN134="","",IFERROR(CHOOSE($P$8,INDEX('NOTES CE2-CM1'!$M$10:$M$250,MATCH(AN134,'NOTES CE2-CM1'!$B$10:$B$250,0)),INDEX('NOTES CE2-CM1'!$T$10:$T$250,MATCH(AN134,'NOTES CE2-CM1'!$B$10:$B$250,0)),INDEX('NOTES CE2-CM1'!$AA$10:$AA$250,MATCH(AN134,'NOTES CE2-CM1'!$B$10:$B$250,0)),INDEX('NOTES CE2-CM1'!$AH$10:$AH$250,MATCH(AN134,'NOTES CE2-CM1'!$B$10:$B$250,0))),""))</f>
        <v/>
      </c>
      <c r="AR134" s="51" t="str">
        <f aca="false">IF(ISNUMBER(AQ134),AQ134+(1000-14)/1000000,"")</f>
        <v/>
      </c>
      <c r="AS134" s="51" t="str">
        <f aca="false">IF(AN134="","",IFERROR(CHOOSE($P$8,INDEX('NOTES CE2-CM1'!$G$10:$G$250,MATCH(AN134,'NOTES CE2-CM1'!$B$10:$B$250,0)),INDEX('NOTES CE2-CM1'!$N$10:$N$250,MATCH(AN134,'NOTES CE2-CM1'!$B$10:$B$250,0)),INDEX('NOTES CE2-CM1'!$U$10:$U$250,MATCH(AN134,'NOTES CE2-CM1'!$B$10:$B$250,0)),INDEX('NOTES CE2-CM1'!$AB$10:$AB$250,MATCH(AN134,'NOTES CE2-CM1'!$B$10:$B$250,0))),""))</f>
        <v/>
      </c>
      <c r="AT134" s="51" t="str">
        <f aca="false">IFERROR(MATCH("CM1-14",'REGISTRE ELEVES'!$AG$10:$AG$250,0),"")</f>
        <v/>
      </c>
      <c r="AU134" s="51" t="str">
        <f aca="false">IF(AT134="","",INDEX('REGISTRE ELEVES'!$B$10:$B$250,AT134))</f>
        <v/>
      </c>
      <c r="AV134" s="51" t="str">
        <f aca="false">IF(AT134="","",INDEX('REGISTRE ELEVES'!$D$10:$D$250,AT134))</f>
        <v/>
      </c>
      <c r="AW134" s="51" t="str">
        <f aca="false">IF(AT134="","",INDEX('REGISTRE ELEVES'!$E$10:$E$250,AT134))</f>
        <v/>
      </c>
      <c r="AX134" s="51" t="str">
        <f aca="false">IF(AU134="","",IFERROR(CHOOSE($P$8,INDEX('NOTES CE2-CM1'!$M$10:$M$250,MATCH(AU134,'NOTES CE2-CM1'!$B$10:$B$250,0)),INDEX('NOTES CE2-CM1'!$T$10:$T$250,MATCH(AU134,'NOTES CE2-CM1'!$B$10:$B$250,0)),INDEX('NOTES CE2-CM1'!$AA$10:$AA$250,MATCH(AU134,'NOTES CE2-CM1'!$B$10:$B$250,0)),INDEX('NOTES CE2-CM1'!$AH$10:$AH$250,MATCH(AU134,'NOTES CE2-CM1'!$B$10:$B$250,0))),""))</f>
        <v/>
      </c>
      <c r="AY134" s="51" t="str">
        <f aca="false">IF(ISNUMBER(AX134),AX134+(1000-14)/1000000,"")</f>
        <v/>
      </c>
      <c r="AZ134" s="51" t="str">
        <f aca="false">IF(AU134="","",IFERROR(CHOOSE($P$8,INDEX('NOTES CE2-CM1'!$G$10:$G$250,MATCH(AU134,'NOTES CE2-CM1'!$B$10:$B$250,0)),INDEX('NOTES CE2-CM1'!$N$10:$N$250,MATCH(AU134,'NOTES CE2-CM1'!$B$10:$B$250,0)),INDEX('NOTES CE2-CM1'!$U$10:$U$250,MATCH(AU134,'NOTES CE2-CM1'!$B$10:$B$250,0)),INDEX('NOTES CE2-CM1'!$AB$10:$AB$250,MATCH(AU134,'NOTES CE2-CM1'!$B$10:$B$250,0))),""))</f>
        <v/>
      </c>
      <c r="BA134" s="51" t="str">
        <f aca="false">IFERROR(MATCH("CM2-14",'REGISTRE ELEVES'!$AG$10:$AG$250,0),"")</f>
        <v/>
      </c>
      <c r="BB134" s="51" t="str">
        <f aca="false">IF(BA134="","",INDEX('REGISTRE ELEVES'!$B$10:$B$250,BA134))</f>
        <v/>
      </c>
      <c r="BC134" s="51" t="str">
        <f aca="false">IF(BA134="","",INDEX('REGISTRE ELEVES'!$D$10:$D$250,BA134))</f>
        <v/>
      </c>
      <c r="BD134" s="51" t="str">
        <f aca="false">IF(BA134="","",INDEX('REGISTRE ELEVES'!$E$10:$E$250,BA134))</f>
        <v/>
      </c>
      <c r="BE134" s="51" t="str">
        <f aca="false">IF(BB134="","",IFERROR(CHOOSE($P$10,INDEX('NOTES CM2'!$M$10:$M$250,MATCH(BB134,'NOTES CM2'!$B$10:$B$250,0)),INDEX('NOTES CM2'!$T$10:$T$250,MATCH(BB134,'NOTES CM2'!$B$10:$B$250,0)),INDEX('NOTES CM2'!$AB$10:$AB$250,MATCH(BB134,'NOTES CM2'!$B$10:$B$250,0)),INDEX('NOTES CM2'!$AJ$10:$AJ$250,MATCH(BB134,'NOTES CM2'!$B$10:$B$250,0))),""))</f>
        <v/>
      </c>
      <c r="BF134" s="51" t="str">
        <f aca="false">IF(ISNUMBER(BE134),BE134+(1000-14)/1000000,"")</f>
        <v/>
      </c>
      <c r="BG134" s="51" t="str">
        <f aca="false">IF(BB134="","",IFERROR(CHOOSE($P$10,INDEX('NOTES CM2'!$G$10:$G$250,MATCH(BB134,'NOTES CM2'!$B$10:$B$250,0)),INDEX('NOTES CM2'!$N$10:$N$250,MATCH(BB134,'NOTES CM2'!$B$10:$B$250,0)),INDEX('NOTES CM2'!$U$10:$U$250,MATCH(BB134,'NOTES CM2'!$B$10:$B$250,0)),INDEX('NOTES CM2'!$AC$10:$AC$250,MATCH(BB134,'NOTES CM2'!$B$10:$B$250,0))),""))</f>
        <v/>
      </c>
    </row>
    <row r="135" customFormat="false" ht="15" hidden="false" customHeight="false" outlineLevel="0" collapsed="false">
      <c r="R135" s="51" t="str">
        <f aca="false">IFERROR(MATCH("CP1-15",'REGISTRE ELEVES'!$AG$10:$AG$250,0),"")</f>
        <v/>
      </c>
      <c r="S135" s="51" t="str">
        <f aca="false">IF(R135="","",INDEX('REGISTRE ELEVES'!$B$10:$B$250,R135))</f>
        <v/>
      </c>
      <c r="T135" s="51" t="str">
        <f aca="false">IF(R135="","",INDEX('REGISTRE ELEVES'!$D$10:$D$250,R135))</f>
        <v/>
      </c>
      <c r="U135" s="51" t="str">
        <f aca="false">IF(R135="","",INDEX('REGISTRE ELEVES'!$E$10:$E$250,R135))</f>
        <v/>
      </c>
      <c r="V135" s="51" t="str">
        <f aca="false">IF(S135="","",IFERROR(CHOOSE($P$8,INDEX('NOTES CP'!$P$10:$P$250,MATCH(S135,'NOTES CP'!$B$10:$B$250,0)),INDEX('NOTES CP'!$Z$10:$Z$250,MATCH(S135,'NOTES CP'!$B$10:$B$250,0)),INDEX('NOTES CP'!$AJ$10:$AJ$250,MATCH(S135,'NOTES CP'!$B$10:$B$250,0)),INDEX('NOTES CP'!$AT$10:$AT$250,MATCH(S135,'NOTES CP'!$B$10:$B$250,0))),""))</f>
        <v/>
      </c>
      <c r="W135" s="51" t="str">
        <f aca="false">IF(ISNUMBER(V135),V135+(1000-15)/1000000,"")</f>
        <v/>
      </c>
      <c r="X135" s="51" t="str">
        <f aca="false">IF(S135="","",IFERROR(CHOOSE($P$8,INDEX('NOTES CP'!$G$10:$G$250,MATCH(S135,'NOTES CP'!$B$10:$B$250,0)),INDEX('NOTES CP'!$Q$10:$Q$250,MATCH(S135,'NOTES CP'!$B$10:$B$250,0)),INDEX('NOTES CP'!$AA$10:$AA$250,MATCH(S135,'NOTES CP'!$B$10:$B$250,0)),INDEX('NOTES CP'!$AK$10:$AK$250,MATCH(S135,'NOTES CP'!$B$10:$B$250,0))),""))</f>
        <v/>
      </c>
      <c r="Y135" s="51" t="str">
        <f aca="false">IFERROR(MATCH("CP2-15",'REGISTRE ELEVES'!$AG$10:$AG$250,0),"")</f>
        <v/>
      </c>
      <c r="Z135" s="51" t="str">
        <f aca="false">IF(Y135="","",INDEX('REGISTRE ELEVES'!$B$10:$B$250,Y135))</f>
        <v/>
      </c>
      <c r="AA135" s="51" t="str">
        <f aca="false">IF(Y135="","",INDEX('REGISTRE ELEVES'!$D$10:$D$250,Y135))</f>
        <v/>
      </c>
      <c r="AB135" s="51" t="str">
        <f aca="false">IF(Y135="","",INDEX('REGISTRE ELEVES'!$E$10:$E$250,Y135))</f>
        <v/>
      </c>
      <c r="AC135" s="51" t="str">
        <f aca="false">IF(Z135="","",IFERROR(CHOOSE($P$8,INDEX('NOTES CP'!$P$10:$P$250,MATCH(Z135,'NOTES CP'!$B$10:$B$250,0)),INDEX('NOTES CP'!$Z$10:$Z$250,MATCH(Z135,'NOTES CP'!$B$10:$B$250,0)),INDEX('NOTES CP'!$AJ$10:$AJ$250,MATCH(Z135,'NOTES CP'!$B$10:$B$250,0)),INDEX('NOTES CP'!$AT$10:$AT$250,MATCH(Z135,'NOTES CP'!$B$10:$B$250,0))),""))</f>
        <v/>
      </c>
      <c r="AD135" s="51" t="str">
        <f aca="false">IF(ISNUMBER(AC135),AC135+(1000-15)/1000000,"")</f>
        <v/>
      </c>
      <c r="AE135" s="51" t="str">
        <f aca="false">IF(Z135="","",IFERROR(CHOOSE($P$8,INDEX('NOTES CP'!$G$10:$G$250,MATCH(Z135,'NOTES CP'!$B$10:$B$250,0)),INDEX('NOTES CP'!$Q$10:$Q$250,MATCH(Z135,'NOTES CP'!$B$10:$B$250,0)),INDEX('NOTES CP'!$AA$10:$AA$250,MATCH(Z135,'NOTES CP'!$B$10:$B$250,0)),INDEX('NOTES CP'!$AK$10:$AK$250,MATCH(Z135,'NOTES CP'!$B$10:$B$250,0))),""))</f>
        <v/>
      </c>
      <c r="AF135" s="51" t="str">
        <f aca="false">IFERROR(MATCH("CE1-15",'REGISTRE ELEVES'!$AG$10:$AG$250,0),"")</f>
        <v/>
      </c>
      <c r="AG135" s="51" t="str">
        <f aca="false">IF(AF135="","",INDEX('REGISTRE ELEVES'!$B$10:$B$250,AF135))</f>
        <v/>
      </c>
      <c r="AH135" s="51" t="str">
        <f aca="false">IF(AF135="","",INDEX('REGISTRE ELEVES'!$D$10:$D$250,AF135))</f>
        <v/>
      </c>
      <c r="AI135" s="51" t="str">
        <f aca="false">IF(AF135="","",INDEX('REGISTRE ELEVES'!$E$10:$E$250,AF135))</f>
        <v/>
      </c>
      <c r="AJ135" s="51" t="str">
        <f aca="false">IF(AG135="","",IFERROR(CHOOSE($P$8,INDEX('NOTES CE1'!$M$10:$M$250,MATCH(AG135,'NOTES CE1'!$B$10:$B$250,0)),INDEX('NOTES CE1'!$T$10:$T$250,MATCH(AG135,'NOTES CE1'!$B$10:$B$250,0)),INDEX('NOTES CE1'!$AA$10:$AA$250,MATCH(AG135,'NOTES CE1'!$B$10:$B$250,0)),INDEX('NOTES CE1'!$AH$10:$AH$250,MATCH(AG135,'NOTES CE1'!$B$10:$B$250,0))),""))</f>
        <v/>
      </c>
      <c r="AK135" s="51" t="str">
        <f aca="false">IF(ISNUMBER(AJ135),AJ135+(1000-15)/1000000,"")</f>
        <v/>
      </c>
      <c r="AL135" s="51" t="str">
        <f aca="false">IF(AG135="","",IFERROR(CHOOSE($P$8,INDEX('NOTES CE1'!$G$10:$G$250,MATCH(AG135,'NOTES CE1'!$B$10:$B$250,0)),INDEX('NOTES CE1'!$N$10:$N$250,MATCH(AG135,'NOTES CE1'!$B$10:$B$250,0)),INDEX('NOTES CE1'!$U$10:$U$250,MATCH(AG135,'NOTES CE1'!$B$10:$B$250,0)),INDEX('NOTES CE1'!$AB$10:$AB$250,MATCH(AG135,'NOTES CE1'!$B$10:$B$250,0))),""))</f>
        <v/>
      </c>
      <c r="AM135" s="51" t="str">
        <f aca="false">IFERROR(MATCH("CE2-15",'REGISTRE ELEVES'!$AG$10:$AG$250,0),"")</f>
        <v/>
      </c>
      <c r="AN135" s="51" t="str">
        <f aca="false">IF(AM135="","",INDEX('REGISTRE ELEVES'!$B$10:$B$250,AM135))</f>
        <v/>
      </c>
      <c r="AO135" s="51" t="str">
        <f aca="false">IF(AM135="","",INDEX('REGISTRE ELEVES'!$D$10:$D$250,AM135))</f>
        <v/>
      </c>
      <c r="AP135" s="51" t="str">
        <f aca="false">IF(AM135="","",INDEX('REGISTRE ELEVES'!$E$10:$E$250,AM135))</f>
        <v/>
      </c>
      <c r="AQ135" s="51" t="str">
        <f aca="false">IF(AN135="","",IFERROR(CHOOSE($P$8,INDEX('NOTES CE2-CM1'!$M$10:$M$250,MATCH(AN135,'NOTES CE2-CM1'!$B$10:$B$250,0)),INDEX('NOTES CE2-CM1'!$T$10:$T$250,MATCH(AN135,'NOTES CE2-CM1'!$B$10:$B$250,0)),INDEX('NOTES CE2-CM1'!$AA$10:$AA$250,MATCH(AN135,'NOTES CE2-CM1'!$B$10:$B$250,0)),INDEX('NOTES CE2-CM1'!$AH$10:$AH$250,MATCH(AN135,'NOTES CE2-CM1'!$B$10:$B$250,0))),""))</f>
        <v/>
      </c>
      <c r="AR135" s="51" t="str">
        <f aca="false">IF(ISNUMBER(AQ135),AQ135+(1000-15)/1000000,"")</f>
        <v/>
      </c>
      <c r="AS135" s="51" t="str">
        <f aca="false">IF(AN135="","",IFERROR(CHOOSE($P$8,INDEX('NOTES CE2-CM1'!$G$10:$G$250,MATCH(AN135,'NOTES CE2-CM1'!$B$10:$B$250,0)),INDEX('NOTES CE2-CM1'!$N$10:$N$250,MATCH(AN135,'NOTES CE2-CM1'!$B$10:$B$250,0)),INDEX('NOTES CE2-CM1'!$U$10:$U$250,MATCH(AN135,'NOTES CE2-CM1'!$B$10:$B$250,0)),INDEX('NOTES CE2-CM1'!$AB$10:$AB$250,MATCH(AN135,'NOTES CE2-CM1'!$B$10:$B$250,0))),""))</f>
        <v/>
      </c>
      <c r="AT135" s="51" t="str">
        <f aca="false">IFERROR(MATCH("CM1-15",'REGISTRE ELEVES'!$AG$10:$AG$250,0),"")</f>
        <v/>
      </c>
      <c r="AU135" s="51" t="str">
        <f aca="false">IF(AT135="","",INDEX('REGISTRE ELEVES'!$B$10:$B$250,AT135))</f>
        <v/>
      </c>
      <c r="AV135" s="51" t="str">
        <f aca="false">IF(AT135="","",INDEX('REGISTRE ELEVES'!$D$10:$D$250,AT135))</f>
        <v/>
      </c>
      <c r="AW135" s="51" t="str">
        <f aca="false">IF(AT135="","",INDEX('REGISTRE ELEVES'!$E$10:$E$250,AT135))</f>
        <v/>
      </c>
      <c r="AX135" s="51" t="str">
        <f aca="false">IF(AU135="","",IFERROR(CHOOSE($P$8,INDEX('NOTES CE2-CM1'!$M$10:$M$250,MATCH(AU135,'NOTES CE2-CM1'!$B$10:$B$250,0)),INDEX('NOTES CE2-CM1'!$T$10:$T$250,MATCH(AU135,'NOTES CE2-CM1'!$B$10:$B$250,0)),INDEX('NOTES CE2-CM1'!$AA$10:$AA$250,MATCH(AU135,'NOTES CE2-CM1'!$B$10:$B$250,0)),INDEX('NOTES CE2-CM1'!$AH$10:$AH$250,MATCH(AU135,'NOTES CE2-CM1'!$B$10:$B$250,0))),""))</f>
        <v/>
      </c>
      <c r="AY135" s="51" t="str">
        <f aca="false">IF(ISNUMBER(AX135),AX135+(1000-15)/1000000,"")</f>
        <v/>
      </c>
      <c r="AZ135" s="51" t="str">
        <f aca="false">IF(AU135="","",IFERROR(CHOOSE($P$8,INDEX('NOTES CE2-CM1'!$G$10:$G$250,MATCH(AU135,'NOTES CE2-CM1'!$B$10:$B$250,0)),INDEX('NOTES CE2-CM1'!$N$10:$N$250,MATCH(AU135,'NOTES CE2-CM1'!$B$10:$B$250,0)),INDEX('NOTES CE2-CM1'!$U$10:$U$250,MATCH(AU135,'NOTES CE2-CM1'!$B$10:$B$250,0)),INDEX('NOTES CE2-CM1'!$AB$10:$AB$250,MATCH(AU135,'NOTES CE2-CM1'!$B$10:$B$250,0))),""))</f>
        <v/>
      </c>
      <c r="BA135" s="51" t="str">
        <f aca="false">IFERROR(MATCH("CM2-15",'REGISTRE ELEVES'!$AG$10:$AG$250,0),"")</f>
        <v/>
      </c>
      <c r="BB135" s="51" t="str">
        <f aca="false">IF(BA135="","",INDEX('REGISTRE ELEVES'!$B$10:$B$250,BA135))</f>
        <v/>
      </c>
      <c r="BC135" s="51" t="str">
        <f aca="false">IF(BA135="","",INDEX('REGISTRE ELEVES'!$D$10:$D$250,BA135))</f>
        <v/>
      </c>
      <c r="BD135" s="51" t="str">
        <f aca="false">IF(BA135="","",INDEX('REGISTRE ELEVES'!$E$10:$E$250,BA135))</f>
        <v/>
      </c>
      <c r="BE135" s="51" t="str">
        <f aca="false">IF(BB135="","",IFERROR(CHOOSE($P$10,INDEX('NOTES CM2'!$M$10:$M$250,MATCH(BB135,'NOTES CM2'!$B$10:$B$250,0)),INDEX('NOTES CM2'!$T$10:$T$250,MATCH(BB135,'NOTES CM2'!$B$10:$B$250,0)),INDEX('NOTES CM2'!$AB$10:$AB$250,MATCH(BB135,'NOTES CM2'!$B$10:$B$250,0)),INDEX('NOTES CM2'!$AJ$10:$AJ$250,MATCH(BB135,'NOTES CM2'!$B$10:$B$250,0))),""))</f>
        <v/>
      </c>
      <c r="BF135" s="51" t="str">
        <f aca="false">IF(ISNUMBER(BE135),BE135+(1000-15)/1000000,"")</f>
        <v/>
      </c>
      <c r="BG135" s="51" t="str">
        <f aca="false">IF(BB135="","",IFERROR(CHOOSE($P$10,INDEX('NOTES CM2'!$G$10:$G$250,MATCH(BB135,'NOTES CM2'!$B$10:$B$250,0)),INDEX('NOTES CM2'!$N$10:$N$250,MATCH(BB135,'NOTES CM2'!$B$10:$B$250,0)),INDEX('NOTES CM2'!$U$10:$U$250,MATCH(BB135,'NOTES CM2'!$B$10:$B$250,0)),INDEX('NOTES CM2'!$AC$10:$AC$250,MATCH(BB135,'NOTES CM2'!$B$10:$B$250,0))),""))</f>
        <v/>
      </c>
    </row>
    <row r="136" customFormat="false" ht="15" hidden="false" customHeight="false" outlineLevel="0" collapsed="false">
      <c r="R136" s="51" t="str">
        <f aca="false">IFERROR(MATCH("CP1-16",'REGISTRE ELEVES'!$AG$10:$AG$250,0),"")</f>
        <v/>
      </c>
      <c r="S136" s="51" t="str">
        <f aca="false">IF(R136="","",INDEX('REGISTRE ELEVES'!$B$10:$B$250,R136))</f>
        <v/>
      </c>
      <c r="T136" s="51" t="str">
        <f aca="false">IF(R136="","",INDEX('REGISTRE ELEVES'!$D$10:$D$250,R136))</f>
        <v/>
      </c>
      <c r="U136" s="51" t="str">
        <f aca="false">IF(R136="","",INDEX('REGISTRE ELEVES'!$E$10:$E$250,R136))</f>
        <v/>
      </c>
      <c r="V136" s="51" t="str">
        <f aca="false">IF(S136="","",IFERROR(CHOOSE($P$8,INDEX('NOTES CP'!$P$10:$P$250,MATCH(S136,'NOTES CP'!$B$10:$B$250,0)),INDEX('NOTES CP'!$Z$10:$Z$250,MATCH(S136,'NOTES CP'!$B$10:$B$250,0)),INDEX('NOTES CP'!$AJ$10:$AJ$250,MATCH(S136,'NOTES CP'!$B$10:$B$250,0)),INDEX('NOTES CP'!$AT$10:$AT$250,MATCH(S136,'NOTES CP'!$B$10:$B$250,0))),""))</f>
        <v/>
      </c>
      <c r="W136" s="51" t="str">
        <f aca="false">IF(ISNUMBER(V136),V136+(1000-16)/1000000,"")</f>
        <v/>
      </c>
      <c r="X136" s="51" t="str">
        <f aca="false">IF(S136="","",IFERROR(CHOOSE($P$8,INDEX('NOTES CP'!$G$10:$G$250,MATCH(S136,'NOTES CP'!$B$10:$B$250,0)),INDEX('NOTES CP'!$Q$10:$Q$250,MATCH(S136,'NOTES CP'!$B$10:$B$250,0)),INDEX('NOTES CP'!$AA$10:$AA$250,MATCH(S136,'NOTES CP'!$B$10:$B$250,0)),INDEX('NOTES CP'!$AK$10:$AK$250,MATCH(S136,'NOTES CP'!$B$10:$B$250,0))),""))</f>
        <v/>
      </c>
      <c r="Y136" s="51" t="str">
        <f aca="false">IFERROR(MATCH("CP2-16",'REGISTRE ELEVES'!$AG$10:$AG$250,0),"")</f>
        <v/>
      </c>
      <c r="Z136" s="51" t="str">
        <f aca="false">IF(Y136="","",INDEX('REGISTRE ELEVES'!$B$10:$B$250,Y136))</f>
        <v/>
      </c>
      <c r="AA136" s="51" t="str">
        <f aca="false">IF(Y136="","",INDEX('REGISTRE ELEVES'!$D$10:$D$250,Y136))</f>
        <v/>
      </c>
      <c r="AB136" s="51" t="str">
        <f aca="false">IF(Y136="","",INDEX('REGISTRE ELEVES'!$E$10:$E$250,Y136))</f>
        <v/>
      </c>
      <c r="AC136" s="51" t="str">
        <f aca="false">IF(Z136="","",IFERROR(CHOOSE($P$8,INDEX('NOTES CP'!$P$10:$P$250,MATCH(Z136,'NOTES CP'!$B$10:$B$250,0)),INDEX('NOTES CP'!$Z$10:$Z$250,MATCH(Z136,'NOTES CP'!$B$10:$B$250,0)),INDEX('NOTES CP'!$AJ$10:$AJ$250,MATCH(Z136,'NOTES CP'!$B$10:$B$250,0)),INDEX('NOTES CP'!$AT$10:$AT$250,MATCH(Z136,'NOTES CP'!$B$10:$B$250,0))),""))</f>
        <v/>
      </c>
      <c r="AD136" s="51" t="str">
        <f aca="false">IF(ISNUMBER(AC136),AC136+(1000-16)/1000000,"")</f>
        <v/>
      </c>
      <c r="AE136" s="51" t="str">
        <f aca="false">IF(Z136="","",IFERROR(CHOOSE($P$8,INDEX('NOTES CP'!$G$10:$G$250,MATCH(Z136,'NOTES CP'!$B$10:$B$250,0)),INDEX('NOTES CP'!$Q$10:$Q$250,MATCH(Z136,'NOTES CP'!$B$10:$B$250,0)),INDEX('NOTES CP'!$AA$10:$AA$250,MATCH(Z136,'NOTES CP'!$B$10:$B$250,0)),INDEX('NOTES CP'!$AK$10:$AK$250,MATCH(Z136,'NOTES CP'!$B$10:$B$250,0))),""))</f>
        <v/>
      </c>
      <c r="AF136" s="51" t="str">
        <f aca="false">IFERROR(MATCH("CE1-16",'REGISTRE ELEVES'!$AG$10:$AG$250,0),"")</f>
        <v/>
      </c>
      <c r="AG136" s="51" t="str">
        <f aca="false">IF(AF136="","",INDEX('REGISTRE ELEVES'!$B$10:$B$250,AF136))</f>
        <v/>
      </c>
      <c r="AH136" s="51" t="str">
        <f aca="false">IF(AF136="","",INDEX('REGISTRE ELEVES'!$D$10:$D$250,AF136))</f>
        <v/>
      </c>
      <c r="AI136" s="51" t="str">
        <f aca="false">IF(AF136="","",INDEX('REGISTRE ELEVES'!$E$10:$E$250,AF136))</f>
        <v/>
      </c>
      <c r="AJ136" s="51" t="str">
        <f aca="false">IF(AG136="","",IFERROR(CHOOSE($P$8,INDEX('NOTES CE1'!$M$10:$M$250,MATCH(AG136,'NOTES CE1'!$B$10:$B$250,0)),INDEX('NOTES CE1'!$T$10:$T$250,MATCH(AG136,'NOTES CE1'!$B$10:$B$250,0)),INDEX('NOTES CE1'!$AA$10:$AA$250,MATCH(AG136,'NOTES CE1'!$B$10:$B$250,0)),INDEX('NOTES CE1'!$AH$10:$AH$250,MATCH(AG136,'NOTES CE1'!$B$10:$B$250,0))),""))</f>
        <v/>
      </c>
      <c r="AK136" s="51" t="str">
        <f aca="false">IF(ISNUMBER(AJ136),AJ136+(1000-16)/1000000,"")</f>
        <v/>
      </c>
      <c r="AL136" s="51" t="str">
        <f aca="false">IF(AG136="","",IFERROR(CHOOSE($P$8,INDEX('NOTES CE1'!$G$10:$G$250,MATCH(AG136,'NOTES CE1'!$B$10:$B$250,0)),INDEX('NOTES CE1'!$N$10:$N$250,MATCH(AG136,'NOTES CE1'!$B$10:$B$250,0)),INDEX('NOTES CE1'!$U$10:$U$250,MATCH(AG136,'NOTES CE1'!$B$10:$B$250,0)),INDEX('NOTES CE1'!$AB$10:$AB$250,MATCH(AG136,'NOTES CE1'!$B$10:$B$250,0))),""))</f>
        <v/>
      </c>
      <c r="AM136" s="51" t="str">
        <f aca="false">IFERROR(MATCH("CE2-16",'REGISTRE ELEVES'!$AG$10:$AG$250,0),"")</f>
        <v/>
      </c>
      <c r="AN136" s="51" t="str">
        <f aca="false">IF(AM136="","",INDEX('REGISTRE ELEVES'!$B$10:$B$250,AM136))</f>
        <v/>
      </c>
      <c r="AO136" s="51" t="str">
        <f aca="false">IF(AM136="","",INDEX('REGISTRE ELEVES'!$D$10:$D$250,AM136))</f>
        <v/>
      </c>
      <c r="AP136" s="51" t="str">
        <f aca="false">IF(AM136="","",INDEX('REGISTRE ELEVES'!$E$10:$E$250,AM136))</f>
        <v/>
      </c>
      <c r="AQ136" s="51" t="str">
        <f aca="false">IF(AN136="","",IFERROR(CHOOSE($P$8,INDEX('NOTES CE2-CM1'!$M$10:$M$250,MATCH(AN136,'NOTES CE2-CM1'!$B$10:$B$250,0)),INDEX('NOTES CE2-CM1'!$T$10:$T$250,MATCH(AN136,'NOTES CE2-CM1'!$B$10:$B$250,0)),INDEX('NOTES CE2-CM1'!$AA$10:$AA$250,MATCH(AN136,'NOTES CE2-CM1'!$B$10:$B$250,0)),INDEX('NOTES CE2-CM1'!$AH$10:$AH$250,MATCH(AN136,'NOTES CE2-CM1'!$B$10:$B$250,0))),""))</f>
        <v/>
      </c>
      <c r="AR136" s="51" t="str">
        <f aca="false">IF(ISNUMBER(AQ136),AQ136+(1000-16)/1000000,"")</f>
        <v/>
      </c>
      <c r="AS136" s="51" t="str">
        <f aca="false">IF(AN136="","",IFERROR(CHOOSE($P$8,INDEX('NOTES CE2-CM1'!$G$10:$G$250,MATCH(AN136,'NOTES CE2-CM1'!$B$10:$B$250,0)),INDEX('NOTES CE2-CM1'!$N$10:$N$250,MATCH(AN136,'NOTES CE2-CM1'!$B$10:$B$250,0)),INDEX('NOTES CE2-CM1'!$U$10:$U$250,MATCH(AN136,'NOTES CE2-CM1'!$B$10:$B$250,0)),INDEX('NOTES CE2-CM1'!$AB$10:$AB$250,MATCH(AN136,'NOTES CE2-CM1'!$B$10:$B$250,0))),""))</f>
        <v/>
      </c>
      <c r="AT136" s="51" t="str">
        <f aca="false">IFERROR(MATCH("CM1-16",'REGISTRE ELEVES'!$AG$10:$AG$250,0),"")</f>
        <v/>
      </c>
      <c r="AU136" s="51" t="str">
        <f aca="false">IF(AT136="","",INDEX('REGISTRE ELEVES'!$B$10:$B$250,AT136))</f>
        <v/>
      </c>
      <c r="AV136" s="51" t="str">
        <f aca="false">IF(AT136="","",INDEX('REGISTRE ELEVES'!$D$10:$D$250,AT136))</f>
        <v/>
      </c>
      <c r="AW136" s="51" t="str">
        <f aca="false">IF(AT136="","",INDEX('REGISTRE ELEVES'!$E$10:$E$250,AT136))</f>
        <v/>
      </c>
      <c r="AX136" s="51" t="str">
        <f aca="false">IF(AU136="","",IFERROR(CHOOSE($P$8,INDEX('NOTES CE2-CM1'!$M$10:$M$250,MATCH(AU136,'NOTES CE2-CM1'!$B$10:$B$250,0)),INDEX('NOTES CE2-CM1'!$T$10:$T$250,MATCH(AU136,'NOTES CE2-CM1'!$B$10:$B$250,0)),INDEX('NOTES CE2-CM1'!$AA$10:$AA$250,MATCH(AU136,'NOTES CE2-CM1'!$B$10:$B$250,0)),INDEX('NOTES CE2-CM1'!$AH$10:$AH$250,MATCH(AU136,'NOTES CE2-CM1'!$B$10:$B$250,0))),""))</f>
        <v/>
      </c>
      <c r="AY136" s="51" t="str">
        <f aca="false">IF(ISNUMBER(AX136),AX136+(1000-16)/1000000,"")</f>
        <v/>
      </c>
      <c r="AZ136" s="51" t="str">
        <f aca="false">IF(AU136="","",IFERROR(CHOOSE($P$8,INDEX('NOTES CE2-CM1'!$G$10:$G$250,MATCH(AU136,'NOTES CE2-CM1'!$B$10:$B$250,0)),INDEX('NOTES CE2-CM1'!$N$10:$N$250,MATCH(AU136,'NOTES CE2-CM1'!$B$10:$B$250,0)),INDEX('NOTES CE2-CM1'!$U$10:$U$250,MATCH(AU136,'NOTES CE2-CM1'!$B$10:$B$250,0)),INDEX('NOTES CE2-CM1'!$AB$10:$AB$250,MATCH(AU136,'NOTES CE2-CM1'!$B$10:$B$250,0))),""))</f>
        <v/>
      </c>
      <c r="BA136" s="51" t="str">
        <f aca="false">IFERROR(MATCH("CM2-16",'REGISTRE ELEVES'!$AG$10:$AG$250,0),"")</f>
        <v/>
      </c>
      <c r="BB136" s="51" t="str">
        <f aca="false">IF(BA136="","",INDEX('REGISTRE ELEVES'!$B$10:$B$250,BA136))</f>
        <v/>
      </c>
      <c r="BC136" s="51" t="str">
        <f aca="false">IF(BA136="","",INDEX('REGISTRE ELEVES'!$D$10:$D$250,BA136))</f>
        <v/>
      </c>
      <c r="BD136" s="51" t="str">
        <f aca="false">IF(BA136="","",INDEX('REGISTRE ELEVES'!$E$10:$E$250,BA136))</f>
        <v/>
      </c>
      <c r="BE136" s="51" t="str">
        <f aca="false">IF(BB136="","",IFERROR(CHOOSE($P$10,INDEX('NOTES CM2'!$M$10:$M$250,MATCH(BB136,'NOTES CM2'!$B$10:$B$250,0)),INDEX('NOTES CM2'!$T$10:$T$250,MATCH(BB136,'NOTES CM2'!$B$10:$B$250,0)),INDEX('NOTES CM2'!$AB$10:$AB$250,MATCH(BB136,'NOTES CM2'!$B$10:$B$250,0)),INDEX('NOTES CM2'!$AJ$10:$AJ$250,MATCH(BB136,'NOTES CM2'!$B$10:$B$250,0))),""))</f>
        <v/>
      </c>
      <c r="BF136" s="51" t="str">
        <f aca="false">IF(ISNUMBER(BE136),BE136+(1000-16)/1000000,"")</f>
        <v/>
      </c>
      <c r="BG136" s="51" t="str">
        <f aca="false">IF(BB136="","",IFERROR(CHOOSE($P$10,INDEX('NOTES CM2'!$G$10:$G$250,MATCH(BB136,'NOTES CM2'!$B$10:$B$250,0)),INDEX('NOTES CM2'!$N$10:$N$250,MATCH(BB136,'NOTES CM2'!$B$10:$B$250,0)),INDEX('NOTES CM2'!$U$10:$U$250,MATCH(BB136,'NOTES CM2'!$B$10:$B$250,0)),INDEX('NOTES CM2'!$AC$10:$AC$250,MATCH(BB136,'NOTES CM2'!$B$10:$B$250,0))),""))</f>
        <v/>
      </c>
    </row>
    <row r="137" customFormat="false" ht="15" hidden="false" customHeight="false" outlineLevel="0" collapsed="false">
      <c r="R137" s="51" t="str">
        <f aca="false">IFERROR(MATCH("CP1-17",'REGISTRE ELEVES'!$AG$10:$AG$250,0),"")</f>
        <v/>
      </c>
      <c r="S137" s="51" t="str">
        <f aca="false">IF(R137="","",INDEX('REGISTRE ELEVES'!$B$10:$B$250,R137))</f>
        <v/>
      </c>
      <c r="T137" s="51" t="str">
        <f aca="false">IF(R137="","",INDEX('REGISTRE ELEVES'!$D$10:$D$250,R137))</f>
        <v/>
      </c>
      <c r="U137" s="51" t="str">
        <f aca="false">IF(R137="","",INDEX('REGISTRE ELEVES'!$E$10:$E$250,R137))</f>
        <v/>
      </c>
      <c r="V137" s="51" t="str">
        <f aca="false">IF(S137="","",IFERROR(CHOOSE($P$8,INDEX('NOTES CP'!$P$10:$P$250,MATCH(S137,'NOTES CP'!$B$10:$B$250,0)),INDEX('NOTES CP'!$Z$10:$Z$250,MATCH(S137,'NOTES CP'!$B$10:$B$250,0)),INDEX('NOTES CP'!$AJ$10:$AJ$250,MATCH(S137,'NOTES CP'!$B$10:$B$250,0)),INDEX('NOTES CP'!$AT$10:$AT$250,MATCH(S137,'NOTES CP'!$B$10:$B$250,0))),""))</f>
        <v/>
      </c>
      <c r="W137" s="51" t="str">
        <f aca="false">IF(ISNUMBER(V137),V137+(1000-17)/1000000,"")</f>
        <v/>
      </c>
      <c r="X137" s="51" t="str">
        <f aca="false">IF(S137="","",IFERROR(CHOOSE($P$8,INDEX('NOTES CP'!$G$10:$G$250,MATCH(S137,'NOTES CP'!$B$10:$B$250,0)),INDEX('NOTES CP'!$Q$10:$Q$250,MATCH(S137,'NOTES CP'!$B$10:$B$250,0)),INDEX('NOTES CP'!$AA$10:$AA$250,MATCH(S137,'NOTES CP'!$B$10:$B$250,0)),INDEX('NOTES CP'!$AK$10:$AK$250,MATCH(S137,'NOTES CP'!$B$10:$B$250,0))),""))</f>
        <v/>
      </c>
      <c r="Y137" s="51" t="str">
        <f aca="false">IFERROR(MATCH("CP2-17",'REGISTRE ELEVES'!$AG$10:$AG$250,0),"")</f>
        <v/>
      </c>
      <c r="Z137" s="51" t="str">
        <f aca="false">IF(Y137="","",INDEX('REGISTRE ELEVES'!$B$10:$B$250,Y137))</f>
        <v/>
      </c>
      <c r="AA137" s="51" t="str">
        <f aca="false">IF(Y137="","",INDEX('REGISTRE ELEVES'!$D$10:$D$250,Y137))</f>
        <v/>
      </c>
      <c r="AB137" s="51" t="str">
        <f aca="false">IF(Y137="","",INDEX('REGISTRE ELEVES'!$E$10:$E$250,Y137))</f>
        <v/>
      </c>
      <c r="AC137" s="51" t="str">
        <f aca="false">IF(Z137="","",IFERROR(CHOOSE($P$8,INDEX('NOTES CP'!$P$10:$P$250,MATCH(Z137,'NOTES CP'!$B$10:$B$250,0)),INDEX('NOTES CP'!$Z$10:$Z$250,MATCH(Z137,'NOTES CP'!$B$10:$B$250,0)),INDEX('NOTES CP'!$AJ$10:$AJ$250,MATCH(Z137,'NOTES CP'!$B$10:$B$250,0)),INDEX('NOTES CP'!$AT$10:$AT$250,MATCH(Z137,'NOTES CP'!$B$10:$B$250,0))),""))</f>
        <v/>
      </c>
      <c r="AD137" s="51" t="str">
        <f aca="false">IF(ISNUMBER(AC137),AC137+(1000-17)/1000000,"")</f>
        <v/>
      </c>
      <c r="AE137" s="51" t="str">
        <f aca="false">IF(Z137="","",IFERROR(CHOOSE($P$8,INDEX('NOTES CP'!$G$10:$G$250,MATCH(Z137,'NOTES CP'!$B$10:$B$250,0)),INDEX('NOTES CP'!$Q$10:$Q$250,MATCH(Z137,'NOTES CP'!$B$10:$B$250,0)),INDEX('NOTES CP'!$AA$10:$AA$250,MATCH(Z137,'NOTES CP'!$B$10:$B$250,0)),INDEX('NOTES CP'!$AK$10:$AK$250,MATCH(Z137,'NOTES CP'!$B$10:$B$250,0))),""))</f>
        <v/>
      </c>
      <c r="AF137" s="51" t="str">
        <f aca="false">IFERROR(MATCH("CE1-17",'REGISTRE ELEVES'!$AG$10:$AG$250,0),"")</f>
        <v/>
      </c>
      <c r="AG137" s="51" t="str">
        <f aca="false">IF(AF137="","",INDEX('REGISTRE ELEVES'!$B$10:$B$250,AF137))</f>
        <v/>
      </c>
      <c r="AH137" s="51" t="str">
        <f aca="false">IF(AF137="","",INDEX('REGISTRE ELEVES'!$D$10:$D$250,AF137))</f>
        <v/>
      </c>
      <c r="AI137" s="51" t="str">
        <f aca="false">IF(AF137="","",INDEX('REGISTRE ELEVES'!$E$10:$E$250,AF137))</f>
        <v/>
      </c>
      <c r="AJ137" s="51" t="str">
        <f aca="false">IF(AG137="","",IFERROR(CHOOSE($P$8,INDEX('NOTES CE1'!$M$10:$M$250,MATCH(AG137,'NOTES CE1'!$B$10:$B$250,0)),INDEX('NOTES CE1'!$T$10:$T$250,MATCH(AG137,'NOTES CE1'!$B$10:$B$250,0)),INDEX('NOTES CE1'!$AA$10:$AA$250,MATCH(AG137,'NOTES CE1'!$B$10:$B$250,0)),INDEX('NOTES CE1'!$AH$10:$AH$250,MATCH(AG137,'NOTES CE1'!$B$10:$B$250,0))),""))</f>
        <v/>
      </c>
      <c r="AK137" s="51" t="str">
        <f aca="false">IF(ISNUMBER(AJ137),AJ137+(1000-17)/1000000,"")</f>
        <v/>
      </c>
      <c r="AL137" s="51" t="str">
        <f aca="false">IF(AG137="","",IFERROR(CHOOSE($P$8,INDEX('NOTES CE1'!$G$10:$G$250,MATCH(AG137,'NOTES CE1'!$B$10:$B$250,0)),INDEX('NOTES CE1'!$N$10:$N$250,MATCH(AG137,'NOTES CE1'!$B$10:$B$250,0)),INDEX('NOTES CE1'!$U$10:$U$250,MATCH(AG137,'NOTES CE1'!$B$10:$B$250,0)),INDEX('NOTES CE1'!$AB$10:$AB$250,MATCH(AG137,'NOTES CE1'!$B$10:$B$250,0))),""))</f>
        <v/>
      </c>
      <c r="AM137" s="51" t="str">
        <f aca="false">IFERROR(MATCH("CE2-17",'REGISTRE ELEVES'!$AG$10:$AG$250,0),"")</f>
        <v/>
      </c>
      <c r="AN137" s="51" t="str">
        <f aca="false">IF(AM137="","",INDEX('REGISTRE ELEVES'!$B$10:$B$250,AM137))</f>
        <v/>
      </c>
      <c r="AO137" s="51" t="str">
        <f aca="false">IF(AM137="","",INDEX('REGISTRE ELEVES'!$D$10:$D$250,AM137))</f>
        <v/>
      </c>
      <c r="AP137" s="51" t="str">
        <f aca="false">IF(AM137="","",INDEX('REGISTRE ELEVES'!$E$10:$E$250,AM137))</f>
        <v/>
      </c>
      <c r="AQ137" s="51" t="str">
        <f aca="false">IF(AN137="","",IFERROR(CHOOSE($P$8,INDEX('NOTES CE2-CM1'!$M$10:$M$250,MATCH(AN137,'NOTES CE2-CM1'!$B$10:$B$250,0)),INDEX('NOTES CE2-CM1'!$T$10:$T$250,MATCH(AN137,'NOTES CE2-CM1'!$B$10:$B$250,0)),INDEX('NOTES CE2-CM1'!$AA$10:$AA$250,MATCH(AN137,'NOTES CE2-CM1'!$B$10:$B$250,0)),INDEX('NOTES CE2-CM1'!$AH$10:$AH$250,MATCH(AN137,'NOTES CE2-CM1'!$B$10:$B$250,0))),""))</f>
        <v/>
      </c>
      <c r="AR137" s="51" t="str">
        <f aca="false">IF(ISNUMBER(AQ137),AQ137+(1000-17)/1000000,"")</f>
        <v/>
      </c>
      <c r="AS137" s="51" t="str">
        <f aca="false">IF(AN137="","",IFERROR(CHOOSE($P$8,INDEX('NOTES CE2-CM1'!$G$10:$G$250,MATCH(AN137,'NOTES CE2-CM1'!$B$10:$B$250,0)),INDEX('NOTES CE2-CM1'!$N$10:$N$250,MATCH(AN137,'NOTES CE2-CM1'!$B$10:$B$250,0)),INDEX('NOTES CE2-CM1'!$U$10:$U$250,MATCH(AN137,'NOTES CE2-CM1'!$B$10:$B$250,0)),INDEX('NOTES CE2-CM1'!$AB$10:$AB$250,MATCH(AN137,'NOTES CE2-CM1'!$B$10:$B$250,0))),""))</f>
        <v/>
      </c>
      <c r="AT137" s="51" t="str">
        <f aca="false">IFERROR(MATCH("CM1-17",'REGISTRE ELEVES'!$AG$10:$AG$250,0),"")</f>
        <v/>
      </c>
      <c r="AU137" s="51" t="str">
        <f aca="false">IF(AT137="","",INDEX('REGISTRE ELEVES'!$B$10:$B$250,AT137))</f>
        <v/>
      </c>
      <c r="AV137" s="51" t="str">
        <f aca="false">IF(AT137="","",INDEX('REGISTRE ELEVES'!$D$10:$D$250,AT137))</f>
        <v/>
      </c>
      <c r="AW137" s="51" t="str">
        <f aca="false">IF(AT137="","",INDEX('REGISTRE ELEVES'!$E$10:$E$250,AT137))</f>
        <v/>
      </c>
      <c r="AX137" s="51" t="str">
        <f aca="false">IF(AU137="","",IFERROR(CHOOSE($P$8,INDEX('NOTES CE2-CM1'!$M$10:$M$250,MATCH(AU137,'NOTES CE2-CM1'!$B$10:$B$250,0)),INDEX('NOTES CE2-CM1'!$T$10:$T$250,MATCH(AU137,'NOTES CE2-CM1'!$B$10:$B$250,0)),INDEX('NOTES CE2-CM1'!$AA$10:$AA$250,MATCH(AU137,'NOTES CE2-CM1'!$B$10:$B$250,0)),INDEX('NOTES CE2-CM1'!$AH$10:$AH$250,MATCH(AU137,'NOTES CE2-CM1'!$B$10:$B$250,0))),""))</f>
        <v/>
      </c>
      <c r="AY137" s="51" t="str">
        <f aca="false">IF(ISNUMBER(AX137),AX137+(1000-17)/1000000,"")</f>
        <v/>
      </c>
      <c r="AZ137" s="51" t="str">
        <f aca="false">IF(AU137="","",IFERROR(CHOOSE($P$8,INDEX('NOTES CE2-CM1'!$G$10:$G$250,MATCH(AU137,'NOTES CE2-CM1'!$B$10:$B$250,0)),INDEX('NOTES CE2-CM1'!$N$10:$N$250,MATCH(AU137,'NOTES CE2-CM1'!$B$10:$B$250,0)),INDEX('NOTES CE2-CM1'!$U$10:$U$250,MATCH(AU137,'NOTES CE2-CM1'!$B$10:$B$250,0)),INDEX('NOTES CE2-CM1'!$AB$10:$AB$250,MATCH(AU137,'NOTES CE2-CM1'!$B$10:$B$250,0))),""))</f>
        <v/>
      </c>
      <c r="BA137" s="51" t="str">
        <f aca="false">IFERROR(MATCH("CM2-17",'REGISTRE ELEVES'!$AG$10:$AG$250,0),"")</f>
        <v/>
      </c>
      <c r="BB137" s="51" t="str">
        <f aca="false">IF(BA137="","",INDEX('REGISTRE ELEVES'!$B$10:$B$250,BA137))</f>
        <v/>
      </c>
      <c r="BC137" s="51" t="str">
        <f aca="false">IF(BA137="","",INDEX('REGISTRE ELEVES'!$D$10:$D$250,BA137))</f>
        <v/>
      </c>
      <c r="BD137" s="51" t="str">
        <f aca="false">IF(BA137="","",INDEX('REGISTRE ELEVES'!$E$10:$E$250,BA137))</f>
        <v/>
      </c>
      <c r="BE137" s="51" t="str">
        <f aca="false">IF(BB137="","",IFERROR(CHOOSE($P$10,INDEX('NOTES CM2'!$M$10:$M$250,MATCH(BB137,'NOTES CM2'!$B$10:$B$250,0)),INDEX('NOTES CM2'!$T$10:$T$250,MATCH(BB137,'NOTES CM2'!$B$10:$B$250,0)),INDEX('NOTES CM2'!$AB$10:$AB$250,MATCH(BB137,'NOTES CM2'!$B$10:$B$250,0)),INDEX('NOTES CM2'!$AJ$10:$AJ$250,MATCH(BB137,'NOTES CM2'!$B$10:$B$250,0))),""))</f>
        <v/>
      </c>
      <c r="BF137" s="51" t="str">
        <f aca="false">IF(ISNUMBER(BE137),BE137+(1000-17)/1000000,"")</f>
        <v/>
      </c>
      <c r="BG137" s="51" t="str">
        <f aca="false">IF(BB137="","",IFERROR(CHOOSE($P$10,INDEX('NOTES CM2'!$G$10:$G$250,MATCH(BB137,'NOTES CM2'!$B$10:$B$250,0)),INDEX('NOTES CM2'!$N$10:$N$250,MATCH(BB137,'NOTES CM2'!$B$10:$B$250,0)),INDEX('NOTES CM2'!$U$10:$U$250,MATCH(BB137,'NOTES CM2'!$B$10:$B$250,0)),INDEX('NOTES CM2'!$AC$10:$AC$250,MATCH(BB137,'NOTES CM2'!$B$10:$B$250,0))),""))</f>
        <v/>
      </c>
    </row>
    <row r="138" customFormat="false" ht="15" hidden="false" customHeight="false" outlineLevel="0" collapsed="false">
      <c r="R138" s="51" t="str">
        <f aca="false">IFERROR(MATCH("CP1-18",'REGISTRE ELEVES'!$AG$10:$AG$250,0),"")</f>
        <v/>
      </c>
      <c r="S138" s="51" t="str">
        <f aca="false">IF(R138="","",INDEX('REGISTRE ELEVES'!$B$10:$B$250,R138))</f>
        <v/>
      </c>
      <c r="T138" s="51" t="str">
        <f aca="false">IF(R138="","",INDEX('REGISTRE ELEVES'!$D$10:$D$250,R138))</f>
        <v/>
      </c>
      <c r="U138" s="51" t="str">
        <f aca="false">IF(R138="","",INDEX('REGISTRE ELEVES'!$E$10:$E$250,R138))</f>
        <v/>
      </c>
      <c r="V138" s="51" t="str">
        <f aca="false">IF(S138="","",IFERROR(CHOOSE($P$8,INDEX('NOTES CP'!$P$10:$P$250,MATCH(S138,'NOTES CP'!$B$10:$B$250,0)),INDEX('NOTES CP'!$Z$10:$Z$250,MATCH(S138,'NOTES CP'!$B$10:$B$250,0)),INDEX('NOTES CP'!$AJ$10:$AJ$250,MATCH(S138,'NOTES CP'!$B$10:$B$250,0)),INDEX('NOTES CP'!$AT$10:$AT$250,MATCH(S138,'NOTES CP'!$B$10:$B$250,0))),""))</f>
        <v/>
      </c>
      <c r="W138" s="51" t="str">
        <f aca="false">IF(ISNUMBER(V138),V138+(1000-18)/1000000,"")</f>
        <v/>
      </c>
      <c r="X138" s="51" t="str">
        <f aca="false">IF(S138="","",IFERROR(CHOOSE($P$8,INDEX('NOTES CP'!$G$10:$G$250,MATCH(S138,'NOTES CP'!$B$10:$B$250,0)),INDEX('NOTES CP'!$Q$10:$Q$250,MATCH(S138,'NOTES CP'!$B$10:$B$250,0)),INDEX('NOTES CP'!$AA$10:$AA$250,MATCH(S138,'NOTES CP'!$B$10:$B$250,0)),INDEX('NOTES CP'!$AK$10:$AK$250,MATCH(S138,'NOTES CP'!$B$10:$B$250,0))),""))</f>
        <v/>
      </c>
      <c r="Y138" s="51" t="str">
        <f aca="false">IFERROR(MATCH("CP2-18",'REGISTRE ELEVES'!$AG$10:$AG$250,0),"")</f>
        <v/>
      </c>
      <c r="Z138" s="51" t="str">
        <f aca="false">IF(Y138="","",INDEX('REGISTRE ELEVES'!$B$10:$B$250,Y138))</f>
        <v/>
      </c>
      <c r="AA138" s="51" t="str">
        <f aca="false">IF(Y138="","",INDEX('REGISTRE ELEVES'!$D$10:$D$250,Y138))</f>
        <v/>
      </c>
      <c r="AB138" s="51" t="str">
        <f aca="false">IF(Y138="","",INDEX('REGISTRE ELEVES'!$E$10:$E$250,Y138))</f>
        <v/>
      </c>
      <c r="AC138" s="51" t="str">
        <f aca="false">IF(Z138="","",IFERROR(CHOOSE($P$8,INDEX('NOTES CP'!$P$10:$P$250,MATCH(Z138,'NOTES CP'!$B$10:$B$250,0)),INDEX('NOTES CP'!$Z$10:$Z$250,MATCH(Z138,'NOTES CP'!$B$10:$B$250,0)),INDEX('NOTES CP'!$AJ$10:$AJ$250,MATCH(Z138,'NOTES CP'!$B$10:$B$250,0)),INDEX('NOTES CP'!$AT$10:$AT$250,MATCH(Z138,'NOTES CP'!$B$10:$B$250,0))),""))</f>
        <v/>
      </c>
      <c r="AD138" s="51" t="str">
        <f aca="false">IF(ISNUMBER(AC138),AC138+(1000-18)/1000000,"")</f>
        <v/>
      </c>
      <c r="AE138" s="51" t="str">
        <f aca="false">IF(Z138="","",IFERROR(CHOOSE($P$8,INDEX('NOTES CP'!$G$10:$G$250,MATCH(Z138,'NOTES CP'!$B$10:$B$250,0)),INDEX('NOTES CP'!$Q$10:$Q$250,MATCH(Z138,'NOTES CP'!$B$10:$B$250,0)),INDEX('NOTES CP'!$AA$10:$AA$250,MATCH(Z138,'NOTES CP'!$B$10:$B$250,0)),INDEX('NOTES CP'!$AK$10:$AK$250,MATCH(Z138,'NOTES CP'!$B$10:$B$250,0))),""))</f>
        <v/>
      </c>
      <c r="AF138" s="51" t="str">
        <f aca="false">IFERROR(MATCH("CE1-18",'REGISTRE ELEVES'!$AG$10:$AG$250,0),"")</f>
        <v/>
      </c>
      <c r="AG138" s="51" t="str">
        <f aca="false">IF(AF138="","",INDEX('REGISTRE ELEVES'!$B$10:$B$250,AF138))</f>
        <v/>
      </c>
      <c r="AH138" s="51" t="str">
        <f aca="false">IF(AF138="","",INDEX('REGISTRE ELEVES'!$D$10:$D$250,AF138))</f>
        <v/>
      </c>
      <c r="AI138" s="51" t="str">
        <f aca="false">IF(AF138="","",INDEX('REGISTRE ELEVES'!$E$10:$E$250,AF138))</f>
        <v/>
      </c>
      <c r="AJ138" s="51" t="str">
        <f aca="false">IF(AG138="","",IFERROR(CHOOSE($P$8,INDEX('NOTES CE1'!$M$10:$M$250,MATCH(AG138,'NOTES CE1'!$B$10:$B$250,0)),INDEX('NOTES CE1'!$T$10:$T$250,MATCH(AG138,'NOTES CE1'!$B$10:$B$250,0)),INDEX('NOTES CE1'!$AA$10:$AA$250,MATCH(AG138,'NOTES CE1'!$B$10:$B$250,0)),INDEX('NOTES CE1'!$AH$10:$AH$250,MATCH(AG138,'NOTES CE1'!$B$10:$B$250,0))),""))</f>
        <v/>
      </c>
      <c r="AK138" s="51" t="str">
        <f aca="false">IF(ISNUMBER(AJ138),AJ138+(1000-18)/1000000,"")</f>
        <v/>
      </c>
      <c r="AL138" s="51" t="str">
        <f aca="false">IF(AG138="","",IFERROR(CHOOSE($P$8,INDEX('NOTES CE1'!$G$10:$G$250,MATCH(AG138,'NOTES CE1'!$B$10:$B$250,0)),INDEX('NOTES CE1'!$N$10:$N$250,MATCH(AG138,'NOTES CE1'!$B$10:$B$250,0)),INDEX('NOTES CE1'!$U$10:$U$250,MATCH(AG138,'NOTES CE1'!$B$10:$B$250,0)),INDEX('NOTES CE1'!$AB$10:$AB$250,MATCH(AG138,'NOTES CE1'!$B$10:$B$250,0))),""))</f>
        <v/>
      </c>
      <c r="AM138" s="51" t="str">
        <f aca="false">IFERROR(MATCH("CE2-18",'REGISTRE ELEVES'!$AG$10:$AG$250,0),"")</f>
        <v/>
      </c>
      <c r="AN138" s="51" t="str">
        <f aca="false">IF(AM138="","",INDEX('REGISTRE ELEVES'!$B$10:$B$250,AM138))</f>
        <v/>
      </c>
      <c r="AO138" s="51" t="str">
        <f aca="false">IF(AM138="","",INDEX('REGISTRE ELEVES'!$D$10:$D$250,AM138))</f>
        <v/>
      </c>
      <c r="AP138" s="51" t="str">
        <f aca="false">IF(AM138="","",INDEX('REGISTRE ELEVES'!$E$10:$E$250,AM138))</f>
        <v/>
      </c>
      <c r="AQ138" s="51" t="str">
        <f aca="false">IF(AN138="","",IFERROR(CHOOSE($P$8,INDEX('NOTES CE2-CM1'!$M$10:$M$250,MATCH(AN138,'NOTES CE2-CM1'!$B$10:$B$250,0)),INDEX('NOTES CE2-CM1'!$T$10:$T$250,MATCH(AN138,'NOTES CE2-CM1'!$B$10:$B$250,0)),INDEX('NOTES CE2-CM1'!$AA$10:$AA$250,MATCH(AN138,'NOTES CE2-CM1'!$B$10:$B$250,0)),INDEX('NOTES CE2-CM1'!$AH$10:$AH$250,MATCH(AN138,'NOTES CE2-CM1'!$B$10:$B$250,0))),""))</f>
        <v/>
      </c>
      <c r="AR138" s="51" t="str">
        <f aca="false">IF(ISNUMBER(AQ138),AQ138+(1000-18)/1000000,"")</f>
        <v/>
      </c>
      <c r="AS138" s="51" t="str">
        <f aca="false">IF(AN138="","",IFERROR(CHOOSE($P$8,INDEX('NOTES CE2-CM1'!$G$10:$G$250,MATCH(AN138,'NOTES CE2-CM1'!$B$10:$B$250,0)),INDEX('NOTES CE2-CM1'!$N$10:$N$250,MATCH(AN138,'NOTES CE2-CM1'!$B$10:$B$250,0)),INDEX('NOTES CE2-CM1'!$U$10:$U$250,MATCH(AN138,'NOTES CE2-CM1'!$B$10:$B$250,0)),INDEX('NOTES CE2-CM1'!$AB$10:$AB$250,MATCH(AN138,'NOTES CE2-CM1'!$B$10:$B$250,0))),""))</f>
        <v/>
      </c>
      <c r="AT138" s="51" t="str">
        <f aca="false">IFERROR(MATCH("CM1-18",'REGISTRE ELEVES'!$AG$10:$AG$250,0),"")</f>
        <v/>
      </c>
      <c r="AU138" s="51" t="str">
        <f aca="false">IF(AT138="","",INDEX('REGISTRE ELEVES'!$B$10:$B$250,AT138))</f>
        <v/>
      </c>
      <c r="AV138" s="51" t="str">
        <f aca="false">IF(AT138="","",INDEX('REGISTRE ELEVES'!$D$10:$D$250,AT138))</f>
        <v/>
      </c>
      <c r="AW138" s="51" t="str">
        <f aca="false">IF(AT138="","",INDEX('REGISTRE ELEVES'!$E$10:$E$250,AT138))</f>
        <v/>
      </c>
      <c r="AX138" s="51" t="str">
        <f aca="false">IF(AU138="","",IFERROR(CHOOSE($P$8,INDEX('NOTES CE2-CM1'!$M$10:$M$250,MATCH(AU138,'NOTES CE2-CM1'!$B$10:$B$250,0)),INDEX('NOTES CE2-CM1'!$T$10:$T$250,MATCH(AU138,'NOTES CE2-CM1'!$B$10:$B$250,0)),INDEX('NOTES CE2-CM1'!$AA$10:$AA$250,MATCH(AU138,'NOTES CE2-CM1'!$B$10:$B$250,0)),INDEX('NOTES CE2-CM1'!$AH$10:$AH$250,MATCH(AU138,'NOTES CE2-CM1'!$B$10:$B$250,0))),""))</f>
        <v/>
      </c>
      <c r="AY138" s="51" t="str">
        <f aca="false">IF(ISNUMBER(AX138),AX138+(1000-18)/1000000,"")</f>
        <v/>
      </c>
      <c r="AZ138" s="51" t="str">
        <f aca="false">IF(AU138="","",IFERROR(CHOOSE($P$8,INDEX('NOTES CE2-CM1'!$G$10:$G$250,MATCH(AU138,'NOTES CE2-CM1'!$B$10:$B$250,0)),INDEX('NOTES CE2-CM1'!$N$10:$N$250,MATCH(AU138,'NOTES CE2-CM1'!$B$10:$B$250,0)),INDEX('NOTES CE2-CM1'!$U$10:$U$250,MATCH(AU138,'NOTES CE2-CM1'!$B$10:$B$250,0)),INDEX('NOTES CE2-CM1'!$AB$10:$AB$250,MATCH(AU138,'NOTES CE2-CM1'!$B$10:$B$250,0))),""))</f>
        <v/>
      </c>
      <c r="BA138" s="51" t="str">
        <f aca="false">IFERROR(MATCH("CM2-18",'REGISTRE ELEVES'!$AG$10:$AG$250,0),"")</f>
        <v/>
      </c>
      <c r="BB138" s="51" t="str">
        <f aca="false">IF(BA138="","",INDEX('REGISTRE ELEVES'!$B$10:$B$250,BA138))</f>
        <v/>
      </c>
      <c r="BC138" s="51" t="str">
        <f aca="false">IF(BA138="","",INDEX('REGISTRE ELEVES'!$D$10:$D$250,BA138))</f>
        <v/>
      </c>
      <c r="BD138" s="51" t="str">
        <f aca="false">IF(BA138="","",INDEX('REGISTRE ELEVES'!$E$10:$E$250,BA138))</f>
        <v/>
      </c>
      <c r="BE138" s="51" t="str">
        <f aca="false">IF(BB138="","",IFERROR(CHOOSE($P$10,INDEX('NOTES CM2'!$M$10:$M$250,MATCH(BB138,'NOTES CM2'!$B$10:$B$250,0)),INDEX('NOTES CM2'!$T$10:$T$250,MATCH(BB138,'NOTES CM2'!$B$10:$B$250,0)),INDEX('NOTES CM2'!$AB$10:$AB$250,MATCH(BB138,'NOTES CM2'!$B$10:$B$250,0)),INDEX('NOTES CM2'!$AJ$10:$AJ$250,MATCH(BB138,'NOTES CM2'!$B$10:$B$250,0))),""))</f>
        <v/>
      </c>
      <c r="BF138" s="51" t="str">
        <f aca="false">IF(ISNUMBER(BE138),BE138+(1000-18)/1000000,"")</f>
        <v/>
      </c>
      <c r="BG138" s="51" t="str">
        <f aca="false">IF(BB138="","",IFERROR(CHOOSE($P$10,INDEX('NOTES CM2'!$G$10:$G$250,MATCH(BB138,'NOTES CM2'!$B$10:$B$250,0)),INDEX('NOTES CM2'!$N$10:$N$250,MATCH(BB138,'NOTES CM2'!$B$10:$B$250,0)),INDEX('NOTES CM2'!$U$10:$U$250,MATCH(BB138,'NOTES CM2'!$B$10:$B$250,0)),INDEX('NOTES CM2'!$AC$10:$AC$250,MATCH(BB138,'NOTES CM2'!$B$10:$B$250,0))),""))</f>
        <v/>
      </c>
    </row>
    <row r="139" customFormat="false" ht="15" hidden="false" customHeight="false" outlineLevel="0" collapsed="false">
      <c r="R139" s="51" t="str">
        <f aca="false">IFERROR(MATCH("CP1-19",'REGISTRE ELEVES'!$AG$10:$AG$250,0),"")</f>
        <v/>
      </c>
      <c r="S139" s="51" t="str">
        <f aca="false">IF(R139="","",INDEX('REGISTRE ELEVES'!$B$10:$B$250,R139))</f>
        <v/>
      </c>
      <c r="T139" s="51" t="str">
        <f aca="false">IF(R139="","",INDEX('REGISTRE ELEVES'!$D$10:$D$250,R139))</f>
        <v/>
      </c>
      <c r="U139" s="51" t="str">
        <f aca="false">IF(R139="","",INDEX('REGISTRE ELEVES'!$E$10:$E$250,R139))</f>
        <v/>
      </c>
      <c r="V139" s="51" t="str">
        <f aca="false">IF(S139="","",IFERROR(CHOOSE($P$8,INDEX('NOTES CP'!$P$10:$P$250,MATCH(S139,'NOTES CP'!$B$10:$B$250,0)),INDEX('NOTES CP'!$Z$10:$Z$250,MATCH(S139,'NOTES CP'!$B$10:$B$250,0)),INDEX('NOTES CP'!$AJ$10:$AJ$250,MATCH(S139,'NOTES CP'!$B$10:$B$250,0)),INDEX('NOTES CP'!$AT$10:$AT$250,MATCH(S139,'NOTES CP'!$B$10:$B$250,0))),""))</f>
        <v/>
      </c>
      <c r="W139" s="51" t="str">
        <f aca="false">IF(ISNUMBER(V139),V139+(1000-19)/1000000,"")</f>
        <v/>
      </c>
      <c r="X139" s="51" t="str">
        <f aca="false">IF(S139="","",IFERROR(CHOOSE($P$8,INDEX('NOTES CP'!$G$10:$G$250,MATCH(S139,'NOTES CP'!$B$10:$B$250,0)),INDEX('NOTES CP'!$Q$10:$Q$250,MATCH(S139,'NOTES CP'!$B$10:$B$250,0)),INDEX('NOTES CP'!$AA$10:$AA$250,MATCH(S139,'NOTES CP'!$B$10:$B$250,0)),INDEX('NOTES CP'!$AK$10:$AK$250,MATCH(S139,'NOTES CP'!$B$10:$B$250,0))),""))</f>
        <v/>
      </c>
      <c r="Y139" s="51" t="str">
        <f aca="false">IFERROR(MATCH("CP2-19",'REGISTRE ELEVES'!$AG$10:$AG$250,0),"")</f>
        <v/>
      </c>
      <c r="Z139" s="51" t="str">
        <f aca="false">IF(Y139="","",INDEX('REGISTRE ELEVES'!$B$10:$B$250,Y139))</f>
        <v/>
      </c>
      <c r="AA139" s="51" t="str">
        <f aca="false">IF(Y139="","",INDEX('REGISTRE ELEVES'!$D$10:$D$250,Y139))</f>
        <v/>
      </c>
      <c r="AB139" s="51" t="str">
        <f aca="false">IF(Y139="","",INDEX('REGISTRE ELEVES'!$E$10:$E$250,Y139))</f>
        <v/>
      </c>
      <c r="AC139" s="51" t="str">
        <f aca="false">IF(Z139="","",IFERROR(CHOOSE($P$8,INDEX('NOTES CP'!$P$10:$P$250,MATCH(Z139,'NOTES CP'!$B$10:$B$250,0)),INDEX('NOTES CP'!$Z$10:$Z$250,MATCH(Z139,'NOTES CP'!$B$10:$B$250,0)),INDEX('NOTES CP'!$AJ$10:$AJ$250,MATCH(Z139,'NOTES CP'!$B$10:$B$250,0)),INDEX('NOTES CP'!$AT$10:$AT$250,MATCH(Z139,'NOTES CP'!$B$10:$B$250,0))),""))</f>
        <v/>
      </c>
      <c r="AD139" s="51" t="str">
        <f aca="false">IF(ISNUMBER(AC139),AC139+(1000-19)/1000000,"")</f>
        <v/>
      </c>
      <c r="AE139" s="51" t="str">
        <f aca="false">IF(Z139="","",IFERROR(CHOOSE($P$8,INDEX('NOTES CP'!$G$10:$G$250,MATCH(Z139,'NOTES CP'!$B$10:$B$250,0)),INDEX('NOTES CP'!$Q$10:$Q$250,MATCH(Z139,'NOTES CP'!$B$10:$B$250,0)),INDEX('NOTES CP'!$AA$10:$AA$250,MATCH(Z139,'NOTES CP'!$B$10:$B$250,0)),INDEX('NOTES CP'!$AK$10:$AK$250,MATCH(Z139,'NOTES CP'!$B$10:$B$250,0))),""))</f>
        <v/>
      </c>
      <c r="AF139" s="51" t="str">
        <f aca="false">IFERROR(MATCH("CE1-19",'REGISTRE ELEVES'!$AG$10:$AG$250,0),"")</f>
        <v/>
      </c>
      <c r="AG139" s="51" t="str">
        <f aca="false">IF(AF139="","",INDEX('REGISTRE ELEVES'!$B$10:$B$250,AF139))</f>
        <v/>
      </c>
      <c r="AH139" s="51" t="str">
        <f aca="false">IF(AF139="","",INDEX('REGISTRE ELEVES'!$D$10:$D$250,AF139))</f>
        <v/>
      </c>
      <c r="AI139" s="51" t="str">
        <f aca="false">IF(AF139="","",INDEX('REGISTRE ELEVES'!$E$10:$E$250,AF139))</f>
        <v/>
      </c>
      <c r="AJ139" s="51" t="str">
        <f aca="false">IF(AG139="","",IFERROR(CHOOSE($P$8,INDEX('NOTES CE1'!$M$10:$M$250,MATCH(AG139,'NOTES CE1'!$B$10:$B$250,0)),INDEX('NOTES CE1'!$T$10:$T$250,MATCH(AG139,'NOTES CE1'!$B$10:$B$250,0)),INDEX('NOTES CE1'!$AA$10:$AA$250,MATCH(AG139,'NOTES CE1'!$B$10:$B$250,0)),INDEX('NOTES CE1'!$AH$10:$AH$250,MATCH(AG139,'NOTES CE1'!$B$10:$B$250,0))),""))</f>
        <v/>
      </c>
      <c r="AK139" s="51" t="str">
        <f aca="false">IF(ISNUMBER(AJ139),AJ139+(1000-19)/1000000,"")</f>
        <v/>
      </c>
      <c r="AL139" s="51" t="str">
        <f aca="false">IF(AG139="","",IFERROR(CHOOSE($P$8,INDEX('NOTES CE1'!$G$10:$G$250,MATCH(AG139,'NOTES CE1'!$B$10:$B$250,0)),INDEX('NOTES CE1'!$N$10:$N$250,MATCH(AG139,'NOTES CE1'!$B$10:$B$250,0)),INDEX('NOTES CE1'!$U$10:$U$250,MATCH(AG139,'NOTES CE1'!$B$10:$B$250,0)),INDEX('NOTES CE1'!$AB$10:$AB$250,MATCH(AG139,'NOTES CE1'!$B$10:$B$250,0))),""))</f>
        <v/>
      </c>
      <c r="AM139" s="51" t="str">
        <f aca="false">IFERROR(MATCH("CE2-19",'REGISTRE ELEVES'!$AG$10:$AG$250,0),"")</f>
        <v/>
      </c>
      <c r="AN139" s="51" t="str">
        <f aca="false">IF(AM139="","",INDEX('REGISTRE ELEVES'!$B$10:$B$250,AM139))</f>
        <v/>
      </c>
      <c r="AO139" s="51" t="str">
        <f aca="false">IF(AM139="","",INDEX('REGISTRE ELEVES'!$D$10:$D$250,AM139))</f>
        <v/>
      </c>
      <c r="AP139" s="51" t="str">
        <f aca="false">IF(AM139="","",INDEX('REGISTRE ELEVES'!$E$10:$E$250,AM139))</f>
        <v/>
      </c>
      <c r="AQ139" s="51" t="str">
        <f aca="false">IF(AN139="","",IFERROR(CHOOSE($P$8,INDEX('NOTES CE2-CM1'!$M$10:$M$250,MATCH(AN139,'NOTES CE2-CM1'!$B$10:$B$250,0)),INDEX('NOTES CE2-CM1'!$T$10:$T$250,MATCH(AN139,'NOTES CE2-CM1'!$B$10:$B$250,0)),INDEX('NOTES CE2-CM1'!$AA$10:$AA$250,MATCH(AN139,'NOTES CE2-CM1'!$B$10:$B$250,0)),INDEX('NOTES CE2-CM1'!$AH$10:$AH$250,MATCH(AN139,'NOTES CE2-CM1'!$B$10:$B$250,0))),""))</f>
        <v/>
      </c>
      <c r="AR139" s="51" t="str">
        <f aca="false">IF(ISNUMBER(AQ139),AQ139+(1000-19)/1000000,"")</f>
        <v/>
      </c>
      <c r="AS139" s="51" t="str">
        <f aca="false">IF(AN139="","",IFERROR(CHOOSE($P$8,INDEX('NOTES CE2-CM1'!$G$10:$G$250,MATCH(AN139,'NOTES CE2-CM1'!$B$10:$B$250,0)),INDEX('NOTES CE2-CM1'!$N$10:$N$250,MATCH(AN139,'NOTES CE2-CM1'!$B$10:$B$250,0)),INDEX('NOTES CE2-CM1'!$U$10:$U$250,MATCH(AN139,'NOTES CE2-CM1'!$B$10:$B$250,0)),INDEX('NOTES CE2-CM1'!$AB$10:$AB$250,MATCH(AN139,'NOTES CE2-CM1'!$B$10:$B$250,0))),""))</f>
        <v/>
      </c>
      <c r="AT139" s="51" t="str">
        <f aca="false">IFERROR(MATCH("CM1-19",'REGISTRE ELEVES'!$AG$10:$AG$250,0),"")</f>
        <v/>
      </c>
      <c r="AU139" s="51" t="str">
        <f aca="false">IF(AT139="","",INDEX('REGISTRE ELEVES'!$B$10:$B$250,AT139))</f>
        <v/>
      </c>
      <c r="AV139" s="51" t="str">
        <f aca="false">IF(AT139="","",INDEX('REGISTRE ELEVES'!$D$10:$D$250,AT139))</f>
        <v/>
      </c>
      <c r="AW139" s="51" t="str">
        <f aca="false">IF(AT139="","",INDEX('REGISTRE ELEVES'!$E$10:$E$250,AT139))</f>
        <v/>
      </c>
      <c r="AX139" s="51" t="str">
        <f aca="false">IF(AU139="","",IFERROR(CHOOSE($P$8,INDEX('NOTES CE2-CM1'!$M$10:$M$250,MATCH(AU139,'NOTES CE2-CM1'!$B$10:$B$250,0)),INDEX('NOTES CE2-CM1'!$T$10:$T$250,MATCH(AU139,'NOTES CE2-CM1'!$B$10:$B$250,0)),INDEX('NOTES CE2-CM1'!$AA$10:$AA$250,MATCH(AU139,'NOTES CE2-CM1'!$B$10:$B$250,0)),INDEX('NOTES CE2-CM1'!$AH$10:$AH$250,MATCH(AU139,'NOTES CE2-CM1'!$B$10:$B$250,0))),""))</f>
        <v/>
      </c>
      <c r="AY139" s="51" t="str">
        <f aca="false">IF(ISNUMBER(AX139),AX139+(1000-19)/1000000,"")</f>
        <v/>
      </c>
      <c r="AZ139" s="51" t="str">
        <f aca="false">IF(AU139="","",IFERROR(CHOOSE($P$8,INDEX('NOTES CE2-CM1'!$G$10:$G$250,MATCH(AU139,'NOTES CE2-CM1'!$B$10:$B$250,0)),INDEX('NOTES CE2-CM1'!$N$10:$N$250,MATCH(AU139,'NOTES CE2-CM1'!$B$10:$B$250,0)),INDEX('NOTES CE2-CM1'!$U$10:$U$250,MATCH(AU139,'NOTES CE2-CM1'!$B$10:$B$250,0)),INDEX('NOTES CE2-CM1'!$AB$10:$AB$250,MATCH(AU139,'NOTES CE2-CM1'!$B$10:$B$250,0))),""))</f>
        <v/>
      </c>
      <c r="BA139" s="51" t="str">
        <f aca="false">IFERROR(MATCH("CM2-19",'REGISTRE ELEVES'!$AG$10:$AG$250,0),"")</f>
        <v/>
      </c>
      <c r="BB139" s="51" t="str">
        <f aca="false">IF(BA139="","",INDEX('REGISTRE ELEVES'!$B$10:$B$250,BA139))</f>
        <v/>
      </c>
      <c r="BC139" s="51" t="str">
        <f aca="false">IF(BA139="","",INDEX('REGISTRE ELEVES'!$D$10:$D$250,BA139))</f>
        <v/>
      </c>
      <c r="BD139" s="51" t="str">
        <f aca="false">IF(BA139="","",INDEX('REGISTRE ELEVES'!$E$10:$E$250,BA139))</f>
        <v/>
      </c>
      <c r="BE139" s="51" t="str">
        <f aca="false">IF(BB139="","",IFERROR(CHOOSE($P$10,INDEX('NOTES CM2'!$M$10:$M$250,MATCH(BB139,'NOTES CM2'!$B$10:$B$250,0)),INDEX('NOTES CM2'!$T$10:$T$250,MATCH(BB139,'NOTES CM2'!$B$10:$B$250,0)),INDEX('NOTES CM2'!$AB$10:$AB$250,MATCH(BB139,'NOTES CM2'!$B$10:$B$250,0)),INDEX('NOTES CM2'!$AJ$10:$AJ$250,MATCH(BB139,'NOTES CM2'!$B$10:$B$250,0))),""))</f>
        <v/>
      </c>
      <c r="BF139" s="51" t="str">
        <f aca="false">IF(ISNUMBER(BE139),BE139+(1000-19)/1000000,"")</f>
        <v/>
      </c>
      <c r="BG139" s="51" t="str">
        <f aca="false">IF(BB139="","",IFERROR(CHOOSE($P$10,INDEX('NOTES CM2'!$G$10:$G$250,MATCH(BB139,'NOTES CM2'!$B$10:$B$250,0)),INDEX('NOTES CM2'!$N$10:$N$250,MATCH(BB139,'NOTES CM2'!$B$10:$B$250,0)),INDEX('NOTES CM2'!$U$10:$U$250,MATCH(BB139,'NOTES CM2'!$B$10:$B$250,0)),INDEX('NOTES CM2'!$AC$10:$AC$250,MATCH(BB139,'NOTES CM2'!$B$10:$B$250,0))),""))</f>
        <v/>
      </c>
    </row>
    <row r="140" customFormat="false" ht="15" hidden="false" customHeight="false" outlineLevel="0" collapsed="false">
      <c r="R140" s="51" t="str">
        <f aca="false">IFERROR(MATCH("CP1-20",'REGISTRE ELEVES'!$AG$10:$AG$250,0),"")</f>
        <v/>
      </c>
      <c r="S140" s="51" t="str">
        <f aca="false">IF(R140="","",INDEX('REGISTRE ELEVES'!$B$10:$B$250,R140))</f>
        <v/>
      </c>
      <c r="T140" s="51" t="str">
        <f aca="false">IF(R140="","",INDEX('REGISTRE ELEVES'!$D$10:$D$250,R140))</f>
        <v/>
      </c>
      <c r="U140" s="51" t="str">
        <f aca="false">IF(R140="","",INDEX('REGISTRE ELEVES'!$E$10:$E$250,R140))</f>
        <v/>
      </c>
      <c r="V140" s="51" t="str">
        <f aca="false">IF(S140="","",IFERROR(CHOOSE($P$8,INDEX('NOTES CP'!$P$10:$P$250,MATCH(S140,'NOTES CP'!$B$10:$B$250,0)),INDEX('NOTES CP'!$Z$10:$Z$250,MATCH(S140,'NOTES CP'!$B$10:$B$250,0)),INDEX('NOTES CP'!$AJ$10:$AJ$250,MATCH(S140,'NOTES CP'!$B$10:$B$250,0)),INDEX('NOTES CP'!$AT$10:$AT$250,MATCH(S140,'NOTES CP'!$B$10:$B$250,0))),""))</f>
        <v/>
      </c>
      <c r="W140" s="51" t="str">
        <f aca="false">IF(ISNUMBER(V140),V140+(1000-20)/1000000,"")</f>
        <v/>
      </c>
      <c r="X140" s="51" t="str">
        <f aca="false">IF(S140="","",IFERROR(CHOOSE($P$8,INDEX('NOTES CP'!$G$10:$G$250,MATCH(S140,'NOTES CP'!$B$10:$B$250,0)),INDEX('NOTES CP'!$Q$10:$Q$250,MATCH(S140,'NOTES CP'!$B$10:$B$250,0)),INDEX('NOTES CP'!$AA$10:$AA$250,MATCH(S140,'NOTES CP'!$B$10:$B$250,0)),INDEX('NOTES CP'!$AK$10:$AK$250,MATCH(S140,'NOTES CP'!$B$10:$B$250,0))),""))</f>
        <v/>
      </c>
      <c r="Y140" s="51" t="str">
        <f aca="false">IFERROR(MATCH("CP2-20",'REGISTRE ELEVES'!$AG$10:$AG$250,0),"")</f>
        <v/>
      </c>
      <c r="Z140" s="51" t="str">
        <f aca="false">IF(Y140="","",INDEX('REGISTRE ELEVES'!$B$10:$B$250,Y140))</f>
        <v/>
      </c>
      <c r="AA140" s="51" t="str">
        <f aca="false">IF(Y140="","",INDEX('REGISTRE ELEVES'!$D$10:$D$250,Y140))</f>
        <v/>
      </c>
      <c r="AB140" s="51" t="str">
        <f aca="false">IF(Y140="","",INDEX('REGISTRE ELEVES'!$E$10:$E$250,Y140))</f>
        <v/>
      </c>
      <c r="AC140" s="51" t="str">
        <f aca="false">IF(Z140="","",IFERROR(CHOOSE($P$8,INDEX('NOTES CP'!$P$10:$P$250,MATCH(Z140,'NOTES CP'!$B$10:$B$250,0)),INDEX('NOTES CP'!$Z$10:$Z$250,MATCH(Z140,'NOTES CP'!$B$10:$B$250,0)),INDEX('NOTES CP'!$AJ$10:$AJ$250,MATCH(Z140,'NOTES CP'!$B$10:$B$250,0)),INDEX('NOTES CP'!$AT$10:$AT$250,MATCH(Z140,'NOTES CP'!$B$10:$B$250,0))),""))</f>
        <v/>
      </c>
      <c r="AD140" s="51" t="str">
        <f aca="false">IF(ISNUMBER(AC140),AC140+(1000-20)/1000000,"")</f>
        <v/>
      </c>
      <c r="AE140" s="51" t="str">
        <f aca="false">IF(Z140="","",IFERROR(CHOOSE($P$8,INDEX('NOTES CP'!$G$10:$G$250,MATCH(Z140,'NOTES CP'!$B$10:$B$250,0)),INDEX('NOTES CP'!$Q$10:$Q$250,MATCH(Z140,'NOTES CP'!$B$10:$B$250,0)),INDEX('NOTES CP'!$AA$10:$AA$250,MATCH(Z140,'NOTES CP'!$B$10:$B$250,0)),INDEX('NOTES CP'!$AK$10:$AK$250,MATCH(Z140,'NOTES CP'!$B$10:$B$250,0))),""))</f>
        <v/>
      </c>
      <c r="AF140" s="51" t="str">
        <f aca="false">IFERROR(MATCH("CE1-20",'REGISTRE ELEVES'!$AG$10:$AG$250,0),"")</f>
        <v/>
      </c>
      <c r="AG140" s="51" t="str">
        <f aca="false">IF(AF140="","",INDEX('REGISTRE ELEVES'!$B$10:$B$250,AF140))</f>
        <v/>
      </c>
      <c r="AH140" s="51" t="str">
        <f aca="false">IF(AF140="","",INDEX('REGISTRE ELEVES'!$D$10:$D$250,AF140))</f>
        <v/>
      </c>
      <c r="AI140" s="51" t="str">
        <f aca="false">IF(AF140="","",INDEX('REGISTRE ELEVES'!$E$10:$E$250,AF140))</f>
        <v/>
      </c>
      <c r="AJ140" s="51" t="str">
        <f aca="false">IF(AG140="","",IFERROR(CHOOSE($P$8,INDEX('NOTES CE1'!$M$10:$M$250,MATCH(AG140,'NOTES CE1'!$B$10:$B$250,0)),INDEX('NOTES CE1'!$T$10:$T$250,MATCH(AG140,'NOTES CE1'!$B$10:$B$250,0)),INDEX('NOTES CE1'!$AA$10:$AA$250,MATCH(AG140,'NOTES CE1'!$B$10:$B$250,0)),INDEX('NOTES CE1'!$AH$10:$AH$250,MATCH(AG140,'NOTES CE1'!$B$10:$B$250,0))),""))</f>
        <v/>
      </c>
      <c r="AK140" s="51" t="str">
        <f aca="false">IF(ISNUMBER(AJ140),AJ140+(1000-20)/1000000,"")</f>
        <v/>
      </c>
      <c r="AL140" s="51" t="str">
        <f aca="false">IF(AG140="","",IFERROR(CHOOSE($P$8,INDEX('NOTES CE1'!$G$10:$G$250,MATCH(AG140,'NOTES CE1'!$B$10:$B$250,0)),INDEX('NOTES CE1'!$N$10:$N$250,MATCH(AG140,'NOTES CE1'!$B$10:$B$250,0)),INDEX('NOTES CE1'!$U$10:$U$250,MATCH(AG140,'NOTES CE1'!$B$10:$B$250,0)),INDEX('NOTES CE1'!$AB$10:$AB$250,MATCH(AG140,'NOTES CE1'!$B$10:$B$250,0))),""))</f>
        <v/>
      </c>
      <c r="AM140" s="51" t="str">
        <f aca="false">IFERROR(MATCH("CE2-20",'REGISTRE ELEVES'!$AG$10:$AG$250,0),"")</f>
        <v/>
      </c>
      <c r="AN140" s="51" t="str">
        <f aca="false">IF(AM140="","",INDEX('REGISTRE ELEVES'!$B$10:$B$250,AM140))</f>
        <v/>
      </c>
      <c r="AO140" s="51" t="str">
        <f aca="false">IF(AM140="","",INDEX('REGISTRE ELEVES'!$D$10:$D$250,AM140))</f>
        <v/>
      </c>
      <c r="AP140" s="51" t="str">
        <f aca="false">IF(AM140="","",INDEX('REGISTRE ELEVES'!$E$10:$E$250,AM140))</f>
        <v/>
      </c>
      <c r="AQ140" s="51" t="str">
        <f aca="false">IF(AN140="","",IFERROR(CHOOSE($P$8,INDEX('NOTES CE2-CM1'!$M$10:$M$250,MATCH(AN140,'NOTES CE2-CM1'!$B$10:$B$250,0)),INDEX('NOTES CE2-CM1'!$T$10:$T$250,MATCH(AN140,'NOTES CE2-CM1'!$B$10:$B$250,0)),INDEX('NOTES CE2-CM1'!$AA$10:$AA$250,MATCH(AN140,'NOTES CE2-CM1'!$B$10:$B$250,0)),INDEX('NOTES CE2-CM1'!$AH$10:$AH$250,MATCH(AN140,'NOTES CE2-CM1'!$B$10:$B$250,0))),""))</f>
        <v/>
      </c>
      <c r="AR140" s="51" t="str">
        <f aca="false">IF(ISNUMBER(AQ140),AQ140+(1000-20)/1000000,"")</f>
        <v/>
      </c>
      <c r="AS140" s="51" t="str">
        <f aca="false">IF(AN140="","",IFERROR(CHOOSE($P$8,INDEX('NOTES CE2-CM1'!$G$10:$G$250,MATCH(AN140,'NOTES CE2-CM1'!$B$10:$B$250,0)),INDEX('NOTES CE2-CM1'!$N$10:$N$250,MATCH(AN140,'NOTES CE2-CM1'!$B$10:$B$250,0)),INDEX('NOTES CE2-CM1'!$U$10:$U$250,MATCH(AN140,'NOTES CE2-CM1'!$B$10:$B$250,0)),INDEX('NOTES CE2-CM1'!$AB$10:$AB$250,MATCH(AN140,'NOTES CE2-CM1'!$B$10:$B$250,0))),""))</f>
        <v/>
      </c>
      <c r="AT140" s="51" t="str">
        <f aca="false">IFERROR(MATCH("CM1-20",'REGISTRE ELEVES'!$AG$10:$AG$250,0),"")</f>
        <v/>
      </c>
      <c r="AU140" s="51" t="str">
        <f aca="false">IF(AT140="","",INDEX('REGISTRE ELEVES'!$B$10:$B$250,AT140))</f>
        <v/>
      </c>
      <c r="AV140" s="51" t="str">
        <f aca="false">IF(AT140="","",INDEX('REGISTRE ELEVES'!$D$10:$D$250,AT140))</f>
        <v/>
      </c>
      <c r="AW140" s="51" t="str">
        <f aca="false">IF(AT140="","",INDEX('REGISTRE ELEVES'!$E$10:$E$250,AT140))</f>
        <v/>
      </c>
      <c r="AX140" s="51" t="str">
        <f aca="false">IF(AU140="","",IFERROR(CHOOSE($P$8,INDEX('NOTES CE2-CM1'!$M$10:$M$250,MATCH(AU140,'NOTES CE2-CM1'!$B$10:$B$250,0)),INDEX('NOTES CE2-CM1'!$T$10:$T$250,MATCH(AU140,'NOTES CE2-CM1'!$B$10:$B$250,0)),INDEX('NOTES CE2-CM1'!$AA$10:$AA$250,MATCH(AU140,'NOTES CE2-CM1'!$B$10:$B$250,0)),INDEX('NOTES CE2-CM1'!$AH$10:$AH$250,MATCH(AU140,'NOTES CE2-CM1'!$B$10:$B$250,0))),""))</f>
        <v/>
      </c>
      <c r="AY140" s="51" t="str">
        <f aca="false">IF(ISNUMBER(AX140),AX140+(1000-20)/1000000,"")</f>
        <v/>
      </c>
      <c r="AZ140" s="51" t="str">
        <f aca="false">IF(AU140="","",IFERROR(CHOOSE($P$8,INDEX('NOTES CE2-CM1'!$G$10:$G$250,MATCH(AU140,'NOTES CE2-CM1'!$B$10:$B$250,0)),INDEX('NOTES CE2-CM1'!$N$10:$N$250,MATCH(AU140,'NOTES CE2-CM1'!$B$10:$B$250,0)),INDEX('NOTES CE2-CM1'!$U$10:$U$250,MATCH(AU140,'NOTES CE2-CM1'!$B$10:$B$250,0)),INDEX('NOTES CE2-CM1'!$AB$10:$AB$250,MATCH(AU140,'NOTES CE2-CM1'!$B$10:$B$250,0))),""))</f>
        <v/>
      </c>
      <c r="BA140" s="51" t="str">
        <f aca="false">IFERROR(MATCH("CM2-20",'REGISTRE ELEVES'!$AG$10:$AG$250,0),"")</f>
        <v/>
      </c>
      <c r="BB140" s="51" t="str">
        <f aca="false">IF(BA140="","",INDEX('REGISTRE ELEVES'!$B$10:$B$250,BA140))</f>
        <v/>
      </c>
      <c r="BC140" s="51" t="str">
        <f aca="false">IF(BA140="","",INDEX('REGISTRE ELEVES'!$D$10:$D$250,BA140))</f>
        <v/>
      </c>
      <c r="BD140" s="51" t="str">
        <f aca="false">IF(BA140="","",INDEX('REGISTRE ELEVES'!$E$10:$E$250,BA140))</f>
        <v/>
      </c>
      <c r="BE140" s="51" t="str">
        <f aca="false">IF(BB140="","",IFERROR(CHOOSE($P$10,INDEX('NOTES CM2'!$M$10:$M$250,MATCH(BB140,'NOTES CM2'!$B$10:$B$250,0)),INDEX('NOTES CM2'!$T$10:$T$250,MATCH(BB140,'NOTES CM2'!$B$10:$B$250,0)),INDEX('NOTES CM2'!$AB$10:$AB$250,MATCH(BB140,'NOTES CM2'!$B$10:$B$250,0)),INDEX('NOTES CM2'!$AJ$10:$AJ$250,MATCH(BB140,'NOTES CM2'!$B$10:$B$250,0))),""))</f>
        <v/>
      </c>
      <c r="BF140" s="51" t="str">
        <f aca="false">IF(ISNUMBER(BE140),BE140+(1000-20)/1000000,"")</f>
        <v/>
      </c>
      <c r="BG140" s="51" t="str">
        <f aca="false">IF(BB140="","",IFERROR(CHOOSE($P$10,INDEX('NOTES CM2'!$G$10:$G$250,MATCH(BB140,'NOTES CM2'!$B$10:$B$250,0)),INDEX('NOTES CM2'!$N$10:$N$250,MATCH(BB140,'NOTES CM2'!$B$10:$B$250,0)),INDEX('NOTES CM2'!$U$10:$U$250,MATCH(BB140,'NOTES CM2'!$B$10:$B$250,0)),INDEX('NOTES CM2'!$AC$10:$AC$250,MATCH(BB140,'NOTES CM2'!$B$10:$B$250,0))),""))</f>
        <v/>
      </c>
    </row>
    <row r="141" customFormat="false" ht="15" hidden="false" customHeight="false" outlineLevel="0" collapsed="false">
      <c r="R141" s="51" t="str">
        <f aca="false">IFERROR(MATCH("CP1-21",'REGISTRE ELEVES'!$AG$10:$AG$250,0),"")</f>
        <v/>
      </c>
      <c r="S141" s="51" t="str">
        <f aca="false">IF(R141="","",INDEX('REGISTRE ELEVES'!$B$10:$B$250,R141))</f>
        <v/>
      </c>
      <c r="T141" s="51" t="str">
        <f aca="false">IF(R141="","",INDEX('REGISTRE ELEVES'!$D$10:$D$250,R141))</f>
        <v/>
      </c>
      <c r="U141" s="51" t="str">
        <f aca="false">IF(R141="","",INDEX('REGISTRE ELEVES'!$E$10:$E$250,R141))</f>
        <v/>
      </c>
      <c r="V141" s="51" t="str">
        <f aca="false">IF(S141="","",IFERROR(CHOOSE($P$8,INDEX('NOTES CP'!$P$10:$P$250,MATCH(S141,'NOTES CP'!$B$10:$B$250,0)),INDEX('NOTES CP'!$Z$10:$Z$250,MATCH(S141,'NOTES CP'!$B$10:$B$250,0)),INDEX('NOTES CP'!$AJ$10:$AJ$250,MATCH(S141,'NOTES CP'!$B$10:$B$250,0)),INDEX('NOTES CP'!$AT$10:$AT$250,MATCH(S141,'NOTES CP'!$B$10:$B$250,0))),""))</f>
        <v/>
      </c>
      <c r="W141" s="51" t="str">
        <f aca="false">IF(ISNUMBER(V141),V141+(1000-21)/1000000,"")</f>
        <v/>
      </c>
      <c r="X141" s="51" t="str">
        <f aca="false">IF(S141="","",IFERROR(CHOOSE($P$8,INDEX('NOTES CP'!$G$10:$G$250,MATCH(S141,'NOTES CP'!$B$10:$B$250,0)),INDEX('NOTES CP'!$Q$10:$Q$250,MATCH(S141,'NOTES CP'!$B$10:$B$250,0)),INDEX('NOTES CP'!$AA$10:$AA$250,MATCH(S141,'NOTES CP'!$B$10:$B$250,0)),INDEX('NOTES CP'!$AK$10:$AK$250,MATCH(S141,'NOTES CP'!$B$10:$B$250,0))),""))</f>
        <v/>
      </c>
      <c r="Y141" s="51" t="str">
        <f aca="false">IFERROR(MATCH("CP2-21",'REGISTRE ELEVES'!$AG$10:$AG$250,0),"")</f>
        <v/>
      </c>
      <c r="Z141" s="51" t="str">
        <f aca="false">IF(Y141="","",INDEX('REGISTRE ELEVES'!$B$10:$B$250,Y141))</f>
        <v/>
      </c>
      <c r="AA141" s="51" t="str">
        <f aca="false">IF(Y141="","",INDEX('REGISTRE ELEVES'!$D$10:$D$250,Y141))</f>
        <v/>
      </c>
      <c r="AB141" s="51" t="str">
        <f aca="false">IF(Y141="","",INDEX('REGISTRE ELEVES'!$E$10:$E$250,Y141))</f>
        <v/>
      </c>
      <c r="AC141" s="51" t="str">
        <f aca="false">IF(Z141="","",IFERROR(CHOOSE($P$8,INDEX('NOTES CP'!$P$10:$P$250,MATCH(Z141,'NOTES CP'!$B$10:$B$250,0)),INDEX('NOTES CP'!$Z$10:$Z$250,MATCH(Z141,'NOTES CP'!$B$10:$B$250,0)),INDEX('NOTES CP'!$AJ$10:$AJ$250,MATCH(Z141,'NOTES CP'!$B$10:$B$250,0)),INDEX('NOTES CP'!$AT$10:$AT$250,MATCH(Z141,'NOTES CP'!$B$10:$B$250,0))),""))</f>
        <v/>
      </c>
      <c r="AD141" s="51" t="str">
        <f aca="false">IF(ISNUMBER(AC141),AC141+(1000-21)/1000000,"")</f>
        <v/>
      </c>
      <c r="AE141" s="51" t="str">
        <f aca="false">IF(Z141="","",IFERROR(CHOOSE($P$8,INDEX('NOTES CP'!$G$10:$G$250,MATCH(Z141,'NOTES CP'!$B$10:$B$250,0)),INDEX('NOTES CP'!$Q$10:$Q$250,MATCH(Z141,'NOTES CP'!$B$10:$B$250,0)),INDEX('NOTES CP'!$AA$10:$AA$250,MATCH(Z141,'NOTES CP'!$B$10:$B$250,0)),INDEX('NOTES CP'!$AK$10:$AK$250,MATCH(Z141,'NOTES CP'!$B$10:$B$250,0))),""))</f>
        <v/>
      </c>
      <c r="AF141" s="51" t="str">
        <f aca="false">IFERROR(MATCH("CE1-21",'REGISTRE ELEVES'!$AG$10:$AG$250,0),"")</f>
        <v/>
      </c>
      <c r="AG141" s="51" t="str">
        <f aca="false">IF(AF141="","",INDEX('REGISTRE ELEVES'!$B$10:$B$250,AF141))</f>
        <v/>
      </c>
      <c r="AH141" s="51" t="str">
        <f aca="false">IF(AF141="","",INDEX('REGISTRE ELEVES'!$D$10:$D$250,AF141))</f>
        <v/>
      </c>
      <c r="AI141" s="51" t="str">
        <f aca="false">IF(AF141="","",INDEX('REGISTRE ELEVES'!$E$10:$E$250,AF141))</f>
        <v/>
      </c>
      <c r="AJ141" s="51" t="str">
        <f aca="false">IF(AG141="","",IFERROR(CHOOSE($P$8,INDEX('NOTES CE1'!$M$10:$M$250,MATCH(AG141,'NOTES CE1'!$B$10:$B$250,0)),INDEX('NOTES CE1'!$T$10:$T$250,MATCH(AG141,'NOTES CE1'!$B$10:$B$250,0)),INDEX('NOTES CE1'!$AA$10:$AA$250,MATCH(AG141,'NOTES CE1'!$B$10:$B$250,0)),INDEX('NOTES CE1'!$AH$10:$AH$250,MATCH(AG141,'NOTES CE1'!$B$10:$B$250,0))),""))</f>
        <v/>
      </c>
      <c r="AK141" s="51" t="str">
        <f aca="false">IF(ISNUMBER(AJ141),AJ141+(1000-21)/1000000,"")</f>
        <v/>
      </c>
      <c r="AL141" s="51" t="str">
        <f aca="false">IF(AG141="","",IFERROR(CHOOSE($P$8,INDEX('NOTES CE1'!$G$10:$G$250,MATCH(AG141,'NOTES CE1'!$B$10:$B$250,0)),INDEX('NOTES CE1'!$N$10:$N$250,MATCH(AG141,'NOTES CE1'!$B$10:$B$250,0)),INDEX('NOTES CE1'!$U$10:$U$250,MATCH(AG141,'NOTES CE1'!$B$10:$B$250,0)),INDEX('NOTES CE1'!$AB$10:$AB$250,MATCH(AG141,'NOTES CE1'!$B$10:$B$250,0))),""))</f>
        <v/>
      </c>
      <c r="AM141" s="51" t="str">
        <f aca="false">IFERROR(MATCH("CE2-21",'REGISTRE ELEVES'!$AG$10:$AG$250,0),"")</f>
        <v/>
      </c>
      <c r="AN141" s="51" t="str">
        <f aca="false">IF(AM141="","",INDEX('REGISTRE ELEVES'!$B$10:$B$250,AM141))</f>
        <v/>
      </c>
      <c r="AO141" s="51" t="str">
        <f aca="false">IF(AM141="","",INDEX('REGISTRE ELEVES'!$D$10:$D$250,AM141))</f>
        <v/>
      </c>
      <c r="AP141" s="51" t="str">
        <f aca="false">IF(AM141="","",INDEX('REGISTRE ELEVES'!$E$10:$E$250,AM141))</f>
        <v/>
      </c>
      <c r="AQ141" s="51" t="str">
        <f aca="false">IF(AN141="","",IFERROR(CHOOSE($P$8,INDEX('NOTES CE2-CM1'!$M$10:$M$250,MATCH(AN141,'NOTES CE2-CM1'!$B$10:$B$250,0)),INDEX('NOTES CE2-CM1'!$T$10:$T$250,MATCH(AN141,'NOTES CE2-CM1'!$B$10:$B$250,0)),INDEX('NOTES CE2-CM1'!$AA$10:$AA$250,MATCH(AN141,'NOTES CE2-CM1'!$B$10:$B$250,0)),INDEX('NOTES CE2-CM1'!$AH$10:$AH$250,MATCH(AN141,'NOTES CE2-CM1'!$B$10:$B$250,0))),""))</f>
        <v/>
      </c>
      <c r="AR141" s="51" t="str">
        <f aca="false">IF(ISNUMBER(AQ141),AQ141+(1000-21)/1000000,"")</f>
        <v/>
      </c>
      <c r="AS141" s="51" t="str">
        <f aca="false">IF(AN141="","",IFERROR(CHOOSE($P$8,INDEX('NOTES CE2-CM1'!$G$10:$G$250,MATCH(AN141,'NOTES CE2-CM1'!$B$10:$B$250,0)),INDEX('NOTES CE2-CM1'!$N$10:$N$250,MATCH(AN141,'NOTES CE2-CM1'!$B$10:$B$250,0)),INDEX('NOTES CE2-CM1'!$U$10:$U$250,MATCH(AN141,'NOTES CE2-CM1'!$B$10:$B$250,0)),INDEX('NOTES CE2-CM1'!$AB$10:$AB$250,MATCH(AN141,'NOTES CE2-CM1'!$B$10:$B$250,0))),""))</f>
        <v/>
      </c>
      <c r="AT141" s="51" t="str">
        <f aca="false">IFERROR(MATCH("CM1-21",'REGISTRE ELEVES'!$AG$10:$AG$250,0),"")</f>
        <v/>
      </c>
      <c r="AU141" s="51" t="str">
        <f aca="false">IF(AT141="","",INDEX('REGISTRE ELEVES'!$B$10:$B$250,AT141))</f>
        <v/>
      </c>
      <c r="AV141" s="51" t="str">
        <f aca="false">IF(AT141="","",INDEX('REGISTRE ELEVES'!$D$10:$D$250,AT141))</f>
        <v/>
      </c>
      <c r="AW141" s="51" t="str">
        <f aca="false">IF(AT141="","",INDEX('REGISTRE ELEVES'!$E$10:$E$250,AT141))</f>
        <v/>
      </c>
      <c r="AX141" s="51" t="str">
        <f aca="false">IF(AU141="","",IFERROR(CHOOSE($P$8,INDEX('NOTES CE2-CM1'!$M$10:$M$250,MATCH(AU141,'NOTES CE2-CM1'!$B$10:$B$250,0)),INDEX('NOTES CE2-CM1'!$T$10:$T$250,MATCH(AU141,'NOTES CE2-CM1'!$B$10:$B$250,0)),INDEX('NOTES CE2-CM1'!$AA$10:$AA$250,MATCH(AU141,'NOTES CE2-CM1'!$B$10:$B$250,0)),INDEX('NOTES CE2-CM1'!$AH$10:$AH$250,MATCH(AU141,'NOTES CE2-CM1'!$B$10:$B$250,0))),""))</f>
        <v/>
      </c>
      <c r="AY141" s="51" t="str">
        <f aca="false">IF(ISNUMBER(AX141),AX141+(1000-21)/1000000,"")</f>
        <v/>
      </c>
      <c r="AZ141" s="51" t="str">
        <f aca="false">IF(AU141="","",IFERROR(CHOOSE($P$8,INDEX('NOTES CE2-CM1'!$G$10:$G$250,MATCH(AU141,'NOTES CE2-CM1'!$B$10:$B$250,0)),INDEX('NOTES CE2-CM1'!$N$10:$N$250,MATCH(AU141,'NOTES CE2-CM1'!$B$10:$B$250,0)),INDEX('NOTES CE2-CM1'!$U$10:$U$250,MATCH(AU141,'NOTES CE2-CM1'!$B$10:$B$250,0)),INDEX('NOTES CE2-CM1'!$AB$10:$AB$250,MATCH(AU141,'NOTES CE2-CM1'!$B$10:$B$250,0))),""))</f>
        <v/>
      </c>
      <c r="BA141" s="51" t="str">
        <f aca="false">IFERROR(MATCH("CM2-21",'REGISTRE ELEVES'!$AG$10:$AG$250,0),"")</f>
        <v/>
      </c>
      <c r="BB141" s="51" t="str">
        <f aca="false">IF(BA141="","",INDEX('REGISTRE ELEVES'!$B$10:$B$250,BA141))</f>
        <v/>
      </c>
      <c r="BC141" s="51" t="str">
        <f aca="false">IF(BA141="","",INDEX('REGISTRE ELEVES'!$D$10:$D$250,BA141))</f>
        <v/>
      </c>
      <c r="BD141" s="51" t="str">
        <f aca="false">IF(BA141="","",INDEX('REGISTRE ELEVES'!$E$10:$E$250,BA141))</f>
        <v/>
      </c>
      <c r="BE141" s="51" t="str">
        <f aca="false">IF(BB141="","",IFERROR(CHOOSE($P$10,INDEX('NOTES CM2'!$M$10:$M$250,MATCH(BB141,'NOTES CM2'!$B$10:$B$250,0)),INDEX('NOTES CM2'!$T$10:$T$250,MATCH(BB141,'NOTES CM2'!$B$10:$B$250,0)),INDEX('NOTES CM2'!$AB$10:$AB$250,MATCH(BB141,'NOTES CM2'!$B$10:$B$250,0)),INDEX('NOTES CM2'!$AJ$10:$AJ$250,MATCH(BB141,'NOTES CM2'!$B$10:$B$250,0))),""))</f>
        <v/>
      </c>
      <c r="BF141" s="51" t="str">
        <f aca="false">IF(ISNUMBER(BE141),BE141+(1000-21)/1000000,"")</f>
        <v/>
      </c>
      <c r="BG141" s="51" t="str">
        <f aca="false">IF(BB141="","",IFERROR(CHOOSE($P$10,INDEX('NOTES CM2'!$G$10:$G$250,MATCH(BB141,'NOTES CM2'!$B$10:$B$250,0)),INDEX('NOTES CM2'!$N$10:$N$250,MATCH(BB141,'NOTES CM2'!$B$10:$B$250,0)),INDEX('NOTES CM2'!$U$10:$U$250,MATCH(BB141,'NOTES CM2'!$B$10:$B$250,0)),INDEX('NOTES CM2'!$AC$10:$AC$250,MATCH(BB141,'NOTES CM2'!$B$10:$B$250,0))),""))</f>
        <v/>
      </c>
    </row>
    <row r="142" customFormat="false" ht="15" hidden="false" customHeight="false" outlineLevel="0" collapsed="false">
      <c r="R142" s="51" t="str">
        <f aca="false">IFERROR(MATCH("CP1-22",'REGISTRE ELEVES'!$AG$10:$AG$250,0),"")</f>
        <v/>
      </c>
      <c r="S142" s="51" t="str">
        <f aca="false">IF(R142="","",INDEX('REGISTRE ELEVES'!$B$10:$B$250,R142))</f>
        <v/>
      </c>
      <c r="T142" s="51" t="str">
        <f aca="false">IF(R142="","",INDEX('REGISTRE ELEVES'!$D$10:$D$250,R142))</f>
        <v/>
      </c>
      <c r="U142" s="51" t="str">
        <f aca="false">IF(R142="","",INDEX('REGISTRE ELEVES'!$E$10:$E$250,R142))</f>
        <v/>
      </c>
      <c r="V142" s="51" t="str">
        <f aca="false">IF(S142="","",IFERROR(CHOOSE($P$8,INDEX('NOTES CP'!$P$10:$P$250,MATCH(S142,'NOTES CP'!$B$10:$B$250,0)),INDEX('NOTES CP'!$Z$10:$Z$250,MATCH(S142,'NOTES CP'!$B$10:$B$250,0)),INDEX('NOTES CP'!$AJ$10:$AJ$250,MATCH(S142,'NOTES CP'!$B$10:$B$250,0)),INDEX('NOTES CP'!$AT$10:$AT$250,MATCH(S142,'NOTES CP'!$B$10:$B$250,0))),""))</f>
        <v/>
      </c>
      <c r="W142" s="51" t="str">
        <f aca="false">IF(ISNUMBER(V142),V142+(1000-22)/1000000,"")</f>
        <v/>
      </c>
      <c r="X142" s="51" t="str">
        <f aca="false">IF(S142="","",IFERROR(CHOOSE($P$8,INDEX('NOTES CP'!$G$10:$G$250,MATCH(S142,'NOTES CP'!$B$10:$B$250,0)),INDEX('NOTES CP'!$Q$10:$Q$250,MATCH(S142,'NOTES CP'!$B$10:$B$250,0)),INDEX('NOTES CP'!$AA$10:$AA$250,MATCH(S142,'NOTES CP'!$B$10:$B$250,0)),INDEX('NOTES CP'!$AK$10:$AK$250,MATCH(S142,'NOTES CP'!$B$10:$B$250,0))),""))</f>
        <v/>
      </c>
      <c r="Y142" s="51" t="str">
        <f aca="false">IFERROR(MATCH("CP2-22",'REGISTRE ELEVES'!$AG$10:$AG$250,0),"")</f>
        <v/>
      </c>
      <c r="Z142" s="51" t="str">
        <f aca="false">IF(Y142="","",INDEX('REGISTRE ELEVES'!$B$10:$B$250,Y142))</f>
        <v/>
      </c>
      <c r="AA142" s="51" t="str">
        <f aca="false">IF(Y142="","",INDEX('REGISTRE ELEVES'!$D$10:$D$250,Y142))</f>
        <v/>
      </c>
      <c r="AB142" s="51" t="str">
        <f aca="false">IF(Y142="","",INDEX('REGISTRE ELEVES'!$E$10:$E$250,Y142))</f>
        <v/>
      </c>
      <c r="AC142" s="51" t="str">
        <f aca="false">IF(Z142="","",IFERROR(CHOOSE($P$8,INDEX('NOTES CP'!$P$10:$P$250,MATCH(Z142,'NOTES CP'!$B$10:$B$250,0)),INDEX('NOTES CP'!$Z$10:$Z$250,MATCH(Z142,'NOTES CP'!$B$10:$B$250,0)),INDEX('NOTES CP'!$AJ$10:$AJ$250,MATCH(Z142,'NOTES CP'!$B$10:$B$250,0)),INDEX('NOTES CP'!$AT$10:$AT$250,MATCH(Z142,'NOTES CP'!$B$10:$B$250,0))),""))</f>
        <v/>
      </c>
      <c r="AD142" s="51" t="str">
        <f aca="false">IF(ISNUMBER(AC142),AC142+(1000-22)/1000000,"")</f>
        <v/>
      </c>
      <c r="AE142" s="51" t="str">
        <f aca="false">IF(Z142="","",IFERROR(CHOOSE($P$8,INDEX('NOTES CP'!$G$10:$G$250,MATCH(Z142,'NOTES CP'!$B$10:$B$250,0)),INDEX('NOTES CP'!$Q$10:$Q$250,MATCH(Z142,'NOTES CP'!$B$10:$B$250,0)),INDEX('NOTES CP'!$AA$10:$AA$250,MATCH(Z142,'NOTES CP'!$B$10:$B$250,0)),INDEX('NOTES CP'!$AK$10:$AK$250,MATCH(Z142,'NOTES CP'!$B$10:$B$250,0))),""))</f>
        <v/>
      </c>
      <c r="AF142" s="51" t="str">
        <f aca="false">IFERROR(MATCH("CE1-22",'REGISTRE ELEVES'!$AG$10:$AG$250,0),"")</f>
        <v/>
      </c>
      <c r="AG142" s="51" t="str">
        <f aca="false">IF(AF142="","",INDEX('REGISTRE ELEVES'!$B$10:$B$250,AF142))</f>
        <v/>
      </c>
      <c r="AH142" s="51" t="str">
        <f aca="false">IF(AF142="","",INDEX('REGISTRE ELEVES'!$D$10:$D$250,AF142))</f>
        <v/>
      </c>
      <c r="AI142" s="51" t="str">
        <f aca="false">IF(AF142="","",INDEX('REGISTRE ELEVES'!$E$10:$E$250,AF142))</f>
        <v/>
      </c>
      <c r="AJ142" s="51" t="str">
        <f aca="false">IF(AG142="","",IFERROR(CHOOSE($P$8,INDEX('NOTES CE1'!$M$10:$M$250,MATCH(AG142,'NOTES CE1'!$B$10:$B$250,0)),INDEX('NOTES CE1'!$T$10:$T$250,MATCH(AG142,'NOTES CE1'!$B$10:$B$250,0)),INDEX('NOTES CE1'!$AA$10:$AA$250,MATCH(AG142,'NOTES CE1'!$B$10:$B$250,0)),INDEX('NOTES CE1'!$AH$10:$AH$250,MATCH(AG142,'NOTES CE1'!$B$10:$B$250,0))),""))</f>
        <v/>
      </c>
      <c r="AK142" s="51" t="str">
        <f aca="false">IF(ISNUMBER(AJ142),AJ142+(1000-22)/1000000,"")</f>
        <v/>
      </c>
      <c r="AL142" s="51" t="str">
        <f aca="false">IF(AG142="","",IFERROR(CHOOSE($P$8,INDEX('NOTES CE1'!$G$10:$G$250,MATCH(AG142,'NOTES CE1'!$B$10:$B$250,0)),INDEX('NOTES CE1'!$N$10:$N$250,MATCH(AG142,'NOTES CE1'!$B$10:$B$250,0)),INDEX('NOTES CE1'!$U$10:$U$250,MATCH(AG142,'NOTES CE1'!$B$10:$B$250,0)),INDEX('NOTES CE1'!$AB$10:$AB$250,MATCH(AG142,'NOTES CE1'!$B$10:$B$250,0))),""))</f>
        <v/>
      </c>
      <c r="AM142" s="51" t="str">
        <f aca="false">IFERROR(MATCH("CE2-22",'REGISTRE ELEVES'!$AG$10:$AG$250,0),"")</f>
        <v/>
      </c>
      <c r="AN142" s="51" t="str">
        <f aca="false">IF(AM142="","",INDEX('REGISTRE ELEVES'!$B$10:$B$250,AM142))</f>
        <v/>
      </c>
      <c r="AO142" s="51" t="str">
        <f aca="false">IF(AM142="","",INDEX('REGISTRE ELEVES'!$D$10:$D$250,AM142))</f>
        <v/>
      </c>
      <c r="AP142" s="51" t="str">
        <f aca="false">IF(AM142="","",INDEX('REGISTRE ELEVES'!$E$10:$E$250,AM142))</f>
        <v/>
      </c>
      <c r="AQ142" s="51" t="str">
        <f aca="false">IF(AN142="","",IFERROR(CHOOSE($P$8,INDEX('NOTES CE2-CM1'!$M$10:$M$250,MATCH(AN142,'NOTES CE2-CM1'!$B$10:$B$250,0)),INDEX('NOTES CE2-CM1'!$T$10:$T$250,MATCH(AN142,'NOTES CE2-CM1'!$B$10:$B$250,0)),INDEX('NOTES CE2-CM1'!$AA$10:$AA$250,MATCH(AN142,'NOTES CE2-CM1'!$B$10:$B$250,0)),INDEX('NOTES CE2-CM1'!$AH$10:$AH$250,MATCH(AN142,'NOTES CE2-CM1'!$B$10:$B$250,0))),""))</f>
        <v/>
      </c>
      <c r="AR142" s="51" t="str">
        <f aca="false">IF(ISNUMBER(AQ142),AQ142+(1000-22)/1000000,"")</f>
        <v/>
      </c>
      <c r="AS142" s="51" t="str">
        <f aca="false">IF(AN142="","",IFERROR(CHOOSE($P$8,INDEX('NOTES CE2-CM1'!$G$10:$G$250,MATCH(AN142,'NOTES CE2-CM1'!$B$10:$B$250,0)),INDEX('NOTES CE2-CM1'!$N$10:$N$250,MATCH(AN142,'NOTES CE2-CM1'!$B$10:$B$250,0)),INDEX('NOTES CE2-CM1'!$U$10:$U$250,MATCH(AN142,'NOTES CE2-CM1'!$B$10:$B$250,0)),INDEX('NOTES CE2-CM1'!$AB$10:$AB$250,MATCH(AN142,'NOTES CE2-CM1'!$B$10:$B$250,0))),""))</f>
        <v/>
      </c>
      <c r="AT142" s="51" t="str">
        <f aca="false">IFERROR(MATCH("CM1-22",'REGISTRE ELEVES'!$AG$10:$AG$250,0),"")</f>
        <v/>
      </c>
      <c r="AU142" s="51" t="str">
        <f aca="false">IF(AT142="","",INDEX('REGISTRE ELEVES'!$B$10:$B$250,AT142))</f>
        <v/>
      </c>
      <c r="AV142" s="51" t="str">
        <f aca="false">IF(AT142="","",INDEX('REGISTRE ELEVES'!$D$10:$D$250,AT142))</f>
        <v/>
      </c>
      <c r="AW142" s="51" t="str">
        <f aca="false">IF(AT142="","",INDEX('REGISTRE ELEVES'!$E$10:$E$250,AT142))</f>
        <v/>
      </c>
      <c r="AX142" s="51" t="str">
        <f aca="false">IF(AU142="","",IFERROR(CHOOSE($P$8,INDEX('NOTES CE2-CM1'!$M$10:$M$250,MATCH(AU142,'NOTES CE2-CM1'!$B$10:$B$250,0)),INDEX('NOTES CE2-CM1'!$T$10:$T$250,MATCH(AU142,'NOTES CE2-CM1'!$B$10:$B$250,0)),INDEX('NOTES CE2-CM1'!$AA$10:$AA$250,MATCH(AU142,'NOTES CE2-CM1'!$B$10:$B$250,0)),INDEX('NOTES CE2-CM1'!$AH$10:$AH$250,MATCH(AU142,'NOTES CE2-CM1'!$B$10:$B$250,0))),""))</f>
        <v/>
      </c>
      <c r="AY142" s="51" t="str">
        <f aca="false">IF(ISNUMBER(AX142),AX142+(1000-22)/1000000,"")</f>
        <v/>
      </c>
      <c r="AZ142" s="51" t="str">
        <f aca="false">IF(AU142="","",IFERROR(CHOOSE($P$8,INDEX('NOTES CE2-CM1'!$G$10:$G$250,MATCH(AU142,'NOTES CE2-CM1'!$B$10:$B$250,0)),INDEX('NOTES CE2-CM1'!$N$10:$N$250,MATCH(AU142,'NOTES CE2-CM1'!$B$10:$B$250,0)),INDEX('NOTES CE2-CM1'!$U$10:$U$250,MATCH(AU142,'NOTES CE2-CM1'!$B$10:$B$250,0)),INDEX('NOTES CE2-CM1'!$AB$10:$AB$250,MATCH(AU142,'NOTES CE2-CM1'!$B$10:$B$250,0))),""))</f>
        <v/>
      </c>
      <c r="BA142" s="51" t="str">
        <f aca="false">IFERROR(MATCH("CM2-22",'REGISTRE ELEVES'!$AG$10:$AG$250,0),"")</f>
        <v/>
      </c>
      <c r="BB142" s="51" t="str">
        <f aca="false">IF(BA142="","",INDEX('REGISTRE ELEVES'!$B$10:$B$250,BA142))</f>
        <v/>
      </c>
      <c r="BC142" s="51" t="str">
        <f aca="false">IF(BA142="","",INDEX('REGISTRE ELEVES'!$D$10:$D$250,BA142))</f>
        <v/>
      </c>
      <c r="BD142" s="51" t="str">
        <f aca="false">IF(BA142="","",INDEX('REGISTRE ELEVES'!$E$10:$E$250,BA142))</f>
        <v/>
      </c>
      <c r="BE142" s="51" t="str">
        <f aca="false">IF(BB142="","",IFERROR(CHOOSE($P$10,INDEX('NOTES CM2'!$M$10:$M$250,MATCH(BB142,'NOTES CM2'!$B$10:$B$250,0)),INDEX('NOTES CM2'!$T$10:$T$250,MATCH(BB142,'NOTES CM2'!$B$10:$B$250,0)),INDEX('NOTES CM2'!$AB$10:$AB$250,MATCH(BB142,'NOTES CM2'!$B$10:$B$250,0)),INDEX('NOTES CM2'!$AJ$10:$AJ$250,MATCH(BB142,'NOTES CM2'!$B$10:$B$250,0))),""))</f>
        <v/>
      </c>
      <c r="BF142" s="51" t="str">
        <f aca="false">IF(ISNUMBER(BE142),BE142+(1000-22)/1000000,"")</f>
        <v/>
      </c>
      <c r="BG142" s="51" t="str">
        <f aca="false">IF(BB142="","",IFERROR(CHOOSE($P$10,INDEX('NOTES CM2'!$G$10:$G$250,MATCH(BB142,'NOTES CM2'!$B$10:$B$250,0)),INDEX('NOTES CM2'!$N$10:$N$250,MATCH(BB142,'NOTES CM2'!$B$10:$B$250,0)),INDEX('NOTES CM2'!$U$10:$U$250,MATCH(BB142,'NOTES CM2'!$B$10:$B$250,0)),INDEX('NOTES CM2'!$AC$10:$AC$250,MATCH(BB142,'NOTES CM2'!$B$10:$B$250,0))),""))</f>
        <v/>
      </c>
    </row>
    <row r="143" customFormat="false" ht="15" hidden="false" customHeight="false" outlineLevel="0" collapsed="false">
      <c r="R143" s="51" t="str">
        <f aca="false">IFERROR(MATCH("CP1-23",'REGISTRE ELEVES'!$AG$10:$AG$250,0),"")</f>
        <v/>
      </c>
      <c r="S143" s="51" t="str">
        <f aca="false">IF(R143="","",INDEX('REGISTRE ELEVES'!$B$10:$B$250,R143))</f>
        <v/>
      </c>
      <c r="T143" s="51" t="str">
        <f aca="false">IF(R143="","",INDEX('REGISTRE ELEVES'!$D$10:$D$250,R143))</f>
        <v/>
      </c>
      <c r="U143" s="51" t="str">
        <f aca="false">IF(R143="","",INDEX('REGISTRE ELEVES'!$E$10:$E$250,R143))</f>
        <v/>
      </c>
      <c r="V143" s="51" t="str">
        <f aca="false">IF(S143="","",IFERROR(CHOOSE($P$8,INDEX('NOTES CP'!$P$10:$P$250,MATCH(S143,'NOTES CP'!$B$10:$B$250,0)),INDEX('NOTES CP'!$Z$10:$Z$250,MATCH(S143,'NOTES CP'!$B$10:$B$250,0)),INDEX('NOTES CP'!$AJ$10:$AJ$250,MATCH(S143,'NOTES CP'!$B$10:$B$250,0)),INDEX('NOTES CP'!$AT$10:$AT$250,MATCH(S143,'NOTES CP'!$B$10:$B$250,0))),""))</f>
        <v/>
      </c>
      <c r="W143" s="51" t="str">
        <f aca="false">IF(ISNUMBER(V143),V143+(1000-23)/1000000,"")</f>
        <v/>
      </c>
      <c r="X143" s="51" t="str">
        <f aca="false">IF(S143="","",IFERROR(CHOOSE($P$8,INDEX('NOTES CP'!$G$10:$G$250,MATCH(S143,'NOTES CP'!$B$10:$B$250,0)),INDEX('NOTES CP'!$Q$10:$Q$250,MATCH(S143,'NOTES CP'!$B$10:$B$250,0)),INDEX('NOTES CP'!$AA$10:$AA$250,MATCH(S143,'NOTES CP'!$B$10:$B$250,0)),INDEX('NOTES CP'!$AK$10:$AK$250,MATCH(S143,'NOTES CP'!$B$10:$B$250,0))),""))</f>
        <v/>
      </c>
      <c r="Y143" s="51" t="str">
        <f aca="false">IFERROR(MATCH("CP2-23",'REGISTRE ELEVES'!$AG$10:$AG$250,0),"")</f>
        <v/>
      </c>
      <c r="Z143" s="51" t="str">
        <f aca="false">IF(Y143="","",INDEX('REGISTRE ELEVES'!$B$10:$B$250,Y143))</f>
        <v/>
      </c>
      <c r="AA143" s="51" t="str">
        <f aca="false">IF(Y143="","",INDEX('REGISTRE ELEVES'!$D$10:$D$250,Y143))</f>
        <v/>
      </c>
      <c r="AB143" s="51" t="str">
        <f aca="false">IF(Y143="","",INDEX('REGISTRE ELEVES'!$E$10:$E$250,Y143))</f>
        <v/>
      </c>
      <c r="AC143" s="51" t="str">
        <f aca="false">IF(Z143="","",IFERROR(CHOOSE($P$8,INDEX('NOTES CP'!$P$10:$P$250,MATCH(Z143,'NOTES CP'!$B$10:$B$250,0)),INDEX('NOTES CP'!$Z$10:$Z$250,MATCH(Z143,'NOTES CP'!$B$10:$B$250,0)),INDEX('NOTES CP'!$AJ$10:$AJ$250,MATCH(Z143,'NOTES CP'!$B$10:$B$250,0)),INDEX('NOTES CP'!$AT$10:$AT$250,MATCH(Z143,'NOTES CP'!$B$10:$B$250,0))),""))</f>
        <v/>
      </c>
      <c r="AD143" s="51" t="str">
        <f aca="false">IF(ISNUMBER(AC143),AC143+(1000-23)/1000000,"")</f>
        <v/>
      </c>
      <c r="AE143" s="51" t="str">
        <f aca="false">IF(Z143="","",IFERROR(CHOOSE($P$8,INDEX('NOTES CP'!$G$10:$G$250,MATCH(Z143,'NOTES CP'!$B$10:$B$250,0)),INDEX('NOTES CP'!$Q$10:$Q$250,MATCH(Z143,'NOTES CP'!$B$10:$B$250,0)),INDEX('NOTES CP'!$AA$10:$AA$250,MATCH(Z143,'NOTES CP'!$B$10:$B$250,0)),INDEX('NOTES CP'!$AK$10:$AK$250,MATCH(Z143,'NOTES CP'!$B$10:$B$250,0))),""))</f>
        <v/>
      </c>
      <c r="AF143" s="51" t="str">
        <f aca="false">IFERROR(MATCH("CE1-23",'REGISTRE ELEVES'!$AG$10:$AG$250,0),"")</f>
        <v/>
      </c>
      <c r="AG143" s="51" t="str">
        <f aca="false">IF(AF143="","",INDEX('REGISTRE ELEVES'!$B$10:$B$250,AF143))</f>
        <v/>
      </c>
      <c r="AH143" s="51" t="str">
        <f aca="false">IF(AF143="","",INDEX('REGISTRE ELEVES'!$D$10:$D$250,AF143))</f>
        <v/>
      </c>
      <c r="AI143" s="51" t="str">
        <f aca="false">IF(AF143="","",INDEX('REGISTRE ELEVES'!$E$10:$E$250,AF143))</f>
        <v/>
      </c>
      <c r="AJ143" s="51" t="str">
        <f aca="false">IF(AG143="","",IFERROR(CHOOSE($P$8,INDEX('NOTES CE1'!$M$10:$M$250,MATCH(AG143,'NOTES CE1'!$B$10:$B$250,0)),INDEX('NOTES CE1'!$T$10:$T$250,MATCH(AG143,'NOTES CE1'!$B$10:$B$250,0)),INDEX('NOTES CE1'!$AA$10:$AA$250,MATCH(AG143,'NOTES CE1'!$B$10:$B$250,0)),INDEX('NOTES CE1'!$AH$10:$AH$250,MATCH(AG143,'NOTES CE1'!$B$10:$B$250,0))),""))</f>
        <v/>
      </c>
      <c r="AK143" s="51" t="str">
        <f aca="false">IF(ISNUMBER(AJ143),AJ143+(1000-23)/1000000,"")</f>
        <v/>
      </c>
      <c r="AL143" s="51" t="str">
        <f aca="false">IF(AG143="","",IFERROR(CHOOSE($P$8,INDEX('NOTES CE1'!$G$10:$G$250,MATCH(AG143,'NOTES CE1'!$B$10:$B$250,0)),INDEX('NOTES CE1'!$N$10:$N$250,MATCH(AG143,'NOTES CE1'!$B$10:$B$250,0)),INDEX('NOTES CE1'!$U$10:$U$250,MATCH(AG143,'NOTES CE1'!$B$10:$B$250,0)),INDEX('NOTES CE1'!$AB$10:$AB$250,MATCH(AG143,'NOTES CE1'!$B$10:$B$250,0))),""))</f>
        <v/>
      </c>
      <c r="AM143" s="51" t="str">
        <f aca="false">IFERROR(MATCH("CE2-23",'REGISTRE ELEVES'!$AG$10:$AG$250,0),"")</f>
        <v/>
      </c>
      <c r="AN143" s="51" t="str">
        <f aca="false">IF(AM143="","",INDEX('REGISTRE ELEVES'!$B$10:$B$250,AM143))</f>
        <v/>
      </c>
      <c r="AO143" s="51" t="str">
        <f aca="false">IF(AM143="","",INDEX('REGISTRE ELEVES'!$D$10:$D$250,AM143))</f>
        <v/>
      </c>
      <c r="AP143" s="51" t="str">
        <f aca="false">IF(AM143="","",INDEX('REGISTRE ELEVES'!$E$10:$E$250,AM143))</f>
        <v/>
      </c>
      <c r="AQ143" s="51" t="str">
        <f aca="false">IF(AN143="","",IFERROR(CHOOSE($P$8,INDEX('NOTES CE2-CM1'!$M$10:$M$250,MATCH(AN143,'NOTES CE2-CM1'!$B$10:$B$250,0)),INDEX('NOTES CE2-CM1'!$T$10:$T$250,MATCH(AN143,'NOTES CE2-CM1'!$B$10:$B$250,0)),INDEX('NOTES CE2-CM1'!$AA$10:$AA$250,MATCH(AN143,'NOTES CE2-CM1'!$B$10:$B$250,0)),INDEX('NOTES CE2-CM1'!$AH$10:$AH$250,MATCH(AN143,'NOTES CE2-CM1'!$B$10:$B$250,0))),""))</f>
        <v/>
      </c>
      <c r="AR143" s="51" t="str">
        <f aca="false">IF(ISNUMBER(AQ143),AQ143+(1000-23)/1000000,"")</f>
        <v/>
      </c>
      <c r="AS143" s="51" t="str">
        <f aca="false">IF(AN143="","",IFERROR(CHOOSE($P$8,INDEX('NOTES CE2-CM1'!$G$10:$G$250,MATCH(AN143,'NOTES CE2-CM1'!$B$10:$B$250,0)),INDEX('NOTES CE2-CM1'!$N$10:$N$250,MATCH(AN143,'NOTES CE2-CM1'!$B$10:$B$250,0)),INDEX('NOTES CE2-CM1'!$U$10:$U$250,MATCH(AN143,'NOTES CE2-CM1'!$B$10:$B$250,0)),INDEX('NOTES CE2-CM1'!$AB$10:$AB$250,MATCH(AN143,'NOTES CE2-CM1'!$B$10:$B$250,0))),""))</f>
        <v/>
      </c>
      <c r="AT143" s="51" t="str">
        <f aca="false">IFERROR(MATCH("CM1-23",'REGISTRE ELEVES'!$AG$10:$AG$250,0),"")</f>
        <v/>
      </c>
      <c r="AU143" s="51" t="str">
        <f aca="false">IF(AT143="","",INDEX('REGISTRE ELEVES'!$B$10:$B$250,AT143))</f>
        <v/>
      </c>
      <c r="AV143" s="51" t="str">
        <f aca="false">IF(AT143="","",INDEX('REGISTRE ELEVES'!$D$10:$D$250,AT143))</f>
        <v/>
      </c>
      <c r="AW143" s="51" t="str">
        <f aca="false">IF(AT143="","",INDEX('REGISTRE ELEVES'!$E$10:$E$250,AT143))</f>
        <v/>
      </c>
      <c r="AX143" s="51" t="str">
        <f aca="false">IF(AU143="","",IFERROR(CHOOSE($P$8,INDEX('NOTES CE2-CM1'!$M$10:$M$250,MATCH(AU143,'NOTES CE2-CM1'!$B$10:$B$250,0)),INDEX('NOTES CE2-CM1'!$T$10:$T$250,MATCH(AU143,'NOTES CE2-CM1'!$B$10:$B$250,0)),INDEX('NOTES CE2-CM1'!$AA$10:$AA$250,MATCH(AU143,'NOTES CE2-CM1'!$B$10:$B$250,0)),INDEX('NOTES CE2-CM1'!$AH$10:$AH$250,MATCH(AU143,'NOTES CE2-CM1'!$B$10:$B$250,0))),""))</f>
        <v/>
      </c>
      <c r="AY143" s="51" t="str">
        <f aca="false">IF(ISNUMBER(AX143),AX143+(1000-23)/1000000,"")</f>
        <v/>
      </c>
      <c r="AZ143" s="51" t="str">
        <f aca="false">IF(AU143="","",IFERROR(CHOOSE($P$8,INDEX('NOTES CE2-CM1'!$G$10:$G$250,MATCH(AU143,'NOTES CE2-CM1'!$B$10:$B$250,0)),INDEX('NOTES CE2-CM1'!$N$10:$N$250,MATCH(AU143,'NOTES CE2-CM1'!$B$10:$B$250,0)),INDEX('NOTES CE2-CM1'!$U$10:$U$250,MATCH(AU143,'NOTES CE2-CM1'!$B$10:$B$250,0)),INDEX('NOTES CE2-CM1'!$AB$10:$AB$250,MATCH(AU143,'NOTES CE2-CM1'!$B$10:$B$250,0))),""))</f>
        <v/>
      </c>
      <c r="BA143" s="51" t="str">
        <f aca="false">IFERROR(MATCH("CM2-23",'REGISTRE ELEVES'!$AG$10:$AG$250,0),"")</f>
        <v/>
      </c>
      <c r="BB143" s="51" t="str">
        <f aca="false">IF(BA143="","",INDEX('REGISTRE ELEVES'!$B$10:$B$250,BA143))</f>
        <v/>
      </c>
      <c r="BC143" s="51" t="str">
        <f aca="false">IF(BA143="","",INDEX('REGISTRE ELEVES'!$D$10:$D$250,BA143))</f>
        <v/>
      </c>
      <c r="BD143" s="51" t="str">
        <f aca="false">IF(BA143="","",INDEX('REGISTRE ELEVES'!$E$10:$E$250,BA143))</f>
        <v/>
      </c>
      <c r="BE143" s="51" t="str">
        <f aca="false">IF(BB143="","",IFERROR(CHOOSE($P$10,INDEX('NOTES CM2'!$M$10:$M$250,MATCH(BB143,'NOTES CM2'!$B$10:$B$250,0)),INDEX('NOTES CM2'!$T$10:$T$250,MATCH(BB143,'NOTES CM2'!$B$10:$B$250,0)),INDEX('NOTES CM2'!$AB$10:$AB$250,MATCH(BB143,'NOTES CM2'!$B$10:$B$250,0)),INDEX('NOTES CM2'!$AJ$10:$AJ$250,MATCH(BB143,'NOTES CM2'!$B$10:$B$250,0))),""))</f>
        <v/>
      </c>
      <c r="BF143" s="51" t="str">
        <f aca="false">IF(ISNUMBER(BE143),BE143+(1000-23)/1000000,"")</f>
        <v/>
      </c>
      <c r="BG143" s="51" t="str">
        <f aca="false">IF(BB143="","",IFERROR(CHOOSE($P$10,INDEX('NOTES CM2'!$G$10:$G$250,MATCH(BB143,'NOTES CM2'!$B$10:$B$250,0)),INDEX('NOTES CM2'!$N$10:$N$250,MATCH(BB143,'NOTES CM2'!$B$10:$B$250,0)),INDEX('NOTES CM2'!$U$10:$U$250,MATCH(BB143,'NOTES CM2'!$B$10:$B$250,0)),INDEX('NOTES CM2'!$AC$10:$AC$250,MATCH(BB143,'NOTES CM2'!$B$10:$B$250,0))),""))</f>
        <v/>
      </c>
    </row>
    <row r="144" customFormat="false" ht="15" hidden="false" customHeight="false" outlineLevel="0" collapsed="false">
      <c r="R144" s="51" t="str">
        <f aca="false">IFERROR(MATCH("CP1-24",'REGISTRE ELEVES'!$AG$10:$AG$250,0),"")</f>
        <v/>
      </c>
      <c r="S144" s="51" t="str">
        <f aca="false">IF(R144="","",INDEX('REGISTRE ELEVES'!$B$10:$B$250,R144))</f>
        <v/>
      </c>
      <c r="T144" s="51" t="str">
        <f aca="false">IF(R144="","",INDEX('REGISTRE ELEVES'!$D$10:$D$250,R144))</f>
        <v/>
      </c>
      <c r="U144" s="51" t="str">
        <f aca="false">IF(R144="","",INDEX('REGISTRE ELEVES'!$E$10:$E$250,R144))</f>
        <v/>
      </c>
      <c r="V144" s="51" t="str">
        <f aca="false">IF(S144="","",IFERROR(CHOOSE($P$8,INDEX('NOTES CP'!$P$10:$P$250,MATCH(S144,'NOTES CP'!$B$10:$B$250,0)),INDEX('NOTES CP'!$Z$10:$Z$250,MATCH(S144,'NOTES CP'!$B$10:$B$250,0)),INDEX('NOTES CP'!$AJ$10:$AJ$250,MATCH(S144,'NOTES CP'!$B$10:$B$250,0)),INDEX('NOTES CP'!$AT$10:$AT$250,MATCH(S144,'NOTES CP'!$B$10:$B$250,0))),""))</f>
        <v/>
      </c>
      <c r="W144" s="51" t="str">
        <f aca="false">IF(ISNUMBER(V144),V144+(1000-24)/1000000,"")</f>
        <v/>
      </c>
      <c r="X144" s="51" t="str">
        <f aca="false">IF(S144="","",IFERROR(CHOOSE($P$8,INDEX('NOTES CP'!$G$10:$G$250,MATCH(S144,'NOTES CP'!$B$10:$B$250,0)),INDEX('NOTES CP'!$Q$10:$Q$250,MATCH(S144,'NOTES CP'!$B$10:$B$250,0)),INDEX('NOTES CP'!$AA$10:$AA$250,MATCH(S144,'NOTES CP'!$B$10:$B$250,0)),INDEX('NOTES CP'!$AK$10:$AK$250,MATCH(S144,'NOTES CP'!$B$10:$B$250,0))),""))</f>
        <v/>
      </c>
      <c r="Y144" s="51" t="str">
        <f aca="false">IFERROR(MATCH("CP2-24",'REGISTRE ELEVES'!$AG$10:$AG$250,0),"")</f>
        <v/>
      </c>
      <c r="Z144" s="51" t="str">
        <f aca="false">IF(Y144="","",INDEX('REGISTRE ELEVES'!$B$10:$B$250,Y144))</f>
        <v/>
      </c>
      <c r="AA144" s="51" t="str">
        <f aca="false">IF(Y144="","",INDEX('REGISTRE ELEVES'!$D$10:$D$250,Y144))</f>
        <v/>
      </c>
      <c r="AB144" s="51" t="str">
        <f aca="false">IF(Y144="","",INDEX('REGISTRE ELEVES'!$E$10:$E$250,Y144))</f>
        <v/>
      </c>
      <c r="AC144" s="51" t="str">
        <f aca="false">IF(Z144="","",IFERROR(CHOOSE($P$8,INDEX('NOTES CP'!$P$10:$P$250,MATCH(Z144,'NOTES CP'!$B$10:$B$250,0)),INDEX('NOTES CP'!$Z$10:$Z$250,MATCH(Z144,'NOTES CP'!$B$10:$B$250,0)),INDEX('NOTES CP'!$AJ$10:$AJ$250,MATCH(Z144,'NOTES CP'!$B$10:$B$250,0)),INDEX('NOTES CP'!$AT$10:$AT$250,MATCH(Z144,'NOTES CP'!$B$10:$B$250,0))),""))</f>
        <v/>
      </c>
      <c r="AD144" s="51" t="str">
        <f aca="false">IF(ISNUMBER(AC144),AC144+(1000-24)/1000000,"")</f>
        <v/>
      </c>
      <c r="AE144" s="51" t="str">
        <f aca="false">IF(Z144="","",IFERROR(CHOOSE($P$8,INDEX('NOTES CP'!$G$10:$G$250,MATCH(Z144,'NOTES CP'!$B$10:$B$250,0)),INDEX('NOTES CP'!$Q$10:$Q$250,MATCH(Z144,'NOTES CP'!$B$10:$B$250,0)),INDEX('NOTES CP'!$AA$10:$AA$250,MATCH(Z144,'NOTES CP'!$B$10:$B$250,0)),INDEX('NOTES CP'!$AK$10:$AK$250,MATCH(Z144,'NOTES CP'!$B$10:$B$250,0))),""))</f>
        <v/>
      </c>
      <c r="AF144" s="51" t="str">
        <f aca="false">IFERROR(MATCH("CE1-24",'REGISTRE ELEVES'!$AG$10:$AG$250,0),"")</f>
        <v/>
      </c>
      <c r="AG144" s="51" t="str">
        <f aca="false">IF(AF144="","",INDEX('REGISTRE ELEVES'!$B$10:$B$250,AF144))</f>
        <v/>
      </c>
      <c r="AH144" s="51" t="str">
        <f aca="false">IF(AF144="","",INDEX('REGISTRE ELEVES'!$D$10:$D$250,AF144))</f>
        <v/>
      </c>
      <c r="AI144" s="51" t="str">
        <f aca="false">IF(AF144="","",INDEX('REGISTRE ELEVES'!$E$10:$E$250,AF144))</f>
        <v/>
      </c>
      <c r="AJ144" s="51" t="str">
        <f aca="false">IF(AG144="","",IFERROR(CHOOSE($P$8,INDEX('NOTES CE1'!$M$10:$M$250,MATCH(AG144,'NOTES CE1'!$B$10:$B$250,0)),INDEX('NOTES CE1'!$T$10:$T$250,MATCH(AG144,'NOTES CE1'!$B$10:$B$250,0)),INDEX('NOTES CE1'!$AA$10:$AA$250,MATCH(AG144,'NOTES CE1'!$B$10:$B$250,0)),INDEX('NOTES CE1'!$AH$10:$AH$250,MATCH(AG144,'NOTES CE1'!$B$10:$B$250,0))),""))</f>
        <v/>
      </c>
      <c r="AK144" s="51" t="str">
        <f aca="false">IF(ISNUMBER(AJ144),AJ144+(1000-24)/1000000,"")</f>
        <v/>
      </c>
      <c r="AL144" s="51" t="str">
        <f aca="false">IF(AG144="","",IFERROR(CHOOSE($P$8,INDEX('NOTES CE1'!$G$10:$G$250,MATCH(AG144,'NOTES CE1'!$B$10:$B$250,0)),INDEX('NOTES CE1'!$N$10:$N$250,MATCH(AG144,'NOTES CE1'!$B$10:$B$250,0)),INDEX('NOTES CE1'!$U$10:$U$250,MATCH(AG144,'NOTES CE1'!$B$10:$B$250,0)),INDEX('NOTES CE1'!$AB$10:$AB$250,MATCH(AG144,'NOTES CE1'!$B$10:$B$250,0))),""))</f>
        <v/>
      </c>
      <c r="AM144" s="51" t="str">
        <f aca="false">IFERROR(MATCH("CE2-24",'REGISTRE ELEVES'!$AG$10:$AG$250,0),"")</f>
        <v/>
      </c>
      <c r="AN144" s="51" t="str">
        <f aca="false">IF(AM144="","",INDEX('REGISTRE ELEVES'!$B$10:$B$250,AM144))</f>
        <v/>
      </c>
      <c r="AO144" s="51" t="str">
        <f aca="false">IF(AM144="","",INDEX('REGISTRE ELEVES'!$D$10:$D$250,AM144))</f>
        <v/>
      </c>
      <c r="AP144" s="51" t="str">
        <f aca="false">IF(AM144="","",INDEX('REGISTRE ELEVES'!$E$10:$E$250,AM144))</f>
        <v/>
      </c>
      <c r="AQ144" s="51" t="str">
        <f aca="false">IF(AN144="","",IFERROR(CHOOSE($P$8,INDEX('NOTES CE2-CM1'!$M$10:$M$250,MATCH(AN144,'NOTES CE2-CM1'!$B$10:$B$250,0)),INDEX('NOTES CE2-CM1'!$T$10:$T$250,MATCH(AN144,'NOTES CE2-CM1'!$B$10:$B$250,0)),INDEX('NOTES CE2-CM1'!$AA$10:$AA$250,MATCH(AN144,'NOTES CE2-CM1'!$B$10:$B$250,0)),INDEX('NOTES CE2-CM1'!$AH$10:$AH$250,MATCH(AN144,'NOTES CE2-CM1'!$B$10:$B$250,0))),""))</f>
        <v/>
      </c>
      <c r="AR144" s="51" t="str">
        <f aca="false">IF(ISNUMBER(AQ144),AQ144+(1000-24)/1000000,"")</f>
        <v/>
      </c>
      <c r="AS144" s="51" t="str">
        <f aca="false">IF(AN144="","",IFERROR(CHOOSE($P$8,INDEX('NOTES CE2-CM1'!$G$10:$G$250,MATCH(AN144,'NOTES CE2-CM1'!$B$10:$B$250,0)),INDEX('NOTES CE2-CM1'!$N$10:$N$250,MATCH(AN144,'NOTES CE2-CM1'!$B$10:$B$250,0)),INDEX('NOTES CE2-CM1'!$U$10:$U$250,MATCH(AN144,'NOTES CE2-CM1'!$B$10:$B$250,0)),INDEX('NOTES CE2-CM1'!$AB$10:$AB$250,MATCH(AN144,'NOTES CE2-CM1'!$B$10:$B$250,0))),""))</f>
        <v/>
      </c>
      <c r="AT144" s="51" t="str">
        <f aca="false">IFERROR(MATCH("CM1-24",'REGISTRE ELEVES'!$AG$10:$AG$250,0),"")</f>
        <v/>
      </c>
      <c r="AU144" s="51" t="str">
        <f aca="false">IF(AT144="","",INDEX('REGISTRE ELEVES'!$B$10:$B$250,AT144))</f>
        <v/>
      </c>
      <c r="AV144" s="51" t="str">
        <f aca="false">IF(AT144="","",INDEX('REGISTRE ELEVES'!$D$10:$D$250,AT144))</f>
        <v/>
      </c>
      <c r="AW144" s="51" t="str">
        <f aca="false">IF(AT144="","",INDEX('REGISTRE ELEVES'!$E$10:$E$250,AT144))</f>
        <v/>
      </c>
      <c r="AX144" s="51" t="str">
        <f aca="false">IF(AU144="","",IFERROR(CHOOSE($P$8,INDEX('NOTES CE2-CM1'!$M$10:$M$250,MATCH(AU144,'NOTES CE2-CM1'!$B$10:$B$250,0)),INDEX('NOTES CE2-CM1'!$T$10:$T$250,MATCH(AU144,'NOTES CE2-CM1'!$B$10:$B$250,0)),INDEX('NOTES CE2-CM1'!$AA$10:$AA$250,MATCH(AU144,'NOTES CE2-CM1'!$B$10:$B$250,0)),INDEX('NOTES CE2-CM1'!$AH$10:$AH$250,MATCH(AU144,'NOTES CE2-CM1'!$B$10:$B$250,0))),""))</f>
        <v/>
      </c>
      <c r="AY144" s="51" t="str">
        <f aca="false">IF(ISNUMBER(AX144),AX144+(1000-24)/1000000,"")</f>
        <v/>
      </c>
      <c r="AZ144" s="51" t="str">
        <f aca="false">IF(AU144="","",IFERROR(CHOOSE($P$8,INDEX('NOTES CE2-CM1'!$G$10:$G$250,MATCH(AU144,'NOTES CE2-CM1'!$B$10:$B$250,0)),INDEX('NOTES CE2-CM1'!$N$10:$N$250,MATCH(AU144,'NOTES CE2-CM1'!$B$10:$B$250,0)),INDEX('NOTES CE2-CM1'!$U$10:$U$250,MATCH(AU144,'NOTES CE2-CM1'!$B$10:$B$250,0)),INDEX('NOTES CE2-CM1'!$AB$10:$AB$250,MATCH(AU144,'NOTES CE2-CM1'!$B$10:$B$250,0))),""))</f>
        <v/>
      </c>
      <c r="BA144" s="51" t="str">
        <f aca="false">IFERROR(MATCH("CM2-24",'REGISTRE ELEVES'!$AG$10:$AG$250,0),"")</f>
        <v/>
      </c>
      <c r="BB144" s="51" t="str">
        <f aca="false">IF(BA144="","",INDEX('REGISTRE ELEVES'!$B$10:$B$250,BA144))</f>
        <v/>
      </c>
      <c r="BC144" s="51" t="str">
        <f aca="false">IF(BA144="","",INDEX('REGISTRE ELEVES'!$D$10:$D$250,BA144))</f>
        <v/>
      </c>
      <c r="BD144" s="51" t="str">
        <f aca="false">IF(BA144="","",INDEX('REGISTRE ELEVES'!$E$10:$E$250,BA144))</f>
        <v/>
      </c>
      <c r="BE144" s="51" t="str">
        <f aca="false">IF(BB144="","",IFERROR(CHOOSE($P$10,INDEX('NOTES CM2'!$M$10:$M$250,MATCH(BB144,'NOTES CM2'!$B$10:$B$250,0)),INDEX('NOTES CM2'!$T$10:$T$250,MATCH(BB144,'NOTES CM2'!$B$10:$B$250,0)),INDEX('NOTES CM2'!$AB$10:$AB$250,MATCH(BB144,'NOTES CM2'!$B$10:$B$250,0)),INDEX('NOTES CM2'!$AJ$10:$AJ$250,MATCH(BB144,'NOTES CM2'!$B$10:$B$250,0))),""))</f>
        <v/>
      </c>
      <c r="BF144" s="51" t="str">
        <f aca="false">IF(ISNUMBER(BE144),BE144+(1000-24)/1000000,"")</f>
        <v/>
      </c>
      <c r="BG144" s="51" t="str">
        <f aca="false">IF(BB144="","",IFERROR(CHOOSE($P$10,INDEX('NOTES CM2'!$G$10:$G$250,MATCH(BB144,'NOTES CM2'!$B$10:$B$250,0)),INDEX('NOTES CM2'!$N$10:$N$250,MATCH(BB144,'NOTES CM2'!$B$10:$B$250,0)),INDEX('NOTES CM2'!$U$10:$U$250,MATCH(BB144,'NOTES CM2'!$B$10:$B$250,0)),INDEX('NOTES CM2'!$AC$10:$AC$250,MATCH(BB144,'NOTES CM2'!$B$10:$B$250,0))),""))</f>
        <v/>
      </c>
    </row>
    <row r="145" customFormat="false" ht="15" hidden="false" customHeight="false" outlineLevel="0" collapsed="false">
      <c r="R145" s="51" t="str">
        <f aca="false">IFERROR(MATCH("CP1-25",'REGISTRE ELEVES'!$AG$10:$AG$250,0),"")</f>
        <v/>
      </c>
      <c r="S145" s="51" t="str">
        <f aca="false">IF(R145="","",INDEX('REGISTRE ELEVES'!$B$10:$B$250,R145))</f>
        <v/>
      </c>
      <c r="T145" s="51" t="str">
        <f aca="false">IF(R145="","",INDEX('REGISTRE ELEVES'!$D$10:$D$250,R145))</f>
        <v/>
      </c>
      <c r="U145" s="51" t="str">
        <f aca="false">IF(R145="","",INDEX('REGISTRE ELEVES'!$E$10:$E$250,R145))</f>
        <v/>
      </c>
      <c r="V145" s="51" t="str">
        <f aca="false">IF(S145="","",IFERROR(CHOOSE($P$8,INDEX('NOTES CP'!$P$10:$P$250,MATCH(S145,'NOTES CP'!$B$10:$B$250,0)),INDEX('NOTES CP'!$Z$10:$Z$250,MATCH(S145,'NOTES CP'!$B$10:$B$250,0)),INDEX('NOTES CP'!$AJ$10:$AJ$250,MATCH(S145,'NOTES CP'!$B$10:$B$250,0)),INDEX('NOTES CP'!$AT$10:$AT$250,MATCH(S145,'NOTES CP'!$B$10:$B$250,0))),""))</f>
        <v/>
      </c>
      <c r="W145" s="51" t="str">
        <f aca="false">IF(ISNUMBER(V145),V145+(1000-25)/1000000,"")</f>
        <v/>
      </c>
      <c r="X145" s="51" t="str">
        <f aca="false">IF(S145="","",IFERROR(CHOOSE($P$8,INDEX('NOTES CP'!$G$10:$G$250,MATCH(S145,'NOTES CP'!$B$10:$B$250,0)),INDEX('NOTES CP'!$Q$10:$Q$250,MATCH(S145,'NOTES CP'!$B$10:$B$250,0)),INDEX('NOTES CP'!$AA$10:$AA$250,MATCH(S145,'NOTES CP'!$B$10:$B$250,0)),INDEX('NOTES CP'!$AK$10:$AK$250,MATCH(S145,'NOTES CP'!$B$10:$B$250,0))),""))</f>
        <v/>
      </c>
      <c r="Y145" s="51" t="str">
        <f aca="false">IFERROR(MATCH("CP2-25",'REGISTRE ELEVES'!$AG$10:$AG$250,0),"")</f>
        <v/>
      </c>
      <c r="Z145" s="51" t="str">
        <f aca="false">IF(Y145="","",INDEX('REGISTRE ELEVES'!$B$10:$B$250,Y145))</f>
        <v/>
      </c>
      <c r="AA145" s="51" t="str">
        <f aca="false">IF(Y145="","",INDEX('REGISTRE ELEVES'!$D$10:$D$250,Y145))</f>
        <v/>
      </c>
      <c r="AB145" s="51" t="str">
        <f aca="false">IF(Y145="","",INDEX('REGISTRE ELEVES'!$E$10:$E$250,Y145))</f>
        <v/>
      </c>
      <c r="AC145" s="51" t="str">
        <f aca="false">IF(Z145="","",IFERROR(CHOOSE($P$8,INDEX('NOTES CP'!$P$10:$P$250,MATCH(Z145,'NOTES CP'!$B$10:$B$250,0)),INDEX('NOTES CP'!$Z$10:$Z$250,MATCH(Z145,'NOTES CP'!$B$10:$B$250,0)),INDEX('NOTES CP'!$AJ$10:$AJ$250,MATCH(Z145,'NOTES CP'!$B$10:$B$250,0)),INDEX('NOTES CP'!$AT$10:$AT$250,MATCH(Z145,'NOTES CP'!$B$10:$B$250,0))),""))</f>
        <v/>
      </c>
      <c r="AD145" s="51" t="str">
        <f aca="false">IF(ISNUMBER(AC145),AC145+(1000-25)/1000000,"")</f>
        <v/>
      </c>
      <c r="AE145" s="51" t="str">
        <f aca="false">IF(Z145="","",IFERROR(CHOOSE($P$8,INDEX('NOTES CP'!$G$10:$G$250,MATCH(Z145,'NOTES CP'!$B$10:$B$250,0)),INDEX('NOTES CP'!$Q$10:$Q$250,MATCH(Z145,'NOTES CP'!$B$10:$B$250,0)),INDEX('NOTES CP'!$AA$10:$AA$250,MATCH(Z145,'NOTES CP'!$B$10:$B$250,0)),INDEX('NOTES CP'!$AK$10:$AK$250,MATCH(Z145,'NOTES CP'!$B$10:$B$250,0))),""))</f>
        <v/>
      </c>
      <c r="AF145" s="51" t="str">
        <f aca="false">IFERROR(MATCH("CE1-25",'REGISTRE ELEVES'!$AG$10:$AG$250,0),"")</f>
        <v/>
      </c>
      <c r="AG145" s="51" t="str">
        <f aca="false">IF(AF145="","",INDEX('REGISTRE ELEVES'!$B$10:$B$250,AF145))</f>
        <v/>
      </c>
      <c r="AH145" s="51" t="str">
        <f aca="false">IF(AF145="","",INDEX('REGISTRE ELEVES'!$D$10:$D$250,AF145))</f>
        <v/>
      </c>
      <c r="AI145" s="51" t="str">
        <f aca="false">IF(AF145="","",INDEX('REGISTRE ELEVES'!$E$10:$E$250,AF145))</f>
        <v/>
      </c>
      <c r="AJ145" s="51" t="str">
        <f aca="false">IF(AG145="","",IFERROR(CHOOSE($P$8,INDEX('NOTES CE1'!$M$10:$M$250,MATCH(AG145,'NOTES CE1'!$B$10:$B$250,0)),INDEX('NOTES CE1'!$T$10:$T$250,MATCH(AG145,'NOTES CE1'!$B$10:$B$250,0)),INDEX('NOTES CE1'!$AA$10:$AA$250,MATCH(AG145,'NOTES CE1'!$B$10:$B$250,0)),INDEX('NOTES CE1'!$AH$10:$AH$250,MATCH(AG145,'NOTES CE1'!$B$10:$B$250,0))),""))</f>
        <v/>
      </c>
      <c r="AK145" s="51" t="str">
        <f aca="false">IF(ISNUMBER(AJ145),AJ145+(1000-25)/1000000,"")</f>
        <v/>
      </c>
      <c r="AL145" s="51" t="str">
        <f aca="false">IF(AG145="","",IFERROR(CHOOSE($P$8,INDEX('NOTES CE1'!$G$10:$G$250,MATCH(AG145,'NOTES CE1'!$B$10:$B$250,0)),INDEX('NOTES CE1'!$N$10:$N$250,MATCH(AG145,'NOTES CE1'!$B$10:$B$250,0)),INDEX('NOTES CE1'!$U$10:$U$250,MATCH(AG145,'NOTES CE1'!$B$10:$B$250,0)),INDEX('NOTES CE1'!$AB$10:$AB$250,MATCH(AG145,'NOTES CE1'!$B$10:$B$250,0))),""))</f>
        <v/>
      </c>
      <c r="AM145" s="51" t="str">
        <f aca="false">IFERROR(MATCH("CE2-25",'REGISTRE ELEVES'!$AG$10:$AG$250,0),"")</f>
        <v/>
      </c>
      <c r="AN145" s="51" t="str">
        <f aca="false">IF(AM145="","",INDEX('REGISTRE ELEVES'!$B$10:$B$250,AM145))</f>
        <v/>
      </c>
      <c r="AO145" s="51" t="str">
        <f aca="false">IF(AM145="","",INDEX('REGISTRE ELEVES'!$D$10:$D$250,AM145))</f>
        <v/>
      </c>
      <c r="AP145" s="51" t="str">
        <f aca="false">IF(AM145="","",INDEX('REGISTRE ELEVES'!$E$10:$E$250,AM145))</f>
        <v/>
      </c>
      <c r="AQ145" s="51" t="str">
        <f aca="false">IF(AN145="","",IFERROR(CHOOSE($P$8,INDEX('NOTES CE2-CM1'!$M$10:$M$250,MATCH(AN145,'NOTES CE2-CM1'!$B$10:$B$250,0)),INDEX('NOTES CE2-CM1'!$T$10:$T$250,MATCH(AN145,'NOTES CE2-CM1'!$B$10:$B$250,0)),INDEX('NOTES CE2-CM1'!$AA$10:$AA$250,MATCH(AN145,'NOTES CE2-CM1'!$B$10:$B$250,0)),INDEX('NOTES CE2-CM1'!$AH$10:$AH$250,MATCH(AN145,'NOTES CE2-CM1'!$B$10:$B$250,0))),""))</f>
        <v/>
      </c>
      <c r="AR145" s="51" t="str">
        <f aca="false">IF(ISNUMBER(AQ145),AQ145+(1000-25)/1000000,"")</f>
        <v/>
      </c>
      <c r="AS145" s="51" t="str">
        <f aca="false">IF(AN145="","",IFERROR(CHOOSE($P$8,INDEX('NOTES CE2-CM1'!$G$10:$G$250,MATCH(AN145,'NOTES CE2-CM1'!$B$10:$B$250,0)),INDEX('NOTES CE2-CM1'!$N$10:$N$250,MATCH(AN145,'NOTES CE2-CM1'!$B$10:$B$250,0)),INDEX('NOTES CE2-CM1'!$U$10:$U$250,MATCH(AN145,'NOTES CE2-CM1'!$B$10:$B$250,0)),INDEX('NOTES CE2-CM1'!$AB$10:$AB$250,MATCH(AN145,'NOTES CE2-CM1'!$B$10:$B$250,0))),""))</f>
        <v/>
      </c>
      <c r="AT145" s="51" t="str">
        <f aca="false">IFERROR(MATCH("CM1-25",'REGISTRE ELEVES'!$AG$10:$AG$250,0),"")</f>
        <v/>
      </c>
      <c r="AU145" s="51" t="str">
        <f aca="false">IF(AT145="","",INDEX('REGISTRE ELEVES'!$B$10:$B$250,AT145))</f>
        <v/>
      </c>
      <c r="AV145" s="51" t="str">
        <f aca="false">IF(AT145="","",INDEX('REGISTRE ELEVES'!$D$10:$D$250,AT145))</f>
        <v/>
      </c>
      <c r="AW145" s="51" t="str">
        <f aca="false">IF(AT145="","",INDEX('REGISTRE ELEVES'!$E$10:$E$250,AT145))</f>
        <v/>
      </c>
      <c r="AX145" s="51" t="str">
        <f aca="false">IF(AU145="","",IFERROR(CHOOSE($P$8,INDEX('NOTES CE2-CM1'!$M$10:$M$250,MATCH(AU145,'NOTES CE2-CM1'!$B$10:$B$250,0)),INDEX('NOTES CE2-CM1'!$T$10:$T$250,MATCH(AU145,'NOTES CE2-CM1'!$B$10:$B$250,0)),INDEX('NOTES CE2-CM1'!$AA$10:$AA$250,MATCH(AU145,'NOTES CE2-CM1'!$B$10:$B$250,0)),INDEX('NOTES CE2-CM1'!$AH$10:$AH$250,MATCH(AU145,'NOTES CE2-CM1'!$B$10:$B$250,0))),""))</f>
        <v/>
      </c>
      <c r="AY145" s="51" t="str">
        <f aca="false">IF(ISNUMBER(AX145),AX145+(1000-25)/1000000,"")</f>
        <v/>
      </c>
      <c r="AZ145" s="51" t="str">
        <f aca="false">IF(AU145="","",IFERROR(CHOOSE($P$8,INDEX('NOTES CE2-CM1'!$G$10:$G$250,MATCH(AU145,'NOTES CE2-CM1'!$B$10:$B$250,0)),INDEX('NOTES CE2-CM1'!$N$10:$N$250,MATCH(AU145,'NOTES CE2-CM1'!$B$10:$B$250,0)),INDEX('NOTES CE2-CM1'!$U$10:$U$250,MATCH(AU145,'NOTES CE2-CM1'!$B$10:$B$250,0)),INDEX('NOTES CE2-CM1'!$AB$10:$AB$250,MATCH(AU145,'NOTES CE2-CM1'!$B$10:$B$250,0))),""))</f>
        <v/>
      </c>
      <c r="BA145" s="51" t="str">
        <f aca="false">IFERROR(MATCH("CM2-25",'REGISTRE ELEVES'!$AG$10:$AG$250,0),"")</f>
        <v/>
      </c>
      <c r="BB145" s="51" t="str">
        <f aca="false">IF(BA145="","",INDEX('REGISTRE ELEVES'!$B$10:$B$250,BA145))</f>
        <v/>
      </c>
      <c r="BC145" s="51" t="str">
        <f aca="false">IF(BA145="","",INDEX('REGISTRE ELEVES'!$D$10:$D$250,BA145))</f>
        <v/>
      </c>
      <c r="BD145" s="51" t="str">
        <f aca="false">IF(BA145="","",INDEX('REGISTRE ELEVES'!$E$10:$E$250,BA145))</f>
        <v/>
      </c>
      <c r="BE145" s="51" t="str">
        <f aca="false">IF(BB145="","",IFERROR(CHOOSE($P$10,INDEX('NOTES CM2'!$M$10:$M$250,MATCH(BB145,'NOTES CM2'!$B$10:$B$250,0)),INDEX('NOTES CM2'!$T$10:$T$250,MATCH(BB145,'NOTES CM2'!$B$10:$B$250,0)),INDEX('NOTES CM2'!$AB$10:$AB$250,MATCH(BB145,'NOTES CM2'!$B$10:$B$250,0)),INDEX('NOTES CM2'!$AJ$10:$AJ$250,MATCH(BB145,'NOTES CM2'!$B$10:$B$250,0))),""))</f>
        <v/>
      </c>
      <c r="BF145" s="51" t="str">
        <f aca="false">IF(ISNUMBER(BE145),BE145+(1000-25)/1000000,"")</f>
        <v/>
      </c>
      <c r="BG145" s="51" t="str">
        <f aca="false">IF(BB145="","",IFERROR(CHOOSE($P$10,INDEX('NOTES CM2'!$G$10:$G$250,MATCH(BB145,'NOTES CM2'!$B$10:$B$250,0)),INDEX('NOTES CM2'!$N$10:$N$250,MATCH(BB145,'NOTES CM2'!$B$10:$B$250,0)),INDEX('NOTES CM2'!$U$10:$U$250,MATCH(BB145,'NOTES CM2'!$B$10:$B$250,0)),INDEX('NOTES CM2'!$AC$10:$AC$250,MATCH(BB145,'NOTES CM2'!$B$10:$B$250,0))),""))</f>
        <v/>
      </c>
    </row>
    <row r="146" customFormat="false" ht="15" hidden="false" customHeight="false" outlineLevel="0" collapsed="false">
      <c r="R146" s="51" t="str">
        <f aca="false">IFERROR(MATCH("CP1-26",'REGISTRE ELEVES'!$AG$10:$AG$250,0),"")</f>
        <v/>
      </c>
      <c r="S146" s="51" t="str">
        <f aca="false">IF(R146="","",INDEX('REGISTRE ELEVES'!$B$10:$B$250,R146))</f>
        <v/>
      </c>
      <c r="T146" s="51" t="str">
        <f aca="false">IF(R146="","",INDEX('REGISTRE ELEVES'!$D$10:$D$250,R146))</f>
        <v/>
      </c>
      <c r="U146" s="51" t="str">
        <f aca="false">IF(R146="","",INDEX('REGISTRE ELEVES'!$E$10:$E$250,R146))</f>
        <v/>
      </c>
      <c r="V146" s="51" t="str">
        <f aca="false">IF(S146="","",IFERROR(CHOOSE($P$8,INDEX('NOTES CP'!$P$10:$P$250,MATCH(S146,'NOTES CP'!$B$10:$B$250,0)),INDEX('NOTES CP'!$Z$10:$Z$250,MATCH(S146,'NOTES CP'!$B$10:$B$250,0)),INDEX('NOTES CP'!$AJ$10:$AJ$250,MATCH(S146,'NOTES CP'!$B$10:$B$250,0)),INDEX('NOTES CP'!$AT$10:$AT$250,MATCH(S146,'NOTES CP'!$B$10:$B$250,0))),""))</f>
        <v/>
      </c>
      <c r="W146" s="51" t="str">
        <f aca="false">IF(ISNUMBER(V146),V146+(1000-26)/1000000,"")</f>
        <v/>
      </c>
      <c r="X146" s="51" t="str">
        <f aca="false">IF(S146="","",IFERROR(CHOOSE($P$8,INDEX('NOTES CP'!$G$10:$G$250,MATCH(S146,'NOTES CP'!$B$10:$B$250,0)),INDEX('NOTES CP'!$Q$10:$Q$250,MATCH(S146,'NOTES CP'!$B$10:$B$250,0)),INDEX('NOTES CP'!$AA$10:$AA$250,MATCH(S146,'NOTES CP'!$B$10:$B$250,0)),INDEX('NOTES CP'!$AK$10:$AK$250,MATCH(S146,'NOTES CP'!$B$10:$B$250,0))),""))</f>
        <v/>
      </c>
      <c r="Y146" s="51" t="str">
        <f aca="false">IFERROR(MATCH("CP2-26",'REGISTRE ELEVES'!$AG$10:$AG$250,0),"")</f>
        <v/>
      </c>
      <c r="Z146" s="51" t="str">
        <f aca="false">IF(Y146="","",INDEX('REGISTRE ELEVES'!$B$10:$B$250,Y146))</f>
        <v/>
      </c>
      <c r="AA146" s="51" t="str">
        <f aca="false">IF(Y146="","",INDEX('REGISTRE ELEVES'!$D$10:$D$250,Y146))</f>
        <v/>
      </c>
      <c r="AB146" s="51" t="str">
        <f aca="false">IF(Y146="","",INDEX('REGISTRE ELEVES'!$E$10:$E$250,Y146))</f>
        <v/>
      </c>
      <c r="AC146" s="51" t="str">
        <f aca="false">IF(Z146="","",IFERROR(CHOOSE($P$8,INDEX('NOTES CP'!$P$10:$P$250,MATCH(Z146,'NOTES CP'!$B$10:$B$250,0)),INDEX('NOTES CP'!$Z$10:$Z$250,MATCH(Z146,'NOTES CP'!$B$10:$B$250,0)),INDEX('NOTES CP'!$AJ$10:$AJ$250,MATCH(Z146,'NOTES CP'!$B$10:$B$250,0)),INDEX('NOTES CP'!$AT$10:$AT$250,MATCH(Z146,'NOTES CP'!$B$10:$B$250,0))),""))</f>
        <v/>
      </c>
      <c r="AD146" s="51" t="str">
        <f aca="false">IF(ISNUMBER(AC146),AC146+(1000-26)/1000000,"")</f>
        <v/>
      </c>
      <c r="AE146" s="51" t="str">
        <f aca="false">IF(Z146="","",IFERROR(CHOOSE($P$8,INDEX('NOTES CP'!$G$10:$G$250,MATCH(Z146,'NOTES CP'!$B$10:$B$250,0)),INDEX('NOTES CP'!$Q$10:$Q$250,MATCH(Z146,'NOTES CP'!$B$10:$B$250,0)),INDEX('NOTES CP'!$AA$10:$AA$250,MATCH(Z146,'NOTES CP'!$B$10:$B$250,0)),INDEX('NOTES CP'!$AK$10:$AK$250,MATCH(Z146,'NOTES CP'!$B$10:$B$250,0))),""))</f>
        <v/>
      </c>
      <c r="AF146" s="51" t="str">
        <f aca="false">IFERROR(MATCH("CE1-26",'REGISTRE ELEVES'!$AG$10:$AG$250,0),"")</f>
        <v/>
      </c>
      <c r="AG146" s="51" t="str">
        <f aca="false">IF(AF146="","",INDEX('REGISTRE ELEVES'!$B$10:$B$250,AF146))</f>
        <v/>
      </c>
      <c r="AH146" s="51" t="str">
        <f aca="false">IF(AF146="","",INDEX('REGISTRE ELEVES'!$D$10:$D$250,AF146))</f>
        <v/>
      </c>
      <c r="AI146" s="51" t="str">
        <f aca="false">IF(AF146="","",INDEX('REGISTRE ELEVES'!$E$10:$E$250,AF146))</f>
        <v/>
      </c>
      <c r="AJ146" s="51" t="str">
        <f aca="false">IF(AG146="","",IFERROR(CHOOSE($P$8,INDEX('NOTES CE1'!$M$10:$M$250,MATCH(AG146,'NOTES CE1'!$B$10:$B$250,0)),INDEX('NOTES CE1'!$T$10:$T$250,MATCH(AG146,'NOTES CE1'!$B$10:$B$250,0)),INDEX('NOTES CE1'!$AA$10:$AA$250,MATCH(AG146,'NOTES CE1'!$B$10:$B$250,0)),INDEX('NOTES CE1'!$AH$10:$AH$250,MATCH(AG146,'NOTES CE1'!$B$10:$B$250,0))),""))</f>
        <v/>
      </c>
      <c r="AK146" s="51" t="str">
        <f aca="false">IF(ISNUMBER(AJ146),AJ146+(1000-26)/1000000,"")</f>
        <v/>
      </c>
      <c r="AL146" s="51" t="str">
        <f aca="false">IF(AG146="","",IFERROR(CHOOSE($P$8,INDEX('NOTES CE1'!$G$10:$G$250,MATCH(AG146,'NOTES CE1'!$B$10:$B$250,0)),INDEX('NOTES CE1'!$N$10:$N$250,MATCH(AG146,'NOTES CE1'!$B$10:$B$250,0)),INDEX('NOTES CE1'!$U$10:$U$250,MATCH(AG146,'NOTES CE1'!$B$10:$B$250,0)),INDEX('NOTES CE1'!$AB$10:$AB$250,MATCH(AG146,'NOTES CE1'!$B$10:$B$250,0))),""))</f>
        <v/>
      </c>
      <c r="AM146" s="51" t="str">
        <f aca="false">IFERROR(MATCH("CE2-26",'REGISTRE ELEVES'!$AG$10:$AG$250,0),"")</f>
        <v/>
      </c>
      <c r="AN146" s="51" t="str">
        <f aca="false">IF(AM146="","",INDEX('REGISTRE ELEVES'!$B$10:$B$250,AM146))</f>
        <v/>
      </c>
      <c r="AO146" s="51" t="str">
        <f aca="false">IF(AM146="","",INDEX('REGISTRE ELEVES'!$D$10:$D$250,AM146))</f>
        <v/>
      </c>
      <c r="AP146" s="51" t="str">
        <f aca="false">IF(AM146="","",INDEX('REGISTRE ELEVES'!$E$10:$E$250,AM146))</f>
        <v/>
      </c>
      <c r="AQ146" s="51" t="str">
        <f aca="false">IF(AN146="","",IFERROR(CHOOSE($P$8,INDEX('NOTES CE2-CM1'!$M$10:$M$250,MATCH(AN146,'NOTES CE2-CM1'!$B$10:$B$250,0)),INDEX('NOTES CE2-CM1'!$T$10:$T$250,MATCH(AN146,'NOTES CE2-CM1'!$B$10:$B$250,0)),INDEX('NOTES CE2-CM1'!$AA$10:$AA$250,MATCH(AN146,'NOTES CE2-CM1'!$B$10:$B$250,0)),INDEX('NOTES CE2-CM1'!$AH$10:$AH$250,MATCH(AN146,'NOTES CE2-CM1'!$B$10:$B$250,0))),""))</f>
        <v/>
      </c>
      <c r="AR146" s="51" t="str">
        <f aca="false">IF(ISNUMBER(AQ146),AQ146+(1000-26)/1000000,"")</f>
        <v/>
      </c>
      <c r="AS146" s="51" t="str">
        <f aca="false">IF(AN146="","",IFERROR(CHOOSE($P$8,INDEX('NOTES CE2-CM1'!$G$10:$G$250,MATCH(AN146,'NOTES CE2-CM1'!$B$10:$B$250,0)),INDEX('NOTES CE2-CM1'!$N$10:$N$250,MATCH(AN146,'NOTES CE2-CM1'!$B$10:$B$250,0)),INDEX('NOTES CE2-CM1'!$U$10:$U$250,MATCH(AN146,'NOTES CE2-CM1'!$B$10:$B$250,0)),INDEX('NOTES CE2-CM1'!$AB$10:$AB$250,MATCH(AN146,'NOTES CE2-CM1'!$B$10:$B$250,0))),""))</f>
        <v/>
      </c>
      <c r="AT146" s="51" t="str">
        <f aca="false">IFERROR(MATCH("CM1-26",'REGISTRE ELEVES'!$AG$10:$AG$250,0),"")</f>
        <v/>
      </c>
      <c r="AU146" s="51" t="str">
        <f aca="false">IF(AT146="","",INDEX('REGISTRE ELEVES'!$B$10:$B$250,AT146))</f>
        <v/>
      </c>
      <c r="AV146" s="51" t="str">
        <f aca="false">IF(AT146="","",INDEX('REGISTRE ELEVES'!$D$10:$D$250,AT146))</f>
        <v/>
      </c>
      <c r="AW146" s="51" t="str">
        <f aca="false">IF(AT146="","",INDEX('REGISTRE ELEVES'!$E$10:$E$250,AT146))</f>
        <v/>
      </c>
      <c r="AX146" s="51" t="str">
        <f aca="false">IF(AU146="","",IFERROR(CHOOSE($P$8,INDEX('NOTES CE2-CM1'!$M$10:$M$250,MATCH(AU146,'NOTES CE2-CM1'!$B$10:$B$250,0)),INDEX('NOTES CE2-CM1'!$T$10:$T$250,MATCH(AU146,'NOTES CE2-CM1'!$B$10:$B$250,0)),INDEX('NOTES CE2-CM1'!$AA$10:$AA$250,MATCH(AU146,'NOTES CE2-CM1'!$B$10:$B$250,0)),INDEX('NOTES CE2-CM1'!$AH$10:$AH$250,MATCH(AU146,'NOTES CE2-CM1'!$B$10:$B$250,0))),""))</f>
        <v/>
      </c>
      <c r="AY146" s="51" t="str">
        <f aca="false">IF(ISNUMBER(AX146),AX146+(1000-26)/1000000,"")</f>
        <v/>
      </c>
      <c r="AZ146" s="51" t="str">
        <f aca="false">IF(AU146="","",IFERROR(CHOOSE($P$8,INDEX('NOTES CE2-CM1'!$G$10:$G$250,MATCH(AU146,'NOTES CE2-CM1'!$B$10:$B$250,0)),INDEX('NOTES CE2-CM1'!$N$10:$N$250,MATCH(AU146,'NOTES CE2-CM1'!$B$10:$B$250,0)),INDEX('NOTES CE2-CM1'!$U$10:$U$250,MATCH(AU146,'NOTES CE2-CM1'!$B$10:$B$250,0)),INDEX('NOTES CE2-CM1'!$AB$10:$AB$250,MATCH(AU146,'NOTES CE2-CM1'!$B$10:$B$250,0))),""))</f>
        <v/>
      </c>
      <c r="BA146" s="51" t="str">
        <f aca="false">IFERROR(MATCH("CM2-26",'REGISTRE ELEVES'!$AG$10:$AG$250,0),"")</f>
        <v/>
      </c>
      <c r="BB146" s="51" t="str">
        <f aca="false">IF(BA146="","",INDEX('REGISTRE ELEVES'!$B$10:$B$250,BA146))</f>
        <v/>
      </c>
      <c r="BC146" s="51" t="str">
        <f aca="false">IF(BA146="","",INDEX('REGISTRE ELEVES'!$D$10:$D$250,BA146))</f>
        <v/>
      </c>
      <c r="BD146" s="51" t="str">
        <f aca="false">IF(BA146="","",INDEX('REGISTRE ELEVES'!$E$10:$E$250,BA146))</f>
        <v/>
      </c>
      <c r="BE146" s="51" t="str">
        <f aca="false">IF(BB146="","",IFERROR(CHOOSE($P$10,INDEX('NOTES CM2'!$M$10:$M$250,MATCH(BB146,'NOTES CM2'!$B$10:$B$250,0)),INDEX('NOTES CM2'!$T$10:$T$250,MATCH(BB146,'NOTES CM2'!$B$10:$B$250,0)),INDEX('NOTES CM2'!$AB$10:$AB$250,MATCH(BB146,'NOTES CM2'!$B$10:$B$250,0)),INDEX('NOTES CM2'!$AJ$10:$AJ$250,MATCH(BB146,'NOTES CM2'!$B$10:$B$250,0))),""))</f>
        <v/>
      </c>
      <c r="BF146" s="51" t="str">
        <f aca="false">IF(ISNUMBER(BE146),BE146+(1000-26)/1000000,"")</f>
        <v/>
      </c>
      <c r="BG146" s="51" t="str">
        <f aca="false">IF(BB146="","",IFERROR(CHOOSE($P$10,INDEX('NOTES CM2'!$G$10:$G$250,MATCH(BB146,'NOTES CM2'!$B$10:$B$250,0)),INDEX('NOTES CM2'!$N$10:$N$250,MATCH(BB146,'NOTES CM2'!$B$10:$B$250,0)),INDEX('NOTES CM2'!$U$10:$U$250,MATCH(BB146,'NOTES CM2'!$B$10:$B$250,0)),INDEX('NOTES CM2'!$AC$10:$AC$250,MATCH(BB146,'NOTES CM2'!$B$10:$B$250,0))),""))</f>
        <v/>
      </c>
    </row>
    <row r="147" customFormat="false" ht="15" hidden="false" customHeight="false" outlineLevel="0" collapsed="false">
      <c r="R147" s="51" t="str">
        <f aca="false">IFERROR(MATCH("CP1-27",'REGISTRE ELEVES'!$AG$10:$AG$250,0),"")</f>
        <v/>
      </c>
      <c r="S147" s="51" t="str">
        <f aca="false">IF(R147="","",INDEX('REGISTRE ELEVES'!$B$10:$B$250,R147))</f>
        <v/>
      </c>
      <c r="T147" s="51" t="str">
        <f aca="false">IF(R147="","",INDEX('REGISTRE ELEVES'!$D$10:$D$250,R147))</f>
        <v/>
      </c>
      <c r="U147" s="51" t="str">
        <f aca="false">IF(R147="","",INDEX('REGISTRE ELEVES'!$E$10:$E$250,R147))</f>
        <v/>
      </c>
      <c r="V147" s="51" t="str">
        <f aca="false">IF(S147="","",IFERROR(CHOOSE($P$8,INDEX('NOTES CP'!$P$10:$P$250,MATCH(S147,'NOTES CP'!$B$10:$B$250,0)),INDEX('NOTES CP'!$Z$10:$Z$250,MATCH(S147,'NOTES CP'!$B$10:$B$250,0)),INDEX('NOTES CP'!$AJ$10:$AJ$250,MATCH(S147,'NOTES CP'!$B$10:$B$250,0)),INDEX('NOTES CP'!$AT$10:$AT$250,MATCH(S147,'NOTES CP'!$B$10:$B$250,0))),""))</f>
        <v/>
      </c>
      <c r="W147" s="51" t="str">
        <f aca="false">IF(ISNUMBER(V147),V147+(1000-27)/1000000,"")</f>
        <v/>
      </c>
      <c r="X147" s="51" t="str">
        <f aca="false">IF(S147="","",IFERROR(CHOOSE($P$8,INDEX('NOTES CP'!$G$10:$G$250,MATCH(S147,'NOTES CP'!$B$10:$B$250,0)),INDEX('NOTES CP'!$Q$10:$Q$250,MATCH(S147,'NOTES CP'!$B$10:$B$250,0)),INDEX('NOTES CP'!$AA$10:$AA$250,MATCH(S147,'NOTES CP'!$B$10:$B$250,0)),INDEX('NOTES CP'!$AK$10:$AK$250,MATCH(S147,'NOTES CP'!$B$10:$B$250,0))),""))</f>
        <v/>
      </c>
      <c r="Y147" s="51" t="str">
        <f aca="false">IFERROR(MATCH("CP2-27",'REGISTRE ELEVES'!$AG$10:$AG$250,0),"")</f>
        <v/>
      </c>
      <c r="Z147" s="51" t="str">
        <f aca="false">IF(Y147="","",INDEX('REGISTRE ELEVES'!$B$10:$B$250,Y147))</f>
        <v/>
      </c>
      <c r="AA147" s="51" t="str">
        <f aca="false">IF(Y147="","",INDEX('REGISTRE ELEVES'!$D$10:$D$250,Y147))</f>
        <v/>
      </c>
      <c r="AB147" s="51" t="str">
        <f aca="false">IF(Y147="","",INDEX('REGISTRE ELEVES'!$E$10:$E$250,Y147))</f>
        <v/>
      </c>
      <c r="AC147" s="51" t="str">
        <f aca="false">IF(Z147="","",IFERROR(CHOOSE($P$8,INDEX('NOTES CP'!$P$10:$P$250,MATCH(Z147,'NOTES CP'!$B$10:$B$250,0)),INDEX('NOTES CP'!$Z$10:$Z$250,MATCH(Z147,'NOTES CP'!$B$10:$B$250,0)),INDEX('NOTES CP'!$AJ$10:$AJ$250,MATCH(Z147,'NOTES CP'!$B$10:$B$250,0)),INDEX('NOTES CP'!$AT$10:$AT$250,MATCH(Z147,'NOTES CP'!$B$10:$B$250,0))),""))</f>
        <v/>
      </c>
      <c r="AD147" s="51" t="str">
        <f aca="false">IF(ISNUMBER(AC147),AC147+(1000-27)/1000000,"")</f>
        <v/>
      </c>
      <c r="AE147" s="51" t="str">
        <f aca="false">IF(Z147="","",IFERROR(CHOOSE($P$8,INDEX('NOTES CP'!$G$10:$G$250,MATCH(Z147,'NOTES CP'!$B$10:$B$250,0)),INDEX('NOTES CP'!$Q$10:$Q$250,MATCH(Z147,'NOTES CP'!$B$10:$B$250,0)),INDEX('NOTES CP'!$AA$10:$AA$250,MATCH(Z147,'NOTES CP'!$B$10:$B$250,0)),INDEX('NOTES CP'!$AK$10:$AK$250,MATCH(Z147,'NOTES CP'!$B$10:$B$250,0))),""))</f>
        <v/>
      </c>
      <c r="AF147" s="51" t="str">
        <f aca="false">IFERROR(MATCH("CE1-27",'REGISTRE ELEVES'!$AG$10:$AG$250,0),"")</f>
        <v/>
      </c>
      <c r="AG147" s="51" t="str">
        <f aca="false">IF(AF147="","",INDEX('REGISTRE ELEVES'!$B$10:$B$250,AF147))</f>
        <v/>
      </c>
      <c r="AH147" s="51" t="str">
        <f aca="false">IF(AF147="","",INDEX('REGISTRE ELEVES'!$D$10:$D$250,AF147))</f>
        <v/>
      </c>
      <c r="AI147" s="51" t="str">
        <f aca="false">IF(AF147="","",INDEX('REGISTRE ELEVES'!$E$10:$E$250,AF147))</f>
        <v/>
      </c>
      <c r="AJ147" s="51" t="str">
        <f aca="false">IF(AG147="","",IFERROR(CHOOSE($P$8,INDEX('NOTES CE1'!$M$10:$M$250,MATCH(AG147,'NOTES CE1'!$B$10:$B$250,0)),INDEX('NOTES CE1'!$T$10:$T$250,MATCH(AG147,'NOTES CE1'!$B$10:$B$250,0)),INDEX('NOTES CE1'!$AA$10:$AA$250,MATCH(AG147,'NOTES CE1'!$B$10:$B$250,0)),INDEX('NOTES CE1'!$AH$10:$AH$250,MATCH(AG147,'NOTES CE1'!$B$10:$B$250,0))),""))</f>
        <v/>
      </c>
      <c r="AK147" s="51" t="str">
        <f aca="false">IF(ISNUMBER(AJ147),AJ147+(1000-27)/1000000,"")</f>
        <v/>
      </c>
      <c r="AL147" s="51" t="str">
        <f aca="false">IF(AG147="","",IFERROR(CHOOSE($P$8,INDEX('NOTES CE1'!$G$10:$G$250,MATCH(AG147,'NOTES CE1'!$B$10:$B$250,0)),INDEX('NOTES CE1'!$N$10:$N$250,MATCH(AG147,'NOTES CE1'!$B$10:$B$250,0)),INDEX('NOTES CE1'!$U$10:$U$250,MATCH(AG147,'NOTES CE1'!$B$10:$B$250,0)),INDEX('NOTES CE1'!$AB$10:$AB$250,MATCH(AG147,'NOTES CE1'!$B$10:$B$250,0))),""))</f>
        <v/>
      </c>
      <c r="AM147" s="51" t="str">
        <f aca="false">IFERROR(MATCH("CE2-27",'REGISTRE ELEVES'!$AG$10:$AG$250,0),"")</f>
        <v/>
      </c>
      <c r="AN147" s="51" t="str">
        <f aca="false">IF(AM147="","",INDEX('REGISTRE ELEVES'!$B$10:$B$250,AM147))</f>
        <v/>
      </c>
      <c r="AO147" s="51" t="str">
        <f aca="false">IF(AM147="","",INDEX('REGISTRE ELEVES'!$D$10:$D$250,AM147))</f>
        <v/>
      </c>
      <c r="AP147" s="51" t="str">
        <f aca="false">IF(AM147="","",INDEX('REGISTRE ELEVES'!$E$10:$E$250,AM147))</f>
        <v/>
      </c>
      <c r="AQ147" s="51" t="str">
        <f aca="false">IF(AN147="","",IFERROR(CHOOSE($P$8,INDEX('NOTES CE2-CM1'!$M$10:$M$250,MATCH(AN147,'NOTES CE2-CM1'!$B$10:$B$250,0)),INDEX('NOTES CE2-CM1'!$T$10:$T$250,MATCH(AN147,'NOTES CE2-CM1'!$B$10:$B$250,0)),INDEX('NOTES CE2-CM1'!$AA$10:$AA$250,MATCH(AN147,'NOTES CE2-CM1'!$B$10:$B$250,0)),INDEX('NOTES CE2-CM1'!$AH$10:$AH$250,MATCH(AN147,'NOTES CE2-CM1'!$B$10:$B$250,0))),""))</f>
        <v/>
      </c>
      <c r="AR147" s="51" t="str">
        <f aca="false">IF(ISNUMBER(AQ147),AQ147+(1000-27)/1000000,"")</f>
        <v/>
      </c>
      <c r="AS147" s="51" t="str">
        <f aca="false">IF(AN147="","",IFERROR(CHOOSE($P$8,INDEX('NOTES CE2-CM1'!$G$10:$G$250,MATCH(AN147,'NOTES CE2-CM1'!$B$10:$B$250,0)),INDEX('NOTES CE2-CM1'!$N$10:$N$250,MATCH(AN147,'NOTES CE2-CM1'!$B$10:$B$250,0)),INDEX('NOTES CE2-CM1'!$U$10:$U$250,MATCH(AN147,'NOTES CE2-CM1'!$B$10:$B$250,0)),INDEX('NOTES CE2-CM1'!$AB$10:$AB$250,MATCH(AN147,'NOTES CE2-CM1'!$B$10:$B$250,0))),""))</f>
        <v/>
      </c>
      <c r="AT147" s="51" t="str">
        <f aca="false">IFERROR(MATCH("CM1-27",'REGISTRE ELEVES'!$AG$10:$AG$250,0),"")</f>
        <v/>
      </c>
      <c r="AU147" s="51" t="str">
        <f aca="false">IF(AT147="","",INDEX('REGISTRE ELEVES'!$B$10:$B$250,AT147))</f>
        <v/>
      </c>
      <c r="AV147" s="51" t="str">
        <f aca="false">IF(AT147="","",INDEX('REGISTRE ELEVES'!$D$10:$D$250,AT147))</f>
        <v/>
      </c>
      <c r="AW147" s="51" t="str">
        <f aca="false">IF(AT147="","",INDEX('REGISTRE ELEVES'!$E$10:$E$250,AT147))</f>
        <v/>
      </c>
      <c r="AX147" s="51" t="str">
        <f aca="false">IF(AU147="","",IFERROR(CHOOSE($P$8,INDEX('NOTES CE2-CM1'!$M$10:$M$250,MATCH(AU147,'NOTES CE2-CM1'!$B$10:$B$250,0)),INDEX('NOTES CE2-CM1'!$T$10:$T$250,MATCH(AU147,'NOTES CE2-CM1'!$B$10:$B$250,0)),INDEX('NOTES CE2-CM1'!$AA$10:$AA$250,MATCH(AU147,'NOTES CE2-CM1'!$B$10:$B$250,0)),INDEX('NOTES CE2-CM1'!$AH$10:$AH$250,MATCH(AU147,'NOTES CE2-CM1'!$B$10:$B$250,0))),""))</f>
        <v/>
      </c>
      <c r="AY147" s="51" t="str">
        <f aca="false">IF(ISNUMBER(AX147),AX147+(1000-27)/1000000,"")</f>
        <v/>
      </c>
      <c r="AZ147" s="51" t="str">
        <f aca="false">IF(AU147="","",IFERROR(CHOOSE($P$8,INDEX('NOTES CE2-CM1'!$G$10:$G$250,MATCH(AU147,'NOTES CE2-CM1'!$B$10:$B$250,0)),INDEX('NOTES CE2-CM1'!$N$10:$N$250,MATCH(AU147,'NOTES CE2-CM1'!$B$10:$B$250,0)),INDEX('NOTES CE2-CM1'!$U$10:$U$250,MATCH(AU147,'NOTES CE2-CM1'!$B$10:$B$250,0)),INDEX('NOTES CE2-CM1'!$AB$10:$AB$250,MATCH(AU147,'NOTES CE2-CM1'!$B$10:$B$250,0))),""))</f>
        <v/>
      </c>
      <c r="BA147" s="51" t="str">
        <f aca="false">IFERROR(MATCH("CM2-27",'REGISTRE ELEVES'!$AG$10:$AG$250,0),"")</f>
        <v/>
      </c>
      <c r="BB147" s="51" t="str">
        <f aca="false">IF(BA147="","",INDEX('REGISTRE ELEVES'!$B$10:$B$250,BA147))</f>
        <v/>
      </c>
      <c r="BC147" s="51" t="str">
        <f aca="false">IF(BA147="","",INDEX('REGISTRE ELEVES'!$D$10:$D$250,BA147))</f>
        <v/>
      </c>
      <c r="BD147" s="51" t="str">
        <f aca="false">IF(BA147="","",INDEX('REGISTRE ELEVES'!$E$10:$E$250,BA147))</f>
        <v/>
      </c>
      <c r="BE147" s="51" t="str">
        <f aca="false">IF(BB147="","",IFERROR(CHOOSE($P$10,INDEX('NOTES CM2'!$M$10:$M$250,MATCH(BB147,'NOTES CM2'!$B$10:$B$250,0)),INDEX('NOTES CM2'!$T$10:$T$250,MATCH(BB147,'NOTES CM2'!$B$10:$B$250,0)),INDEX('NOTES CM2'!$AB$10:$AB$250,MATCH(BB147,'NOTES CM2'!$B$10:$B$250,0)),INDEX('NOTES CM2'!$AJ$10:$AJ$250,MATCH(BB147,'NOTES CM2'!$B$10:$B$250,0))),""))</f>
        <v/>
      </c>
      <c r="BF147" s="51" t="str">
        <f aca="false">IF(ISNUMBER(BE147),BE147+(1000-27)/1000000,"")</f>
        <v/>
      </c>
      <c r="BG147" s="51" t="str">
        <f aca="false">IF(BB147="","",IFERROR(CHOOSE($P$10,INDEX('NOTES CM2'!$G$10:$G$250,MATCH(BB147,'NOTES CM2'!$B$10:$B$250,0)),INDEX('NOTES CM2'!$N$10:$N$250,MATCH(BB147,'NOTES CM2'!$B$10:$B$250,0)),INDEX('NOTES CM2'!$U$10:$U$250,MATCH(BB147,'NOTES CM2'!$B$10:$B$250,0)),INDEX('NOTES CM2'!$AC$10:$AC$250,MATCH(BB147,'NOTES CM2'!$B$10:$B$250,0))),""))</f>
        <v/>
      </c>
    </row>
    <row r="148" customFormat="false" ht="15" hidden="false" customHeight="false" outlineLevel="0" collapsed="false">
      <c r="R148" s="51" t="str">
        <f aca="false">IFERROR(MATCH("CP1-28",'REGISTRE ELEVES'!$AG$10:$AG$250,0),"")</f>
        <v/>
      </c>
      <c r="S148" s="51" t="str">
        <f aca="false">IF(R148="","",INDEX('REGISTRE ELEVES'!$B$10:$B$250,R148))</f>
        <v/>
      </c>
      <c r="T148" s="51" t="str">
        <f aca="false">IF(R148="","",INDEX('REGISTRE ELEVES'!$D$10:$D$250,R148))</f>
        <v/>
      </c>
      <c r="U148" s="51" t="str">
        <f aca="false">IF(R148="","",INDEX('REGISTRE ELEVES'!$E$10:$E$250,R148))</f>
        <v/>
      </c>
      <c r="V148" s="51" t="str">
        <f aca="false">IF(S148="","",IFERROR(CHOOSE($P$8,INDEX('NOTES CP'!$P$10:$P$250,MATCH(S148,'NOTES CP'!$B$10:$B$250,0)),INDEX('NOTES CP'!$Z$10:$Z$250,MATCH(S148,'NOTES CP'!$B$10:$B$250,0)),INDEX('NOTES CP'!$AJ$10:$AJ$250,MATCH(S148,'NOTES CP'!$B$10:$B$250,0)),INDEX('NOTES CP'!$AT$10:$AT$250,MATCH(S148,'NOTES CP'!$B$10:$B$250,0))),""))</f>
        <v/>
      </c>
      <c r="W148" s="51" t="str">
        <f aca="false">IF(ISNUMBER(V148),V148+(1000-28)/1000000,"")</f>
        <v/>
      </c>
      <c r="X148" s="51" t="str">
        <f aca="false">IF(S148="","",IFERROR(CHOOSE($P$8,INDEX('NOTES CP'!$G$10:$G$250,MATCH(S148,'NOTES CP'!$B$10:$B$250,0)),INDEX('NOTES CP'!$Q$10:$Q$250,MATCH(S148,'NOTES CP'!$B$10:$B$250,0)),INDEX('NOTES CP'!$AA$10:$AA$250,MATCH(S148,'NOTES CP'!$B$10:$B$250,0)),INDEX('NOTES CP'!$AK$10:$AK$250,MATCH(S148,'NOTES CP'!$B$10:$B$250,0))),""))</f>
        <v/>
      </c>
      <c r="Y148" s="51" t="str">
        <f aca="false">IFERROR(MATCH("CP2-28",'REGISTRE ELEVES'!$AG$10:$AG$250,0),"")</f>
        <v/>
      </c>
      <c r="Z148" s="51" t="str">
        <f aca="false">IF(Y148="","",INDEX('REGISTRE ELEVES'!$B$10:$B$250,Y148))</f>
        <v/>
      </c>
      <c r="AA148" s="51" t="str">
        <f aca="false">IF(Y148="","",INDEX('REGISTRE ELEVES'!$D$10:$D$250,Y148))</f>
        <v/>
      </c>
      <c r="AB148" s="51" t="str">
        <f aca="false">IF(Y148="","",INDEX('REGISTRE ELEVES'!$E$10:$E$250,Y148))</f>
        <v/>
      </c>
      <c r="AC148" s="51" t="str">
        <f aca="false">IF(Z148="","",IFERROR(CHOOSE($P$8,INDEX('NOTES CP'!$P$10:$P$250,MATCH(Z148,'NOTES CP'!$B$10:$B$250,0)),INDEX('NOTES CP'!$Z$10:$Z$250,MATCH(Z148,'NOTES CP'!$B$10:$B$250,0)),INDEX('NOTES CP'!$AJ$10:$AJ$250,MATCH(Z148,'NOTES CP'!$B$10:$B$250,0)),INDEX('NOTES CP'!$AT$10:$AT$250,MATCH(Z148,'NOTES CP'!$B$10:$B$250,0))),""))</f>
        <v/>
      </c>
      <c r="AD148" s="51" t="str">
        <f aca="false">IF(ISNUMBER(AC148),AC148+(1000-28)/1000000,"")</f>
        <v/>
      </c>
      <c r="AE148" s="51" t="str">
        <f aca="false">IF(Z148="","",IFERROR(CHOOSE($P$8,INDEX('NOTES CP'!$G$10:$G$250,MATCH(Z148,'NOTES CP'!$B$10:$B$250,0)),INDEX('NOTES CP'!$Q$10:$Q$250,MATCH(Z148,'NOTES CP'!$B$10:$B$250,0)),INDEX('NOTES CP'!$AA$10:$AA$250,MATCH(Z148,'NOTES CP'!$B$10:$B$250,0)),INDEX('NOTES CP'!$AK$10:$AK$250,MATCH(Z148,'NOTES CP'!$B$10:$B$250,0))),""))</f>
        <v/>
      </c>
      <c r="AF148" s="51" t="str">
        <f aca="false">IFERROR(MATCH("CE1-28",'REGISTRE ELEVES'!$AG$10:$AG$250,0),"")</f>
        <v/>
      </c>
      <c r="AG148" s="51" t="str">
        <f aca="false">IF(AF148="","",INDEX('REGISTRE ELEVES'!$B$10:$B$250,AF148))</f>
        <v/>
      </c>
      <c r="AH148" s="51" t="str">
        <f aca="false">IF(AF148="","",INDEX('REGISTRE ELEVES'!$D$10:$D$250,AF148))</f>
        <v/>
      </c>
      <c r="AI148" s="51" t="str">
        <f aca="false">IF(AF148="","",INDEX('REGISTRE ELEVES'!$E$10:$E$250,AF148))</f>
        <v/>
      </c>
      <c r="AJ148" s="51" t="str">
        <f aca="false">IF(AG148="","",IFERROR(CHOOSE($P$8,INDEX('NOTES CE1'!$M$10:$M$250,MATCH(AG148,'NOTES CE1'!$B$10:$B$250,0)),INDEX('NOTES CE1'!$T$10:$T$250,MATCH(AG148,'NOTES CE1'!$B$10:$B$250,0)),INDEX('NOTES CE1'!$AA$10:$AA$250,MATCH(AG148,'NOTES CE1'!$B$10:$B$250,0)),INDEX('NOTES CE1'!$AH$10:$AH$250,MATCH(AG148,'NOTES CE1'!$B$10:$B$250,0))),""))</f>
        <v/>
      </c>
      <c r="AK148" s="51" t="str">
        <f aca="false">IF(ISNUMBER(AJ148),AJ148+(1000-28)/1000000,"")</f>
        <v/>
      </c>
      <c r="AL148" s="51" t="str">
        <f aca="false">IF(AG148="","",IFERROR(CHOOSE($P$8,INDEX('NOTES CE1'!$G$10:$G$250,MATCH(AG148,'NOTES CE1'!$B$10:$B$250,0)),INDEX('NOTES CE1'!$N$10:$N$250,MATCH(AG148,'NOTES CE1'!$B$10:$B$250,0)),INDEX('NOTES CE1'!$U$10:$U$250,MATCH(AG148,'NOTES CE1'!$B$10:$B$250,0)),INDEX('NOTES CE1'!$AB$10:$AB$250,MATCH(AG148,'NOTES CE1'!$B$10:$B$250,0))),""))</f>
        <v/>
      </c>
      <c r="AM148" s="51" t="str">
        <f aca="false">IFERROR(MATCH("CE2-28",'REGISTRE ELEVES'!$AG$10:$AG$250,0),"")</f>
        <v/>
      </c>
      <c r="AN148" s="51" t="str">
        <f aca="false">IF(AM148="","",INDEX('REGISTRE ELEVES'!$B$10:$B$250,AM148))</f>
        <v/>
      </c>
      <c r="AO148" s="51" t="str">
        <f aca="false">IF(AM148="","",INDEX('REGISTRE ELEVES'!$D$10:$D$250,AM148))</f>
        <v/>
      </c>
      <c r="AP148" s="51" t="str">
        <f aca="false">IF(AM148="","",INDEX('REGISTRE ELEVES'!$E$10:$E$250,AM148))</f>
        <v/>
      </c>
      <c r="AQ148" s="51" t="str">
        <f aca="false">IF(AN148="","",IFERROR(CHOOSE($P$8,INDEX('NOTES CE2-CM1'!$M$10:$M$250,MATCH(AN148,'NOTES CE2-CM1'!$B$10:$B$250,0)),INDEX('NOTES CE2-CM1'!$T$10:$T$250,MATCH(AN148,'NOTES CE2-CM1'!$B$10:$B$250,0)),INDEX('NOTES CE2-CM1'!$AA$10:$AA$250,MATCH(AN148,'NOTES CE2-CM1'!$B$10:$B$250,0)),INDEX('NOTES CE2-CM1'!$AH$10:$AH$250,MATCH(AN148,'NOTES CE2-CM1'!$B$10:$B$250,0))),""))</f>
        <v/>
      </c>
      <c r="AR148" s="51" t="str">
        <f aca="false">IF(ISNUMBER(AQ148),AQ148+(1000-28)/1000000,"")</f>
        <v/>
      </c>
      <c r="AS148" s="51" t="str">
        <f aca="false">IF(AN148="","",IFERROR(CHOOSE($P$8,INDEX('NOTES CE2-CM1'!$G$10:$G$250,MATCH(AN148,'NOTES CE2-CM1'!$B$10:$B$250,0)),INDEX('NOTES CE2-CM1'!$N$10:$N$250,MATCH(AN148,'NOTES CE2-CM1'!$B$10:$B$250,0)),INDEX('NOTES CE2-CM1'!$U$10:$U$250,MATCH(AN148,'NOTES CE2-CM1'!$B$10:$B$250,0)),INDEX('NOTES CE2-CM1'!$AB$10:$AB$250,MATCH(AN148,'NOTES CE2-CM1'!$B$10:$B$250,0))),""))</f>
        <v/>
      </c>
      <c r="AT148" s="51" t="str">
        <f aca="false">IFERROR(MATCH("CM1-28",'REGISTRE ELEVES'!$AG$10:$AG$250,0),"")</f>
        <v/>
      </c>
      <c r="AU148" s="51" t="str">
        <f aca="false">IF(AT148="","",INDEX('REGISTRE ELEVES'!$B$10:$B$250,AT148))</f>
        <v/>
      </c>
      <c r="AV148" s="51" t="str">
        <f aca="false">IF(AT148="","",INDEX('REGISTRE ELEVES'!$D$10:$D$250,AT148))</f>
        <v/>
      </c>
      <c r="AW148" s="51" t="str">
        <f aca="false">IF(AT148="","",INDEX('REGISTRE ELEVES'!$E$10:$E$250,AT148))</f>
        <v/>
      </c>
      <c r="AX148" s="51" t="str">
        <f aca="false">IF(AU148="","",IFERROR(CHOOSE($P$8,INDEX('NOTES CE2-CM1'!$M$10:$M$250,MATCH(AU148,'NOTES CE2-CM1'!$B$10:$B$250,0)),INDEX('NOTES CE2-CM1'!$T$10:$T$250,MATCH(AU148,'NOTES CE2-CM1'!$B$10:$B$250,0)),INDEX('NOTES CE2-CM1'!$AA$10:$AA$250,MATCH(AU148,'NOTES CE2-CM1'!$B$10:$B$250,0)),INDEX('NOTES CE2-CM1'!$AH$10:$AH$250,MATCH(AU148,'NOTES CE2-CM1'!$B$10:$B$250,0))),""))</f>
        <v/>
      </c>
      <c r="AY148" s="51" t="str">
        <f aca="false">IF(ISNUMBER(AX148),AX148+(1000-28)/1000000,"")</f>
        <v/>
      </c>
      <c r="AZ148" s="51" t="str">
        <f aca="false">IF(AU148="","",IFERROR(CHOOSE($P$8,INDEX('NOTES CE2-CM1'!$G$10:$G$250,MATCH(AU148,'NOTES CE2-CM1'!$B$10:$B$250,0)),INDEX('NOTES CE2-CM1'!$N$10:$N$250,MATCH(AU148,'NOTES CE2-CM1'!$B$10:$B$250,0)),INDEX('NOTES CE2-CM1'!$U$10:$U$250,MATCH(AU148,'NOTES CE2-CM1'!$B$10:$B$250,0)),INDEX('NOTES CE2-CM1'!$AB$10:$AB$250,MATCH(AU148,'NOTES CE2-CM1'!$B$10:$B$250,0))),""))</f>
        <v/>
      </c>
      <c r="BA148" s="51" t="str">
        <f aca="false">IFERROR(MATCH("CM2-28",'REGISTRE ELEVES'!$AG$10:$AG$250,0),"")</f>
        <v/>
      </c>
      <c r="BB148" s="51" t="str">
        <f aca="false">IF(BA148="","",INDEX('REGISTRE ELEVES'!$B$10:$B$250,BA148))</f>
        <v/>
      </c>
      <c r="BC148" s="51" t="str">
        <f aca="false">IF(BA148="","",INDEX('REGISTRE ELEVES'!$D$10:$D$250,BA148))</f>
        <v/>
      </c>
      <c r="BD148" s="51" t="str">
        <f aca="false">IF(BA148="","",INDEX('REGISTRE ELEVES'!$E$10:$E$250,BA148))</f>
        <v/>
      </c>
      <c r="BE148" s="51" t="str">
        <f aca="false">IF(BB148="","",IFERROR(CHOOSE($P$10,INDEX('NOTES CM2'!$M$10:$M$250,MATCH(BB148,'NOTES CM2'!$B$10:$B$250,0)),INDEX('NOTES CM2'!$T$10:$T$250,MATCH(BB148,'NOTES CM2'!$B$10:$B$250,0)),INDEX('NOTES CM2'!$AB$10:$AB$250,MATCH(BB148,'NOTES CM2'!$B$10:$B$250,0)),INDEX('NOTES CM2'!$AJ$10:$AJ$250,MATCH(BB148,'NOTES CM2'!$B$10:$B$250,0))),""))</f>
        <v/>
      </c>
      <c r="BF148" s="51" t="str">
        <f aca="false">IF(ISNUMBER(BE148),BE148+(1000-28)/1000000,"")</f>
        <v/>
      </c>
      <c r="BG148" s="51" t="str">
        <f aca="false">IF(BB148="","",IFERROR(CHOOSE($P$10,INDEX('NOTES CM2'!$G$10:$G$250,MATCH(BB148,'NOTES CM2'!$B$10:$B$250,0)),INDEX('NOTES CM2'!$N$10:$N$250,MATCH(BB148,'NOTES CM2'!$B$10:$B$250,0)),INDEX('NOTES CM2'!$U$10:$U$250,MATCH(BB148,'NOTES CM2'!$B$10:$B$250,0)),INDEX('NOTES CM2'!$AC$10:$AC$250,MATCH(BB148,'NOTES CM2'!$B$10:$B$250,0))),""))</f>
        <v/>
      </c>
    </row>
    <row r="149" customFormat="false" ht="15" hidden="false" customHeight="false" outlineLevel="0" collapsed="false">
      <c r="R149" s="51" t="str">
        <f aca="false">IFERROR(MATCH("CP1-29",'REGISTRE ELEVES'!$AG$10:$AG$250,0),"")</f>
        <v/>
      </c>
      <c r="S149" s="51" t="str">
        <f aca="false">IF(R149="","",INDEX('REGISTRE ELEVES'!$B$10:$B$250,R149))</f>
        <v/>
      </c>
      <c r="T149" s="51" t="str">
        <f aca="false">IF(R149="","",INDEX('REGISTRE ELEVES'!$D$10:$D$250,R149))</f>
        <v/>
      </c>
      <c r="U149" s="51" t="str">
        <f aca="false">IF(R149="","",INDEX('REGISTRE ELEVES'!$E$10:$E$250,R149))</f>
        <v/>
      </c>
      <c r="V149" s="51" t="str">
        <f aca="false">IF(S149="","",IFERROR(CHOOSE($P$8,INDEX('NOTES CP'!$P$10:$P$250,MATCH(S149,'NOTES CP'!$B$10:$B$250,0)),INDEX('NOTES CP'!$Z$10:$Z$250,MATCH(S149,'NOTES CP'!$B$10:$B$250,0)),INDEX('NOTES CP'!$AJ$10:$AJ$250,MATCH(S149,'NOTES CP'!$B$10:$B$250,0)),INDEX('NOTES CP'!$AT$10:$AT$250,MATCH(S149,'NOTES CP'!$B$10:$B$250,0))),""))</f>
        <v/>
      </c>
      <c r="W149" s="51" t="str">
        <f aca="false">IF(ISNUMBER(V149),V149+(1000-29)/1000000,"")</f>
        <v/>
      </c>
      <c r="X149" s="51" t="str">
        <f aca="false">IF(S149="","",IFERROR(CHOOSE($P$8,INDEX('NOTES CP'!$G$10:$G$250,MATCH(S149,'NOTES CP'!$B$10:$B$250,0)),INDEX('NOTES CP'!$Q$10:$Q$250,MATCH(S149,'NOTES CP'!$B$10:$B$250,0)),INDEX('NOTES CP'!$AA$10:$AA$250,MATCH(S149,'NOTES CP'!$B$10:$B$250,0)),INDEX('NOTES CP'!$AK$10:$AK$250,MATCH(S149,'NOTES CP'!$B$10:$B$250,0))),""))</f>
        <v/>
      </c>
      <c r="Y149" s="51" t="str">
        <f aca="false">IFERROR(MATCH("CP2-29",'REGISTRE ELEVES'!$AG$10:$AG$250,0),"")</f>
        <v/>
      </c>
      <c r="Z149" s="51" t="str">
        <f aca="false">IF(Y149="","",INDEX('REGISTRE ELEVES'!$B$10:$B$250,Y149))</f>
        <v/>
      </c>
      <c r="AA149" s="51" t="str">
        <f aca="false">IF(Y149="","",INDEX('REGISTRE ELEVES'!$D$10:$D$250,Y149))</f>
        <v/>
      </c>
      <c r="AB149" s="51" t="str">
        <f aca="false">IF(Y149="","",INDEX('REGISTRE ELEVES'!$E$10:$E$250,Y149))</f>
        <v/>
      </c>
      <c r="AC149" s="51" t="str">
        <f aca="false">IF(Z149="","",IFERROR(CHOOSE($P$8,INDEX('NOTES CP'!$P$10:$P$250,MATCH(Z149,'NOTES CP'!$B$10:$B$250,0)),INDEX('NOTES CP'!$Z$10:$Z$250,MATCH(Z149,'NOTES CP'!$B$10:$B$250,0)),INDEX('NOTES CP'!$AJ$10:$AJ$250,MATCH(Z149,'NOTES CP'!$B$10:$B$250,0)),INDEX('NOTES CP'!$AT$10:$AT$250,MATCH(Z149,'NOTES CP'!$B$10:$B$250,0))),""))</f>
        <v/>
      </c>
      <c r="AD149" s="51" t="str">
        <f aca="false">IF(ISNUMBER(AC149),AC149+(1000-29)/1000000,"")</f>
        <v/>
      </c>
      <c r="AE149" s="51" t="str">
        <f aca="false">IF(Z149="","",IFERROR(CHOOSE($P$8,INDEX('NOTES CP'!$G$10:$G$250,MATCH(Z149,'NOTES CP'!$B$10:$B$250,0)),INDEX('NOTES CP'!$Q$10:$Q$250,MATCH(Z149,'NOTES CP'!$B$10:$B$250,0)),INDEX('NOTES CP'!$AA$10:$AA$250,MATCH(Z149,'NOTES CP'!$B$10:$B$250,0)),INDEX('NOTES CP'!$AK$10:$AK$250,MATCH(Z149,'NOTES CP'!$B$10:$B$250,0))),""))</f>
        <v/>
      </c>
      <c r="AF149" s="51" t="str">
        <f aca="false">IFERROR(MATCH("CE1-29",'REGISTRE ELEVES'!$AG$10:$AG$250,0),"")</f>
        <v/>
      </c>
      <c r="AG149" s="51" t="str">
        <f aca="false">IF(AF149="","",INDEX('REGISTRE ELEVES'!$B$10:$B$250,AF149))</f>
        <v/>
      </c>
      <c r="AH149" s="51" t="str">
        <f aca="false">IF(AF149="","",INDEX('REGISTRE ELEVES'!$D$10:$D$250,AF149))</f>
        <v/>
      </c>
      <c r="AI149" s="51" t="str">
        <f aca="false">IF(AF149="","",INDEX('REGISTRE ELEVES'!$E$10:$E$250,AF149))</f>
        <v/>
      </c>
      <c r="AJ149" s="51" t="str">
        <f aca="false">IF(AG149="","",IFERROR(CHOOSE($P$8,INDEX('NOTES CE1'!$M$10:$M$250,MATCH(AG149,'NOTES CE1'!$B$10:$B$250,0)),INDEX('NOTES CE1'!$T$10:$T$250,MATCH(AG149,'NOTES CE1'!$B$10:$B$250,0)),INDEX('NOTES CE1'!$AA$10:$AA$250,MATCH(AG149,'NOTES CE1'!$B$10:$B$250,0)),INDEX('NOTES CE1'!$AH$10:$AH$250,MATCH(AG149,'NOTES CE1'!$B$10:$B$250,0))),""))</f>
        <v/>
      </c>
      <c r="AK149" s="51" t="str">
        <f aca="false">IF(ISNUMBER(AJ149),AJ149+(1000-29)/1000000,"")</f>
        <v/>
      </c>
      <c r="AL149" s="51" t="str">
        <f aca="false">IF(AG149="","",IFERROR(CHOOSE($P$8,INDEX('NOTES CE1'!$G$10:$G$250,MATCH(AG149,'NOTES CE1'!$B$10:$B$250,0)),INDEX('NOTES CE1'!$N$10:$N$250,MATCH(AG149,'NOTES CE1'!$B$10:$B$250,0)),INDEX('NOTES CE1'!$U$10:$U$250,MATCH(AG149,'NOTES CE1'!$B$10:$B$250,0)),INDEX('NOTES CE1'!$AB$10:$AB$250,MATCH(AG149,'NOTES CE1'!$B$10:$B$250,0))),""))</f>
        <v/>
      </c>
      <c r="AM149" s="51" t="str">
        <f aca="false">IFERROR(MATCH("CE2-29",'REGISTRE ELEVES'!$AG$10:$AG$250,0),"")</f>
        <v/>
      </c>
      <c r="AN149" s="51" t="str">
        <f aca="false">IF(AM149="","",INDEX('REGISTRE ELEVES'!$B$10:$B$250,AM149))</f>
        <v/>
      </c>
      <c r="AO149" s="51" t="str">
        <f aca="false">IF(AM149="","",INDEX('REGISTRE ELEVES'!$D$10:$D$250,AM149))</f>
        <v/>
      </c>
      <c r="AP149" s="51" t="str">
        <f aca="false">IF(AM149="","",INDEX('REGISTRE ELEVES'!$E$10:$E$250,AM149))</f>
        <v/>
      </c>
      <c r="AQ149" s="51" t="str">
        <f aca="false">IF(AN149="","",IFERROR(CHOOSE($P$8,INDEX('NOTES CE2-CM1'!$M$10:$M$250,MATCH(AN149,'NOTES CE2-CM1'!$B$10:$B$250,0)),INDEX('NOTES CE2-CM1'!$T$10:$T$250,MATCH(AN149,'NOTES CE2-CM1'!$B$10:$B$250,0)),INDEX('NOTES CE2-CM1'!$AA$10:$AA$250,MATCH(AN149,'NOTES CE2-CM1'!$B$10:$B$250,0)),INDEX('NOTES CE2-CM1'!$AH$10:$AH$250,MATCH(AN149,'NOTES CE2-CM1'!$B$10:$B$250,0))),""))</f>
        <v/>
      </c>
      <c r="AR149" s="51" t="str">
        <f aca="false">IF(ISNUMBER(AQ149),AQ149+(1000-29)/1000000,"")</f>
        <v/>
      </c>
      <c r="AS149" s="51" t="str">
        <f aca="false">IF(AN149="","",IFERROR(CHOOSE($P$8,INDEX('NOTES CE2-CM1'!$G$10:$G$250,MATCH(AN149,'NOTES CE2-CM1'!$B$10:$B$250,0)),INDEX('NOTES CE2-CM1'!$N$10:$N$250,MATCH(AN149,'NOTES CE2-CM1'!$B$10:$B$250,0)),INDEX('NOTES CE2-CM1'!$U$10:$U$250,MATCH(AN149,'NOTES CE2-CM1'!$B$10:$B$250,0)),INDEX('NOTES CE2-CM1'!$AB$10:$AB$250,MATCH(AN149,'NOTES CE2-CM1'!$B$10:$B$250,0))),""))</f>
        <v/>
      </c>
      <c r="AT149" s="51" t="str">
        <f aca="false">IFERROR(MATCH("CM1-29",'REGISTRE ELEVES'!$AG$10:$AG$250,0),"")</f>
        <v/>
      </c>
      <c r="AU149" s="51" t="str">
        <f aca="false">IF(AT149="","",INDEX('REGISTRE ELEVES'!$B$10:$B$250,AT149))</f>
        <v/>
      </c>
      <c r="AV149" s="51" t="str">
        <f aca="false">IF(AT149="","",INDEX('REGISTRE ELEVES'!$D$10:$D$250,AT149))</f>
        <v/>
      </c>
      <c r="AW149" s="51" t="str">
        <f aca="false">IF(AT149="","",INDEX('REGISTRE ELEVES'!$E$10:$E$250,AT149))</f>
        <v/>
      </c>
      <c r="AX149" s="51" t="str">
        <f aca="false">IF(AU149="","",IFERROR(CHOOSE($P$8,INDEX('NOTES CE2-CM1'!$M$10:$M$250,MATCH(AU149,'NOTES CE2-CM1'!$B$10:$B$250,0)),INDEX('NOTES CE2-CM1'!$T$10:$T$250,MATCH(AU149,'NOTES CE2-CM1'!$B$10:$B$250,0)),INDEX('NOTES CE2-CM1'!$AA$10:$AA$250,MATCH(AU149,'NOTES CE2-CM1'!$B$10:$B$250,0)),INDEX('NOTES CE2-CM1'!$AH$10:$AH$250,MATCH(AU149,'NOTES CE2-CM1'!$B$10:$B$250,0))),""))</f>
        <v/>
      </c>
      <c r="AY149" s="51" t="str">
        <f aca="false">IF(ISNUMBER(AX149),AX149+(1000-29)/1000000,"")</f>
        <v/>
      </c>
      <c r="AZ149" s="51" t="str">
        <f aca="false">IF(AU149="","",IFERROR(CHOOSE($P$8,INDEX('NOTES CE2-CM1'!$G$10:$G$250,MATCH(AU149,'NOTES CE2-CM1'!$B$10:$B$250,0)),INDEX('NOTES CE2-CM1'!$N$10:$N$250,MATCH(AU149,'NOTES CE2-CM1'!$B$10:$B$250,0)),INDEX('NOTES CE2-CM1'!$U$10:$U$250,MATCH(AU149,'NOTES CE2-CM1'!$B$10:$B$250,0)),INDEX('NOTES CE2-CM1'!$AB$10:$AB$250,MATCH(AU149,'NOTES CE2-CM1'!$B$10:$B$250,0))),""))</f>
        <v/>
      </c>
      <c r="BA149" s="51" t="str">
        <f aca="false">IFERROR(MATCH("CM2-29",'REGISTRE ELEVES'!$AG$10:$AG$250,0),"")</f>
        <v/>
      </c>
      <c r="BB149" s="51" t="str">
        <f aca="false">IF(BA149="","",INDEX('REGISTRE ELEVES'!$B$10:$B$250,BA149))</f>
        <v/>
      </c>
      <c r="BC149" s="51" t="str">
        <f aca="false">IF(BA149="","",INDEX('REGISTRE ELEVES'!$D$10:$D$250,BA149))</f>
        <v/>
      </c>
      <c r="BD149" s="51" t="str">
        <f aca="false">IF(BA149="","",INDEX('REGISTRE ELEVES'!$E$10:$E$250,BA149))</f>
        <v/>
      </c>
      <c r="BE149" s="51" t="str">
        <f aca="false">IF(BB149="","",IFERROR(CHOOSE($P$10,INDEX('NOTES CM2'!$M$10:$M$250,MATCH(BB149,'NOTES CM2'!$B$10:$B$250,0)),INDEX('NOTES CM2'!$T$10:$T$250,MATCH(BB149,'NOTES CM2'!$B$10:$B$250,0)),INDEX('NOTES CM2'!$AB$10:$AB$250,MATCH(BB149,'NOTES CM2'!$B$10:$B$250,0)),INDEX('NOTES CM2'!$AJ$10:$AJ$250,MATCH(BB149,'NOTES CM2'!$B$10:$B$250,0))),""))</f>
        <v/>
      </c>
      <c r="BF149" s="51" t="str">
        <f aca="false">IF(ISNUMBER(BE149),BE149+(1000-29)/1000000,"")</f>
        <v/>
      </c>
      <c r="BG149" s="51" t="str">
        <f aca="false">IF(BB149="","",IFERROR(CHOOSE($P$10,INDEX('NOTES CM2'!$G$10:$G$250,MATCH(BB149,'NOTES CM2'!$B$10:$B$250,0)),INDEX('NOTES CM2'!$N$10:$N$250,MATCH(BB149,'NOTES CM2'!$B$10:$B$250,0)),INDEX('NOTES CM2'!$U$10:$U$250,MATCH(BB149,'NOTES CM2'!$B$10:$B$250,0)),INDEX('NOTES CM2'!$AC$10:$AC$250,MATCH(BB149,'NOTES CM2'!$B$10:$B$250,0))),""))</f>
        <v/>
      </c>
    </row>
    <row r="150" customFormat="false" ht="15" hidden="false" customHeight="false" outlineLevel="0" collapsed="false">
      <c r="R150" s="51" t="str">
        <f aca="false">IFERROR(MATCH("CP1-30",'REGISTRE ELEVES'!$AG$10:$AG$250,0),"")</f>
        <v/>
      </c>
      <c r="S150" s="51" t="str">
        <f aca="false">IF(R150="","",INDEX('REGISTRE ELEVES'!$B$10:$B$250,R150))</f>
        <v/>
      </c>
      <c r="T150" s="51" t="str">
        <f aca="false">IF(R150="","",INDEX('REGISTRE ELEVES'!$D$10:$D$250,R150))</f>
        <v/>
      </c>
      <c r="U150" s="51" t="str">
        <f aca="false">IF(R150="","",INDEX('REGISTRE ELEVES'!$E$10:$E$250,R150))</f>
        <v/>
      </c>
      <c r="V150" s="51" t="str">
        <f aca="false">IF(S150="","",IFERROR(CHOOSE($P$8,INDEX('NOTES CP'!$P$10:$P$250,MATCH(S150,'NOTES CP'!$B$10:$B$250,0)),INDEX('NOTES CP'!$Z$10:$Z$250,MATCH(S150,'NOTES CP'!$B$10:$B$250,0)),INDEX('NOTES CP'!$AJ$10:$AJ$250,MATCH(S150,'NOTES CP'!$B$10:$B$250,0)),INDEX('NOTES CP'!$AT$10:$AT$250,MATCH(S150,'NOTES CP'!$B$10:$B$250,0))),""))</f>
        <v/>
      </c>
      <c r="W150" s="51" t="str">
        <f aca="false">IF(ISNUMBER(V150),V150+(1000-30)/1000000,"")</f>
        <v/>
      </c>
      <c r="X150" s="51" t="str">
        <f aca="false">IF(S150="","",IFERROR(CHOOSE($P$8,INDEX('NOTES CP'!$G$10:$G$250,MATCH(S150,'NOTES CP'!$B$10:$B$250,0)),INDEX('NOTES CP'!$Q$10:$Q$250,MATCH(S150,'NOTES CP'!$B$10:$B$250,0)),INDEX('NOTES CP'!$AA$10:$AA$250,MATCH(S150,'NOTES CP'!$B$10:$B$250,0)),INDEX('NOTES CP'!$AK$10:$AK$250,MATCH(S150,'NOTES CP'!$B$10:$B$250,0))),""))</f>
        <v/>
      </c>
      <c r="Y150" s="51" t="str">
        <f aca="false">IFERROR(MATCH("CP2-30",'REGISTRE ELEVES'!$AG$10:$AG$250,0),"")</f>
        <v/>
      </c>
      <c r="Z150" s="51" t="str">
        <f aca="false">IF(Y150="","",INDEX('REGISTRE ELEVES'!$B$10:$B$250,Y150))</f>
        <v/>
      </c>
      <c r="AA150" s="51" t="str">
        <f aca="false">IF(Y150="","",INDEX('REGISTRE ELEVES'!$D$10:$D$250,Y150))</f>
        <v/>
      </c>
      <c r="AB150" s="51" t="str">
        <f aca="false">IF(Y150="","",INDEX('REGISTRE ELEVES'!$E$10:$E$250,Y150))</f>
        <v/>
      </c>
      <c r="AC150" s="51" t="str">
        <f aca="false">IF(Z150="","",IFERROR(CHOOSE($P$8,INDEX('NOTES CP'!$P$10:$P$250,MATCH(Z150,'NOTES CP'!$B$10:$B$250,0)),INDEX('NOTES CP'!$Z$10:$Z$250,MATCH(Z150,'NOTES CP'!$B$10:$B$250,0)),INDEX('NOTES CP'!$AJ$10:$AJ$250,MATCH(Z150,'NOTES CP'!$B$10:$B$250,0)),INDEX('NOTES CP'!$AT$10:$AT$250,MATCH(Z150,'NOTES CP'!$B$10:$B$250,0))),""))</f>
        <v/>
      </c>
      <c r="AD150" s="51" t="str">
        <f aca="false">IF(ISNUMBER(AC150),AC150+(1000-30)/1000000,"")</f>
        <v/>
      </c>
      <c r="AE150" s="51" t="str">
        <f aca="false">IF(Z150="","",IFERROR(CHOOSE($P$8,INDEX('NOTES CP'!$G$10:$G$250,MATCH(Z150,'NOTES CP'!$B$10:$B$250,0)),INDEX('NOTES CP'!$Q$10:$Q$250,MATCH(Z150,'NOTES CP'!$B$10:$B$250,0)),INDEX('NOTES CP'!$AA$10:$AA$250,MATCH(Z150,'NOTES CP'!$B$10:$B$250,0)),INDEX('NOTES CP'!$AK$10:$AK$250,MATCH(Z150,'NOTES CP'!$B$10:$B$250,0))),""))</f>
        <v/>
      </c>
      <c r="AF150" s="51" t="str">
        <f aca="false">IFERROR(MATCH("CE1-30",'REGISTRE ELEVES'!$AG$10:$AG$250,0),"")</f>
        <v/>
      </c>
      <c r="AG150" s="51" t="str">
        <f aca="false">IF(AF150="","",INDEX('REGISTRE ELEVES'!$B$10:$B$250,AF150))</f>
        <v/>
      </c>
      <c r="AH150" s="51" t="str">
        <f aca="false">IF(AF150="","",INDEX('REGISTRE ELEVES'!$D$10:$D$250,AF150))</f>
        <v/>
      </c>
      <c r="AI150" s="51" t="str">
        <f aca="false">IF(AF150="","",INDEX('REGISTRE ELEVES'!$E$10:$E$250,AF150))</f>
        <v/>
      </c>
      <c r="AJ150" s="51" t="str">
        <f aca="false">IF(AG150="","",IFERROR(CHOOSE($P$8,INDEX('NOTES CE1'!$M$10:$M$250,MATCH(AG150,'NOTES CE1'!$B$10:$B$250,0)),INDEX('NOTES CE1'!$T$10:$T$250,MATCH(AG150,'NOTES CE1'!$B$10:$B$250,0)),INDEX('NOTES CE1'!$AA$10:$AA$250,MATCH(AG150,'NOTES CE1'!$B$10:$B$250,0)),INDEX('NOTES CE1'!$AH$10:$AH$250,MATCH(AG150,'NOTES CE1'!$B$10:$B$250,0))),""))</f>
        <v/>
      </c>
      <c r="AK150" s="51" t="str">
        <f aca="false">IF(ISNUMBER(AJ150),AJ150+(1000-30)/1000000,"")</f>
        <v/>
      </c>
      <c r="AL150" s="51" t="str">
        <f aca="false">IF(AG150="","",IFERROR(CHOOSE($P$8,INDEX('NOTES CE1'!$G$10:$G$250,MATCH(AG150,'NOTES CE1'!$B$10:$B$250,0)),INDEX('NOTES CE1'!$N$10:$N$250,MATCH(AG150,'NOTES CE1'!$B$10:$B$250,0)),INDEX('NOTES CE1'!$U$10:$U$250,MATCH(AG150,'NOTES CE1'!$B$10:$B$250,0)),INDEX('NOTES CE1'!$AB$10:$AB$250,MATCH(AG150,'NOTES CE1'!$B$10:$B$250,0))),""))</f>
        <v/>
      </c>
      <c r="AM150" s="51" t="str">
        <f aca="false">IFERROR(MATCH("CE2-30",'REGISTRE ELEVES'!$AG$10:$AG$250,0),"")</f>
        <v/>
      </c>
      <c r="AN150" s="51" t="str">
        <f aca="false">IF(AM150="","",INDEX('REGISTRE ELEVES'!$B$10:$B$250,AM150))</f>
        <v/>
      </c>
      <c r="AO150" s="51" t="str">
        <f aca="false">IF(AM150="","",INDEX('REGISTRE ELEVES'!$D$10:$D$250,AM150))</f>
        <v/>
      </c>
      <c r="AP150" s="51" t="str">
        <f aca="false">IF(AM150="","",INDEX('REGISTRE ELEVES'!$E$10:$E$250,AM150))</f>
        <v/>
      </c>
      <c r="AQ150" s="51" t="str">
        <f aca="false">IF(AN150="","",IFERROR(CHOOSE($P$8,INDEX('NOTES CE2-CM1'!$M$10:$M$250,MATCH(AN150,'NOTES CE2-CM1'!$B$10:$B$250,0)),INDEX('NOTES CE2-CM1'!$T$10:$T$250,MATCH(AN150,'NOTES CE2-CM1'!$B$10:$B$250,0)),INDEX('NOTES CE2-CM1'!$AA$10:$AA$250,MATCH(AN150,'NOTES CE2-CM1'!$B$10:$B$250,0)),INDEX('NOTES CE2-CM1'!$AH$10:$AH$250,MATCH(AN150,'NOTES CE2-CM1'!$B$10:$B$250,0))),""))</f>
        <v/>
      </c>
      <c r="AR150" s="51" t="str">
        <f aca="false">IF(ISNUMBER(AQ150),AQ150+(1000-30)/1000000,"")</f>
        <v/>
      </c>
      <c r="AS150" s="51" t="str">
        <f aca="false">IF(AN150="","",IFERROR(CHOOSE($P$8,INDEX('NOTES CE2-CM1'!$G$10:$G$250,MATCH(AN150,'NOTES CE2-CM1'!$B$10:$B$250,0)),INDEX('NOTES CE2-CM1'!$N$10:$N$250,MATCH(AN150,'NOTES CE2-CM1'!$B$10:$B$250,0)),INDEX('NOTES CE2-CM1'!$U$10:$U$250,MATCH(AN150,'NOTES CE2-CM1'!$B$10:$B$250,0)),INDEX('NOTES CE2-CM1'!$AB$10:$AB$250,MATCH(AN150,'NOTES CE2-CM1'!$B$10:$B$250,0))),""))</f>
        <v/>
      </c>
      <c r="AT150" s="51" t="str">
        <f aca="false">IFERROR(MATCH("CM1-30",'REGISTRE ELEVES'!$AG$10:$AG$250,0),"")</f>
        <v/>
      </c>
      <c r="AU150" s="51" t="str">
        <f aca="false">IF(AT150="","",INDEX('REGISTRE ELEVES'!$B$10:$B$250,AT150))</f>
        <v/>
      </c>
      <c r="AV150" s="51" t="str">
        <f aca="false">IF(AT150="","",INDEX('REGISTRE ELEVES'!$D$10:$D$250,AT150))</f>
        <v/>
      </c>
      <c r="AW150" s="51" t="str">
        <f aca="false">IF(AT150="","",INDEX('REGISTRE ELEVES'!$E$10:$E$250,AT150))</f>
        <v/>
      </c>
      <c r="AX150" s="51" t="str">
        <f aca="false">IF(AU150="","",IFERROR(CHOOSE($P$8,INDEX('NOTES CE2-CM1'!$M$10:$M$250,MATCH(AU150,'NOTES CE2-CM1'!$B$10:$B$250,0)),INDEX('NOTES CE2-CM1'!$T$10:$T$250,MATCH(AU150,'NOTES CE2-CM1'!$B$10:$B$250,0)),INDEX('NOTES CE2-CM1'!$AA$10:$AA$250,MATCH(AU150,'NOTES CE2-CM1'!$B$10:$B$250,0)),INDEX('NOTES CE2-CM1'!$AH$10:$AH$250,MATCH(AU150,'NOTES CE2-CM1'!$B$10:$B$250,0))),""))</f>
        <v/>
      </c>
      <c r="AY150" s="51" t="str">
        <f aca="false">IF(ISNUMBER(AX150),AX150+(1000-30)/1000000,"")</f>
        <v/>
      </c>
      <c r="AZ150" s="51" t="str">
        <f aca="false">IF(AU150="","",IFERROR(CHOOSE($P$8,INDEX('NOTES CE2-CM1'!$G$10:$G$250,MATCH(AU150,'NOTES CE2-CM1'!$B$10:$B$250,0)),INDEX('NOTES CE2-CM1'!$N$10:$N$250,MATCH(AU150,'NOTES CE2-CM1'!$B$10:$B$250,0)),INDEX('NOTES CE2-CM1'!$U$10:$U$250,MATCH(AU150,'NOTES CE2-CM1'!$B$10:$B$250,0)),INDEX('NOTES CE2-CM1'!$AB$10:$AB$250,MATCH(AU150,'NOTES CE2-CM1'!$B$10:$B$250,0))),""))</f>
        <v/>
      </c>
      <c r="BA150" s="51" t="str">
        <f aca="false">IFERROR(MATCH("CM2-30",'REGISTRE ELEVES'!$AG$10:$AG$250,0),"")</f>
        <v/>
      </c>
      <c r="BB150" s="51" t="str">
        <f aca="false">IF(BA150="","",INDEX('REGISTRE ELEVES'!$B$10:$B$250,BA150))</f>
        <v/>
      </c>
      <c r="BC150" s="51" t="str">
        <f aca="false">IF(BA150="","",INDEX('REGISTRE ELEVES'!$D$10:$D$250,BA150))</f>
        <v/>
      </c>
      <c r="BD150" s="51" t="str">
        <f aca="false">IF(BA150="","",INDEX('REGISTRE ELEVES'!$E$10:$E$250,BA150))</f>
        <v/>
      </c>
      <c r="BE150" s="51" t="str">
        <f aca="false">IF(BB150="","",IFERROR(CHOOSE($P$10,INDEX('NOTES CM2'!$M$10:$M$250,MATCH(BB150,'NOTES CM2'!$B$10:$B$250,0)),INDEX('NOTES CM2'!$T$10:$T$250,MATCH(BB150,'NOTES CM2'!$B$10:$B$250,0)),INDEX('NOTES CM2'!$AB$10:$AB$250,MATCH(BB150,'NOTES CM2'!$B$10:$B$250,0)),INDEX('NOTES CM2'!$AJ$10:$AJ$250,MATCH(BB150,'NOTES CM2'!$B$10:$B$250,0))),""))</f>
        <v/>
      </c>
      <c r="BF150" s="51" t="str">
        <f aca="false">IF(ISNUMBER(BE150),BE150+(1000-30)/1000000,"")</f>
        <v/>
      </c>
      <c r="BG150" s="51" t="str">
        <f aca="false">IF(BB150="","",IFERROR(CHOOSE($P$10,INDEX('NOTES CM2'!$G$10:$G$250,MATCH(BB150,'NOTES CM2'!$B$10:$B$250,0)),INDEX('NOTES CM2'!$N$10:$N$250,MATCH(BB150,'NOTES CM2'!$B$10:$B$250,0)),INDEX('NOTES CM2'!$U$10:$U$250,MATCH(BB150,'NOTES CM2'!$B$10:$B$250,0)),INDEX('NOTES CM2'!$AC$10:$AC$250,MATCH(BB150,'NOTES CM2'!$B$10:$B$250,0))),""))</f>
        <v/>
      </c>
    </row>
    <row r="151" customFormat="false" ht="15" hidden="false" customHeight="false" outlineLevel="0" collapsed="false">
      <c r="R151" s="51" t="str">
        <f aca="false">IFERROR(MATCH("CP1-31",'REGISTRE ELEVES'!$AG$10:$AG$250,0),"")</f>
        <v/>
      </c>
      <c r="S151" s="51" t="str">
        <f aca="false">IF(R151="","",INDEX('REGISTRE ELEVES'!$B$10:$B$250,R151))</f>
        <v/>
      </c>
      <c r="T151" s="51" t="str">
        <f aca="false">IF(R151="","",INDEX('REGISTRE ELEVES'!$D$10:$D$250,R151))</f>
        <v/>
      </c>
      <c r="U151" s="51" t="str">
        <f aca="false">IF(R151="","",INDEX('REGISTRE ELEVES'!$E$10:$E$250,R151))</f>
        <v/>
      </c>
      <c r="V151" s="51" t="str">
        <f aca="false">IF(S151="","",IFERROR(CHOOSE($P$8,INDEX('NOTES CP'!$P$10:$P$250,MATCH(S151,'NOTES CP'!$B$10:$B$250,0)),INDEX('NOTES CP'!$Z$10:$Z$250,MATCH(S151,'NOTES CP'!$B$10:$B$250,0)),INDEX('NOTES CP'!$AJ$10:$AJ$250,MATCH(S151,'NOTES CP'!$B$10:$B$250,0)),INDEX('NOTES CP'!$AT$10:$AT$250,MATCH(S151,'NOTES CP'!$B$10:$B$250,0))),""))</f>
        <v/>
      </c>
      <c r="W151" s="51" t="str">
        <f aca="false">IF(ISNUMBER(V151),V151+(1000-31)/1000000,"")</f>
        <v/>
      </c>
      <c r="X151" s="51" t="str">
        <f aca="false">IF(S151="","",IFERROR(CHOOSE($P$8,INDEX('NOTES CP'!$G$10:$G$250,MATCH(S151,'NOTES CP'!$B$10:$B$250,0)),INDEX('NOTES CP'!$Q$10:$Q$250,MATCH(S151,'NOTES CP'!$B$10:$B$250,0)),INDEX('NOTES CP'!$AA$10:$AA$250,MATCH(S151,'NOTES CP'!$B$10:$B$250,0)),INDEX('NOTES CP'!$AK$10:$AK$250,MATCH(S151,'NOTES CP'!$B$10:$B$250,0))),""))</f>
        <v/>
      </c>
      <c r="Y151" s="51" t="str">
        <f aca="false">IFERROR(MATCH("CP2-31",'REGISTRE ELEVES'!$AG$10:$AG$250,0),"")</f>
        <v/>
      </c>
      <c r="Z151" s="51" t="str">
        <f aca="false">IF(Y151="","",INDEX('REGISTRE ELEVES'!$B$10:$B$250,Y151))</f>
        <v/>
      </c>
      <c r="AA151" s="51" t="str">
        <f aca="false">IF(Y151="","",INDEX('REGISTRE ELEVES'!$D$10:$D$250,Y151))</f>
        <v/>
      </c>
      <c r="AB151" s="51" t="str">
        <f aca="false">IF(Y151="","",INDEX('REGISTRE ELEVES'!$E$10:$E$250,Y151))</f>
        <v/>
      </c>
      <c r="AC151" s="51" t="str">
        <f aca="false">IF(Z151="","",IFERROR(CHOOSE($P$8,INDEX('NOTES CP'!$P$10:$P$250,MATCH(Z151,'NOTES CP'!$B$10:$B$250,0)),INDEX('NOTES CP'!$Z$10:$Z$250,MATCH(Z151,'NOTES CP'!$B$10:$B$250,0)),INDEX('NOTES CP'!$AJ$10:$AJ$250,MATCH(Z151,'NOTES CP'!$B$10:$B$250,0)),INDEX('NOTES CP'!$AT$10:$AT$250,MATCH(Z151,'NOTES CP'!$B$10:$B$250,0))),""))</f>
        <v/>
      </c>
      <c r="AD151" s="51" t="str">
        <f aca="false">IF(ISNUMBER(AC151),AC151+(1000-31)/1000000,"")</f>
        <v/>
      </c>
      <c r="AE151" s="51" t="str">
        <f aca="false">IF(Z151="","",IFERROR(CHOOSE($P$8,INDEX('NOTES CP'!$G$10:$G$250,MATCH(Z151,'NOTES CP'!$B$10:$B$250,0)),INDEX('NOTES CP'!$Q$10:$Q$250,MATCH(Z151,'NOTES CP'!$B$10:$B$250,0)),INDEX('NOTES CP'!$AA$10:$AA$250,MATCH(Z151,'NOTES CP'!$B$10:$B$250,0)),INDEX('NOTES CP'!$AK$10:$AK$250,MATCH(Z151,'NOTES CP'!$B$10:$B$250,0))),""))</f>
        <v/>
      </c>
      <c r="AF151" s="51" t="str">
        <f aca="false">IFERROR(MATCH("CE1-31",'REGISTRE ELEVES'!$AG$10:$AG$250,0),"")</f>
        <v/>
      </c>
      <c r="AG151" s="51" t="str">
        <f aca="false">IF(AF151="","",INDEX('REGISTRE ELEVES'!$B$10:$B$250,AF151))</f>
        <v/>
      </c>
      <c r="AH151" s="51" t="str">
        <f aca="false">IF(AF151="","",INDEX('REGISTRE ELEVES'!$D$10:$D$250,AF151))</f>
        <v/>
      </c>
      <c r="AI151" s="51" t="str">
        <f aca="false">IF(AF151="","",INDEX('REGISTRE ELEVES'!$E$10:$E$250,AF151))</f>
        <v/>
      </c>
      <c r="AJ151" s="51" t="str">
        <f aca="false">IF(AG151="","",IFERROR(CHOOSE($P$8,INDEX('NOTES CE1'!$M$10:$M$250,MATCH(AG151,'NOTES CE1'!$B$10:$B$250,0)),INDEX('NOTES CE1'!$T$10:$T$250,MATCH(AG151,'NOTES CE1'!$B$10:$B$250,0)),INDEX('NOTES CE1'!$AA$10:$AA$250,MATCH(AG151,'NOTES CE1'!$B$10:$B$250,0)),INDEX('NOTES CE1'!$AH$10:$AH$250,MATCH(AG151,'NOTES CE1'!$B$10:$B$250,0))),""))</f>
        <v/>
      </c>
      <c r="AK151" s="51" t="str">
        <f aca="false">IF(ISNUMBER(AJ151),AJ151+(1000-31)/1000000,"")</f>
        <v/>
      </c>
      <c r="AL151" s="51" t="str">
        <f aca="false">IF(AG151="","",IFERROR(CHOOSE($P$8,INDEX('NOTES CE1'!$G$10:$G$250,MATCH(AG151,'NOTES CE1'!$B$10:$B$250,0)),INDEX('NOTES CE1'!$N$10:$N$250,MATCH(AG151,'NOTES CE1'!$B$10:$B$250,0)),INDEX('NOTES CE1'!$U$10:$U$250,MATCH(AG151,'NOTES CE1'!$B$10:$B$250,0)),INDEX('NOTES CE1'!$AB$10:$AB$250,MATCH(AG151,'NOTES CE1'!$B$10:$B$250,0))),""))</f>
        <v/>
      </c>
      <c r="AM151" s="51" t="str">
        <f aca="false">IFERROR(MATCH("CE2-31",'REGISTRE ELEVES'!$AG$10:$AG$250,0),"")</f>
        <v/>
      </c>
      <c r="AN151" s="51" t="str">
        <f aca="false">IF(AM151="","",INDEX('REGISTRE ELEVES'!$B$10:$B$250,AM151))</f>
        <v/>
      </c>
      <c r="AO151" s="51" t="str">
        <f aca="false">IF(AM151="","",INDEX('REGISTRE ELEVES'!$D$10:$D$250,AM151))</f>
        <v/>
      </c>
      <c r="AP151" s="51" t="str">
        <f aca="false">IF(AM151="","",INDEX('REGISTRE ELEVES'!$E$10:$E$250,AM151))</f>
        <v/>
      </c>
      <c r="AQ151" s="51" t="str">
        <f aca="false">IF(AN151="","",IFERROR(CHOOSE($P$8,INDEX('NOTES CE2-CM1'!$M$10:$M$250,MATCH(AN151,'NOTES CE2-CM1'!$B$10:$B$250,0)),INDEX('NOTES CE2-CM1'!$T$10:$T$250,MATCH(AN151,'NOTES CE2-CM1'!$B$10:$B$250,0)),INDEX('NOTES CE2-CM1'!$AA$10:$AA$250,MATCH(AN151,'NOTES CE2-CM1'!$B$10:$B$250,0)),INDEX('NOTES CE2-CM1'!$AH$10:$AH$250,MATCH(AN151,'NOTES CE2-CM1'!$B$10:$B$250,0))),""))</f>
        <v/>
      </c>
      <c r="AR151" s="51" t="str">
        <f aca="false">IF(ISNUMBER(AQ151),AQ151+(1000-31)/1000000,"")</f>
        <v/>
      </c>
      <c r="AS151" s="51" t="str">
        <f aca="false">IF(AN151="","",IFERROR(CHOOSE($P$8,INDEX('NOTES CE2-CM1'!$G$10:$G$250,MATCH(AN151,'NOTES CE2-CM1'!$B$10:$B$250,0)),INDEX('NOTES CE2-CM1'!$N$10:$N$250,MATCH(AN151,'NOTES CE2-CM1'!$B$10:$B$250,0)),INDEX('NOTES CE2-CM1'!$U$10:$U$250,MATCH(AN151,'NOTES CE2-CM1'!$B$10:$B$250,0)),INDEX('NOTES CE2-CM1'!$AB$10:$AB$250,MATCH(AN151,'NOTES CE2-CM1'!$B$10:$B$250,0))),""))</f>
        <v/>
      </c>
      <c r="AT151" s="51" t="str">
        <f aca="false">IFERROR(MATCH("CM1-31",'REGISTRE ELEVES'!$AG$10:$AG$250,0),"")</f>
        <v/>
      </c>
      <c r="AU151" s="51" t="str">
        <f aca="false">IF(AT151="","",INDEX('REGISTRE ELEVES'!$B$10:$B$250,AT151))</f>
        <v/>
      </c>
      <c r="AV151" s="51" t="str">
        <f aca="false">IF(AT151="","",INDEX('REGISTRE ELEVES'!$D$10:$D$250,AT151))</f>
        <v/>
      </c>
      <c r="AW151" s="51" t="str">
        <f aca="false">IF(AT151="","",INDEX('REGISTRE ELEVES'!$E$10:$E$250,AT151))</f>
        <v/>
      </c>
      <c r="AX151" s="51" t="str">
        <f aca="false">IF(AU151="","",IFERROR(CHOOSE($P$8,INDEX('NOTES CE2-CM1'!$M$10:$M$250,MATCH(AU151,'NOTES CE2-CM1'!$B$10:$B$250,0)),INDEX('NOTES CE2-CM1'!$T$10:$T$250,MATCH(AU151,'NOTES CE2-CM1'!$B$10:$B$250,0)),INDEX('NOTES CE2-CM1'!$AA$10:$AA$250,MATCH(AU151,'NOTES CE2-CM1'!$B$10:$B$250,0)),INDEX('NOTES CE2-CM1'!$AH$10:$AH$250,MATCH(AU151,'NOTES CE2-CM1'!$B$10:$B$250,0))),""))</f>
        <v/>
      </c>
      <c r="AY151" s="51" t="str">
        <f aca="false">IF(ISNUMBER(AX151),AX151+(1000-31)/1000000,"")</f>
        <v/>
      </c>
      <c r="AZ151" s="51" t="str">
        <f aca="false">IF(AU151="","",IFERROR(CHOOSE($P$8,INDEX('NOTES CE2-CM1'!$G$10:$G$250,MATCH(AU151,'NOTES CE2-CM1'!$B$10:$B$250,0)),INDEX('NOTES CE2-CM1'!$N$10:$N$250,MATCH(AU151,'NOTES CE2-CM1'!$B$10:$B$250,0)),INDEX('NOTES CE2-CM1'!$U$10:$U$250,MATCH(AU151,'NOTES CE2-CM1'!$B$10:$B$250,0)),INDEX('NOTES CE2-CM1'!$AB$10:$AB$250,MATCH(AU151,'NOTES CE2-CM1'!$B$10:$B$250,0))),""))</f>
        <v/>
      </c>
      <c r="BA151" s="51" t="str">
        <f aca="false">IFERROR(MATCH("CM2-31",'REGISTRE ELEVES'!$AG$10:$AG$250,0),"")</f>
        <v/>
      </c>
      <c r="BB151" s="51" t="str">
        <f aca="false">IF(BA151="","",INDEX('REGISTRE ELEVES'!$B$10:$B$250,BA151))</f>
        <v/>
      </c>
      <c r="BC151" s="51" t="str">
        <f aca="false">IF(BA151="","",INDEX('REGISTRE ELEVES'!$D$10:$D$250,BA151))</f>
        <v/>
      </c>
      <c r="BD151" s="51" t="str">
        <f aca="false">IF(BA151="","",INDEX('REGISTRE ELEVES'!$E$10:$E$250,BA151))</f>
        <v/>
      </c>
      <c r="BE151" s="51" t="str">
        <f aca="false">IF(BB151="","",IFERROR(CHOOSE($P$10,INDEX('NOTES CM2'!$M$10:$M$250,MATCH(BB151,'NOTES CM2'!$B$10:$B$250,0)),INDEX('NOTES CM2'!$T$10:$T$250,MATCH(BB151,'NOTES CM2'!$B$10:$B$250,0)),INDEX('NOTES CM2'!$AB$10:$AB$250,MATCH(BB151,'NOTES CM2'!$B$10:$B$250,0)),INDEX('NOTES CM2'!$AJ$10:$AJ$250,MATCH(BB151,'NOTES CM2'!$B$10:$B$250,0))),""))</f>
        <v/>
      </c>
      <c r="BF151" s="51" t="str">
        <f aca="false">IF(ISNUMBER(BE151),BE151+(1000-31)/1000000,"")</f>
        <v/>
      </c>
      <c r="BG151" s="51" t="str">
        <f aca="false">IF(BB151="","",IFERROR(CHOOSE($P$10,INDEX('NOTES CM2'!$G$10:$G$250,MATCH(BB151,'NOTES CM2'!$B$10:$B$250,0)),INDEX('NOTES CM2'!$N$10:$N$250,MATCH(BB151,'NOTES CM2'!$B$10:$B$250,0)),INDEX('NOTES CM2'!$U$10:$U$250,MATCH(BB151,'NOTES CM2'!$B$10:$B$250,0)),INDEX('NOTES CM2'!$AC$10:$AC$250,MATCH(BB151,'NOTES CM2'!$B$10:$B$250,0))),""))</f>
        <v/>
      </c>
    </row>
    <row r="152" customFormat="false" ht="15" hidden="false" customHeight="false" outlineLevel="0" collapsed="false">
      <c r="R152" s="51" t="str">
        <f aca="false">IFERROR(MATCH("CP1-32",'REGISTRE ELEVES'!$AG$10:$AG$250,0),"")</f>
        <v/>
      </c>
      <c r="S152" s="51" t="str">
        <f aca="false">IF(R152="","",INDEX('REGISTRE ELEVES'!$B$10:$B$250,R152))</f>
        <v/>
      </c>
      <c r="T152" s="51" t="str">
        <f aca="false">IF(R152="","",INDEX('REGISTRE ELEVES'!$D$10:$D$250,R152))</f>
        <v/>
      </c>
      <c r="U152" s="51" t="str">
        <f aca="false">IF(R152="","",INDEX('REGISTRE ELEVES'!$E$10:$E$250,R152))</f>
        <v/>
      </c>
      <c r="V152" s="51" t="str">
        <f aca="false">IF(S152="","",IFERROR(CHOOSE($P$8,INDEX('NOTES CP'!$P$10:$P$250,MATCH(S152,'NOTES CP'!$B$10:$B$250,0)),INDEX('NOTES CP'!$Z$10:$Z$250,MATCH(S152,'NOTES CP'!$B$10:$B$250,0)),INDEX('NOTES CP'!$AJ$10:$AJ$250,MATCH(S152,'NOTES CP'!$B$10:$B$250,0)),INDEX('NOTES CP'!$AT$10:$AT$250,MATCH(S152,'NOTES CP'!$B$10:$B$250,0))),""))</f>
        <v/>
      </c>
      <c r="W152" s="51" t="str">
        <f aca="false">IF(ISNUMBER(V152),V152+(1000-32)/1000000,"")</f>
        <v/>
      </c>
      <c r="X152" s="51" t="str">
        <f aca="false">IF(S152="","",IFERROR(CHOOSE($P$8,INDEX('NOTES CP'!$G$10:$G$250,MATCH(S152,'NOTES CP'!$B$10:$B$250,0)),INDEX('NOTES CP'!$Q$10:$Q$250,MATCH(S152,'NOTES CP'!$B$10:$B$250,0)),INDEX('NOTES CP'!$AA$10:$AA$250,MATCH(S152,'NOTES CP'!$B$10:$B$250,0)),INDEX('NOTES CP'!$AK$10:$AK$250,MATCH(S152,'NOTES CP'!$B$10:$B$250,0))),""))</f>
        <v/>
      </c>
      <c r="Y152" s="51" t="str">
        <f aca="false">IFERROR(MATCH("CP2-32",'REGISTRE ELEVES'!$AG$10:$AG$250,0),"")</f>
        <v/>
      </c>
      <c r="Z152" s="51" t="str">
        <f aca="false">IF(Y152="","",INDEX('REGISTRE ELEVES'!$B$10:$B$250,Y152))</f>
        <v/>
      </c>
      <c r="AA152" s="51" t="str">
        <f aca="false">IF(Y152="","",INDEX('REGISTRE ELEVES'!$D$10:$D$250,Y152))</f>
        <v/>
      </c>
      <c r="AB152" s="51" t="str">
        <f aca="false">IF(Y152="","",INDEX('REGISTRE ELEVES'!$E$10:$E$250,Y152))</f>
        <v/>
      </c>
      <c r="AC152" s="51" t="str">
        <f aca="false">IF(Z152="","",IFERROR(CHOOSE($P$8,INDEX('NOTES CP'!$P$10:$P$250,MATCH(Z152,'NOTES CP'!$B$10:$B$250,0)),INDEX('NOTES CP'!$Z$10:$Z$250,MATCH(Z152,'NOTES CP'!$B$10:$B$250,0)),INDEX('NOTES CP'!$AJ$10:$AJ$250,MATCH(Z152,'NOTES CP'!$B$10:$B$250,0)),INDEX('NOTES CP'!$AT$10:$AT$250,MATCH(Z152,'NOTES CP'!$B$10:$B$250,0))),""))</f>
        <v/>
      </c>
      <c r="AD152" s="51" t="str">
        <f aca="false">IF(ISNUMBER(AC152),AC152+(1000-32)/1000000,"")</f>
        <v/>
      </c>
      <c r="AE152" s="51" t="str">
        <f aca="false">IF(Z152="","",IFERROR(CHOOSE($P$8,INDEX('NOTES CP'!$G$10:$G$250,MATCH(Z152,'NOTES CP'!$B$10:$B$250,0)),INDEX('NOTES CP'!$Q$10:$Q$250,MATCH(Z152,'NOTES CP'!$B$10:$B$250,0)),INDEX('NOTES CP'!$AA$10:$AA$250,MATCH(Z152,'NOTES CP'!$B$10:$B$250,0)),INDEX('NOTES CP'!$AK$10:$AK$250,MATCH(Z152,'NOTES CP'!$B$10:$B$250,0))),""))</f>
        <v/>
      </c>
      <c r="AF152" s="51" t="str">
        <f aca="false">IFERROR(MATCH("CE1-32",'REGISTRE ELEVES'!$AG$10:$AG$250,0),"")</f>
        <v/>
      </c>
      <c r="AG152" s="51" t="str">
        <f aca="false">IF(AF152="","",INDEX('REGISTRE ELEVES'!$B$10:$B$250,AF152))</f>
        <v/>
      </c>
      <c r="AH152" s="51" t="str">
        <f aca="false">IF(AF152="","",INDEX('REGISTRE ELEVES'!$D$10:$D$250,AF152))</f>
        <v/>
      </c>
      <c r="AI152" s="51" t="str">
        <f aca="false">IF(AF152="","",INDEX('REGISTRE ELEVES'!$E$10:$E$250,AF152))</f>
        <v/>
      </c>
      <c r="AJ152" s="51" t="str">
        <f aca="false">IF(AG152="","",IFERROR(CHOOSE($P$8,INDEX('NOTES CE1'!$M$10:$M$250,MATCH(AG152,'NOTES CE1'!$B$10:$B$250,0)),INDEX('NOTES CE1'!$T$10:$T$250,MATCH(AG152,'NOTES CE1'!$B$10:$B$250,0)),INDEX('NOTES CE1'!$AA$10:$AA$250,MATCH(AG152,'NOTES CE1'!$B$10:$B$250,0)),INDEX('NOTES CE1'!$AH$10:$AH$250,MATCH(AG152,'NOTES CE1'!$B$10:$B$250,0))),""))</f>
        <v/>
      </c>
      <c r="AK152" s="51" t="str">
        <f aca="false">IF(ISNUMBER(AJ152),AJ152+(1000-32)/1000000,"")</f>
        <v/>
      </c>
      <c r="AL152" s="51" t="str">
        <f aca="false">IF(AG152="","",IFERROR(CHOOSE($P$8,INDEX('NOTES CE1'!$G$10:$G$250,MATCH(AG152,'NOTES CE1'!$B$10:$B$250,0)),INDEX('NOTES CE1'!$N$10:$N$250,MATCH(AG152,'NOTES CE1'!$B$10:$B$250,0)),INDEX('NOTES CE1'!$U$10:$U$250,MATCH(AG152,'NOTES CE1'!$B$10:$B$250,0)),INDEX('NOTES CE1'!$AB$10:$AB$250,MATCH(AG152,'NOTES CE1'!$B$10:$B$250,0))),""))</f>
        <v/>
      </c>
      <c r="AM152" s="51" t="str">
        <f aca="false">IFERROR(MATCH("CE2-32",'REGISTRE ELEVES'!$AG$10:$AG$250,0),"")</f>
        <v/>
      </c>
      <c r="AN152" s="51" t="str">
        <f aca="false">IF(AM152="","",INDEX('REGISTRE ELEVES'!$B$10:$B$250,AM152))</f>
        <v/>
      </c>
      <c r="AO152" s="51" t="str">
        <f aca="false">IF(AM152="","",INDEX('REGISTRE ELEVES'!$D$10:$D$250,AM152))</f>
        <v/>
      </c>
      <c r="AP152" s="51" t="str">
        <f aca="false">IF(AM152="","",INDEX('REGISTRE ELEVES'!$E$10:$E$250,AM152))</f>
        <v/>
      </c>
      <c r="AQ152" s="51" t="str">
        <f aca="false">IF(AN152="","",IFERROR(CHOOSE($P$8,INDEX('NOTES CE2-CM1'!$M$10:$M$250,MATCH(AN152,'NOTES CE2-CM1'!$B$10:$B$250,0)),INDEX('NOTES CE2-CM1'!$T$10:$T$250,MATCH(AN152,'NOTES CE2-CM1'!$B$10:$B$250,0)),INDEX('NOTES CE2-CM1'!$AA$10:$AA$250,MATCH(AN152,'NOTES CE2-CM1'!$B$10:$B$250,0)),INDEX('NOTES CE2-CM1'!$AH$10:$AH$250,MATCH(AN152,'NOTES CE2-CM1'!$B$10:$B$250,0))),""))</f>
        <v/>
      </c>
      <c r="AR152" s="51" t="str">
        <f aca="false">IF(ISNUMBER(AQ152),AQ152+(1000-32)/1000000,"")</f>
        <v/>
      </c>
      <c r="AS152" s="51" t="str">
        <f aca="false">IF(AN152="","",IFERROR(CHOOSE($P$8,INDEX('NOTES CE2-CM1'!$G$10:$G$250,MATCH(AN152,'NOTES CE2-CM1'!$B$10:$B$250,0)),INDEX('NOTES CE2-CM1'!$N$10:$N$250,MATCH(AN152,'NOTES CE2-CM1'!$B$10:$B$250,0)),INDEX('NOTES CE2-CM1'!$U$10:$U$250,MATCH(AN152,'NOTES CE2-CM1'!$B$10:$B$250,0)),INDEX('NOTES CE2-CM1'!$AB$10:$AB$250,MATCH(AN152,'NOTES CE2-CM1'!$B$10:$B$250,0))),""))</f>
        <v/>
      </c>
      <c r="AT152" s="51" t="str">
        <f aca="false">IFERROR(MATCH("CM1-32",'REGISTRE ELEVES'!$AG$10:$AG$250,0),"")</f>
        <v/>
      </c>
      <c r="AU152" s="51" t="str">
        <f aca="false">IF(AT152="","",INDEX('REGISTRE ELEVES'!$B$10:$B$250,AT152))</f>
        <v/>
      </c>
      <c r="AV152" s="51" t="str">
        <f aca="false">IF(AT152="","",INDEX('REGISTRE ELEVES'!$D$10:$D$250,AT152))</f>
        <v/>
      </c>
      <c r="AW152" s="51" t="str">
        <f aca="false">IF(AT152="","",INDEX('REGISTRE ELEVES'!$E$10:$E$250,AT152))</f>
        <v/>
      </c>
      <c r="AX152" s="51" t="str">
        <f aca="false">IF(AU152="","",IFERROR(CHOOSE($P$8,INDEX('NOTES CE2-CM1'!$M$10:$M$250,MATCH(AU152,'NOTES CE2-CM1'!$B$10:$B$250,0)),INDEX('NOTES CE2-CM1'!$T$10:$T$250,MATCH(AU152,'NOTES CE2-CM1'!$B$10:$B$250,0)),INDEX('NOTES CE2-CM1'!$AA$10:$AA$250,MATCH(AU152,'NOTES CE2-CM1'!$B$10:$B$250,0)),INDEX('NOTES CE2-CM1'!$AH$10:$AH$250,MATCH(AU152,'NOTES CE2-CM1'!$B$10:$B$250,0))),""))</f>
        <v/>
      </c>
      <c r="AY152" s="51" t="str">
        <f aca="false">IF(ISNUMBER(AX152),AX152+(1000-32)/1000000,"")</f>
        <v/>
      </c>
      <c r="AZ152" s="51" t="str">
        <f aca="false">IF(AU152="","",IFERROR(CHOOSE($P$8,INDEX('NOTES CE2-CM1'!$G$10:$G$250,MATCH(AU152,'NOTES CE2-CM1'!$B$10:$B$250,0)),INDEX('NOTES CE2-CM1'!$N$10:$N$250,MATCH(AU152,'NOTES CE2-CM1'!$B$10:$B$250,0)),INDEX('NOTES CE2-CM1'!$U$10:$U$250,MATCH(AU152,'NOTES CE2-CM1'!$B$10:$B$250,0)),INDEX('NOTES CE2-CM1'!$AB$10:$AB$250,MATCH(AU152,'NOTES CE2-CM1'!$B$10:$B$250,0))),""))</f>
        <v/>
      </c>
      <c r="BA152" s="51" t="str">
        <f aca="false">IFERROR(MATCH("CM2-32",'REGISTRE ELEVES'!$AG$10:$AG$250,0),"")</f>
        <v/>
      </c>
      <c r="BB152" s="51" t="str">
        <f aca="false">IF(BA152="","",INDEX('REGISTRE ELEVES'!$B$10:$B$250,BA152))</f>
        <v/>
      </c>
      <c r="BC152" s="51" t="str">
        <f aca="false">IF(BA152="","",INDEX('REGISTRE ELEVES'!$D$10:$D$250,BA152))</f>
        <v/>
      </c>
      <c r="BD152" s="51" t="str">
        <f aca="false">IF(BA152="","",INDEX('REGISTRE ELEVES'!$E$10:$E$250,BA152))</f>
        <v/>
      </c>
      <c r="BE152" s="51" t="str">
        <f aca="false">IF(BB152="","",IFERROR(CHOOSE($P$10,INDEX('NOTES CM2'!$M$10:$M$250,MATCH(BB152,'NOTES CM2'!$B$10:$B$250,0)),INDEX('NOTES CM2'!$T$10:$T$250,MATCH(BB152,'NOTES CM2'!$B$10:$B$250,0)),INDEX('NOTES CM2'!$AB$10:$AB$250,MATCH(BB152,'NOTES CM2'!$B$10:$B$250,0)),INDEX('NOTES CM2'!$AJ$10:$AJ$250,MATCH(BB152,'NOTES CM2'!$B$10:$B$250,0))),""))</f>
        <v/>
      </c>
      <c r="BF152" s="51" t="str">
        <f aca="false">IF(ISNUMBER(BE152),BE152+(1000-32)/1000000,"")</f>
        <v/>
      </c>
      <c r="BG152" s="51" t="str">
        <f aca="false">IF(BB152="","",IFERROR(CHOOSE($P$10,INDEX('NOTES CM2'!$G$10:$G$250,MATCH(BB152,'NOTES CM2'!$B$10:$B$250,0)),INDEX('NOTES CM2'!$N$10:$N$250,MATCH(BB152,'NOTES CM2'!$B$10:$B$250,0)),INDEX('NOTES CM2'!$U$10:$U$250,MATCH(BB152,'NOTES CM2'!$B$10:$B$250,0)),INDEX('NOTES CM2'!$AC$10:$AC$250,MATCH(BB152,'NOTES CM2'!$B$10:$B$250,0))),""))</f>
        <v/>
      </c>
    </row>
    <row r="153" customFormat="false" ht="15" hidden="false" customHeight="false" outlineLevel="0" collapsed="false">
      <c r="R153" s="51" t="str">
        <f aca="false">IFERROR(MATCH("CP1-33",'REGISTRE ELEVES'!$AG$10:$AG$250,0),"")</f>
        <v/>
      </c>
      <c r="S153" s="51" t="str">
        <f aca="false">IF(R153="","",INDEX('REGISTRE ELEVES'!$B$10:$B$250,R153))</f>
        <v/>
      </c>
      <c r="T153" s="51" t="str">
        <f aca="false">IF(R153="","",INDEX('REGISTRE ELEVES'!$D$10:$D$250,R153))</f>
        <v/>
      </c>
      <c r="U153" s="51" t="str">
        <f aca="false">IF(R153="","",INDEX('REGISTRE ELEVES'!$E$10:$E$250,R153))</f>
        <v/>
      </c>
      <c r="V153" s="51" t="str">
        <f aca="false">IF(S153="","",IFERROR(CHOOSE($P$8,INDEX('NOTES CP'!$P$10:$P$250,MATCH(S153,'NOTES CP'!$B$10:$B$250,0)),INDEX('NOTES CP'!$Z$10:$Z$250,MATCH(S153,'NOTES CP'!$B$10:$B$250,0)),INDEX('NOTES CP'!$AJ$10:$AJ$250,MATCH(S153,'NOTES CP'!$B$10:$B$250,0)),INDEX('NOTES CP'!$AT$10:$AT$250,MATCH(S153,'NOTES CP'!$B$10:$B$250,0))),""))</f>
        <v/>
      </c>
      <c r="W153" s="51" t="str">
        <f aca="false">IF(ISNUMBER(V153),V153+(1000-33)/1000000,"")</f>
        <v/>
      </c>
      <c r="X153" s="51" t="str">
        <f aca="false">IF(S153="","",IFERROR(CHOOSE($P$8,INDEX('NOTES CP'!$G$10:$G$250,MATCH(S153,'NOTES CP'!$B$10:$B$250,0)),INDEX('NOTES CP'!$Q$10:$Q$250,MATCH(S153,'NOTES CP'!$B$10:$B$250,0)),INDEX('NOTES CP'!$AA$10:$AA$250,MATCH(S153,'NOTES CP'!$B$10:$B$250,0)),INDEX('NOTES CP'!$AK$10:$AK$250,MATCH(S153,'NOTES CP'!$B$10:$B$250,0))),""))</f>
        <v/>
      </c>
      <c r="Y153" s="51" t="str">
        <f aca="false">IFERROR(MATCH("CP2-33",'REGISTRE ELEVES'!$AG$10:$AG$250,0),"")</f>
        <v/>
      </c>
      <c r="Z153" s="51" t="str">
        <f aca="false">IF(Y153="","",INDEX('REGISTRE ELEVES'!$B$10:$B$250,Y153))</f>
        <v/>
      </c>
      <c r="AA153" s="51" t="str">
        <f aca="false">IF(Y153="","",INDEX('REGISTRE ELEVES'!$D$10:$D$250,Y153))</f>
        <v/>
      </c>
      <c r="AB153" s="51" t="str">
        <f aca="false">IF(Y153="","",INDEX('REGISTRE ELEVES'!$E$10:$E$250,Y153))</f>
        <v/>
      </c>
      <c r="AC153" s="51" t="str">
        <f aca="false">IF(Z153="","",IFERROR(CHOOSE($P$8,INDEX('NOTES CP'!$P$10:$P$250,MATCH(Z153,'NOTES CP'!$B$10:$B$250,0)),INDEX('NOTES CP'!$Z$10:$Z$250,MATCH(Z153,'NOTES CP'!$B$10:$B$250,0)),INDEX('NOTES CP'!$AJ$10:$AJ$250,MATCH(Z153,'NOTES CP'!$B$10:$B$250,0)),INDEX('NOTES CP'!$AT$10:$AT$250,MATCH(Z153,'NOTES CP'!$B$10:$B$250,0))),""))</f>
        <v/>
      </c>
      <c r="AD153" s="51" t="str">
        <f aca="false">IF(ISNUMBER(AC153),AC153+(1000-33)/1000000,"")</f>
        <v/>
      </c>
      <c r="AE153" s="51" t="str">
        <f aca="false">IF(Z153="","",IFERROR(CHOOSE($P$8,INDEX('NOTES CP'!$G$10:$G$250,MATCH(Z153,'NOTES CP'!$B$10:$B$250,0)),INDEX('NOTES CP'!$Q$10:$Q$250,MATCH(Z153,'NOTES CP'!$B$10:$B$250,0)),INDEX('NOTES CP'!$AA$10:$AA$250,MATCH(Z153,'NOTES CP'!$B$10:$B$250,0)),INDEX('NOTES CP'!$AK$10:$AK$250,MATCH(Z153,'NOTES CP'!$B$10:$B$250,0))),""))</f>
        <v/>
      </c>
      <c r="AF153" s="51" t="str">
        <f aca="false">IFERROR(MATCH("CE1-33",'REGISTRE ELEVES'!$AG$10:$AG$250,0),"")</f>
        <v/>
      </c>
      <c r="AG153" s="51" t="str">
        <f aca="false">IF(AF153="","",INDEX('REGISTRE ELEVES'!$B$10:$B$250,AF153))</f>
        <v/>
      </c>
      <c r="AH153" s="51" t="str">
        <f aca="false">IF(AF153="","",INDEX('REGISTRE ELEVES'!$D$10:$D$250,AF153))</f>
        <v/>
      </c>
      <c r="AI153" s="51" t="str">
        <f aca="false">IF(AF153="","",INDEX('REGISTRE ELEVES'!$E$10:$E$250,AF153))</f>
        <v/>
      </c>
      <c r="AJ153" s="51" t="str">
        <f aca="false">IF(AG153="","",IFERROR(CHOOSE($P$8,INDEX('NOTES CE1'!$M$10:$M$250,MATCH(AG153,'NOTES CE1'!$B$10:$B$250,0)),INDEX('NOTES CE1'!$T$10:$T$250,MATCH(AG153,'NOTES CE1'!$B$10:$B$250,0)),INDEX('NOTES CE1'!$AA$10:$AA$250,MATCH(AG153,'NOTES CE1'!$B$10:$B$250,0)),INDEX('NOTES CE1'!$AH$10:$AH$250,MATCH(AG153,'NOTES CE1'!$B$10:$B$250,0))),""))</f>
        <v/>
      </c>
      <c r="AK153" s="51" t="str">
        <f aca="false">IF(ISNUMBER(AJ153),AJ153+(1000-33)/1000000,"")</f>
        <v/>
      </c>
      <c r="AL153" s="51" t="str">
        <f aca="false">IF(AG153="","",IFERROR(CHOOSE($P$8,INDEX('NOTES CE1'!$G$10:$G$250,MATCH(AG153,'NOTES CE1'!$B$10:$B$250,0)),INDEX('NOTES CE1'!$N$10:$N$250,MATCH(AG153,'NOTES CE1'!$B$10:$B$250,0)),INDEX('NOTES CE1'!$U$10:$U$250,MATCH(AG153,'NOTES CE1'!$B$10:$B$250,0)),INDEX('NOTES CE1'!$AB$10:$AB$250,MATCH(AG153,'NOTES CE1'!$B$10:$B$250,0))),""))</f>
        <v/>
      </c>
      <c r="AM153" s="51" t="str">
        <f aca="false">IFERROR(MATCH("CE2-33",'REGISTRE ELEVES'!$AG$10:$AG$250,0),"")</f>
        <v/>
      </c>
      <c r="AN153" s="51" t="str">
        <f aca="false">IF(AM153="","",INDEX('REGISTRE ELEVES'!$B$10:$B$250,AM153))</f>
        <v/>
      </c>
      <c r="AO153" s="51" t="str">
        <f aca="false">IF(AM153="","",INDEX('REGISTRE ELEVES'!$D$10:$D$250,AM153))</f>
        <v/>
      </c>
      <c r="AP153" s="51" t="str">
        <f aca="false">IF(AM153="","",INDEX('REGISTRE ELEVES'!$E$10:$E$250,AM153))</f>
        <v/>
      </c>
      <c r="AQ153" s="51" t="str">
        <f aca="false">IF(AN153="","",IFERROR(CHOOSE($P$8,INDEX('NOTES CE2-CM1'!$M$10:$M$250,MATCH(AN153,'NOTES CE2-CM1'!$B$10:$B$250,0)),INDEX('NOTES CE2-CM1'!$T$10:$T$250,MATCH(AN153,'NOTES CE2-CM1'!$B$10:$B$250,0)),INDEX('NOTES CE2-CM1'!$AA$10:$AA$250,MATCH(AN153,'NOTES CE2-CM1'!$B$10:$B$250,0)),INDEX('NOTES CE2-CM1'!$AH$10:$AH$250,MATCH(AN153,'NOTES CE2-CM1'!$B$10:$B$250,0))),""))</f>
        <v/>
      </c>
      <c r="AR153" s="51" t="str">
        <f aca="false">IF(ISNUMBER(AQ153),AQ153+(1000-33)/1000000,"")</f>
        <v/>
      </c>
      <c r="AS153" s="51" t="str">
        <f aca="false">IF(AN153="","",IFERROR(CHOOSE($P$8,INDEX('NOTES CE2-CM1'!$G$10:$G$250,MATCH(AN153,'NOTES CE2-CM1'!$B$10:$B$250,0)),INDEX('NOTES CE2-CM1'!$N$10:$N$250,MATCH(AN153,'NOTES CE2-CM1'!$B$10:$B$250,0)),INDEX('NOTES CE2-CM1'!$U$10:$U$250,MATCH(AN153,'NOTES CE2-CM1'!$B$10:$B$250,0)),INDEX('NOTES CE2-CM1'!$AB$10:$AB$250,MATCH(AN153,'NOTES CE2-CM1'!$B$10:$B$250,0))),""))</f>
        <v/>
      </c>
      <c r="AT153" s="51" t="str">
        <f aca="false">IFERROR(MATCH("CM1-33",'REGISTRE ELEVES'!$AG$10:$AG$250,0),"")</f>
        <v/>
      </c>
      <c r="AU153" s="51" t="str">
        <f aca="false">IF(AT153="","",INDEX('REGISTRE ELEVES'!$B$10:$B$250,AT153))</f>
        <v/>
      </c>
      <c r="AV153" s="51" t="str">
        <f aca="false">IF(AT153="","",INDEX('REGISTRE ELEVES'!$D$10:$D$250,AT153))</f>
        <v/>
      </c>
      <c r="AW153" s="51" t="str">
        <f aca="false">IF(AT153="","",INDEX('REGISTRE ELEVES'!$E$10:$E$250,AT153))</f>
        <v/>
      </c>
      <c r="AX153" s="51" t="str">
        <f aca="false">IF(AU153="","",IFERROR(CHOOSE($P$8,INDEX('NOTES CE2-CM1'!$M$10:$M$250,MATCH(AU153,'NOTES CE2-CM1'!$B$10:$B$250,0)),INDEX('NOTES CE2-CM1'!$T$10:$T$250,MATCH(AU153,'NOTES CE2-CM1'!$B$10:$B$250,0)),INDEX('NOTES CE2-CM1'!$AA$10:$AA$250,MATCH(AU153,'NOTES CE2-CM1'!$B$10:$B$250,0)),INDEX('NOTES CE2-CM1'!$AH$10:$AH$250,MATCH(AU153,'NOTES CE2-CM1'!$B$10:$B$250,0))),""))</f>
        <v/>
      </c>
      <c r="AY153" s="51" t="str">
        <f aca="false">IF(ISNUMBER(AX153),AX153+(1000-33)/1000000,"")</f>
        <v/>
      </c>
      <c r="AZ153" s="51" t="str">
        <f aca="false">IF(AU153="","",IFERROR(CHOOSE($P$8,INDEX('NOTES CE2-CM1'!$G$10:$G$250,MATCH(AU153,'NOTES CE2-CM1'!$B$10:$B$250,0)),INDEX('NOTES CE2-CM1'!$N$10:$N$250,MATCH(AU153,'NOTES CE2-CM1'!$B$10:$B$250,0)),INDEX('NOTES CE2-CM1'!$U$10:$U$250,MATCH(AU153,'NOTES CE2-CM1'!$B$10:$B$250,0)),INDEX('NOTES CE2-CM1'!$AB$10:$AB$250,MATCH(AU153,'NOTES CE2-CM1'!$B$10:$B$250,0))),""))</f>
        <v/>
      </c>
      <c r="BA153" s="51" t="str">
        <f aca="false">IFERROR(MATCH("CM2-33",'REGISTRE ELEVES'!$AG$10:$AG$250,0),"")</f>
        <v/>
      </c>
      <c r="BB153" s="51" t="str">
        <f aca="false">IF(BA153="","",INDEX('REGISTRE ELEVES'!$B$10:$B$250,BA153))</f>
        <v/>
      </c>
      <c r="BC153" s="51" t="str">
        <f aca="false">IF(BA153="","",INDEX('REGISTRE ELEVES'!$D$10:$D$250,BA153))</f>
        <v/>
      </c>
      <c r="BD153" s="51" t="str">
        <f aca="false">IF(BA153="","",INDEX('REGISTRE ELEVES'!$E$10:$E$250,BA153))</f>
        <v/>
      </c>
      <c r="BE153" s="51" t="str">
        <f aca="false">IF(BB153="","",IFERROR(CHOOSE($P$10,INDEX('NOTES CM2'!$M$10:$M$250,MATCH(BB153,'NOTES CM2'!$B$10:$B$250,0)),INDEX('NOTES CM2'!$T$10:$T$250,MATCH(BB153,'NOTES CM2'!$B$10:$B$250,0)),INDEX('NOTES CM2'!$AB$10:$AB$250,MATCH(BB153,'NOTES CM2'!$B$10:$B$250,0)),INDEX('NOTES CM2'!$AJ$10:$AJ$250,MATCH(BB153,'NOTES CM2'!$B$10:$B$250,0))),""))</f>
        <v/>
      </c>
      <c r="BF153" s="51" t="str">
        <f aca="false">IF(ISNUMBER(BE153),BE153+(1000-33)/1000000,"")</f>
        <v/>
      </c>
      <c r="BG153" s="51" t="str">
        <f aca="false">IF(BB153="","",IFERROR(CHOOSE($P$10,INDEX('NOTES CM2'!$G$10:$G$250,MATCH(BB153,'NOTES CM2'!$B$10:$B$250,0)),INDEX('NOTES CM2'!$N$10:$N$250,MATCH(BB153,'NOTES CM2'!$B$10:$B$250,0)),INDEX('NOTES CM2'!$U$10:$U$250,MATCH(BB153,'NOTES CM2'!$B$10:$B$250,0)),INDEX('NOTES CM2'!$AC$10:$AC$250,MATCH(BB153,'NOTES CM2'!$B$10:$B$250,0))),""))</f>
        <v/>
      </c>
    </row>
    <row r="154" customFormat="false" ht="15" hidden="false" customHeight="false" outlineLevel="0" collapsed="false">
      <c r="R154" s="51" t="str">
        <f aca="false">IFERROR(MATCH("CP1-34",'REGISTRE ELEVES'!$AG$10:$AG$250,0),"")</f>
        <v/>
      </c>
      <c r="S154" s="51" t="str">
        <f aca="false">IF(R154="","",INDEX('REGISTRE ELEVES'!$B$10:$B$250,R154))</f>
        <v/>
      </c>
      <c r="T154" s="51" t="str">
        <f aca="false">IF(R154="","",INDEX('REGISTRE ELEVES'!$D$10:$D$250,R154))</f>
        <v/>
      </c>
      <c r="U154" s="51" t="str">
        <f aca="false">IF(R154="","",INDEX('REGISTRE ELEVES'!$E$10:$E$250,R154))</f>
        <v/>
      </c>
      <c r="V154" s="51" t="str">
        <f aca="false">IF(S154="","",IFERROR(CHOOSE($P$8,INDEX('NOTES CP'!$P$10:$P$250,MATCH(S154,'NOTES CP'!$B$10:$B$250,0)),INDEX('NOTES CP'!$Z$10:$Z$250,MATCH(S154,'NOTES CP'!$B$10:$B$250,0)),INDEX('NOTES CP'!$AJ$10:$AJ$250,MATCH(S154,'NOTES CP'!$B$10:$B$250,0)),INDEX('NOTES CP'!$AT$10:$AT$250,MATCH(S154,'NOTES CP'!$B$10:$B$250,0))),""))</f>
        <v/>
      </c>
      <c r="W154" s="51" t="str">
        <f aca="false">IF(ISNUMBER(V154),V154+(1000-34)/1000000,"")</f>
        <v/>
      </c>
      <c r="X154" s="51" t="str">
        <f aca="false">IF(S154="","",IFERROR(CHOOSE($P$8,INDEX('NOTES CP'!$G$10:$G$250,MATCH(S154,'NOTES CP'!$B$10:$B$250,0)),INDEX('NOTES CP'!$Q$10:$Q$250,MATCH(S154,'NOTES CP'!$B$10:$B$250,0)),INDEX('NOTES CP'!$AA$10:$AA$250,MATCH(S154,'NOTES CP'!$B$10:$B$250,0)),INDEX('NOTES CP'!$AK$10:$AK$250,MATCH(S154,'NOTES CP'!$B$10:$B$250,0))),""))</f>
        <v/>
      </c>
      <c r="Y154" s="51" t="str">
        <f aca="false">IFERROR(MATCH("CP2-34",'REGISTRE ELEVES'!$AG$10:$AG$250,0),"")</f>
        <v/>
      </c>
      <c r="Z154" s="51" t="str">
        <f aca="false">IF(Y154="","",INDEX('REGISTRE ELEVES'!$B$10:$B$250,Y154))</f>
        <v/>
      </c>
      <c r="AA154" s="51" t="str">
        <f aca="false">IF(Y154="","",INDEX('REGISTRE ELEVES'!$D$10:$D$250,Y154))</f>
        <v/>
      </c>
      <c r="AB154" s="51" t="str">
        <f aca="false">IF(Y154="","",INDEX('REGISTRE ELEVES'!$E$10:$E$250,Y154))</f>
        <v/>
      </c>
      <c r="AC154" s="51" t="str">
        <f aca="false">IF(Z154="","",IFERROR(CHOOSE($P$8,INDEX('NOTES CP'!$P$10:$P$250,MATCH(Z154,'NOTES CP'!$B$10:$B$250,0)),INDEX('NOTES CP'!$Z$10:$Z$250,MATCH(Z154,'NOTES CP'!$B$10:$B$250,0)),INDEX('NOTES CP'!$AJ$10:$AJ$250,MATCH(Z154,'NOTES CP'!$B$10:$B$250,0)),INDEX('NOTES CP'!$AT$10:$AT$250,MATCH(Z154,'NOTES CP'!$B$10:$B$250,0))),""))</f>
        <v/>
      </c>
      <c r="AD154" s="51" t="str">
        <f aca="false">IF(ISNUMBER(AC154),AC154+(1000-34)/1000000,"")</f>
        <v/>
      </c>
      <c r="AE154" s="51" t="str">
        <f aca="false">IF(Z154="","",IFERROR(CHOOSE($P$8,INDEX('NOTES CP'!$G$10:$G$250,MATCH(Z154,'NOTES CP'!$B$10:$B$250,0)),INDEX('NOTES CP'!$Q$10:$Q$250,MATCH(Z154,'NOTES CP'!$B$10:$B$250,0)),INDEX('NOTES CP'!$AA$10:$AA$250,MATCH(Z154,'NOTES CP'!$B$10:$B$250,0)),INDEX('NOTES CP'!$AK$10:$AK$250,MATCH(Z154,'NOTES CP'!$B$10:$B$250,0))),""))</f>
        <v/>
      </c>
      <c r="AF154" s="51" t="str">
        <f aca="false">IFERROR(MATCH("CE1-34",'REGISTRE ELEVES'!$AG$10:$AG$250,0),"")</f>
        <v/>
      </c>
      <c r="AG154" s="51" t="str">
        <f aca="false">IF(AF154="","",INDEX('REGISTRE ELEVES'!$B$10:$B$250,AF154))</f>
        <v/>
      </c>
      <c r="AH154" s="51" t="str">
        <f aca="false">IF(AF154="","",INDEX('REGISTRE ELEVES'!$D$10:$D$250,AF154))</f>
        <v/>
      </c>
      <c r="AI154" s="51" t="str">
        <f aca="false">IF(AF154="","",INDEX('REGISTRE ELEVES'!$E$10:$E$250,AF154))</f>
        <v/>
      </c>
      <c r="AJ154" s="51" t="str">
        <f aca="false">IF(AG154="","",IFERROR(CHOOSE($P$8,INDEX('NOTES CE1'!$M$10:$M$250,MATCH(AG154,'NOTES CE1'!$B$10:$B$250,0)),INDEX('NOTES CE1'!$T$10:$T$250,MATCH(AG154,'NOTES CE1'!$B$10:$B$250,0)),INDEX('NOTES CE1'!$AA$10:$AA$250,MATCH(AG154,'NOTES CE1'!$B$10:$B$250,0)),INDEX('NOTES CE1'!$AH$10:$AH$250,MATCH(AG154,'NOTES CE1'!$B$10:$B$250,0))),""))</f>
        <v/>
      </c>
      <c r="AK154" s="51" t="str">
        <f aca="false">IF(ISNUMBER(AJ154),AJ154+(1000-34)/1000000,"")</f>
        <v/>
      </c>
      <c r="AL154" s="51" t="str">
        <f aca="false">IF(AG154="","",IFERROR(CHOOSE($P$8,INDEX('NOTES CE1'!$G$10:$G$250,MATCH(AG154,'NOTES CE1'!$B$10:$B$250,0)),INDEX('NOTES CE1'!$N$10:$N$250,MATCH(AG154,'NOTES CE1'!$B$10:$B$250,0)),INDEX('NOTES CE1'!$U$10:$U$250,MATCH(AG154,'NOTES CE1'!$B$10:$B$250,0)),INDEX('NOTES CE1'!$AB$10:$AB$250,MATCH(AG154,'NOTES CE1'!$B$10:$B$250,0))),""))</f>
        <v/>
      </c>
      <c r="AM154" s="51" t="str">
        <f aca="false">IFERROR(MATCH("CE2-34",'REGISTRE ELEVES'!$AG$10:$AG$250,0),"")</f>
        <v/>
      </c>
      <c r="AN154" s="51" t="str">
        <f aca="false">IF(AM154="","",INDEX('REGISTRE ELEVES'!$B$10:$B$250,AM154))</f>
        <v/>
      </c>
      <c r="AO154" s="51" t="str">
        <f aca="false">IF(AM154="","",INDEX('REGISTRE ELEVES'!$D$10:$D$250,AM154))</f>
        <v/>
      </c>
      <c r="AP154" s="51" t="str">
        <f aca="false">IF(AM154="","",INDEX('REGISTRE ELEVES'!$E$10:$E$250,AM154))</f>
        <v/>
      </c>
      <c r="AQ154" s="51" t="str">
        <f aca="false">IF(AN154="","",IFERROR(CHOOSE($P$8,INDEX('NOTES CE2-CM1'!$M$10:$M$250,MATCH(AN154,'NOTES CE2-CM1'!$B$10:$B$250,0)),INDEX('NOTES CE2-CM1'!$T$10:$T$250,MATCH(AN154,'NOTES CE2-CM1'!$B$10:$B$250,0)),INDEX('NOTES CE2-CM1'!$AA$10:$AA$250,MATCH(AN154,'NOTES CE2-CM1'!$B$10:$B$250,0)),INDEX('NOTES CE2-CM1'!$AH$10:$AH$250,MATCH(AN154,'NOTES CE2-CM1'!$B$10:$B$250,0))),""))</f>
        <v/>
      </c>
      <c r="AR154" s="51" t="str">
        <f aca="false">IF(ISNUMBER(AQ154),AQ154+(1000-34)/1000000,"")</f>
        <v/>
      </c>
      <c r="AS154" s="51" t="str">
        <f aca="false">IF(AN154="","",IFERROR(CHOOSE($P$8,INDEX('NOTES CE2-CM1'!$G$10:$G$250,MATCH(AN154,'NOTES CE2-CM1'!$B$10:$B$250,0)),INDEX('NOTES CE2-CM1'!$N$10:$N$250,MATCH(AN154,'NOTES CE2-CM1'!$B$10:$B$250,0)),INDEX('NOTES CE2-CM1'!$U$10:$U$250,MATCH(AN154,'NOTES CE2-CM1'!$B$10:$B$250,0)),INDEX('NOTES CE2-CM1'!$AB$10:$AB$250,MATCH(AN154,'NOTES CE2-CM1'!$B$10:$B$250,0))),""))</f>
        <v/>
      </c>
      <c r="AT154" s="51" t="str">
        <f aca="false">IFERROR(MATCH("CM1-34",'REGISTRE ELEVES'!$AG$10:$AG$250,0),"")</f>
        <v/>
      </c>
      <c r="AU154" s="51" t="str">
        <f aca="false">IF(AT154="","",INDEX('REGISTRE ELEVES'!$B$10:$B$250,AT154))</f>
        <v/>
      </c>
      <c r="AV154" s="51" t="str">
        <f aca="false">IF(AT154="","",INDEX('REGISTRE ELEVES'!$D$10:$D$250,AT154))</f>
        <v/>
      </c>
      <c r="AW154" s="51" t="str">
        <f aca="false">IF(AT154="","",INDEX('REGISTRE ELEVES'!$E$10:$E$250,AT154))</f>
        <v/>
      </c>
      <c r="AX154" s="51" t="str">
        <f aca="false">IF(AU154="","",IFERROR(CHOOSE($P$8,INDEX('NOTES CE2-CM1'!$M$10:$M$250,MATCH(AU154,'NOTES CE2-CM1'!$B$10:$B$250,0)),INDEX('NOTES CE2-CM1'!$T$10:$T$250,MATCH(AU154,'NOTES CE2-CM1'!$B$10:$B$250,0)),INDEX('NOTES CE2-CM1'!$AA$10:$AA$250,MATCH(AU154,'NOTES CE2-CM1'!$B$10:$B$250,0)),INDEX('NOTES CE2-CM1'!$AH$10:$AH$250,MATCH(AU154,'NOTES CE2-CM1'!$B$10:$B$250,0))),""))</f>
        <v/>
      </c>
      <c r="AY154" s="51" t="str">
        <f aca="false">IF(ISNUMBER(AX154),AX154+(1000-34)/1000000,"")</f>
        <v/>
      </c>
      <c r="AZ154" s="51" t="str">
        <f aca="false">IF(AU154="","",IFERROR(CHOOSE($P$8,INDEX('NOTES CE2-CM1'!$G$10:$G$250,MATCH(AU154,'NOTES CE2-CM1'!$B$10:$B$250,0)),INDEX('NOTES CE2-CM1'!$N$10:$N$250,MATCH(AU154,'NOTES CE2-CM1'!$B$10:$B$250,0)),INDEX('NOTES CE2-CM1'!$U$10:$U$250,MATCH(AU154,'NOTES CE2-CM1'!$B$10:$B$250,0)),INDEX('NOTES CE2-CM1'!$AB$10:$AB$250,MATCH(AU154,'NOTES CE2-CM1'!$B$10:$B$250,0))),""))</f>
        <v/>
      </c>
      <c r="BA154" s="51" t="str">
        <f aca="false">IFERROR(MATCH("CM2-34",'REGISTRE ELEVES'!$AG$10:$AG$250,0),"")</f>
        <v/>
      </c>
      <c r="BB154" s="51" t="str">
        <f aca="false">IF(BA154="","",INDEX('REGISTRE ELEVES'!$B$10:$B$250,BA154))</f>
        <v/>
      </c>
      <c r="BC154" s="51" t="str">
        <f aca="false">IF(BA154="","",INDEX('REGISTRE ELEVES'!$D$10:$D$250,BA154))</f>
        <v/>
      </c>
      <c r="BD154" s="51" t="str">
        <f aca="false">IF(BA154="","",INDEX('REGISTRE ELEVES'!$E$10:$E$250,BA154))</f>
        <v/>
      </c>
      <c r="BE154" s="51" t="str">
        <f aca="false">IF(BB154="","",IFERROR(CHOOSE($P$10,INDEX('NOTES CM2'!$M$10:$M$250,MATCH(BB154,'NOTES CM2'!$B$10:$B$250,0)),INDEX('NOTES CM2'!$T$10:$T$250,MATCH(BB154,'NOTES CM2'!$B$10:$B$250,0)),INDEX('NOTES CM2'!$AB$10:$AB$250,MATCH(BB154,'NOTES CM2'!$B$10:$B$250,0)),INDEX('NOTES CM2'!$AJ$10:$AJ$250,MATCH(BB154,'NOTES CM2'!$B$10:$B$250,0))),""))</f>
        <v/>
      </c>
      <c r="BF154" s="51" t="str">
        <f aca="false">IF(ISNUMBER(BE154),BE154+(1000-34)/1000000,"")</f>
        <v/>
      </c>
      <c r="BG154" s="51" t="str">
        <f aca="false">IF(BB154="","",IFERROR(CHOOSE($P$10,INDEX('NOTES CM2'!$G$10:$G$250,MATCH(BB154,'NOTES CM2'!$B$10:$B$250,0)),INDEX('NOTES CM2'!$N$10:$N$250,MATCH(BB154,'NOTES CM2'!$B$10:$B$250,0)),INDEX('NOTES CM2'!$U$10:$U$250,MATCH(BB154,'NOTES CM2'!$B$10:$B$250,0)),INDEX('NOTES CM2'!$AC$10:$AC$250,MATCH(BB154,'NOTES CM2'!$B$10:$B$250,0))),""))</f>
        <v/>
      </c>
    </row>
    <row r="155" customFormat="false" ht="15" hidden="false" customHeight="false" outlineLevel="0" collapsed="false">
      <c r="R155" s="51" t="str">
        <f aca="false">IFERROR(MATCH("CP1-35",'REGISTRE ELEVES'!$AG$10:$AG$250,0),"")</f>
        <v/>
      </c>
      <c r="S155" s="51" t="str">
        <f aca="false">IF(R155="","",INDEX('REGISTRE ELEVES'!$B$10:$B$250,R155))</f>
        <v/>
      </c>
      <c r="T155" s="51" t="str">
        <f aca="false">IF(R155="","",INDEX('REGISTRE ELEVES'!$D$10:$D$250,R155))</f>
        <v/>
      </c>
      <c r="U155" s="51" t="str">
        <f aca="false">IF(R155="","",INDEX('REGISTRE ELEVES'!$E$10:$E$250,R155))</f>
        <v/>
      </c>
      <c r="V155" s="51" t="str">
        <f aca="false">IF(S155="","",IFERROR(CHOOSE($P$8,INDEX('NOTES CP'!$P$10:$P$250,MATCH(S155,'NOTES CP'!$B$10:$B$250,0)),INDEX('NOTES CP'!$Z$10:$Z$250,MATCH(S155,'NOTES CP'!$B$10:$B$250,0)),INDEX('NOTES CP'!$AJ$10:$AJ$250,MATCH(S155,'NOTES CP'!$B$10:$B$250,0)),INDEX('NOTES CP'!$AT$10:$AT$250,MATCH(S155,'NOTES CP'!$B$10:$B$250,0))),""))</f>
        <v/>
      </c>
      <c r="W155" s="51" t="str">
        <f aca="false">IF(ISNUMBER(V155),V155+(1000-35)/1000000,"")</f>
        <v/>
      </c>
      <c r="X155" s="51" t="str">
        <f aca="false">IF(S155="","",IFERROR(CHOOSE($P$8,INDEX('NOTES CP'!$G$10:$G$250,MATCH(S155,'NOTES CP'!$B$10:$B$250,0)),INDEX('NOTES CP'!$Q$10:$Q$250,MATCH(S155,'NOTES CP'!$B$10:$B$250,0)),INDEX('NOTES CP'!$AA$10:$AA$250,MATCH(S155,'NOTES CP'!$B$10:$B$250,0)),INDEX('NOTES CP'!$AK$10:$AK$250,MATCH(S155,'NOTES CP'!$B$10:$B$250,0))),""))</f>
        <v/>
      </c>
      <c r="Y155" s="51" t="str">
        <f aca="false">IFERROR(MATCH("CP2-35",'REGISTRE ELEVES'!$AG$10:$AG$250,0),"")</f>
        <v/>
      </c>
      <c r="Z155" s="51" t="str">
        <f aca="false">IF(Y155="","",INDEX('REGISTRE ELEVES'!$B$10:$B$250,Y155))</f>
        <v/>
      </c>
      <c r="AA155" s="51" t="str">
        <f aca="false">IF(Y155="","",INDEX('REGISTRE ELEVES'!$D$10:$D$250,Y155))</f>
        <v/>
      </c>
      <c r="AB155" s="51" t="str">
        <f aca="false">IF(Y155="","",INDEX('REGISTRE ELEVES'!$E$10:$E$250,Y155))</f>
        <v/>
      </c>
      <c r="AC155" s="51" t="str">
        <f aca="false">IF(Z155="","",IFERROR(CHOOSE($P$8,INDEX('NOTES CP'!$P$10:$P$250,MATCH(Z155,'NOTES CP'!$B$10:$B$250,0)),INDEX('NOTES CP'!$Z$10:$Z$250,MATCH(Z155,'NOTES CP'!$B$10:$B$250,0)),INDEX('NOTES CP'!$AJ$10:$AJ$250,MATCH(Z155,'NOTES CP'!$B$10:$B$250,0)),INDEX('NOTES CP'!$AT$10:$AT$250,MATCH(Z155,'NOTES CP'!$B$10:$B$250,0))),""))</f>
        <v/>
      </c>
      <c r="AD155" s="51" t="str">
        <f aca="false">IF(ISNUMBER(AC155),AC155+(1000-35)/1000000,"")</f>
        <v/>
      </c>
      <c r="AE155" s="51" t="str">
        <f aca="false">IF(Z155="","",IFERROR(CHOOSE($P$8,INDEX('NOTES CP'!$G$10:$G$250,MATCH(Z155,'NOTES CP'!$B$10:$B$250,0)),INDEX('NOTES CP'!$Q$10:$Q$250,MATCH(Z155,'NOTES CP'!$B$10:$B$250,0)),INDEX('NOTES CP'!$AA$10:$AA$250,MATCH(Z155,'NOTES CP'!$B$10:$B$250,0)),INDEX('NOTES CP'!$AK$10:$AK$250,MATCH(Z155,'NOTES CP'!$B$10:$B$250,0))),""))</f>
        <v/>
      </c>
      <c r="AF155" s="51" t="str">
        <f aca="false">IFERROR(MATCH("CE1-35",'REGISTRE ELEVES'!$AG$10:$AG$250,0),"")</f>
        <v/>
      </c>
      <c r="AG155" s="51" t="str">
        <f aca="false">IF(AF155="","",INDEX('REGISTRE ELEVES'!$B$10:$B$250,AF155))</f>
        <v/>
      </c>
      <c r="AH155" s="51" t="str">
        <f aca="false">IF(AF155="","",INDEX('REGISTRE ELEVES'!$D$10:$D$250,AF155))</f>
        <v/>
      </c>
      <c r="AI155" s="51" t="str">
        <f aca="false">IF(AF155="","",INDEX('REGISTRE ELEVES'!$E$10:$E$250,AF155))</f>
        <v/>
      </c>
      <c r="AJ155" s="51" t="str">
        <f aca="false">IF(AG155="","",IFERROR(CHOOSE($P$8,INDEX('NOTES CE1'!$M$10:$M$250,MATCH(AG155,'NOTES CE1'!$B$10:$B$250,0)),INDEX('NOTES CE1'!$T$10:$T$250,MATCH(AG155,'NOTES CE1'!$B$10:$B$250,0)),INDEX('NOTES CE1'!$AA$10:$AA$250,MATCH(AG155,'NOTES CE1'!$B$10:$B$250,0)),INDEX('NOTES CE1'!$AH$10:$AH$250,MATCH(AG155,'NOTES CE1'!$B$10:$B$250,0))),""))</f>
        <v/>
      </c>
      <c r="AK155" s="51" t="str">
        <f aca="false">IF(ISNUMBER(AJ155),AJ155+(1000-35)/1000000,"")</f>
        <v/>
      </c>
      <c r="AL155" s="51" t="str">
        <f aca="false">IF(AG155="","",IFERROR(CHOOSE($P$8,INDEX('NOTES CE1'!$G$10:$G$250,MATCH(AG155,'NOTES CE1'!$B$10:$B$250,0)),INDEX('NOTES CE1'!$N$10:$N$250,MATCH(AG155,'NOTES CE1'!$B$10:$B$250,0)),INDEX('NOTES CE1'!$U$10:$U$250,MATCH(AG155,'NOTES CE1'!$B$10:$B$250,0)),INDEX('NOTES CE1'!$AB$10:$AB$250,MATCH(AG155,'NOTES CE1'!$B$10:$B$250,0))),""))</f>
        <v/>
      </c>
      <c r="AM155" s="51" t="str">
        <f aca="false">IFERROR(MATCH("CE2-35",'REGISTRE ELEVES'!$AG$10:$AG$250,0),"")</f>
        <v/>
      </c>
      <c r="AN155" s="51" t="str">
        <f aca="false">IF(AM155="","",INDEX('REGISTRE ELEVES'!$B$10:$B$250,AM155))</f>
        <v/>
      </c>
      <c r="AO155" s="51" t="str">
        <f aca="false">IF(AM155="","",INDEX('REGISTRE ELEVES'!$D$10:$D$250,AM155))</f>
        <v/>
      </c>
      <c r="AP155" s="51" t="str">
        <f aca="false">IF(AM155="","",INDEX('REGISTRE ELEVES'!$E$10:$E$250,AM155))</f>
        <v/>
      </c>
      <c r="AQ155" s="51" t="str">
        <f aca="false">IF(AN155="","",IFERROR(CHOOSE($P$8,INDEX('NOTES CE2-CM1'!$M$10:$M$250,MATCH(AN155,'NOTES CE2-CM1'!$B$10:$B$250,0)),INDEX('NOTES CE2-CM1'!$T$10:$T$250,MATCH(AN155,'NOTES CE2-CM1'!$B$10:$B$250,0)),INDEX('NOTES CE2-CM1'!$AA$10:$AA$250,MATCH(AN155,'NOTES CE2-CM1'!$B$10:$B$250,0)),INDEX('NOTES CE2-CM1'!$AH$10:$AH$250,MATCH(AN155,'NOTES CE2-CM1'!$B$10:$B$250,0))),""))</f>
        <v/>
      </c>
      <c r="AR155" s="51" t="str">
        <f aca="false">IF(ISNUMBER(AQ155),AQ155+(1000-35)/1000000,"")</f>
        <v/>
      </c>
      <c r="AS155" s="51" t="str">
        <f aca="false">IF(AN155="","",IFERROR(CHOOSE($P$8,INDEX('NOTES CE2-CM1'!$G$10:$G$250,MATCH(AN155,'NOTES CE2-CM1'!$B$10:$B$250,0)),INDEX('NOTES CE2-CM1'!$N$10:$N$250,MATCH(AN155,'NOTES CE2-CM1'!$B$10:$B$250,0)),INDEX('NOTES CE2-CM1'!$U$10:$U$250,MATCH(AN155,'NOTES CE2-CM1'!$B$10:$B$250,0)),INDEX('NOTES CE2-CM1'!$AB$10:$AB$250,MATCH(AN155,'NOTES CE2-CM1'!$B$10:$B$250,0))),""))</f>
        <v/>
      </c>
      <c r="AT155" s="51" t="str">
        <f aca="false">IFERROR(MATCH("CM1-35",'REGISTRE ELEVES'!$AG$10:$AG$250,0),"")</f>
        <v/>
      </c>
      <c r="AU155" s="51" t="str">
        <f aca="false">IF(AT155="","",INDEX('REGISTRE ELEVES'!$B$10:$B$250,AT155))</f>
        <v/>
      </c>
      <c r="AV155" s="51" t="str">
        <f aca="false">IF(AT155="","",INDEX('REGISTRE ELEVES'!$D$10:$D$250,AT155))</f>
        <v/>
      </c>
      <c r="AW155" s="51" t="str">
        <f aca="false">IF(AT155="","",INDEX('REGISTRE ELEVES'!$E$10:$E$250,AT155))</f>
        <v/>
      </c>
      <c r="AX155" s="51" t="str">
        <f aca="false">IF(AU155="","",IFERROR(CHOOSE($P$8,INDEX('NOTES CE2-CM1'!$M$10:$M$250,MATCH(AU155,'NOTES CE2-CM1'!$B$10:$B$250,0)),INDEX('NOTES CE2-CM1'!$T$10:$T$250,MATCH(AU155,'NOTES CE2-CM1'!$B$10:$B$250,0)),INDEX('NOTES CE2-CM1'!$AA$10:$AA$250,MATCH(AU155,'NOTES CE2-CM1'!$B$10:$B$250,0)),INDEX('NOTES CE2-CM1'!$AH$10:$AH$250,MATCH(AU155,'NOTES CE2-CM1'!$B$10:$B$250,0))),""))</f>
        <v/>
      </c>
      <c r="AY155" s="51" t="str">
        <f aca="false">IF(ISNUMBER(AX155),AX155+(1000-35)/1000000,"")</f>
        <v/>
      </c>
      <c r="AZ155" s="51" t="str">
        <f aca="false">IF(AU155="","",IFERROR(CHOOSE($P$8,INDEX('NOTES CE2-CM1'!$G$10:$G$250,MATCH(AU155,'NOTES CE2-CM1'!$B$10:$B$250,0)),INDEX('NOTES CE2-CM1'!$N$10:$N$250,MATCH(AU155,'NOTES CE2-CM1'!$B$10:$B$250,0)),INDEX('NOTES CE2-CM1'!$U$10:$U$250,MATCH(AU155,'NOTES CE2-CM1'!$B$10:$B$250,0)),INDEX('NOTES CE2-CM1'!$AB$10:$AB$250,MATCH(AU155,'NOTES CE2-CM1'!$B$10:$B$250,0))),""))</f>
        <v/>
      </c>
      <c r="BA155" s="51" t="str">
        <f aca="false">IFERROR(MATCH("CM2-35",'REGISTRE ELEVES'!$AG$10:$AG$250,0),"")</f>
        <v/>
      </c>
      <c r="BB155" s="51" t="str">
        <f aca="false">IF(BA155="","",INDEX('REGISTRE ELEVES'!$B$10:$B$250,BA155))</f>
        <v/>
      </c>
      <c r="BC155" s="51" t="str">
        <f aca="false">IF(BA155="","",INDEX('REGISTRE ELEVES'!$D$10:$D$250,BA155))</f>
        <v/>
      </c>
      <c r="BD155" s="51" t="str">
        <f aca="false">IF(BA155="","",INDEX('REGISTRE ELEVES'!$E$10:$E$250,BA155))</f>
        <v/>
      </c>
      <c r="BE155" s="51" t="str">
        <f aca="false">IF(BB155="","",IFERROR(CHOOSE($P$10,INDEX('NOTES CM2'!$M$10:$M$250,MATCH(BB155,'NOTES CM2'!$B$10:$B$250,0)),INDEX('NOTES CM2'!$T$10:$T$250,MATCH(BB155,'NOTES CM2'!$B$10:$B$250,0)),INDEX('NOTES CM2'!$AB$10:$AB$250,MATCH(BB155,'NOTES CM2'!$B$10:$B$250,0)),INDEX('NOTES CM2'!$AJ$10:$AJ$250,MATCH(BB155,'NOTES CM2'!$B$10:$B$250,0))),""))</f>
        <v/>
      </c>
      <c r="BF155" s="51" t="str">
        <f aca="false">IF(ISNUMBER(BE155),BE155+(1000-35)/1000000,"")</f>
        <v/>
      </c>
      <c r="BG155" s="51" t="str">
        <f aca="false">IF(BB155="","",IFERROR(CHOOSE($P$10,INDEX('NOTES CM2'!$G$10:$G$250,MATCH(BB155,'NOTES CM2'!$B$10:$B$250,0)),INDEX('NOTES CM2'!$N$10:$N$250,MATCH(BB155,'NOTES CM2'!$B$10:$B$250,0)),INDEX('NOTES CM2'!$U$10:$U$250,MATCH(BB155,'NOTES CM2'!$B$10:$B$250,0)),INDEX('NOTES CM2'!$AC$10:$AC$250,MATCH(BB155,'NOTES CM2'!$B$10:$B$250,0))),""))</f>
        <v/>
      </c>
    </row>
    <row r="156" customFormat="false" ht="15" hidden="false" customHeight="false" outlineLevel="0" collapsed="false">
      <c r="R156" s="51" t="str">
        <f aca="false">IFERROR(MATCH("CP1-36",'REGISTRE ELEVES'!$AG$10:$AG$250,0),"")</f>
        <v/>
      </c>
      <c r="S156" s="51" t="str">
        <f aca="false">IF(R156="","",INDEX('REGISTRE ELEVES'!$B$10:$B$250,R156))</f>
        <v/>
      </c>
      <c r="T156" s="51" t="str">
        <f aca="false">IF(R156="","",INDEX('REGISTRE ELEVES'!$D$10:$D$250,R156))</f>
        <v/>
      </c>
      <c r="U156" s="51" t="str">
        <f aca="false">IF(R156="","",INDEX('REGISTRE ELEVES'!$E$10:$E$250,R156))</f>
        <v/>
      </c>
      <c r="V156" s="51" t="str">
        <f aca="false">IF(S156="","",IFERROR(CHOOSE($P$8,INDEX('NOTES CP'!$P$10:$P$250,MATCH(S156,'NOTES CP'!$B$10:$B$250,0)),INDEX('NOTES CP'!$Z$10:$Z$250,MATCH(S156,'NOTES CP'!$B$10:$B$250,0)),INDEX('NOTES CP'!$AJ$10:$AJ$250,MATCH(S156,'NOTES CP'!$B$10:$B$250,0)),INDEX('NOTES CP'!$AT$10:$AT$250,MATCH(S156,'NOTES CP'!$B$10:$B$250,0))),""))</f>
        <v/>
      </c>
      <c r="W156" s="51" t="str">
        <f aca="false">IF(ISNUMBER(V156),V156+(1000-36)/1000000,"")</f>
        <v/>
      </c>
      <c r="X156" s="51" t="str">
        <f aca="false">IF(S156="","",IFERROR(CHOOSE($P$8,INDEX('NOTES CP'!$G$10:$G$250,MATCH(S156,'NOTES CP'!$B$10:$B$250,0)),INDEX('NOTES CP'!$Q$10:$Q$250,MATCH(S156,'NOTES CP'!$B$10:$B$250,0)),INDEX('NOTES CP'!$AA$10:$AA$250,MATCH(S156,'NOTES CP'!$B$10:$B$250,0)),INDEX('NOTES CP'!$AK$10:$AK$250,MATCH(S156,'NOTES CP'!$B$10:$B$250,0))),""))</f>
        <v/>
      </c>
      <c r="Y156" s="51" t="str">
        <f aca="false">IFERROR(MATCH("CP2-36",'REGISTRE ELEVES'!$AG$10:$AG$250,0),"")</f>
        <v/>
      </c>
      <c r="Z156" s="51" t="str">
        <f aca="false">IF(Y156="","",INDEX('REGISTRE ELEVES'!$B$10:$B$250,Y156))</f>
        <v/>
      </c>
      <c r="AA156" s="51" t="str">
        <f aca="false">IF(Y156="","",INDEX('REGISTRE ELEVES'!$D$10:$D$250,Y156))</f>
        <v/>
      </c>
      <c r="AB156" s="51" t="str">
        <f aca="false">IF(Y156="","",INDEX('REGISTRE ELEVES'!$E$10:$E$250,Y156))</f>
        <v/>
      </c>
      <c r="AC156" s="51" t="str">
        <f aca="false">IF(Z156="","",IFERROR(CHOOSE($P$8,INDEX('NOTES CP'!$P$10:$P$250,MATCH(Z156,'NOTES CP'!$B$10:$B$250,0)),INDEX('NOTES CP'!$Z$10:$Z$250,MATCH(Z156,'NOTES CP'!$B$10:$B$250,0)),INDEX('NOTES CP'!$AJ$10:$AJ$250,MATCH(Z156,'NOTES CP'!$B$10:$B$250,0)),INDEX('NOTES CP'!$AT$10:$AT$250,MATCH(Z156,'NOTES CP'!$B$10:$B$250,0))),""))</f>
        <v/>
      </c>
      <c r="AD156" s="51" t="str">
        <f aca="false">IF(ISNUMBER(AC156),AC156+(1000-36)/1000000,"")</f>
        <v/>
      </c>
      <c r="AE156" s="51" t="str">
        <f aca="false">IF(Z156="","",IFERROR(CHOOSE($P$8,INDEX('NOTES CP'!$G$10:$G$250,MATCH(Z156,'NOTES CP'!$B$10:$B$250,0)),INDEX('NOTES CP'!$Q$10:$Q$250,MATCH(Z156,'NOTES CP'!$B$10:$B$250,0)),INDEX('NOTES CP'!$AA$10:$AA$250,MATCH(Z156,'NOTES CP'!$B$10:$B$250,0)),INDEX('NOTES CP'!$AK$10:$AK$250,MATCH(Z156,'NOTES CP'!$B$10:$B$250,0))),""))</f>
        <v/>
      </c>
      <c r="AF156" s="51" t="str">
        <f aca="false">IFERROR(MATCH("CE1-36",'REGISTRE ELEVES'!$AG$10:$AG$250,0),"")</f>
        <v/>
      </c>
      <c r="AG156" s="51" t="str">
        <f aca="false">IF(AF156="","",INDEX('REGISTRE ELEVES'!$B$10:$B$250,AF156))</f>
        <v/>
      </c>
      <c r="AH156" s="51" t="str">
        <f aca="false">IF(AF156="","",INDEX('REGISTRE ELEVES'!$D$10:$D$250,AF156))</f>
        <v/>
      </c>
      <c r="AI156" s="51" t="str">
        <f aca="false">IF(AF156="","",INDEX('REGISTRE ELEVES'!$E$10:$E$250,AF156))</f>
        <v/>
      </c>
      <c r="AJ156" s="51" t="str">
        <f aca="false">IF(AG156="","",IFERROR(CHOOSE($P$8,INDEX('NOTES CE1'!$M$10:$M$250,MATCH(AG156,'NOTES CE1'!$B$10:$B$250,0)),INDEX('NOTES CE1'!$T$10:$T$250,MATCH(AG156,'NOTES CE1'!$B$10:$B$250,0)),INDEX('NOTES CE1'!$AA$10:$AA$250,MATCH(AG156,'NOTES CE1'!$B$10:$B$250,0)),INDEX('NOTES CE1'!$AH$10:$AH$250,MATCH(AG156,'NOTES CE1'!$B$10:$B$250,0))),""))</f>
        <v/>
      </c>
      <c r="AK156" s="51" t="str">
        <f aca="false">IF(ISNUMBER(AJ156),AJ156+(1000-36)/1000000,"")</f>
        <v/>
      </c>
      <c r="AL156" s="51" t="str">
        <f aca="false">IF(AG156="","",IFERROR(CHOOSE($P$8,INDEX('NOTES CE1'!$G$10:$G$250,MATCH(AG156,'NOTES CE1'!$B$10:$B$250,0)),INDEX('NOTES CE1'!$N$10:$N$250,MATCH(AG156,'NOTES CE1'!$B$10:$B$250,0)),INDEX('NOTES CE1'!$U$10:$U$250,MATCH(AG156,'NOTES CE1'!$B$10:$B$250,0)),INDEX('NOTES CE1'!$AB$10:$AB$250,MATCH(AG156,'NOTES CE1'!$B$10:$B$250,0))),""))</f>
        <v/>
      </c>
      <c r="AM156" s="51" t="str">
        <f aca="false">IFERROR(MATCH("CE2-36",'REGISTRE ELEVES'!$AG$10:$AG$250,0),"")</f>
        <v/>
      </c>
      <c r="AN156" s="51" t="str">
        <f aca="false">IF(AM156="","",INDEX('REGISTRE ELEVES'!$B$10:$B$250,AM156))</f>
        <v/>
      </c>
      <c r="AO156" s="51" t="str">
        <f aca="false">IF(AM156="","",INDEX('REGISTRE ELEVES'!$D$10:$D$250,AM156))</f>
        <v/>
      </c>
      <c r="AP156" s="51" t="str">
        <f aca="false">IF(AM156="","",INDEX('REGISTRE ELEVES'!$E$10:$E$250,AM156))</f>
        <v/>
      </c>
      <c r="AQ156" s="51" t="str">
        <f aca="false">IF(AN156="","",IFERROR(CHOOSE($P$8,INDEX('NOTES CE2-CM1'!$M$10:$M$250,MATCH(AN156,'NOTES CE2-CM1'!$B$10:$B$250,0)),INDEX('NOTES CE2-CM1'!$T$10:$T$250,MATCH(AN156,'NOTES CE2-CM1'!$B$10:$B$250,0)),INDEX('NOTES CE2-CM1'!$AA$10:$AA$250,MATCH(AN156,'NOTES CE2-CM1'!$B$10:$B$250,0)),INDEX('NOTES CE2-CM1'!$AH$10:$AH$250,MATCH(AN156,'NOTES CE2-CM1'!$B$10:$B$250,0))),""))</f>
        <v/>
      </c>
      <c r="AR156" s="51" t="str">
        <f aca="false">IF(ISNUMBER(AQ156),AQ156+(1000-36)/1000000,"")</f>
        <v/>
      </c>
      <c r="AS156" s="51" t="str">
        <f aca="false">IF(AN156="","",IFERROR(CHOOSE($P$8,INDEX('NOTES CE2-CM1'!$G$10:$G$250,MATCH(AN156,'NOTES CE2-CM1'!$B$10:$B$250,0)),INDEX('NOTES CE2-CM1'!$N$10:$N$250,MATCH(AN156,'NOTES CE2-CM1'!$B$10:$B$250,0)),INDEX('NOTES CE2-CM1'!$U$10:$U$250,MATCH(AN156,'NOTES CE2-CM1'!$B$10:$B$250,0)),INDEX('NOTES CE2-CM1'!$AB$10:$AB$250,MATCH(AN156,'NOTES CE2-CM1'!$B$10:$B$250,0))),""))</f>
        <v/>
      </c>
      <c r="AT156" s="51" t="str">
        <f aca="false">IFERROR(MATCH("CM1-36",'REGISTRE ELEVES'!$AG$10:$AG$250,0),"")</f>
        <v/>
      </c>
      <c r="AU156" s="51" t="str">
        <f aca="false">IF(AT156="","",INDEX('REGISTRE ELEVES'!$B$10:$B$250,AT156))</f>
        <v/>
      </c>
      <c r="AV156" s="51" t="str">
        <f aca="false">IF(AT156="","",INDEX('REGISTRE ELEVES'!$D$10:$D$250,AT156))</f>
        <v/>
      </c>
      <c r="AW156" s="51" t="str">
        <f aca="false">IF(AT156="","",INDEX('REGISTRE ELEVES'!$E$10:$E$250,AT156))</f>
        <v/>
      </c>
      <c r="AX156" s="51" t="str">
        <f aca="false">IF(AU156="","",IFERROR(CHOOSE($P$8,INDEX('NOTES CE2-CM1'!$M$10:$M$250,MATCH(AU156,'NOTES CE2-CM1'!$B$10:$B$250,0)),INDEX('NOTES CE2-CM1'!$T$10:$T$250,MATCH(AU156,'NOTES CE2-CM1'!$B$10:$B$250,0)),INDEX('NOTES CE2-CM1'!$AA$10:$AA$250,MATCH(AU156,'NOTES CE2-CM1'!$B$10:$B$250,0)),INDEX('NOTES CE2-CM1'!$AH$10:$AH$250,MATCH(AU156,'NOTES CE2-CM1'!$B$10:$B$250,0))),""))</f>
        <v/>
      </c>
      <c r="AY156" s="51" t="str">
        <f aca="false">IF(ISNUMBER(AX156),AX156+(1000-36)/1000000,"")</f>
        <v/>
      </c>
      <c r="AZ156" s="51" t="str">
        <f aca="false">IF(AU156="","",IFERROR(CHOOSE($P$8,INDEX('NOTES CE2-CM1'!$G$10:$G$250,MATCH(AU156,'NOTES CE2-CM1'!$B$10:$B$250,0)),INDEX('NOTES CE2-CM1'!$N$10:$N$250,MATCH(AU156,'NOTES CE2-CM1'!$B$10:$B$250,0)),INDEX('NOTES CE2-CM1'!$U$10:$U$250,MATCH(AU156,'NOTES CE2-CM1'!$B$10:$B$250,0)),INDEX('NOTES CE2-CM1'!$AB$10:$AB$250,MATCH(AU156,'NOTES CE2-CM1'!$B$10:$B$250,0))),""))</f>
        <v/>
      </c>
      <c r="BA156" s="51" t="str">
        <f aca="false">IFERROR(MATCH("CM2-36",'REGISTRE ELEVES'!$AG$10:$AG$250,0),"")</f>
        <v/>
      </c>
      <c r="BB156" s="51" t="str">
        <f aca="false">IF(BA156="","",INDEX('REGISTRE ELEVES'!$B$10:$B$250,BA156))</f>
        <v/>
      </c>
      <c r="BC156" s="51" t="str">
        <f aca="false">IF(BA156="","",INDEX('REGISTRE ELEVES'!$D$10:$D$250,BA156))</f>
        <v/>
      </c>
      <c r="BD156" s="51" t="str">
        <f aca="false">IF(BA156="","",INDEX('REGISTRE ELEVES'!$E$10:$E$250,BA156))</f>
        <v/>
      </c>
      <c r="BE156" s="51" t="str">
        <f aca="false">IF(BB156="","",IFERROR(CHOOSE($P$10,INDEX('NOTES CM2'!$M$10:$M$250,MATCH(BB156,'NOTES CM2'!$B$10:$B$250,0)),INDEX('NOTES CM2'!$T$10:$T$250,MATCH(BB156,'NOTES CM2'!$B$10:$B$250,0)),INDEX('NOTES CM2'!$AB$10:$AB$250,MATCH(BB156,'NOTES CM2'!$B$10:$B$250,0)),INDEX('NOTES CM2'!$AJ$10:$AJ$250,MATCH(BB156,'NOTES CM2'!$B$10:$B$250,0))),""))</f>
        <v/>
      </c>
      <c r="BF156" s="51" t="str">
        <f aca="false">IF(ISNUMBER(BE156),BE156+(1000-36)/1000000,"")</f>
        <v/>
      </c>
      <c r="BG156" s="51" t="str">
        <f aca="false">IF(BB156="","",IFERROR(CHOOSE($P$10,INDEX('NOTES CM2'!$G$10:$G$250,MATCH(BB156,'NOTES CM2'!$B$10:$B$250,0)),INDEX('NOTES CM2'!$N$10:$N$250,MATCH(BB156,'NOTES CM2'!$B$10:$B$250,0)),INDEX('NOTES CM2'!$U$10:$U$250,MATCH(BB156,'NOTES CM2'!$B$10:$B$250,0)),INDEX('NOTES CM2'!$AC$10:$AC$250,MATCH(BB156,'NOTES CM2'!$B$10:$B$250,0))),""))</f>
        <v/>
      </c>
    </row>
    <row r="157" customFormat="false" ht="15" hidden="false" customHeight="false" outlineLevel="0" collapsed="false">
      <c r="R157" s="51" t="str">
        <f aca="false">IFERROR(MATCH("CP1-37",'REGISTRE ELEVES'!$AG$10:$AG$250,0),"")</f>
        <v/>
      </c>
      <c r="S157" s="51" t="str">
        <f aca="false">IF(R157="","",INDEX('REGISTRE ELEVES'!$B$10:$B$250,R157))</f>
        <v/>
      </c>
      <c r="T157" s="51" t="str">
        <f aca="false">IF(R157="","",INDEX('REGISTRE ELEVES'!$D$10:$D$250,R157))</f>
        <v/>
      </c>
      <c r="U157" s="51" t="str">
        <f aca="false">IF(R157="","",INDEX('REGISTRE ELEVES'!$E$10:$E$250,R157))</f>
        <v/>
      </c>
      <c r="V157" s="51" t="str">
        <f aca="false">IF(S157="","",IFERROR(CHOOSE($P$8,INDEX('NOTES CP'!$P$10:$P$250,MATCH(S157,'NOTES CP'!$B$10:$B$250,0)),INDEX('NOTES CP'!$Z$10:$Z$250,MATCH(S157,'NOTES CP'!$B$10:$B$250,0)),INDEX('NOTES CP'!$AJ$10:$AJ$250,MATCH(S157,'NOTES CP'!$B$10:$B$250,0)),INDEX('NOTES CP'!$AT$10:$AT$250,MATCH(S157,'NOTES CP'!$B$10:$B$250,0))),""))</f>
        <v/>
      </c>
      <c r="W157" s="51" t="str">
        <f aca="false">IF(ISNUMBER(V157),V157+(1000-37)/1000000,"")</f>
        <v/>
      </c>
      <c r="X157" s="51" t="str">
        <f aca="false">IF(S157="","",IFERROR(CHOOSE($P$8,INDEX('NOTES CP'!$G$10:$G$250,MATCH(S157,'NOTES CP'!$B$10:$B$250,0)),INDEX('NOTES CP'!$Q$10:$Q$250,MATCH(S157,'NOTES CP'!$B$10:$B$250,0)),INDEX('NOTES CP'!$AA$10:$AA$250,MATCH(S157,'NOTES CP'!$B$10:$B$250,0)),INDEX('NOTES CP'!$AK$10:$AK$250,MATCH(S157,'NOTES CP'!$B$10:$B$250,0))),""))</f>
        <v/>
      </c>
      <c r="Y157" s="51" t="str">
        <f aca="false">IFERROR(MATCH("CP2-37",'REGISTRE ELEVES'!$AG$10:$AG$250,0),"")</f>
        <v/>
      </c>
      <c r="Z157" s="51" t="str">
        <f aca="false">IF(Y157="","",INDEX('REGISTRE ELEVES'!$B$10:$B$250,Y157))</f>
        <v/>
      </c>
      <c r="AA157" s="51" t="str">
        <f aca="false">IF(Y157="","",INDEX('REGISTRE ELEVES'!$D$10:$D$250,Y157))</f>
        <v/>
      </c>
      <c r="AB157" s="51" t="str">
        <f aca="false">IF(Y157="","",INDEX('REGISTRE ELEVES'!$E$10:$E$250,Y157))</f>
        <v/>
      </c>
      <c r="AC157" s="51" t="str">
        <f aca="false">IF(Z157="","",IFERROR(CHOOSE($P$8,INDEX('NOTES CP'!$P$10:$P$250,MATCH(Z157,'NOTES CP'!$B$10:$B$250,0)),INDEX('NOTES CP'!$Z$10:$Z$250,MATCH(Z157,'NOTES CP'!$B$10:$B$250,0)),INDEX('NOTES CP'!$AJ$10:$AJ$250,MATCH(Z157,'NOTES CP'!$B$10:$B$250,0)),INDEX('NOTES CP'!$AT$10:$AT$250,MATCH(Z157,'NOTES CP'!$B$10:$B$250,0))),""))</f>
        <v/>
      </c>
      <c r="AD157" s="51" t="str">
        <f aca="false">IF(ISNUMBER(AC157),AC157+(1000-37)/1000000,"")</f>
        <v/>
      </c>
      <c r="AE157" s="51" t="str">
        <f aca="false">IF(Z157="","",IFERROR(CHOOSE($P$8,INDEX('NOTES CP'!$G$10:$G$250,MATCH(Z157,'NOTES CP'!$B$10:$B$250,0)),INDEX('NOTES CP'!$Q$10:$Q$250,MATCH(Z157,'NOTES CP'!$B$10:$B$250,0)),INDEX('NOTES CP'!$AA$10:$AA$250,MATCH(Z157,'NOTES CP'!$B$10:$B$250,0)),INDEX('NOTES CP'!$AK$10:$AK$250,MATCH(Z157,'NOTES CP'!$B$10:$B$250,0))),""))</f>
        <v/>
      </c>
      <c r="AF157" s="51" t="str">
        <f aca="false">IFERROR(MATCH("CE1-37",'REGISTRE ELEVES'!$AG$10:$AG$250,0),"")</f>
        <v/>
      </c>
      <c r="AG157" s="51" t="str">
        <f aca="false">IF(AF157="","",INDEX('REGISTRE ELEVES'!$B$10:$B$250,AF157))</f>
        <v/>
      </c>
      <c r="AH157" s="51" t="str">
        <f aca="false">IF(AF157="","",INDEX('REGISTRE ELEVES'!$D$10:$D$250,AF157))</f>
        <v/>
      </c>
      <c r="AI157" s="51" t="str">
        <f aca="false">IF(AF157="","",INDEX('REGISTRE ELEVES'!$E$10:$E$250,AF157))</f>
        <v/>
      </c>
      <c r="AJ157" s="51" t="str">
        <f aca="false">IF(AG157="","",IFERROR(CHOOSE($P$8,INDEX('NOTES CE1'!$M$10:$M$250,MATCH(AG157,'NOTES CE1'!$B$10:$B$250,0)),INDEX('NOTES CE1'!$T$10:$T$250,MATCH(AG157,'NOTES CE1'!$B$10:$B$250,0)),INDEX('NOTES CE1'!$AA$10:$AA$250,MATCH(AG157,'NOTES CE1'!$B$10:$B$250,0)),INDEX('NOTES CE1'!$AH$10:$AH$250,MATCH(AG157,'NOTES CE1'!$B$10:$B$250,0))),""))</f>
        <v/>
      </c>
      <c r="AK157" s="51" t="str">
        <f aca="false">IF(ISNUMBER(AJ157),AJ157+(1000-37)/1000000,"")</f>
        <v/>
      </c>
      <c r="AL157" s="51" t="str">
        <f aca="false">IF(AG157="","",IFERROR(CHOOSE($P$8,INDEX('NOTES CE1'!$G$10:$G$250,MATCH(AG157,'NOTES CE1'!$B$10:$B$250,0)),INDEX('NOTES CE1'!$N$10:$N$250,MATCH(AG157,'NOTES CE1'!$B$10:$B$250,0)),INDEX('NOTES CE1'!$U$10:$U$250,MATCH(AG157,'NOTES CE1'!$B$10:$B$250,0)),INDEX('NOTES CE1'!$AB$10:$AB$250,MATCH(AG157,'NOTES CE1'!$B$10:$B$250,0))),""))</f>
        <v/>
      </c>
      <c r="AM157" s="51" t="str">
        <f aca="false">IFERROR(MATCH("CE2-37",'REGISTRE ELEVES'!$AG$10:$AG$250,0),"")</f>
        <v/>
      </c>
      <c r="AN157" s="51" t="str">
        <f aca="false">IF(AM157="","",INDEX('REGISTRE ELEVES'!$B$10:$B$250,AM157))</f>
        <v/>
      </c>
      <c r="AO157" s="51" t="str">
        <f aca="false">IF(AM157="","",INDEX('REGISTRE ELEVES'!$D$10:$D$250,AM157))</f>
        <v/>
      </c>
      <c r="AP157" s="51" t="str">
        <f aca="false">IF(AM157="","",INDEX('REGISTRE ELEVES'!$E$10:$E$250,AM157))</f>
        <v/>
      </c>
      <c r="AQ157" s="51" t="str">
        <f aca="false">IF(AN157="","",IFERROR(CHOOSE($P$8,INDEX('NOTES CE2-CM1'!$M$10:$M$250,MATCH(AN157,'NOTES CE2-CM1'!$B$10:$B$250,0)),INDEX('NOTES CE2-CM1'!$T$10:$T$250,MATCH(AN157,'NOTES CE2-CM1'!$B$10:$B$250,0)),INDEX('NOTES CE2-CM1'!$AA$10:$AA$250,MATCH(AN157,'NOTES CE2-CM1'!$B$10:$B$250,0)),INDEX('NOTES CE2-CM1'!$AH$10:$AH$250,MATCH(AN157,'NOTES CE2-CM1'!$B$10:$B$250,0))),""))</f>
        <v/>
      </c>
      <c r="AR157" s="51" t="str">
        <f aca="false">IF(ISNUMBER(AQ157),AQ157+(1000-37)/1000000,"")</f>
        <v/>
      </c>
      <c r="AS157" s="51" t="str">
        <f aca="false">IF(AN157="","",IFERROR(CHOOSE($P$8,INDEX('NOTES CE2-CM1'!$G$10:$G$250,MATCH(AN157,'NOTES CE2-CM1'!$B$10:$B$250,0)),INDEX('NOTES CE2-CM1'!$N$10:$N$250,MATCH(AN157,'NOTES CE2-CM1'!$B$10:$B$250,0)),INDEX('NOTES CE2-CM1'!$U$10:$U$250,MATCH(AN157,'NOTES CE2-CM1'!$B$10:$B$250,0)),INDEX('NOTES CE2-CM1'!$AB$10:$AB$250,MATCH(AN157,'NOTES CE2-CM1'!$B$10:$B$250,0))),""))</f>
        <v/>
      </c>
      <c r="AT157" s="51" t="str">
        <f aca="false">IFERROR(MATCH("CM1-37",'REGISTRE ELEVES'!$AG$10:$AG$250,0),"")</f>
        <v/>
      </c>
      <c r="AU157" s="51" t="str">
        <f aca="false">IF(AT157="","",INDEX('REGISTRE ELEVES'!$B$10:$B$250,AT157))</f>
        <v/>
      </c>
      <c r="AV157" s="51" t="str">
        <f aca="false">IF(AT157="","",INDEX('REGISTRE ELEVES'!$D$10:$D$250,AT157))</f>
        <v/>
      </c>
      <c r="AW157" s="51" t="str">
        <f aca="false">IF(AT157="","",INDEX('REGISTRE ELEVES'!$E$10:$E$250,AT157))</f>
        <v/>
      </c>
      <c r="AX157" s="51" t="str">
        <f aca="false">IF(AU157="","",IFERROR(CHOOSE($P$8,INDEX('NOTES CE2-CM1'!$M$10:$M$250,MATCH(AU157,'NOTES CE2-CM1'!$B$10:$B$250,0)),INDEX('NOTES CE2-CM1'!$T$10:$T$250,MATCH(AU157,'NOTES CE2-CM1'!$B$10:$B$250,0)),INDEX('NOTES CE2-CM1'!$AA$10:$AA$250,MATCH(AU157,'NOTES CE2-CM1'!$B$10:$B$250,0)),INDEX('NOTES CE2-CM1'!$AH$10:$AH$250,MATCH(AU157,'NOTES CE2-CM1'!$B$10:$B$250,0))),""))</f>
        <v/>
      </c>
      <c r="AY157" s="51" t="str">
        <f aca="false">IF(ISNUMBER(AX157),AX157+(1000-37)/1000000,"")</f>
        <v/>
      </c>
      <c r="AZ157" s="51" t="str">
        <f aca="false">IF(AU157="","",IFERROR(CHOOSE($P$8,INDEX('NOTES CE2-CM1'!$G$10:$G$250,MATCH(AU157,'NOTES CE2-CM1'!$B$10:$B$250,0)),INDEX('NOTES CE2-CM1'!$N$10:$N$250,MATCH(AU157,'NOTES CE2-CM1'!$B$10:$B$250,0)),INDEX('NOTES CE2-CM1'!$U$10:$U$250,MATCH(AU157,'NOTES CE2-CM1'!$B$10:$B$250,0)),INDEX('NOTES CE2-CM1'!$AB$10:$AB$250,MATCH(AU157,'NOTES CE2-CM1'!$B$10:$B$250,0))),""))</f>
        <v/>
      </c>
      <c r="BA157" s="51" t="str">
        <f aca="false">IFERROR(MATCH("CM2-37",'REGISTRE ELEVES'!$AG$10:$AG$250,0),"")</f>
        <v/>
      </c>
      <c r="BB157" s="51" t="str">
        <f aca="false">IF(BA157="","",INDEX('REGISTRE ELEVES'!$B$10:$B$250,BA157))</f>
        <v/>
      </c>
      <c r="BC157" s="51" t="str">
        <f aca="false">IF(BA157="","",INDEX('REGISTRE ELEVES'!$D$10:$D$250,BA157))</f>
        <v/>
      </c>
      <c r="BD157" s="51" t="str">
        <f aca="false">IF(BA157="","",INDEX('REGISTRE ELEVES'!$E$10:$E$250,BA157))</f>
        <v/>
      </c>
      <c r="BE157" s="51" t="str">
        <f aca="false">IF(BB157="","",IFERROR(CHOOSE($P$10,INDEX('NOTES CM2'!$M$10:$M$250,MATCH(BB157,'NOTES CM2'!$B$10:$B$250,0)),INDEX('NOTES CM2'!$T$10:$T$250,MATCH(BB157,'NOTES CM2'!$B$10:$B$250,0)),INDEX('NOTES CM2'!$AB$10:$AB$250,MATCH(BB157,'NOTES CM2'!$B$10:$B$250,0)),INDEX('NOTES CM2'!$AJ$10:$AJ$250,MATCH(BB157,'NOTES CM2'!$B$10:$B$250,0))),""))</f>
        <v/>
      </c>
      <c r="BF157" s="51" t="str">
        <f aca="false">IF(ISNUMBER(BE157),BE157+(1000-37)/1000000,"")</f>
        <v/>
      </c>
      <c r="BG157" s="51" t="str">
        <f aca="false">IF(BB157="","",IFERROR(CHOOSE($P$10,INDEX('NOTES CM2'!$G$10:$G$250,MATCH(BB157,'NOTES CM2'!$B$10:$B$250,0)),INDEX('NOTES CM2'!$N$10:$N$250,MATCH(BB157,'NOTES CM2'!$B$10:$B$250,0)),INDEX('NOTES CM2'!$U$10:$U$250,MATCH(BB157,'NOTES CM2'!$B$10:$B$250,0)),INDEX('NOTES CM2'!$AC$10:$AC$250,MATCH(BB157,'NOTES CM2'!$B$10:$B$250,0))),""))</f>
        <v/>
      </c>
    </row>
    <row r="158" customFormat="false" ht="15" hidden="false" customHeight="false" outlineLevel="0" collapsed="false">
      <c r="R158" s="51" t="str">
        <f aca="false">IFERROR(MATCH("CP1-38",'REGISTRE ELEVES'!$AG$10:$AG$250,0),"")</f>
        <v/>
      </c>
      <c r="S158" s="51" t="str">
        <f aca="false">IF(R158="","",INDEX('REGISTRE ELEVES'!$B$10:$B$250,R158))</f>
        <v/>
      </c>
      <c r="T158" s="51" t="str">
        <f aca="false">IF(R158="","",INDEX('REGISTRE ELEVES'!$D$10:$D$250,R158))</f>
        <v/>
      </c>
      <c r="U158" s="51" t="str">
        <f aca="false">IF(R158="","",INDEX('REGISTRE ELEVES'!$E$10:$E$250,R158))</f>
        <v/>
      </c>
      <c r="V158" s="51" t="str">
        <f aca="false">IF(S158="","",IFERROR(CHOOSE($P$8,INDEX('NOTES CP'!$P$10:$P$250,MATCH(S158,'NOTES CP'!$B$10:$B$250,0)),INDEX('NOTES CP'!$Z$10:$Z$250,MATCH(S158,'NOTES CP'!$B$10:$B$250,0)),INDEX('NOTES CP'!$AJ$10:$AJ$250,MATCH(S158,'NOTES CP'!$B$10:$B$250,0)),INDEX('NOTES CP'!$AT$10:$AT$250,MATCH(S158,'NOTES CP'!$B$10:$B$250,0))),""))</f>
        <v/>
      </c>
      <c r="W158" s="51" t="str">
        <f aca="false">IF(ISNUMBER(V158),V158+(1000-38)/1000000,"")</f>
        <v/>
      </c>
      <c r="X158" s="51" t="str">
        <f aca="false">IF(S158="","",IFERROR(CHOOSE($P$8,INDEX('NOTES CP'!$G$10:$G$250,MATCH(S158,'NOTES CP'!$B$10:$B$250,0)),INDEX('NOTES CP'!$Q$10:$Q$250,MATCH(S158,'NOTES CP'!$B$10:$B$250,0)),INDEX('NOTES CP'!$AA$10:$AA$250,MATCH(S158,'NOTES CP'!$B$10:$B$250,0)),INDEX('NOTES CP'!$AK$10:$AK$250,MATCH(S158,'NOTES CP'!$B$10:$B$250,0))),""))</f>
        <v/>
      </c>
      <c r="Y158" s="51" t="str">
        <f aca="false">IFERROR(MATCH("CP2-38",'REGISTRE ELEVES'!$AG$10:$AG$250,0),"")</f>
        <v/>
      </c>
      <c r="Z158" s="51" t="str">
        <f aca="false">IF(Y158="","",INDEX('REGISTRE ELEVES'!$B$10:$B$250,Y158))</f>
        <v/>
      </c>
      <c r="AA158" s="51" t="str">
        <f aca="false">IF(Y158="","",INDEX('REGISTRE ELEVES'!$D$10:$D$250,Y158))</f>
        <v/>
      </c>
      <c r="AB158" s="51" t="str">
        <f aca="false">IF(Y158="","",INDEX('REGISTRE ELEVES'!$E$10:$E$250,Y158))</f>
        <v/>
      </c>
      <c r="AC158" s="51" t="str">
        <f aca="false">IF(Z158="","",IFERROR(CHOOSE($P$8,INDEX('NOTES CP'!$P$10:$P$250,MATCH(Z158,'NOTES CP'!$B$10:$B$250,0)),INDEX('NOTES CP'!$Z$10:$Z$250,MATCH(Z158,'NOTES CP'!$B$10:$B$250,0)),INDEX('NOTES CP'!$AJ$10:$AJ$250,MATCH(Z158,'NOTES CP'!$B$10:$B$250,0)),INDEX('NOTES CP'!$AT$10:$AT$250,MATCH(Z158,'NOTES CP'!$B$10:$B$250,0))),""))</f>
        <v/>
      </c>
      <c r="AD158" s="51" t="str">
        <f aca="false">IF(ISNUMBER(AC158),AC158+(1000-38)/1000000,"")</f>
        <v/>
      </c>
      <c r="AE158" s="51" t="str">
        <f aca="false">IF(Z158="","",IFERROR(CHOOSE($P$8,INDEX('NOTES CP'!$G$10:$G$250,MATCH(Z158,'NOTES CP'!$B$10:$B$250,0)),INDEX('NOTES CP'!$Q$10:$Q$250,MATCH(Z158,'NOTES CP'!$B$10:$B$250,0)),INDEX('NOTES CP'!$AA$10:$AA$250,MATCH(Z158,'NOTES CP'!$B$10:$B$250,0)),INDEX('NOTES CP'!$AK$10:$AK$250,MATCH(Z158,'NOTES CP'!$B$10:$B$250,0))),""))</f>
        <v/>
      </c>
      <c r="AF158" s="51" t="str">
        <f aca="false">IFERROR(MATCH("CE1-38",'REGISTRE ELEVES'!$AG$10:$AG$250,0),"")</f>
        <v/>
      </c>
      <c r="AG158" s="51" t="str">
        <f aca="false">IF(AF158="","",INDEX('REGISTRE ELEVES'!$B$10:$B$250,AF158))</f>
        <v/>
      </c>
      <c r="AH158" s="51" t="str">
        <f aca="false">IF(AF158="","",INDEX('REGISTRE ELEVES'!$D$10:$D$250,AF158))</f>
        <v/>
      </c>
      <c r="AI158" s="51" t="str">
        <f aca="false">IF(AF158="","",INDEX('REGISTRE ELEVES'!$E$10:$E$250,AF158))</f>
        <v/>
      </c>
      <c r="AJ158" s="51" t="str">
        <f aca="false">IF(AG158="","",IFERROR(CHOOSE($P$8,INDEX('NOTES CE1'!$M$10:$M$250,MATCH(AG158,'NOTES CE1'!$B$10:$B$250,0)),INDEX('NOTES CE1'!$T$10:$T$250,MATCH(AG158,'NOTES CE1'!$B$10:$B$250,0)),INDEX('NOTES CE1'!$AA$10:$AA$250,MATCH(AG158,'NOTES CE1'!$B$10:$B$250,0)),INDEX('NOTES CE1'!$AH$10:$AH$250,MATCH(AG158,'NOTES CE1'!$B$10:$B$250,0))),""))</f>
        <v/>
      </c>
      <c r="AK158" s="51" t="str">
        <f aca="false">IF(ISNUMBER(AJ158),AJ158+(1000-38)/1000000,"")</f>
        <v/>
      </c>
      <c r="AL158" s="51" t="str">
        <f aca="false">IF(AG158="","",IFERROR(CHOOSE($P$8,INDEX('NOTES CE1'!$G$10:$G$250,MATCH(AG158,'NOTES CE1'!$B$10:$B$250,0)),INDEX('NOTES CE1'!$N$10:$N$250,MATCH(AG158,'NOTES CE1'!$B$10:$B$250,0)),INDEX('NOTES CE1'!$U$10:$U$250,MATCH(AG158,'NOTES CE1'!$B$10:$B$250,0)),INDEX('NOTES CE1'!$AB$10:$AB$250,MATCH(AG158,'NOTES CE1'!$B$10:$B$250,0))),""))</f>
        <v/>
      </c>
      <c r="AM158" s="51" t="str">
        <f aca="false">IFERROR(MATCH("CE2-38",'REGISTRE ELEVES'!$AG$10:$AG$250,0),"")</f>
        <v/>
      </c>
      <c r="AN158" s="51" t="str">
        <f aca="false">IF(AM158="","",INDEX('REGISTRE ELEVES'!$B$10:$B$250,AM158))</f>
        <v/>
      </c>
      <c r="AO158" s="51" t="str">
        <f aca="false">IF(AM158="","",INDEX('REGISTRE ELEVES'!$D$10:$D$250,AM158))</f>
        <v/>
      </c>
      <c r="AP158" s="51" t="str">
        <f aca="false">IF(AM158="","",INDEX('REGISTRE ELEVES'!$E$10:$E$250,AM158))</f>
        <v/>
      </c>
      <c r="AQ158" s="51" t="str">
        <f aca="false">IF(AN158="","",IFERROR(CHOOSE($P$8,INDEX('NOTES CE2-CM1'!$M$10:$M$250,MATCH(AN158,'NOTES CE2-CM1'!$B$10:$B$250,0)),INDEX('NOTES CE2-CM1'!$T$10:$T$250,MATCH(AN158,'NOTES CE2-CM1'!$B$10:$B$250,0)),INDEX('NOTES CE2-CM1'!$AA$10:$AA$250,MATCH(AN158,'NOTES CE2-CM1'!$B$10:$B$250,0)),INDEX('NOTES CE2-CM1'!$AH$10:$AH$250,MATCH(AN158,'NOTES CE2-CM1'!$B$10:$B$250,0))),""))</f>
        <v/>
      </c>
      <c r="AR158" s="51" t="str">
        <f aca="false">IF(ISNUMBER(AQ158),AQ158+(1000-38)/1000000,"")</f>
        <v/>
      </c>
      <c r="AS158" s="51" t="str">
        <f aca="false">IF(AN158="","",IFERROR(CHOOSE($P$8,INDEX('NOTES CE2-CM1'!$G$10:$G$250,MATCH(AN158,'NOTES CE2-CM1'!$B$10:$B$250,0)),INDEX('NOTES CE2-CM1'!$N$10:$N$250,MATCH(AN158,'NOTES CE2-CM1'!$B$10:$B$250,0)),INDEX('NOTES CE2-CM1'!$U$10:$U$250,MATCH(AN158,'NOTES CE2-CM1'!$B$10:$B$250,0)),INDEX('NOTES CE2-CM1'!$AB$10:$AB$250,MATCH(AN158,'NOTES CE2-CM1'!$B$10:$B$250,0))),""))</f>
        <v/>
      </c>
      <c r="AT158" s="51" t="str">
        <f aca="false">IFERROR(MATCH("CM1-38",'REGISTRE ELEVES'!$AG$10:$AG$250,0),"")</f>
        <v/>
      </c>
      <c r="AU158" s="51" t="str">
        <f aca="false">IF(AT158="","",INDEX('REGISTRE ELEVES'!$B$10:$B$250,AT158))</f>
        <v/>
      </c>
      <c r="AV158" s="51" t="str">
        <f aca="false">IF(AT158="","",INDEX('REGISTRE ELEVES'!$D$10:$D$250,AT158))</f>
        <v/>
      </c>
      <c r="AW158" s="51" t="str">
        <f aca="false">IF(AT158="","",INDEX('REGISTRE ELEVES'!$E$10:$E$250,AT158))</f>
        <v/>
      </c>
      <c r="AX158" s="51" t="str">
        <f aca="false">IF(AU158="","",IFERROR(CHOOSE($P$8,INDEX('NOTES CE2-CM1'!$M$10:$M$250,MATCH(AU158,'NOTES CE2-CM1'!$B$10:$B$250,0)),INDEX('NOTES CE2-CM1'!$T$10:$T$250,MATCH(AU158,'NOTES CE2-CM1'!$B$10:$B$250,0)),INDEX('NOTES CE2-CM1'!$AA$10:$AA$250,MATCH(AU158,'NOTES CE2-CM1'!$B$10:$B$250,0)),INDEX('NOTES CE2-CM1'!$AH$10:$AH$250,MATCH(AU158,'NOTES CE2-CM1'!$B$10:$B$250,0))),""))</f>
        <v/>
      </c>
      <c r="AY158" s="51" t="str">
        <f aca="false">IF(ISNUMBER(AX158),AX158+(1000-38)/1000000,"")</f>
        <v/>
      </c>
      <c r="AZ158" s="51" t="str">
        <f aca="false">IF(AU158="","",IFERROR(CHOOSE($P$8,INDEX('NOTES CE2-CM1'!$G$10:$G$250,MATCH(AU158,'NOTES CE2-CM1'!$B$10:$B$250,0)),INDEX('NOTES CE2-CM1'!$N$10:$N$250,MATCH(AU158,'NOTES CE2-CM1'!$B$10:$B$250,0)),INDEX('NOTES CE2-CM1'!$U$10:$U$250,MATCH(AU158,'NOTES CE2-CM1'!$B$10:$B$250,0)),INDEX('NOTES CE2-CM1'!$AB$10:$AB$250,MATCH(AU158,'NOTES CE2-CM1'!$B$10:$B$250,0))),""))</f>
        <v/>
      </c>
      <c r="BA158" s="51" t="str">
        <f aca="false">IFERROR(MATCH("CM2-38",'REGISTRE ELEVES'!$AG$10:$AG$250,0),"")</f>
        <v/>
      </c>
      <c r="BB158" s="51" t="str">
        <f aca="false">IF(BA158="","",INDEX('REGISTRE ELEVES'!$B$10:$B$250,BA158))</f>
        <v/>
      </c>
      <c r="BC158" s="51" t="str">
        <f aca="false">IF(BA158="","",INDEX('REGISTRE ELEVES'!$D$10:$D$250,BA158))</f>
        <v/>
      </c>
      <c r="BD158" s="51" t="str">
        <f aca="false">IF(BA158="","",INDEX('REGISTRE ELEVES'!$E$10:$E$250,BA158))</f>
        <v/>
      </c>
      <c r="BE158" s="51" t="str">
        <f aca="false">IF(BB158="","",IFERROR(CHOOSE($P$10,INDEX('NOTES CM2'!$M$10:$M$250,MATCH(BB158,'NOTES CM2'!$B$10:$B$250,0)),INDEX('NOTES CM2'!$T$10:$T$250,MATCH(BB158,'NOTES CM2'!$B$10:$B$250,0)),INDEX('NOTES CM2'!$AB$10:$AB$250,MATCH(BB158,'NOTES CM2'!$B$10:$B$250,0)),INDEX('NOTES CM2'!$AJ$10:$AJ$250,MATCH(BB158,'NOTES CM2'!$B$10:$B$250,0))),""))</f>
        <v/>
      </c>
      <c r="BF158" s="51" t="str">
        <f aca="false">IF(ISNUMBER(BE158),BE158+(1000-38)/1000000,"")</f>
        <v/>
      </c>
      <c r="BG158" s="51" t="str">
        <f aca="false">IF(BB158="","",IFERROR(CHOOSE($P$10,INDEX('NOTES CM2'!$G$10:$G$250,MATCH(BB158,'NOTES CM2'!$B$10:$B$250,0)),INDEX('NOTES CM2'!$N$10:$N$250,MATCH(BB158,'NOTES CM2'!$B$10:$B$250,0)),INDEX('NOTES CM2'!$U$10:$U$250,MATCH(BB158,'NOTES CM2'!$B$10:$B$250,0)),INDEX('NOTES CM2'!$AC$10:$AC$250,MATCH(BB158,'NOTES CM2'!$B$10:$B$250,0))),""))</f>
        <v/>
      </c>
    </row>
    <row r="159" customFormat="false" ht="15" hidden="false" customHeight="false" outlineLevel="0" collapsed="false">
      <c r="R159" s="51" t="str">
        <f aca="false">IFERROR(MATCH("CP1-39",'REGISTRE ELEVES'!$AG$10:$AG$250,0),"")</f>
        <v/>
      </c>
      <c r="S159" s="51" t="str">
        <f aca="false">IF(R159="","",INDEX('REGISTRE ELEVES'!$B$10:$B$250,R159))</f>
        <v/>
      </c>
      <c r="T159" s="51" t="str">
        <f aca="false">IF(R159="","",INDEX('REGISTRE ELEVES'!$D$10:$D$250,R159))</f>
        <v/>
      </c>
      <c r="U159" s="51" t="str">
        <f aca="false">IF(R159="","",INDEX('REGISTRE ELEVES'!$E$10:$E$250,R159))</f>
        <v/>
      </c>
      <c r="V159" s="51" t="str">
        <f aca="false">IF(S159="","",IFERROR(CHOOSE($P$8,INDEX('NOTES CP'!$P$10:$P$250,MATCH(S159,'NOTES CP'!$B$10:$B$250,0)),INDEX('NOTES CP'!$Z$10:$Z$250,MATCH(S159,'NOTES CP'!$B$10:$B$250,0)),INDEX('NOTES CP'!$AJ$10:$AJ$250,MATCH(S159,'NOTES CP'!$B$10:$B$250,0)),INDEX('NOTES CP'!$AT$10:$AT$250,MATCH(S159,'NOTES CP'!$B$10:$B$250,0))),""))</f>
        <v/>
      </c>
      <c r="W159" s="51" t="str">
        <f aca="false">IF(ISNUMBER(V159),V159+(1000-39)/1000000,"")</f>
        <v/>
      </c>
      <c r="X159" s="51" t="str">
        <f aca="false">IF(S159="","",IFERROR(CHOOSE($P$8,INDEX('NOTES CP'!$G$10:$G$250,MATCH(S159,'NOTES CP'!$B$10:$B$250,0)),INDEX('NOTES CP'!$Q$10:$Q$250,MATCH(S159,'NOTES CP'!$B$10:$B$250,0)),INDEX('NOTES CP'!$AA$10:$AA$250,MATCH(S159,'NOTES CP'!$B$10:$B$250,0)),INDEX('NOTES CP'!$AK$10:$AK$250,MATCH(S159,'NOTES CP'!$B$10:$B$250,0))),""))</f>
        <v/>
      </c>
      <c r="Y159" s="51" t="str">
        <f aca="false">IFERROR(MATCH("CP2-39",'REGISTRE ELEVES'!$AG$10:$AG$250,0),"")</f>
        <v/>
      </c>
      <c r="Z159" s="51" t="str">
        <f aca="false">IF(Y159="","",INDEX('REGISTRE ELEVES'!$B$10:$B$250,Y159))</f>
        <v/>
      </c>
      <c r="AA159" s="51" t="str">
        <f aca="false">IF(Y159="","",INDEX('REGISTRE ELEVES'!$D$10:$D$250,Y159))</f>
        <v/>
      </c>
      <c r="AB159" s="51" t="str">
        <f aca="false">IF(Y159="","",INDEX('REGISTRE ELEVES'!$E$10:$E$250,Y159))</f>
        <v/>
      </c>
      <c r="AC159" s="51" t="str">
        <f aca="false">IF(Z159="","",IFERROR(CHOOSE($P$8,INDEX('NOTES CP'!$P$10:$P$250,MATCH(Z159,'NOTES CP'!$B$10:$B$250,0)),INDEX('NOTES CP'!$Z$10:$Z$250,MATCH(Z159,'NOTES CP'!$B$10:$B$250,0)),INDEX('NOTES CP'!$AJ$10:$AJ$250,MATCH(Z159,'NOTES CP'!$B$10:$B$250,0)),INDEX('NOTES CP'!$AT$10:$AT$250,MATCH(Z159,'NOTES CP'!$B$10:$B$250,0))),""))</f>
        <v/>
      </c>
      <c r="AD159" s="51" t="str">
        <f aca="false">IF(ISNUMBER(AC159),AC159+(1000-39)/1000000,"")</f>
        <v/>
      </c>
      <c r="AE159" s="51" t="str">
        <f aca="false">IF(Z159="","",IFERROR(CHOOSE($P$8,INDEX('NOTES CP'!$G$10:$G$250,MATCH(Z159,'NOTES CP'!$B$10:$B$250,0)),INDEX('NOTES CP'!$Q$10:$Q$250,MATCH(Z159,'NOTES CP'!$B$10:$B$250,0)),INDEX('NOTES CP'!$AA$10:$AA$250,MATCH(Z159,'NOTES CP'!$B$10:$B$250,0)),INDEX('NOTES CP'!$AK$10:$AK$250,MATCH(Z159,'NOTES CP'!$B$10:$B$250,0))),""))</f>
        <v/>
      </c>
      <c r="AF159" s="51" t="str">
        <f aca="false">IFERROR(MATCH("CE1-39",'REGISTRE ELEVES'!$AG$10:$AG$250,0),"")</f>
        <v/>
      </c>
      <c r="AG159" s="51" t="str">
        <f aca="false">IF(AF159="","",INDEX('REGISTRE ELEVES'!$B$10:$B$250,AF159))</f>
        <v/>
      </c>
      <c r="AH159" s="51" t="str">
        <f aca="false">IF(AF159="","",INDEX('REGISTRE ELEVES'!$D$10:$D$250,AF159))</f>
        <v/>
      </c>
      <c r="AI159" s="51" t="str">
        <f aca="false">IF(AF159="","",INDEX('REGISTRE ELEVES'!$E$10:$E$250,AF159))</f>
        <v/>
      </c>
      <c r="AJ159" s="51" t="str">
        <f aca="false">IF(AG159="","",IFERROR(CHOOSE($P$8,INDEX('NOTES CE1'!$M$10:$M$250,MATCH(AG159,'NOTES CE1'!$B$10:$B$250,0)),INDEX('NOTES CE1'!$T$10:$T$250,MATCH(AG159,'NOTES CE1'!$B$10:$B$250,0)),INDEX('NOTES CE1'!$AA$10:$AA$250,MATCH(AG159,'NOTES CE1'!$B$10:$B$250,0)),INDEX('NOTES CE1'!$AH$10:$AH$250,MATCH(AG159,'NOTES CE1'!$B$10:$B$250,0))),""))</f>
        <v/>
      </c>
      <c r="AK159" s="51" t="str">
        <f aca="false">IF(ISNUMBER(AJ159),AJ159+(1000-39)/1000000,"")</f>
        <v/>
      </c>
      <c r="AL159" s="51" t="str">
        <f aca="false">IF(AG159="","",IFERROR(CHOOSE($P$8,INDEX('NOTES CE1'!$G$10:$G$250,MATCH(AG159,'NOTES CE1'!$B$10:$B$250,0)),INDEX('NOTES CE1'!$N$10:$N$250,MATCH(AG159,'NOTES CE1'!$B$10:$B$250,0)),INDEX('NOTES CE1'!$U$10:$U$250,MATCH(AG159,'NOTES CE1'!$B$10:$B$250,0)),INDEX('NOTES CE1'!$AB$10:$AB$250,MATCH(AG159,'NOTES CE1'!$B$10:$B$250,0))),""))</f>
        <v/>
      </c>
      <c r="AM159" s="51" t="str">
        <f aca="false">IFERROR(MATCH("CE2-39",'REGISTRE ELEVES'!$AG$10:$AG$250,0),"")</f>
        <v/>
      </c>
      <c r="AN159" s="51" t="str">
        <f aca="false">IF(AM159="","",INDEX('REGISTRE ELEVES'!$B$10:$B$250,AM159))</f>
        <v/>
      </c>
      <c r="AO159" s="51" t="str">
        <f aca="false">IF(AM159="","",INDEX('REGISTRE ELEVES'!$D$10:$D$250,AM159))</f>
        <v/>
      </c>
      <c r="AP159" s="51" t="str">
        <f aca="false">IF(AM159="","",INDEX('REGISTRE ELEVES'!$E$10:$E$250,AM159))</f>
        <v/>
      </c>
      <c r="AQ159" s="51" t="str">
        <f aca="false">IF(AN159="","",IFERROR(CHOOSE($P$8,INDEX('NOTES CE2-CM1'!$M$10:$M$250,MATCH(AN159,'NOTES CE2-CM1'!$B$10:$B$250,0)),INDEX('NOTES CE2-CM1'!$T$10:$T$250,MATCH(AN159,'NOTES CE2-CM1'!$B$10:$B$250,0)),INDEX('NOTES CE2-CM1'!$AA$10:$AA$250,MATCH(AN159,'NOTES CE2-CM1'!$B$10:$B$250,0)),INDEX('NOTES CE2-CM1'!$AH$10:$AH$250,MATCH(AN159,'NOTES CE2-CM1'!$B$10:$B$250,0))),""))</f>
        <v/>
      </c>
      <c r="AR159" s="51" t="str">
        <f aca="false">IF(ISNUMBER(AQ159),AQ159+(1000-39)/1000000,"")</f>
        <v/>
      </c>
      <c r="AS159" s="51" t="str">
        <f aca="false">IF(AN159="","",IFERROR(CHOOSE($P$8,INDEX('NOTES CE2-CM1'!$G$10:$G$250,MATCH(AN159,'NOTES CE2-CM1'!$B$10:$B$250,0)),INDEX('NOTES CE2-CM1'!$N$10:$N$250,MATCH(AN159,'NOTES CE2-CM1'!$B$10:$B$250,0)),INDEX('NOTES CE2-CM1'!$U$10:$U$250,MATCH(AN159,'NOTES CE2-CM1'!$B$10:$B$250,0)),INDEX('NOTES CE2-CM1'!$AB$10:$AB$250,MATCH(AN159,'NOTES CE2-CM1'!$B$10:$B$250,0))),""))</f>
        <v/>
      </c>
      <c r="AT159" s="51" t="str">
        <f aca="false">IFERROR(MATCH("CM1-39",'REGISTRE ELEVES'!$AG$10:$AG$250,0),"")</f>
        <v/>
      </c>
      <c r="AU159" s="51" t="str">
        <f aca="false">IF(AT159="","",INDEX('REGISTRE ELEVES'!$B$10:$B$250,AT159))</f>
        <v/>
      </c>
      <c r="AV159" s="51" t="str">
        <f aca="false">IF(AT159="","",INDEX('REGISTRE ELEVES'!$D$10:$D$250,AT159))</f>
        <v/>
      </c>
      <c r="AW159" s="51" t="str">
        <f aca="false">IF(AT159="","",INDEX('REGISTRE ELEVES'!$E$10:$E$250,AT159))</f>
        <v/>
      </c>
      <c r="AX159" s="51" t="str">
        <f aca="false">IF(AU159="","",IFERROR(CHOOSE($P$8,INDEX('NOTES CE2-CM1'!$M$10:$M$250,MATCH(AU159,'NOTES CE2-CM1'!$B$10:$B$250,0)),INDEX('NOTES CE2-CM1'!$T$10:$T$250,MATCH(AU159,'NOTES CE2-CM1'!$B$10:$B$250,0)),INDEX('NOTES CE2-CM1'!$AA$10:$AA$250,MATCH(AU159,'NOTES CE2-CM1'!$B$10:$B$250,0)),INDEX('NOTES CE2-CM1'!$AH$10:$AH$250,MATCH(AU159,'NOTES CE2-CM1'!$B$10:$B$250,0))),""))</f>
        <v/>
      </c>
      <c r="AY159" s="51" t="str">
        <f aca="false">IF(ISNUMBER(AX159),AX159+(1000-39)/1000000,"")</f>
        <v/>
      </c>
      <c r="AZ159" s="51" t="str">
        <f aca="false">IF(AU159="","",IFERROR(CHOOSE($P$8,INDEX('NOTES CE2-CM1'!$G$10:$G$250,MATCH(AU159,'NOTES CE2-CM1'!$B$10:$B$250,0)),INDEX('NOTES CE2-CM1'!$N$10:$N$250,MATCH(AU159,'NOTES CE2-CM1'!$B$10:$B$250,0)),INDEX('NOTES CE2-CM1'!$U$10:$U$250,MATCH(AU159,'NOTES CE2-CM1'!$B$10:$B$250,0)),INDEX('NOTES CE2-CM1'!$AB$10:$AB$250,MATCH(AU159,'NOTES CE2-CM1'!$B$10:$B$250,0))),""))</f>
        <v/>
      </c>
      <c r="BA159" s="51" t="str">
        <f aca="false">IFERROR(MATCH("CM2-39",'REGISTRE ELEVES'!$AG$10:$AG$250,0),"")</f>
        <v/>
      </c>
      <c r="BB159" s="51" t="str">
        <f aca="false">IF(BA159="","",INDEX('REGISTRE ELEVES'!$B$10:$B$250,BA159))</f>
        <v/>
      </c>
      <c r="BC159" s="51" t="str">
        <f aca="false">IF(BA159="","",INDEX('REGISTRE ELEVES'!$D$10:$D$250,BA159))</f>
        <v/>
      </c>
      <c r="BD159" s="51" t="str">
        <f aca="false">IF(BA159="","",INDEX('REGISTRE ELEVES'!$E$10:$E$250,BA159))</f>
        <v/>
      </c>
      <c r="BE159" s="51" t="str">
        <f aca="false">IF(BB159="","",IFERROR(CHOOSE($P$10,INDEX('NOTES CM2'!$M$10:$M$250,MATCH(BB159,'NOTES CM2'!$B$10:$B$250,0)),INDEX('NOTES CM2'!$T$10:$T$250,MATCH(BB159,'NOTES CM2'!$B$10:$B$250,0)),INDEX('NOTES CM2'!$AB$10:$AB$250,MATCH(BB159,'NOTES CM2'!$B$10:$B$250,0)),INDEX('NOTES CM2'!$AJ$10:$AJ$250,MATCH(BB159,'NOTES CM2'!$B$10:$B$250,0))),""))</f>
        <v/>
      </c>
      <c r="BF159" s="51" t="str">
        <f aca="false">IF(ISNUMBER(BE159),BE159+(1000-39)/1000000,"")</f>
        <v/>
      </c>
      <c r="BG159" s="51" t="str">
        <f aca="false">IF(BB159="","",IFERROR(CHOOSE($P$10,INDEX('NOTES CM2'!$G$10:$G$250,MATCH(BB159,'NOTES CM2'!$B$10:$B$250,0)),INDEX('NOTES CM2'!$N$10:$N$250,MATCH(BB159,'NOTES CM2'!$B$10:$B$250,0)),INDEX('NOTES CM2'!$U$10:$U$250,MATCH(BB159,'NOTES CM2'!$B$10:$B$250,0)),INDEX('NOTES CM2'!$AC$10:$AC$250,MATCH(BB159,'NOTES CM2'!$B$10:$B$250,0))),""))</f>
        <v/>
      </c>
    </row>
    <row r="160" customFormat="false" ht="15" hidden="false" customHeight="false" outlineLevel="0" collapsed="false">
      <c r="R160" s="51" t="str">
        <f aca="false">IFERROR(MATCH("CP1-40",'REGISTRE ELEVES'!$AG$10:$AG$250,0),"")</f>
        <v/>
      </c>
      <c r="S160" s="51" t="str">
        <f aca="false">IF(R160="","",INDEX('REGISTRE ELEVES'!$B$10:$B$250,R160))</f>
        <v/>
      </c>
      <c r="T160" s="51" t="str">
        <f aca="false">IF(R160="","",INDEX('REGISTRE ELEVES'!$D$10:$D$250,R160))</f>
        <v/>
      </c>
      <c r="U160" s="51" t="str">
        <f aca="false">IF(R160="","",INDEX('REGISTRE ELEVES'!$E$10:$E$250,R160))</f>
        <v/>
      </c>
      <c r="V160" s="51" t="str">
        <f aca="false">IF(S160="","",IFERROR(CHOOSE($P$8,INDEX('NOTES CP'!$P$10:$P$250,MATCH(S160,'NOTES CP'!$B$10:$B$250,0)),INDEX('NOTES CP'!$Z$10:$Z$250,MATCH(S160,'NOTES CP'!$B$10:$B$250,0)),INDEX('NOTES CP'!$AJ$10:$AJ$250,MATCH(S160,'NOTES CP'!$B$10:$B$250,0)),INDEX('NOTES CP'!$AT$10:$AT$250,MATCH(S160,'NOTES CP'!$B$10:$B$250,0))),""))</f>
        <v/>
      </c>
      <c r="W160" s="51" t="str">
        <f aca="false">IF(ISNUMBER(V160),V160+(1000-40)/1000000,"")</f>
        <v/>
      </c>
      <c r="X160" s="51" t="str">
        <f aca="false">IF(S160="","",IFERROR(CHOOSE($P$8,INDEX('NOTES CP'!$G$10:$G$250,MATCH(S160,'NOTES CP'!$B$10:$B$250,0)),INDEX('NOTES CP'!$Q$10:$Q$250,MATCH(S160,'NOTES CP'!$B$10:$B$250,0)),INDEX('NOTES CP'!$AA$10:$AA$250,MATCH(S160,'NOTES CP'!$B$10:$B$250,0)),INDEX('NOTES CP'!$AK$10:$AK$250,MATCH(S160,'NOTES CP'!$B$10:$B$250,0))),""))</f>
        <v/>
      </c>
      <c r="Y160" s="51" t="str">
        <f aca="false">IFERROR(MATCH("CP2-40",'REGISTRE ELEVES'!$AG$10:$AG$250,0),"")</f>
        <v/>
      </c>
      <c r="Z160" s="51" t="str">
        <f aca="false">IF(Y160="","",INDEX('REGISTRE ELEVES'!$B$10:$B$250,Y160))</f>
        <v/>
      </c>
      <c r="AA160" s="51" t="str">
        <f aca="false">IF(Y160="","",INDEX('REGISTRE ELEVES'!$D$10:$D$250,Y160))</f>
        <v/>
      </c>
      <c r="AB160" s="51" t="str">
        <f aca="false">IF(Y160="","",INDEX('REGISTRE ELEVES'!$E$10:$E$250,Y160))</f>
        <v/>
      </c>
      <c r="AC160" s="51" t="str">
        <f aca="false">IF(Z160="","",IFERROR(CHOOSE($P$8,INDEX('NOTES CP'!$P$10:$P$250,MATCH(Z160,'NOTES CP'!$B$10:$B$250,0)),INDEX('NOTES CP'!$Z$10:$Z$250,MATCH(Z160,'NOTES CP'!$B$10:$B$250,0)),INDEX('NOTES CP'!$AJ$10:$AJ$250,MATCH(Z160,'NOTES CP'!$B$10:$B$250,0)),INDEX('NOTES CP'!$AT$10:$AT$250,MATCH(Z160,'NOTES CP'!$B$10:$B$250,0))),""))</f>
        <v/>
      </c>
      <c r="AD160" s="51" t="str">
        <f aca="false">IF(ISNUMBER(AC160),AC160+(1000-40)/1000000,"")</f>
        <v/>
      </c>
      <c r="AE160" s="51" t="str">
        <f aca="false">IF(Z160="","",IFERROR(CHOOSE($P$8,INDEX('NOTES CP'!$G$10:$G$250,MATCH(Z160,'NOTES CP'!$B$10:$B$250,0)),INDEX('NOTES CP'!$Q$10:$Q$250,MATCH(Z160,'NOTES CP'!$B$10:$B$250,0)),INDEX('NOTES CP'!$AA$10:$AA$250,MATCH(Z160,'NOTES CP'!$B$10:$B$250,0)),INDEX('NOTES CP'!$AK$10:$AK$250,MATCH(Z160,'NOTES CP'!$B$10:$B$250,0))),""))</f>
        <v/>
      </c>
      <c r="AF160" s="51" t="str">
        <f aca="false">IFERROR(MATCH("CE1-40",'REGISTRE ELEVES'!$AG$10:$AG$250,0),"")</f>
        <v/>
      </c>
      <c r="AG160" s="51" t="str">
        <f aca="false">IF(AF160="","",INDEX('REGISTRE ELEVES'!$B$10:$B$250,AF160))</f>
        <v/>
      </c>
      <c r="AH160" s="51" t="str">
        <f aca="false">IF(AF160="","",INDEX('REGISTRE ELEVES'!$D$10:$D$250,AF160))</f>
        <v/>
      </c>
      <c r="AI160" s="51" t="str">
        <f aca="false">IF(AF160="","",INDEX('REGISTRE ELEVES'!$E$10:$E$250,AF160))</f>
        <v/>
      </c>
      <c r="AJ160" s="51" t="str">
        <f aca="false">IF(AG160="","",IFERROR(CHOOSE($P$8,INDEX('NOTES CE1'!$M$10:$M$250,MATCH(AG160,'NOTES CE1'!$B$10:$B$250,0)),INDEX('NOTES CE1'!$T$10:$T$250,MATCH(AG160,'NOTES CE1'!$B$10:$B$250,0)),INDEX('NOTES CE1'!$AA$10:$AA$250,MATCH(AG160,'NOTES CE1'!$B$10:$B$250,0)),INDEX('NOTES CE1'!$AH$10:$AH$250,MATCH(AG160,'NOTES CE1'!$B$10:$B$250,0))),""))</f>
        <v/>
      </c>
      <c r="AK160" s="51" t="str">
        <f aca="false">IF(ISNUMBER(AJ160),AJ160+(1000-40)/1000000,"")</f>
        <v/>
      </c>
      <c r="AL160" s="51" t="str">
        <f aca="false">IF(AG160="","",IFERROR(CHOOSE($P$8,INDEX('NOTES CE1'!$G$10:$G$250,MATCH(AG160,'NOTES CE1'!$B$10:$B$250,0)),INDEX('NOTES CE1'!$N$10:$N$250,MATCH(AG160,'NOTES CE1'!$B$10:$B$250,0)),INDEX('NOTES CE1'!$U$10:$U$250,MATCH(AG160,'NOTES CE1'!$B$10:$B$250,0)),INDEX('NOTES CE1'!$AB$10:$AB$250,MATCH(AG160,'NOTES CE1'!$B$10:$B$250,0))),""))</f>
        <v/>
      </c>
      <c r="AM160" s="51" t="str">
        <f aca="false">IFERROR(MATCH("CE2-40",'REGISTRE ELEVES'!$AG$10:$AG$250,0),"")</f>
        <v/>
      </c>
      <c r="AN160" s="51" t="str">
        <f aca="false">IF(AM160="","",INDEX('REGISTRE ELEVES'!$B$10:$B$250,AM160))</f>
        <v/>
      </c>
      <c r="AO160" s="51" t="str">
        <f aca="false">IF(AM160="","",INDEX('REGISTRE ELEVES'!$D$10:$D$250,AM160))</f>
        <v/>
      </c>
      <c r="AP160" s="51" t="str">
        <f aca="false">IF(AM160="","",INDEX('REGISTRE ELEVES'!$E$10:$E$250,AM160))</f>
        <v/>
      </c>
      <c r="AQ160" s="51" t="str">
        <f aca="false">IF(AN160="","",IFERROR(CHOOSE($P$8,INDEX('NOTES CE2-CM1'!$M$10:$M$250,MATCH(AN160,'NOTES CE2-CM1'!$B$10:$B$250,0)),INDEX('NOTES CE2-CM1'!$T$10:$T$250,MATCH(AN160,'NOTES CE2-CM1'!$B$10:$B$250,0)),INDEX('NOTES CE2-CM1'!$AA$10:$AA$250,MATCH(AN160,'NOTES CE2-CM1'!$B$10:$B$250,0)),INDEX('NOTES CE2-CM1'!$AH$10:$AH$250,MATCH(AN160,'NOTES CE2-CM1'!$B$10:$B$250,0))),""))</f>
        <v/>
      </c>
      <c r="AR160" s="51" t="str">
        <f aca="false">IF(ISNUMBER(AQ160),AQ160+(1000-40)/1000000,"")</f>
        <v/>
      </c>
      <c r="AS160" s="51" t="str">
        <f aca="false">IF(AN160="","",IFERROR(CHOOSE($P$8,INDEX('NOTES CE2-CM1'!$G$10:$G$250,MATCH(AN160,'NOTES CE2-CM1'!$B$10:$B$250,0)),INDEX('NOTES CE2-CM1'!$N$10:$N$250,MATCH(AN160,'NOTES CE2-CM1'!$B$10:$B$250,0)),INDEX('NOTES CE2-CM1'!$U$10:$U$250,MATCH(AN160,'NOTES CE2-CM1'!$B$10:$B$250,0)),INDEX('NOTES CE2-CM1'!$AB$10:$AB$250,MATCH(AN160,'NOTES CE2-CM1'!$B$10:$B$250,0))),""))</f>
        <v/>
      </c>
      <c r="AT160" s="51" t="str">
        <f aca="false">IFERROR(MATCH("CM1-40",'REGISTRE ELEVES'!$AG$10:$AG$250,0),"")</f>
        <v/>
      </c>
      <c r="AU160" s="51" t="str">
        <f aca="false">IF(AT160="","",INDEX('REGISTRE ELEVES'!$B$10:$B$250,AT160))</f>
        <v/>
      </c>
      <c r="AV160" s="51" t="str">
        <f aca="false">IF(AT160="","",INDEX('REGISTRE ELEVES'!$D$10:$D$250,AT160))</f>
        <v/>
      </c>
      <c r="AW160" s="51" t="str">
        <f aca="false">IF(AT160="","",INDEX('REGISTRE ELEVES'!$E$10:$E$250,AT160))</f>
        <v/>
      </c>
      <c r="AX160" s="51" t="str">
        <f aca="false">IF(AU160="","",IFERROR(CHOOSE($P$8,INDEX('NOTES CE2-CM1'!$M$10:$M$250,MATCH(AU160,'NOTES CE2-CM1'!$B$10:$B$250,0)),INDEX('NOTES CE2-CM1'!$T$10:$T$250,MATCH(AU160,'NOTES CE2-CM1'!$B$10:$B$250,0)),INDEX('NOTES CE2-CM1'!$AA$10:$AA$250,MATCH(AU160,'NOTES CE2-CM1'!$B$10:$B$250,0)),INDEX('NOTES CE2-CM1'!$AH$10:$AH$250,MATCH(AU160,'NOTES CE2-CM1'!$B$10:$B$250,0))),""))</f>
        <v/>
      </c>
      <c r="AY160" s="51" t="str">
        <f aca="false">IF(ISNUMBER(AX160),AX160+(1000-40)/1000000,"")</f>
        <v/>
      </c>
      <c r="AZ160" s="51" t="str">
        <f aca="false">IF(AU160="","",IFERROR(CHOOSE($P$8,INDEX('NOTES CE2-CM1'!$G$10:$G$250,MATCH(AU160,'NOTES CE2-CM1'!$B$10:$B$250,0)),INDEX('NOTES CE2-CM1'!$N$10:$N$250,MATCH(AU160,'NOTES CE2-CM1'!$B$10:$B$250,0)),INDEX('NOTES CE2-CM1'!$U$10:$U$250,MATCH(AU160,'NOTES CE2-CM1'!$B$10:$B$250,0)),INDEX('NOTES CE2-CM1'!$AB$10:$AB$250,MATCH(AU160,'NOTES CE2-CM1'!$B$10:$B$250,0))),""))</f>
        <v/>
      </c>
      <c r="BA160" s="51" t="str">
        <f aca="false">IFERROR(MATCH("CM2-40",'REGISTRE ELEVES'!$AG$10:$AG$250,0),"")</f>
        <v/>
      </c>
      <c r="BB160" s="51" t="str">
        <f aca="false">IF(BA160="","",INDEX('REGISTRE ELEVES'!$B$10:$B$250,BA160))</f>
        <v/>
      </c>
      <c r="BC160" s="51" t="str">
        <f aca="false">IF(BA160="","",INDEX('REGISTRE ELEVES'!$D$10:$D$250,BA160))</f>
        <v/>
      </c>
      <c r="BD160" s="51" t="str">
        <f aca="false">IF(BA160="","",INDEX('REGISTRE ELEVES'!$E$10:$E$250,BA160))</f>
        <v/>
      </c>
      <c r="BE160" s="51" t="str">
        <f aca="false">IF(BB160="","",IFERROR(CHOOSE($P$10,INDEX('NOTES CM2'!$M$10:$M$250,MATCH(BB160,'NOTES CM2'!$B$10:$B$250,0)),INDEX('NOTES CM2'!$T$10:$T$250,MATCH(BB160,'NOTES CM2'!$B$10:$B$250,0)),INDEX('NOTES CM2'!$AB$10:$AB$250,MATCH(BB160,'NOTES CM2'!$B$10:$B$250,0)),INDEX('NOTES CM2'!$AJ$10:$AJ$250,MATCH(BB160,'NOTES CM2'!$B$10:$B$250,0))),""))</f>
        <v/>
      </c>
      <c r="BF160" s="51" t="str">
        <f aca="false">IF(ISNUMBER(BE160),BE160+(1000-40)/1000000,"")</f>
        <v/>
      </c>
      <c r="BG160" s="51" t="str">
        <f aca="false">IF(BB160="","",IFERROR(CHOOSE($P$10,INDEX('NOTES CM2'!$G$10:$G$250,MATCH(BB160,'NOTES CM2'!$B$10:$B$250,0)),INDEX('NOTES CM2'!$N$10:$N$250,MATCH(BB160,'NOTES CM2'!$B$10:$B$250,0)),INDEX('NOTES CM2'!$U$10:$U$250,MATCH(BB160,'NOTES CM2'!$B$10:$B$250,0)),INDEX('NOTES CM2'!$AC$10:$AC$250,MATCH(BB160,'NOTES CM2'!$B$10:$B$250,0))),""))</f>
        <v/>
      </c>
    </row>
    <row r="161" customFormat="false" ht="15" hidden="false" customHeight="false" outlineLevel="0" collapsed="false">
      <c r="R161" s="51" t="str">
        <f aca="false">IFERROR(MATCH("CP1-41",'REGISTRE ELEVES'!$AG$10:$AG$250,0),"")</f>
        <v/>
      </c>
      <c r="S161" s="51" t="str">
        <f aca="false">IF(R161="","",INDEX('REGISTRE ELEVES'!$B$10:$B$250,R161))</f>
        <v/>
      </c>
      <c r="T161" s="51" t="str">
        <f aca="false">IF(R161="","",INDEX('REGISTRE ELEVES'!$D$10:$D$250,R161))</f>
        <v/>
      </c>
      <c r="U161" s="51" t="str">
        <f aca="false">IF(R161="","",INDEX('REGISTRE ELEVES'!$E$10:$E$250,R161))</f>
        <v/>
      </c>
      <c r="V161" s="51" t="str">
        <f aca="false">IF(S161="","",IFERROR(CHOOSE($P$8,INDEX('NOTES CP'!$P$10:$P$250,MATCH(S161,'NOTES CP'!$B$10:$B$250,0)),INDEX('NOTES CP'!$Z$10:$Z$250,MATCH(S161,'NOTES CP'!$B$10:$B$250,0)),INDEX('NOTES CP'!$AJ$10:$AJ$250,MATCH(S161,'NOTES CP'!$B$10:$B$250,0)),INDEX('NOTES CP'!$AT$10:$AT$250,MATCH(S161,'NOTES CP'!$B$10:$B$250,0))),""))</f>
        <v/>
      </c>
      <c r="W161" s="51" t="str">
        <f aca="false">IF(ISNUMBER(V161),V161+(1000-41)/1000000,"")</f>
        <v/>
      </c>
      <c r="X161" s="51" t="str">
        <f aca="false">IF(S161="","",IFERROR(CHOOSE($P$8,INDEX('NOTES CP'!$G$10:$G$250,MATCH(S161,'NOTES CP'!$B$10:$B$250,0)),INDEX('NOTES CP'!$Q$10:$Q$250,MATCH(S161,'NOTES CP'!$B$10:$B$250,0)),INDEX('NOTES CP'!$AA$10:$AA$250,MATCH(S161,'NOTES CP'!$B$10:$B$250,0)),INDEX('NOTES CP'!$AK$10:$AK$250,MATCH(S161,'NOTES CP'!$B$10:$B$250,0))),""))</f>
        <v/>
      </c>
      <c r="Y161" s="51" t="str">
        <f aca="false">IFERROR(MATCH("CP2-41",'REGISTRE ELEVES'!$AG$10:$AG$250,0),"")</f>
        <v/>
      </c>
      <c r="Z161" s="51" t="str">
        <f aca="false">IF(Y161="","",INDEX('REGISTRE ELEVES'!$B$10:$B$250,Y161))</f>
        <v/>
      </c>
      <c r="AA161" s="51" t="str">
        <f aca="false">IF(Y161="","",INDEX('REGISTRE ELEVES'!$D$10:$D$250,Y161))</f>
        <v/>
      </c>
      <c r="AB161" s="51" t="str">
        <f aca="false">IF(Y161="","",INDEX('REGISTRE ELEVES'!$E$10:$E$250,Y161))</f>
        <v/>
      </c>
      <c r="AC161" s="51" t="str">
        <f aca="false">IF(Z161="","",IFERROR(CHOOSE($P$8,INDEX('NOTES CP'!$P$10:$P$250,MATCH(Z161,'NOTES CP'!$B$10:$B$250,0)),INDEX('NOTES CP'!$Z$10:$Z$250,MATCH(Z161,'NOTES CP'!$B$10:$B$250,0)),INDEX('NOTES CP'!$AJ$10:$AJ$250,MATCH(Z161,'NOTES CP'!$B$10:$B$250,0)),INDEX('NOTES CP'!$AT$10:$AT$250,MATCH(Z161,'NOTES CP'!$B$10:$B$250,0))),""))</f>
        <v/>
      </c>
      <c r="AD161" s="51" t="str">
        <f aca="false">IF(ISNUMBER(AC161),AC161+(1000-41)/1000000,"")</f>
        <v/>
      </c>
      <c r="AE161" s="51" t="str">
        <f aca="false">IF(Z161="","",IFERROR(CHOOSE($P$8,INDEX('NOTES CP'!$G$10:$G$250,MATCH(Z161,'NOTES CP'!$B$10:$B$250,0)),INDEX('NOTES CP'!$Q$10:$Q$250,MATCH(Z161,'NOTES CP'!$B$10:$B$250,0)),INDEX('NOTES CP'!$AA$10:$AA$250,MATCH(Z161,'NOTES CP'!$B$10:$B$250,0)),INDEX('NOTES CP'!$AK$10:$AK$250,MATCH(Z161,'NOTES CP'!$B$10:$B$250,0))),""))</f>
        <v/>
      </c>
      <c r="AF161" s="51" t="str">
        <f aca="false">IFERROR(MATCH("CE1-41",'REGISTRE ELEVES'!$AG$10:$AG$250,0),"")</f>
        <v/>
      </c>
      <c r="AG161" s="51" t="str">
        <f aca="false">IF(AF161="","",INDEX('REGISTRE ELEVES'!$B$10:$B$250,AF161))</f>
        <v/>
      </c>
      <c r="AH161" s="51" t="str">
        <f aca="false">IF(AF161="","",INDEX('REGISTRE ELEVES'!$D$10:$D$250,AF161))</f>
        <v/>
      </c>
      <c r="AI161" s="51" t="str">
        <f aca="false">IF(AF161="","",INDEX('REGISTRE ELEVES'!$E$10:$E$250,AF161))</f>
        <v/>
      </c>
      <c r="AJ161" s="51" t="str">
        <f aca="false">IF(AG161="","",IFERROR(CHOOSE($P$8,INDEX('NOTES CE1'!$M$10:$M$250,MATCH(AG161,'NOTES CE1'!$B$10:$B$250,0)),INDEX('NOTES CE1'!$T$10:$T$250,MATCH(AG161,'NOTES CE1'!$B$10:$B$250,0)),INDEX('NOTES CE1'!$AA$10:$AA$250,MATCH(AG161,'NOTES CE1'!$B$10:$B$250,0)),INDEX('NOTES CE1'!$AH$10:$AH$250,MATCH(AG161,'NOTES CE1'!$B$10:$B$250,0))),""))</f>
        <v/>
      </c>
      <c r="AK161" s="51" t="str">
        <f aca="false">IF(ISNUMBER(AJ161),AJ161+(1000-41)/1000000,"")</f>
        <v/>
      </c>
      <c r="AL161" s="51" t="str">
        <f aca="false">IF(AG161="","",IFERROR(CHOOSE($P$8,INDEX('NOTES CE1'!$G$10:$G$250,MATCH(AG161,'NOTES CE1'!$B$10:$B$250,0)),INDEX('NOTES CE1'!$N$10:$N$250,MATCH(AG161,'NOTES CE1'!$B$10:$B$250,0)),INDEX('NOTES CE1'!$U$10:$U$250,MATCH(AG161,'NOTES CE1'!$B$10:$B$250,0)),INDEX('NOTES CE1'!$AB$10:$AB$250,MATCH(AG161,'NOTES CE1'!$B$10:$B$250,0))),""))</f>
        <v/>
      </c>
      <c r="AM161" s="51" t="str">
        <f aca="false">IFERROR(MATCH("CE2-41",'REGISTRE ELEVES'!$AG$10:$AG$250,0),"")</f>
        <v/>
      </c>
      <c r="AN161" s="51" t="str">
        <f aca="false">IF(AM161="","",INDEX('REGISTRE ELEVES'!$B$10:$B$250,AM161))</f>
        <v/>
      </c>
      <c r="AO161" s="51" t="str">
        <f aca="false">IF(AM161="","",INDEX('REGISTRE ELEVES'!$D$10:$D$250,AM161))</f>
        <v/>
      </c>
      <c r="AP161" s="51" t="str">
        <f aca="false">IF(AM161="","",INDEX('REGISTRE ELEVES'!$E$10:$E$250,AM161))</f>
        <v/>
      </c>
      <c r="AQ161" s="51" t="str">
        <f aca="false">IF(AN161="","",IFERROR(CHOOSE($P$8,INDEX('NOTES CE2-CM1'!$M$10:$M$250,MATCH(AN161,'NOTES CE2-CM1'!$B$10:$B$250,0)),INDEX('NOTES CE2-CM1'!$T$10:$T$250,MATCH(AN161,'NOTES CE2-CM1'!$B$10:$B$250,0)),INDEX('NOTES CE2-CM1'!$AA$10:$AA$250,MATCH(AN161,'NOTES CE2-CM1'!$B$10:$B$250,0)),INDEX('NOTES CE2-CM1'!$AH$10:$AH$250,MATCH(AN161,'NOTES CE2-CM1'!$B$10:$B$250,0))),""))</f>
        <v/>
      </c>
      <c r="AR161" s="51" t="str">
        <f aca="false">IF(ISNUMBER(AQ161),AQ161+(1000-41)/1000000,"")</f>
        <v/>
      </c>
      <c r="AS161" s="51" t="str">
        <f aca="false">IF(AN161="","",IFERROR(CHOOSE($P$8,INDEX('NOTES CE2-CM1'!$G$10:$G$250,MATCH(AN161,'NOTES CE2-CM1'!$B$10:$B$250,0)),INDEX('NOTES CE2-CM1'!$N$10:$N$250,MATCH(AN161,'NOTES CE2-CM1'!$B$10:$B$250,0)),INDEX('NOTES CE2-CM1'!$U$10:$U$250,MATCH(AN161,'NOTES CE2-CM1'!$B$10:$B$250,0)),INDEX('NOTES CE2-CM1'!$AB$10:$AB$250,MATCH(AN161,'NOTES CE2-CM1'!$B$10:$B$250,0))),""))</f>
        <v/>
      </c>
      <c r="AT161" s="51" t="str">
        <f aca="false">IFERROR(MATCH("CM1-41",'REGISTRE ELEVES'!$AG$10:$AG$250,0),"")</f>
        <v/>
      </c>
      <c r="AU161" s="51" t="str">
        <f aca="false">IF(AT161="","",INDEX('REGISTRE ELEVES'!$B$10:$B$250,AT161))</f>
        <v/>
      </c>
      <c r="AV161" s="51" t="str">
        <f aca="false">IF(AT161="","",INDEX('REGISTRE ELEVES'!$D$10:$D$250,AT161))</f>
        <v/>
      </c>
      <c r="AW161" s="51" t="str">
        <f aca="false">IF(AT161="","",INDEX('REGISTRE ELEVES'!$E$10:$E$250,AT161))</f>
        <v/>
      </c>
      <c r="AX161" s="51" t="str">
        <f aca="false">IF(AU161="","",IFERROR(CHOOSE($P$8,INDEX('NOTES CE2-CM1'!$M$10:$M$250,MATCH(AU161,'NOTES CE2-CM1'!$B$10:$B$250,0)),INDEX('NOTES CE2-CM1'!$T$10:$T$250,MATCH(AU161,'NOTES CE2-CM1'!$B$10:$B$250,0)),INDEX('NOTES CE2-CM1'!$AA$10:$AA$250,MATCH(AU161,'NOTES CE2-CM1'!$B$10:$B$250,0)),INDEX('NOTES CE2-CM1'!$AH$10:$AH$250,MATCH(AU161,'NOTES CE2-CM1'!$B$10:$B$250,0))),""))</f>
        <v/>
      </c>
      <c r="AY161" s="51" t="str">
        <f aca="false">IF(ISNUMBER(AX161),AX161+(1000-41)/1000000,"")</f>
        <v/>
      </c>
      <c r="AZ161" s="51" t="str">
        <f aca="false">IF(AU161="","",IFERROR(CHOOSE($P$8,INDEX('NOTES CE2-CM1'!$G$10:$G$250,MATCH(AU161,'NOTES CE2-CM1'!$B$10:$B$250,0)),INDEX('NOTES CE2-CM1'!$N$10:$N$250,MATCH(AU161,'NOTES CE2-CM1'!$B$10:$B$250,0)),INDEX('NOTES CE2-CM1'!$U$10:$U$250,MATCH(AU161,'NOTES CE2-CM1'!$B$10:$B$250,0)),INDEX('NOTES CE2-CM1'!$AB$10:$AB$250,MATCH(AU161,'NOTES CE2-CM1'!$B$10:$B$250,0))),""))</f>
        <v/>
      </c>
      <c r="BA161" s="51" t="str">
        <f aca="false">IFERROR(MATCH("CM2-41",'REGISTRE ELEVES'!$AG$10:$AG$250,0),"")</f>
        <v/>
      </c>
      <c r="BB161" s="51" t="str">
        <f aca="false">IF(BA161="","",INDEX('REGISTRE ELEVES'!$B$10:$B$250,BA161))</f>
        <v/>
      </c>
      <c r="BC161" s="51" t="str">
        <f aca="false">IF(BA161="","",INDEX('REGISTRE ELEVES'!$D$10:$D$250,BA161))</f>
        <v/>
      </c>
      <c r="BD161" s="51" t="str">
        <f aca="false">IF(BA161="","",INDEX('REGISTRE ELEVES'!$E$10:$E$250,BA161))</f>
        <v/>
      </c>
      <c r="BE161" s="51" t="str">
        <f aca="false">IF(BB161="","",IFERROR(CHOOSE($P$10,INDEX('NOTES CM2'!$M$10:$M$250,MATCH(BB161,'NOTES CM2'!$B$10:$B$250,0)),INDEX('NOTES CM2'!$T$10:$T$250,MATCH(BB161,'NOTES CM2'!$B$10:$B$250,0)),INDEX('NOTES CM2'!$AB$10:$AB$250,MATCH(BB161,'NOTES CM2'!$B$10:$B$250,0)),INDEX('NOTES CM2'!$AJ$10:$AJ$250,MATCH(BB161,'NOTES CM2'!$B$10:$B$250,0))),""))</f>
        <v/>
      </c>
      <c r="BF161" s="51" t="str">
        <f aca="false">IF(ISNUMBER(BE161),BE161+(1000-41)/1000000,"")</f>
        <v/>
      </c>
      <c r="BG161" s="51" t="str">
        <f aca="false">IF(BB161="","",IFERROR(CHOOSE($P$10,INDEX('NOTES CM2'!$G$10:$G$250,MATCH(BB161,'NOTES CM2'!$B$10:$B$250,0)),INDEX('NOTES CM2'!$N$10:$N$250,MATCH(BB161,'NOTES CM2'!$B$10:$B$250,0)),INDEX('NOTES CM2'!$U$10:$U$250,MATCH(BB161,'NOTES CM2'!$B$10:$B$250,0)),INDEX('NOTES CM2'!$AC$10:$AC$250,MATCH(BB161,'NOTES CM2'!$B$10:$B$250,0))),""))</f>
        <v/>
      </c>
    </row>
    <row r="162" customFormat="false" ht="15" hidden="false" customHeight="false" outlineLevel="0" collapsed="false">
      <c r="R162" s="51" t="str">
        <f aca="false">IFERROR(MATCH("CP1-42",'REGISTRE ELEVES'!$AG$10:$AG$250,0),"")</f>
        <v/>
      </c>
      <c r="S162" s="51" t="str">
        <f aca="false">IF(R162="","",INDEX('REGISTRE ELEVES'!$B$10:$B$250,R162))</f>
        <v/>
      </c>
      <c r="T162" s="51" t="str">
        <f aca="false">IF(R162="","",INDEX('REGISTRE ELEVES'!$D$10:$D$250,R162))</f>
        <v/>
      </c>
      <c r="U162" s="51" t="str">
        <f aca="false">IF(R162="","",INDEX('REGISTRE ELEVES'!$E$10:$E$250,R162))</f>
        <v/>
      </c>
      <c r="V162" s="51" t="str">
        <f aca="false">IF(S162="","",IFERROR(CHOOSE($P$8,INDEX('NOTES CP'!$P$10:$P$250,MATCH(S162,'NOTES CP'!$B$10:$B$250,0)),INDEX('NOTES CP'!$Z$10:$Z$250,MATCH(S162,'NOTES CP'!$B$10:$B$250,0)),INDEX('NOTES CP'!$AJ$10:$AJ$250,MATCH(S162,'NOTES CP'!$B$10:$B$250,0)),INDEX('NOTES CP'!$AT$10:$AT$250,MATCH(S162,'NOTES CP'!$B$10:$B$250,0))),""))</f>
        <v/>
      </c>
      <c r="W162" s="51" t="str">
        <f aca="false">IF(ISNUMBER(V162),V162+(1000-42)/1000000,"")</f>
        <v/>
      </c>
      <c r="X162" s="51" t="str">
        <f aca="false">IF(S162="","",IFERROR(CHOOSE($P$8,INDEX('NOTES CP'!$G$10:$G$250,MATCH(S162,'NOTES CP'!$B$10:$B$250,0)),INDEX('NOTES CP'!$Q$10:$Q$250,MATCH(S162,'NOTES CP'!$B$10:$B$250,0)),INDEX('NOTES CP'!$AA$10:$AA$250,MATCH(S162,'NOTES CP'!$B$10:$B$250,0)),INDEX('NOTES CP'!$AK$10:$AK$250,MATCH(S162,'NOTES CP'!$B$10:$B$250,0))),""))</f>
        <v/>
      </c>
      <c r="Y162" s="51" t="str">
        <f aca="false">IFERROR(MATCH("CP2-42",'REGISTRE ELEVES'!$AG$10:$AG$250,0),"")</f>
        <v/>
      </c>
      <c r="Z162" s="51" t="str">
        <f aca="false">IF(Y162="","",INDEX('REGISTRE ELEVES'!$B$10:$B$250,Y162))</f>
        <v/>
      </c>
      <c r="AA162" s="51" t="str">
        <f aca="false">IF(Y162="","",INDEX('REGISTRE ELEVES'!$D$10:$D$250,Y162))</f>
        <v/>
      </c>
      <c r="AB162" s="51" t="str">
        <f aca="false">IF(Y162="","",INDEX('REGISTRE ELEVES'!$E$10:$E$250,Y162))</f>
        <v/>
      </c>
      <c r="AC162" s="51" t="str">
        <f aca="false">IF(Z162="","",IFERROR(CHOOSE($P$8,INDEX('NOTES CP'!$P$10:$P$250,MATCH(Z162,'NOTES CP'!$B$10:$B$250,0)),INDEX('NOTES CP'!$Z$10:$Z$250,MATCH(Z162,'NOTES CP'!$B$10:$B$250,0)),INDEX('NOTES CP'!$AJ$10:$AJ$250,MATCH(Z162,'NOTES CP'!$B$10:$B$250,0)),INDEX('NOTES CP'!$AT$10:$AT$250,MATCH(Z162,'NOTES CP'!$B$10:$B$250,0))),""))</f>
        <v/>
      </c>
      <c r="AD162" s="51" t="str">
        <f aca="false">IF(ISNUMBER(AC162),AC162+(1000-42)/1000000,"")</f>
        <v/>
      </c>
      <c r="AE162" s="51" t="str">
        <f aca="false">IF(Z162="","",IFERROR(CHOOSE($P$8,INDEX('NOTES CP'!$G$10:$G$250,MATCH(Z162,'NOTES CP'!$B$10:$B$250,0)),INDEX('NOTES CP'!$Q$10:$Q$250,MATCH(Z162,'NOTES CP'!$B$10:$B$250,0)),INDEX('NOTES CP'!$AA$10:$AA$250,MATCH(Z162,'NOTES CP'!$B$10:$B$250,0)),INDEX('NOTES CP'!$AK$10:$AK$250,MATCH(Z162,'NOTES CP'!$B$10:$B$250,0))),""))</f>
        <v/>
      </c>
      <c r="AF162" s="51" t="str">
        <f aca="false">IFERROR(MATCH("CE1-42",'REGISTRE ELEVES'!$AG$10:$AG$250,0),"")</f>
        <v/>
      </c>
      <c r="AG162" s="51" t="str">
        <f aca="false">IF(AF162="","",INDEX('REGISTRE ELEVES'!$B$10:$B$250,AF162))</f>
        <v/>
      </c>
      <c r="AH162" s="51" t="str">
        <f aca="false">IF(AF162="","",INDEX('REGISTRE ELEVES'!$D$10:$D$250,AF162))</f>
        <v/>
      </c>
      <c r="AI162" s="51" t="str">
        <f aca="false">IF(AF162="","",INDEX('REGISTRE ELEVES'!$E$10:$E$250,AF162))</f>
        <v/>
      </c>
      <c r="AJ162" s="51" t="str">
        <f aca="false">IF(AG162="","",IFERROR(CHOOSE($P$8,INDEX('NOTES CE1'!$M$10:$M$250,MATCH(AG162,'NOTES CE1'!$B$10:$B$250,0)),INDEX('NOTES CE1'!$T$10:$T$250,MATCH(AG162,'NOTES CE1'!$B$10:$B$250,0)),INDEX('NOTES CE1'!$AA$10:$AA$250,MATCH(AG162,'NOTES CE1'!$B$10:$B$250,0)),INDEX('NOTES CE1'!$AH$10:$AH$250,MATCH(AG162,'NOTES CE1'!$B$10:$B$250,0))),""))</f>
        <v/>
      </c>
      <c r="AK162" s="51" t="str">
        <f aca="false">IF(ISNUMBER(AJ162),AJ162+(1000-42)/1000000,"")</f>
        <v/>
      </c>
      <c r="AL162" s="51" t="str">
        <f aca="false">IF(AG162="","",IFERROR(CHOOSE($P$8,INDEX('NOTES CE1'!$G$10:$G$250,MATCH(AG162,'NOTES CE1'!$B$10:$B$250,0)),INDEX('NOTES CE1'!$N$10:$N$250,MATCH(AG162,'NOTES CE1'!$B$10:$B$250,0)),INDEX('NOTES CE1'!$U$10:$U$250,MATCH(AG162,'NOTES CE1'!$B$10:$B$250,0)),INDEX('NOTES CE1'!$AB$10:$AB$250,MATCH(AG162,'NOTES CE1'!$B$10:$B$250,0))),""))</f>
        <v/>
      </c>
      <c r="AM162" s="51" t="str">
        <f aca="false">IFERROR(MATCH("CE2-42",'REGISTRE ELEVES'!$AG$10:$AG$250,0),"")</f>
        <v/>
      </c>
      <c r="AN162" s="51" t="str">
        <f aca="false">IF(AM162="","",INDEX('REGISTRE ELEVES'!$B$10:$B$250,AM162))</f>
        <v/>
      </c>
      <c r="AO162" s="51" t="str">
        <f aca="false">IF(AM162="","",INDEX('REGISTRE ELEVES'!$D$10:$D$250,AM162))</f>
        <v/>
      </c>
      <c r="AP162" s="51" t="str">
        <f aca="false">IF(AM162="","",INDEX('REGISTRE ELEVES'!$E$10:$E$250,AM162))</f>
        <v/>
      </c>
      <c r="AQ162" s="51" t="str">
        <f aca="false">IF(AN162="","",IFERROR(CHOOSE($P$8,INDEX('NOTES CE2-CM1'!$M$10:$M$250,MATCH(AN162,'NOTES CE2-CM1'!$B$10:$B$250,0)),INDEX('NOTES CE2-CM1'!$T$10:$T$250,MATCH(AN162,'NOTES CE2-CM1'!$B$10:$B$250,0)),INDEX('NOTES CE2-CM1'!$AA$10:$AA$250,MATCH(AN162,'NOTES CE2-CM1'!$B$10:$B$250,0)),INDEX('NOTES CE2-CM1'!$AH$10:$AH$250,MATCH(AN162,'NOTES CE2-CM1'!$B$10:$B$250,0))),""))</f>
        <v/>
      </c>
      <c r="AR162" s="51" t="str">
        <f aca="false">IF(ISNUMBER(AQ162),AQ162+(1000-42)/1000000,"")</f>
        <v/>
      </c>
      <c r="AS162" s="51" t="str">
        <f aca="false">IF(AN162="","",IFERROR(CHOOSE($P$8,INDEX('NOTES CE2-CM1'!$G$10:$G$250,MATCH(AN162,'NOTES CE2-CM1'!$B$10:$B$250,0)),INDEX('NOTES CE2-CM1'!$N$10:$N$250,MATCH(AN162,'NOTES CE2-CM1'!$B$10:$B$250,0)),INDEX('NOTES CE2-CM1'!$U$10:$U$250,MATCH(AN162,'NOTES CE2-CM1'!$B$10:$B$250,0)),INDEX('NOTES CE2-CM1'!$AB$10:$AB$250,MATCH(AN162,'NOTES CE2-CM1'!$B$10:$B$250,0))),""))</f>
        <v/>
      </c>
      <c r="AT162" s="51" t="str">
        <f aca="false">IFERROR(MATCH("CM1-42",'REGISTRE ELEVES'!$AG$10:$AG$250,0),"")</f>
        <v/>
      </c>
      <c r="AU162" s="51" t="str">
        <f aca="false">IF(AT162="","",INDEX('REGISTRE ELEVES'!$B$10:$B$250,AT162))</f>
        <v/>
      </c>
      <c r="AV162" s="51" t="str">
        <f aca="false">IF(AT162="","",INDEX('REGISTRE ELEVES'!$D$10:$D$250,AT162))</f>
        <v/>
      </c>
      <c r="AW162" s="51" t="str">
        <f aca="false">IF(AT162="","",INDEX('REGISTRE ELEVES'!$E$10:$E$250,AT162))</f>
        <v/>
      </c>
      <c r="AX162" s="51" t="str">
        <f aca="false">IF(AU162="","",IFERROR(CHOOSE($P$8,INDEX('NOTES CE2-CM1'!$M$10:$M$250,MATCH(AU162,'NOTES CE2-CM1'!$B$10:$B$250,0)),INDEX('NOTES CE2-CM1'!$T$10:$T$250,MATCH(AU162,'NOTES CE2-CM1'!$B$10:$B$250,0)),INDEX('NOTES CE2-CM1'!$AA$10:$AA$250,MATCH(AU162,'NOTES CE2-CM1'!$B$10:$B$250,0)),INDEX('NOTES CE2-CM1'!$AH$10:$AH$250,MATCH(AU162,'NOTES CE2-CM1'!$B$10:$B$250,0))),""))</f>
        <v/>
      </c>
      <c r="AY162" s="51" t="str">
        <f aca="false">IF(ISNUMBER(AX162),AX162+(1000-42)/1000000,"")</f>
        <v/>
      </c>
      <c r="AZ162" s="51" t="str">
        <f aca="false">IF(AU162="","",IFERROR(CHOOSE($P$8,INDEX('NOTES CE2-CM1'!$G$10:$G$250,MATCH(AU162,'NOTES CE2-CM1'!$B$10:$B$250,0)),INDEX('NOTES CE2-CM1'!$N$10:$N$250,MATCH(AU162,'NOTES CE2-CM1'!$B$10:$B$250,0)),INDEX('NOTES CE2-CM1'!$U$10:$U$250,MATCH(AU162,'NOTES CE2-CM1'!$B$10:$B$250,0)),INDEX('NOTES CE2-CM1'!$AB$10:$AB$250,MATCH(AU162,'NOTES CE2-CM1'!$B$10:$B$250,0))),""))</f>
        <v/>
      </c>
      <c r="BA162" s="51" t="str">
        <f aca="false">IFERROR(MATCH("CM2-42",'REGISTRE ELEVES'!$AG$10:$AG$250,0),"")</f>
        <v/>
      </c>
      <c r="BB162" s="51" t="str">
        <f aca="false">IF(BA162="","",INDEX('REGISTRE ELEVES'!$B$10:$B$250,BA162))</f>
        <v/>
      </c>
      <c r="BC162" s="51" t="str">
        <f aca="false">IF(BA162="","",INDEX('REGISTRE ELEVES'!$D$10:$D$250,BA162))</f>
        <v/>
      </c>
      <c r="BD162" s="51" t="str">
        <f aca="false">IF(BA162="","",INDEX('REGISTRE ELEVES'!$E$10:$E$250,BA162))</f>
        <v/>
      </c>
      <c r="BE162" s="51" t="str">
        <f aca="false">IF(BB162="","",IFERROR(CHOOSE($P$10,INDEX('NOTES CM2'!$M$10:$M$250,MATCH(BB162,'NOTES CM2'!$B$10:$B$250,0)),INDEX('NOTES CM2'!$T$10:$T$250,MATCH(BB162,'NOTES CM2'!$B$10:$B$250,0)),INDEX('NOTES CM2'!$AB$10:$AB$250,MATCH(BB162,'NOTES CM2'!$B$10:$B$250,0)),INDEX('NOTES CM2'!$AJ$10:$AJ$250,MATCH(BB162,'NOTES CM2'!$B$10:$B$250,0))),""))</f>
        <v/>
      </c>
      <c r="BF162" s="51" t="str">
        <f aca="false">IF(ISNUMBER(BE162),BE162+(1000-42)/1000000,"")</f>
        <v/>
      </c>
      <c r="BG162" s="51" t="str">
        <f aca="false">IF(BB162="","",IFERROR(CHOOSE($P$10,INDEX('NOTES CM2'!$G$10:$G$250,MATCH(BB162,'NOTES CM2'!$B$10:$B$250,0)),INDEX('NOTES CM2'!$N$10:$N$250,MATCH(BB162,'NOTES CM2'!$B$10:$B$250,0)),INDEX('NOTES CM2'!$U$10:$U$250,MATCH(BB162,'NOTES CM2'!$B$10:$B$250,0)),INDEX('NOTES CM2'!$AC$10:$AC$250,MATCH(BB162,'NOTES CM2'!$B$10:$B$250,0))),""))</f>
        <v/>
      </c>
    </row>
    <row r="163" customFormat="false" ht="15" hidden="false" customHeight="false" outlineLevel="0" collapsed="false">
      <c r="R163" s="51" t="str">
        <f aca="false">IFERROR(MATCH("CP1-43",'REGISTRE ELEVES'!$AG$10:$AG$250,0),"")</f>
        <v/>
      </c>
      <c r="S163" s="51" t="str">
        <f aca="false">IF(R163="","",INDEX('REGISTRE ELEVES'!$B$10:$B$250,R163))</f>
        <v/>
      </c>
      <c r="T163" s="51" t="str">
        <f aca="false">IF(R163="","",INDEX('REGISTRE ELEVES'!$D$10:$D$250,R163))</f>
        <v/>
      </c>
      <c r="U163" s="51" t="str">
        <f aca="false">IF(R163="","",INDEX('REGISTRE ELEVES'!$E$10:$E$250,R163))</f>
        <v/>
      </c>
      <c r="V163" s="51" t="str">
        <f aca="false">IF(S163="","",IFERROR(CHOOSE($P$8,INDEX('NOTES CP'!$P$10:$P$250,MATCH(S163,'NOTES CP'!$B$10:$B$250,0)),INDEX('NOTES CP'!$Z$10:$Z$250,MATCH(S163,'NOTES CP'!$B$10:$B$250,0)),INDEX('NOTES CP'!$AJ$10:$AJ$250,MATCH(S163,'NOTES CP'!$B$10:$B$250,0)),INDEX('NOTES CP'!$AT$10:$AT$250,MATCH(S163,'NOTES CP'!$B$10:$B$250,0))),""))</f>
        <v/>
      </c>
      <c r="W163" s="51" t="str">
        <f aca="false">IF(ISNUMBER(V163),V163+(1000-43)/1000000,"")</f>
        <v/>
      </c>
      <c r="X163" s="51" t="str">
        <f aca="false">IF(S163="","",IFERROR(CHOOSE($P$8,INDEX('NOTES CP'!$G$10:$G$250,MATCH(S163,'NOTES CP'!$B$10:$B$250,0)),INDEX('NOTES CP'!$Q$10:$Q$250,MATCH(S163,'NOTES CP'!$B$10:$B$250,0)),INDEX('NOTES CP'!$AA$10:$AA$250,MATCH(S163,'NOTES CP'!$B$10:$B$250,0)),INDEX('NOTES CP'!$AK$10:$AK$250,MATCH(S163,'NOTES CP'!$B$10:$B$250,0))),""))</f>
        <v/>
      </c>
      <c r="Y163" s="51" t="str">
        <f aca="false">IFERROR(MATCH("CP2-43",'REGISTRE ELEVES'!$AG$10:$AG$250,0),"")</f>
        <v/>
      </c>
      <c r="Z163" s="51" t="str">
        <f aca="false">IF(Y163="","",INDEX('REGISTRE ELEVES'!$B$10:$B$250,Y163))</f>
        <v/>
      </c>
      <c r="AA163" s="51" t="str">
        <f aca="false">IF(Y163="","",INDEX('REGISTRE ELEVES'!$D$10:$D$250,Y163))</f>
        <v/>
      </c>
      <c r="AB163" s="51" t="str">
        <f aca="false">IF(Y163="","",INDEX('REGISTRE ELEVES'!$E$10:$E$250,Y163))</f>
        <v/>
      </c>
      <c r="AC163" s="51" t="str">
        <f aca="false">IF(Z163="","",IFERROR(CHOOSE($P$8,INDEX('NOTES CP'!$P$10:$P$250,MATCH(Z163,'NOTES CP'!$B$10:$B$250,0)),INDEX('NOTES CP'!$Z$10:$Z$250,MATCH(Z163,'NOTES CP'!$B$10:$B$250,0)),INDEX('NOTES CP'!$AJ$10:$AJ$250,MATCH(Z163,'NOTES CP'!$B$10:$B$250,0)),INDEX('NOTES CP'!$AT$10:$AT$250,MATCH(Z163,'NOTES CP'!$B$10:$B$250,0))),""))</f>
        <v/>
      </c>
      <c r="AD163" s="51" t="str">
        <f aca="false">IF(ISNUMBER(AC163),AC163+(1000-43)/1000000,"")</f>
        <v/>
      </c>
      <c r="AE163" s="51" t="str">
        <f aca="false">IF(Z163="","",IFERROR(CHOOSE($P$8,INDEX('NOTES CP'!$G$10:$G$250,MATCH(Z163,'NOTES CP'!$B$10:$B$250,0)),INDEX('NOTES CP'!$Q$10:$Q$250,MATCH(Z163,'NOTES CP'!$B$10:$B$250,0)),INDEX('NOTES CP'!$AA$10:$AA$250,MATCH(Z163,'NOTES CP'!$B$10:$B$250,0)),INDEX('NOTES CP'!$AK$10:$AK$250,MATCH(Z163,'NOTES CP'!$B$10:$B$250,0))),""))</f>
        <v/>
      </c>
      <c r="AF163" s="51" t="str">
        <f aca="false">IFERROR(MATCH("CE1-43",'REGISTRE ELEVES'!$AG$10:$AG$250,0),"")</f>
        <v/>
      </c>
      <c r="AG163" s="51" t="str">
        <f aca="false">IF(AF163="","",INDEX('REGISTRE ELEVES'!$B$10:$B$250,AF163))</f>
        <v/>
      </c>
      <c r="AH163" s="51" t="str">
        <f aca="false">IF(AF163="","",INDEX('REGISTRE ELEVES'!$D$10:$D$250,AF163))</f>
        <v/>
      </c>
      <c r="AI163" s="51" t="str">
        <f aca="false">IF(AF163="","",INDEX('REGISTRE ELEVES'!$E$10:$E$250,AF163))</f>
        <v/>
      </c>
      <c r="AJ163" s="51" t="str">
        <f aca="false">IF(AG163="","",IFERROR(CHOOSE($P$8,INDEX('NOTES CE1'!$M$10:$M$250,MATCH(AG163,'NOTES CE1'!$B$10:$B$250,0)),INDEX('NOTES CE1'!$T$10:$T$250,MATCH(AG163,'NOTES CE1'!$B$10:$B$250,0)),INDEX('NOTES CE1'!$AA$10:$AA$250,MATCH(AG163,'NOTES CE1'!$B$10:$B$250,0)),INDEX('NOTES CE1'!$AH$10:$AH$250,MATCH(AG163,'NOTES CE1'!$B$10:$B$250,0))),""))</f>
        <v/>
      </c>
      <c r="AK163" s="51" t="str">
        <f aca="false">IF(ISNUMBER(AJ163),AJ163+(1000-43)/1000000,"")</f>
        <v/>
      </c>
      <c r="AL163" s="51" t="str">
        <f aca="false">IF(AG163="","",IFERROR(CHOOSE($P$8,INDEX('NOTES CE1'!$G$10:$G$250,MATCH(AG163,'NOTES CE1'!$B$10:$B$250,0)),INDEX('NOTES CE1'!$N$10:$N$250,MATCH(AG163,'NOTES CE1'!$B$10:$B$250,0)),INDEX('NOTES CE1'!$U$10:$U$250,MATCH(AG163,'NOTES CE1'!$B$10:$B$250,0)),INDEX('NOTES CE1'!$AB$10:$AB$250,MATCH(AG163,'NOTES CE1'!$B$10:$B$250,0))),""))</f>
        <v/>
      </c>
      <c r="AM163" s="51" t="str">
        <f aca="false">IFERROR(MATCH("CE2-43",'REGISTRE ELEVES'!$AG$10:$AG$250,0),"")</f>
        <v/>
      </c>
      <c r="AN163" s="51" t="str">
        <f aca="false">IF(AM163="","",INDEX('REGISTRE ELEVES'!$B$10:$B$250,AM163))</f>
        <v/>
      </c>
      <c r="AO163" s="51" t="str">
        <f aca="false">IF(AM163="","",INDEX('REGISTRE ELEVES'!$D$10:$D$250,AM163))</f>
        <v/>
      </c>
      <c r="AP163" s="51" t="str">
        <f aca="false">IF(AM163="","",INDEX('REGISTRE ELEVES'!$E$10:$E$250,AM163))</f>
        <v/>
      </c>
      <c r="AQ163" s="51" t="str">
        <f aca="false">IF(AN163="","",IFERROR(CHOOSE($P$8,INDEX('NOTES CE2-CM1'!$M$10:$M$250,MATCH(AN163,'NOTES CE2-CM1'!$B$10:$B$250,0)),INDEX('NOTES CE2-CM1'!$T$10:$T$250,MATCH(AN163,'NOTES CE2-CM1'!$B$10:$B$250,0)),INDEX('NOTES CE2-CM1'!$AA$10:$AA$250,MATCH(AN163,'NOTES CE2-CM1'!$B$10:$B$250,0)),INDEX('NOTES CE2-CM1'!$AH$10:$AH$250,MATCH(AN163,'NOTES CE2-CM1'!$B$10:$B$250,0))),""))</f>
        <v/>
      </c>
      <c r="AR163" s="51" t="str">
        <f aca="false">IF(ISNUMBER(AQ163),AQ163+(1000-43)/1000000,"")</f>
        <v/>
      </c>
      <c r="AS163" s="51" t="str">
        <f aca="false">IF(AN163="","",IFERROR(CHOOSE($P$8,INDEX('NOTES CE2-CM1'!$G$10:$G$250,MATCH(AN163,'NOTES CE2-CM1'!$B$10:$B$250,0)),INDEX('NOTES CE2-CM1'!$N$10:$N$250,MATCH(AN163,'NOTES CE2-CM1'!$B$10:$B$250,0)),INDEX('NOTES CE2-CM1'!$U$10:$U$250,MATCH(AN163,'NOTES CE2-CM1'!$B$10:$B$250,0)),INDEX('NOTES CE2-CM1'!$AB$10:$AB$250,MATCH(AN163,'NOTES CE2-CM1'!$B$10:$B$250,0))),""))</f>
        <v/>
      </c>
      <c r="AT163" s="51" t="str">
        <f aca="false">IFERROR(MATCH("CM1-43",'REGISTRE ELEVES'!$AG$10:$AG$250,0),"")</f>
        <v/>
      </c>
      <c r="AU163" s="51" t="str">
        <f aca="false">IF(AT163="","",INDEX('REGISTRE ELEVES'!$B$10:$B$250,AT163))</f>
        <v/>
      </c>
      <c r="AV163" s="51" t="str">
        <f aca="false">IF(AT163="","",INDEX('REGISTRE ELEVES'!$D$10:$D$250,AT163))</f>
        <v/>
      </c>
      <c r="AW163" s="51" t="str">
        <f aca="false">IF(AT163="","",INDEX('REGISTRE ELEVES'!$E$10:$E$250,AT163))</f>
        <v/>
      </c>
      <c r="AX163" s="51" t="str">
        <f aca="false">IF(AU163="","",IFERROR(CHOOSE($P$8,INDEX('NOTES CE2-CM1'!$M$10:$M$250,MATCH(AU163,'NOTES CE2-CM1'!$B$10:$B$250,0)),INDEX('NOTES CE2-CM1'!$T$10:$T$250,MATCH(AU163,'NOTES CE2-CM1'!$B$10:$B$250,0)),INDEX('NOTES CE2-CM1'!$AA$10:$AA$250,MATCH(AU163,'NOTES CE2-CM1'!$B$10:$B$250,0)),INDEX('NOTES CE2-CM1'!$AH$10:$AH$250,MATCH(AU163,'NOTES CE2-CM1'!$B$10:$B$250,0))),""))</f>
        <v/>
      </c>
      <c r="AY163" s="51" t="str">
        <f aca="false">IF(ISNUMBER(AX163),AX163+(1000-43)/1000000,"")</f>
        <v/>
      </c>
      <c r="AZ163" s="51" t="str">
        <f aca="false">IF(AU163="","",IFERROR(CHOOSE($P$8,INDEX('NOTES CE2-CM1'!$G$10:$G$250,MATCH(AU163,'NOTES CE2-CM1'!$B$10:$B$250,0)),INDEX('NOTES CE2-CM1'!$N$10:$N$250,MATCH(AU163,'NOTES CE2-CM1'!$B$10:$B$250,0)),INDEX('NOTES CE2-CM1'!$U$10:$U$250,MATCH(AU163,'NOTES CE2-CM1'!$B$10:$B$250,0)),INDEX('NOTES CE2-CM1'!$AB$10:$AB$250,MATCH(AU163,'NOTES CE2-CM1'!$B$10:$B$250,0))),""))</f>
        <v/>
      </c>
      <c r="BA163" s="51" t="str">
        <f aca="false">IFERROR(MATCH("CM2-43",'REGISTRE ELEVES'!$AG$10:$AG$250,0),"")</f>
        <v/>
      </c>
      <c r="BB163" s="51" t="str">
        <f aca="false">IF(BA163="","",INDEX('REGISTRE ELEVES'!$B$10:$B$250,BA163))</f>
        <v/>
      </c>
      <c r="BC163" s="51" t="str">
        <f aca="false">IF(BA163="","",INDEX('REGISTRE ELEVES'!$D$10:$D$250,BA163))</f>
        <v/>
      </c>
      <c r="BD163" s="51" t="str">
        <f aca="false">IF(BA163="","",INDEX('REGISTRE ELEVES'!$E$10:$E$250,BA163))</f>
        <v/>
      </c>
      <c r="BE163" s="51" t="str">
        <f aca="false">IF(BB163="","",IFERROR(CHOOSE($P$10,INDEX('NOTES CM2'!$M$10:$M$250,MATCH(BB163,'NOTES CM2'!$B$10:$B$250,0)),INDEX('NOTES CM2'!$T$10:$T$250,MATCH(BB163,'NOTES CM2'!$B$10:$B$250,0)),INDEX('NOTES CM2'!$AB$10:$AB$250,MATCH(BB163,'NOTES CM2'!$B$10:$B$250,0)),INDEX('NOTES CM2'!$AJ$10:$AJ$250,MATCH(BB163,'NOTES CM2'!$B$10:$B$250,0))),""))</f>
        <v/>
      </c>
      <c r="BF163" s="51" t="str">
        <f aca="false">IF(ISNUMBER(BE163),BE163+(1000-43)/1000000,"")</f>
        <v/>
      </c>
      <c r="BG163" s="51" t="str">
        <f aca="false">IF(BB163="","",IFERROR(CHOOSE($P$10,INDEX('NOTES CM2'!$G$10:$G$250,MATCH(BB163,'NOTES CM2'!$B$10:$B$250,0)),INDEX('NOTES CM2'!$N$10:$N$250,MATCH(BB163,'NOTES CM2'!$B$10:$B$250,0)),INDEX('NOTES CM2'!$U$10:$U$250,MATCH(BB163,'NOTES CM2'!$B$10:$B$250,0)),INDEX('NOTES CM2'!$AC$10:$AC$250,MATCH(BB163,'NOTES CM2'!$B$10:$B$250,0))),""))</f>
        <v/>
      </c>
    </row>
    <row r="164" customFormat="false" ht="15" hidden="false" customHeight="false" outlineLevel="0" collapsed="false">
      <c r="R164" s="51" t="str">
        <f aca="false">IFERROR(MATCH("CP1-44",'REGISTRE ELEVES'!$AG$10:$AG$250,0),"")</f>
        <v/>
      </c>
      <c r="S164" s="51" t="str">
        <f aca="false">IF(R164="","",INDEX('REGISTRE ELEVES'!$B$10:$B$250,R164))</f>
        <v/>
      </c>
      <c r="T164" s="51" t="str">
        <f aca="false">IF(R164="","",INDEX('REGISTRE ELEVES'!$D$10:$D$250,R164))</f>
        <v/>
      </c>
      <c r="U164" s="51" t="str">
        <f aca="false">IF(R164="","",INDEX('REGISTRE ELEVES'!$E$10:$E$250,R164))</f>
        <v/>
      </c>
      <c r="V164" s="51" t="str">
        <f aca="false">IF(S164="","",IFERROR(CHOOSE($P$8,INDEX('NOTES CP'!$P$10:$P$250,MATCH(S164,'NOTES CP'!$B$10:$B$250,0)),INDEX('NOTES CP'!$Z$10:$Z$250,MATCH(S164,'NOTES CP'!$B$10:$B$250,0)),INDEX('NOTES CP'!$AJ$10:$AJ$250,MATCH(S164,'NOTES CP'!$B$10:$B$250,0)),INDEX('NOTES CP'!$AT$10:$AT$250,MATCH(S164,'NOTES CP'!$B$10:$B$250,0))),""))</f>
        <v/>
      </c>
      <c r="W164" s="51" t="str">
        <f aca="false">IF(ISNUMBER(V164),V164+(1000-44)/1000000,"")</f>
        <v/>
      </c>
      <c r="X164" s="51" t="str">
        <f aca="false">IF(S164="","",IFERROR(CHOOSE($P$8,INDEX('NOTES CP'!$G$10:$G$250,MATCH(S164,'NOTES CP'!$B$10:$B$250,0)),INDEX('NOTES CP'!$Q$10:$Q$250,MATCH(S164,'NOTES CP'!$B$10:$B$250,0)),INDEX('NOTES CP'!$AA$10:$AA$250,MATCH(S164,'NOTES CP'!$B$10:$B$250,0)),INDEX('NOTES CP'!$AK$10:$AK$250,MATCH(S164,'NOTES CP'!$B$10:$B$250,0))),""))</f>
        <v/>
      </c>
      <c r="Y164" s="51" t="str">
        <f aca="false">IFERROR(MATCH("CP2-44",'REGISTRE ELEVES'!$AG$10:$AG$250,0),"")</f>
        <v/>
      </c>
      <c r="Z164" s="51" t="str">
        <f aca="false">IF(Y164="","",INDEX('REGISTRE ELEVES'!$B$10:$B$250,Y164))</f>
        <v/>
      </c>
      <c r="AA164" s="51" t="str">
        <f aca="false">IF(Y164="","",INDEX('REGISTRE ELEVES'!$D$10:$D$250,Y164))</f>
        <v/>
      </c>
      <c r="AB164" s="51" t="str">
        <f aca="false">IF(Y164="","",INDEX('REGISTRE ELEVES'!$E$10:$E$250,Y164))</f>
        <v/>
      </c>
      <c r="AC164" s="51" t="str">
        <f aca="false">IF(Z164="","",IFERROR(CHOOSE($P$8,INDEX('NOTES CP'!$P$10:$P$250,MATCH(Z164,'NOTES CP'!$B$10:$B$250,0)),INDEX('NOTES CP'!$Z$10:$Z$250,MATCH(Z164,'NOTES CP'!$B$10:$B$250,0)),INDEX('NOTES CP'!$AJ$10:$AJ$250,MATCH(Z164,'NOTES CP'!$B$10:$B$250,0)),INDEX('NOTES CP'!$AT$10:$AT$250,MATCH(Z164,'NOTES CP'!$B$10:$B$250,0))),""))</f>
        <v/>
      </c>
      <c r="AD164" s="51" t="str">
        <f aca="false">IF(ISNUMBER(AC164),AC164+(1000-44)/1000000,"")</f>
        <v/>
      </c>
      <c r="AE164" s="51" t="str">
        <f aca="false">IF(Z164="","",IFERROR(CHOOSE($P$8,INDEX('NOTES CP'!$G$10:$G$250,MATCH(Z164,'NOTES CP'!$B$10:$B$250,0)),INDEX('NOTES CP'!$Q$10:$Q$250,MATCH(Z164,'NOTES CP'!$B$10:$B$250,0)),INDEX('NOTES CP'!$AA$10:$AA$250,MATCH(Z164,'NOTES CP'!$B$10:$B$250,0)),INDEX('NOTES CP'!$AK$10:$AK$250,MATCH(Z164,'NOTES CP'!$B$10:$B$250,0))),""))</f>
        <v/>
      </c>
      <c r="AF164" s="51" t="str">
        <f aca="false">IFERROR(MATCH("CE1-44",'REGISTRE ELEVES'!$AG$10:$AG$250,0),"")</f>
        <v/>
      </c>
      <c r="AG164" s="51" t="str">
        <f aca="false">IF(AF164="","",INDEX('REGISTRE ELEVES'!$B$10:$B$250,AF164))</f>
        <v/>
      </c>
      <c r="AH164" s="51" t="str">
        <f aca="false">IF(AF164="","",INDEX('REGISTRE ELEVES'!$D$10:$D$250,AF164))</f>
        <v/>
      </c>
      <c r="AI164" s="51" t="str">
        <f aca="false">IF(AF164="","",INDEX('REGISTRE ELEVES'!$E$10:$E$250,AF164))</f>
        <v/>
      </c>
      <c r="AJ164" s="51" t="str">
        <f aca="false">IF(AG164="","",IFERROR(CHOOSE($P$8,INDEX('NOTES CE1'!$M$10:$M$250,MATCH(AG164,'NOTES CE1'!$B$10:$B$250,0)),INDEX('NOTES CE1'!$T$10:$T$250,MATCH(AG164,'NOTES CE1'!$B$10:$B$250,0)),INDEX('NOTES CE1'!$AA$10:$AA$250,MATCH(AG164,'NOTES CE1'!$B$10:$B$250,0)),INDEX('NOTES CE1'!$AH$10:$AH$250,MATCH(AG164,'NOTES CE1'!$B$10:$B$250,0))),""))</f>
        <v/>
      </c>
      <c r="AK164" s="51" t="str">
        <f aca="false">IF(ISNUMBER(AJ164),AJ164+(1000-44)/1000000,"")</f>
        <v/>
      </c>
      <c r="AL164" s="51" t="str">
        <f aca="false">IF(AG164="","",IFERROR(CHOOSE($P$8,INDEX('NOTES CE1'!$G$10:$G$250,MATCH(AG164,'NOTES CE1'!$B$10:$B$250,0)),INDEX('NOTES CE1'!$N$10:$N$250,MATCH(AG164,'NOTES CE1'!$B$10:$B$250,0)),INDEX('NOTES CE1'!$U$10:$U$250,MATCH(AG164,'NOTES CE1'!$B$10:$B$250,0)),INDEX('NOTES CE1'!$AB$10:$AB$250,MATCH(AG164,'NOTES CE1'!$B$10:$B$250,0))),""))</f>
        <v/>
      </c>
      <c r="AM164" s="51" t="str">
        <f aca="false">IFERROR(MATCH("CE2-44",'REGISTRE ELEVES'!$AG$10:$AG$250,0),"")</f>
        <v/>
      </c>
      <c r="AN164" s="51" t="str">
        <f aca="false">IF(AM164="","",INDEX('REGISTRE ELEVES'!$B$10:$B$250,AM164))</f>
        <v/>
      </c>
      <c r="AO164" s="51" t="str">
        <f aca="false">IF(AM164="","",INDEX('REGISTRE ELEVES'!$D$10:$D$250,AM164))</f>
        <v/>
      </c>
      <c r="AP164" s="51" t="str">
        <f aca="false">IF(AM164="","",INDEX('REGISTRE ELEVES'!$E$10:$E$250,AM164))</f>
        <v/>
      </c>
      <c r="AQ164" s="51" t="str">
        <f aca="false">IF(AN164="","",IFERROR(CHOOSE($P$8,INDEX('NOTES CE2-CM1'!$M$10:$M$250,MATCH(AN164,'NOTES CE2-CM1'!$B$10:$B$250,0)),INDEX('NOTES CE2-CM1'!$T$10:$T$250,MATCH(AN164,'NOTES CE2-CM1'!$B$10:$B$250,0)),INDEX('NOTES CE2-CM1'!$AA$10:$AA$250,MATCH(AN164,'NOTES CE2-CM1'!$B$10:$B$250,0)),INDEX('NOTES CE2-CM1'!$AH$10:$AH$250,MATCH(AN164,'NOTES CE2-CM1'!$B$10:$B$250,0))),""))</f>
        <v/>
      </c>
      <c r="AR164" s="51" t="str">
        <f aca="false">IF(ISNUMBER(AQ164),AQ164+(1000-44)/1000000,"")</f>
        <v/>
      </c>
      <c r="AS164" s="51" t="str">
        <f aca="false">IF(AN164="","",IFERROR(CHOOSE($P$8,INDEX('NOTES CE2-CM1'!$G$10:$G$250,MATCH(AN164,'NOTES CE2-CM1'!$B$10:$B$250,0)),INDEX('NOTES CE2-CM1'!$N$10:$N$250,MATCH(AN164,'NOTES CE2-CM1'!$B$10:$B$250,0)),INDEX('NOTES CE2-CM1'!$U$10:$U$250,MATCH(AN164,'NOTES CE2-CM1'!$B$10:$B$250,0)),INDEX('NOTES CE2-CM1'!$AB$10:$AB$250,MATCH(AN164,'NOTES CE2-CM1'!$B$10:$B$250,0))),""))</f>
        <v/>
      </c>
      <c r="AT164" s="51" t="str">
        <f aca="false">IFERROR(MATCH("CM1-44",'REGISTRE ELEVES'!$AG$10:$AG$250,0),"")</f>
        <v/>
      </c>
      <c r="AU164" s="51" t="str">
        <f aca="false">IF(AT164="","",INDEX('REGISTRE ELEVES'!$B$10:$B$250,AT164))</f>
        <v/>
      </c>
      <c r="AV164" s="51" t="str">
        <f aca="false">IF(AT164="","",INDEX('REGISTRE ELEVES'!$D$10:$D$250,AT164))</f>
        <v/>
      </c>
      <c r="AW164" s="51" t="str">
        <f aca="false">IF(AT164="","",INDEX('REGISTRE ELEVES'!$E$10:$E$250,AT164))</f>
        <v/>
      </c>
      <c r="AX164" s="51" t="str">
        <f aca="false">IF(AU164="","",IFERROR(CHOOSE($P$8,INDEX('NOTES CE2-CM1'!$M$10:$M$250,MATCH(AU164,'NOTES CE2-CM1'!$B$10:$B$250,0)),INDEX('NOTES CE2-CM1'!$T$10:$T$250,MATCH(AU164,'NOTES CE2-CM1'!$B$10:$B$250,0)),INDEX('NOTES CE2-CM1'!$AA$10:$AA$250,MATCH(AU164,'NOTES CE2-CM1'!$B$10:$B$250,0)),INDEX('NOTES CE2-CM1'!$AH$10:$AH$250,MATCH(AU164,'NOTES CE2-CM1'!$B$10:$B$250,0))),""))</f>
        <v/>
      </c>
      <c r="AY164" s="51" t="str">
        <f aca="false">IF(ISNUMBER(AX164),AX164+(1000-44)/1000000,"")</f>
        <v/>
      </c>
      <c r="AZ164" s="51" t="str">
        <f aca="false">IF(AU164="","",IFERROR(CHOOSE($P$8,INDEX('NOTES CE2-CM1'!$G$10:$G$250,MATCH(AU164,'NOTES CE2-CM1'!$B$10:$B$250,0)),INDEX('NOTES CE2-CM1'!$N$10:$N$250,MATCH(AU164,'NOTES CE2-CM1'!$B$10:$B$250,0)),INDEX('NOTES CE2-CM1'!$U$10:$U$250,MATCH(AU164,'NOTES CE2-CM1'!$B$10:$B$250,0)),INDEX('NOTES CE2-CM1'!$AB$10:$AB$250,MATCH(AU164,'NOTES CE2-CM1'!$B$10:$B$250,0))),""))</f>
        <v/>
      </c>
      <c r="BA164" s="51" t="str">
        <f aca="false">IFERROR(MATCH("CM2-44",'REGISTRE ELEVES'!$AG$10:$AG$250,0),"")</f>
        <v/>
      </c>
      <c r="BB164" s="51" t="str">
        <f aca="false">IF(BA164="","",INDEX('REGISTRE ELEVES'!$B$10:$B$250,BA164))</f>
        <v/>
      </c>
      <c r="BC164" s="51" t="str">
        <f aca="false">IF(BA164="","",INDEX('REGISTRE ELEVES'!$D$10:$D$250,BA164))</f>
        <v/>
      </c>
      <c r="BD164" s="51" t="str">
        <f aca="false">IF(BA164="","",INDEX('REGISTRE ELEVES'!$E$10:$E$250,BA164))</f>
        <v/>
      </c>
      <c r="BE164" s="51" t="str">
        <f aca="false">IF(BB164="","",IFERROR(CHOOSE($P$10,INDEX('NOTES CM2'!$M$10:$M$250,MATCH(BB164,'NOTES CM2'!$B$10:$B$250,0)),INDEX('NOTES CM2'!$T$10:$T$250,MATCH(BB164,'NOTES CM2'!$B$10:$B$250,0)),INDEX('NOTES CM2'!$AB$10:$AB$250,MATCH(BB164,'NOTES CM2'!$B$10:$B$250,0)),INDEX('NOTES CM2'!$AJ$10:$AJ$250,MATCH(BB164,'NOTES CM2'!$B$10:$B$250,0))),""))</f>
        <v/>
      </c>
      <c r="BF164" s="51" t="str">
        <f aca="false">IF(ISNUMBER(BE164),BE164+(1000-44)/1000000,"")</f>
        <v/>
      </c>
      <c r="BG164" s="51" t="str">
        <f aca="false">IF(BB164="","",IFERROR(CHOOSE($P$10,INDEX('NOTES CM2'!$G$10:$G$250,MATCH(BB164,'NOTES CM2'!$B$10:$B$250,0)),INDEX('NOTES CM2'!$N$10:$N$250,MATCH(BB164,'NOTES CM2'!$B$10:$B$250,0)),INDEX('NOTES CM2'!$U$10:$U$250,MATCH(BB164,'NOTES CM2'!$B$10:$B$250,0)),INDEX('NOTES CM2'!$AC$10:$AC$250,MATCH(BB164,'NOTES CM2'!$B$10:$B$250,0))),""))</f>
        <v/>
      </c>
    </row>
    <row r="165" customFormat="false" ht="15" hidden="false" customHeight="false" outlineLevel="0" collapsed="false">
      <c r="R165" s="51" t="str">
        <f aca="false">IFERROR(MATCH("CP1-45",'REGISTRE ELEVES'!$AG$10:$AG$250,0),"")</f>
        <v/>
      </c>
      <c r="S165" s="51" t="str">
        <f aca="false">IF(R165="","",INDEX('REGISTRE ELEVES'!$B$10:$B$250,R165))</f>
        <v/>
      </c>
      <c r="T165" s="51" t="str">
        <f aca="false">IF(R165="","",INDEX('REGISTRE ELEVES'!$D$10:$D$250,R165))</f>
        <v/>
      </c>
      <c r="U165" s="51" t="str">
        <f aca="false">IF(R165="","",INDEX('REGISTRE ELEVES'!$E$10:$E$250,R165))</f>
        <v/>
      </c>
      <c r="V165" s="51" t="str">
        <f aca="false">IF(S165="","",IFERROR(CHOOSE($P$8,INDEX('NOTES CP'!$P$10:$P$250,MATCH(S165,'NOTES CP'!$B$10:$B$250,0)),INDEX('NOTES CP'!$Z$10:$Z$250,MATCH(S165,'NOTES CP'!$B$10:$B$250,0)),INDEX('NOTES CP'!$AJ$10:$AJ$250,MATCH(S165,'NOTES CP'!$B$10:$B$250,0)),INDEX('NOTES CP'!$AT$10:$AT$250,MATCH(S165,'NOTES CP'!$B$10:$B$250,0))),""))</f>
        <v/>
      </c>
      <c r="W165" s="51" t="str">
        <f aca="false">IF(ISNUMBER(V165),V165+(1000-45)/1000000,"")</f>
        <v/>
      </c>
      <c r="X165" s="51" t="str">
        <f aca="false">IF(S165="","",IFERROR(CHOOSE($P$8,INDEX('NOTES CP'!$G$10:$G$250,MATCH(S165,'NOTES CP'!$B$10:$B$250,0)),INDEX('NOTES CP'!$Q$10:$Q$250,MATCH(S165,'NOTES CP'!$B$10:$B$250,0)),INDEX('NOTES CP'!$AA$10:$AA$250,MATCH(S165,'NOTES CP'!$B$10:$B$250,0)),INDEX('NOTES CP'!$AK$10:$AK$250,MATCH(S165,'NOTES CP'!$B$10:$B$250,0))),""))</f>
        <v/>
      </c>
      <c r="Y165" s="51" t="str">
        <f aca="false">IFERROR(MATCH("CP2-45",'REGISTRE ELEVES'!$AG$10:$AG$250,0),"")</f>
        <v/>
      </c>
      <c r="Z165" s="51" t="str">
        <f aca="false">IF(Y165="","",INDEX('REGISTRE ELEVES'!$B$10:$B$250,Y165))</f>
        <v/>
      </c>
      <c r="AA165" s="51" t="str">
        <f aca="false">IF(Y165="","",INDEX('REGISTRE ELEVES'!$D$10:$D$250,Y165))</f>
        <v/>
      </c>
      <c r="AB165" s="51" t="str">
        <f aca="false">IF(Y165="","",INDEX('REGISTRE ELEVES'!$E$10:$E$250,Y165))</f>
        <v/>
      </c>
      <c r="AC165" s="51" t="str">
        <f aca="false">IF(Z165="","",IFERROR(CHOOSE($P$8,INDEX('NOTES CP'!$P$10:$P$250,MATCH(Z165,'NOTES CP'!$B$10:$B$250,0)),INDEX('NOTES CP'!$Z$10:$Z$250,MATCH(Z165,'NOTES CP'!$B$10:$B$250,0)),INDEX('NOTES CP'!$AJ$10:$AJ$250,MATCH(Z165,'NOTES CP'!$B$10:$B$250,0)),INDEX('NOTES CP'!$AT$10:$AT$250,MATCH(Z165,'NOTES CP'!$B$10:$B$250,0))),""))</f>
        <v/>
      </c>
      <c r="AD165" s="51" t="str">
        <f aca="false">IF(ISNUMBER(AC165),AC165+(1000-45)/1000000,"")</f>
        <v/>
      </c>
      <c r="AE165" s="51" t="str">
        <f aca="false">IF(Z165="","",IFERROR(CHOOSE($P$8,INDEX('NOTES CP'!$G$10:$G$250,MATCH(Z165,'NOTES CP'!$B$10:$B$250,0)),INDEX('NOTES CP'!$Q$10:$Q$250,MATCH(Z165,'NOTES CP'!$B$10:$B$250,0)),INDEX('NOTES CP'!$AA$10:$AA$250,MATCH(Z165,'NOTES CP'!$B$10:$B$250,0)),INDEX('NOTES CP'!$AK$10:$AK$250,MATCH(Z165,'NOTES CP'!$B$10:$B$250,0))),""))</f>
        <v/>
      </c>
      <c r="AF165" s="51" t="str">
        <f aca="false">IFERROR(MATCH("CE1-45",'REGISTRE ELEVES'!$AG$10:$AG$250,0),"")</f>
        <v/>
      </c>
      <c r="AG165" s="51" t="str">
        <f aca="false">IF(AF165="","",INDEX('REGISTRE ELEVES'!$B$10:$B$250,AF165))</f>
        <v/>
      </c>
      <c r="AH165" s="51" t="str">
        <f aca="false">IF(AF165="","",INDEX('REGISTRE ELEVES'!$D$10:$D$250,AF165))</f>
        <v/>
      </c>
      <c r="AI165" s="51" t="str">
        <f aca="false">IF(AF165="","",INDEX('REGISTRE ELEVES'!$E$10:$E$250,AF165))</f>
        <v/>
      </c>
      <c r="AJ165" s="51" t="str">
        <f aca="false">IF(AG165="","",IFERROR(CHOOSE($P$8,INDEX('NOTES CE1'!$M$10:$M$250,MATCH(AG165,'NOTES CE1'!$B$10:$B$250,0)),INDEX('NOTES CE1'!$T$10:$T$250,MATCH(AG165,'NOTES CE1'!$B$10:$B$250,0)),INDEX('NOTES CE1'!$AA$10:$AA$250,MATCH(AG165,'NOTES CE1'!$B$10:$B$250,0)),INDEX('NOTES CE1'!$AH$10:$AH$250,MATCH(AG165,'NOTES CE1'!$B$10:$B$250,0))),""))</f>
        <v/>
      </c>
      <c r="AK165" s="51" t="str">
        <f aca="false">IF(ISNUMBER(AJ165),AJ165+(1000-45)/1000000,"")</f>
        <v/>
      </c>
      <c r="AL165" s="51" t="str">
        <f aca="false">IF(AG165="","",IFERROR(CHOOSE($P$8,INDEX('NOTES CE1'!$G$10:$G$250,MATCH(AG165,'NOTES CE1'!$B$10:$B$250,0)),INDEX('NOTES CE1'!$N$10:$N$250,MATCH(AG165,'NOTES CE1'!$B$10:$B$250,0)),INDEX('NOTES CE1'!$U$10:$U$250,MATCH(AG165,'NOTES CE1'!$B$10:$B$250,0)),INDEX('NOTES CE1'!$AB$10:$AB$250,MATCH(AG165,'NOTES CE1'!$B$10:$B$250,0))),""))</f>
        <v/>
      </c>
      <c r="AM165" s="51" t="str">
        <f aca="false">IFERROR(MATCH("CE2-45",'REGISTRE ELEVES'!$AG$10:$AG$250,0),"")</f>
        <v/>
      </c>
      <c r="AN165" s="51" t="str">
        <f aca="false">IF(AM165="","",INDEX('REGISTRE ELEVES'!$B$10:$B$250,AM165))</f>
        <v/>
      </c>
      <c r="AO165" s="51" t="str">
        <f aca="false">IF(AM165="","",INDEX('REGISTRE ELEVES'!$D$10:$D$250,AM165))</f>
        <v/>
      </c>
      <c r="AP165" s="51" t="str">
        <f aca="false">IF(AM165="","",INDEX('REGISTRE ELEVES'!$E$10:$E$250,AM165))</f>
        <v/>
      </c>
      <c r="AQ165" s="51" t="str">
        <f aca="false">IF(AN165="","",IFERROR(CHOOSE($P$8,INDEX('NOTES CE2-CM1'!$M$10:$M$250,MATCH(AN165,'NOTES CE2-CM1'!$B$10:$B$250,0)),INDEX('NOTES CE2-CM1'!$T$10:$T$250,MATCH(AN165,'NOTES CE2-CM1'!$B$10:$B$250,0)),INDEX('NOTES CE2-CM1'!$AA$10:$AA$250,MATCH(AN165,'NOTES CE2-CM1'!$B$10:$B$250,0)),INDEX('NOTES CE2-CM1'!$AH$10:$AH$250,MATCH(AN165,'NOTES CE2-CM1'!$B$10:$B$250,0))),""))</f>
        <v/>
      </c>
      <c r="AR165" s="51" t="str">
        <f aca="false">IF(ISNUMBER(AQ165),AQ165+(1000-45)/1000000,"")</f>
        <v/>
      </c>
      <c r="AS165" s="51" t="str">
        <f aca="false">IF(AN165="","",IFERROR(CHOOSE($P$8,INDEX('NOTES CE2-CM1'!$G$10:$G$250,MATCH(AN165,'NOTES CE2-CM1'!$B$10:$B$250,0)),INDEX('NOTES CE2-CM1'!$N$10:$N$250,MATCH(AN165,'NOTES CE2-CM1'!$B$10:$B$250,0)),INDEX('NOTES CE2-CM1'!$U$10:$U$250,MATCH(AN165,'NOTES CE2-CM1'!$B$10:$B$250,0)),INDEX('NOTES CE2-CM1'!$AB$10:$AB$250,MATCH(AN165,'NOTES CE2-CM1'!$B$10:$B$250,0))),""))</f>
        <v/>
      </c>
      <c r="AT165" s="51" t="str">
        <f aca="false">IFERROR(MATCH("CM1-45",'REGISTRE ELEVES'!$AG$10:$AG$250,0),"")</f>
        <v/>
      </c>
      <c r="AU165" s="51" t="str">
        <f aca="false">IF(AT165="","",INDEX('REGISTRE ELEVES'!$B$10:$B$250,AT165))</f>
        <v/>
      </c>
      <c r="AV165" s="51" t="str">
        <f aca="false">IF(AT165="","",INDEX('REGISTRE ELEVES'!$D$10:$D$250,AT165))</f>
        <v/>
      </c>
      <c r="AW165" s="51" t="str">
        <f aca="false">IF(AT165="","",INDEX('REGISTRE ELEVES'!$E$10:$E$250,AT165))</f>
        <v/>
      </c>
      <c r="AX165" s="51" t="str">
        <f aca="false">IF(AU165="","",IFERROR(CHOOSE($P$8,INDEX('NOTES CE2-CM1'!$M$10:$M$250,MATCH(AU165,'NOTES CE2-CM1'!$B$10:$B$250,0)),INDEX('NOTES CE2-CM1'!$T$10:$T$250,MATCH(AU165,'NOTES CE2-CM1'!$B$10:$B$250,0)),INDEX('NOTES CE2-CM1'!$AA$10:$AA$250,MATCH(AU165,'NOTES CE2-CM1'!$B$10:$B$250,0)),INDEX('NOTES CE2-CM1'!$AH$10:$AH$250,MATCH(AU165,'NOTES CE2-CM1'!$B$10:$B$250,0))),""))</f>
        <v/>
      </c>
      <c r="AY165" s="51" t="str">
        <f aca="false">IF(ISNUMBER(AX165),AX165+(1000-45)/1000000,"")</f>
        <v/>
      </c>
      <c r="AZ165" s="51" t="str">
        <f aca="false">IF(AU165="","",IFERROR(CHOOSE($P$8,INDEX('NOTES CE2-CM1'!$G$10:$G$250,MATCH(AU165,'NOTES CE2-CM1'!$B$10:$B$250,0)),INDEX('NOTES CE2-CM1'!$N$10:$N$250,MATCH(AU165,'NOTES CE2-CM1'!$B$10:$B$250,0)),INDEX('NOTES CE2-CM1'!$U$10:$U$250,MATCH(AU165,'NOTES CE2-CM1'!$B$10:$B$250,0)),INDEX('NOTES CE2-CM1'!$AB$10:$AB$250,MATCH(AU165,'NOTES CE2-CM1'!$B$10:$B$250,0))),""))</f>
        <v/>
      </c>
      <c r="BA165" s="51" t="str">
        <f aca="false">IFERROR(MATCH("CM2-45",'REGISTRE ELEVES'!$AG$10:$AG$250,0),"")</f>
        <v/>
      </c>
      <c r="BB165" s="51" t="str">
        <f aca="false">IF(BA165="","",INDEX('REGISTRE ELEVES'!$B$10:$B$250,BA165))</f>
        <v/>
      </c>
      <c r="BC165" s="51" t="str">
        <f aca="false">IF(BA165="","",INDEX('REGISTRE ELEVES'!$D$10:$D$250,BA165))</f>
        <v/>
      </c>
      <c r="BD165" s="51" t="str">
        <f aca="false">IF(BA165="","",INDEX('REGISTRE ELEVES'!$E$10:$E$250,BA165))</f>
        <v/>
      </c>
      <c r="BE165" s="51" t="str">
        <f aca="false">IF(BB165="","",IFERROR(CHOOSE($P$10,INDEX('NOTES CM2'!$M$10:$M$250,MATCH(BB165,'NOTES CM2'!$B$10:$B$250,0)),INDEX('NOTES CM2'!$T$10:$T$250,MATCH(BB165,'NOTES CM2'!$B$10:$B$250,0)),INDEX('NOTES CM2'!$AB$10:$AB$250,MATCH(BB165,'NOTES CM2'!$B$10:$B$250,0)),INDEX('NOTES CM2'!$AJ$10:$AJ$250,MATCH(BB165,'NOTES CM2'!$B$10:$B$250,0))),""))</f>
        <v/>
      </c>
      <c r="BF165" s="51" t="str">
        <f aca="false">IF(ISNUMBER(BE165),BE165+(1000-45)/1000000,"")</f>
        <v/>
      </c>
      <c r="BG165" s="51" t="str">
        <f aca="false">IF(BB165="","",IFERROR(CHOOSE($P$10,INDEX('NOTES CM2'!$G$10:$G$250,MATCH(BB165,'NOTES CM2'!$B$10:$B$250,0)),INDEX('NOTES CM2'!$N$10:$N$250,MATCH(BB165,'NOTES CM2'!$B$10:$B$250,0)),INDEX('NOTES CM2'!$U$10:$U$250,MATCH(BB165,'NOTES CM2'!$B$10:$B$250,0)),INDEX('NOTES CM2'!$AC$10:$AC$250,MATCH(BB165,'NOTES CM2'!$B$10:$B$250,0))),""))</f>
        <v/>
      </c>
    </row>
    <row r="166" customFormat="false" ht="15" hidden="false" customHeight="false" outlineLevel="0" collapsed="false">
      <c r="R166" s="51" t="str">
        <f aca="false">IFERROR(MATCH("CP1-46",'REGISTRE ELEVES'!$AG$10:$AG$250,0),"")</f>
        <v/>
      </c>
      <c r="S166" s="51" t="str">
        <f aca="false">IF(R166="","",INDEX('REGISTRE ELEVES'!$B$10:$B$250,R166))</f>
        <v/>
      </c>
      <c r="T166" s="51" t="str">
        <f aca="false">IF(R166="","",INDEX('REGISTRE ELEVES'!$D$10:$D$250,R166))</f>
        <v/>
      </c>
      <c r="U166" s="51" t="str">
        <f aca="false">IF(R166="","",INDEX('REGISTRE ELEVES'!$E$10:$E$250,R166))</f>
        <v/>
      </c>
      <c r="V166" s="51" t="str">
        <f aca="false">IF(S166="","",IFERROR(CHOOSE($P$8,INDEX('NOTES CP'!$P$10:$P$250,MATCH(S166,'NOTES CP'!$B$10:$B$250,0)),INDEX('NOTES CP'!$Z$10:$Z$250,MATCH(S166,'NOTES CP'!$B$10:$B$250,0)),INDEX('NOTES CP'!$AJ$10:$AJ$250,MATCH(S166,'NOTES CP'!$B$10:$B$250,0)),INDEX('NOTES CP'!$AT$10:$AT$250,MATCH(S166,'NOTES CP'!$B$10:$B$250,0))),""))</f>
        <v/>
      </c>
      <c r="W166" s="51" t="str">
        <f aca="false">IF(ISNUMBER(V166),V166+(1000-46)/1000000,"")</f>
        <v/>
      </c>
      <c r="X166" s="51" t="str">
        <f aca="false">IF(S166="","",IFERROR(CHOOSE($P$8,INDEX('NOTES CP'!$G$10:$G$250,MATCH(S166,'NOTES CP'!$B$10:$B$250,0)),INDEX('NOTES CP'!$Q$10:$Q$250,MATCH(S166,'NOTES CP'!$B$10:$B$250,0)),INDEX('NOTES CP'!$AA$10:$AA$250,MATCH(S166,'NOTES CP'!$B$10:$B$250,0)),INDEX('NOTES CP'!$AK$10:$AK$250,MATCH(S166,'NOTES CP'!$B$10:$B$250,0))),""))</f>
        <v/>
      </c>
      <c r="Y166" s="51" t="str">
        <f aca="false">IFERROR(MATCH("CP2-46",'REGISTRE ELEVES'!$AG$10:$AG$250,0),"")</f>
        <v/>
      </c>
      <c r="Z166" s="51" t="str">
        <f aca="false">IF(Y166="","",INDEX('REGISTRE ELEVES'!$B$10:$B$250,Y166))</f>
        <v/>
      </c>
      <c r="AA166" s="51" t="str">
        <f aca="false">IF(Y166="","",INDEX('REGISTRE ELEVES'!$D$10:$D$250,Y166))</f>
        <v/>
      </c>
      <c r="AB166" s="51" t="str">
        <f aca="false">IF(Y166="","",INDEX('REGISTRE ELEVES'!$E$10:$E$250,Y166))</f>
        <v/>
      </c>
      <c r="AC166" s="51" t="str">
        <f aca="false">IF(Z166="","",IFERROR(CHOOSE($P$8,INDEX('NOTES CP'!$P$10:$P$250,MATCH(Z166,'NOTES CP'!$B$10:$B$250,0)),INDEX('NOTES CP'!$Z$10:$Z$250,MATCH(Z166,'NOTES CP'!$B$10:$B$250,0)),INDEX('NOTES CP'!$AJ$10:$AJ$250,MATCH(Z166,'NOTES CP'!$B$10:$B$250,0)),INDEX('NOTES CP'!$AT$10:$AT$250,MATCH(Z166,'NOTES CP'!$B$10:$B$250,0))),""))</f>
        <v/>
      </c>
      <c r="AD166" s="51" t="str">
        <f aca="false">IF(ISNUMBER(AC166),AC166+(1000-46)/1000000,"")</f>
        <v/>
      </c>
      <c r="AE166" s="51" t="str">
        <f aca="false">IF(Z166="","",IFERROR(CHOOSE($P$8,INDEX('NOTES CP'!$G$10:$G$250,MATCH(Z166,'NOTES CP'!$B$10:$B$250,0)),INDEX('NOTES CP'!$Q$10:$Q$250,MATCH(Z166,'NOTES CP'!$B$10:$B$250,0)),INDEX('NOTES CP'!$AA$10:$AA$250,MATCH(Z166,'NOTES CP'!$B$10:$B$250,0)),INDEX('NOTES CP'!$AK$10:$AK$250,MATCH(Z166,'NOTES CP'!$B$10:$B$250,0))),""))</f>
        <v/>
      </c>
      <c r="AF166" s="51" t="str">
        <f aca="false">IFERROR(MATCH("CE1-46",'REGISTRE ELEVES'!$AG$10:$AG$250,0),"")</f>
        <v/>
      </c>
      <c r="AG166" s="51" t="str">
        <f aca="false">IF(AF166="","",INDEX('REGISTRE ELEVES'!$B$10:$B$250,AF166))</f>
        <v/>
      </c>
      <c r="AH166" s="51" t="str">
        <f aca="false">IF(AF166="","",INDEX('REGISTRE ELEVES'!$D$10:$D$250,AF166))</f>
        <v/>
      </c>
      <c r="AI166" s="51" t="str">
        <f aca="false">IF(AF166="","",INDEX('REGISTRE ELEVES'!$E$10:$E$250,AF166))</f>
        <v/>
      </c>
      <c r="AJ166" s="51" t="str">
        <f aca="false">IF(AG166="","",IFERROR(CHOOSE($P$8,INDEX('NOTES CE1'!$M$10:$M$250,MATCH(AG166,'NOTES CE1'!$B$10:$B$250,0)),INDEX('NOTES CE1'!$T$10:$T$250,MATCH(AG166,'NOTES CE1'!$B$10:$B$250,0)),INDEX('NOTES CE1'!$AA$10:$AA$250,MATCH(AG166,'NOTES CE1'!$B$10:$B$250,0)),INDEX('NOTES CE1'!$AH$10:$AH$250,MATCH(AG166,'NOTES CE1'!$B$10:$B$250,0))),""))</f>
        <v/>
      </c>
      <c r="AK166" s="51" t="str">
        <f aca="false">IF(ISNUMBER(AJ166),AJ166+(1000-46)/1000000,"")</f>
        <v/>
      </c>
      <c r="AL166" s="51" t="str">
        <f aca="false">IF(AG166="","",IFERROR(CHOOSE($P$8,INDEX('NOTES CE1'!$G$10:$G$250,MATCH(AG166,'NOTES CE1'!$B$10:$B$250,0)),INDEX('NOTES CE1'!$N$10:$N$250,MATCH(AG166,'NOTES CE1'!$B$10:$B$250,0)),INDEX('NOTES CE1'!$U$10:$U$250,MATCH(AG166,'NOTES CE1'!$B$10:$B$250,0)),INDEX('NOTES CE1'!$AB$10:$AB$250,MATCH(AG166,'NOTES CE1'!$B$10:$B$250,0))),""))</f>
        <v/>
      </c>
      <c r="AM166" s="51" t="str">
        <f aca="false">IFERROR(MATCH("CE2-46",'REGISTRE ELEVES'!$AG$10:$AG$250,0),"")</f>
        <v/>
      </c>
      <c r="AN166" s="51" t="str">
        <f aca="false">IF(AM166="","",INDEX('REGISTRE ELEVES'!$B$10:$B$250,AM166))</f>
        <v/>
      </c>
      <c r="AO166" s="51" t="str">
        <f aca="false">IF(AM166="","",INDEX('REGISTRE ELEVES'!$D$10:$D$250,AM166))</f>
        <v/>
      </c>
      <c r="AP166" s="51" t="str">
        <f aca="false">IF(AM166="","",INDEX('REGISTRE ELEVES'!$E$10:$E$250,AM166))</f>
        <v/>
      </c>
      <c r="AQ166" s="51" t="str">
        <f aca="false">IF(AN166="","",IFERROR(CHOOSE($P$8,INDEX('NOTES CE2-CM1'!$M$10:$M$250,MATCH(AN166,'NOTES CE2-CM1'!$B$10:$B$250,0)),INDEX('NOTES CE2-CM1'!$T$10:$T$250,MATCH(AN166,'NOTES CE2-CM1'!$B$10:$B$250,0)),INDEX('NOTES CE2-CM1'!$AA$10:$AA$250,MATCH(AN166,'NOTES CE2-CM1'!$B$10:$B$250,0)),INDEX('NOTES CE2-CM1'!$AH$10:$AH$250,MATCH(AN166,'NOTES CE2-CM1'!$B$10:$B$250,0))),""))</f>
        <v/>
      </c>
      <c r="AR166" s="51" t="str">
        <f aca="false">IF(ISNUMBER(AQ166),AQ166+(1000-46)/1000000,"")</f>
        <v/>
      </c>
      <c r="AS166" s="51" t="str">
        <f aca="false">IF(AN166="","",IFERROR(CHOOSE($P$8,INDEX('NOTES CE2-CM1'!$G$10:$G$250,MATCH(AN166,'NOTES CE2-CM1'!$B$10:$B$250,0)),INDEX('NOTES CE2-CM1'!$N$10:$N$250,MATCH(AN166,'NOTES CE2-CM1'!$B$10:$B$250,0)),INDEX('NOTES CE2-CM1'!$U$10:$U$250,MATCH(AN166,'NOTES CE2-CM1'!$B$10:$B$250,0)),INDEX('NOTES CE2-CM1'!$AB$10:$AB$250,MATCH(AN166,'NOTES CE2-CM1'!$B$10:$B$250,0))),""))</f>
        <v/>
      </c>
      <c r="AT166" s="51" t="str">
        <f aca="false">IFERROR(MATCH("CM1-46",'REGISTRE ELEVES'!$AG$10:$AG$250,0),"")</f>
        <v/>
      </c>
      <c r="AU166" s="51" t="str">
        <f aca="false">IF(AT166="","",INDEX('REGISTRE ELEVES'!$B$10:$B$250,AT166))</f>
        <v/>
      </c>
      <c r="AV166" s="51" t="str">
        <f aca="false">IF(AT166="","",INDEX('REGISTRE ELEVES'!$D$10:$D$250,AT166))</f>
        <v/>
      </c>
      <c r="AW166" s="51" t="str">
        <f aca="false">IF(AT166="","",INDEX('REGISTRE ELEVES'!$E$10:$E$250,AT166))</f>
        <v/>
      </c>
      <c r="AX166" s="51" t="str">
        <f aca="false">IF(AU166="","",IFERROR(CHOOSE($P$8,INDEX('NOTES CE2-CM1'!$M$10:$M$250,MATCH(AU166,'NOTES CE2-CM1'!$B$10:$B$250,0)),INDEX('NOTES CE2-CM1'!$T$10:$T$250,MATCH(AU166,'NOTES CE2-CM1'!$B$10:$B$250,0)),INDEX('NOTES CE2-CM1'!$AA$10:$AA$250,MATCH(AU166,'NOTES CE2-CM1'!$B$10:$B$250,0)),INDEX('NOTES CE2-CM1'!$AH$10:$AH$250,MATCH(AU166,'NOTES CE2-CM1'!$B$10:$B$250,0))),""))</f>
        <v/>
      </c>
      <c r="AY166" s="51" t="str">
        <f aca="false">IF(ISNUMBER(AX166),AX166+(1000-46)/1000000,"")</f>
        <v/>
      </c>
      <c r="AZ166" s="51" t="str">
        <f aca="false">IF(AU166="","",IFERROR(CHOOSE($P$8,INDEX('NOTES CE2-CM1'!$G$10:$G$250,MATCH(AU166,'NOTES CE2-CM1'!$B$10:$B$250,0)),INDEX('NOTES CE2-CM1'!$N$10:$N$250,MATCH(AU166,'NOTES CE2-CM1'!$B$10:$B$250,0)),INDEX('NOTES CE2-CM1'!$U$10:$U$250,MATCH(AU166,'NOTES CE2-CM1'!$B$10:$B$250,0)),INDEX('NOTES CE2-CM1'!$AB$10:$AB$250,MATCH(AU166,'NOTES CE2-CM1'!$B$10:$B$250,0))),""))</f>
        <v/>
      </c>
      <c r="BA166" s="51" t="str">
        <f aca="false">IFERROR(MATCH("CM2-46",'REGISTRE ELEVES'!$AG$10:$AG$250,0),"")</f>
        <v/>
      </c>
      <c r="BB166" s="51" t="str">
        <f aca="false">IF(BA166="","",INDEX('REGISTRE ELEVES'!$B$10:$B$250,BA166))</f>
        <v/>
      </c>
      <c r="BC166" s="51" t="str">
        <f aca="false">IF(BA166="","",INDEX('REGISTRE ELEVES'!$D$10:$D$250,BA166))</f>
        <v/>
      </c>
      <c r="BD166" s="51" t="str">
        <f aca="false">IF(BA166="","",INDEX('REGISTRE ELEVES'!$E$10:$E$250,BA166))</f>
        <v/>
      </c>
      <c r="BE166" s="51" t="str">
        <f aca="false">IF(BB166="","",IFERROR(CHOOSE($P$10,INDEX('NOTES CM2'!$M$10:$M$250,MATCH(BB166,'NOTES CM2'!$B$10:$B$250,0)),INDEX('NOTES CM2'!$T$10:$T$250,MATCH(BB166,'NOTES CM2'!$B$10:$B$250,0)),INDEX('NOTES CM2'!$AB$10:$AB$250,MATCH(BB166,'NOTES CM2'!$B$10:$B$250,0)),INDEX('NOTES CM2'!$AJ$10:$AJ$250,MATCH(BB166,'NOTES CM2'!$B$10:$B$250,0))),""))</f>
        <v/>
      </c>
      <c r="BF166" s="51" t="str">
        <f aca="false">IF(ISNUMBER(BE166),BE166+(1000-46)/1000000,"")</f>
        <v/>
      </c>
      <c r="BG166" s="51" t="str">
        <f aca="false">IF(BB166="","",IFERROR(CHOOSE($P$10,INDEX('NOTES CM2'!$G$10:$G$250,MATCH(BB166,'NOTES CM2'!$B$10:$B$250,0)),INDEX('NOTES CM2'!$N$10:$N$250,MATCH(BB166,'NOTES CM2'!$B$10:$B$250,0)),INDEX('NOTES CM2'!$U$10:$U$250,MATCH(BB166,'NOTES CM2'!$B$10:$B$250,0)),INDEX('NOTES CM2'!$AC$10:$AC$250,MATCH(BB166,'NOTES CM2'!$B$10:$B$250,0))),""))</f>
        <v/>
      </c>
    </row>
    <row r="167" customFormat="false" ht="15" hidden="false" customHeight="false" outlineLevel="0" collapsed="false">
      <c r="R167" s="51" t="str">
        <f aca="false">IFERROR(MATCH("CP1-47",'REGISTRE ELEVES'!$AG$10:$AG$250,0),"")</f>
        <v/>
      </c>
      <c r="S167" s="51" t="str">
        <f aca="false">IF(R167="","",INDEX('REGISTRE ELEVES'!$B$10:$B$250,R167))</f>
        <v/>
      </c>
      <c r="T167" s="51" t="str">
        <f aca="false">IF(R167="","",INDEX('REGISTRE ELEVES'!$D$10:$D$250,R167))</f>
        <v/>
      </c>
      <c r="U167" s="51" t="str">
        <f aca="false">IF(R167="","",INDEX('REGISTRE ELEVES'!$E$10:$E$250,R167))</f>
        <v/>
      </c>
      <c r="V167" s="51" t="str">
        <f aca="false">IF(S167="","",IFERROR(CHOOSE($P$8,INDEX('NOTES CP'!$P$10:$P$250,MATCH(S167,'NOTES CP'!$B$10:$B$250,0)),INDEX('NOTES CP'!$Z$10:$Z$250,MATCH(S167,'NOTES CP'!$B$10:$B$250,0)),INDEX('NOTES CP'!$AJ$10:$AJ$250,MATCH(S167,'NOTES CP'!$B$10:$B$250,0)),INDEX('NOTES CP'!$AT$10:$AT$250,MATCH(S167,'NOTES CP'!$B$10:$B$250,0))),""))</f>
        <v/>
      </c>
      <c r="W167" s="51" t="str">
        <f aca="false">IF(ISNUMBER(V167),V167+(1000-47)/1000000,"")</f>
        <v/>
      </c>
      <c r="X167" s="51" t="str">
        <f aca="false">IF(S167="","",IFERROR(CHOOSE($P$8,INDEX('NOTES CP'!$G$10:$G$250,MATCH(S167,'NOTES CP'!$B$10:$B$250,0)),INDEX('NOTES CP'!$Q$10:$Q$250,MATCH(S167,'NOTES CP'!$B$10:$B$250,0)),INDEX('NOTES CP'!$AA$10:$AA$250,MATCH(S167,'NOTES CP'!$B$10:$B$250,0)),INDEX('NOTES CP'!$AK$10:$AK$250,MATCH(S167,'NOTES CP'!$B$10:$B$250,0))),""))</f>
        <v/>
      </c>
      <c r="Y167" s="51" t="str">
        <f aca="false">IFERROR(MATCH("CP2-47",'REGISTRE ELEVES'!$AG$10:$AG$250,0),"")</f>
        <v/>
      </c>
      <c r="Z167" s="51" t="str">
        <f aca="false">IF(Y167="","",INDEX('REGISTRE ELEVES'!$B$10:$B$250,Y167))</f>
        <v/>
      </c>
      <c r="AA167" s="51" t="str">
        <f aca="false">IF(Y167="","",INDEX('REGISTRE ELEVES'!$D$10:$D$250,Y167))</f>
        <v/>
      </c>
      <c r="AB167" s="51" t="str">
        <f aca="false">IF(Y167="","",INDEX('REGISTRE ELEVES'!$E$10:$E$250,Y167))</f>
        <v/>
      </c>
      <c r="AC167" s="51" t="str">
        <f aca="false">IF(Z167="","",IFERROR(CHOOSE($P$8,INDEX('NOTES CP'!$P$10:$P$250,MATCH(Z167,'NOTES CP'!$B$10:$B$250,0)),INDEX('NOTES CP'!$Z$10:$Z$250,MATCH(Z167,'NOTES CP'!$B$10:$B$250,0)),INDEX('NOTES CP'!$AJ$10:$AJ$250,MATCH(Z167,'NOTES CP'!$B$10:$B$250,0)),INDEX('NOTES CP'!$AT$10:$AT$250,MATCH(Z167,'NOTES CP'!$B$10:$B$250,0))),""))</f>
        <v/>
      </c>
      <c r="AD167" s="51" t="str">
        <f aca="false">IF(ISNUMBER(AC167),AC167+(1000-47)/1000000,"")</f>
        <v/>
      </c>
      <c r="AE167" s="51" t="str">
        <f aca="false">IF(Z167="","",IFERROR(CHOOSE($P$8,INDEX('NOTES CP'!$G$10:$G$250,MATCH(Z167,'NOTES CP'!$B$10:$B$250,0)),INDEX('NOTES CP'!$Q$10:$Q$250,MATCH(Z167,'NOTES CP'!$B$10:$B$250,0)),INDEX('NOTES CP'!$AA$10:$AA$250,MATCH(Z167,'NOTES CP'!$B$10:$B$250,0)),INDEX('NOTES CP'!$AK$10:$AK$250,MATCH(Z167,'NOTES CP'!$B$10:$B$250,0))),""))</f>
        <v/>
      </c>
      <c r="AF167" s="51" t="str">
        <f aca="false">IFERROR(MATCH("CE1-47",'REGISTRE ELEVES'!$AG$10:$AG$250,0),"")</f>
        <v/>
      </c>
      <c r="AG167" s="51" t="str">
        <f aca="false">IF(AF167="","",INDEX('REGISTRE ELEVES'!$B$10:$B$250,AF167))</f>
        <v/>
      </c>
      <c r="AH167" s="51" t="str">
        <f aca="false">IF(AF167="","",INDEX('REGISTRE ELEVES'!$D$10:$D$250,AF167))</f>
        <v/>
      </c>
      <c r="AI167" s="51" t="str">
        <f aca="false">IF(AF167="","",INDEX('REGISTRE ELEVES'!$E$10:$E$250,AF167))</f>
        <v/>
      </c>
      <c r="AJ167" s="51" t="str">
        <f aca="false">IF(AG167="","",IFERROR(CHOOSE($P$8,INDEX('NOTES CE1'!$M$10:$M$250,MATCH(AG167,'NOTES CE1'!$B$10:$B$250,0)),INDEX('NOTES CE1'!$T$10:$T$250,MATCH(AG167,'NOTES CE1'!$B$10:$B$250,0)),INDEX('NOTES CE1'!$AA$10:$AA$250,MATCH(AG167,'NOTES CE1'!$B$10:$B$250,0)),INDEX('NOTES CE1'!$AH$10:$AH$250,MATCH(AG167,'NOTES CE1'!$B$10:$B$250,0))),""))</f>
        <v/>
      </c>
      <c r="AK167" s="51" t="str">
        <f aca="false">IF(ISNUMBER(AJ167),AJ167+(1000-47)/1000000,"")</f>
        <v/>
      </c>
      <c r="AL167" s="51" t="str">
        <f aca="false">IF(AG167="","",IFERROR(CHOOSE($P$8,INDEX('NOTES CE1'!$G$10:$G$250,MATCH(AG167,'NOTES CE1'!$B$10:$B$250,0)),INDEX('NOTES CE1'!$N$10:$N$250,MATCH(AG167,'NOTES CE1'!$B$10:$B$250,0)),INDEX('NOTES CE1'!$U$10:$U$250,MATCH(AG167,'NOTES CE1'!$B$10:$B$250,0)),INDEX('NOTES CE1'!$AB$10:$AB$250,MATCH(AG167,'NOTES CE1'!$B$10:$B$250,0))),""))</f>
        <v/>
      </c>
      <c r="AM167" s="51" t="str">
        <f aca="false">IFERROR(MATCH("CE2-47",'REGISTRE ELEVES'!$AG$10:$AG$250,0),"")</f>
        <v/>
      </c>
      <c r="AN167" s="51" t="str">
        <f aca="false">IF(AM167="","",INDEX('REGISTRE ELEVES'!$B$10:$B$250,AM167))</f>
        <v/>
      </c>
      <c r="AO167" s="51" t="str">
        <f aca="false">IF(AM167="","",INDEX('REGISTRE ELEVES'!$D$10:$D$250,AM167))</f>
        <v/>
      </c>
      <c r="AP167" s="51" t="str">
        <f aca="false">IF(AM167="","",INDEX('REGISTRE ELEVES'!$E$10:$E$250,AM167))</f>
        <v/>
      </c>
      <c r="AQ167" s="51" t="str">
        <f aca="false">IF(AN167="","",IFERROR(CHOOSE($P$8,INDEX('NOTES CE2-CM1'!$M$10:$M$250,MATCH(AN167,'NOTES CE2-CM1'!$B$10:$B$250,0)),INDEX('NOTES CE2-CM1'!$T$10:$T$250,MATCH(AN167,'NOTES CE2-CM1'!$B$10:$B$250,0)),INDEX('NOTES CE2-CM1'!$AA$10:$AA$250,MATCH(AN167,'NOTES CE2-CM1'!$B$10:$B$250,0)),INDEX('NOTES CE2-CM1'!$AH$10:$AH$250,MATCH(AN167,'NOTES CE2-CM1'!$B$10:$B$250,0))),""))</f>
        <v/>
      </c>
      <c r="AR167" s="51" t="str">
        <f aca="false">IF(ISNUMBER(AQ167),AQ167+(1000-47)/1000000,"")</f>
        <v/>
      </c>
      <c r="AS167" s="51" t="str">
        <f aca="false">IF(AN167="","",IFERROR(CHOOSE($P$8,INDEX('NOTES CE2-CM1'!$G$10:$G$250,MATCH(AN167,'NOTES CE2-CM1'!$B$10:$B$250,0)),INDEX('NOTES CE2-CM1'!$N$10:$N$250,MATCH(AN167,'NOTES CE2-CM1'!$B$10:$B$250,0)),INDEX('NOTES CE2-CM1'!$U$10:$U$250,MATCH(AN167,'NOTES CE2-CM1'!$B$10:$B$250,0)),INDEX('NOTES CE2-CM1'!$AB$10:$AB$250,MATCH(AN167,'NOTES CE2-CM1'!$B$10:$B$250,0))),""))</f>
        <v/>
      </c>
      <c r="AT167" s="51" t="str">
        <f aca="false">IFERROR(MATCH("CM1-47",'REGISTRE ELEVES'!$AG$10:$AG$250,0),"")</f>
        <v/>
      </c>
      <c r="AU167" s="51" t="str">
        <f aca="false">IF(AT167="","",INDEX('REGISTRE ELEVES'!$B$10:$B$250,AT167))</f>
        <v/>
      </c>
      <c r="AV167" s="51" t="str">
        <f aca="false">IF(AT167="","",INDEX('REGISTRE ELEVES'!$D$10:$D$250,AT167))</f>
        <v/>
      </c>
      <c r="AW167" s="51" t="str">
        <f aca="false">IF(AT167="","",INDEX('REGISTRE ELEVES'!$E$10:$E$250,AT167))</f>
        <v/>
      </c>
      <c r="AX167" s="51" t="str">
        <f aca="false">IF(AU167="","",IFERROR(CHOOSE($P$8,INDEX('NOTES CE2-CM1'!$M$10:$M$250,MATCH(AU167,'NOTES CE2-CM1'!$B$10:$B$250,0)),INDEX('NOTES CE2-CM1'!$T$10:$T$250,MATCH(AU167,'NOTES CE2-CM1'!$B$10:$B$250,0)),INDEX('NOTES CE2-CM1'!$AA$10:$AA$250,MATCH(AU167,'NOTES CE2-CM1'!$B$10:$B$250,0)),INDEX('NOTES CE2-CM1'!$AH$10:$AH$250,MATCH(AU167,'NOTES CE2-CM1'!$B$10:$B$250,0))),""))</f>
        <v/>
      </c>
      <c r="AY167" s="51" t="str">
        <f aca="false">IF(ISNUMBER(AX167),AX167+(1000-47)/1000000,"")</f>
        <v/>
      </c>
      <c r="AZ167" s="51" t="str">
        <f aca="false">IF(AU167="","",IFERROR(CHOOSE($P$8,INDEX('NOTES CE2-CM1'!$G$10:$G$250,MATCH(AU167,'NOTES CE2-CM1'!$B$10:$B$250,0)),INDEX('NOTES CE2-CM1'!$N$10:$N$250,MATCH(AU167,'NOTES CE2-CM1'!$B$10:$B$250,0)),INDEX('NOTES CE2-CM1'!$U$10:$U$250,MATCH(AU167,'NOTES CE2-CM1'!$B$10:$B$250,0)),INDEX('NOTES CE2-CM1'!$AB$10:$AB$250,MATCH(AU167,'NOTES CE2-CM1'!$B$10:$B$250,0))),""))</f>
        <v/>
      </c>
      <c r="BA167" s="51" t="str">
        <f aca="false">IFERROR(MATCH("CM2-47",'REGISTRE ELEVES'!$AG$10:$AG$250,0),"")</f>
        <v/>
      </c>
      <c r="BB167" s="51" t="str">
        <f aca="false">IF(BA167="","",INDEX('REGISTRE ELEVES'!$B$10:$B$250,BA167))</f>
        <v/>
      </c>
      <c r="BC167" s="51" t="str">
        <f aca="false">IF(BA167="","",INDEX('REGISTRE ELEVES'!$D$10:$D$250,BA167))</f>
        <v/>
      </c>
      <c r="BD167" s="51" t="str">
        <f aca="false">IF(BA167="","",INDEX('REGISTRE ELEVES'!$E$10:$E$250,BA167))</f>
        <v/>
      </c>
      <c r="BE167" s="51" t="str">
        <f aca="false">IF(BB167="","",IFERROR(CHOOSE($P$10,INDEX('NOTES CM2'!$M$10:$M$250,MATCH(BB167,'NOTES CM2'!$B$10:$B$250,0)),INDEX('NOTES CM2'!$T$10:$T$250,MATCH(BB167,'NOTES CM2'!$B$10:$B$250,0)),INDEX('NOTES CM2'!$AB$10:$AB$250,MATCH(BB167,'NOTES CM2'!$B$10:$B$250,0)),INDEX('NOTES CM2'!$AJ$10:$AJ$250,MATCH(BB167,'NOTES CM2'!$B$10:$B$250,0))),""))</f>
        <v/>
      </c>
      <c r="BF167" s="51" t="str">
        <f aca="false">IF(ISNUMBER(BE167),BE167+(1000-47)/1000000,"")</f>
        <v/>
      </c>
      <c r="BG167" s="51" t="str">
        <f aca="false">IF(BB167="","",IFERROR(CHOOSE($P$10,INDEX('NOTES CM2'!$G$10:$G$250,MATCH(BB167,'NOTES CM2'!$B$10:$B$250,0)),INDEX('NOTES CM2'!$N$10:$N$250,MATCH(BB167,'NOTES CM2'!$B$10:$B$250,0)),INDEX('NOTES CM2'!$U$10:$U$250,MATCH(BB167,'NOTES CM2'!$B$10:$B$250,0)),INDEX('NOTES CM2'!$AC$10:$AC$250,MATCH(BB167,'NOTES CM2'!$B$10:$B$250,0))),""))</f>
        <v/>
      </c>
    </row>
    <row r="168" customFormat="false" ht="15" hidden="false" customHeight="false" outlineLevel="0" collapsed="false">
      <c r="R168" s="51" t="str">
        <f aca="false">IFERROR(MATCH("CP1-48",'REGISTRE ELEVES'!$AG$10:$AG$250,0),"")</f>
        <v/>
      </c>
      <c r="S168" s="51" t="str">
        <f aca="false">IF(R168="","",INDEX('REGISTRE ELEVES'!$B$10:$B$250,R168))</f>
        <v/>
      </c>
      <c r="T168" s="51" t="str">
        <f aca="false">IF(R168="","",INDEX('REGISTRE ELEVES'!$D$10:$D$250,R168))</f>
        <v/>
      </c>
      <c r="U168" s="51" t="str">
        <f aca="false">IF(R168="","",INDEX('REGISTRE ELEVES'!$E$10:$E$250,R168))</f>
        <v/>
      </c>
      <c r="V168" s="51" t="str">
        <f aca="false">IF(S168="","",IFERROR(CHOOSE($P$8,INDEX('NOTES CP'!$P$10:$P$250,MATCH(S168,'NOTES CP'!$B$10:$B$250,0)),INDEX('NOTES CP'!$Z$10:$Z$250,MATCH(S168,'NOTES CP'!$B$10:$B$250,0)),INDEX('NOTES CP'!$AJ$10:$AJ$250,MATCH(S168,'NOTES CP'!$B$10:$B$250,0)),INDEX('NOTES CP'!$AT$10:$AT$250,MATCH(S168,'NOTES CP'!$B$10:$B$250,0))),""))</f>
        <v/>
      </c>
      <c r="W168" s="51" t="str">
        <f aca="false">IF(ISNUMBER(V168),V168+(1000-48)/1000000,"")</f>
        <v/>
      </c>
      <c r="X168" s="51" t="str">
        <f aca="false">IF(S168="","",IFERROR(CHOOSE($P$8,INDEX('NOTES CP'!$G$10:$G$250,MATCH(S168,'NOTES CP'!$B$10:$B$250,0)),INDEX('NOTES CP'!$Q$10:$Q$250,MATCH(S168,'NOTES CP'!$B$10:$B$250,0)),INDEX('NOTES CP'!$AA$10:$AA$250,MATCH(S168,'NOTES CP'!$B$10:$B$250,0)),INDEX('NOTES CP'!$AK$10:$AK$250,MATCH(S168,'NOTES CP'!$B$10:$B$250,0))),""))</f>
        <v/>
      </c>
      <c r="Y168" s="51" t="str">
        <f aca="false">IFERROR(MATCH("CP2-48",'REGISTRE ELEVES'!$AG$10:$AG$250,0),"")</f>
        <v/>
      </c>
      <c r="Z168" s="51" t="str">
        <f aca="false">IF(Y168="","",INDEX('REGISTRE ELEVES'!$B$10:$B$250,Y168))</f>
        <v/>
      </c>
      <c r="AA168" s="51" t="str">
        <f aca="false">IF(Y168="","",INDEX('REGISTRE ELEVES'!$D$10:$D$250,Y168))</f>
        <v/>
      </c>
      <c r="AB168" s="51" t="str">
        <f aca="false">IF(Y168="","",INDEX('REGISTRE ELEVES'!$E$10:$E$250,Y168))</f>
        <v/>
      </c>
      <c r="AC168" s="51" t="str">
        <f aca="false">IF(Z168="","",IFERROR(CHOOSE($P$8,INDEX('NOTES CP'!$P$10:$P$250,MATCH(Z168,'NOTES CP'!$B$10:$B$250,0)),INDEX('NOTES CP'!$Z$10:$Z$250,MATCH(Z168,'NOTES CP'!$B$10:$B$250,0)),INDEX('NOTES CP'!$AJ$10:$AJ$250,MATCH(Z168,'NOTES CP'!$B$10:$B$250,0)),INDEX('NOTES CP'!$AT$10:$AT$250,MATCH(Z168,'NOTES CP'!$B$10:$B$250,0))),""))</f>
        <v/>
      </c>
      <c r="AD168" s="51" t="str">
        <f aca="false">IF(ISNUMBER(AC168),AC168+(1000-48)/1000000,"")</f>
        <v/>
      </c>
      <c r="AE168" s="51" t="str">
        <f aca="false">IF(Z168="","",IFERROR(CHOOSE($P$8,INDEX('NOTES CP'!$G$10:$G$250,MATCH(Z168,'NOTES CP'!$B$10:$B$250,0)),INDEX('NOTES CP'!$Q$10:$Q$250,MATCH(Z168,'NOTES CP'!$B$10:$B$250,0)),INDEX('NOTES CP'!$AA$10:$AA$250,MATCH(Z168,'NOTES CP'!$B$10:$B$250,0)),INDEX('NOTES CP'!$AK$10:$AK$250,MATCH(Z168,'NOTES CP'!$B$10:$B$250,0))),""))</f>
        <v/>
      </c>
      <c r="AF168" s="51" t="str">
        <f aca="false">IFERROR(MATCH("CE1-48",'REGISTRE ELEVES'!$AG$10:$AG$250,0),"")</f>
        <v/>
      </c>
      <c r="AG168" s="51" t="str">
        <f aca="false">IF(AF168="","",INDEX('REGISTRE ELEVES'!$B$10:$B$250,AF168))</f>
        <v/>
      </c>
      <c r="AH168" s="51" t="str">
        <f aca="false">IF(AF168="","",INDEX('REGISTRE ELEVES'!$D$10:$D$250,AF168))</f>
        <v/>
      </c>
      <c r="AI168" s="51" t="str">
        <f aca="false">IF(AF168="","",INDEX('REGISTRE ELEVES'!$E$10:$E$250,AF168))</f>
        <v/>
      </c>
      <c r="AJ168" s="51" t="str">
        <f aca="false">IF(AG168="","",IFERROR(CHOOSE($P$8,INDEX('NOTES CE1'!$M$10:$M$250,MATCH(AG168,'NOTES CE1'!$B$10:$B$250,0)),INDEX('NOTES CE1'!$T$10:$T$250,MATCH(AG168,'NOTES CE1'!$B$10:$B$250,0)),INDEX('NOTES CE1'!$AA$10:$AA$250,MATCH(AG168,'NOTES CE1'!$B$10:$B$250,0)),INDEX('NOTES CE1'!$AH$10:$AH$250,MATCH(AG168,'NOTES CE1'!$B$10:$B$250,0))),""))</f>
        <v/>
      </c>
      <c r="AK168" s="51" t="str">
        <f aca="false">IF(ISNUMBER(AJ168),AJ168+(1000-48)/1000000,"")</f>
        <v/>
      </c>
      <c r="AL168" s="51" t="str">
        <f aca="false">IF(AG168="","",IFERROR(CHOOSE($P$8,INDEX('NOTES CE1'!$G$10:$G$250,MATCH(AG168,'NOTES CE1'!$B$10:$B$250,0)),INDEX('NOTES CE1'!$N$10:$N$250,MATCH(AG168,'NOTES CE1'!$B$10:$B$250,0)),INDEX('NOTES CE1'!$U$10:$U$250,MATCH(AG168,'NOTES CE1'!$B$10:$B$250,0)),INDEX('NOTES CE1'!$AB$10:$AB$250,MATCH(AG168,'NOTES CE1'!$B$10:$B$250,0))),""))</f>
        <v/>
      </c>
      <c r="AM168" s="51" t="str">
        <f aca="false">IFERROR(MATCH("CE2-48",'REGISTRE ELEVES'!$AG$10:$AG$250,0),"")</f>
        <v/>
      </c>
      <c r="AN168" s="51" t="str">
        <f aca="false">IF(AM168="","",INDEX('REGISTRE ELEVES'!$B$10:$B$250,AM168))</f>
        <v/>
      </c>
      <c r="AO168" s="51" t="str">
        <f aca="false">IF(AM168="","",INDEX('REGISTRE ELEVES'!$D$10:$D$250,AM168))</f>
        <v/>
      </c>
      <c r="AP168" s="51" t="str">
        <f aca="false">IF(AM168="","",INDEX('REGISTRE ELEVES'!$E$10:$E$250,AM168))</f>
        <v/>
      </c>
      <c r="AQ168" s="51" t="str">
        <f aca="false">IF(AN168="","",IFERROR(CHOOSE($P$8,INDEX('NOTES CE2-CM1'!$M$10:$M$250,MATCH(AN168,'NOTES CE2-CM1'!$B$10:$B$250,0)),INDEX('NOTES CE2-CM1'!$T$10:$T$250,MATCH(AN168,'NOTES CE2-CM1'!$B$10:$B$250,0)),INDEX('NOTES CE2-CM1'!$AA$10:$AA$250,MATCH(AN168,'NOTES CE2-CM1'!$B$10:$B$250,0)),INDEX('NOTES CE2-CM1'!$AH$10:$AH$250,MATCH(AN168,'NOTES CE2-CM1'!$B$10:$B$250,0))),""))</f>
        <v/>
      </c>
      <c r="AR168" s="51" t="str">
        <f aca="false">IF(ISNUMBER(AQ168),AQ168+(1000-48)/1000000,"")</f>
        <v/>
      </c>
      <c r="AS168" s="51" t="str">
        <f aca="false">IF(AN168="","",IFERROR(CHOOSE($P$8,INDEX('NOTES CE2-CM1'!$G$10:$G$250,MATCH(AN168,'NOTES CE2-CM1'!$B$10:$B$250,0)),INDEX('NOTES CE2-CM1'!$N$10:$N$250,MATCH(AN168,'NOTES CE2-CM1'!$B$10:$B$250,0)),INDEX('NOTES CE2-CM1'!$U$10:$U$250,MATCH(AN168,'NOTES CE2-CM1'!$B$10:$B$250,0)),INDEX('NOTES CE2-CM1'!$AB$10:$AB$250,MATCH(AN168,'NOTES CE2-CM1'!$B$10:$B$250,0))),""))</f>
        <v/>
      </c>
      <c r="AT168" s="51" t="str">
        <f aca="false">IFERROR(MATCH("CM1-48",'REGISTRE ELEVES'!$AG$10:$AG$250,0),"")</f>
        <v/>
      </c>
      <c r="AU168" s="51" t="str">
        <f aca="false">IF(AT168="","",INDEX('REGISTRE ELEVES'!$B$10:$B$250,AT168))</f>
        <v/>
      </c>
      <c r="AV168" s="51" t="str">
        <f aca="false">IF(AT168="","",INDEX('REGISTRE ELEVES'!$D$10:$D$250,AT168))</f>
        <v/>
      </c>
      <c r="AW168" s="51" t="str">
        <f aca="false">IF(AT168="","",INDEX('REGISTRE ELEVES'!$E$10:$E$250,AT168))</f>
        <v/>
      </c>
      <c r="AX168" s="51" t="str">
        <f aca="false">IF(AU168="","",IFERROR(CHOOSE($P$8,INDEX('NOTES CE2-CM1'!$M$10:$M$250,MATCH(AU168,'NOTES CE2-CM1'!$B$10:$B$250,0)),INDEX('NOTES CE2-CM1'!$T$10:$T$250,MATCH(AU168,'NOTES CE2-CM1'!$B$10:$B$250,0)),INDEX('NOTES CE2-CM1'!$AA$10:$AA$250,MATCH(AU168,'NOTES CE2-CM1'!$B$10:$B$250,0)),INDEX('NOTES CE2-CM1'!$AH$10:$AH$250,MATCH(AU168,'NOTES CE2-CM1'!$B$10:$B$250,0))),""))</f>
        <v/>
      </c>
      <c r="AY168" s="51" t="str">
        <f aca="false">IF(ISNUMBER(AX168),AX168+(1000-48)/1000000,"")</f>
        <v/>
      </c>
      <c r="AZ168" s="51" t="str">
        <f aca="false">IF(AU168="","",IFERROR(CHOOSE($P$8,INDEX('NOTES CE2-CM1'!$G$10:$G$250,MATCH(AU168,'NOTES CE2-CM1'!$B$10:$B$250,0)),INDEX('NOTES CE2-CM1'!$N$10:$N$250,MATCH(AU168,'NOTES CE2-CM1'!$B$10:$B$250,0)),INDEX('NOTES CE2-CM1'!$U$10:$U$250,MATCH(AU168,'NOTES CE2-CM1'!$B$10:$B$250,0)),INDEX('NOTES CE2-CM1'!$AB$10:$AB$250,MATCH(AU168,'NOTES CE2-CM1'!$B$10:$B$250,0))),""))</f>
        <v/>
      </c>
      <c r="BA168" s="51" t="str">
        <f aca="false">IFERROR(MATCH("CM2-48",'REGISTRE ELEVES'!$AG$10:$AG$250,0),"")</f>
        <v/>
      </c>
      <c r="BB168" s="51" t="str">
        <f aca="false">IF(BA168="","",INDEX('REGISTRE ELEVES'!$B$10:$B$250,BA168))</f>
        <v/>
      </c>
      <c r="BC168" s="51" t="str">
        <f aca="false">IF(BA168="","",INDEX('REGISTRE ELEVES'!$D$10:$D$250,BA168))</f>
        <v/>
      </c>
      <c r="BD168" s="51" t="str">
        <f aca="false">IF(BA168="","",INDEX('REGISTRE ELEVES'!$E$10:$E$250,BA168))</f>
        <v/>
      </c>
      <c r="BE168" s="51" t="str">
        <f aca="false">IF(BB168="","",IFERROR(CHOOSE($P$10,INDEX('NOTES CM2'!$M$10:$M$250,MATCH(BB168,'NOTES CM2'!$B$10:$B$250,0)),INDEX('NOTES CM2'!$T$10:$T$250,MATCH(BB168,'NOTES CM2'!$B$10:$B$250,0)),INDEX('NOTES CM2'!$AB$10:$AB$250,MATCH(BB168,'NOTES CM2'!$B$10:$B$250,0)),INDEX('NOTES CM2'!$AJ$10:$AJ$250,MATCH(BB168,'NOTES CM2'!$B$10:$B$250,0))),""))</f>
        <v/>
      </c>
      <c r="BF168" s="51" t="str">
        <f aca="false">IF(ISNUMBER(BE168),BE168+(1000-48)/1000000,"")</f>
        <v/>
      </c>
      <c r="BG168" s="51" t="str">
        <f aca="false">IF(BB168="","",IFERROR(CHOOSE($P$10,INDEX('NOTES CM2'!$G$10:$G$250,MATCH(BB168,'NOTES CM2'!$B$10:$B$250,0)),INDEX('NOTES CM2'!$N$10:$N$250,MATCH(BB168,'NOTES CM2'!$B$10:$B$250,0)),INDEX('NOTES CM2'!$U$10:$U$250,MATCH(BB168,'NOTES CM2'!$B$10:$B$250,0)),INDEX('NOTES CM2'!$AC$10:$AC$250,MATCH(BB168,'NOTES CM2'!$B$10:$B$250,0))),""))</f>
        <v/>
      </c>
    </row>
    <row r="169" customFormat="false" ht="15" hidden="false" customHeight="false" outlineLevel="0" collapsed="false">
      <c r="R169" s="51" t="str">
        <f aca="false">IFERROR(MATCH("CP1-49",'REGISTRE ELEVES'!$AG$10:$AG$250,0),"")</f>
        <v/>
      </c>
      <c r="S169" s="51" t="str">
        <f aca="false">IF(R169="","",INDEX('REGISTRE ELEVES'!$B$10:$B$250,R169))</f>
        <v/>
      </c>
      <c r="T169" s="51" t="str">
        <f aca="false">IF(R169="","",INDEX('REGISTRE ELEVES'!$D$10:$D$250,R169))</f>
        <v/>
      </c>
      <c r="U169" s="51" t="str">
        <f aca="false">IF(R169="","",INDEX('REGISTRE ELEVES'!$E$10:$E$250,R169))</f>
        <v/>
      </c>
      <c r="V169" s="51" t="str">
        <f aca="false">IF(S169="","",IFERROR(CHOOSE($P$8,INDEX('NOTES CP'!$P$10:$P$250,MATCH(S169,'NOTES CP'!$B$10:$B$250,0)),INDEX('NOTES CP'!$Z$10:$Z$250,MATCH(S169,'NOTES CP'!$B$10:$B$250,0)),INDEX('NOTES CP'!$AJ$10:$AJ$250,MATCH(S169,'NOTES CP'!$B$10:$B$250,0)),INDEX('NOTES CP'!$AT$10:$AT$250,MATCH(S169,'NOTES CP'!$B$10:$B$250,0))),""))</f>
        <v/>
      </c>
      <c r="W169" s="51" t="str">
        <f aca="false">IF(ISNUMBER(V169),V169+(1000-49)/1000000,"")</f>
        <v/>
      </c>
      <c r="X169" s="51" t="str">
        <f aca="false">IF(S169="","",IFERROR(CHOOSE($P$8,INDEX('NOTES CP'!$G$10:$G$250,MATCH(S169,'NOTES CP'!$B$10:$B$250,0)),INDEX('NOTES CP'!$Q$10:$Q$250,MATCH(S169,'NOTES CP'!$B$10:$B$250,0)),INDEX('NOTES CP'!$AA$10:$AA$250,MATCH(S169,'NOTES CP'!$B$10:$B$250,0)),INDEX('NOTES CP'!$AK$10:$AK$250,MATCH(S169,'NOTES CP'!$B$10:$B$250,0))),""))</f>
        <v/>
      </c>
      <c r="Y169" s="51" t="str">
        <f aca="false">IFERROR(MATCH("CP2-49",'REGISTRE ELEVES'!$AG$10:$AG$250,0),"")</f>
        <v/>
      </c>
      <c r="Z169" s="51" t="str">
        <f aca="false">IF(Y169="","",INDEX('REGISTRE ELEVES'!$B$10:$B$250,Y169))</f>
        <v/>
      </c>
      <c r="AA169" s="51" t="str">
        <f aca="false">IF(Y169="","",INDEX('REGISTRE ELEVES'!$D$10:$D$250,Y169))</f>
        <v/>
      </c>
      <c r="AB169" s="51" t="str">
        <f aca="false">IF(Y169="","",INDEX('REGISTRE ELEVES'!$E$10:$E$250,Y169))</f>
        <v/>
      </c>
      <c r="AC169" s="51" t="str">
        <f aca="false">IF(Z169="","",IFERROR(CHOOSE($P$8,INDEX('NOTES CP'!$P$10:$P$250,MATCH(Z169,'NOTES CP'!$B$10:$B$250,0)),INDEX('NOTES CP'!$Z$10:$Z$250,MATCH(Z169,'NOTES CP'!$B$10:$B$250,0)),INDEX('NOTES CP'!$AJ$10:$AJ$250,MATCH(Z169,'NOTES CP'!$B$10:$B$250,0)),INDEX('NOTES CP'!$AT$10:$AT$250,MATCH(Z169,'NOTES CP'!$B$10:$B$250,0))),""))</f>
        <v/>
      </c>
      <c r="AD169" s="51" t="str">
        <f aca="false">IF(ISNUMBER(AC169),AC169+(1000-49)/1000000,"")</f>
        <v/>
      </c>
      <c r="AE169" s="51" t="str">
        <f aca="false">IF(Z169="","",IFERROR(CHOOSE($P$8,INDEX('NOTES CP'!$G$10:$G$250,MATCH(Z169,'NOTES CP'!$B$10:$B$250,0)),INDEX('NOTES CP'!$Q$10:$Q$250,MATCH(Z169,'NOTES CP'!$B$10:$B$250,0)),INDEX('NOTES CP'!$AA$10:$AA$250,MATCH(Z169,'NOTES CP'!$B$10:$B$250,0)),INDEX('NOTES CP'!$AK$10:$AK$250,MATCH(Z169,'NOTES CP'!$B$10:$B$250,0))),""))</f>
        <v/>
      </c>
      <c r="AF169" s="51" t="str">
        <f aca="false">IFERROR(MATCH("CE1-49",'REGISTRE ELEVES'!$AG$10:$AG$250,0),"")</f>
        <v/>
      </c>
      <c r="AG169" s="51" t="str">
        <f aca="false">IF(AF169="","",INDEX('REGISTRE ELEVES'!$B$10:$B$250,AF169))</f>
        <v/>
      </c>
      <c r="AH169" s="51" t="str">
        <f aca="false">IF(AF169="","",INDEX('REGISTRE ELEVES'!$D$10:$D$250,AF169))</f>
        <v/>
      </c>
      <c r="AI169" s="51" t="str">
        <f aca="false">IF(AF169="","",INDEX('REGISTRE ELEVES'!$E$10:$E$250,AF169))</f>
        <v/>
      </c>
      <c r="AJ169" s="51" t="str">
        <f aca="false">IF(AG169="","",IFERROR(CHOOSE($P$8,INDEX('NOTES CE1'!$M$10:$M$250,MATCH(AG169,'NOTES CE1'!$B$10:$B$250,0)),INDEX('NOTES CE1'!$T$10:$T$250,MATCH(AG169,'NOTES CE1'!$B$10:$B$250,0)),INDEX('NOTES CE1'!$AA$10:$AA$250,MATCH(AG169,'NOTES CE1'!$B$10:$B$250,0)),INDEX('NOTES CE1'!$AH$10:$AH$250,MATCH(AG169,'NOTES CE1'!$B$10:$B$250,0))),""))</f>
        <v/>
      </c>
      <c r="AK169" s="51" t="str">
        <f aca="false">IF(ISNUMBER(AJ169),AJ169+(1000-49)/1000000,"")</f>
        <v/>
      </c>
      <c r="AL169" s="51" t="str">
        <f aca="false">IF(AG169="","",IFERROR(CHOOSE($P$8,INDEX('NOTES CE1'!$G$10:$G$250,MATCH(AG169,'NOTES CE1'!$B$10:$B$250,0)),INDEX('NOTES CE1'!$N$10:$N$250,MATCH(AG169,'NOTES CE1'!$B$10:$B$250,0)),INDEX('NOTES CE1'!$U$10:$U$250,MATCH(AG169,'NOTES CE1'!$B$10:$B$250,0)),INDEX('NOTES CE1'!$AB$10:$AB$250,MATCH(AG169,'NOTES CE1'!$B$10:$B$250,0))),""))</f>
        <v/>
      </c>
      <c r="AM169" s="51" t="str">
        <f aca="false">IFERROR(MATCH("CE2-49",'REGISTRE ELEVES'!$AG$10:$AG$250,0),"")</f>
        <v/>
      </c>
      <c r="AN169" s="51" t="str">
        <f aca="false">IF(AM169="","",INDEX('REGISTRE ELEVES'!$B$10:$B$250,AM169))</f>
        <v/>
      </c>
      <c r="AO169" s="51" t="str">
        <f aca="false">IF(AM169="","",INDEX('REGISTRE ELEVES'!$D$10:$D$250,AM169))</f>
        <v/>
      </c>
      <c r="AP169" s="51" t="str">
        <f aca="false">IF(AM169="","",INDEX('REGISTRE ELEVES'!$E$10:$E$250,AM169))</f>
        <v/>
      </c>
      <c r="AQ169" s="51" t="str">
        <f aca="false">IF(AN169="","",IFERROR(CHOOSE($P$8,INDEX('NOTES CE2-CM1'!$M$10:$M$250,MATCH(AN169,'NOTES CE2-CM1'!$B$10:$B$250,0)),INDEX('NOTES CE2-CM1'!$T$10:$T$250,MATCH(AN169,'NOTES CE2-CM1'!$B$10:$B$250,0)),INDEX('NOTES CE2-CM1'!$AA$10:$AA$250,MATCH(AN169,'NOTES CE2-CM1'!$B$10:$B$250,0)),INDEX('NOTES CE2-CM1'!$AH$10:$AH$250,MATCH(AN169,'NOTES CE2-CM1'!$B$10:$B$250,0))),""))</f>
        <v/>
      </c>
      <c r="AR169" s="51" t="str">
        <f aca="false">IF(ISNUMBER(AQ169),AQ169+(1000-49)/1000000,"")</f>
        <v/>
      </c>
      <c r="AS169" s="51" t="str">
        <f aca="false">IF(AN169="","",IFERROR(CHOOSE($P$8,INDEX('NOTES CE2-CM1'!$G$10:$G$250,MATCH(AN169,'NOTES CE2-CM1'!$B$10:$B$250,0)),INDEX('NOTES CE2-CM1'!$N$10:$N$250,MATCH(AN169,'NOTES CE2-CM1'!$B$10:$B$250,0)),INDEX('NOTES CE2-CM1'!$U$10:$U$250,MATCH(AN169,'NOTES CE2-CM1'!$B$10:$B$250,0)),INDEX('NOTES CE2-CM1'!$AB$10:$AB$250,MATCH(AN169,'NOTES CE2-CM1'!$B$10:$B$250,0))),""))</f>
        <v/>
      </c>
      <c r="AT169" s="51" t="str">
        <f aca="false">IFERROR(MATCH("CM1-49",'REGISTRE ELEVES'!$AG$10:$AG$250,0),"")</f>
        <v/>
      </c>
      <c r="AU169" s="51" t="str">
        <f aca="false">IF(AT169="","",INDEX('REGISTRE ELEVES'!$B$10:$B$250,AT169))</f>
        <v/>
      </c>
      <c r="AV169" s="51" t="str">
        <f aca="false">IF(AT169="","",INDEX('REGISTRE ELEVES'!$D$10:$D$250,AT169))</f>
        <v/>
      </c>
      <c r="AW169" s="51" t="str">
        <f aca="false">IF(AT169="","",INDEX('REGISTRE ELEVES'!$E$10:$E$250,AT169))</f>
        <v/>
      </c>
      <c r="AX169" s="51" t="str">
        <f aca="false">IF(AU169="","",IFERROR(CHOOSE($P$8,INDEX('NOTES CE2-CM1'!$M$10:$M$250,MATCH(AU169,'NOTES CE2-CM1'!$B$10:$B$250,0)),INDEX('NOTES CE2-CM1'!$T$10:$T$250,MATCH(AU169,'NOTES CE2-CM1'!$B$10:$B$250,0)),INDEX('NOTES CE2-CM1'!$AA$10:$AA$250,MATCH(AU169,'NOTES CE2-CM1'!$B$10:$B$250,0)),INDEX('NOTES CE2-CM1'!$AH$10:$AH$250,MATCH(AU169,'NOTES CE2-CM1'!$B$10:$B$250,0))),""))</f>
        <v/>
      </c>
      <c r="AY169" s="51" t="str">
        <f aca="false">IF(ISNUMBER(AX169),AX169+(1000-49)/1000000,"")</f>
        <v/>
      </c>
      <c r="AZ169" s="51" t="str">
        <f aca="false">IF(AU169="","",IFERROR(CHOOSE($P$8,INDEX('NOTES CE2-CM1'!$G$10:$G$250,MATCH(AU169,'NOTES CE2-CM1'!$B$10:$B$250,0)),INDEX('NOTES CE2-CM1'!$N$10:$N$250,MATCH(AU169,'NOTES CE2-CM1'!$B$10:$B$250,0)),INDEX('NOTES CE2-CM1'!$U$10:$U$250,MATCH(AU169,'NOTES CE2-CM1'!$B$10:$B$250,0)),INDEX('NOTES CE2-CM1'!$AB$10:$AB$250,MATCH(AU169,'NOTES CE2-CM1'!$B$10:$B$250,0))),""))</f>
        <v/>
      </c>
      <c r="BA169" s="51" t="str">
        <f aca="false">IFERROR(MATCH("CM2-49",'REGISTRE ELEVES'!$AG$10:$AG$250,0),"")</f>
        <v/>
      </c>
      <c r="BB169" s="51" t="str">
        <f aca="false">IF(BA169="","",INDEX('REGISTRE ELEVES'!$B$10:$B$250,BA169))</f>
        <v/>
      </c>
      <c r="BC169" s="51" t="str">
        <f aca="false">IF(BA169="","",INDEX('REGISTRE ELEVES'!$D$10:$D$250,BA169))</f>
        <v/>
      </c>
      <c r="BD169" s="51" t="str">
        <f aca="false">IF(BA169="","",INDEX('REGISTRE ELEVES'!$E$10:$E$250,BA169))</f>
        <v/>
      </c>
      <c r="BE169" s="51" t="str">
        <f aca="false">IF(BB169="","",IFERROR(CHOOSE($P$10,INDEX('NOTES CM2'!$M$10:$M$250,MATCH(BB169,'NOTES CM2'!$B$10:$B$250,0)),INDEX('NOTES CM2'!$T$10:$T$250,MATCH(BB169,'NOTES CM2'!$B$10:$B$250,0)),INDEX('NOTES CM2'!$AB$10:$AB$250,MATCH(BB169,'NOTES CM2'!$B$10:$B$250,0)),INDEX('NOTES CM2'!$AJ$10:$AJ$250,MATCH(BB169,'NOTES CM2'!$B$10:$B$250,0))),""))</f>
        <v/>
      </c>
      <c r="BF169" s="51" t="str">
        <f aca="false">IF(ISNUMBER(BE169),BE169+(1000-49)/1000000,"")</f>
        <v/>
      </c>
      <c r="BG169" s="51" t="str">
        <f aca="false">IF(BB169="","",IFERROR(CHOOSE($P$10,INDEX('NOTES CM2'!$G$10:$G$250,MATCH(BB169,'NOTES CM2'!$B$10:$B$250,0)),INDEX('NOTES CM2'!$N$10:$N$250,MATCH(BB169,'NOTES CM2'!$B$10:$B$250,0)),INDEX('NOTES CM2'!$U$10:$U$250,MATCH(BB169,'NOTES CM2'!$B$10:$B$250,0)),INDEX('NOTES CM2'!$AC$10:$AC$250,MATCH(BB169,'NOTES CM2'!$B$10:$B$250,0))),""))</f>
        <v/>
      </c>
    </row>
    <row r="170" customFormat="false" ht="15" hidden="false" customHeight="false" outlineLevel="0" collapsed="false">
      <c r="R170" s="51" t="str">
        <f aca="false">IFERROR(MATCH("CP1-50",'REGISTRE ELEVES'!$AG$10:$AG$250,0),"")</f>
        <v/>
      </c>
      <c r="S170" s="51" t="str">
        <f aca="false">IF(R170="","",INDEX('REGISTRE ELEVES'!$B$10:$B$250,R170))</f>
        <v/>
      </c>
      <c r="T170" s="51" t="str">
        <f aca="false">IF(R170="","",INDEX('REGISTRE ELEVES'!$D$10:$D$250,R170))</f>
        <v/>
      </c>
      <c r="U170" s="51" t="str">
        <f aca="false">IF(R170="","",INDEX('REGISTRE ELEVES'!$E$10:$E$250,R170))</f>
        <v/>
      </c>
      <c r="V170" s="51" t="str">
        <f aca="false">IF(S170="","",IFERROR(CHOOSE($P$8,INDEX('NOTES CP'!$P$10:$P$250,MATCH(S170,'NOTES CP'!$B$10:$B$250,0)),INDEX('NOTES CP'!$Z$10:$Z$250,MATCH(S170,'NOTES CP'!$B$10:$B$250,0)),INDEX('NOTES CP'!$AJ$10:$AJ$250,MATCH(S170,'NOTES CP'!$B$10:$B$250,0)),INDEX('NOTES CP'!$AT$10:$AT$250,MATCH(S170,'NOTES CP'!$B$10:$B$250,0))),""))</f>
        <v/>
      </c>
      <c r="W170" s="51" t="str">
        <f aca="false">IF(ISNUMBER(V170),V170+(1000-50)/1000000,"")</f>
        <v/>
      </c>
      <c r="X170" s="51" t="str">
        <f aca="false">IF(S170="","",IFERROR(CHOOSE($P$8,INDEX('NOTES CP'!$G$10:$G$250,MATCH(S170,'NOTES CP'!$B$10:$B$250,0)),INDEX('NOTES CP'!$Q$10:$Q$250,MATCH(S170,'NOTES CP'!$B$10:$B$250,0)),INDEX('NOTES CP'!$AA$10:$AA$250,MATCH(S170,'NOTES CP'!$B$10:$B$250,0)),INDEX('NOTES CP'!$AK$10:$AK$250,MATCH(S170,'NOTES CP'!$B$10:$B$250,0))),""))</f>
        <v/>
      </c>
      <c r="Y170" s="51" t="str">
        <f aca="false">IFERROR(MATCH("CP2-50",'REGISTRE ELEVES'!$AG$10:$AG$250,0),"")</f>
        <v/>
      </c>
      <c r="Z170" s="51" t="str">
        <f aca="false">IF(Y170="","",INDEX('REGISTRE ELEVES'!$B$10:$B$250,Y170))</f>
        <v/>
      </c>
      <c r="AA170" s="51" t="str">
        <f aca="false">IF(Y170="","",INDEX('REGISTRE ELEVES'!$D$10:$D$250,Y170))</f>
        <v/>
      </c>
      <c r="AB170" s="51" t="str">
        <f aca="false">IF(Y170="","",INDEX('REGISTRE ELEVES'!$E$10:$E$250,Y170))</f>
        <v/>
      </c>
      <c r="AC170" s="51" t="str">
        <f aca="false">IF(Z170="","",IFERROR(CHOOSE($P$8,INDEX('NOTES CP'!$P$10:$P$250,MATCH(Z170,'NOTES CP'!$B$10:$B$250,0)),INDEX('NOTES CP'!$Z$10:$Z$250,MATCH(Z170,'NOTES CP'!$B$10:$B$250,0)),INDEX('NOTES CP'!$AJ$10:$AJ$250,MATCH(Z170,'NOTES CP'!$B$10:$B$250,0)),INDEX('NOTES CP'!$AT$10:$AT$250,MATCH(Z170,'NOTES CP'!$B$10:$B$250,0))),""))</f>
        <v/>
      </c>
      <c r="AD170" s="51" t="str">
        <f aca="false">IF(ISNUMBER(AC170),AC170+(1000-50)/1000000,"")</f>
        <v/>
      </c>
      <c r="AE170" s="51" t="str">
        <f aca="false">IF(Z170="","",IFERROR(CHOOSE($P$8,INDEX('NOTES CP'!$G$10:$G$250,MATCH(Z170,'NOTES CP'!$B$10:$B$250,0)),INDEX('NOTES CP'!$Q$10:$Q$250,MATCH(Z170,'NOTES CP'!$B$10:$B$250,0)),INDEX('NOTES CP'!$AA$10:$AA$250,MATCH(Z170,'NOTES CP'!$B$10:$B$250,0)),INDEX('NOTES CP'!$AK$10:$AK$250,MATCH(Z170,'NOTES CP'!$B$10:$B$250,0))),""))</f>
        <v/>
      </c>
      <c r="AF170" s="51" t="str">
        <f aca="false">IFERROR(MATCH("CE1-50",'REGISTRE ELEVES'!$AG$10:$AG$250,0),"")</f>
        <v/>
      </c>
      <c r="AG170" s="51" t="str">
        <f aca="false">IF(AF170="","",INDEX('REGISTRE ELEVES'!$B$10:$B$250,AF170))</f>
        <v/>
      </c>
      <c r="AH170" s="51" t="str">
        <f aca="false">IF(AF170="","",INDEX('REGISTRE ELEVES'!$D$10:$D$250,AF170))</f>
        <v/>
      </c>
      <c r="AI170" s="51" t="str">
        <f aca="false">IF(AF170="","",INDEX('REGISTRE ELEVES'!$E$10:$E$250,AF170))</f>
        <v/>
      </c>
      <c r="AJ170" s="51" t="str">
        <f aca="false">IF(AG170="","",IFERROR(CHOOSE($P$8,INDEX('NOTES CE1'!$M$10:$M$250,MATCH(AG170,'NOTES CE1'!$B$10:$B$250,0)),INDEX('NOTES CE1'!$T$10:$T$250,MATCH(AG170,'NOTES CE1'!$B$10:$B$250,0)),INDEX('NOTES CE1'!$AA$10:$AA$250,MATCH(AG170,'NOTES CE1'!$B$10:$B$250,0)),INDEX('NOTES CE1'!$AH$10:$AH$250,MATCH(AG170,'NOTES CE1'!$B$10:$B$250,0))),""))</f>
        <v/>
      </c>
      <c r="AK170" s="51" t="str">
        <f aca="false">IF(ISNUMBER(AJ170),AJ170+(1000-50)/1000000,"")</f>
        <v/>
      </c>
      <c r="AL170" s="51" t="str">
        <f aca="false">IF(AG170="","",IFERROR(CHOOSE($P$8,INDEX('NOTES CE1'!$G$10:$G$250,MATCH(AG170,'NOTES CE1'!$B$10:$B$250,0)),INDEX('NOTES CE1'!$N$10:$N$250,MATCH(AG170,'NOTES CE1'!$B$10:$B$250,0)),INDEX('NOTES CE1'!$U$10:$U$250,MATCH(AG170,'NOTES CE1'!$B$10:$B$250,0)),INDEX('NOTES CE1'!$AB$10:$AB$250,MATCH(AG170,'NOTES CE1'!$B$10:$B$250,0))),""))</f>
        <v/>
      </c>
      <c r="AM170" s="51" t="str">
        <f aca="false">IFERROR(MATCH("CE2-50",'REGISTRE ELEVES'!$AG$10:$AG$250,0),"")</f>
        <v/>
      </c>
      <c r="AN170" s="51" t="str">
        <f aca="false">IF(AM170="","",INDEX('REGISTRE ELEVES'!$B$10:$B$250,AM170))</f>
        <v/>
      </c>
      <c r="AO170" s="51" t="str">
        <f aca="false">IF(AM170="","",INDEX('REGISTRE ELEVES'!$D$10:$D$250,AM170))</f>
        <v/>
      </c>
      <c r="AP170" s="51" t="str">
        <f aca="false">IF(AM170="","",INDEX('REGISTRE ELEVES'!$E$10:$E$250,AM170))</f>
        <v/>
      </c>
      <c r="AQ170" s="51" t="str">
        <f aca="false">IF(AN170="","",IFERROR(CHOOSE($P$8,INDEX('NOTES CE2-CM1'!$M$10:$M$250,MATCH(AN170,'NOTES CE2-CM1'!$B$10:$B$250,0)),INDEX('NOTES CE2-CM1'!$T$10:$T$250,MATCH(AN170,'NOTES CE2-CM1'!$B$10:$B$250,0)),INDEX('NOTES CE2-CM1'!$AA$10:$AA$250,MATCH(AN170,'NOTES CE2-CM1'!$B$10:$B$250,0)),INDEX('NOTES CE2-CM1'!$AH$10:$AH$250,MATCH(AN170,'NOTES CE2-CM1'!$B$10:$B$250,0))),""))</f>
        <v/>
      </c>
      <c r="AR170" s="51" t="str">
        <f aca="false">IF(ISNUMBER(AQ170),AQ170+(1000-50)/1000000,"")</f>
        <v/>
      </c>
      <c r="AS170" s="51" t="str">
        <f aca="false">IF(AN170="","",IFERROR(CHOOSE($P$8,INDEX('NOTES CE2-CM1'!$G$10:$G$250,MATCH(AN170,'NOTES CE2-CM1'!$B$10:$B$250,0)),INDEX('NOTES CE2-CM1'!$N$10:$N$250,MATCH(AN170,'NOTES CE2-CM1'!$B$10:$B$250,0)),INDEX('NOTES CE2-CM1'!$U$10:$U$250,MATCH(AN170,'NOTES CE2-CM1'!$B$10:$B$250,0)),INDEX('NOTES CE2-CM1'!$AB$10:$AB$250,MATCH(AN170,'NOTES CE2-CM1'!$B$10:$B$250,0))),""))</f>
        <v/>
      </c>
      <c r="AT170" s="51" t="str">
        <f aca="false">IFERROR(MATCH("CM1-50",'REGISTRE ELEVES'!$AG$10:$AG$250,0),"")</f>
        <v/>
      </c>
      <c r="AU170" s="51" t="str">
        <f aca="false">IF(AT170="","",INDEX('REGISTRE ELEVES'!$B$10:$B$250,AT170))</f>
        <v/>
      </c>
      <c r="AV170" s="51" t="str">
        <f aca="false">IF(AT170="","",INDEX('REGISTRE ELEVES'!$D$10:$D$250,AT170))</f>
        <v/>
      </c>
      <c r="AW170" s="51" t="str">
        <f aca="false">IF(AT170="","",INDEX('REGISTRE ELEVES'!$E$10:$E$250,AT170))</f>
        <v/>
      </c>
      <c r="AX170" s="51" t="str">
        <f aca="false">IF(AU170="","",IFERROR(CHOOSE($P$8,INDEX('NOTES CE2-CM1'!$M$10:$M$250,MATCH(AU170,'NOTES CE2-CM1'!$B$10:$B$250,0)),INDEX('NOTES CE2-CM1'!$T$10:$T$250,MATCH(AU170,'NOTES CE2-CM1'!$B$10:$B$250,0)),INDEX('NOTES CE2-CM1'!$AA$10:$AA$250,MATCH(AU170,'NOTES CE2-CM1'!$B$10:$B$250,0)),INDEX('NOTES CE2-CM1'!$AH$10:$AH$250,MATCH(AU170,'NOTES CE2-CM1'!$B$10:$B$250,0))),""))</f>
        <v/>
      </c>
      <c r="AY170" s="51" t="str">
        <f aca="false">IF(ISNUMBER(AX170),AX170+(1000-50)/1000000,"")</f>
        <v/>
      </c>
      <c r="AZ170" s="51" t="str">
        <f aca="false">IF(AU170="","",IFERROR(CHOOSE($P$8,INDEX('NOTES CE2-CM1'!$G$10:$G$250,MATCH(AU170,'NOTES CE2-CM1'!$B$10:$B$250,0)),INDEX('NOTES CE2-CM1'!$N$10:$N$250,MATCH(AU170,'NOTES CE2-CM1'!$B$10:$B$250,0)),INDEX('NOTES CE2-CM1'!$U$10:$U$250,MATCH(AU170,'NOTES CE2-CM1'!$B$10:$B$250,0)),INDEX('NOTES CE2-CM1'!$AB$10:$AB$250,MATCH(AU170,'NOTES CE2-CM1'!$B$10:$B$250,0))),""))</f>
        <v/>
      </c>
      <c r="BA170" s="51" t="str">
        <f aca="false">IFERROR(MATCH("CM2-50",'REGISTRE ELEVES'!$AG$10:$AG$250,0),"")</f>
        <v/>
      </c>
      <c r="BB170" s="51" t="str">
        <f aca="false">IF(BA170="","",INDEX('REGISTRE ELEVES'!$B$10:$B$250,BA170))</f>
        <v/>
      </c>
      <c r="BC170" s="51" t="str">
        <f aca="false">IF(BA170="","",INDEX('REGISTRE ELEVES'!$D$10:$D$250,BA170))</f>
        <v/>
      </c>
      <c r="BD170" s="51" t="str">
        <f aca="false">IF(BA170="","",INDEX('REGISTRE ELEVES'!$E$10:$E$250,BA170))</f>
        <v/>
      </c>
      <c r="BE170" s="51" t="str">
        <f aca="false">IF(BB170="","",IFERROR(CHOOSE($P$10,INDEX('NOTES CM2'!$M$10:$M$250,MATCH(BB170,'NOTES CM2'!$B$10:$B$250,0)),INDEX('NOTES CM2'!$T$10:$T$250,MATCH(BB170,'NOTES CM2'!$B$10:$B$250,0)),INDEX('NOTES CM2'!$AB$10:$AB$250,MATCH(BB170,'NOTES CM2'!$B$10:$B$250,0)),INDEX('NOTES CM2'!$AJ$10:$AJ$250,MATCH(BB170,'NOTES CM2'!$B$10:$B$250,0))),""))</f>
        <v/>
      </c>
      <c r="BF170" s="51" t="str">
        <f aca="false">IF(ISNUMBER(BE170),BE170+(1000-50)/1000000,"")</f>
        <v/>
      </c>
      <c r="BG170" s="51" t="str">
        <f aca="false">IF(BB170="","",IFERROR(CHOOSE($P$10,INDEX('NOTES CM2'!$G$10:$G$250,MATCH(BB170,'NOTES CM2'!$B$10:$B$250,0)),INDEX('NOTES CM2'!$N$10:$N$250,MATCH(BB170,'NOTES CM2'!$B$10:$B$250,0)),INDEX('NOTES CM2'!$U$10:$U$250,MATCH(BB170,'NOTES CM2'!$B$10:$B$250,0)),INDEX('NOTES CM2'!$AC$10:$AC$250,MATCH(BB170,'NOTES CM2'!$B$10:$B$250,0))),""))</f>
        <v/>
      </c>
    </row>
    <row r="171" customFormat="false" ht="15" hidden="false" customHeight="false" outlineLevel="0" collapsed="false">
      <c r="R171" s="51" t="str">
        <f aca="false">IFERROR(MATCH("CP1-51",'REGISTRE ELEVES'!$AG$10:$AG$250,0),"")</f>
        <v/>
      </c>
      <c r="S171" s="51" t="str">
        <f aca="false">IF(R171="","",INDEX('REGISTRE ELEVES'!$B$10:$B$250,R171))</f>
        <v/>
      </c>
      <c r="T171" s="51" t="str">
        <f aca="false">IF(R171="","",INDEX('REGISTRE ELEVES'!$D$10:$D$250,R171))</f>
        <v/>
      </c>
      <c r="U171" s="51" t="str">
        <f aca="false">IF(R171="","",INDEX('REGISTRE ELEVES'!$E$10:$E$250,R171))</f>
        <v/>
      </c>
      <c r="V171" s="51" t="str">
        <f aca="false">IF(S171="","",IFERROR(CHOOSE($P$8,INDEX('NOTES CP'!$P$10:$P$250,MATCH(S171,'NOTES CP'!$B$10:$B$250,0)),INDEX('NOTES CP'!$Z$10:$Z$250,MATCH(S171,'NOTES CP'!$B$10:$B$250,0)),INDEX('NOTES CP'!$AJ$10:$AJ$250,MATCH(S171,'NOTES CP'!$B$10:$B$250,0)),INDEX('NOTES CP'!$AT$10:$AT$250,MATCH(S171,'NOTES CP'!$B$10:$B$250,0))),""))</f>
        <v/>
      </c>
      <c r="W171" s="51" t="str">
        <f aca="false">IF(ISNUMBER(V171),V171+(1000-51)/1000000,"")</f>
        <v/>
      </c>
      <c r="X171" s="51" t="str">
        <f aca="false">IF(S171="","",IFERROR(CHOOSE($P$8,INDEX('NOTES CP'!$G$10:$G$250,MATCH(S171,'NOTES CP'!$B$10:$B$250,0)),INDEX('NOTES CP'!$Q$10:$Q$250,MATCH(S171,'NOTES CP'!$B$10:$B$250,0)),INDEX('NOTES CP'!$AA$10:$AA$250,MATCH(S171,'NOTES CP'!$B$10:$B$250,0)),INDEX('NOTES CP'!$AK$10:$AK$250,MATCH(S171,'NOTES CP'!$B$10:$B$250,0))),""))</f>
        <v/>
      </c>
      <c r="Y171" s="51" t="str">
        <f aca="false">IFERROR(MATCH("CP2-51",'REGISTRE ELEVES'!$AG$10:$AG$250,0),"")</f>
        <v/>
      </c>
      <c r="Z171" s="51" t="str">
        <f aca="false">IF(Y171="","",INDEX('REGISTRE ELEVES'!$B$10:$B$250,Y171))</f>
        <v/>
      </c>
      <c r="AA171" s="51" t="str">
        <f aca="false">IF(Y171="","",INDEX('REGISTRE ELEVES'!$D$10:$D$250,Y171))</f>
        <v/>
      </c>
      <c r="AB171" s="51" t="str">
        <f aca="false">IF(Y171="","",INDEX('REGISTRE ELEVES'!$E$10:$E$250,Y171))</f>
        <v/>
      </c>
      <c r="AC171" s="51" t="str">
        <f aca="false">IF(Z171="","",IFERROR(CHOOSE($P$8,INDEX('NOTES CP'!$P$10:$P$250,MATCH(Z171,'NOTES CP'!$B$10:$B$250,0)),INDEX('NOTES CP'!$Z$10:$Z$250,MATCH(Z171,'NOTES CP'!$B$10:$B$250,0)),INDEX('NOTES CP'!$AJ$10:$AJ$250,MATCH(Z171,'NOTES CP'!$B$10:$B$250,0)),INDEX('NOTES CP'!$AT$10:$AT$250,MATCH(Z171,'NOTES CP'!$B$10:$B$250,0))),""))</f>
        <v/>
      </c>
      <c r="AD171" s="51" t="str">
        <f aca="false">IF(ISNUMBER(AC171),AC171+(1000-51)/1000000,"")</f>
        <v/>
      </c>
      <c r="AE171" s="51" t="str">
        <f aca="false">IF(Z171="","",IFERROR(CHOOSE($P$8,INDEX('NOTES CP'!$G$10:$G$250,MATCH(Z171,'NOTES CP'!$B$10:$B$250,0)),INDEX('NOTES CP'!$Q$10:$Q$250,MATCH(Z171,'NOTES CP'!$B$10:$B$250,0)),INDEX('NOTES CP'!$AA$10:$AA$250,MATCH(Z171,'NOTES CP'!$B$10:$B$250,0)),INDEX('NOTES CP'!$AK$10:$AK$250,MATCH(Z171,'NOTES CP'!$B$10:$B$250,0))),""))</f>
        <v/>
      </c>
      <c r="AF171" s="51" t="str">
        <f aca="false">IFERROR(MATCH("CE1-51",'REGISTRE ELEVES'!$AG$10:$AG$250,0),"")</f>
        <v/>
      </c>
      <c r="AG171" s="51" t="str">
        <f aca="false">IF(AF171="","",INDEX('REGISTRE ELEVES'!$B$10:$B$250,AF171))</f>
        <v/>
      </c>
      <c r="AH171" s="51" t="str">
        <f aca="false">IF(AF171="","",INDEX('REGISTRE ELEVES'!$D$10:$D$250,AF171))</f>
        <v/>
      </c>
      <c r="AI171" s="51" t="str">
        <f aca="false">IF(AF171="","",INDEX('REGISTRE ELEVES'!$E$10:$E$250,AF171))</f>
        <v/>
      </c>
      <c r="AJ171" s="51" t="str">
        <f aca="false">IF(AG171="","",IFERROR(CHOOSE($P$8,INDEX('NOTES CE1'!$M$10:$M$250,MATCH(AG171,'NOTES CE1'!$B$10:$B$250,0)),INDEX('NOTES CE1'!$T$10:$T$250,MATCH(AG171,'NOTES CE1'!$B$10:$B$250,0)),INDEX('NOTES CE1'!$AA$10:$AA$250,MATCH(AG171,'NOTES CE1'!$B$10:$B$250,0)),INDEX('NOTES CE1'!$AH$10:$AH$250,MATCH(AG171,'NOTES CE1'!$B$10:$B$250,0))),""))</f>
        <v/>
      </c>
      <c r="AK171" s="51" t="str">
        <f aca="false">IF(ISNUMBER(AJ171),AJ171+(1000-51)/1000000,"")</f>
        <v/>
      </c>
      <c r="AL171" s="51" t="str">
        <f aca="false">IF(AG171="","",IFERROR(CHOOSE($P$8,INDEX('NOTES CE1'!$G$10:$G$250,MATCH(AG171,'NOTES CE1'!$B$10:$B$250,0)),INDEX('NOTES CE1'!$N$10:$N$250,MATCH(AG171,'NOTES CE1'!$B$10:$B$250,0)),INDEX('NOTES CE1'!$U$10:$U$250,MATCH(AG171,'NOTES CE1'!$B$10:$B$250,0)),INDEX('NOTES CE1'!$AB$10:$AB$250,MATCH(AG171,'NOTES CE1'!$B$10:$B$250,0))),""))</f>
        <v/>
      </c>
      <c r="AM171" s="51" t="str">
        <f aca="false">IFERROR(MATCH("CE2-51",'REGISTRE ELEVES'!$AG$10:$AG$250,0),"")</f>
        <v/>
      </c>
      <c r="AN171" s="51" t="str">
        <f aca="false">IF(AM171="","",INDEX('REGISTRE ELEVES'!$B$10:$B$250,AM171))</f>
        <v/>
      </c>
      <c r="AO171" s="51" t="str">
        <f aca="false">IF(AM171="","",INDEX('REGISTRE ELEVES'!$D$10:$D$250,AM171))</f>
        <v/>
      </c>
      <c r="AP171" s="51" t="str">
        <f aca="false">IF(AM171="","",INDEX('REGISTRE ELEVES'!$E$10:$E$250,AM171))</f>
        <v/>
      </c>
      <c r="AQ171" s="51" t="str">
        <f aca="false">IF(AN171="","",IFERROR(CHOOSE($P$8,INDEX('NOTES CE2-CM1'!$M$10:$M$250,MATCH(AN171,'NOTES CE2-CM1'!$B$10:$B$250,0)),INDEX('NOTES CE2-CM1'!$T$10:$T$250,MATCH(AN171,'NOTES CE2-CM1'!$B$10:$B$250,0)),INDEX('NOTES CE2-CM1'!$AA$10:$AA$250,MATCH(AN171,'NOTES CE2-CM1'!$B$10:$B$250,0)),INDEX('NOTES CE2-CM1'!$AH$10:$AH$250,MATCH(AN171,'NOTES CE2-CM1'!$B$10:$B$250,0))),""))</f>
        <v/>
      </c>
      <c r="AR171" s="51" t="str">
        <f aca="false">IF(ISNUMBER(AQ171),AQ171+(1000-51)/1000000,"")</f>
        <v/>
      </c>
      <c r="AS171" s="51" t="str">
        <f aca="false">IF(AN171="","",IFERROR(CHOOSE($P$8,INDEX('NOTES CE2-CM1'!$G$10:$G$250,MATCH(AN171,'NOTES CE2-CM1'!$B$10:$B$250,0)),INDEX('NOTES CE2-CM1'!$N$10:$N$250,MATCH(AN171,'NOTES CE2-CM1'!$B$10:$B$250,0)),INDEX('NOTES CE2-CM1'!$U$10:$U$250,MATCH(AN171,'NOTES CE2-CM1'!$B$10:$B$250,0)),INDEX('NOTES CE2-CM1'!$AB$10:$AB$250,MATCH(AN171,'NOTES CE2-CM1'!$B$10:$B$250,0))),""))</f>
        <v/>
      </c>
      <c r="AT171" s="51" t="str">
        <f aca="false">IFERROR(MATCH("CM1-51",'REGISTRE ELEVES'!$AG$10:$AG$250,0),"")</f>
        <v/>
      </c>
      <c r="AU171" s="51" t="str">
        <f aca="false">IF(AT171="","",INDEX('REGISTRE ELEVES'!$B$10:$B$250,AT171))</f>
        <v/>
      </c>
      <c r="AV171" s="51" t="str">
        <f aca="false">IF(AT171="","",INDEX('REGISTRE ELEVES'!$D$10:$D$250,AT171))</f>
        <v/>
      </c>
      <c r="AW171" s="51" t="str">
        <f aca="false">IF(AT171="","",INDEX('REGISTRE ELEVES'!$E$10:$E$250,AT171))</f>
        <v/>
      </c>
      <c r="AX171" s="51" t="str">
        <f aca="false">IF(AU171="","",IFERROR(CHOOSE($P$8,INDEX('NOTES CE2-CM1'!$M$10:$M$250,MATCH(AU171,'NOTES CE2-CM1'!$B$10:$B$250,0)),INDEX('NOTES CE2-CM1'!$T$10:$T$250,MATCH(AU171,'NOTES CE2-CM1'!$B$10:$B$250,0)),INDEX('NOTES CE2-CM1'!$AA$10:$AA$250,MATCH(AU171,'NOTES CE2-CM1'!$B$10:$B$250,0)),INDEX('NOTES CE2-CM1'!$AH$10:$AH$250,MATCH(AU171,'NOTES CE2-CM1'!$B$10:$B$250,0))),""))</f>
        <v/>
      </c>
      <c r="AY171" s="51" t="str">
        <f aca="false">IF(ISNUMBER(AX171),AX171+(1000-51)/1000000,"")</f>
        <v/>
      </c>
      <c r="AZ171" s="51" t="str">
        <f aca="false">IF(AU171="","",IFERROR(CHOOSE($P$8,INDEX('NOTES CE2-CM1'!$G$10:$G$250,MATCH(AU171,'NOTES CE2-CM1'!$B$10:$B$250,0)),INDEX('NOTES CE2-CM1'!$N$10:$N$250,MATCH(AU171,'NOTES CE2-CM1'!$B$10:$B$250,0)),INDEX('NOTES CE2-CM1'!$U$10:$U$250,MATCH(AU171,'NOTES CE2-CM1'!$B$10:$B$250,0)),INDEX('NOTES CE2-CM1'!$AB$10:$AB$250,MATCH(AU171,'NOTES CE2-CM1'!$B$10:$B$250,0))),""))</f>
        <v/>
      </c>
      <c r="BA171" s="51" t="str">
        <f aca="false">IFERROR(MATCH("CM2-51",'REGISTRE ELEVES'!$AG$10:$AG$250,0),"")</f>
        <v/>
      </c>
      <c r="BB171" s="51" t="str">
        <f aca="false">IF(BA171="","",INDEX('REGISTRE ELEVES'!$B$10:$B$250,BA171))</f>
        <v/>
      </c>
      <c r="BC171" s="51" t="str">
        <f aca="false">IF(BA171="","",INDEX('REGISTRE ELEVES'!$D$10:$D$250,BA171))</f>
        <v/>
      </c>
      <c r="BD171" s="51" t="str">
        <f aca="false">IF(BA171="","",INDEX('REGISTRE ELEVES'!$E$10:$E$250,BA171))</f>
        <v/>
      </c>
      <c r="BE171" s="51" t="str">
        <f aca="false">IF(BB171="","",IFERROR(CHOOSE($P$10,INDEX('NOTES CM2'!$M$10:$M$250,MATCH(BB171,'NOTES CM2'!$B$10:$B$250,0)),INDEX('NOTES CM2'!$T$10:$T$250,MATCH(BB171,'NOTES CM2'!$B$10:$B$250,0)),INDEX('NOTES CM2'!$AB$10:$AB$250,MATCH(BB171,'NOTES CM2'!$B$10:$B$250,0)),INDEX('NOTES CM2'!$AJ$10:$AJ$250,MATCH(BB171,'NOTES CM2'!$B$10:$B$250,0))),""))</f>
        <v/>
      </c>
      <c r="BF171" s="51" t="str">
        <f aca="false">IF(ISNUMBER(BE171),BE171+(1000-51)/1000000,"")</f>
        <v/>
      </c>
      <c r="BG171" s="51" t="str">
        <f aca="false">IF(BB171="","",IFERROR(CHOOSE($P$10,INDEX('NOTES CM2'!$G$10:$G$250,MATCH(BB171,'NOTES CM2'!$B$10:$B$250,0)),INDEX('NOTES CM2'!$N$10:$N$250,MATCH(BB171,'NOTES CM2'!$B$10:$B$250,0)),INDEX('NOTES CM2'!$U$10:$U$250,MATCH(BB171,'NOTES CM2'!$B$10:$B$250,0)),INDEX('NOTES CM2'!$AC$10:$AC$250,MATCH(BB171,'NOTES CM2'!$B$10:$B$250,0))),""))</f>
        <v/>
      </c>
    </row>
    <row r="172" customFormat="false" ht="15" hidden="false" customHeight="false" outlineLevel="0" collapsed="false">
      <c r="R172" s="51" t="str">
        <f aca="false">IFERROR(MATCH("CP1-52",'REGISTRE ELEVES'!$AG$10:$AG$250,0),"")</f>
        <v/>
      </c>
      <c r="S172" s="51" t="str">
        <f aca="false">IF(R172="","",INDEX('REGISTRE ELEVES'!$B$10:$B$250,R172))</f>
        <v/>
      </c>
      <c r="T172" s="51" t="str">
        <f aca="false">IF(R172="","",INDEX('REGISTRE ELEVES'!$D$10:$D$250,R172))</f>
        <v/>
      </c>
      <c r="U172" s="51" t="str">
        <f aca="false">IF(R172="","",INDEX('REGISTRE ELEVES'!$E$10:$E$250,R172))</f>
        <v/>
      </c>
      <c r="V172" s="51" t="str">
        <f aca="false">IF(S172="","",IFERROR(CHOOSE($P$8,INDEX('NOTES CP'!$P$10:$P$250,MATCH(S172,'NOTES CP'!$B$10:$B$250,0)),INDEX('NOTES CP'!$Z$10:$Z$250,MATCH(S172,'NOTES CP'!$B$10:$B$250,0)),INDEX('NOTES CP'!$AJ$10:$AJ$250,MATCH(S172,'NOTES CP'!$B$10:$B$250,0)),INDEX('NOTES CP'!$AT$10:$AT$250,MATCH(S172,'NOTES CP'!$B$10:$B$250,0))),""))</f>
        <v/>
      </c>
      <c r="W172" s="51" t="str">
        <f aca="false">IF(ISNUMBER(V172),V172+(1000-52)/1000000,"")</f>
        <v/>
      </c>
      <c r="X172" s="51" t="str">
        <f aca="false">IF(S172="","",IFERROR(CHOOSE($P$8,INDEX('NOTES CP'!$G$10:$G$250,MATCH(S172,'NOTES CP'!$B$10:$B$250,0)),INDEX('NOTES CP'!$Q$10:$Q$250,MATCH(S172,'NOTES CP'!$B$10:$B$250,0)),INDEX('NOTES CP'!$AA$10:$AA$250,MATCH(S172,'NOTES CP'!$B$10:$B$250,0)),INDEX('NOTES CP'!$AK$10:$AK$250,MATCH(S172,'NOTES CP'!$B$10:$B$250,0))),""))</f>
        <v/>
      </c>
      <c r="Y172" s="51" t="str">
        <f aca="false">IFERROR(MATCH("CP2-52",'REGISTRE ELEVES'!$AG$10:$AG$250,0),"")</f>
        <v/>
      </c>
      <c r="Z172" s="51" t="str">
        <f aca="false">IF(Y172="","",INDEX('REGISTRE ELEVES'!$B$10:$B$250,Y172))</f>
        <v/>
      </c>
      <c r="AA172" s="51" t="str">
        <f aca="false">IF(Y172="","",INDEX('REGISTRE ELEVES'!$D$10:$D$250,Y172))</f>
        <v/>
      </c>
      <c r="AB172" s="51" t="str">
        <f aca="false">IF(Y172="","",INDEX('REGISTRE ELEVES'!$E$10:$E$250,Y172))</f>
        <v/>
      </c>
      <c r="AC172" s="51" t="str">
        <f aca="false">IF(Z172="","",IFERROR(CHOOSE($P$8,INDEX('NOTES CP'!$P$10:$P$250,MATCH(Z172,'NOTES CP'!$B$10:$B$250,0)),INDEX('NOTES CP'!$Z$10:$Z$250,MATCH(Z172,'NOTES CP'!$B$10:$B$250,0)),INDEX('NOTES CP'!$AJ$10:$AJ$250,MATCH(Z172,'NOTES CP'!$B$10:$B$250,0)),INDEX('NOTES CP'!$AT$10:$AT$250,MATCH(Z172,'NOTES CP'!$B$10:$B$250,0))),""))</f>
        <v/>
      </c>
      <c r="AD172" s="51" t="str">
        <f aca="false">IF(ISNUMBER(AC172),AC172+(1000-52)/1000000,"")</f>
        <v/>
      </c>
      <c r="AE172" s="51" t="str">
        <f aca="false">IF(Z172="","",IFERROR(CHOOSE($P$8,INDEX('NOTES CP'!$G$10:$G$250,MATCH(Z172,'NOTES CP'!$B$10:$B$250,0)),INDEX('NOTES CP'!$Q$10:$Q$250,MATCH(Z172,'NOTES CP'!$B$10:$B$250,0)),INDEX('NOTES CP'!$AA$10:$AA$250,MATCH(Z172,'NOTES CP'!$B$10:$B$250,0)),INDEX('NOTES CP'!$AK$10:$AK$250,MATCH(Z172,'NOTES CP'!$B$10:$B$250,0))),""))</f>
        <v/>
      </c>
      <c r="AF172" s="51" t="str">
        <f aca="false">IFERROR(MATCH("CE1-52",'REGISTRE ELEVES'!$AG$10:$AG$250,0),"")</f>
        <v/>
      </c>
      <c r="AG172" s="51" t="str">
        <f aca="false">IF(AF172="","",INDEX('REGISTRE ELEVES'!$B$10:$B$250,AF172))</f>
        <v/>
      </c>
      <c r="AH172" s="51" t="str">
        <f aca="false">IF(AF172="","",INDEX('REGISTRE ELEVES'!$D$10:$D$250,AF172))</f>
        <v/>
      </c>
      <c r="AI172" s="51" t="str">
        <f aca="false">IF(AF172="","",INDEX('REGISTRE ELEVES'!$E$10:$E$250,AF172))</f>
        <v/>
      </c>
      <c r="AJ172" s="51" t="str">
        <f aca="false">IF(AG172="","",IFERROR(CHOOSE($P$8,INDEX('NOTES CE1'!$M$10:$M$250,MATCH(AG172,'NOTES CE1'!$B$10:$B$250,0)),INDEX('NOTES CE1'!$T$10:$T$250,MATCH(AG172,'NOTES CE1'!$B$10:$B$250,0)),INDEX('NOTES CE1'!$AA$10:$AA$250,MATCH(AG172,'NOTES CE1'!$B$10:$B$250,0)),INDEX('NOTES CE1'!$AH$10:$AH$250,MATCH(AG172,'NOTES CE1'!$B$10:$B$250,0))),""))</f>
        <v/>
      </c>
      <c r="AK172" s="51" t="str">
        <f aca="false">IF(ISNUMBER(AJ172),AJ172+(1000-52)/1000000,"")</f>
        <v/>
      </c>
      <c r="AL172" s="51" t="str">
        <f aca="false">IF(AG172="","",IFERROR(CHOOSE($P$8,INDEX('NOTES CE1'!$G$10:$G$250,MATCH(AG172,'NOTES CE1'!$B$10:$B$250,0)),INDEX('NOTES CE1'!$N$10:$N$250,MATCH(AG172,'NOTES CE1'!$B$10:$B$250,0)),INDEX('NOTES CE1'!$U$10:$U$250,MATCH(AG172,'NOTES CE1'!$B$10:$B$250,0)),INDEX('NOTES CE1'!$AB$10:$AB$250,MATCH(AG172,'NOTES CE1'!$B$10:$B$250,0))),""))</f>
        <v/>
      </c>
      <c r="AM172" s="51" t="str">
        <f aca="false">IFERROR(MATCH("CE2-52",'REGISTRE ELEVES'!$AG$10:$AG$250,0),"")</f>
        <v/>
      </c>
      <c r="AN172" s="51" t="str">
        <f aca="false">IF(AM172="","",INDEX('REGISTRE ELEVES'!$B$10:$B$250,AM172))</f>
        <v/>
      </c>
      <c r="AO172" s="51" t="str">
        <f aca="false">IF(AM172="","",INDEX('REGISTRE ELEVES'!$D$10:$D$250,AM172))</f>
        <v/>
      </c>
      <c r="AP172" s="51" t="str">
        <f aca="false">IF(AM172="","",INDEX('REGISTRE ELEVES'!$E$10:$E$250,AM172))</f>
        <v/>
      </c>
      <c r="AQ172" s="51" t="str">
        <f aca="false">IF(AN172="","",IFERROR(CHOOSE($P$8,INDEX('NOTES CE2-CM1'!$M$10:$M$250,MATCH(AN172,'NOTES CE2-CM1'!$B$10:$B$250,0)),INDEX('NOTES CE2-CM1'!$T$10:$T$250,MATCH(AN172,'NOTES CE2-CM1'!$B$10:$B$250,0)),INDEX('NOTES CE2-CM1'!$AA$10:$AA$250,MATCH(AN172,'NOTES CE2-CM1'!$B$10:$B$250,0)),INDEX('NOTES CE2-CM1'!$AH$10:$AH$250,MATCH(AN172,'NOTES CE2-CM1'!$B$10:$B$250,0))),""))</f>
        <v/>
      </c>
      <c r="AR172" s="51" t="str">
        <f aca="false">IF(ISNUMBER(AQ172),AQ172+(1000-52)/1000000,"")</f>
        <v/>
      </c>
      <c r="AS172" s="51" t="str">
        <f aca="false">IF(AN172="","",IFERROR(CHOOSE($P$8,INDEX('NOTES CE2-CM1'!$G$10:$G$250,MATCH(AN172,'NOTES CE2-CM1'!$B$10:$B$250,0)),INDEX('NOTES CE2-CM1'!$N$10:$N$250,MATCH(AN172,'NOTES CE2-CM1'!$B$10:$B$250,0)),INDEX('NOTES CE2-CM1'!$U$10:$U$250,MATCH(AN172,'NOTES CE2-CM1'!$B$10:$B$250,0)),INDEX('NOTES CE2-CM1'!$AB$10:$AB$250,MATCH(AN172,'NOTES CE2-CM1'!$B$10:$B$250,0))),""))</f>
        <v/>
      </c>
      <c r="AT172" s="51" t="str">
        <f aca="false">IFERROR(MATCH("CM1-52",'REGISTRE ELEVES'!$AG$10:$AG$250,0),"")</f>
        <v/>
      </c>
      <c r="AU172" s="51" t="str">
        <f aca="false">IF(AT172="","",INDEX('REGISTRE ELEVES'!$B$10:$B$250,AT172))</f>
        <v/>
      </c>
      <c r="AV172" s="51" t="str">
        <f aca="false">IF(AT172="","",INDEX('REGISTRE ELEVES'!$D$10:$D$250,AT172))</f>
        <v/>
      </c>
      <c r="AW172" s="51" t="str">
        <f aca="false">IF(AT172="","",INDEX('REGISTRE ELEVES'!$E$10:$E$250,AT172))</f>
        <v/>
      </c>
      <c r="AX172" s="51" t="str">
        <f aca="false">IF(AU172="","",IFERROR(CHOOSE($P$8,INDEX('NOTES CE2-CM1'!$M$10:$M$250,MATCH(AU172,'NOTES CE2-CM1'!$B$10:$B$250,0)),INDEX('NOTES CE2-CM1'!$T$10:$T$250,MATCH(AU172,'NOTES CE2-CM1'!$B$10:$B$250,0)),INDEX('NOTES CE2-CM1'!$AA$10:$AA$250,MATCH(AU172,'NOTES CE2-CM1'!$B$10:$B$250,0)),INDEX('NOTES CE2-CM1'!$AH$10:$AH$250,MATCH(AU172,'NOTES CE2-CM1'!$B$10:$B$250,0))),""))</f>
        <v/>
      </c>
      <c r="AY172" s="51" t="str">
        <f aca="false">IF(ISNUMBER(AX172),AX172+(1000-52)/1000000,"")</f>
        <v/>
      </c>
      <c r="AZ172" s="51" t="str">
        <f aca="false">IF(AU172="","",IFERROR(CHOOSE($P$8,INDEX('NOTES CE2-CM1'!$G$10:$G$250,MATCH(AU172,'NOTES CE2-CM1'!$B$10:$B$250,0)),INDEX('NOTES CE2-CM1'!$N$10:$N$250,MATCH(AU172,'NOTES CE2-CM1'!$B$10:$B$250,0)),INDEX('NOTES CE2-CM1'!$U$10:$U$250,MATCH(AU172,'NOTES CE2-CM1'!$B$10:$B$250,0)),INDEX('NOTES CE2-CM1'!$AB$10:$AB$250,MATCH(AU172,'NOTES CE2-CM1'!$B$10:$B$250,0))),""))</f>
        <v/>
      </c>
      <c r="BA172" s="51" t="str">
        <f aca="false">IFERROR(MATCH("CM2-52",'REGISTRE ELEVES'!$AG$10:$AG$250,0),"")</f>
        <v/>
      </c>
      <c r="BB172" s="51" t="str">
        <f aca="false">IF(BA172="","",INDEX('REGISTRE ELEVES'!$B$10:$B$250,BA172))</f>
        <v/>
      </c>
      <c r="BC172" s="51" t="str">
        <f aca="false">IF(BA172="","",INDEX('REGISTRE ELEVES'!$D$10:$D$250,BA172))</f>
        <v/>
      </c>
      <c r="BD172" s="51" t="str">
        <f aca="false">IF(BA172="","",INDEX('REGISTRE ELEVES'!$E$10:$E$250,BA172))</f>
        <v/>
      </c>
      <c r="BE172" s="51" t="str">
        <f aca="false">IF(BB172="","",IFERROR(CHOOSE($P$10,INDEX('NOTES CM2'!$M$10:$M$250,MATCH(BB172,'NOTES CM2'!$B$10:$B$250,0)),INDEX('NOTES CM2'!$T$10:$T$250,MATCH(BB172,'NOTES CM2'!$B$10:$B$250,0)),INDEX('NOTES CM2'!$AB$10:$AB$250,MATCH(BB172,'NOTES CM2'!$B$10:$B$250,0)),INDEX('NOTES CM2'!$AJ$10:$AJ$250,MATCH(BB172,'NOTES CM2'!$B$10:$B$250,0))),""))</f>
        <v/>
      </c>
      <c r="BF172" s="51" t="str">
        <f aca="false">IF(ISNUMBER(BE172),BE172+(1000-52)/1000000,"")</f>
        <v/>
      </c>
      <c r="BG172" s="51" t="str">
        <f aca="false">IF(BB172="","",IFERROR(CHOOSE($P$10,INDEX('NOTES CM2'!$G$10:$G$250,MATCH(BB172,'NOTES CM2'!$B$10:$B$250,0)),INDEX('NOTES CM2'!$N$10:$N$250,MATCH(BB172,'NOTES CM2'!$B$10:$B$250,0)),INDEX('NOTES CM2'!$U$10:$U$250,MATCH(BB172,'NOTES CM2'!$B$10:$B$250,0)),INDEX('NOTES CM2'!$AC$10:$AC$250,MATCH(BB172,'NOTES CM2'!$B$10:$B$250,0))),""))</f>
        <v/>
      </c>
    </row>
    <row r="173" customFormat="false" ht="15" hidden="false" customHeight="false" outlineLevel="0" collapsed="false">
      <c r="R173" s="51" t="str">
        <f aca="false">IFERROR(MATCH("CP1-53",'REGISTRE ELEVES'!$AG$10:$AG$250,0),"")</f>
        <v/>
      </c>
      <c r="S173" s="51" t="str">
        <f aca="false">IF(R173="","",INDEX('REGISTRE ELEVES'!$B$10:$B$250,R173))</f>
        <v/>
      </c>
      <c r="T173" s="51" t="str">
        <f aca="false">IF(R173="","",INDEX('REGISTRE ELEVES'!$D$10:$D$250,R173))</f>
        <v/>
      </c>
      <c r="U173" s="51" t="str">
        <f aca="false">IF(R173="","",INDEX('REGISTRE ELEVES'!$E$10:$E$250,R173))</f>
        <v/>
      </c>
      <c r="V173" s="51" t="str">
        <f aca="false">IF(S173="","",IFERROR(CHOOSE($P$8,INDEX('NOTES CP'!$P$10:$P$250,MATCH(S173,'NOTES CP'!$B$10:$B$250,0)),INDEX('NOTES CP'!$Z$10:$Z$250,MATCH(S173,'NOTES CP'!$B$10:$B$250,0)),INDEX('NOTES CP'!$AJ$10:$AJ$250,MATCH(S173,'NOTES CP'!$B$10:$B$250,0)),INDEX('NOTES CP'!$AT$10:$AT$250,MATCH(S173,'NOTES CP'!$B$10:$B$250,0))),""))</f>
        <v/>
      </c>
      <c r="W173" s="51" t="str">
        <f aca="false">IF(ISNUMBER(V173),V173+(1000-53)/1000000,"")</f>
        <v/>
      </c>
      <c r="X173" s="51" t="str">
        <f aca="false">IF(S173="","",IFERROR(CHOOSE($P$8,INDEX('NOTES CP'!$G$10:$G$250,MATCH(S173,'NOTES CP'!$B$10:$B$250,0)),INDEX('NOTES CP'!$Q$10:$Q$250,MATCH(S173,'NOTES CP'!$B$10:$B$250,0)),INDEX('NOTES CP'!$AA$10:$AA$250,MATCH(S173,'NOTES CP'!$B$10:$B$250,0)),INDEX('NOTES CP'!$AK$10:$AK$250,MATCH(S173,'NOTES CP'!$B$10:$B$250,0))),""))</f>
        <v/>
      </c>
      <c r="Y173" s="51" t="str">
        <f aca="false">IFERROR(MATCH("CP2-53",'REGISTRE ELEVES'!$AG$10:$AG$250,0),"")</f>
        <v/>
      </c>
      <c r="Z173" s="51" t="str">
        <f aca="false">IF(Y173="","",INDEX('REGISTRE ELEVES'!$B$10:$B$250,Y173))</f>
        <v/>
      </c>
      <c r="AA173" s="51" t="str">
        <f aca="false">IF(Y173="","",INDEX('REGISTRE ELEVES'!$D$10:$D$250,Y173))</f>
        <v/>
      </c>
      <c r="AB173" s="51" t="str">
        <f aca="false">IF(Y173="","",INDEX('REGISTRE ELEVES'!$E$10:$E$250,Y173))</f>
        <v/>
      </c>
      <c r="AC173" s="51" t="str">
        <f aca="false">IF(Z173="","",IFERROR(CHOOSE($P$8,INDEX('NOTES CP'!$P$10:$P$250,MATCH(Z173,'NOTES CP'!$B$10:$B$250,0)),INDEX('NOTES CP'!$Z$10:$Z$250,MATCH(Z173,'NOTES CP'!$B$10:$B$250,0)),INDEX('NOTES CP'!$AJ$10:$AJ$250,MATCH(Z173,'NOTES CP'!$B$10:$B$250,0)),INDEX('NOTES CP'!$AT$10:$AT$250,MATCH(Z173,'NOTES CP'!$B$10:$B$250,0))),""))</f>
        <v/>
      </c>
      <c r="AD173" s="51" t="str">
        <f aca="false">IF(ISNUMBER(AC173),AC173+(1000-53)/1000000,"")</f>
        <v/>
      </c>
      <c r="AE173" s="51" t="str">
        <f aca="false">IF(Z173="","",IFERROR(CHOOSE($P$8,INDEX('NOTES CP'!$G$10:$G$250,MATCH(Z173,'NOTES CP'!$B$10:$B$250,0)),INDEX('NOTES CP'!$Q$10:$Q$250,MATCH(Z173,'NOTES CP'!$B$10:$B$250,0)),INDEX('NOTES CP'!$AA$10:$AA$250,MATCH(Z173,'NOTES CP'!$B$10:$B$250,0)),INDEX('NOTES CP'!$AK$10:$AK$250,MATCH(Z173,'NOTES CP'!$B$10:$B$250,0))),""))</f>
        <v/>
      </c>
      <c r="AF173" s="51" t="str">
        <f aca="false">IFERROR(MATCH("CE1-53",'REGISTRE ELEVES'!$AG$10:$AG$250,0),"")</f>
        <v/>
      </c>
      <c r="AG173" s="51" t="str">
        <f aca="false">IF(AF173="","",INDEX('REGISTRE ELEVES'!$B$10:$B$250,AF173))</f>
        <v/>
      </c>
      <c r="AH173" s="51" t="str">
        <f aca="false">IF(AF173="","",INDEX('REGISTRE ELEVES'!$D$10:$D$250,AF173))</f>
        <v/>
      </c>
      <c r="AI173" s="51" t="str">
        <f aca="false">IF(AF173="","",INDEX('REGISTRE ELEVES'!$E$10:$E$250,AF173))</f>
        <v/>
      </c>
      <c r="AJ173" s="51" t="str">
        <f aca="false">IF(AG173="","",IFERROR(CHOOSE($P$8,INDEX('NOTES CE1'!$M$10:$M$250,MATCH(AG173,'NOTES CE1'!$B$10:$B$250,0)),INDEX('NOTES CE1'!$T$10:$T$250,MATCH(AG173,'NOTES CE1'!$B$10:$B$250,0)),INDEX('NOTES CE1'!$AA$10:$AA$250,MATCH(AG173,'NOTES CE1'!$B$10:$B$250,0)),INDEX('NOTES CE1'!$AH$10:$AH$250,MATCH(AG173,'NOTES CE1'!$B$10:$B$250,0))),""))</f>
        <v/>
      </c>
      <c r="AK173" s="51" t="str">
        <f aca="false">IF(ISNUMBER(AJ173),AJ173+(1000-53)/1000000,"")</f>
        <v/>
      </c>
      <c r="AL173" s="51" t="str">
        <f aca="false">IF(AG173="","",IFERROR(CHOOSE($P$8,INDEX('NOTES CE1'!$G$10:$G$250,MATCH(AG173,'NOTES CE1'!$B$10:$B$250,0)),INDEX('NOTES CE1'!$N$10:$N$250,MATCH(AG173,'NOTES CE1'!$B$10:$B$250,0)),INDEX('NOTES CE1'!$U$10:$U$250,MATCH(AG173,'NOTES CE1'!$B$10:$B$250,0)),INDEX('NOTES CE1'!$AB$10:$AB$250,MATCH(AG173,'NOTES CE1'!$B$10:$B$250,0))),""))</f>
        <v/>
      </c>
      <c r="AM173" s="51" t="str">
        <f aca="false">IFERROR(MATCH("CE2-53",'REGISTRE ELEVES'!$AG$10:$AG$250,0),"")</f>
        <v/>
      </c>
      <c r="AN173" s="51" t="str">
        <f aca="false">IF(AM173="","",INDEX('REGISTRE ELEVES'!$B$10:$B$250,AM173))</f>
        <v/>
      </c>
      <c r="AO173" s="51" t="str">
        <f aca="false">IF(AM173="","",INDEX('REGISTRE ELEVES'!$D$10:$D$250,AM173))</f>
        <v/>
      </c>
      <c r="AP173" s="51" t="str">
        <f aca="false">IF(AM173="","",INDEX('REGISTRE ELEVES'!$E$10:$E$250,AM173))</f>
        <v/>
      </c>
      <c r="AQ173" s="51" t="str">
        <f aca="false">IF(AN173="","",IFERROR(CHOOSE($P$8,INDEX('NOTES CE2-CM1'!$M$10:$M$250,MATCH(AN173,'NOTES CE2-CM1'!$B$10:$B$250,0)),INDEX('NOTES CE2-CM1'!$T$10:$T$250,MATCH(AN173,'NOTES CE2-CM1'!$B$10:$B$250,0)),INDEX('NOTES CE2-CM1'!$AA$10:$AA$250,MATCH(AN173,'NOTES CE2-CM1'!$B$10:$B$250,0)),INDEX('NOTES CE2-CM1'!$AH$10:$AH$250,MATCH(AN173,'NOTES CE2-CM1'!$B$10:$B$250,0))),""))</f>
        <v/>
      </c>
      <c r="AR173" s="51" t="str">
        <f aca="false">IF(ISNUMBER(AQ173),AQ173+(1000-53)/1000000,"")</f>
        <v/>
      </c>
      <c r="AS173" s="51" t="str">
        <f aca="false">IF(AN173="","",IFERROR(CHOOSE($P$8,INDEX('NOTES CE2-CM1'!$G$10:$G$250,MATCH(AN173,'NOTES CE2-CM1'!$B$10:$B$250,0)),INDEX('NOTES CE2-CM1'!$N$10:$N$250,MATCH(AN173,'NOTES CE2-CM1'!$B$10:$B$250,0)),INDEX('NOTES CE2-CM1'!$U$10:$U$250,MATCH(AN173,'NOTES CE2-CM1'!$B$10:$B$250,0)),INDEX('NOTES CE2-CM1'!$AB$10:$AB$250,MATCH(AN173,'NOTES CE2-CM1'!$B$10:$B$250,0))),""))</f>
        <v/>
      </c>
      <c r="AT173" s="51" t="str">
        <f aca="false">IFERROR(MATCH("CM1-53",'REGISTRE ELEVES'!$AG$10:$AG$250,0),"")</f>
        <v/>
      </c>
      <c r="AU173" s="51" t="str">
        <f aca="false">IF(AT173="","",INDEX('REGISTRE ELEVES'!$B$10:$B$250,AT173))</f>
        <v/>
      </c>
      <c r="AV173" s="51" t="str">
        <f aca="false">IF(AT173="","",INDEX('REGISTRE ELEVES'!$D$10:$D$250,AT173))</f>
        <v/>
      </c>
      <c r="AW173" s="51" t="str">
        <f aca="false">IF(AT173="","",INDEX('REGISTRE ELEVES'!$E$10:$E$250,AT173))</f>
        <v/>
      </c>
      <c r="AX173" s="51" t="str">
        <f aca="false">IF(AU173="","",IFERROR(CHOOSE($P$8,INDEX('NOTES CE2-CM1'!$M$10:$M$250,MATCH(AU173,'NOTES CE2-CM1'!$B$10:$B$250,0)),INDEX('NOTES CE2-CM1'!$T$10:$T$250,MATCH(AU173,'NOTES CE2-CM1'!$B$10:$B$250,0)),INDEX('NOTES CE2-CM1'!$AA$10:$AA$250,MATCH(AU173,'NOTES CE2-CM1'!$B$10:$B$250,0)),INDEX('NOTES CE2-CM1'!$AH$10:$AH$250,MATCH(AU173,'NOTES CE2-CM1'!$B$10:$B$250,0))),""))</f>
        <v/>
      </c>
      <c r="AY173" s="51" t="str">
        <f aca="false">IF(ISNUMBER(AX173),AX173+(1000-53)/1000000,"")</f>
        <v/>
      </c>
      <c r="AZ173" s="51" t="str">
        <f aca="false">IF(AU173="","",IFERROR(CHOOSE($P$8,INDEX('NOTES CE2-CM1'!$G$10:$G$250,MATCH(AU173,'NOTES CE2-CM1'!$B$10:$B$250,0)),INDEX('NOTES CE2-CM1'!$N$10:$N$250,MATCH(AU173,'NOTES CE2-CM1'!$B$10:$B$250,0)),INDEX('NOTES CE2-CM1'!$U$10:$U$250,MATCH(AU173,'NOTES CE2-CM1'!$B$10:$B$250,0)),INDEX('NOTES CE2-CM1'!$AB$10:$AB$250,MATCH(AU173,'NOTES CE2-CM1'!$B$10:$B$250,0))),""))</f>
        <v/>
      </c>
      <c r="BA173" s="51" t="str">
        <f aca="false">IFERROR(MATCH("CM2-53",'REGISTRE ELEVES'!$AG$10:$AG$250,0),"")</f>
        <v/>
      </c>
      <c r="BB173" s="51" t="str">
        <f aca="false">IF(BA173="","",INDEX('REGISTRE ELEVES'!$B$10:$B$250,BA173))</f>
        <v/>
      </c>
      <c r="BC173" s="51" t="str">
        <f aca="false">IF(BA173="","",INDEX('REGISTRE ELEVES'!$D$10:$D$250,BA173))</f>
        <v/>
      </c>
      <c r="BD173" s="51" t="str">
        <f aca="false">IF(BA173="","",INDEX('REGISTRE ELEVES'!$E$10:$E$250,BA173))</f>
        <v/>
      </c>
      <c r="BE173" s="51" t="str">
        <f aca="false">IF(BB173="","",IFERROR(CHOOSE($P$10,INDEX('NOTES CM2'!$M$10:$M$250,MATCH(BB173,'NOTES CM2'!$B$10:$B$250,0)),INDEX('NOTES CM2'!$T$10:$T$250,MATCH(BB173,'NOTES CM2'!$B$10:$B$250,0)),INDEX('NOTES CM2'!$AB$10:$AB$250,MATCH(BB173,'NOTES CM2'!$B$10:$B$250,0)),INDEX('NOTES CM2'!$AJ$10:$AJ$250,MATCH(BB173,'NOTES CM2'!$B$10:$B$250,0))),""))</f>
        <v/>
      </c>
      <c r="BF173" s="51" t="str">
        <f aca="false">IF(ISNUMBER(BE173),BE173+(1000-53)/1000000,"")</f>
        <v/>
      </c>
      <c r="BG173" s="51" t="str">
        <f aca="false">IF(BB173="","",IFERROR(CHOOSE($P$10,INDEX('NOTES CM2'!$G$10:$G$250,MATCH(BB173,'NOTES CM2'!$B$10:$B$250,0)),INDEX('NOTES CM2'!$N$10:$N$250,MATCH(BB173,'NOTES CM2'!$B$10:$B$250,0)),INDEX('NOTES CM2'!$U$10:$U$250,MATCH(BB173,'NOTES CM2'!$B$10:$B$250,0)),INDEX('NOTES CM2'!$AC$10:$AC$250,MATCH(BB173,'NOTES CM2'!$B$10:$B$250,0))),""))</f>
        <v/>
      </c>
    </row>
    <row r="174" customFormat="false" ht="15" hidden="false" customHeight="false" outlineLevel="0" collapsed="false">
      <c r="R174" s="51" t="str">
        <f aca="false">IFERROR(MATCH("CP1-54",'REGISTRE ELEVES'!$AG$10:$AG$250,0),"")</f>
        <v/>
      </c>
      <c r="S174" s="51" t="str">
        <f aca="false">IF(R174="","",INDEX('REGISTRE ELEVES'!$B$10:$B$250,R174))</f>
        <v/>
      </c>
      <c r="T174" s="51" t="str">
        <f aca="false">IF(R174="","",INDEX('REGISTRE ELEVES'!$D$10:$D$250,R174))</f>
        <v/>
      </c>
      <c r="U174" s="51" t="str">
        <f aca="false">IF(R174="","",INDEX('REGISTRE ELEVES'!$E$10:$E$250,R174))</f>
        <v/>
      </c>
      <c r="V174" s="51" t="str">
        <f aca="false">IF(S174="","",IFERROR(CHOOSE($P$8,INDEX('NOTES CP'!$P$10:$P$250,MATCH(S174,'NOTES CP'!$B$10:$B$250,0)),INDEX('NOTES CP'!$Z$10:$Z$250,MATCH(S174,'NOTES CP'!$B$10:$B$250,0)),INDEX('NOTES CP'!$AJ$10:$AJ$250,MATCH(S174,'NOTES CP'!$B$10:$B$250,0)),INDEX('NOTES CP'!$AT$10:$AT$250,MATCH(S174,'NOTES CP'!$B$10:$B$250,0))),""))</f>
        <v/>
      </c>
      <c r="W174" s="51" t="str">
        <f aca="false">IF(ISNUMBER(V174),V174+(1000-54)/1000000,"")</f>
        <v/>
      </c>
      <c r="X174" s="51" t="str">
        <f aca="false">IF(S174="","",IFERROR(CHOOSE($P$8,INDEX('NOTES CP'!$G$10:$G$250,MATCH(S174,'NOTES CP'!$B$10:$B$250,0)),INDEX('NOTES CP'!$Q$10:$Q$250,MATCH(S174,'NOTES CP'!$B$10:$B$250,0)),INDEX('NOTES CP'!$AA$10:$AA$250,MATCH(S174,'NOTES CP'!$B$10:$B$250,0)),INDEX('NOTES CP'!$AK$10:$AK$250,MATCH(S174,'NOTES CP'!$B$10:$B$250,0))),""))</f>
        <v/>
      </c>
      <c r="Y174" s="51" t="str">
        <f aca="false">IFERROR(MATCH("CP2-54",'REGISTRE ELEVES'!$AG$10:$AG$250,0),"")</f>
        <v/>
      </c>
      <c r="Z174" s="51" t="str">
        <f aca="false">IF(Y174="","",INDEX('REGISTRE ELEVES'!$B$10:$B$250,Y174))</f>
        <v/>
      </c>
      <c r="AA174" s="51" t="str">
        <f aca="false">IF(Y174="","",INDEX('REGISTRE ELEVES'!$D$10:$D$250,Y174))</f>
        <v/>
      </c>
      <c r="AB174" s="51" t="str">
        <f aca="false">IF(Y174="","",INDEX('REGISTRE ELEVES'!$E$10:$E$250,Y174))</f>
        <v/>
      </c>
      <c r="AC174" s="51" t="str">
        <f aca="false">IF(Z174="","",IFERROR(CHOOSE($P$8,INDEX('NOTES CP'!$P$10:$P$250,MATCH(Z174,'NOTES CP'!$B$10:$B$250,0)),INDEX('NOTES CP'!$Z$10:$Z$250,MATCH(Z174,'NOTES CP'!$B$10:$B$250,0)),INDEX('NOTES CP'!$AJ$10:$AJ$250,MATCH(Z174,'NOTES CP'!$B$10:$B$250,0)),INDEX('NOTES CP'!$AT$10:$AT$250,MATCH(Z174,'NOTES CP'!$B$10:$B$250,0))),""))</f>
        <v/>
      </c>
      <c r="AD174" s="51" t="str">
        <f aca="false">IF(ISNUMBER(AC174),AC174+(1000-54)/1000000,"")</f>
        <v/>
      </c>
      <c r="AE174" s="51" t="str">
        <f aca="false">IF(Z174="","",IFERROR(CHOOSE($P$8,INDEX('NOTES CP'!$G$10:$G$250,MATCH(Z174,'NOTES CP'!$B$10:$B$250,0)),INDEX('NOTES CP'!$Q$10:$Q$250,MATCH(Z174,'NOTES CP'!$B$10:$B$250,0)),INDEX('NOTES CP'!$AA$10:$AA$250,MATCH(Z174,'NOTES CP'!$B$10:$B$250,0)),INDEX('NOTES CP'!$AK$10:$AK$250,MATCH(Z174,'NOTES CP'!$B$10:$B$250,0))),""))</f>
        <v/>
      </c>
      <c r="AF174" s="51" t="str">
        <f aca="false">IFERROR(MATCH("CE1-54",'REGISTRE ELEVES'!$AG$10:$AG$250,0),"")</f>
        <v/>
      </c>
      <c r="AG174" s="51" t="str">
        <f aca="false">IF(AF174="","",INDEX('REGISTRE ELEVES'!$B$10:$B$250,AF174))</f>
        <v/>
      </c>
      <c r="AH174" s="51" t="str">
        <f aca="false">IF(AF174="","",INDEX('REGISTRE ELEVES'!$D$10:$D$250,AF174))</f>
        <v/>
      </c>
      <c r="AI174" s="51" t="str">
        <f aca="false">IF(AF174="","",INDEX('REGISTRE ELEVES'!$E$10:$E$250,AF174))</f>
        <v/>
      </c>
      <c r="AJ174" s="51" t="str">
        <f aca="false">IF(AG174="","",IFERROR(CHOOSE($P$8,INDEX('NOTES CE1'!$M$10:$M$250,MATCH(AG174,'NOTES CE1'!$B$10:$B$250,0)),INDEX('NOTES CE1'!$T$10:$T$250,MATCH(AG174,'NOTES CE1'!$B$10:$B$250,0)),INDEX('NOTES CE1'!$AA$10:$AA$250,MATCH(AG174,'NOTES CE1'!$B$10:$B$250,0)),INDEX('NOTES CE1'!$AH$10:$AH$250,MATCH(AG174,'NOTES CE1'!$B$10:$B$250,0))),""))</f>
        <v/>
      </c>
      <c r="AK174" s="51" t="str">
        <f aca="false">IF(ISNUMBER(AJ174),AJ174+(1000-54)/1000000,"")</f>
        <v/>
      </c>
      <c r="AL174" s="51" t="str">
        <f aca="false">IF(AG174="","",IFERROR(CHOOSE($P$8,INDEX('NOTES CE1'!$G$10:$G$250,MATCH(AG174,'NOTES CE1'!$B$10:$B$250,0)),INDEX('NOTES CE1'!$N$10:$N$250,MATCH(AG174,'NOTES CE1'!$B$10:$B$250,0)),INDEX('NOTES CE1'!$U$10:$U$250,MATCH(AG174,'NOTES CE1'!$B$10:$B$250,0)),INDEX('NOTES CE1'!$AB$10:$AB$250,MATCH(AG174,'NOTES CE1'!$B$10:$B$250,0))),""))</f>
        <v/>
      </c>
      <c r="AM174" s="51" t="str">
        <f aca="false">IFERROR(MATCH("CE2-54",'REGISTRE ELEVES'!$AG$10:$AG$250,0),"")</f>
        <v/>
      </c>
      <c r="AN174" s="51" t="str">
        <f aca="false">IF(AM174="","",INDEX('REGISTRE ELEVES'!$B$10:$B$250,AM174))</f>
        <v/>
      </c>
      <c r="AO174" s="51" t="str">
        <f aca="false">IF(AM174="","",INDEX('REGISTRE ELEVES'!$D$10:$D$250,AM174))</f>
        <v/>
      </c>
      <c r="AP174" s="51" t="str">
        <f aca="false">IF(AM174="","",INDEX('REGISTRE ELEVES'!$E$10:$E$250,AM174))</f>
        <v/>
      </c>
      <c r="AQ174" s="51" t="str">
        <f aca="false">IF(AN174="","",IFERROR(CHOOSE($P$8,INDEX('NOTES CE2-CM1'!$M$10:$M$250,MATCH(AN174,'NOTES CE2-CM1'!$B$10:$B$250,0)),INDEX('NOTES CE2-CM1'!$T$10:$T$250,MATCH(AN174,'NOTES CE2-CM1'!$B$10:$B$250,0)),INDEX('NOTES CE2-CM1'!$AA$10:$AA$250,MATCH(AN174,'NOTES CE2-CM1'!$B$10:$B$250,0)),INDEX('NOTES CE2-CM1'!$AH$10:$AH$250,MATCH(AN174,'NOTES CE2-CM1'!$B$10:$B$250,0))),""))</f>
        <v/>
      </c>
      <c r="AR174" s="51" t="str">
        <f aca="false">IF(ISNUMBER(AQ174),AQ174+(1000-54)/1000000,"")</f>
        <v/>
      </c>
      <c r="AS174" s="51" t="str">
        <f aca="false">IF(AN174="","",IFERROR(CHOOSE($P$8,INDEX('NOTES CE2-CM1'!$G$10:$G$250,MATCH(AN174,'NOTES CE2-CM1'!$B$10:$B$250,0)),INDEX('NOTES CE2-CM1'!$N$10:$N$250,MATCH(AN174,'NOTES CE2-CM1'!$B$10:$B$250,0)),INDEX('NOTES CE2-CM1'!$U$10:$U$250,MATCH(AN174,'NOTES CE2-CM1'!$B$10:$B$250,0)),INDEX('NOTES CE2-CM1'!$AB$10:$AB$250,MATCH(AN174,'NOTES CE2-CM1'!$B$10:$B$250,0))),""))</f>
        <v/>
      </c>
      <c r="AT174" s="51" t="str">
        <f aca="false">IFERROR(MATCH("CM1-54",'REGISTRE ELEVES'!$AG$10:$AG$250,0),"")</f>
        <v/>
      </c>
      <c r="AU174" s="51" t="str">
        <f aca="false">IF(AT174="","",INDEX('REGISTRE ELEVES'!$B$10:$B$250,AT174))</f>
        <v/>
      </c>
      <c r="AV174" s="51" t="str">
        <f aca="false">IF(AT174="","",INDEX('REGISTRE ELEVES'!$D$10:$D$250,AT174))</f>
        <v/>
      </c>
      <c r="AW174" s="51" t="str">
        <f aca="false">IF(AT174="","",INDEX('REGISTRE ELEVES'!$E$10:$E$250,AT174))</f>
        <v/>
      </c>
      <c r="AX174" s="51" t="str">
        <f aca="false">IF(AU174="","",IFERROR(CHOOSE($P$8,INDEX('NOTES CE2-CM1'!$M$10:$M$250,MATCH(AU174,'NOTES CE2-CM1'!$B$10:$B$250,0)),INDEX('NOTES CE2-CM1'!$T$10:$T$250,MATCH(AU174,'NOTES CE2-CM1'!$B$10:$B$250,0)),INDEX('NOTES CE2-CM1'!$AA$10:$AA$250,MATCH(AU174,'NOTES CE2-CM1'!$B$10:$B$250,0)),INDEX('NOTES CE2-CM1'!$AH$10:$AH$250,MATCH(AU174,'NOTES CE2-CM1'!$B$10:$B$250,0))),""))</f>
        <v/>
      </c>
      <c r="AY174" s="51" t="str">
        <f aca="false">IF(ISNUMBER(AX174),AX174+(1000-54)/1000000,"")</f>
        <v/>
      </c>
      <c r="AZ174" s="51" t="str">
        <f aca="false">IF(AU174="","",IFERROR(CHOOSE($P$8,INDEX('NOTES CE2-CM1'!$G$10:$G$250,MATCH(AU174,'NOTES CE2-CM1'!$B$10:$B$250,0)),INDEX('NOTES CE2-CM1'!$N$10:$N$250,MATCH(AU174,'NOTES CE2-CM1'!$B$10:$B$250,0)),INDEX('NOTES CE2-CM1'!$U$10:$U$250,MATCH(AU174,'NOTES CE2-CM1'!$B$10:$B$250,0)),INDEX('NOTES CE2-CM1'!$AB$10:$AB$250,MATCH(AU174,'NOTES CE2-CM1'!$B$10:$B$250,0))),""))</f>
        <v/>
      </c>
      <c r="BA174" s="51" t="str">
        <f aca="false">IFERROR(MATCH("CM2-54",'REGISTRE ELEVES'!$AG$10:$AG$250,0),"")</f>
        <v/>
      </c>
      <c r="BB174" s="51" t="str">
        <f aca="false">IF(BA174="","",INDEX('REGISTRE ELEVES'!$B$10:$B$250,BA174))</f>
        <v/>
      </c>
      <c r="BC174" s="51" t="str">
        <f aca="false">IF(BA174="","",INDEX('REGISTRE ELEVES'!$D$10:$D$250,BA174))</f>
        <v/>
      </c>
      <c r="BD174" s="51" t="str">
        <f aca="false">IF(BA174="","",INDEX('REGISTRE ELEVES'!$E$10:$E$250,BA174))</f>
        <v/>
      </c>
      <c r="BE174" s="51" t="str">
        <f aca="false">IF(BB174="","",IFERROR(CHOOSE($P$10,INDEX('NOTES CM2'!$M$10:$M$250,MATCH(BB174,'NOTES CM2'!$B$10:$B$250,0)),INDEX('NOTES CM2'!$T$10:$T$250,MATCH(BB174,'NOTES CM2'!$B$10:$B$250,0)),INDEX('NOTES CM2'!$AB$10:$AB$250,MATCH(BB174,'NOTES CM2'!$B$10:$B$250,0)),INDEX('NOTES CM2'!$AJ$10:$AJ$250,MATCH(BB174,'NOTES CM2'!$B$10:$B$250,0))),""))</f>
        <v/>
      </c>
      <c r="BF174" s="51" t="str">
        <f aca="false">IF(ISNUMBER(BE174),BE174+(1000-54)/1000000,"")</f>
        <v/>
      </c>
      <c r="BG174" s="51" t="str">
        <f aca="false">IF(BB174="","",IFERROR(CHOOSE($P$10,INDEX('NOTES CM2'!$G$10:$G$250,MATCH(BB174,'NOTES CM2'!$B$10:$B$250,0)),INDEX('NOTES CM2'!$N$10:$N$250,MATCH(BB174,'NOTES CM2'!$B$10:$B$250,0)),INDEX('NOTES CM2'!$U$10:$U$250,MATCH(BB174,'NOTES CM2'!$B$10:$B$250,0)),INDEX('NOTES CM2'!$AC$10:$AC$250,MATCH(BB174,'NOTES CM2'!$B$10:$B$250,0))),""))</f>
        <v/>
      </c>
    </row>
    <row r="175" customFormat="false" ht="15" hidden="false" customHeight="false" outlineLevel="0" collapsed="false">
      <c r="R175" s="51" t="str">
        <f aca="false">IFERROR(MATCH("CP1-55",'REGISTRE ELEVES'!$AG$10:$AG$250,0),"")</f>
        <v/>
      </c>
      <c r="S175" s="51" t="str">
        <f aca="false">IF(R175="","",INDEX('REGISTRE ELEVES'!$B$10:$B$250,R175))</f>
        <v/>
      </c>
      <c r="T175" s="51" t="str">
        <f aca="false">IF(R175="","",INDEX('REGISTRE ELEVES'!$D$10:$D$250,R175))</f>
        <v/>
      </c>
      <c r="U175" s="51" t="str">
        <f aca="false">IF(R175="","",INDEX('REGISTRE ELEVES'!$E$10:$E$250,R175))</f>
        <v/>
      </c>
      <c r="V175" s="51" t="str">
        <f aca="false">IF(S175="","",IFERROR(CHOOSE($P$8,INDEX('NOTES CP'!$P$10:$P$250,MATCH(S175,'NOTES CP'!$B$10:$B$250,0)),INDEX('NOTES CP'!$Z$10:$Z$250,MATCH(S175,'NOTES CP'!$B$10:$B$250,0)),INDEX('NOTES CP'!$AJ$10:$AJ$250,MATCH(S175,'NOTES CP'!$B$10:$B$250,0)),INDEX('NOTES CP'!$AT$10:$AT$250,MATCH(S175,'NOTES CP'!$B$10:$B$250,0))),""))</f>
        <v/>
      </c>
      <c r="W175" s="51" t="str">
        <f aca="false">IF(ISNUMBER(V175),V175+(1000-55)/1000000,"")</f>
        <v/>
      </c>
      <c r="X175" s="51" t="str">
        <f aca="false">IF(S175="","",IFERROR(CHOOSE($P$8,INDEX('NOTES CP'!$G$10:$G$250,MATCH(S175,'NOTES CP'!$B$10:$B$250,0)),INDEX('NOTES CP'!$Q$10:$Q$250,MATCH(S175,'NOTES CP'!$B$10:$B$250,0)),INDEX('NOTES CP'!$AA$10:$AA$250,MATCH(S175,'NOTES CP'!$B$10:$B$250,0)),INDEX('NOTES CP'!$AK$10:$AK$250,MATCH(S175,'NOTES CP'!$B$10:$B$250,0))),""))</f>
        <v/>
      </c>
      <c r="Y175" s="51" t="str">
        <f aca="false">IFERROR(MATCH("CP2-55",'REGISTRE ELEVES'!$AG$10:$AG$250,0),"")</f>
        <v/>
      </c>
      <c r="Z175" s="51" t="str">
        <f aca="false">IF(Y175="","",INDEX('REGISTRE ELEVES'!$B$10:$B$250,Y175))</f>
        <v/>
      </c>
      <c r="AA175" s="51" t="str">
        <f aca="false">IF(Y175="","",INDEX('REGISTRE ELEVES'!$D$10:$D$250,Y175))</f>
        <v/>
      </c>
      <c r="AB175" s="51" t="str">
        <f aca="false">IF(Y175="","",INDEX('REGISTRE ELEVES'!$E$10:$E$250,Y175))</f>
        <v/>
      </c>
      <c r="AC175" s="51" t="str">
        <f aca="false">IF(Z175="","",IFERROR(CHOOSE($P$8,INDEX('NOTES CP'!$P$10:$P$250,MATCH(Z175,'NOTES CP'!$B$10:$B$250,0)),INDEX('NOTES CP'!$Z$10:$Z$250,MATCH(Z175,'NOTES CP'!$B$10:$B$250,0)),INDEX('NOTES CP'!$AJ$10:$AJ$250,MATCH(Z175,'NOTES CP'!$B$10:$B$250,0)),INDEX('NOTES CP'!$AT$10:$AT$250,MATCH(Z175,'NOTES CP'!$B$10:$B$250,0))),""))</f>
        <v/>
      </c>
      <c r="AD175" s="51" t="str">
        <f aca="false">IF(ISNUMBER(AC175),AC175+(1000-55)/1000000,"")</f>
        <v/>
      </c>
      <c r="AE175" s="51" t="str">
        <f aca="false">IF(Z175="","",IFERROR(CHOOSE($P$8,INDEX('NOTES CP'!$G$10:$G$250,MATCH(Z175,'NOTES CP'!$B$10:$B$250,0)),INDEX('NOTES CP'!$Q$10:$Q$250,MATCH(Z175,'NOTES CP'!$B$10:$B$250,0)),INDEX('NOTES CP'!$AA$10:$AA$250,MATCH(Z175,'NOTES CP'!$B$10:$B$250,0)),INDEX('NOTES CP'!$AK$10:$AK$250,MATCH(Z175,'NOTES CP'!$B$10:$B$250,0))),""))</f>
        <v/>
      </c>
      <c r="AF175" s="51" t="str">
        <f aca="false">IFERROR(MATCH("CE1-55",'REGISTRE ELEVES'!$AG$10:$AG$250,0),"")</f>
        <v/>
      </c>
      <c r="AG175" s="51" t="str">
        <f aca="false">IF(AF175="","",INDEX('REGISTRE ELEVES'!$B$10:$B$250,AF175))</f>
        <v/>
      </c>
      <c r="AH175" s="51" t="str">
        <f aca="false">IF(AF175="","",INDEX('REGISTRE ELEVES'!$D$10:$D$250,AF175))</f>
        <v/>
      </c>
      <c r="AI175" s="51" t="str">
        <f aca="false">IF(AF175="","",INDEX('REGISTRE ELEVES'!$E$10:$E$250,AF175))</f>
        <v/>
      </c>
      <c r="AJ175" s="51" t="str">
        <f aca="false">IF(AG175="","",IFERROR(CHOOSE($P$8,INDEX('NOTES CE1'!$M$10:$M$250,MATCH(AG175,'NOTES CE1'!$B$10:$B$250,0)),INDEX('NOTES CE1'!$T$10:$T$250,MATCH(AG175,'NOTES CE1'!$B$10:$B$250,0)),INDEX('NOTES CE1'!$AA$10:$AA$250,MATCH(AG175,'NOTES CE1'!$B$10:$B$250,0)),INDEX('NOTES CE1'!$AH$10:$AH$250,MATCH(AG175,'NOTES CE1'!$B$10:$B$250,0))),""))</f>
        <v/>
      </c>
      <c r="AK175" s="51" t="str">
        <f aca="false">IF(ISNUMBER(AJ175),AJ175+(1000-55)/1000000,"")</f>
        <v/>
      </c>
      <c r="AL175" s="51" t="str">
        <f aca="false">IF(AG175="","",IFERROR(CHOOSE($P$8,INDEX('NOTES CE1'!$G$10:$G$250,MATCH(AG175,'NOTES CE1'!$B$10:$B$250,0)),INDEX('NOTES CE1'!$N$10:$N$250,MATCH(AG175,'NOTES CE1'!$B$10:$B$250,0)),INDEX('NOTES CE1'!$U$10:$U$250,MATCH(AG175,'NOTES CE1'!$B$10:$B$250,0)),INDEX('NOTES CE1'!$AB$10:$AB$250,MATCH(AG175,'NOTES CE1'!$B$10:$B$250,0))),""))</f>
        <v/>
      </c>
      <c r="AM175" s="51" t="str">
        <f aca="false">IFERROR(MATCH("CE2-55",'REGISTRE ELEVES'!$AG$10:$AG$250,0),"")</f>
        <v/>
      </c>
      <c r="AN175" s="51" t="str">
        <f aca="false">IF(AM175="","",INDEX('REGISTRE ELEVES'!$B$10:$B$250,AM175))</f>
        <v/>
      </c>
      <c r="AO175" s="51" t="str">
        <f aca="false">IF(AM175="","",INDEX('REGISTRE ELEVES'!$D$10:$D$250,AM175))</f>
        <v/>
      </c>
      <c r="AP175" s="51" t="str">
        <f aca="false">IF(AM175="","",INDEX('REGISTRE ELEVES'!$E$10:$E$250,AM175))</f>
        <v/>
      </c>
      <c r="AQ175" s="51" t="str">
        <f aca="false">IF(AN175="","",IFERROR(CHOOSE($P$8,INDEX('NOTES CE2-CM1'!$M$10:$M$250,MATCH(AN175,'NOTES CE2-CM1'!$B$10:$B$250,0)),INDEX('NOTES CE2-CM1'!$T$10:$T$250,MATCH(AN175,'NOTES CE2-CM1'!$B$10:$B$250,0)),INDEX('NOTES CE2-CM1'!$AA$10:$AA$250,MATCH(AN175,'NOTES CE2-CM1'!$B$10:$B$250,0)),INDEX('NOTES CE2-CM1'!$AH$10:$AH$250,MATCH(AN175,'NOTES CE2-CM1'!$B$10:$B$250,0))),""))</f>
        <v/>
      </c>
      <c r="AR175" s="51" t="str">
        <f aca="false">IF(ISNUMBER(AQ175),AQ175+(1000-55)/1000000,"")</f>
        <v/>
      </c>
      <c r="AS175" s="51" t="str">
        <f aca="false">IF(AN175="","",IFERROR(CHOOSE($P$8,INDEX('NOTES CE2-CM1'!$G$10:$G$250,MATCH(AN175,'NOTES CE2-CM1'!$B$10:$B$250,0)),INDEX('NOTES CE2-CM1'!$N$10:$N$250,MATCH(AN175,'NOTES CE2-CM1'!$B$10:$B$250,0)),INDEX('NOTES CE2-CM1'!$U$10:$U$250,MATCH(AN175,'NOTES CE2-CM1'!$B$10:$B$250,0)),INDEX('NOTES CE2-CM1'!$AB$10:$AB$250,MATCH(AN175,'NOTES CE2-CM1'!$B$10:$B$250,0))),""))</f>
        <v/>
      </c>
      <c r="AT175" s="51" t="str">
        <f aca="false">IFERROR(MATCH("CM1-55",'REGISTRE ELEVES'!$AG$10:$AG$250,0),"")</f>
        <v/>
      </c>
      <c r="AU175" s="51" t="str">
        <f aca="false">IF(AT175="","",INDEX('REGISTRE ELEVES'!$B$10:$B$250,AT175))</f>
        <v/>
      </c>
      <c r="AV175" s="51" t="str">
        <f aca="false">IF(AT175="","",INDEX('REGISTRE ELEVES'!$D$10:$D$250,AT175))</f>
        <v/>
      </c>
      <c r="AW175" s="51" t="str">
        <f aca="false">IF(AT175="","",INDEX('REGISTRE ELEVES'!$E$10:$E$250,AT175))</f>
        <v/>
      </c>
      <c r="AX175" s="51" t="str">
        <f aca="false">IF(AU175="","",IFERROR(CHOOSE($P$8,INDEX('NOTES CE2-CM1'!$M$10:$M$250,MATCH(AU175,'NOTES CE2-CM1'!$B$10:$B$250,0)),INDEX('NOTES CE2-CM1'!$T$10:$T$250,MATCH(AU175,'NOTES CE2-CM1'!$B$10:$B$250,0)),INDEX('NOTES CE2-CM1'!$AA$10:$AA$250,MATCH(AU175,'NOTES CE2-CM1'!$B$10:$B$250,0)),INDEX('NOTES CE2-CM1'!$AH$10:$AH$250,MATCH(AU175,'NOTES CE2-CM1'!$B$10:$B$250,0))),""))</f>
        <v/>
      </c>
      <c r="AY175" s="51" t="str">
        <f aca="false">IF(ISNUMBER(AX175),AX175+(1000-55)/1000000,"")</f>
        <v/>
      </c>
      <c r="AZ175" s="51" t="str">
        <f aca="false">IF(AU175="","",IFERROR(CHOOSE($P$8,INDEX('NOTES CE2-CM1'!$G$10:$G$250,MATCH(AU175,'NOTES CE2-CM1'!$B$10:$B$250,0)),INDEX('NOTES CE2-CM1'!$N$10:$N$250,MATCH(AU175,'NOTES CE2-CM1'!$B$10:$B$250,0)),INDEX('NOTES CE2-CM1'!$U$10:$U$250,MATCH(AU175,'NOTES CE2-CM1'!$B$10:$B$250,0)),INDEX('NOTES CE2-CM1'!$AB$10:$AB$250,MATCH(AU175,'NOTES CE2-CM1'!$B$10:$B$250,0))),""))</f>
        <v/>
      </c>
      <c r="BA175" s="51" t="str">
        <f aca="false">IFERROR(MATCH("CM2-55",'REGISTRE ELEVES'!$AG$10:$AG$250,0),"")</f>
        <v/>
      </c>
      <c r="BB175" s="51" t="str">
        <f aca="false">IF(BA175="","",INDEX('REGISTRE ELEVES'!$B$10:$B$250,BA175))</f>
        <v/>
      </c>
      <c r="BC175" s="51" t="str">
        <f aca="false">IF(BA175="","",INDEX('REGISTRE ELEVES'!$D$10:$D$250,BA175))</f>
        <v/>
      </c>
      <c r="BD175" s="51" t="str">
        <f aca="false">IF(BA175="","",INDEX('REGISTRE ELEVES'!$E$10:$E$250,BA175))</f>
        <v/>
      </c>
      <c r="BE175" s="51" t="str">
        <f aca="false">IF(BB175="","",IFERROR(CHOOSE($P$10,INDEX('NOTES CM2'!$M$10:$M$250,MATCH(BB175,'NOTES CM2'!$B$10:$B$250,0)),INDEX('NOTES CM2'!$T$10:$T$250,MATCH(BB175,'NOTES CM2'!$B$10:$B$250,0)),INDEX('NOTES CM2'!$AB$10:$AB$250,MATCH(BB175,'NOTES CM2'!$B$10:$B$250,0)),INDEX('NOTES CM2'!$AJ$10:$AJ$250,MATCH(BB175,'NOTES CM2'!$B$10:$B$250,0))),""))</f>
        <v/>
      </c>
      <c r="BF175" s="51" t="str">
        <f aca="false">IF(ISNUMBER(BE175),BE175+(1000-55)/1000000,"")</f>
        <v/>
      </c>
      <c r="BG175" s="51" t="str">
        <f aca="false">IF(BB175="","",IFERROR(CHOOSE($P$10,INDEX('NOTES CM2'!$G$10:$G$250,MATCH(BB175,'NOTES CM2'!$B$10:$B$250,0)),INDEX('NOTES CM2'!$N$10:$N$250,MATCH(BB175,'NOTES CM2'!$B$10:$B$250,0)),INDEX('NOTES CM2'!$U$10:$U$250,MATCH(BB175,'NOTES CM2'!$B$10:$B$250,0)),INDEX('NOTES CM2'!$AC$10:$AC$250,MATCH(BB175,'NOTES CM2'!$B$10:$B$250,0))),""))</f>
        <v/>
      </c>
    </row>
    <row r="176" customFormat="false" ht="15" hidden="false" customHeight="false" outlineLevel="0" collapsed="false">
      <c r="R176" s="51" t="str">
        <f aca="false">IFERROR(MATCH("CP1-56",'REGISTRE ELEVES'!$AG$10:$AG$250,0),"")</f>
        <v/>
      </c>
      <c r="S176" s="51" t="str">
        <f aca="false">IF(R176="","",INDEX('REGISTRE ELEVES'!$B$10:$B$250,R176))</f>
        <v/>
      </c>
      <c r="T176" s="51" t="str">
        <f aca="false">IF(R176="","",INDEX('REGISTRE ELEVES'!$D$10:$D$250,R176))</f>
        <v/>
      </c>
      <c r="U176" s="51" t="str">
        <f aca="false">IF(R176="","",INDEX('REGISTRE ELEVES'!$E$10:$E$250,R176))</f>
        <v/>
      </c>
      <c r="V176" s="51" t="str">
        <f aca="false">IF(S176="","",IFERROR(CHOOSE($P$8,INDEX('NOTES CP'!$P$10:$P$250,MATCH(S176,'NOTES CP'!$B$10:$B$250,0)),INDEX('NOTES CP'!$Z$10:$Z$250,MATCH(S176,'NOTES CP'!$B$10:$B$250,0)),INDEX('NOTES CP'!$AJ$10:$AJ$250,MATCH(S176,'NOTES CP'!$B$10:$B$250,0)),INDEX('NOTES CP'!$AT$10:$AT$250,MATCH(S176,'NOTES CP'!$B$10:$B$250,0))),""))</f>
        <v/>
      </c>
      <c r="W176" s="51" t="str">
        <f aca="false">IF(ISNUMBER(V176),V176+(1000-56)/1000000,"")</f>
        <v/>
      </c>
      <c r="X176" s="51" t="str">
        <f aca="false">IF(S176="","",IFERROR(CHOOSE($P$8,INDEX('NOTES CP'!$G$10:$G$250,MATCH(S176,'NOTES CP'!$B$10:$B$250,0)),INDEX('NOTES CP'!$Q$10:$Q$250,MATCH(S176,'NOTES CP'!$B$10:$B$250,0)),INDEX('NOTES CP'!$AA$10:$AA$250,MATCH(S176,'NOTES CP'!$B$10:$B$250,0)),INDEX('NOTES CP'!$AK$10:$AK$250,MATCH(S176,'NOTES CP'!$B$10:$B$250,0))),""))</f>
        <v/>
      </c>
      <c r="Y176" s="51" t="str">
        <f aca="false">IFERROR(MATCH("CP2-56",'REGISTRE ELEVES'!$AG$10:$AG$250,0),"")</f>
        <v/>
      </c>
      <c r="Z176" s="51" t="str">
        <f aca="false">IF(Y176="","",INDEX('REGISTRE ELEVES'!$B$10:$B$250,Y176))</f>
        <v/>
      </c>
      <c r="AA176" s="51" t="str">
        <f aca="false">IF(Y176="","",INDEX('REGISTRE ELEVES'!$D$10:$D$250,Y176))</f>
        <v/>
      </c>
      <c r="AB176" s="51" t="str">
        <f aca="false">IF(Y176="","",INDEX('REGISTRE ELEVES'!$E$10:$E$250,Y176))</f>
        <v/>
      </c>
      <c r="AC176" s="51" t="str">
        <f aca="false">IF(Z176="","",IFERROR(CHOOSE($P$8,INDEX('NOTES CP'!$P$10:$P$250,MATCH(Z176,'NOTES CP'!$B$10:$B$250,0)),INDEX('NOTES CP'!$Z$10:$Z$250,MATCH(Z176,'NOTES CP'!$B$10:$B$250,0)),INDEX('NOTES CP'!$AJ$10:$AJ$250,MATCH(Z176,'NOTES CP'!$B$10:$B$250,0)),INDEX('NOTES CP'!$AT$10:$AT$250,MATCH(Z176,'NOTES CP'!$B$10:$B$250,0))),""))</f>
        <v/>
      </c>
      <c r="AD176" s="51" t="str">
        <f aca="false">IF(ISNUMBER(AC176),AC176+(1000-56)/1000000,"")</f>
        <v/>
      </c>
      <c r="AE176" s="51" t="str">
        <f aca="false">IF(Z176="","",IFERROR(CHOOSE($P$8,INDEX('NOTES CP'!$G$10:$G$250,MATCH(Z176,'NOTES CP'!$B$10:$B$250,0)),INDEX('NOTES CP'!$Q$10:$Q$250,MATCH(Z176,'NOTES CP'!$B$10:$B$250,0)),INDEX('NOTES CP'!$AA$10:$AA$250,MATCH(Z176,'NOTES CP'!$B$10:$B$250,0)),INDEX('NOTES CP'!$AK$10:$AK$250,MATCH(Z176,'NOTES CP'!$B$10:$B$250,0))),""))</f>
        <v/>
      </c>
      <c r="AF176" s="51" t="str">
        <f aca="false">IFERROR(MATCH("CE1-56",'REGISTRE ELEVES'!$AG$10:$AG$250,0),"")</f>
        <v/>
      </c>
      <c r="AG176" s="51" t="str">
        <f aca="false">IF(AF176="","",INDEX('REGISTRE ELEVES'!$B$10:$B$250,AF176))</f>
        <v/>
      </c>
      <c r="AH176" s="51" t="str">
        <f aca="false">IF(AF176="","",INDEX('REGISTRE ELEVES'!$D$10:$D$250,AF176))</f>
        <v/>
      </c>
      <c r="AI176" s="51" t="str">
        <f aca="false">IF(AF176="","",INDEX('REGISTRE ELEVES'!$E$10:$E$250,AF176))</f>
        <v/>
      </c>
      <c r="AJ176" s="51" t="str">
        <f aca="false">IF(AG176="","",IFERROR(CHOOSE($P$8,INDEX('NOTES CE1'!$M$10:$M$250,MATCH(AG176,'NOTES CE1'!$B$10:$B$250,0)),INDEX('NOTES CE1'!$T$10:$T$250,MATCH(AG176,'NOTES CE1'!$B$10:$B$250,0)),INDEX('NOTES CE1'!$AA$10:$AA$250,MATCH(AG176,'NOTES CE1'!$B$10:$B$250,0)),INDEX('NOTES CE1'!$AH$10:$AH$250,MATCH(AG176,'NOTES CE1'!$B$10:$B$250,0))),""))</f>
        <v/>
      </c>
      <c r="AK176" s="51" t="str">
        <f aca="false">IF(ISNUMBER(AJ176),AJ176+(1000-56)/1000000,"")</f>
        <v/>
      </c>
      <c r="AL176" s="51" t="str">
        <f aca="false">IF(AG176="","",IFERROR(CHOOSE($P$8,INDEX('NOTES CE1'!$G$10:$G$250,MATCH(AG176,'NOTES CE1'!$B$10:$B$250,0)),INDEX('NOTES CE1'!$N$10:$N$250,MATCH(AG176,'NOTES CE1'!$B$10:$B$250,0)),INDEX('NOTES CE1'!$U$10:$U$250,MATCH(AG176,'NOTES CE1'!$B$10:$B$250,0)),INDEX('NOTES CE1'!$AB$10:$AB$250,MATCH(AG176,'NOTES CE1'!$B$10:$B$250,0))),""))</f>
        <v/>
      </c>
      <c r="AM176" s="51" t="str">
        <f aca="false">IFERROR(MATCH("CE2-56",'REGISTRE ELEVES'!$AG$10:$AG$250,0),"")</f>
        <v/>
      </c>
      <c r="AN176" s="51" t="str">
        <f aca="false">IF(AM176="","",INDEX('REGISTRE ELEVES'!$B$10:$B$250,AM176))</f>
        <v/>
      </c>
      <c r="AO176" s="51" t="str">
        <f aca="false">IF(AM176="","",INDEX('REGISTRE ELEVES'!$D$10:$D$250,AM176))</f>
        <v/>
      </c>
      <c r="AP176" s="51" t="str">
        <f aca="false">IF(AM176="","",INDEX('REGISTRE ELEVES'!$E$10:$E$250,AM176))</f>
        <v/>
      </c>
      <c r="AQ176" s="51" t="str">
        <f aca="false">IF(AN176="","",IFERROR(CHOOSE($P$8,INDEX('NOTES CE2-CM1'!$M$10:$M$250,MATCH(AN176,'NOTES CE2-CM1'!$B$10:$B$250,0)),INDEX('NOTES CE2-CM1'!$T$10:$T$250,MATCH(AN176,'NOTES CE2-CM1'!$B$10:$B$250,0)),INDEX('NOTES CE2-CM1'!$AA$10:$AA$250,MATCH(AN176,'NOTES CE2-CM1'!$B$10:$B$250,0)),INDEX('NOTES CE2-CM1'!$AH$10:$AH$250,MATCH(AN176,'NOTES CE2-CM1'!$B$10:$B$250,0))),""))</f>
        <v/>
      </c>
      <c r="AR176" s="51" t="str">
        <f aca="false">IF(ISNUMBER(AQ176),AQ176+(1000-56)/1000000,"")</f>
        <v/>
      </c>
      <c r="AS176" s="51" t="str">
        <f aca="false">IF(AN176="","",IFERROR(CHOOSE($P$8,INDEX('NOTES CE2-CM1'!$G$10:$G$250,MATCH(AN176,'NOTES CE2-CM1'!$B$10:$B$250,0)),INDEX('NOTES CE2-CM1'!$N$10:$N$250,MATCH(AN176,'NOTES CE2-CM1'!$B$10:$B$250,0)),INDEX('NOTES CE2-CM1'!$U$10:$U$250,MATCH(AN176,'NOTES CE2-CM1'!$B$10:$B$250,0)),INDEX('NOTES CE2-CM1'!$AB$10:$AB$250,MATCH(AN176,'NOTES CE2-CM1'!$B$10:$B$250,0))),""))</f>
        <v/>
      </c>
      <c r="AT176" s="51" t="str">
        <f aca="false">IFERROR(MATCH("CM1-56",'REGISTRE ELEVES'!$AG$10:$AG$250,0),"")</f>
        <v/>
      </c>
      <c r="AU176" s="51" t="str">
        <f aca="false">IF(AT176="","",INDEX('REGISTRE ELEVES'!$B$10:$B$250,AT176))</f>
        <v/>
      </c>
      <c r="AV176" s="51" t="str">
        <f aca="false">IF(AT176="","",INDEX('REGISTRE ELEVES'!$D$10:$D$250,AT176))</f>
        <v/>
      </c>
      <c r="AW176" s="51" t="str">
        <f aca="false">IF(AT176="","",INDEX('REGISTRE ELEVES'!$E$10:$E$250,AT176))</f>
        <v/>
      </c>
      <c r="AX176" s="51" t="str">
        <f aca="false">IF(AU176="","",IFERROR(CHOOSE($P$8,INDEX('NOTES CE2-CM1'!$M$10:$M$250,MATCH(AU176,'NOTES CE2-CM1'!$B$10:$B$250,0)),INDEX('NOTES CE2-CM1'!$T$10:$T$250,MATCH(AU176,'NOTES CE2-CM1'!$B$10:$B$250,0)),INDEX('NOTES CE2-CM1'!$AA$10:$AA$250,MATCH(AU176,'NOTES CE2-CM1'!$B$10:$B$250,0)),INDEX('NOTES CE2-CM1'!$AH$10:$AH$250,MATCH(AU176,'NOTES CE2-CM1'!$B$10:$B$250,0))),""))</f>
        <v/>
      </c>
      <c r="AY176" s="51" t="str">
        <f aca="false">IF(ISNUMBER(AX176),AX176+(1000-56)/1000000,"")</f>
        <v/>
      </c>
      <c r="AZ176" s="51" t="str">
        <f aca="false">IF(AU176="","",IFERROR(CHOOSE($P$8,INDEX('NOTES CE2-CM1'!$G$10:$G$250,MATCH(AU176,'NOTES CE2-CM1'!$B$10:$B$250,0)),INDEX('NOTES CE2-CM1'!$N$10:$N$250,MATCH(AU176,'NOTES CE2-CM1'!$B$10:$B$250,0)),INDEX('NOTES CE2-CM1'!$U$10:$U$250,MATCH(AU176,'NOTES CE2-CM1'!$B$10:$B$250,0)),INDEX('NOTES CE2-CM1'!$AB$10:$AB$250,MATCH(AU176,'NOTES CE2-CM1'!$B$10:$B$250,0))),""))</f>
        <v/>
      </c>
      <c r="BA176" s="51" t="str">
        <f aca="false">IFERROR(MATCH("CM2-56",'REGISTRE ELEVES'!$AG$10:$AG$250,0),"")</f>
        <v/>
      </c>
      <c r="BB176" s="51" t="str">
        <f aca="false">IF(BA176="","",INDEX('REGISTRE ELEVES'!$B$10:$B$250,BA176))</f>
        <v/>
      </c>
      <c r="BC176" s="51" t="str">
        <f aca="false">IF(BA176="","",INDEX('REGISTRE ELEVES'!$D$10:$D$250,BA176))</f>
        <v/>
      </c>
      <c r="BD176" s="51" t="str">
        <f aca="false">IF(BA176="","",INDEX('REGISTRE ELEVES'!$E$10:$E$250,BA176))</f>
        <v/>
      </c>
      <c r="BE176" s="51" t="str">
        <f aca="false">IF(BB176="","",IFERROR(CHOOSE($P$10,INDEX('NOTES CM2'!$M$10:$M$250,MATCH(BB176,'NOTES CM2'!$B$10:$B$250,0)),INDEX('NOTES CM2'!$T$10:$T$250,MATCH(BB176,'NOTES CM2'!$B$10:$B$250,0)),INDEX('NOTES CM2'!$AB$10:$AB$250,MATCH(BB176,'NOTES CM2'!$B$10:$B$250,0)),INDEX('NOTES CM2'!$AJ$10:$AJ$250,MATCH(BB176,'NOTES CM2'!$B$10:$B$250,0))),""))</f>
        <v/>
      </c>
      <c r="BF176" s="51" t="str">
        <f aca="false">IF(ISNUMBER(BE176),BE176+(1000-56)/1000000,"")</f>
        <v/>
      </c>
      <c r="BG176" s="51" t="str">
        <f aca="false">IF(BB176="","",IFERROR(CHOOSE($P$10,INDEX('NOTES CM2'!$G$10:$G$250,MATCH(BB176,'NOTES CM2'!$B$10:$B$250,0)),INDEX('NOTES CM2'!$N$10:$N$250,MATCH(BB176,'NOTES CM2'!$B$10:$B$250,0)),INDEX('NOTES CM2'!$U$10:$U$250,MATCH(BB176,'NOTES CM2'!$B$10:$B$250,0)),INDEX('NOTES CM2'!$AC$10:$AC$250,MATCH(BB176,'NOTES CM2'!$B$10:$B$250,0))),""))</f>
        <v/>
      </c>
    </row>
    <row r="177" customFormat="false" ht="15" hidden="false" customHeight="false" outlineLevel="0" collapsed="false">
      <c r="R177" s="51" t="str">
        <f aca="false">IFERROR(MATCH("CP1-57",'REGISTRE ELEVES'!$AG$10:$AG$250,0),"")</f>
        <v/>
      </c>
      <c r="S177" s="51" t="str">
        <f aca="false">IF(R177="","",INDEX('REGISTRE ELEVES'!$B$10:$B$250,R177))</f>
        <v/>
      </c>
      <c r="T177" s="51" t="str">
        <f aca="false">IF(R177="","",INDEX('REGISTRE ELEVES'!$D$10:$D$250,R177))</f>
        <v/>
      </c>
      <c r="U177" s="51" t="str">
        <f aca="false">IF(R177="","",INDEX('REGISTRE ELEVES'!$E$10:$E$250,R177))</f>
        <v/>
      </c>
      <c r="V177" s="51" t="str">
        <f aca="false">IF(S177="","",IFERROR(CHOOSE($P$8,INDEX('NOTES CP'!$P$10:$P$250,MATCH(S177,'NOTES CP'!$B$10:$B$250,0)),INDEX('NOTES CP'!$Z$10:$Z$250,MATCH(S177,'NOTES CP'!$B$10:$B$250,0)),INDEX('NOTES CP'!$AJ$10:$AJ$250,MATCH(S177,'NOTES CP'!$B$10:$B$250,0)),INDEX('NOTES CP'!$AT$10:$AT$250,MATCH(S177,'NOTES CP'!$B$10:$B$250,0))),""))</f>
        <v/>
      </c>
      <c r="W177" s="51" t="str">
        <f aca="false">IF(ISNUMBER(V177),V177+(1000-57)/1000000,"")</f>
        <v/>
      </c>
      <c r="X177" s="51" t="str">
        <f aca="false">IF(S177="","",IFERROR(CHOOSE($P$8,INDEX('NOTES CP'!$G$10:$G$250,MATCH(S177,'NOTES CP'!$B$10:$B$250,0)),INDEX('NOTES CP'!$Q$10:$Q$250,MATCH(S177,'NOTES CP'!$B$10:$B$250,0)),INDEX('NOTES CP'!$AA$10:$AA$250,MATCH(S177,'NOTES CP'!$B$10:$B$250,0)),INDEX('NOTES CP'!$AK$10:$AK$250,MATCH(S177,'NOTES CP'!$B$10:$B$250,0))),""))</f>
        <v/>
      </c>
      <c r="Y177" s="51" t="str">
        <f aca="false">IFERROR(MATCH("CP2-57",'REGISTRE ELEVES'!$AG$10:$AG$250,0),"")</f>
        <v/>
      </c>
      <c r="Z177" s="51" t="str">
        <f aca="false">IF(Y177="","",INDEX('REGISTRE ELEVES'!$B$10:$B$250,Y177))</f>
        <v/>
      </c>
      <c r="AA177" s="51" t="str">
        <f aca="false">IF(Y177="","",INDEX('REGISTRE ELEVES'!$D$10:$D$250,Y177))</f>
        <v/>
      </c>
      <c r="AB177" s="51" t="str">
        <f aca="false">IF(Y177="","",INDEX('REGISTRE ELEVES'!$E$10:$E$250,Y177))</f>
        <v/>
      </c>
      <c r="AC177" s="51" t="str">
        <f aca="false">IF(Z177="","",IFERROR(CHOOSE($P$8,INDEX('NOTES CP'!$P$10:$P$250,MATCH(Z177,'NOTES CP'!$B$10:$B$250,0)),INDEX('NOTES CP'!$Z$10:$Z$250,MATCH(Z177,'NOTES CP'!$B$10:$B$250,0)),INDEX('NOTES CP'!$AJ$10:$AJ$250,MATCH(Z177,'NOTES CP'!$B$10:$B$250,0)),INDEX('NOTES CP'!$AT$10:$AT$250,MATCH(Z177,'NOTES CP'!$B$10:$B$250,0))),""))</f>
        <v/>
      </c>
      <c r="AD177" s="51" t="str">
        <f aca="false">IF(ISNUMBER(AC177),AC177+(1000-57)/1000000,"")</f>
        <v/>
      </c>
      <c r="AE177" s="51" t="str">
        <f aca="false">IF(Z177="","",IFERROR(CHOOSE($P$8,INDEX('NOTES CP'!$G$10:$G$250,MATCH(Z177,'NOTES CP'!$B$10:$B$250,0)),INDEX('NOTES CP'!$Q$10:$Q$250,MATCH(Z177,'NOTES CP'!$B$10:$B$250,0)),INDEX('NOTES CP'!$AA$10:$AA$250,MATCH(Z177,'NOTES CP'!$B$10:$B$250,0)),INDEX('NOTES CP'!$AK$10:$AK$250,MATCH(Z177,'NOTES CP'!$B$10:$B$250,0))),""))</f>
        <v/>
      </c>
      <c r="AF177" s="51" t="str">
        <f aca="false">IFERROR(MATCH("CE1-57",'REGISTRE ELEVES'!$AG$10:$AG$250,0),"")</f>
        <v/>
      </c>
      <c r="AG177" s="51" t="str">
        <f aca="false">IF(AF177="","",INDEX('REGISTRE ELEVES'!$B$10:$B$250,AF177))</f>
        <v/>
      </c>
      <c r="AH177" s="51" t="str">
        <f aca="false">IF(AF177="","",INDEX('REGISTRE ELEVES'!$D$10:$D$250,AF177))</f>
        <v/>
      </c>
      <c r="AI177" s="51" t="str">
        <f aca="false">IF(AF177="","",INDEX('REGISTRE ELEVES'!$E$10:$E$250,AF177))</f>
        <v/>
      </c>
      <c r="AJ177" s="51" t="str">
        <f aca="false">IF(AG177="","",IFERROR(CHOOSE($P$8,INDEX('NOTES CE1'!$M$10:$M$250,MATCH(AG177,'NOTES CE1'!$B$10:$B$250,0)),INDEX('NOTES CE1'!$T$10:$T$250,MATCH(AG177,'NOTES CE1'!$B$10:$B$250,0)),INDEX('NOTES CE1'!$AA$10:$AA$250,MATCH(AG177,'NOTES CE1'!$B$10:$B$250,0)),INDEX('NOTES CE1'!$AH$10:$AH$250,MATCH(AG177,'NOTES CE1'!$B$10:$B$250,0))),""))</f>
        <v/>
      </c>
      <c r="AK177" s="51" t="str">
        <f aca="false">IF(ISNUMBER(AJ177),AJ177+(1000-57)/1000000,"")</f>
        <v/>
      </c>
      <c r="AL177" s="51" t="str">
        <f aca="false">IF(AG177="","",IFERROR(CHOOSE($P$8,INDEX('NOTES CE1'!$G$10:$G$250,MATCH(AG177,'NOTES CE1'!$B$10:$B$250,0)),INDEX('NOTES CE1'!$N$10:$N$250,MATCH(AG177,'NOTES CE1'!$B$10:$B$250,0)),INDEX('NOTES CE1'!$U$10:$U$250,MATCH(AG177,'NOTES CE1'!$B$10:$B$250,0)),INDEX('NOTES CE1'!$AB$10:$AB$250,MATCH(AG177,'NOTES CE1'!$B$10:$B$250,0))),""))</f>
        <v/>
      </c>
      <c r="AM177" s="51" t="str">
        <f aca="false">IFERROR(MATCH("CE2-57",'REGISTRE ELEVES'!$AG$10:$AG$250,0),"")</f>
        <v/>
      </c>
      <c r="AN177" s="51" t="str">
        <f aca="false">IF(AM177="","",INDEX('REGISTRE ELEVES'!$B$10:$B$250,AM177))</f>
        <v/>
      </c>
      <c r="AO177" s="51" t="str">
        <f aca="false">IF(AM177="","",INDEX('REGISTRE ELEVES'!$D$10:$D$250,AM177))</f>
        <v/>
      </c>
      <c r="AP177" s="51" t="str">
        <f aca="false">IF(AM177="","",INDEX('REGISTRE ELEVES'!$E$10:$E$250,AM177))</f>
        <v/>
      </c>
      <c r="AQ177" s="51" t="str">
        <f aca="false">IF(AN177="","",IFERROR(CHOOSE($P$8,INDEX('NOTES CE2-CM1'!$M$10:$M$250,MATCH(AN177,'NOTES CE2-CM1'!$B$10:$B$250,0)),INDEX('NOTES CE2-CM1'!$T$10:$T$250,MATCH(AN177,'NOTES CE2-CM1'!$B$10:$B$250,0)),INDEX('NOTES CE2-CM1'!$AA$10:$AA$250,MATCH(AN177,'NOTES CE2-CM1'!$B$10:$B$250,0)),INDEX('NOTES CE2-CM1'!$AH$10:$AH$250,MATCH(AN177,'NOTES CE2-CM1'!$B$10:$B$250,0))),""))</f>
        <v/>
      </c>
      <c r="AR177" s="51" t="str">
        <f aca="false">IF(ISNUMBER(AQ177),AQ177+(1000-57)/1000000,"")</f>
        <v/>
      </c>
      <c r="AS177" s="51" t="str">
        <f aca="false">IF(AN177="","",IFERROR(CHOOSE($P$8,INDEX('NOTES CE2-CM1'!$G$10:$G$250,MATCH(AN177,'NOTES CE2-CM1'!$B$10:$B$250,0)),INDEX('NOTES CE2-CM1'!$N$10:$N$250,MATCH(AN177,'NOTES CE2-CM1'!$B$10:$B$250,0)),INDEX('NOTES CE2-CM1'!$U$10:$U$250,MATCH(AN177,'NOTES CE2-CM1'!$B$10:$B$250,0)),INDEX('NOTES CE2-CM1'!$AB$10:$AB$250,MATCH(AN177,'NOTES CE2-CM1'!$B$10:$B$250,0))),""))</f>
        <v/>
      </c>
      <c r="AT177" s="51" t="str">
        <f aca="false">IFERROR(MATCH("CM1-57",'REGISTRE ELEVES'!$AG$10:$AG$250,0),"")</f>
        <v/>
      </c>
      <c r="AU177" s="51" t="str">
        <f aca="false">IF(AT177="","",INDEX('REGISTRE ELEVES'!$B$10:$B$250,AT177))</f>
        <v/>
      </c>
      <c r="AV177" s="51" t="str">
        <f aca="false">IF(AT177="","",INDEX('REGISTRE ELEVES'!$D$10:$D$250,AT177))</f>
        <v/>
      </c>
      <c r="AW177" s="51" t="str">
        <f aca="false">IF(AT177="","",INDEX('REGISTRE ELEVES'!$E$10:$E$250,AT177))</f>
        <v/>
      </c>
      <c r="AX177" s="51" t="str">
        <f aca="false">IF(AU177="","",IFERROR(CHOOSE($P$8,INDEX('NOTES CE2-CM1'!$M$10:$M$250,MATCH(AU177,'NOTES CE2-CM1'!$B$10:$B$250,0)),INDEX('NOTES CE2-CM1'!$T$10:$T$250,MATCH(AU177,'NOTES CE2-CM1'!$B$10:$B$250,0)),INDEX('NOTES CE2-CM1'!$AA$10:$AA$250,MATCH(AU177,'NOTES CE2-CM1'!$B$10:$B$250,0)),INDEX('NOTES CE2-CM1'!$AH$10:$AH$250,MATCH(AU177,'NOTES CE2-CM1'!$B$10:$B$250,0))),""))</f>
        <v/>
      </c>
      <c r="AY177" s="51" t="str">
        <f aca="false">IF(ISNUMBER(AX177),AX177+(1000-57)/1000000,"")</f>
        <v/>
      </c>
      <c r="AZ177" s="51" t="str">
        <f aca="false">IF(AU177="","",IFERROR(CHOOSE($P$8,INDEX('NOTES CE2-CM1'!$G$10:$G$250,MATCH(AU177,'NOTES CE2-CM1'!$B$10:$B$250,0)),INDEX('NOTES CE2-CM1'!$N$10:$N$250,MATCH(AU177,'NOTES CE2-CM1'!$B$10:$B$250,0)),INDEX('NOTES CE2-CM1'!$U$10:$U$250,MATCH(AU177,'NOTES CE2-CM1'!$B$10:$B$250,0)),INDEX('NOTES CE2-CM1'!$AB$10:$AB$250,MATCH(AU177,'NOTES CE2-CM1'!$B$10:$B$250,0))),""))</f>
        <v/>
      </c>
      <c r="BA177" s="51" t="str">
        <f aca="false">IFERROR(MATCH("CM2-57",'REGISTRE ELEVES'!$AG$10:$AG$250,0),"")</f>
        <v/>
      </c>
      <c r="BB177" s="51" t="str">
        <f aca="false">IF(BA177="","",INDEX('REGISTRE ELEVES'!$B$10:$B$250,BA177))</f>
        <v/>
      </c>
      <c r="BC177" s="51" t="str">
        <f aca="false">IF(BA177="","",INDEX('REGISTRE ELEVES'!$D$10:$D$250,BA177))</f>
        <v/>
      </c>
      <c r="BD177" s="51" t="str">
        <f aca="false">IF(BA177="","",INDEX('REGISTRE ELEVES'!$E$10:$E$250,BA177))</f>
        <v/>
      </c>
      <c r="BE177" s="51" t="str">
        <f aca="false">IF(BB177="","",IFERROR(CHOOSE($P$10,INDEX('NOTES CM2'!$M$10:$M$250,MATCH(BB177,'NOTES CM2'!$B$10:$B$250,0)),INDEX('NOTES CM2'!$T$10:$T$250,MATCH(BB177,'NOTES CM2'!$B$10:$B$250,0)),INDEX('NOTES CM2'!$AB$10:$AB$250,MATCH(BB177,'NOTES CM2'!$B$10:$B$250,0)),INDEX('NOTES CM2'!$AJ$10:$AJ$250,MATCH(BB177,'NOTES CM2'!$B$10:$B$250,0))),""))</f>
        <v/>
      </c>
      <c r="BF177" s="51" t="str">
        <f aca="false">IF(ISNUMBER(BE177),BE177+(1000-57)/1000000,"")</f>
        <v/>
      </c>
      <c r="BG177" s="51" t="str">
        <f aca="false">IF(BB177="","",IFERROR(CHOOSE($P$10,INDEX('NOTES CM2'!$G$10:$G$250,MATCH(BB177,'NOTES CM2'!$B$10:$B$250,0)),INDEX('NOTES CM2'!$N$10:$N$250,MATCH(BB177,'NOTES CM2'!$B$10:$B$250,0)),INDEX('NOTES CM2'!$U$10:$U$250,MATCH(BB177,'NOTES CM2'!$B$10:$B$250,0)),INDEX('NOTES CM2'!$AC$10:$AC$250,MATCH(BB177,'NOTES CM2'!$B$10:$B$250,0))),""))</f>
        <v/>
      </c>
    </row>
    <row r="178" customFormat="false" ht="15" hidden="false" customHeight="false" outlineLevel="0" collapsed="false">
      <c r="R178" s="51" t="str">
        <f aca="false">IFERROR(MATCH("CP1-58",'REGISTRE ELEVES'!$AG$10:$AG$250,0),"")</f>
        <v/>
      </c>
      <c r="S178" s="51" t="str">
        <f aca="false">IF(R178="","",INDEX('REGISTRE ELEVES'!$B$10:$B$250,R178))</f>
        <v/>
      </c>
      <c r="T178" s="51" t="str">
        <f aca="false">IF(R178="","",INDEX('REGISTRE ELEVES'!$D$10:$D$250,R178))</f>
        <v/>
      </c>
      <c r="U178" s="51" t="str">
        <f aca="false">IF(R178="","",INDEX('REGISTRE ELEVES'!$E$10:$E$250,R178))</f>
        <v/>
      </c>
      <c r="V178" s="51" t="str">
        <f aca="false">IF(S178="","",IFERROR(CHOOSE($P$8,INDEX('NOTES CP'!$P$10:$P$250,MATCH(S178,'NOTES CP'!$B$10:$B$250,0)),INDEX('NOTES CP'!$Z$10:$Z$250,MATCH(S178,'NOTES CP'!$B$10:$B$250,0)),INDEX('NOTES CP'!$AJ$10:$AJ$250,MATCH(S178,'NOTES CP'!$B$10:$B$250,0)),INDEX('NOTES CP'!$AT$10:$AT$250,MATCH(S178,'NOTES CP'!$B$10:$B$250,0))),""))</f>
        <v/>
      </c>
      <c r="W178" s="51" t="str">
        <f aca="false">IF(ISNUMBER(V178),V178+(1000-58)/1000000,"")</f>
        <v/>
      </c>
      <c r="X178" s="51" t="str">
        <f aca="false">IF(S178="","",IFERROR(CHOOSE($P$8,INDEX('NOTES CP'!$G$10:$G$250,MATCH(S178,'NOTES CP'!$B$10:$B$250,0)),INDEX('NOTES CP'!$Q$10:$Q$250,MATCH(S178,'NOTES CP'!$B$10:$B$250,0)),INDEX('NOTES CP'!$AA$10:$AA$250,MATCH(S178,'NOTES CP'!$B$10:$B$250,0)),INDEX('NOTES CP'!$AK$10:$AK$250,MATCH(S178,'NOTES CP'!$B$10:$B$250,0))),""))</f>
        <v/>
      </c>
      <c r="Y178" s="51" t="str">
        <f aca="false">IFERROR(MATCH("CP2-58",'REGISTRE ELEVES'!$AG$10:$AG$250,0),"")</f>
        <v/>
      </c>
      <c r="Z178" s="51" t="str">
        <f aca="false">IF(Y178="","",INDEX('REGISTRE ELEVES'!$B$10:$B$250,Y178))</f>
        <v/>
      </c>
      <c r="AA178" s="51" t="str">
        <f aca="false">IF(Y178="","",INDEX('REGISTRE ELEVES'!$D$10:$D$250,Y178))</f>
        <v/>
      </c>
      <c r="AB178" s="51" t="str">
        <f aca="false">IF(Y178="","",INDEX('REGISTRE ELEVES'!$E$10:$E$250,Y178))</f>
        <v/>
      </c>
      <c r="AC178" s="51" t="str">
        <f aca="false">IF(Z178="","",IFERROR(CHOOSE($P$8,INDEX('NOTES CP'!$P$10:$P$250,MATCH(Z178,'NOTES CP'!$B$10:$B$250,0)),INDEX('NOTES CP'!$Z$10:$Z$250,MATCH(Z178,'NOTES CP'!$B$10:$B$250,0)),INDEX('NOTES CP'!$AJ$10:$AJ$250,MATCH(Z178,'NOTES CP'!$B$10:$B$250,0)),INDEX('NOTES CP'!$AT$10:$AT$250,MATCH(Z178,'NOTES CP'!$B$10:$B$250,0))),""))</f>
        <v/>
      </c>
      <c r="AD178" s="51" t="str">
        <f aca="false">IF(ISNUMBER(AC178),AC178+(1000-58)/1000000,"")</f>
        <v/>
      </c>
      <c r="AE178" s="51" t="str">
        <f aca="false">IF(Z178="","",IFERROR(CHOOSE($P$8,INDEX('NOTES CP'!$G$10:$G$250,MATCH(Z178,'NOTES CP'!$B$10:$B$250,0)),INDEX('NOTES CP'!$Q$10:$Q$250,MATCH(Z178,'NOTES CP'!$B$10:$B$250,0)),INDEX('NOTES CP'!$AA$10:$AA$250,MATCH(Z178,'NOTES CP'!$B$10:$B$250,0)),INDEX('NOTES CP'!$AK$10:$AK$250,MATCH(Z178,'NOTES CP'!$B$10:$B$250,0))),""))</f>
        <v/>
      </c>
      <c r="AF178" s="51" t="str">
        <f aca="false">IFERROR(MATCH("CE1-58",'REGISTRE ELEVES'!$AG$10:$AG$250,0),"")</f>
        <v/>
      </c>
      <c r="AG178" s="51" t="str">
        <f aca="false">IF(AF178="","",INDEX('REGISTRE ELEVES'!$B$10:$B$250,AF178))</f>
        <v/>
      </c>
      <c r="AH178" s="51" t="str">
        <f aca="false">IF(AF178="","",INDEX('REGISTRE ELEVES'!$D$10:$D$250,AF178))</f>
        <v/>
      </c>
      <c r="AI178" s="51" t="str">
        <f aca="false">IF(AF178="","",INDEX('REGISTRE ELEVES'!$E$10:$E$250,AF178))</f>
        <v/>
      </c>
      <c r="AJ178" s="51" t="str">
        <f aca="false">IF(AG178="","",IFERROR(CHOOSE($P$8,INDEX('NOTES CE1'!$M$10:$M$250,MATCH(AG178,'NOTES CE1'!$B$10:$B$250,0)),INDEX('NOTES CE1'!$T$10:$T$250,MATCH(AG178,'NOTES CE1'!$B$10:$B$250,0)),INDEX('NOTES CE1'!$AA$10:$AA$250,MATCH(AG178,'NOTES CE1'!$B$10:$B$250,0)),INDEX('NOTES CE1'!$AH$10:$AH$250,MATCH(AG178,'NOTES CE1'!$B$10:$B$250,0))),""))</f>
        <v/>
      </c>
      <c r="AK178" s="51" t="str">
        <f aca="false">IF(ISNUMBER(AJ178),AJ178+(1000-58)/1000000,"")</f>
        <v/>
      </c>
      <c r="AL178" s="51" t="str">
        <f aca="false">IF(AG178="","",IFERROR(CHOOSE($P$8,INDEX('NOTES CE1'!$G$10:$G$250,MATCH(AG178,'NOTES CE1'!$B$10:$B$250,0)),INDEX('NOTES CE1'!$N$10:$N$250,MATCH(AG178,'NOTES CE1'!$B$10:$B$250,0)),INDEX('NOTES CE1'!$U$10:$U$250,MATCH(AG178,'NOTES CE1'!$B$10:$B$250,0)),INDEX('NOTES CE1'!$AB$10:$AB$250,MATCH(AG178,'NOTES CE1'!$B$10:$B$250,0))),""))</f>
        <v/>
      </c>
      <c r="AM178" s="51" t="str">
        <f aca="false">IFERROR(MATCH("CE2-58",'REGISTRE ELEVES'!$AG$10:$AG$250,0),"")</f>
        <v/>
      </c>
      <c r="AN178" s="51" t="str">
        <f aca="false">IF(AM178="","",INDEX('REGISTRE ELEVES'!$B$10:$B$250,AM178))</f>
        <v/>
      </c>
      <c r="AO178" s="51" t="str">
        <f aca="false">IF(AM178="","",INDEX('REGISTRE ELEVES'!$D$10:$D$250,AM178))</f>
        <v/>
      </c>
      <c r="AP178" s="51" t="str">
        <f aca="false">IF(AM178="","",INDEX('REGISTRE ELEVES'!$E$10:$E$250,AM178))</f>
        <v/>
      </c>
      <c r="AQ178" s="51" t="str">
        <f aca="false">IF(AN178="","",IFERROR(CHOOSE($P$8,INDEX('NOTES CE2-CM1'!$M$10:$M$250,MATCH(AN178,'NOTES CE2-CM1'!$B$10:$B$250,0)),INDEX('NOTES CE2-CM1'!$T$10:$T$250,MATCH(AN178,'NOTES CE2-CM1'!$B$10:$B$250,0)),INDEX('NOTES CE2-CM1'!$AA$10:$AA$250,MATCH(AN178,'NOTES CE2-CM1'!$B$10:$B$250,0)),INDEX('NOTES CE2-CM1'!$AH$10:$AH$250,MATCH(AN178,'NOTES CE2-CM1'!$B$10:$B$250,0))),""))</f>
        <v/>
      </c>
      <c r="AR178" s="51" t="str">
        <f aca="false">IF(ISNUMBER(AQ178),AQ178+(1000-58)/1000000,"")</f>
        <v/>
      </c>
      <c r="AS178" s="51" t="str">
        <f aca="false">IF(AN178="","",IFERROR(CHOOSE($P$8,INDEX('NOTES CE2-CM1'!$G$10:$G$250,MATCH(AN178,'NOTES CE2-CM1'!$B$10:$B$250,0)),INDEX('NOTES CE2-CM1'!$N$10:$N$250,MATCH(AN178,'NOTES CE2-CM1'!$B$10:$B$250,0)),INDEX('NOTES CE2-CM1'!$U$10:$U$250,MATCH(AN178,'NOTES CE2-CM1'!$B$10:$B$250,0)),INDEX('NOTES CE2-CM1'!$AB$10:$AB$250,MATCH(AN178,'NOTES CE2-CM1'!$B$10:$B$250,0))),""))</f>
        <v/>
      </c>
      <c r="AT178" s="51" t="str">
        <f aca="false">IFERROR(MATCH("CM1-58",'REGISTRE ELEVES'!$AG$10:$AG$250,0),"")</f>
        <v/>
      </c>
      <c r="AU178" s="51" t="str">
        <f aca="false">IF(AT178="","",INDEX('REGISTRE ELEVES'!$B$10:$B$250,AT178))</f>
        <v/>
      </c>
      <c r="AV178" s="51" t="str">
        <f aca="false">IF(AT178="","",INDEX('REGISTRE ELEVES'!$D$10:$D$250,AT178))</f>
        <v/>
      </c>
      <c r="AW178" s="51" t="str">
        <f aca="false">IF(AT178="","",INDEX('REGISTRE ELEVES'!$E$10:$E$250,AT178))</f>
        <v/>
      </c>
      <c r="AX178" s="51" t="str">
        <f aca="false">IF(AU178="","",IFERROR(CHOOSE($P$8,INDEX('NOTES CE2-CM1'!$M$10:$M$250,MATCH(AU178,'NOTES CE2-CM1'!$B$10:$B$250,0)),INDEX('NOTES CE2-CM1'!$T$10:$T$250,MATCH(AU178,'NOTES CE2-CM1'!$B$10:$B$250,0)),INDEX('NOTES CE2-CM1'!$AA$10:$AA$250,MATCH(AU178,'NOTES CE2-CM1'!$B$10:$B$250,0)),INDEX('NOTES CE2-CM1'!$AH$10:$AH$250,MATCH(AU178,'NOTES CE2-CM1'!$B$10:$B$250,0))),""))</f>
        <v/>
      </c>
      <c r="AY178" s="51" t="str">
        <f aca="false">IF(ISNUMBER(AX178),AX178+(1000-58)/1000000,"")</f>
        <v/>
      </c>
      <c r="AZ178" s="51" t="str">
        <f aca="false">IF(AU178="","",IFERROR(CHOOSE($P$8,INDEX('NOTES CE2-CM1'!$G$10:$G$250,MATCH(AU178,'NOTES CE2-CM1'!$B$10:$B$250,0)),INDEX('NOTES CE2-CM1'!$N$10:$N$250,MATCH(AU178,'NOTES CE2-CM1'!$B$10:$B$250,0)),INDEX('NOTES CE2-CM1'!$U$10:$U$250,MATCH(AU178,'NOTES CE2-CM1'!$B$10:$B$250,0)),INDEX('NOTES CE2-CM1'!$AB$10:$AB$250,MATCH(AU178,'NOTES CE2-CM1'!$B$10:$B$250,0))),""))</f>
        <v/>
      </c>
      <c r="BA178" s="51" t="str">
        <f aca="false">IFERROR(MATCH("CM2-58",'REGISTRE ELEVES'!$AG$10:$AG$250,0),"")</f>
        <v/>
      </c>
      <c r="BB178" s="51" t="str">
        <f aca="false">IF(BA178="","",INDEX('REGISTRE ELEVES'!$B$10:$B$250,BA178))</f>
        <v/>
      </c>
      <c r="BC178" s="51" t="str">
        <f aca="false">IF(BA178="","",INDEX('REGISTRE ELEVES'!$D$10:$D$250,BA178))</f>
        <v/>
      </c>
      <c r="BD178" s="51" t="str">
        <f aca="false">IF(BA178="","",INDEX('REGISTRE ELEVES'!$E$10:$E$250,BA178))</f>
        <v/>
      </c>
      <c r="BE178" s="51" t="str">
        <f aca="false">IF(BB178="","",IFERROR(CHOOSE($P$10,INDEX('NOTES CM2'!$M$10:$M$250,MATCH(BB178,'NOTES CM2'!$B$10:$B$250,0)),INDEX('NOTES CM2'!$T$10:$T$250,MATCH(BB178,'NOTES CM2'!$B$10:$B$250,0)),INDEX('NOTES CM2'!$AB$10:$AB$250,MATCH(BB178,'NOTES CM2'!$B$10:$B$250,0)),INDEX('NOTES CM2'!$AJ$10:$AJ$250,MATCH(BB178,'NOTES CM2'!$B$10:$B$250,0))),""))</f>
        <v/>
      </c>
      <c r="BF178" s="51" t="str">
        <f aca="false">IF(ISNUMBER(BE178),BE178+(1000-58)/1000000,"")</f>
        <v/>
      </c>
      <c r="BG178" s="51" t="str">
        <f aca="false">IF(BB178="","",IFERROR(CHOOSE($P$10,INDEX('NOTES CM2'!$G$10:$G$250,MATCH(BB178,'NOTES CM2'!$B$10:$B$250,0)),INDEX('NOTES CM2'!$N$10:$N$250,MATCH(BB178,'NOTES CM2'!$B$10:$B$250,0)),INDEX('NOTES CM2'!$U$10:$U$250,MATCH(BB178,'NOTES CM2'!$B$10:$B$250,0)),INDEX('NOTES CM2'!$AC$10:$AC$250,MATCH(BB178,'NOTES CM2'!$B$10:$B$250,0))),""))</f>
        <v/>
      </c>
    </row>
    <row r="179" customFormat="false" ht="15" hidden="false" customHeight="false" outlineLevel="0" collapsed="false">
      <c r="R179" s="51" t="str">
        <f aca="false">IFERROR(MATCH("CP1-59",'REGISTRE ELEVES'!$AG$10:$AG$250,0),"")</f>
        <v/>
      </c>
      <c r="S179" s="51" t="str">
        <f aca="false">IF(R179="","",INDEX('REGISTRE ELEVES'!$B$10:$B$250,R179))</f>
        <v/>
      </c>
      <c r="T179" s="51" t="str">
        <f aca="false">IF(R179="","",INDEX('REGISTRE ELEVES'!$D$10:$D$250,R179))</f>
        <v/>
      </c>
      <c r="U179" s="51" t="str">
        <f aca="false">IF(R179="","",INDEX('REGISTRE ELEVES'!$E$10:$E$250,R179))</f>
        <v/>
      </c>
      <c r="V179" s="51" t="str">
        <f aca="false">IF(S179="","",IFERROR(CHOOSE($P$8,INDEX('NOTES CP'!$P$10:$P$250,MATCH(S179,'NOTES CP'!$B$10:$B$250,0)),INDEX('NOTES CP'!$Z$10:$Z$250,MATCH(S179,'NOTES CP'!$B$10:$B$250,0)),INDEX('NOTES CP'!$AJ$10:$AJ$250,MATCH(S179,'NOTES CP'!$B$10:$B$250,0)),INDEX('NOTES CP'!$AT$10:$AT$250,MATCH(S179,'NOTES CP'!$B$10:$B$250,0))),""))</f>
        <v/>
      </c>
      <c r="W179" s="51" t="str">
        <f aca="false">IF(ISNUMBER(V179),V179+(1000-59)/1000000,"")</f>
        <v/>
      </c>
      <c r="X179" s="51" t="str">
        <f aca="false">IF(S179="","",IFERROR(CHOOSE($P$8,INDEX('NOTES CP'!$G$10:$G$250,MATCH(S179,'NOTES CP'!$B$10:$B$250,0)),INDEX('NOTES CP'!$Q$10:$Q$250,MATCH(S179,'NOTES CP'!$B$10:$B$250,0)),INDEX('NOTES CP'!$AA$10:$AA$250,MATCH(S179,'NOTES CP'!$B$10:$B$250,0)),INDEX('NOTES CP'!$AK$10:$AK$250,MATCH(S179,'NOTES CP'!$B$10:$B$250,0))),""))</f>
        <v/>
      </c>
      <c r="Y179" s="51" t="str">
        <f aca="false">IFERROR(MATCH("CP2-59",'REGISTRE ELEVES'!$AG$10:$AG$250,0),"")</f>
        <v/>
      </c>
      <c r="Z179" s="51" t="str">
        <f aca="false">IF(Y179="","",INDEX('REGISTRE ELEVES'!$B$10:$B$250,Y179))</f>
        <v/>
      </c>
      <c r="AA179" s="51" t="str">
        <f aca="false">IF(Y179="","",INDEX('REGISTRE ELEVES'!$D$10:$D$250,Y179))</f>
        <v/>
      </c>
      <c r="AB179" s="51" t="str">
        <f aca="false">IF(Y179="","",INDEX('REGISTRE ELEVES'!$E$10:$E$250,Y179))</f>
        <v/>
      </c>
      <c r="AC179" s="51" t="str">
        <f aca="false">IF(Z179="","",IFERROR(CHOOSE($P$8,INDEX('NOTES CP'!$P$10:$P$250,MATCH(Z179,'NOTES CP'!$B$10:$B$250,0)),INDEX('NOTES CP'!$Z$10:$Z$250,MATCH(Z179,'NOTES CP'!$B$10:$B$250,0)),INDEX('NOTES CP'!$AJ$10:$AJ$250,MATCH(Z179,'NOTES CP'!$B$10:$B$250,0)),INDEX('NOTES CP'!$AT$10:$AT$250,MATCH(Z179,'NOTES CP'!$B$10:$B$250,0))),""))</f>
        <v/>
      </c>
      <c r="AD179" s="51" t="str">
        <f aca="false">IF(ISNUMBER(AC179),AC179+(1000-59)/1000000,"")</f>
        <v/>
      </c>
      <c r="AE179" s="51" t="str">
        <f aca="false">IF(Z179="","",IFERROR(CHOOSE($P$8,INDEX('NOTES CP'!$G$10:$G$250,MATCH(Z179,'NOTES CP'!$B$10:$B$250,0)),INDEX('NOTES CP'!$Q$10:$Q$250,MATCH(Z179,'NOTES CP'!$B$10:$B$250,0)),INDEX('NOTES CP'!$AA$10:$AA$250,MATCH(Z179,'NOTES CP'!$B$10:$B$250,0)),INDEX('NOTES CP'!$AK$10:$AK$250,MATCH(Z179,'NOTES CP'!$B$10:$B$250,0))),""))</f>
        <v/>
      </c>
      <c r="AF179" s="51" t="str">
        <f aca="false">IFERROR(MATCH("CE1-59",'REGISTRE ELEVES'!$AG$10:$AG$250,0),"")</f>
        <v/>
      </c>
      <c r="AG179" s="51" t="str">
        <f aca="false">IF(AF179="","",INDEX('REGISTRE ELEVES'!$B$10:$B$250,AF179))</f>
        <v/>
      </c>
      <c r="AH179" s="51" t="str">
        <f aca="false">IF(AF179="","",INDEX('REGISTRE ELEVES'!$D$10:$D$250,AF179))</f>
        <v/>
      </c>
      <c r="AI179" s="51" t="str">
        <f aca="false">IF(AF179="","",INDEX('REGISTRE ELEVES'!$E$10:$E$250,AF179))</f>
        <v/>
      </c>
      <c r="AJ179" s="51" t="str">
        <f aca="false">IF(AG179="","",IFERROR(CHOOSE($P$8,INDEX('NOTES CE1'!$M$10:$M$250,MATCH(AG179,'NOTES CE1'!$B$10:$B$250,0)),INDEX('NOTES CE1'!$T$10:$T$250,MATCH(AG179,'NOTES CE1'!$B$10:$B$250,0)),INDEX('NOTES CE1'!$AA$10:$AA$250,MATCH(AG179,'NOTES CE1'!$B$10:$B$250,0)),INDEX('NOTES CE1'!$AH$10:$AH$250,MATCH(AG179,'NOTES CE1'!$B$10:$B$250,0))),""))</f>
        <v/>
      </c>
      <c r="AK179" s="51" t="str">
        <f aca="false">IF(ISNUMBER(AJ179),AJ179+(1000-59)/1000000,"")</f>
        <v/>
      </c>
      <c r="AL179" s="51" t="str">
        <f aca="false">IF(AG179="","",IFERROR(CHOOSE($P$8,INDEX('NOTES CE1'!$G$10:$G$250,MATCH(AG179,'NOTES CE1'!$B$10:$B$250,0)),INDEX('NOTES CE1'!$N$10:$N$250,MATCH(AG179,'NOTES CE1'!$B$10:$B$250,0)),INDEX('NOTES CE1'!$U$10:$U$250,MATCH(AG179,'NOTES CE1'!$B$10:$B$250,0)),INDEX('NOTES CE1'!$AB$10:$AB$250,MATCH(AG179,'NOTES CE1'!$B$10:$B$250,0))),""))</f>
        <v/>
      </c>
      <c r="AM179" s="51" t="str">
        <f aca="false">IFERROR(MATCH("CE2-59",'REGISTRE ELEVES'!$AG$10:$AG$250,0),"")</f>
        <v/>
      </c>
      <c r="AN179" s="51" t="str">
        <f aca="false">IF(AM179="","",INDEX('REGISTRE ELEVES'!$B$10:$B$250,AM179))</f>
        <v/>
      </c>
      <c r="AO179" s="51" t="str">
        <f aca="false">IF(AM179="","",INDEX('REGISTRE ELEVES'!$D$10:$D$250,AM179))</f>
        <v/>
      </c>
      <c r="AP179" s="51" t="str">
        <f aca="false">IF(AM179="","",INDEX('REGISTRE ELEVES'!$E$10:$E$250,AM179))</f>
        <v/>
      </c>
      <c r="AQ179" s="51" t="str">
        <f aca="false">IF(AN179="","",IFERROR(CHOOSE($P$8,INDEX('NOTES CE2-CM1'!$M$10:$M$250,MATCH(AN179,'NOTES CE2-CM1'!$B$10:$B$250,0)),INDEX('NOTES CE2-CM1'!$T$10:$T$250,MATCH(AN179,'NOTES CE2-CM1'!$B$10:$B$250,0)),INDEX('NOTES CE2-CM1'!$AA$10:$AA$250,MATCH(AN179,'NOTES CE2-CM1'!$B$10:$B$250,0)),INDEX('NOTES CE2-CM1'!$AH$10:$AH$250,MATCH(AN179,'NOTES CE2-CM1'!$B$10:$B$250,0))),""))</f>
        <v/>
      </c>
      <c r="AR179" s="51" t="str">
        <f aca="false">IF(ISNUMBER(AQ179),AQ179+(1000-59)/1000000,"")</f>
        <v/>
      </c>
      <c r="AS179" s="51" t="str">
        <f aca="false">IF(AN179="","",IFERROR(CHOOSE($P$8,INDEX('NOTES CE2-CM1'!$G$10:$G$250,MATCH(AN179,'NOTES CE2-CM1'!$B$10:$B$250,0)),INDEX('NOTES CE2-CM1'!$N$10:$N$250,MATCH(AN179,'NOTES CE2-CM1'!$B$10:$B$250,0)),INDEX('NOTES CE2-CM1'!$U$10:$U$250,MATCH(AN179,'NOTES CE2-CM1'!$B$10:$B$250,0)),INDEX('NOTES CE2-CM1'!$AB$10:$AB$250,MATCH(AN179,'NOTES CE2-CM1'!$B$10:$B$250,0))),""))</f>
        <v/>
      </c>
      <c r="AT179" s="51" t="str">
        <f aca="false">IFERROR(MATCH("CM1-59",'REGISTRE ELEVES'!$AG$10:$AG$250,0),"")</f>
        <v/>
      </c>
      <c r="AU179" s="51" t="str">
        <f aca="false">IF(AT179="","",INDEX('REGISTRE ELEVES'!$B$10:$B$250,AT179))</f>
        <v/>
      </c>
      <c r="AV179" s="51" t="str">
        <f aca="false">IF(AT179="","",INDEX('REGISTRE ELEVES'!$D$10:$D$250,AT179))</f>
        <v/>
      </c>
      <c r="AW179" s="51" t="str">
        <f aca="false">IF(AT179="","",INDEX('REGISTRE ELEVES'!$E$10:$E$250,AT179))</f>
        <v/>
      </c>
      <c r="AX179" s="51" t="str">
        <f aca="false">IF(AU179="","",IFERROR(CHOOSE($P$8,INDEX('NOTES CE2-CM1'!$M$10:$M$250,MATCH(AU179,'NOTES CE2-CM1'!$B$10:$B$250,0)),INDEX('NOTES CE2-CM1'!$T$10:$T$250,MATCH(AU179,'NOTES CE2-CM1'!$B$10:$B$250,0)),INDEX('NOTES CE2-CM1'!$AA$10:$AA$250,MATCH(AU179,'NOTES CE2-CM1'!$B$10:$B$250,0)),INDEX('NOTES CE2-CM1'!$AH$10:$AH$250,MATCH(AU179,'NOTES CE2-CM1'!$B$10:$B$250,0))),""))</f>
        <v/>
      </c>
      <c r="AY179" s="51" t="str">
        <f aca="false">IF(ISNUMBER(AX179),AX179+(1000-59)/1000000,"")</f>
        <v/>
      </c>
      <c r="AZ179" s="51" t="str">
        <f aca="false">IF(AU179="","",IFERROR(CHOOSE($P$8,INDEX('NOTES CE2-CM1'!$G$10:$G$250,MATCH(AU179,'NOTES CE2-CM1'!$B$10:$B$250,0)),INDEX('NOTES CE2-CM1'!$N$10:$N$250,MATCH(AU179,'NOTES CE2-CM1'!$B$10:$B$250,0)),INDEX('NOTES CE2-CM1'!$U$10:$U$250,MATCH(AU179,'NOTES CE2-CM1'!$B$10:$B$250,0)),INDEX('NOTES CE2-CM1'!$AB$10:$AB$250,MATCH(AU179,'NOTES CE2-CM1'!$B$10:$B$250,0))),""))</f>
        <v/>
      </c>
      <c r="BA179" s="51" t="str">
        <f aca="false">IFERROR(MATCH("CM2-59",'REGISTRE ELEVES'!$AG$10:$AG$250,0),"")</f>
        <v/>
      </c>
      <c r="BB179" s="51" t="str">
        <f aca="false">IF(BA179="","",INDEX('REGISTRE ELEVES'!$B$10:$B$250,BA179))</f>
        <v/>
      </c>
      <c r="BC179" s="51" t="str">
        <f aca="false">IF(BA179="","",INDEX('REGISTRE ELEVES'!$D$10:$D$250,BA179))</f>
        <v/>
      </c>
      <c r="BD179" s="51" t="str">
        <f aca="false">IF(BA179="","",INDEX('REGISTRE ELEVES'!$E$10:$E$250,BA179))</f>
        <v/>
      </c>
      <c r="BE179" s="51" t="str">
        <f aca="false">IF(BB179="","",IFERROR(CHOOSE($P$10,INDEX('NOTES CM2'!$M$10:$M$250,MATCH(BB179,'NOTES CM2'!$B$10:$B$250,0)),INDEX('NOTES CM2'!$T$10:$T$250,MATCH(BB179,'NOTES CM2'!$B$10:$B$250,0)),INDEX('NOTES CM2'!$AB$10:$AB$250,MATCH(BB179,'NOTES CM2'!$B$10:$B$250,0)),INDEX('NOTES CM2'!$AJ$10:$AJ$250,MATCH(BB179,'NOTES CM2'!$B$10:$B$250,0))),""))</f>
        <v/>
      </c>
      <c r="BF179" s="51" t="str">
        <f aca="false">IF(ISNUMBER(BE179),BE179+(1000-59)/1000000,"")</f>
        <v/>
      </c>
      <c r="BG179" s="51" t="str">
        <f aca="false">IF(BB179="","",IFERROR(CHOOSE($P$10,INDEX('NOTES CM2'!$G$10:$G$250,MATCH(BB179,'NOTES CM2'!$B$10:$B$250,0)),INDEX('NOTES CM2'!$N$10:$N$250,MATCH(BB179,'NOTES CM2'!$B$10:$B$250,0)),INDEX('NOTES CM2'!$U$10:$U$250,MATCH(BB179,'NOTES CM2'!$B$10:$B$250,0)),INDEX('NOTES CM2'!$AC$10:$AC$250,MATCH(BB179,'NOTES CM2'!$B$10:$B$250,0))),""))</f>
        <v/>
      </c>
    </row>
    <row r="180" customFormat="false" ht="15" hidden="false" customHeight="false" outlineLevel="0" collapsed="false">
      <c r="R180" s="51" t="str">
        <f aca="false">IFERROR(MATCH("CP1-60",'REGISTRE ELEVES'!$AG$10:$AG$250,0),"")</f>
        <v/>
      </c>
      <c r="S180" s="51" t="str">
        <f aca="false">IF(R180="","",INDEX('REGISTRE ELEVES'!$B$10:$B$250,R180))</f>
        <v/>
      </c>
      <c r="T180" s="51" t="str">
        <f aca="false">IF(R180="","",INDEX('REGISTRE ELEVES'!$D$10:$D$250,R180))</f>
        <v/>
      </c>
      <c r="U180" s="51" t="str">
        <f aca="false">IF(R180="","",INDEX('REGISTRE ELEVES'!$E$10:$E$250,R180))</f>
        <v/>
      </c>
      <c r="V180" s="51" t="str">
        <f aca="false">IF(S180="","",IFERROR(CHOOSE($P$8,INDEX('NOTES CP'!$P$10:$P$250,MATCH(S180,'NOTES CP'!$B$10:$B$250,0)),INDEX('NOTES CP'!$Z$10:$Z$250,MATCH(S180,'NOTES CP'!$B$10:$B$250,0)),INDEX('NOTES CP'!$AJ$10:$AJ$250,MATCH(S180,'NOTES CP'!$B$10:$B$250,0)),INDEX('NOTES CP'!$AT$10:$AT$250,MATCH(S180,'NOTES CP'!$B$10:$B$250,0))),""))</f>
        <v/>
      </c>
      <c r="W180" s="51" t="str">
        <f aca="false">IF(ISNUMBER(V180),V180+(1000-60)/1000000,"")</f>
        <v/>
      </c>
      <c r="X180" s="51" t="str">
        <f aca="false">IF(S180="","",IFERROR(CHOOSE($P$8,INDEX('NOTES CP'!$G$10:$G$250,MATCH(S180,'NOTES CP'!$B$10:$B$250,0)),INDEX('NOTES CP'!$Q$10:$Q$250,MATCH(S180,'NOTES CP'!$B$10:$B$250,0)),INDEX('NOTES CP'!$AA$10:$AA$250,MATCH(S180,'NOTES CP'!$B$10:$B$250,0)),INDEX('NOTES CP'!$AK$10:$AK$250,MATCH(S180,'NOTES CP'!$B$10:$B$250,0))),""))</f>
        <v/>
      </c>
      <c r="Y180" s="51" t="str">
        <f aca="false">IFERROR(MATCH("CP2-60",'REGISTRE ELEVES'!$AG$10:$AG$250,0),"")</f>
        <v/>
      </c>
      <c r="Z180" s="51" t="str">
        <f aca="false">IF(Y180="","",INDEX('REGISTRE ELEVES'!$B$10:$B$250,Y180))</f>
        <v/>
      </c>
      <c r="AA180" s="51" t="str">
        <f aca="false">IF(Y180="","",INDEX('REGISTRE ELEVES'!$D$10:$D$250,Y180))</f>
        <v/>
      </c>
      <c r="AB180" s="51" t="str">
        <f aca="false">IF(Y180="","",INDEX('REGISTRE ELEVES'!$E$10:$E$250,Y180))</f>
        <v/>
      </c>
      <c r="AC180" s="51" t="str">
        <f aca="false">IF(Z180="","",IFERROR(CHOOSE($P$8,INDEX('NOTES CP'!$P$10:$P$250,MATCH(Z180,'NOTES CP'!$B$10:$B$250,0)),INDEX('NOTES CP'!$Z$10:$Z$250,MATCH(Z180,'NOTES CP'!$B$10:$B$250,0)),INDEX('NOTES CP'!$AJ$10:$AJ$250,MATCH(Z180,'NOTES CP'!$B$10:$B$250,0)),INDEX('NOTES CP'!$AT$10:$AT$250,MATCH(Z180,'NOTES CP'!$B$10:$B$250,0))),""))</f>
        <v/>
      </c>
      <c r="AD180" s="51" t="str">
        <f aca="false">IF(ISNUMBER(AC180),AC180+(1000-60)/1000000,"")</f>
        <v/>
      </c>
      <c r="AE180" s="51" t="str">
        <f aca="false">IF(Z180="","",IFERROR(CHOOSE($P$8,INDEX('NOTES CP'!$G$10:$G$250,MATCH(Z180,'NOTES CP'!$B$10:$B$250,0)),INDEX('NOTES CP'!$Q$10:$Q$250,MATCH(Z180,'NOTES CP'!$B$10:$B$250,0)),INDEX('NOTES CP'!$AA$10:$AA$250,MATCH(Z180,'NOTES CP'!$B$10:$B$250,0)),INDEX('NOTES CP'!$AK$10:$AK$250,MATCH(Z180,'NOTES CP'!$B$10:$B$250,0))),""))</f>
        <v/>
      </c>
      <c r="AF180" s="51" t="str">
        <f aca="false">IFERROR(MATCH("CE1-60",'REGISTRE ELEVES'!$AG$10:$AG$250,0),"")</f>
        <v/>
      </c>
      <c r="AG180" s="51" t="str">
        <f aca="false">IF(AF180="","",INDEX('REGISTRE ELEVES'!$B$10:$B$250,AF180))</f>
        <v/>
      </c>
      <c r="AH180" s="51" t="str">
        <f aca="false">IF(AF180="","",INDEX('REGISTRE ELEVES'!$D$10:$D$250,AF180))</f>
        <v/>
      </c>
      <c r="AI180" s="51" t="str">
        <f aca="false">IF(AF180="","",INDEX('REGISTRE ELEVES'!$E$10:$E$250,AF180))</f>
        <v/>
      </c>
      <c r="AJ180" s="51" t="str">
        <f aca="false">IF(AG180="","",IFERROR(CHOOSE($P$8,INDEX('NOTES CE1'!$M$10:$M$250,MATCH(AG180,'NOTES CE1'!$B$10:$B$250,0)),INDEX('NOTES CE1'!$T$10:$T$250,MATCH(AG180,'NOTES CE1'!$B$10:$B$250,0)),INDEX('NOTES CE1'!$AA$10:$AA$250,MATCH(AG180,'NOTES CE1'!$B$10:$B$250,0)),INDEX('NOTES CE1'!$AH$10:$AH$250,MATCH(AG180,'NOTES CE1'!$B$10:$B$250,0))),""))</f>
        <v/>
      </c>
      <c r="AK180" s="51" t="str">
        <f aca="false">IF(ISNUMBER(AJ180),AJ180+(1000-60)/1000000,"")</f>
        <v/>
      </c>
      <c r="AL180" s="51" t="str">
        <f aca="false">IF(AG180="","",IFERROR(CHOOSE($P$8,INDEX('NOTES CE1'!$G$10:$G$250,MATCH(AG180,'NOTES CE1'!$B$10:$B$250,0)),INDEX('NOTES CE1'!$N$10:$N$250,MATCH(AG180,'NOTES CE1'!$B$10:$B$250,0)),INDEX('NOTES CE1'!$U$10:$U$250,MATCH(AG180,'NOTES CE1'!$B$10:$B$250,0)),INDEX('NOTES CE1'!$AB$10:$AB$250,MATCH(AG180,'NOTES CE1'!$B$10:$B$250,0))),""))</f>
        <v/>
      </c>
      <c r="AM180" s="51" t="str">
        <f aca="false">IFERROR(MATCH("CE2-60",'REGISTRE ELEVES'!$AG$10:$AG$250,0),"")</f>
        <v/>
      </c>
      <c r="AN180" s="51" t="str">
        <f aca="false">IF(AM180="","",INDEX('REGISTRE ELEVES'!$B$10:$B$250,AM180))</f>
        <v/>
      </c>
      <c r="AO180" s="51" t="str">
        <f aca="false">IF(AM180="","",INDEX('REGISTRE ELEVES'!$D$10:$D$250,AM180))</f>
        <v/>
      </c>
      <c r="AP180" s="51" t="str">
        <f aca="false">IF(AM180="","",INDEX('REGISTRE ELEVES'!$E$10:$E$250,AM180))</f>
        <v/>
      </c>
      <c r="AQ180" s="51" t="str">
        <f aca="false">IF(AN180="","",IFERROR(CHOOSE($P$8,INDEX('NOTES CE2-CM1'!$M$10:$M$250,MATCH(AN180,'NOTES CE2-CM1'!$B$10:$B$250,0)),INDEX('NOTES CE2-CM1'!$T$10:$T$250,MATCH(AN180,'NOTES CE2-CM1'!$B$10:$B$250,0)),INDEX('NOTES CE2-CM1'!$AA$10:$AA$250,MATCH(AN180,'NOTES CE2-CM1'!$B$10:$B$250,0)),INDEX('NOTES CE2-CM1'!$AH$10:$AH$250,MATCH(AN180,'NOTES CE2-CM1'!$B$10:$B$250,0))),""))</f>
        <v/>
      </c>
      <c r="AR180" s="51" t="str">
        <f aca="false">IF(ISNUMBER(AQ180),AQ180+(1000-60)/1000000,"")</f>
        <v/>
      </c>
      <c r="AS180" s="51" t="str">
        <f aca="false">IF(AN180="","",IFERROR(CHOOSE($P$8,INDEX('NOTES CE2-CM1'!$G$10:$G$250,MATCH(AN180,'NOTES CE2-CM1'!$B$10:$B$250,0)),INDEX('NOTES CE2-CM1'!$N$10:$N$250,MATCH(AN180,'NOTES CE2-CM1'!$B$10:$B$250,0)),INDEX('NOTES CE2-CM1'!$U$10:$U$250,MATCH(AN180,'NOTES CE2-CM1'!$B$10:$B$250,0)),INDEX('NOTES CE2-CM1'!$AB$10:$AB$250,MATCH(AN180,'NOTES CE2-CM1'!$B$10:$B$250,0))),""))</f>
        <v/>
      </c>
      <c r="AT180" s="51" t="str">
        <f aca="false">IFERROR(MATCH("CM1-60",'REGISTRE ELEVES'!$AG$10:$AG$250,0),"")</f>
        <v/>
      </c>
      <c r="AU180" s="51" t="str">
        <f aca="false">IF(AT180="","",INDEX('REGISTRE ELEVES'!$B$10:$B$250,AT180))</f>
        <v/>
      </c>
      <c r="AV180" s="51" t="str">
        <f aca="false">IF(AT180="","",INDEX('REGISTRE ELEVES'!$D$10:$D$250,AT180))</f>
        <v/>
      </c>
      <c r="AW180" s="51" t="str">
        <f aca="false">IF(AT180="","",INDEX('REGISTRE ELEVES'!$E$10:$E$250,AT180))</f>
        <v/>
      </c>
      <c r="AX180" s="51" t="str">
        <f aca="false">IF(AU180="","",IFERROR(CHOOSE($P$8,INDEX('NOTES CE2-CM1'!$M$10:$M$250,MATCH(AU180,'NOTES CE2-CM1'!$B$10:$B$250,0)),INDEX('NOTES CE2-CM1'!$T$10:$T$250,MATCH(AU180,'NOTES CE2-CM1'!$B$10:$B$250,0)),INDEX('NOTES CE2-CM1'!$AA$10:$AA$250,MATCH(AU180,'NOTES CE2-CM1'!$B$10:$B$250,0)),INDEX('NOTES CE2-CM1'!$AH$10:$AH$250,MATCH(AU180,'NOTES CE2-CM1'!$B$10:$B$250,0))),""))</f>
        <v/>
      </c>
      <c r="AY180" s="51" t="str">
        <f aca="false">IF(ISNUMBER(AX180),AX180+(1000-60)/1000000,"")</f>
        <v/>
      </c>
      <c r="AZ180" s="51" t="str">
        <f aca="false">IF(AU180="","",IFERROR(CHOOSE($P$8,INDEX('NOTES CE2-CM1'!$G$10:$G$250,MATCH(AU180,'NOTES CE2-CM1'!$B$10:$B$250,0)),INDEX('NOTES CE2-CM1'!$N$10:$N$250,MATCH(AU180,'NOTES CE2-CM1'!$B$10:$B$250,0)),INDEX('NOTES CE2-CM1'!$U$10:$U$250,MATCH(AU180,'NOTES CE2-CM1'!$B$10:$B$250,0)),INDEX('NOTES CE2-CM1'!$AB$10:$AB$250,MATCH(AU180,'NOTES CE2-CM1'!$B$10:$B$250,0))),""))</f>
        <v/>
      </c>
      <c r="BA180" s="51" t="str">
        <f aca="false">IFERROR(MATCH("CM2-60",'REGISTRE ELEVES'!$AG$10:$AG$250,0),"")</f>
        <v/>
      </c>
      <c r="BB180" s="51" t="str">
        <f aca="false">IF(BA180="","",INDEX('REGISTRE ELEVES'!$B$10:$B$250,BA180))</f>
        <v/>
      </c>
      <c r="BC180" s="51" t="str">
        <f aca="false">IF(BA180="","",INDEX('REGISTRE ELEVES'!$D$10:$D$250,BA180))</f>
        <v/>
      </c>
      <c r="BD180" s="51" t="str">
        <f aca="false">IF(BA180="","",INDEX('REGISTRE ELEVES'!$E$10:$E$250,BA180))</f>
        <v/>
      </c>
      <c r="BE180" s="51" t="str">
        <f aca="false">IF(BB180="","",IFERROR(CHOOSE($P$10,INDEX('NOTES CM2'!$M$10:$M$250,MATCH(BB180,'NOTES CM2'!$B$10:$B$250,0)),INDEX('NOTES CM2'!$T$10:$T$250,MATCH(BB180,'NOTES CM2'!$B$10:$B$250,0)),INDEX('NOTES CM2'!$AB$10:$AB$250,MATCH(BB180,'NOTES CM2'!$B$10:$B$250,0)),INDEX('NOTES CM2'!$AJ$10:$AJ$250,MATCH(BB180,'NOTES CM2'!$B$10:$B$250,0))),""))</f>
        <v/>
      </c>
      <c r="BF180" s="51" t="str">
        <f aca="false">IF(ISNUMBER(BE180),BE180+(1000-60)/1000000,"")</f>
        <v/>
      </c>
      <c r="BG180" s="51" t="str">
        <f aca="false">IF(BB180="","",IFERROR(CHOOSE($P$10,INDEX('NOTES CM2'!$G$10:$G$250,MATCH(BB180,'NOTES CM2'!$B$10:$B$250,0)),INDEX('NOTES CM2'!$N$10:$N$250,MATCH(BB180,'NOTES CM2'!$B$10:$B$250,0)),INDEX('NOTES CM2'!$U$10:$U$250,MATCH(BB180,'NOTES CM2'!$B$10:$B$250,0)),INDEX('NOTES CM2'!$AC$10:$AC$250,MATCH(BB180,'NOTES CM2'!$B$10:$B$250,0))),""))</f>
        <v/>
      </c>
    </row>
    <row r="181" customFormat="false" ht="15" hidden="false" customHeight="false" outlineLevel="0" collapsed="false">
      <c r="R181" s="51" t="str">
        <f aca="false">IFERROR(MATCH("CP1-61",'REGISTRE ELEVES'!$AG$10:$AG$250,0),"")</f>
        <v/>
      </c>
      <c r="S181" s="51" t="str">
        <f aca="false">IF(R181="","",INDEX('REGISTRE ELEVES'!$B$10:$B$250,R181))</f>
        <v/>
      </c>
      <c r="T181" s="51" t="str">
        <f aca="false">IF(R181="","",INDEX('REGISTRE ELEVES'!$D$10:$D$250,R181))</f>
        <v/>
      </c>
      <c r="U181" s="51" t="str">
        <f aca="false">IF(R181="","",INDEX('REGISTRE ELEVES'!$E$10:$E$250,R181))</f>
        <v/>
      </c>
      <c r="V181" s="51" t="str">
        <f aca="false">IF(S181="","",IFERROR(CHOOSE($P$8,INDEX('NOTES CP'!$P$10:$P$250,MATCH(S181,'NOTES CP'!$B$10:$B$250,0)),INDEX('NOTES CP'!$Z$10:$Z$250,MATCH(S181,'NOTES CP'!$B$10:$B$250,0)),INDEX('NOTES CP'!$AJ$10:$AJ$250,MATCH(S181,'NOTES CP'!$B$10:$B$250,0)),INDEX('NOTES CP'!$AT$10:$AT$250,MATCH(S181,'NOTES CP'!$B$10:$B$250,0))),""))</f>
        <v/>
      </c>
      <c r="W181" s="51" t="str">
        <f aca="false">IF(ISNUMBER(V181),V181+(1000-61)/1000000,"")</f>
        <v/>
      </c>
      <c r="X181" s="51" t="str">
        <f aca="false">IF(S181="","",IFERROR(CHOOSE($P$8,INDEX('NOTES CP'!$G$10:$G$250,MATCH(S181,'NOTES CP'!$B$10:$B$250,0)),INDEX('NOTES CP'!$Q$10:$Q$250,MATCH(S181,'NOTES CP'!$B$10:$B$250,0)),INDEX('NOTES CP'!$AA$10:$AA$250,MATCH(S181,'NOTES CP'!$B$10:$B$250,0)),INDEX('NOTES CP'!$AK$10:$AK$250,MATCH(S181,'NOTES CP'!$B$10:$B$250,0))),""))</f>
        <v/>
      </c>
      <c r="Y181" s="51" t="str">
        <f aca="false">IFERROR(MATCH("CP2-61",'REGISTRE ELEVES'!$AG$10:$AG$250,0),"")</f>
        <v/>
      </c>
      <c r="Z181" s="51" t="str">
        <f aca="false">IF(Y181="","",INDEX('REGISTRE ELEVES'!$B$10:$B$250,Y181))</f>
        <v/>
      </c>
      <c r="AA181" s="51" t="str">
        <f aca="false">IF(Y181="","",INDEX('REGISTRE ELEVES'!$D$10:$D$250,Y181))</f>
        <v/>
      </c>
      <c r="AB181" s="51" t="str">
        <f aca="false">IF(Y181="","",INDEX('REGISTRE ELEVES'!$E$10:$E$250,Y181))</f>
        <v/>
      </c>
      <c r="AC181" s="51" t="str">
        <f aca="false">IF(Z181="","",IFERROR(CHOOSE($P$8,INDEX('NOTES CP'!$P$10:$P$250,MATCH(Z181,'NOTES CP'!$B$10:$B$250,0)),INDEX('NOTES CP'!$Z$10:$Z$250,MATCH(Z181,'NOTES CP'!$B$10:$B$250,0)),INDEX('NOTES CP'!$AJ$10:$AJ$250,MATCH(Z181,'NOTES CP'!$B$10:$B$250,0)),INDEX('NOTES CP'!$AT$10:$AT$250,MATCH(Z181,'NOTES CP'!$B$10:$B$250,0))),""))</f>
        <v/>
      </c>
      <c r="AD181" s="51" t="str">
        <f aca="false">IF(ISNUMBER(AC181),AC181+(1000-61)/1000000,"")</f>
        <v/>
      </c>
      <c r="AE181" s="51" t="str">
        <f aca="false">IF(Z181="","",IFERROR(CHOOSE($P$8,INDEX('NOTES CP'!$G$10:$G$250,MATCH(Z181,'NOTES CP'!$B$10:$B$250,0)),INDEX('NOTES CP'!$Q$10:$Q$250,MATCH(Z181,'NOTES CP'!$B$10:$B$250,0)),INDEX('NOTES CP'!$AA$10:$AA$250,MATCH(Z181,'NOTES CP'!$B$10:$B$250,0)),INDEX('NOTES CP'!$AK$10:$AK$250,MATCH(Z181,'NOTES CP'!$B$10:$B$250,0))),""))</f>
        <v/>
      </c>
      <c r="AF181" s="51" t="str">
        <f aca="false">IFERROR(MATCH("CE1-61",'REGISTRE ELEVES'!$AG$10:$AG$250,0),"")</f>
        <v/>
      </c>
      <c r="AG181" s="51" t="str">
        <f aca="false">IF(AF181="","",INDEX('REGISTRE ELEVES'!$B$10:$B$250,AF181))</f>
        <v/>
      </c>
      <c r="AH181" s="51" t="str">
        <f aca="false">IF(AF181="","",INDEX('REGISTRE ELEVES'!$D$10:$D$250,AF181))</f>
        <v/>
      </c>
      <c r="AI181" s="51" t="str">
        <f aca="false">IF(AF181="","",INDEX('REGISTRE ELEVES'!$E$10:$E$250,AF181))</f>
        <v/>
      </c>
      <c r="AJ181" s="51" t="str">
        <f aca="false">IF(AG181="","",IFERROR(CHOOSE($P$8,INDEX('NOTES CE1'!$M$10:$M$250,MATCH(AG181,'NOTES CE1'!$B$10:$B$250,0)),INDEX('NOTES CE1'!$T$10:$T$250,MATCH(AG181,'NOTES CE1'!$B$10:$B$250,0)),INDEX('NOTES CE1'!$AA$10:$AA$250,MATCH(AG181,'NOTES CE1'!$B$10:$B$250,0)),INDEX('NOTES CE1'!$AH$10:$AH$250,MATCH(AG181,'NOTES CE1'!$B$10:$B$250,0))),""))</f>
        <v/>
      </c>
      <c r="AK181" s="51" t="str">
        <f aca="false">IF(ISNUMBER(AJ181),AJ181+(1000-61)/1000000,"")</f>
        <v/>
      </c>
      <c r="AL181" s="51" t="str">
        <f aca="false">IF(AG181="","",IFERROR(CHOOSE($P$8,INDEX('NOTES CE1'!$G$10:$G$250,MATCH(AG181,'NOTES CE1'!$B$10:$B$250,0)),INDEX('NOTES CE1'!$N$10:$N$250,MATCH(AG181,'NOTES CE1'!$B$10:$B$250,0)),INDEX('NOTES CE1'!$U$10:$U$250,MATCH(AG181,'NOTES CE1'!$B$10:$B$250,0)),INDEX('NOTES CE1'!$AB$10:$AB$250,MATCH(AG181,'NOTES CE1'!$B$10:$B$250,0))),""))</f>
        <v/>
      </c>
      <c r="AM181" s="51" t="str">
        <f aca="false">IFERROR(MATCH("CE2-61",'REGISTRE ELEVES'!$AG$10:$AG$250,0),"")</f>
        <v/>
      </c>
      <c r="AN181" s="51" t="str">
        <f aca="false">IF(AM181="","",INDEX('REGISTRE ELEVES'!$B$10:$B$250,AM181))</f>
        <v/>
      </c>
      <c r="AO181" s="51" t="str">
        <f aca="false">IF(AM181="","",INDEX('REGISTRE ELEVES'!$D$10:$D$250,AM181))</f>
        <v/>
      </c>
      <c r="AP181" s="51" t="str">
        <f aca="false">IF(AM181="","",INDEX('REGISTRE ELEVES'!$E$10:$E$250,AM181))</f>
        <v/>
      </c>
      <c r="AQ181" s="51" t="str">
        <f aca="false">IF(AN181="","",IFERROR(CHOOSE($P$8,INDEX('NOTES CE2-CM1'!$M$10:$M$250,MATCH(AN181,'NOTES CE2-CM1'!$B$10:$B$250,0)),INDEX('NOTES CE2-CM1'!$T$10:$T$250,MATCH(AN181,'NOTES CE2-CM1'!$B$10:$B$250,0)),INDEX('NOTES CE2-CM1'!$AA$10:$AA$250,MATCH(AN181,'NOTES CE2-CM1'!$B$10:$B$250,0)),INDEX('NOTES CE2-CM1'!$AH$10:$AH$250,MATCH(AN181,'NOTES CE2-CM1'!$B$10:$B$250,0))),""))</f>
        <v/>
      </c>
      <c r="AR181" s="51" t="str">
        <f aca="false">IF(ISNUMBER(AQ181),AQ181+(1000-61)/1000000,"")</f>
        <v/>
      </c>
      <c r="AS181" s="51" t="str">
        <f aca="false">IF(AN181="","",IFERROR(CHOOSE($P$8,INDEX('NOTES CE2-CM1'!$G$10:$G$250,MATCH(AN181,'NOTES CE2-CM1'!$B$10:$B$250,0)),INDEX('NOTES CE2-CM1'!$N$10:$N$250,MATCH(AN181,'NOTES CE2-CM1'!$B$10:$B$250,0)),INDEX('NOTES CE2-CM1'!$U$10:$U$250,MATCH(AN181,'NOTES CE2-CM1'!$B$10:$B$250,0)),INDEX('NOTES CE2-CM1'!$AB$10:$AB$250,MATCH(AN181,'NOTES CE2-CM1'!$B$10:$B$250,0))),""))</f>
        <v/>
      </c>
      <c r="AT181" s="51" t="str">
        <f aca="false">IFERROR(MATCH("CM1-61",'REGISTRE ELEVES'!$AG$10:$AG$250,0),"")</f>
        <v/>
      </c>
      <c r="AU181" s="51" t="str">
        <f aca="false">IF(AT181="","",INDEX('REGISTRE ELEVES'!$B$10:$B$250,AT181))</f>
        <v/>
      </c>
      <c r="AV181" s="51" t="str">
        <f aca="false">IF(AT181="","",INDEX('REGISTRE ELEVES'!$D$10:$D$250,AT181))</f>
        <v/>
      </c>
      <c r="AW181" s="51" t="str">
        <f aca="false">IF(AT181="","",INDEX('REGISTRE ELEVES'!$E$10:$E$250,AT181))</f>
        <v/>
      </c>
      <c r="AX181" s="51" t="str">
        <f aca="false">IF(AU181="","",IFERROR(CHOOSE($P$8,INDEX('NOTES CE2-CM1'!$M$10:$M$250,MATCH(AU181,'NOTES CE2-CM1'!$B$10:$B$250,0)),INDEX('NOTES CE2-CM1'!$T$10:$T$250,MATCH(AU181,'NOTES CE2-CM1'!$B$10:$B$250,0)),INDEX('NOTES CE2-CM1'!$AA$10:$AA$250,MATCH(AU181,'NOTES CE2-CM1'!$B$10:$B$250,0)),INDEX('NOTES CE2-CM1'!$AH$10:$AH$250,MATCH(AU181,'NOTES CE2-CM1'!$B$10:$B$250,0))),""))</f>
        <v/>
      </c>
      <c r="AY181" s="51" t="str">
        <f aca="false">IF(ISNUMBER(AX181),AX181+(1000-61)/1000000,"")</f>
        <v/>
      </c>
      <c r="AZ181" s="51" t="str">
        <f aca="false">IF(AU181="","",IFERROR(CHOOSE($P$8,INDEX('NOTES CE2-CM1'!$G$10:$G$250,MATCH(AU181,'NOTES CE2-CM1'!$B$10:$B$250,0)),INDEX('NOTES CE2-CM1'!$N$10:$N$250,MATCH(AU181,'NOTES CE2-CM1'!$B$10:$B$250,0)),INDEX('NOTES CE2-CM1'!$U$10:$U$250,MATCH(AU181,'NOTES CE2-CM1'!$B$10:$B$250,0)),INDEX('NOTES CE2-CM1'!$AB$10:$AB$250,MATCH(AU181,'NOTES CE2-CM1'!$B$10:$B$250,0))),""))</f>
        <v/>
      </c>
      <c r="BA181" s="51" t="str">
        <f aca="false">IFERROR(MATCH("CM2-61",'REGISTRE ELEVES'!$AG$10:$AG$250,0),"")</f>
        <v/>
      </c>
      <c r="BB181" s="51" t="str">
        <f aca="false">IF(BA181="","",INDEX('REGISTRE ELEVES'!$B$10:$B$250,BA181))</f>
        <v/>
      </c>
      <c r="BC181" s="51" t="str">
        <f aca="false">IF(BA181="","",INDEX('REGISTRE ELEVES'!$D$10:$D$250,BA181))</f>
        <v/>
      </c>
      <c r="BD181" s="51" t="str">
        <f aca="false">IF(BA181="","",INDEX('REGISTRE ELEVES'!$E$10:$E$250,BA181))</f>
        <v/>
      </c>
      <c r="BE181" s="51" t="str">
        <f aca="false">IF(BB181="","",IFERROR(CHOOSE($P$10,INDEX('NOTES CM2'!$M$10:$M$250,MATCH(BB181,'NOTES CM2'!$B$10:$B$250,0)),INDEX('NOTES CM2'!$T$10:$T$250,MATCH(BB181,'NOTES CM2'!$B$10:$B$250,0)),INDEX('NOTES CM2'!$AB$10:$AB$250,MATCH(BB181,'NOTES CM2'!$B$10:$B$250,0)),INDEX('NOTES CM2'!$AJ$10:$AJ$250,MATCH(BB181,'NOTES CM2'!$B$10:$B$250,0))),""))</f>
        <v/>
      </c>
      <c r="BF181" s="51" t="str">
        <f aca="false">IF(ISNUMBER(BE181),BE181+(1000-61)/1000000,"")</f>
        <v/>
      </c>
      <c r="BG181" s="51" t="str">
        <f aca="false">IF(BB181="","",IFERROR(CHOOSE($P$10,INDEX('NOTES CM2'!$G$10:$G$250,MATCH(BB181,'NOTES CM2'!$B$10:$B$250,0)),INDEX('NOTES CM2'!$N$10:$N$250,MATCH(BB181,'NOTES CM2'!$B$10:$B$250,0)),INDEX('NOTES CM2'!$U$10:$U$250,MATCH(BB181,'NOTES CM2'!$B$10:$B$250,0)),INDEX('NOTES CM2'!$AC$10:$AC$250,MATCH(BB181,'NOTES CM2'!$B$10:$B$250,0))),""))</f>
        <v/>
      </c>
    </row>
    <row r="182" customFormat="false" ht="15" hidden="false" customHeight="false" outlineLevel="0" collapsed="false">
      <c r="R182" s="51" t="str">
        <f aca="false">IFERROR(MATCH("CP1-62",'REGISTRE ELEVES'!$AG$10:$AG$250,0),"")</f>
        <v/>
      </c>
      <c r="S182" s="51" t="str">
        <f aca="false">IF(R182="","",INDEX('REGISTRE ELEVES'!$B$10:$B$250,R182))</f>
        <v/>
      </c>
      <c r="T182" s="51" t="str">
        <f aca="false">IF(R182="","",INDEX('REGISTRE ELEVES'!$D$10:$D$250,R182))</f>
        <v/>
      </c>
      <c r="U182" s="51" t="str">
        <f aca="false">IF(R182="","",INDEX('REGISTRE ELEVES'!$E$10:$E$250,R182))</f>
        <v/>
      </c>
      <c r="V182" s="51" t="str">
        <f aca="false">IF(S182="","",IFERROR(CHOOSE($P$8,INDEX('NOTES CP'!$P$10:$P$250,MATCH(S182,'NOTES CP'!$B$10:$B$250,0)),INDEX('NOTES CP'!$Z$10:$Z$250,MATCH(S182,'NOTES CP'!$B$10:$B$250,0)),INDEX('NOTES CP'!$AJ$10:$AJ$250,MATCH(S182,'NOTES CP'!$B$10:$B$250,0)),INDEX('NOTES CP'!$AT$10:$AT$250,MATCH(S182,'NOTES CP'!$B$10:$B$250,0))),""))</f>
        <v/>
      </c>
      <c r="W182" s="51" t="str">
        <f aca="false">IF(ISNUMBER(V182),V182+(1000-62)/1000000,"")</f>
        <v/>
      </c>
      <c r="X182" s="51" t="str">
        <f aca="false">IF(S182="","",IFERROR(CHOOSE($P$8,INDEX('NOTES CP'!$G$10:$G$250,MATCH(S182,'NOTES CP'!$B$10:$B$250,0)),INDEX('NOTES CP'!$Q$10:$Q$250,MATCH(S182,'NOTES CP'!$B$10:$B$250,0)),INDEX('NOTES CP'!$AA$10:$AA$250,MATCH(S182,'NOTES CP'!$B$10:$B$250,0)),INDEX('NOTES CP'!$AK$10:$AK$250,MATCH(S182,'NOTES CP'!$B$10:$B$250,0))),""))</f>
        <v/>
      </c>
      <c r="Y182" s="51" t="str">
        <f aca="false">IFERROR(MATCH("CP2-62",'REGISTRE ELEVES'!$AG$10:$AG$250,0),"")</f>
        <v/>
      </c>
      <c r="Z182" s="51" t="str">
        <f aca="false">IF(Y182="","",INDEX('REGISTRE ELEVES'!$B$10:$B$250,Y182))</f>
        <v/>
      </c>
      <c r="AA182" s="51" t="str">
        <f aca="false">IF(Y182="","",INDEX('REGISTRE ELEVES'!$D$10:$D$250,Y182))</f>
        <v/>
      </c>
      <c r="AB182" s="51" t="str">
        <f aca="false">IF(Y182="","",INDEX('REGISTRE ELEVES'!$E$10:$E$250,Y182))</f>
        <v/>
      </c>
      <c r="AC182" s="51" t="str">
        <f aca="false">IF(Z182="","",IFERROR(CHOOSE($P$8,INDEX('NOTES CP'!$P$10:$P$250,MATCH(Z182,'NOTES CP'!$B$10:$B$250,0)),INDEX('NOTES CP'!$Z$10:$Z$250,MATCH(Z182,'NOTES CP'!$B$10:$B$250,0)),INDEX('NOTES CP'!$AJ$10:$AJ$250,MATCH(Z182,'NOTES CP'!$B$10:$B$250,0)),INDEX('NOTES CP'!$AT$10:$AT$250,MATCH(Z182,'NOTES CP'!$B$10:$B$250,0))),""))</f>
        <v/>
      </c>
      <c r="AD182" s="51" t="str">
        <f aca="false">IF(ISNUMBER(AC182),AC182+(1000-62)/1000000,"")</f>
        <v/>
      </c>
      <c r="AE182" s="51" t="str">
        <f aca="false">IF(Z182="","",IFERROR(CHOOSE($P$8,INDEX('NOTES CP'!$G$10:$G$250,MATCH(Z182,'NOTES CP'!$B$10:$B$250,0)),INDEX('NOTES CP'!$Q$10:$Q$250,MATCH(Z182,'NOTES CP'!$B$10:$B$250,0)),INDEX('NOTES CP'!$AA$10:$AA$250,MATCH(Z182,'NOTES CP'!$B$10:$B$250,0)),INDEX('NOTES CP'!$AK$10:$AK$250,MATCH(Z182,'NOTES CP'!$B$10:$B$250,0))),""))</f>
        <v/>
      </c>
      <c r="AF182" s="51" t="str">
        <f aca="false">IFERROR(MATCH("CE1-62",'REGISTRE ELEVES'!$AG$10:$AG$250,0),"")</f>
        <v/>
      </c>
      <c r="AG182" s="51" t="str">
        <f aca="false">IF(AF182="","",INDEX('REGISTRE ELEVES'!$B$10:$B$250,AF182))</f>
        <v/>
      </c>
      <c r="AH182" s="51" t="str">
        <f aca="false">IF(AF182="","",INDEX('REGISTRE ELEVES'!$D$10:$D$250,AF182))</f>
        <v/>
      </c>
      <c r="AI182" s="51" t="str">
        <f aca="false">IF(AF182="","",INDEX('REGISTRE ELEVES'!$E$10:$E$250,AF182))</f>
        <v/>
      </c>
      <c r="AJ182" s="51" t="str">
        <f aca="false">IF(AG182="","",IFERROR(CHOOSE($P$8,INDEX('NOTES CE1'!$M$10:$M$250,MATCH(AG182,'NOTES CE1'!$B$10:$B$250,0)),INDEX('NOTES CE1'!$T$10:$T$250,MATCH(AG182,'NOTES CE1'!$B$10:$B$250,0)),INDEX('NOTES CE1'!$AA$10:$AA$250,MATCH(AG182,'NOTES CE1'!$B$10:$B$250,0)),INDEX('NOTES CE1'!$AH$10:$AH$250,MATCH(AG182,'NOTES CE1'!$B$10:$B$250,0))),""))</f>
        <v/>
      </c>
      <c r="AK182" s="51" t="str">
        <f aca="false">IF(ISNUMBER(AJ182),AJ182+(1000-62)/1000000,"")</f>
        <v/>
      </c>
      <c r="AL182" s="51" t="str">
        <f aca="false">IF(AG182="","",IFERROR(CHOOSE($P$8,INDEX('NOTES CE1'!$G$10:$G$250,MATCH(AG182,'NOTES CE1'!$B$10:$B$250,0)),INDEX('NOTES CE1'!$N$10:$N$250,MATCH(AG182,'NOTES CE1'!$B$10:$B$250,0)),INDEX('NOTES CE1'!$U$10:$U$250,MATCH(AG182,'NOTES CE1'!$B$10:$B$250,0)),INDEX('NOTES CE1'!$AB$10:$AB$250,MATCH(AG182,'NOTES CE1'!$B$10:$B$250,0))),""))</f>
        <v/>
      </c>
      <c r="AM182" s="51" t="str">
        <f aca="false">IFERROR(MATCH("CE2-62",'REGISTRE ELEVES'!$AG$10:$AG$250,0),"")</f>
        <v/>
      </c>
      <c r="AN182" s="51" t="str">
        <f aca="false">IF(AM182="","",INDEX('REGISTRE ELEVES'!$B$10:$B$250,AM182))</f>
        <v/>
      </c>
      <c r="AO182" s="51" t="str">
        <f aca="false">IF(AM182="","",INDEX('REGISTRE ELEVES'!$D$10:$D$250,AM182))</f>
        <v/>
      </c>
      <c r="AP182" s="51" t="str">
        <f aca="false">IF(AM182="","",INDEX('REGISTRE ELEVES'!$E$10:$E$250,AM182))</f>
        <v/>
      </c>
      <c r="AQ182" s="51" t="str">
        <f aca="false">IF(AN182="","",IFERROR(CHOOSE($P$8,INDEX('NOTES CE2-CM1'!$M$10:$M$250,MATCH(AN182,'NOTES CE2-CM1'!$B$10:$B$250,0)),INDEX('NOTES CE2-CM1'!$T$10:$T$250,MATCH(AN182,'NOTES CE2-CM1'!$B$10:$B$250,0)),INDEX('NOTES CE2-CM1'!$AA$10:$AA$250,MATCH(AN182,'NOTES CE2-CM1'!$B$10:$B$250,0)),INDEX('NOTES CE2-CM1'!$AH$10:$AH$250,MATCH(AN182,'NOTES CE2-CM1'!$B$10:$B$250,0))),""))</f>
        <v/>
      </c>
      <c r="AR182" s="51" t="str">
        <f aca="false">IF(ISNUMBER(AQ182),AQ182+(1000-62)/1000000,"")</f>
        <v/>
      </c>
      <c r="AS182" s="51" t="str">
        <f aca="false">IF(AN182="","",IFERROR(CHOOSE($P$8,INDEX('NOTES CE2-CM1'!$G$10:$G$250,MATCH(AN182,'NOTES CE2-CM1'!$B$10:$B$250,0)),INDEX('NOTES CE2-CM1'!$N$10:$N$250,MATCH(AN182,'NOTES CE2-CM1'!$B$10:$B$250,0)),INDEX('NOTES CE2-CM1'!$U$10:$U$250,MATCH(AN182,'NOTES CE2-CM1'!$B$10:$B$250,0)),INDEX('NOTES CE2-CM1'!$AB$10:$AB$250,MATCH(AN182,'NOTES CE2-CM1'!$B$10:$B$250,0))),""))</f>
        <v/>
      </c>
      <c r="AT182" s="51" t="str">
        <f aca="false">IFERROR(MATCH("CM1-62",'REGISTRE ELEVES'!$AG$10:$AG$250,0),"")</f>
        <v/>
      </c>
      <c r="AU182" s="51" t="str">
        <f aca="false">IF(AT182="","",INDEX('REGISTRE ELEVES'!$B$10:$B$250,AT182))</f>
        <v/>
      </c>
      <c r="AV182" s="51" t="str">
        <f aca="false">IF(AT182="","",INDEX('REGISTRE ELEVES'!$D$10:$D$250,AT182))</f>
        <v/>
      </c>
      <c r="AW182" s="51" t="str">
        <f aca="false">IF(AT182="","",INDEX('REGISTRE ELEVES'!$E$10:$E$250,AT182))</f>
        <v/>
      </c>
      <c r="AX182" s="51" t="str">
        <f aca="false">IF(AU182="","",IFERROR(CHOOSE($P$8,INDEX('NOTES CE2-CM1'!$M$10:$M$250,MATCH(AU182,'NOTES CE2-CM1'!$B$10:$B$250,0)),INDEX('NOTES CE2-CM1'!$T$10:$T$250,MATCH(AU182,'NOTES CE2-CM1'!$B$10:$B$250,0)),INDEX('NOTES CE2-CM1'!$AA$10:$AA$250,MATCH(AU182,'NOTES CE2-CM1'!$B$10:$B$250,0)),INDEX('NOTES CE2-CM1'!$AH$10:$AH$250,MATCH(AU182,'NOTES CE2-CM1'!$B$10:$B$250,0))),""))</f>
        <v/>
      </c>
      <c r="AY182" s="51" t="str">
        <f aca="false">IF(ISNUMBER(AX182),AX182+(1000-62)/1000000,"")</f>
        <v/>
      </c>
      <c r="AZ182" s="51" t="str">
        <f aca="false">IF(AU182="","",IFERROR(CHOOSE($P$8,INDEX('NOTES CE2-CM1'!$G$10:$G$250,MATCH(AU182,'NOTES CE2-CM1'!$B$10:$B$250,0)),INDEX('NOTES CE2-CM1'!$N$10:$N$250,MATCH(AU182,'NOTES CE2-CM1'!$B$10:$B$250,0)),INDEX('NOTES CE2-CM1'!$U$10:$U$250,MATCH(AU182,'NOTES CE2-CM1'!$B$10:$B$250,0)),INDEX('NOTES CE2-CM1'!$AB$10:$AB$250,MATCH(AU182,'NOTES CE2-CM1'!$B$10:$B$250,0))),""))</f>
        <v/>
      </c>
      <c r="BA182" s="51" t="str">
        <f aca="false">IFERROR(MATCH("CM2-62",'REGISTRE ELEVES'!$AG$10:$AG$250,0),"")</f>
        <v/>
      </c>
      <c r="BB182" s="51" t="str">
        <f aca="false">IF(BA182="","",INDEX('REGISTRE ELEVES'!$B$10:$B$250,BA182))</f>
        <v/>
      </c>
      <c r="BC182" s="51" t="str">
        <f aca="false">IF(BA182="","",INDEX('REGISTRE ELEVES'!$D$10:$D$250,BA182))</f>
        <v/>
      </c>
      <c r="BD182" s="51" t="str">
        <f aca="false">IF(BA182="","",INDEX('REGISTRE ELEVES'!$E$10:$E$250,BA182))</f>
        <v/>
      </c>
      <c r="BE182" s="51" t="str">
        <f aca="false">IF(BB182="","",IFERROR(CHOOSE($P$10,INDEX('NOTES CM2'!$M$10:$M$250,MATCH(BB182,'NOTES CM2'!$B$10:$B$250,0)),INDEX('NOTES CM2'!$T$10:$T$250,MATCH(BB182,'NOTES CM2'!$B$10:$B$250,0)),INDEX('NOTES CM2'!$AB$10:$AB$250,MATCH(BB182,'NOTES CM2'!$B$10:$B$250,0)),INDEX('NOTES CM2'!$AJ$10:$AJ$250,MATCH(BB182,'NOTES CM2'!$B$10:$B$250,0))),""))</f>
        <v/>
      </c>
      <c r="BF182" s="51" t="str">
        <f aca="false">IF(ISNUMBER(BE182),BE182+(1000-62)/1000000,"")</f>
        <v/>
      </c>
      <c r="BG182" s="51" t="str">
        <f aca="false">IF(BB182="","",IFERROR(CHOOSE($P$10,INDEX('NOTES CM2'!$G$10:$G$250,MATCH(BB182,'NOTES CM2'!$B$10:$B$250,0)),INDEX('NOTES CM2'!$N$10:$N$250,MATCH(BB182,'NOTES CM2'!$B$10:$B$250,0)),INDEX('NOTES CM2'!$U$10:$U$250,MATCH(BB182,'NOTES CM2'!$B$10:$B$250,0)),INDEX('NOTES CM2'!$AC$10:$AC$250,MATCH(BB182,'NOTES CM2'!$B$10:$B$250,0))),""))</f>
        <v/>
      </c>
    </row>
    <row r="183" customFormat="false" ht="15" hidden="false" customHeight="false" outlineLevel="0" collapsed="false">
      <c r="R183" s="51" t="str">
        <f aca="false">IFERROR(MATCH("CP1-63",'REGISTRE ELEVES'!$AG$10:$AG$250,0),"")</f>
        <v/>
      </c>
      <c r="S183" s="51" t="str">
        <f aca="false">IF(R183="","",INDEX('REGISTRE ELEVES'!$B$10:$B$250,R183))</f>
        <v/>
      </c>
      <c r="T183" s="51" t="str">
        <f aca="false">IF(R183="","",INDEX('REGISTRE ELEVES'!$D$10:$D$250,R183))</f>
        <v/>
      </c>
      <c r="U183" s="51" t="str">
        <f aca="false">IF(R183="","",INDEX('REGISTRE ELEVES'!$E$10:$E$250,R183))</f>
        <v/>
      </c>
      <c r="V183" s="51" t="str">
        <f aca="false">IF(S183="","",IFERROR(CHOOSE($P$8,INDEX('NOTES CP'!$P$10:$P$250,MATCH(S183,'NOTES CP'!$B$10:$B$250,0)),INDEX('NOTES CP'!$Z$10:$Z$250,MATCH(S183,'NOTES CP'!$B$10:$B$250,0)),INDEX('NOTES CP'!$AJ$10:$AJ$250,MATCH(S183,'NOTES CP'!$B$10:$B$250,0)),INDEX('NOTES CP'!$AT$10:$AT$250,MATCH(S183,'NOTES CP'!$B$10:$B$250,0))),""))</f>
        <v/>
      </c>
      <c r="W183" s="51" t="str">
        <f aca="false">IF(ISNUMBER(V183),V183+(1000-63)/1000000,"")</f>
        <v/>
      </c>
      <c r="X183" s="51" t="str">
        <f aca="false">IF(S183="","",IFERROR(CHOOSE($P$8,INDEX('NOTES CP'!$G$10:$G$250,MATCH(S183,'NOTES CP'!$B$10:$B$250,0)),INDEX('NOTES CP'!$Q$10:$Q$250,MATCH(S183,'NOTES CP'!$B$10:$B$250,0)),INDEX('NOTES CP'!$AA$10:$AA$250,MATCH(S183,'NOTES CP'!$B$10:$B$250,0)),INDEX('NOTES CP'!$AK$10:$AK$250,MATCH(S183,'NOTES CP'!$B$10:$B$250,0))),""))</f>
        <v/>
      </c>
      <c r="Y183" s="51" t="str">
        <f aca="false">IFERROR(MATCH("CP2-63",'REGISTRE ELEVES'!$AG$10:$AG$250,0),"")</f>
        <v/>
      </c>
      <c r="Z183" s="51" t="str">
        <f aca="false">IF(Y183="","",INDEX('REGISTRE ELEVES'!$B$10:$B$250,Y183))</f>
        <v/>
      </c>
      <c r="AA183" s="51" t="str">
        <f aca="false">IF(Y183="","",INDEX('REGISTRE ELEVES'!$D$10:$D$250,Y183))</f>
        <v/>
      </c>
      <c r="AB183" s="51" t="str">
        <f aca="false">IF(Y183="","",INDEX('REGISTRE ELEVES'!$E$10:$E$250,Y183))</f>
        <v/>
      </c>
      <c r="AC183" s="51" t="str">
        <f aca="false">IF(Z183="","",IFERROR(CHOOSE($P$8,INDEX('NOTES CP'!$P$10:$P$250,MATCH(Z183,'NOTES CP'!$B$10:$B$250,0)),INDEX('NOTES CP'!$Z$10:$Z$250,MATCH(Z183,'NOTES CP'!$B$10:$B$250,0)),INDEX('NOTES CP'!$AJ$10:$AJ$250,MATCH(Z183,'NOTES CP'!$B$10:$B$250,0)),INDEX('NOTES CP'!$AT$10:$AT$250,MATCH(Z183,'NOTES CP'!$B$10:$B$250,0))),""))</f>
        <v/>
      </c>
      <c r="AD183" s="51" t="str">
        <f aca="false">IF(ISNUMBER(AC183),AC183+(1000-63)/1000000,"")</f>
        <v/>
      </c>
      <c r="AE183" s="51" t="str">
        <f aca="false">IF(Z183="","",IFERROR(CHOOSE($P$8,INDEX('NOTES CP'!$G$10:$G$250,MATCH(Z183,'NOTES CP'!$B$10:$B$250,0)),INDEX('NOTES CP'!$Q$10:$Q$250,MATCH(Z183,'NOTES CP'!$B$10:$B$250,0)),INDEX('NOTES CP'!$AA$10:$AA$250,MATCH(Z183,'NOTES CP'!$B$10:$B$250,0)),INDEX('NOTES CP'!$AK$10:$AK$250,MATCH(Z183,'NOTES CP'!$B$10:$B$250,0))),""))</f>
        <v/>
      </c>
      <c r="AF183" s="51" t="str">
        <f aca="false">IFERROR(MATCH("CE1-63",'REGISTRE ELEVES'!$AG$10:$AG$250,0),"")</f>
        <v/>
      </c>
      <c r="AG183" s="51" t="str">
        <f aca="false">IF(AF183="","",INDEX('REGISTRE ELEVES'!$B$10:$B$250,AF183))</f>
        <v/>
      </c>
      <c r="AH183" s="51" t="str">
        <f aca="false">IF(AF183="","",INDEX('REGISTRE ELEVES'!$D$10:$D$250,AF183))</f>
        <v/>
      </c>
      <c r="AI183" s="51" t="str">
        <f aca="false">IF(AF183="","",INDEX('REGISTRE ELEVES'!$E$10:$E$250,AF183))</f>
        <v/>
      </c>
      <c r="AJ183" s="51" t="str">
        <f aca="false">IF(AG183="","",IFERROR(CHOOSE($P$8,INDEX('NOTES CE1'!$M$10:$M$250,MATCH(AG183,'NOTES CE1'!$B$10:$B$250,0)),INDEX('NOTES CE1'!$T$10:$T$250,MATCH(AG183,'NOTES CE1'!$B$10:$B$250,0)),INDEX('NOTES CE1'!$AA$10:$AA$250,MATCH(AG183,'NOTES CE1'!$B$10:$B$250,0)),INDEX('NOTES CE1'!$AH$10:$AH$250,MATCH(AG183,'NOTES CE1'!$B$10:$B$250,0))),""))</f>
        <v/>
      </c>
      <c r="AK183" s="51" t="str">
        <f aca="false">IF(ISNUMBER(AJ183),AJ183+(1000-63)/1000000,"")</f>
        <v/>
      </c>
      <c r="AL183" s="51" t="str">
        <f aca="false">IF(AG183="","",IFERROR(CHOOSE($P$8,INDEX('NOTES CE1'!$G$10:$G$250,MATCH(AG183,'NOTES CE1'!$B$10:$B$250,0)),INDEX('NOTES CE1'!$N$10:$N$250,MATCH(AG183,'NOTES CE1'!$B$10:$B$250,0)),INDEX('NOTES CE1'!$U$10:$U$250,MATCH(AG183,'NOTES CE1'!$B$10:$B$250,0)),INDEX('NOTES CE1'!$AB$10:$AB$250,MATCH(AG183,'NOTES CE1'!$B$10:$B$250,0))),""))</f>
        <v/>
      </c>
      <c r="AM183" s="51" t="str">
        <f aca="false">IFERROR(MATCH("CE2-63",'REGISTRE ELEVES'!$AG$10:$AG$250,0),"")</f>
        <v/>
      </c>
      <c r="AN183" s="51" t="str">
        <f aca="false">IF(AM183="","",INDEX('REGISTRE ELEVES'!$B$10:$B$250,AM183))</f>
        <v/>
      </c>
      <c r="AO183" s="51" t="str">
        <f aca="false">IF(AM183="","",INDEX('REGISTRE ELEVES'!$D$10:$D$250,AM183))</f>
        <v/>
      </c>
      <c r="AP183" s="51" t="str">
        <f aca="false">IF(AM183="","",INDEX('REGISTRE ELEVES'!$E$10:$E$250,AM183))</f>
        <v/>
      </c>
      <c r="AQ183" s="51" t="str">
        <f aca="false">IF(AN183="","",IFERROR(CHOOSE($P$8,INDEX('NOTES CE2-CM1'!$M$10:$M$250,MATCH(AN183,'NOTES CE2-CM1'!$B$10:$B$250,0)),INDEX('NOTES CE2-CM1'!$T$10:$T$250,MATCH(AN183,'NOTES CE2-CM1'!$B$10:$B$250,0)),INDEX('NOTES CE2-CM1'!$AA$10:$AA$250,MATCH(AN183,'NOTES CE2-CM1'!$B$10:$B$250,0)),INDEX('NOTES CE2-CM1'!$AH$10:$AH$250,MATCH(AN183,'NOTES CE2-CM1'!$B$10:$B$250,0))),""))</f>
        <v/>
      </c>
      <c r="AR183" s="51" t="str">
        <f aca="false">IF(ISNUMBER(AQ183),AQ183+(1000-63)/1000000,"")</f>
        <v/>
      </c>
      <c r="AS183" s="51" t="str">
        <f aca="false">IF(AN183="","",IFERROR(CHOOSE($P$8,INDEX('NOTES CE2-CM1'!$G$10:$G$250,MATCH(AN183,'NOTES CE2-CM1'!$B$10:$B$250,0)),INDEX('NOTES CE2-CM1'!$N$10:$N$250,MATCH(AN183,'NOTES CE2-CM1'!$B$10:$B$250,0)),INDEX('NOTES CE2-CM1'!$U$10:$U$250,MATCH(AN183,'NOTES CE2-CM1'!$B$10:$B$250,0)),INDEX('NOTES CE2-CM1'!$AB$10:$AB$250,MATCH(AN183,'NOTES CE2-CM1'!$B$10:$B$250,0))),""))</f>
        <v/>
      </c>
      <c r="AT183" s="51" t="str">
        <f aca="false">IFERROR(MATCH("CM1-63",'REGISTRE ELEVES'!$AG$10:$AG$250,0),"")</f>
        <v/>
      </c>
      <c r="AU183" s="51" t="str">
        <f aca="false">IF(AT183="","",INDEX('REGISTRE ELEVES'!$B$10:$B$250,AT183))</f>
        <v/>
      </c>
      <c r="AV183" s="51" t="str">
        <f aca="false">IF(AT183="","",INDEX('REGISTRE ELEVES'!$D$10:$D$250,AT183))</f>
        <v/>
      </c>
      <c r="AW183" s="51" t="str">
        <f aca="false">IF(AT183="","",INDEX('REGISTRE ELEVES'!$E$10:$E$250,AT183))</f>
        <v/>
      </c>
      <c r="AX183" s="51" t="str">
        <f aca="false">IF(AU183="","",IFERROR(CHOOSE($P$8,INDEX('NOTES CE2-CM1'!$M$10:$M$250,MATCH(AU183,'NOTES CE2-CM1'!$B$10:$B$250,0)),INDEX('NOTES CE2-CM1'!$T$10:$T$250,MATCH(AU183,'NOTES CE2-CM1'!$B$10:$B$250,0)),INDEX('NOTES CE2-CM1'!$AA$10:$AA$250,MATCH(AU183,'NOTES CE2-CM1'!$B$10:$B$250,0)),INDEX('NOTES CE2-CM1'!$AH$10:$AH$250,MATCH(AU183,'NOTES CE2-CM1'!$B$10:$B$250,0))),""))</f>
        <v/>
      </c>
      <c r="AY183" s="51" t="str">
        <f aca="false">IF(ISNUMBER(AX183),AX183+(1000-63)/1000000,"")</f>
        <v/>
      </c>
      <c r="AZ183" s="51" t="str">
        <f aca="false">IF(AU183="","",IFERROR(CHOOSE($P$8,INDEX('NOTES CE2-CM1'!$G$10:$G$250,MATCH(AU183,'NOTES CE2-CM1'!$B$10:$B$250,0)),INDEX('NOTES CE2-CM1'!$N$10:$N$250,MATCH(AU183,'NOTES CE2-CM1'!$B$10:$B$250,0)),INDEX('NOTES CE2-CM1'!$U$10:$U$250,MATCH(AU183,'NOTES CE2-CM1'!$B$10:$B$250,0)),INDEX('NOTES CE2-CM1'!$AB$10:$AB$250,MATCH(AU183,'NOTES CE2-CM1'!$B$10:$B$250,0))),""))</f>
        <v/>
      </c>
      <c r="BA183" s="51" t="str">
        <f aca="false">IFERROR(MATCH("CM2-63",'REGISTRE ELEVES'!$AG$10:$AG$250,0),"")</f>
        <v/>
      </c>
      <c r="BB183" s="51" t="str">
        <f aca="false">IF(BA183="","",INDEX('REGISTRE ELEVES'!$B$10:$B$250,BA183))</f>
        <v/>
      </c>
      <c r="BC183" s="51" t="str">
        <f aca="false">IF(BA183="","",INDEX('REGISTRE ELEVES'!$D$10:$D$250,BA183))</f>
        <v/>
      </c>
      <c r="BD183" s="51" t="str">
        <f aca="false">IF(BA183="","",INDEX('REGISTRE ELEVES'!$E$10:$E$250,BA183))</f>
        <v/>
      </c>
      <c r="BE183" s="51" t="str">
        <f aca="false">IF(BB183="","",IFERROR(CHOOSE($P$10,INDEX('NOTES CM2'!$M$10:$M$250,MATCH(BB183,'NOTES CM2'!$B$10:$B$250,0)),INDEX('NOTES CM2'!$T$10:$T$250,MATCH(BB183,'NOTES CM2'!$B$10:$B$250,0)),INDEX('NOTES CM2'!$AB$10:$AB$250,MATCH(BB183,'NOTES CM2'!$B$10:$B$250,0)),INDEX('NOTES CM2'!$AJ$10:$AJ$250,MATCH(BB183,'NOTES CM2'!$B$10:$B$250,0))),""))</f>
        <v/>
      </c>
      <c r="BF183" s="51" t="str">
        <f aca="false">IF(ISNUMBER(BE183),BE183+(1000-63)/1000000,"")</f>
        <v/>
      </c>
      <c r="BG183" s="51" t="str">
        <f aca="false">IF(BB183="","",IFERROR(CHOOSE($P$10,INDEX('NOTES CM2'!$G$10:$G$250,MATCH(BB183,'NOTES CM2'!$B$10:$B$250,0)),INDEX('NOTES CM2'!$N$10:$N$250,MATCH(BB183,'NOTES CM2'!$B$10:$B$250,0)),INDEX('NOTES CM2'!$U$10:$U$250,MATCH(BB183,'NOTES CM2'!$B$10:$B$250,0)),INDEX('NOTES CM2'!$AC$10:$AC$250,MATCH(BB183,'NOTES CM2'!$B$10:$B$250,0))),""))</f>
        <v/>
      </c>
    </row>
    <row r="184" customFormat="false" ht="15" hidden="false" customHeight="false" outlineLevel="0" collapsed="false">
      <c r="R184" s="51" t="str">
        <f aca="false">IFERROR(MATCH("CP1-64",'REGISTRE ELEVES'!$AG$10:$AG$250,0),"")</f>
        <v/>
      </c>
      <c r="S184" s="51" t="str">
        <f aca="false">IF(R184="","",INDEX('REGISTRE ELEVES'!$B$10:$B$250,R184))</f>
        <v/>
      </c>
      <c r="T184" s="51" t="str">
        <f aca="false">IF(R184="","",INDEX('REGISTRE ELEVES'!$D$10:$D$250,R184))</f>
        <v/>
      </c>
      <c r="U184" s="51" t="str">
        <f aca="false">IF(R184="","",INDEX('REGISTRE ELEVES'!$E$10:$E$250,R184))</f>
        <v/>
      </c>
      <c r="V184" s="51" t="str">
        <f aca="false">IF(S184="","",IFERROR(CHOOSE($P$8,INDEX('NOTES CP'!$P$10:$P$250,MATCH(S184,'NOTES CP'!$B$10:$B$250,0)),INDEX('NOTES CP'!$Z$10:$Z$250,MATCH(S184,'NOTES CP'!$B$10:$B$250,0)),INDEX('NOTES CP'!$AJ$10:$AJ$250,MATCH(S184,'NOTES CP'!$B$10:$B$250,0)),INDEX('NOTES CP'!$AT$10:$AT$250,MATCH(S184,'NOTES CP'!$B$10:$B$250,0))),""))</f>
        <v/>
      </c>
      <c r="W184" s="51" t="str">
        <f aca="false">IF(ISNUMBER(V184),V184+(1000-64)/1000000,"")</f>
        <v/>
      </c>
      <c r="X184" s="51" t="str">
        <f aca="false">IF(S184="","",IFERROR(CHOOSE($P$8,INDEX('NOTES CP'!$G$10:$G$250,MATCH(S184,'NOTES CP'!$B$10:$B$250,0)),INDEX('NOTES CP'!$Q$10:$Q$250,MATCH(S184,'NOTES CP'!$B$10:$B$250,0)),INDEX('NOTES CP'!$AA$10:$AA$250,MATCH(S184,'NOTES CP'!$B$10:$B$250,0)),INDEX('NOTES CP'!$AK$10:$AK$250,MATCH(S184,'NOTES CP'!$B$10:$B$250,0))),""))</f>
        <v/>
      </c>
      <c r="Y184" s="51" t="str">
        <f aca="false">IFERROR(MATCH("CP2-64",'REGISTRE ELEVES'!$AG$10:$AG$250,0),"")</f>
        <v/>
      </c>
      <c r="Z184" s="51" t="str">
        <f aca="false">IF(Y184="","",INDEX('REGISTRE ELEVES'!$B$10:$B$250,Y184))</f>
        <v/>
      </c>
      <c r="AA184" s="51" t="str">
        <f aca="false">IF(Y184="","",INDEX('REGISTRE ELEVES'!$D$10:$D$250,Y184))</f>
        <v/>
      </c>
      <c r="AB184" s="51" t="str">
        <f aca="false">IF(Y184="","",INDEX('REGISTRE ELEVES'!$E$10:$E$250,Y184))</f>
        <v/>
      </c>
      <c r="AC184" s="51" t="str">
        <f aca="false">IF(Z184="","",IFERROR(CHOOSE($P$8,INDEX('NOTES CP'!$P$10:$P$250,MATCH(Z184,'NOTES CP'!$B$10:$B$250,0)),INDEX('NOTES CP'!$Z$10:$Z$250,MATCH(Z184,'NOTES CP'!$B$10:$B$250,0)),INDEX('NOTES CP'!$AJ$10:$AJ$250,MATCH(Z184,'NOTES CP'!$B$10:$B$250,0)),INDEX('NOTES CP'!$AT$10:$AT$250,MATCH(Z184,'NOTES CP'!$B$10:$B$250,0))),""))</f>
        <v/>
      </c>
      <c r="AD184" s="51" t="str">
        <f aca="false">IF(ISNUMBER(AC184),AC184+(1000-64)/1000000,"")</f>
        <v/>
      </c>
      <c r="AE184" s="51" t="str">
        <f aca="false">IF(Z184="","",IFERROR(CHOOSE($P$8,INDEX('NOTES CP'!$G$10:$G$250,MATCH(Z184,'NOTES CP'!$B$10:$B$250,0)),INDEX('NOTES CP'!$Q$10:$Q$250,MATCH(Z184,'NOTES CP'!$B$10:$B$250,0)),INDEX('NOTES CP'!$AA$10:$AA$250,MATCH(Z184,'NOTES CP'!$B$10:$B$250,0)),INDEX('NOTES CP'!$AK$10:$AK$250,MATCH(Z184,'NOTES CP'!$B$10:$B$250,0))),""))</f>
        <v/>
      </c>
      <c r="AF184" s="51" t="str">
        <f aca="false">IFERROR(MATCH("CE1-64",'REGISTRE ELEVES'!$AG$10:$AG$250,0),"")</f>
        <v/>
      </c>
      <c r="AG184" s="51" t="str">
        <f aca="false">IF(AF184="","",INDEX('REGISTRE ELEVES'!$B$10:$B$250,AF184))</f>
        <v/>
      </c>
      <c r="AH184" s="51" t="str">
        <f aca="false">IF(AF184="","",INDEX('REGISTRE ELEVES'!$D$10:$D$250,AF184))</f>
        <v/>
      </c>
      <c r="AI184" s="51" t="str">
        <f aca="false">IF(AF184="","",INDEX('REGISTRE ELEVES'!$E$10:$E$250,AF184))</f>
        <v/>
      </c>
      <c r="AJ184" s="51" t="str">
        <f aca="false">IF(AG184="","",IFERROR(CHOOSE($P$8,INDEX('NOTES CE1'!$M$10:$M$250,MATCH(AG184,'NOTES CE1'!$B$10:$B$250,0)),INDEX('NOTES CE1'!$T$10:$T$250,MATCH(AG184,'NOTES CE1'!$B$10:$B$250,0)),INDEX('NOTES CE1'!$AA$10:$AA$250,MATCH(AG184,'NOTES CE1'!$B$10:$B$250,0)),INDEX('NOTES CE1'!$AH$10:$AH$250,MATCH(AG184,'NOTES CE1'!$B$10:$B$250,0))),""))</f>
        <v/>
      </c>
      <c r="AK184" s="51" t="str">
        <f aca="false">IF(ISNUMBER(AJ184),AJ184+(1000-64)/1000000,"")</f>
        <v/>
      </c>
      <c r="AL184" s="51" t="str">
        <f aca="false">IF(AG184="","",IFERROR(CHOOSE($P$8,INDEX('NOTES CE1'!$G$10:$G$250,MATCH(AG184,'NOTES CE1'!$B$10:$B$250,0)),INDEX('NOTES CE1'!$N$10:$N$250,MATCH(AG184,'NOTES CE1'!$B$10:$B$250,0)),INDEX('NOTES CE1'!$U$10:$U$250,MATCH(AG184,'NOTES CE1'!$B$10:$B$250,0)),INDEX('NOTES CE1'!$AB$10:$AB$250,MATCH(AG184,'NOTES CE1'!$B$10:$B$250,0))),""))</f>
        <v/>
      </c>
      <c r="AM184" s="51" t="str">
        <f aca="false">IFERROR(MATCH("CE2-64",'REGISTRE ELEVES'!$AG$10:$AG$250,0),"")</f>
        <v/>
      </c>
      <c r="AN184" s="51" t="str">
        <f aca="false">IF(AM184="","",INDEX('REGISTRE ELEVES'!$B$10:$B$250,AM184))</f>
        <v/>
      </c>
      <c r="AO184" s="51" t="str">
        <f aca="false">IF(AM184="","",INDEX('REGISTRE ELEVES'!$D$10:$D$250,AM184))</f>
        <v/>
      </c>
      <c r="AP184" s="51" t="str">
        <f aca="false">IF(AM184="","",INDEX('REGISTRE ELEVES'!$E$10:$E$250,AM184))</f>
        <v/>
      </c>
      <c r="AQ184" s="51" t="str">
        <f aca="false">IF(AN184="","",IFERROR(CHOOSE($P$8,INDEX('NOTES CE2-CM1'!$M$10:$M$250,MATCH(AN184,'NOTES CE2-CM1'!$B$10:$B$250,0)),INDEX('NOTES CE2-CM1'!$T$10:$T$250,MATCH(AN184,'NOTES CE2-CM1'!$B$10:$B$250,0)),INDEX('NOTES CE2-CM1'!$AA$10:$AA$250,MATCH(AN184,'NOTES CE2-CM1'!$B$10:$B$250,0)),INDEX('NOTES CE2-CM1'!$AH$10:$AH$250,MATCH(AN184,'NOTES CE2-CM1'!$B$10:$B$250,0))),""))</f>
        <v/>
      </c>
      <c r="AR184" s="51" t="str">
        <f aca="false">IF(ISNUMBER(AQ184),AQ184+(1000-64)/1000000,"")</f>
        <v/>
      </c>
      <c r="AS184" s="51" t="str">
        <f aca="false">IF(AN184="","",IFERROR(CHOOSE($P$8,INDEX('NOTES CE2-CM1'!$G$10:$G$250,MATCH(AN184,'NOTES CE2-CM1'!$B$10:$B$250,0)),INDEX('NOTES CE2-CM1'!$N$10:$N$250,MATCH(AN184,'NOTES CE2-CM1'!$B$10:$B$250,0)),INDEX('NOTES CE2-CM1'!$U$10:$U$250,MATCH(AN184,'NOTES CE2-CM1'!$B$10:$B$250,0)),INDEX('NOTES CE2-CM1'!$AB$10:$AB$250,MATCH(AN184,'NOTES CE2-CM1'!$B$10:$B$250,0))),""))</f>
        <v/>
      </c>
      <c r="AT184" s="51" t="str">
        <f aca="false">IFERROR(MATCH("CM1-64",'REGISTRE ELEVES'!$AG$10:$AG$250,0),"")</f>
        <v/>
      </c>
      <c r="AU184" s="51" t="str">
        <f aca="false">IF(AT184="","",INDEX('REGISTRE ELEVES'!$B$10:$B$250,AT184))</f>
        <v/>
      </c>
      <c r="AV184" s="51" t="str">
        <f aca="false">IF(AT184="","",INDEX('REGISTRE ELEVES'!$D$10:$D$250,AT184))</f>
        <v/>
      </c>
      <c r="AW184" s="51" t="str">
        <f aca="false">IF(AT184="","",INDEX('REGISTRE ELEVES'!$E$10:$E$250,AT184))</f>
        <v/>
      </c>
      <c r="AX184" s="51" t="str">
        <f aca="false">IF(AU184="","",IFERROR(CHOOSE($P$8,INDEX('NOTES CE2-CM1'!$M$10:$M$250,MATCH(AU184,'NOTES CE2-CM1'!$B$10:$B$250,0)),INDEX('NOTES CE2-CM1'!$T$10:$T$250,MATCH(AU184,'NOTES CE2-CM1'!$B$10:$B$250,0)),INDEX('NOTES CE2-CM1'!$AA$10:$AA$250,MATCH(AU184,'NOTES CE2-CM1'!$B$10:$B$250,0)),INDEX('NOTES CE2-CM1'!$AH$10:$AH$250,MATCH(AU184,'NOTES CE2-CM1'!$B$10:$B$250,0))),""))</f>
        <v/>
      </c>
      <c r="AY184" s="51" t="str">
        <f aca="false">IF(ISNUMBER(AX184),AX184+(1000-64)/1000000,"")</f>
        <v/>
      </c>
      <c r="AZ184" s="51" t="str">
        <f aca="false">IF(AU184="","",IFERROR(CHOOSE($P$8,INDEX('NOTES CE2-CM1'!$G$10:$G$250,MATCH(AU184,'NOTES CE2-CM1'!$B$10:$B$250,0)),INDEX('NOTES CE2-CM1'!$N$10:$N$250,MATCH(AU184,'NOTES CE2-CM1'!$B$10:$B$250,0)),INDEX('NOTES CE2-CM1'!$U$10:$U$250,MATCH(AU184,'NOTES CE2-CM1'!$B$10:$B$250,0)),INDEX('NOTES CE2-CM1'!$AB$10:$AB$250,MATCH(AU184,'NOTES CE2-CM1'!$B$10:$B$250,0))),""))</f>
        <v/>
      </c>
      <c r="BA184" s="51" t="str">
        <f aca="false">IFERROR(MATCH("CM2-64",'REGISTRE ELEVES'!$AG$10:$AG$250,0),"")</f>
        <v/>
      </c>
      <c r="BB184" s="51" t="str">
        <f aca="false">IF(BA184="","",INDEX('REGISTRE ELEVES'!$B$10:$B$250,BA184))</f>
        <v/>
      </c>
      <c r="BC184" s="51" t="str">
        <f aca="false">IF(BA184="","",INDEX('REGISTRE ELEVES'!$D$10:$D$250,BA184))</f>
        <v/>
      </c>
      <c r="BD184" s="51" t="str">
        <f aca="false">IF(BA184="","",INDEX('REGISTRE ELEVES'!$E$10:$E$250,BA184))</f>
        <v/>
      </c>
      <c r="BE184" s="51" t="str">
        <f aca="false">IF(BB184="","",IFERROR(CHOOSE($P$10,INDEX('NOTES CM2'!$M$10:$M$250,MATCH(BB184,'NOTES CM2'!$B$10:$B$250,0)),INDEX('NOTES CM2'!$T$10:$T$250,MATCH(BB184,'NOTES CM2'!$B$10:$B$250,0)),INDEX('NOTES CM2'!$AB$10:$AB$250,MATCH(BB184,'NOTES CM2'!$B$10:$B$250,0)),INDEX('NOTES CM2'!$AJ$10:$AJ$250,MATCH(BB184,'NOTES CM2'!$B$10:$B$250,0))),""))</f>
        <v/>
      </c>
      <c r="BF184" s="51" t="str">
        <f aca="false">IF(ISNUMBER(BE184),BE184+(1000-64)/1000000,"")</f>
        <v/>
      </c>
      <c r="BG184" s="51" t="str">
        <f aca="false">IF(BB184="","",IFERROR(CHOOSE($P$10,INDEX('NOTES CM2'!$G$10:$G$250,MATCH(BB184,'NOTES CM2'!$B$10:$B$250,0)),INDEX('NOTES CM2'!$N$10:$N$250,MATCH(BB184,'NOTES CM2'!$B$10:$B$250,0)),INDEX('NOTES CM2'!$U$10:$U$250,MATCH(BB184,'NOTES CM2'!$B$10:$B$250,0)),INDEX('NOTES CM2'!$AC$10:$AC$250,MATCH(BB184,'NOTES CM2'!$B$10:$B$250,0))),""))</f>
        <v/>
      </c>
    </row>
    <row r="185" customFormat="false" ht="15" hidden="false" customHeight="false" outlineLevel="0" collapsed="false">
      <c r="R185" s="51" t="str">
        <f aca="false">IFERROR(MATCH("CP1-65",'REGISTRE ELEVES'!$AG$10:$AG$250,0),"")</f>
        <v/>
      </c>
      <c r="S185" s="51" t="str">
        <f aca="false">IF(R185="","",INDEX('REGISTRE ELEVES'!$B$10:$B$250,R185))</f>
        <v/>
      </c>
      <c r="T185" s="51" t="str">
        <f aca="false">IF(R185="","",INDEX('REGISTRE ELEVES'!$D$10:$D$250,R185))</f>
        <v/>
      </c>
      <c r="U185" s="51" t="str">
        <f aca="false">IF(R185="","",INDEX('REGISTRE ELEVES'!$E$10:$E$250,R185))</f>
        <v/>
      </c>
      <c r="V185" s="51" t="str">
        <f aca="false">IF(S185="","",IFERROR(CHOOSE($P$8,INDEX('NOTES CP'!$P$10:$P$250,MATCH(S185,'NOTES CP'!$B$10:$B$250,0)),INDEX('NOTES CP'!$Z$10:$Z$250,MATCH(S185,'NOTES CP'!$B$10:$B$250,0)),INDEX('NOTES CP'!$AJ$10:$AJ$250,MATCH(S185,'NOTES CP'!$B$10:$B$250,0)),INDEX('NOTES CP'!$AT$10:$AT$250,MATCH(S185,'NOTES CP'!$B$10:$B$250,0))),""))</f>
        <v/>
      </c>
      <c r="W185" s="51" t="str">
        <f aca="false">IF(ISNUMBER(V185),V185+(1000-65)/1000000,"")</f>
        <v/>
      </c>
      <c r="X185" s="51" t="str">
        <f aca="false">IF(S185="","",IFERROR(CHOOSE($P$8,INDEX('NOTES CP'!$G$10:$G$250,MATCH(S185,'NOTES CP'!$B$10:$B$250,0)),INDEX('NOTES CP'!$Q$10:$Q$250,MATCH(S185,'NOTES CP'!$B$10:$B$250,0)),INDEX('NOTES CP'!$AA$10:$AA$250,MATCH(S185,'NOTES CP'!$B$10:$B$250,0)),INDEX('NOTES CP'!$AK$10:$AK$250,MATCH(S185,'NOTES CP'!$B$10:$B$250,0))),""))</f>
        <v/>
      </c>
      <c r="Y185" s="51" t="str">
        <f aca="false">IFERROR(MATCH("CP2-65",'REGISTRE ELEVES'!$AG$10:$AG$250,0),"")</f>
        <v/>
      </c>
      <c r="Z185" s="51" t="str">
        <f aca="false">IF(Y185="","",INDEX('REGISTRE ELEVES'!$B$10:$B$250,Y185))</f>
        <v/>
      </c>
      <c r="AA185" s="51" t="str">
        <f aca="false">IF(Y185="","",INDEX('REGISTRE ELEVES'!$D$10:$D$250,Y185))</f>
        <v/>
      </c>
      <c r="AB185" s="51" t="str">
        <f aca="false">IF(Y185="","",INDEX('REGISTRE ELEVES'!$E$10:$E$250,Y185))</f>
        <v/>
      </c>
      <c r="AC185" s="51" t="str">
        <f aca="false">IF(Z185="","",IFERROR(CHOOSE($P$8,INDEX('NOTES CP'!$P$10:$P$250,MATCH(Z185,'NOTES CP'!$B$10:$B$250,0)),INDEX('NOTES CP'!$Z$10:$Z$250,MATCH(Z185,'NOTES CP'!$B$10:$B$250,0)),INDEX('NOTES CP'!$AJ$10:$AJ$250,MATCH(Z185,'NOTES CP'!$B$10:$B$250,0)),INDEX('NOTES CP'!$AT$10:$AT$250,MATCH(Z185,'NOTES CP'!$B$10:$B$250,0))),""))</f>
        <v/>
      </c>
      <c r="AD185" s="51" t="str">
        <f aca="false">IF(ISNUMBER(AC185),AC185+(1000-65)/1000000,"")</f>
        <v/>
      </c>
      <c r="AE185" s="51" t="str">
        <f aca="false">IF(Z185="","",IFERROR(CHOOSE($P$8,INDEX('NOTES CP'!$G$10:$G$250,MATCH(Z185,'NOTES CP'!$B$10:$B$250,0)),INDEX('NOTES CP'!$Q$10:$Q$250,MATCH(Z185,'NOTES CP'!$B$10:$B$250,0)),INDEX('NOTES CP'!$AA$10:$AA$250,MATCH(Z185,'NOTES CP'!$B$10:$B$250,0)),INDEX('NOTES CP'!$AK$10:$AK$250,MATCH(Z185,'NOTES CP'!$B$10:$B$250,0))),""))</f>
        <v/>
      </c>
      <c r="AF185" s="51" t="str">
        <f aca="false">IFERROR(MATCH("CE1-65",'REGISTRE ELEVES'!$AG$10:$AG$250,0),"")</f>
        <v/>
      </c>
      <c r="AG185" s="51" t="str">
        <f aca="false">IF(AF185="","",INDEX('REGISTRE ELEVES'!$B$10:$B$250,AF185))</f>
        <v/>
      </c>
      <c r="AH185" s="51" t="str">
        <f aca="false">IF(AF185="","",INDEX('REGISTRE ELEVES'!$D$10:$D$250,AF185))</f>
        <v/>
      </c>
      <c r="AI185" s="51" t="str">
        <f aca="false">IF(AF185="","",INDEX('REGISTRE ELEVES'!$E$10:$E$250,AF185))</f>
        <v/>
      </c>
      <c r="AJ185" s="51" t="str">
        <f aca="false">IF(AG185="","",IFERROR(CHOOSE($P$8,INDEX('NOTES CE1'!$M$10:$M$250,MATCH(AG185,'NOTES CE1'!$B$10:$B$250,0)),INDEX('NOTES CE1'!$T$10:$T$250,MATCH(AG185,'NOTES CE1'!$B$10:$B$250,0)),INDEX('NOTES CE1'!$AA$10:$AA$250,MATCH(AG185,'NOTES CE1'!$B$10:$B$250,0)),INDEX('NOTES CE1'!$AH$10:$AH$250,MATCH(AG185,'NOTES CE1'!$B$10:$B$250,0))),""))</f>
        <v/>
      </c>
      <c r="AK185" s="51" t="str">
        <f aca="false">IF(ISNUMBER(AJ185),AJ185+(1000-65)/1000000,"")</f>
        <v/>
      </c>
      <c r="AL185" s="51" t="str">
        <f aca="false">IF(AG185="","",IFERROR(CHOOSE($P$8,INDEX('NOTES CE1'!$G$10:$G$250,MATCH(AG185,'NOTES CE1'!$B$10:$B$250,0)),INDEX('NOTES CE1'!$N$10:$N$250,MATCH(AG185,'NOTES CE1'!$B$10:$B$250,0)),INDEX('NOTES CE1'!$U$10:$U$250,MATCH(AG185,'NOTES CE1'!$B$10:$B$250,0)),INDEX('NOTES CE1'!$AB$10:$AB$250,MATCH(AG185,'NOTES CE1'!$B$10:$B$250,0))),""))</f>
        <v/>
      </c>
      <c r="AM185" s="51" t="str">
        <f aca="false">IFERROR(MATCH("CE2-65",'REGISTRE ELEVES'!$AG$10:$AG$250,0),"")</f>
        <v/>
      </c>
      <c r="AN185" s="51" t="str">
        <f aca="false">IF(AM185="","",INDEX('REGISTRE ELEVES'!$B$10:$B$250,AM185))</f>
        <v/>
      </c>
      <c r="AO185" s="51" t="str">
        <f aca="false">IF(AM185="","",INDEX('REGISTRE ELEVES'!$D$10:$D$250,AM185))</f>
        <v/>
      </c>
      <c r="AP185" s="51" t="str">
        <f aca="false">IF(AM185="","",INDEX('REGISTRE ELEVES'!$E$10:$E$250,AM185))</f>
        <v/>
      </c>
      <c r="AQ185" s="51" t="str">
        <f aca="false">IF(AN185="","",IFERROR(CHOOSE($P$8,INDEX('NOTES CE2-CM1'!$M$10:$M$250,MATCH(AN185,'NOTES CE2-CM1'!$B$10:$B$250,0)),INDEX('NOTES CE2-CM1'!$T$10:$T$250,MATCH(AN185,'NOTES CE2-CM1'!$B$10:$B$250,0)),INDEX('NOTES CE2-CM1'!$AA$10:$AA$250,MATCH(AN185,'NOTES CE2-CM1'!$B$10:$B$250,0)),INDEX('NOTES CE2-CM1'!$AH$10:$AH$250,MATCH(AN185,'NOTES CE2-CM1'!$B$10:$B$250,0))),""))</f>
        <v/>
      </c>
      <c r="AR185" s="51" t="str">
        <f aca="false">IF(ISNUMBER(AQ185),AQ185+(1000-65)/1000000,"")</f>
        <v/>
      </c>
      <c r="AS185" s="51" t="str">
        <f aca="false">IF(AN185="","",IFERROR(CHOOSE($P$8,INDEX('NOTES CE2-CM1'!$G$10:$G$250,MATCH(AN185,'NOTES CE2-CM1'!$B$10:$B$250,0)),INDEX('NOTES CE2-CM1'!$N$10:$N$250,MATCH(AN185,'NOTES CE2-CM1'!$B$10:$B$250,0)),INDEX('NOTES CE2-CM1'!$U$10:$U$250,MATCH(AN185,'NOTES CE2-CM1'!$B$10:$B$250,0)),INDEX('NOTES CE2-CM1'!$AB$10:$AB$250,MATCH(AN185,'NOTES CE2-CM1'!$B$10:$B$250,0))),""))</f>
        <v/>
      </c>
      <c r="AT185" s="51" t="str">
        <f aca="false">IFERROR(MATCH("CM1-65",'REGISTRE ELEVES'!$AG$10:$AG$250,0),"")</f>
        <v/>
      </c>
      <c r="AU185" s="51" t="str">
        <f aca="false">IF(AT185="","",INDEX('REGISTRE ELEVES'!$B$10:$B$250,AT185))</f>
        <v/>
      </c>
      <c r="AV185" s="51" t="str">
        <f aca="false">IF(AT185="","",INDEX('REGISTRE ELEVES'!$D$10:$D$250,AT185))</f>
        <v/>
      </c>
      <c r="AW185" s="51" t="str">
        <f aca="false">IF(AT185="","",INDEX('REGISTRE ELEVES'!$E$10:$E$250,AT185))</f>
        <v/>
      </c>
      <c r="AX185" s="51" t="str">
        <f aca="false">IF(AU185="","",IFERROR(CHOOSE($P$8,INDEX('NOTES CE2-CM1'!$M$10:$M$250,MATCH(AU185,'NOTES CE2-CM1'!$B$10:$B$250,0)),INDEX('NOTES CE2-CM1'!$T$10:$T$250,MATCH(AU185,'NOTES CE2-CM1'!$B$10:$B$250,0)),INDEX('NOTES CE2-CM1'!$AA$10:$AA$250,MATCH(AU185,'NOTES CE2-CM1'!$B$10:$B$250,0)),INDEX('NOTES CE2-CM1'!$AH$10:$AH$250,MATCH(AU185,'NOTES CE2-CM1'!$B$10:$B$250,0))),""))</f>
        <v/>
      </c>
      <c r="AY185" s="51" t="str">
        <f aca="false">IF(ISNUMBER(AX185),AX185+(1000-65)/1000000,"")</f>
        <v/>
      </c>
      <c r="AZ185" s="51" t="str">
        <f aca="false">IF(AU185="","",IFERROR(CHOOSE($P$8,INDEX('NOTES CE2-CM1'!$G$10:$G$250,MATCH(AU185,'NOTES CE2-CM1'!$B$10:$B$250,0)),INDEX('NOTES CE2-CM1'!$N$10:$N$250,MATCH(AU185,'NOTES CE2-CM1'!$B$10:$B$250,0)),INDEX('NOTES CE2-CM1'!$U$10:$U$250,MATCH(AU185,'NOTES CE2-CM1'!$B$10:$B$250,0)),INDEX('NOTES CE2-CM1'!$AB$10:$AB$250,MATCH(AU185,'NOTES CE2-CM1'!$B$10:$B$250,0))),""))</f>
        <v/>
      </c>
      <c r="BA185" s="51" t="str">
        <f aca="false">IFERROR(MATCH("CM2-65",'REGISTRE ELEVES'!$AG$10:$AG$250,0),"")</f>
        <v/>
      </c>
      <c r="BB185" s="51" t="str">
        <f aca="false">IF(BA185="","",INDEX('REGISTRE ELEVES'!$B$10:$B$250,BA185))</f>
        <v/>
      </c>
      <c r="BC185" s="51" t="str">
        <f aca="false">IF(BA185="","",INDEX('REGISTRE ELEVES'!$D$10:$D$250,BA185))</f>
        <v/>
      </c>
      <c r="BD185" s="51" t="str">
        <f aca="false">IF(BA185="","",INDEX('REGISTRE ELEVES'!$E$10:$E$250,BA185))</f>
        <v/>
      </c>
      <c r="BE185" s="51" t="str">
        <f aca="false">IF(BB185="","",IFERROR(CHOOSE($P$10,INDEX('NOTES CM2'!$M$10:$M$250,MATCH(BB185,'NOTES CM2'!$B$10:$B$250,0)),INDEX('NOTES CM2'!$T$10:$T$250,MATCH(BB185,'NOTES CM2'!$B$10:$B$250,0)),INDEX('NOTES CM2'!$AB$10:$AB$250,MATCH(BB185,'NOTES CM2'!$B$10:$B$250,0)),INDEX('NOTES CM2'!$AJ$10:$AJ$250,MATCH(BB185,'NOTES CM2'!$B$10:$B$250,0))),""))</f>
        <v/>
      </c>
      <c r="BF185" s="51" t="str">
        <f aca="false">IF(ISNUMBER(BE185),BE185+(1000-65)/1000000,"")</f>
        <v/>
      </c>
      <c r="BG185" s="51" t="str">
        <f aca="false">IF(BB185="","",IFERROR(CHOOSE($P$10,INDEX('NOTES CM2'!$G$10:$G$250,MATCH(BB185,'NOTES CM2'!$B$10:$B$250,0)),INDEX('NOTES CM2'!$N$10:$N$250,MATCH(BB185,'NOTES CM2'!$B$10:$B$250,0)),INDEX('NOTES CM2'!$U$10:$U$250,MATCH(BB185,'NOTES CM2'!$B$10:$B$250,0)),INDEX('NOTES CM2'!$AC$10:$AC$250,MATCH(BB185,'NOTES CM2'!$B$10:$B$250,0))),""))</f>
        <v/>
      </c>
    </row>
    <row r="186" customFormat="false" ht="15" hidden="false" customHeight="false" outlineLevel="0" collapsed="false">
      <c r="R186" s="51" t="str">
        <f aca="false">IFERROR(MATCH("CP1-66",'REGISTRE ELEVES'!$AG$10:$AG$250,0),"")</f>
        <v/>
      </c>
      <c r="S186" s="51" t="str">
        <f aca="false">IF(R186="","",INDEX('REGISTRE ELEVES'!$B$10:$B$250,R186))</f>
        <v/>
      </c>
      <c r="T186" s="51" t="str">
        <f aca="false">IF(R186="","",INDEX('REGISTRE ELEVES'!$D$10:$D$250,R186))</f>
        <v/>
      </c>
      <c r="U186" s="51" t="str">
        <f aca="false">IF(R186="","",INDEX('REGISTRE ELEVES'!$E$10:$E$250,R186))</f>
        <v/>
      </c>
      <c r="V186" s="51" t="str">
        <f aca="false">IF(S186="","",IFERROR(CHOOSE($P$8,INDEX('NOTES CP'!$P$10:$P$250,MATCH(S186,'NOTES CP'!$B$10:$B$250,0)),INDEX('NOTES CP'!$Z$10:$Z$250,MATCH(S186,'NOTES CP'!$B$10:$B$250,0)),INDEX('NOTES CP'!$AJ$10:$AJ$250,MATCH(S186,'NOTES CP'!$B$10:$B$250,0)),INDEX('NOTES CP'!$AT$10:$AT$250,MATCH(S186,'NOTES CP'!$B$10:$B$250,0))),""))</f>
        <v/>
      </c>
      <c r="W186" s="51" t="str">
        <f aca="false">IF(ISNUMBER(V186),V186+(1000-66)/1000000,"")</f>
        <v/>
      </c>
      <c r="X186" s="51" t="str">
        <f aca="false">IF(S186="","",IFERROR(CHOOSE($P$8,INDEX('NOTES CP'!$G$10:$G$250,MATCH(S186,'NOTES CP'!$B$10:$B$250,0)),INDEX('NOTES CP'!$Q$10:$Q$250,MATCH(S186,'NOTES CP'!$B$10:$B$250,0)),INDEX('NOTES CP'!$AA$10:$AA$250,MATCH(S186,'NOTES CP'!$B$10:$B$250,0)),INDEX('NOTES CP'!$AK$10:$AK$250,MATCH(S186,'NOTES CP'!$B$10:$B$250,0))),""))</f>
        <v/>
      </c>
      <c r="Y186" s="51" t="str">
        <f aca="false">IFERROR(MATCH("CP2-66",'REGISTRE ELEVES'!$AG$10:$AG$250,0),"")</f>
        <v/>
      </c>
      <c r="Z186" s="51" t="str">
        <f aca="false">IF(Y186="","",INDEX('REGISTRE ELEVES'!$B$10:$B$250,Y186))</f>
        <v/>
      </c>
      <c r="AA186" s="51" t="str">
        <f aca="false">IF(Y186="","",INDEX('REGISTRE ELEVES'!$D$10:$D$250,Y186))</f>
        <v/>
      </c>
      <c r="AB186" s="51" t="str">
        <f aca="false">IF(Y186="","",INDEX('REGISTRE ELEVES'!$E$10:$E$250,Y186))</f>
        <v/>
      </c>
      <c r="AC186" s="51" t="str">
        <f aca="false">IF(Z186="","",IFERROR(CHOOSE($P$8,INDEX('NOTES CP'!$P$10:$P$250,MATCH(Z186,'NOTES CP'!$B$10:$B$250,0)),INDEX('NOTES CP'!$Z$10:$Z$250,MATCH(Z186,'NOTES CP'!$B$10:$B$250,0)),INDEX('NOTES CP'!$AJ$10:$AJ$250,MATCH(Z186,'NOTES CP'!$B$10:$B$250,0)),INDEX('NOTES CP'!$AT$10:$AT$250,MATCH(Z186,'NOTES CP'!$B$10:$B$250,0))),""))</f>
        <v/>
      </c>
      <c r="AD186" s="51" t="str">
        <f aca="false">IF(ISNUMBER(AC186),AC186+(1000-66)/1000000,"")</f>
        <v/>
      </c>
      <c r="AE186" s="51" t="str">
        <f aca="false">IF(Z186="","",IFERROR(CHOOSE($P$8,INDEX('NOTES CP'!$G$10:$G$250,MATCH(Z186,'NOTES CP'!$B$10:$B$250,0)),INDEX('NOTES CP'!$Q$10:$Q$250,MATCH(Z186,'NOTES CP'!$B$10:$B$250,0)),INDEX('NOTES CP'!$AA$10:$AA$250,MATCH(Z186,'NOTES CP'!$B$10:$B$250,0)),INDEX('NOTES CP'!$AK$10:$AK$250,MATCH(Z186,'NOTES CP'!$B$10:$B$250,0))),""))</f>
        <v/>
      </c>
      <c r="AF186" s="51" t="str">
        <f aca="false">IFERROR(MATCH("CE1-66",'REGISTRE ELEVES'!$AG$10:$AG$250,0),"")</f>
        <v/>
      </c>
      <c r="AG186" s="51" t="str">
        <f aca="false">IF(AF186="","",INDEX('REGISTRE ELEVES'!$B$10:$B$250,AF186))</f>
        <v/>
      </c>
      <c r="AH186" s="51" t="str">
        <f aca="false">IF(AF186="","",INDEX('REGISTRE ELEVES'!$D$10:$D$250,AF186))</f>
        <v/>
      </c>
      <c r="AI186" s="51" t="str">
        <f aca="false">IF(AF186="","",INDEX('REGISTRE ELEVES'!$E$10:$E$250,AF186))</f>
        <v/>
      </c>
      <c r="AJ186" s="51" t="str">
        <f aca="false">IF(AG186="","",IFERROR(CHOOSE($P$8,INDEX('NOTES CE1'!$M$10:$M$250,MATCH(AG186,'NOTES CE1'!$B$10:$B$250,0)),INDEX('NOTES CE1'!$T$10:$T$250,MATCH(AG186,'NOTES CE1'!$B$10:$B$250,0)),INDEX('NOTES CE1'!$AA$10:$AA$250,MATCH(AG186,'NOTES CE1'!$B$10:$B$250,0)),INDEX('NOTES CE1'!$AH$10:$AH$250,MATCH(AG186,'NOTES CE1'!$B$10:$B$250,0))),""))</f>
        <v/>
      </c>
      <c r="AK186" s="51" t="str">
        <f aca="false">IF(ISNUMBER(AJ186),AJ186+(1000-66)/1000000,"")</f>
        <v/>
      </c>
      <c r="AL186" s="51" t="str">
        <f aca="false">IF(AG186="","",IFERROR(CHOOSE($P$8,INDEX('NOTES CE1'!$G$10:$G$250,MATCH(AG186,'NOTES CE1'!$B$10:$B$250,0)),INDEX('NOTES CE1'!$N$10:$N$250,MATCH(AG186,'NOTES CE1'!$B$10:$B$250,0)),INDEX('NOTES CE1'!$U$10:$U$250,MATCH(AG186,'NOTES CE1'!$B$10:$B$250,0)),INDEX('NOTES CE1'!$AB$10:$AB$250,MATCH(AG186,'NOTES CE1'!$B$10:$B$250,0))),""))</f>
        <v/>
      </c>
      <c r="AM186" s="51" t="str">
        <f aca="false">IFERROR(MATCH("CE2-66",'REGISTRE ELEVES'!$AG$10:$AG$250,0),"")</f>
        <v/>
      </c>
      <c r="AN186" s="51" t="str">
        <f aca="false">IF(AM186="","",INDEX('REGISTRE ELEVES'!$B$10:$B$250,AM186))</f>
        <v/>
      </c>
      <c r="AO186" s="51" t="str">
        <f aca="false">IF(AM186="","",INDEX('REGISTRE ELEVES'!$D$10:$D$250,AM186))</f>
        <v/>
      </c>
      <c r="AP186" s="51" t="str">
        <f aca="false">IF(AM186="","",INDEX('REGISTRE ELEVES'!$E$10:$E$250,AM186))</f>
        <v/>
      </c>
      <c r="AQ186" s="51" t="str">
        <f aca="false">IF(AN186="","",IFERROR(CHOOSE($P$8,INDEX('NOTES CE2-CM1'!$M$10:$M$250,MATCH(AN186,'NOTES CE2-CM1'!$B$10:$B$250,0)),INDEX('NOTES CE2-CM1'!$T$10:$T$250,MATCH(AN186,'NOTES CE2-CM1'!$B$10:$B$250,0)),INDEX('NOTES CE2-CM1'!$AA$10:$AA$250,MATCH(AN186,'NOTES CE2-CM1'!$B$10:$B$250,0)),INDEX('NOTES CE2-CM1'!$AH$10:$AH$250,MATCH(AN186,'NOTES CE2-CM1'!$B$10:$B$250,0))),""))</f>
        <v/>
      </c>
      <c r="AR186" s="51" t="str">
        <f aca="false">IF(ISNUMBER(AQ186),AQ186+(1000-66)/1000000,"")</f>
        <v/>
      </c>
      <c r="AS186" s="51" t="str">
        <f aca="false">IF(AN186="","",IFERROR(CHOOSE($P$8,INDEX('NOTES CE2-CM1'!$G$10:$G$250,MATCH(AN186,'NOTES CE2-CM1'!$B$10:$B$250,0)),INDEX('NOTES CE2-CM1'!$N$10:$N$250,MATCH(AN186,'NOTES CE2-CM1'!$B$10:$B$250,0)),INDEX('NOTES CE2-CM1'!$U$10:$U$250,MATCH(AN186,'NOTES CE2-CM1'!$B$10:$B$250,0)),INDEX('NOTES CE2-CM1'!$AB$10:$AB$250,MATCH(AN186,'NOTES CE2-CM1'!$B$10:$B$250,0))),""))</f>
        <v/>
      </c>
      <c r="AT186" s="51" t="str">
        <f aca="false">IFERROR(MATCH("CM1-66",'REGISTRE ELEVES'!$AG$10:$AG$250,0),"")</f>
        <v/>
      </c>
      <c r="AU186" s="51" t="str">
        <f aca="false">IF(AT186="","",INDEX('REGISTRE ELEVES'!$B$10:$B$250,AT186))</f>
        <v/>
      </c>
      <c r="AV186" s="51" t="str">
        <f aca="false">IF(AT186="","",INDEX('REGISTRE ELEVES'!$D$10:$D$250,AT186))</f>
        <v/>
      </c>
      <c r="AW186" s="51" t="str">
        <f aca="false">IF(AT186="","",INDEX('REGISTRE ELEVES'!$E$10:$E$250,AT186))</f>
        <v/>
      </c>
      <c r="AX186" s="51" t="str">
        <f aca="false">IF(AU186="","",IFERROR(CHOOSE($P$8,INDEX('NOTES CE2-CM1'!$M$10:$M$250,MATCH(AU186,'NOTES CE2-CM1'!$B$10:$B$250,0)),INDEX('NOTES CE2-CM1'!$T$10:$T$250,MATCH(AU186,'NOTES CE2-CM1'!$B$10:$B$250,0)),INDEX('NOTES CE2-CM1'!$AA$10:$AA$250,MATCH(AU186,'NOTES CE2-CM1'!$B$10:$B$250,0)),INDEX('NOTES CE2-CM1'!$AH$10:$AH$250,MATCH(AU186,'NOTES CE2-CM1'!$B$10:$B$250,0))),""))</f>
        <v/>
      </c>
      <c r="AY186" s="51" t="str">
        <f aca="false">IF(ISNUMBER(AX186),AX186+(1000-66)/1000000,"")</f>
        <v/>
      </c>
      <c r="AZ186" s="51" t="str">
        <f aca="false">IF(AU186="","",IFERROR(CHOOSE($P$8,INDEX('NOTES CE2-CM1'!$G$10:$G$250,MATCH(AU186,'NOTES CE2-CM1'!$B$10:$B$250,0)),INDEX('NOTES CE2-CM1'!$N$10:$N$250,MATCH(AU186,'NOTES CE2-CM1'!$B$10:$B$250,0)),INDEX('NOTES CE2-CM1'!$U$10:$U$250,MATCH(AU186,'NOTES CE2-CM1'!$B$10:$B$250,0)),INDEX('NOTES CE2-CM1'!$AB$10:$AB$250,MATCH(AU186,'NOTES CE2-CM1'!$B$10:$B$250,0))),""))</f>
        <v/>
      </c>
      <c r="BA186" s="51" t="str">
        <f aca="false">IFERROR(MATCH("CM2-66",'REGISTRE ELEVES'!$AG$10:$AG$250,0),"")</f>
        <v/>
      </c>
      <c r="BB186" s="51" t="str">
        <f aca="false">IF(BA186="","",INDEX('REGISTRE ELEVES'!$B$10:$B$250,BA186))</f>
        <v/>
      </c>
      <c r="BC186" s="51" t="str">
        <f aca="false">IF(BA186="","",INDEX('REGISTRE ELEVES'!$D$10:$D$250,BA186))</f>
        <v/>
      </c>
      <c r="BD186" s="51" t="str">
        <f aca="false">IF(BA186="","",INDEX('REGISTRE ELEVES'!$E$10:$E$250,BA186))</f>
        <v/>
      </c>
      <c r="BE186" s="51" t="str">
        <f aca="false">IF(BB186="","",IFERROR(CHOOSE($P$10,INDEX('NOTES CM2'!$M$10:$M$250,MATCH(BB186,'NOTES CM2'!$B$10:$B$250,0)),INDEX('NOTES CM2'!$T$10:$T$250,MATCH(BB186,'NOTES CM2'!$B$10:$B$250,0)),INDEX('NOTES CM2'!$AB$10:$AB$250,MATCH(BB186,'NOTES CM2'!$B$10:$B$250,0)),INDEX('NOTES CM2'!$AJ$10:$AJ$250,MATCH(BB186,'NOTES CM2'!$B$10:$B$250,0))),""))</f>
        <v/>
      </c>
      <c r="BF186" s="51" t="str">
        <f aca="false">IF(ISNUMBER(BE186),BE186+(1000-66)/1000000,"")</f>
        <v/>
      </c>
      <c r="BG186" s="51" t="str">
        <f aca="false">IF(BB186="","",IFERROR(CHOOSE($P$10,INDEX('NOTES CM2'!$G$10:$G$250,MATCH(BB186,'NOTES CM2'!$B$10:$B$250,0)),INDEX('NOTES CM2'!$N$10:$N$250,MATCH(BB186,'NOTES CM2'!$B$10:$B$250,0)),INDEX('NOTES CM2'!$U$10:$U$250,MATCH(BB186,'NOTES CM2'!$B$10:$B$250,0)),INDEX('NOTES CM2'!$AC$10:$AC$250,MATCH(BB186,'NOTES CM2'!$B$10:$B$250,0))),""))</f>
        <v/>
      </c>
    </row>
    <row r="187" customFormat="false" ht="15" hidden="false" customHeight="false" outlineLevel="0" collapsed="false">
      <c r="R187" s="51" t="str">
        <f aca="false">IFERROR(MATCH("CP1-67",'REGISTRE ELEVES'!$AG$10:$AG$250,0),"")</f>
        <v/>
      </c>
      <c r="S187" s="51" t="str">
        <f aca="false">IF(R187="","",INDEX('REGISTRE ELEVES'!$B$10:$B$250,R187))</f>
        <v/>
      </c>
      <c r="T187" s="51" t="str">
        <f aca="false">IF(R187="","",INDEX('REGISTRE ELEVES'!$D$10:$D$250,R187))</f>
        <v/>
      </c>
      <c r="U187" s="51" t="str">
        <f aca="false">IF(R187="","",INDEX('REGISTRE ELEVES'!$E$10:$E$250,R187))</f>
        <v/>
      </c>
      <c r="V187" s="51" t="str">
        <f aca="false">IF(S187="","",IFERROR(CHOOSE($P$8,INDEX('NOTES CP'!$P$10:$P$250,MATCH(S187,'NOTES CP'!$B$10:$B$250,0)),INDEX('NOTES CP'!$Z$10:$Z$250,MATCH(S187,'NOTES CP'!$B$10:$B$250,0)),INDEX('NOTES CP'!$AJ$10:$AJ$250,MATCH(S187,'NOTES CP'!$B$10:$B$250,0)),INDEX('NOTES CP'!$AT$10:$AT$250,MATCH(S187,'NOTES CP'!$B$10:$B$250,0))),""))</f>
        <v/>
      </c>
      <c r="W187" s="51" t="str">
        <f aca="false">IF(ISNUMBER(V187),V187+(1000-67)/1000000,"")</f>
        <v/>
      </c>
      <c r="X187" s="51" t="str">
        <f aca="false">IF(S187="","",IFERROR(CHOOSE($P$8,INDEX('NOTES CP'!$G$10:$G$250,MATCH(S187,'NOTES CP'!$B$10:$B$250,0)),INDEX('NOTES CP'!$Q$10:$Q$250,MATCH(S187,'NOTES CP'!$B$10:$B$250,0)),INDEX('NOTES CP'!$AA$10:$AA$250,MATCH(S187,'NOTES CP'!$B$10:$B$250,0)),INDEX('NOTES CP'!$AK$10:$AK$250,MATCH(S187,'NOTES CP'!$B$10:$B$250,0))),""))</f>
        <v/>
      </c>
      <c r="Y187" s="51" t="str">
        <f aca="false">IFERROR(MATCH("CP2-67",'REGISTRE ELEVES'!$AG$10:$AG$250,0),"")</f>
        <v/>
      </c>
      <c r="Z187" s="51" t="str">
        <f aca="false">IF(Y187="","",INDEX('REGISTRE ELEVES'!$B$10:$B$250,Y187))</f>
        <v/>
      </c>
      <c r="AA187" s="51" t="str">
        <f aca="false">IF(Y187="","",INDEX('REGISTRE ELEVES'!$D$10:$D$250,Y187))</f>
        <v/>
      </c>
      <c r="AB187" s="51" t="str">
        <f aca="false">IF(Y187="","",INDEX('REGISTRE ELEVES'!$E$10:$E$250,Y187))</f>
        <v/>
      </c>
      <c r="AC187" s="51" t="str">
        <f aca="false">IF(Z187="","",IFERROR(CHOOSE($P$8,INDEX('NOTES CP'!$P$10:$P$250,MATCH(Z187,'NOTES CP'!$B$10:$B$250,0)),INDEX('NOTES CP'!$Z$10:$Z$250,MATCH(Z187,'NOTES CP'!$B$10:$B$250,0)),INDEX('NOTES CP'!$AJ$10:$AJ$250,MATCH(Z187,'NOTES CP'!$B$10:$B$250,0)),INDEX('NOTES CP'!$AT$10:$AT$250,MATCH(Z187,'NOTES CP'!$B$10:$B$250,0))),""))</f>
        <v/>
      </c>
      <c r="AD187" s="51" t="str">
        <f aca="false">IF(ISNUMBER(AC187),AC187+(1000-67)/1000000,"")</f>
        <v/>
      </c>
      <c r="AE187" s="51" t="str">
        <f aca="false">IF(Z187="","",IFERROR(CHOOSE($P$8,INDEX('NOTES CP'!$G$10:$G$250,MATCH(Z187,'NOTES CP'!$B$10:$B$250,0)),INDEX('NOTES CP'!$Q$10:$Q$250,MATCH(Z187,'NOTES CP'!$B$10:$B$250,0)),INDEX('NOTES CP'!$AA$10:$AA$250,MATCH(Z187,'NOTES CP'!$B$10:$B$250,0)),INDEX('NOTES CP'!$AK$10:$AK$250,MATCH(Z187,'NOTES CP'!$B$10:$B$250,0))),""))</f>
        <v/>
      </c>
      <c r="AF187" s="51" t="str">
        <f aca="false">IFERROR(MATCH("CE1-67",'REGISTRE ELEVES'!$AG$10:$AG$250,0),"")</f>
        <v/>
      </c>
      <c r="AG187" s="51" t="str">
        <f aca="false">IF(AF187="","",INDEX('REGISTRE ELEVES'!$B$10:$B$250,AF187))</f>
        <v/>
      </c>
      <c r="AH187" s="51" t="str">
        <f aca="false">IF(AF187="","",INDEX('REGISTRE ELEVES'!$D$10:$D$250,AF187))</f>
        <v/>
      </c>
      <c r="AI187" s="51" t="str">
        <f aca="false">IF(AF187="","",INDEX('REGISTRE ELEVES'!$E$10:$E$250,AF187))</f>
        <v/>
      </c>
      <c r="AJ187" s="51" t="str">
        <f aca="false">IF(AG187="","",IFERROR(CHOOSE($P$8,INDEX('NOTES CE1'!$M$10:$M$250,MATCH(AG187,'NOTES CE1'!$B$10:$B$250,0)),INDEX('NOTES CE1'!$T$10:$T$250,MATCH(AG187,'NOTES CE1'!$B$10:$B$250,0)),INDEX('NOTES CE1'!$AA$10:$AA$250,MATCH(AG187,'NOTES CE1'!$B$10:$B$250,0)),INDEX('NOTES CE1'!$AH$10:$AH$250,MATCH(AG187,'NOTES CE1'!$B$10:$B$250,0))),""))</f>
        <v/>
      </c>
      <c r="AK187" s="51" t="str">
        <f aca="false">IF(ISNUMBER(AJ187),AJ187+(1000-67)/1000000,"")</f>
        <v/>
      </c>
      <c r="AL187" s="51" t="str">
        <f aca="false">IF(AG187="","",IFERROR(CHOOSE($P$8,INDEX('NOTES CE1'!$G$10:$G$250,MATCH(AG187,'NOTES CE1'!$B$10:$B$250,0)),INDEX('NOTES CE1'!$N$10:$N$250,MATCH(AG187,'NOTES CE1'!$B$10:$B$250,0)),INDEX('NOTES CE1'!$U$10:$U$250,MATCH(AG187,'NOTES CE1'!$B$10:$B$250,0)),INDEX('NOTES CE1'!$AB$10:$AB$250,MATCH(AG187,'NOTES CE1'!$B$10:$B$250,0))),""))</f>
        <v/>
      </c>
      <c r="AM187" s="51" t="str">
        <f aca="false">IFERROR(MATCH("CE2-67",'REGISTRE ELEVES'!$AG$10:$AG$250,0),"")</f>
        <v/>
      </c>
      <c r="AN187" s="51" t="str">
        <f aca="false">IF(AM187="","",INDEX('REGISTRE ELEVES'!$B$10:$B$250,AM187))</f>
        <v/>
      </c>
      <c r="AO187" s="51" t="str">
        <f aca="false">IF(AM187="","",INDEX('REGISTRE ELEVES'!$D$10:$D$250,AM187))</f>
        <v/>
      </c>
      <c r="AP187" s="51" t="str">
        <f aca="false">IF(AM187="","",INDEX('REGISTRE ELEVES'!$E$10:$E$250,AM187))</f>
        <v/>
      </c>
      <c r="AQ187" s="51" t="str">
        <f aca="false">IF(AN187="","",IFERROR(CHOOSE($P$8,INDEX('NOTES CE2-CM1'!$M$10:$M$250,MATCH(AN187,'NOTES CE2-CM1'!$B$10:$B$250,0)),INDEX('NOTES CE2-CM1'!$T$10:$T$250,MATCH(AN187,'NOTES CE2-CM1'!$B$10:$B$250,0)),INDEX('NOTES CE2-CM1'!$AA$10:$AA$250,MATCH(AN187,'NOTES CE2-CM1'!$B$10:$B$250,0)),INDEX('NOTES CE2-CM1'!$AH$10:$AH$250,MATCH(AN187,'NOTES CE2-CM1'!$B$10:$B$250,0))),""))</f>
        <v/>
      </c>
      <c r="AR187" s="51" t="str">
        <f aca="false">IF(ISNUMBER(AQ187),AQ187+(1000-67)/1000000,"")</f>
        <v/>
      </c>
      <c r="AS187" s="51" t="str">
        <f aca="false">IF(AN187="","",IFERROR(CHOOSE($P$8,INDEX('NOTES CE2-CM1'!$G$10:$G$250,MATCH(AN187,'NOTES CE2-CM1'!$B$10:$B$250,0)),INDEX('NOTES CE2-CM1'!$N$10:$N$250,MATCH(AN187,'NOTES CE2-CM1'!$B$10:$B$250,0)),INDEX('NOTES CE2-CM1'!$U$10:$U$250,MATCH(AN187,'NOTES CE2-CM1'!$B$10:$B$250,0)),INDEX('NOTES CE2-CM1'!$AB$10:$AB$250,MATCH(AN187,'NOTES CE2-CM1'!$B$10:$B$250,0))),""))</f>
        <v/>
      </c>
      <c r="AT187" s="51" t="str">
        <f aca="false">IFERROR(MATCH("CM1-67",'REGISTRE ELEVES'!$AG$10:$AG$250,0),"")</f>
        <v/>
      </c>
      <c r="AU187" s="51" t="str">
        <f aca="false">IF(AT187="","",INDEX('REGISTRE ELEVES'!$B$10:$B$250,AT187))</f>
        <v/>
      </c>
      <c r="AV187" s="51" t="str">
        <f aca="false">IF(AT187="","",INDEX('REGISTRE ELEVES'!$D$10:$D$250,AT187))</f>
        <v/>
      </c>
      <c r="AW187" s="51" t="str">
        <f aca="false">IF(AT187="","",INDEX('REGISTRE ELEVES'!$E$10:$E$250,AT187))</f>
        <v/>
      </c>
      <c r="AX187" s="51" t="str">
        <f aca="false">IF(AU187="","",IFERROR(CHOOSE($P$8,INDEX('NOTES CE2-CM1'!$M$10:$M$250,MATCH(AU187,'NOTES CE2-CM1'!$B$10:$B$250,0)),INDEX('NOTES CE2-CM1'!$T$10:$T$250,MATCH(AU187,'NOTES CE2-CM1'!$B$10:$B$250,0)),INDEX('NOTES CE2-CM1'!$AA$10:$AA$250,MATCH(AU187,'NOTES CE2-CM1'!$B$10:$B$250,0)),INDEX('NOTES CE2-CM1'!$AH$10:$AH$250,MATCH(AU187,'NOTES CE2-CM1'!$B$10:$B$250,0))),""))</f>
        <v/>
      </c>
      <c r="AY187" s="51" t="str">
        <f aca="false">IF(ISNUMBER(AX187),AX187+(1000-67)/1000000,"")</f>
        <v/>
      </c>
      <c r="AZ187" s="51" t="str">
        <f aca="false">IF(AU187="","",IFERROR(CHOOSE($P$8,INDEX('NOTES CE2-CM1'!$G$10:$G$250,MATCH(AU187,'NOTES CE2-CM1'!$B$10:$B$250,0)),INDEX('NOTES CE2-CM1'!$N$10:$N$250,MATCH(AU187,'NOTES CE2-CM1'!$B$10:$B$250,0)),INDEX('NOTES CE2-CM1'!$U$10:$U$250,MATCH(AU187,'NOTES CE2-CM1'!$B$10:$B$250,0)),INDEX('NOTES CE2-CM1'!$AB$10:$AB$250,MATCH(AU187,'NOTES CE2-CM1'!$B$10:$B$250,0))),""))</f>
        <v/>
      </c>
      <c r="BA187" s="51" t="str">
        <f aca="false">IFERROR(MATCH("CM2-67",'REGISTRE ELEVES'!$AG$10:$AG$250,0),"")</f>
        <v/>
      </c>
      <c r="BB187" s="51" t="str">
        <f aca="false">IF(BA187="","",INDEX('REGISTRE ELEVES'!$B$10:$B$250,BA187))</f>
        <v/>
      </c>
      <c r="BC187" s="51" t="str">
        <f aca="false">IF(BA187="","",INDEX('REGISTRE ELEVES'!$D$10:$D$250,BA187))</f>
        <v/>
      </c>
      <c r="BD187" s="51" t="str">
        <f aca="false">IF(BA187="","",INDEX('REGISTRE ELEVES'!$E$10:$E$250,BA187))</f>
        <v/>
      </c>
      <c r="BE187" s="51" t="str">
        <f aca="false">IF(BB187="","",IFERROR(CHOOSE($P$10,INDEX('NOTES CM2'!$M$10:$M$250,MATCH(BB187,'NOTES CM2'!$B$10:$B$250,0)),INDEX('NOTES CM2'!$T$10:$T$250,MATCH(BB187,'NOTES CM2'!$B$10:$B$250,0)),INDEX('NOTES CM2'!$AB$10:$AB$250,MATCH(BB187,'NOTES CM2'!$B$10:$B$250,0)),INDEX('NOTES CM2'!$AJ$10:$AJ$250,MATCH(BB187,'NOTES CM2'!$B$10:$B$250,0))),""))</f>
        <v/>
      </c>
      <c r="BF187" s="51" t="str">
        <f aca="false">IF(ISNUMBER(BE187),BE187+(1000-67)/1000000,"")</f>
        <v/>
      </c>
      <c r="BG187" s="51" t="str">
        <f aca="false">IF(BB187="","",IFERROR(CHOOSE($P$10,INDEX('NOTES CM2'!$G$10:$G$250,MATCH(BB187,'NOTES CM2'!$B$10:$B$250,0)),INDEX('NOTES CM2'!$N$10:$N$250,MATCH(BB187,'NOTES CM2'!$B$10:$B$250,0)),INDEX('NOTES CM2'!$U$10:$U$250,MATCH(BB187,'NOTES CM2'!$B$10:$B$250,0)),INDEX('NOTES CM2'!$AC$10:$AC$250,MATCH(BB187,'NOTES CM2'!$B$10:$B$250,0))),""))</f>
        <v/>
      </c>
    </row>
    <row r="188" customFormat="false" ht="15" hidden="false" customHeight="false" outlineLevel="0" collapsed="false">
      <c r="R188" s="51" t="str">
        <f aca="false">IFERROR(MATCH("CP1-68",'REGISTRE ELEVES'!$AG$10:$AG$250,0),"")</f>
        <v/>
      </c>
      <c r="S188" s="51" t="str">
        <f aca="false">IF(R188="","",INDEX('REGISTRE ELEVES'!$B$10:$B$250,R188))</f>
        <v/>
      </c>
      <c r="T188" s="51" t="str">
        <f aca="false">IF(R188="","",INDEX('REGISTRE ELEVES'!$D$10:$D$250,R188))</f>
        <v/>
      </c>
      <c r="U188" s="51" t="str">
        <f aca="false">IF(R188="","",INDEX('REGISTRE ELEVES'!$E$10:$E$250,R188))</f>
        <v/>
      </c>
      <c r="V188" s="51" t="str">
        <f aca="false">IF(S188="","",IFERROR(CHOOSE($P$8,INDEX('NOTES CP'!$P$10:$P$250,MATCH(S188,'NOTES CP'!$B$10:$B$250,0)),INDEX('NOTES CP'!$Z$10:$Z$250,MATCH(S188,'NOTES CP'!$B$10:$B$250,0)),INDEX('NOTES CP'!$AJ$10:$AJ$250,MATCH(S188,'NOTES CP'!$B$10:$B$250,0)),INDEX('NOTES CP'!$AT$10:$AT$250,MATCH(S188,'NOTES CP'!$B$10:$B$250,0))),""))</f>
        <v/>
      </c>
      <c r="W188" s="51" t="str">
        <f aca="false">IF(ISNUMBER(V188),V188+(1000-68)/1000000,"")</f>
        <v/>
      </c>
      <c r="X188" s="51" t="str">
        <f aca="false">IF(S188="","",IFERROR(CHOOSE($P$8,INDEX('NOTES CP'!$G$10:$G$250,MATCH(S188,'NOTES CP'!$B$10:$B$250,0)),INDEX('NOTES CP'!$Q$10:$Q$250,MATCH(S188,'NOTES CP'!$B$10:$B$250,0)),INDEX('NOTES CP'!$AA$10:$AA$250,MATCH(S188,'NOTES CP'!$B$10:$B$250,0)),INDEX('NOTES CP'!$AK$10:$AK$250,MATCH(S188,'NOTES CP'!$B$10:$B$250,0))),""))</f>
        <v/>
      </c>
      <c r="Y188" s="51" t="str">
        <f aca="false">IFERROR(MATCH("CP2-68",'REGISTRE ELEVES'!$AG$10:$AG$250,0),"")</f>
        <v/>
      </c>
      <c r="Z188" s="51" t="str">
        <f aca="false">IF(Y188="","",INDEX('REGISTRE ELEVES'!$B$10:$B$250,Y188))</f>
        <v/>
      </c>
      <c r="AA188" s="51" t="str">
        <f aca="false">IF(Y188="","",INDEX('REGISTRE ELEVES'!$D$10:$D$250,Y188))</f>
        <v/>
      </c>
      <c r="AB188" s="51" t="str">
        <f aca="false">IF(Y188="","",INDEX('REGISTRE ELEVES'!$E$10:$E$250,Y188))</f>
        <v/>
      </c>
      <c r="AC188" s="51" t="str">
        <f aca="false">IF(Z188="","",IFERROR(CHOOSE($P$8,INDEX('NOTES CP'!$P$10:$P$250,MATCH(Z188,'NOTES CP'!$B$10:$B$250,0)),INDEX('NOTES CP'!$Z$10:$Z$250,MATCH(Z188,'NOTES CP'!$B$10:$B$250,0)),INDEX('NOTES CP'!$AJ$10:$AJ$250,MATCH(Z188,'NOTES CP'!$B$10:$B$250,0)),INDEX('NOTES CP'!$AT$10:$AT$250,MATCH(Z188,'NOTES CP'!$B$10:$B$250,0))),""))</f>
        <v/>
      </c>
      <c r="AD188" s="51" t="str">
        <f aca="false">IF(ISNUMBER(AC188),AC188+(1000-68)/1000000,"")</f>
        <v/>
      </c>
      <c r="AE188" s="51" t="str">
        <f aca="false">IF(Z188="","",IFERROR(CHOOSE($P$8,INDEX('NOTES CP'!$G$10:$G$250,MATCH(Z188,'NOTES CP'!$B$10:$B$250,0)),INDEX('NOTES CP'!$Q$10:$Q$250,MATCH(Z188,'NOTES CP'!$B$10:$B$250,0)),INDEX('NOTES CP'!$AA$10:$AA$250,MATCH(Z188,'NOTES CP'!$B$10:$B$250,0)),INDEX('NOTES CP'!$AK$10:$AK$250,MATCH(Z188,'NOTES CP'!$B$10:$B$250,0))),""))</f>
        <v/>
      </c>
      <c r="AF188" s="51" t="str">
        <f aca="false">IFERROR(MATCH("CE1-68",'REGISTRE ELEVES'!$AG$10:$AG$250,0),"")</f>
        <v/>
      </c>
      <c r="AG188" s="51" t="str">
        <f aca="false">IF(AF188="","",INDEX('REGISTRE ELEVES'!$B$10:$B$250,AF188))</f>
        <v/>
      </c>
      <c r="AH188" s="51" t="str">
        <f aca="false">IF(AF188="","",INDEX('REGISTRE ELEVES'!$D$10:$D$250,AF188))</f>
        <v/>
      </c>
      <c r="AI188" s="51" t="str">
        <f aca="false">IF(AF188="","",INDEX('REGISTRE ELEVES'!$E$10:$E$250,AF188))</f>
        <v/>
      </c>
      <c r="AJ188" s="51" t="str">
        <f aca="false">IF(AG188="","",IFERROR(CHOOSE($P$8,INDEX('NOTES CE1'!$M$10:$M$250,MATCH(AG188,'NOTES CE1'!$B$10:$B$250,0)),INDEX('NOTES CE1'!$T$10:$T$250,MATCH(AG188,'NOTES CE1'!$B$10:$B$250,0)),INDEX('NOTES CE1'!$AA$10:$AA$250,MATCH(AG188,'NOTES CE1'!$B$10:$B$250,0)),INDEX('NOTES CE1'!$AH$10:$AH$250,MATCH(AG188,'NOTES CE1'!$B$10:$B$250,0))),""))</f>
        <v/>
      </c>
      <c r="AK188" s="51" t="str">
        <f aca="false">IF(ISNUMBER(AJ188),AJ188+(1000-68)/1000000,"")</f>
        <v/>
      </c>
      <c r="AL188" s="51" t="str">
        <f aca="false">IF(AG188="","",IFERROR(CHOOSE($P$8,INDEX('NOTES CE1'!$G$10:$G$250,MATCH(AG188,'NOTES CE1'!$B$10:$B$250,0)),INDEX('NOTES CE1'!$N$10:$N$250,MATCH(AG188,'NOTES CE1'!$B$10:$B$250,0)),INDEX('NOTES CE1'!$U$10:$U$250,MATCH(AG188,'NOTES CE1'!$B$10:$B$250,0)),INDEX('NOTES CE1'!$AB$10:$AB$250,MATCH(AG188,'NOTES CE1'!$B$10:$B$250,0))),""))</f>
        <v/>
      </c>
      <c r="AM188" s="51" t="str">
        <f aca="false">IFERROR(MATCH("CE2-68",'REGISTRE ELEVES'!$AG$10:$AG$250,0),"")</f>
        <v/>
      </c>
      <c r="AN188" s="51" t="str">
        <f aca="false">IF(AM188="","",INDEX('REGISTRE ELEVES'!$B$10:$B$250,AM188))</f>
        <v/>
      </c>
      <c r="AO188" s="51" t="str">
        <f aca="false">IF(AM188="","",INDEX('REGISTRE ELEVES'!$D$10:$D$250,AM188))</f>
        <v/>
      </c>
      <c r="AP188" s="51" t="str">
        <f aca="false">IF(AM188="","",INDEX('REGISTRE ELEVES'!$E$10:$E$250,AM188))</f>
        <v/>
      </c>
      <c r="AQ188" s="51" t="str">
        <f aca="false">IF(AN188="","",IFERROR(CHOOSE($P$8,INDEX('NOTES CE2-CM1'!$M$10:$M$250,MATCH(AN188,'NOTES CE2-CM1'!$B$10:$B$250,0)),INDEX('NOTES CE2-CM1'!$T$10:$T$250,MATCH(AN188,'NOTES CE2-CM1'!$B$10:$B$250,0)),INDEX('NOTES CE2-CM1'!$AA$10:$AA$250,MATCH(AN188,'NOTES CE2-CM1'!$B$10:$B$250,0)),INDEX('NOTES CE2-CM1'!$AH$10:$AH$250,MATCH(AN188,'NOTES CE2-CM1'!$B$10:$B$250,0))),""))</f>
        <v/>
      </c>
      <c r="AR188" s="51" t="str">
        <f aca="false">IF(ISNUMBER(AQ188),AQ188+(1000-68)/1000000,"")</f>
        <v/>
      </c>
      <c r="AS188" s="51" t="str">
        <f aca="false">IF(AN188="","",IFERROR(CHOOSE($P$8,INDEX('NOTES CE2-CM1'!$G$10:$G$250,MATCH(AN188,'NOTES CE2-CM1'!$B$10:$B$250,0)),INDEX('NOTES CE2-CM1'!$N$10:$N$250,MATCH(AN188,'NOTES CE2-CM1'!$B$10:$B$250,0)),INDEX('NOTES CE2-CM1'!$U$10:$U$250,MATCH(AN188,'NOTES CE2-CM1'!$B$10:$B$250,0)),INDEX('NOTES CE2-CM1'!$AB$10:$AB$250,MATCH(AN188,'NOTES CE2-CM1'!$B$10:$B$250,0))),""))</f>
        <v/>
      </c>
      <c r="AT188" s="51" t="str">
        <f aca="false">IFERROR(MATCH("CM1-68",'REGISTRE ELEVES'!$AG$10:$AG$250,0),"")</f>
        <v/>
      </c>
      <c r="AU188" s="51" t="str">
        <f aca="false">IF(AT188="","",INDEX('REGISTRE ELEVES'!$B$10:$B$250,AT188))</f>
        <v/>
      </c>
      <c r="AV188" s="51" t="str">
        <f aca="false">IF(AT188="","",INDEX('REGISTRE ELEVES'!$D$10:$D$250,AT188))</f>
        <v/>
      </c>
      <c r="AW188" s="51" t="str">
        <f aca="false">IF(AT188="","",INDEX('REGISTRE ELEVES'!$E$10:$E$250,AT188))</f>
        <v/>
      </c>
      <c r="AX188" s="51" t="str">
        <f aca="false">IF(AU188="","",IFERROR(CHOOSE($P$8,INDEX('NOTES CE2-CM1'!$M$10:$M$250,MATCH(AU188,'NOTES CE2-CM1'!$B$10:$B$250,0)),INDEX('NOTES CE2-CM1'!$T$10:$T$250,MATCH(AU188,'NOTES CE2-CM1'!$B$10:$B$250,0)),INDEX('NOTES CE2-CM1'!$AA$10:$AA$250,MATCH(AU188,'NOTES CE2-CM1'!$B$10:$B$250,0)),INDEX('NOTES CE2-CM1'!$AH$10:$AH$250,MATCH(AU188,'NOTES CE2-CM1'!$B$10:$B$250,0))),""))</f>
        <v/>
      </c>
      <c r="AY188" s="51" t="str">
        <f aca="false">IF(ISNUMBER(AX188),AX188+(1000-68)/1000000,"")</f>
        <v/>
      </c>
      <c r="AZ188" s="51" t="str">
        <f aca="false">IF(AU188="","",IFERROR(CHOOSE($P$8,INDEX('NOTES CE2-CM1'!$G$10:$G$250,MATCH(AU188,'NOTES CE2-CM1'!$B$10:$B$250,0)),INDEX('NOTES CE2-CM1'!$N$10:$N$250,MATCH(AU188,'NOTES CE2-CM1'!$B$10:$B$250,0)),INDEX('NOTES CE2-CM1'!$U$10:$U$250,MATCH(AU188,'NOTES CE2-CM1'!$B$10:$B$250,0)),INDEX('NOTES CE2-CM1'!$AB$10:$AB$250,MATCH(AU188,'NOTES CE2-CM1'!$B$10:$B$250,0))),""))</f>
        <v/>
      </c>
      <c r="BA188" s="51" t="str">
        <f aca="false">IFERROR(MATCH("CM2-68",'REGISTRE ELEVES'!$AG$10:$AG$250,0),"")</f>
        <v/>
      </c>
      <c r="BB188" s="51" t="str">
        <f aca="false">IF(BA188="","",INDEX('REGISTRE ELEVES'!$B$10:$B$250,BA188))</f>
        <v/>
      </c>
      <c r="BC188" s="51" t="str">
        <f aca="false">IF(BA188="","",INDEX('REGISTRE ELEVES'!$D$10:$D$250,BA188))</f>
        <v/>
      </c>
      <c r="BD188" s="51" t="str">
        <f aca="false">IF(BA188="","",INDEX('REGISTRE ELEVES'!$E$10:$E$250,BA188))</f>
        <v/>
      </c>
      <c r="BE188" s="51" t="str">
        <f aca="false">IF(BB188="","",IFERROR(CHOOSE($P$10,INDEX('NOTES CM2'!$M$10:$M$250,MATCH(BB188,'NOTES CM2'!$B$10:$B$250,0)),INDEX('NOTES CM2'!$T$10:$T$250,MATCH(BB188,'NOTES CM2'!$B$10:$B$250,0)),INDEX('NOTES CM2'!$AB$10:$AB$250,MATCH(BB188,'NOTES CM2'!$B$10:$B$250,0)),INDEX('NOTES CM2'!$AJ$10:$AJ$250,MATCH(BB188,'NOTES CM2'!$B$10:$B$250,0))),""))</f>
        <v/>
      </c>
      <c r="BF188" s="51" t="str">
        <f aca="false">IF(ISNUMBER(BE188),BE188+(1000-68)/1000000,"")</f>
        <v/>
      </c>
      <c r="BG188" s="51" t="str">
        <f aca="false">IF(BB188="","",IFERROR(CHOOSE($P$10,INDEX('NOTES CM2'!$G$10:$G$250,MATCH(BB188,'NOTES CM2'!$B$10:$B$250,0)),INDEX('NOTES CM2'!$N$10:$N$250,MATCH(BB188,'NOTES CM2'!$B$10:$B$250,0)),INDEX('NOTES CM2'!$U$10:$U$250,MATCH(BB188,'NOTES CM2'!$B$10:$B$250,0)),INDEX('NOTES CM2'!$AC$10:$AC$250,MATCH(BB188,'NOTES CM2'!$B$10:$B$250,0))),""))</f>
        <v/>
      </c>
    </row>
    <row r="189" customFormat="false" ht="15" hidden="false" customHeight="false" outlineLevel="0" collapsed="false">
      <c r="R189" s="51" t="str">
        <f aca="false">IFERROR(MATCH("CP1-69",'REGISTRE ELEVES'!$AG$10:$AG$250,0),"")</f>
        <v/>
      </c>
      <c r="S189" s="51" t="str">
        <f aca="false">IF(R189="","",INDEX('REGISTRE ELEVES'!$B$10:$B$250,R189))</f>
        <v/>
      </c>
      <c r="T189" s="51" t="str">
        <f aca="false">IF(R189="","",INDEX('REGISTRE ELEVES'!$D$10:$D$250,R189))</f>
        <v/>
      </c>
      <c r="U189" s="51" t="str">
        <f aca="false">IF(R189="","",INDEX('REGISTRE ELEVES'!$E$10:$E$250,R189))</f>
        <v/>
      </c>
      <c r="V189" s="51" t="str">
        <f aca="false">IF(S189="","",IFERROR(CHOOSE($P$8,INDEX('NOTES CP'!$P$10:$P$250,MATCH(S189,'NOTES CP'!$B$10:$B$250,0)),INDEX('NOTES CP'!$Z$10:$Z$250,MATCH(S189,'NOTES CP'!$B$10:$B$250,0)),INDEX('NOTES CP'!$AJ$10:$AJ$250,MATCH(S189,'NOTES CP'!$B$10:$B$250,0)),INDEX('NOTES CP'!$AT$10:$AT$250,MATCH(S189,'NOTES CP'!$B$10:$B$250,0))),""))</f>
        <v/>
      </c>
      <c r="W189" s="51" t="str">
        <f aca="false">IF(ISNUMBER(V189),V189+(1000-69)/1000000,"")</f>
        <v/>
      </c>
      <c r="X189" s="51" t="str">
        <f aca="false">IF(S189="","",IFERROR(CHOOSE($P$8,INDEX('NOTES CP'!$G$10:$G$250,MATCH(S189,'NOTES CP'!$B$10:$B$250,0)),INDEX('NOTES CP'!$Q$10:$Q$250,MATCH(S189,'NOTES CP'!$B$10:$B$250,0)),INDEX('NOTES CP'!$AA$10:$AA$250,MATCH(S189,'NOTES CP'!$B$10:$B$250,0)),INDEX('NOTES CP'!$AK$10:$AK$250,MATCH(S189,'NOTES CP'!$B$10:$B$250,0))),""))</f>
        <v/>
      </c>
      <c r="Y189" s="51" t="str">
        <f aca="false">IFERROR(MATCH("CP2-69",'REGISTRE ELEVES'!$AG$10:$AG$250,0),"")</f>
        <v/>
      </c>
      <c r="Z189" s="51" t="str">
        <f aca="false">IF(Y189="","",INDEX('REGISTRE ELEVES'!$B$10:$B$250,Y189))</f>
        <v/>
      </c>
      <c r="AA189" s="51" t="str">
        <f aca="false">IF(Y189="","",INDEX('REGISTRE ELEVES'!$D$10:$D$250,Y189))</f>
        <v/>
      </c>
      <c r="AB189" s="51" t="str">
        <f aca="false">IF(Y189="","",INDEX('REGISTRE ELEVES'!$E$10:$E$250,Y189))</f>
        <v/>
      </c>
      <c r="AC189" s="51" t="str">
        <f aca="false">IF(Z189="","",IFERROR(CHOOSE($P$8,INDEX('NOTES CP'!$P$10:$P$250,MATCH(Z189,'NOTES CP'!$B$10:$B$250,0)),INDEX('NOTES CP'!$Z$10:$Z$250,MATCH(Z189,'NOTES CP'!$B$10:$B$250,0)),INDEX('NOTES CP'!$AJ$10:$AJ$250,MATCH(Z189,'NOTES CP'!$B$10:$B$250,0)),INDEX('NOTES CP'!$AT$10:$AT$250,MATCH(Z189,'NOTES CP'!$B$10:$B$250,0))),""))</f>
        <v/>
      </c>
      <c r="AD189" s="51" t="str">
        <f aca="false">IF(ISNUMBER(AC189),AC189+(1000-69)/1000000,"")</f>
        <v/>
      </c>
      <c r="AE189" s="51" t="str">
        <f aca="false">IF(Z189="","",IFERROR(CHOOSE($P$8,INDEX('NOTES CP'!$G$10:$G$250,MATCH(Z189,'NOTES CP'!$B$10:$B$250,0)),INDEX('NOTES CP'!$Q$10:$Q$250,MATCH(Z189,'NOTES CP'!$B$10:$B$250,0)),INDEX('NOTES CP'!$AA$10:$AA$250,MATCH(Z189,'NOTES CP'!$B$10:$B$250,0)),INDEX('NOTES CP'!$AK$10:$AK$250,MATCH(Z189,'NOTES CP'!$B$10:$B$250,0))),""))</f>
        <v/>
      </c>
      <c r="AF189" s="51" t="str">
        <f aca="false">IFERROR(MATCH("CE1-69",'REGISTRE ELEVES'!$AG$10:$AG$250,0),"")</f>
        <v/>
      </c>
      <c r="AG189" s="51" t="str">
        <f aca="false">IF(AF189="","",INDEX('REGISTRE ELEVES'!$B$10:$B$250,AF189))</f>
        <v/>
      </c>
      <c r="AH189" s="51" t="str">
        <f aca="false">IF(AF189="","",INDEX('REGISTRE ELEVES'!$D$10:$D$250,AF189))</f>
        <v/>
      </c>
      <c r="AI189" s="51" t="str">
        <f aca="false">IF(AF189="","",INDEX('REGISTRE ELEVES'!$E$10:$E$250,AF189))</f>
        <v/>
      </c>
      <c r="AJ189" s="51" t="str">
        <f aca="false">IF(AG189="","",IFERROR(CHOOSE($P$8,INDEX('NOTES CE1'!$M$10:$M$250,MATCH(AG189,'NOTES CE1'!$B$10:$B$250,0)),INDEX('NOTES CE1'!$T$10:$T$250,MATCH(AG189,'NOTES CE1'!$B$10:$B$250,0)),INDEX('NOTES CE1'!$AA$10:$AA$250,MATCH(AG189,'NOTES CE1'!$B$10:$B$250,0)),INDEX('NOTES CE1'!$AH$10:$AH$250,MATCH(AG189,'NOTES CE1'!$B$10:$B$250,0))),""))</f>
        <v/>
      </c>
      <c r="AK189" s="51" t="str">
        <f aca="false">IF(ISNUMBER(AJ189),AJ189+(1000-69)/1000000,"")</f>
        <v/>
      </c>
      <c r="AL189" s="51" t="str">
        <f aca="false">IF(AG189="","",IFERROR(CHOOSE($P$8,INDEX('NOTES CE1'!$G$10:$G$250,MATCH(AG189,'NOTES CE1'!$B$10:$B$250,0)),INDEX('NOTES CE1'!$N$10:$N$250,MATCH(AG189,'NOTES CE1'!$B$10:$B$250,0)),INDEX('NOTES CE1'!$U$10:$U$250,MATCH(AG189,'NOTES CE1'!$B$10:$B$250,0)),INDEX('NOTES CE1'!$AB$10:$AB$250,MATCH(AG189,'NOTES CE1'!$B$10:$B$250,0))),""))</f>
        <v/>
      </c>
      <c r="AM189" s="51" t="str">
        <f aca="false">IFERROR(MATCH("CE2-69",'REGISTRE ELEVES'!$AG$10:$AG$250,0),"")</f>
        <v/>
      </c>
      <c r="AN189" s="51" t="str">
        <f aca="false">IF(AM189="","",INDEX('REGISTRE ELEVES'!$B$10:$B$250,AM189))</f>
        <v/>
      </c>
      <c r="AO189" s="51" t="str">
        <f aca="false">IF(AM189="","",INDEX('REGISTRE ELEVES'!$D$10:$D$250,AM189))</f>
        <v/>
      </c>
      <c r="AP189" s="51" t="str">
        <f aca="false">IF(AM189="","",INDEX('REGISTRE ELEVES'!$E$10:$E$250,AM189))</f>
        <v/>
      </c>
      <c r="AQ189" s="51" t="str">
        <f aca="false">IF(AN189="","",IFERROR(CHOOSE($P$8,INDEX('NOTES CE2-CM1'!$M$10:$M$250,MATCH(AN189,'NOTES CE2-CM1'!$B$10:$B$250,0)),INDEX('NOTES CE2-CM1'!$T$10:$T$250,MATCH(AN189,'NOTES CE2-CM1'!$B$10:$B$250,0)),INDEX('NOTES CE2-CM1'!$AA$10:$AA$250,MATCH(AN189,'NOTES CE2-CM1'!$B$10:$B$250,0)),INDEX('NOTES CE2-CM1'!$AH$10:$AH$250,MATCH(AN189,'NOTES CE2-CM1'!$B$10:$B$250,0))),""))</f>
        <v/>
      </c>
      <c r="AR189" s="51" t="str">
        <f aca="false">IF(ISNUMBER(AQ189),AQ189+(1000-69)/1000000,"")</f>
        <v/>
      </c>
      <c r="AS189" s="51" t="str">
        <f aca="false">IF(AN189="","",IFERROR(CHOOSE($P$8,INDEX('NOTES CE2-CM1'!$G$10:$G$250,MATCH(AN189,'NOTES CE2-CM1'!$B$10:$B$250,0)),INDEX('NOTES CE2-CM1'!$N$10:$N$250,MATCH(AN189,'NOTES CE2-CM1'!$B$10:$B$250,0)),INDEX('NOTES CE2-CM1'!$U$10:$U$250,MATCH(AN189,'NOTES CE2-CM1'!$B$10:$B$250,0)),INDEX('NOTES CE2-CM1'!$AB$10:$AB$250,MATCH(AN189,'NOTES CE2-CM1'!$B$10:$B$250,0))),""))</f>
        <v/>
      </c>
      <c r="AT189" s="51" t="str">
        <f aca="false">IFERROR(MATCH("CM1-69",'REGISTRE ELEVES'!$AG$10:$AG$250,0),"")</f>
        <v/>
      </c>
      <c r="AU189" s="51" t="str">
        <f aca="false">IF(AT189="","",INDEX('REGISTRE ELEVES'!$B$10:$B$250,AT189))</f>
        <v/>
      </c>
      <c r="AV189" s="51" t="str">
        <f aca="false">IF(AT189="","",INDEX('REGISTRE ELEVES'!$D$10:$D$250,AT189))</f>
        <v/>
      </c>
      <c r="AW189" s="51" t="str">
        <f aca="false">IF(AT189="","",INDEX('REGISTRE ELEVES'!$E$10:$E$250,AT189))</f>
        <v/>
      </c>
      <c r="AX189" s="51" t="str">
        <f aca="false">IF(AU189="","",IFERROR(CHOOSE($P$8,INDEX('NOTES CE2-CM1'!$M$10:$M$250,MATCH(AU189,'NOTES CE2-CM1'!$B$10:$B$250,0)),INDEX('NOTES CE2-CM1'!$T$10:$T$250,MATCH(AU189,'NOTES CE2-CM1'!$B$10:$B$250,0)),INDEX('NOTES CE2-CM1'!$AA$10:$AA$250,MATCH(AU189,'NOTES CE2-CM1'!$B$10:$B$250,0)),INDEX('NOTES CE2-CM1'!$AH$10:$AH$250,MATCH(AU189,'NOTES CE2-CM1'!$B$10:$B$250,0))),""))</f>
        <v/>
      </c>
      <c r="AY189" s="51" t="str">
        <f aca="false">IF(ISNUMBER(AX189),AX189+(1000-69)/1000000,"")</f>
        <v/>
      </c>
      <c r="AZ189" s="51" t="str">
        <f aca="false">IF(AU189="","",IFERROR(CHOOSE($P$8,INDEX('NOTES CE2-CM1'!$G$10:$G$250,MATCH(AU189,'NOTES CE2-CM1'!$B$10:$B$250,0)),INDEX('NOTES CE2-CM1'!$N$10:$N$250,MATCH(AU189,'NOTES CE2-CM1'!$B$10:$B$250,0)),INDEX('NOTES CE2-CM1'!$U$10:$U$250,MATCH(AU189,'NOTES CE2-CM1'!$B$10:$B$250,0)),INDEX('NOTES CE2-CM1'!$AB$10:$AB$250,MATCH(AU189,'NOTES CE2-CM1'!$B$10:$B$250,0))),""))</f>
        <v/>
      </c>
      <c r="BA189" s="51" t="str">
        <f aca="false">IFERROR(MATCH("CM2-69",'REGISTRE ELEVES'!$AG$10:$AG$250,0),"")</f>
        <v/>
      </c>
      <c r="BB189" s="51" t="str">
        <f aca="false">IF(BA189="","",INDEX('REGISTRE ELEVES'!$B$10:$B$250,BA189))</f>
        <v/>
      </c>
      <c r="BC189" s="51" t="str">
        <f aca="false">IF(BA189="","",INDEX('REGISTRE ELEVES'!$D$10:$D$250,BA189))</f>
        <v/>
      </c>
      <c r="BD189" s="51" t="str">
        <f aca="false">IF(BA189="","",INDEX('REGISTRE ELEVES'!$E$10:$E$250,BA189))</f>
        <v/>
      </c>
      <c r="BE189" s="51" t="str">
        <f aca="false">IF(BB189="","",IFERROR(CHOOSE($P$10,INDEX('NOTES CM2'!$M$10:$M$250,MATCH(BB189,'NOTES CM2'!$B$10:$B$250,0)),INDEX('NOTES CM2'!$T$10:$T$250,MATCH(BB189,'NOTES CM2'!$B$10:$B$250,0)),INDEX('NOTES CM2'!$AB$10:$AB$250,MATCH(BB189,'NOTES CM2'!$B$10:$B$250,0)),INDEX('NOTES CM2'!$AJ$10:$AJ$250,MATCH(BB189,'NOTES CM2'!$B$10:$B$250,0))),""))</f>
        <v/>
      </c>
      <c r="BF189" s="51" t="str">
        <f aca="false">IF(ISNUMBER(BE189),BE189+(1000-69)/1000000,"")</f>
        <v/>
      </c>
      <c r="BG189" s="51" t="str">
        <f aca="false">IF(BB189="","",IFERROR(CHOOSE($P$10,INDEX('NOTES CM2'!$G$10:$G$250,MATCH(BB189,'NOTES CM2'!$B$10:$B$250,0)),INDEX('NOTES CM2'!$N$10:$N$250,MATCH(BB189,'NOTES CM2'!$B$10:$B$250,0)),INDEX('NOTES CM2'!$U$10:$U$250,MATCH(BB189,'NOTES CM2'!$B$10:$B$250,0)),INDEX('NOTES CM2'!$AC$10:$AC$250,MATCH(BB189,'NOTES CM2'!$B$10:$B$250,0))),""))</f>
        <v/>
      </c>
    </row>
    <row r="190" customFormat="false" ht="15" hidden="false" customHeight="false" outlineLevel="0" collapsed="false">
      <c r="R190" s="51" t="str">
        <f aca="false">IFERROR(MATCH("CP1-70",'REGISTRE ELEVES'!$AG$10:$AG$250,0),"")</f>
        <v/>
      </c>
      <c r="S190" s="51" t="str">
        <f aca="false">IF(R190="","",INDEX('REGISTRE ELEVES'!$B$10:$B$250,R190))</f>
        <v/>
      </c>
      <c r="T190" s="51" t="str">
        <f aca="false">IF(R190="","",INDEX('REGISTRE ELEVES'!$D$10:$D$250,R190))</f>
        <v/>
      </c>
      <c r="U190" s="51" t="str">
        <f aca="false">IF(R190="","",INDEX('REGISTRE ELEVES'!$E$10:$E$250,R190))</f>
        <v/>
      </c>
      <c r="V190" s="51" t="str">
        <f aca="false">IF(S190="","",IFERROR(CHOOSE($P$8,INDEX('NOTES CP'!$P$10:$P$250,MATCH(S190,'NOTES CP'!$B$10:$B$250,0)),INDEX('NOTES CP'!$Z$10:$Z$250,MATCH(S190,'NOTES CP'!$B$10:$B$250,0)),INDEX('NOTES CP'!$AJ$10:$AJ$250,MATCH(S190,'NOTES CP'!$B$10:$B$250,0)),INDEX('NOTES CP'!$AT$10:$AT$250,MATCH(S190,'NOTES CP'!$B$10:$B$250,0))),""))</f>
        <v/>
      </c>
      <c r="W190" s="51" t="str">
        <f aca="false">IF(ISNUMBER(V190),V190+(1000-70)/1000000,"")</f>
        <v/>
      </c>
      <c r="X190" s="51" t="str">
        <f aca="false">IF(S190="","",IFERROR(CHOOSE($P$8,INDEX('NOTES CP'!$G$10:$G$250,MATCH(S190,'NOTES CP'!$B$10:$B$250,0)),INDEX('NOTES CP'!$Q$10:$Q$250,MATCH(S190,'NOTES CP'!$B$10:$B$250,0)),INDEX('NOTES CP'!$AA$10:$AA$250,MATCH(S190,'NOTES CP'!$B$10:$B$250,0)),INDEX('NOTES CP'!$AK$10:$AK$250,MATCH(S190,'NOTES CP'!$B$10:$B$250,0))),""))</f>
        <v/>
      </c>
      <c r="Y190" s="51" t="str">
        <f aca="false">IFERROR(MATCH("CP2-70",'REGISTRE ELEVES'!$AG$10:$AG$250,0),"")</f>
        <v/>
      </c>
      <c r="Z190" s="51" t="str">
        <f aca="false">IF(Y190="","",INDEX('REGISTRE ELEVES'!$B$10:$B$250,Y190))</f>
        <v/>
      </c>
      <c r="AA190" s="51" t="str">
        <f aca="false">IF(Y190="","",INDEX('REGISTRE ELEVES'!$D$10:$D$250,Y190))</f>
        <v/>
      </c>
      <c r="AB190" s="51" t="str">
        <f aca="false">IF(Y190="","",INDEX('REGISTRE ELEVES'!$E$10:$E$250,Y190))</f>
        <v/>
      </c>
      <c r="AC190" s="51" t="str">
        <f aca="false">IF(Z190="","",IFERROR(CHOOSE($P$8,INDEX('NOTES CP'!$P$10:$P$250,MATCH(Z190,'NOTES CP'!$B$10:$B$250,0)),INDEX('NOTES CP'!$Z$10:$Z$250,MATCH(Z190,'NOTES CP'!$B$10:$B$250,0)),INDEX('NOTES CP'!$AJ$10:$AJ$250,MATCH(Z190,'NOTES CP'!$B$10:$B$250,0)),INDEX('NOTES CP'!$AT$10:$AT$250,MATCH(Z190,'NOTES CP'!$B$10:$B$250,0))),""))</f>
        <v/>
      </c>
      <c r="AD190" s="51" t="str">
        <f aca="false">IF(ISNUMBER(AC190),AC190+(1000-70)/1000000,"")</f>
        <v/>
      </c>
      <c r="AE190" s="51" t="str">
        <f aca="false">IF(Z190="","",IFERROR(CHOOSE($P$8,INDEX('NOTES CP'!$G$10:$G$250,MATCH(Z190,'NOTES CP'!$B$10:$B$250,0)),INDEX('NOTES CP'!$Q$10:$Q$250,MATCH(Z190,'NOTES CP'!$B$10:$B$250,0)),INDEX('NOTES CP'!$AA$10:$AA$250,MATCH(Z190,'NOTES CP'!$B$10:$B$250,0)),INDEX('NOTES CP'!$AK$10:$AK$250,MATCH(Z190,'NOTES CP'!$B$10:$B$250,0))),""))</f>
        <v/>
      </c>
      <c r="AF190" s="51" t="str">
        <f aca="false">IFERROR(MATCH("CE1-70",'REGISTRE ELEVES'!$AG$10:$AG$250,0),"")</f>
        <v/>
      </c>
      <c r="AG190" s="51" t="str">
        <f aca="false">IF(AF190="","",INDEX('REGISTRE ELEVES'!$B$10:$B$250,AF190))</f>
        <v/>
      </c>
      <c r="AH190" s="51" t="str">
        <f aca="false">IF(AF190="","",INDEX('REGISTRE ELEVES'!$D$10:$D$250,AF190))</f>
        <v/>
      </c>
      <c r="AI190" s="51" t="str">
        <f aca="false">IF(AF190="","",INDEX('REGISTRE ELEVES'!$E$10:$E$250,AF190))</f>
        <v/>
      </c>
      <c r="AJ190" s="51" t="str">
        <f aca="false">IF(AG190="","",IFERROR(CHOOSE($P$8,INDEX('NOTES CE1'!$M$10:$M$250,MATCH(AG190,'NOTES CE1'!$B$10:$B$250,0)),INDEX('NOTES CE1'!$T$10:$T$250,MATCH(AG190,'NOTES CE1'!$B$10:$B$250,0)),INDEX('NOTES CE1'!$AA$10:$AA$250,MATCH(AG190,'NOTES CE1'!$B$10:$B$250,0)),INDEX('NOTES CE1'!$AH$10:$AH$250,MATCH(AG190,'NOTES CE1'!$B$10:$B$250,0))),""))</f>
        <v/>
      </c>
      <c r="AK190" s="51" t="str">
        <f aca="false">IF(ISNUMBER(AJ190),AJ190+(1000-70)/1000000,"")</f>
        <v/>
      </c>
      <c r="AL190" s="51" t="str">
        <f aca="false">IF(AG190="","",IFERROR(CHOOSE($P$8,INDEX('NOTES CE1'!$G$10:$G$250,MATCH(AG190,'NOTES CE1'!$B$10:$B$250,0)),INDEX('NOTES CE1'!$N$10:$N$250,MATCH(AG190,'NOTES CE1'!$B$10:$B$250,0)),INDEX('NOTES CE1'!$U$10:$U$250,MATCH(AG190,'NOTES CE1'!$B$10:$B$250,0)),INDEX('NOTES CE1'!$AB$10:$AB$250,MATCH(AG190,'NOTES CE1'!$B$10:$B$250,0))),""))</f>
        <v/>
      </c>
      <c r="AM190" s="51" t="str">
        <f aca="false">IFERROR(MATCH("CE2-70",'REGISTRE ELEVES'!$AG$10:$AG$250,0),"")</f>
        <v/>
      </c>
      <c r="AN190" s="51" t="str">
        <f aca="false">IF(AM190="","",INDEX('REGISTRE ELEVES'!$B$10:$B$250,AM190))</f>
        <v/>
      </c>
      <c r="AO190" s="51" t="str">
        <f aca="false">IF(AM190="","",INDEX('REGISTRE ELEVES'!$D$10:$D$250,AM190))</f>
        <v/>
      </c>
      <c r="AP190" s="51" t="str">
        <f aca="false">IF(AM190="","",INDEX('REGISTRE ELEVES'!$E$10:$E$250,AM190))</f>
        <v/>
      </c>
      <c r="AQ190" s="51" t="str">
        <f aca="false">IF(AN190="","",IFERROR(CHOOSE($P$8,INDEX('NOTES CE2-CM1'!$M$10:$M$250,MATCH(AN190,'NOTES CE2-CM1'!$B$10:$B$250,0)),INDEX('NOTES CE2-CM1'!$T$10:$T$250,MATCH(AN190,'NOTES CE2-CM1'!$B$10:$B$250,0)),INDEX('NOTES CE2-CM1'!$AA$10:$AA$250,MATCH(AN190,'NOTES CE2-CM1'!$B$10:$B$250,0)),INDEX('NOTES CE2-CM1'!$AH$10:$AH$250,MATCH(AN190,'NOTES CE2-CM1'!$B$10:$B$250,0))),""))</f>
        <v/>
      </c>
      <c r="AR190" s="51" t="str">
        <f aca="false">IF(ISNUMBER(AQ190),AQ190+(1000-70)/1000000,"")</f>
        <v/>
      </c>
      <c r="AS190" s="51" t="str">
        <f aca="false">IF(AN190="","",IFERROR(CHOOSE($P$8,INDEX('NOTES CE2-CM1'!$G$10:$G$250,MATCH(AN190,'NOTES CE2-CM1'!$B$10:$B$250,0)),INDEX('NOTES CE2-CM1'!$N$10:$N$250,MATCH(AN190,'NOTES CE2-CM1'!$B$10:$B$250,0)),INDEX('NOTES CE2-CM1'!$U$10:$U$250,MATCH(AN190,'NOTES CE2-CM1'!$B$10:$B$250,0)),INDEX('NOTES CE2-CM1'!$AB$10:$AB$250,MATCH(AN190,'NOTES CE2-CM1'!$B$10:$B$250,0))),""))</f>
        <v/>
      </c>
      <c r="AT190" s="51" t="str">
        <f aca="false">IFERROR(MATCH("CM1-70",'REGISTRE ELEVES'!$AG$10:$AG$250,0),"")</f>
        <v/>
      </c>
      <c r="AU190" s="51" t="str">
        <f aca="false">IF(AT190="","",INDEX('REGISTRE ELEVES'!$B$10:$B$250,AT190))</f>
        <v/>
      </c>
      <c r="AV190" s="51" t="str">
        <f aca="false">IF(AT190="","",INDEX('REGISTRE ELEVES'!$D$10:$D$250,AT190))</f>
        <v/>
      </c>
      <c r="AW190" s="51" t="str">
        <f aca="false">IF(AT190="","",INDEX('REGISTRE ELEVES'!$E$10:$E$250,AT190))</f>
        <v/>
      </c>
      <c r="AX190" s="51" t="str">
        <f aca="false">IF(AU190="","",IFERROR(CHOOSE($P$8,INDEX('NOTES CE2-CM1'!$M$10:$M$250,MATCH(AU190,'NOTES CE2-CM1'!$B$10:$B$250,0)),INDEX('NOTES CE2-CM1'!$T$10:$T$250,MATCH(AU190,'NOTES CE2-CM1'!$B$10:$B$250,0)),INDEX('NOTES CE2-CM1'!$AA$10:$AA$250,MATCH(AU190,'NOTES CE2-CM1'!$B$10:$B$250,0)),INDEX('NOTES CE2-CM1'!$AH$10:$AH$250,MATCH(AU190,'NOTES CE2-CM1'!$B$10:$B$250,0))),""))</f>
        <v/>
      </c>
      <c r="AY190" s="51" t="str">
        <f aca="false">IF(ISNUMBER(AX190),AX190+(1000-70)/1000000,"")</f>
        <v/>
      </c>
      <c r="AZ190" s="51" t="str">
        <f aca="false">IF(AU190="","",IFERROR(CHOOSE($P$8,INDEX('NOTES CE2-CM1'!$G$10:$G$250,MATCH(AU190,'NOTES CE2-CM1'!$B$10:$B$250,0)),INDEX('NOTES CE2-CM1'!$N$10:$N$250,MATCH(AU190,'NOTES CE2-CM1'!$B$10:$B$250,0)),INDEX('NOTES CE2-CM1'!$U$10:$U$250,MATCH(AU190,'NOTES CE2-CM1'!$B$10:$B$250,0)),INDEX('NOTES CE2-CM1'!$AB$10:$AB$250,MATCH(AU190,'NOTES CE2-CM1'!$B$10:$B$250,0))),""))</f>
        <v/>
      </c>
      <c r="BA190" s="51" t="str">
        <f aca="false">IFERROR(MATCH("CM2-70",'REGISTRE ELEVES'!$AG$10:$AG$250,0),"")</f>
        <v/>
      </c>
      <c r="BB190" s="51" t="str">
        <f aca="false">IF(BA190="","",INDEX('REGISTRE ELEVES'!$B$10:$B$250,BA190))</f>
        <v/>
      </c>
      <c r="BC190" s="51" t="str">
        <f aca="false">IF(BA190="","",INDEX('REGISTRE ELEVES'!$D$10:$D$250,BA190))</f>
        <v/>
      </c>
      <c r="BD190" s="51" t="str">
        <f aca="false">IF(BA190="","",INDEX('REGISTRE ELEVES'!$E$10:$E$250,BA190))</f>
        <v/>
      </c>
      <c r="BE190" s="51" t="str">
        <f aca="false">IF(BB190="","",IFERROR(CHOOSE($P$10,INDEX('NOTES CM2'!$M$10:$M$250,MATCH(BB190,'NOTES CM2'!$B$10:$B$250,0)),INDEX('NOTES CM2'!$T$10:$T$250,MATCH(BB190,'NOTES CM2'!$B$10:$B$250,0)),INDEX('NOTES CM2'!$AB$10:$AB$250,MATCH(BB190,'NOTES CM2'!$B$10:$B$250,0)),INDEX('NOTES CM2'!$AJ$10:$AJ$250,MATCH(BB190,'NOTES CM2'!$B$10:$B$250,0))),""))</f>
        <v/>
      </c>
      <c r="BF190" s="51" t="str">
        <f aca="false">IF(ISNUMBER(BE190),BE190+(1000-70)/1000000,"")</f>
        <v/>
      </c>
      <c r="BG190" s="51" t="str">
        <f aca="false">IF(BB190="","",IFERROR(CHOOSE($P$10,INDEX('NOTES CM2'!$G$10:$G$250,MATCH(BB190,'NOTES CM2'!$B$10:$B$250,0)),INDEX('NOTES CM2'!$N$10:$N$250,MATCH(BB190,'NOTES CM2'!$B$10:$B$250,0)),INDEX('NOTES CM2'!$U$10:$U$250,MATCH(BB190,'NOTES CM2'!$B$10:$B$250,0)),INDEX('NOTES CM2'!$AC$10:$AC$250,MATCH(BB190,'NOTES CM2'!$B$10:$B$250,0))),""))</f>
        <v/>
      </c>
    </row>
    <row r="191" customFormat="false" ht="15" hidden="false" customHeight="false" outlineLevel="0" collapsed="false">
      <c r="R191" s="51" t="str">
        <f aca="false">IFERROR(MATCH("CP1-71",'REGISTRE ELEVES'!$AG$10:$AG$250,0),"")</f>
        <v/>
      </c>
      <c r="S191" s="51" t="str">
        <f aca="false">IF(R191="","",INDEX('REGISTRE ELEVES'!$B$10:$B$250,R191))</f>
        <v/>
      </c>
      <c r="T191" s="51" t="str">
        <f aca="false">IF(R191="","",INDEX('REGISTRE ELEVES'!$D$10:$D$250,R191))</f>
        <v/>
      </c>
      <c r="U191" s="51" t="str">
        <f aca="false">IF(R191="","",INDEX('REGISTRE ELEVES'!$E$10:$E$250,R191))</f>
        <v/>
      </c>
      <c r="V191" s="51" t="str">
        <f aca="false">IF(S191="","",IFERROR(CHOOSE($P$8,INDEX('NOTES CP'!$P$10:$P$250,MATCH(S191,'NOTES CP'!$B$10:$B$250,0)),INDEX('NOTES CP'!$Z$10:$Z$250,MATCH(S191,'NOTES CP'!$B$10:$B$250,0)),INDEX('NOTES CP'!$AJ$10:$AJ$250,MATCH(S191,'NOTES CP'!$B$10:$B$250,0)),INDEX('NOTES CP'!$AT$10:$AT$250,MATCH(S191,'NOTES CP'!$B$10:$B$250,0))),""))</f>
        <v/>
      </c>
      <c r="W191" s="51" t="str">
        <f aca="false">IF(ISNUMBER(V191),V191+(1000-71)/1000000,"")</f>
        <v/>
      </c>
      <c r="X191" s="51" t="str">
        <f aca="false">IF(S191="","",IFERROR(CHOOSE($P$8,INDEX('NOTES CP'!$G$10:$G$250,MATCH(S191,'NOTES CP'!$B$10:$B$250,0)),INDEX('NOTES CP'!$Q$10:$Q$250,MATCH(S191,'NOTES CP'!$B$10:$B$250,0)),INDEX('NOTES CP'!$AA$10:$AA$250,MATCH(S191,'NOTES CP'!$B$10:$B$250,0)),INDEX('NOTES CP'!$AK$10:$AK$250,MATCH(S191,'NOTES CP'!$B$10:$B$250,0))),""))</f>
        <v/>
      </c>
      <c r="Y191" s="51" t="str">
        <f aca="false">IFERROR(MATCH("CP2-71",'REGISTRE ELEVES'!$AG$10:$AG$250,0),"")</f>
        <v/>
      </c>
      <c r="Z191" s="51" t="str">
        <f aca="false">IF(Y191="","",INDEX('REGISTRE ELEVES'!$B$10:$B$250,Y191))</f>
        <v/>
      </c>
      <c r="AA191" s="51" t="str">
        <f aca="false">IF(Y191="","",INDEX('REGISTRE ELEVES'!$D$10:$D$250,Y191))</f>
        <v/>
      </c>
      <c r="AB191" s="51" t="str">
        <f aca="false">IF(Y191="","",INDEX('REGISTRE ELEVES'!$E$10:$E$250,Y191))</f>
        <v/>
      </c>
      <c r="AC191" s="51" t="str">
        <f aca="false">IF(Z191="","",IFERROR(CHOOSE($P$8,INDEX('NOTES CP'!$P$10:$P$250,MATCH(Z191,'NOTES CP'!$B$10:$B$250,0)),INDEX('NOTES CP'!$Z$10:$Z$250,MATCH(Z191,'NOTES CP'!$B$10:$B$250,0)),INDEX('NOTES CP'!$AJ$10:$AJ$250,MATCH(Z191,'NOTES CP'!$B$10:$B$250,0)),INDEX('NOTES CP'!$AT$10:$AT$250,MATCH(Z191,'NOTES CP'!$B$10:$B$250,0))),""))</f>
        <v/>
      </c>
      <c r="AD191" s="51" t="str">
        <f aca="false">IF(ISNUMBER(AC191),AC191+(1000-71)/1000000,"")</f>
        <v/>
      </c>
      <c r="AE191" s="51" t="str">
        <f aca="false">IF(Z191="","",IFERROR(CHOOSE($P$8,INDEX('NOTES CP'!$G$10:$G$250,MATCH(Z191,'NOTES CP'!$B$10:$B$250,0)),INDEX('NOTES CP'!$Q$10:$Q$250,MATCH(Z191,'NOTES CP'!$B$10:$B$250,0)),INDEX('NOTES CP'!$AA$10:$AA$250,MATCH(Z191,'NOTES CP'!$B$10:$B$250,0)),INDEX('NOTES CP'!$AK$10:$AK$250,MATCH(Z191,'NOTES CP'!$B$10:$B$250,0))),""))</f>
        <v/>
      </c>
      <c r="AF191" s="51" t="str">
        <f aca="false">IFERROR(MATCH("CE1-71",'REGISTRE ELEVES'!$AG$10:$AG$250,0),"")</f>
        <v/>
      </c>
      <c r="AG191" s="51" t="str">
        <f aca="false">IF(AF191="","",INDEX('REGISTRE ELEVES'!$B$10:$B$250,AF191))</f>
        <v/>
      </c>
      <c r="AH191" s="51" t="str">
        <f aca="false">IF(AF191="","",INDEX('REGISTRE ELEVES'!$D$10:$D$250,AF191))</f>
        <v/>
      </c>
      <c r="AI191" s="51" t="str">
        <f aca="false">IF(AF191="","",INDEX('REGISTRE ELEVES'!$E$10:$E$250,AF191))</f>
        <v/>
      </c>
      <c r="AJ191" s="51" t="str">
        <f aca="false">IF(AG191="","",IFERROR(CHOOSE($P$8,INDEX('NOTES CE1'!$M$10:$M$250,MATCH(AG191,'NOTES CE1'!$B$10:$B$250,0)),INDEX('NOTES CE1'!$T$10:$T$250,MATCH(AG191,'NOTES CE1'!$B$10:$B$250,0)),INDEX('NOTES CE1'!$AA$10:$AA$250,MATCH(AG191,'NOTES CE1'!$B$10:$B$250,0)),INDEX('NOTES CE1'!$AH$10:$AH$250,MATCH(AG191,'NOTES CE1'!$B$10:$B$250,0))),""))</f>
        <v/>
      </c>
      <c r="AK191" s="51" t="str">
        <f aca="false">IF(ISNUMBER(AJ191),AJ191+(1000-71)/1000000,"")</f>
        <v/>
      </c>
      <c r="AL191" s="51" t="str">
        <f aca="false">IF(AG191="","",IFERROR(CHOOSE($P$8,INDEX('NOTES CE1'!$G$10:$G$250,MATCH(AG191,'NOTES CE1'!$B$10:$B$250,0)),INDEX('NOTES CE1'!$N$10:$N$250,MATCH(AG191,'NOTES CE1'!$B$10:$B$250,0)),INDEX('NOTES CE1'!$U$10:$U$250,MATCH(AG191,'NOTES CE1'!$B$10:$B$250,0)),INDEX('NOTES CE1'!$AB$10:$AB$250,MATCH(AG191,'NOTES CE1'!$B$10:$B$250,0))),""))</f>
        <v/>
      </c>
      <c r="AM191" s="51" t="str">
        <f aca="false">IFERROR(MATCH("CE2-71",'REGISTRE ELEVES'!$AG$10:$AG$250,0),"")</f>
        <v/>
      </c>
      <c r="AN191" s="51" t="str">
        <f aca="false">IF(AM191="","",INDEX('REGISTRE ELEVES'!$B$10:$B$250,AM191))</f>
        <v/>
      </c>
      <c r="AO191" s="51" t="str">
        <f aca="false">IF(AM191="","",INDEX('REGISTRE ELEVES'!$D$10:$D$250,AM191))</f>
        <v/>
      </c>
      <c r="AP191" s="51" t="str">
        <f aca="false">IF(AM191="","",INDEX('REGISTRE ELEVES'!$E$10:$E$250,AM191))</f>
        <v/>
      </c>
      <c r="AQ191" s="51" t="str">
        <f aca="false">IF(AN191="","",IFERROR(CHOOSE($P$8,INDEX('NOTES CE2-CM1'!$M$10:$M$250,MATCH(AN191,'NOTES CE2-CM1'!$B$10:$B$250,0)),INDEX('NOTES CE2-CM1'!$T$10:$T$250,MATCH(AN191,'NOTES CE2-CM1'!$B$10:$B$250,0)),INDEX('NOTES CE2-CM1'!$AA$10:$AA$250,MATCH(AN191,'NOTES CE2-CM1'!$B$10:$B$250,0)),INDEX('NOTES CE2-CM1'!$AH$10:$AH$250,MATCH(AN191,'NOTES CE2-CM1'!$B$10:$B$250,0))),""))</f>
        <v/>
      </c>
      <c r="AR191" s="51" t="str">
        <f aca="false">IF(ISNUMBER(AQ191),AQ191+(1000-71)/1000000,"")</f>
        <v/>
      </c>
      <c r="AS191" s="51" t="str">
        <f aca="false">IF(AN191="","",IFERROR(CHOOSE($P$8,INDEX('NOTES CE2-CM1'!$G$10:$G$250,MATCH(AN191,'NOTES CE2-CM1'!$B$10:$B$250,0)),INDEX('NOTES CE2-CM1'!$N$10:$N$250,MATCH(AN191,'NOTES CE2-CM1'!$B$10:$B$250,0)),INDEX('NOTES CE2-CM1'!$U$10:$U$250,MATCH(AN191,'NOTES CE2-CM1'!$B$10:$B$250,0)),INDEX('NOTES CE2-CM1'!$AB$10:$AB$250,MATCH(AN191,'NOTES CE2-CM1'!$B$10:$B$250,0))),""))</f>
        <v/>
      </c>
      <c r="AT191" s="51" t="str">
        <f aca="false">IFERROR(MATCH("CM1-71",'REGISTRE ELEVES'!$AG$10:$AG$250,0),"")</f>
        <v/>
      </c>
      <c r="AU191" s="51" t="str">
        <f aca="false">IF(AT191="","",INDEX('REGISTRE ELEVES'!$B$10:$B$250,AT191))</f>
        <v/>
      </c>
      <c r="AV191" s="51" t="str">
        <f aca="false">IF(AT191="","",INDEX('REGISTRE ELEVES'!$D$10:$D$250,AT191))</f>
        <v/>
      </c>
      <c r="AW191" s="51" t="str">
        <f aca="false">IF(AT191="","",INDEX('REGISTRE ELEVES'!$E$10:$E$250,AT191))</f>
        <v/>
      </c>
      <c r="AX191" s="51" t="str">
        <f aca="false">IF(AU191="","",IFERROR(CHOOSE($P$8,INDEX('NOTES CE2-CM1'!$M$10:$M$250,MATCH(AU191,'NOTES CE2-CM1'!$B$10:$B$250,0)),INDEX('NOTES CE2-CM1'!$T$10:$T$250,MATCH(AU191,'NOTES CE2-CM1'!$B$10:$B$250,0)),INDEX('NOTES CE2-CM1'!$AA$10:$AA$250,MATCH(AU191,'NOTES CE2-CM1'!$B$10:$B$250,0)),INDEX('NOTES CE2-CM1'!$AH$10:$AH$250,MATCH(AU191,'NOTES CE2-CM1'!$B$10:$B$250,0))),""))</f>
        <v/>
      </c>
      <c r="AY191" s="51" t="str">
        <f aca="false">IF(ISNUMBER(AX191),AX191+(1000-71)/1000000,"")</f>
        <v/>
      </c>
      <c r="AZ191" s="51" t="str">
        <f aca="false">IF(AU191="","",IFERROR(CHOOSE($P$8,INDEX('NOTES CE2-CM1'!$G$10:$G$250,MATCH(AU191,'NOTES CE2-CM1'!$B$10:$B$250,0)),INDEX('NOTES CE2-CM1'!$N$10:$N$250,MATCH(AU191,'NOTES CE2-CM1'!$B$10:$B$250,0)),INDEX('NOTES CE2-CM1'!$U$10:$U$250,MATCH(AU191,'NOTES CE2-CM1'!$B$10:$B$250,0)),INDEX('NOTES CE2-CM1'!$AB$10:$AB$250,MATCH(AU191,'NOTES CE2-CM1'!$B$10:$B$250,0))),""))</f>
        <v/>
      </c>
      <c r="BA191" s="51" t="str">
        <f aca="false">IFERROR(MATCH("CM2-71",'REGISTRE ELEVES'!$AG$10:$AG$250,0),"")</f>
        <v/>
      </c>
      <c r="BB191" s="51" t="str">
        <f aca="false">IF(BA191="","",INDEX('REGISTRE ELEVES'!$B$10:$B$250,BA191))</f>
        <v/>
      </c>
      <c r="BC191" s="51" t="str">
        <f aca="false">IF(BA191="","",INDEX('REGISTRE ELEVES'!$D$10:$D$250,BA191))</f>
        <v/>
      </c>
      <c r="BD191" s="51" t="str">
        <f aca="false">IF(BA191="","",INDEX('REGISTRE ELEVES'!$E$10:$E$250,BA191))</f>
        <v/>
      </c>
      <c r="BE191" s="51" t="str">
        <f aca="false">IF(BB191="","",IFERROR(CHOOSE($P$10,INDEX('NOTES CM2'!$M$10:$M$250,MATCH(BB191,'NOTES CM2'!$B$10:$B$250,0)),INDEX('NOTES CM2'!$T$10:$T$250,MATCH(BB191,'NOTES CM2'!$B$10:$B$250,0)),INDEX('NOTES CM2'!$AB$10:$AB$250,MATCH(BB191,'NOTES CM2'!$B$10:$B$250,0)),INDEX('NOTES CM2'!$AJ$10:$AJ$250,MATCH(BB191,'NOTES CM2'!$B$10:$B$250,0))),""))</f>
        <v/>
      </c>
      <c r="BF191" s="51" t="str">
        <f aca="false">IF(ISNUMBER(BE191),BE191+(1000-71)/1000000,"")</f>
        <v/>
      </c>
      <c r="BG191" s="51" t="str">
        <f aca="false">IF(BB191="","",IFERROR(CHOOSE($P$10,INDEX('NOTES CM2'!$G$10:$G$250,MATCH(BB191,'NOTES CM2'!$B$10:$B$250,0)),INDEX('NOTES CM2'!$N$10:$N$250,MATCH(BB191,'NOTES CM2'!$B$10:$B$250,0)),INDEX('NOTES CM2'!$U$10:$U$250,MATCH(BB191,'NOTES CM2'!$B$10:$B$250,0)),INDEX('NOTES CM2'!$AC$10:$AC$250,MATCH(BB191,'NOTES CM2'!$B$10:$B$250,0))),""))</f>
        <v/>
      </c>
    </row>
    <row r="192" customFormat="false" ht="15" hidden="false" customHeight="false" outlineLevel="0" collapsed="false">
      <c r="R192" s="51" t="str">
        <f aca="false">IFERROR(MATCH("CP1-72",'REGISTRE ELEVES'!$AG$10:$AG$250,0),"")</f>
        <v/>
      </c>
      <c r="S192" s="51" t="str">
        <f aca="false">IF(R192="","",INDEX('REGISTRE ELEVES'!$B$10:$B$250,R192))</f>
        <v/>
      </c>
      <c r="T192" s="51" t="str">
        <f aca="false">IF(R192="","",INDEX('REGISTRE ELEVES'!$D$10:$D$250,R192))</f>
        <v/>
      </c>
      <c r="U192" s="51" t="str">
        <f aca="false">IF(R192="","",INDEX('REGISTRE ELEVES'!$E$10:$E$250,R192))</f>
        <v/>
      </c>
      <c r="V192" s="51" t="str">
        <f aca="false">IF(S192="","",IFERROR(CHOOSE($P$8,INDEX('NOTES CP'!$P$10:$P$250,MATCH(S192,'NOTES CP'!$B$10:$B$250,0)),INDEX('NOTES CP'!$Z$10:$Z$250,MATCH(S192,'NOTES CP'!$B$10:$B$250,0)),INDEX('NOTES CP'!$AJ$10:$AJ$250,MATCH(S192,'NOTES CP'!$B$10:$B$250,0)),INDEX('NOTES CP'!$AT$10:$AT$250,MATCH(S192,'NOTES CP'!$B$10:$B$250,0))),""))</f>
        <v/>
      </c>
      <c r="W192" s="51" t="str">
        <f aca="false">IF(ISNUMBER(V192),V192+(1000-72)/1000000,"")</f>
        <v/>
      </c>
      <c r="X192" s="51" t="str">
        <f aca="false">IF(S192="","",IFERROR(CHOOSE($P$8,INDEX('NOTES CP'!$G$10:$G$250,MATCH(S192,'NOTES CP'!$B$10:$B$250,0)),INDEX('NOTES CP'!$Q$10:$Q$250,MATCH(S192,'NOTES CP'!$B$10:$B$250,0)),INDEX('NOTES CP'!$AA$10:$AA$250,MATCH(S192,'NOTES CP'!$B$10:$B$250,0)),INDEX('NOTES CP'!$AK$10:$AK$250,MATCH(S192,'NOTES CP'!$B$10:$B$250,0))),""))</f>
        <v/>
      </c>
      <c r="Y192" s="51" t="str">
        <f aca="false">IFERROR(MATCH("CP2-72",'REGISTRE ELEVES'!$AG$10:$AG$250,0),"")</f>
        <v/>
      </c>
      <c r="Z192" s="51" t="str">
        <f aca="false">IF(Y192="","",INDEX('REGISTRE ELEVES'!$B$10:$B$250,Y192))</f>
        <v/>
      </c>
      <c r="AA192" s="51" t="str">
        <f aca="false">IF(Y192="","",INDEX('REGISTRE ELEVES'!$D$10:$D$250,Y192))</f>
        <v/>
      </c>
      <c r="AB192" s="51" t="str">
        <f aca="false">IF(Y192="","",INDEX('REGISTRE ELEVES'!$E$10:$E$250,Y192))</f>
        <v/>
      </c>
      <c r="AC192" s="51" t="str">
        <f aca="false">IF(Z192="","",IFERROR(CHOOSE($P$8,INDEX('NOTES CP'!$P$10:$P$250,MATCH(Z192,'NOTES CP'!$B$10:$B$250,0)),INDEX('NOTES CP'!$Z$10:$Z$250,MATCH(Z192,'NOTES CP'!$B$10:$B$250,0)),INDEX('NOTES CP'!$AJ$10:$AJ$250,MATCH(Z192,'NOTES CP'!$B$10:$B$250,0)),INDEX('NOTES CP'!$AT$10:$AT$250,MATCH(Z192,'NOTES CP'!$B$10:$B$250,0))),""))</f>
        <v/>
      </c>
      <c r="AD192" s="51" t="str">
        <f aca="false">IF(ISNUMBER(AC192),AC192+(1000-72)/1000000,"")</f>
        <v/>
      </c>
      <c r="AE192" s="51" t="str">
        <f aca="false">IF(Z192="","",IFERROR(CHOOSE($P$8,INDEX('NOTES CP'!$G$10:$G$250,MATCH(Z192,'NOTES CP'!$B$10:$B$250,0)),INDEX('NOTES CP'!$Q$10:$Q$250,MATCH(Z192,'NOTES CP'!$B$10:$B$250,0)),INDEX('NOTES CP'!$AA$10:$AA$250,MATCH(Z192,'NOTES CP'!$B$10:$B$250,0)),INDEX('NOTES CP'!$AK$10:$AK$250,MATCH(Z192,'NOTES CP'!$B$10:$B$250,0))),""))</f>
        <v/>
      </c>
      <c r="AF192" s="51" t="str">
        <f aca="false">IFERROR(MATCH("CE1-72",'REGISTRE ELEVES'!$AG$10:$AG$250,0),"")</f>
        <v/>
      </c>
      <c r="AG192" s="51" t="str">
        <f aca="false">IF(AF192="","",INDEX('REGISTRE ELEVES'!$B$10:$B$250,AF192))</f>
        <v/>
      </c>
      <c r="AH192" s="51" t="str">
        <f aca="false">IF(AF192="","",INDEX('REGISTRE ELEVES'!$D$10:$D$250,AF192))</f>
        <v/>
      </c>
      <c r="AI192" s="51" t="str">
        <f aca="false">IF(AF192="","",INDEX('REGISTRE ELEVES'!$E$10:$E$250,AF192))</f>
        <v/>
      </c>
      <c r="AJ192" s="51" t="str">
        <f aca="false">IF(AG192="","",IFERROR(CHOOSE($P$8,INDEX('NOTES CE1'!$M$10:$M$250,MATCH(AG192,'NOTES CE1'!$B$10:$B$250,0)),INDEX('NOTES CE1'!$T$10:$T$250,MATCH(AG192,'NOTES CE1'!$B$10:$B$250,0)),INDEX('NOTES CE1'!$AA$10:$AA$250,MATCH(AG192,'NOTES CE1'!$B$10:$B$250,0)),INDEX('NOTES CE1'!$AH$10:$AH$250,MATCH(AG192,'NOTES CE1'!$B$10:$B$250,0))),""))</f>
        <v/>
      </c>
      <c r="AK192" s="51" t="str">
        <f aca="false">IF(ISNUMBER(AJ192),AJ192+(1000-72)/1000000,"")</f>
        <v/>
      </c>
      <c r="AL192" s="51" t="str">
        <f aca="false">IF(AG192="","",IFERROR(CHOOSE($P$8,INDEX('NOTES CE1'!$G$10:$G$250,MATCH(AG192,'NOTES CE1'!$B$10:$B$250,0)),INDEX('NOTES CE1'!$N$10:$N$250,MATCH(AG192,'NOTES CE1'!$B$10:$B$250,0)),INDEX('NOTES CE1'!$U$10:$U$250,MATCH(AG192,'NOTES CE1'!$B$10:$B$250,0)),INDEX('NOTES CE1'!$AB$10:$AB$250,MATCH(AG192,'NOTES CE1'!$B$10:$B$250,0))),""))</f>
        <v/>
      </c>
      <c r="AM192" s="51" t="str">
        <f aca="false">IFERROR(MATCH("CE2-72",'REGISTRE ELEVES'!$AG$10:$AG$250,0),"")</f>
        <v/>
      </c>
      <c r="AN192" s="51" t="str">
        <f aca="false">IF(AM192="","",INDEX('REGISTRE ELEVES'!$B$10:$B$250,AM192))</f>
        <v/>
      </c>
      <c r="AO192" s="51" t="str">
        <f aca="false">IF(AM192="","",INDEX('REGISTRE ELEVES'!$D$10:$D$250,AM192))</f>
        <v/>
      </c>
      <c r="AP192" s="51" t="str">
        <f aca="false">IF(AM192="","",INDEX('REGISTRE ELEVES'!$E$10:$E$250,AM192))</f>
        <v/>
      </c>
      <c r="AQ192" s="51" t="str">
        <f aca="false">IF(AN192="","",IFERROR(CHOOSE($P$8,INDEX('NOTES CE2-CM1'!$M$10:$M$250,MATCH(AN192,'NOTES CE2-CM1'!$B$10:$B$250,0)),INDEX('NOTES CE2-CM1'!$T$10:$T$250,MATCH(AN192,'NOTES CE2-CM1'!$B$10:$B$250,0)),INDEX('NOTES CE2-CM1'!$AA$10:$AA$250,MATCH(AN192,'NOTES CE2-CM1'!$B$10:$B$250,0)),INDEX('NOTES CE2-CM1'!$AH$10:$AH$250,MATCH(AN192,'NOTES CE2-CM1'!$B$10:$B$250,0))),""))</f>
        <v/>
      </c>
      <c r="AR192" s="51" t="str">
        <f aca="false">IF(ISNUMBER(AQ192),AQ192+(1000-72)/1000000,"")</f>
        <v/>
      </c>
      <c r="AS192" s="51" t="str">
        <f aca="false">IF(AN192="","",IFERROR(CHOOSE($P$8,INDEX('NOTES CE2-CM1'!$G$10:$G$250,MATCH(AN192,'NOTES CE2-CM1'!$B$10:$B$250,0)),INDEX('NOTES CE2-CM1'!$N$10:$N$250,MATCH(AN192,'NOTES CE2-CM1'!$B$10:$B$250,0)),INDEX('NOTES CE2-CM1'!$U$10:$U$250,MATCH(AN192,'NOTES CE2-CM1'!$B$10:$B$250,0)),INDEX('NOTES CE2-CM1'!$AB$10:$AB$250,MATCH(AN192,'NOTES CE2-CM1'!$B$10:$B$250,0))),""))</f>
        <v/>
      </c>
      <c r="AT192" s="51" t="str">
        <f aca="false">IFERROR(MATCH("CM1-72",'REGISTRE ELEVES'!$AG$10:$AG$250,0),"")</f>
        <v/>
      </c>
      <c r="AU192" s="51" t="str">
        <f aca="false">IF(AT192="","",INDEX('REGISTRE ELEVES'!$B$10:$B$250,AT192))</f>
        <v/>
      </c>
      <c r="AV192" s="51" t="str">
        <f aca="false">IF(AT192="","",INDEX('REGISTRE ELEVES'!$D$10:$D$250,AT192))</f>
        <v/>
      </c>
      <c r="AW192" s="51" t="str">
        <f aca="false">IF(AT192="","",INDEX('REGISTRE ELEVES'!$E$10:$E$250,AT192))</f>
        <v/>
      </c>
      <c r="AX192" s="51" t="str">
        <f aca="false">IF(AU192="","",IFERROR(CHOOSE($P$8,INDEX('NOTES CE2-CM1'!$M$10:$M$250,MATCH(AU192,'NOTES CE2-CM1'!$B$10:$B$250,0)),INDEX('NOTES CE2-CM1'!$T$10:$T$250,MATCH(AU192,'NOTES CE2-CM1'!$B$10:$B$250,0)),INDEX('NOTES CE2-CM1'!$AA$10:$AA$250,MATCH(AU192,'NOTES CE2-CM1'!$B$10:$B$250,0)),INDEX('NOTES CE2-CM1'!$AH$10:$AH$250,MATCH(AU192,'NOTES CE2-CM1'!$B$10:$B$250,0))),""))</f>
        <v/>
      </c>
      <c r="AY192" s="51" t="str">
        <f aca="false">IF(ISNUMBER(AX192),AX192+(1000-72)/1000000,"")</f>
        <v/>
      </c>
      <c r="AZ192" s="51" t="str">
        <f aca="false">IF(AU192="","",IFERROR(CHOOSE($P$8,INDEX('NOTES CE2-CM1'!$G$10:$G$250,MATCH(AU192,'NOTES CE2-CM1'!$B$10:$B$250,0)),INDEX('NOTES CE2-CM1'!$N$10:$N$250,MATCH(AU192,'NOTES CE2-CM1'!$B$10:$B$250,0)),INDEX('NOTES CE2-CM1'!$U$10:$U$250,MATCH(AU192,'NOTES CE2-CM1'!$B$10:$B$250,0)),INDEX('NOTES CE2-CM1'!$AB$10:$AB$250,MATCH(AU192,'NOTES CE2-CM1'!$B$10:$B$250,0))),""))</f>
        <v/>
      </c>
      <c r="BA192" s="51" t="str">
        <f aca="false">IFERROR(MATCH("CM2-72",'REGISTRE ELEVES'!$AG$10:$AG$250,0),"")</f>
        <v/>
      </c>
      <c r="BB192" s="51" t="str">
        <f aca="false">IF(BA192="","",INDEX('REGISTRE ELEVES'!$B$10:$B$250,BA192))</f>
        <v/>
      </c>
      <c r="BC192" s="51" t="str">
        <f aca="false">IF(BA192="","",INDEX('REGISTRE ELEVES'!$D$10:$D$250,BA192))</f>
        <v/>
      </c>
      <c r="BD192" s="51" t="str">
        <f aca="false">IF(BA192="","",INDEX('REGISTRE ELEVES'!$E$10:$E$250,BA192))</f>
        <v/>
      </c>
      <c r="BE192" s="51" t="str">
        <f aca="false">IF(BB192="","",IFERROR(CHOOSE($P$10,INDEX('NOTES CM2'!$M$10:$M$250,MATCH(BB192,'NOTES CM2'!$B$10:$B$250,0)),INDEX('NOTES CM2'!$T$10:$T$250,MATCH(BB192,'NOTES CM2'!$B$10:$B$250,0)),INDEX('NOTES CM2'!$AB$10:$AB$250,MATCH(BB192,'NOTES CM2'!$B$10:$B$250,0)),INDEX('NOTES CM2'!$AJ$10:$AJ$250,MATCH(BB192,'NOTES CM2'!$B$10:$B$250,0))),""))</f>
        <v/>
      </c>
      <c r="BF192" s="51" t="str">
        <f aca="false">IF(ISNUMBER(BE192),BE192+(1000-72)/1000000,"")</f>
        <v/>
      </c>
      <c r="BG192" s="51" t="str">
        <f aca="false">IF(BB192="","",IFERROR(CHOOSE($P$10,INDEX('NOTES CM2'!$G$10:$G$250,MATCH(BB192,'NOTES CM2'!$B$10:$B$250,0)),INDEX('NOTES CM2'!$N$10:$N$250,MATCH(BB192,'NOTES CM2'!$B$10:$B$250,0)),INDEX('NOTES CM2'!$U$10:$U$250,MATCH(BB192,'NOTES CM2'!$B$10:$B$250,0)),INDEX('NOTES CM2'!$AC$10:$AC$250,MATCH(BB192,'NOTES CM2'!$B$10:$B$250,0))),""))</f>
        <v/>
      </c>
    </row>
    <row r="193" customFormat="false" ht="15" hidden="false" customHeight="false" outlineLevel="0" collapsed="false">
      <c r="R193" s="51" t="str">
        <f aca="false">IFERROR(MATCH("CP1-73",'REGISTRE ELEVES'!$AG$10:$AG$250,0),"")</f>
        <v/>
      </c>
      <c r="S193" s="51" t="str">
        <f aca="false">IF(R193="","",INDEX('REGISTRE ELEVES'!$B$10:$B$250,R193))</f>
        <v/>
      </c>
      <c r="T193" s="51" t="str">
        <f aca="false">IF(R193="","",INDEX('REGISTRE ELEVES'!$D$10:$D$250,R193))</f>
        <v/>
      </c>
      <c r="U193" s="51" t="str">
        <f aca="false">IF(R193="","",INDEX('REGISTRE ELEVES'!$E$10:$E$250,R193))</f>
        <v/>
      </c>
      <c r="V193" s="51" t="str">
        <f aca="false">IF(S193="","",IFERROR(CHOOSE($P$8,INDEX('NOTES CP'!$P$10:$P$250,MATCH(S193,'NOTES CP'!$B$10:$B$250,0)),INDEX('NOTES CP'!$Z$10:$Z$250,MATCH(S193,'NOTES CP'!$B$10:$B$250,0)),INDEX('NOTES CP'!$AJ$10:$AJ$250,MATCH(S193,'NOTES CP'!$B$10:$B$250,0)),INDEX('NOTES CP'!$AT$10:$AT$250,MATCH(S193,'NOTES CP'!$B$10:$B$250,0))),""))</f>
        <v/>
      </c>
      <c r="W193" s="51" t="str">
        <f aca="false">IF(ISNUMBER(V193),V193+(1000-73)/1000000,"")</f>
        <v/>
      </c>
      <c r="X193" s="51" t="str">
        <f aca="false">IF(S193="","",IFERROR(CHOOSE($P$8,INDEX('NOTES CP'!$G$10:$G$250,MATCH(S193,'NOTES CP'!$B$10:$B$250,0)),INDEX('NOTES CP'!$Q$10:$Q$250,MATCH(S193,'NOTES CP'!$B$10:$B$250,0)),INDEX('NOTES CP'!$AA$10:$AA$250,MATCH(S193,'NOTES CP'!$B$10:$B$250,0)),INDEX('NOTES CP'!$AK$10:$AK$250,MATCH(S193,'NOTES CP'!$B$10:$B$250,0))),""))</f>
        <v/>
      </c>
      <c r="Y193" s="51" t="str">
        <f aca="false">IFERROR(MATCH("CP2-73",'REGISTRE ELEVES'!$AG$10:$AG$250,0),"")</f>
        <v/>
      </c>
      <c r="Z193" s="51" t="str">
        <f aca="false">IF(Y193="","",INDEX('REGISTRE ELEVES'!$B$10:$B$250,Y193))</f>
        <v/>
      </c>
      <c r="AA193" s="51" t="str">
        <f aca="false">IF(Y193="","",INDEX('REGISTRE ELEVES'!$D$10:$D$250,Y193))</f>
        <v/>
      </c>
      <c r="AB193" s="51" t="str">
        <f aca="false">IF(Y193="","",INDEX('REGISTRE ELEVES'!$E$10:$E$250,Y193))</f>
        <v/>
      </c>
      <c r="AC193" s="51" t="str">
        <f aca="false">IF(Z193="","",IFERROR(CHOOSE($P$8,INDEX('NOTES CP'!$P$10:$P$250,MATCH(Z193,'NOTES CP'!$B$10:$B$250,0)),INDEX('NOTES CP'!$Z$10:$Z$250,MATCH(Z193,'NOTES CP'!$B$10:$B$250,0)),INDEX('NOTES CP'!$AJ$10:$AJ$250,MATCH(Z193,'NOTES CP'!$B$10:$B$250,0)),INDEX('NOTES CP'!$AT$10:$AT$250,MATCH(Z193,'NOTES CP'!$B$10:$B$250,0))),""))</f>
        <v/>
      </c>
      <c r="AD193" s="51" t="str">
        <f aca="false">IF(ISNUMBER(AC193),AC193+(1000-73)/1000000,"")</f>
        <v/>
      </c>
      <c r="AE193" s="51" t="str">
        <f aca="false">IF(Z193="","",IFERROR(CHOOSE($P$8,INDEX('NOTES CP'!$G$10:$G$250,MATCH(Z193,'NOTES CP'!$B$10:$B$250,0)),INDEX('NOTES CP'!$Q$10:$Q$250,MATCH(Z193,'NOTES CP'!$B$10:$B$250,0)),INDEX('NOTES CP'!$AA$10:$AA$250,MATCH(Z193,'NOTES CP'!$B$10:$B$250,0)),INDEX('NOTES CP'!$AK$10:$AK$250,MATCH(Z193,'NOTES CP'!$B$10:$B$250,0))),""))</f>
        <v/>
      </c>
      <c r="AF193" s="51" t="str">
        <f aca="false">IFERROR(MATCH("CE1-73",'REGISTRE ELEVES'!$AG$10:$AG$250,0),"")</f>
        <v/>
      </c>
      <c r="AG193" s="51" t="str">
        <f aca="false">IF(AF193="","",INDEX('REGISTRE ELEVES'!$B$10:$B$250,AF193))</f>
        <v/>
      </c>
      <c r="AH193" s="51" t="str">
        <f aca="false">IF(AF193="","",INDEX('REGISTRE ELEVES'!$D$10:$D$250,AF193))</f>
        <v/>
      </c>
      <c r="AI193" s="51" t="str">
        <f aca="false">IF(AF193="","",INDEX('REGISTRE ELEVES'!$E$10:$E$250,AF193))</f>
        <v/>
      </c>
      <c r="AJ193" s="51" t="str">
        <f aca="false">IF(AG193="","",IFERROR(CHOOSE($P$8,INDEX('NOTES CE1'!$M$10:$M$250,MATCH(AG193,'NOTES CE1'!$B$10:$B$250,0)),INDEX('NOTES CE1'!$T$10:$T$250,MATCH(AG193,'NOTES CE1'!$B$10:$B$250,0)),INDEX('NOTES CE1'!$AA$10:$AA$250,MATCH(AG193,'NOTES CE1'!$B$10:$B$250,0)),INDEX('NOTES CE1'!$AH$10:$AH$250,MATCH(AG193,'NOTES CE1'!$B$10:$B$250,0))),""))</f>
        <v/>
      </c>
      <c r="AK193" s="51" t="str">
        <f aca="false">IF(ISNUMBER(AJ193),AJ193+(1000-73)/1000000,"")</f>
        <v/>
      </c>
      <c r="AL193" s="51" t="str">
        <f aca="false">IF(AG193="","",IFERROR(CHOOSE($P$8,INDEX('NOTES CE1'!$G$10:$G$250,MATCH(AG193,'NOTES CE1'!$B$10:$B$250,0)),INDEX('NOTES CE1'!$N$10:$N$250,MATCH(AG193,'NOTES CE1'!$B$10:$B$250,0)),INDEX('NOTES CE1'!$U$10:$U$250,MATCH(AG193,'NOTES CE1'!$B$10:$B$250,0)),INDEX('NOTES CE1'!$AB$10:$AB$250,MATCH(AG193,'NOTES CE1'!$B$10:$B$250,0))),""))</f>
        <v/>
      </c>
      <c r="AM193" s="51" t="str">
        <f aca="false">IFERROR(MATCH("CE2-73",'REGISTRE ELEVES'!$AG$10:$AG$250,0),"")</f>
        <v/>
      </c>
      <c r="AN193" s="51" t="str">
        <f aca="false">IF(AM193="","",INDEX('REGISTRE ELEVES'!$B$10:$B$250,AM193))</f>
        <v/>
      </c>
      <c r="AO193" s="51" t="str">
        <f aca="false">IF(AM193="","",INDEX('REGISTRE ELEVES'!$D$10:$D$250,AM193))</f>
        <v/>
      </c>
      <c r="AP193" s="51" t="str">
        <f aca="false">IF(AM193="","",INDEX('REGISTRE ELEVES'!$E$10:$E$250,AM193))</f>
        <v/>
      </c>
      <c r="AQ193" s="51" t="str">
        <f aca="false">IF(AN193="","",IFERROR(CHOOSE($P$8,INDEX('NOTES CE2-CM1'!$M$10:$M$250,MATCH(AN193,'NOTES CE2-CM1'!$B$10:$B$250,0)),INDEX('NOTES CE2-CM1'!$T$10:$T$250,MATCH(AN193,'NOTES CE2-CM1'!$B$10:$B$250,0)),INDEX('NOTES CE2-CM1'!$AA$10:$AA$250,MATCH(AN193,'NOTES CE2-CM1'!$B$10:$B$250,0)),INDEX('NOTES CE2-CM1'!$AH$10:$AH$250,MATCH(AN193,'NOTES CE2-CM1'!$B$10:$B$250,0))),""))</f>
        <v/>
      </c>
      <c r="AR193" s="51" t="str">
        <f aca="false">IF(ISNUMBER(AQ193),AQ193+(1000-73)/1000000,"")</f>
        <v/>
      </c>
      <c r="AS193" s="51" t="str">
        <f aca="false">IF(AN193="","",IFERROR(CHOOSE($P$8,INDEX('NOTES CE2-CM1'!$G$10:$G$250,MATCH(AN193,'NOTES CE2-CM1'!$B$10:$B$250,0)),INDEX('NOTES CE2-CM1'!$N$10:$N$250,MATCH(AN193,'NOTES CE2-CM1'!$B$10:$B$250,0)),INDEX('NOTES CE2-CM1'!$U$10:$U$250,MATCH(AN193,'NOTES CE2-CM1'!$B$10:$B$250,0)),INDEX('NOTES CE2-CM1'!$AB$10:$AB$250,MATCH(AN193,'NOTES CE2-CM1'!$B$10:$B$250,0))),""))</f>
        <v/>
      </c>
      <c r="AT193" s="51" t="str">
        <f aca="false">IFERROR(MATCH("CM1-73",'REGISTRE ELEVES'!$AG$10:$AG$250,0),"")</f>
        <v/>
      </c>
      <c r="AU193" s="51" t="str">
        <f aca="false">IF(AT193="","",INDEX('REGISTRE ELEVES'!$B$10:$B$250,AT193))</f>
        <v/>
      </c>
      <c r="AV193" s="51" t="str">
        <f aca="false">IF(AT193="","",INDEX('REGISTRE ELEVES'!$D$10:$D$250,AT193))</f>
        <v/>
      </c>
      <c r="AW193" s="51" t="str">
        <f aca="false">IF(AT193="","",INDEX('REGISTRE ELEVES'!$E$10:$E$250,AT193))</f>
        <v/>
      </c>
      <c r="AX193" s="51" t="str">
        <f aca="false">IF(AU193="","",IFERROR(CHOOSE($P$8,INDEX('NOTES CE2-CM1'!$M$10:$M$250,MATCH(AU193,'NOTES CE2-CM1'!$B$10:$B$250,0)),INDEX('NOTES CE2-CM1'!$T$10:$T$250,MATCH(AU193,'NOTES CE2-CM1'!$B$10:$B$250,0)),INDEX('NOTES CE2-CM1'!$AA$10:$AA$250,MATCH(AU193,'NOTES CE2-CM1'!$B$10:$B$250,0)),INDEX('NOTES CE2-CM1'!$AH$10:$AH$250,MATCH(AU193,'NOTES CE2-CM1'!$B$10:$B$250,0))),""))</f>
        <v/>
      </c>
      <c r="AY193" s="51" t="str">
        <f aca="false">IF(ISNUMBER(AX193),AX193+(1000-73)/1000000,"")</f>
        <v/>
      </c>
      <c r="AZ193" s="51" t="str">
        <f aca="false">IF(AU193="","",IFERROR(CHOOSE($P$8,INDEX('NOTES CE2-CM1'!$G$10:$G$250,MATCH(AU193,'NOTES CE2-CM1'!$B$10:$B$250,0)),INDEX('NOTES CE2-CM1'!$N$10:$N$250,MATCH(AU193,'NOTES CE2-CM1'!$B$10:$B$250,0)),INDEX('NOTES CE2-CM1'!$U$10:$U$250,MATCH(AU193,'NOTES CE2-CM1'!$B$10:$B$250,0)),INDEX('NOTES CE2-CM1'!$AB$10:$AB$250,MATCH(AU193,'NOTES CE2-CM1'!$B$10:$B$250,0))),""))</f>
        <v/>
      </c>
      <c r="BA193" s="51" t="str">
        <f aca="false">IFERROR(MATCH("CM2-73",'REGISTRE ELEVES'!$AG$10:$AG$250,0),"")</f>
        <v/>
      </c>
      <c r="BB193" s="51" t="str">
        <f aca="false">IF(BA193="","",INDEX('REGISTRE ELEVES'!$B$10:$B$250,BA193))</f>
        <v/>
      </c>
      <c r="BC193" s="51" t="str">
        <f aca="false">IF(BA193="","",INDEX('REGISTRE ELEVES'!$D$10:$D$250,BA193))</f>
        <v/>
      </c>
      <c r="BD193" s="51" t="str">
        <f aca="false">IF(BA193="","",INDEX('REGISTRE ELEVES'!$E$10:$E$250,BA193))</f>
        <v/>
      </c>
      <c r="BE193" s="51" t="str">
        <f aca="false">IF(BB193="","",IFERROR(CHOOSE($P$10,INDEX('NOTES CM2'!$M$10:$M$250,MATCH(BB193,'NOTES CM2'!$B$10:$B$250,0)),INDEX('NOTES CM2'!$T$10:$T$250,MATCH(BB193,'NOTES CM2'!$B$10:$B$250,0)),INDEX('NOTES CM2'!$AB$10:$AB$250,MATCH(BB193,'NOTES CM2'!$B$10:$B$250,0)),INDEX('NOTES CM2'!$AJ$10:$AJ$250,MATCH(BB193,'NOTES CM2'!$B$10:$B$250,0))),""))</f>
        <v/>
      </c>
      <c r="BF193" s="51" t="str">
        <f aca="false">IF(ISNUMBER(BE193),BE193+(1000-73)/1000000,"")</f>
        <v/>
      </c>
      <c r="BG193" s="51" t="str">
        <f aca="false">IF(BB193="","",IFERROR(CHOOSE($P$10,INDEX('NOTES CM2'!$G$10:$G$250,MATCH(BB193,'NOTES CM2'!$B$10:$B$250,0)),INDEX('NOTES CM2'!$N$10:$N$250,MATCH(BB193,'NOTES CM2'!$B$10:$B$250,0)),INDEX('NOTES CM2'!$U$10:$U$250,MATCH(BB193,'NOTES CM2'!$B$10:$B$250,0)),INDEX('NOTES CM2'!$AC$10:$AC$250,MATCH(BB193,'NOTES CM2'!$B$10:$B$250,0))),""))</f>
        <v/>
      </c>
    </row>
    <row r="194" customFormat="false" ht="15" hidden="false" customHeight="false" outlineLevel="0" collapsed="false">
      <c r="R194" s="51" t="str">
        <f aca="false">IFERROR(MATCH("CP1-74",'REGISTRE ELEVES'!$AG$10:$AG$250,0),"")</f>
        <v/>
      </c>
      <c r="S194" s="51" t="str">
        <f aca="false">IF(R194="","",INDEX('REGISTRE ELEVES'!$B$10:$B$250,R194))</f>
        <v/>
      </c>
      <c r="T194" s="51" t="str">
        <f aca="false">IF(R194="","",INDEX('REGISTRE ELEVES'!$D$10:$D$250,R194))</f>
        <v/>
      </c>
      <c r="U194" s="51" t="str">
        <f aca="false">IF(R194="","",INDEX('REGISTRE ELEVES'!$E$10:$E$250,R194))</f>
        <v/>
      </c>
      <c r="V194" s="51" t="str">
        <f aca="false">IF(S194="","",IFERROR(CHOOSE($P$8,INDEX('NOTES CP'!$P$10:$P$250,MATCH(S194,'NOTES CP'!$B$10:$B$250,0)),INDEX('NOTES CP'!$Z$10:$Z$250,MATCH(S194,'NOTES CP'!$B$10:$B$250,0)),INDEX('NOTES CP'!$AJ$10:$AJ$250,MATCH(S194,'NOTES CP'!$B$10:$B$250,0)),INDEX('NOTES CP'!$AT$10:$AT$250,MATCH(S194,'NOTES CP'!$B$10:$B$250,0))),""))</f>
        <v/>
      </c>
      <c r="W194" s="51" t="str">
        <f aca="false">IF(ISNUMBER(V194),V194+(1000-74)/1000000,"")</f>
        <v/>
      </c>
      <c r="X194" s="51" t="str">
        <f aca="false">IF(S194="","",IFERROR(CHOOSE($P$8,INDEX('NOTES CP'!$G$10:$G$250,MATCH(S194,'NOTES CP'!$B$10:$B$250,0)),INDEX('NOTES CP'!$Q$10:$Q$250,MATCH(S194,'NOTES CP'!$B$10:$B$250,0)),INDEX('NOTES CP'!$AA$10:$AA$250,MATCH(S194,'NOTES CP'!$B$10:$B$250,0)),INDEX('NOTES CP'!$AK$10:$AK$250,MATCH(S194,'NOTES CP'!$B$10:$B$250,0))),""))</f>
        <v/>
      </c>
      <c r="Y194" s="51" t="str">
        <f aca="false">IFERROR(MATCH("CP2-74",'REGISTRE ELEVES'!$AG$10:$AG$250,0),"")</f>
        <v/>
      </c>
      <c r="Z194" s="51" t="str">
        <f aca="false">IF(Y194="","",INDEX('REGISTRE ELEVES'!$B$10:$B$250,Y194))</f>
        <v/>
      </c>
      <c r="AA194" s="51" t="str">
        <f aca="false">IF(Y194="","",INDEX('REGISTRE ELEVES'!$D$10:$D$250,Y194))</f>
        <v/>
      </c>
      <c r="AB194" s="51" t="str">
        <f aca="false">IF(Y194="","",INDEX('REGISTRE ELEVES'!$E$10:$E$250,Y194))</f>
        <v/>
      </c>
      <c r="AC194" s="51" t="str">
        <f aca="false">IF(Z194="","",IFERROR(CHOOSE($P$8,INDEX('NOTES CP'!$P$10:$P$250,MATCH(Z194,'NOTES CP'!$B$10:$B$250,0)),INDEX('NOTES CP'!$Z$10:$Z$250,MATCH(Z194,'NOTES CP'!$B$10:$B$250,0)),INDEX('NOTES CP'!$AJ$10:$AJ$250,MATCH(Z194,'NOTES CP'!$B$10:$B$250,0)),INDEX('NOTES CP'!$AT$10:$AT$250,MATCH(Z194,'NOTES CP'!$B$10:$B$250,0))),""))</f>
        <v/>
      </c>
      <c r="AD194" s="51" t="str">
        <f aca="false">IF(ISNUMBER(AC194),AC194+(1000-74)/1000000,"")</f>
        <v/>
      </c>
      <c r="AE194" s="51" t="str">
        <f aca="false">IF(Z194="","",IFERROR(CHOOSE($P$8,INDEX('NOTES CP'!$G$10:$G$250,MATCH(Z194,'NOTES CP'!$B$10:$B$250,0)),INDEX('NOTES CP'!$Q$10:$Q$250,MATCH(Z194,'NOTES CP'!$B$10:$B$250,0)),INDEX('NOTES CP'!$AA$10:$AA$250,MATCH(Z194,'NOTES CP'!$B$10:$B$250,0)),INDEX('NOTES CP'!$AK$10:$AK$250,MATCH(Z194,'NOTES CP'!$B$10:$B$250,0))),""))</f>
        <v/>
      </c>
      <c r="AF194" s="51" t="str">
        <f aca="false">IFERROR(MATCH("CE1-74",'REGISTRE ELEVES'!$AG$10:$AG$250,0),"")</f>
        <v/>
      </c>
      <c r="AG194" s="51" t="str">
        <f aca="false">IF(AF194="","",INDEX('REGISTRE ELEVES'!$B$10:$B$250,AF194))</f>
        <v/>
      </c>
      <c r="AH194" s="51" t="str">
        <f aca="false">IF(AF194="","",INDEX('REGISTRE ELEVES'!$D$10:$D$250,AF194))</f>
        <v/>
      </c>
      <c r="AI194" s="51" t="str">
        <f aca="false">IF(AF194="","",INDEX('REGISTRE ELEVES'!$E$10:$E$250,AF194))</f>
        <v/>
      </c>
      <c r="AJ194" s="51" t="str">
        <f aca="false">IF(AG194="","",IFERROR(CHOOSE($P$8,INDEX('NOTES CE1'!$M$10:$M$250,MATCH(AG194,'NOTES CE1'!$B$10:$B$250,0)),INDEX('NOTES CE1'!$T$10:$T$250,MATCH(AG194,'NOTES CE1'!$B$10:$B$250,0)),INDEX('NOTES CE1'!$AA$10:$AA$250,MATCH(AG194,'NOTES CE1'!$B$10:$B$250,0)),INDEX('NOTES CE1'!$AH$10:$AH$250,MATCH(AG194,'NOTES CE1'!$B$10:$B$250,0))),""))</f>
        <v/>
      </c>
      <c r="AK194" s="51" t="str">
        <f aca="false">IF(ISNUMBER(AJ194),AJ194+(1000-74)/1000000,"")</f>
        <v/>
      </c>
      <c r="AL194" s="51" t="str">
        <f aca="false">IF(AG194="","",IFERROR(CHOOSE($P$8,INDEX('NOTES CE1'!$G$10:$G$250,MATCH(AG194,'NOTES CE1'!$B$10:$B$250,0)),INDEX('NOTES CE1'!$N$10:$N$250,MATCH(AG194,'NOTES CE1'!$B$10:$B$250,0)),INDEX('NOTES CE1'!$U$10:$U$250,MATCH(AG194,'NOTES CE1'!$B$10:$B$250,0)),INDEX('NOTES CE1'!$AB$10:$AB$250,MATCH(AG194,'NOTES CE1'!$B$10:$B$250,0))),""))</f>
        <v/>
      </c>
      <c r="AM194" s="51" t="str">
        <f aca="false">IFERROR(MATCH("CE2-74",'REGISTRE ELEVES'!$AG$10:$AG$250,0),"")</f>
        <v/>
      </c>
      <c r="AN194" s="51" t="str">
        <f aca="false">IF(AM194="","",INDEX('REGISTRE ELEVES'!$B$10:$B$250,AM194))</f>
        <v/>
      </c>
      <c r="AO194" s="51" t="str">
        <f aca="false">IF(AM194="","",INDEX('REGISTRE ELEVES'!$D$10:$D$250,AM194))</f>
        <v/>
      </c>
      <c r="AP194" s="51" t="str">
        <f aca="false">IF(AM194="","",INDEX('REGISTRE ELEVES'!$E$10:$E$250,AM194))</f>
        <v/>
      </c>
      <c r="AQ194" s="51" t="str">
        <f aca="false">IF(AN194="","",IFERROR(CHOOSE($P$8,INDEX('NOTES CE2-CM1'!$M$10:$M$250,MATCH(AN194,'NOTES CE2-CM1'!$B$10:$B$250,0)),INDEX('NOTES CE2-CM1'!$T$10:$T$250,MATCH(AN194,'NOTES CE2-CM1'!$B$10:$B$250,0)),INDEX('NOTES CE2-CM1'!$AA$10:$AA$250,MATCH(AN194,'NOTES CE2-CM1'!$B$10:$B$250,0)),INDEX('NOTES CE2-CM1'!$AH$10:$AH$250,MATCH(AN194,'NOTES CE2-CM1'!$B$10:$B$250,0))),""))</f>
        <v/>
      </c>
      <c r="AR194" s="51" t="str">
        <f aca="false">IF(ISNUMBER(AQ194),AQ194+(1000-74)/1000000,"")</f>
        <v/>
      </c>
      <c r="AS194" s="51" t="str">
        <f aca="false">IF(AN194="","",IFERROR(CHOOSE($P$8,INDEX('NOTES CE2-CM1'!$G$10:$G$250,MATCH(AN194,'NOTES CE2-CM1'!$B$10:$B$250,0)),INDEX('NOTES CE2-CM1'!$N$10:$N$250,MATCH(AN194,'NOTES CE2-CM1'!$B$10:$B$250,0)),INDEX('NOTES CE2-CM1'!$U$10:$U$250,MATCH(AN194,'NOTES CE2-CM1'!$B$10:$B$250,0)),INDEX('NOTES CE2-CM1'!$AB$10:$AB$250,MATCH(AN194,'NOTES CE2-CM1'!$B$10:$B$250,0))),""))</f>
        <v/>
      </c>
      <c r="AT194" s="51" t="str">
        <f aca="false">IFERROR(MATCH("CM1-74",'REGISTRE ELEVES'!$AG$10:$AG$250,0),"")</f>
        <v/>
      </c>
      <c r="AU194" s="51" t="str">
        <f aca="false">IF(AT194="","",INDEX('REGISTRE ELEVES'!$B$10:$B$250,AT194))</f>
        <v/>
      </c>
      <c r="AV194" s="51" t="str">
        <f aca="false">IF(AT194="","",INDEX('REGISTRE ELEVES'!$D$10:$D$250,AT194))</f>
        <v/>
      </c>
      <c r="AW194" s="51" t="str">
        <f aca="false">IF(AT194="","",INDEX('REGISTRE ELEVES'!$E$10:$E$250,AT194))</f>
        <v/>
      </c>
      <c r="AX194" s="51" t="str">
        <f aca="false">IF(AU194="","",IFERROR(CHOOSE($P$8,INDEX('NOTES CE2-CM1'!$M$10:$M$250,MATCH(AU194,'NOTES CE2-CM1'!$B$10:$B$250,0)),INDEX('NOTES CE2-CM1'!$T$10:$T$250,MATCH(AU194,'NOTES CE2-CM1'!$B$10:$B$250,0)),INDEX('NOTES CE2-CM1'!$AA$10:$AA$250,MATCH(AU194,'NOTES CE2-CM1'!$B$10:$B$250,0)),INDEX('NOTES CE2-CM1'!$AH$10:$AH$250,MATCH(AU194,'NOTES CE2-CM1'!$B$10:$B$250,0))),""))</f>
        <v/>
      </c>
      <c r="AY194" s="51" t="str">
        <f aca="false">IF(ISNUMBER(AX194),AX194+(1000-74)/1000000,"")</f>
        <v/>
      </c>
      <c r="AZ194" s="51" t="str">
        <f aca="false">IF(AU194="","",IFERROR(CHOOSE($P$8,INDEX('NOTES CE2-CM1'!$G$10:$G$250,MATCH(AU194,'NOTES CE2-CM1'!$B$10:$B$250,0)),INDEX('NOTES CE2-CM1'!$N$10:$N$250,MATCH(AU194,'NOTES CE2-CM1'!$B$10:$B$250,0)),INDEX('NOTES CE2-CM1'!$U$10:$U$250,MATCH(AU194,'NOTES CE2-CM1'!$B$10:$B$250,0)),INDEX('NOTES CE2-CM1'!$AB$10:$AB$250,MATCH(AU194,'NOTES CE2-CM1'!$B$10:$B$250,0))),""))</f>
        <v/>
      </c>
      <c r="BA194" s="51" t="str">
        <f aca="false">IFERROR(MATCH("CM2-74",'REGISTRE ELEVES'!$AG$10:$AG$250,0),"")</f>
        <v/>
      </c>
      <c r="BB194" s="51" t="str">
        <f aca="false">IF(BA194="","",INDEX('REGISTRE ELEVES'!$B$10:$B$250,BA194))</f>
        <v/>
      </c>
      <c r="BC194" s="51" t="str">
        <f aca="false">IF(BA194="","",INDEX('REGISTRE ELEVES'!$D$10:$D$250,BA194))</f>
        <v/>
      </c>
      <c r="BD194" s="51" t="str">
        <f aca="false">IF(BA194="","",INDEX('REGISTRE ELEVES'!$E$10:$E$250,BA194))</f>
        <v/>
      </c>
      <c r="BE194" s="51" t="str">
        <f aca="false">IF(BB194="","",IFERROR(CHOOSE($P$10,INDEX('NOTES CM2'!$M$10:$M$250,MATCH(BB194,'NOTES CM2'!$B$10:$B$250,0)),INDEX('NOTES CM2'!$T$10:$T$250,MATCH(BB194,'NOTES CM2'!$B$10:$B$250,0)),INDEX('NOTES CM2'!$AB$10:$AB$250,MATCH(BB194,'NOTES CM2'!$B$10:$B$250,0)),INDEX('NOTES CM2'!$AJ$10:$AJ$250,MATCH(BB194,'NOTES CM2'!$B$10:$B$250,0))),""))</f>
        <v/>
      </c>
      <c r="BF194" s="51" t="str">
        <f aca="false">IF(ISNUMBER(BE194),BE194+(1000-74)/1000000,"")</f>
        <v/>
      </c>
      <c r="BG194" s="51" t="str">
        <f aca="false">IF(BB194="","",IFERROR(CHOOSE($P$10,INDEX('NOTES CM2'!$G$10:$G$250,MATCH(BB194,'NOTES CM2'!$B$10:$B$250,0)),INDEX('NOTES CM2'!$N$10:$N$250,MATCH(BB194,'NOTES CM2'!$B$10:$B$250,0)),INDEX('NOTES CM2'!$U$10:$U$250,MATCH(BB194,'NOTES CM2'!$B$10:$B$250,0)),INDEX('NOTES CM2'!$AC$10:$AC$250,MATCH(BB194,'NOTES CM2'!$B$10:$B$250,0))),""))</f>
        <v/>
      </c>
    </row>
    <row r="195" customFormat="false" ht="15" hidden="false" customHeight="false" outlineLevel="0" collapsed="false">
      <c r="R195" s="51" t="str">
        <f aca="false">IFERROR(MATCH("CP1-75",'REGISTRE ELEVES'!$AG$10:$AG$250,0),"")</f>
        <v/>
      </c>
      <c r="S195" s="51" t="str">
        <f aca="false">IF(R195="","",INDEX('REGISTRE ELEVES'!$B$10:$B$250,R195))</f>
        <v/>
      </c>
      <c r="T195" s="51" t="str">
        <f aca="false">IF(R195="","",INDEX('REGISTRE ELEVES'!$D$10:$D$250,R195))</f>
        <v/>
      </c>
      <c r="U195" s="51" t="str">
        <f aca="false">IF(R195="","",INDEX('REGISTRE ELEVES'!$E$10:$E$250,R195))</f>
        <v/>
      </c>
      <c r="V195" s="51" t="str">
        <f aca="false">IF(S195="","",IFERROR(CHOOSE($P$8,INDEX('NOTES CP'!$P$10:$P$250,MATCH(S195,'NOTES CP'!$B$10:$B$250,0)),INDEX('NOTES CP'!$Z$10:$Z$250,MATCH(S195,'NOTES CP'!$B$10:$B$250,0)),INDEX('NOTES CP'!$AJ$10:$AJ$250,MATCH(S195,'NOTES CP'!$B$10:$B$250,0)),INDEX('NOTES CP'!$AT$10:$AT$250,MATCH(S195,'NOTES CP'!$B$10:$B$250,0))),""))</f>
        <v/>
      </c>
      <c r="W195" s="51" t="str">
        <f aca="false">IF(ISNUMBER(V195),V195+(1000-75)/1000000,"")</f>
        <v/>
      </c>
      <c r="X195" s="51" t="str">
        <f aca="false">IF(S195="","",IFERROR(CHOOSE($P$8,INDEX('NOTES CP'!$G$10:$G$250,MATCH(S195,'NOTES CP'!$B$10:$B$250,0)),INDEX('NOTES CP'!$Q$10:$Q$250,MATCH(S195,'NOTES CP'!$B$10:$B$250,0)),INDEX('NOTES CP'!$AA$10:$AA$250,MATCH(S195,'NOTES CP'!$B$10:$B$250,0)),INDEX('NOTES CP'!$AK$10:$AK$250,MATCH(S195,'NOTES CP'!$B$10:$B$250,0))),""))</f>
        <v/>
      </c>
      <c r="Y195" s="51" t="str">
        <f aca="false">IFERROR(MATCH("CP2-75",'REGISTRE ELEVES'!$AG$10:$AG$250,0),"")</f>
        <v/>
      </c>
      <c r="Z195" s="51" t="str">
        <f aca="false">IF(Y195="","",INDEX('REGISTRE ELEVES'!$B$10:$B$250,Y195))</f>
        <v/>
      </c>
      <c r="AA195" s="51" t="str">
        <f aca="false">IF(Y195="","",INDEX('REGISTRE ELEVES'!$D$10:$D$250,Y195))</f>
        <v/>
      </c>
      <c r="AB195" s="51" t="str">
        <f aca="false">IF(Y195="","",INDEX('REGISTRE ELEVES'!$E$10:$E$250,Y195))</f>
        <v/>
      </c>
      <c r="AC195" s="51" t="str">
        <f aca="false">IF(Z195="","",IFERROR(CHOOSE($P$8,INDEX('NOTES CP'!$P$10:$P$250,MATCH(Z195,'NOTES CP'!$B$10:$B$250,0)),INDEX('NOTES CP'!$Z$10:$Z$250,MATCH(Z195,'NOTES CP'!$B$10:$B$250,0)),INDEX('NOTES CP'!$AJ$10:$AJ$250,MATCH(Z195,'NOTES CP'!$B$10:$B$250,0)),INDEX('NOTES CP'!$AT$10:$AT$250,MATCH(Z195,'NOTES CP'!$B$10:$B$250,0))),""))</f>
        <v/>
      </c>
      <c r="AD195" s="51" t="str">
        <f aca="false">IF(ISNUMBER(AC195),AC195+(1000-75)/1000000,"")</f>
        <v/>
      </c>
      <c r="AE195" s="51" t="str">
        <f aca="false">IF(Z195="","",IFERROR(CHOOSE($P$8,INDEX('NOTES CP'!$G$10:$G$250,MATCH(Z195,'NOTES CP'!$B$10:$B$250,0)),INDEX('NOTES CP'!$Q$10:$Q$250,MATCH(Z195,'NOTES CP'!$B$10:$B$250,0)),INDEX('NOTES CP'!$AA$10:$AA$250,MATCH(Z195,'NOTES CP'!$B$10:$B$250,0)),INDEX('NOTES CP'!$AK$10:$AK$250,MATCH(Z195,'NOTES CP'!$B$10:$B$250,0))),""))</f>
        <v/>
      </c>
      <c r="AF195" s="51" t="str">
        <f aca="false">IFERROR(MATCH("CE1-75",'REGISTRE ELEVES'!$AG$10:$AG$250,0),"")</f>
        <v/>
      </c>
      <c r="AG195" s="51" t="str">
        <f aca="false">IF(AF195="","",INDEX('REGISTRE ELEVES'!$B$10:$B$250,AF195))</f>
        <v/>
      </c>
      <c r="AH195" s="51" t="str">
        <f aca="false">IF(AF195="","",INDEX('REGISTRE ELEVES'!$D$10:$D$250,AF195))</f>
        <v/>
      </c>
      <c r="AI195" s="51" t="str">
        <f aca="false">IF(AF195="","",INDEX('REGISTRE ELEVES'!$E$10:$E$250,AF195))</f>
        <v/>
      </c>
      <c r="AJ195" s="51" t="str">
        <f aca="false">IF(AG195="","",IFERROR(CHOOSE($P$8,INDEX('NOTES CE1'!$M$10:$M$250,MATCH(AG195,'NOTES CE1'!$B$10:$B$250,0)),INDEX('NOTES CE1'!$T$10:$T$250,MATCH(AG195,'NOTES CE1'!$B$10:$B$250,0)),INDEX('NOTES CE1'!$AA$10:$AA$250,MATCH(AG195,'NOTES CE1'!$B$10:$B$250,0)),INDEX('NOTES CE1'!$AH$10:$AH$250,MATCH(AG195,'NOTES CE1'!$B$10:$B$250,0))),""))</f>
        <v/>
      </c>
      <c r="AK195" s="51" t="str">
        <f aca="false">IF(ISNUMBER(AJ195),AJ195+(1000-75)/1000000,"")</f>
        <v/>
      </c>
      <c r="AL195" s="51" t="str">
        <f aca="false">IF(AG195="","",IFERROR(CHOOSE($P$8,INDEX('NOTES CE1'!$G$10:$G$250,MATCH(AG195,'NOTES CE1'!$B$10:$B$250,0)),INDEX('NOTES CE1'!$N$10:$N$250,MATCH(AG195,'NOTES CE1'!$B$10:$B$250,0)),INDEX('NOTES CE1'!$U$10:$U$250,MATCH(AG195,'NOTES CE1'!$B$10:$B$250,0)),INDEX('NOTES CE1'!$AB$10:$AB$250,MATCH(AG195,'NOTES CE1'!$B$10:$B$250,0))),""))</f>
        <v/>
      </c>
      <c r="AM195" s="51" t="str">
        <f aca="false">IFERROR(MATCH("CE2-75",'REGISTRE ELEVES'!$AG$10:$AG$250,0),"")</f>
        <v/>
      </c>
      <c r="AN195" s="51" t="str">
        <f aca="false">IF(AM195="","",INDEX('REGISTRE ELEVES'!$B$10:$B$250,AM195))</f>
        <v/>
      </c>
      <c r="AO195" s="51" t="str">
        <f aca="false">IF(AM195="","",INDEX('REGISTRE ELEVES'!$D$10:$D$250,AM195))</f>
        <v/>
      </c>
      <c r="AP195" s="51" t="str">
        <f aca="false">IF(AM195="","",INDEX('REGISTRE ELEVES'!$E$10:$E$250,AM195))</f>
        <v/>
      </c>
      <c r="AQ195" s="51" t="str">
        <f aca="false">IF(AN195="","",IFERROR(CHOOSE($P$8,INDEX('NOTES CE2-CM1'!$M$10:$M$250,MATCH(AN195,'NOTES CE2-CM1'!$B$10:$B$250,0)),INDEX('NOTES CE2-CM1'!$T$10:$T$250,MATCH(AN195,'NOTES CE2-CM1'!$B$10:$B$250,0)),INDEX('NOTES CE2-CM1'!$AA$10:$AA$250,MATCH(AN195,'NOTES CE2-CM1'!$B$10:$B$250,0)),INDEX('NOTES CE2-CM1'!$AH$10:$AH$250,MATCH(AN195,'NOTES CE2-CM1'!$B$10:$B$250,0))),""))</f>
        <v/>
      </c>
      <c r="AR195" s="51" t="str">
        <f aca="false">IF(ISNUMBER(AQ195),AQ195+(1000-75)/1000000,"")</f>
        <v/>
      </c>
      <c r="AS195" s="51" t="str">
        <f aca="false">IF(AN195="","",IFERROR(CHOOSE($P$8,INDEX('NOTES CE2-CM1'!$G$10:$G$250,MATCH(AN195,'NOTES CE2-CM1'!$B$10:$B$250,0)),INDEX('NOTES CE2-CM1'!$N$10:$N$250,MATCH(AN195,'NOTES CE2-CM1'!$B$10:$B$250,0)),INDEX('NOTES CE2-CM1'!$U$10:$U$250,MATCH(AN195,'NOTES CE2-CM1'!$B$10:$B$250,0)),INDEX('NOTES CE2-CM1'!$AB$10:$AB$250,MATCH(AN195,'NOTES CE2-CM1'!$B$10:$B$250,0))),""))</f>
        <v/>
      </c>
      <c r="AT195" s="51" t="str">
        <f aca="false">IFERROR(MATCH("CM1-75",'REGISTRE ELEVES'!$AG$10:$AG$250,0),"")</f>
        <v/>
      </c>
      <c r="AU195" s="51" t="str">
        <f aca="false">IF(AT195="","",INDEX('REGISTRE ELEVES'!$B$10:$B$250,AT195))</f>
        <v/>
      </c>
      <c r="AV195" s="51" t="str">
        <f aca="false">IF(AT195="","",INDEX('REGISTRE ELEVES'!$D$10:$D$250,AT195))</f>
        <v/>
      </c>
      <c r="AW195" s="51" t="str">
        <f aca="false">IF(AT195="","",INDEX('REGISTRE ELEVES'!$E$10:$E$250,AT195))</f>
        <v/>
      </c>
      <c r="AX195" s="51" t="str">
        <f aca="false">IF(AU195="","",IFERROR(CHOOSE($P$8,INDEX('NOTES CE2-CM1'!$M$10:$M$250,MATCH(AU195,'NOTES CE2-CM1'!$B$10:$B$250,0)),INDEX('NOTES CE2-CM1'!$T$10:$T$250,MATCH(AU195,'NOTES CE2-CM1'!$B$10:$B$250,0)),INDEX('NOTES CE2-CM1'!$AA$10:$AA$250,MATCH(AU195,'NOTES CE2-CM1'!$B$10:$B$250,0)),INDEX('NOTES CE2-CM1'!$AH$10:$AH$250,MATCH(AU195,'NOTES CE2-CM1'!$B$10:$B$250,0))),""))</f>
        <v/>
      </c>
      <c r="AY195" s="51" t="str">
        <f aca="false">IF(ISNUMBER(AX195),AX195+(1000-75)/1000000,"")</f>
        <v/>
      </c>
      <c r="AZ195" s="51" t="str">
        <f aca="false">IF(AU195="","",IFERROR(CHOOSE($P$8,INDEX('NOTES CE2-CM1'!$G$10:$G$250,MATCH(AU195,'NOTES CE2-CM1'!$B$10:$B$250,0)),INDEX('NOTES CE2-CM1'!$N$10:$N$250,MATCH(AU195,'NOTES CE2-CM1'!$B$10:$B$250,0)),INDEX('NOTES CE2-CM1'!$U$10:$U$250,MATCH(AU195,'NOTES CE2-CM1'!$B$10:$B$250,0)),INDEX('NOTES CE2-CM1'!$AB$10:$AB$250,MATCH(AU195,'NOTES CE2-CM1'!$B$10:$B$250,0))),""))</f>
        <v/>
      </c>
      <c r="BA195" s="51" t="str">
        <f aca="false">IFERROR(MATCH("CM2-75",'REGISTRE ELEVES'!$AG$10:$AG$250,0),"")</f>
        <v/>
      </c>
      <c r="BB195" s="51" t="str">
        <f aca="false">IF(BA195="","",INDEX('REGISTRE ELEVES'!$B$10:$B$250,BA195))</f>
        <v/>
      </c>
      <c r="BC195" s="51" t="str">
        <f aca="false">IF(BA195="","",INDEX('REGISTRE ELEVES'!$D$10:$D$250,BA195))</f>
        <v/>
      </c>
      <c r="BD195" s="51" t="str">
        <f aca="false">IF(BA195="","",INDEX('REGISTRE ELEVES'!$E$10:$E$250,BA195))</f>
        <v/>
      </c>
      <c r="BE195" s="51" t="str">
        <f aca="false">IF(BB195="","",IFERROR(CHOOSE($P$10,INDEX('NOTES CM2'!$M$10:$M$250,MATCH(BB195,'NOTES CM2'!$B$10:$B$250,0)),INDEX('NOTES CM2'!$T$10:$T$250,MATCH(BB195,'NOTES CM2'!$B$10:$B$250,0)),INDEX('NOTES CM2'!$AB$10:$AB$250,MATCH(BB195,'NOTES CM2'!$B$10:$B$250,0)),INDEX('NOTES CM2'!$AJ$10:$AJ$250,MATCH(BB195,'NOTES CM2'!$B$10:$B$250,0))),""))</f>
        <v/>
      </c>
      <c r="BF195" s="51" t="str">
        <f aca="false">IF(ISNUMBER(BE195),BE195+(1000-75)/1000000,"")</f>
        <v/>
      </c>
      <c r="BG195" s="51" t="str">
        <f aca="false">IF(BB195="","",IFERROR(CHOOSE($P$10,INDEX('NOTES CM2'!$G$10:$G$250,MATCH(BB195,'NOTES CM2'!$B$10:$B$250,0)),INDEX('NOTES CM2'!$N$10:$N$250,MATCH(BB195,'NOTES CM2'!$B$10:$B$250,0)),INDEX('NOTES CM2'!$U$10:$U$250,MATCH(BB195,'NOTES CM2'!$B$10:$B$250,0)),INDEX('NOTES CM2'!$AC$10:$AC$250,MATCH(BB195,'NOTES CM2'!$B$10:$B$250,0))),""))</f>
        <v/>
      </c>
    </row>
    <row r="196" customFormat="false" ht="15" hidden="false" customHeight="false" outlineLevel="0" collapsed="false">
      <c r="R196" s="51" t="str">
        <f aca="false">IFERROR(MATCH("CP1-76",'REGISTRE ELEVES'!$AG$10:$AG$250,0),"")</f>
        <v/>
      </c>
      <c r="S196" s="51" t="str">
        <f aca="false">IF(R196="","",INDEX('REGISTRE ELEVES'!$B$10:$B$250,R196))</f>
        <v/>
      </c>
      <c r="T196" s="51" t="str">
        <f aca="false">IF(R196="","",INDEX('REGISTRE ELEVES'!$D$10:$D$250,R196))</f>
        <v/>
      </c>
      <c r="U196" s="51" t="str">
        <f aca="false">IF(R196="","",INDEX('REGISTRE ELEVES'!$E$10:$E$250,R196))</f>
        <v/>
      </c>
      <c r="V196" s="51" t="str">
        <f aca="false">IF(S196="","",IFERROR(CHOOSE($P$8,INDEX('NOTES CP'!$P$10:$P$250,MATCH(S196,'NOTES CP'!$B$10:$B$250,0)),INDEX('NOTES CP'!$Z$10:$Z$250,MATCH(S196,'NOTES CP'!$B$10:$B$250,0)),INDEX('NOTES CP'!$AJ$10:$AJ$250,MATCH(S196,'NOTES CP'!$B$10:$B$250,0)),INDEX('NOTES CP'!$AT$10:$AT$250,MATCH(S196,'NOTES CP'!$B$10:$B$250,0))),""))</f>
        <v/>
      </c>
      <c r="W196" s="51" t="str">
        <f aca="false">IF(ISNUMBER(V196),V196+(1000-76)/1000000,"")</f>
        <v/>
      </c>
      <c r="X196" s="51" t="str">
        <f aca="false">IF(S196="","",IFERROR(CHOOSE($P$8,INDEX('NOTES CP'!$G$10:$G$250,MATCH(S196,'NOTES CP'!$B$10:$B$250,0)),INDEX('NOTES CP'!$Q$10:$Q$250,MATCH(S196,'NOTES CP'!$B$10:$B$250,0)),INDEX('NOTES CP'!$AA$10:$AA$250,MATCH(S196,'NOTES CP'!$B$10:$B$250,0)),INDEX('NOTES CP'!$AK$10:$AK$250,MATCH(S196,'NOTES CP'!$B$10:$B$250,0))),""))</f>
        <v/>
      </c>
      <c r="Y196" s="51" t="str">
        <f aca="false">IFERROR(MATCH("CP2-76",'REGISTRE ELEVES'!$AG$10:$AG$250,0),"")</f>
        <v/>
      </c>
      <c r="Z196" s="51" t="str">
        <f aca="false">IF(Y196="","",INDEX('REGISTRE ELEVES'!$B$10:$B$250,Y196))</f>
        <v/>
      </c>
      <c r="AA196" s="51" t="str">
        <f aca="false">IF(Y196="","",INDEX('REGISTRE ELEVES'!$D$10:$D$250,Y196))</f>
        <v/>
      </c>
      <c r="AB196" s="51" t="str">
        <f aca="false">IF(Y196="","",INDEX('REGISTRE ELEVES'!$E$10:$E$250,Y196))</f>
        <v/>
      </c>
      <c r="AC196" s="51" t="str">
        <f aca="false">IF(Z196="","",IFERROR(CHOOSE($P$8,INDEX('NOTES CP'!$P$10:$P$250,MATCH(Z196,'NOTES CP'!$B$10:$B$250,0)),INDEX('NOTES CP'!$Z$10:$Z$250,MATCH(Z196,'NOTES CP'!$B$10:$B$250,0)),INDEX('NOTES CP'!$AJ$10:$AJ$250,MATCH(Z196,'NOTES CP'!$B$10:$B$250,0)),INDEX('NOTES CP'!$AT$10:$AT$250,MATCH(Z196,'NOTES CP'!$B$10:$B$250,0))),""))</f>
        <v/>
      </c>
      <c r="AD196" s="51" t="str">
        <f aca="false">IF(ISNUMBER(AC196),AC196+(1000-76)/1000000,"")</f>
        <v/>
      </c>
      <c r="AE196" s="51" t="str">
        <f aca="false">IF(Z196="","",IFERROR(CHOOSE($P$8,INDEX('NOTES CP'!$G$10:$G$250,MATCH(Z196,'NOTES CP'!$B$10:$B$250,0)),INDEX('NOTES CP'!$Q$10:$Q$250,MATCH(Z196,'NOTES CP'!$B$10:$B$250,0)),INDEX('NOTES CP'!$AA$10:$AA$250,MATCH(Z196,'NOTES CP'!$B$10:$B$250,0)),INDEX('NOTES CP'!$AK$10:$AK$250,MATCH(Z196,'NOTES CP'!$B$10:$B$250,0))),""))</f>
        <v/>
      </c>
      <c r="AF196" s="51" t="str">
        <f aca="false">IFERROR(MATCH("CE1-76",'REGISTRE ELEVES'!$AG$10:$AG$250,0),"")</f>
        <v/>
      </c>
      <c r="AG196" s="51" t="str">
        <f aca="false">IF(AF196="","",INDEX('REGISTRE ELEVES'!$B$10:$B$250,AF196))</f>
        <v/>
      </c>
      <c r="AH196" s="51" t="str">
        <f aca="false">IF(AF196="","",INDEX('REGISTRE ELEVES'!$D$10:$D$250,AF196))</f>
        <v/>
      </c>
      <c r="AI196" s="51" t="str">
        <f aca="false">IF(AF196="","",INDEX('REGISTRE ELEVES'!$E$10:$E$250,AF196))</f>
        <v/>
      </c>
      <c r="AJ196" s="51" t="str">
        <f aca="false">IF(AG196="","",IFERROR(CHOOSE($P$8,INDEX('NOTES CE1'!$M$10:$M$250,MATCH(AG196,'NOTES CE1'!$B$10:$B$250,0)),INDEX('NOTES CE1'!$T$10:$T$250,MATCH(AG196,'NOTES CE1'!$B$10:$B$250,0)),INDEX('NOTES CE1'!$AA$10:$AA$250,MATCH(AG196,'NOTES CE1'!$B$10:$B$250,0)),INDEX('NOTES CE1'!$AH$10:$AH$250,MATCH(AG196,'NOTES CE1'!$B$10:$B$250,0))),""))</f>
        <v/>
      </c>
      <c r="AK196" s="51" t="str">
        <f aca="false">IF(ISNUMBER(AJ196),AJ196+(1000-76)/1000000,"")</f>
        <v/>
      </c>
      <c r="AL196" s="51" t="str">
        <f aca="false">IF(AG196="","",IFERROR(CHOOSE($P$8,INDEX('NOTES CE1'!$G$10:$G$250,MATCH(AG196,'NOTES CE1'!$B$10:$B$250,0)),INDEX('NOTES CE1'!$N$10:$N$250,MATCH(AG196,'NOTES CE1'!$B$10:$B$250,0)),INDEX('NOTES CE1'!$U$10:$U$250,MATCH(AG196,'NOTES CE1'!$B$10:$B$250,0)),INDEX('NOTES CE1'!$AB$10:$AB$250,MATCH(AG196,'NOTES CE1'!$B$10:$B$250,0))),""))</f>
        <v/>
      </c>
      <c r="AM196" s="51" t="str">
        <f aca="false">IFERROR(MATCH("CE2-76",'REGISTRE ELEVES'!$AG$10:$AG$250,0),"")</f>
        <v/>
      </c>
      <c r="AN196" s="51" t="str">
        <f aca="false">IF(AM196="","",INDEX('REGISTRE ELEVES'!$B$10:$B$250,AM196))</f>
        <v/>
      </c>
      <c r="AO196" s="51" t="str">
        <f aca="false">IF(AM196="","",INDEX('REGISTRE ELEVES'!$D$10:$D$250,AM196))</f>
        <v/>
      </c>
      <c r="AP196" s="51" t="str">
        <f aca="false">IF(AM196="","",INDEX('REGISTRE ELEVES'!$E$10:$E$250,AM196))</f>
        <v/>
      </c>
      <c r="AQ196" s="51" t="str">
        <f aca="false">IF(AN196="","",IFERROR(CHOOSE($P$8,INDEX('NOTES CE2-CM1'!$M$10:$M$250,MATCH(AN196,'NOTES CE2-CM1'!$B$10:$B$250,0)),INDEX('NOTES CE2-CM1'!$T$10:$T$250,MATCH(AN196,'NOTES CE2-CM1'!$B$10:$B$250,0)),INDEX('NOTES CE2-CM1'!$AA$10:$AA$250,MATCH(AN196,'NOTES CE2-CM1'!$B$10:$B$250,0)),INDEX('NOTES CE2-CM1'!$AH$10:$AH$250,MATCH(AN196,'NOTES CE2-CM1'!$B$10:$B$250,0))),""))</f>
        <v/>
      </c>
      <c r="AR196" s="51" t="str">
        <f aca="false">IF(ISNUMBER(AQ196),AQ196+(1000-76)/1000000,"")</f>
        <v/>
      </c>
      <c r="AS196" s="51" t="str">
        <f aca="false">IF(AN196="","",IFERROR(CHOOSE($P$8,INDEX('NOTES CE2-CM1'!$G$10:$G$250,MATCH(AN196,'NOTES CE2-CM1'!$B$10:$B$250,0)),INDEX('NOTES CE2-CM1'!$N$10:$N$250,MATCH(AN196,'NOTES CE2-CM1'!$B$10:$B$250,0)),INDEX('NOTES CE2-CM1'!$U$10:$U$250,MATCH(AN196,'NOTES CE2-CM1'!$B$10:$B$250,0)),INDEX('NOTES CE2-CM1'!$AB$10:$AB$250,MATCH(AN196,'NOTES CE2-CM1'!$B$10:$B$250,0))),""))</f>
        <v/>
      </c>
      <c r="AT196" s="51" t="str">
        <f aca="false">IFERROR(MATCH("CM1-76",'REGISTRE ELEVES'!$AG$10:$AG$250,0),"")</f>
        <v/>
      </c>
      <c r="AU196" s="51" t="str">
        <f aca="false">IF(AT196="","",INDEX('REGISTRE ELEVES'!$B$10:$B$250,AT196))</f>
        <v/>
      </c>
      <c r="AV196" s="51" t="str">
        <f aca="false">IF(AT196="","",INDEX('REGISTRE ELEVES'!$D$10:$D$250,AT196))</f>
        <v/>
      </c>
      <c r="AW196" s="51" t="str">
        <f aca="false">IF(AT196="","",INDEX('REGISTRE ELEVES'!$E$10:$E$250,AT196))</f>
        <v/>
      </c>
      <c r="AX196" s="51" t="str">
        <f aca="false">IF(AU196="","",IFERROR(CHOOSE($P$8,INDEX('NOTES CE2-CM1'!$M$10:$M$250,MATCH(AU196,'NOTES CE2-CM1'!$B$10:$B$250,0)),INDEX('NOTES CE2-CM1'!$T$10:$T$250,MATCH(AU196,'NOTES CE2-CM1'!$B$10:$B$250,0)),INDEX('NOTES CE2-CM1'!$AA$10:$AA$250,MATCH(AU196,'NOTES CE2-CM1'!$B$10:$B$250,0)),INDEX('NOTES CE2-CM1'!$AH$10:$AH$250,MATCH(AU196,'NOTES CE2-CM1'!$B$10:$B$250,0))),""))</f>
        <v/>
      </c>
      <c r="AY196" s="51" t="str">
        <f aca="false">IF(ISNUMBER(AX196),AX196+(1000-76)/1000000,"")</f>
        <v/>
      </c>
      <c r="AZ196" s="51" t="str">
        <f aca="false">IF(AU196="","",IFERROR(CHOOSE($P$8,INDEX('NOTES CE2-CM1'!$G$10:$G$250,MATCH(AU196,'NOTES CE2-CM1'!$B$10:$B$250,0)),INDEX('NOTES CE2-CM1'!$N$10:$N$250,MATCH(AU196,'NOTES CE2-CM1'!$B$10:$B$250,0)),INDEX('NOTES CE2-CM1'!$U$10:$U$250,MATCH(AU196,'NOTES CE2-CM1'!$B$10:$B$250,0)),INDEX('NOTES CE2-CM1'!$AB$10:$AB$250,MATCH(AU196,'NOTES CE2-CM1'!$B$10:$B$250,0))),""))</f>
        <v/>
      </c>
      <c r="BA196" s="51" t="str">
        <f aca="false">IFERROR(MATCH("CM2-76",'REGISTRE ELEVES'!$AG$10:$AG$250,0),"")</f>
        <v/>
      </c>
      <c r="BB196" s="51" t="str">
        <f aca="false">IF(BA196="","",INDEX('REGISTRE ELEVES'!$B$10:$B$250,BA196))</f>
        <v/>
      </c>
      <c r="BC196" s="51" t="str">
        <f aca="false">IF(BA196="","",INDEX('REGISTRE ELEVES'!$D$10:$D$250,BA196))</f>
        <v/>
      </c>
      <c r="BD196" s="51" t="str">
        <f aca="false">IF(BA196="","",INDEX('REGISTRE ELEVES'!$E$10:$E$250,BA196))</f>
        <v/>
      </c>
      <c r="BE196" s="51" t="str">
        <f aca="false">IF(BB196="","",IFERROR(CHOOSE($P$10,INDEX('NOTES CM2'!$M$10:$M$250,MATCH(BB196,'NOTES CM2'!$B$10:$B$250,0)),INDEX('NOTES CM2'!$T$10:$T$250,MATCH(BB196,'NOTES CM2'!$B$10:$B$250,0)),INDEX('NOTES CM2'!$AB$10:$AB$250,MATCH(BB196,'NOTES CM2'!$B$10:$B$250,0)),INDEX('NOTES CM2'!$AJ$10:$AJ$250,MATCH(BB196,'NOTES CM2'!$B$10:$B$250,0))),""))</f>
        <v/>
      </c>
      <c r="BF196" s="51" t="str">
        <f aca="false">IF(ISNUMBER(BE196),BE196+(1000-76)/1000000,"")</f>
        <v/>
      </c>
      <c r="BG196" s="51" t="str">
        <f aca="false">IF(BB196="","",IFERROR(CHOOSE($P$10,INDEX('NOTES CM2'!$G$10:$G$250,MATCH(BB196,'NOTES CM2'!$B$10:$B$250,0)),INDEX('NOTES CM2'!$N$10:$N$250,MATCH(BB196,'NOTES CM2'!$B$10:$B$250,0)),INDEX('NOTES CM2'!$U$10:$U$250,MATCH(BB196,'NOTES CM2'!$B$10:$B$250,0)),INDEX('NOTES CM2'!$AC$10:$AC$250,MATCH(BB196,'NOTES CM2'!$B$10:$B$250,0))),""))</f>
        <v/>
      </c>
    </row>
    <row r="197" customFormat="false" ht="15" hidden="false" customHeight="false" outlineLevel="0" collapsed="false">
      <c r="R197" s="51" t="str">
        <f aca="false">IFERROR(MATCH("CP1-77",'REGISTRE ELEVES'!$AG$10:$AG$250,0),"")</f>
        <v/>
      </c>
      <c r="S197" s="51" t="str">
        <f aca="false">IF(R197="","",INDEX('REGISTRE ELEVES'!$B$10:$B$250,R197))</f>
        <v/>
      </c>
      <c r="T197" s="51" t="str">
        <f aca="false">IF(R197="","",INDEX('REGISTRE ELEVES'!$D$10:$D$250,R197))</f>
        <v/>
      </c>
      <c r="U197" s="51" t="str">
        <f aca="false">IF(R197="","",INDEX('REGISTRE ELEVES'!$E$10:$E$250,R197))</f>
        <v/>
      </c>
      <c r="V197" s="51" t="str">
        <f aca="false">IF(S197="","",IFERROR(CHOOSE($P$8,INDEX('NOTES CP'!$P$10:$P$250,MATCH(S197,'NOTES CP'!$B$10:$B$250,0)),INDEX('NOTES CP'!$Z$10:$Z$250,MATCH(S197,'NOTES CP'!$B$10:$B$250,0)),INDEX('NOTES CP'!$AJ$10:$AJ$250,MATCH(S197,'NOTES CP'!$B$10:$B$250,0)),INDEX('NOTES CP'!$AT$10:$AT$250,MATCH(S197,'NOTES CP'!$B$10:$B$250,0))),""))</f>
        <v/>
      </c>
      <c r="W197" s="51" t="str">
        <f aca="false">IF(ISNUMBER(V197),V197+(1000-77)/1000000,"")</f>
        <v/>
      </c>
      <c r="X197" s="51" t="str">
        <f aca="false">IF(S197="","",IFERROR(CHOOSE($P$8,INDEX('NOTES CP'!$G$10:$G$250,MATCH(S197,'NOTES CP'!$B$10:$B$250,0)),INDEX('NOTES CP'!$Q$10:$Q$250,MATCH(S197,'NOTES CP'!$B$10:$B$250,0)),INDEX('NOTES CP'!$AA$10:$AA$250,MATCH(S197,'NOTES CP'!$B$10:$B$250,0)),INDEX('NOTES CP'!$AK$10:$AK$250,MATCH(S197,'NOTES CP'!$B$10:$B$250,0))),""))</f>
        <v/>
      </c>
      <c r="Y197" s="51" t="str">
        <f aca="false">IFERROR(MATCH("CP2-77",'REGISTRE ELEVES'!$AG$10:$AG$250,0),"")</f>
        <v/>
      </c>
      <c r="Z197" s="51" t="str">
        <f aca="false">IF(Y197="","",INDEX('REGISTRE ELEVES'!$B$10:$B$250,Y197))</f>
        <v/>
      </c>
      <c r="AA197" s="51" t="str">
        <f aca="false">IF(Y197="","",INDEX('REGISTRE ELEVES'!$D$10:$D$250,Y197))</f>
        <v/>
      </c>
      <c r="AB197" s="51" t="str">
        <f aca="false">IF(Y197="","",INDEX('REGISTRE ELEVES'!$E$10:$E$250,Y197))</f>
        <v/>
      </c>
      <c r="AC197" s="51" t="str">
        <f aca="false">IF(Z197="","",IFERROR(CHOOSE($P$8,INDEX('NOTES CP'!$P$10:$P$250,MATCH(Z197,'NOTES CP'!$B$10:$B$250,0)),INDEX('NOTES CP'!$Z$10:$Z$250,MATCH(Z197,'NOTES CP'!$B$10:$B$250,0)),INDEX('NOTES CP'!$AJ$10:$AJ$250,MATCH(Z197,'NOTES CP'!$B$10:$B$250,0)),INDEX('NOTES CP'!$AT$10:$AT$250,MATCH(Z197,'NOTES CP'!$B$10:$B$250,0))),""))</f>
        <v/>
      </c>
      <c r="AD197" s="51" t="str">
        <f aca="false">IF(ISNUMBER(AC197),AC197+(1000-77)/1000000,"")</f>
        <v/>
      </c>
      <c r="AE197" s="51" t="str">
        <f aca="false">IF(Z197="","",IFERROR(CHOOSE($P$8,INDEX('NOTES CP'!$G$10:$G$250,MATCH(Z197,'NOTES CP'!$B$10:$B$250,0)),INDEX('NOTES CP'!$Q$10:$Q$250,MATCH(Z197,'NOTES CP'!$B$10:$B$250,0)),INDEX('NOTES CP'!$AA$10:$AA$250,MATCH(Z197,'NOTES CP'!$B$10:$B$250,0)),INDEX('NOTES CP'!$AK$10:$AK$250,MATCH(Z197,'NOTES CP'!$B$10:$B$250,0))),""))</f>
        <v/>
      </c>
      <c r="AF197" s="51" t="str">
        <f aca="false">IFERROR(MATCH("CE1-77",'REGISTRE ELEVES'!$AG$10:$AG$250,0),"")</f>
        <v/>
      </c>
      <c r="AG197" s="51" t="str">
        <f aca="false">IF(AF197="","",INDEX('REGISTRE ELEVES'!$B$10:$B$250,AF197))</f>
        <v/>
      </c>
      <c r="AH197" s="51" t="str">
        <f aca="false">IF(AF197="","",INDEX('REGISTRE ELEVES'!$D$10:$D$250,AF197))</f>
        <v/>
      </c>
      <c r="AI197" s="51" t="str">
        <f aca="false">IF(AF197="","",INDEX('REGISTRE ELEVES'!$E$10:$E$250,AF197))</f>
        <v/>
      </c>
      <c r="AJ197" s="51" t="str">
        <f aca="false">IF(AG197="","",IFERROR(CHOOSE($P$8,INDEX('NOTES CE1'!$M$10:$M$250,MATCH(AG197,'NOTES CE1'!$B$10:$B$250,0)),INDEX('NOTES CE1'!$T$10:$T$250,MATCH(AG197,'NOTES CE1'!$B$10:$B$250,0)),INDEX('NOTES CE1'!$AA$10:$AA$250,MATCH(AG197,'NOTES CE1'!$B$10:$B$250,0)),INDEX('NOTES CE1'!$AH$10:$AH$250,MATCH(AG197,'NOTES CE1'!$B$10:$B$250,0))),""))</f>
        <v/>
      </c>
      <c r="AK197" s="51" t="str">
        <f aca="false">IF(ISNUMBER(AJ197),AJ197+(1000-77)/1000000,"")</f>
        <v/>
      </c>
      <c r="AL197" s="51" t="str">
        <f aca="false">IF(AG197="","",IFERROR(CHOOSE($P$8,INDEX('NOTES CE1'!$G$10:$G$250,MATCH(AG197,'NOTES CE1'!$B$10:$B$250,0)),INDEX('NOTES CE1'!$N$10:$N$250,MATCH(AG197,'NOTES CE1'!$B$10:$B$250,0)),INDEX('NOTES CE1'!$U$10:$U$250,MATCH(AG197,'NOTES CE1'!$B$10:$B$250,0)),INDEX('NOTES CE1'!$AB$10:$AB$250,MATCH(AG197,'NOTES CE1'!$B$10:$B$250,0))),""))</f>
        <v/>
      </c>
      <c r="AM197" s="51" t="str">
        <f aca="false">IFERROR(MATCH("CE2-77",'REGISTRE ELEVES'!$AG$10:$AG$250,0),"")</f>
        <v/>
      </c>
      <c r="AN197" s="51" t="str">
        <f aca="false">IF(AM197="","",INDEX('REGISTRE ELEVES'!$B$10:$B$250,AM197))</f>
        <v/>
      </c>
      <c r="AO197" s="51" t="str">
        <f aca="false">IF(AM197="","",INDEX('REGISTRE ELEVES'!$D$10:$D$250,AM197))</f>
        <v/>
      </c>
      <c r="AP197" s="51" t="str">
        <f aca="false">IF(AM197="","",INDEX('REGISTRE ELEVES'!$E$10:$E$250,AM197))</f>
        <v/>
      </c>
      <c r="AQ197" s="51" t="str">
        <f aca="false">IF(AN197="","",IFERROR(CHOOSE($P$8,INDEX('NOTES CE2-CM1'!$M$10:$M$250,MATCH(AN197,'NOTES CE2-CM1'!$B$10:$B$250,0)),INDEX('NOTES CE2-CM1'!$T$10:$T$250,MATCH(AN197,'NOTES CE2-CM1'!$B$10:$B$250,0)),INDEX('NOTES CE2-CM1'!$AA$10:$AA$250,MATCH(AN197,'NOTES CE2-CM1'!$B$10:$B$250,0)),INDEX('NOTES CE2-CM1'!$AH$10:$AH$250,MATCH(AN197,'NOTES CE2-CM1'!$B$10:$B$250,0))),""))</f>
        <v/>
      </c>
      <c r="AR197" s="51" t="str">
        <f aca="false">IF(ISNUMBER(AQ197),AQ197+(1000-77)/1000000,"")</f>
        <v/>
      </c>
      <c r="AS197" s="51" t="str">
        <f aca="false">IF(AN197="","",IFERROR(CHOOSE($P$8,INDEX('NOTES CE2-CM1'!$G$10:$G$250,MATCH(AN197,'NOTES CE2-CM1'!$B$10:$B$250,0)),INDEX('NOTES CE2-CM1'!$N$10:$N$250,MATCH(AN197,'NOTES CE2-CM1'!$B$10:$B$250,0)),INDEX('NOTES CE2-CM1'!$U$10:$U$250,MATCH(AN197,'NOTES CE2-CM1'!$B$10:$B$250,0)),INDEX('NOTES CE2-CM1'!$AB$10:$AB$250,MATCH(AN197,'NOTES CE2-CM1'!$B$10:$B$250,0))),""))</f>
        <v/>
      </c>
      <c r="AT197" s="51" t="str">
        <f aca="false">IFERROR(MATCH("CM1-77",'REGISTRE ELEVES'!$AG$10:$AG$250,0),"")</f>
        <v/>
      </c>
      <c r="AU197" s="51" t="str">
        <f aca="false">IF(AT197="","",INDEX('REGISTRE ELEVES'!$B$10:$B$250,AT197))</f>
        <v/>
      </c>
      <c r="AV197" s="51" t="str">
        <f aca="false">IF(AT197="","",INDEX('REGISTRE ELEVES'!$D$10:$D$250,AT197))</f>
        <v/>
      </c>
      <c r="AW197" s="51" t="str">
        <f aca="false">IF(AT197="","",INDEX('REGISTRE ELEVES'!$E$10:$E$250,AT197))</f>
        <v/>
      </c>
      <c r="AX197" s="51" t="str">
        <f aca="false">IF(AU197="","",IFERROR(CHOOSE($P$8,INDEX('NOTES CE2-CM1'!$M$10:$M$250,MATCH(AU197,'NOTES CE2-CM1'!$B$10:$B$250,0)),INDEX('NOTES CE2-CM1'!$T$10:$T$250,MATCH(AU197,'NOTES CE2-CM1'!$B$10:$B$250,0)),INDEX('NOTES CE2-CM1'!$AA$10:$AA$250,MATCH(AU197,'NOTES CE2-CM1'!$B$10:$B$250,0)),INDEX('NOTES CE2-CM1'!$AH$10:$AH$250,MATCH(AU197,'NOTES CE2-CM1'!$B$10:$B$250,0))),""))</f>
        <v/>
      </c>
      <c r="AY197" s="51" t="str">
        <f aca="false">IF(ISNUMBER(AX197),AX197+(1000-77)/1000000,"")</f>
        <v/>
      </c>
      <c r="AZ197" s="51" t="str">
        <f aca="false">IF(AU197="","",IFERROR(CHOOSE($P$8,INDEX('NOTES CE2-CM1'!$G$10:$G$250,MATCH(AU197,'NOTES CE2-CM1'!$B$10:$B$250,0)),INDEX('NOTES CE2-CM1'!$N$10:$N$250,MATCH(AU197,'NOTES CE2-CM1'!$B$10:$B$250,0)),INDEX('NOTES CE2-CM1'!$U$10:$U$250,MATCH(AU197,'NOTES CE2-CM1'!$B$10:$B$250,0)),INDEX('NOTES CE2-CM1'!$AB$10:$AB$250,MATCH(AU197,'NOTES CE2-CM1'!$B$10:$B$250,0))),""))</f>
        <v/>
      </c>
      <c r="BA197" s="51" t="str">
        <f aca="false">IFERROR(MATCH("CM2-77",'REGISTRE ELEVES'!$AG$10:$AG$250,0),"")</f>
        <v/>
      </c>
      <c r="BB197" s="51" t="str">
        <f aca="false">IF(BA197="","",INDEX('REGISTRE ELEVES'!$B$10:$B$250,BA197))</f>
        <v/>
      </c>
      <c r="BC197" s="51" t="str">
        <f aca="false">IF(BA197="","",INDEX('REGISTRE ELEVES'!$D$10:$D$250,BA197))</f>
        <v/>
      </c>
      <c r="BD197" s="51" t="str">
        <f aca="false">IF(BA197="","",INDEX('REGISTRE ELEVES'!$E$10:$E$250,BA197))</f>
        <v/>
      </c>
      <c r="BE197" s="51" t="str">
        <f aca="false">IF(BB197="","",IFERROR(CHOOSE($P$10,INDEX('NOTES CM2'!$M$10:$M$250,MATCH(BB197,'NOTES CM2'!$B$10:$B$250,0)),INDEX('NOTES CM2'!$T$10:$T$250,MATCH(BB197,'NOTES CM2'!$B$10:$B$250,0)),INDEX('NOTES CM2'!$AB$10:$AB$250,MATCH(BB197,'NOTES CM2'!$B$10:$B$250,0)),INDEX('NOTES CM2'!$AJ$10:$AJ$250,MATCH(BB197,'NOTES CM2'!$B$10:$B$250,0))),""))</f>
        <v/>
      </c>
      <c r="BF197" s="51" t="str">
        <f aca="false">IF(ISNUMBER(BE197),BE197+(1000-77)/1000000,"")</f>
        <v/>
      </c>
      <c r="BG197" s="51" t="str">
        <f aca="false">IF(BB197="","",IFERROR(CHOOSE($P$10,INDEX('NOTES CM2'!$G$10:$G$250,MATCH(BB197,'NOTES CM2'!$B$10:$B$250,0)),INDEX('NOTES CM2'!$N$10:$N$250,MATCH(BB197,'NOTES CM2'!$B$10:$B$250,0)),INDEX('NOTES CM2'!$U$10:$U$250,MATCH(BB197,'NOTES CM2'!$B$10:$B$250,0)),INDEX('NOTES CM2'!$AC$10:$AC$250,MATCH(BB197,'NOTES CM2'!$B$10:$B$250,0))),""))</f>
        <v/>
      </c>
    </row>
    <row r="198" customFormat="false" ht="15" hidden="false" customHeight="false" outlineLevel="0" collapsed="false">
      <c r="R198" s="51" t="str">
        <f aca="false">IFERROR(MATCH("CP1-78",'REGISTRE ELEVES'!$AG$10:$AG$250,0),"")</f>
        <v/>
      </c>
      <c r="S198" s="51" t="str">
        <f aca="false">IF(R198="","",INDEX('REGISTRE ELEVES'!$B$10:$B$250,R198))</f>
        <v/>
      </c>
      <c r="T198" s="51" t="str">
        <f aca="false">IF(R198="","",INDEX('REGISTRE ELEVES'!$D$10:$D$250,R198))</f>
        <v/>
      </c>
      <c r="U198" s="51" t="str">
        <f aca="false">IF(R198="","",INDEX('REGISTRE ELEVES'!$E$10:$E$250,R198))</f>
        <v/>
      </c>
      <c r="V198" s="51" t="str">
        <f aca="false">IF(S198="","",IFERROR(CHOOSE($P$8,INDEX('NOTES CP'!$P$10:$P$250,MATCH(S198,'NOTES CP'!$B$10:$B$250,0)),INDEX('NOTES CP'!$Z$10:$Z$250,MATCH(S198,'NOTES CP'!$B$10:$B$250,0)),INDEX('NOTES CP'!$AJ$10:$AJ$250,MATCH(S198,'NOTES CP'!$B$10:$B$250,0)),INDEX('NOTES CP'!$AT$10:$AT$250,MATCH(S198,'NOTES CP'!$B$10:$B$250,0))),""))</f>
        <v/>
      </c>
      <c r="W198" s="51" t="str">
        <f aca="false">IF(ISNUMBER(V198),V198+(1000-78)/1000000,"")</f>
        <v/>
      </c>
      <c r="X198" s="51" t="str">
        <f aca="false">IF(S198="","",IFERROR(CHOOSE($P$8,INDEX('NOTES CP'!$G$10:$G$250,MATCH(S198,'NOTES CP'!$B$10:$B$250,0)),INDEX('NOTES CP'!$Q$10:$Q$250,MATCH(S198,'NOTES CP'!$B$10:$B$250,0)),INDEX('NOTES CP'!$AA$10:$AA$250,MATCH(S198,'NOTES CP'!$B$10:$B$250,0)),INDEX('NOTES CP'!$AK$10:$AK$250,MATCH(S198,'NOTES CP'!$B$10:$B$250,0))),""))</f>
        <v/>
      </c>
      <c r="Y198" s="51" t="str">
        <f aca="false">IFERROR(MATCH("CP2-78",'REGISTRE ELEVES'!$AG$10:$AG$250,0),"")</f>
        <v/>
      </c>
      <c r="Z198" s="51" t="str">
        <f aca="false">IF(Y198="","",INDEX('REGISTRE ELEVES'!$B$10:$B$250,Y198))</f>
        <v/>
      </c>
      <c r="AA198" s="51" t="str">
        <f aca="false">IF(Y198="","",INDEX('REGISTRE ELEVES'!$D$10:$D$250,Y198))</f>
        <v/>
      </c>
      <c r="AB198" s="51" t="str">
        <f aca="false">IF(Y198="","",INDEX('REGISTRE ELEVES'!$E$10:$E$250,Y198))</f>
        <v/>
      </c>
      <c r="AC198" s="51" t="str">
        <f aca="false">IF(Z198="","",IFERROR(CHOOSE($P$8,INDEX('NOTES CP'!$P$10:$P$250,MATCH(Z198,'NOTES CP'!$B$10:$B$250,0)),INDEX('NOTES CP'!$Z$10:$Z$250,MATCH(Z198,'NOTES CP'!$B$10:$B$250,0)),INDEX('NOTES CP'!$AJ$10:$AJ$250,MATCH(Z198,'NOTES CP'!$B$10:$B$250,0)),INDEX('NOTES CP'!$AT$10:$AT$250,MATCH(Z198,'NOTES CP'!$B$10:$B$250,0))),""))</f>
        <v/>
      </c>
      <c r="AD198" s="51" t="str">
        <f aca="false">IF(ISNUMBER(AC198),AC198+(1000-78)/1000000,"")</f>
        <v/>
      </c>
      <c r="AE198" s="51" t="str">
        <f aca="false">IF(Z198="","",IFERROR(CHOOSE($P$8,INDEX('NOTES CP'!$G$10:$G$250,MATCH(Z198,'NOTES CP'!$B$10:$B$250,0)),INDEX('NOTES CP'!$Q$10:$Q$250,MATCH(Z198,'NOTES CP'!$B$10:$B$250,0)),INDEX('NOTES CP'!$AA$10:$AA$250,MATCH(Z198,'NOTES CP'!$B$10:$B$250,0)),INDEX('NOTES CP'!$AK$10:$AK$250,MATCH(Z198,'NOTES CP'!$B$10:$B$250,0))),""))</f>
        <v/>
      </c>
      <c r="AF198" s="51" t="str">
        <f aca="false">IFERROR(MATCH("CE1-78",'REGISTRE ELEVES'!$AG$10:$AG$250,0),"")</f>
        <v/>
      </c>
      <c r="AG198" s="51" t="str">
        <f aca="false">IF(AF198="","",INDEX('REGISTRE ELEVES'!$B$10:$B$250,AF198))</f>
        <v/>
      </c>
      <c r="AH198" s="51" t="str">
        <f aca="false">IF(AF198="","",INDEX('REGISTRE ELEVES'!$D$10:$D$250,AF198))</f>
        <v/>
      </c>
      <c r="AI198" s="51" t="str">
        <f aca="false">IF(AF198="","",INDEX('REGISTRE ELEVES'!$E$10:$E$250,AF198))</f>
        <v/>
      </c>
      <c r="AJ198" s="51" t="str">
        <f aca="false">IF(AG198="","",IFERROR(CHOOSE($P$8,INDEX('NOTES CE1'!$M$10:$M$250,MATCH(AG198,'NOTES CE1'!$B$10:$B$250,0)),INDEX('NOTES CE1'!$T$10:$T$250,MATCH(AG198,'NOTES CE1'!$B$10:$B$250,0)),INDEX('NOTES CE1'!$AA$10:$AA$250,MATCH(AG198,'NOTES CE1'!$B$10:$B$250,0)),INDEX('NOTES CE1'!$AH$10:$AH$250,MATCH(AG198,'NOTES CE1'!$B$10:$B$250,0))),""))</f>
        <v/>
      </c>
      <c r="AK198" s="51" t="str">
        <f aca="false">IF(ISNUMBER(AJ198),AJ198+(1000-78)/1000000,"")</f>
        <v/>
      </c>
      <c r="AL198" s="51" t="str">
        <f aca="false">IF(AG198="","",IFERROR(CHOOSE($P$8,INDEX('NOTES CE1'!$G$10:$G$250,MATCH(AG198,'NOTES CE1'!$B$10:$B$250,0)),INDEX('NOTES CE1'!$N$10:$N$250,MATCH(AG198,'NOTES CE1'!$B$10:$B$250,0)),INDEX('NOTES CE1'!$U$10:$U$250,MATCH(AG198,'NOTES CE1'!$B$10:$B$250,0)),INDEX('NOTES CE1'!$AB$10:$AB$250,MATCH(AG198,'NOTES CE1'!$B$10:$B$250,0))),""))</f>
        <v/>
      </c>
      <c r="AM198" s="51" t="str">
        <f aca="false">IFERROR(MATCH("CE2-78",'REGISTRE ELEVES'!$AG$10:$AG$250,0),"")</f>
        <v/>
      </c>
      <c r="AN198" s="51" t="str">
        <f aca="false">IF(AM198="","",INDEX('REGISTRE ELEVES'!$B$10:$B$250,AM198))</f>
        <v/>
      </c>
      <c r="AO198" s="51" t="str">
        <f aca="false">IF(AM198="","",INDEX('REGISTRE ELEVES'!$D$10:$D$250,AM198))</f>
        <v/>
      </c>
      <c r="AP198" s="51" t="str">
        <f aca="false">IF(AM198="","",INDEX('REGISTRE ELEVES'!$E$10:$E$250,AM198))</f>
        <v/>
      </c>
      <c r="AQ198" s="51" t="str">
        <f aca="false">IF(AN198="","",IFERROR(CHOOSE($P$8,INDEX('NOTES CE2-CM1'!$M$10:$M$250,MATCH(AN198,'NOTES CE2-CM1'!$B$10:$B$250,0)),INDEX('NOTES CE2-CM1'!$T$10:$T$250,MATCH(AN198,'NOTES CE2-CM1'!$B$10:$B$250,0)),INDEX('NOTES CE2-CM1'!$AA$10:$AA$250,MATCH(AN198,'NOTES CE2-CM1'!$B$10:$B$250,0)),INDEX('NOTES CE2-CM1'!$AH$10:$AH$250,MATCH(AN198,'NOTES CE2-CM1'!$B$10:$B$250,0))),""))</f>
        <v/>
      </c>
      <c r="AR198" s="51" t="str">
        <f aca="false">IF(ISNUMBER(AQ198),AQ198+(1000-78)/1000000,"")</f>
        <v/>
      </c>
      <c r="AS198" s="51" t="str">
        <f aca="false">IF(AN198="","",IFERROR(CHOOSE($P$8,INDEX('NOTES CE2-CM1'!$G$10:$G$250,MATCH(AN198,'NOTES CE2-CM1'!$B$10:$B$250,0)),INDEX('NOTES CE2-CM1'!$N$10:$N$250,MATCH(AN198,'NOTES CE2-CM1'!$B$10:$B$250,0)),INDEX('NOTES CE2-CM1'!$U$10:$U$250,MATCH(AN198,'NOTES CE2-CM1'!$B$10:$B$250,0)),INDEX('NOTES CE2-CM1'!$AB$10:$AB$250,MATCH(AN198,'NOTES CE2-CM1'!$B$10:$B$250,0))),""))</f>
        <v/>
      </c>
      <c r="AT198" s="51" t="str">
        <f aca="false">IFERROR(MATCH("CM1-78",'REGISTRE ELEVES'!$AG$10:$AG$250,0),"")</f>
        <v/>
      </c>
      <c r="AU198" s="51" t="str">
        <f aca="false">IF(AT198="","",INDEX('REGISTRE ELEVES'!$B$10:$B$250,AT198))</f>
        <v/>
      </c>
      <c r="AV198" s="51" t="str">
        <f aca="false">IF(AT198="","",INDEX('REGISTRE ELEVES'!$D$10:$D$250,AT198))</f>
        <v/>
      </c>
      <c r="AW198" s="51" t="str">
        <f aca="false">IF(AT198="","",INDEX('REGISTRE ELEVES'!$E$10:$E$250,AT198))</f>
        <v/>
      </c>
      <c r="AX198" s="51" t="str">
        <f aca="false">IF(AU198="","",IFERROR(CHOOSE($P$8,INDEX('NOTES CE2-CM1'!$M$10:$M$250,MATCH(AU198,'NOTES CE2-CM1'!$B$10:$B$250,0)),INDEX('NOTES CE2-CM1'!$T$10:$T$250,MATCH(AU198,'NOTES CE2-CM1'!$B$10:$B$250,0)),INDEX('NOTES CE2-CM1'!$AA$10:$AA$250,MATCH(AU198,'NOTES CE2-CM1'!$B$10:$B$250,0)),INDEX('NOTES CE2-CM1'!$AH$10:$AH$250,MATCH(AU198,'NOTES CE2-CM1'!$B$10:$B$250,0))),""))</f>
        <v/>
      </c>
      <c r="AY198" s="51" t="str">
        <f aca="false">IF(ISNUMBER(AX198),AX198+(1000-78)/1000000,"")</f>
        <v/>
      </c>
      <c r="AZ198" s="51" t="str">
        <f aca="false">IF(AU198="","",IFERROR(CHOOSE($P$8,INDEX('NOTES CE2-CM1'!$G$10:$G$250,MATCH(AU198,'NOTES CE2-CM1'!$B$10:$B$250,0)),INDEX('NOTES CE2-CM1'!$N$10:$N$250,MATCH(AU198,'NOTES CE2-CM1'!$B$10:$B$250,0)),INDEX('NOTES CE2-CM1'!$U$10:$U$250,MATCH(AU198,'NOTES CE2-CM1'!$B$10:$B$250,0)),INDEX('NOTES CE2-CM1'!$AB$10:$AB$250,MATCH(AU198,'NOTES CE2-CM1'!$B$10:$B$250,0))),""))</f>
        <v/>
      </c>
      <c r="BA198" s="51" t="str">
        <f aca="false">IFERROR(MATCH("CM2-78",'REGISTRE ELEVES'!$AG$10:$AG$250,0),"")</f>
        <v/>
      </c>
      <c r="BB198" s="51" t="str">
        <f aca="false">IF(BA198="","",INDEX('REGISTRE ELEVES'!$B$10:$B$250,BA198))</f>
        <v/>
      </c>
      <c r="BC198" s="51" t="str">
        <f aca="false">IF(BA198="","",INDEX('REGISTRE ELEVES'!$D$10:$D$250,BA198))</f>
        <v/>
      </c>
      <c r="BD198" s="51" t="str">
        <f aca="false">IF(BA198="","",INDEX('REGISTRE ELEVES'!$E$10:$E$250,BA198))</f>
        <v/>
      </c>
      <c r="BE198" s="51" t="str">
        <f aca="false">IF(BB198="","",IFERROR(CHOOSE($P$10,INDEX('NOTES CM2'!$M$10:$M$250,MATCH(BB198,'NOTES CM2'!$B$10:$B$250,0)),INDEX('NOTES CM2'!$T$10:$T$250,MATCH(BB198,'NOTES CM2'!$B$10:$B$250,0)),INDEX('NOTES CM2'!$AB$10:$AB$250,MATCH(BB198,'NOTES CM2'!$B$10:$B$250,0)),INDEX('NOTES CM2'!$AJ$10:$AJ$250,MATCH(BB198,'NOTES CM2'!$B$10:$B$250,0))),""))</f>
        <v/>
      </c>
      <c r="BF198" s="51" t="str">
        <f aca="false">IF(ISNUMBER(BE198),BE198+(1000-78)/1000000,"")</f>
        <v/>
      </c>
      <c r="BG198" s="51" t="str">
        <f aca="false">IF(BB198="","",IFERROR(CHOOSE($P$10,INDEX('NOTES CM2'!$G$10:$G$250,MATCH(BB198,'NOTES CM2'!$B$10:$B$250,0)),INDEX('NOTES CM2'!$N$10:$N$250,MATCH(BB198,'NOTES CM2'!$B$10:$B$250,0)),INDEX('NOTES CM2'!$U$10:$U$250,MATCH(BB198,'NOTES CM2'!$B$10:$B$250,0)),INDEX('NOTES CM2'!$AC$10:$AC$250,MATCH(BB198,'NOTES CM2'!$B$10:$B$250,0))),""))</f>
        <v/>
      </c>
    </row>
    <row r="199" customFormat="false" ht="15" hidden="false" customHeight="false" outlineLevel="0" collapsed="false">
      <c r="R199" s="51" t="str">
        <f aca="false">IFERROR(MATCH("CP1-79",'REGISTRE ELEVES'!$AG$10:$AG$250,0),"")</f>
        <v/>
      </c>
      <c r="S199" s="51" t="str">
        <f aca="false">IF(R199="","",INDEX('REGISTRE ELEVES'!$B$10:$B$250,R199))</f>
        <v/>
      </c>
      <c r="T199" s="51" t="str">
        <f aca="false">IF(R199="","",INDEX('REGISTRE ELEVES'!$D$10:$D$250,R199))</f>
        <v/>
      </c>
      <c r="U199" s="51" t="str">
        <f aca="false">IF(R199="","",INDEX('REGISTRE ELEVES'!$E$10:$E$250,R199))</f>
        <v/>
      </c>
      <c r="V199" s="51" t="str">
        <f aca="false">IF(S199="","",IFERROR(CHOOSE($P$8,INDEX('NOTES CP'!$P$10:$P$250,MATCH(S199,'NOTES CP'!$B$10:$B$250,0)),INDEX('NOTES CP'!$Z$10:$Z$250,MATCH(S199,'NOTES CP'!$B$10:$B$250,0)),INDEX('NOTES CP'!$AJ$10:$AJ$250,MATCH(S199,'NOTES CP'!$B$10:$B$250,0)),INDEX('NOTES CP'!$AT$10:$AT$250,MATCH(S199,'NOTES CP'!$B$10:$B$250,0))),""))</f>
        <v/>
      </c>
      <c r="W199" s="51" t="str">
        <f aca="false">IF(ISNUMBER(V199),V199+(1000-79)/1000000,"")</f>
        <v/>
      </c>
      <c r="X199" s="51" t="str">
        <f aca="false">IF(S199="","",IFERROR(CHOOSE($P$8,INDEX('NOTES CP'!$G$10:$G$250,MATCH(S199,'NOTES CP'!$B$10:$B$250,0)),INDEX('NOTES CP'!$Q$10:$Q$250,MATCH(S199,'NOTES CP'!$B$10:$B$250,0)),INDEX('NOTES CP'!$AA$10:$AA$250,MATCH(S199,'NOTES CP'!$B$10:$B$250,0)),INDEX('NOTES CP'!$AK$10:$AK$250,MATCH(S199,'NOTES CP'!$B$10:$B$250,0))),""))</f>
        <v/>
      </c>
      <c r="Y199" s="51" t="str">
        <f aca="false">IFERROR(MATCH("CP2-79",'REGISTRE ELEVES'!$AG$10:$AG$250,0),"")</f>
        <v/>
      </c>
      <c r="Z199" s="51" t="str">
        <f aca="false">IF(Y199="","",INDEX('REGISTRE ELEVES'!$B$10:$B$250,Y199))</f>
        <v/>
      </c>
      <c r="AA199" s="51" t="str">
        <f aca="false">IF(Y199="","",INDEX('REGISTRE ELEVES'!$D$10:$D$250,Y199))</f>
        <v/>
      </c>
      <c r="AB199" s="51" t="str">
        <f aca="false">IF(Y199="","",INDEX('REGISTRE ELEVES'!$E$10:$E$250,Y199))</f>
        <v/>
      </c>
      <c r="AC199" s="51" t="str">
        <f aca="false">IF(Z199="","",IFERROR(CHOOSE($P$8,INDEX('NOTES CP'!$P$10:$P$250,MATCH(Z199,'NOTES CP'!$B$10:$B$250,0)),INDEX('NOTES CP'!$Z$10:$Z$250,MATCH(Z199,'NOTES CP'!$B$10:$B$250,0)),INDEX('NOTES CP'!$AJ$10:$AJ$250,MATCH(Z199,'NOTES CP'!$B$10:$B$250,0)),INDEX('NOTES CP'!$AT$10:$AT$250,MATCH(Z199,'NOTES CP'!$B$10:$B$250,0))),""))</f>
        <v/>
      </c>
      <c r="AD199" s="51" t="str">
        <f aca="false">IF(ISNUMBER(AC199),AC199+(1000-79)/1000000,"")</f>
        <v/>
      </c>
      <c r="AE199" s="51" t="str">
        <f aca="false">IF(Z199="","",IFERROR(CHOOSE($P$8,INDEX('NOTES CP'!$G$10:$G$250,MATCH(Z199,'NOTES CP'!$B$10:$B$250,0)),INDEX('NOTES CP'!$Q$10:$Q$250,MATCH(Z199,'NOTES CP'!$B$10:$B$250,0)),INDEX('NOTES CP'!$AA$10:$AA$250,MATCH(Z199,'NOTES CP'!$B$10:$B$250,0)),INDEX('NOTES CP'!$AK$10:$AK$250,MATCH(Z199,'NOTES CP'!$B$10:$B$250,0))),""))</f>
        <v/>
      </c>
      <c r="AF199" s="51" t="str">
        <f aca="false">IFERROR(MATCH("CE1-79",'REGISTRE ELEVES'!$AG$10:$AG$250,0),"")</f>
        <v/>
      </c>
      <c r="AG199" s="51" t="str">
        <f aca="false">IF(AF199="","",INDEX('REGISTRE ELEVES'!$B$10:$B$250,AF199))</f>
        <v/>
      </c>
      <c r="AH199" s="51" t="str">
        <f aca="false">IF(AF199="","",INDEX('REGISTRE ELEVES'!$D$10:$D$250,AF199))</f>
        <v/>
      </c>
      <c r="AI199" s="51" t="str">
        <f aca="false">IF(AF199="","",INDEX('REGISTRE ELEVES'!$E$10:$E$250,AF199))</f>
        <v/>
      </c>
      <c r="AJ199" s="51" t="str">
        <f aca="false">IF(AG199="","",IFERROR(CHOOSE($P$8,INDEX('NOTES CE1'!$M$10:$M$250,MATCH(AG199,'NOTES CE1'!$B$10:$B$250,0)),INDEX('NOTES CE1'!$T$10:$T$250,MATCH(AG199,'NOTES CE1'!$B$10:$B$250,0)),INDEX('NOTES CE1'!$AA$10:$AA$250,MATCH(AG199,'NOTES CE1'!$B$10:$B$250,0)),INDEX('NOTES CE1'!$AH$10:$AH$250,MATCH(AG199,'NOTES CE1'!$B$10:$B$250,0))),""))</f>
        <v/>
      </c>
      <c r="AK199" s="51" t="str">
        <f aca="false">IF(ISNUMBER(AJ199),AJ199+(1000-79)/1000000,"")</f>
        <v/>
      </c>
      <c r="AL199" s="51" t="str">
        <f aca="false">IF(AG199="","",IFERROR(CHOOSE($P$8,INDEX('NOTES CE1'!$G$10:$G$250,MATCH(AG199,'NOTES CE1'!$B$10:$B$250,0)),INDEX('NOTES CE1'!$N$10:$N$250,MATCH(AG199,'NOTES CE1'!$B$10:$B$250,0)),INDEX('NOTES CE1'!$U$10:$U$250,MATCH(AG199,'NOTES CE1'!$B$10:$B$250,0)),INDEX('NOTES CE1'!$AB$10:$AB$250,MATCH(AG199,'NOTES CE1'!$B$10:$B$250,0))),""))</f>
        <v/>
      </c>
      <c r="AM199" s="51" t="str">
        <f aca="false">IFERROR(MATCH("CE2-79",'REGISTRE ELEVES'!$AG$10:$AG$250,0),"")</f>
        <v/>
      </c>
      <c r="AN199" s="51" t="str">
        <f aca="false">IF(AM199="","",INDEX('REGISTRE ELEVES'!$B$10:$B$250,AM199))</f>
        <v/>
      </c>
      <c r="AO199" s="51" t="str">
        <f aca="false">IF(AM199="","",INDEX('REGISTRE ELEVES'!$D$10:$D$250,AM199))</f>
        <v/>
      </c>
      <c r="AP199" s="51" t="str">
        <f aca="false">IF(AM199="","",INDEX('REGISTRE ELEVES'!$E$10:$E$250,AM199))</f>
        <v/>
      </c>
      <c r="AQ199" s="51" t="str">
        <f aca="false">IF(AN199="","",IFERROR(CHOOSE($P$8,INDEX('NOTES CE2-CM1'!$M$10:$M$250,MATCH(AN199,'NOTES CE2-CM1'!$B$10:$B$250,0)),INDEX('NOTES CE2-CM1'!$T$10:$T$250,MATCH(AN199,'NOTES CE2-CM1'!$B$10:$B$250,0)),INDEX('NOTES CE2-CM1'!$AA$10:$AA$250,MATCH(AN199,'NOTES CE2-CM1'!$B$10:$B$250,0)),INDEX('NOTES CE2-CM1'!$AH$10:$AH$250,MATCH(AN199,'NOTES CE2-CM1'!$B$10:$B$250,0))),""))</f>
        <v/>
      </c>
      <c r="AR199" s="51" t="str">
        <f aca="false">IF(ISNUMBER(AQ199),AQ199+(1000-79)/1000000,"")</f>
        <v/>
      </c>
      <c r="AS199" s="51" t="str">
        <f aca="false">IF(AN199="","",IFERROR(CHOOSE($P$8,INDEX('NOTES CE2-CM1'!$G$10:$G$250,MATCH(AN199,'NOTES CE2-CM1'!$B$10:$B$250,0)),INDEX('NOTES CE2-CM1'!$N$10:$N$250,MATCH(AN199,'NOTES CE2-CM1'!$B$10:$B$250,0)),INDEX('NOTES CE2-CM1'!$U$10:$U$250,MATCH(AN199,'NOTES CE2-CM1'!$B$10:$B$250,0)),INDEX('NOTES CE2-CM1'!$AB$10:$AB$250,MATCH(AN199,'NOTES CE2-CM1'!$B$10:$B$250,0))),""))</f>
        <v/>
      </c>
      <c r="AT199" s="51" t="str">
        <f aca="false">IFERROR(MATCH("CM1-79",'REGISTRE ELEVES'!$AG$10:$AG$250,0),"")</f>
        <v/>
      </c>
      <c r="AU199" s="51" t="str">
        <f aca="false">IF(AT199="","",INDEX('REGISTRE ELEVES'!$B$10:$B$250,AT199))</f>
        <v/>
      </c>
      <c r="AV199" s="51" t="str">
        <f aca="false">IF(AT199="","",INDEX('REGISTRE ELEVES'!$D$10:$D$250,AT199))</f>
        <v/>
      </c>
      <c r="AW199" s="51" t="str">
        <f aca="false">IF(AT199="","",INDEX('REGISTRE ELEVES'!$E$10:$E$250,AT199))</f>
        <v/>
      </c>
      <c r="AX199" s="51" t="str">
        <f aca="false">IF(AU199="","",IFERROR(CHOOSE($P$8,INDEX('NOTES CE2-CM1'!$M$10:$M$250,MATCH(AU199,'NOTES CE2-CM1'!$B$10:$B$250,0)),INDEX('NOTES CE2-CM1'!$T$10:$T$250,MATCH(AU199,'NOTES CE2-CM1'!$B$10:$B$250,0)),INDEX('NOTES CE2-CM1'!$AA$10:$AA$250,MATCH(AU199,'NOTES CE2-CM1'!$B$10:$B$250,0)),INDEX('NOTES CE2-CM1'!$AH$10:$AH$250,MATCH(AU199,'NOTES CE2-CM1'!$B$10:$B$250,0))),""))</f>
        <v/>
      </c>
      <c r="AY199" s="51" t="str">
        <f aca="false">IF(ISNUMBER(AX199),AX199+(1000-79)/1000000,"")</f>
        <v/>
      </c>
      <c r="AZ199" s="51" t="str">
        <f aca="false">IF(AU199="","",IFERROR(CHOOSE($P$8,INDEX('NOTES CE2-CM1'!$G$10:$G$250,MATCH(AU199,'NOTES CE2-CM1'!$B$10:$B$250,0)),INDEX('NOTES CE2-CM1'!$N$10:$N$250,MATCH(AU199,'NOTES CE2-CM1'!$B$10:$B$250,0)),INDEX('NOTES CE2-CM1'!$U$10:$U$250,MATCH(AU199,'NOTES CE2-CM1'!$B$10:$B$250,0)),INDEX('NOTES CE2-CM1'!$AB$10:$AB$250,MATCH(AU199,'NOTES CE2-CM1'!$B$10:$B$250,0))),""))</f>
        <v/>
      </c>
      <c r="BA199" s="51" t="str">
        <f aca="false">IFERROR(MATCH("CM2-79",'REGISTRE ELEVES'!$AG$10:$AG$250,0),"")</f>
        <v/>
      </c>
      <c r="BB199" s="51" t="str">
        <f aca="false">IF(BA199="","",INDEX('REGISTRE ELEVES'!$B$10:$B$250,BA199))</f>
        <v/>
      </c>
      <c r="BC199" s="51" t="str">
        <f aca="false">IF(BA199="","",INDEX('REGISTRE ELEVES'!$D$10:$D$250,BA199))</f>
        <v/>
      </c>
      <c r="BD199" s="51" t="str">
        <f aca="false">IF(BA199="","",INDEX('REGISTRE ELEVES'!$E$10:$E$250,BA199))</f>
        <v/>
      </c>
      <c r="BE199" s="51" t="str">
        <f aca="false">IF(BB199="","",IFERROR(CHOOSE($P$10,INDEX('NOTES CM2'!$M$10:$M$250,MATCH(BB199,'NOTES CM2'!$B$10:$B$250,0)),INDEX('NOTES CM2'!$T$10:$T$250,MATCH(BB199,'NOTES CM2'!$B$10:$B$250,0)),INDEX('NOTES CM2'!$AB$10:$AB$250,MATCH(BB199,'NOTES CM2'!$B$10:$B$250,0)),INDEX('NOTES CM2'!$AJ$10:$AJ$250,MATCH(BB199,'NOTES CM2'!$B$10:$B$250,0))),""))</f>
        <v/>
      </c>
      <c r="BF199" s="51" t="str">
        <f aca="false">IF(ISNUMBER(BE199),BE199+(1000-79)/1000000,"")</f>
        <v/>
      </c>
      <c r="BG199" s="51" t="str">
        <f aca="false">IF(BB199="","",IFERROR(CHOOSE($P$10,INDEX('NOTES CM2'!$G$10:$G$250,MATCH(BB199,'NOTES CM2'!$B$10:$B$250,0)),INDEX('NOTES CM2'!$N$10:$N$250,MATCH(BB199,'NOTES CM2'!$B$10:$B$250,0)),INDEX('NOTES CM2'!$U$10:$U$250,MATCH(BB199,'NOTES CM2'!$B$10:$B$250,0)),INDEX('NOTES CM2'!$AC$10:$AC$250,MATCH(BB199,'NOTES CM2'!$B$10:$B$250,0))),""))</f>
        <v/>
      </c>
    </row>
    <row r="200" customFormat="false" ht="15" hidden="false" customHeight="false" outlineLevel="0" collapsed="false">
      <c r="R200" s="51" t="str">
        <f aca="false">IFERROR(MATCH("CP1-80",'REGISTRE ELEVES'!$AG$10:$AG$250,0),"")</f>
        <v/>
      </c>
      <c r="S200" s="51" t="str">
        <f aca="false">IF(R200="","",INDEX('REGISTRE ELEVES'!$B$10:$B$250,R200))</f>
        <v/>
      </c>
      <c r="T200" s="51" t="str">
        <f aca="false">IF(R200="","",INDEX('REGISTRE ELEVES'!$D$10:$D$250,R200))</f>
        <v/>
      </c>
      <c r="U200" s="51" t="str">
        <f aca="false">IF(R200="","",INDEX('REGISTRE ELEVES'!$E$10:$E$250,R200))</f>
        <v/>
      </c>
      <c r="V200" s="51" t="str">
        <f aca="false">IF(S200="","",IFERROR(CHOOSE($P$8,INDEX('NOTES CP'!$P$10:$P$250,MATCH(S200,'NOTES CP'!$B$10:$B$250,0)),INDEX('NOTES CP'!$Z$10:$Z$250,MATCH(S200,'NOTES CP'!$B$10:$B$250,0)),INDEX('NOTES CP'!$AJ$10:$AJ$250,MATCH(S200,'NOTES CP'!$B$10:$B$250,0)),INDEX('NOTES CP'!$AT$10:$AT$250,MATCH(S200,'NOTES CP'!$B$10:$B$250,0))),""))</f>
        <v/>
      </c>
      <c r="W200" s="51" t="str">
        <f aca="false">IF(ISNUMBER(V200),V200+(1000-80)/1000000,"")</f>
        <v/>
      </c>
      <c r="X200" s="51" t="str">
        <f aca="false">IF(S200="","",IFERROR(CHOOSE($P$8,INDEX('NOTES CP'!$G$10:$G$250,MATCH(S200,'NOTES CP'!$B$10:$B$250,0)),INDEX('NOTES CP'!$Q$10:$Q$250,MATCH(S200,'NOTES CP'!$B$10:$B$250,0)),INDEX('NOTES CP'!$AA$10:$AA$250,MATCH(S200,'NOTES CP'!$B$10:$B$250,0)),INDEX('NOTES CP'!$AK$10:$AK$250,MATCH(S200,'NOTES CP'!$B$10:$B$250,0))),""))</f>
        <v/>
      </c>
      <c r="Y200" s="51" t="str">
        <f aca="false">IFERROR(MATCH("CP2-80",'REGISTRE ELEVES'!$AG$10:$AG$250,0),"")</f>
        <v/>
      </c>
      <c r="Z200" s="51" t="str">
        <f aca="false">IF(Y200="","",INDEX('REGISTRE ELEVES'!$B$10:$B$250,Y200))</f>
        <v/>
      </c>
      <c r="AA200" s="51" t="str">
        <f aca="false">IF(Y200="","",INDEX('REGISTRE ELEVES'!$D$10:$D$250,Y200))</f>
        <v/>
      </c>
      <c r="AB200" s="51" t="str">
        <f aca="false">IF(Y200="","",INDEX('REGISTRE ELEVES'!$E$10:$E$250,Y200))</f>
        <v/>
      </c>
      <c r="AC200" s="51" t="str">
        <f aca="false">IF(Z200="","",IFERROR(CHOOSE($P$8,INDEX('NOTES CP'!$P$10:$P$250,MATCH(Z200,'NOTES CP'!$B$10:$B$250,0)),INDEX('NOTES CP'!$Z$10:$Z$250,MATCH(Z200,'NOTES CP'!$B$10:$B$250,0)),INDEX('NOTES CP'!$AJ$10:$AJ$250,MATCH(Z200,'NOTES CP'!$B$10:$B$250,0)),INDEX('NOTES CP'!$AT$10:$AT$250,MATCH(Z200,'NOTES CP'!$B$10:$B$250,0))),""))</f>
        <v/>
      </c>
      <c r="AD200" s="51" t="str">
        <f aca="false">IF(ISNUMBER(AC200),AC200+(1000-80)/1000000,"")</f>
        <v/>
      </c>
      <c r="AE200" s="51" t="str">
        <f aca="false">IF(Z200="","",IFERROR(CHOOSE($P$8,INDEX('NOTES CP'!$G$10:$G$250,MATCH(Z200,'NOTES CP'!$B$10:$B$250,0)),INDEX('NOTES CP'!$Q$10:$Q$250,MATCH(Z200,'NOTES CP'!$B$10:$B$250,0)),INDEX('NOTES CP'!$AA$10:$AA$250,MATCH(Z200,'NOTES CP'!$B$10:$B$250,0)),INDEX('NOTES CP'!$AK$10:$AK$250,MATCH(Z200,'NOTES CP'!$B$10:$B$250,0))),""))</f>
        <v/>
      </c>
      <c r="AF200" s="51" t="str">
        <f aca="false">IFERROR(MATCH("CE1-80",'REGISTRE ELEVES'!$AG$10:$AG$250,0),"")</f>
        <v/>
      </c>
      <c r="AG200" s="51" t="str">
        <f aca="false">IF(AF200="","",INDEX('REGISTRE ELEVES'!$B$10:$B$250,AF200))</f>
        <v/>
      </c>
      <c r="AH200" s="51" t="str">
        <f aca="false">IF(AF200="","",INDEX('REGISTRE ELEVES'!$D$10:$D$250,AF200))</f>
        <v/>
      </c>
      <c r="AI200" s="51" t="str">
        <f aca="false">IF(AF200="","",INDEX('REGISTRE ELEVES'!$E$10:$E$250,AF200))</f>
        <v/>
      </c>
      <c r="AJ200" s="51" t="str">
        <f aca="false">IF(AG200="","",IFERROR(CHOOSE($P$8,INDEX('NOTES CE1'!$M$10:$M$250,MATCH(AG200,'NOTES CE1'!$B$10:$B$250,0)),INDEX('NOTES CE1'!$T$10:$T$250,MATCH(AG200,'NOTES CE1'!$B$10:$B$250,0)),INDEX('NOTES CE1'!$AA$10:$AA$250,MATCH(AG200,'NOTES CE1'!$B$10:$B$250,0)),INDEX('NOTES CE1'!$AH$10:$AH$250,MATCH(AG200,'NOTES CE1'!$B$10:$B$250,0))),""))</f>
        <v/>
      </c>
      <c r="AK200" s="51" t="str">
        <f aca="false">IF(ISNUMBER(AJ200),AJ200+(1000-80)/1000000,"")</f>
        <v/>
      </c>
      <c r="AL200" s="51" t="str">
        <f aca="false">IF(AG200="","",IFERROR(CHOOSE($P$8,INDEX('NOTES CE1'!$G$10:$G$250,MATCH(AG200,'NOTES CE1'!$B$10:$B$250,0)),INDEX('NOTES CE1'!$N$10:$N$250,MATCH(AG200,'NOTES CE1'!$B$10:$B$250,0)),INDEX('NOTES CE1'!$U$10:$U$250,MATCH(AG200,'NOTES CE1'!$B$10:$B$250,0)),INDEX('NOTES CE1'!$AB$10:$AB$250,MATCH(AG200,'NOTES CE1'!$B$10:$B$250,0))),""))</f>
        <v/>
      </c>
      <c r="AM200" s="51" t="str">
        <f aca="false">IFERROR(MATCH("CE2-80",'REGISTRE ELEVES'!$AG$10:$AG$250,0),"")</f>
        <v/>
      </c>
      <c r="AN200" s="51" t="str">
        <f aca="false">IF(AM200="","",INDEX('REGISTRE ELEVES'!$B$10:$B$250,AM200))</f>
        <v/>
      </c>
      <c r="AO200" s="51" t="str">
        <f aca="false">IF(AM200="","",INDEX('REGISTRE ELEVES'!$D$10:$D$250,AM200))</f>
        <v/>
      </c>
      <c r="AP200" s="51" t="str">
        <f aca="false">IF(AM200="","",INDEX('REGISTRE ELEVES'!$E$10:$E$250,AM200))</f>
        <v/>
      </c>
      <c r="AQ200" s="51" t="str">
        <f aca="false">IF(AN200="","",IFERROR(CHOOSE($P$8,INDEX('NOTES CE2-CM1'!$M$10:$M$250,MATCH(AN200,'NOTES CE2-CM1'!$B$10:$B$250,0)),INDEX('NOTES CE2-CM1'!$T$10:$T$250,MATCH(AN200,'NOTES CE2-CM1'!$B$10:$B$250,0)),INDEX('NOTES CE2-CM1'!$AA$10:$AA$250,MATCH(AN200,'NOTES CE2-CM1'!$B$10:$B$250,0)),INDEX('NOTES CE2-CM1'!$AH$10:$AH$250,MATCH(AN200,'NOTES CE2-CM1'!$B$10:$B$250,0))),""))</f>
        <v/>
      </c>
      <c r="AR200" s="51" t="str">
        <f aca="false">IF(ISNUMBER(AQ200),AQ200+(1000-80)/1000000,"")</f>
        <v/>
      </c>
      <c r="AS200" s="51" t="str">
        <f aca="false">IF(AN200="","",IFERROR(CHOOSE($P$8,INDEX('NOTES CE2-CM1'!$G$10:$G$250,MATCH(AN200,'NOTES CE2-CM1'!$B$10:$B$250,0)),INDEX('NOTES CE2-CM1'!$N$10:$N$250,MATCH(AN200,'NOTES CE2-CM1'!$B$10:$B$250,0)),INDEX('NOTES CE2-CM1'!$U$10:$U$250,MATCH(AN200,'NOTES CE2-CM1'!$B$10:$B$250,0)),INDEX('NOTES CE2-CM1'!$AB$10:$AB$250,MATCH(AN200,'NOTES CE2-CM1'!$B$10:$B$250,0))),""))</f>
        <v/>
      </c>
      <c r="AT200" s="51" t="str">
        <f aca="false">IFERROR(MATCH("CM1-80",'REGISTRE ELEVES'!$AG$10:$AG$250,0),"")</f>
        <v/>
      </c>
      <c r="AU200" s="51" t="str">
        <f aca="false">IF(AT200="","",INDEX('REGISTRE ELEVES'!$B$10:$B$250,AT200))</f>
        <v/>
      </c>
      <c r="AV200" s="51" t="str">
        <f aca="false">IF(AT200="","",INDEX('REGISTRE ELEVES'!$D$10:$D$250,AT200))</f>
        <v/>
      </c>
      <c r="AW200" s="51" t="str">
        <f aca="false">IF(AT200="","",INDEX('REGISTRE ELEVES'!$E$10:$E$250,AT200))</f>
        <v/>
      </c>
      <c r="AX200" s="51" t="str">
        <f aca="false">IF(AU200="","",IFERROR(CHOOSE($P$8,INDEX('NOTES CE2-CM1'!$M$10:$M$250,MATCH(AU200,'NOTES CE2-CM1'!$B$10:$B$250,0)),INDEX('NOTES CE2-CM1'!$T$10:$T$250,MATCH(AU200,'NOTES CE2-CM1'!$B$10:$B$250,0)),INDEX('NOTES CE2-CM1'!$AA$10:$AA$250,MATCH(AU200,'NOTES CE2-CM1'!$B$10:$B$250,0)),INDEX('NOTES CE2-CM1'!$AH$10:$AH$250,MATCH(AU200,'NOTES CE2-CM1'!$B$10:$B$250,0))),""))</f>
        <v/>
      </c>
      <c r="AY200" s="51" t="str">
        <f aca="false">IF(ISNUMBER(AX200),AX200+(1000-80)/1000000,"")</f>
        <v/>
      </c>
      <c r="AZ200" s="51" t="str">
        <f aca="false">IF(AU200="","",IFERROR(CHOOSE($P$8,INDEX('NOTES CE2-CM1'!$G$10:$G$250,MATCH(AU200,'NOTES CE2-CM1'!$B$10:$B$250,0)),INDEX('NOTES CE2-CM1'!$N$10:$N$250,MATCH(AU200,'NOTES CE2-CM1'!$B$10:$B$250,0)),INDEX('NOTES CE2-CM1'!$U$10:$U$250,MATCH(AU200,'NOTES CE2-CM1'!$B$10:$B$250,0)),INDEX('NOTES CE2-CM1'!$AB$10:$AB$250,MATCH(AU200,'NOTES CE2-CM1'!$B$10:$B$250,0))),""))</f>
        <v/>
      </c>
      <c r="BA200" s="51" t="str">
        <f aca="false">IFERROR(MATCH("CM2-80",'REGISTRE ELEVES'!$AG$10:$AG$250,0),"")</f>
        <v/>
      </c>
      <c r="BB200" s="51" t="str">
        <f aca="false">IF(BA200="","",INDEX('REGISTRE ELEVES'!$B$10:$B$250,BA200))</f>
        <v/>
      </c>
      <c r="BC200" s="51" t="str">
        <f aca="false">IF(BA200="","",INDEX('REGISTRE ELEVES'!$D$10:$D$250,BA200))</f>
        <v/>
      </c>
      <c r="BD200" s="51" t="str">
        <f aca="false">IF(BA200="","",INDEX('REGISTRE ELEVES'!$E$10:$E$250,BA200))</f>
        <v/>
      </c>
      <c r="BE200" s="51" t="str">
        <f aca="false">IF(BB200="","",IFERROR(CHOOSE($P$10,INDEX('NOTES CM2'!$M$10:$M$250,MATCH(BB200,'NOTES CM2'!$B$10:$B$250,0)),INDEX('NOTES CM2'!$T$10:$T$250,MATCH(BB200,'NOTES CM2'!$B$10:$B$250,0)),INDEX('NOTES CM2'!$AB$10:$AB$250,MATCH(BB200,'NOTES CM2'!$B$10:$B$250,0)),INDEX('NOTES CM2'!$AJ$10:$AJ$250,MATCH(BB200,'NOTES CM2'!$B$10:$B$250,0))),""))</f>
        <v/>
      </c>
      <c r="BF200" s="51" t="str">
        <f aca="false">IF(ISNUMBER(BE200),BE200+(1000-80)/1000000,"")</f>
        <v/>
      </c>
      <c r="BG200" s="51" t="str">
        <f aca="false">IF(BB200="","",IFERROR(CHOOSE($P$10,INDEX('NOTES CM2'!$G$10:$G$250,MATCH(BB200,'NOTES CM2'!$B$10:$B$250,0)),INDEX('NOTES CM2'!$N$10:$N$250,MATCH(BB200,'NOTES CM2'!$B$10:$B$250,0)),INDEX('NOTES CM2'!$U$10:$U$250,MATCH(BB200,'NOTES CM2'!$B$10:$B$250,0)),INDEX('NOTES CM2'!$AC$10:$AC$250,MATCH(BB200,'NOTES CM2'!$B$10:$B$250,0))),""))</f>
        <v/>
      </c>
    </row>
  </sheetData>
  <mergeCells count="126">
    <mergeCell ref="A1:G1"/>
    <mergeCell ref="H1:N1"/>
    <mergeCell ref="A2:G2"/>
    <mergeCell ref="H2:N2"/>
    <mergeCell ref="A3:G3"/>
    <mergeCell ref="H3:N3"/>
    <mergeCell ref="A4:G4"/>
    <mergeCell ref="A6:N6"/>
    <mergeCell ref="E8:N8"/>
    <mergeCell ref="A10:N10"/>
    <mergeCell ref="A11:A12"/>
    <mergeCell ref="B11:D11"/>
    <mergeCell ref="E11:G11"/>
    <mergeCell ref="H11:J11"/>
    <mergeCell ref="K11:N12"/>
    <mergeCell ref="K13:N13"/>
    <mergeCell ref="K14:N14"/>
    <mergeCell ref="K15:N15"/>
    <mergeCell ref="K16:N16"/>
    <mergeCell ref="K17:N17"/>
    <mergeCell ref="K18:N18"/>
    <mergeCell ref="K19:N19"/>
    <mergeCell ref="K20:N20"/>
    <mergeCell ref="K21:N21"/>
    <mergeCell ref="K22:N22"/>
    <mergeCell ref="A24:N24"/>
    <mergeCell ref="B25:D25"/>
    <mergeCell ref="F25:G25"/>
    <mergeCell ref="H25:I25"/>
    <mergeCell ref="J25:L25"/>
    <mergeCell ref="M25:N25"/>
    <mergeCell ref="B26:D26"/>
    <mergeCell ref="F26:G26"/>
    <mergeCell ref="H26:I26"/>
    <mergeCell ref="J26:L26"/>
    <mergeCell ref="M26:N26"/>
    <mergeCell ref="B27:D27"/>
    <mergeCell ref="F27:G27"/>
    <mergeCell ref="H27:I27"/>
    <mergeCell ref="J27:L27"/>
    <mergeCell ref="M27:N27"/>
    <mergeCell ref="B28:D28"/>
    <mergeCell ref="F28:G28"/>
    <mergeCell ref="H28:I28"/>
    <mergeCell ref="J28:L28"/>
    <mergeCell ref="M28:N28"/>
    <mergeCell ref="B29:D29"/>
    <mergeCell ref="F29:G29"/>
    <mergeCell ref="H29:I29"/>
    <mergeCell ref="J29:L29"/>
    <mergeCell ref="M29:N29"/>
    <mergeCell ref="B30:D30"/>
    <mergeCell ref="F30:G30"/>
    <mergeCell ref="H30:I30"/>
    <mergeCell ref="J30:L30"/>
    <mergeCell ref="M30:N30"/>
    <mergeCell ref="B31:D31"/>
    <mergeCell ref="F31:G31"/>
    <mergeCell ref="H31:I31"/>
    <mergeCell ref="J31:L31"/>
    <mergeCell ref="M31:N31"/>
    <mergeCell ref="B32:D32"/>
    <mergeCell ref="F32:G32"/>
    <mergeCell ref="H32:I32"/>
    <mergeCell ref="J32:L32"/>
    <mergeCell ref="M32:N32"/>
    <mergeCell ref="B33:D33"/>
    <mergeCell ref="F33:G33"/>
    <mergeCell ref="H33:I33"/>
    <mergeCell ref="J33:L33"/>
    <mergeCell ref="M33:N33"/>
    <mergeCell ref="B34:D34"/>
    <mergeCell ref="F34:G34"/>
    <mergeCell ref="H34:I34"/>
    <mergeCell ref="J34:L34"/>
    <mergeCell ref="M34:N34"/>
    <mergeCell ref="B35:D35"/>
    <mergeCell ref="F35:G35"/>
    <mergeCell ref="H35:I35"/>
    <mergeCell ref="J35:L35"/>
    <mergeCell ref="M35:N35"/>
    <mergeCell ref="B36:D36"/>
    <mergeCell ref="F36:G36"/>
    <mergeCell ref="H36:I36"/>
    <mergeCell ref="J36:L36"/>
    <mergeCell ref="M36:N36"/>
    <mergeCell ref="B37:D37"/>
    <mergeCell ref="F37:G37"/>
    <mergeCell ref="H37:I37"/>
    <mergeCell ref="J37:L37"/>
    <mergeCell ref="M37:N37"/>
    <mergeCell ref="A39:N39"/>
    <mergeCell ref="A41:N43"/>
    <mergeCell ref="A45:N45"/>
    <mergeCell ref="A46:A47"/>
    <mergeCell ref="B46:D46"/>
    <mergeCell ref="E46:G46"/>
    <mergeCell ref="H46:J46"/>
    <mergeCell ref="K46:M46"/>
    <mergeCell ref="N46:N47"/>
    <mergeCell ref="A57:E57"/>
    <mergeCell ref="F57:I57"/>
    <mergeCell ref="J57:N57"/>
    <mergeCell ref="A58:E60"/>
    <mergeCell ref="F58:I60"/>
    <mergeCell ref="J58:N60"/>
    <mergeCell ref="A62:N62"/>
    <mergeCell ref="A63:N63"/>
    <mergeCell ref="A64:N66"/>
    <mergeCell ref="A68:N68"/>
    <mergeCell ref="A69:N71"/>
    <mergeCell ref="A73:N73"/>
    <mergeCell ref="A74:N76"/>
    <mergeCell ref="A78:N78"/>
    <mergeCell ref="A79:N81"/>
    <mergeCell ref="A83:N83"/>
    <mergeCell ref="A84:E84"/>
    <mergeCell ref="H84:L84"/>
    <mergeCell ref="A86:N88"/>
    <mergeCell ref="A90:N90"/>
    <mergeCell ref="A91:N93"/>
    <mergeCell ref="A95:N95"/>
    <mergeCell ref="A96:N98"/>
    <mergeCell ref="B100:H100"/>
    <mergeCell ref="I100:N100"/>
    <mergeCell ref="I104:N104"/>
  </mergeCells>
  <conditionalFormatting sqref="H13:J22">
    <cfRule type="cellIs" priority="2" operator="lessThan" aboveAverage="0" equalAverage="0" bottom="0" percent="0" rank="0" text="" dxfId="27">
      <formula>0.9</formula>
    </cfRule>
  </conditionalFormatting>
  <conditionalFormatting sqref="F26:F37">
    <cfRule type="expression" priority="3" aboveAverage="0" equalAverage="0" bottom="0" percent="0" rank="0" text="" dxfId="27">
      <formula>AND(F26&lt;&gt;"",F26&lt;&gt;"-")</formula>
    </cfRule>
  </conditionalFormatting>
  <dataValidations count="1">
    <dataValidation allowBlank="true" error="Choisir un mois de l'année scolaire" errorStyle="stop" errorTitle="Valeur non autorisée" operator="between" showDropDown="false" showErrorMessage="true" showInputMessage="false" sqref="C8" type="list">
      <formula1>PARAMETRES!$B$38:$B$48</formula1>
      <formula2>0</formula2>
    </dataValidation>
  </dataValidations>
  <printOptions headings="false" gridLines="false" gridLinesSet="true" horizontalCentered="true" verticalCentered="false"/>
  <pageMargins left="0.309722222222222" right="0.309722222222222" top="0.470138888888889" bottom="0.470138888888889" header="0.511811023622047" footer="0.511811023622047"/>
  <pageSetup paperSize="9" scale="100" fitToWidth="1" fitToHeight="0" pageOrder="downThenOver" orientation="portrait" blackAndWhite="false" draft="false" cellComments="none" horizontalDpi="300" verticalDpi="300" copies="1"/>
  <headerFooter differentFirst="false" differentOddEven="false">
    <oddHeader/>
    <oddFooter/>
  </headerFooter>
  <drawing r:id="rIdBtn"/>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Feuil18" filterMode="false">
    <tabColor rgb="FFF2A900"/>
    <pageSetUpPr fitToPage="true"/>
  </sheetPr>
  <dimension ref="A1:P8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3" ySplit="9" topLeftCell="D10" activePane="bottomRight" state="frozen"/>
      <selection pane="topLeft" activeCell="A1" activeCellId="0" sqref="A1"/>
      <selection pane="topRight" activeCell="D1" activeCellId="0" sqref="D1"/>
      <selection pane="bottomLeft" activeCell="A10" activeCellId="0" sqref="A10"/>
      <selection pane="bottomRight" activeCell="A1" activeCellId="0" sqref="A1"/>
    </sheetView>
  </sheetViews>
  <sheetFormatPr defaultColWidth="8.6796875" defaultRowHeight="15" zeroHeight="false" outlineLevelRow="0" outlineLevelCol="0"/>
  <cols>
    <col collapsed="false" customWidth="true" hidden="false" outlineLevel="0" max="1" min="1" style="0" width="5"/>
    <col collapsed="false" customWidth="true" hidden="false" outlineLevel="0" max="2" min="2" style="0" width="12"/>
    <col collapsed="false" customWidth="true" hidden="false" outlineLevel="0" max="3" min="3" style="0" width="30"/>
    <col collapsed="false" customWidth="true" hidden="false" outlineLevel="0" max="4" min="4" style="0" width="6"/>
    <col collapsed="false" customWidth="true" hidden="false" outlineLevel="0" max="5" min="5" style="0" width="13"/>
    <col collapsed="false" customWidth="true" hidden="false" outlineLevel="0" max="6" min="6" style="0" width="6"/>
    <col collapsed="false" customWidth="true" hidden="false" outlineLevel="0" max="7" min="7" style="0" width="22"/>
    <col collapsed="false" customWidth="true" hidden="false" outlineLevel="0" max="8" min="8" style="0" width="16"/>
    <col collapsed="false" customWidth="true" hidden="false" outlineLevel="0" max="9" min="9" style="0" width="10"/>
    <col collapsed="false" customWidth="true" hidden="false" outlineLevel="0" max="10" min="10" style="0" width="16"/>
    <col collapsed="false" customWidth="true" hidden="false" outlineLevel="0" max="11" min="11" style="0" width="13"/>
    <col collapsed="false" customWidth="true" hidden="false" outlineLevel="0" max="12" min="12" style="0" width="10"/>
    <col collapsed="false" customWidth="true" hidden="false" outlineLevel="0" max="13" min="13" style="0" width="13"/>
    <col collapsed="false" customWidth="true" hidden="false" outlineLevel="0" max="14" min="14" style="0" width="15"/>
    <col collapsed="false" customWidth="true" hidden="false" outlineLevel="0" max="15" min="15" style="0" width="14"/>
    <col collapsed="false" customWidth="true" hidden="false" outlineLevel="0" max="16" min="16" style="0" width="20"/>
  </cols>
  <sheetData>
    <row r="1" customFormat="false" ht="15" hidden="false" customHeight="true" outlineLevel="0" collapsed="false">
      <c r="A1" s="47" t="str">
        <f aca="false">PARAMETRES!$C$4</f>
        <v>MINISTERE DE L'EDUCATION NATIONALE ET DE L'ALPHABETISATION</v>
      </c>
      <c r="B1" s="47"/>
      <c r="C1" s="47"/>
      <c r="D1" s="47"/>
      <c r="E1" s="47"/>
      <c r="F1" s="47"/>
      <c r="G1" s="47"/>
      <c r="H1" s="47"/>
      <c r="I1" s="47" t="s">
        <v>115</v>
      </c>
      <c r="J1" s="47"/>
      <c r="K1" s="47"/>
      <c r="L1" s="47"/>
      <c r="M1" s="47"/>
      <c r="N1" s="47"/>
      <c r="O1" s="47"/>
      <c r="P1" s="47"/>
    </row>
    <row r="2" customFormat="false" ht="15" hidden="false" customHeight="true" outlineLevel="0" collapsed="false">
      <c r="A2" s="48" t="str">
        <f aca="false">PARAMETRES!$C$5</f>
        <v>DIRECTION REGIONALE DE L'EDUCATION NATIONALE DE GAGNOA</v>
      </c>
      <c r="B2" s="48"/>
      <c r="C2" s="48"/>
      <c r="D2" s="48"/>
      <c r="E2" s="48"/>
      <c r="F2" s="48"/>
      <c r="G2" s="48"/>
      <c r="H2" s="48"/>
      <c r="I2" s="48" t="s">
        <v>116</v>
      </c>
      <c r="J2" s="48"/>
      <c r="K2" s="48"/>
      <c r="L2" s="48"/>
      <c r="M2" s="48"/>
      <c r="N2" s="48"/>
      <c r="O2" s="48"/>
      <c r="P2" s="48"/>
    </row>
    <row r="3" customFormat="false" ht="15" hidden="false" customHeight="false" outlineLevel="0" collapsed="false">
      <c r="A3" s="47" t="str">
        <f aca="false">PARAMETRES!$C$6</f>
        <v>IEPP GAGNOA 2</v>
      </c>
      <c r="B3" s="47"/>
      <c r="C3" s="47"/>
      <c r="D3" s="47"/>
      <c r="E3" s="47"/>
      <c r="F3" s="47"/>
      <c r="G3" s="47"/>
      <c r="H3" s="47"/>
      <c r="I3" s="47" t="str">
        <f aca="false">"ANNEE SCOLAIRE : "&amp;PARAMETRES!$C$9</f>
        <v>ANNEE SCOLAIRE : 2026-2027</v>
      </c>
      <c r="J3" s="47"/>
      <c r="K3" s="47"/>
      <c r="L3" s="47"/>
      <c r="M3" s="47"/>
      <c r="N3" s="47"/>
      <c r="O3" s="47"/>
      <c r="P3" s="47"/>
    </row>
    <row r="4" customFormat="false" ht="15" hidden="false" customHeight="false" outlineLevel="0" collapsed="false">
      <c r="A4" s="48" t="str">
        <f aca="false">PARAMETRES!$C$7&amp;"  -  Code : "&amp;PARAMETRES!$C$8</f>
        <v>EPP LIGUIYO  -  Code : EPP-GAG-0123</v>
      </c>
      <c r="B4" s="48"/>
      <c r="C4" s="48"/>
      <c r="D4" s="48"/>
      <c r="E4" s="48"/>
      <c r="F4" s="48"/>
      <c r="G4" s="48"/>
      <c r="H4" s="48"/>
      <c r="I4" s="49"/>
    </row>
    <row r="6" customFormat="false" ht="27.75" hidden="false" customHeight="true" outlineLevel="0" collapsed="false">
      <c r="A6" s="30" t="s">
        <v>789</v>
      </c>
      <c r="B6" s="30"/>
      <c r="C6" s="30"/>
      <c r="D6" s="30"/>
      <c r="E6" s="30"/>
      <c r="F6" s="30"/>
      <c r="G6" s="30"/>
      <c r="H6" s="30"/>
      <c r="I6" s="30"/>
      <c r="J6" s="30"/>
      <c r="K6" s="30"/>
      <c r="L6" s="30"/>
      <c r="M6" s="30"/>
      <c r="N6" s="30"/>
      <c r="O6" s="30"/>
      <c r="P6" s="30"/>
    </row>
    <row r="7" customFormat="false" ht="15" hidden="false" customHeight="false" outlineLevel="0" collapsed="false">
      <c r="A7" s="2" t="str">
        <f aca="false">"Etablissement : "&amp;PARAMETRES!$C$7</f>
        <v>Etablissement : EPP LIGUIYO</v>
      </c>
      <c r="B7" s="2"/>
      <c r="C7" s="2"/>
      <c r="D7" s="2"/>
      <c r="E7" s="2"/>
      <c r="F7" s="2"/>
      <c r="G7" s="2"/>
      <c r="H7" s="2"/>
      <c r="I7" s="2"/>
      <c r="J7" s="2"/>
      <c r="K7" s="2"/>
      <c r="L7" s="2"/>
      <c r="M7" s="2"/>
      <c r="N7" s="2"/>
      <c r="O7" s="2"/>
      <c r="P7" s="2"/>
    </row>
    <row r="9" customFormat="false" ht="39.75" hidden="false" customHeight="true" outlineLevel="0" collapsed="false">
      <c r="A9" s="50" t="s">
        <v>120</v>
      </c>
      <c r="B9" s="50" t="s">
        <v>745</v>
      </c>
      <c r="C9" s="50" t="s">
        <v>123</v>
      </c>
      <c r="D9" s="50" t="s">
        <v>32</v>
      </c>
      <c r="E9" s="50" t="s">
        <v>124</v>
      </c>
      <c r="F9" s="50" t="s">
        <v>125</v>
      </c>
      <c r="G9" s="50" t="s">
        <v>790</v>
      </c>
      <c r="H9" s="50" t="s">
        <v>791</v>
      </c>
      <c r="I9" s="50" t="s">
        <v>792</v>
      </c>
      <c r="J9" s="50" t="s">
        <v>793</v>
      </c>
      <c r="K9" s="50" t="s">
        <v>794</v>
      </c>
      <c r="L9" s="50" t="s">
        <v>795</v>
      </c>
      <c r="M9" s="50" t="s">
        <v>796</v>
      </c>
      <c r="N9" s="50" t="s">
        <v>797</v>
      </c>
      <c r="O9" s="50" t="s">
        <v>798</v>
      </c>
      <c r="P9" s="50" t="s">
        <v>145</v>
      </c>
    </row>
    <row r="10" customFormat="false" ht="15" hidden="false" customHeight="false" outlineLevel="0" collapsed="false">
      <c r="A10" s="45" t="n">
        <f aca="false">IF(C10="","",ROW()-9)</f>
        <v>1</v>
      </c>
      <c r="B10" s="45" t="s">
        <v>799</v>
      </c>
      <c r="C10" s="74" t="s">
        <v>800</v>
      </c>
      <c r="D10" s="45" t="s">
        <v>37</v>
      </c>
      <c r="E10" s="59" t="n">
        <v>27465</v>
      </c>
      <c r="F10" s="45" t="n">
        <f aca="false">IF(E10="","",DATEDIF(E10,PARAMETRES!$C$13,"y"))</f>
        <v>51</v>
      </c>
      <c r="G10" s="45" t="s">
        <v>77</v>
      </c>
      <c r="H10" s="45" t="s">
        <v>801</v>
      </c>
      <c r="I10" s="45" t="s">
        <v>40</v>
      </c>
      <c r="J10" s="45" t="s">
        <v>802</v>
      </c>
      <c r="K10" s="59" t="n">
        <v>36800</v>
      </c>
      <c r="L10" s="45" t="n">
        <f aca="false">IF(K10="","",DATEDIF(K10,PARAMETRES!$C$12,"y"))</f>
        <v>26</v>
      </c>
      <c r="M10" s="59" t="n">
        <v>43358</v>
      </c>
      <c r="N10" s="45" t="s">
        <v>803</v>
      </c>
      <c r="O10" s="45" t="s">
        <v>804</v>
      </c>
      <c r="P10" s="74"/>
    </row>
    <row r="11" customFormat="false" ht="15" hidden="false" customHeight="false" outlineLevel="0" collapsed="false">
      <c r="A11" s="45" t="n">
        <f aca="false">IF(C11="","",ROW()-9)</f>
        <v>2</v>
      </c>
      <c r="B11" s="45" t="s">
        <v>805</v>
      </c>
      <c r="C11" s="74" t="s">
        <v>806</v>
      </c>
      <c r="D11" s="45" t="s">
        <v>44</v>
      </c>
      <c r="E11" s="59" t="n">
        <v>30136</v>
      </c>
      <c r="F11" s="45" t="n">
        <f aca="false">IF(E11="","",DATEDIF(E11,PARAMETRES!$C$13,"y"))</f>
        <v>44</v>
      </c>
      <c r="G11" s="45" t="s">
        <v>81</v>
      </c>
      <c r="H11" s="45" t="s">
        <v>801</v>
      </c>
      <c r="I11" s="45" t="s">
        <v>18</v>
      </c>
      <c r="J11" s="45" t="s">
        <v>802</v>
      </c>
      <c r="K11" s="59" t="n">
        <v>38991</v>
      </c>
      <c r="L11" s="45" t="n">
        <f aca="false">IF(K11="","",DATEDIF(K11,PARAMETRES!$C$12,"y"))</f>
        <v>20</v>
      </c>
      <c r="M11" s="59" t="n">
        <v>43718</v>
      </c>
      <c r="N11" s="45" t="s">
        <v>807</v>
      </c>
      <c r="O11" s="45" t="s">
        <v>804</v>
      </c>
      <c r="P11" s="74"/>
    </row>
    <row r="12" customFormat="false" ht="15" hidden="false" customHeight="false" outlineLevel="0" collapsed="false">
      <c r="A12" s="45" t="n">
        <f aca="false">IF(C12="","",ROW()-9)</f>
        <v>3</v>
      </c>
      <c r="B12" s="45" t="s">
        <v>808</v>
      </c>
      <c r="C12" s="74" t="s">
        <v>809</v>
      </c>
      <c r="D12" s="45" t="s">
        <v>37</v>
      </c>
      <c r="E12" s="59" t="n">
        <v>32164</v>
      </c>
      <c r="F12" s="45" t="n">
        <f aca="false">IF(E12="","",DATEDIF(E12,PARAMETRES!$C$13,"y"))</f>
        <v>38</v>
      </c>
      <c r="G12" s="45" t="s">
        <v>85</v>
      </c>
      <c r="H12" s="45" t="s">
        <v>810</v>
      </c>
      <c r="I12" s="45" t="s">
        <v>19</v>
      </c>
      <c r="J12" s="45" t="s">
        <v>811</v>
      </c>
      <c r="K12" s="59" t="n">
        <v>41183</v>
      </c>
      <c r="L12" s="45" t="n">
        <f aca="false">IF(K12="","",DATEDIF(K12,PARAMETRES!$C$12,"y"))</f>
        <v>14</v>
      </c>
      <c r="M12" s="59" t="n">
        <v>44451</v>
      </c>
      <c r="N12" s="45" t="s">
        <v>812</v>
      </c>
      <c r="O12" s="45" t="s">
        <v>813</v>
      </c>
      <c r="P12" s="74"/>
    </row>
    <row r="13" customFormat="false" ht="15" hidden="false" customHeight="false" outlineLevel="0" collapsed="false">
      <c r="A13" s="45" t="n">
        <f aca="false">IF(C13="","",ROW()-9)</f>
        <v>4</v>
      </c>
      <c r="B13" s="45" t="s">
        <v>814</v>
      </c>
      <c r="C13" s="74" t="s">
        <v>815</v>
      </c>
      <c r="D13" s="45" t="s">
        <v>44</v>
      </c>
      <c r="E13" s="59" t="n">
        <v>31381</v>
      </c>
      <c r="F13" s="45" t="n">
        <f aca="false">IF(E13="","",DATEDIF(E13,PARAMETRES!$C$13,"y"))</f>
        <v>41</v>
      </c>
      <c r="G13" s="45" t="s">
        <v>81</v>
      </c>
      <c r="H13" s="45" t="s">
        <v>801</v>
      </c>
      <c r="I13" s="45" t="s">
        <v>20</v>
      </c>
      <c r="J13" s="45" t="s">
        <v>802</v>
      </c>
      <c r="K13" s="59" t="n">
        <v>40087</v>
      </c>
      <c r="L13" s="45" t="n">
        <f aca="false">IF(K13="","",DATEDIF(K13,PARAMETRES!$C$12,"y"))</f>
        <v>17</v>
      </c>
      <c r="M13" s="59" t="n">
        <v>42627</v>
      </c>
      <c r="N13" s="45" t="s">
        <v>816</v>
      </c>
      <c r="O13" s="45" t="s">
        <v>804</v>
      </c>
      <c r="P13" s="74"/>
    </row>
    <row r="14" customFormat="false" ht="15" hidden="false" customHeight="false" outlineLevel="0" collapsed="false">
      <c r="A14" s="45" t="n">
        <f aca="false">IF(C14="","",ROW()-9)</f>
        <v>5</v>
      </c>
      <c r="B14" s="45" t="s">
        <v>817</v>
      </c>
      <c r="C14" s="74" t="s">
        <v>818</v>
      </c>
      <c r="D14" s="45" t="s">
        <v>37</v>
      </c>
      <c r="E14" s="59" t="n">
        <v>33002</v>
      </c>
      <c r="F14" s="45" t="n">
        <f aca="false">IF(E14="","",DATEDIF(E14,PARAMETRES!$C$13,"y"))</f>
        <v>36</v>
      </c>
      <c r="G14" s="45" t="s">
        <v>85</v>
      </c>
      <c r="H14" s="45" t="s">
        <v>810</v>
      </c>
      <c r="I14" s="45" t="s">
        <v>21</v>
      </c>
      <c r="J14" s="45" t="s">
        <v>811</v>
      </c>
      <c r="K14" s="59" t="n">
        <v>42278</v>
      </c>
      <c r="L14" s="45" t="n">
        <f aca="false">IF(K14="","",DATEDIF(K14,PARAMETRES!$C$12,"y"))</f>
        <v>11</v>
      </c>
      <c r="M14" s="59" t="n">
        <v>44815</v>
      </c>
      <c r="N14" s="45" t="s">
        <v>819</v>
      </c>
      <c r="O14" s="45" t="s">
        <v>804</v>
      </c>
      <c r="P14" s="74"/>
    </row>
    <row r="15" customFormat="false" ht="15" hidden="false" customHeight="false" outlineLevel="0" collapsed="false">
      <c r="A15" s="45" t="n">
        <f aca="false">IF(C15="","",ROW()-9)</f>
        <v>6</v>
      </c>
      <c r="B15" s="45" t="s">
        <v>820</v>
      </c>
      <c r="C15" s="74" t="s">
        <v>354</v>
      </c>
      <c r="D15" s="45" t="s">
        <v>44</v>
      </c>
      <c r="E15" s="59" t="n">
        <v>34229</v>
      </c>
      <c r="F15" s="45" t="n">
        <f aca="false">IF(E15="","",DATEDIF(E15,PARAMETRES!$C$13,"y"))</f>
        <v>33</v>
      </c>
      <c r="G15" s="45" t="s">
        <v>86</v>
      </c>
      <c r="H15" s="45" t="s">
        <v>821</v>
      </c>
      <c r="I15" s="45" t="s">
        <v>22</v>
      </c>
      <c r="J15" s="45" t="s">
        <v>822</v>
      </c>
      <c r="K15" s="59" t="n">
        <v>45931</v>
      </c>
      <c r="L15" s="45" t="n">
        <f aca="false">IF(K15="","",DATEDIF(K15,PARAMETRES!$C$12,"y"))</f>
        <v>1</v>
      </c>
      <c r="M15" s="59" t="n">
        <v>45931</v>
      </c>
      <c r="N15" s="45" t="s">
        <v>823</v>
      </c>
      <c r="O15" s="45" t="s">
        <v>813</v>
      </c>
      <c r="P15" s="74"/>
    </row>
    <row r="16" customFormat="false" ht="15" hidden="false" customHeight="false" outlineLevel="0" collapsed="false">
      <c r="A16" s="45" t="n">
        <f aca="false">IF(C16="","",ROW()-9)</f>
        <v>7</v>
      </c>
      <c r="B16" s="45" t="s">
        <v>824</v>
      </c>
      <c r="C16" s="74" t="s">
        <v>825</v>
      </c>
      <c r="D16" s="45" t="s">
        <v>37</v>
      </c>
      <c r="E16" s="59" t="n">
        <v>29253</v>
      </c>
      <c r="F16" s="45" t="n">
        <f aca="false">IF(E16="","",DATEDIF(E16,PARAMETRES!$C$13,"y"))</f>
        <v>46</v>
      </c>
      <c r="G16" s="45" t="s">
        <v>81</v>
      </c>
      <c r="H16" s="45" t="s">
        <v>801</v>
      </c>
      <c r="I16" s="45" t="s">
        <v>23</v>
      </c>
      <c r="J16" s="45" t="s">
        <v>802</v>
      </c>
      <c r="K16" s="59" t="n">
        <v>38261</v>
      </c>
      <c r="L16" s="45" t="n">
        <f aca="false">IF(K16="","",DATEDIF(K16,PARAMETRES!$C$12,"y"))</f>
        <v>22</v>
      </c>
      <c r="M16" s="59" t="n">
        <v>42260</v>
      </c>
      <c r="N16" s="45" t="s">
        <v>826</v>
      </c>
      <c r="O16" s="45" t="s">
        <v>804</v>
      </c>
      <c r="P16" s="74"/>
    </row>
    <row r="17" customFormat="false" ht="15" hidden="false" customHeight="false" outlineLevel="0" collapsed="false">
      <c r="A17" s="45" t="n">
        <f aca="false">IF(C17="","",ROW()-9)</f>
        <v>8</v>
      </c>
      <c r="B17" s="45" t="s">
        <v>827</v>
      </c>
      <c r="C17" s="74" t="s">
        <v>828</v>
      </c>
      <c r="D17" s="45" t="s">
        <v>37</v>
      </c>
      <c r="E17" s="59" t="n">
        <v>25725</v>
      </c>
      <c r="F17" s="45" t="n">
        <f aca="false">IF(E17="","",DATEDIF(E17,PARAMETRES!$C$13,"y"))</f>
        <v>56</v>
      </c>
      <c r="G17" s="45" t="s">
        <v>87</v>
      </c>
      <c r="H17" s="45" t="s">
        <v>40</v>
      </c>
      <c r="I17" s="45" t="s">
        <v>40</v>
      </c>
      <c r="J17" s="45" t="s">
        <v>40</v>
      </c>
      <c r="K17" s="59" t="n">
        <v>43480</v>
      </c>
      <c r="L17" s="45" t="n">
        <f aca="false">IF(K17="","",DATEDIF(K17,PARAMETRES!$C$12,"y"))</f>
        <v>8</v>
      </c>
      <c r="M17" s="59" t="n">
        <v>43480</v>
      </c>
      <c r="N17" s="45" t="s">
        <v>829</v>
      </c>
      <c r="O17" s="45" t="s">
        <v>804</v>
      </c>
      <c r="P17" s="74"/>
    </row>
    <row r="18" customFormat="false" ht="15" hidden="false" customHeight="false" outlineLevel="0" collapsed="false">
      <c r="A18" s="45" t="str">
        <f aca="false">IF(C18="","",ROW()-9)</f>
        <v/>
      </c>
      <c r="B18" s="45"/>
      <c r="C18" s="74"/>
      <c r="D18" s="45"/>
      <c r="E18" s="59"/>
      <c r="F18" s="45" t="str">
        <f aca="false">IF(E18="","",DATEDIF(E18,PARAMETRES!$C$13,"y"))</f>
        <v/>
      </c>
      <c r="G18" s="45"/>
      <c r="H18" s="45"/>
      <c r="I18" s="45"/>
      <c r="J18" s="45"/>
      <c r="K18" s="59"/>
      <c r="L18" s="45" t="str">
        <f aca="false">IF(K18="","",DATEDIF(K18,PARAMETRES!$C$12,"y"))</f>
        <v/>
      </c>
      <c r="M18" s="59"/>
      <c r="N18" s="45"/>
      <c r="O18" s="45"/>
      <c r="P18" s="74"/>
    </row>
    <row r="19" customFormat="false" ht="15" hidden="false" customHeight="false" outlineLevel="0" collapsed="false">
      <c r="A19" s="45" t="str">
        <f aca="false">IF(C19="","",ROW()-9)</f>
        <v/>
      </c>
      <c r="B19" s="45"/>
      <c r="C19" s="74"/>
      <c r="D19" s="45"/>
      <c r="E19" s="59"/>
      <c r="F19" s="45" t="str">
        <f aca="false">IF(E19="","",DATEDIF(E19,PARAMETRES!$C$13,"y"))</f>
        <v/>
      </c>
      <c r="G19" s="45"/>
      <c r="H19" s="45"/>
      <c r="I19" s="45"/>
      <c r="J19" s="45"/>
      <c r="K19" s="59"/>
      <c r="L19" s="45" t="str">
        <f aca="false">IF(K19="","",DATEDIF(K19,PARAMETRES!$C$12,"y"))</f>
        <v/>
      </c>
      <c r="M19" s="59"/>
      <c r="N19" s="45"/>
      <c r="O19" s="45"/>
      <c r="P19" s="74"/>
    </row>
    <row r="20" customFormat="false" ht="15" hidden="false" customHeight="false" outlineLevel="0" collapsed="false">
      <c r="A20" s="45" t="str">
        <f aca="false">IF(C20="","",ROW()-9)</f>
        <v/>
      </c>
      <c r="B20" s="45"/>
      <c r="C20" s="74"/>
      <c r="D20" s="45"/>
      <c r="E20" s="59"/>
      <c r="F20" s="45" t="str">
        <f aca="false">IF(E20="","",DATEDIF(E20,PARAMETRES!$C$13,"y"))</f>
        <v/>
      </c>
      <c r="G20" s="45"/>
      <c r="H20" s="45"/>
      <c r="I20" s="45"/>
      <c r="J20" s="45"/>
      <c r="K20" s="59"/>
      <c r="L20" s="45" t="str">
        <f aca="false">IF(K20="","",DATEDIF(K20,PARAMETRES!$C$12,"y"))</f>
        <v/>
      </c>
      <c r="M20" s="59"/>
      <c r="N20" s="45"/>
      <c r="O20" s="45"/>
      <c r="P20" s="74"/>
    </row>
    <row r="21" customFormat="false" ht="15" hidden="false" customHeight="false" outlineLevel="0" collapsed="false">
      <c r="A21" s="45" t="str">
        <f aca="false">IF(C21="","",ROW()-9)</f>
        <v/>
      </c>
      <c r="B21" s="45"/>
      <c r="C21" s="74"/>
      <c r="D21" s="45"/>
      <c r="E21" s="59"/>
      <c r="F21" s="45" t="str">
        <f aca="false">IF(E21="","",DATEDIF(E21,PARAMETRES!$C$13,"y"))</f>
        <v/>
      </c>
      <c r="G21" s="45"/>
      <c r="H21" s="45"/>
      <c r="I21" s="45"/>
      <c r="J21" s="45"/>
      <c r="K21" s="59"/>
      <c r="L21" s="45" t="str">
        <f aca="false">IF(K21="","",DATEDIF(K21,PARAMETRES!$C$12,"y"))</f>
        <v/>
      </c>
      <c r="M21" s="59"/>
      <c r="N21" s="45"/>
      <c r="O21" s="45"/>
      <c r="P21" s="74"/>
    </row>
    <row r="22" customFormat="false" ht="15" hidden="false" customHeight="false" outlineLevel="0" collapsed="false">
      <c r="A22" s="45" t="str">
        <f aca="false">IF(C22="","",ROW()-9)</f>
        <v/>
      </c>
      <c r="B22" s="45"/>
      <c r="C22" s="74"/>
      <c r="D22" s="45"/>
      <c r="E22" s="59"/>
      <c r="F22" s="45" t="str">
        <f aca="false">IF(E22="","",DATEDIF(E22,PARAMETRES!$C$13,"y"))</f>
        <v/>
      </c>
      <c r="G22" s="45"/>
      <c r="H22" s="45"/>
      <c r="I22" s="45"/>
      <c r="J22" s="45"/>
      <c r="K22" s="59"/>
      <c r="L22" s="45" t="str">
        <f aca="false">IF(K22="","",DATEDIF(K22,PARAMETRES!$C$12,"y"))</f>
        <v/>
      </c>
      <c r="M22" s="59"/>
      <c r="N22" s="45"/>
      <c r="O22" s="45"/>
      <c r="P22" s="74"/>
    </row>
    <row r="23" customFormat="false" ht="15" hidden="false" customHeight="false" outlineLevel="0" collapsed="false">
      <c r="A23" s="45" t="str">
        <f aca="false">IF(C23="","",ROW()-9)</f>
        <v/>
      </c>
      <c r="B23" s="45"/>
      <c r="C23" s="74"/>
      <c r="D23" s="45"/>
      <c r="E23" s="59"/>
      <c r="F23" s="45" t="str">
        <f aca="false">IF(E23="","",DATEDIF(E23,PARAMETRES!$C$13,"y"))</f>
        <v/>
      </c>
      <c r="G23" s="45"/>
      <c r="H23" s="45"/>
      <c r="I23" s="45"/>
      <c r="J23" s="45"/>
      <c r="K23" s="59"/>
      <c r="L23" s="45" t="str">
        <f aca="false">IF(K23="","",DATEDIF(K23,PARAMETRES!$C$12,"y"))</f>
        <v/>
      </c>
      <c r="M23" s="59"/>
      <c r="N23" s="45"/>
      <c r="O23" s="45"/>
      <c r="P23" s="74"/>
    </row>
    <row r="24" customFormat="false" ht="15" hidden="false" customHeight="false" outlineLevel="0" collapsed="false">
      <c r="A24" s="45" t="str">
        <f aca="false">IF(C24="","",ROW()-9)</f>
        <v/>
      </c>
      <c r="B24" s="45"/>
      <c r="C24" s="74"/>
      <c r="D24" s="45"/>
      <c r="E24" s="59"/>
      <c r="F24" s="45" t="str">
        <f aca="false">IF(E24="","",DATEDIF(E24,PARAMETRES!$C$13,"y"))</f>
        <v/>
      </c>
      <c r="G24" s="45"/>
      <c r="H24" s="45"/>
      <c r="I24" s="45"/>
      <c r="J24" s="45"/>
      <c r="K24" s="59"/>
      <c r="L24" s="45" t="str">
        <f aca="false">IF(K24="","",DATEDIF(K24,PARAMETRES!$C$12,"y"))</f>
        <v/>
      </c>
      <c r="M24" s="59"/>
      <c r="N24" s="45"/>
      <c r="O24" s="45"/>
      <c r="P24" s="74"/>
    </row>
    <row r="25" customFormat="false" ht="15" hidden="false" customHeight="false" outlineLevel="0" collapsed="false">
      <c r="A25" s="45" t="str">
        <f aca="false">IF(C25="","",ROW()-9)</f>
        <v/>
      </c>
      <c r="B25" s="45"/>
      <c r="C25" s="74"/>
      <c r="D25" s="45"/>
      <c r="E25" s="59"/>
      <c r="F25" s="45" t="str">
        <f aca="false">IF(E25="","",DATEDIF(E25,PARAMETRES!$C$13,"y"))</f>
        <v/>
      </c>
      <c r="G25" s="45"/>
      <c r="H25" s="45"/>
      <c r="I25" s="45"/>
      <c r="J25" s="45"/>
      <c r="K25" s="59"/>
      <c r="L25" s="45" t="str">
        <f aca="false">IF(K25="","",DATEDIF(K25,PARAMETRES!$C$12,"y"))</f>
        <v/>
      </c>
      <c r="M25" s="59"/>
      <c r="N25" s="45"/>
      <c r="O25" s="45"/>
      <c r="P25" s="74"/>
    </row>
    <row r="26" customFormat="false" ht="15" hidden="false" customHeight="false" outlineLevel="0" collapsed="false">
      <c r="A26" s="45" t="str">
        <f aca="false">IF(C26="","",ROW()-9)</f>
        <v/>
      </c>
      <c r="B26" s="45"/>
      <c r="C26" s="74"/>
      <c r="D26" s="45"/>
      <c r="E26" s="59"/>
      <c r="F26" s="45" t="str">
        <f aca="false">IF(E26="","",DATEDIF(E26,PARAMETRES!$C$13,"y"))</f>
        <v/>
      </c>
      <c r="G26" s="45"/>
      <c r="H26" s="45"/>
      <c r="I26" s="45"/>
      <c r="J26" s="45"/>
      <c r="K26" s="59"/>
      <c r="L26" s="45" t="str">
        <f aca="false">IF(K26="","",DATEDIF(K26,PARAMETRES!$C$12,"y"))</f>
        <v/>
      </c>
      <c r="M26" s="59"/>
      <c r="N26" s="45"/>
      <c r="O26" s="45"/>
      <c r="P26" s="74"/>
    </row>
    <row r="27" customFormat="false" ht="15" hidden="false" customHeight="false" outlineLevel="0" collapsed="false">
      <c r="A27" s="45" t="str">
        <f aca="false">IF(C27="","",ROW()-9)</f>
        <v/>
      </c>
      <c r="B27" s="45"/>
      <c r="C27" s="74"/>
      <c r="D27" s="45"/>
      <c r="E27" s="59"/>
      <c r="F27" s="45" t="str">
        <f aca="false">IF(E27="","",DATEDIF(E27,PARAMETRES!$C$13,"y"))</f>
        <v/>
      </c>
      <c r="G27" s="45"/>
      <c r="H27" s="45"/>
      <c r="I27" s="45"/>
      <c r="J27" s="45"/>
      <c r="K27" s="59"/>
      <c r="L27" s="45" t="str">
        <f aca="false">IF(K27="","",DATEDIF(K27,PARAMETRES!$C$12,"y"))</f>
        <v/>
      </c>
      <c r="M27" s="59"/>
      <c r="N27" s="45"/>
      <c r="O27" s="45"/>
      <c r="P27" s="74"/>
    </row>
    <row r="28" customFormat="false" ht="15" hidden="false" customHeight="false" outlineLevel="0" collapsed="false">
      <c r="A28" s="45" t="str">
        <f aca="false">IF(C28="","",ROW()-9)</f>
        <v/>
      </c>
      <c r="B28" s="45"/>
      <c r="C28" s="74"/>
      <c r="D28" s="45"/>
      <c r="E28" s="59"/>
      <c r="F28" s="45" t="str">
        <f aca="false">IF(E28="","",DATEDIF(E28,PARAMETRES!$C$13,"y"))</f>
        <v/>
      </c>
      <c r="G28" s="45"/>
      <c r="H28" s="45"/>
      <c r="I28" s="45"/>
      <c r="J28" s="45"/>
      <c r="K28" s="59"/>
      <c r="L28" s="45" t="str">
        <f aca="false">IF(K28="","",DATEDIF(K28,PARAMETRES!$C$12,"y"))</f>
        <v/>
      </c>
      <c r="M28" s="59"/>
      <c r="N28" s="45"/>
      <c r="O28" s="45"/>
      <c r="P28" s="74"/>
    </row>
    <row r="29" customFormat="false" ht="15" hidden="false" customHeight="false" outlineLevel="0" collapsed="false">
      <c r="A29" s="45" t="str">
        <f aca="false">IF(C29="","",ROW()-9)</f>
        <v/>
      </c>
      <c r="B29" s="45"/>
      <c r="C29" s="74"/>
      <c r="D29" s="45"/>
      <c r="E29" s="59"/>
      <c r="F29" s="45" t="str">
        <f aca="false">IF(E29="","",DATEDIF(E29,PARAMETRES!$C$13,"y"))</f>
        <v/>
      </c>
      <c r="G29" s="45"/>
      <c r="H29" s="45"/>
      <c r="I29" s="45"/>
      <c r="J29" s="45"/>
      <c r="K29" s="59"/>
      <c r="L29" s="45" t="str">
        <f aca="false">IF(K29="","",DATEDIF(K29,PARAMETRES!$C$12,"y"))</f>
        <v/>
      </c>
      <c r="M29" s="59"/>
      <c r="N29" s="45"/>
      <c r="O29" s="45"/>
      <c r="P29" s="74"/>
    </row>
    <row r="30" customFormat="false" ht="15" hidden="false" customHeight="false" outlineLevel="0" collapsed="false">
      <c r="A30" s="45" t="str">
        <f aca="false">IF(C30="","",ROW()-9)</f>
        <v/>
      </c>
      <c r="B30" s="45"/>
      <c r="C30" s="74"/>
      <c r="D30" s="45"/>
      <c r="E30" s="59"/>
      <c r="F30" s="45" t="str">
        <f aca="false">IF(E30="","",DATEDIF(E30,PARAMETRES!$C$13,"y"))</f>
        <v/>
      </c>
      <c r="G30" s="45"/>
      <c r="H30" s="45"/>
      <c r="I30" s="45"/>
      <c r="J30" s="45"/>
      <c r="K30" s="59"/>
      <c r="L30" s="45" t="str">
        <f aca="false">IF(K30="","",DATEDIF(K30,PARAMETRES!$C$12,"y"))</f>
        <v/>
      </c>
      <c r="M30" s="59"/>
      <c r="N30" s="45"/>
      <c r="O30" s="45"/>
      <c r="P30" s="74"/>
    </row>
    <row r="31" customFormat="false" ht="15" hidden="false" customHeight="false" outlineLevel="0" collapsed="false">
      <c r="A31" s="45" t="str">
        <f aca="false">IF(C31="","",ROW()-9)</f>
        <v/>
      </c>
      <c r="B31" s="45"/>
      <c r="C31" s="74"/>
      <c r="D31" s="45"/>
      <c r="E31" s="59"/>
      <c r="F31" s="45" t="str">
        <f aca="false">IF(E31="","",DATEDIF(E31,PARAMETRES!$C$13,"y"))</f>
        <v/>
      </c>
      <c r="G31" s="45"/>
      <c r="H31" s="45"/>
      <c r="I31" s="45"/>
      <c r="J31" s="45"/>
      <c r="K31" s="59"/>
      <c r="L31" s="45" t="str">
        <f aca="false">IF(K31="","",DATEDIF(K31,PARAMETRES!$C$12,"y"))</f>
        <v/>
      </c>
      <c r="M31" s="59"/>
      <c r="N31" s="45"/>
      <c r="O31" s="45"/>
      <c r="P31" s="74"/>
    </row>
    <row r="32" customFormat="false" ht="15" hidden="false" customHeight="false" outlineLevel="0" collapsed="false">
      <c r="A32" s="45" t="str">
        <f aca="false">IF(C32="","",ROW()-9)</f>
        <v/>
      </c>
      <c r="B32" s="45"/>
      <c r="C32" s="74"/>
      <c r="D32" s="45"/>
      <c r="E32" s="59"/>
      <c r="F32" s="45" t="str">
        <f aca="false">IF(E32="","",DATEDIF(E32,PARAMETRES!$C$13,"y"))</f>
        <v/>
      </c>
      <c r="G32" s="45"/>
      <c r="H32" s="45"/>
      <c r="I32" s="45"/>
      <c r="J32" s="45"/>
      <c r="K32" s="59"/>
      <c r="L32" s="45" t="str">
        <f aca="false">IF(K32="","",DATEDIF(K32,PARAMETRES!$C$12,"y"))</f>
        <v/>
      </c>
      <c r="M32" s="59"/>
      <c r="N32" s="45"/>
      <c r="O32" s="45"/>
      <c r="P32" s="74"/>
    </row>
    <row r="33" customFormat="false" ht="15" hidden="false" customHeight="false" outlineLevel="0" collapsed="false">
      <c r="A33" s="45" t="str">
        <f aca="false">IF(C33="","",ROW()-9)</f>
        <v/>
      </c>
      <c r="B33" s="45"/>
      <c r="C33" s="74"/>
      <c r="D33" s="45"/>
      <c r="E33" s="59"/>
      <c r="F33" s="45" t="str">
        <f aca="false">IF(E33="","",DATEDIF(E33,PARAMETRES!$C$13,"y"))</f>
        <v/>
      </c>
      <c r="G33" s="45"/>
      <c r="H33" s="45"/>
      <c r="I33" s="45"/>
      <c r="J33" s="45"/>
      <c r="K33" s="59"/>
      <c r="L33" s="45" t="str">
        <f aca="false">IF(K33="","",DATEDIF(K33,PARAMETRES!$C$12,"y"))</f>
        <v/>
      </c>
      <c r="M33" s="59"/>
      <c r="N33" s="45"/>
      <c r="O33" s="45"/>
      <c r="P33" s="74"/>
    </row>
    <row r="34" customFormat="false" ht="15" hidden="false" customHeight="false" outlineLevel="0" collapsed="false">
      <c r="A34" s="45" t="str">
        <f aca="false">IF(C34="","",ROW()-9)</f>
        <v/>
      </c>
      <c r="B34" s="45"/>
      <c r="C34" s="74"/>
      <c r="D34" s="45"/>
      <c r="E34" s="59"/>
      <c r="F34" s="45" t="str">
        <f aca="false">IF(E34="","",DATEDIF(E34,PARAMETRES!$C$13,"y"))</f>
        <v/>
      </c>
      <c r="G34" s="45"/>
      <c r="H34" s="45"/>
      <c r="I34" s="45"/>
      <c r="J34" s="45"/>
      <c r="K34" s="59"/>
      <c r="L34" s="45" t="str">
        <f aca="false">IF(K34="","",DATEDIF(K34,PARAMETRES!$C$12,"y"))</f>
        <v/>
      </c>
      <c r="M34" s="59"/>
      <c r="N34" s="45"/>
      <c r="O34" s="45"/>
      <c r="P34" s="74"/>
    </row>
    <row r="35" customFormat="false" ht="15" hidden="false" customHeight="false" outlineLevel="0" collapsed="false">
      <c r="A35" s="45" t="str">
        <f aca="false">IF(C35="","",ROW()-9)</f>
        <v/>
      </c>
      <c r="B35" s="45"/>
      <c r="C35" s="74"/>
      <c r="D35" s="45"/>
      <c r="E35" s="59"/>
      <c r="F35" s="45" t="str">
        <f aca="false">IF(E35="","",DATEDIF(E35,PARAMETRES!$C$13,"y"))</f>
        <v/>
      </c>
      <c r="G35" s="45"/>
      <c r="H35" s="45"/>
      <c r="I35" s="45"/>
      <c r="J35" s="45"/>
      <c r="K35" s="59"/>
      <c r="L35" s="45" t="str">
        <f aca="false">IF(K35="","",DATEDIF(K35,PARAMETRES!$C$12,"y"))</f>
        <v/>
      </c>
      <c r="M35" s="59"/>
      <c r="N35" s="45"/>
      <c r="O35" s="45"/>
      <c r="P35" s="74"/>
    </row>
    <row r="36" customFormat="false" ht="15" hidden="false" customHeight="false" outlineLevel="0" collapsed="false">
      <c r="A36" s="45" t="str">
        <f aca="false">IF(C36="","",ROW()-9)</f>
        <v/>
      </c>
      <c r="B36" s="45"/>
      <c r="C36" s="74"/>
      <c r="D36" s="45"/>
      <c r="E36" s="59"/>
      <c r="F36" s="45" t="str">
        <f aca="false">IF(E36="","",DATEDIF(E36,PARAMETRES!$C$13,"y"))</f>
        <v/>
      </c>
      <c r="G36" s="45"/>
      <c r="H36" s="45"/>
      <c r="I36" s="45"/>
      <c r="J36" s="45"/>
      <c r="K36" s="59"/>
      <c r="L36" s="45" t="str">
        <f aca="false">IF(K36="","",DATEDIF(K36,PARAMETRES!$C$12,"y"))</f>
        <v/>
      </c>
      <c r="M36" s="59"/>
      <c r="N36" s="45"/>
      <c r="O36" s="45"/>
      <c r="P36" s="74"/>
    </row>
    <row r="37" customFormat="false" ht="15" hidden="false" customHeight="false" outlineLevel="0" collapsed="false">
      <c r="A37" s="45" t="str">
        <f aca="false">IF(C37="","",ROW()-9)</f>
        <v/>
      </c>
      <c r="B37" s="45"/>
      <c r="C37" s="74"/>
      <c r="D37" s="45"/>
      <c r="E37" s="59"/>
      <c r="F37" s="45" t="str">
        <f aca="false">IF(E37="","",DATEDIF(E37,PARAMETRES!$C$13,"y"))</f>
        <v/>
      </c>
      <c r="G37" s="45"/>
      <c r="H37" s="45"/>
      <c r="I37" s="45"/>
      <c r="J37" s="45"/>
      <c r="K37" s="59"/>
      <c r="L37" s="45" t="str">
        <f aca="false">IF(K37="","",DATEDIF(K37,PARAMETRES!$C$12,"y"))</f>
        <v/>
      </c>
      <c r="M37" s="59"/>
      <c r="N37" s="45"/>
      <c r="O37" s="45"/>
      <c r="P37" s="74"/>
    </row>
    <row r="38" customFormat="false" ht="15" hidden="false" customHeight="false" outlineLevel="0" collapsed="false">
      <c r="A38" s="45" t="str">
        <f aca="false">IF(C38="","",ROW()-9)</f>
        <v/>
      </c>
      <c r="B38" s="45"/>
      <c r="C38" s="74"/>
      <c r="D38" s="45"/>
      <c r="E38" s="59"/>
      <c r="F38" s="45" t="str">
        <f aca="false">IF(E38="","",DATEDIF(E38,PARAMETRES!$C$13,"y"))</f>
        <v/>
      </c>
      <c r="G38" s="45"/>
      <c r="H38" s="45"/>
      <c r="I38" s="45"/>
      <c r="J38" s="45"/>
      <c r="K38" s="59"/>
      <c r="L38" s="45" t="str">
        <f aca="false">IF(K38="","",DATEDIF(K38,PARAMETRES!$C$12,"y"))</f>
        <v/>
      </c>
      <c r="M38" s="59"/>
      <c r="N38" s="45"/>
      <c r="O38" s="45"/>
      <c r="P38" s="74"/>
    </row>
    <row r="39" customFormat="false" ht="15" hidden="false" customHeight="false" outlineLevel="0" collapsed="false">
      <c r="A39" s="45" t="str">
        <f aca="false">IF(C39="","",ROW()-9)</f>
        <v/>
      </c>
      <c r="B39" s="45"/>
      <c r="C39" s="74"/>
      <c r="D39" s="45"/>
      <c r="E39" s="59"/>
      <c r="F39" s="45" t="str">
        <f aca="false">IF(E39="","",DATEDIF(E39,PARAMETRES!$C$13,"y"))</f>
        <v/>
      </c>
      <c r="G39" s="45"/>
      <c r="H39" s="45"/>
      <c r="I39" s="45"/>
      <c r="J39" s="45"/>
      <c r="K39" s="59"/>
      <c r="L39" s="45" t="str">
        <f aca="false">IF(K39="","",DATEDIF(K39,PARAMETRES!$C$12,"y"))</f>
        <v/>
      </c>
      <c r="M39" s="59"/>
      <c r="N39" s="45"/>
      <c r="O39" s="45"/>
      <c r="P39" s="74"/>
    </row>
    <row r="40" customFormat="false" ht="15" hidden="false" customHeight="false" outlineLevel="0" collapsed="false">
      <c r="A40" s="45" t="str">
        <f aca="false">IF(C40="","",ROW()-9)</f>
        <v/>
      </c>
      <c r="B40" s="45"/>
      <c r="C40" s="74"/>
      <c r="D40" s="45"/>
      <c r="E40" s="59"/>
      <c r="F40" s="45" t="str">
        <f aca="false">IF(E40="","",DATEDIF(E40,PARAMETRES!$C$13,"y"))</f>
        <v/>
      </c>
      <c r="G40" s="45"/>
      <c r="H40" s="45"/>
      <c r="I40" s="45"/>
      <c r="J40" s="45"/>
      <c r="K40" s="59"/>
      <c r="L40" s="45" t="str">
        <f aca="false">IF(K40="","",DATEDIF(K40,PARAMETRES!$C$12,"y"))</f>
        <v/>
      </c>
      <c r="M40" s="59"/>
      <c r="N40" s="45"/>
      <c r="O40" s="45"/>
      <c r="P40" s="74"/>
    </row>
    <row r="41" customFormat="false" ht="15" hidden="false" customHeight="false" outlineLevel="0" collapsed="false">
      <c r="A41" s="45" t="str">
        <f aca="false">IF(C41="","",ROW()-9)</f>
        <v/>
      </c>
      <c r="B41" s="45"/>
      <c r="C41" s="74"/>
      <c r="D41" s="45"/>
      <c r="E41" s="59"/>
      <c r="F41" s="45" t="str">
        <f aca="false">IF(E41="","",DATEDIF(E41,PARAMETRES!$C$13,"y"))</f>
        <v/>
      </c>
      <c r="G41" s="45"/>
      <c r="H41" s="45"/>
      <c r="I41" s="45"/>
      <c r="J41" s="45"/>
      <c r="K41" s="59"/>
      <c r="L41" s="45" t="str">
        <f aca="false">IF(K41="","",DATEDIF(K41,PARAMETRES!$C$12,"y"))</f>
        <v/>
      </c>
      <c r="M41" s="59"/>
      <c r="N41" s="45"/>
      <c r="O41" s="45"/>
      <c r="P41" s="74"/>
    </row>
    <row r="42" customFormat="false" ht="15" hidden="false" customHeight="false" outlineLevel="0" collapsed="false">
      <c r="A42" s="45" t="str">
        <f aca="false">IF(C42="","",ROW()-9)</f>
        <v/>
      </c>
      <c r="B42" s="45"/>
      <c r="C42" s="74"/>
      <c r="D42" s="45"/>
      <c r="E42" s="59"/>
      <c r="F42" s="45" t="str">
        <f aca="false">IF(E42="","",DATEDIF(E42,PARAMETRES!$C$13,"y"))</f>
        <v/>
      </c>
      <c r="G42" s="45"/>
      <c r="H42" s="45"/>
      <c r="I42" s="45"/>
      <c r="J42" s="45"/>
      <c r="K42" s="59"/>
      <c r="L42" s="45" t="str">
        <f aca="false">IF(K42="","",DATEDIF(K42,PARAMETRES!$C$12,"y"))</f>
        <v/>
      </c>
      <c r="M42" s="59"/>
      <c r="N42" s="45"/>
      <c r="O42" s="45"/>
      <c r="P42" s="74"/>
    </row>
    <row r="43" customFormat="false" ht="15" hidden="false" customHeight="false" outlineLevel="0" collapsed="false">
      <c r="A43" s="45" t="str">
        <f aca="false">IF(C43="","",ROW()-9)</f>
        <v/>
      </c>
      <c r="B43" s="45"/>
      <c r="C43" s="74"/>
      <c r="D43" s="45"/>
      <c r="E43" s="59"/>
      <c r="F43" s="45" t="str">
        <f aca="false">IF(E43="","",DATEDIF(E43,PARAMETRES!$C$13,"y"))</f>
        <v/>
      </c>
      <c r="G43" s="45"/>
      <c r="H43" s="45"/>
      <c r="I43" s="45"/>
      <c r="J43" s="45"/>
      <c r="K43" s="59"/>
      <c r="L43" s="45" t="str">
        <f aca="false">IF(K43="","",DATEDIF(K43,PARAMETRES!$C$12,"y"))</f>
        <v/>
      </c>
      <c r="M43" s="59"/>
      <c r="N43" s="45"/>
      <c r="O43" s="45"/>
      <c r="P43" s="74"/>
    </row>
    <row r="44" customFormat="false" ht="15" hidden="false" customHeight="false" outlineLevel="0" collapsed="false">
      <c r="A44" s="45" t="str">
        <f aca="false">IF(C44="","",ROW()-9)</f>
        <v/>
      </c>
      <c r="B44" s="45"/>
      <c r="C44" s="74"/>
      <c r="D44" s="45"/>
      <c r="E44" s="59"/>
      <c r="F44" s="45" t="str">
        <f aca="false">IF(E44="","",DATEDIF(E44,PARAMETRES!$C$13,"y"))</f>
        <v/>
      </c>
      <c r="G44" s="45"/>
      <c r="H44" s="45"/>
      <c r="I44" s="45"/>
      <c r="J44" s="45"/>
      <c r="K44" s="59"/>
      <c r="L44" s="45" t="str">
        <f aca="false">IF(K44="","",DATEDIF(K44,PARAMETRES!$C$12,"y"))</f>
        <v/>
      </c>
      <c r="M44" s="59"/>
      <c r="N44" s="45"/>
      <c r="O44" s="45"/>
      <c r="P44" s="74"/>
    </row>
    <row r="45" customFormat="false" ht="15" hidden="false" customHeight="false" outlineLevel="0" collapsed="false">
      <c r="A45" s="45" t="str">
        <f aca="false">IF(C45="","",ROW()-9)</f>
        <v/>
      </c>
      <c r="B45" s="45"/>
      <c r="C45" s="74"/>
      <c r="D45" s="45"/>
      <c r="E45" s="59"/>
      <c r="F45" s="45" t="str">
        <f aca="false">IF(E45="","",DATEDIF(E45,PARAMETRES!$C$13,"y"))</f>
        <v/>
      </c>
      <c r="G45" s="45"/>
      <c r="H45" s="45"/>
      <c r="I45" s="45"/>
      <c r="J45" s="45"/>
      <c r="K45" s="59"/>
      <c r="L45" s="45" t="str">
        <f aca="false">IF(K45="","",DATEDIF(K45,PARAMETRES!$C$12,"y"))</f>
        <v/>
      </c>
      <c r="M45" s="59"/>
      <c r="N45" s="45"/>
      <c r="O45" s="45"/>
      <c r="P45" s="74"/>
    </row>
    <row r="46" customFormat="false" ht="15" hidden="false" customHeight="false" outlineLevel="0" collapsed="false">
      <c r="A46" s="45" t="str">
        <f aca="false">IF(C46="","",ROW()-9)</f>
        <v/>
      </c>
      <c r="B46" s="45"/>
      <c r="C46" s="74"/>
      <c r="D46" s="45"/>
      <c r="E46" s="59"/>
      <c r="F46" s="45" t="str">
        <f aca="false">IF(E46="","",DATEDIF(E46,PARAMETRES!$C$13,"y"))</f>
        <v/>
      </c>
      <c r="G46" s="45"/>
      <c r="H46" s="45"/>
      <c r="I46" s="45"/>
      <c r="J46" s="45"/>
      <c r="K46" s="59"/>
      <c r="L46" s="45" t="str">
        <f aca="false">IF(K46="","",DATEDIF(K46,PARAMETRES!$C$12,"y"))</f>
        <v/>
      </c>
      <c r="M46" s="59"/>
      <c r="N46" s="45"/>
      <c r="O46" s="45"/>
      <c r="P46" s="74"/>
    </row>
    <row r="47" customFormat="false" ht="15" hidden="false" customHeight="false" outlineLevel="0" collapsed="false">
      <c r="A47" s="45" t="str">
        <f aca="false">IF(C47="","",ROW()-9)</f>
        <v/>
      </c>
      <c r="B47" s="45"/>
      <c r="C47" s="74"/>
      <c r="D47" s="45"/>
      <c r="E47" s="59"/>
      <c r="F47" s="45" t="str">
        <f aca="false">IF(E47="","",DATEDIF(E47,PARAMETRES!$C$13,"y"))</f>
        <v/>
      </c>
      <c r="G47" s="45"/>
      <c r="H47" s="45"/>
      <c r="I47" s="45"/>
      <c r="J47" s="45"/>
      <c r="K47" s="59"/>
      <c r="L47" s="45" t="str">
        <f aca="false">IF(K47="","",DATEDIF(K47,PARAMETRES!$C$12,"y"))</f>
        <v/>
      </c>
      <c r="M47" s="59"/>
      <c r="N47" s="45"/>
      <c r="O47" s="45"/>
      <c r="P47" s="74"/>
    </row>
    <row r="48" customFormat="false" ht="15" hidden="false" customHeight="false" outlineLevel="0" collapsed="false">
      <c r="A48" s="45" t="str">
        <f aca="false">IF(C48="","",ROW()-9)</f>
        <v/>
      </c>
      <c r="B48" s="45"/>
      <c r="C48" s="74"/>
      <c r="D48" s="45"/>
      <c r="E48" s="59"/>
      <c r="F48" s="45" t="str">
        <f aca="false">IF(E48="","",DATEDIF(E48,PARAMETRES!$C$13,"y"))</f>
        <v/>
      </c>
      <c r="G48" s="45"/>
      <c r="H48" s="45"/>
      <c r="I48" s="45"/>
      <c r="J48" s="45"/>
      <c r="K48" s="59"/>
      <c r="L48" s="45" t="str">
        <f aca="false">IF(K48="","",DATEDIF(K48,PARAMETRES!$C$12,"y"))</f>
        <v/>
      </c>
      <c r="M48" s="59"/>
      <c r="N48" s="45"/>
      <c r="O48" s="45"/>
      <c r="P48" s="74"/>
    </row>
    <row r="49" customFormat="false" ht="15" hidden="false" customHeight="false" outlineLevel="0" collapsed="false">
      <c r="A49" s="45" t="str">
        <f aca="false">IF(C49="","",ROW()-9)</f>
        <v/>
      </c>
      <c r="B49" s="45"/>
      <c r="C49" s="74"/>
      <c r="D49" s="45"/>
      <c r="E49" s="59"/>
      <c r="F49" s="45" t="str">
        <f aca="false">IF(E49="","",DATEDIF(E49,PARAMETRES!$C$13,"y"))</f>
        <v/>
      </c>
      <c r="G49" s="45"/>
      <c r="H49" s="45"/>
      <c r="I49" s="45"/>
      <c r="J49" s="45"/>
      <c r="K49" s="59"/>
      <c r="L49" s="45" t="str">
        <f aca="false">IF(K49="","",DATEDIF(K49,PARAMETRES!$C$12,"y"))</f>
        <v/>
      </c>
      <c r="M49" s="59"/>
      <c r="N49" s="45"/>
      <c r="O49" s="45"/>
      <c r="P49" s="74"/>
    </row>
    <row r="50" customFormat="false" ht="15" hidden="false" customHeight="false" outlineLevel="0" collapsed="false">
      <c r="A50" s="45" t="str">
        <f aca="false">IF(C50="","",ROW()-9)</f>
        <v/>
      </c>
      <c r="B50" s="45"/>
      <c r="C50" s="74"/>
      <c r="D50" s="45"/>
      <c r="E50" s="59"/>
      <c r="F50" s="45" t="str">
        <f aca="false">IF(E50="","",DATEDIF(E50,PARAMETRES!$C$13,"y"))</f>
        <v/>
      </c>
      <c r="G50" s="45"/>
      <c r="H50" s="45"/>
      <c r="I50" s="45"/>
      <c r="J50" s="45"/>
      <c r="K50" s="59"/>
      <c r="L50" s="45" t="str">
        <f aca="false">IF(K50="","",DATEDIF(K50,PARAMETRES!$C$12,"y"))</f>
        <v/>
      </c>
      <c r="M50" s="59"/>
      <c r="N50" s="45"/>
      <c r="O50" s="45"/>
      <c r="P50" s="74"/>
    </row>
    <row r="51" customFormat="false" ht="15" hidden="false" customHeight="false" outlineLevel="0" collapsed="false">
      <c r="A51" s="45" t="str">
        <f aca="false">IF(C51="","",ROW()-9)</f>
        <v/>
      </c>
      <c r="B51" s="45"/>
      <c r="C51" s="74"/>
      <c r="D51" s="45"/>
      <c r="E51" s="59"/>
      <c r="F51" s="45" t="str">
        <f aca="false">IF(E51="","",DATEDIF(E51,PARAMETRES!$C$13,"y"))</f>
        <v/>
      </c>
      <c r="G51" s="45"/>
      <c r="H51" s="45"/>
      <c r="I51" s="45"/>
      <c r="J51" s="45"/>
      <c r="K51" s="59"/>
      <c r="L51" s="45" t="str">
        <f aca="false">IF(K51="","",DATEDIF(K51,PARAMETRES!$C$12,"y"))</f>
        <v/>
      </c>
      <c r="M51" s="59"/>
      <c r="N51" s="45"/>
      <c r="O51" s="45"/>
      <c r="P51" s="74"/>
    </row>
    <row r="52" customFormat="false" ht="15" hidden="false" customHeight="false" outlineLevel="0" collapsed="false">
      <c r="A52" s="45" t="str">
        <f aca="false">IF(C52="","",ROW()-9)</f>
        <v/>
      </c>
      <c r="B52" s="45"/>
      <c r="C52" s="74"/>
      <c r="D52" s="45"/>
      <c r="E52" s="59"/>
      <c r="F52" s="45" t="str">
        <f aca="false">IF(E52="","",DATEDIF(E52,PARAMETRES!$C$13,"y"))</f>
        <v/>
      </c>
      <c r="G52" s="45"/>
      <c r="H52" s="45"/>
      <c r="I52" s="45"/>
      <c r="J52" s="45"/>
      <c r="K52" s="59"/>
      <c r="L52" s="45" t="str">
        <f aca="false">IF(K52="","",DATEDIF(K52,PARAMETRES!$C$12,"y"))</f>
        <v/>
      </c>
      <c r="M52" s="59"/>
      <c r="N52" s="45"/>
      <c r="O52" s="45"/>
      <c r="P52" s="74"/>
    </row>
    <row r="53" customFormat="false" ht="15" hidden="false" customHeight="false" outlineLevel="0" collapsed="false">
      <c r="A53" s="45" t="str">
        <f aca="false">IF(C53="","",ROW()-9)</f>
        <v/>
      </c>
      <c r="B53" s="45"/>
      <c r="C53" s="74"/>
      <c r="D53" s="45"/>
      <c r="E53" s="59"/>
      <c r="F53" s="45" t="str">
        <f aca="false">IF(E53="","",DATEDIF(E53,PARAMETRES!$C$13,"y"))</f>
        <v/>
      </c>
      <c r="G53" s="45"/>
      <c r="H53" s="45"/>
      <c r="I53" s="45"/>
      <c r="J53" s="45"/>
      <c r="K53" s="59"/>
      <c r="L53" s="45" t="str">
        <f aca="false">IF(K53="","",DATEDIF(K53,PARAMETRES!$C$12,"y"))</f>
        <v/>
      </c>
      <c r="M53" s="59"/>
      <c r="N53" s="45"/>
      <c r="O53" s="45"/>
      <c r="P53" s="74"/>
    </row>
    <row r="54" customFormat="false" ht="15" hidden="false" customHeight="false" outlineLevel="0" collapsed="false">
      <c r="A54" s="45" t="str">
        <f aca="false">IF(C54="","",ROW()-9)</f>
        <v/>
      </c>
      <c r="B54" s="45"/>
      <c r="C54" s="74"/>
      <c r="D54" s="45"/>
      <c r="E54" s="59"/>
      <c r="F54" s="45" t="str">
        <f aca="false">IF(E54="","",DATEDIF(E54,PARAMETRES!$C$13,"y"))</f>
        <v/>
      </c>
      <c r="G54" s="45"/>
      <c r="H54" s="45"/>
      <c r="I54" s="45"/>
      <c r="J54" s="45"/>
      <c r="K54" s="59"/>
      <c r="L54" s="45" t="str">
        <f aca="false">IF(K54="","",DATEDIF(K54,PARAMETRES!$C$12,"y"))</f>
        <v/>
      </c>
      <c r="M54" s="59"/>
      <c r="N54" s="45"/>
      <c r="O54" s="45"/>
      <c r="P54" s="74"/>
    </row>
    <row r="55" customFormat="false" ht="15" hidden="false" customHeight="false" outlineLevel="0" collapsed="false">
      <c r="A55" s="45" t="str">
        <f aca="false">IF(C55="","",ROW()-9)</f>
        <v/>
      </c>
      <c r="B55" s="45"/>
      <c r="C55" s="74"/>
      <c r="D55" s="45"/>
      <c r="E55" s="59"/>
      <c r="F55" s="45" t="str">
        <f aca="false">IF(E55="","",DATEDIF(E55,PARAMETRES!$C$13,"y"))</f>
        <v/>
      </c>
      <c r="G55" s="45"/>
      <c r="H55" s="45"/>
      <c r="I55" s="45"/>
      <c r="J55" s="45"/>
      <c r="K55" s="59"/>
      <c r="L55" s="45" t="str">
        <f aca="false">IF(K55="","",DATEDIF(K55,PARAMETRES!$C$12,"y"))</f>
        <v/>
      </c>
      <c r="M55" s="59"/>
      <c r="N55" s="45"/>
      <c r="O55" s="45"/>
      <c r="P55" s="74"/>
    </row>
    <row r="56" customFormat="false" ht="15" hidden="false" customHeight="false" outlineLevel="0" collapsed="false">
      <c r="A56" s="45" t="str">
        <f aca="false">IF(C56="","",ROW()-9)</f>
        <v/>
      </c>
      <c r="B56" s="45"/>
      <c r="C56" s="74"/>
      <c r="D56" s="45"/>
      <c r="E56" s="59"/>
      <c r="F56" s="45" t="str">
        <f aca="false">IF(E56="","",DATEDIF(E56,PARAMETRES!$C$13,"y"))</f>
        <v/>
      </c>
      <c r="G56" s="45"/>
      <c r="H56" s="45"/>
      <c r="I56" s="45"/>
      <c r="J56" s="45"/>
      <c r="K56" s="59"/>
      <c r="L56" s="45" t="str">
        <f aca="false">IF(K56="","",DATEDIF(K56,PARAMETRES!$C$12,"y"))</f>
        <v/>
      </c>
      <c r="M56" s="59"/>
      <c r="N56" s="45"/>
      <c r="O56" s="45"/>
      <c r="P56" s="74"/>
    </row>
    <row r="57" customFormat="false" ht="15" hidden="false" customHeight="false" outlineLevel="0" collapsed="false">
      <c r="A57" s="45" t="str">
        <f aca="false">IF(C57="","",ROW()-9)</f>
        <v/>
      </c>
      <c r="B57" s="45"/>
      <c r="C57" s="74"/>
      <c r="D57" s="45"/>
      <c r="E57" s="59"/>
      <c r="F57" s="45" t="str">
        <f aca="false">IF(E57="","",DATEDIF(E57,PARAMETRES!$C$13,"y"))</f>
        <v/>
      </c>
      <c r="G57" s="45"/>
      <c r="H57" s="45"/>
      <c r="I57" s="45"/>
      <c r="J57" s="45"/>
      <c r="K57" s="59"/>
      <c r="L57" s="45" t="str">
        <f aca="false">IF(K57="","",DATEDIF(K57,PARAMETRES!$C$12,"y"))</f>
        <v/>
      </c>
      <c r="M57" s="59"/>
      <c r="N57" s="45"/>
      <c r="O57" s="45"/>
      <c r="P57" s="74"/>
    </row>
    <row r="58" customFormat="false" ht="15" hidden="false" customHeight="false" outlineLevel="0" collapsed="false">
      <c r="A58" s="45" t="str">
        <f aca="false">IF(C58="","",ROW()-9)</f>
        <v/>
      </c>
      <c r="B58" s="45"/>
      <c r="C58" s="74"/>
      <c r="D58" s="45"/>
      <c r="E58" s="59"/>
      <c r="F58" s="45" t="str">
        <f aca="false">IF(E58="","",DATEDIF(E58,PARAMETRES!$C$13,"y"))</f>
        <v/>
      </c>
      <c r="G58" s="45"/>
      <c r="H58" s="45"/>
      <c r="I58" s="45"/>
      <c r="J58" s="45"/>
      <c r="K58" s="59"/>
      <c r="L58" s="45" t="str">
        <f aca="false">IF(K58="","",DATEDIF(K58,PARAMETRES!$C$12,"y"))</f>
        <v/>
      </c>
      <c r="M58" s="59"/>
      <c r="N58" s="45"/>
      <c r="O58" s="45"/>
      <c r="P58" s="74"/>
    </row>
    <row r="59" customFormat="false" ht="15" hidden="false" customHeight="false" outlineLevel="0" collapsed="false">
      <c r="A59" s="45" t="str">
        <f aca="false">IF(C59="","",ROW()-9)</f>
        <v/>
      </c>
      <c r="B59" s="45"/>
      <c r="C59" s="74"/>
      <c r="D59" s="45"/>
      <c r="E59" s="59"/>
      <c r="F59" s="45" t="str">
        <f aca="false">IF(E59="","",DATEDIF(E59,PARAMETRES!$C$13,"y"))</f>
        <v/>
      </c>
      <c r="G59" s="45"/>
      <c r="H59" s="45"/>
      <c r="I59" s="45"/>
      <c r="J59" s="45"/>
      <c r="K59" s="59"/>
      <c r="L59" s="45" t="str">
        <f aca="false">IF(K59="","",DATEDIF(K59,PARAMETRES!$C$12,"y"))</f>
        <v/>
      </c>
      <c r="M59" s="59"/>
      <c r="N59" s="45"/>
      <c r="O59" s="45"/>
      <c r="P59" s="74"/>
    </row>
    <row r="60" customFormat="false" ht="15" hidden="false" customHeight="false" outlineLevel="0" collapsed="false">
      <c r="A60" s="45" t="str">
        <f aca="false">IF(C60="","",ROW()-9)</f>
        <v/>
      </c>
      <c r="B60" s="45"/>
      <c r="C60" s="74"/>
      <c r="D60" s="45"/>
      <c r="E60" s="59"/>
      <c r="F60" s="45" t="str">
        <f aca="false">IF(E60="","",DATEDIF(E60,PARAMETRES!$C$13,"y"))</f>
        <v/>
      </c>
      <c r="G60" s="45"/>
      <c r="H60" s="45"/>
      <c r="I60" s="45"/>
      <c r="J60" s="45"/>
      <c r="K60" s="59"/>
      <c r="L60" s="45" t="str">
        <f aca="false">IF(K60="","",DATEDIF(K60,PARAMETRES!$C$12,"y"))</f>
        <v/>
      </c>
      <c r="M60" s="59"/>
      <c r="N60" s="45"/>
      <c r="O60" s="45"/>
      <c r="P60" s="74"/>
    </row>
    <row r="61" customFormat="false" ht="15" hidden="false" customHeight="false" outlineLevel="0" collapsed="false">
      <c r="A61" s="45" t="str">
        <f aca="false">IF(C61="","",ROW()-9)</f>
        <v/>
      </c>
      <c r="B61" s="45"/>
      <c r="C61" s="74"/>
      <c r="D61" s="45"/>
      <c r="E61" s="59"/>
      <c r="F61" s="45" t="str">
        <f aca="false">IF(E61="","",DATEDIF(E61,PARAMETRES!$C$13,"y"))</f>
        <v/>
      </c>
      <c r="G61" s="45"/>
      <c r="H61" s="45"/>
      <c r="I61" s="45"/>
      <c r="J61" s="45"/>
      <c r="K61" s="59"/>
      <c r="L61" s="45" t="str">
        <f aca="false">IF(K61="","",DATEDIF(K61,PARAMETRES!$C$12,"y"))</f>
        <v/>
      </c>
      <c r="M61" s="59"/>
      <c r="N61" s="45"/>
      <c r="O61" s="45"/>
      <c r="P61" s="74"/>
    </row>
    <row r="62" customFormat="false" ht="15" hidden="false" customHeight="false" outlineLevel="0" collapsed="false">
      <c r="A62" s="45" t="str">
        <f aca="false">IF(C62="","",ROW()-9)</f>
        <v/>
      </c>
      <c r="B62" s="45"/>
      <c r="C62" s="74"/>
      <c r="D62" s="45"/>
      <c r="E62" s="59"/>
      <c r="F62" s="45" t="str">
        <f aca="false">IF(E62="","",DATEDIF(E62,PARAMETRES!$C$13,"y"))</f>
        <v/>
      </c>
      <c r="G62" s="45"/>
      <c r="H62" s="45"/>
      <c r="I62" s="45"/>
      <c r="J62" s="45"/>
      <c r="K62" s="59"/>
      <c r="L62" s="45" t="str">
        <f aca="false">IF(K62="","",DATEDIF(K62,PARAMETRES!$C$12,"y"))</f>
        <v/>
      </c>
      <c r="M62" s="59"/>
      <c r="N62" s="45"/>
      <c r="O62" s="45"/>
      <c r="P62" s="74"/>
    </row>
    <row r="63" customFormat="false" ht="15" hidden="false" customHeight="false" outlineLevel="0" collapsed="false">
      <c r="A63" s="45" t="str">
        <f aca="false">IF(C63="","",ROW()-9)</f>
        <v/>
      </c>
      <c r="B63" s="45"/>
      <c r="C63" s="74"/>
      <c r="D63" s="45"/>
      <c r="E63" s="59"/>
      <c r="F63" s="45" t="str">
        <f aca="false">IF(E63="","",DATEDIF(E63,PARAMETRES!$C$13,"y"))</f>
        <v/>
      </c>
      <c r="G63" s="45"/>
      <c r="H63" s="45"/>
      <c r="I63" s="45"/>
      <c r="J63" s="45"/>
      <c r="K63" s="59"/>
      <c r="L63" s="45" t="str">
        <f aca="false">IF(K63="","",DATEDIF(K63,PARAMETRES!$C$12,"y"))</f>
        <v/>
      </c>
      <c r="M63" s="59"/>
      <c r="N63" s="45"/>
      <c r="O63" s="45"/>
      <c r="P63" s="74"/>
    </row>
    <row r="64" customFormat="false" ht="15" hidden="false" customHeight="false" outlineLevel="0" collapsed="false">
      <c r="A64" s="45" t="str">
        <f aca="false">IF(C64="","",ROW()-9)</f>
        <v/>
      </c>
      <c r="B64" s="45"/>
      <c r="C64" s="74"/>
      <c r="D64" s="45"/>
      <c r="E64" s="59"/>
      <c r="F64" s="45" t="str">
        <f aca="false">IF(E64="","",DATEDIF(E64,PARAMETRES!$C$13,"y"))</f>
        <v/>
      </c>
      <c r="G64" s="45"/>
      <c r="H64" s="45"/>
      <c r="I64" s="45"/>
      <c r="J64" s="45"/>
      <c r="K64" s="59"/>
      <c r="L64" s="45" t="str">
        <f aca="false">IF(K64="","",DATEDIF(K64,PARAMETRES!$C$12,"y"))</f>
        <v/>
      </c>
      <c r="M64" s="59"/>
      <c r="N64" s="45"/>
      <c r="O64" s="45"/>
      <c r="P64" s="74"/>
    </row>
    <row r="65" customFormat="false" ht="15" hidden="false" customHeight="false" outlineLevel="0" collapsed="false">
      <c r="A65" s="45" t="str">
        <f aca="false">IF(C65="","",ROW()-9)</f>
        <v/>
      </c>
      <c r="B65" s="45"/>
      <c r="C65" s="74"/>
      <c r="D65" s="45"/>
      <c r="E65" s="59"/>
      <c r="F65" s="45" t="str">
        <f aca="false">IF(E65="","",DATEDIF(E65,PARAMETRES!$C$13,"y"))</f>
        <v/>
      </c>
      <c r="G65" s="45"/>
      <c r="H65" s="45"/>
      <c r="I65" s="45"/>
      <c r="J65" s="45"/>
      <c r="K65" s="59"/>
      <c r="L65" s="45" t="str">
        <f aca="false">IF(K65="","",DATEDIF(K65,PARAMETRES!$C$12,"y"))</f>
        <v/>
      </c>
      <c r="M65" s="59"/>
      <c r="N65" s="45"/>
      <c r="O65" s="45"/>
      <c r="P65" s="74"/>
    </row>
    <row r="66" customFormat="false" ht="15" hidden="false" customHeight="false" outlineLevel="0" collapsed="false">
      <c r="A66" s="45" t="str">
        <f aca="false">IF(C66="","",ROW()-9)</f>
        <v/>
      </c>
      <c r="B66" s="45"/>
      <c r="C66" s="74"/>
      <c r="D66" s="45"/>
      <c r="E66" s="59"/>
      <c r="F66" s="45" t="str">
        <f aca="false">IF(E66="","",DATEDIF(E66,PARAMETRES!$C$13,"y"))</f>
        <v/>
      </c>
      <c r="G66" s="45"/>
      <c r="H66" s="45"/>
      <c r="I66" s="45"/>
      <c r="J66" s="45"/>
      <c r="K66" s="59"/>
      <c r="L66" s="45" t="str">
        <f aca="false">IF(K66="","",DATEDIF(K66,PARAMETRES!$C$12,"y"))</f>
        <v/>
      </c>
      <c r="M66" s="59"/>
      <c r="N66" s="45"/>
      <c r="O66" s="45"/>
      <c r="P66" s="74"/>
    </row>
    <row r="67" customFormat="false" ht="15" hidden="false" customHeight="false" outlineLevel="0" collapsed="false">
      <c r="A67" s="45" t="str">
        <f aca="false">IF(C67="","",ROW()-9)</f>
        <v/>
      </c>
      <c r="B67" s="45"/>
      <c r="C67" s="74"/>
      <c r="D67" s="45"/>
      <c r="E67" s="59"/>
      <c r="F67" s="45" t="str">
        <f aca="false">IF(E67="","",DATEDIF(E67,PARAMETRES!$C$13,"y"))</f>
        <v/>
      </c>
      <c r="G67" s="45"/>
      <c r="H67" s="45"/>
      <c r="I67" s="45"/>
      <c r="J67" s="45"/>
      <c r="K67" s="59"/>
      <c r="L67" s="45" t="str">
        <f aca="false">IF(K67="","",DATEDIF(K67,PARAMETRES!$C$12,"y"))</f>
        <v/>
      </c>
      <c r="M67" s="59"/>
      <c r="N67" s="45"/>
      <c r="O67" s="45"/>
      <c r="P67" s="74"/>
    </row>
    <row r="68" customFormat="false" ht="15" hidden="false" customHeight="false" outlineLevel="0" collapsed="false">
      <c r="A68" s="45" t="str">
        <f aca="false">IF(C68="","",ROW()-9)</f>
        <v/>
      </c>
      <c r="B68" s="45"/>
      <c r="C68" s="74"/>
      <c r="D68" s="45"/>
      <c r="E68" s="59"/>
      <c r="F68" s="45" t="str">
        <f aca="false">IF(E68="","",DATEDIF(E68,PARAMETRES!$C$13,"y"))</f>
        <v/>
      </c>
      <c r="G68" s="45"/>
      <c r="H68" s="45"/>
      <c r="I68" s="45"/>
      <c r="J68" s="45"/>
      <c r="K68" s="59"/>
      <c r="L68" s="45" t="str">
        <f aca="false">IF(K68="","",DATEDIF(K68,PARAMETRES!$C$12,"y"))</f>
        <v/>
      </c>
      <c r="M68" s="59"/>
      <c r="N68" s="45"/>
      <c r="O68" s="45"/>
      <c r="P68" s="74"/>
    </row>
    <row r="69" customFormat="false" ht="15" hidden="false" customHeight="false" outlineLevel="0" collapsed="false">
      <c r="A69" s="45" t="str">
        <f aca="false">IF(C69="","",ROW()-9)</f>
        <v/>
      </c>
      <c r="B69" s="45"/>
      <c r="C69" s="74"/>
      <c r="D69" s="45"/>
      <c r="E69" s="59"/>
      <c r="F69" s="45" t="str">
        <f aca="false">IF(E69="","",DATEDIF(E69,PARAMETRES!$C$13,"y"))</f>
        <v/>
      </c>
      <c r="G69" s="45"/>
      <c r="H69" s="45"/>
      <c r="I69" s="45"/>
      <c r="J69" s="45"/>
      <c r="K69" s="59"/>
      <c r="L69" s="45" t="str">
        <f aca="false">IF(K69="","",DATEDIF(K69,PARAMETRES!$C$12,"y"))</f>
        <v/>
      </c>
      <c r="M69" s="59"/>
      <c r="N69" s="45"/>
      <c r="O69" s="45"/>
      <c r="P69" s="74"/>
    </row>
    <row r="71" customFormat="false" ht="15" hidden="false" customHeight="false" outlineLevel="0" collapsed="false">
      <c r="B71" s="19" t="s">
        <v>830</v>
      </c>
      <c r="C71" s="19"/>
      <c r="D71" s="19"/>
      <c r="E71" s="19"/>
    </row>
    <row r="72" customFormat="false" ht="18" hidden="false" customHeight="true" outlineLevel="0" collapsed="false">
      <c r="B72" s="21" t="s">
        <v>790</v>
      </c>
      <c r="C72" s="21" t="s">
        <v>831</v>
      </c>
      <c r="D72" s="21" t="s">
        <v>832</v>
      </c>
      <c r="E72" s="21" t="s">
        <v>15</v>
      </c>
    </row>
    <row r="73" customFormat="false" ht="15" hidden="false" customHeight="false" outlineLevel="0" collapsed="false">
      <c r="B73" s="128" t="s">
        <v>77</v>
      </c>
      <c r="C73" s="128" t="n">
        <f aca="false">COUNTIFS($G$10:$G$69,B73,$D$10:$D$69,"M")</f>
        <v>1</v>
      </c>
      <c r="D73" s="128" t="n">
        <f aca="false">COUNTIFS($G$10:$G$69,B73,$D$10:$D$69,"F")</f>
        <v>0</v>
      </c>
      <c r="E73" s="128" t="n">
        <f aca="false">C73+D73</f>
        <v>1</v>
      </c>
    </row>
    <row r="74" customFormat="false" ht="15" hidden="false" customHeight="false" outlineLevel="0" collapsed="false">
      <c r="B74" s="128" t="s">
        <v>80</v>
      </c>
      <c r="C74" s="128" t="n">
        <f aca="false">COUNTIFS($G$10:$G$69,B74,$D$10:$D$69,"M")</f>
        <v>0</v>
      </c>
      <c r="D74" s="128" t="n">
        <f aca="false">COUNTIFS($G$10:$G$69,B74,$D$10:$D$69,"F")</f>
        <v>0</v>
      </c>
      <c r="E74" s="128" t="n">
        <f aca="false">C74+D74</f>
        <v>0</v>
      </c>
    </row>
    <row r="75" customFormat="false" ht="15" hidden="false" customHeight="false" outlineLevel="0" collapsed="false">
      <c r="B75" s="128" t="s">
        <v>81</v>
      </c>
      <c r="C75" s="128" t="n">
        <f aca="false">COUNTIFS($G$10:$G$69,B75,$D$10:$D$69,"M")</f>
        <v>1</v>
      </c>
      <c r="D75" s="128" t="n">
        <f aca="false">COUNTIFS($G$10:$G$69,B75,$D$10:$D$69,"F")</f>
        <v>2</v>
      </c>
      <c r="E75" s="128" t="n">
        <f aca="false">C75+D75</f>
        <v>3</v>
      </c>
    </row>
    <row r="76" customFormat="false" ht="15" hidden="false" customHeight="false" outlineLevel="0" collapsed="false">
      <c r="B76" s="128" t="s">
        <v>85</v>
      </c>
      <c r="C76" s="128" t="n">
        <f aca="false">COUNTIFS($G$10:$G$69,B76,$D$10:$D$69,"M")</f>
        <v>2</v>
      </c>
      <c r="D76" s="128" t="n">
        <f aca="false">COUNTIFS($G$10:$G$69,B76,$D$10:$D$69,"F")</f>
        <v>0</v>
      </c>
      <c r="E76" s="128" t="n">
        <f aca="false">C76+D76</f>
        <v>2</v>
      </c>
    </row>
    <row r="77" customFormat="false" ht="15" hidden="false" customHeight="false" outlineLevel="0" collapsed="false">
      <c r="B77" s="128" t="s">
        <v>86</v>
      </c>
      <c r="C77" s="128" t="n">
        <f aca="false">COUNTIFS($G$10:$G$69,B77,$D$10:$D$69,"M")</f>
        <v>0</v>
      </c>
      <c r="D77" s="128" t="n">
        <f aca="false">COUNTIFS($G$10:$G$69,B77,$D$10:$D$69,"F")</f>
        <v>1</v>
      </c>
      <c r="E77" s="128" t="n">
        <f aca="false">C77+D77</f>
        <v>1</v>
      </c>
    </row>
    <row r="78" customFormat="false" ht="15" hidden="false" customHeight="false" outlineLevel="0" collapsed="false">
      <c r="B78" s="128" t="s">
        <v>87</v>
      </c>
      <c r="C78" s="128" t="n">
        <f aca="false">COUNTIFS($G$10:$G$69,B78,$D$10:$D$69,"M")</f>
        <v>1</v>
      </c>
      <c r="D78" s="128" t="n">
        <f aca="false">COUNTIFS($G$10:$G$69,B78,$D$10:$D$69,"F")</f>
        <v>0</v>
      </c>
      <c r="E78" s="128" t="n">
        <f aca="false">C78+D78</f>
        <v>1</v>
      </c>
    </row>
    <row r="79" customFormat="false" ht="15" hidden="false" customHeight="false" outlineLevel="0" collapsed="false">
      <c r="B79" s="128" t="s">
        <v>88</v>
      </c>
      <c r="C79" s="128" t="n">
        <f aca="false">COUNTIFS($G$10:$G$69,B79,$D$10:$D$69,"M")</f>
        <v>0</v>
      </c>
      <c r="D79" s="128" t="n">
        <f aca="false">COUNTIFS($G$10:$G$69,B79,$D$10:$D$69,"F")</f>
        <v>0</v>
      </c>
      <c r="E79" s="128" t="n">
        <f aca="false">C79+D79</f>
        <v>0</v>
      </c>
    </row>
    <row r="80" customFormat="false" ht="15" hidden="false" customHeight="false" outlineLevel="0" collapsed="false">
      <c r="B80" s="129" t="s">
        <v>24</v>
      </c>
      <c r="C80" s="129" t="n">
        <f aca="false">SUM(C73:C79)</f>
        <v>5</v>
      </c>
      <c r="D80" s="129" t="n">
        <f aca="false">SUM(D73:D79)</f>
        <v>3</v>
      </c>
      <c r="E80" s="129" t="n">
        <f aca="false">SUM(E73:E79)</f>
        <v>8</v>
      </c>
    </row>
    <row r="81" customFormat="false" ht="15" hidden="false" customHeight="false" outlineLevel="0" collapsed="false">
      <c r="B81" s="94" t="s">
        <v>833</v>
      </c>
      <c r="C81" s="130" t="n">
        <f aca="false">6-SUMPRODUCT((COUNTIF($I$10:$I$69,PARAMETRES!$E$3:$E$8)&gt;0)*1)</f>
        <v>0</v>
      </c>
      <c r="D81" s="131" t="s">
        <v>834</v>
      </c>
    </row>
    <row r="84" customFormat="false" ht="15" hidden="false" customHeight="true" outlineLevel="0" collapsed="false">
      <c r="B84" s="90" t="str">
        <f aca="false">"Fait à "&amp;PARAMETRES!$C$10&amp;", le "&amp;TEXT(DAY(PARAMETRES!$C$12),"00")&amp;"/"&amp;TEXT(MONTH(PARAMETRES!$C$12),"00")&amp;"/"&amp;YEAR(PARAMETRES!$C$12)</f>
        <v>Fait à LIGUIYO, le 30/06/2027</v>
      </c>
      <c r="C84" s="90"/>
      <c r="D84" s="90"/>
      <c r="E84" s="90"/>
      <c r="F84" s="90"/>
      <c r="G84" s="90"/>
      <c r="H84" s="90"/>
      <c r="I84" s="90"/>
      <c r="J84" s="90"/>
      <c r="K84" s="91" t="s">
        <v>635</v>
      </c>
      <c r="L84" s="91"/>
      <c r="M84" s="91"/>
      <c r="N84" s="91"/>
      <c r="O84" s="91"/>
      <c r="P84" s="91"/>
    </row>
    <row r="88" customFormat="false" ht="15" hidden="false" customHeight="false" outlineLevel="0" collapsed="false">
      <c r="K88" s="92" t="str">
        <f aca="false">PARAMETRES!$C$11</f>
        <v>M. KOUAME Kouadio Ernest</v>
      </c>
      <c r="L88" s="92"/>
      <c r="M88" s="92"/>
      <c r="N88" s="92"/>
      <c r="O88" s="92"/>
      <c r="P88" s="92"/>
    </row>
  </sheetData>
  <mergeCells count="13">
    <mergeCell ref="A1:H1"/>
    <mergeCell ref="I1:P1"/>
    <mergeCell ref="A2:H2"/>
    <mergeCell ref="I2:P2"/>
    <mergeCell ref="A3:H3"/>
    <mergeCell ref="I3:P3"/>
    <mergeCell ref="A4:H4"/>
    <mergeCell ref="A6:P6"/>
    <mergeCell ref="A7:P7"/>
    <mergeCell ref="B71:E71"/>
    <mergeCell ref="B84:J84"/>
    <mergeCell ref="K84:P84"/>
    <mergeCell ref="K88:P88"/>
  </mergeCells>
  <conditionalFormatting sqref="I10:I69">
    <cfRule type="expression" priority="2" aboveAverage="0" equalAverage="0" bottom="0" percent="0" rank="0" text="" dxfId="29">
      <formula>AND(I10&lt;&gt;"",I10&lt;&gt;"-",COUNTIF($I$10:$I$69,I10)&gt;1)</formula>
    </cfRule>
  </conditionalFormatting>
  <dataValidations count="3">
    <dataValidation allowBlank="true" error="M ou F" errorStyle="stop" errorTitle="Valeur non autorisée" operator="between" showDropDown="false" showErrorMessage="true" showInputMessage="false" sqref="D10:D69" type="list">
      <formula1>PARAMETRES!$F$3:$F$4</formula1>
      <formula2>0</formula2>
    </dataValidation>
    <dataValidation allowBlank="true" error="Choisir une fonction (liste modifiable dans PARAMETRES)" errorStyle="stop" errorTitle="Valeur non autorisée" operator="between" showDropDown="false" showErrorMessage="true" showInputMessage="false" sqref="G10:G69" type="list">
      <formula1>PARAMETRES!$E$14:$E$20</formula1>
      <formula2>0</formula2>
    </dataValidation>
    <dataValidation allowBlank="true" error="Classe tenue (ou laisser vide)" errorStyle="stop" errorTitle="Valeur non autorisée" operator="between" showDropDown="false" showErrorMessage="true" showInputMessage="false" sqref="I10:I69" type="list">
      <formula1>PARAMETRES!$E$3:$E$8</formula1>
      <formula2>0</formula2>
    </dataValidation>
  </dataValidations>
  <printOptions headings="false" gridLines="false" gridLinesSet="true" horizontalCentered="true" verticalCentered="false"/>
  <pageMargins left="0.309722222222222" right="0.309722222222222" top="0.470138888888889" bottom="0.470138888888889" header="0.511811023622047" footer="0.511811023622047"/>
  <pageSetup paperSize="9" scale="100" fitToWidth="1" fitToHeight="0" pageOrder="downThenOver" orientation="landscape" blackAndWhite="false" draft="false" cellComments="none" horizontalDpi="300" verticalDpi="300" copies="1"/>
  <headerFooter differentFirst="false" differentOddEven="false">
    <oddHeader/>
    <oddFooter/>
  </headerFooter>
  <drawing r:id="rIdBtn"/>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Feuil19" filterMode="false">
    <tabColor rgb="FFD9D9D9"/>
    <pageSetUpPr fitToPage="true"/>
  </sheetPr>
  <dimension ref="B1:B3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1" min="1" style="0" width="3"/>
    <col collapsed="false" customWidth="true" hidden="false" outlineLevel="0" max="2" min="2" style="0" width="120"/>
  </cols>
  <sheetData>
    <row r="1" customFormat="false" ht="17.35" hidden="false" customHeight="false" outlineLevel="0" collapsed="false">
      <c r="B1" s="132" t="s">
        <v>835</v>
      </c>
    </row>
    <row r="3" customFormat="false" ht="15" hidden="false" customHeight="false" outlineLevel="0" collapsed="false">
      <c r="B3" s="133" t="s">
        <v>836</v>
      </c>
    </row>
    <row r="4" customFormat="false" ht="43.5" hidden="false" customHeight="true" outlineLevel="0" collapsed="false">
      <c r="B4" s="134" t="s">
        <v>837</v>
      </c>
    </row>
    <row r="5" customFormat="false" ht="15" hidden="false" customHeight="false" outlineLevel="0" collapsed="false">
      <c r="B5" s="133" t="s">
        <v>838</v>
      </c>
    </row>
    <row r="6" customFormat="false" ht="43.5" hidden="false" customHeight="true" outlineLevel="0" collapsed="false">
      <c r="B6" s="134" t="s">
        <v>839</v>
      </c>
    </row>
    <row r="7" customFormat="false" ht="15" hidden="false" customHeight="false" outlineLevel="0" collapsed="false">
      <c r="B7" s="133" t="s">
        <v>840</v>
      </c>
    </row>
    <row r="8" customFormat="false" ht="43.5" hidden="false" customHeight="true" outlineLevel="0" collapsed="false">
      <c r="B8" s="134" t="s">
        <v>841</v>
      </c>
    </row>
    <row r="9" customFormat="false" ht="15" hidden="false" customHeight="false" outlineLevel="0" collapsed="false">
      <c r="B9" s="133" t="s">
        <v>842</v>
      </c>
    </row>
    <row r="10" customFormat="false" ht="43.5" hidden="false" customHeight="true" outlineLevel="0" collapsed="false">
      <c r="B10" s="134" t="s">
        <v>843</v>
      </c>
    </row>
    <row r="11" customFormat="false" ht="15" hidden="false" customHeight="false" outlineLevel="0" collapsed="false">
      <c r="B11" s="133" t="s">
        <v>844</v>
      </c>
    </row>
    <row r="12" customFormat="false" ht="43.5" hidden="false" customHeight="true" outlineLevel="0" collapsed="false">
      <c r="B12" s="134" t="s">
        <v>845</v>
      </c>
    </row>
    <row r="13" customFormat="false" ht="15" hidden="false" customHeight="false" outlineLevel="0" collapsed="false">
      <c r="B13" s="133" t="s">
        <v>846</v>
      </c>
    </row>
    <row r="14" customFormat="false" ht="43.5" hidden="false" customHeight="true" outlineLevel="0" collapsed="false">
      <c r="B14" s="134" t="s">
        <v>847</v>
      </c>
    </row>
    <row r="15" customFormat="false" ht="15" hidden="false" customHeight="false" outlineLevel="0" collapsed="false">
      <c r="B15" s="133" t="s">
        <v>848</v>
      </c>
    </row>
    <row r="16" customFormat="false" ht="43.5" hidden="false" customHeight="true" outlineLevel="0" collapsed="false">
      <c r="B16" s="134" t="s">
        <v>849</v>
      </c>
    </row>
    <row r="17" customFormat="false" ht="15" hidden="false" customHeight="false" outlineLevel="0" collapsed="false">
      <c r="B17" s="133" t="s">
        <v>850</v>
      </c>
    </row>
    <row r="18" customFormat="false" ht="43.5" hidden="false" customHeight="true" outlineLevel="0" collapsed="false">
      <c r="B18" s="134" t="s">
        <v>851</v>
      </c>
    </row>
    <row r="19" customFormat="false" ht="15" hidden="false" customHeight="false" outlineLevel="0" collapsed="false">
      <c r="B19" s="133" t="s">
        <v>852</v>
      </c>
    </row>
    <row r="20" customFormat="false" ht="43.5" hidden="false" customHeight="true" outlineLevel="0" collapsed="false">
      <c r="B20" s="134" t="s">
        <v>853</v>
      </c>
    </row>
    <row r="21" customFormat="false" ht="15" hidden="false" customHeight="false" outlineLevel="0" collapsed="false">
      <c r="B21" s="133" t="s">
        <v>854</v>
      </c>
    </row>
    <row r="22" customFormat="false" ht="43.5" hidden="false" customHeight="true" outlineLevel="0" collapsed="false">
      <c r="B22" s="134" t="s">
        <v>855</v>
      </c>
    </row>
    <row r="23" customFormat="false" ht="15" hidden="false" customHeight="false" outlineLevel="0" collapsed="false">
      <c r="B23" s="133" t="s">
        <v>856</v>
      </c>
    </row>
    <row r="24" customFormat="false" ht="43.5" hidden="false" customHeight="true" outlineLevel="0" collapsed="false">
      <c r="B24" s="134" t="s">
        <v>857</v>
      </c>
    </row>
    <row r="25" customFormat="false" ht="15" hidden="false" customHeight="false" outlineLevel="0" collapsed="false">
      <c r="B25" s="133" t="s">
        <v>858</v>
      </c>
    </row>
    <row r="26" customFormat="false" ht="43.5" hidden="false" customHeight="true" outlineLevel="0" collapsed="false">
      <c r="B26" s="134" t="s">
        <v>859</v>
      </c>
    </row>
    <row r="27" customFormat="false" ht="15" hidden="false" customHeight="false" outlineLevel="0" collapsed="false">
      <c r="B27" s="133" t="s">
        <v>860</v>
      </c>
    </row>
    <row r="28" customFormat="false" ht="43.5" hidden="false" customHeight="true" outlineLevel="0" collapsed="false">
      <c r="B28" s="134" t="s">
        <v>861</v>
      </c>
    </row>
    <row r="29" customFormat="false" ht="15" hidden="false" customHeight="false" outlineLevel="0" collapsed="false">
      <c r="B29" s="133" t="s">
        <v>862</v>
      </c>
    </row>
    <row r="30" customFormat="false" ht="43.5" hidden="false" customHeight="true" outlineLevel="0" collapsed="false">
      <c r="B30" s="134" t="s">
        <v>863</v>
      </c>
    </row>
  </sheetData>
  <printOptions headings="false" gridLines="false" gridLinesSet="true" horizontalCentered="true" verticalCentered="false"/>
  <pageMargins left="0.309722222222222" right="0.309722222222222" top="0.470138888888889" bottom="0.470138888888889" header="0.511811023622047" footer="0.511811023622047"/>
  <pageSetup paperSize="9" scale="100" fitToWidth="1" fitToHeight="0" pageOrder="downThenOver" orientation="portrait" blackAndWhite="false" draft="false" cellComments="none" horizontalDpi="300" verticalDpi="300" copies="1"/>
  <headerFooter differentFirst="false" differentOddEven="false">
    <oddHeader/>
    <oddFooter/>
  </headerFooter>
  <drawing r:id="rIdBtn"/>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2026-09-24T13:29:31Z</dcterms:created>
  <dc:creator>openpyxl</dc:creator>
  <dc:description/>
  <dc:language>en-US</dc:language>
  <cp:lastModifiedBy/>
  <dcterms:modified xsi:type="dcterms:W3CDTF">2026-09-24T13:29:43Z</dcterms:modified>
  <cp:revision>1</cp:revision>
  <dc:subject/>
  <dc:title/>
</cp:coreProperties>
</file>

<file path=docProps/custom.xml><?xml version="1.0" encoding="utf-8"?>
<Properties xmlns="http://schemas.openxmlformats.org/officeDocument/2006/custom-properties" xmlns:vt="http://schemas.openxmlformats.org/officeDocument/2006/docPropsVTypes"/>
</file>